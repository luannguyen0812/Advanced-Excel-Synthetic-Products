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tkn0\Downloads\"/>
    </mc:Choice>
  </mc:AlternateContent>
  <xr:revisionPtr revIDLastSave="0" documentId="13_ncr:1_{383B16F1-2475-4109-AE05-31F5F3A86971}" xr6:coauthVersionLast="47" xr6:coauthVersionMax="47" xr10:uidLastSave="{00000000-0000-0000-0000-000000000000}"/>
  <bookViews>
    <workbookView xWindow="-120" yWindow="-120" windowWidth="38640" windowHeight="21120" activeTab="1" xr2:uid="{9224F6C4-6C84-4AF4-9EF6-DE07CC2CBE15}"/>
  </bookViews>
  <sheets>
    <sheet name="INC HS Data" sheetId="9" r:id="rId1"/>
    <sheet name="HS Graphs" sheetId="5" r:id="rId2"/>
    <sheet name="Group Graph" sheetId="12" state="hidden" r:id="rId3"/>
    <sheet name="Pie Charts" sheetId="8" r:id="rId4"/>
    <sheet name="Pivot" sheetId="6" r:id="rId5"/>
    <sheet name="HS FEED" sheetId="4" r:id="rId6"/>
    <sheet name="Group FEED" sheetId="11" state="hidden" r:id="rId7"/>
    <sheet name="INC DATA DUMP - FY23+" sheetId="1" state="hidden" r:id="rId8"/>
    <sheet name="18-Month HS Incidents" sheetId="2" r:id="rId9"/>
  </sheets>
  <definedNames>
    <definedName name="_xlnm._FilterDatabase" localSheetId="8" hidden="1">'18-Month HS Incidents'!$A$1:$BB$328</definedName>
    <definedName name="_xlnm._FilterDatabase" localSheetId="7" hidden="1">'INC DATA DUMP - FY23+'!$A$1:$AN$2004</definedName>
    <definedName name="_xlnm._FilterDatabase" localSheetId="0" hidden="1">'INC HS Data'!$A$1:$H$328</definedName>
  </definedNames>
  <calcPr calcId="191029"/>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3" i="4" l="1"/>
  <c r="AF13" i="4"/>
  <c r="AE13" i="4"/>
  <c r="AG12" i="4"/>
  <c r="AF12" i="4"/>
  <c r="AE12" i="4"/>
  <c r="AC13" i="4"/>
  <c r="AB13" i="4"/>
  <c r="AA13" i="4"/>
  <c r="AC12" i="4"/>
  <c r="AB12" i="4"/>
  <c r="AA12" i="4"/>
  <c r="Y13" i="4"/>
  <c r="X13" i="4"/>
  <c r="W13" i="4"/>
  <c r="Y12" i="4"/>
  <c r="X12" i="4"/>
  <c r="W12" i="4"/>
  <c r="U13" i="4"/>
  <c r="T13" i="4"/>
  <c r="S13" i="4"/>
  <c r="U12" i="4"/>
  <c r="T12" i="4"/>
  <c r="S12" i="4"/>
  <c r="P13" i="4"/>
  <c r="O13" i="4"/>
  <c r="N13" i="4"/>
  <c r="P12" i="4"/>
  <c r="O12" i="4"/>
  <c r="N12" i="4"/>
  <c r="L13" i="4"/>
  <c r="K13" i="4"/>
  <c r="J13" i="4"/>
  <c r="L12" i="4"/>
  <c r="K12" i="4"/>
  <c r="J12" i="4"/>
  <c r="H13" i="4"/>
  <c r="G13" i="4"/>
  <c r="F13" i="4"/>
  <c r="H12" i="4"/>
  <c r="G12" i="4"/>
  <c r="F12" i="4"/>
  <c r="D13" i="4"/>
  <c r="C13" i="4"/>
  <c r="D12" i="4"/>
  <c r="C12" i="4"/>
  <c r="B13" i="4"/>
  <c r="B12" i="4"/>
  <c r="AG7" i="11"/>
  <c r="AF7" i="11"/>
  <c r="AE7" i="11"/>
  <c r="AC7" i="11"/>
  <c r="AB7" i="11"/>
  <c r="AA7" i="11"/>
  <c r="Y7" i="11"/>
  <c r="X7" i="11"/>
  <c r="W7" i="11"/>
  <c r="U7" i="11"/>
  <c r="T7" i="11"/>
  <c r="S7" i="11"/>
  <c r="P7" i="11"/>
  <c r="O7" i="11"/>
  <c r="N7" i="11"/>
  <c r="L7" i="11"/>
  <c r="K7" i="11"/>
  <c r="J7" i="11"/>
  <c r="H7" i="11"/>
  <c r="G7" i="11"/>
  <c r="F7" i="11"/>
  <c r="D7" i="11"/>
  <c r="C7" i="11"/>
  <c r="B7" i="11"/>
  <c r="AG3" i="11"/>
  <c r="AF3" i="11"/>
  <c r="AE3" i="11"/>
  <c r="AC3" i="11"/>
  <c r="AB3" i="11"/>
  <c r="AA3" i="11"/>
  <c r="Y3" i="11"/>
  <c r="X3" i="11"/>
  <c r="W3" i="11"/>
  <c r="U3" i="11"/>
  <c r="T3" i="11"/>
  <c r="S3" i="11"/>
  <c r="P3" i="11"/>
  <c r="O3" i="11"/>
  <c r="N3" i="11"/>
  <c r="L3" i="11"/>
  <c r="K3" i="11"/>
  <c r="J3" i="11"/>
  <c r="H3" i="11"/>
  <c r="G3" i="11"/>
  <c r="F3" i="11"/>
  <c r="D3" i="11"/>
  <c r="C3" i="11"/>
  <c r="B3" i="11"/>
  <c r="AI2" i="11"/>
  <c r="AH2" i="11"/>
  <c r="AG2" i="11"/>
  <c r="AF2" i="11"/>
  <c r="AE2" i="11"/>
  <c r="AD2" i="11"/>
  <c r="AC2" i="11"/>
  <c r="AB2" i="11"/>
  <c r="AA2" i="11"/>
  <c r="Z2" i="11"/>
  <c r="Y2" i="11"/>
  <c r="X2" i="11"/>
  <c r="W2" i="11"/>
  <c r="V2" i="11"/>
  <c r="U2" i="11"/>
  <c r="T2" i="11"/>
  <c r="S2" i="11"/>
  <c r="R2" i="11"/>
  <c r="Q2" i="11"/>
  <c r="P2" i="11"/>
  <c r="O2" i="11"/>
  <c r="N2" i="11"/>
  <c r="M2" i="11"/>
  <c r="L2" i="11"/>
  <c r="K2" i="11"/>
  <c r="J2" i="11"/>
  <c r="I2" i="11"/>
  <c r="H2" i="11"/>
  <c r="G2" i="11"/>
  <c r="F2" i="11"/>
  <c r="E2" i="11"/>
  <c r="D2" i="11"/>
  <c r="C2" i="11"/>
  <c r="B2" i="11"/>
  <c r="AG7" i="4"/>
  <c r="AI2" i="4"/>
  <c r="AH2" i="4"/>
  <c r="AG2" i="4"/>
  <c r="AG3" i="4" s="1"/>
  <c r="AF2" i="4"/>
  <c r="AF7" i="4" s="1"/>
  <c r="AE2" i="4"/>
  <c r="AE7" i="4" s="1"/>
  <c r="AD2" i="4"/>
  <c r="AC2" i="4"/>
  <c r="AC7" i="4" s="1"/>
  <c r="AB2" i="4"/>
  <c r="AB7" i="4" s="1"/>
  <c r="AA2" i="4"/>
  <c r="AA7" i="4" s="1"/>
  <c r="Z2" i="4"/>
  <c r="Y2" i="4"/>
  <c r="Y7" i="4" s="1"/>
  <c r="X2" i="4"/>
  <c r="X7" i="4" s="1"/>
  <c r="W2" i="4"/>
  <c r="W7" i="4" s="1"/>
  <c r="V2" i="4"/>
  <c r="U2" i="4"/>
  <c r="U7" i="4" s="1"/>
  <c r="T2" i="4"/>
  <c r="T7" i="4" s="1"/>
  <c r="S2" i="4"/>
  <c r="S3" i="4" s="1"/>
  <c r="R2" i="4"/>
  <c r="Q2" i="4"/>
  <c r="P2" i="4"/>
  <c r="P7" i="4" s="1"/>
  <c r="O2" i="4"/>
  <c r="O7" i="4" s="1"/>
  <c r="N2" i="4"/>
  <c r="N7" i="4" s="1"/>
  <c r="M2" i="4"/>
  <c r="L2" i="4"/>
  <c r="L7" i="4" s="1"/>
  <c r="K2" i="4"/>
  <c r="K3" i="4" s="1"/>
  <c r="J2" i="4"/>
  <c r="J7" i="4" s="1"/>
  <c r="I2" i="4"/>
  <c r="H2" i="4"/>
  <c r="H7" i="4" s="1"/>
  <c r="G2" i="4"/>
  <c r="G7" i="4" s="1"/>
  <c r="F2" i="4"/>
  <c r="F7" i="4" s="1"/>
  <c r="E2" i="4"/>
  <c r="D2" i="4"/>
  <c r="D7" i="4" s="1"/>
  <c r="C2" i="4"/>
  <c r="C7" i="4" s="1"/>
  <c r="B2" i="4"/>
  <c r="B7" i="4" s="1"/>
  <c r="AH13" i="4" l="1"/>
  <c r="AH12" i="4"/>
  <c r="Q12" i="4"/>
  <c r="M13" i="4"/>
  <c r="AD13" i="4"/>
  <c r="V12" i="4"/>
  <c r="I13" i="4"/>
  <c r="Z13" i="4"/>
  <c r="V13" i="4"/>
  <c r="M12" i="4"/>
  <c r="AD12" i="4"/>
  <c r="Q13" i="4"/>
  <c r="I12" i="4"/>
  <c r="Z12" i="4"/>
  <c r="E12" i="4"/>
  <c r="AD7" i="11"/>
  <c r="E13" i="4"/>
  <c r="S4" i="4"/>
  <c r="S4" i="11"/>
  <c r="T4" i="11"/>
  <c r="S8" i="11"/>
  <c r="I3" i="11"/>
  <c r="U4" i="11"/>
  <c r="T8" i="11"/>
  <c r="U8" i="11"/>
  <c r="Q3" i="11"/>
  <c r="AD3" i="11"/>
  <c r="I7" i="11"/>
  <c r="V3" i="11"/>
  <c r="V7" i="11"/>
  <c r="W8" i="11" s="1"/>
  <c r="Z3" i="11"/>
  <c r="Q7" i="11"/>
  <c r="AH3" i="11"/>
  <c r="AH7" i="11"/>
  <c r="M3" i="11"/>
  <c r="M7" i="11"/>
  <c r="Z7" i="11"/>
  <c r="E7" i="11"/>
  <c r="B8" i="11"/>
  <c r="D8" i="11"/>
  <c r="C8" i="11"/>
  <c r="G3" i="4"/>
  <c r="O3" i="4"/>
  <c r="W3" i="4"/>
  <c r="AC3" i="4"/>
  <c r="AD7" i="4"/>
  <c r="D3" i="4"/>
  <c r="Q7" i="4"/>
  <c r="C8" i="4"/>
  <c r="Z7" i="4"/>
  <c r="B3" i="4"/>
  <c r="B4" i="4" s="1"/>
  <c r="L3" i="4"/>
  <c r="X3" i="4"/>
  <c r="C3" i="4"/>
  <c r="N3" i="4"/>
  <c r="Y3" i="4"/>
  <c r="AA3" i="4"/>
  <c r="K7" i="4"/>
  <c r="M7" i="4" s="1"/>
  <c r="F3" i="4"/>
  <c r="P3" i="4"/>
  <c r="AB3" i="4"/>
  <c r="S7" i="4"/>
  <c r="H3" i="4"/>
  <c r="T3" i="4"/>
  <c r="AE3" i="4"/>
  <c r="J3" i="4"/>
  <c r="U3" i="4"/>
  <c r="AF3" i="4"/>
  <c r="E7" i="4"/>
  <c r="I7" i="4"/>
  <c r="B8" i="4"/>
  <c r="D8" i="4"/>
  <c r="AH7" i="4"/>
  <c r="R12" i="4" l="1"/>
  <c r="AI12" i="4"/>
  <c r="AI13" i="4"/>
  <c r="R13" i="4"/>
  <c r="AD4" i="11"/>
  <c r="X8" i="11"/>
  <c r="T4" i="4"/>
  <c r="U4" i="4"/>
  <c r="V7" i="4"/>
  <c r="AI7" i="4" s="1"/>
  <c r="S8" i="4"/>
  <c r="U8" i="4"/>
  <c r="T8" i="4"/>
  <c r="AI7" i="11"/>
  <c r="AI8" i="11" s="1"/>
  <c r="AD8" i="11"/>
  <c r="AH8" i="11"/>
  <c r="X4" i="11"/>
  <c r="AF8" i="11"/>
  <c r="AA4" i="11"/>
  <c r="V8" i="11"/>
  <c r="AE4" i="11"/>
  <c r="Z4" i="11"/>
  <c r="Z8" i="11"/>
  <c r="V4" i="11"/>
  <c r="AG8" i="11"/>
  <c r="Y4" i="11"/>
  <c r="W4" i="11"/>
  <c r="AF4" i="11"/>
  <c r="AG4" i="11"/>
  <c r="AB8" i="11"/>
  <c r="AB4" i="11"/>
  <c r="Y8" i="11"/>
  <c r="AE8" i="11"/>
  <c r="AC8" i="11"/>
  <c r="AC4" i="11"/>
  <c r="AI3" i="11"/>
  <c r="AI4" i="11" s="1"/>
  <c r="AA8" i="11"/>
  <c r="AH4" i="11"/>
  <c r="J8" i="11"/>
  <c r="O8" i="11"/>
  <c r="K8" i="11"/>
  <c r="E8" i="11"/>
  <c r="N8" i="11"/>
  <c r="Q8" i="11"/>
  <c r="B4" i="11"/>
  <c r="D4" i="11"/>
  <c r="C4" i="11"/>
  <c r="E3" i="11"/>
  <c r="F4" i="11" s="1"/>
  <c r="F8" i="11"/>
  <c r="R7" i="11"/>
  <c r="L8" i="11"/>
  <c r="H8" i="11"/>
  <c r="M8" i="11"/>
  <c r="I8" i="11"/>
  <c r="G8" i="11"/>
  <c r="P8" i="11"/>
  <c r="D4" i="4"/>
  <c r="M3" i="4"/>
  <c r="Z3" i="4"/>
  <c r="AH3" i="4"/>
  <c r="C4" i="4"/>
  <c r="V3" i="4"/>
  <c r="Q3" i="4"/>
  <c r="I3" i="4"/>
  <c r="AD3" i="4"/>
  <c r="E3" i="4"/>
  <c r="K8" i="4"/>
  <c r="O8" i="4"/>
  <c r="H8" i="4"/>
  <c r="R7" i="4"/>
  <c r="L8" i="4"/>
  <c r="P8" i="4"/>
  <c r="I8" i="4"/>
  <c r="E8" i="4"/>
  <c r="Q8" i="4"/>
  <c r="J8" i="4"/>
  <c r="M8" i="4"/>
  <c r="N8" i="4"/>
  <c r="G8" i="4"/>
  <c r="F8" i="4"/>
  <c r="V8" i="4" l="1"/>
  <c r="AD8" i="4"/>
  <c r="W8" i="4"/>
  <c r="AE8" i="4"/>
  <c r="X8" i="4"/>
  <c r="AB8" i="4"/>
  <c r="AF8" i="4"/>
  <c r="AG8" i="4"/>
  <c r="AC8" i="4"/>
  <c r="AH8" i="4"/>
  <c r="Q4" i="11"/>
  <c r="AF4" i="4"/>
  <c r="Z4" i="4"/>
  <c r="AA4" i="4"/>
  <c r="AD4" i="4"/>
  <c r="Z8" i="4"/>
  <c r="X4" i="4"/>
  <c r="AH4" i="4"/>
  <c r="W4" i="4"/>
  <c r="AA8" i="4"/>
  <c r="AC4" i="4"/>
  <c r="AB4" i="4"/>
  <c r="AI8" i="4"/>
  <c r="AG4" i="4"/>
  <c r="Y4" i="4"/>
  <c r="V4" i="4"/>
  <c r="Y8" i="4"/>
  <c r="AE4" i="4"/>
  <c r="I4" i="11"/>
  <c r="R3" i="11"/>
  <c r="H4" i="11"/>
  <c r="N4" i="11"/>
  <c r="P4" i="11"/>
  <c r="L4" i="11"/>
  <c r="J4" i="11"/>
  <c r="G4" i="11"/>
  <c r="O4" i="11"/>
  <c r="R8" i="11"/>
  <c r="K4" i="11"/>
  <c r="E4" i="11"/>
  <c r="M4" i="11"/>
  <c r="AI3" i="4"/>
  <c r="AI4" i="4" s="1"/>
  <c r="O4" i="4"/>
  <c r="Q4" i="4"/>
  <c r="M4" i="4"/>
  <c r="E4" i="4"/>
  <c r="I4" i="4"/>
  <c r="G4" i="4"/>
  <c r="P4" i="4"/>
  <c r="N4" i="4"/>
  <c r="H4" i="4"/>
  <c r="K4" i="4"/>
  <c r="F4" i="4"/>
  <c r="L4" i="4"/>
  <c r="J4" i="4"/>
  <c r="R3" i="4"/>
  <c r="R8" i="4"/>
  <c r="R4" i="11" l="1"/>
  <c r="R4" i="4"/>
  <c r="AN3" i="2" l="1"/>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2" i="2"/>
  <c r="AI11" i="2"/>
  <c r="AH247" i="2"/>
  <c r="AJ247" i="2" s="1"/>
  <c r="AI240" i="2"/>
  <c r="AH150" i="2"/>
  <c r="AJ150" i="2" s="1"/>
  <c r="AH88" i="2"/>
  <c r="AJ88" i="2" s="1"/>
  <c r="AH38" i="2"/>
  <c r="AJ38" i="2" s="1"/>
  <c r="AI304" i="2"/>
  <c r="AI291" i="2"/>
  <c r="AI221" i="2"/>
  <c r="AI173" i="2"/>
  <c r="AI165" i="2"/>
  <c r="AH155" i="2"/>
  <c r="AJ155" i="2" s="1"/>
  <c r="AH134" i="2"/>
  <c r="AJ134" i="2" s="1"/>
  <c r="AI109" i="2"/>
  <c r="AH93" i="2"/>
  <c r="AJ93" i="2" s="1"/>
  <c r="AI90" i="2"/>
  <c r="AH91" i="2"/>
  <c r="AJ91" i="2" s="1"/>
  <c r="AH78" i="2"/>
  <c r="AJ78" i="2" s="1"/>
  <c r="AH69" i="2"/>
  <c r="AJ69" i="2" s="1"/>
  <c r="AH64" i="2"/>
  <c r="AJ64" i="2" s="1"/>
  <c r="AI61" i="2"/>
  <c r="AH60" i="2"/>
  <c r="AJ60" i="2" s="1"/>
  <c r="AI53" i="2"/>
  <c r="AH51" i="2"/>
  <c r="AJ51" i="2" s="1"/>
  <c r="AI45" i="2"/>
  <c r="AH43" i="2"/>
  <c r="AJ43" i="2" s="1"/>
  <c r="AH27" i="2"/>
  <c r="AJ27" i="2" s="1"/>
  <c r="AH274" i="2"/>
  <c r="AJ274" i="2" s="1"/>
  <c r="AI266" i="2"/>
  <c r="AH85" i="2"/>
  <c r="AJ85" i="2" s="1"/>
  <c r="AH280" i="2"/>
  <c r="AJ280" i="2" s="1"/>
  <c r="AH171" i="2"/>
  <c r="AJ171" i="2" s="1"/>
  <c r="AH92" i="2"/>
  <c r="AJ92" i="2" s="1"/>
  <c r="AH260" i="2"/>
  <c r="AJ260" i="2" s="1"/>
  <c r="AH289" i="2"/>
  <c r="AJ289" i="2" s="1"/>
  <c r="AH127" i="2"/>
  <c r="AJ127" i="2" s="1"/>
  <c r="AH84" i="2"/>
  <c r="AJ84" i="2" s="1"/>
  <c r="AH25" i="2"/>
  <c r="AJ25" i="2" s="1"/>
  <c r="AI309" i="2"/>
  <c r="AI243" i="2"/>
  <c r="AH8" i="2"/>
  <c r="AJ8" i="2" s="1"/>
  <c r="AI20" i="2"/>
  <c r="AI269" i="2"/>
  <c r="AH152" i="2"/>
  <c r="AJ152" i="2" s="1"/>
  <c r="AH143" i="2"/>
  <c r="AJ143" i="2" s="1"/>
  <c r="AI94" i="2"/>
  <c r="AH71" i="2"/>
  <c r="AJ71" i="2" s="1"/>
  <c r="AI261" i="2"/>
  <c r="AH218" i="2"/>
  <c r="AJ218" i="2" s="1"/>
  <c r="AH216" i="2"/>
  <c r="AJ216" i="2" s="1"/>
  <c r="AH208" i="2"/>
  <c r="AJ208" i="2" s="1"/>
  <c r="AI205" i="2"/>
  <c r="AI197" i="2"/>
  <c r="AH97" i="2"/>
  <c r="AJ97" i="2" s="1"/>
  <c r="AI26" i="2"/>
  <c r="AI301" i="2"/>
  <c r="AH200" i="2"/>
  <c r="AJ200" i="2" s="1"/>
  <c r="AH136" i="2"/>
  <c r="AJ136" i="2" s="1"/>
  <c r="AI99" i="2"/>
  <c r="AI82" i="2"/>
  <c r="AH47" i="2"/>
  <c r="AJ47" i="2" s="1"/>
  <c r="AI226" i="2"/>
  <c r="AI100" i="2"/>
  <c r="AH80" i="2"/>
  <c r="AJ80" i="2" s="1"/>
  <c r="AI317" i="2"/>
  <c r="AH255" i="2"/>
  <c r="AJ255" i="2" s="1"/>
  <c r="AH177" i="2"/>
  <c r="AJ177" i="2" s="1"/>
  <c r="AH120" i="2"/>
  <c r="AJ120" i="2" s="1"/>
  <c r="AH9" i="2"/>
  <c r="AJ9" i="2" s="1"/>
  <c r="AI263" i="2"/>
  <c r="AI256" i="2"/>
  <c r="AH32" i="2"/>
  <c r="AJ32" i="2" s="1"/>
  <c r="AH285" i="2"/>
  <c r="AJ285" i="2" s="1"/>
  <c r="AH273" i="2"/>
  <c r="AJ273" i="2" s="1"/>
  <c r="AH230" i="2"/>
  <c r="AJ230" i="2" s="1"/>
  <c r="AI195" i="2"/>
  <c r="AI196" i="2"/>
  <c r="AH199" i="2"/>
  <c r="AJ199" i="2" s="1"/>
  <c r="AH2" i="2"/>
  <c r="AJ2" i="2" s="1"/>
  <c r="AH296" i="2"/>
  <c r="AJ296" i="2" s="1"/>
  <c r="AH223" i="2"/>
  <c r="AJ223" i="2" s="1"/>
  <c r="AH215" i="2"/>
  <c r="AJ215" i="2" s="1"/>
  <c r="AI117" i="2"/>
  <c r="AH132" i="2"/>
  <c r="AJ132" i="2" s="1"/>
  <c r="AH130" i="2"/>
  <c r="AJ130" i="2" s="1"/>
  <c r="AH235" i="2"/>
  <c r="AJ235" i="2" s="1"/>
  <c r="AI144" i="2"/>
  <c r="AI119" i="2"/>
  <c r="AI189" i="2"/>
  <c r="AI253" i="2"/>
  <c r="AH138" i="2"/>
  <c r="AJ138" i="2" s="1"/>
  <c r="AH175" i="2"/>
  <c r="AJ175" i="2" s="1"/>
  <c r="AH303" i="2"/>
  <c r="AJ303" i="2" s="1"/>
  <c r="AH168" i="2"/>
  <c r="AJ168" i="2" s="1"/>
  <c r="AH156" i="2"/>
  <c r="AJ156" i="2" s="1"/>
  <c r="AH95" i="2"/>
  <c r="AJ95" i="2" s="1"/>
  <c r="AH106" i="2"/>
  <c r="AJ106" i="2" s="1"/>
  <c r="AI327" i="2"/>
  <c r="AH68" i="2"/>
  <c r="AJ68" i="2" s="1"/>
  <c r="AI293" i="2"/>
  <c r="AI290" i="2"/>
  <c r="AH232" i="2"/>
  <c r="AJ232" i="2" s="1"/>
  <c r="AI213" i="2"/>
  <c r="AH207" i="2"/>
  <c r="AJ207" i="2" s="1"/>
  <c r="AI206" i="2"/>
  <c r="AH184" i="2"/>
  <c r="AJ184" i="2" s="1"/>
  <c r="AH312" i="2"/>
  <c r="AJ312" i="2" s="1"/>
  <c r="AI308" i="2"/>
  <c r="AI250" i="2"/>
  <c r="AH162" i="2"/>
  <c r="AJ162" i="2" s="1"/>
  <c r="AI141" i="2"/>
  <c r="AH6" i="2"/>
  <c r="AJ6" i="2" s="1"/>
  <c r="AI314" i="2"/>
  <c r="AI300" i="2"/>
  <c r="AH75" i="2"/>
  <c r="AJ75" i="2" s="1"/>
  <c r="AI277" i="2"/>
  <c r="AH229" i="2"/>
  <c r="AJ229" i="2" s="1"/>
  <c r="AH227" i="2"/>
  <c r="AJ227" i="2" s="1"/>
  <c r="AH248" i="2"/>
  <c r="AJ248" i="2" s="1"/>
  <c r="AI176" i="2"/>
  <c r="AH151" i="2"/>
  <c r="AJ151" i="2" s="1"/>
  <c r="AH142" i="2"/>
  <c r="AJ142" i="2" s="1"/>
  <c r="AH108" i="2"/>
  <c r="AJ108" i="2" s="1"/>
  <c r="AH87" i="2"/>
  <c r="AJ87" i="2" s="1"/>
  <c r="AH48" i="2"/>
  <c r="AJ48" i="2" s="1"/>
  <c r="AH236" i="2"/>
  <c r="AJ236" i="2" s="1"/>
  <c r="AH193" i="2"/>
  <c r="AJ193" i="2" s="1"/>
  <c r="AI154" i="2"/>
  <c r="AH203" i="2"/>
  <c r="AJ203" i="2" s="1"/>
  <c r="AI245" i="2"/>
  <c r="AH140" i="2"/>
  <c r="AJ140" i="2" s="1"/>
  <c r="AI118" i="2"/>
  <c r="AH33" i="2"/>
  <c r="AJ33" i="2" s="1"/>
  <c r="AI29" i="2"/>
  <c r="AH264" i="2"/>
  <c r="AJ264" i="2" s="1"/>
  <c r="AI237" i="2"/>
  <c r="AI101" i="2"/>
  <c r="AH89" i="2"/>
  <c r="AJ89" i="2" s="1"/>
  <c r="AH57" i="2"/>
  <c r="AJ57" i="2" s="1"/>
  <c r="AH36" i="2"/>
  <c r="AJ36" i="2" s="1"/>
  <c r="AI325" i="2"/>
  <c r="AI83" i="2"/>
  <c r="AI178" i="2"/>
  <c r="AI77" i="2"/>
  <c r="AI157" i="2"/>
  <c r="AI148" i="2"/>
  <c r="AH81" i="2"/>
  <c r="AJ81" i="2" s="1"/>
  <c r="AI181" i="2"/>
  <c r="AH42" i="2"/>
  <c r="AJ42" i="2" s="1"/>
  <c r="AH210" i="2"/>
  <c r="AJ210" i="2" s="1"/>
  <c r="AI194" i="2"/>
  <c r="AH328" i="2"/>
  <c r="AJ328" i="2" s="1"/>
  <c r="AH265" i="2"/>
  <c r="AJ265" i="2" s="1"/>
  <c r="AH259" i="2"/>
  <c r="AJ259" i="2" s="1"/>
  <c r="AH198" i="2"/>
  <c r="AJ198" i="2" s="1"/>
  <c r="AI180" i="2"/>
  <c r="AI164" i="2"/>
  <c r="AH161" i="2"/>
  <c r="AJ161" i="2" s="1"/>
  <c r="AI133" i="2"/>
  <c r="AH122" i="2"/>
  <c r="AJ122" i="2" s="1"/>
  <c r="AI74" i="2"/>
  <c r="AH73" i="2"/>
  <c r="AJ73" i="2" s="1"/>
  <c r="AH72" i="2"/>
  <c r="AJ72" i="2" s="1"/>
  <c r="AH62" i="2"/>
  <c r="AJ62" i="2" s="1"/>
  <c r="AH37" i="2"/>
  <c r="AJ37" i="2" s="1"/>
  <c r="AH12" i="2"/>
  <c r="AJ12" i="2" s="1"/>
  <c r="AH244" i="2"/>
  <c r="AJ244" i="2" s="1"/>
  <c r="AI231" i="2"/>
  <c r="AH214" i="2"/>
  <c r="AJ214" i="2" s="1"/>
  <c r="AI149" i="2"/>
  <c r="AH131" i="2"/>
  <c r="AJ131" i="2" s="1"/>
  <c r="AI125" i="2"/>
  <c r="AH114" i="2"/>
  <c r="AJ114" i="2" s="1"/>
  <c r="AH104" i="2"/>
  <c r="AJ104" i="2" s="1"/>
  <c r="AH102" i="2"/>
  <c r="AJ102" i="2" s="1"/>
  <c r="AH40" i="2"/>
  <c r="AJ40" i="2" s="1"/>
  <c r="AH278" i="2"/>
  <c r="AJ278" i="2" s="1"/>
  <c r="AH220" i="2"/>
  <c r="AJ220" i="2" s="1"/>
  <c r="AH187" i="2"/>
  <c r="AJ187" i="2" s="1"/>
  <c r="AH129" i="2"/>
  <c r="AJ129" i="2" s="1"/>
  <c r="AH16" i="2"/>
  <c r="AJ16" i="2" s="1"/>
  <c r="AI162" i="2" l="1"/>
  <c r="AI260" i="2"/>
  <c r="AI210" i="2"/>
  <c r="AI132" i="2"/>
  <c r="AI255" i="2"/>
  <c r="AI229" i="2"/>
  <c r="AI161" i="2"/>
  <c r="AI168" i="2"/>
  <c r="AH277" i="2"/>
  <c r="AJ277" i="2" s="1"/>
  <c r="AI248" i="2"/>
  <c r="AH221" i="2"/>
  <c r="AJ221" i="2" s="1"/>
  <c r="AI216" i="2"/>
  <c r="AH157" i="2"/>
  <c r="AJ157" i="2" s="1"/>
  <c r="AI184" i="2"/>
  <c r="AI120" i="2"/>
  <c r="AI151" i="2"/>
  <c r="AI127" i="2"/>
  <c r="AI247" i="2"/>
  <c r="AH293" i="2"/>
  <c r="AJ293" i="2" s="1"/>
  <c r="AI296" i="2"/>
  <c r="AI102" i="2"/>
  <c r="AI140" i="2"/>
  <c r="AI289" i="2"/>
  <c r="AI114" i="2"/>
  <c r="AI208" i="2"/>
  <c r="AI218" i="2"/>
  <c r="AI92" i="2"/>
  <c r="AI78" i="2"/>
  <c r="AI214" i="2"/>
  <c r="AI259" i="2"/>
  <c r="AI48" i="2"/>
  <c r="AI235" i="2"/>
  <c r="AI71" i="2"/>
  <c r="AI85" i="2"/>
  <c r="AI93" i="2"/>
  <c r="AI244" i="2"/>
  <c r="AI130" i="2"/>
  <c r="AI9" i="2"/>
  <c r="AI8" i="2"/>
  <c r="AI274" i="2"/>
  <c r="AI134" i="2"/>
  <c r="AH53" i="2"/>
  <c r="AJ53" i="2" s="1"/>
  <c r="AI104" i="2"/>
  <c r="AH45" i="2"/>
  <c r="AJ45" i="2" s="1"/>
  <c r="AI51" i="2"/>
  <c r="AH301" i="2"/>
  <c r="AJ301" i="2" s="1"/>
  <c r="AH29" i="2"/>
  <c r="AJ29" i="2" s="1"/>
  <c r="AI135" i="2"/>
  <c r="AH135" i="2"/>
  <c r="AJ135" i="2" s="1"/>
  <c r="AI124" i="2"/>
  <c r="AH124" i="2"/>
  <c r="AJ124" i="2" s="1"/>
  <c r="AI146" i="2"/>
  <c r="AH146" i="2"/>
  <c r="AJ146" i="2" s="1"/>
  <c r="AI275" i="2"/>
  <c r="AH275" i="2"/>
  <c r="AJ275" i="2" s="1"/>
  <c r="AI211" i="2"/>
  <c r="AH211" i="2"/>
  <c r="AJ211" i="2" s="1"/>
  <c r="AI202" i="2"/>
  <c r="AH202" i="2"/>
  <c r="AJ202" i="2" s="1"/>
  <c r="AI128" i="2"/>
  <c r="AH128" i="2"/>
  <c r="AJ128" i="2" s="1"/>
  <c r="AH287" i="2"/>
  <c r="AJ287" i="2" s="1"/>
  <c r="AI287" i="2"/>
  <c r="AI254" i="2"/>
  <c r="AH254" i="2"/>
  <c r="AJ254" i="2" s="1"/>
  <c r="AH321" i="2"/>
  <c r="AJ321" i="2" s="1"/>
  <c r="AI321" i="2"/>
  <c r="AI39" i="2"/>
  <c r="AH39" i="2"/>
  <c r="AJ39" i="2" s="1"/>
  <c r="AH139" i="2"/>
  <c r="AJ139" i="2" s="1"/>
  <c r="AI139" i="2"/>
  <c r="AI282" i="2"/>
  <c r="AH282" i="2"/>
  <c r="AJ282" i="2" s="1"/>
  <c r="AH313" i="2"/>
  <c r="AJ313" i="2" s="1"/>
  <c r="AI313" i="2"/>
  <c r="AH315" i="2"/>
  <c r="AJ315" i="2" s="1"/>
  <c r="AI315" i="2"/>
  <c r="AI292" i="2"/>
  <c r="AH292" i="2"/>
  <c r="AJ292" i="2" s="1"/>
  <c r="AI258" i="2"/>
  <c r="AH258" i="2"/>
  <c r="AJ258" i="2" s="1"/>
  <c r="AI170" i="2"/>
  <c r="AH170" i="2"/>
  <c r="AJ170" i="2" s="1"/>
  <c r="AI326" i="2"/>
  <c r="AH326" i="2"/>
  <c r="AJ326" i="2" s="1"/>
  <c r="AI126" i="2"/>
  <c r="AH126" i="2"/>
  <c r="AJ126" i="2" s="1"/>
  <c r="AI222" i="2"/>
  <c r="AH222" i="2"/>
  <c r="AJ222" i="2" s="1"/>
  <c r="AI19" i="2"/>
  <c r="AH19" i="2"/>
  <c r="AJ19" i="2" s="1"/>
  <c r="AI98" i="2"/>
  <c r="AH98" i="2"/>
  <c r="AJ98" i="2" s="1"/>
  <c r="AI167" i="2"/>
  <c r="AH167" i="2"/>
  <c r="AJ167" i="2" s="1"/>
  <c r="AI63" i="2"/>
  <c r="AH63" i="2"/>
  <c r="AJ63" i="2" s="1"/>
  <c r="AI174" i="2"/>
  <c r="AH174" i="2"/>
  <c r="AJ174" i="2" s="1"/>
  <c r="AI203" i="2"/>
  <c r="AI230" i="2"/>
  <c r="AI69" i="2"/>
  <c r="AH237" i="2"/>
  <c r="AJ237" i="2" s="1"/>
  <c r="AH173" i="2"/>
  <c r="AJ173" i="2" s="1"/>
  <c r="AH109" i="2"/>
  <c r="AJ109" i="2" s="1"/>
  <c r="AI280" i="2"/>
  <c r="AI152" i="2"/>
  <c r="AH297" i="2"/>
  <c r="AJ297" i="2" s="1"/>
  <c r="AI297" i="2"/>
  <c r="AH153" i="2"/>
  <c r="AJ153" i="2" s="1"/>
  <c r="AI153" i="2"/>
  <c r="AH65" i="2"/>
  <c r="AJ65" i="2" s="1"/>
  <c r="AI65" i="2"/>
  <c r="AI22" i="2"/>
  <c r="AH22" i="2"/>
  <c r="AJ22" i="2" s="1"/>
  <c r="AI10" i="2"/>
  <c r="AH10" i="2"/>
  <c r="AJ10" i="2" s="1"/>
  <c r="AI238" i="2"/>
  <c r="AH238" i="2"/>
  <c r="AJ238" i="2" s="1"/>
  <c r="AI179" i="2"/>
  <c r="AH179" i="2"/>
  <c r="AJ179" i="2" s="1"/>
  <c r="AI252" i="2"/>
  <c r="AH252" i="2"/>
  <c r="AJ252" i="2" s="1"/>
  <c r="AI5" i="2"/>
  <c r="AH5" i="2"/>
  <c r="AJ5" i="2" s="1"/>
  <c r="AI18" i="2"/>
  <c r="AH18" i="2"/>
  <c r="AJ18" i="2" s="1"/>
  <c r="AI204" i="2"/>
  <c r="AH204" i="2"/>
  <c r="AJ204" i="2" s="1"/>
  <c r="AH241" i="2"/>
  <c r="AJ241" i="2" s="1"/>
  <c r="AI241" i="2"/>
  <c r="AI76" i="2"/>
  <c r="AH76" i="2"/>
  <c r="AJ76" i="2" s="1"/>
  <c r="AH107" i="2"/>
  <c r="AJ107" i="2" s="1"/>
  <c r="AI107" i="2"/>
  <c r="AH267" i="2"/>
  <c r="AJ267" i="2" s="1"/>
  <c r="AI267" i="2"/>
  <c r="AI270" i="2"/>
  <c r="AH270" i="2"/>
  <c r="AJ270" i="2" s="1"/>
  <c r="AH113" i="2"/>
  <c r="AJ113" i="2" s="1"/>
  <c r="AI113" i="2"/>
  <c r="AI4" i="2"/>
  <c r="AH4" i="2"/>
  <c r="AJ4" i="2" s="1"/>
  <c r="AH17" i="2"/>
  <c r="AJ17" i="2" s="1"/>
  <c r="AI17" i="2"/>
  <c r="AI192" i="2"/>
  <c r="AH192" i="2"/>
  <c r="AJ192" i="2" s="1"/>
  <c r="AI67" i="2"/>
  <c r="AH67" i="2"/>
  <c r="AJ67" i="2" s="1"/>
  <c r="AH59" i="2"/>
  <c r="AJ59" i="2" s="1"/>
  <c r="AI59" i="2"/>
  <c r="AI320" i="2"/>
  <c r="AH320" i="2"/>
  <c r="AJ320" i="2" s="1"/>
  <c r="AI324" i="2"/>
  <c r="AH324" i="2"/>
  <c r="AJ324" i="2" s="1"/>
  <c r="AI224" i="2"/>
  <c r="AH224" i="2"/>
  <c r="AJ224" i="2" s="1"/>
  <c r="AH225" i="2"/>
  <c r="AJ225" i="2" s="1"/>
  <c r="AI225" i="2"/>
  <c r="AH105" i="2"/>
  <c r="AJ105" i="2" s="1"/>
  <c r="AI105" i="2"/>
  <c r="AI186" i="2"/>
  <c r="AH186" i="2"/>
  <c r="AJ186" i="2" s="1"/>
  <c r="AI34" i="2"/>
  <c r="AH34" i="2"/>
  <c r="AJ34" i="2" s="1"/>
  <c r="AI131" i="2"/>
  <c r="AI198" i="2"/>
  <c r="AI236" i="2"/>
  <c r="AI6" i="2"/>
  <c r="AI138" i="2"/>
  <c r="AI273" i="2"/>
  <c r="AH165" i="2"/>
  <c r="AJ165" i="2" s="1"/>
  <c r="AH101" i="2"/>
  <c r="AJ101" i="2" s="1"/>
  <c r="AI264" i="2"/>
  <c r="AI136" i="2"/>
  <c r="AH213" i="2"/>
  <c r="AJ213" i="2" s="1"/>
  <c r="AH149" i="2"/>
  <c r="AJ149" i="2" s="1"/>
  <c r="AH20" i="2"/>
  <c r="AJ20" i="2" s="1"/>
  <c r="AI232" i="2"/>
  <c r="AI30" i="2"/>
  <c r="AH30" i="2"/>
  <c r="AJ30" i="2" s="1"/>
  <c r="AI103" i="2"/>
  <c r="AH103" i="2"/>
  <c r="AJ103" i="2" s="1"/>
  <c r="AI316" i="2"/>
  <c r="AH316" i="2"/>
  <c r="AJ316" i="2" s="1"/>
  <c r="AI285" i="2"/>
  <c r="AH299" i="2"/>
  <c r="AJ299" i="2" s="1"/>
  <c r="AI299" i="2"/>
  <c r="AI279" i="2"/>
  <c r="AH279" i="2"/>
  <c r="AJ279" i="2" s="1"/>
  <c r="AI262" i="2"/>
  <c r="AH262" i="2"/>
  <c r="AJ262" i="2" s="1"/>
  <c r="AI28" i="2"/>
  <c r="AH28" i="2"/>
  <c r="AJ28" i="2" s="1"/>
  <c r="AI31" i="2"/>
  <c r="AH31" i="2"/>
  <c r="AJ31" i="2" s="1"/>
  <c r="AH209" i="2"/>
  <c r="AJ209" i="2" s="1"/>
  <c r="AI209" i="2"/>
  <c r="AI298" i="2"/>
  <c r="AH298" i="2"/>
  <c r="AJ298" i="2" s="1"/>
  <c r="AI306" i="2"/>
  <c r="AH306" i="2"/>
  <c r="AJ306" i="2" s="1"/>
  <c r="AH111" i="2"/>
  <c r="AJ111" i="2" s="1"/>
  <c r="AI111" i="2"/>
  <c r="AI147" i="2"/>
  <c r="AH147" i="2"/>
  <c r="AJ147" i="2" s="1"/>
  <c r="AI87" i="2"/>
  <c r="AH49" i="2"/>
  <c r="AJ49" i="2" s="1"/>
  <c r="AI49" i="2"/>
  <c r="AI116" i="2"/>
  <c r="AH116" i="2"/>
  <c r="AJ116" i="2" s="1"/>
  <c r="AH239" i="2"/>
  <c r="AJ239" i="2" s="1"/>
  <c r="AI239" i="2"/>
  <c r="AI242" i="2"/>
  <c r="AH242" i="2"/>
  <c r="AJ242" i="2" s="1"/>
  <c r="AI286" i="2"/>
  <c r="AH286" i="2"/>
  <c r="AJ286" i="2" s="1"/>
  <c r="AI52" i="2"/>
  <c r="AH52" i="2"/>
  <c r="AJ52" i="2" s="1"/>
  <c r="AH271" i="2"/>
  <c r="AJ271" i="2" s="1"/>
  <c r="AI271" i="2"/>
  <c r="AH123" i="2"/>
  <c r="AJ123" i="2" s="1"/>
  <c r="AI123" i="2"/>
  <c r="AI246" i="2"/>
  <c r="AH246" i="2"/>
  <c r="AJ246" i="2" s="1"/>
  <c r="AH233" i="2"/>
  <c r="AJ233" i="2" s="1"/>
  <c r="AI233" i="2"/>
  <c r="AI228" i="2"/>
  <c r="AH228" i="2"/>
  <c r="AJ228" i="2" s="1"/>
  <c r="AI220" i="2"/>
  <c r="AI25" i="2"/>
  <c r="AI27" i="2"/>
  <c r="AH269" i="2"/>
  <c r="AJ269" i="2" s="1"/>
  <c r="AH205" i="2"/>
  <c r="AJ205" i="2" s="1"/>
  <c r="AH141" i="2"/>
  <c r="AJ141" i="2" s="1"/>
  <c r="AH77" i="2"/>
  <c r="AJ77" i="2" s="1"/>
  <c r="AH11" i="2"/>
  <c r="AJ11" i="2" s="1"/>
  <c r="AI88" i="2"/>
  <c r="AI172" i="2"/>
  <c r="AH172" i="2"/>
  <c r="AJ172" i="2" s="1"/>
  <c r="AH283" i="2"/>
  <c r="AJ283" i="2" s="1"/>
  <c r="AI283" i="2"/>
  <c r="AI310" i="2"/>
  <c r="AH310" i="2"/>
  <c r="AJ310" i="2" s="1"/>
  <c r="AI158" i="2"/>
  <c r="AH158" i="2"/>
  <c r="AJ158" i="2" s="1"/>
  <c r="AI46" i="2"/>
  <c r="AH46" i="2"/>
  <c r="AJ46" i="2" s="1"/>
  <c r="AI42" i="2"/>
  <c r="AI215" i="2"/>
  <c r="AI80" i="2"/>
  <c r="AI43" i="2"/>
  <c r="AH325" i="2"/>
  <c r="AJ325" i="2" s="1"/>
  <c r="AH261" i="2"/>
  <c r="AJ261" i="2" s="1"/>
  <c r="AH197" i="2"/>
  <c r="AJ197" i="2" s="1"/>
  <c r="AH133" i="2"/>
  <c r="AJ133" i="2" s="1"/>
  <c r="AI328" i="2"/>
  <c r="AI200" i="2"/>
  <c r="AI72" i="2"/>
  <c r="AI44" i="2"/>
  <c r="AH44" i="2"/>
  <c r="AJ44" i="2" s="1"/>
  <c r="AI110" i="2"/>
  <c r="AH110" i="2"/>
  <c r="AJ110" i="2" s="1"/>
  <c r="AI295" i="2"/>
  <c r="AH295" i="2"/>
  <c r="AJ295" i="2" s="1"/>
  <c r="AI56" i="2"/>
  <c r="AH56" i="2"/>
  <c r="AJ56" i="2" s="1"/>
  <c r="AI58" i="2"/>
  <c r="AH58" i="2"/>
  <c r="AJ58" i="2" s="1"/>
  <c r="AI182" i="2"/>
  <c r="AH182" i="2"/>
  <c r="AJ182" i="2" s="1"/>
  <c r="AH7" i="2"/>
  <c r="AJ7" i="2" s="1"/>
  <c r="AI7" i="2"/>
  <c r="AI311" i="2"/>
  <c r="AH311" i="2"/>
  <c r="AJ311" i="2" s="1"/>
  <c r="AH257" i="2"/>
  <c r="AJ257" i="2" s="1"/>
  <c r="AI257" i="2"/>
  <c r="AH185" i="2"/>
  <c r="AJ185" i="2" s="1"/>
  <c r="AI185" i="2"/>
  <c r="AI190" i="2"/>
  <c r="AH190" i="2"/>
  <c r="AJ190" i="2" s="1"/>
  <c r="AI160" i="2"/>
  <c r="AH160" i="2"/>
  <c r="AJ160" i="2" s="1"/>
  <c r="AI323" i="2"/>
  <c r="AH323" i="2"/>
  <c r="AJ323" i="2" s="1"/>
  <c r="AI14" i="2"/>
  <c r="AH14" i="2"/>
  <c r="AJ14" i="2" s="1"/>
  <c r="AI294" i="2"/>
  <c r="AH294" i="2"/>
  <c r="AJ294" i="2" s="1"/>
  <c r="AH281" i="2"/>
  <c r="AJ281" i="2" s="1"/>
  <c r="AI281" i="2"/>
  <c r="AH35" i="2"/>
  <c r="AJ35" i="2" s="1"/>
  <c r="AI35" i="2"/>
  <c r="AH137" i="2"/>
  <c r="AJ137" i="2" s="1"/>
  <c r="AI137" i="2"/>
  <c r="AH145" i="2"/>
  <c r="AJ145" i="2" s="1"/>
  <c r="AI145" i="2"/>
  <c r="AI234" i="2"/>
  <c r="AH234" i="2"/>
  <c r="AJ234" i="2" s="1"/>
  <c r="AI66" i="2"/>
  <c r="AH66" i="2"/>
  <c r="AJ66" i="2" s="1"/>
  <c r="AI70" i="2"/>
  <c r="AH70" i="2"/>
  <c r="AJ70" i="2" s="1"/>
  <c r="AI24" i="2"/>
  <c r="AH24" i="2"/>
  <c r="AJ24" i="2" s="1"/>
  <c r="AI21" i="2"/>
  <c r="AH21" i="2"/>
  <c r="AJ21" i="2" s="1"/>
  <c r="AI41" i="2"/>
  <c r="AH41" i="2"/>
  <c r="AJ41" i="2" s="1"/>
  <c r="AI55" i="2"/>
  <c r="AH55" i="2"/>
  <c r="AJ55" i="2" s="1"/>
  <c r="AI307" i="2"/>
  <c r="AH307" i="2"/>
  <c r="AJ307" i="2" s="1"/>
  <c r="AH79" i="2"/>
  <c r="AJ79" i="2" s="1"/>
  <c r="AI79" i="2"/>
  <c r="AH191" i="2"/>
  <c r="AJ191" i="2" s="1"/>
  <c r="AI191" i="2"/>
  <c r="AI187" i="2"/>
  <c r="AI265" i="2"/>
  <c r="AI207" i="2"/>
  <c r="AI322" i="2"/>
  <c r="AH322" i="2"/>
  <c r="AJ322" i="2" s="1"/>
  <c r="AI163" i="2"/>
  <c r="AH163" i="2"/>
  <c r="AJ163" i="2" s="1"/>
  <c r="AI54" i="2"/>
  <c r="AH54" i="2"/>
  <c r="AJ54" i="2" s="1"/>
  <c r="AH159" i="2"/>
  <c r="AJ159" i="2" s="1"/>
  <c r="AI159" i="2"/>
  <c r="AI284" i="2"/>
  <c r="AH284" i="2"/>
  <c r="AJ284" i="2" s="1"/>
  <c r="AI40" i="2"/>
  <c r="AI95" i="2"/>
  <c r="AI2" i="2"/>
  <c r="AH317" i="2"/>
  <c r="AJ317" i="2" s="1"/>
  <c r="AH253" i="2"/>
  <c r="AJ253" i="2" s="1"/>
  <c r="AH189" i="2"/>
  <c r="AJ189" i="2" s="1"/>
  <c r="AH125" i="2"/>
  <c r="AJ125" i="2" s="1"/>
  <c r="AH61" i="2"/>
  <c r="AJ61" i="2" s="1"/>
  <c r="AI312" i="2"/>
  <c r="AH23" i="2"/>
  <c r="AJ23" i="2" s="1"/>
  <c r="AI23" i="2"/>
  <c r="AH121" i="2"/>
  <c r="AJ121" i="2" s="1"/>
  <c r="AI121" i="2"/>
  <c r="AI50" i="2"/>
  <c r="AH50" i="2"/>
  <c r="AJ50" i="2" s="1"/>
  <c r="AH169" i="2"/>
  <c r="AJ169" i="2" s="1"/>
  <c r="AI169" i="2"/>
  <c r="AI288" i="2"/>
  <c r="AH288" i="2"/>
  <c r="AJ288" i="2" s="1"/>
  <c r="AI268" i="2"/>
  <c r="AH268" i="2"/>
  <c r="AJ268" i="2" s="1"/>
  <c r="AI212" i="2"/>
  <c r="AH212" i="2"/>
  <c r="AJ212" i="2" s="1"/>
  <c r="AI96" i="2"/>
  <c r="AH96" i="2"/>
  <c r="AJ96" i="2" s="1"/>
  <c r="AI183" i="2"/>
  <c r="AH183" i="2"/>
  <c r="AJ183" i="2" s="1"/>
  <c r="AH219" i="2"/>
  <c r="AJ219" i="2" s="1"/>
  <c r="AI219" i="2"/>
  <c r="AH217" i="2"/>
  <c r="AJ217" i="2" s="1"/>
  <c r="AI217" i="2"/>
  <c r="AH319" i="2"/>
  <c r="AJ319" i="2" s="1"/>
  <c r="AI319" i="2"/>
  <c r="AH305" i="2"/>
  <c r="AJ305" i="2" s="1"/>
  <c r="AI305" i="2"/>
  <c r="AI115" i="2"/>
  <c r="AH115" i="2"/>
  <c r="AJ115" i="2" s="1"/>
  <c r="AH249" i="2"/>
  <c r="AJ249" i="2" s="1"/>
  <c r="AI249" i="2"/>
  <c r="AI318" i="2"/>
  <c r="AH318" i="2"/>
  <c r="AJ318" i="2" s="1"/>
  <c r="AH201" i="2"/>
  <c r="AJ201" i="2" s="1"/>
  <c r="AI201" i="2"/>
  <c r="AI302" i="2"/>
  <c r="AH302" i="2"/>
  <c r="AJ302" i="2" s="1"/>
  <c r="AI276" i="2"/>
  <c r="AH276" i="2"/>
  <c r="AJ276" i="2" s="1"/>
  <c r="AI272" i="2"/>
  <c r="AH272" i="2"/>
  <c r="AJ272" i="2" s="1"/>
  <c r="AI112" i="2"/>
  <c r="AH112" i="2"/>
  <c r="AJ112" i="2" s="1"/>
  <c r="AH251" i="2"/>
  <c r="AJ251" i="2" s="1"/>
  <c r="AI251" i="2"/>
  <c r="AI86" i="2"/>
  <c r="AH86" i="2"/>
  <c r="AJ86" i="2" s="1"/>
  <c r="AI188" i="2"/>
  <c r="AH188" i="2"/>
  <c r="AJ188" i="2" s="1"/>
  <c r="AI13" i="2"/>
  <c r="AH13" i="2"/>
  <c r="AJ13" i="2" s="1"/>
  <c r="AI166" i="2"/>
  <c r="AH166" i="2"/>
  <c r="AJ166" i="2" s="1"/>
  <c r="AH3" i="2"/>
  <c r="AJ3" i="2" s="1"/>
  <c r="AI3" i="2"/>
  <c r="AI122" i="2"/>
  <c r="AI227" i="2"/>
  <c r="AI156" i="2"/>
  <c r="AI199" i="2"/>
  <c r="AI97" i="2"/>
  <c r="AI64" i="2"/>
  <c r="AH309" i="2"/>
  <c r="AJ309" i="2" s="1"/>
  <c r="AH245" i="2"/>
  <c r="AJ245" i="2" s="1"/>
  <c r="AH181" i="2"/>
  <c r="AJ181" i="2" s="1"/>
  <c r="AH117" i="2"/>
  <c r="AJ117" i="2" s="1"/>
  <c r="AI32" i="2"/>
  <c r="AI12" i="2"/>
  <c r="AI108" i="2"/>
  <c r="AI68" i="2"/>
  <c r="AI38" i="2"/>
  <c r="AH15" i="2"/>
  <c r="AJ15" i="2" s="1"/>
  <c r="AI15" i="2"/>
  <c r="AI278" i="2"/>
  <c r="AI37" i="2"/>
  <c r="AI62" i="2"/>
  <c r="AI36" i="2"/>
  <c r="AI47" i="2"/>
  <c r="AI60" i="2"/>
  <c r="AH304" i="2"/>
  <c r="AJ304" i="2" s="1"/>
  <c r="AH256" i="2"/>
  <c r="AJ256" i="2" s="1"/>
  <c r="AH240" i="2"/>
  <c r="AJ240" i="2" s="1"/>
  <c r="AH176" i="2"/>
  <c r="AJ176" i="2" s="1"/>
  <c r="AH144" i="2"/>
  <c r="AJ144" i="2" s="1"/>
  <c r="AI303" i="2"/>
  <c r="AI223" i="2"/>
  <c r="AI175" i="2"/>
  <c r="AI143" i="2"/>
  <c r="AH327" i="2"/>
  <c r="AJ327" i="2" s="1"/>
  <c r="AH263" i="2"/>
  <c r="AJ263" i="2" s="1"/>
  <c r="AH231" i="2"/>
  <c r="AJ231" i="2" s="1"/>
  <c r="AH119" i="2"/>
  <c r="AJ119" i="2" s="1"/>
  <c r="AI171" i="2"/>
  <c r="AI155" i="2"/>
  <c r="AI91" i="2"/>
  <c r="AI75" i="2"/>
  <c r="AI57" i="2"/>
  <c r="AI16" i="2"/>
  <c r="AH206" i="2"/>
  <c r="AJ206" i="2" s="1"/>
  <c r="AH118" i="2"/>
  <c r="AJ118" i="2" s="1"/>
  <c r="AH94" i="2"/>
  <c r="AJ94" i="2" s="1"/>
  <c r="AI89" i="2"/>
  <c r="AI73" i="2"/>
  <c r="AI33" i="2"/>
  <c r="AH308" i="2"/>
  <c r="AJ308" i="2" s="1"/>
  <c r="AH300" i="2"/>
  <c r="AJ300" i="2" s="1"/>
  <c r="AH196" i="2"/>
  <c r="AJ196" i="2" s="1"/>
  <c r="AH180" i="2"/>
  <c r="AJ180" i="2" s="1"/>
  <c r="AH164" i="2"/>
  <c r="AJ164" i="2" s="1"/>
  <c r="AH148" i="2"/>
  <c r="AJ148" i="2" s="1"/>
  <c r="AH100" i="2"/>
  <c r="AJ100" i="2" s="1"/>
  <c r="AH291" i="2"/>
  <c r="AJ291" i="2" s="1"/>
  <c r="AH243" i="2"/>
  <c r="AJ243" i="2" s="1"/>
  <c r="AH195" i="2"/>
  <c r="AJ195" i="2" s="1"/>
  <c r="AH99" i="2"/>
  <c r="AJ99" i="2" s="1"/>
  <c r="AH83" i="2"/>
  <c r="AJ83" i="2" s="1"/>
  <c r="AH314" i="2"/>
  <c r="AJ314" i="2" s="1"/>
  <c r="AH290" i="2"/>
  <c r="AJ290" i="2" s="1"/>
  <c r="AH266" i="2"/>
  <c r="AJ266" i="2" s="1"/>
  <c r="AH250" i="2"/>
  <c r="AJ250" i="2" s="1"/>
  <c r="AH226" i="2"/>
  <c r="AJ226" i="2" s="1"/>
  <c r="AH194" i="2"/>
  <c r="AJ194" i="2" s="1"/>
  <c r="AH178" i="2"/>
  <c r="AJ178" i="2" s="1"/>
  <c r="AH154" i="2"/>
  <c r="AJ154" i="2" s="1"/>
  <c r="AH90" i="2"/>
  <c r="AJ90" i="2" s="1"/>
  <c r="AH82" i="2"/>
  <c r="AJ82" i="2" s="1"/>
  <c r="AH74" i="2"/>
  <c r="AJ74" i="2" s="1"/>
  <c r="AH26" i="2"/>
  <c r="AJ26" i="2" s="1"/>
  <c r="AI193" i="2"/>
  <c r="AI177" i="2"/>
  <c r="AI129" i="2"/>
  <c r="AI81" i="2"/>
  <c r="AI142" i="2"/>
  <c r="AI106" i="2"/>
  <c r="AI84" i="2"/>
  <c r="AI150" i="2"/>
</calcChain>
</file>

<file path=xl/sharedStrings.xml><?xml version="1.0" encoding="utf-8"?>
<sst xmlns="http://schemas.openxmlformats.org/spreadsheetml/2006/main" count="77063" uniqueCount="10047">
  <si>
    <t>SolvInjury ID</t>
  </si>
  <si>
    <t>Claim Number</t>
  </si>
  <si>
    <t>Mental Injury</t>
  </si>
  <si>
    <t>Employee ID</t>
  </si>
  <si>
    <t>Name</t>
  </si>
  <si>
    <t>Date of Injury</t>
  </si>
  <si>
    <t>Time of Injury</t>
  </si>
  <si>
    <t>Policy</t>
  </si>
  <si>
    <t>Site</t>
  </si>
  <si>
    <t>Injury Description</t>
  </si>
  <si>
    <t>Incident Description</t>
  </si>
  <si>
    <t>Injury Type</t>
  </si>
  <si>
    <t>Liability Status</t>
  </si>
  <si>
    <t>Current Capacity</t>
  </si>
  <si>
    <t>Open/Closed</t>
  </si>
  <si>
    <t>Days Lost</t>
  </si>
  <si>
    <t>Worksafe Notified</t>
  </si>
  <si>
    <t>Injury Outcome</t>
  </si>
  <si>
    <t>Nature of Injury</t>
  </si>
  <si>
    <t>Bodily Location</t>
  </si>
  <si>
    <t>Mechanism</t>
  </si>
  <si>
    <t>Sub Mechanism</t>
  </si>
  <si>
    <t>Agency</t>
  </si>
  <si>
    <t>Equipment</t>
  </si>
  <si>
    <t>Closure Rate</t>
  </si>
  <si>
    <t>Fiscal Month</t>
  </si>
  <si>
    <t>Fiscal Quarter</t>
  </si>
  <si>
    <t>Outcome Code</t>
  </si>
  <si>
    <t>Claim</t>
  </si>
  <si>
    <t>Claim Status</t>
  </si>
  <si>
    <t>MOI</t>
  </si>
  <si>
    <t>Company on Policy</t>
  </si>
  <si>
    <t>State</t>
  </si>
  <si>
    <t>Class 3</t>
  </si>
  <si>
    <t>Company</t>
  </si>
  <si>
    <t>Region</t>
  </si>
  <si>
    <t>Grouping Level 1</t>
  </si>
  <si>
    <t>Grouping Level 2</t>
  </si>
  <si>
    <t>SRG-INJ-3559</t>
  </si>
  <si>
    <t>No</t>
  </si>
  <si>
    <t>HS325628</t>
  </si>
  <si>
    <t>LEA, CATHERINE</t>
  </si>
  <si>
    <t>Harris Scarfe SA</t>
  </si>
  <si>
    <t>Elizabeth</t>
  </si>
  <si>
    <t>Right knee hit the ground and caused pain slight swelling and slight bruising</t>
  </si>
  <si>
    <t>Catherine was kneeling on the floor and went to get up and stumbled and feel back on to her knee</t>
  </si>
  <si>
    <t>Injury</t>
  </si>
  <si>
    <t>No Assessment</t>
  </si>
  <si>
    <t>Closed</t>
  </si>
  <si>
    <t>First Aid Injury</t>
  </si>
  <si>
    <t>Contusion, bruising and superficial crushing</t>
  </si>
  <si>
    <t>Knee</t>
  </si>
  <si>
    <t>Body Stressing</t>
  </si>
  <si>
    <t>Muscular stress while lifting, carrying, or putting down objects</t>
  </si>
  <si>
    <t>Human agencies</t>
  </si>
  <si>
    <t>SRG-INJ-3517</t>
  </si>
  <si>
    <t>HS330972</t>
  </si>
  <si>
    <t>TURPIN, AIMEE</t>
  </si>
  <si>
    <t>Face and chest area</t>
  </si>
  <si>
    <t>At 1.15pm Saturday 29/3/2025 Aimee Turpin while performing her role  as Register team member experienced verbal and physical abuse by a male Customer regarding a price check. Male customer during the interaction spat at the team member.</t>
  </si>
  <si>
    <t>Open</t>
  </si>
  <si>
    <t>Not Applicable</t>
  </si>
  <si>
    <t>Trunk - multiple locations</t>
  </si>
  <si>
    <t>Being Hit By Moving Objects</t>
  </si>
  <si>
    <t>Being assaulted by a person or persons</t>
  </si>
  <si>
    <t>SRG-INJ-2046</t>
  </si>
  <si>
    <t>HS296943</t>
  </si>
  <si>
    <t>PENFOLD, ALANA</t>
  </si>
  <si>
    <t>rh Little finger</t>
  </si>
  <si>
    <t>Alana was closing a postal cage and the latch sprang back catching her RH baby finger causing laceration and bleeding</t>
  </si>
  <si>
    <t>Laceration or open wound not involving traumatic amputation</t>
  </si>
  <si>
    <t>Hand, finger and thumb</t>
  </si>
  <si>
    <t>Hitting Objects With a Part of the Body</t>
  </si>
  <si>
    <t>Hitting stationary objects</t>
  </si>
  <si>
    <t>SRG-INJ-1899</t>
  </si>
  <si>
    <t>HS325800</t>
  </si>
  <si>
    <t>THOMAS, LAUREN</t>
  </si>
  <si>
    <t>Right eye stining</t>
  </si>
  <si>
    <t>Lauren was using hand sanitizer when the dispenser sprayed  out into her eye. She rinsed her eye with water several times until it felt better. The sanitiser was placed away with a do not use sign on it</t>
  </si>
  <si>
    <t>Foreign body on external eye, in ear or nose or in respiratory, digestive or reproductive tract</t>
  </si>
  <si>
    <t>Eye</t>
  </si>
  <si>
    <t>Chemicals and Other Substances</t>
  </si>
  <si>
    <t>Single contact with chemical or substance</t>
  </si>
  <si>
    <t>Other substances</t>
  </si>
  <si>
    <t>SRG-INJ-1849</t>
  </si>
  <si>
    <t>HS327134</t>
  </si>
  <si>
    <t>MITCHELL, ANGELA</t>
  </si>
  <si>
    <t>Hit head on corner of wall. Has a little bump but not feeling dizzy or sick.</t>
  </si>
  <si>
    <t>Angela was bending down to put stock away and bumped her head on the corner of the wall when she got up. Angela left early but not related to this. She was not feeling well in the morning.</t>
  </si>
  <si>
    <t>Residual soft tissue disorders due to trauma or unknown mechanisms</t>
  </si>
  <si>
    <t>Head - unspecified locations</t>
  </si>
  <si>
    <t>SRG-INJ-3050</t>
  </si>
  <si>
    <t>HS286411</t>
  </si>
  <si>
    <t>WHITE, PALOMA</t>
  </si>
  <si>
    <t>West Lakes</t>
  </si>
  <si>
    <t>left thumb, under nail and the nail.</t>
  </si>
  <si>
    <t>I was moving a Tri Set fixture out of the way and the hinge broke and it collapsed, trapping my left thumb in the hinge, cutting my thumb deep under my nail and cutting the nail.</t>
  </si>
  <si>
    <t>Hitting moving objects</t>
  </si>
  <si>
    <t>Other materials and objects</t>
  </si>
  <si>
    <t>SRG-INJ-3011</t>
  </si>
  <si>
    <t>HS185531</t>
  </si>
  <si>
    <t>ANDREACCHIO, JOSEPH</t>
  </si>
  <si>
    <t>cut</t>
  </si>
  <si>
    <t>Joe is our Dock Person.  There was an open box of broken plates on his desk, Joe went to grab them, however one of the broken plates was upright and he cut his left index finger on the sharp edges.</t>
  </si>
  <si>
    <t>SRG-INJ-2956</t>
  </si>
  <si>
    <t>Right foot, inside, big toe.</t>
  </si>
  <si>
    <t>Joe was moving cast iron from a pallet and as he placed it down, the cast iron slipped and landed on his Right foot, near the big toe/ball of foot joint</t>
  </si>
  <si>
    <t>Foot and toes</t>
  </si>
  <si>
    <t>Being hit by falling objects</t>
  </si>
  <si>
    <t>SRG-INJ-2820</t>
  </si>
  <si>
    <t>HS335067</t>
  </si>
  <si>
    <t>HASTINGS, KHALEN</t>
  </si>
  <si>
    <t>Muscular strain in chest</t>
  </si>
  <si>
    <t>Not sure if it was a work related injury. Khalen has been working on refilling this dept. Filling microwaves and air fryers. He also stated that he had also been doing heavy lifting at home</t>
  </si>
  <si>
    <t>Medical Treatment Injury</t>
  </si>
  <si>
    <t>Trauma to muscles and tendons</t>
  </si>
  <si>
    <t>Chest (thorax)</t>
  </si>
  <si>
    <t>SRG-INJ-2788</t>
  </si>
  <si>
    <t>HS190888</t>
  </si>
  <si>
    <t>WATSON, DENA</t>
  </si>
  <si>
    <t>Bruised Right elbow and knee.</t>
  </si>
  <si>
    <t>Dena was filling the frypan wall, standing on the ground.  She turned around to her left and didn't see the safety step and kicked into the step, lost her balance and fell over.</t>
  </si>
  <si>
    <t>Other specified multiple locations</t>
  </si>
  <si>
    <t>Falls, Trips and Slips of a Person</t>
  </si>
  <si>
    <t>Falls on the same level</t>
  </si>
  <si>
    <t>SRG-INJ-2777</t>
  </si>
  <si>
    <t>HS328739</t>
  </si>
  <si>
    <t>LOLLER, JESSICA</t>
  </si>
  <si>
    <t>Jess was tidying up the front counters. she was tearing up an empty box to do the rubbish and it cut her Left index finger</t>
  </si>
  <si>
    <t>SRG-INJ-2718</t>
  </si>
  <si>
    <t>HS295782</t>
  </si>
  <si>
    <t>TRIULCIO, VINCENZO</t>
  </si>
  <si>
    <t>Right big toe.</t>
  </si>
  <si>
    <t>Vincenzo went on break at 3.00 and came back at 3.30, when he got up from his seat his right big toe started hurting.  Not sure how he did it, can't but he is unable to put pressure on the top half of his foot and was walking on the back of his heel.</t>
  </si>
  <si>
    <t>Unspecified injuries</t>
  </si>
  <si>
    <t>Muscular stress with no objects being handled</t>
  </si>
  <si>
    <t>Other and not specified agencies</t>
  </si>
  <si>
    <t>SRG-INJ-2691</t>
  </si>
  <si>
    <t>right ankle/achilles</t>
  </si>
  <si>
    <t>Joe was unpacking a pallet, pulled a box off the pallet.  When he turned around a cast iron box fell of the pallet and hit him on the ankle/achilles. causing a minor laceration/graze,</t>
  </si>
  <si>
    <t>Ankle</t>
  </si>
  <si>
    <t>SRG-INJ-2588</t>
  </si>
  <si>
    <t>58563713/00</t>
  </si>
  <si>
    <t>HS406544</t>
  </si>
  <si>
    <t>BUFO, MARIA</t>
  </si>
  <si>
    <t>Mid to lower right hand side of back.feels like muscle strain.</t>
  </si>
  <si>
    <t>Teresa was putting stock out and slipped on a piece of paper on the floor.</t>
  </si>
  <si>
    <t>Accepted Claim (MEO)</t>
  </si>
  <si>
    <t>Back-Upper and lower</t>
  </si>
  <si>
    <t>Stepping, kneeling or sitting on objects</t>
  </si>
  <si>
    <t>SRG-INJ-2541</t>
  </si>
  <si>
    <t>58519959/00</t>
  </si>
  <si>
    <t>HS291457</t>
  </si>
  <si>
    <t>ALLEN, SUSAN</t>
  </si>
  <si>
    <t>"was there an incident at work?"  and stated, "well, you know, lifting things at work."</t>
  </si>
  <si>
    <t>Sue cannot define if there was actually an incident that occurred. Her statement was '"well, you know, lifting things at work." Sue did see a doctor and Physio. At the time, Sue took personal leave to see a doctor then a physio. Doctors cert and Work capacity forms were given to Teresa (manager). Often staff just place things on the desk without communicating, and they get missed.</t>
  </si>
  <si>
    <t>Permanently Restricted</t>
  </si>
  <si>
    <t>SRG-INJ-1797</t>
  </si>
  <si>
    <t>HS297052</t>
  </si>
  <si>
    <t>RAWLEY, DELWEN</t>
  </si>
  <si>
    <t>Right foot hit rack, Outside of foot</t>
  </si>
  <si>
    <t>Del turned and hit a stationary Z rail (tall style) with her Right Foot. her shoe flew off and she has bruised her foot.  she doesn't believe she has twisted it, but there is bruising and swelling</t>
  </si>
  <si>
    <t>SRG-INJ-1714</t>
  </si>
  <si>
    <t>Face, nose</t>
  </si>
  <si>
    <t>I was loading a trolley with some stock that was on the ground.  As I turned to put the stock on the trolley, I hit my face on the pallet jack handle.  Knocked my glasses off my face and caused a blood nose.</t>
  </si>
  <si>
    <t>Face, not elsewhere classified</t>
  </si>
  <si>
    <t>SRG-INJ-3001</t>
  </si>
  <si>
    <t>59715533/00</t>
  </si>
  <si>
    <t>HS327986</t>
  </si>
  <si>
    <t>D'ALOIA, AMY</t>
  </si>
  <si>
    <t>Tea Tree Plaza</t>
  </si>
  <si>
    <t>right side of arm/shoulder</t>
  </si>
  <si>
    <t>Amy and i were stacking the xmas excess stock in the reserve and a box landed on Amy shoulder / arm. it wasn't  a heavy box but she flinched when it landed on her</t>
  </si>
  <si>
    <t>Invalid Claim</t>
  </si>
  <si>
    <t>Fit</t>
  </si>
  <si>
    <t>Shoulder</t>
  </si>
  <si>
    <t>Boxes</t>
  </si>
  <si>
    <t>SRG-INJ-2628</t>
  </si>
  <si>
    <t>58725357/00</t>
  </si>
  <si>
    <t>HS294934</t>
  </si>
  <si>
    <t>FABIAN, JOSEPH</t>
  </si>
  <si>
    <t>Right shoulder</t>
  </si>
  <si>
    <t>throughout the day unpacking and stacking boxes/cartons,some cartons of substantial weight being lifted above head height .so obviously somewhere during the day i have over used my shoulder and felt a lot of pain. i knew something did not feel right.</t>
  </si>
  <si>
    <t>Accepted Claim</t>
  </si>
  <si>
    <t>Lost Time Injury</t>
  </si>
  <si>
    <t>SRG-INJ-2355</t>
  </si>
  <si>
    <t>58568892/00</t>
  </si>
  <si>
    <t>HS294329</t>
  </si>
  <si>
    <t>CRAM, DUNCAN</t>
  </si>
  <si>
    <t>Grazed and sore knee</t>
  </si>
  <si>
    <t>Employee arrived to work and was walking through the barked area to reach our loading dock and stepped onto a drain. The drain was loose and it collapsed in which caused the employee to fall into the drain, hurting his knee on the way down.</t>
  </si>
  <si>
    <t>Restricted Duties</t>
  </si>
  <si>
    <t>Falls from a height</t>
  </si>
  <si>
    <t>SRG-INJ-2304</t>
  </si>
  <si>
    <t>HS256544</t>
  </si>
  <si>
    <t>MENGOD, VANESSA</t>
  </si>
  <si>
    <t>left big toe - swollen and bruised</t>
  </si>
  <si>
    <t>Vanessa was taking cardboard out to the bin outside. she put the trolley onto the lift outside and went to flip down the right hand side of the metal plate and she misjudged the distance so it landed on her left big toe . she went to dr after it is not broken just swollen and bruised</t>
  </si>
  <si>
    <t>Being hit by moving objects</t>
  </si>
  <si>
    <t>SRG-INJ-2169</t>
  </si>
  <si>
    <t>HS297607</t>
  </si>
  <si>
    <t>RICHARDS, JULIE</t>
  </si>
  <si>
    <t>right side of face came out red and will likely bruise, right knee hurts and was bleedding a little and both  hands where she tried to stop herself</t>
  </si>
  <si>
    <t>julie fell over the curb and tried to stop herself from falling but landed on her knee and face. she was picked up by her husband and taking to hospital to get her knee checked out as its hurting. we put a cold pack on her face and knee till he arrived</t>
  </si>
  <si>
    <t>Multiple injuries</t>
  </si>
  <si>
    <t>SRG-INJ-2066</t>
  </si>
  <si>
    <t>HS297369</t>
  </si>
  <si>
    <t>MARINO, ANGELA</t>
  </si>
  <si>
    <t>Whyalla</t>
  </si>
  <si>
    <t>Cut on Left thumb</t>
  </si>
  <si>
    <t>Team member Angela Marino, cut Left Thumb on Klever Knife while working apparel stock.</t>
  </si>
  <si>
    <t>Knives</t>
  </si>
  <si>
    <t>SRG-INJ-3446</t>
  </si>
  <si>
    <t>HS318058</t>
  </si>
  <si>
    <t>EIFFE, TRACEY</t>
  </si>
  <si>
    <t>Marion</t>
  </si>
  <si>
    <t>small cut to the bridge of her nose</t>
  </si>
  <si>
    <t>Tracey was taking some shoes out of the gondola when 5 of the shoe boxes fell towards her and the corner of the box hit her in the face causing a small cut to the bridge of her nose.</t>
  </si>
  <si>
    <t>Nose</t>
  </si>
  <si>
    <t>SRG-INJ-3335</t>
  </si>
  <si>
    <t>HS406820</t>
  </si>
  <si>
    <t>HUNTER, SARAH</t>
  </si>
  <si>
    <t>bruising and swelling</t>
  </si>
  <si>
    <t>As I was going home on the bus, my left shin felt really tight and sore.When I got home I iced my leg and today it is swollen and bruised. I don't remember any incident during the day other than when I had to kneel down to get a torn piece of paper out of the bottom paper tray of the photo copier and I felt some pain in my knees.</t>
  </si>
  <si>
    <t>Lower leg</t>
  </si>
  <si>
    <t>Vehicle Incidents and Other</t>
  </si>
  <si>
    <t>Unspecified mechanisms of incident</t>
  </si>
  <si>
    <t>SRG-INJ-3049</t>
  </si>
  <si>
    <t>rednedd and a bruise</t>
  </si>
  <si>
    <t>Sarah Hunter was getting a 3.5lt air fryer off the back wall for a click and collect. The airfryer was sitting behind a A3 Global ticket and when Sarah lifted the perspex ticket the whole arm came away causing the persepex ticket to fall forward and hit her on the left eyebrow. This caused some redness and a small bruise.</t>
  </si>
  <si>
    <t>SRG-INJ-2942</t>
  </si>
  <si>
    <t>HS333696</t>
  </si>
  <si>
    <t>SHILLING, HEATHER</t>
  </si>
  <si>
    <t>cut to Heather's right ring finger next to the quick</t>
  </si>
  <si>
    <t>Heather was screwing a bar into place on a 4 way rack when her hand slipped. This resulted in a scratch to the nail quick on the side of her ring finger causing it to bleed. Heather came and got a band aid to apply to her finger.</t>
  </si>
  <si>
    <t>SRG-INJ-2774</t>
  </si>
  <si>
    <t>HS318097</t>
  </si>
  <si>
    <t>JOHNSON, JANE</t>
  </si>
  <si>
    <t>small cut on her thumb</t>
  </si>
  <si>
    <t>Jane was unboxing a Wiltshire dish drainer when a stack slipped through her hand and cut her left thumb. She's not sure what she cut her finger on exactly (product or cardboard box) but it did bleed a bit. She was feeling a little bit woozy about it, so she sat down for a little bit. She returned back to work after a few minutes.</t>
  </si>
  <si>
    <t>SRG-INJ-2717</t>
  </si>
  <si>
    <t>HS281818</t>
  </si>
  <si>
    <t>ZOUNIS, CHRISTINE</t>
  </si>
  <si>
    <t>right knee</t>
  </si>
  <si>
    <t>Christine was walking up to the registers when she thinks she slightly twisted her knee causing pain to the inside of her right knee. She sat down in the lunch room and took a pain killer. After about 15 minutes of resting she felt well enough to go back to work.</t>
  </si>
  <si>
    <t>SRG-INJ-2693</t>
  </si>
  <si>
    <t>HS295859</t>
  </si>
  <si>
    <t>STANTON, LISA</t>
  </si>
  <si>
    <t>Scraped the back of her hand on the sharp underside of the shelf</t>
  </si>
  <si>
    <t>Lisa was filling shoes when the back of her hand scraped the sharp underside of the footwear shelf. She sustained a small cut on the back of her right hand. She swabbed and dressed the wound herself.</t>
  </si>
  <si>
    <t>SRG-INJ-2686</t>
  </si>
  <si>
    <t>HS288317</t>
  </si>
  <si>
    <t>ROE, BENJAMIN</t>
  </si>
  <si>
    <t>Left shoulder (top)</t>
  </si>
  <si>
    <t>Ben was emptying the cardboard compactor. Part of the process requires the door to be held closed while it is sealed using the wheel (see second image). When Ben released the door after sealing it, he felt a sharp pain at the apex of his shoulder.</t>
  </si>
  <si>
    <t>Muscular stress while handling objects other than lifting, carrying or putting down</t>
  </si>
  <si>
    <t>SRG-INJ-2624</t>
  </si>
  <si>
    <t>HS293815</t>
  </si>
  <si>
    <t>FROST, ANGELA</t>
  </si>
  <si>
    <t>Left hand was squished as Angela was pulling a trolley through the isle way. The  index and middle finger knuckles are quite red and sore, looks like it is starting to bruise. We have iced it.</t>
  </si>
  <si>
    <t>Angela was pulling a trolley between a pillar and an electrical table when she squished her hand between the trolley and the pillar.</t>
  </si>
  <si>
    <t>SRG-INJ-2544</t>
  </si>
  <si>
    <t>HS325837</t>
  </si>
  <si>
    <t>INCE, HOLLY</t>
  </si>
  <si>
    <t>No Injury</t>
  </si>
  <si>
    <t>Holly was standing on the door this morning when a middle ages man approached her. He was asking her question like where she lived, where she went to school, how long she had been working here and her age. This made her feel really uncomfortable and unable to go back onto the door. .</t>
  </si>
  <si>
    <t>Reaction to stressors - other, multiple or not specified</t>
  </si>
  <si>
    <t>Mental Stress</t>
  </si>
  <si>
    <t>Other mental stress factors</t>
  </si>
  <si>
    <t>SRG-INJ-2494</t>
  </si>
  <si>
    <t>HS221414</t>
  </si>
  <si>
    <t>STRENG, JACQUELINE</t>
  </si>
  <si>
    <t>Laceration right index finger</t>
  </si>
  <si>
    <t>Jackie was placing a broken ceramic pot in the box we use for damaged stock. The pot slipped and she cut her right index finger &lt;5mm long.</t>
  </si>
  <si>
    <t>SRG-INJ-2405</t>
  </si>
  <si>
    <t>Left thumb to left elbow "twang"</t>
  </si>
  <si>
    <t>Ben was processing pallets. Lifted a carton of cast iron braisers onto a trolley at waist height, then moved to reposition two units on top of the stack with his left hand. When moving the stock, Ben felt a "twang" from his left thumb, up his left forearm to his left elbow. He did not experience any pain and his hand, wrist and arm felt normal afterwards.</t>
  </si>
  <si>
    <t>SRG-INJ-2392</t>
  </si>
  <si>
    <t>HS406376</t>
  </si>
  <si>
    <t>MERCURIO, ROMANO</t>
  </si>
  <si>
    <t>sharp pain in upper left buttock, tingling down in left foot</t>
  </si>
  <si>
    <t>Sharp pain on the bottom left hand side of back, Romano was dragging a box of pillows, went to put his left foot forward and got a sharp pain in his back that area and his leg is tingling. When he sits down and stands back up he is struggling to put weight on his left leg. Noticed a little bit of tenderness on Sunday when working Manchester pallets.</t>
  </si>
  <si>
    <t>Lower limb - Unspecified locations</t>
  </si>
  <si>
    <t>SRG-INJ-2368</t>
  </si>
  <si>
    <t>HS328743</t>
  </si>
  <si>
    <t>CORKHILL, CATRINA</t>
  </si>
  <si>
    <t>Ran over foot with apparel rail</t>
  </si>
  <si>
    <t>Catrina was pulling a rail of stock in menswear. She pulled the rail too far and ran over her foot with the rail.</t>
  </si>
  <si>
    <t>SRG-INJ-2342</t>
  </si>
  <si>
    <t>HS283771</t>
  </si>
  <si>
    <t>HENDY, KATE</t>
  </si>
  <si>
    <t>Strained finger</t>
  </si>
  <si>
    <t>Kate was pulling out a bag and her right ring finger got caught/ squished. She has constant pain her her finger and a line from her finger to her elbow. She iced the injured finger.</t>
  </si>
  <si>
    <t>SRG-INJ-2320</t>
  </si>
  <si>
    <t>HS293338</t>
  </si>
  <si>
    <t>SMITH, KIEREN</t>
  </si>
  <si>
    <t>Right side hand/palm, right side wrist, right shoulder, right back, and right buttock.</t>
  </si>
  <si>
    <t>Kieren was pulling a loaded pallet through the lower dock when the wheel became stuck on an uneven lip in the floor. Instead of rolling up and over the lip, the pallet stopped hard. Kieren's forward momentum was stopped and his right wrist, hand, shoulder, back and buttock were all jarred.</t>
  </si>
  <si>
    <t>SRG-INJ-2315</t>
  </si>
  <si>
    <t>Slight bruising to left forearm and soreness on left side of the body</t>
  </si>
  <si>
    <t>I was up a ladder bringing down one of the 3/4 posters off the side wall in JC Lanyon.  When I came back down the ladder holding the sign, I missed the bottom step and fell off the ladder and sideways on to the floor landing on the left side of my body. I didn't feel any pain at the time but I have some bruises on my left forearm and some soreness in my left shoulder.</t>
  </si>
  <si>
    <t>Upper limb - multiple locations</t>
  </si>
  <si>
    <t>Ladder</t>
  </si>
  <si>
    <t>SRG-INJ-2317</t>
  </si>
  <si>
    <t>Right next to left eye</t>
  </si>
  <si>
    <t>Angela was bending down to retrieve a product on a low shelf when she hit the side of her eye on a cast iron fry pan. A customer had turned the handle facing out instead of in so it was protruding out,</t>
  </si>
  <si>
    <t>SRG-INJ-2246</t>
  </si>
  <si>
    <t>Small cut on the palm of his hand</t>
  </si>
  <si>
    <t>When Keiren was unpacking pallets there was some broken china that had fallen out of a box, he cut his left palm on the broken shards.</t>
  </si>
  <si>
    <t>SRG-INJ-2249</t>
  </si>
  <si>
    <t>Knock to her left shoulder</t>
  </si>
  <si>
    <t>Staff member (Angela Frost) was pulling out saucepans from the end of the gondola, when she turned to put the stock on a nearby trolley she caught her left shoulder on the edge of the gondola. This resulted in some soreness and a red mark.</t>
  </si>
  <si>
    <t>Being trapped between stationary and moving objects</t>
  </si>
  <si>
    <t>SRG-INJ-2196</t>
  </si>
  <si>
    <t>HS295602</t>
  </si>
  <si>
    <t>WILCZEK, CHLOE</t>
  </si>
  <si>
    <t>Cut to right pointer finger</t>
  </si>
  <si>
    <t>Chloe (staff member) cut her right pointer finger on the side of a cardboard shoe box as she was recovering the footwear department. First aid of an alcohol wipe and band aid was administered.</t>
  </si>
  <si>
    <t>SRG-INJ-2170</t>
  </si>
  <si>
    <t>HS295575</t>
  </si>
  <si>
    <t>BAILEY, MANDY</t>
  </si>
  <si>
    <t>Lower back</t>
  </si>
  <si>
    <t>Chirs was wheeling a blue trolley past Mandy, who was facing away when the cover hit Mandys lower back. We iced it, and she rested for 10 minutes. It feels bruised but will keep an eye on it.</t>
  </si>
  <si>
    <t>Trolleys</t>
  </si>
  <si>
    <t>SRG-INJ-2161</t>
  </si>
  <si>
    <t>Cut to left index finger</t>
  </si>
  <si>
    <t>Jane (staff member) was at the counter measuring a sheet set when she went to move a glass that was sitting on top of it's box. As she did this, the glass fell and smashed into her left hand causing a small cut to her left index finger.</t>
  </si>
  <si>
    <t>SRG-INJ-2153</t>
  </si>
  <si>
    <t>Psychological/discomfort</t>
  </si>
  <si>
    <t>Holly noticed a customer staring at her while she was serving another customer. The customer approached Holly on the door, grabbed her arm tightly and said "have a nice day." This incident made Holly uncomfortable and she stepped away from the door for a few minutes.</t>
  </si>
  <si>
    <t>Psychological system</t>
  </si>
  <si>
    <t>Exposure to a traumatic event</t>
  </si>
  <si>
    <t>SRG-INJ-2135</t>
  </si>
  <si>
    <t>Laceration on right thumb</t>
  </si>
  <si>
    <t>Tracey was helping a customer with a food processor and she cut her thumb on a blade.</t>
  </si>
  <si>
    <t>SRG-INJ-2133</t>
  </si>
  <si>
    <t>Strain to shoulders and back</t>
  </si>
  <si>
    <t>Tracey was re arranging the footwear department and putting out a lot of new stock on Friday afternoon. On saturday she woke up feeling sore in her shoulder blades and across her back.</t>
  </si>
  <si>
    <t>SRG-INJ-2287</t>
  </si>
  <si>
    <t>57946027/00</t>
  </si>
  <si>
    <t>HS256900</t>
  </si>
  <si>
    <t>ROSSI, MARIA</t>
  </si>
  <si>
    <t>Sore back, legs and feet</t>
  </si>
  <si>
    <t>Luisa was condensing stock in the underwear department, involved bending and squatting and moving between the fixture and the stock trolley. Luisa's legs, feet and back became sore during this process and she was barely able to finish her shift.</t>
  </si>
  <si>
    <t>Unfit</t>
  </si>
  <si>
    <t>Lower limb - multiple locations</t>
  </si>
  <si>
    <t>SRG-INJ-2083</t>
  </si>
  <si>
    <t>No injury</t>
  </si>
  <si>
    <t>Kieren Smith (staff member) went to take the plastic rubbish down to the Westfield loading dock where the plastics bin is. He was coming back to the store when the lift jolted and stopped with the door slightly ajar. Kieren called the store manager who notified Westfield Security about the situation. Westfield were unable to get Kieren out of the lift so called for a lift technician to attend asap. Kieren was stuck in the lift for aprox. 1 hour and 15 minutes.</t>
  </si>
  <si>
    <t>Short term shock from exposure to disturbing circumstances</t>
  </si>
  <si>
    <t>Other powered equipment, tools and appliances</t>
  </si>
  <si>
    <t>SRG-INJ-2021</t>
  </si>
  <si>
    <t>HS318178</t>
  </si>
  <si>
    <t>DE GENNARO, MADELINE</t>
  </si>
  <si>
    <t>Laceration between index and middle knuckle</t>
  </si>
  <si>
    <t>Madeline noticed a cut on her hand between her index and middle knuckles on her right hand. When I asked Madeline how she injured herself she was unsure and could not recall how it occurred.</t>
  </si>
  <si>
    <t>SRG-INJ-2034</t>
  </si>
  <si>
    <t>Laceration on right hand near pinky to mid way through palm.</t>
  </si>
  <si>
    <t>While taking out the plastics Kieren cut his right hand on a sharp bit of plastic shelving that has broken off.</t>
  </si>
  <si>
    <t>SRG-INJ-1983</t>
  </si>
  <si>
    <t>Strain to my right hand at the base of my finger between the middle and ring finger.</t>
  </si>
  <si>
    <t>When I  got home last night I had some soreness in my  right hand in between the middle and ring fingers. I  had been re merchandising the women's apparel pad and executing markdowns in the area during the day and may have strained the area. I applied heat to the area but am  still having some pain today.</t>
  </si>
  <si>
    <t>SRG-INJ-1917</t>
  </si>
  <si>
    <t>Left shoulder</t>
  </si>
  <si>
    <t>Kate reported that she was experiencing some pain in her left shoulder as she was unpacking US Polo shirts  out of their individual packets whilst at the registers.</t>
  </si>
  <si>
    <t>SRG-INJ-1836</t>
  </si>
  <si>
    <t>Twinge in lower back, still sore when bending over after.</t>
  </si>
  <si>
    <t>Romano was lifting some frypans off a trolley when you back twinged.</t>
  </si>
  <si>
    <t>SRG-INJ-1916</t>
  </si>
  <si>
    <t>53996152/00</t>
  </si>
  <si>
    <t>Pain in left wrist</t>
  </si>
  <si>
    <t>Maria Rossi rang and had a phone conversation with Romano (Store Manager) to say that she wouldn't be in to work as her "left wrist was causing her pain due to the fact that she is using it more than her right hand".</t>
  </si>
  <si>
    <t>Declined Claim</t>
  </si>
  <si>
    <t>Wrist</t>
  </si>
  <si>
    <t>Repetitive movement, low muscle loading</t>
  </si>
  <si>
    <t>SRG-INJ-1821</t>
  </si>
  <si>
    <t>Right ankle, bruise and a laceration.</t>
  </si>
  <si>
    <t>Romano was pulling a trolley and hit his ankle</t>
  </si>
  <si>
    <t>SRG-INJ-1820</t>
  </si>
  <si>
    <t>Sarah Hunter saw Kate in discomfort today whereby Kate said she was experiencing some back pain. Upon further discussion Sarah  realised that Kate had been in discomfort for a few days.  On Monday 11/9/23, after coming back from her lunch break, Kate felt pain in her lower back working its way up her back to just under her rib cage. She attributes this to standing in one place (the registers) for a long period of time.  Kate has had a previous injury in the same area and as a result has a brace that she sometimes wears. Kate wore her brace on Tuesday and had only minor pain. She was able to move around more on Tuesday than she was able on Monday. Kate's back  was feeling a lot better on Wednesday but she was experiencing migranes on Tuesday and Wednesday. Kate started the day with no pain, however started to experience some lower back pain within a few hours.</t>
  </si>
  <si>
    <t>SRG-INJ-1817</t>
  </si>
  <si>
    <t>Potential bruised knees, nothing has come up yet.</t>
  </si>
  <si>
    <t>Tracey was walking and slipped on something that had fallen off of the travel stand, she fell onto her knees. No first aid was required, it hurt at the time but there is no pain now.</t>
  </si>
  <si>
    <t>SRG-INJ-1775</t>
  </si>
  <si>
    <t>Jackie was putting tickets up in pillows when her lower back twinged. She kept experiencing spasm's for the next hour but the pain slowly went away. She was weeding over the weekend and she knows that why it is playing up, just reporting because the twinge happened during work hours.</t>
  </si>
  <si>
    <t>SRG-INJ-1779</t>
  </si>
  <si>
    <t>Angelas right underarm / shoulder that is in pain only when she is moving it aroun.</t>
  </si>
  <si>
    <t>Angela was moving a lot of cast iron, she noticed that she had a tight muscle under her arm after moving it, it went away in the afternoon however on Friday (1/9/23) she was pulling a heavy trolley of cookware onto the floor and the pain came back in the same spot. The pain started after she had finished work on Friday and is still there today.</t>
  </si>
  <si>
    <t>SRG-INJ-1735</t>
  </si>
  <si>
    <t>rear left shin banged on edge of stock trolley</t>
  </si>
  <si>
    <t>Trolley in main aisle, team member backed up into it to avoid a customer and banged the back of her shin on the edge of the trolley,</t>
  </si>
  <si>
    <t>Not Known</t>
  </si>
  <si>
    <t>SRG-INJ-1616</t>
  </si>
  <si>
    <t>Bruise on right toe</t>
  </si>
  <si>
    <t>Angela was moving cookware onto a table when a she picked up a saute pan that in a box and it fell through the bottom of the ox and fell onto her big toe.</t>
  </si>
  <si>
    <t>SRG-INJ-1593</t>
  </si>
  <si>
    <t>Right back under her bra strap</t>
  </si>
  <si>
    <t>Chris was getting some stock out of the pallet racking in the towel reserve. When she turned around a shelf that was leaning against the wall fell and hit her in the back causing pain and some redness.</t>
  </si>
  <si>
    <t>SRG-INJ-3206</t>
  </si>
  <si>
    <t>HS296199</t>
  </si>
  <si>
    <t>BELL, CHRISTOPHER</t>
  </si>
  <si>
    <t>Colonnades</t>
  </si>
  <si>
    <t>Minor burn to right hand index and thumb</t>
  </si>
  <si>
    <t>Chris was bringing the pallet jack back inside when it seemed to get caught on something. He tried to push it again and it was still stuck. After pulling it backwards he found that a screw was on the ground and had become stuck on the wheel. He picked up the screw, however the screw had been sitting in the 32 degree heat all day and has burnt Chris's right hand index and thumb. He has run it under cold water a number of times and will put burn cream on it when he gets home. Its a small burn but the nature of where it is and the fact it is a minor burn means its painful and uncomfortable. Chris has continue to work but continues to run it under cold water.</t>
  </si>
  <si>
    <t>Burns, unspecified</t>
  </si>
  <si>
    <t>Heat, Electricity and Other Environmental Factors</t>
  </si>
  <si>
    <t>Contact with hot objects</t>
  </si>
  <si>
    <t>SRG-INJ-3161</t>
  </si>
  <si>
    <t>HS324289</t>
  </si>
  <si>
    <t>SINGH, MARIA</t>
  </si>
  <si>
    <t>Landed on her right knee</t>
  </si>
  <si>
    <t>Maria was putting away a click and collect and tripped on the strap of a Berger cookie that had fallen off the top of the box. Maria went down on her right knee. She went and sat for 5 minutes but insists that she is perfectly fine and w3nt back to registers</t>
  </si>
  <si>
    <t>SRG-INJ-2310</t>
  </si>
  <si>
    <t>HS329423</t>
  </si>
  <si>
    <t>JAMES, CAROLYN</t>
  </si>
  <si>
    <t>No Apparent injury however Carolyn advised us on Friday 9th that she was quite sore. After attending the doctor he gave her the weekend off work as she was going to feel sore for a couple of days.</t>
  </si>
  <si>
    <t>Carolyn James was walking through the ladieswear dept and as she cut into the walkway she cut across the front of the rail set, clipping the leg of the rail set which then tripped her over. Carolyn fell quite hard into p2. She tried to catch herself on the 3 tier table but was already too far off balance and completely fell on the floor.  I heard a noise and turned the corner to see carolyn on the floor. I asked if she was ok. She said that she was. She was more embarrased than anything. I asked if she had hit her head. She said she did not hit her head.  I asked if she wanted to sit for a little or go out the back and take a break whilst she got her bearings back. She said she was completely fine just embarrassed. Carolyn said that she was rushing and wasnt entirely sure what had happened but had said that it was her fault for rushing and not looking where she was going. I checked in with Carolyn a number of times in the last 15 minutes of the night and she kept saying she was ok and she had no apparent injuries.</t>
  </si>
  <si>
    <t>Unspecified multiple locations</t>
  </si>
  <si>
    <t>SRG-INJ-3452</t>
  </si>
  <si>
    <t>60428885/00</t>
  </si>
  <si>
    <t>HS290398</t>
  </si>
  <si>
    <t>IBRAHIM, CLAUDE</t>
  </si>
  <si>
    <t>Gepps Cross (Hs Home)</t>
  </si>
  <si>
    <t>side, hip, thigh</t>
  </si>
  <si>
    <t>Sunday 9/3/25 - 3.36pm (44 seconds)   Claude  Ibrihim   ( PPT )  staff member, was changing the bed as customer was purchasing quilt on it. Claude was moving around the corner end  of the  bed and tripped over  or misjudged the metal leg of the bed frame  at the end of the bed. Claude fell side ways, putting her hands out to stop her fall on the corner of the bed but still fell. Customer who was waiting with her to get the  quilt helped her to sit up from the laying on her side. Manager made aware by customer I attended, Claude said she felt sick from the shock and the pain and I got her a bowl, she also asked for her water bottle. Manager got a chair for her but Claude said she did not think she could get up. Her right leg was bent underneath her other one. Claude asked if she could call her 2  sons to come and help her as they would need to drive her car home. Claude requested an ambulance be called as she did not want to move . I stayed with Claude until her sons arrived first then when she left in the ambulance at 5pm.  The ambulance people gave her some pain relief and moved her onto board and then  a stretcher with the assistance of her sons and myself.  The ambulance people have informed myself (manager) that they are taking her to a hospital for x rays, They believe it may be a fractured hip., but cannot be certain . Footage viewed on the camera is barely visible, as it is in the top right corner of the screen with only the end of the bed visible, you can make out Claude as a shadow in black tripping over the bed leg as she rounds the corner of it, you can see her reach out and touch the bed before falling to the ground on her side. The camera footage is very blurry and not good quality at all. When zoomed in on that camera the bed is no longer on the screen.  I have attached photo of bed still unmade, normally it is made and the quilt covers over hang the legs and they are not visible .</t>
  </si>
  <si>
    <t>Other fractures, not elsewhere classified</t>
  </si>
  <si>
    <t>Hip</t>
  </si>
  <si>
    <t>SRG-INJ-3247</t>
  </si>
  <si>
    <t>HS297023</t>
  </si>
  <si>
    <t>PAGE, SOPHIE</t>
  </si>
  <si>
    <t>right cheek below eye</t>
  </si>
  <si>
    <t>I was on the ladder putting box of pillows up top on shelf, box slipped out of my hands and corner of the box hit me on the cheek below the eye</t>
  </si>
  <si>
    <t>Incident Only</t>
  </si>
  <si>
    <t>Superficial injury</t>
  </si>
  <si>
    <t>SRG-INJ-2949</t>
  </si>
  <si>
    <t>HS280547</t>
  </si>
  <si>
    <t>WELLS, AMANDA</t>
  </si>
  <si>
    <t>Nose - causing a bruise to the bridge of nose</t>
  </si>
  <si>
    <t>moving the bamboo folding lap trays and I stacked 2 on the top shelf and as I was filling the second shelf with the lap trays, one of the trays on the top shelf slid off and hit the bridge of my nose.</t>
  </si>
  <si>
    <t>SRG-INJ-2944</t>
  </si>
  <si>
    <t>HS289748</t>
  </si>
  <si>
    <t>HOWELL, GEOFFREY</t>
  </si>
  <si>
    <t>right eye</t>
  </si>
  <si>
    <t>whilst Geoffrey was taking down pillow boxes from the top shelf of pallet rack a foreign object went into Geoffrey's eye. this object felt like course solid 1mm grit  like dust particle cardboard or mdf particle board  or wood shaving from the pallet,Flew into Geoffrey's right eye bottom lid. causing irritation scratchiness and redness. to the eye.</t>
  </si>
  <si>
    <t>SRG-INJ-2781</t>
  </si>
  <si>
    <t>HS319532</t>
  </si>
  <si>
    <t>ORTLEPP, JULIE</t>
  </si>
  <si>
    <t>top of head</t>
  </si>
  <si>
    <t>Julie was bending over to pick something up off the shop floor and when stood up banged her head on corner of 3 tier table</t>
  </si>
  <si>
    <t>SRG-INJ-2714</t>
  </si>
  <si>
    <t>wrist, or hand not certain</t>
  </si>
  <si>
    <t>Amanda was moving boxes to determine what was in each, As she turned one around to see what was in it she heard a crack in her wrist area. she went on to continue working stacking boxes of sheets and taking to the shop floor. She has woken to say she feels like she has pulled a muscle and her hand is pulling to close a fist.</t>
  </si>
  <si>
    <t>SRG-INJ-2316</t>
  </si>
  <si>
    <t>HS325234</t>
  </si>
  <si>
    <t>MIOCIC, ANA</t>
  </si>
  <si>
    <t>lower back</t>
  </si>
  <si>
    <t>Ana bent down with her knees to pick up a 16 piece  dinner set and has pulled a muscle in back, no photo as outside our of camera view</t>
  </si>
  <si>
    <t>SRG-INJ-2091</t>
  </si>
  <si>
    <t>Sore nose</t>
  </si>
  <si>
    <t>Queen Size Elysian Sheet Set in New  pVC  free plastic packging fell from height of top shelf while stacking shelves below. Hit employee on bridge of nose.</t>
  </si>
  <si>
    <t>SRG-INJ-1709</t>
  </si>
  <si>
    <t>HS327447</t>
  </si>
  <si>
    <t>WOOD, SARAH</t>
  </si>
  <si>
    <t>Harris Scarfe VIC</t>
  </si>
  <si>
    <t>Mornington (Hs Home)</t>
  </si>
  <si>
    <t>During our ticket tie up on Fri 28/7 th  Sarah mentioned on our headsets that she was unable to assist a customer as her back was sore.  I spoke with Sarah and asked if she needed to sit down which she did not initially do but eventually sat down.  I asked her if she was ok or did she need to go home but she decided she was ok to cover the registers and we took a chair down for her.  When she did sit out the back for a rest she put a heat pack on her back..  We took this course of action as Sarah had informed us she is pregnant with twins.</t>
  </si>
  <si>
    <t>SRG-INJ-1597</t>
  </si>
  <si>
    <t>HS297100</t>
  </si>
  <si>
    <t>BLAIR, AILSA</t>
  </si>
  <si>
    <t>fell onto knees and hands</t>
  </si>
  <si>
    <t>Team member was collecting labels off printer, turned and didn't see step stool, tripped over it and boxes. Fell to the ground (onto concrete) hitting right knee and both palms on hands.</t>
  </si>
  <si>
    <t>Furniture and fittings</t>
  </si>
  <si>
    <t>SRG-INJ-3449</t>
  </si>
  <si>
    <t>HS316067</t>
  </si>
  <si>
    <t>PRICE, SAMANTHA</t>
  </si>
  <si>
    <t>Spencer St</t>
  </si>
  <si>
    <t>Left arm - suddenly felt popping sensation and numb arm.</t>
  </si>
  <si>
    <t>Team member Samantha Price hurt herself  While marking down candles. While using markdown gun instantly she felt popping sensation in her left arm. She is feeling pain from index finger up the wrist. She felt like her arm is numb. Katie bandage her arm, I asked her to go home and rest up. See doctor tomorrow if it's painful.</t>
  </si>
  <si>
    <t>Pending Claim</t>
  </si>
  <si>
    <t>Diseases of muscle, tendon and related tissue</t>
  </si>
  <si>
    <t>Upper arm</t>
  </si>
  <si>
    <t>SRG-INJ-3125</t>
  </si>
  <si>
    <t>HS329455</t>
  </si>
  <si>
    <t>DAVENPORT, KATIE</t>
  </si>
  <si>
    <t>left big toe</t>
  </si>
  <si>
    <t>pushing the cage around the corner and the brackets came off the trolley and fell on the team members foot. pushing trolley at normal pace and brackets were around head height sitting on top off stock. Team member went to lunchroom to check if toe was ok and took a photo and went back to work as it wasn't stopping her from working</t>
  </si>
  <si>
    <t>Roll Cages</t>
  </si>
  <si>
    <t>SRG-INJ-3520</t>
  </si>
  <si>
    <t>Yes</t>
  </si>
  <si>
    <t>HS325296</t>
  </si>
  <si>
    <t>GAMMON-PARSONS, PAIGE</t>
  </si>
  <si>
    <t>Woodgrove</t>
  </si>
  <si>
    <t>Psychosocial injury</t>
  </si>
  <si>
    <t>The concerns include difficulty submitting return-to-work forms due to a GP appointment, a disagreement about the classification of leave as personal rather than work-related, and the impact of management's verbal abuse on mental health. WorkCover inquiries were dismissed, and annual leave was misused during time off, which was not a holiday but a period of struggling with mental health. Tasks outside the role's scope, unclear communication, and workplace dynamics contributed to stress and mental health challenges. There is a request for a safe and supportive work environment, revisiting the leave classification, and improving communication moving forward.</t>
  </si>
  <si>
    <t>Anxiety/depression combined</t>
  </si>
  <si>
    <t>Work related harassment and/or workplace bullying</t>
  </si>
  <si>
    <t>SRG-INJ-2504</t>
  </si>
  <si>
    <t>HS320431</t>
  </si>
  <si>
    <t>HONEY, RYAN</t>
  </si>
  <si>
    <t>Left hand. Fingers.</t>
  </si>
  <si>
    <t>Ryan was packing up a display Ninja Food Processor for a customer when he cut his hand open on the blade. He came to find me and I went out the back to help him. His dad was also conveniently in store at the time and helped with doing first aid. Ryan then looked like he was going to pass out so we sat him down and gave him some lollies. His dad then took him to go and seek further medical attention.</t>
  </si>
  <si>
    <t>SRG-INJ-2296</t>
  </si>
  <si>
    <t>HS322335</t>
  </si>
  <si>
    <t>AKOK, BENJAMIN</t>
  </si>
  <si>
    <t>Mental Health</t>
  </si>
  <si>
    <t>An elderly lady abused a staff member. Her Woodgrove gift card wasn't working and she took it out on Benny. She said some hurtful things like "He's served me before and I wont let him serve me ever again." Ben kept reducing the $ amount to put through on the gift card to see if that would work. She kept getting frustrated at him. It caused him to be very upset. Benny has Cerebal Palsy and works SO hard to do the best he can for every single customer. He runs our registers on some days and has been an integral part of our team for YEARS!</t>
  </si>
  <si>
    <t>SRG-INJ-1698</t>
  </si>
  <si>
    <t>HS294731</t>
  </si>
  <si>
    <t>KIREK, SONIA</t>
  </si>
  <si>
    <t>Team Member had just left back area and tripped over( potenitally her own feet) as there was nothing on the ground, while tripping they have rolled their ankle.  First add was then applied to team member   Team member rested and then went to her doctors</t>
  </si>
  <si>
    <t>SRG-INJ-3310</t>
  </si>
  <si>
    <t>HS329940</t>
  </si>
  <si>
    <t>ADDAMS, SAMANTHA</t>
  </si>
  <si>
    <t>Ballarat</t>
  </si>
  <si>
    <t>lower back and hips</t>
  </si>
  <si>
    <t>Samantha got a click and collect order for the customer and carried it to the counter. The order was a 30-litre microwave and a robot vacuum cleaner. Sami carried both items together, the microwave is very heavy and should be a 2-person lift. Sami then asked for someone to help a customer to the car. As there was 2 people on POS, I asked over the headset if you are not busy can you do it. Sami said yes but didn't inform me that the product was a microwave. Sami then picked up the microwave and before leaving the POS area adjusted her hold on it by lifting her knee up to balance the microwave and get a better grip. Sami then carried the microwave to the customers car. the car was about half a block away from the front door of the store. Unfortunately, Sami has twinge her back. Sami didn't ask for help or use a trolley to take the item to the customers car. Sami didn't inform me that she injured her back for another one and half hours and by this time she couldn't bend down and had pain across her lower back and hip area. I gave Sami a JDA and asked her to please seek medical treatment as her back will only get worse. Sami went to a walk in/no appointment Doctor's clinic and was given a certified for 2 days off and then return with restrictions of 1-5kg limit.</t>
  </si>
  <si>
    <t>SRG-INJ-2511</t>
  </si>
  <si>
    <t>Left hand muscle pain and some swelling</t>
  </si>
  <si>
    <t>Grabbed Pepsi max out the back, felt a little twinge. Didn't think anything of it. When serving a customer there was a sharp pain and put hand behind back as was in a lot of pain.</t>
  </si>
  <si>
    <t>SRG-INJ-2283</t>
  </si>
  <si>
    <t>back of right shoulder has pain and hurts to move</t>
  </si>
  <si>
    <t>Sammi was organising a click and collect and turn very forcefully into a box poking out out the wall and is in pain when lifting and raising arm - there is a bruise. Sammi thinks it's hit a muscle due to the pain when moving around</t>
  </si>
  <si>
    <t>SRG-INJ-2144</t>
  </si>
  <si>
    <t>HS322042</t>
  </si>
  <si>
    <t>BOLITHO, CHARLOTTE</t>
  </si>
  <si>
    <t>Forehead</t>
  </si>
  <si>
    <t>Charlotte went to take a cage down the ramp and it was not stacked correctly making the inline of the ramp cause boxes to fall off and one hit her head. She now has a lump and redness on her forehead</t>
  </si>
  <si>
    <t>Cranium</t>
  </si>
  <si>
    <t>SRG-INJ-2110</t>
  </si>
  <si>
    <t>HS295292</t>
  </si>
  <si>
    <t>MIRABELLA, EMILY</t>
  </si>
  <si>
    <t>Left knee</t>
  </si>
  <si>
    <t>Emily tripped over an ecomm box and hurt her knee. Prior injury to this knee due to a scooter accident two years ago.</t>
  </si>
  <si>
    <t>SRG-INJ-3486</t>
  </si>
  <si>
    <t>Experiencing ongoing bullying and harassment at her workplace, particularly from her Store Manager. Team Member details several incidents where they felt mistreated and singled out by SM over a period of time, especially since returning to work after a medical procedure.</t>
  </si>
  <si>
    <t>SRG-INJ-3590</t>
  </si>
  <si>
    <t>HS319955</t>
  </si>
  <si>
    <t>SCHEER, GEORGIA</t>
  </si>
  <si>
    <t>Forest Hill</t>
  </si>
  <si>
    <t>Bruising to upper arm</t>
  </si>
  <si>
    <t>Georgia was assisting a customer and his wife  who had entered the store at 12:58pm and had been browsing the ladies wear area for quite some time.   Georgia was searching for some pants the male had been inquiring about his wife was either non verbal or did not speak English but was verbalizing something towards the husband who was brushing off his wife.   The wife got more dis regulated with the husband and at this point pinched Georgia on the left upper arm aggressively.  The husband did apologize but laughed it off, saying he would come back another time with their daughter.   Georgia left the area in a state of shock, and the incident was reported to the manager on duty Tyler.   Meanwhile the customers left the store the  wife can be seen on camera still agitated.</t>
  </si>
  <si>
    <t>SRG-INJ-3462</t>
  </si>
  <si>
    <t>HS294599</t>
  </si>
  <si>
    <t>REINCASTLE, THERESE</t>
  </si>
  <si>
    <t>twisted ankle as well as twisted wrist needed pain killers to sleep.</t>
  </si>
  <si>
    <t>Team member Therese got her foot caught on the click and collect printer cable resulting in her falling onto her side/back and twisting her ankle and wrist. no staff members were near by however there was a customer there that attempted to help her up ( diddnt get customers details)</t>
  </si>
  <si>
    <t>SRG-INJ-3026</t>
  </si>
  <si>
    <t>HS290306</t>
  </si>
  <si>
    <t>MUSCAT, MICHELLE</t>
  </si>
  <si>
    <t>Bruising and Swelling on pinky, ring and middle finger</t>
  </si>
  <si>
    <t>There was cages lined in the walkway between lift and dock, Michelle was trying to get a cage through the passage way and jammed her hand between wall and cage. Michelle was advised to Ice her injury after event by Peter Riggs at the time. By 9am Michelle advised Tyler of swelling and bruising to middle finger, pinky and ring finger on left hand. Rings were also removed from injured fingers due to swelling.</t>
  </si>
  <si>
    <t>SRG-INJ-1872</t>
  </si>
  <si>
    <t>HS297478</t>
  </si>
  <si>
    <t>KOKKINOS, ANGELA</t>
  </si>
  <si>
    <t>Laceration over the dorsum of the right hand/ Laceration ulnar aspect of the right ring finger</t>
  </si>
  <si>
    <t>Angela was trying to see on high shelf of white wall, she was holding two cups while looking for more she steps backward and didn't notice a step stool in the aisle and fell onto the orange step stool and sideward onto floor. the two loose cups she was holding fell onto the ground and broke on tiles and Angela fell onto the loose broken pieces cutting her right hand on top, and right ring finger.</t>
  </si>
  <si>
    <t>SRG-INJ-1993</t>
  </si>
  <si>
    <t>HS295516</t>
  </si>
  <si>
    <t>NUTTALL, BELINDA</t>
  </si>
  <si>
    <t>Geelong</t>
  </si>
  <si>
    <t>Left calf muscle popped</t>
  </si>
  <si>
    <t>I was condensing stock to make room, using a safety step. I stepped on the safety step to reach the top shelf. Finished what I was doing and stepped down off the safety step onto the floor. My calf muscle popped and was too painful to walk on</t>
  </si>
  <si>
    <t>SRG-INJ-3422</t>
  </si>
  <si>
    <t>HS297528</t>
  </si>
  <si>
    <t>BULL, CASSANDRA</t>
  </si>
  <si>
    <t>Knox City</t>
  </si>
  <si>
    <t>left Wrist  Strain</t>
  </si>
  <si>
    <t>Cassie was moving and unpacking multiple big quilt, topper and pillow boxes and over the course of the day her left wrist became sore and at the end of the day was in some pain. Had 2 days where hoping pain would go away but sadly didn't . Went to doctor on the Tuesday 25th Feb and they diagnosed a strained wrist.</t>
  </si>
  <si>
    <t>SRG-INJ-3173</t>
  </si>
  <si>
    <t>HS289054</t>
  </si>
  <si>
    <t>MCCALLUM, LYNNE</t>
  </si>
  <si>
    <t>knees and palms small bruising</t>
  </si>
  <si>
    <t>Lynne was up a 3 step ladder getting a knife from the top row of the gadget wall. After Lynne had grabbed the knife for click and collect order and was coming down the ladder but missed the 3rd step on the way down. I fell and landed on my hands and knees jarring my body. I had discomfort in my hands and knees after the fall .</t>
  </si>
  <si>
    <t>SRG-INJ-2950</t>
  </si>
  <si>
    <t>HS405998</t>
  </si>
  <si>
    <t>DIGNEY, SHAUN</t>
  </si>
  <si>
    <t>Left middle finger - laceration</t>
  </si>
  <si>
    <t>Shaun was moving wooden fixture base from a stack onto a pallet jack to bring onto the shop floor. When he went to sit the base down on the pallet jack  his right middle finger got caught between the base and pallet jack squashing the end of the middle finger . Then we stopped and cleaned up the wound and wrapped up carefully . Shaun then went to hospital to get checked out properly</t>
  </si>
  <si>
    <t>SRG-INJ-2710</t>
  </si>
  <si>
    <t>HS293047</t>
  </si>
  <si>
    <t>GRIFFITHS, CAROLYN</t>
  </si>
  <si>
    <t>neck right side</t>
  </si>
  <si>
    <t>Carolyn was inbetween pallets and trying to get a box out from the bottom to bring out . As she grabbed it and then had to turn and lift the box to get out the row she felt some pain in her neck . The pain was not a lot to begin with but got sorer as the day went on . It ran down the right side of the neck .</t>
  </si>
  <si>
    <t>Trauma to joints and ligaments</t>
  </si>
  <si>
    <t>Neck</t>
  </si>
  <si>
    <t>SRG-INJ-2609</t>
  </si>
  <si>
    <t>HS290039</t>
  </si>
  <si>
    <t>NICOLAISEN, CHRISTINA</t>
  </si>
  <si>
    <t>bruise on left knuckle</t>
  </si>
  <si>
    <t>Christina was walking with a cage of stock from the Receiving dock area through the flap doors and out onto the shop floor . She had pushed 1 side of the flap doors open to go through with the trolley but bumped my left hand on the side of the doorway when passing through . This gave Christina some bruising to the left Knuckle on the left hand .</t>
  </si>
  <si>
    <t>SRG-INJ-2584</t>
  </si>
  <si>
    <t>HS291432</t>
  </si>
  <si>
    <t>LANGE, KERRI</t>
  </si>
  <si>
    <t>right arm upper - muscle pull</t>
  </si>
  <si>
    <t>I was emptying out a box of ladies dressing gowns which has 2 packs of 6  wrapped inside the box while having a rubber band wrapped around the 6 coat hanger handles which makes even getting 1 pack out quite heavy and awkward . When I pulled in and reached out a pack i felt a slight pull in my right arm around my bicep area . it was only a small pain so kept going and didn't think much of it at the time . next 3 days it got more painful and am now going to doctors on Wednesday 15th to get it checked out  .</t>
  </si>
  <si>
    <t>SRG-INJ-2629</t>
  </si>
  <si>
    <t>HS322297</t>
  </si>
  <si>
    <t>OSLAY, SHERRIDAN</t>
  </si>
  <si>
    <t>Right Elbow common extensor and flexor tendonitis with possible carpal tunnel syndrome Right Elbow/Arm  - strained and overworked</t>
  </si>
  <si>
    <t>we had to as a store change all sheeting high gondola from 6 shelves to 5 as per VM guidelines had requested . This meant every row of shelves had to be emptied and a shelve taken out of each row then all put back in . I was working with Jill but I was responsible for changing all the shelves which was over 90 of them and they were hard to take out and put back in . A result of doing all this work in 1 day was my Right elbow area became very sore and ached and it did swell up somewhat also. Thought it was nothing and would just go away so didn't report at the time . It has now been over 3 months and i have been experiencing still quite a lot of pain and discomfort in this area whenever i do any sort of work . It will swell up afterwards so something further is an issue .</t>
  </si>
  <si>
    <t>Elbow</t>
  </si>
  <si>
    <t>SRG-INJ-2219</t>
  </si>
  <si>
    <t>HS293808</t>
  </si>
  <si>
    <t>CHILD, ASHLEY</t>
  </si>
  <si>
    <t>left foot</t>
  </si>
  <si>
    <t>Ashley was standing on a half empty pallet trying to lift Manchester large boxes out of the way so I could reach them from the front of the pallet. When I was moving my foot it got caught between the pallet slats and it was wedged in-between there. I then went to remove my foot and felt that it got jarred somewhat feeling a little bit of pain. My foot then came out ok after this but was sore for the rest of the day.</t>
  </si>
  <si>
    <t>SRG-INJ-2081</t>
  </si>
  <si>
    <t>right middle finger - laceration</t>
  </si>
  <si>
    <t>Team member Christina was showing a customer a knife out of a knife block set . she accidently when sliding out the knife cut herself on the right Middle  finger .</t>
  </si>
  <si>
    <t>SRG-INJ-1693</t>
  </si>
  <si>
    <t>Left knee, bruised on top of knee</t>
  </si>
  <si>
    <t>Sherridan was reaching for a Heavy crepe pan off a hook and the one next to it slipped off as I was removing the one i was trying to get. The crepe pan fell and hit my left knee and then fell to the floor . I had instant pain and a nice mark on top of my knee which will bruise .</t>
  </si>
  <si>
    <t>SRG-INJ-3479</t>
  </si>
  <si>
    <t>HS295828</t>
  </si>
  <si>
    <t>HALL, KAITLYN</t>
  </si>
  <si>
    <t>Epping</t>
  </si>
  <si>
    <t>right fore arm scrape and lump</t>
  </si>
  <si>
    <t>was inserting the shelves on tri set, lost balance while trying to insert shelf. Arm then scraped past and impacted with the screw on the tri set</t>
  </si>
  <si>
    <t>Forearm</t>
  </si>
  <si>
    <t>SRG-INJ-3179</t>
  </si>
  <si>
    <t>HS286126</t>
  </si>
  <si>
    <t>SALAMONE, MARIA</t>
  </si>
  <si>
    <t>moving a table and tripped and fell on top of the table injuring her upper torso and both knees</t>
  </si>
  <si>
    <t>While removing the folded tressle table Maria was dragging it to back of the store tripped over it and fell on top of the table</t>
  </si>
  <si>
    <t>SRG-INJ-3138</t>
  </si>
  <si>
    <t>HS336597</t>
  </si>
  <si>
    <t>HAYWOOD, EMILY</t>
  </si>
  <si>
    <t>Back of head</t>
  </si>
  <si>
    <t>Putting shoes away in department, bent down to fix the boxes. While standing back up smacked the back of her head onto the shoe display shelf</t>
  </si>
  <si>
    <t>SRG-INJ-3081</t>
  </si>
  <si>
    <t>eye/face impact of a ticket frame</t>
  </si>
  <si>
    <t>I had Maria recovering throw rugs area (end cap) and suddenly the ticket holder fell down on her face while she was moving a throw rug on the top shelf. The metal bar that the ticket frame is held by also came out of the fixture and fell down onto Maria. Maria has a sore face / eye on the right side. She has no visible cut or bruising as of yet.</t>
  </si>
  <si>
    <t>SRG-INJ-2927</t>
  </si>
  <si>
    <t>HS323263</t>
  </si>
  <si>
    <t>BERMUDEZ, CARMEN</t>
  </si>
  <si>
    <t>all I know is her back</t>
  </si>
  <si>
    <t>Carmen text me that she picked up a 30ltr air fryer  and then felt a twinge in her back</t>
  </si>
  <si>
    <t>SRG-INJ-2925</t>
  </si>
  <si>
    <t>HS297588</t>
  </si>
  <si>
    <t>MAVER, GEORGIE</t>
  </si>
  <si>
    <t>top of hand/ palm and fingers</t>
  </si>
  <si>
    <t>ASM Georgie was working a trolley of stock. She was moving the trolley down the isle. As she was wheeling the trolley her hand was jammed between a shelf and the trolley. The weight of the trolley made for a very hard/strong impact on her hand. In our Epping store some of our shelves do not align with the other shelves. the shelf she has collided with sticks out about 1inch more then the other shelves, causing this injury. Georgie came to show me ( Kaitlyn ASM ) this injury. Her hand was very swollen and had a large divet where her hand was crushed between the shelf edge and trolley. Her hand had egg shape swelling. I directed her to go put a ice pack on it and to visit the doctors. She attempted to do a done safe report herself while applying ice but found the pain was travelling to her fingers and was getting worse. Georgie came and told me she was going to attend the local doctors at epping to get it checked as pain was increasing. At this point her hand had started to change colour from bruising. She left for the doctors after this.</t>
  </si>
  <si>
    <t>SRG-INJ-2856</t>
  </si>
  <si>
    <t>HS297431</t>
  </si>
  <si>
    <t>DERAKHSHANI, NEGIN</t>
  </si>
  <si>
    <t>please refer to report written in the previous page</t>
  </si>
  <si>
    <t>as we were doing our morning fill, I was with Mel and I was trying to open a box to see what inside the box, in case I can put the stock on the shop floor. I was using one of the orange knives, the one I meant to be using, so I tried to open the box with the knife but I couldn't as it was taped very hard, so I pushed in harder to create a hole to start opening from where but as I did press hard, I realized a sharp pain in my wrist, that something moved, since then its been hurting so much and feels really painful, so I spoke with my store manager and she advised me to report this. Also Mel was there and witnessed this and as she saw my reaction then I felt a sharp pain and hold my wrist, she said be careful Negin.</t>
  </si>
  <si>
    <t>SRG-INJ-1995</t>
  </si>
  <si>
    <t>lower back and wrist is hurting</t>
  </si>
  <si>
    <t>while carrying an arm full of clothes to move to another rack, Georgie tripped over a safety step stool which she did not see</t>
  </si>
  <si>
    <t>Upper and lower limbs</t>
  </si>
  <si>
    <t>SRG-INJ-1879</t>
  </si>
  <si>
    <t>HS286152</t>
  </si>
  <si>
    <t>DIMAKAKOS, MELISSA</t>
  </si>
  <si>
    <t>moving heavy loose dinnerware/ dinnersets</t>
  </si>
  <si>
    <t>on Tuesday Melisa had to take everything off the gondola including lose dinnerware/dinner sets and on Wednesday after moving the new gondola she had to put all the stock back on . she said she had to try to rush to get the job done as it was through trading hours and right close to entry door and there could be a hazard there.</t>
  </si>
  <si>
    <t>SRG-INJ-1638</t>
  </si>
  <si>
    <t>HS291159</t>
  </si>
  <si>
    <t>ADDAMO, ANTHONY</t>
  </si>
  <si>
    <t>On the left hand light finger and wrist</t>
  </si>
  <si>
    <t>While unpacking dinner sets, got called to an incident happening in store</t>
  </si>
  <si>
    <t>SRG-INJ-2851</t>
  </si>
  <si>
    <t>HS325780</t>
  </si>
  <si>
    <t>FRANZI, CVETKA</t>
  </si>
  <si>
    <t>Highpoint</t>
  </si>
  <si>
    <t>right foot</t>
  </si>
  <si>
    <t>Cvetka (team member) was helping customer by Manchester reserve door. Along doorway there was shelving leaning against the wall, customer accidentally knocked the shelving over and landed on Cvetka's right foot and left a big bruise.</t>
  </si>
  <si>
    <t>SRG-INJ-2819</t>
  </si>
  <si>
    <t>HS325832</t>
  </si>
  <si>
    <t>VELLAYAN, DASHARAATH</t>
  </si>
  <si>
    <t>shoulder</t>
  </si>
  <si>
    <t>Dash asked a customer to show him a receipt for an vacuum but just continued to walk through the door. Dash went outside the front store (just out the front) asked for a receipt and the customer pushed dash. Dash did not require medical attention</t>
  </si>
  <si>
    <t>Biological Factors</t>
  </si>
  <si>
    <t>Contact with, or exposure to, biological factors of human origin</t>
  </si>
  <si>
    <t>SRG-INJ-2341</t>
  </si>
  <si>
    <t>HS332237</t>
  </si>
  <si>
    <t>YOUSSOUF, ZEYNEB</t>
  </si>
  <si>
    <t>Fell head first into sunglasses stand and then fell onto back. Small cut on hand, no other injury noted. She felt hot after and needed to rest.</t>
  </si>
  <si>
    <t>Team member Zeyneb fainted and fell into the stand of sunglasses. She lost consciousness for approx 5 seconds. She was able to sit up immediately after. She sustained a small scratch on her hand from the fall but no other injuries. She felt better after sitting down and drinking water. She was given an ice pack and band-aid for her hand. She sat in the break room and waited to get picked up by a family member.</t>
  </si>
  <si>
    <t>SRG-INJ-2010</t>
  </si>
  <si>
    <t>HS326552</t>
  </si>
  <si>
    <t>GANGI, ALESSIA</t>
  </si>
  <si>
    <t>Both legs</t>
  </si>
  <si>
    <t>Thursday 16th of Nov @7:40pm Alessia tripped over mannequin stand near fitting rooms, fellinto it hurtinh both legs. She felt a bit sore after mannequin was moved to centre of stand to make it more obvious.  No camera in the area.</t>
  </si>
  <si>
    <t>SRG-INJ-1687</t>
  </si>
  <si>
    <t>HS325984</t>
  </si>
  <si>
    <t>DJUROVIC, JANA</t>
  </si>
  <si>
    <t>Ball of left foot</t>
  </si>
  <si>
    <t>Team member Jana stepped on a pin from a security tag and it went through her shoe and poked her skin drawing blood. It hurt her to walk on it for a while but she is feeling better now. A bandaid was applied.</t>
  </si>
  <si>
    <t>Security Tag / Pin</t>
  </si>
  <si>
    <t>SRG-INJ-1624</t>
  </si>
  <si>
    <t>Left hand / wrist, the top of the wrist hand</t>
  </si>
  <si>
    <t>A team member was walking to the pillow section and as he walked  he hit his hand against a toaster rack that was protruding from a shelf.   The toaster rack was filled mattress protectors.   The team member informed Nicole and  and he sat down and rested his hand and was given ice for 10 min then rest with no ice and then 20min later he put ice on for a another 10 min.  The team member was able to perform light duties, customer greeter for the rest of his shift.  At the end of his shift the team member informed Nicole that there was no pain and felt normal.  There appears to swelling on the left wrist..  Team member detail's are as follows;  Dasharaath Vellayan  Ph: 0435 388 294</t>
  </si>
  <si>
    <t>SRG-INJ-1612</t>
  </si>
  <si>
    <t>HS325833</t>
  </si>
  <si>
    <t>AGHAN, NICOLE</t>
  </si>
  <si>
    <t>Left lower leg</t>
  </si>
  <si>
    <t>Team member Nicole Aghan tripped over a flatbed trolley and fell on top of it. Hit lower left leg. Trolley was put there to take rubbish out from behind registers. The trolley was left there in the way. Due to the narrow walkway the team member fell as she turned around. Team member felt a bit of a shock and a sore leg but otherwise okay.</t>
  </si>
  <si>
    <t>SRG-INJ-3437</t>
  </si>
  <si>
    <t>HS294678</t>
  </si>
  <si>
    <t>TSOKOS, GEORGINA</t>
  </si>
  <si>
    <t>Southland</t>
  </si>
  <si>
    <t>Left hand webbing</t>
  </si>
  <si>
    <t>Gina was trying to close one of the rail extenders, it snapped shut and he she got her webbing from her left hand pinched in between</t>
  </si>
  <si>
    <t>SRG-INJ-3167</t>
  </si>
  <si>
    <t>HS323920</t>
  </si>
  <si>
    <t>BOLT, JULIE</t>
  </si>
  <si>
    <t>julie pulled a muscle in her back /perhaps slip disc, while bending over for a dinner set,   has happened once to her before outside of work. julie was bend over lending on a trolley for support when she was coming to tell bronwyn manager on duty.   ice pack was applied, bronwyn escorted julie out of the store .   doctors appointment made for 12.30 today,  JDA send</t>
  </si>
  <si>
    <t>SRG-INJ-2870</t>
  </si>
  <si>
    <t>HS406857</t>
  </si>
  <si>
    <t>MANILA, AILAMA</t>
  </si>
  <si>
    <t>head</t>
  </si>
  <si>
    <t>aggressive customer entered store and asked for the manager - manager proceeded to ask her to leave when she became aggressive.  manager followed her out the front door to make sure she left.</t>
  </si>
  <si>
    <t>Mental diseases unspecified</t>
  </si>
  <si>
    <t>SRG-INJ-2832</t>
  </si>
  <si>
    <t>cut left index finger</t>
  </si>
  <si>
    <t>cut finger on vm stand while changing out signage</t>
  </si>
  <si>
    <t>SRG-INJ-2828</t>
  </si>
  <si>
    <t>HS335086</t>
  </si>
  <si>
    <t>HISLOP, NICOLE</t>
  </si>
  <si>
    <t>Left foot, security pin pierced shoe and skin minimally.</t>
  </si>
  <si>
    <t>Nicole stood on a security pin and it pierced her skin lightly. Small drops of blood, disinfected wipes, water and band aid administered.</t>
  </si>
  <si>
    <t>SRG-INJ-2556</t>
  </si>
  <si>
    <t>HS286332</t>
  </si>
  <si>
    <t>DOWSETT, KATIE</t>
  </si>
  <si>
    <t>left elbow</t>
  </si>
  <si>
    <t>katie was on break and was leaning on her left arm and her elbow has started hurting</t>
  </si>
  <si>
    <t>SRG-INJ-2411</t>
  </si>
  <si>
    <t>Finger got jammed in trolley and her manicured nail was torn</t>
  </si>
  <si>
    <t>The team member trying to stop a theft in progress had her finger and nail damaged by trying to hold the trolley the culprit was wheeling.</t>
  </si>
  <si>
    <t>SRG-INJ-2346</t>
  </si>
  <si>
    <t>was in reserve stacking carpet tile boxes. felt pain in lower back as i finished stacking boxes.</t>
  </si>
  <si>
    <t>SRG-INJ-2272</t>
  </si>
  <si>
    <t>HS323716</t>
  </si>
  <si>
    <t>BYNION, FAY</t>
  </si>
  <si>
    <t>right forearm, left starting to hurt from possible over compensation</t>
  </si>
  <si>
    <t>Fay came to management about 11am saying that her right arm was ' playing up again' from a previous injury at her prior job  fay was off friday 26th and sat 27th  fay rang Bronwyn on sunday and said she was going to go for scans for possible ' tendonitis ' and or 'carpal tunnel ' fay did say she has this injury at her previous work, however did not go through work cover  fay updated bron on monday 29th that it was starting to feel better with rest and being strapped . scans booked for wednesday 31st  bron emailed fay a JDA and explained the next process with JDA and work cover process as her doctor said to talk to employee about work cover</t>
  </si>
  <si>
    <t>SRG-INJ-2089</t>
  </si>
  <si>
    <t>HS323727</t>
  </si>
  <si>
    <t>MCGREGOR, COOPER</t>
  </si>
  <si>
    <t>Was crouched down stacking small boxes in tabletop reserve, then as he went to stand up, banged left shoulder into a cage.</t>
  </si>
  <si>
    <t>SRG-INJ-1999</t>
  </si>
  <si>
    <t>Soreness, brusing and tender left foot</t>
  </si>
  <si>
    <t>Fay was working and filling stock when the lid fell out of a box and landed directly on the top foot bone, causing pain and soreness</t>
  </si>
  <si>
    <t>SRG-INJ-1998</t>
  </si>
  <si>
    <t>HS407120</t>
  </si>
  <si>
    <t>ZIGOURAS, LOREDANA</t>
  </si>
  <si>
    <t>Soreness, brusing and tender left knee</t>
  </si>
  <si>
    <t>Wheeling out rails of Apparel clearance from our P2 space as I came around the corner the rail tipped completely over and I went over are the top of it, causing my left knee to be hurt and bruising on the inside of my right and left knees.</t>
  </si>
  <si>
    <t>SRG-INJ-1750</t>
  </si>
  <si>
    <t>HS328616</t>
  </si>
  <si>
    <t>SAMIMI, SOROUSH</t>
  </si>
  <si>
    <t>Team member felt lower back pain whilst on door greeter duties (he was tagging and re-hangering loose ladies jeans earlier in the evening).  His rostered shift was 5-9pm.</t>
  </si>
  <si>
    <t>SRG-INJ-3572</t>
  </si>
  <si>
    <t>HS334932</t>
  </si>
  <si>
    <t>DINGWALL, SAMANTHA</t>
  </si>
  <si>
    <t>Shepparton</t>
  </si>
  <si>
    <t>right wrist</t>
  </si>
  <si>
    <t>Samantha was leaving the register area to close the door. As she attempted to step out, she tripped on a power cord from the fan next to the register and fell onto her hands and knees. Judy asked if she was ok. She laughed and said yes. They continued on to close the register  together.</t>
  </si>
  <si>
    <t>SRG-INJ-3353</t>
  </si>
  <si>
    <t>HS288672</t>
  </si>
  <si>
    <t>MCMAHON, JUDY</t>
  </si>
  <si>
    <t>Both shoulders</t>
  </si>
  <si>
    <t>Team member lifted a dinner set off a trolley and pulled the muscle in her shoulders. Since then, worsening pain radiating to other shoulder and down both arms.</t>
  </si>
  <si>
    <t>SRG-INJ-3281</t>
  </si>
  <si>
    <t>HS329541</t>
  </si>
  <si>
    <t>BULL, KAREN</t>
  </si>
  <si>
    <t>Achilles Tendon - Left.</t>
  </si>
  <si>
    <t>Use of stairs in store - Originally reported as non work related</t>
  </si>
  <si>
    <t>SRG-INJ-2951</t>
  </si>
  <si>
    <t>HS335338</t>
  </si>
  <si>
    <t>IARIA, ANTONIO</t>
  </si>
  <si>
    <t>Right arm/wrist</t>
  </si>
  <si>
    <t>Tony was taking a pallet down the ramp and the pallet jack brake did not work. The pallet rammed into the dock rolladoor after tony managed to step aside and let it go.</t>
  </si>
  <si>
    <t>Other non-powered equipment</t>
  </si>
  <si>
    <t>Pallet Jack</t>
  </si>
  <si>
    <t>SRG-INJ-2347</t>
  </si>
  <si>
    <t>left knee cut, both knees bruised, both ankles twisted and swollen</t>
  </si>
  <si>
    <t>Team member was returning to store after a tea break. Tripped on plane tree seed at the entry to the store, and fell over as a result. Team member went home at 10am with bruising and swelling to the ankle and leg.</t>
  </si>
  <si>
    <t>SRG-INJ-2256</t>
  </si>
  <si>
    <t>HS407026</t>
  </si>
  <si>
    <t>JEFFERY, JOSEPH</t>
  </si>
  <si>
    <t>shock</t>
  </si>
  <si>
    <t>Walked inside the lift and hit 1 to go to the top floor, as the doors closed a loud bang with a flare of fire came out of the top of the lift. (the cam shaft has blow a fuse) All i could smell was electrical wire burning. I was dazed and shocked for a couple seconds and i had to wedge to doors open to get out of the lift.</t>
  </si>
  <si>
    <t>Being trapped by moving machinery or equipment</t>
  </si>
  <si>
    <t>Office and electronic equipment</t>
  </si>
  <si>
    <t>SRG-INJ-2026</t>
  </si>
  <si>
    <t>HS321428</t>
  </si>
  <si>
    <t>MCGURGAN, KAYLA</t>
  </si>
  <si>
    <t>Kayla was walking towards the linen house wall to put stock on the shelf, the floor has a hole rotting away from old termites. As Kayla stepped forward she lost her balance and braced her other foot down and jolted her back.</t>
  </si>
  <si>
    <t>SRG-INJ-1584</t>
  </si>
  <si>
    <t>HS322712</t>
  </si>
  <si>
    <t>FORREST, JESSAMYN</t>
  </si>
  <si>
    <t>Face/nose slight swelling and light bruising</t>
  </si>
  <si>
    <t>Jess was moving a display blender onto the electrical display shelf riser after a customer had pulled it down to look at it, the glass jug part was not secured into the base and as lifting it it fell onto her face, hitting her nose and knocking her glasses off her face.</t>
  </si>
  <si>
    <t>SRG-INJ-2767</t>
  </si>
  <si>
    <t>HS406963</t>
  </si>
  <si>
    <t>CHAGIS, MARIA</t>
  </si>
  <si>
    <t>Airport West</t>
  </si>
  <si>
    <t>Laceration on the Left Index Finger</t>
  </si>
  <si>
    <t>I cut open a pre labelled box with a Kleeva cutter that was sent from DC that was placed on the reserve shelves due to it having damaged goods inside. Broken glass could be heard also.  The box was labelled 2 x broken   Attention:  Damaged stock Please inspect if saleable or write off as damaged in transit   I slit the middle of the box with an kleeva cutter and placed my left pointer finger slightly in the box to open the side up. I felt a sharp sting and pulled my finger out immediately to a gush of blood.  The box still hadn't been opened completely at this stage as I had to compress the laceration.  The contents of the box was 4x 24cm O'Cuisena mixing bowls which are made out of Borosilicate glass oven safe so it is a thick strong and durable glass. (2 of which had been assessed at the DC as broken) but I can't say for sure how many of the 4 were in fact broken as the box went in the bin in its entirety.   Article 562593</t>
  </si>
  <si>
    <t>SRG-INJ-3509</t>
  </si>
  <si>
    <t>HS297118</t>
  </si>
  <si>
    <t>HARTIGAN, CORY</t>
  </si>
  <si>
    <t>Cranbourne Park</t>
  </si>
  <si>
    <t>top of my head towards front RHS</t>
  </si>
  <si>
    <t>I unlocked the magnet for the set of knives took 1 knife down for the customer as I handed it to him, 4 more from the top row fell on to my head.</t>
  </si>
  <si>
    <t>SRG-INJ-3507</t>
  </si>
  <si>
    <t>HS321544</t>
  </si>
  <si>
    <t>HOULT, PETER</t>
  </si>
  <si>
    <t>right hand knuckle at base of pointer finger</t>
  </si>
  <si>
    <t>Peter said he slipped and fell into Lancom safe and smashed his fist into the glass screen and broke it. However on viewing of the CCTV footage I can see that he actually punched the safe screen in frustration.He has a swollen and bruised knuckle. I will be having a formal discussion next week with Peter regarding this incident</t>
  </si>
  <si>
    <t>SRG-INJ-3227</t>
  </si>
  <si>
    <t>HS297079</t>
  </si>
  <si>
    <t>BASTIAN, WILLIAM</t>
  </si>
  <si>
    <t>left pointer finger towards top has been cut</t>
  </si>
  <si>
    <t>Ninja box was next to desk full of plastic Billy assumed it was rubbish so took a plastic bag and put hand into box not realising there were blades in the box and sliced his left pointer finger on the blade.. The main concern is this is the same blade that the customer cut her thumb on last week and may be contaminated</t>
  </si>
  <si>
    <t>Utensils not elsewhere classified</t>
  </si>
  <si>
    <t>SRG-INJ-3126</t>
  </si>
  <si>
    <t>HS297080</t>
  </si>
  <si>
    <t>CSIKOS, JAMISON</t>
  </si>
  <si>
    <t>middle left finger</t>
  </si>
  <si>
    <t>Team member was counting the safe when she went to put back a tub of coins and it snap her nail back.</t>
  </si>
  <si>
    <t>SRG-INJ-2739</t>
  </si>
  <si>
    <t>HS296309</t>
  </si>
  <si>
    <t>JOYCE, CHELSEA</t>
  </si>
  <si>
    <t>left foot was hit and it started to throb</t>
  </si>
  <si>
    <t>dropped chopping board on left foot</t>
  </si>
  <si>
    <t>SRG-INJ-2462</t>
  </si>
  <si>
    <t>HS297227</t>
  </si>
  <si>
    <t>HAILEY, KELLY</t>
  </si>
  <si>
    <t>left side of the head was hit</t>
  </si>
  <si>
    <t>Team member followed customer out to their car as they have stolen knife block and cutlery set from us. As they reached up to smiggle customer got aggressive and started to attack Kelly and hit her across the head with the knife block.   Paramedics was called to check on Kelly as she 7 month pregnant and had a big bump on her head from the hit.</t>
  </si>
  <si>
    <t>SRG-INJ-2201</t>
  </si>
  <si>
    <t>HS292572</t>
  </si>
  <si>
    <t>KIM, LINDA</t>
  </si>
  <si>
    <t>Right wrist</t>
  </si>
  <si>
    <t>Went to put  cage back together as I locked up the middle part it fall onto my write as  I turn away for a second. No other first aid needed at the time.</t>
  </si>
  <si>
    <t>Fastening, packing and packaging equipment</t>
  </si>
  <si>
    <t>SRG-INJ-1908</t>
  </si>
  <si>
    <t>left cheeks</t>
  </si>
  <si>
    <t>Box was up high and fall onto team members face.</t>
  </si>
  <si>
    <t>SRG-INJ-3528</t>
  </si>
  <si>
    <t>HS297419</t>
  </si>
  <si>
    <t>WICKENS, NICOLE</t>
  </si>
  <si>
    <t>Waurn Ponds (Hs Home)</t>
  </si>
  <si>
    <t>right bicep tenderness</t>
  </si>
  <si>
    <t>Nicole Wickens was reaching up to get a 30l airfryer oven off the shelf. Because of the size and weight of the box it is awkward to lift. While lifting it down Nikki had pain in her right bicep. As a result Nikkis right bicep is sore and tender when extending her arm</t>
  </si>
  <si>
    <t>SRG-INJ-3500</t>
  </si>
  <si>
    <t>HS321779</t>
  </si>
  <si>
    <t>ADAMS, CHRISTINE</t>
  </si>
  <si>
    <t>left knee</t>
  </si>
  <si>
    <t>While relocating throws onto a back end cap, Chris was adjusting shelf heights to accommodate sizes of throws. One of the shelves was not locked in the notch hole properly, and started to fall. When avoiding the shelf falling on her, Chris tripped and fell onto her knees on the floor. Chris got up and came to inform myself of the incident. I asked if she was ok and did she need any treatment. I said we should fill in a repot, but Chris said her knee was fine and didnt want to do that. I said to Chris to see how she goes and to let me know if her knee gets sore. Later that night i received a messege from her that her knee was a little swollen and sore in the afternoon. I finished for the day at around 1pm, so Chris messeged me after she got home. I called her to see how she was, she explained that her knee had gotten a bit sorer as the afternoon went on and started to swell a little. Got her to take a photo of her knee and send it to me, as she didnt have another shift for the rest of the week. I called her on Wednesday 26/03/2025 to see how her knee was? Said she was going to the doctors friday 28/03/2025 to get it checked out. I will also speak to her today</t>
  </si>
  <si>
    <t>SRG-INJ-3443</t>
  </si>
  <si>
    <t>HS297406</t>
  </si>
  <si>
    <t>PIERCE, CATHRYN</t>
  </si>
  <si>
    <t>cut finger</t>
  </si>
  <si>
    <t>A customer was wanting to have a look and feel the weight of the knives from a furi knife block set. Cath unlocked the set and opened the box,, they wanted to feel the biggest knife which was in a hard plastic sleeve. to get the knife out of the plastic, Cath needed to twist it out. As Cath handed her the knife she somehow sliced the top of her finger.. Cath then applied pressure with tissues and requested bandaids. I then applied bandaids as requested. Cath then assured me she was ok, and required no further treatment was needed and went back to serving customers.</t>
  </si>
  <si>
    <t>SRG-INJ-3152</t>
  </si>
  <si>
    <t>tendon in right wrist</t>
  </si>
  <si>
    <t>team member was getting cedar balls for customer. Lifted half empty box to put back on shelf. Palm upwards. Felt immediate pain.</t>
  </si>
  <si>
    <t>SRG-INJ-3172</t>
  </si>
  <si>
    <t>Cath has been with Harris Scarfe for a number of years. Starting in our Ballarat Store, then in recent times transfering to here at Waurn Ponds. As a result Cath has developed weak tendons on her wrist from reparative lifting. We first put this a a non work related injury as her tendon tore while she was at home. Cath saw her doctor and it was stated that,it was  work related, but she could still work with a 5KG lifting limit,as stated on a previous JDA. This was sent to Angela as it was non work related at the time.. Cath returned to work on the 27/11 on restricted duties. On Saturday 30/11, Cath was putting a light box (under5kg) back on a shelf out the back and her tendon popped. Cath has since been back to her doctor and has now been told she has no capacity to work from 3/12/24-31/12/24. Estimated time frame of 6 weeks</t>
  </si>
  <si>
    <t>Restricted Hours</t>
  </si>
  <si>
    <t>SRG-INJ-2027</t>
  </si>
  <si>
    <t>Bottom lip and cut on the inside and bruised on the outside</t>
  </si>
  <si>
    <t>Team member was returning stock to shelves when team member slipped and knocked lip on shelf bar causing it to bleed and bruise</t>
  </si>
  <si>
    <t>Mouth</t>
  </si>
  <si>
    <t>SRG-INJ-2011</t>
  </si>
  <si>
    <t>HS328036</t>
  </si>
  <si>
    <t>MEAD, SUSANNE</t>
  </si>
  <si>
    <t>grazed arm armd grazed wrist</t>
  </si>
  <si>
    <t>fall from small ladder in back store room while retrieving stock for customer.</t>
  </si>
  <si>
    <t>SRG-INJ-3275</t>
  </si>
  <si>
    <t>HS291576</t>
  </si>
  <si>
    <t>MCDOWALL, CHARLENE</t>
  </si>
  <si>
    <t>Warrnambool</t>
  </si>
  <si>
    <t>right ankle</t>
  </si>
  <si>
    <t>Charlene was going to the registers, she didn't see a hanger on the ground and has tripped and landed on her bad ankle</t>
  </si>
  <si>
    <t>SRG-INJ-3208</t>
  </si>
  <si>
    <t>HS296539</t>
  </si>
  <si>
    <t>HUTCHINSON, KALEB</t>
  </si>
  <si>
    <t>sore right side of neck</t>
  </si>
  <si>
    <t>Kaleb was searching for a vacuum cleaner display box for a customer in the front reserve. The box he needed was on the very bottom of the stack. When he pulled the box he needed out a couple of the boxes from the stack fell on top of his head. He flinched when it happened and felt a sharp pain in the right side of his neck. He then had a rest in the office sitting and laying with an ice pack the pain persisted and he went home at 3:20</t>
  </si>
  <si>
    <t>SRG-INJ-2990</t>
  </si>
  <si>
    <t>sore back and right ankle</t>
  </si>
  <si>
    <t>An elderly customer with Parkinson's came into the store whilst shopping she has become incontinent (passed bodily function) resulting in Charlene lifting the customer to help her get all cleaned up. Which has resulted in a flare up with Charlene's back and right ankle.</t>
  </si>
  <si>
    <t>Trunk and limbs</t>
  </si>
  <si>
    <t>SRG-INJ-2831</t>
  </si>
  <si>
    <t>HS296672</t>
  </si>
  <si>
    <t>MURPHY, LAUREN</t>
  </si>
  <si>
    <t>right lower side and left ankle</t>
  </si>
  <si>
    <t>Lauren walked into the ladies toilet and slipped over due to a wet floor with no caution signage up</t>
  </si>
  <si>
    <t>SRG-INJ-2809</t>
  </si>
  <si>
    <t>HS323303</t>
  </si>
  <si>
    <t>DEAN, KAREN</t>
  </si>
  <si>
    <t>Bump on head - back of head</t>
  </si>
  <si>
    <t>Lynda and Karen were removing bars to refit the bras department when the grey mesh fell down and hit them both on their heads.</t>
  </si>
  <si>
    <t>SRG-INJ-2812</t>
  </si>
  <si>
    <t>HS297410</t>
  </si>
  <si>
    <t>WALLACE, LYNDA</t>
  </si>
  <si>
    <t>hit side of head</t>
  </si>
  <si>
    <t>SRG-INJ-2661</t>
  </si>
  <si>
    <t>HS290021</t>
  </si>
  <si>
    <t>MCCOSKER, BERNADETTE</t>
  </si>
  <si>
    <t>right shoulder</t>
  </si>
  <si>
    <t>Bernadette was emptying the hanger box and felt a twinge in her right shoulder. She felt something but didn't think much of it as wasn't painful but has gotten progressively worse</t>
  </si>
  <si>
    <t>SRG-INJ-2188</t>
  </si>
  <si>
    <t>bruise to the right side of the forehead and sore neck</t>
  </si>
  <si>
    <t>The team member was reaching above head height to put in an arm for the fixture where the shelf above  has  slipped and bumped her on her forehead</t>
  </si>
  <si>
    <t>SRG-INJ-1798</t>
  </si>
  <si>
    <t>HS295616</t>
  </si>
  <si>
    <t>CLEAVER, STEPHANIE</t>
  </si>
  <si>
    <t>lower right side</t>
  </si>
  <si>
    <t>The cleaner had mopped the bathroom tiles and did not put up a wet floor sign therefore I walked in and slipped onto the tiles</t>
  </si>
  <si>
    <t>SRG-INJ-2224</t>
  </si>
  <si>
    <t>HS321813</t>
  </si>
  <si>
    <t>WEEDON, HELEN</t>
  </si>
  <si>
    <t>Sunbury</t>
  </si>
  <si>
    <t>Right hand/wrist</t>
  </si>
  <si>
    <t>Helen came to me in August of this year raising an issue with her right hand/wrist. She has told me repeatedly that the initial injury has occurred outside of work, however work has/is reaggravating it. We have been very accommodating for her, putting her on light duties when it is playing up and also after she had an injection into the wrist to see if that could assist. She has been wearing a wrist brace at work for some time now, but unfortunately it does not seem to be recovering. This is the day where she handed in her certificate of capacity</t>
  </si>
  <si>
    <t>SRG-INJ-1684</t>
  </si>
  <si>
    <t>HS296713</t>
  </si>
  <si>
    <t>SPITERI, NICHOLAS</t>
  </si>
  <si>
    <t>Got hit in forehead. No bruising, no cuts</t>
  </si>
  <si>
    <t>Team member was working stock and putting pillows into a fixture, when the overhead sign has came loose from the wall and swung out and hit him in the forehead</t>
  </si>
  <si>
    <t>SRG-INJ-2814</t>
  </si>
  <si>
    <t>HS407036</t>
  </si>
  <si>
    <t>LARKING, GEORGINA</t>
  </si>
  <si>
    <t>Traralgon</t>
  </si>
  <si>
    <t>right knee, left calf and ankle</t>
  </si>
  <si>
    <t>as I stepped past an open box my shoe caught the lid which folded down and tripped me over. my right foot scraped my left calf as i fell i landed on my right knee and rolled back onto my right hip landing on the concrete floor</t>
  </si>
  <si>
    <t>SRG-INJ-1844</t>
  </si>
  <si>
    <t>HS297458</t>
  </si>
  <si>
    <t>DOUGLAS, KARIN</t>
  </si>
  <si>
    <t>Head sore</t>
  </si>
  <si>
    <t>Team member lifted dinnersets off shelf which caused shelf to lift up and hit Karin in the head</t>
  </si>
  <si>
    <t>SRG-INJ-1689</t>
  </si>
  <si>
    <t>HS406747</t>
  </si>
  <si>
    <t>ROGERS, ROBYN</t>
  </si>
  <si>
    <t>Gondola fixtures that bras are displayed on were being relocated by area manager Adam Moore and team members Simon Craig and Robyn Rogers. As force was applied to the unit and Robyn began pulling, the end of the unit fell off causing Robyn to fall backwards onto the floor hitting her hip hard. At the time Robyn was in shock however, got up and sat down for a couple of minutes. I rang her today (03/08/23) and she is quite sore and if she doesn't improve will seek medical advice in the coming days.</t>
  </si>
  <si>
    <t>SRG-INJ-1691</t>
  </si>
  <si>
    <t>HS327261</t>
  </si>
  <si>
    <t>CRAIG, SIMON</t>
  </si>
  <si>
    <t>Finger cut</t>
  </si>
  <si>
    <t>Simon's finger got caught and landed in a draw unit causing blood and a strain</t>
  </si>
  <si>
    <t>SRG-INJ-1587</t>
  </si>
  <si>
    <t>Hip hit the ground hard</t>
  </si>
  <si>
    <t>Team member Karin Douglas tripped over the gift card stand and landed in a sideways position on her hips and is sore. She did not need or want an ambulance and we will see how she pulls up over the next few days however, she is up and walking fine but was winded a little bit initially</t>
  </si>
  <si>
    <t>SRG-INJ-3511</t>
  </si>
  <si>
    <t>HS327413</t>
  </si>
  <si>
    <t>TURNER, GEORGIA</t>
  </si>
  <si>
    <t>Eastland</t>
  </si>
  <si>
    <t>right side of face</t>
  </si>
  <si>
    <t>Team member was on the shop floor in mens wear where a customer had knocked over a mannequin, herself and co working were putting it back together when the torso feel lose and hit her on the left side of her face, (from under check bone to above eyebrow. Ice pack was applied immediately as swelling and redness appeared straight away.</t>
  </si>
  <si>
    <t>SRG-INJ-3380</t>
  </si>
  <si>
    <t>HS337989</t>
  </si>
  <si>
    <t>RANSOME, MONTANNAH</t>
  </si>
  <si>
    <t>sore wrist</t>
  </si>
  <si>
    <t>Team member Montannah has informed us that her wrist is sore from working in the dock and it is causing her pain, it is an RSI from working in the dock, the pain is keeping her up at night, have informed her to go to the doctors</t>
  </si>
  <si>
    <t>SRG-INJ-2945</t>
  </si>
  <si>
    <t>HS296206</t>
  </si>
  <si>
    <t>TARQUINIO, ZAC</t>
  </si>
  <si>
    <t>felt a pop in his knee, knee is hurting</t>
  </si>
  <si>
    <t>I stepped foward to grab a bag off the floor and i felt a pop in my knee</t>
  </si>
  <si>
    <t>SRG-INJ-2916</t>
  </si>
  <si>
    <t>HS333561</t>
  </si>
  <si>
    <t>LEE, CHRISTOPHER</t>
  </si>
  <si>
    <t>Lower back area</t>
  </si>
  <si>
    <t>During the morning when Chris was performing duties in the Ecom department he felt a sudden sharp pain and tightness in his back. He felt that most movement in his lower back area was causing sharp pains and general movement had become paired with discomfort. Chris said he was practicing correct movement and bending of knees when doing the physical handling tasks.</t>
  </si>
  <si>
    <t>SRG-INJ-2441</t>
  </si>
  <si>
    <t>HS296882</t>
  </si>
  <si>
    <t>HUANG, QIN</t>
  </si>
  <si>
    <t>Helen was putting new clothing out on the shop floor as she was taking clothes from the rail and placing it on the apparel arm she twisted and hurt her right knee, she felt immediate pain and then limped to find another team member for help she saw vince on the door, I then went over to her and she said she hurt her knee, i went to the office and got her a chair to sit down on, after 10min she wanted to go to the tea room where she applied an icepack.</t>
  </si>
  <si>
    <t>SRG-INJ-2182</t>
  </si>
  <si>
    <t>HS325824</t>
  </si>
  <si>
    <t>RANSOME, VANESSA</t>
  </si>
  <si>
    <t>walking down the main corridor and slipped, as the cleaner had just mopped the floor so was a bit wet, out front of menswear and shoes</t>
  </si>
  <si>
    <t>Indoor environment</t>
  </si>
  <si>
    <t>SRG-INJ-2151</t>
  </si>
  <si>
    <t>foot</t>
  </si>
  <si>
    <t>Helen was taking underwear off an apparel roller rail when the top of the rail came off and the side of the rail collapsed and one of the ends folded down onto her foot</t>
  </si>
  <si>
    <t>SRG-INJ-1777</t>
  </si>
  <si>
    <t>middle and ring finger small cuts</t>
  </si>
  <si>
    <t>Zac was putting out stock and glasses fell from his cage and as he was trying to catch it they broke and ended up with 2 cuts on his finger</t>
  </si>
  <si>
    <t>SRG-INJ-3249</t>
  </si>
  <si>
    <t>HS296779</t>
  </si>
  <si>
    <t>PRATHEEPAN, SIVANGEN</t>
  </si>
  <si>
    <t>Fountain Gate</t>
  </si>
  <si>
    <t>Left foot and toes. Slight skin peel on my big foot and the rest of the toes just hurt when moving a bit</t>
  </si>
  <si>
    <t>Was using the forklift to get the cage stacks outside to aus post truck. When trying to fit the fork into the cage I put in reverse to get it In and my left foot got stuck on something behind me and the fork jammed my foot and I felt my toes bend in. It was on the fast mode and went further back then I pressed and quickly backed it forward. Hurt a bit but only after a while did it start to hurt whe n walking and couldn't put pressure on it.</t>
  </si>
  <si>
    <t>Walkie Stacker</t>
  </si>
  <si>
    <t>SRG-INJ-3069</t>
  </si>
  <si>
    <t>HS294876</t>
  </si>
  <si>
    <t>PUNCH, JULIANN</t>
  </si>
  <si>
    <t>Left Ankle</t>
  </si>
  <si>
    <t>Walking through apparel reserve.Stood on something on the ground and rolled left ankle. Looked to see what I stood on it was a security tag [hammerhead</t>
  </si>
  <si>
    <t>SRG-INJ-2537</t>
  </si>
  <si>
    <t>HS294425</t>
  </si>
  <si>
    <t>BESENYEI, DIANE</t>
  </si>
  <si>
    <t>di was unfolding a stiff cage. the shelf that is the base of the cage wasn't clipped in and it fell on her foot when the cage opened.</t>
  </si>
  <si>
    <t>SRG-INJ-2522</t>
  </si>
  <si>
    <t>HS323416</t>
  </si>
  <si>
    <t>NGACHIN, MATHOWIC</t>
  </si>
  <si>
    <t>object hit left leg</t>
  </si>
  <si>
    <t>trying to disarm soft tag on bedding and the product was leant against the scanner and it fell on Mathowic's leg. and has continually hurt since incident.</t>
  </si>
  <si>
    <t>SRG-INJ-2129</t>
  </si>
  <si>
    <t>Bruised, swollen  and cut skin on left shin.</t>
  </si>
  <si>
    <t>Cory was carrying a box and walked into the corner of an A frame stand. The corner of the shelf pieced the skin and we have applied a cold pack to area.</t>
  </si>
  <si>
    <t>SRG-INJ-1804</t>
  </si>
  <si>
    <t>Right hand at base of thumb and next two fingers showed mark where it was caught immediately and Di suffered some pain</t>
  </si>
  <si>
    <t>Rail from Z-rail collapsed as Di was putting stock onto it and her right hand grabbed the railing and got caught between the clothes and the rail</t>
  </si>
  <si>
    <t>SRG-INJ-2983</t>
  </si>
  <si>
    <t>HS406840</t>
  </si>
  <si>
    <t>FULLER, PAUL</t>
  </si>
  <si>
    <t>Carnegie (Hs Home)</t>
  </si>
  <si>
    <t>I have strained some muscles in my back</t>
  </si>
  <si>
    <t>I was carrying an Air Fryer to place it on show. The cleaner had mopped the floor a few minutes earlier. I wasn't aware that he had left a lot of water on the polished concrete floor. I lost my footing, and because my hands were full I landed on my back.</t>
  </si>
  <si>
    <t>Non-metallic minerals and substances</t>
  </si>
  <si>
    <t>SRG-INJ-2876</t>
  </si>
  <si>
    <t>HS325893</t>
  </si>
  <si>
    <t>NICHOLSON, CALLAN</t>
  </si>
  <si>
    <t>Middle finger left hand bruising to finger and base of nail</t>
  </si>
  <si>
    <t>Callan Nicholson was serving a Customer at the Registers located at Front-of Store at HS Carnegie. He passed the customer their receipt and went to close the drawer of the Receipt Printer. When he closed the drawer he jammed the middle finger of his left hand between the printer and the pace in the Register bench where the receipt exits.</t>
  </si>
  <si>
    <t>SRG-INJ-2186</t>
  </si>
  <si>
    <t>HS326976</t>
  </si>
  <si>
    <t>PARKIN, WESLEY</t>
  </si>
  <si>
    <t>Left ring toe nail broken off</t>
  </si>
  <si>
    <t>Wes was wheeling a heavy trolley of glassware into the store when he accidentally ran over his toe with the trolley. He then took his shoe off to have a look, hes whole ring toe nail on his left foot had come off. There was a fair bit of blood so he used first aid to clean it up and bandage it. He was put on light duties for the duration of his shift (3 hours).</t>
  </si>
  <si>
    <t>SRG-INJ-1980</t>
  </si>
  <si>
    <t>HS297591</t>
  </si>
  <si>
    <t>MCMULLEN, ALYSE</t>
  </si>
  <si>
    <t>Cut to lateral knuckle of left index finger</t>
  </si>
  <si>
    <t>Alyse McMullen (ASM - Carnegie) was working in the Home Deco department near the front of the Carnegie HS Store. She found a diffuser that didn't have a display on show so she took it to the Register area to unbox the product to place it on show. The diffuser had a plug firmly wedged in it's opening which Alyse attempted to remove. She attempted to remove the lid of the diffuser using her Safety Cutter but slipped and cut her left hand (near the lateral knuckle of her index finger). She went to the bathroom to wash the wound and then returned to the store. She went to the office to lay down as she was feeling light-headed  with shock. A Team Member (Callan Nicholson) applied a First Aid dressing and too k her to the Medical Centre in Carnegie Central. They were unable to assist, so Callen transported her to her own doctor in Cheltenham. He advised that she had escaped serious damage, but that the wound required 2 stitches and that after a couple of days away from work (which she was rostered to have off) she would need to return on limited duties. She was able to drive herself home.</t>
  </si>
  <si>
    <t>SRG-INJ-2985</t>
  </si>
  <si>
    <t>HS296264</t>
  </si>
  <si>
    <t>RANDLES, EMERSON</t>
  </si>
  <si>
    <t>Frankston</t>
  </si>
  <si>
    <t>shoulder right,</t>
  </si>
  <si>
    <t>Emerson  was taking out cardboard,  they tried to open the cardboard when they tried to open it the lid swung back down the safety clip failed and fell back down and hurt Emerson's right shoulder  a new replacement bin was already ordered and a follow up was sent to Cleanaway and need maintenance</t>
  </si>
  <si>
    <t>SRG-INJ-2578</t>
  </si>
  <si>
    <t>HS318004</t>
  </si>
  <si>
    <t>KEATING, BRIDIE</t>
  </si>
  <si>
    <t>ankle misjudged bottom step of ladder</t>
  </si>
  <si>
    <t>Bridie was working on the ladder, in the stockroom she misjudged the bottom step and twisted her ankle on the ground, moved her to the office and sat her on a chair  applied snap pack ice and elevated the foot to try and reduce any swelling, for a period of time,  est 10-15 mins, swelling looked ok, and she got a bit of movement back into her foot, it was still sore, bridie was still not great we rang doctors but wait time would of been two hours, drove bridie home, gave her a medial capacity pack, as she was going to ring the doctor and get hers to come to her home,  received the forms last night, looks like she can come back to work but on slightly lighter duties no ladder climbing, 4-5 hours a shift, 5kg limits limited pushing and pulling  thanked her for getting the capacity filled out doctor review in one week tried to check CCTV for footage but couldn't find anything</t>
  </si>
  <si>
    <t>SRG-INJ-2480</t>
  </si>
  <si>
    <t>bridie was working in ladies wear were she all of a sudden radioed over the head set that she needed help, and that a U clothing bar popped out from the wall  and that she was holding it still  and that it was heavy  James myself  came over and i grabbed the  bar and put it back into the wall into place.  i asked it Bridie was ok what happened and she said the bar popped out while filling stock she was ok and continued to work the rest of the day</t>
  </si>
  <si>
    <t>SRG-INJ-1739</t>
  </si>
  <si>
    <t>HS297138</t>
  </si>
  <si>
    <t>WARD, KYRA</t>
  </si>
  <si>
    <t>right foot leg</t>
  </si>
  <si>
    <t>kyra ward was walking from the stockroom out to the shop floor as she opened the doors there was a stray box on the ground which she couldn't see as she opened the door, causing the door to hit the box and her momentum and sudden stoppage caused her to fall over the box, onto her hands and knees, minor/mild bruise sore, continued working, and is fine at</t>
  </si>
  <si>
    <t>SRG-INJ-3456</t>
  </si>
  <si>
    <t>HS323198</t>
  </si>
  <si>
    <t>STEWART, JAMES</t>
  </si>
  <si>
    <t>Tarneit</t>
  </si>
  <si>
    <t>right middle finger and index finger</t>
  </si>
  <si>
    <t>Testing a returned steamer, steamer reached hot enough temperature but not hot enough to turn to steam, resulting in steamer to shot hot water out, landing on James Stewarts right hand, resulting in a minor burn.</t>
  </si>
  <si>
    <t>Hot burn</t>
  </si>
  <si>
    <t>SRG-INJ-2790</t>
  </si>
  <si>
    <t>HS296667</t>
  </si>
  <si>
    <t>COATES, MARISA</t>
  </si>
  <si>
    <t>Finger indes on left hand and thumb left hand</t>
  </si>
  <si>
    <t>Team member was lowering the shelf in the black cage at Impulse. went to drop in was still stuck so went to try and straighten it and her finger got stuck between the cage and the shelf. Customer had to come help lift the shelf off. She has come straight down to apply Ice on her Finger.</t>
  </si>
  <si>
    <t>SRG-INJ-3097</t>
  </si>
  <si>
    <t>HS326476</t>
  </si>
  <si>
    <t>DAMALAS, BILL</t>
  </si>
  <si>
    <t>Chirnside Park</t>
  </si>
  <si>
    <t>head the brand plate fell on his head.</t>
  </si>
  <si>
    <t>Rearranging quilts on shelf and knocked the brand plate off which fell. He then stepped back out of the way but it still hit him on right side of top of head.</t>
  </si>
  <si>
    <t>SRG-INJ-2818</t>
  </si>
  <si>
    <t>HS296111</t>
  </si>
  <si>
    <t>MITCHELL, ELIZABETH</t>
  </si>
  <si>
    <t>fell and hit her hip</t>
  </si>
  <si>
    <t>Team member only just notified me of this innocent. On Tuesday the 30/7/2024 Elizabeth (Liz) Mitchell was putting stock away on the white wall using the step, while coming down she miss placed her footing and hit her hip and fell to the ground. Since then it has become extremely sore &amp; bruising has come out.</t>
  </si>
  <si>
    <t>SRG-INJ-2562</t>
  </si>
  <si>
    <t>refilling wall with bins perimeter brand blade was accidently knocked and fell hitting Billy on the top of the head grazing his head</t>
  </si>
  <si>
    <t>SRG-INJ-2557</t>
  </si>
  <si>
    <t>HS326653</t>
  </si>
  <si>
    <t>TOYNTON, ISABEL</t>
  </si>
  <si>
    <t>Team member was in warehouse gathering stock, when she moved the ladder a 6 litre smith &amp; noble air fryer fell on the top of her head. She then came into the tea room where she mentioned she was feeling light headed &amp; slight headache. She did not finish her shift &amp; left shortly after.</t>
  </si>
  <si>
    <t>Head - multiple locations</t>
  </si>
  <si>
    <t>SRG-INJ-1580</t>
  </si>
  <si>
    <t>A stack of boxes containing glassware and dinnerware fell on his head.</t>
  </si>
  <si>
    <t>team member was unloading pallets and stacked a cage of glassware and dinnerware to high and the boxes fell over off of the cage and landed on his head</t>
  </si>
  <si>
    <t>SRG-INJ-2730</t>
  </si>
  <si>
    <t>HS321391</t>
  </si>
  <si>
    <t>VIRDUZZO, CAROLYN</t>
  </si>
  <si>
    <t>Craigieburn</t>
  </si>
  <si>
    <t>Left forearm</t>
  </si>
  <si>
    <t>I was in the office conducting an interview with the door closed when i heard Carolyn calling my name frantically from the storeroom. Upon exiting the office, i could see Carolyn laying face down beside the ladder. As i've approached carolyn, i noticed a pile of blood accumulating beneath her arm. She informed me that she had fallen from the ladder and hurt her arm. I immediately dialled 000 and waited with Carolyn until the ambulance arrived. I applied pressure to her arm to stop the bleeding during this time. Once the ambulance arrived, they transported Carolyn to the Royal Melbourne Hospital. Carolyn had informed me earlier in the day that she wasn't feeling 100%.</t>
  </si>
  <si>
    <t>Ladders, mobile platforms, mobile stairways and scaffolding</t>
  </si>
  <si>
    <t>SRG-INJ-2645</t>
  </si>
  <si>
    <t>HS284576</t>
  </si>
  <si>
    <t>MU, SERGIO</t>
  </si>
  <si>
    <t>Sunshine Dc</t>
  </si>
  <si>
    <t>Right hand middle finger</t>
  </si>
  <si>
    <t>Team member was in warehouse 2 getting the black hand wrap to send to the store, and when the team member was opening the walkway safety gate with the hand wrap. the wrap started to slip from the team members left hand a then jammed the right-hand middle finger in the gate</t>
  </si>
  <si>
    <t>SRG-INJ-3441</t>
  </si>
  <si>
    <t>HS330482</t>
  </si>
  <si>
    <t>HUGHES, HAYLEY</t>
  </si>
  <si>
    <t>Bairnsdale</t>
  </si>
  <si>
    <t>across bridge of nose</t>
  </si>
  <si>
    <t>Putting a cushion up onto top shelf of gondala behind the A3 acrylic hanging sign. Thought it be safe and i should of taken sign down first but didnt and it dropped off landing on the bridge of my nose before falling to floor</t>
  </si>
  <si>
    <t>SRG-INJ-3279</t>
  </si>
  <si>
    <t>HS331149</t>
  </si>
  <si>
    <t>CHAPMAN, KELLY</t>
  </si>
  <si>
    <t>Right foot/ankle</t>
  </si>
  <si>
    <t>Kelly rolled her right foot/ankle while trying to slow/stop the rollcage she was working stock from.</t>
  </si>
  <si>
    <t>SRG-INJ-3150</t>
  </si>
  <si>
    <t>Right index finger</t>
  </si>
  <si>
    <t>Kelly went to take a security tag off a shoe and it got stuck and her hand hit the steel magnet attached to the counter.  This has caused what looks like a dislocation to right index finger</t>
  </si>
  <si>
    <t>SRG-INJ-2698</t>
  </si>
  <si>
    <t>HS331147</t>
  </si>
  <si>
    <t>JENKINS, KALEY</t>
  </si>
  <si>
    <t>Kaley was standing on high ladder putting electric blankets on top shelf in warehouse and hit the back of her head on one of the support beams</t>
  </si>
  <si>
    <t>SRG-INJ-2644</t>
  </si>
  <si>
    <t>HS331223</t>
  </si>
  <si>
    <t>WOODS, TYLER</t>
  </si>
  <si>
    <t>Dust in  eye</t>
  </si>
  <si>
    <t>Tyler Woods was moving and adjusting shelving inside warehouse. Towards end of shift his eye became itchy. Within afew days it had swollen. Went to doctor and got cream. Did not report to us till yesterday 30/05/2024.</t>
  </si>
  <si>
    <t>Contact with, or exposure to, biological factors of non-human origin</t>
  </si>
  <si>
    <t>SRG-INJ-2334</t>
  </si>
  <si>
    <t>Right knee</t>
  </si>
  <si>
    <t>Team member was walking from the warehouse entry to the apparel storage when they felt a click and stumbled which resulted in their knee dislocating,  they then lent against the shelf to put the knee back into place.</t>
  </si>
  <si>
    <t>SRG-INJ-3360</t>
  </si>
  <si>
    <t>HS407101</t>
  </si>
  <si>
    <t>FEHR, ANNE</t>
  </si>
  <si>
    <t>Harris Scarfe Pty Ltd Head Office</t>
  </si>
  <si>
    <t>slipped outside on footpath and fell on side</t>
  </si>
  <si>
    <t>They (Tanya Drew) were walking down the street and Anne Fehr slipped and fell on her right side. Anne has grazed her right knee and right elbow. Tanya picked her up and she started to feel unwell, very dizzy and nauseous. They sat on a nearby bench and Anne put her head between her legs because she was dizzy and had some water. Came back up to office, still felt nauseous and started to feel really tired. Iced it for 15 min twice and got some antiseptic cream. John called Emma the First Aid and Emma asked normal questions and because of nausea Emma bought her jelly beans and orange juice.. Emma looked at knee which was swollen so bandaged. and cleaned wound with proper wound clean. Hurt to walk on. Emmaline has taken Anne home at 3:20 and Anne will check in with Stephen in 1 hr.</t>
  </si>
  <si>
    <t>Outdoor environment</t>
  </si>
  <si>
    <t>SRG-INJ-2801</t>
  </si>
  <si>
    <t>HS406992</t>
  </si>
  <si>
    <t>HODGKISS, JOHN</t>
  </si>
  <si>
    <t>Right finger</t>
  </si>
  <si>
    <t>I cut my finger on a glass candle sample sent from our China Office on Monday 15th July   The sample looked as if it was sent with a chipped base and I opened the sample and cut my finger on the edge   Emma cleaned up the wound, applied a gauze, and taped the finger.   I was feeling fine but wanted to log it</t>
  </si>
  <si>
    <t>SRG-INJ-2666</t>
  </si>
  <si>
    <t>HS334134</t>
  </si>
  <si>
    <t>STEVENSON, CAITLIN</t>
  </si>
  <si>
    <t>Bruise left knee</t>
  </si>
  <si>
    <t>Caitlin Stevenson came out of the bathroom, walked through to kitchen and ankle gave out. Landed on left knee. Nothing that i slipped on just ankle gave way.</t>
  </si>
  <si>
    <t>SRG-INJ-2070</t>
  </si>
  <si>
    <t>HS406735</t>
  </si>
  <si>
    <t>THEODOSOPOULOS, EFFIE</t>
  </si>
  <si>
    <t>foot, neck</t>
  </si>
  <si>
    <t>Effie was walking out of the kitchen and slipped on the polished concrete floor falling to the carpet jarring her neck and rolling her foot</t>
  </si>
  <si>
    <t>SRG-INJ-1675</t>
  </si>
  <si>
    <t>HS406976</t>
  </si>
  <si>
    <t>FAIRTHORNE, EMMALINE</t>
  </si>
  <si>
    <t>neck and back</t>
  </si>
  <si>
    <t>swiped pass and pulled on door but lock didnt release and hand got caught and jarred neck and back</t>
  </si>
  <si>
    <t>SRG-INJ-2434</t>
  </si>
  <si>
    <t>HS321490</t>
  </si>
  <si>
    <t>GROOMBRIDGE, KATRINA</t>
  </si>
  <si>
    <t>Harris Scarfe TAS</t>
  </si>
  <si>
    <t>Moonah</t>
  </si>
  <si>
    <t>Grazing and bruising on right forearm</t>
  </si>
  <si>
    <t>Slipped on wet floor as she fell hit her right forearm on the wall. Landed on the bottom. Jar her head.</t>
  </si>
  <si>
    <t>SRG-INJ-2370</t>
  </si>
  <si>
    <t>G7387609</t>
  </si>
  <si>
    <t>HS295951</t>
  </si>
  <si>
    <t>HOWELL, KATIA</t>
  </si>
  <si>
    <t>Left Hand side blow to the jawline by closed fist</t>
  </si>
  <si>
    <t>Team member Katia Howell stood at the door, the young female came from behind an aisle, still running and punched Katia in the Left hand side of her face, along her jaw, Katia had no time to respond or protect herself, the female ran out the door.</t>
  </si>
  <si>
    <t>SRG-INJ-1604</t>
  </si>
  <si>
    <t>HS297425</t>
  </si>
  <si>
    <t>CHINNOCK, SHELBII</t>
  </si>
  <si>
    <t>Left Foot around ankle on front and back of foot</t>
  </si>
  <si>
    <t>missed the bottom step and fell hurting her left ankle.  Shelbi felt discomfort in the back and front of her foot</t>
  </si>
  <si>
    <t>SRG-INJ-3592</t>
  </si>
  <si>
    <t>HS322470</t>
  </si>
  <si>
    <t>SMITH, EMILY</t>
  </si>
  <si>
    <t>Cambridge</t>
  </si>
  <si>
    <t>Right Hip</t>
  </si>
  <si>
    <t>Emily reported and injury/incident on 04.01.2025 INC11004. Without any Medical follow up required at the time. Report only. Since the start of April Emily has had pain come back in the same spot in her hip from this injury.  At the time of pain coming back it was only in her hip when walking but a few days later Emily is experiencing a shooting pain in her right shin and into her foot. This has progressively gotten worse and at times a struggle for her to walk with out discomfort. Emily is now also from walking to compensate the pain in her hip is having some swelling/pain in her right knee. After rest she seems to be ok of a morning, after a few hours of working/walking it becomes painful and therefore affecting the way she walks. Emily was unable to attend work on 26/4 due to this.</t>
  </si>
  <si>
    <t>SRG-INJ-3270</t>
  </si>
  <si>
    <t>Right hip joint pinching pain when weight put on it/ leg extended</t>
  </si>
  <si>
    <t>I was taking sheets out from the shelving on a step stool and after stepping down noticed a pain in my hip on my right side when I moved and extended my leg. I continued walking on it hoping it would come right but it hasn't yet.</t>
  </si>
  <si>
    <t>SRG-INJ-2581</t>
  </si>
  <si>
    <t>HS322452</t>
  </si>
  <si>
    <t>QUEEN, DECLAN</t>
  </si>
  <si>
    <t>Right side Forehead</t>
  </si>
  <si>
    <t>.</t>
  </si>
  <si>
    <t>SRG-INJ-2478</t>
  </si>
  <si>
    <t>HS322472</t>
  </si>
  <si>
    <t>RAFTERY, RUTH</t>
  </si>
  <si>
    <t>Right Eye. Eye scratched with Cardboard</t>
  </si>
  <si>
    <t>SRG-INJ-2190</t>
  </si>
  <si>
    <t>HS331671</t>
  </si>
  <si>
    <t>TULLY, ARCHER</t>
  </si>
  <si>
    <t>Right thumb- small cut to top of thumb pad.</t>
  </si>
  <si>
    <t>Upon unpacking Soren Brighton Dinner Sets Archer noticed these had come in again broken.  He opened the box to remove broken pieces and has cut his right thumb.</t>
  </si>
  <si>
    <t>SRG-INJ-2074</t>
  </si>
  <si>
    <t>Left Shoulder</t>
  </si>
  <si>
    <t>Declan's Apron got caught on the hook on top of the large tristand and it pulled Declan back and he has jared his left shoulder.  Next day 1/12 Declan is feeling a slight muscle strain in the area and discomfort to lift.</t>
  </si>
  <si>
    <t>SRG-INJ-3445</t>
  </si>
  <si>
    <t>G749575H</t>
  </si>
  <si>
    <t>HS294740</t>
  </si>
  <si>
    <t>LAWSON, NIKKITA</t>
  </si>
  <si>
    <t>Launceston</t>
  </si>
  <si>
    <t>rolled left ankle</t>
  </si>
  <si>
    <t>Nikkita Lawson was carrying a green basket down the stairs and missed last step and twisted her right ankle</t>
  </si>
  <si>
    <t>SRG-INJ-3396</t>
  </si>
  <si>
    <t>G749341E</t>
  </si>
  <si>
    <t>HS293616</t>
  </si>
  <si>
    <t>CASH, CATHERINE</t>
  </si>
  <si>
    <t>tingling sensation in left leg, followed by lower back</t>
  </si>
  <si>
    <t>Catherine cash had felt tingling sensation in the lower part of her left leg followed by a stabbing burning pain at the time Catherine was receiving pallets in. Catherine had told manager Trish that she couldn't lift the pallets. Trish has then sent her home immediately. Catherine had a doctors appointment already booked prior to her shift on the 7th of Feb.</t>
  </si>
  <si>
    <t>SRG-INJ-3307</t>
  </si>
  <si>
    <t>LEFT HAND</t>
  </si>
  <si>
    <t>pulling a trolley and ran into a moment with her left hand and jammed it in-between the trolley and moment</t>
  </si>
  <si>
    <t>SRG-INJ-3268</t>
  </si>
  <si>
    <t>Was shutting the sliding door cupboard at the register when it came off and landed on my toes on the left foot.</t>
  </si>
  <si>
    <t>SRG-INJ-3236</t>
  </si>
  <si>
    <t>HS335654</t>
  </si>
  <si>
    <t>SERRET, BENJAMIN</t>
  </si>
  <si>
    <t>left eye</t>
  </si>
  <si>
    <t>Team member Ben Serret was unpacking cardboard boxes when he hit his eye</t>
  </si>
  <si>
    <t>SRG-INJ-3210</t>
  </si>
  <si>
    <t>HS296971</t>
  </si>
  <si>
    <t>WEBB, CASSANDRA</t>
  </si>
  <si>
    <t>cut right middle fingernear finger nail</t>
  </si>
  <si>
    <t>Cass was un packing sheet boxes  and cardboard cut her finger</t>
  </si>
  <si>
    <t>SRG-INJ-2974</t>
  </si>
  <si>
    <t>HS297563</t>
  </si>
  <si>
    <t>PRIDMORE-JOHNSTON, REBECCA</t>
  </si>
  <si>
    <t>sore arm and thigh</t>
  </si>
  <si>
    <t>Team member Rebecca Pridmore slipped in reserve</t>
  </si>
  <si>
    <t>SRG-INJ-2898</t>
  </si>
  <si>
    <t>HS296394</t>
  </si>
  <si>
    <t>LAWSON, ANNIKA</t>
  </si>
  <si>
    <t>right hand</t>
  </si>
  <si>
    <t>Team member Annika Lawson  dropped bracket on right hand</t>
  </si>
  <si>
    <t>SRG-INJ-2871</t>
  </si>
  <si>
    <t>G744067B</t>
  </si>
  <si>
    <t>HS321621</t>
  </si>
  <si>
    <t>BELLINGER, SKYE</t>
  </si>
  <si>
    <t>I believe Skye is claiming overworked</t>
  </si>
  <si>
    <t>Skye Bellinger requested Tuesday the 21dst off due to having to work out car repairs. I then received an email on Tuesday 22nd from Skye requesting a Claim number for workers comp</t>
  </si>
  <si>
    <t>Anxiety/stress disorder</t>
  </si>
  <si>
    <t>SRG-INJ-2845</t>
  </si>
  <si>
    <t>G744337H</t>
  </si>
  <si>
    <t>HS297565</t>
  </si>
  <si>
    <t>CONWAY, SHAUN</t>
  </si>
  <si>
    <t>back</t>
  </si>
  <si>
    <t>I was in men's underwear whilst I was putting out stock adjusting forks when I felt a crack in my back and that was manageable pain and then went to continue putting out stock and my back completely gave out making it hard to move and stand so I laid down, but the pain didn't stop.  Heat pack was given</t>
  </si>
  <si>
    <t>SRG-INJ-2773</t>
  </si>
  <si>
    <t>Sore top of head . Left side</t>
  </si>
  <si>
    <t>Rebecca Pridmore was putting items in cage, and shelf fell on her head</t>
  </si>
  <si>
    <t>SRG-INJ-2716</t>
  </si>
  <si>
    <t>Hit in the back left side of head and left shoulder.</t>
  </si>
  <si>
    <t>unloading cardboard from a cage, pushed up the centre shelf to get the carboard from in the bottom. It must not have latched with the black latch and it fell down as I reached over and the metal shelf hit me in the back of the head and left shoulder.</t>
  </si>
  <si>
    <t>Neck and shoulder</t>
  </si>
  <si>
    <t>SRG-INJ-2555</t>
  </si>
  <si>
    <t>Knocked back of left hand on fixture</t>
  </si>
  <si>
    <t>Team member Cass Webb was pushing cage of sheets when she jammed her left hand between the cage and the moment (fixture)</t>
  </si>
  <si>
    <t>SRG-INJ-2142</t>
  </si>
  <si>
    <t>HS328763</t>
  </si>
  <si>
    <t>REID, SIMONE</t>
  </si>
  <si>
    <t>Jarred lower back</t>
  </si>
  <si>
    <t>Simone was walking towards register and her foot tripped on the fatigue mat Jarred lower back</t>
  </si>
  <si>
    <t>SRG-INJ-1974</t>
  </si>
  <si>
    <t>Under Left eye</t>
  </si>
  <si>
    <t>Checking for stock in the basement where there was fixture left on the floor. Accidentally stepped on it, its the fallen forward and hit me under the left eye leaving a small cut. Small cut cleaned with alcohol wipe and icepack applied.</t>
  </si>
  <si>
    <t>SRG-INJ-1858</t>
  </si>
  <si>
    <t>Rebecca Pridmore was empty rubbish when she scratched her right ankle on stock cage</t>
  </si>
  <si>
    <t>SRG-INJ-1753</t>
  </si>
  <si>
    <t>HS323274</t>
  </si>
  <si>
    <t>SEATON, ZACK</t>
  </si>
  <si>
    <t>Finger on right hand</t>
  </si>
  <si>
    <t>Zac was packing a ninja food processor into box at registers, when blade went through plastic and cut his finger</t>
  </si>
  <si>
    <t>SRG-INJ-1633</t>
  </si>
  <si>
    <t>G7314918</t>
  </si>
  <si>
    <t>HS297314</t>
  </si>
  <si>
    <t>AINSLIE, REBECCA</t>
  </si>
  <si>
    <t>Left lower back</t>
  </si>
  <si>
    <t>Rebecca Ainslie was carrying a carton of shoes into reserve while walking down 4 stairs, missed the last step and put out her left foot out to balance herself and then jarred her back .</t>
  </si>
  <si>
    <t>SRG-INJ-1582</t>
  </si>
  <si>
    <t>Forehead, small graze</t>
  </si>
  <si>
    <t>Filling toppers with stock , was kneeled down to push it to the back and leant forward too fast and bumped my forehead on the shelf where a strip for ticketing is placed and grassed my forehead.</t>
  </si>
  <si>
    <t>SRG-INJ-3492</t>
  </si>
  <si>
    <t>G7501595</t>
  </si>
  <si>
    <t>HS331215</t>
  </si>
  <si>
    <t>HOWARD, STEPHANIE</t>
  </si>
  <si>
    <t>Devonport</t>
  </si>
  <si>
    <t>I squatted down to place a toaster on the shelf and felt a grabbing/pulling pain in my lower back</t>
  </si>
  <si>
    <t>SRG-INJ-3451</t>
  </si>
  <si>
    <t>G749667I</t>
  </si>
  <si>
    <t>HS335143</t>
  </si>
  <si>
    <t>WEBBER, KAREN</t>
  </si>
  <si>
    <t>right ring finger</t>
  </si>
  <si>
    <t>Moving boxes and burst blood vessel in finger.  Bruised</t>
  </si>
  <si>
    <t>SRG-INJ-3073</t>
  </si>
  <si>
    <t>HS297107</t>
  </si>
  <si>
    <t>DANOS, NICOLE</t>
  </si>
  <si>
    <t>repetive strain injury</t>
  </si>
  <si>
    <t>From stripping the shoes the doctor said it's probably tendonitis from repetetive strain. Advised anti inflammatories and a gel for hands. Will follow up with another visit as pain is persisiting</t>
  </si>
  <si>
    <t>SRG-INJ-3018</t>
  </si>
  <si>
    <t>HS296953</t>
  </si>
  <si>
    <t>WILLIAMS, MARGARET</t>
  </si>
  <si>
    <t>back  spasm</t>
  </si>
  <si>
    <t>Moving stock and back started to spasm  . Took medication and heading home</t>
  </si>
  <si>
    <t>Other musculoskeletal and connective tissue diseases, not elsewhere classified</t>
  </si>
  <si>
    <t>SRG-INJ-2680</t>
  </si>
  <si>
    <t>HS328764</t>
  </si>
  <si>
    <t>COSTELLO, NICOLA</t>
  </si>
  <si>
    <t>Left knee twisted strained</t>
  </si>
  <si>
    <t>Standing in homewares as i went to walk away my knee twisted and felt sharp pain through knee walked/limped out to back of store off the shop floor tried to bend it felt like it was locking,</t>
  </si>
  <si>
    <t>SRG-INJ-2604</t>
  </si>
  <si>
    <t>Pull/ Strain to right arm /shoulder</t>
  </si>
  <si>
    <t>Margaret was moving stock, felt something pull in upper arm / shoulder on right side.. She took not much notice at the time until she went home and cooled off it was then that she had problems moving her arm.</t>
  </si>
  <si>
    <t>SRG-INJ-2574</t>
  </si>
  <si>
    <t>HS288389</t>
  </si>
  <si>
    <t>CAMPBELL, KIRBY</t>
  </si>
  <si>
    <t>Sore twinge in upper back.</t>
  </si>
  <si>
    <t>Went out to the dock to get a bread maker for a customer that had just come in on the pallet and took it out to them. Not long after that I felt a twinge in my upper back.</t>
  </si>
  <si>
    <t>SRG-INJ-1859</t>
  </si>
  <si>
    <t>HS325752</t>
  </si>
  <si>
    <t>ANDREWS, SIOBHAN</t>
  </si>
  <si>
    <t>The right thumb, over the knuckle.</t>
  </si>
  <si>
    <t>I was rearranging stock on the shelving units when my thumb got cut along the knuckle. The shelving unit had a sharp nook and had cut my thumb.   Then I cleaned the wound with an alcohol wipe, and wrapped the injury with an adhesive strip (band-aid).</t>
  </si>
  <si>
    <t>SRG-INJ-1754</t>
  </si>
  <si>
    <t>Nicole bumped her head just above the temple  on the right hand side.</t>
  </si>
  <si>
    <t>Nicole was walking into reserve to put boxes of shoes on storage racks. Stepped on a loose piece of cardboard that was on the floor. This caused Nicole to do the splits, she rolled sideways and bumped her head on the shelving.  Person injured is Nicole Danos</t>
  </si>
  <si>
    <t>SRG-INJ-3523</t>
  </si>
  <si>
    <t>G7504348</t>
  </si>
  <si>
    <t>HS254339</t>
  </si>
  <si>
    <t>HOW, BEVERLEY</t>
  </si>
  <si>
    <t>Ulverstone</t>
  </si>
  <si>
    <t>Right shoulder, pulled muscle</t>
  </si>
  <si>
    <t>I was working with Sharon on a relay in loose cookware, adjusting shelves and adding an extra one. After leaving work at 4:15 pm, I began experiencing worsening twinges in my right shoulder. I used a heat pack and took anti-inflammatories and painkil</t>
  </si>
  <si>
    <t>SRG-INJ-3502</t>
  </si>
  <si>
    <t>G7502610</t>
  </si>
  <si>
    <t>HS285137</t>
  </si>
  <si>
    <t>MEDLING, JANE</t>
  </si>
  <si>
    <t>left Knee &amp; ankle &amp;  Left hand</t>
  </si>
  <si>
    <t>Tripped up back stairs and fell on left knee and left hand</t>
  </si>
  <si>
    <t>SRG-INJ-3436</t>
  </si>
  <si>
    <t>G749496L</t>
  </si>
  <si>
    <t>HS325722</t>
  </si>
  <si>
    <t>LOVELOCK, ANN</t>
  </si>
  <si>
    <t>Sliced finger on right hand</t>
  </si>
  <si>
    <t>while packing away a food processor [a display</t>
  </si>
  <si>
    <t>SRG-INJ-2656</t>
  </si>
  <si>
    <t>Left  Shoulder Blade</t>
  </si>
  <si>
    <t>Hurt my left shoulder lifting stock onto the AFU,s</t>
  </si>
  <si>
    <t>SRG-INJ-2055</t>
  </si>
  <si>
    <t>HS297536</t>
  </si>
  <si>
    <t>RUSH, GEORGINA</t>
  </si>
  <si>
    <t>verbal abuse</t>
  </si>
  <si>
    <t>A customer came into the store to return a online purchase and only had the confirmation email, so I asked for the itemized one to see what the purchase price was for coffee machine to proceed with return, she couldn't find and was going to go to car for a better look because she didn't have her glasses on, came back into the store and said she hadn't received it and demanded that I ring to see why she hadn't been sent, she showed me her zip pay and I explained I couldn't give out her personal details on the phone and asked nicely if she could ring them, she got louder and demanded that it was my store and said you will ring them, as she was very loud and I was being polite I said excuse me, she proceeded to call me a cunt and grab her item, I replied with sorry but she replied with fucken cunt</t>
  </si>
  <si>
    <t>SRG-INJ-1994</t>
  </si>
  <si>
    <t>HS325769</t>
  </si>
  <si>
    <t>ARNOLD, MAKENZIE</t>
  </si>
  <si>
    <t>Aggressive Customer</t>
  </si>
  <si>
    <t>Aggressive customer</t>
  </si>
  <si>
    <t>Other mental diseases, not elsewhere classified</t>
  </si>
  <si>
    <t>SRG-INJ-1857</t>
  </si>
  <si>
    <t>HS288086</t>
  </si>
  <si>
    <t>KNIGHT, REBEKAH</t>
  </si>
  <si>
    <t>Strained back</t>
  </si>
  <si>
    <t>I tried to help a customer to lift and move the Harris Scarfe sign that had blown off of the building and broken the front door.  I have pulled a muscle in my lower back right side.</t>
  </si>
  <si>
    <t>SRG-INJ-3558</t>
  </si>
  <si>
    <t>HS331467</t>
  </si>
  <si>
    <t>RIMJHIM, RIMJHIM</t>
  </si>
  <si>
    <t>Harris Scarfe NSW</t>
  </si>
  <si>
    <t>Shellharbour (Hs Home)</t>
  </si>
  <si>
    <t>Rimjhim was merchandising loose cookware when she bent down to pick up a frypan from the second to bottom shelf when she felt her right knee cap move out of place. She felt intense pain and collapsed to the floor where she says she blacked out for a moment and then called for help using the headset.</t>
  </si>
  <si>
    <t>SRG-INJ-2919</t>
  </si>
  <si>
    <t>HS294356</t>
  </si>
  <si>
    <t>MCGRATH, INGRID</t>
  </si>
  <si>
    <t>Left hand has a small puncture mark and scratch from trying to lift an airfryer and screws being exposed</t>
  </si>
  <si>
    <t>Team member picked up a faulty air fryer to put on a pallet and didn't see a screw sticking out from the item. The screw has punctured and cut the skin on the team members palm of her hand. The team member was treated with first aid to clean the wound and dress it.</t>
  </si>
  <si>
    <t>SRG-INJ-2237</t>
  </si>
  <si>
    <t>Foot, landed on the side of the foot</t>
  </si>
  <si>
    <t>Ingrid was putting fixtures back on the shelf and tripped on a screw coming out of the ground from old dexions which caused her to land on her foot funny. She sat down and rested the foot and called a manager who asked questions regarding any first aid treatment needed.</t>
  </si>
  <si>
    <t>SRG-INJ-1831</t>
  </si>
  <si>
    <t>HS296764</t>
  </si>
  <si>
    <t>CANNON, TAYLA</t>
  </si>
  <si>
    <t>face.</t>
  </si>
  <si>
    <t>Tayla was working stock off a cage trolley when a valance fell from the top of the pile on the cage and struck her in the face, causing a small graze on her nose and causing a headache.</t>
  </si>
  <si>
    <t>SRG-INJ-3225</t>
  </si>
  <si>
    <t>HS325622</t>
  </si>
  <si>
    <t>HODSON, SYLVIA</t>
  </si>
  <si>
    <t>Blacktown</t>
  </si>
  <si>
    <t>cut her right pinky finger</t>
  </si>
  <si>
    <t>staff member box off a cage and there were knives underneath the box and cut her right pinky finger</t>
  </si>
  <si>
    <t>SRG-INJ-2995</t>
  </si>
  <si>
    <t>HS325643</t>
  </si>
  <si>
    <t>PACE, BIANCA</t>
  </si>
  <si>
    <t>Back</t>
  </si>
  <si>
    <t>Doing repetitive movements and lifting of moderately heavy stock and fixtures resulting in pain in the back</t>
  </si>
  <si>
    <t>SRG-INJ-2961</t>
  </si>
  <si>
    <t>HS334265</t>
  </si>
  <si>
    <t>GALATOULAS, TERRI</t>
  </si>
  <si>
    <t>Item dropped on left foot/toe</t>
  </si>
  <si>
    <t>Carrying a pallet, trying to put it down and it fell on my foot</t>
  </si>
  <si>
    <t>SRG-INJ-2585</t>
  </si>
  <si>
    <t>The employee was placing the storage bin on the top shelving when the metal panel came off on one side. They then placed the panel back into place, stepped down from the  stool and it the panel then fell off again, directly on top of her head.</t>
  </si>
  <si>
    <t>SRG-INJ-2418</t>
  </si>
  <si>
    <t>left hand ring finger</t>
  </si>
  <si>
    <t>caught finger  in cage when stepping down off a orange floor step  team member went and put wrapped ice on the finger straight after catching it photo is of finger taken at 12:15   finger is slightly swallon</t>
  </si>
  <si>
    <t>SRG-INJ-2953</t>
  </si>
  <si>
    <t>HS321030</t>
  </si>
  <si>
    <t>HOWELL, JAMES</t>
  </si>
  <si>
    <t>Bennetts Green</t>
  </si>
  <si>
    <t>Lifting boxes down off a shelf causing a strain/spasm in upper back</t>
  </si>
  <si>
    <t>Team member James Howell No 321030  was on a safety step and he moved  cooksets  from one shelf to another and while he was in the middle of lifting he suddenly felt a muscle spasm in the upper half of his back. He immediately reported the incident</t>
  </si>
  <si>
    <t>SRG-INJ-3075</t>
  </si>
  <si>
    <t>HS332336</t>
  </si>
  <si>
    <t>PRENTICE, KELLY</t>
  </si>
  <si>
    <t>Bathurst</t>
  </si>
  <si>
    <t>Right Wrist</t>
  </si>
  <si>
    <t>Kelly was going through unloading pallets, Kelly felt a sharp aching pain through her wrist which continued to be sore for the next few days.</t>
  </si>
  <si>
    <t>SRG-INJ-2734</t>
  </si>
  <si>
    <t>HS332438</t>
  </si>
  <si>
    <t>PROSSER, DYLAN</t>
  </si>
  <si>
    <t>Neck and Head</t>
  </si>
  <si>
    <t>I was putting out soft close bins before my break, went to put the last few on bottom shelve, sat on the ground and the top shelve tipped as it was not correctly locked in and the bins fell on top of my head, head was spinning and neck started to hurt.</t>
  </si>
  <si>
    <t>SRG-INJ-2608</t>
  </si>
  <si>
    <t>HS332334</t>
  </si>
  <si>
    <t>CALLAUGHAN, MEGAN</t>
  </si>
  <si>
    <t>Megan was looking in another direction when she walked through the fry-pan area hitting her shoulder on a protruding fry-pan handle.</t>
  </si>
  <si>
    <t>SRG-INJ-2571</t>
  </si>
  <si>
    <t>HS331913</t>
  </si>
  <si>
    <t>DONOHUE, DANNIELLE</t>
  </si>
  <si>
    <t>Spine</t>
  </si>
  <si>
    <t>Bollard fell on my back when I moved a box. Ground is at a slope.</t>
  </si>
  <si>
    <t>SRG-INJ-2386</t>
  </si>
  <si>
    <t>left glute, left palm. left shoulder and left side of back</t>
  </si>
  <si>
    <t>missed step on the ladder and dropped approx 1.5m onto stock boxes of metal strainers and concrete</t>
  </si>
  <si>
    <t>SRG-INJ-2298</t>
  </si>
  <si>
    <t>HS332366</t>
  </si>
  <si>
    <t>KEY, DEBORAH</t>
  </si>
  <si>
    <t>forehead above eye</t>
  </si>
  <si>
    <t>Deborah was trying to put a mattress topper on the top shelf and the global sign was knocked off by the topper and hit her in the face</t>
  </si>
  <si>
    <t>SRG-INJ-2087</t>
  </si>
  <si>
    <t>HS332335</t>
  </si>
  <si>
    <t>TODD, ERIC</t>
  </si>
  <si>
    <t>Back and hip - possible strain</t>
  </si>
  <si>
    <t>Team member approached saying he has injured his back and hip lifting. He then advised he has pre-existing back and hip injury</t>
  </si>
  <si>
    <t>SRG-INJ-3034</t>
  </si>
  <si>
    <t>HS328609</t>
  </si>
  <si>
    <t>BURNS, LEONIE</t>
  </si>
  <si>
    <t>Rockdale</t>
  </si>
  <si>
    <t>Knees</t>
  </si>
  <si>
    <t>One of the staff members was asked from the ASM to change over the windows at the end of the day. He had dropped the plastc sleeve on the floor and as she was walking out the front of the store, she fell on the plastic hurting her knees</t>
  </si>
  <si>
    <t>SRG-INJ-2932</t>
  </si>
  <si>
    <t>HS297407</t>
  </si>
  <si>
    <t>CHAKOVSKI, ANGELA</t>
  </si>
  <si>
    <t>Head and leg</t>
  </si>
  <si>
    <t>Angela was coming in to store, she had tried to turn alarm off however it wasn't working. with 0 visability as the store lights were off and the back door closed. She then fell on a pallet that she didn't see. She fell forward hitting her head and grazing her leg.</t>
  </si>
  <si>
    <t>SRG-INJ-2804</t>
  </si>
  <si>
    <t>HS333714</t>
  </si>
  <si>
    <t>MORGAN, SOPHIA</t>
  </si>
  <si>
    <t>ankle</t>
  </si>
  <si>
    <t>Sophia hit her ankle on a cage quite badly. Has ceased work and in urgent care awaiting an x-ray.</t>
  </si>
  <si>
    <t>SRG-INJ-2616</t>
  </si>
  <si>
    <t>HS326571</t>
  </si>
  <si>
    <t>LATHOURAS, PETER</t>
  </si>
  <si>
    <t>Finger</t>
  </si>
  <si>
    <t>Peter sliced finger open on a cage in the storeroom.. has applied pressure and bandage however wont stop bleeding</t>
  </si>
  <si>
    <t>SRG-INJ-2140</t>
  </si>
  <si>
    <t>HS331409</t>
  </si>
  <si>
    <t>NAJEM, MARLENE</t>
  </si>
  <si>
    <t>Lower right leg/calf -</t>
  </si>
  <si>
    <t>Marlene was walking down the stairs at the end of her shift when she felt a sharp pain in her lower right leg as she placed it on the lower step. She sat down on the step and gave it a short massage before walking to the front counter where Klay (Store Manager) was to inform him of the incident. After discussion with Klay, Klay drove Marlene home (she generally walks to work). Marlene attended her GP today (19/12/23) and obtained a workcover certificate.</t>
  </si>
  <si>
    <t>SRG-INJ-1781</t>
  </si>
  <si>
    <t>HS325271</t>
  </si>
  <si>
    <t>EVERETT, KLAY</t>
  </si>
  <si>
    <t>Lower left back area</t>
  </si>
  <si>
    <t>I was putting up new shelving on a back wall. As I went to put in another shelf, I leant forward to insert it (approx knee height) when I felt a sharp pain in my lower left back. I quickly stopped the movement and called for assistance (Tyas) who helped me sit on the floor. Angela also tried to assist to make me comfortable whilst on the floor. I remained on the floor until Tyas brought Michael over to assist me to stand. I was unable to bend over or rotate my upper body very much.</t>
  </si>
  <si>
    <t>SRG-INJ-3248</t>
  </si>
  <si>
    <t>HS331904</t>
  </si>
  <si>
    <t>JAGANATHAN, GOWTHAM</t>
  </si>
  <si>
    <t>Harris Scarfe ACT</t>
  </si>
  <si>
    <t>Belconnen</t>
  </si>
  <si>
    <t>Crush injury to hand</t>
  </si>
  <si>
    <t>Team member was moving a pallet, and a dinner set fell on their hand. hand looked slightly bruised afterwards, i have checked in with team member at 5.00 and they say their hand is fine.  Logged by Jess Brown ASM</t>
  </si>
  <si>
    <t>SRG-INJ-2842</t>
  </si>
  <si>
    <t>HS335206</t>
  </si>
  <si>
    <t>SALVEMINI, STEVEN</t>
  </si>
  <si>
    <t>pulled nerve/twitch in lowerback</t>
  </si>
  <si>
    <t>all bins are facing the opposite way. Floor was muddy bins stuck, while pushing recycle bin which was stuck felt twitch in my lower back. Went to chemist in my break brought voltaren to ease the pain.</t>
  </si>
  <si>
    <t>SRG-INJ-1837</t>
  </si>
  <si>
    <t>HS291937</t>
  </si>
  <si>
    <t>MAMUKIC, MELISSA</t>
  </si>
  <si>
    <t>small wound on the palm of her left hand</t>
  </si>
  <si>
    <t>Our POS person (Melissa) mistakenly stabbed herself by one of the pins (the ones used to secure the apparel hard tags) in her left palm. She used a plaster to cover it and according to her, no further medical intervention is necessary, but I am reporting it due to her request.</t>
  </si>
  <si>
    <t>SRG-INJ-1806</t>
  </si>
  <si>
    <t>HS322051</t>
  </si>
  <si>
    <t>WHEELER, MICHAEL</t>
  </si>
  <si>
    <t>right eye has grit/dirt in it</t>
  </si>
  <si>
    <t>relaying the store and Michael got grit/dire in his eye</t>
  </si>
  <si>
    <t>Other specified injuries, not elsewhere classified</t>
  </si>
  <si>
    <t>SRG-INJ-1718</t>
  </si>
  <si>
    <t>HS324799</t>
  </si>
  <si>
    <t>MOHAMMADI, SEYEDALIREZA</t>
  </si>
  <si>
    <t>Sore right wrist, right shoulder, and bruised, swollen, and painful hip</t>
  </si>
  <si>
    <t>That day we had a visit from head office. I was rushing to the office to take a PDA before the visit but since the cleaner was mopping the floor and that section was quite wet and slippery, I fell down and landed on my right side. My right wrist, right shoulder, and the right side of my hip was injured and are sore and swollen after the incident. The cleaner and Kylie (our store manager) came to me and asked me if I was right and I told them that I'm good. I took painkillers and antiinflammation tablets yesterday and today in order to control the pain and swelling but no further medical intervention was needed.</t>
  </si>
  <si>
    <t>SRG-INJ-1695</t>
  </si>
  <si>
    <t>G731929G</t>
  </si>
  <si>
    <t>Left shoulder/soft tissue injury</t>
  </si>
  <si>
    <t>On Saturday 29th July around 13:51 Melissa was working at the registers Zeb and Selina were helping a customer over the phone with a pillow enquiry. Zeb put the pillows into bags and had them sitting on the floor behind the registers. Melissa walked behind Zeb and tripped over the back of his feet and fell onto the pillows. Melissa is now  feeling pain in her left shoulder since wednesday and its also causing headaches.</t>
  </si>
  <si>
    <t>SRG-INJ-3164</t>
  </si>
  <si>
    <t>HS294945</t>
  </si>
  <si>
    <t>DARLOW, ROBYN</t>
  </si>
  <si>
    <t>Tuggeranong</t>
  </si>
  <si>
    <t>both knees bruised</t>
  </si>
  <si>
    <t>Tripped on mat at POS landing on her knees</t>
  </si>
  <si>
    <t>SRG-INJ-3093</t>
  </si>
  <si>
    <t>HS406364</t>
  </si>
  <si>
    <t>BROWN, SHARON</t>
  </si>
  <si>
    <t>bhit left forearm and twisted lower back</t>
  </si>
  <si>
    <t>moving folded up roll cage which fell over knocking me to the floor, when falling down I landed against a Aust Post Ecomm Cage banging my left arm against cage to help me to stop falling, and twisted my lower back</t>
  </si>
  <si>
    <t>SRG-INJ-3053</t>
  </si>
  <si>
    <t>G745915A</t>
  </si>
  <si>
    <t>HS322849</t>
  </si>
  <si>
    <t>REYNOLDS, JEFFERSON</t>
  </si>
  <si>
    <t>breaking done stock on Friday morning in the dock., while lifting a heavy box heard a loud noise in the back and in pain since.</t>
  </si>
  <si>
    <t>Restricted Work Injury</t>
  </si>
  <si>
    <t>SRG-INJ-2572</t>
  </si>
  <si>
    <t>G7408524/</t>
  </si>
  <si>
    <t>Constant pain in lower back which gets too much when trying to bend or move an object</t>
  </si>
  <si>
    <t>Yesterday I was packing the Ecom orders. There was an order with 2 of Soren 16-piece dinner sets that would perfectly fit in one of our boxes. But it was a bit heavy after packing them. Although I tried moving the box with the correct posture, I felt a sharp pain in my lower back during the move. It continues to bother me for the rest of the day in a way that even standing straight or bending down was getting challenging. Since my back is still sore today and I can't move any objects without feeling pain, I decided to report it.</t>
  </si>
  <si>
    <t>SRG-INJ-2440</t>
  </si>
  <si>
    <t>Neck and shoulders</t>
  </si>
  <si>
    <t>Jeff felt some neck pain while processing pallets in the dock.</t>
  </si>
  <si>
    <t>SRG-INJ-2448</t>
  </si>
  <si>
    <t>HS292944</t>
  </si>
  <si>
    <t>KHANTHAVONGSA, MALA</t>
  </si>
  <si>
    <t>Shoulder Joint on right side. This injury has been reported in another incident in Feb 2023</t>
  </si>
  <si>
    <t>Lifting heavy manchester boxes all morning. I started to feel a pain in my shoulder joint area.</t>
  </si>
  <si>
    <t>SRG-INJ-3364</t>
  </si>
  <si>
    <t>HS296522</t>
  </si>
  <si>
    <t>MCINERNEY, KYLIE</t>
  </si>
  <si>
    <t>Wagga Wagga</t>
  </si>
  <si>
    <t>Face- Nose, cheek and forehead</t>
  </si>
  <si>
    <t>Kylie bumped into tressel tables at the back of loading dock. One of them fell, hitting Kylie in the face as she tried to catch it.</t>
  </si>
  <si>
    <t>SRG-INJ-3366</t>
  </si>
  <si>
    <t>HS334999</t>
  </si>
  <si>
    <t>BENJAMIN, DOMARINA</t>
  </si>
  <si>
    <t>Ear infection</t>
  </si>
  <si>
    <t>Domarina has been to doctors about an ear infection that has allegedly been contracted from the ear pieces used at work for communication.</t>
  </si>
  <si>
    <t>Viral diseases, not classified elsewhere</t>
  </si>
  <si>
    <t>Ear</t>
  </si>
  <si>
    <t>Sound and Pressure</t>
  </si>
  <si>
    <t>Other variations in pressure</t>
  </si>
  <si>
    <t>SRG-INJ-3162</t>
  </si>
  <si>
    <t>HS331293</t>
  </si>
  <si>
    <t>ZAFARI, RAHMAT</t>
  </si>
  <si>
    <t>Small cut to top right of head, which produced small amount of bleeding</t>
  </si>
  <si>
    <t>Staff member was squatting down looking for a spot for a quilt he quickly got up and banged his head on corner of a shelf, causing him to sustain a cut to the top right of his head which bleed for a while.</t>
  </si>
  <si>
    <t>SRG-INJ-3107</t>
  </si>
  <si>
    <t>HS296465</t>
  </si>
  <si>
    <t>AGIUS, MADDISON</t>
  </si>
  <si>
    <t>Rolly rack falling onto ankle</t>
  </si>
  <si>
    <t>Maddy was trying to put up a rolly rack when it slipped and fell onto her ankle. Maddy started to get dizzy afterwards so is now sitting in tea room with ice pack and drinking plenty of water.</t>
  </si>
  <si>
    <t>SRG-INJ-2764</t>
  </si>
  <si>
    <t>Left hip and knee</t>
  </si>
  <si>
    <t>Kylie McInerney in back dock processing stock, stepped side ways and tripped on low laying box. Kylie over balanced sideways and fell to ground landing on left side hip and knee.</t>
  </si>
  <si>
    <t>SRG-INJ-2051</t>
  </si>
  <si>
    <t>HS296514</t>
  </si>
  <si>
    <t>BOURNE, MAREE</t>
  </si>
  <si>
    <t>left side of forehead above eyebrow</t>
  </si>
  <si>
    <t>Maree was on 3 step ladder putting bulky mattress topper up on the top shelf - lost footing and banged left hand side of forehead.  Maree was unfazed by incident and continued putting excess stock in reserve shelf.</t>
  </si>
  <si>
    <t>SRG-INJ-2015</t>
  </si>
  <si>
    <t>HS331399</t>
  </si>
  <si>
    <t>MORRISS, ASHLEY</t>
  </si>
  <si>
    <t>LEFT FOOT - STEPPED ON SECURITY PIN</t>
  </si>
  <si>
    <t>Ashley stepped on pin that goes into a hammer tag. Went through the sole of shoe into her foot</t>
  </si>
  <si>
    <t>SRG-INJ-1838</t>
  </si>
  <si>
    <t>HS327452</t>
  </si>
  <si>
    <t>CASE, ELLA</t>
  </si>
  <si>
    <t>Felt light headed and 'fainted' in tearoom, fell onto her right side</t>
  </si>
  <si>
    <t>Ella felt light headed' at registers came to tearoom to sit down, have water and call to be picked up from work. As she entered tearoom she lost balance and fell onto the floor - left side of body. Did not hit anything ( except the floor) Patricia McGregor in office and attended to Ella straight away. Laying her head on a soft product, laying her properly calming her breathing down, water and cold press. Ella feels okay, no pain or discomfort.</t>
  </si>
  <si>
    <t>Unspecified diseases</t>
  </si>
  <si>
    <t>SRG-INJ-1642</t>
  </si>
  <si>
    <t>HS327976</t>
  </si>
  <si>
    <t>HOLZ, EBONY</t>
  </si>
  <si>
    <t>Large toe on right foot.</t>
  </si>
  <si>
    <t>Ebony Holz and Kylie McInerney were installing shelving for the merchandise in Manchester up the back near the towels.  Ebony was seated on a safety step while trying to install a heavy bar which was difficult to get in, when she dropped the metal bar on her right, big toe.  At this stage she believes it not broken, just bruised.</t>
  </si>
  <si>
    <t>SRG-INJ-3155</t>
  </si>
  <si>
    <t>HS324204</t>
  </si>
  <si>
    <t>DOWSETT, TAMERA</t>
  </si>
  <si>
    <t>Tweed Heads</t>
  </si>
  <si>
    <t>Thumb cut</t>
  </si>
  <si>
    <t>Tam was packing a blender up for a customer and cut her thumb on the blades EAN9333527576002</t>
  </si>
  <si>
    <t>SRG-INJ-2992</t>
  </si>
  <si>
    <t>HS335580</t>
  </si>
  <si>
    <t>NOVOTNY, AARON</t>
  </si>
  <si>
    <t>Initially said he hurt his back while he was a asleep or that he could have hurt it rushing to work this morning as he was in a rush. Aaron then said he hurt it picking up a suitcase, at work not in bed and rushing to work. Rest day tomorrow and letting me know how it feels tomorrow afternoon.</t>
  </si>
  <si>
    <t>SRG-INJ-2398</t>
  </si>
  <si>
    <t>Tam was pulling the cage and she stopped and the cage didnt.</t>
  </si>
  <si>
    <t>SRG-INJ-2379</t>
  </si>
  <si>
    <t>lump on top of head. right side.</t>
  </si>
  <si>
    <t>Tam was dressing mannequin and lifting her to put up on stand and the head fell off and hit Tams head.</t>
  </si>
  <si>
    <t>SRG-INJ-2349</t>
  </si>
  <si>
    <t>HS324101</t>
  </si>
  <si>
    <t>CULGAN, JODIE</t>
  </si>
  <si>
    <t>leg foot thigh back hip</t>
  </si>
  <si>
    <t>Jodie was taking a customer to scan a pair of shoes at the price scanner when she slipped on security tag (hammer) which was on the floor, she landed on the floor.</t>
  </si>
  <si>
    <t>SRG-INJ-2337</t>
  </si>
  <si>
    <t>HS324177</t>
  </si>
  <si>
    <t>AYERS, JENNIFER</t>
  </si>
  <si>
    <t>behind her knee</t>
  </si>
  <si>
    <t>Jenni said she had her cage and another staff member came towards her with a cage,Jenni tried to get out of the way and she twisted her leg and hurt behind her knee.</t>
  </si>
  <si>
    <t>SRG-INJ-2308</t>
  </si>
  <si>
    <t>HS324172</t>
  </si>
  <si>
    <t>IRVINE, MARGARET</t>
  </si>
  <si>
    <t>Marg was putting the cardboard in the garbage and the wind took it and hurt her back</t>
  </si>
  <si>
    <t>SRG-INJ-2145</t>
  </si>
  <si>
    <t>Cage hit and ran over right ankle caused instant swelling and bruising</t>
  </si>
  <si>
    <t>Cage ran over right ankle caused instant swelling and bruising</t>
  </si>
  <si>
    <t>SRG-INJ-2063</t>
  </si>
  <si>
    <t>HS324624</t>
  </si>
  <si>
    <t>FORBES, LILLY MAY</t>
  </si>
  <si>
    <t>Cast iron was dropped on her finger</t>
  </si>
  <si>
    <t>Dropped a cast Iron on her finger.</t>
  </si>
  <si>
    <t>SRG-INJ-1930</t>
  </si>
  <si>
    <t>Tam was in napery and a shelf feel on her foot.</t>
  </si>
  <si>
    <t>SRG-INJ-1796</t>
  </si>
  <si>
    <t>Tam was in the last aisle in the back dock, gone to get an ironing board to replenish the stock, she said over the headset that the cloth racks had just fell on her I went out there to see if she was ok. she was ok that I could see.  I could see the cloth racks had fallen sideways when she was getting the ironing boards,we rearranged the cloths racks together.</t>
  </si>
  <si>
    <t>SRG-INJ-2493</t>
  </si>
  <si>
    <t>HS293177</t>
  </si>
  <si>
    <t>JAY, LAURA</t>
  </si>
  <si>
    <t>Moruya</t>
  </si>
  <si>
    <t>Left calf muscle</t>
  </si>
  <si>
    <t>I was walking down the stairs going out of the office. I felt my calf muscle pull as I went to step down the stairs. I iced my my leg straight away and had it elevated.  I had a sore leg a couple of days prior.</t>
  </si>
  <si>
    <t>SRG-INJ-2234</t>
  </si>
  <si>
    <t>HS332048</t>
  </si>
  <si>
    <t>PRINCE, SHEENA</t>
  </si>
  <si>
    <t>Right palm</t>
  </si>
  <si>
    <t>On 19/01/24 at approximately 8:55am, The team gathered in the room near the clock in area and completed a staff meeting. Sheene Prince had been standing infront of a stock cage which had a goods trolley pushed underneath it.  Once the meeting was completed, Sheena stepped backwards and tripped on one of the wheels from the goods trolley and has fallen backwards onto her right hip and used her right palm to stop the fall.  An ice pack was provided for Sheena to apply to her palm as she said it was sore however sill able to move fingers etc. Slight swelling to palm area, mimimal bruising and Sheena said he hip felt fine.  The trolly wasn't parked in an unsafe manner as it was out of the walkway area however has been moved to the back of the room to be safe.  Sheena said she was fine to work the whole shift however it still appeared that her hand was was still sore. Sheena wa offered to finish at midday to go and rest to ensure she wasn't using her hand unnessesarily.   I have advised Sheena that if any further treatment is required to notify the store Magament team however she believes rest and ice should suffice.</t>
  </si>
  <si>
    <t>SRG-INJ-3575</t>
  </si>
  <si>
    <t>HS297493</t>
  </si>
  <si>
    <t>KIFF, JACOB</t>
  </si>
  <si>
    <t>Ulladulla</t>
  </si>
  <si>
    <t>bruising/bump</t>
  </si>
  <si>
    <t>Jacob kiff was scanning for stocktake. He was scanning down low and stood up and banged his head on a fixture shelf.  Refused first aid.</t>
  </si>
  <si>
    <t>SRG-INJ-2882</t>
  </si>
  <si>
    <t>HS296483</t>
  </si>
  <si>
    <t>RALPH, RACHEL</t>
  </si>
  <si>
    <t>nil</t>
  </si>
  <si>
    <t>Supervisor was clearing a paper jam inside the lexmark cx920 printer. She touched a metal strip and received a small electric shock</t>
  </si>
  <si>
    <t>SRG-INJ-2266</t>
  </si>
  <si>
    <t>Left wrist</t>
  </si>
  <si>
    <t>Rachel was working in the Manchester area moving stock around, and she was moving four-way as she was rearranging stock. The stock was too heavy on one side, so it fell as she was moving it. She tried to catch it and part of the four-way gave her blunt impact on her wrist and it started to bruise straight away.</t>
  </si>
  <si>
    <t>SRG-INJ-1670</t>
  </si>
  <si>
    <t>Rachel was working stock this morning, part of her stock was a broken ceramic vase in the box. rachel wrote the vase off and proceeded to tip the box of broken pieces into the skip bin and flatten the box into recycling. as rachel tipped the box into the skip bin a gust of wind picked up and blew some of the broken shards into her right eye. rachel believed she got the shard out of her eye - tom commenced first aid and visually inspected her eye - as tom couldn't see any foreign particles, he proceeded to give rachel an eye wash/bath. rachel flushed her eye and tom advised her to complete her 30 minute lunch break to see if she feels like her eyes has calmed down as it could have been scratched.  after Rachel's break she confirmed it still stung a little bit - we agreed for Rachel to book in with the optometrist at 1:30 - they could not see any scratching or foreign particles in her eye and washed her eye out again.  rachel is now fine.</t>
  </si>
  <si>
    <t>SRG-INJ-2747</t>
  </si>
  <si>
    <t>HS406988</t>
  </si>
  <si>
    <t>O'NEILL, LYNN</t>
  </si>
  <si>
    <t>Harris Scarfe QLD</t>
  </si>
  <si>
    <t>Mt Gravatt</t>
  </si>
  <si>
    <t>strained/injured back</t>
  </si>
  <si>
    <t>staff member was removing a quilt from the quilt bin and incidentally hurt her back from the strain of removing it from the shelf.</t>
  </si>
  <si>
    <t>SRG-INJ-2235</t>
  </si>
  <si>
    <t>HS324755</t>
  </si>
  <si>
    <t>EUSTACE, DARELLE</t>
  </si>
  <si>
    <t>minor abrasion to right forearm</t>
  </si>
  <si>
    <t>team member was walking though a tight space between pallets and reserve racking</t>
  </si>
  <si>
    <t>SRG-INJ-3583</t>
  </si>
  <si>
    <t>HS330730</t>
  </si>
  <si>
    <t>CARTER, JULIA</t>
  </si>
  <si>
    <t>Loganholme</t>
  </si>
  <si>
    <t>cut to left arm, cut and severe bruising to right arm, bruising to left and right shins</t>
  </si>
  <si>
    <t>Julia Carter was walking to clock off and was carrying a bread board. walking through the kettle section walked around the corner to the gadget wall and tripped over the safety step that was in the walkway falling into the gadget wall and onto the floor. injuries to both forearms and shins. As she was in the store alone for closing she administered first aid to herself with ice packs. Then attended a doctors clinic to have the injuries seen to. The doctor advised rest and a two day sick note was provided. The safety step has now been located to a more secure location to avoid any further injuries.</t>
  </si>
  <si>
    <t>SRG-INJ-3387</t>
  </si>
  <si>
    <t>Right Knee a bruise and grazing to right elbow</t>
  </si>
  <si>
    <t>Julia was standing on the 3 step fold out ladder doing a merchandise change around and she forgot there was an extra step and fell on her right knee and right elbow.</t>
  </si>
  <si>
    <t>SRG-INJ-3010</t>
  </si>
  <si>
    <t>HS334868</t>
  </si>
  <si>
    <t>MAXWELL, SASHA</t>
  </si>
  <si>
    <t>pulled a tendon on her left foot</t>
  </si>
  <si>
    <t>Sasha Maxwell was kneeling by the drinks fridge, when she went to get up to serve a oncoming customer she fell back on her left ankle pulling a tendon in her foot. half an hour later Sasha Maxwell had her foot wrapped in gauze to support her foot.</t>
  </si>
  <si>
    <t>SRG-INJ-2746</t>
  </si>
  <si>
    <t>HS334890</t>
  </si>
  <si>
    <t>WIRTZ, MICHAEL</t>
  </si>
  <si>
    <t>As above</t>
  </si>
  <si>
    <t>Cut finger whilst trying to demonstrate how to dismantle a Avanti slicing product</t>
  </si>
  <si>
    <t>SRG-INJ-2632</t>
  </si>
  <si>
    <t>HS298159</t>
  </si>
  <si>
    <t>GRAVES, IRENE</t>
  </si>
  <si>
    <t>Right hand bruising and swollen, little finger cant close and grip</t>
  </si>
  <si>
    <t>As I was taking a cage full of stock through the plastic doors, I hit my hand on the door frame which was holding on to the cage. I heard a crunch and was very painful. 2 staff were in the reserve and heard me call out in pain.</t>
  </si>
  <si>
    <t>SRG-INJ-2587</t>
  </si>
  <si>
    <t>HS324744</t>
  </si>
  <si>
    <t>SHARAN, NATASHA</t>
  </si>
  <si>
    <t>Right Hand/Wrist - Pulled/Strain along right hand/wrist area while manual lifting empty pallet on top of other pallets</t>
  </si>
  <si>
    <t>After the last pallet had been emptied. I dragged the pallet from the reserve to the other empty pallets on the back dock outside. I lifted the empty pallet at one end  to place on top of the others with both hands. I felt a pull and then pain in my right hand/wrist. The pallet was quite heavy but I could not ask for assistance with lifting the pallet as there was only myself and one other staff member working at the time, who was at the front counter. After i closed and locked the back dock door. I went to the front of the store and told the other staff member working what had happened. I did not treat the pain as it was not that bad at the time. Overnight the pain increased and became worse. I treated the pain with heat rub and wrist bandage. The pain is travelling along the right hand along the wrist. There is pain when i try to twist or move my right hand. I will be going to the doctors to have it checked.</t>
  </si>
  <si>
    <t>SRG-INJ-2259</t>
  </si>
  <si>
    <t>Right hand, Middle finger under the nail</t>
  </si>
  <si>
    <t>While picking up a 30l pedal bin for an e-commerce order the lid of the box cut my middle finger under the nail. The finger started to bleed. I cleaned the finger with alcohol wipes and covered the wound with a band aid.</t>
  </si>
  <si>
    <t>SRG-INJ-2099</t>
  </si>
  <si>
    <t>Small security laynard tag was broken with exposed wire pierced left thumb</t>
  </si>
  <si>
    <t>Repacking a display Tefal 6 piece cookset for a customer.  All pieces had security laynard tags attached. One of the Small Laynard Tags on the frying pan was broken and a sharp metal piece was exposed which pierced my thumb on my left hand. I immediately removed the tag from my thumb and cleaned the area with alcohol swabs. There was also a burning sensation on the thumb where it had been pierced.</t>
  </si>
  <si>
    <t>SRG-INJ-2760</t>
  </si>
  <si>
    <t>HS331926</t>
  </si>
  <si>
    <t>COLENSO, MELANIE</t>
  </si>
  <si>
    <t>West Burleigh (Mega Home)</t>
  </si>
  <si>
    <t>Mel put an item into a box whilst doing eccom packing and have stood up and her back has twinged</t>
  </si>
  <si>
    <t>SRG-INJ-2079</t>
  </si>
  <si>
    <t>HS328737</t>
  </si>
  <si>
    <t>TROTTER, MEGAN</t>
  </si>
  <si>
    <t>Knock to the forehead/hairline</t>
  </si>
  <si>
    <t>Megan was exiting the dock to continue outside with pallets. The roller door was lower than usual to stop the sun from getting in our eccom team member's eyes. Megan has hit the bottom edge of the roller door with her head/forehead. Ice was applied to the area for at least 20 minutes. Megan confirmed she is feeling ok to work.</t>
  </si>
  <si>
    <t>SRG-INJ-2092</t>
  </si>
  <si>
    <t>S23AA076220</t>
  </si>
  <si>
    <t>HS321495</t>
  </si>
  <si>
    <t>VELLACOTT, ELIZA</t>
  </si>
  <si>
    <t>Whiplash</t>
  </si>
  <si>
    <t>Eliza had a car accident on the way to her shift, she called the store and let a supervisor know. More details are unclear at this stage.</t>
  </si>
  <si>
    <t>Vehicle accident</t>
  </si>
  <si>
    <t>Road transport</t>
  </si>
  <si>
    <t>SRG-INJ-3290</t>
  </si>
  <si>
    <t>HS338317</t>
  </si>
  <si>
    <t>GRAYSON, SHAUN</t>
  </si>
  <si>
    <t>Maroochydore</t>
  </si>
  <si>
    <t>Whole body</t>
  </si>
  <si>
    <t>Shaun Worked outside in the heat and suffered from heat stroke and has taken today off sick - headaches and vomiting overnight</t>
  </si>
  <si>
    <t>Effects of weather, exposure, air pressure and other external causes, not elsewhere classified</t>
  </si>
  <si>
    <t>SRG-INJ-3168</t>
  </si>
  <si>
    <t>HS319482</t>
  </si>
  <si>
    <t>KARAURIA, TOEKNEE</t>
  </si>
  <si>
    <t>Had to move double stacked Ecommerce ULDs from inside the dock to outside the storeroom for pick up. The ULDs were double stacked due to space restrictions in the dock and quantity of ecommerce orders over the Black Friday weekend - 8 cages in total. They were stacked with a motorised pallet jack from Anaconda over the weekend but we have a manual jack and as I moved them I felt a twinge in my left knee and pain.</t>
  </si>
  <si>
    <t>SRG-INJ-2887</t>
  </si>
  <si>
    <t>S24RU162033</t>
  </si>
  <si>
    <t>HS333815</t>
  </si>
  <si>
    <t>TAYLOR, EMILY</t>
  </si>
  <si>
    <t>heel/archilles</t>
  </si>
  <si>
    <t>On Friday at approx 12.30pm Emily approached ASM to say she was in alot of pain in her foot/ankle and would need to go home.  When asked what happened she said that she had woken up with it sore but it had become alot worse and she was struggling to walk or stand on the foot. She was sent home to rest and ice it.  Emily returned to work on Saturday morning and used a chair to work at POS, at 3.30pm requested to go home due to the pain. She was told to go to the doctor at this point as she stated she would not be in on Sunday.  Monday was a rostered day off. We received a message at 2pm on Monday to say she had been resting and icing the foot as much as possible and that she was moving around alot better and that she would be good for the dock on Tuesday.  We replied to let her know that her shift would not be on the dock.  Emily returned to work on Tuesday morning and said it was feeling better after some rest.  She was told at this point that she needed to keep us informed of how she was and if she had any restrictions but that we would reassign her from her usual dock position for the rest of the week. She worked until lunchtime at POS and after a break she worked the afternoon in Manchester stocking and recovering in towels.  She left without reporting any further pain or incident. On Wednesday morning we received a text message stating that she would not be at work and would be going to the doctor to see how to proceed. She stated that she would be better to work at POS for the rest of the week as using the step in towels the day before had made the pain worse. The next message was at 3.40pm stating the Dr has given her a work capacity certificate and put her on work cover due to an injury sustained pulling a heavy pallet on Friday.  Emily stated at this point that she had not been to a Dr as advised due to no bulk billing appointments being available.  After this message came through, we asked the question as to why this was a work cover claim and she said it was due to pulling a heavy pallet in the dock on Friday morning.  Up until this point she had not mentioned this to us.</t>
  </si>
  <si>
    <t>SRG-INJ-2861</t>
  </si>
  <si>
    <t>S24UB159318</t>
  </si>
  <si>
    <t>HS330181</t>
  </si>
  <si>
    <t>JANKOWIAK, BARBARA</t>
  </si>
  <si>
    <t>Neck strain</t>
  </si>
  <si>
    <t>Date estimated by team member once doctors visit  where she stated it had been sore for a few weeks - so the date is the approximate time when the pain was noticed, but not reported. Worked on POS, on and off POS during her shift that day - second team member at POS between 10am and 3pm.  No mention of any pain and then worked her shifts the next 3 days without mention of any kind of pain or soreness. Barbara has stated that after visiting her doctor on 20.08.2024 and he examined her they concluded that her neck pain has stemmed from her head being down while on POS. Barbara also mentioned that she had a previous doctors appointment a few weeks prior due to the pain but cancelled it after the weekend off and feeling better. At no point has Barbara mentioned to myself or my Assistant Manager about having a sore neck or headaches relating to anything to do with her work.</t>
  </si>
  <si>
    <t>SRG-INJ-3593</t>
  </si>
  <si>
    <t>HS337411</t>
  </si>
  <si>
    <t>KENDALL, CHARLOTTE</t>
  </si>
  <si>
    <t>Chermside</t>
  </si>
  <si>
    <t>Rolled left ankle</t>
  </si>
  <si>
    <t>Charlotte was putting stock back and when she bent over she lost balance and rolled her ankle.</t>
  </si>
  <si>
    <t>SRG-INJ-3410</t>
  </si>
  <si>
    <t>HS296583</t>
  </si>
  <si>
    <t>HARRISON, JACK</t>
  </si>
  <si>
    <t>hit under eye of bottom eye lid</t>
  </si>
  <si>
    <t>Jack was moving an old bracket up a few notches and the bracket became stuck. as jack pulled it with some force the bracket came out and he hit himself in the head just below his eye on the eyelid.</t>
  </si>
  <si>
    <t>SRG-INJ-3154</t>
  </si>
  <si>
    <t>S24WS196966</t>
  </si>
  <si>
    <t>HS297049</t>
  </si>
  <si>
    <t>MADDOCK, HANNAH</t>
  </si>
  <si>
    <t>left thumb/hand</t>
  </si>
  <si>
    <t>unfolding ULDs and one side got stuck halfway, i pulled on it a bit harder and then it gave way and I slammed my hand in between 2 ULDs</t>
  </si>
  <si>
    <t>SRG-INJ-3142</t>
  </si>
  <si>
    <t>repetitive strain injury on left wrist/hand/thumb</t>
  </si>
  <si>
    <t>repetitive strain injury on left wrist/hand/thumb from increased workload packing orders</t>
  </si>
  <si>
    <t>SRG-INJ-2991</t>
  </si>
  <si>
    <t>HS292146</t>
  </si>
  <si>
    <t>NOWLAND, AMELIA</t>
  </si>
  <si>
    <t>small bump in wrist appeared a while ago on right wrist. No pain or discomfort. until today where slight twinge felt while taping up boxes for ecomm orders.</t>
  </si>
  <si>
    <t>SRG-INJ-2813</t>
  </si>
  <si>
    <t>right ring finger knuckle</t>
  </si>
  <si>
    <t>loading parcels into ULDs, grazed and sliced top off right ring finger knuckle on a sharp edge of the mail cage.</t>
  </si>
  <si>
    <t>SRG-INJ-2750</t>
  </si>
  <si>
    <t>HS295734</t>
  </si>
  <si>
    <t>LUKER, GEORGIA</t>
  </si>
  <si>
    <t>sharp, pulling feeling in ankle. felt only the one and is able to walk fine</t>
  </si>
  <si>
    <t>walking and felt sharp pull in ankle</t>
  </si>
  <si>
    <t>SRG-INJ-2701</t>
  </si>
  <si>
    <t>S23HF146153</t>
  </si>
  <si>
    <t>HS324107</t>
  </si>
  <si>
    <t>SANDHU, KULDEEP KAUR</t>
  </si>
  <si>
    <t>left hand</t>
  </si>
  <si>
    <t>I was assembling the male maniquÃ©s on my own and the arms were not fitting in properly. So I was forcing them in using  both hands and by the end of the day  I was getting  pain and it wasn't very bad at this stage,  But after a day the pain was  more severe. It was  a sharp pain on my left hand palm near my thumb . I have tried painkillers but now it's getting worse .</t>
  </si>
  <si>
    <t>SRG-INJ-2681</t>
  </si>
  <si>
    <t>S23UX138473</t>
  </si>
  <si>
    <t>HS294522</t>
  </si>
  <si>
    <t>MARSH, REREMOANA</t>
  </si>
  <si>
    <t>felt a pull in arm when lifting box</t>
  </si>
  <si>
    <t>I was serving a customer on POS, I went to lift an item up and after the transaction I started to feel pins and needles in my finger tips on my left hand, after awhile, the numbness and slight sting started to work its way up my arm leading to my shoulder being inflamed. .</t>
  </si>
  <si>
    <t>SRG-INJ-2676</t>
  </si>
  <si>
    <t>HS295133</t>
  </si>
  <si>
    <t>DANILEUSKI, THOMAS</t>
  </si>
  <si>
    <t>right knee, outer-side of knee cap sharp tearing feeling/pain, followed by multiple deep stabbing pains around most of knee.</t>
  </si>
  <si>
    <t>right knee felt a little stiff so tried to gently stretch, rolled edge of rubber map up on top of toes for a little extra light springy resistance and then suddenly felt sharp "tearing" feeling/pain on right side of knee cap followed by multiple(8+) simultaneous deep stabbing pains around the rest of the knee for the next few minutes while i kept still in the same position.</t>
  </si>
  <si>
    <t>SRG-INJ-2548</t>
  </si>
  <si>
    <t>Heel Scrape</t>
  </si>
  <si>
    <t>Had to sudden stop to give way to customers, only for a cage to make contact with my left heel.</t>
  </si>
  <si>
    <t>SRG-INJ-2543</t>
  </si>
  <si>
    <t>S23FM124433</t>
  </si>
  <si>
    <t>HS292530</t>
  </si>
  <si>
    <t>HOLMES, LAURA</t>
  </si>
  <si>
    <t>left elbow joint</t>
  </si>
  <si>
    <t>Changing the stock on the front wall from 7L air fryers to 10L air fryers and adjusting shelves to fit them. Lift them properly but have somehow hurt my left elbow muscles. Continued finishing the stock and realized once I finished my shift at 2pm that my arm was really sore</t>
  </si>
  <si>
    <t>SRG-INJ-2517</t>
  </si>
  <si>
    <t>pierced skin, near nail of middle finger.</t>
  </si>
  <si>
    <t>While attaching a security tag to a polo shirt, the pin was stuck inside the tag. When trying to remove the pin from the tag, the pin entered under the skin on the middle finger near the nail. Drew blood.</t>
  </si>
  <si>
    <t>SRG-INJ-2474</t>
  </si>
  <si>
    <t>Small scratch on wrist but most pain has come from hyperextending her wrist by the way it got caught between the bin lid and bin itself.</t>
  </si>
  <si>
    <t>Hannah was trying to close the lid of the bin (big Cleanaway bins) after taking some rubbish out and the lid got stuck open due to the hinge being bent. She was holding the lid up with one hand and the other was adjusting the metal hinge that keeps it open. The bin quickly unjammed and slammed closed, catching Hannah's wrist in the process.</t>
  </si>
  <si>
    <t>SRG-INJ-2230</t>
  </si>
  <si>
    <t>S23DQ089730</t>
  </si>
  <si>
    <t>bending down when picking up a box. When slowly going to stand up corner of box pressed into left knee causing pain it to feel weak/give way.</t>
  </si>
  <si>
    <t>SRG-INJ-2215</t>
  </si>
  <si>
    <t>HS290327</t>
  </si>
  <si>
    <t>EDWARDS, DANIEL</t>
  </si>
  <si>
    <t>The previous day my left shoulder had felt a little sore in the last hour of my shift but nothing worrying as I chalked it up to a lot of unpacking of pallets. Then this morning when I was bringing in the bins I felt some pain in the same shoulder when I moved the bins in. It was harder to bring the bins in then usual as it felt like the wheels didn't want to rotate as easily. (Possibly rusting up from all the rain but that is just a guess.)  The store manager Scott was made away of the issue and is putting in a work order with Clean Away to service the bins.  This shoulder now continues to feel sore and pain when doing a pulling motion.</t>
  </si>
  <si>
    <t>SRG-INJ-2214</t>
  </si>
  <si>
    <t>HS297076</t>
  </si>
  <si>
    <t>TILL, HELEN</t>
  </si>
  <si>
    <t>Helen went to sit on chair and the chair leg gave way causing her to fall to the floor.</t>
  </si>
  <si>
    <t>when i went to sit on chair it collapsed and i fell on to floor.</t>
  </si>
  <si>
    <t>SRG-INJ-2162</t>
  </si>
  <si>
    <t>top of left wrist</t>
  </si>
  <si>
    <t>turned around and hit top of wrist on racking</t>
  </si>
  <si>
    <t>SRG-INJ-2323</t>
  </si>
  <si>
    <t>S23WA101711</t>
  </si>
  <si>
    <t>HS407192</t>
  </si>
  <si>
    <t>MCNAMARA, NEASHER</t>
  </si>
  <si>
    <t>middle of back strained/sprained</t>
  </si>
  <si>
    <t>The injury is a pre existing injury from 2020 that after 3 years has flared up during the Hervey Bay Store fitout. I was unpacking stock and breaking down pallets that has then cause strain on my spin and cause inflammation on the pre existing injury site.</t>
  </si>
  <si>
    <t>SRG-INJ-1901</t>
  </si>
  <si>
    <t>S23AH062694</t>
  </si>
  <si>
    <t>Thomas hit the front of his face on the ground breaking his glasses and cutting his eyebrow and grazing his cheek.</t>
  </si>
  <si>
    <t>Thomas and myself were saying goodbye to each other when his right knee gave way and causing him to fall and hit his head face on breaking his glasses and cutting his eyebrow. he hit his right elbow as he came down as well.</t>
  </si>
  <si>
    <t>SRG-INJ-1907</t>
  </si>
  <si>
    <t>S23RG061184</t>
  </si>
  <si>
    <t>Pain in right hand localised to the thumb and fingers</t>
  </si>
  <si>
    <t>We have had an excess of beach towels come in to our Store which all needed to be folded as per the VM merchandising guidelines. Kuldeep's right hand has localised pain around the right thumb and finger area.</t>
  </si>
  <si>
    <t>SRG-INJ-1738</t>
  </si>
  <si>
    <t>Cut to pinky finger.</t>
  </si>
  <si>
    <t>I was taking out rubbish at end of day when my pinky finger made contact with a piece of sharp metal cutting it. I applied first aid (disinfectant and bandaid) and then removed the piece of metal and disposed of it.</t>
  </si>
  <si>
    <t>SRG-INJ-1706</t>
  </si>
  <si>
    <t>Kneecap</t>
  </si>
  <si>
    <t>Side stepping registers and caught kneecap behind door handle</t>
  </si>
  <si>
    <t>SRG-INJ-1667</t>
  </si>
  <si>
    <t>Left Knee Cap</t>
  </si>
  <si>
    <t>Crouching for a period of time stood up and a crunching sound and feeling through the left knee cap.</t>
  </si>
  <si>
    <t>SRG-INJ-3289</t>
  </si>
  <si>
    <t>HS331312</t>
  </si>
  <si>
    <t>LUDLOW, GEORGIANNA</t>
  </si>
  <si>
    <t>Hervey Bay</t>
  </si>
  <si>
    <t>Cut on her finger which required a bandaid</t>
  </si>
  <si>
    <t>Georgianna was attempting to move a three layer table and pinched her finger between the top and the metal bar causing a cut on her finger. She then felt faint from seeing the cut. She was taken into the tea room and sat down until she felt better. She wrapped her finger with a band aid and felt fine afterwards.</t>
  </si>
  <si>
    <t>SRG-INJ-3036</t>
  </si>
  <si>
    <t>HS330581</t>
  </si>
  <si>
    <t>NICHOLLS, TAHLYA</t>
  </si>
  <si>
    <t>Ankle and knee, no access to ice pack but took a short break after</t>
  </si>
  <si>
    <t>Tahlya was completing a rubbish run and tripped over a bolt that is coming out of the ground, as she tried to stop herself from falling she now has a sore ankle and knee</t>
  </si>
  <si>
    <t>SRG-INJ-2968</t>
  </si>
  <si>
    <t>HS328516</t>
  </si>
  <si>
    <t>PHILBRICK, TANIA</t>
  </si>
  <si>
    <t>arm</t>
  </si>
  <si>
    <t>Tania was putting stock out and came around the corner and she cut her arm by accident as the data stripping was pocking out. Tania then applied a cleansing wipe, bandaid and cut the stripping so it wasn't poking out</t>
  </si>
  <si>
    <t>SRG-INJ-2897</t>
  </si>
  <si>
    <t>Tahlya was removing the half mannequin off the wall and as she was bringing it down, the mannequin/fabric slipped and hit her on the head</t>
  </si>
  <si>
    <t>SRG-INJ-2647</t>
  </si>
  <si>
    <t>S23HG133503</t>
  </si>
  <si>
    <t>HS331276</t>
  </si>
  <si>
    <t>CHALAMILA, BELINDA</t>
  </si>
  <si>
    <t>thumb</t>
  </si>
  <si>
    <t>Belinda was using a ladder to retrieve quilts from the shelves in the dock, Belinda was pulling the quilts down onto the floor and was not carrying them while going up and down the ladder. When Belinda was coming back down the ladder she missed the bottom step and fell onto her back/bottom and her wrist hit the shelving unit causing her pain just below her thumb. Belinda insisted that she was OK and would shake it off, the SM was present and heard the hard fall.. Belinda has been given light duties for the duration of her shift and will let me know if any pain persists.</t>
  </si>
  <si>
    <t>SRG-INJ-2583</t>
  </si>
  <si>
    <t>HS298607</t>
  </si>
  <si>
    <t>PARKER, SHANNON</t>
  </si>
  <si>
    <t>hand</t>
  </si>
  <si>
    <t>The roller door would not open, the manual chain was used to open the door which jammed and caused the chain to fling in an upwards direction and causing injury and pain to the SMs right hand. It also was very close to smashing me in the face. This is the second time it's happened to a Team member. The door has been constantly followed up since January with an email chain requesting the door be fixed continuously since we opened. This has been forwarded to the donesafe email.</t>
  </si>
  <si>
    <t>Electrical Installation</t>
  </si>
  <si>
    <t>SRG-INJ-2529</t>
  </si>
  <si>
    <t>Tahlya picked up a box from the back dock and as she lifted the box up and was straightening her knees her left knee gave out from under her and has since not been able to hold weight when bending</t>
  </si>
  <si>
    <t>SRG-INJ-2528</t>
  </si>
  <si>
    <t>HS331284</t>
  </si>
  <si>
    <t>MCINTYRE, REBECCA</t>
  </si>
  <si>
    <t>hand/thumb</t>
  </si>
  <si>
    <t>As Bec stepped down from the ladder she stood down on to a pallet base that was against the bottom of the ladder (See image). The ladder then moved out of under Bec and she fell backwards and landed on her hand/inner thumb.   Tahlya then got an instant icepack and a bandage. Tahlya applied the icepack for 15 minutes and then bandaged her hand. Bec did not need an ambulance or to see a doctor. But has been informed to seek medical assistance if her injury worsens.</t>
  </si>
  <si>
    <t>SRG-INJ-2424</t>
  </si>
  <si>
    <t>left pointer finger</t>
  </si>
  <si>
    <t>Tahlya was opening the front door, and the bottom latch wasn't coming free when unlocked. As she pulled the latch up with some force to unlock the bottom it came up quite quickly and she got her knuckle caught on the metal sides and cut her knuckle. Tahlya then washed her hands, applied a cleansing wipe and put a band aid on</t>
  </si>
  <si>
    <t>SRG-INJ-2358</t>
  </si>
  <si>
    <t>HS332216</t>
  </si>
  <si>
    <t>HUNTER, TALEIGHA</t>
  </si>
  <si>
    <t>Taleigha was putting up a ticket on Friday afternoon and as was doing so the ticket frame and arm came falling down on her, hitting her head and cut her hand on the fall.</t>
  </si>
  <si>
    <t>SRG-INJ-2348</t>
  </si>
  <si>
    <t>hands</t>
  </si>
  <si>
    <t>Tahlya noticed the roller door wasn't automatically rolling up with the key again. (Have notified center management multiple times). When Tahlya tried to manually roll the door up with the chain, as she was pulling down on the chain it suddenly starts pulling the opposite direction to how she was pulling. Which it has never done before and jolted her fingers and hands. She has soreness in her hands and pain in her fingers. The entire incident isn't fully on camera but you can see the chain jump out/force up.</t>
  </si>
  <si>
    <t>SRG-INJ-2065</t>
  </si>
  <si>
    <t>HS331325</t>
  </si>
  <si>
    <t>HANSEN, LACHLAN</t>
  </si>
  <si>
    <t>eye</t>
  </si>
  <si>
    <t>Lachlan was laying down on his back directly under a table assembling it with a drill. A piece of metal fell straight into his eye and he was then rushed to the first aid box to flush his eye out with saline solution. He then left to seek medical attention from an optometrist. We are awaiting his response as to the condition of his eye.   Lachlan was not instructed to lay under the table and complete that task.</t>
  </si>
  <si>
    <t>SRG-INJ-3230</t>
  </si>
  <si>
    <t>HS337378</t>
  </si>
  <si>
    <t>PORTUGALIZA, MENCHU</t>
  </si>
  <si>
    <t>Carindale</t>
  </si>
  <si>
    <t>Right hand finger and nail lifted</t>
  </si>
  <si>
    <t>Menchu  finger got jammed in H cage and lifted nail on her right,</t>
  </si>
  <si>
    <t>SRG-INJ-2936</t>
  </si>
  <si>
    <t>HS324015</t>
  </si>
  <si>
    <t>BONNEY, BLAKE</t>
  </si>
  <si>
    <t>front side of right hand</t>
  </si>
  <si>
    <t>Blake scratched right front of hand on sharp bit of metal attached to cage</t>
  </si>
  <si>
    <t>SRG-INJ-2839</t>
  </si>
  <si>
    <t>HS331639</t>
  </si>
  <si>
    <t>MACKENROTH, DAVID</t>
  </si>
  <si>
    <t>left index finger inside top knuckle</t>
  </si>
  <si>
    <t>David was putting back a display knife and cut his finger which started to bleed quite a bit but has been washed, bandaged and bleeding has stopped.</t>
  </si>
  <si>
    <t>SRG-INJ-2778</t>
  </si>
  <si>
    <t>S24WH151517</t>
  </si>
  <si>
    <t>HS291282</t>
  </si>
  <si>
    <t>FALCO, Karyn</t>
  </si>
  <si>
    <t>lower right side of back</t>
  </si>
  <si>
    <t>Karyn was putting stock away and on bending she felt pain in lower back right hand side upon twisting action</t>
  </si>
  <si>
    <t>SRG-INJ-2700</t>
  </si>
  <si>
    <t>glute hamstring</t>
  </si>
  <si>
    <t>Julia bent down to pick rubbish off the floor and felt her hamstring/glute twinge. Still able to walk but can feel while walking. Julia finished her shift and is going home to apply heat pack.</t>
  </si>
  <si>
    <t>Upper Leg</t>
  </si>
  <si>
    <t>SRG-INJ-2519</t>
  </si>
  <si>
    <t>HS295036</t>
  </si>
  <si>
    <t>GORDON, ROSELLE</t>
  </si>
  <si>
    <t>forehead</t>
  </si>
  <si>
    <t>Roselle was bending over to put stock out and banged her head on a fixture as she stood up</t>
  </si>
  <si>
    <t>SRG-INJ-1963</t>
  </si>
  <si>
    <t>HS331290</t>
  </si>
  <si>
    <t>KARYN, FALCO</t>
  </si>
  <si>
    <t>lifted dinner set and threw out lower back (reoccurring injury)</t>
  </si>
  <si>
    <t>SRG-INJ-1834</t>
  </si>
  <si>
    <t>HS293257</t>
  </si>
  <si>
    <t>ULA, ATELE</t>
  </si>
  <si>
    <t>bruised knees</t>
  </si>
  <si>
    <t>went put box back into RlO pallet went to turn misjudge my step</t>
  </si>
  <si>
    <t>SRG-INJ-1822</t>
  </si>
  <si>
    <t>FALCO, KARYN</t>
  </si>
  <si>
    <t>team member stepped onto the step stool with stock in their hands, they stepped onto it on an angle and jolted their back</t>
  </si>
  <si>
    <t>SRG-INJ-3198</t>
  </si>
  <si>
    <t>AU326345</t>
  </si>
  <si>
    <t>CHETTLE, EDWARD</t>
  </si>
  <si>
    <t>Anaconda VIC</t>
  </si>
  <si>
    <t>A001</t>
  </si>
  <si>
    <t>Bayswater</t>
  </si>
  <si>
    <t>Left elbow</t>
  </si>
  <si>
    <t>Was on the wave putting bikes in the racks and smacked elbow on side of wave</t>
  </si>
  <si>
    <t>WAVE</t>
  </si>
  <si>
    <t>SRG-INJ-2973</t>
  </si>
  <si>
    <t>AU316522</t>
  </si>
  <si>
    <t>FULLER, JACINTA</t>
  </si>
  <si>
    <t>Left leg</t>
  </si>
  <si>
    <t>Jacinta was preparing to count for stocktake a cabinet which has fish filleting knives inside. One of the knives looked like it was secured in the packaging but it was not. When Jacinta took the package out of the cabinet the knife fell and sliced her leg.</t>
  </si>
  <si>
    <t>SRG-INJ-2935</t>
  </si>
  <si>
    <t>AU233892</t>
  </si>
  <si>
    <t>HUESMANN, MARTIN</t>
  </si>
  <si>
    <t>Tendon in right knee</t>
  </si>
  <si>
    <t>Martin Huesmann tripped over a broom that had fallen under a pallet. When he moved the pallet he did not see the broom was there and when he walked around the pallet he tripped and aggravated a previous injury.</t>
  </si>
  <si>
    <t>SRG-INJ-2937</t>
  </si>
  <si>
    <t>Right Knee pain</t>
  </si>
  <si>
    <t>Marty missed the final step on the staircase and injured his right knee</t>
  </si>
  <si>
    <t>SRG-INJ-2309</t>
  </si>
  <si>
    <t>AU300574</t>
  </si>
  <si>
    <t>INGRAM, TIMOTHY</t>
  </si>
  <si>
    <t>Finger (R) (Middle) - Laceration</t>
  </si>
  <si>
    <t>Customer brought in a faulty Dune Generator that was only purchased 3 hours earlier. I took the Generator out the back to test it out. During testing I started pulling the starting cord and sliced my finger on a piece of exposed metal on the Generator around the pull start housing. It started bleeding immediately and continued bleeding through a few sets of band aids.</t>
  </si>
  <si>
    <t>SRG-INJ-2160</t>
  </si>
  <si>
    <t>AU318191</t>
  </si>
  <si>
    <t>STEENHUIZEN, TIMOTHY</t>
  </si>
  <si>
    <t>Tim aggravated a pre-existing injury in his back while lifting a heavy product from a customers car in to the store without using a trolley or a two man lift</t>
  </si>
  <si>
    <t>SRG-INJ-2045</t>
  </si>
  <si>
    <t>Right shoulder, sharp pain</t>
  </si>
  <si>
    <t>Lifting deluxe lounge recliner onto dexian shelf, Tim felt sharp pain in right shoulder</t>
  </si>
  <si>
    <t>SRG-INJ-2038</t>
  </si>
  <si>
    <t>AU301192</t>
  </si>
  <si>
    <t>BOUGHEN, RYAN</t>
  </si>
  <si>
    <t>Right middle finger crushed between 2 eco bin floors</t>
  </si>
  <si>
    <t>Eco bin crushed finger</t>
  </si>
  <si>
    <t>SRG-INJ-1914</t>
  </si>
  <si>
    <t>AU312875</t>
  </si>
  <si>
    <t>DOLPHIN, CATRIONA</t>
  </si>
  <si>
    <t>Upper Back strain</t>
  </si>
  <si>
    <t>Cat was loading the double rack with stock and it toppled over as she was trying to put stock on the top rail.  Cat twinged her back when this happened.</t>
  </si>
  <si>
    <t>SRG-INJ-1765</t>
  </si>
  <si>
    <t>AU329358</t>
  </si>
  <si>
    <t>TITILAS, BRIANNA</t>
  </si>
  <si>
    <t>Twisted ankle, sore lower back</t>
  </si>
  <si>
    <t>Bri was carrying stock down the ladder in the store room (while maintaining 3 points of contact) and missed the final step on the ladder. Bri twisted her ankle before landing on the ground.</t>
  </si>
  <si>
    <t>SRG-INJ-1764</t>
  </si>
  <si>
    <t>Lower Right back</t>
  </si>
  <si>
    <t>Bri injured her back while lifting and wrapping a heavy online order. Bri says she maintained the correct bend at the knees technique while lifting the item.</t>
  </si>
  <si>
    <t>SRG-INJ-3345</t>
  </si>
  <si>
    <t>S24TT214091</t>
  </si>
  <si>
    <t>AU324581</t>
  </si>
  <si>
    <t>INAK, SKYE</t>
  </si>
  <si>
    <t>Anaconda QLD</t>
  </si>
  <si>
    <t>A002</t>
  </si>
  <si>
    <t>Ashmore</t>
  </si>
  <si>
    <t>shoulder / arm - potentially rotator cuff (to be confirmed by doctor next week)</t>
  </si>
  <si>
    <t>Skye was asked to assist in getting a customer a kayak to purchase and in taking it to the front from the floor stack to the counter has injured her shoulder, she did not think much of it at the time as it felt minor but did mention it to myself, &amp; Mel was with her at the time, later that day it got worse and the next day the arm/shoulder was unusable, Skye did work the day but went to the doctor in the afternoon who has given medication and a certificate for rest until Tuesday when she will go back to possibly be sent for scans, the doctor believes it to be rotator cuff injury that can't be scanned while so inflamed.</t>
  </si>
  <si>
    <t>SRG-INJ-3312</t>
  </si>
  <si>
    <t>S24KV212918</t>
  </si>
  <si>
    <t>AU337481</t>
  </si>
  <si>
    <t>HENDERSON, MELINDA</t>
  </si>
  <si>
    <t>Back strain/spasm</t>
  </si>
  <si>
    <t>Melinda was security tagging shoes, as she bent down to get more shoes out of the bottom of the cage she felt her back spasm and seize up. She called for assistance as she had severe back pain and laid on the floor to try and help alleviate pain. After taking some Advil and a rest period she managed to complete her shift. This morning 18/01/25 she called a Team Leader advising that she was in severe pain and cannot sit, stand or move properly and was not able to come in and was going to the Doctors for a checkup.</t>
  </si>
  <si>
    <t>SRG-INJ-2150</t>
  </si>
  <si>
    <t>AU310748</t>
  </si>
  <si>
    <t>GOODALL, TRISTAN</t>
  </si>
  <si>
    <t>top of forehead right hand side</t>
  </si>
  <si>
    <t>Tristan was filling stock and bending over to get tock from a cage close to the isle and a peg / hook scratched the top of his forehead leaving a heavy scratch.</t>
  </si>
  <si>
    <t>SRG-INJ-2181</t>
  </si>
  <si>
    <t>S23BV083863</t>
  </si>
  <si>
    <t>AU306239</t>
  </si>
  <si>
    <t>BAILEY, JUVENA</t>
  </si>
  <si>
    <t>Right Knee requires surgery</t>
  </si>
  <si>
    <t>Juvena ran out into the car park to try and get further details on a shop lifter who had been found in the back of house part of the store and left with 2 back packs of unknown items including items from the back office / tea room or back dock area's not just from the retail floor, in this instant reaction running has hurt her knee and although not overly concerned at first this injury has become worse and she has now had medical visit &amp; MRI to discover a serious injury to her right knee.</t>
  </si>
  <si>
    <t>SRG-INJ-3546</t>
  </si>
  <si>
    <t>AU200042</t>
  </si>
  <si>
    <t>PASHILL-MAGUIRE, BIANCA JADE</t>
  </si>
  <si>
    <t>Anaconda WA</t>
  </si>
  <si>
    <t>A003</t>
  </si>
  <si>
    <t>Joondalup</t>
  </si>
  <si>
    <t>strian to right hand side shoulder blade</t>
  </si>
  <si>
    <t>Bianca was processing the load she had worked a pallet of stand up paddle boards to the shop floor and then commenced working a pallet of fridges and tents  she put he three fridges on the a flat bead then went to lift the tent box and fell a pulling sensation between her right  shoulder blade she stopped working and tried to stretch it out.  It continued to worsen and then notified myself Anita about the pain she was in . Bianca said the pain was travelling down her arm. I advised her to go home and rest it which she did</t>
  </si>
  <si>
    <t>SRG-INJ-3111</t>
  </si>
  <si>
    <t>AU334953</t>
  </si>
  <si>
    <t>RAATHS, MATTHEW</t>
  </si>
  <si>
    <t>cut to fingers on right hand</t>
  </si>
  <si>
    <t>getting a bike box from the wall and the industrial staple was exposed causing cuts to fingers</t>
  </si>
  <si>
    <t>SRG-INJ-3100</t>
  </si>
  <si>
    <t>AU334519</t>
  </si>
  <si>
    <t>GAIR, RAQUEL</t>
  </si>
  <si>
    <t>Right ankle slighty swollen and hurts a little enough to limp</t>
  </si>
  <si>
    <t>walking in and rolled right ankle into the divit/hole in the cement near the bollard hole.</t>
  </si>
  <si>
    <t>SRG-INJ-2776</t>
  </si>
  <si>
    <t>AU329586</t>
  </si>
  <si>
    <t>BROWNE, KOBY</t>
  </si>
  <si>
    <t>Left hand middle and index finger</t>
  </si>
  <si>
    <t>Team Member sliced his fingers cutting open a carboard box, tips of two fingers both cut.</t>
  </si>
  <si>
    <t>Other handtools</t>
  </si>
  <si>
    <t>SRG-INJ-2725</t>
  </si>
  <si>
    <t>AU328849</t>
  </si>
  <si>
    <t>CORDEIRO, KELLY</t>
  </si>
  <si>
    <t>Mental and verbal abuse</t>
  </si>
  <si>
    <t>I was called to the front to speak with a man about his leatherman pocket knife tool when I got there the man said there was a manufacturing issue with the knife blade  I told him that we would need to send it off for assessment as that is how the warranty works with leatherman the man then lost it yelling at me calling me a useless chocolate lemming, and he wanted to speak with a man of authority  i responded that i was the only manager on and he was welcome to speak to the store manager Anita and then he said thats the fucking problem all women in the store usellss chocolate fuck.  I will just go and get one my self he said as you're useless woman. I told him it's  up to him and then he needed to leave the store he then yelled at me that he would cut my head off and boil it. - i then told him to leave and he kept calling me a chocolate useless woman ill cut off your head and boil head. This responds to risk/security incident -    INC7326  I am reporting this to document if I need any further assistance for mental health concerns in the future</t>
  </si>
  <si>
    <t>Mental Disorders</t>
  </si>
  <si>
    <t>SRG-INJ-3266</t>
  </si>
  <si>
    <t>S24PM203583</t>
  </si>
  <si>
    <t>AU313995</t>
  </si>
  <si>
    <t>RAINBOW, HAYDEN</t>
  </si>
  <si>
    <t>A004</t>
  </si>
  <si>
    <t>Everton Park</t>
  </si>
  <si>
    <t>Spasming back muscles</t>
  </si>
  <si>
    <t>Team member was packing an esky for ecommerce using the paper packaging dispenser and experienced a severe pain and spasming in his back. He stopped what he was doing and attempted to stretch out the muscle but the pain has continued.</t>
  </si>
  <si>
    <t>Packaging</t>
  </si>
  <si>
    <t>SRG-INJ-2668</t>
  </si>
  <si>
    <t>AU232305</t>
  </si>
  <si>
    <t>BRINDELL, SHANNON</t>
  </si>
  <si>
    <t>Left index finger</t>
  </si>
  <si>
    <t>Team member caught left index finger on the sharp edge of tape dispenser.</t>
  </si>
  <si>
    <t>SRG-INJ-3098</t>
  </si>
  <si>
    <t>AU325370</t>
  </si>
  <si>
    <t>HARRIS, BENJAMIN</t>
  </si>
  <si>
    <t>A005</t>
  </si>
  <si>
    <t>Townsville</t>
  </si>
  <si>
    <t>Stomach small bruise</t>
  </si>
  <si>
    <t>Ben Harris was working on stock on the furniture wall as he was working up where he couldn't reach he used a yellow safety step as he stood on it he slipped off.</t>
  </si>
  <si>
    <t>Abdomen and pelvic region</t>
  </si>
  <si>
    <t>SRG-INJ-3005</t>
  </si>
  <si>
    <t>AU317783</t>
  </si>
  <si>
    <t>HOLMES, CHLOE</t>
  </si>
  <si>
    <t>right arm had formed lump and swelling</t>
  </si>
  <si>
    <t>was plugging wave cord back in when the panel fell out of lock and landed on arm.</t>
  </si>
  <si>
    <t>SRG-INJ-2780</t>
  </si>
  <si>
    <t>AU310746</t>
  </si>
  <si>
    <t>JOHANNSMANN, JAROD</t>
  </si>
  <si>
    <t>mental, as jarod was a bit shaken after incident</t>
  </si>
  <si>
    <t>jarod was a little shaken after a near miss accident falling from the back of the waive. All info was placed in the near miss entry for same day</t>
  </si>
  <si>
    <t>SRG-INJ-2745</t>
  </si>
  <si>
    <t>AU327344</t>
  </si>
  <si>
    <t>ROBERTS, AMY</t>
  </si>
  <si>
    <t>Right hand thumb</t>
  </si>
  <si>
    <t>I was assembling a rollierack for clothing and when doing so, one of the upward bars on the rollierack fell down and squashed my thumb against the base of the rack. Applied ice to thumb to stop the pain, most likely will bruise.</t>
  </si>
  <si>
    <t>SRG-INJ-2627</t>
  </si>
  <si>
    <t>Left Hand index finger, security pin pierced through finger to other side.</t>
  </si>
  <si>
    <t>Jarod was cleaning out a change room, and when picking up a bunch of clothes left behind, a security pin pierced through his left index finger, near the nail. The security tag is mostly likely from a customer who has stolen an item of clothing, and removed the tag, hiding it beneath the clothing. First aid was administered, the area was cleaned with a wound wipe and band aids applied. The security pin was thrown in the bin after being removed from his finger.</t>
  </si>
  <si>
    <t>SRG-INJ-2509</t>
  </si>
  <si>
    <t>Right eye Lid</t>
  </si>
  <si>
    <t>preparation for seasonal, had empty wings with bunked hooks. Was moving stock around and turned into an empty hook hanger, catching me on the eye lid. proceeded to get the correct first aid. Was able to continue working and finished shift, no other medical attention required.</t>
  </si>
  <si>
    <t>SRG-INJ-2473</t>
  </si>
  <si>
    <t>AU313517</t>
  </si>
  <si>
    <t>MAY, MAKAYLA</t>
  </si>
  <si>
    <t>Left Hand, middle finger</t>
  </si>
  <si>
    <t>Makayla, (Team Member) using safety knife correctly, has slipped cutting middle finger. Safety knife had broken off in use and proceeded to cause injury.  Pressure was applied to finger, and appropriate first aid was issued. Team member was driven home, with instruction to go to doctors.</t>
  </si>
  <si>
    <t>SRG-INJ-3276</t>
  </si>
  <si>
    <t>AU329044</t>
  </si>
  <si>
    <t>MASTERS, JOSHUA</t>
  </si>
  <si>
    <t>Anaconda NSW</t>
  </si>
  <si>
    <t>A006</t>
  </si>
  <si>
    <t>Chullora (Adventure Hq)</t>
  </si>
  <si>
    <t>Box fell off roll cage and hit josh in the jaw</t>
  </si>
  <si>
    <t>Josh was out the back dock getting stock for a customer when a roll cage that was loaded incorrectly with stock fell and hit josh in the jaw.</t>
  </si>
  <si>
    <t>SRG-INJ-3181</t>
  </si>
  <si>
    <t>AU328311</t>
  </si>
  <si>
    <t>SOWDEN, CRAIG</t>
  </si>
  <si>
    <t>Cut above right eye</t>
  </si>
  <si>
    <t>Craig was walking to the toilet when he walked into a metal pole outside the store.</t>
  </si>
  <si>
    <t>SRG-INJ-3008</t>
  </si>
  <si>
    <t>AU323428</t>
  </si>
  <si>
    <t>RETTIE, DEBRA</t>
  </si>
  <si>
    <t>Right Knee</t>
  </si>
  <si>
    <t>Debra turned around after getting stock off a trolley and went to walk back to her work station, and tripped over the pallet jack that was out along the side of an e com cage and landed on the floor of the shop in e coms area.</t>
  </si>
  <si>
    <t>SRG-INJ-2880</t>
  </si>
  <si>
    <t>team member fainted and fell down cracking his head.</t>
  </si>
  <si>
    <t>team member fainted and cracked head open on floor. I was alerted immediately and found team member lying on his back in a pool of blood with blood pouring from the back of the head. Ambulance was called immediately and first aider was called to the location.</t>
  </si>
  <si>
    <t>SRG-INJ-2521</t>
  </si>
  <si>
    <t>AU331249</t>
  </si>
  <si>
    <t>JBARA, JAMAL</t>
  </si>
  <si>
    <t>Slight laceration on left middle finger</t>
  </si>
  <si>
    <t>Team Member reached into drawer to retrieve stock and cut themselves on a fishing knife (Stock) that was in the drawer</t>
  </si>
  <si>
    <t>SRG-INJ-2172</t>
  </si>
  <si>
    <t>Left Arm Elbow</t>
  </si>
  <si>
    <t>Went to enter the cage to grab item for click and collect. Tripped over the metal bar at the bottom of the door of the cage.</t>
  </si>
  <si>
    <t>SRG-INJ-2061</t>
  </si>
  <si>
    <t>AU322577</t>
  </si>
  <si>
    <t>HOWIE, CASIE</t>
  </si>
  <si>
    <t>team member left wrist</t>
  </si>
  <si>
    <t>Team member was on a rolling stool, rolling stool did not move with team member,  team member landed on her wrist on the shop floor</t>
  </si>
  <si>
    <t>SRG-INJ-1979</t>
  </si>
  <si>
    <t>AU322366</t>
  </si>
  <si>
    <t>WALLACE, CONNOR</t>
  </si>
  <si>
    <t>Bruising Big Toe</t>
  </si>
  <si>
    <t>A box containing a Spinifex Weekender Camp Kitchen was dropped on team members foot, it fell a distance of approximately 1 meter. The box landed on the team members right foot.</t>
  </si>
  <si>
    <t>SRG-INJ-1953</t>
  </si>
  <si>
    <t>AU322236</t>
  </si>
  <si>
    <t>MCGEORGE, DAVID</t>
  </si>
  <si>
    <t>Tail bone</t>
  </si>
  <si>
    <t>Dave was assigned to clean fish storeroom sometime during cleaning Dave slipped and landed on his tail bone</t>
  </si>
  <si>
    <t>SRG-INJ-3285</t>
  </si>
  <si>
    <t>AU331809</t>
  </si>
  <si>
    <t>MARTINOV, RHYS</t>
  </si>
  <si>
    <t>A007</t>
  </si>
  <si>
    <t>Logan</t>
  </si>
  <si>
    <t>Face/cheek</t>
  </si>
  <si>
    <t>Searching for a product outside of the cage. Leaned over to look inside the cage and hit his face on a prong that was put on the door of the security cage.</t>
  </si>
  <si>
    <t>SRG-INJ-3267</t>
  </si>
  <si>
    <t>AU333981</t>
  </si>
  <si>
    <t>JONES, JASON</t>
  </si>
  <si>
    <t>Lumps have formed on Jason's wrists,  causing him a significant amount of pain and making it difficult to move his hands normally.</t>
  </si>
  <si>
    <t>Pulling loaded pallets out of lift has led to wrist injuries on both wrists below the thumbs. The incident has been an accumulation of months of pulling the pallet jack in and out of the lift. The pallets require an extra amount of force to get beyond the lip of the lift as it catches the lip. There have been multiple times that pulling the pallets have mildly hurt my hands but now has lead to both my wrists being physically affected to the point of having swelling and not having movement without pain. Its to the point where I had to go to the doctor and have a ultrasound appointment on Monday 6/01/25.</t>
  </si>
  <si>
    <t>SRG-INJ-3002</t>
  </si>
  <si>
    <t>AU310010</t>
  </si>
  <si>
    <t>INGLIS, REBEKAH</t>
  </si>
  <si>
    <t>Top of right shoulder, slightly more towards the front</t>
  </si>
  <si>
    <t>Team member injured: Greg Stommel (anaconda receiving) Lifting a box and felt a pain in right shoulder.</t>
  </si>
  <si>
    <t>SRG-INJ-2920</t>
  </si>
  <si>
    <t>lower back on the left hand side, minor pain on right foot</t>
  </si>
  <si>
    <t>while pulling the pallets in to the customer lift, ( back to the lift) i caught my foot on the edge of the pallet jack. this resulted in my foot being stuck for a second and ripping the side of my right shoe. while my foot was partially stuck I've gone to twist to the side to make sure the the pallet was going to fit into the lift and have pinched something in my back. the lower left side of his back is where the pain started</t>
  </si>
  <si>
    <t>SRG-INJ-2547</t>
  </si>
  <si>
    <t>AU329433</t>
  </si>
  <si>
    <t>KEDING, MICHELLE</t>
  </si>
  <si>
    <t>lower back on the left hand side</t>
  </si>
  <si>
    <t>Michelle was moving the seasonal water stock to its new location in the fishing dexi. She was moving the Aqua Marina SUP paddles and the coil leash. She started stacking them on floor under the dexi, as she went to pick up one of the boxes and put it on the top of the pile she she felt a small pinching feeling in the lower left side of her back.</t>
  </si>
  <si>
    <t>SRG-INJ-1903</t>
  </si>
  <si>
    <t>AU322938</t>
  </si>
  <si>
    <t>LEGGETT, ANDREW</t>
  </si>
  <si>
    <t>Andrew was putting rubbish in the bin when a nail on a piece of wood has cut him under the nail on the right little finger.</t>
  </si>
  <si>
    <t>SRG-INJ-1937</t>
  </si>
  <si>
    <t>AU323439</t>
  </si>
  <si>
    <t>RYAN, TOMMY</t>
  </si>
  <si>
    <t>Anaconda SA</t>
  </si>
  <si>
    <t>A008</t>
  </si>
  <si>
    <t>Mile End</t>
  </si>
  <si>
    <t>Left foot, swollen and bruised with pain</t>
  </si>
  <si>
    <t>Team member Tommy Ryan was lifting camp kitchens from a pallet to a stock trolley. He felt a pain in his left foot. The following day he is still in pain.</t>
  </si>
  <si>
    <t>SRG-INJ-3484</t>
  </si>
  <si>
    <t>AU229236</t>
  </si>
  <si>
    <t>DAISLEY, BELINDA</t>
  </si>
  <si>
    <t>A009</t>
  </si>
  <si>
    <t>leg</t>
  </si>
  <si>
    <t>Broken tent pole gave fibre glass splinter in the leg.</t>
  </si>
  <si>
    <t>SRG-INJ-2500</t>
  </si>
  <si>
    <t>AU317719</t>
  </si>
  <si>
    <t>CAMM, CHANTELLE</t>
  </si>
  <si>
    <t>RHS Neck and sholder</t>
  </si>
  <si>
    <t>I was facing up clothes on the 12 way racks when putting away i felt a pop in RHS neck going down into RHS sholder</t>
  </si>
  <si>
    <t>SRG-INJ-2486</t>
  </si>
  <si>
    <t>Head/Neck</t>
  </si>
  <si>
    <t>Wayne dropped a box of sleeping bags which landed on my head</t>
  </si>
  <si>
    <t>SRG-INJ-3099</t>
  </si>
  <si>
    <t>G747444E</t>
  </si>
  <si>
    <t>AU323686</t>
  </si>
  <si>
    <t>MORISON, BLAKE</t>
  </si>
  <si>
    <t>A010</t>
  </si>
  <si>
    <t>Innaloo</t>
  </si>
  <si>
    <t>Lower back strain</t>
  </si>
  <si>
    <t>TM was adding new stock of gazebos, to an existing overstock pallet in our despatch area. As the TM loaded a gazebo to the top of the stack, one of the gazebos at the bottom buckled and moved the entire stack forward towards the TM. TM was between the wall and the stack of gazebos for a lengthy period of time before another TM came and assisted. TM noticed an audible crunch noise in his back as the incident happened, and then mentioned to store management that his back did not feel 100% like before the incident. TM said he feels ok, but can tell his back has been under strain.</t>
  </si>
  <si>
    <t>Other soft tissue diseases</t>
  </si>
  <si>
    <t>SRG-INJ-2934</t>
  </si>
  <si>
    <t>AU329994</t>
  </si>
  <si>
    <t>LEE, MICHELLE</t>
  </si>
  <si>
    <t>Upper right thigh/buttock</t>
  </si>
  <si>
    <t>opened a z-trolley, accidentally backed into another z-trolley and didnt notice at the time but had split her pants. When getting changed in to new pants had noticed that there was was blood on leg and traced it back to upper thigh/bottom.</t>
  </si>
  <si>
    <t>SRG-INJ-2910</t>
  </si>
  <si>
    <t>AU307670</t>
  </si>
  <si>
    <t>JUDD, ISABEL</t>
  </si>
  <si>
    <t>Team Member came in with pre-existing knee injury (meniscus). Was kept on light duties. While drawing on our chalk noticeboard, the team member used a small yellow step and their knee buckled when going up the step, then heard a pop in their knee.</t>
  </si>
  <si>
    <t>SRG-INJ-2720</t>
  </si>
  <si>
    <t>AU314302</t>
  </si>
  <si>
    <t>CHESSELLS, JOHNATHAN</t>
  </si>
  <si>
    <t>Team member approached three individuals who were filling bags full of stock. The individuals then grabbed a fishing rod and used it to hit the team member. The team member sustained a small cut to his wrist.</t>
  </si>
  <si>
    <t>SRG-INJ-2024</t>
  </si>
  <si>
    <t>AU297971</t>
  </si>
  <si>
    <t>KEEBLE, JORDAN</t>
  </si>
  <si>
    <t>Right ankle rolled, slight brusing</t>
  </si>
  <si>
    <t>Walking down stairs to lower despatch, missed the last step and rolled right ankle.</t>
  </si>
  <si>
    <t>SRG-INJ-1909</t>
  </si>
  <si>
    <t>AU311108</t>
  </si>
  <si>
    <t>CARBERRY, JACK</t>
  </si>
  <si>
    <t>Middle Finger Dislocation</t>
  </si>
  <si>
    <t>Team member was lifting big and bulk item with the assistance of another team member. During the lift the affected team members right hand middle finger popped out. The team member was able to successfully realign said finger, and we have bandaged it to reduce further movement which may cause harm.</t>
  </si>
  <si>
    <t>SRG-INJ-1757</t>
  </si>
  <si>
    <t>AU328335</t>
  </si>
  <si>
    <t>CUSACK, JOSEPH</t>
  </si>
  <si>
    <t>box was unsafely located in a high traffic area and fell on to Joe's head. Minor headache after injury but no noticable swelling or soreness.</t>
  </si>
  <si>
    <t>moving trolley of online orders in to the lift, accidentally clipped a large awning that was stood up right near the lift. awning fell from its location and struck the back of the team members head.</t>
  </si>
  <si>
    <t>SRG-INJ-3128</t>
  </si>
  <si>
    <t>AU329684</t>
  </si>
  <si>
    <t>CRELLIN, SAMUEL</t>
  </si>
  <si>
    <t>Anaconda TAS</t>
  </si>
  <si>
    <t>A011</t>
  </si>
  <si>
    <t>right ankle over stretched.</t>
  </si>
  <si>
    <t>When gas bottle was filled, and went to hand the bottle to the customer, the right foot slipped on the edge of the curb and over stretched.</t>
  </si>
  <si>
    <t>SRG-INJ-3014</t>
  </si>
  <si>
    <t>AU331244</t>
  </si>
  <si>
    <t>EWINGTON, SHEA</t>
  </si>
  <si>
    <t>muscle pain on left shoulder blade</t>
  </si>
  <si>
    <t>Getting a bike down from the top level</t>
  </si>
  <si>
    <t>SRG-INJ-2397</t>
  </si>
  <si>
    <t>AU305629</t>
  </si>
  <si>
    <t>BENNETTO, CAITLYN</t>
  </si>
  <si>
    <t>left hand pointer finger</t>
  </si>
  <si>
    <t>jammed and pinched finger in the rolly rack.</t>
  </si>
  <si>
    <t>SRG-INJ-2257</t>
  </si>
  <si>
    <t>Right arm</t>
  </si>
  <si>
    <t>Team member was taking a box from a pallet. While lifting a sharp pain went up his arm and lasted a few seconds. Another team member Riley Hazel was with him and ask him if he was OK. He sat down for 5 minutes and continued with his duties for the night. Next day (today) he experienced more of those pains around 2:00pm. He was OK to work but was put on light duties for the rest of his shift.</t>
  </si>
  <si>
    <t>SRG-INJ-2239</t>
  </si>
  <si>
    <t>laceration little finger left hand</t>
  </si>
  <si>
    <t>Team member cut his little finger on cardboard while putting out stock,</t>
  </si>
  <si>
    <t>SRG-INJ-2122</t>
  </si>
  <si>
    <t>AU311800</t>
  </si>
  <si>
    <t>MOATE, BREANNA</t>
  </si>
  <si>
    <t>little finger pulled back and strained</t>
  </si>
  <si>
    <t>Team member was lifting boxes and her hand slipped resulting in her acrylic finger nail being pulled back on her left little finger.</t>
  </si>
  <si>
    <t>SRG-INJ-1938</t>
  </si>
  <si>
    <t>AU330031</t>
  </si>
  <si>
    <t>WRIGHT, LIAM</t>
  </si>
  <si>
    <t>Liam has a wound approx 2cm to his left palm. it is also swollen.</t>
  </si>
  <si>
    <t>The garbage bin had the lid open in the locked position, The wind started to pick up Liam went to shut the lid so cardboard didn't fly out in the wind. As Liam lifted the lid to get it out of the locked position there was a gust of wind and it lifted up out of Liam's hand and smashed down catching his hand on the silver metal bracket and the metal bin.  Liam went to the team room and washed his hand and came into the office to report it to myself (Danielle Schramm)</t>
  </si>
  <si>
    <t>SRG-INJ-1900</t>
  </si>
  <si>
    <t>AU310831</t>
  </si>
  <si>
    <t>KERSHAW, ALEX</t>
  </si>
  <si>
    <t>RIGHT THUMB Laceration</t>
  </si>
  <si>
    <t>ALLEN KEY SNAPPED AND CUT THUMB ON RIGHT HAND</t>
  </si>
  <si>
    <t>SRG-INJ-1826</t>
  </si>
  <si>
    <t>ring finger</t>
  </si>
  <si>
    <t>Box of Bestway airbed fell on ring finger while moving on the shelf.</t>
  </si>
  <si>
    <t>SRG-INJ-1722</t>
  </si>
  <si>
    <t>Small cut on index finger</t>
  </si>
  <si>
    <t>Cut on index finger</t>
  </si>
  <si>
    <t>SRG-INJ-3327</t>
  </si>
  <si>
    <t>AU322641</t>
  </si>
  <si>
    <t>MANTON, CAITLIN</t>
  </si>
  <si>
    <t>A012</t>
  </si>
  <si>
    <t>Penrith</t>
  </si>
  <si>
    <t>Popping sound on right shoulder blade</t>
  </si>
  <si>
    <t>Caitlin was fulfilling click and collect orders when she lifted a Dune 4WD single mat to shoulder height, hearing two popping sounds in her left shoulder blade. The incident occurred at 13:08, and Caitlin reported it to Store Manager Brendan around 13:28.</t>
  </si>
  <si>
    <t>SRG-INJ-3213</t>
  </si>
  <si>
    <t>Middle finger on right hand. Small cut on tip of finger.</t>
  </si>
  <si>
    <t>As caitlin was reaching for a box to move it. there was a big metal staple sticing out on the underside. She was not aware that it was there and as she reached her fingers arund the flap of the box, she caught her finger on the staple.</t>
  </si>
  <si>
    <t>SRG-INJ-3146</t>
  </si>
  <si>
    <t>AU317487</t>
  </si>
  <si>
    <t>SIMMONDS, JARROD</t>
  </si>
  <si>
    <t>Pinched nerve near right shoulder blade</t>
  </si>
  <si>
    <t>While removing one of the shelves I damaged my shoulder blade causing a sharp pain and muscular strain. I received first aid (cold treatment) immediately after the incident. I have previously had a shoulder related injury from non-work related activities.</t>
  </si>
  <si>
    <t>SRG-INJ-3121</t>
  </si>
  <si>
    <t>AU326223</t>
  </si>
  <si>
    <t>SEYCHELL, KURT</t>
  </si>
  <si>
    <t>Right knee, Bruised and scratched</t>
  </si>
  <si>
    <t>Was lifting a pallet and a slat was not attached to the bottom of the pallet on one side correctly and impacted my right knee.</t>
  </si>
  <si>
    <t>SRG-INJ-3083</t>
  </si>
  <si>
    <t>Right ankle, foot impacted floor.</t>
  </si>
  <si>
    <t>While moving boxes up to the shelf, I lost hold of a box and it started falling Instinctually moved backwards, accidentally moving a foot off of the ladder and landing on the ground - did not roll ankle (happened to be taped) but impacted with weight and has started to ache in the hours afterwards.</t>
  </si>
  <si>
    <t>SRG-INJ-3024</t>
  </si>
  <si>
    <t>Cut on middle finger left hand.</t>
  </si>
  <si>
    <t>As caitlin was moving a Bestway airbed, it slipped as she picked it up and gave her a cardboard cut. She told me as soon as it happened and first aid was administered.</t>
  </si>
  <si>
    <t>SRG-INJ-2772</t>
  </si>
  <si>
    <t>AU324248</t>
  </si>
  <si>
    <t>FLAHERTY, JANELLE</t>
  </si>
  <si>
    <t xml:space="preserve">team member informed Manager on Saturday morning whilst attending her shift for the day that yesterday she was doing repetitive tasks  and and lifting, TM has woken up with  inured right shoulder. </t>
  </si>
  <si>
    <t>SRG-INJ-2395</t>
  </si>
  <si>
    <t>AU327142</t>
  </si>
  <si>
    <t>SILVA-GEORGITSIS, ANASTASIA</t>
  </si>
  <si>
    <t>I heard over the headset from anastasia that she needed help in the red container, stating a Kayak had dropped on her. Josh, Caitlin and myself raced outside to assist her.  As i walked into the container, Josh was taking the kayak that had fallen, out of the container.  I went in to ask anastasia if she was ok.  She said she was fine. she said the kayak dropped on her shoulder.  later on caitlin brought out an ice pack for her and i told her to sit down for 10 minutes and Ice it. Anastasia refused the first aid that was offered from caitlin and myself.  throughout the afternoon i have been checking on her because she has been holding her shoulder since the accident. Anastasia Seemed to be annoyed everytime i asked and would always reply with im fine. at 2.30pm caitlin asked "are you okay, you are holding your shoulder." Anastasia replied with "i had a kayak fall on me, of course im not okay.</t>
  </si>
  <si>
    <t>SRG-INJ-2344</t>
  </si>
  <si>
    <t>Left forearm,  Laceration to the forearm.</t>
  </si>
  <si>
    <t>I was walking towards front of shop through footwear, caught my left forearm on a hard plastic bunk strip which was sitting up and not attached properly.It caused two lacerations to my skin. these started to bleed i seeked first aid treatment from staff members.</t>
  </si>
  <si>
    <t>SRG-INJ-2058</t>
  </si>
  <si>
    <t>Injury to lower back, due to twisting</t>
  </si>
  <si>
    <t>Janelle Flaherty was bring four trolleys back to the store from the carpark. twisted her back whilst pushing the trolleys. Took panadol from her own bag and continued to work.</t>
  </si>
  <si>
    <t>SRG-INJ-1819</t>
  </si>
  <si>
    <t>Left Elbow</t>
  </si>
  <si>
    <t>A team member was placing a tent down by the click and collect area. Caitlin was looking in the click and collect shelving for an item. When the tent was placed it accidentally knocked a dune awning that was leaning against the shelf and fell onto caitlin's elbow.</t>
  </si>
  <si>
    <t>SRG-INJ-1710</t>
  </si>
  <si>
    <t>Top of head</t>
  </si>
  <si>
    <t>Janelle was moving a double rolly rack full of clothing in the dock to the side and the rack tipped over onto Janelle, hitting her in the head. This did not cause any marks however is sore to touch and she has a moderate headache.</t>
  </si>
  <si>
    <t>SRG-INJ-1655</t>
  </si>
  <si>
    <t>AU240564</t>
  </si>
  <si>
    <t>MOROZOV, MELISSA</t>
  </si>
  <si>
    <t>Right leg. Knee and thigh</t>
  </si>
  <si>
    <t>Melissa Morozov was working in the click and collect room. Melissa had a rolling rack of overstock clothing. She was in the room with the large ladder, Melissa went up the ladder to add a bar to the dexie racking, when she came back down the ladder she stepped onto the ground and turned around to walk to the rolling rack and as she did there was a clear plastic A4 sign which she slipped on and fell to the floor. Her right knee hit the ground and her upper right leg was cut on a shop fitting sitting on the floor near the racking. The cut only had minor bleeding and a red mark. She went and iced her knee for 15 minutes</t>
  </si>
  <si>
    <t>SRG-INJ-3062</t>
  </si>
  <si>
    <t>AU329673</t>
  </si>
  <si>
    <t>CORNFORD, MICHAELA</t>
  </si>
  <si>
    <t>A013</t>
  </si>
  <si>
    <t>top left knee</t>
  </si>
  <si>
    <t>team member was pulling in the kayak stand from out the front to inside for end of day, when the kayak stand fell apart and all the kayaks come crashing down</t>
  </si>
  <si>
    <t>SRG-INJ-2754</t>
  </si>
  <si>
    <t>AU239735</t>
  </si>
  <si>
    <t>ARMISTEAD, MATHEW</t>
  </si>
  <si>
    <t>Physological</t>
  </si>
  <si>
    <t>2 male offenders, were disturbed what attempting to steal, as team appoached the male in Grey clothing  said "fuck off c#@t or i will hurt you", while showing the hilt of the knife just stolen,  2 males left the store without further incident.</t>
  </si>
  <si>
    <t>Exposure to workplace or occupational violence</t>
  </si>
  <si>
    <t>SRG-INJ-2740</t>
  </si>
  <si>
    <t>Verbal assualt, threats of Violence</t>
  </si>
  <si>
    <t>SRG-INJ-2678</t>
  </si>
  <si>
    <t>Left hasd side of Jaw, and right Shoulder</t>
  </si>
  <si>
    <t>Male offender (shop lifter) after being asked to leave and remove the Jacket that her was wearing under his own jacket. Refused. Sm then called 000, keeping safe distance from offender the offender turned around and charged back at Sm them punch Sm on lower left Jaw (gaizing shot then into right Shoulder)</t>
  </si>
  <si>
    <t>SRG-INJ-2540</t>
  </si>
  <si>
    <t>cut on left ring finger</t>
  </si>
  <si>
    <t>Open carton cutter was inside box of stock, so when i reached in to grab stock this cut the left ring finger</t>
  </si>
  <si>
    <t>Internal injury of chest, abdomen and pelvis</t>
  </si>
  <si>
    <t>SRG-INJ-2483</t>
  </si>
  <si>
    <t>right hand side of neck</t>
  </si>
  <si>
    <t>Store manager punched by male offender, after offender was asked to leave</t>
  </si>
  <si>
    <t>SRG-INJ-2180</t>
  </si>
  <si>
    <t>AU298882</t>
  </si>
  <si>
    <t>DAWKINS, TANISHA</t>
  </si>
  <si>
    <t>lower back pain</t>
  </si>
  <si>
    <t>Team member bent over to get an online parcel bag and felt a pain in her back</t>
  </si>
  <si>
    <t>SRG-INJ-2114</t>
  </si>
  <si>
    <t>Left hand side of face, nose and lower jaw</t>
  </si>
  <si>
    <t>Offender head butted store manager</t>
  </si>
  <si>
    <t>SRG-INJ-2036</t>
  </si>
  <si>
    <t>AU219962</t>
  </si>
  <si>
    <t>BISWAS, SUSAN</t>
  </si>
  <si>
    <t>Head - Bruising</t>
  </si>
  <si>
    <t>Team member hit head on top of Bike stand, after getting in below the stand looking at a Customers bike that they had positioned awkwardly.</t>
  </si>
  <si>
    <t>SRG-INJ-1676</t>
  </si>
  <si>
    <t>Lower back pain</t>
  </si>
  <si>
    <t>Earlier in shift when working 4x4 draws and Bikes out of the pallets . One of the draws slipped(shifted weight a bit, but was able to hold it. Later in the day when bending over to pick up a ticket and reattach to bottom shelf felt a sharp pain in LH side of lower back.</t>
  </si>
  <si>
    <t>SRG-INJ-3468</t>
  </si>
  <si>
    <t>AU320371</t>
  </si>
  <si>
    <t>MACLEOD, THOMAS</t>
  </si>
  <si>
    <t>A015</t>
  </si>
  <si>
    <t>Moore Park</t>
  </si>
  <si>
    <t>Hand</t>
  </si>
  <si>
    <t>Team member Thomas Macleod went to wash a glass that was in the sink with the Zip tap and he didn't realise how hot the water was from the zip tap as the normal tap does not produce hot water and the water has splashed up and burnt his hand he has applied an ice pack and continued working</t>
  </si>
  <si>
    <t>SRG-INJ-2238</t>
  </si>
  <si>
    <t>AU235001</t>
  </si>
  <si>
    <t>CLARK, PETER</t>
  </si>
  <si>
    <t>Injury was cut on hand, causing fish product to cause allergic reaction</t>
  </si>
  <si>
    <t>Customer came to service counter to purchase fishing bait, service team member is allergic to all fish products. Team member didn't touch the bait but other items that he processed had the residue of the bait on them that he did pick up. This products tag gave the team member a small paper cut which allowed some of the residue from the bait to enter his system and cause an allergic reaction. After the reaction the team member has used his epipen and has also taken an antihistamine and has recovered from the incident no further medical attention needed as of now.</t>
  </si>
  <si>
    <t>Other diseases, not elsewhere classified</t>
  </si>
  <si>
    <t>Other live animals</t>
  </si>
  <si>
    <t>SRG-INJ-3371</t>
  </si>
  <si>
    <t>S24MG216666</t>
  </si>
  <si>
    <t>AU323498</t>
  </si>
  <si>
    <t>WILSON, RILEY</t>
  </si>
  <si>
    <t>A016</t>
  </si>
  <si>
    <t>Morayfield</t>
  </si>
  <si>
    <t>fingure was sliced open twice</t>
  </si>
  <si>
    <t>Riley was in the work shop building a Fluid Summit bike. When adjusting the rear brakes he has gotten his fingure caught in between the break disc and the frame. The wheel has bounced back off his fingure when doing so it has sliced his fingure open but then has returned and cut it again in a different spot. when riley has realised what has happened he has notified Erickah who was also in the workshop that he has cut his fingure. Erickah asked how deep and if he was okay. He has rushed into the team room to wash off excess blood to see how deep it was and the blood was pouring out. we have wrapped paper towel around his fingure while calling 000 as we have realised it is deaper then we thought. While on the phone to the first responder they advised us to wrap something thicker around it so we got a team member shirt and wrap that around Rileys fingure with pressure. The ambulance arrived within 15 minutes of calling. They gave Riley the green whistle for the pain and washed the wounds out before wrapping his fingure up and transporting him to hospital. Riley did not loose consciousness or throw up. He was in a lot of pain was very cold and lost all colour in his face.</t>
  </si>
  <si>
    <t>SRG-INJ-2733</t>
  </si>
  <si>
    <t>AU331504</t>
  </si>
  <si>
    <t>JORGENSEN, ERICKAH</t>
  </si>
  <si>
    <t>right upper foot and toes, swelling and bruising</t>
  </si>
  <si>
    <t>Erickah was grabbing an ice box from the bottom of a flat bed trolley, pulling it towards her. She didn't realise the distance it had moved already and the opposite end dropped onto the top of her right foot. Erickah called Kerry and myself (Taylor) to the office where I provided an ice pack as first aid. Erickah sat for 20 minutes and then decided to go home. She visted urgent care later that night and they told her that she just had some bad bruising but no brakes. Erickah returned to work the next day as normal.</t>
  </si>
  <si>
    <t>SRG-INJ-1832</t>
  </si>
  <si>
    <t>AU328303</t>
  </si>
  <si>
    <t>JOHNS, BILLY</t>
  </si>
  <si>
    <t>billy was lifting a stretcher over his shoulder, the stretcher slipped and he hurt his shoulder. billy dislocated his shoulder two days prior at the gym and did not inform leaders of the store. billy did not inform the supervisors that the injury had occurred and kept working. We only found out on the 16th when billy informed us that he couldn't work because he hurt his shoulder.</t>
  </si>
  <si>
    <t>SRG-INJ-3300</t>
  </si>
  <si>
    <t>AU231985</t>
  </si>
  <si>
    <t>GRAY, BROOKE</t>
  </si>
  <si>
    <t>A017</t>
  </si>
  <si>
    <t>Narre Warren</t>
  </si>
  <si>
    <t>Left Ankle bone</t>
  </si>
  <si>
    <t>I was walking passed a cage and accidently hit my ankle bone on the corner of the cage</t>
  </si>
  <si>
    <t>SRG-INJ-3029</t>
  </si>
  <si>
    <t>AU325291</t>
  </si>
  <si>
    <t>MCNEILL, JOHN</t>
  </si>
  <si>
    <t>right side knee</t>
  </si>
  <si>
    <t>Team Member was Kneeling down to open a cabinet for a customer to have a look at some reels and when the team member has gone to get up he has heard a pop in his right knee,</t>
  </si>
  <si>
    <t>SRG-INJ-3015</t>
  </si>
  <si>
    <t>AU298424</t>
  </si>
  <si>
    <t>COOPER, JAMES</t>
  </si>
  <si>
    <t>Left hand thumb knuckle</t>
  </si>
  <si>
    <t>When pulling a bike out of the box James caught his thumb on the disc brake. This caused a small cut on the thumb knuckle.</t>
  </si>
  <si>
    <t>SRG-INJ-3016</t>
  </si>
  <si>
    <t>Right pointer finger</t>
  </si>
  <si>
    <t>James was building a bike and cut his finger on the disk break</t>
  </si>
  <si>
    <t>Rubbing and chafing</t>
  </si>
  <si>
    <t>SRG-INJ-2888</t>
  </si>
  <si>
    <t>AU240694</t>
  </si>
  <si>
    <t>FIASILI, LETUU</t>
  </si>
  <si>
    <t>left hand ring finger nail was impacted with metal bollard and has caused the nail to break and bleed in the middle of the nail</t>
  </si>
  <si>
    <t>delivery driver had parked pallet to close to the bollard, Letuu was trying to bring the pallet in around the bollard and ending up hitting the bollard with her finger</t>
  </si>
  <si>
    <t>SRG-INJ-2875</t>
  </si>
  <si>
    <t>AU311738</t>
  </si>
  <si>
    <t>BARROW, KATHRYN</t>
  </si>
  <si>
    <t>left arm middle of forearm</t>
  </si>
  <si>
    <t>the team member was trying to insert a shelf into a bay when the shelf wasn't in properly and came down on the team member, the team member has reported the injury straight away put an ice pack on it and is now sitting down resting in the office.</t>
  </si>
  <si>
    <t>SRG-INJ-2855</t>
  </si>
  <si>
    <t>RIght side between the eye and the nose</t>
  </si>
  <si>
    <t>Team member was pulling a box towards herself but pulled to quickly that the box flew into her face with the corner of the box hitting her between the right eye and nose</t>
  </si>
  <si>
    <t>SRG-INJ-2823</t>
  </si>
  <si>
    <t>Right 4th finger with bruising</t>
  </si>
  <si>
    <t>Team member was moving a cage and base and got her finger caught between the table and the cage</t>
  </si>
  <si>
    <t>SRG-INJ-2803</t>
  </si>
  <si>
    <t>AU329615</t>
  </si>
  <si>
    <t>KREMENAROV, MOHAMMED FEHMI</t>
  </si>
  <si>
    <t>spat on</t>
  </si>
  <si>
    <t>Two you kids (roughly 12 years old) were in the store and as a team member was walking past them one of them spat on the team member. So we asked them to leave.</t>
  </si>
  <si>
    <t>Unspecified locations</t>
  </si>
  <si>
    <t>SRG-INJ-2748</t>
  </si>
  <si>
    <t>AU334334</t>
  </si>
  <si>
    <t>DINES, CHLOE</t>
  </si>
  <si>
    <t>right hand middle of the bottom of her palm</t>
  </si>
  <si>
    <t>Chloe was putting stock away at registers when she got stabbed by a pen, she felt it straight away and had to pull the pen out of her hand. It didn't start bleeding straight away. Once the wound started bleeding she notified a team leader straight away. I (Tyler-Lee Cooke, Team Leader) gave her a band aid and an alcohol wipe to clean up the wound and made sure she was ok.</t>
  </si>
  <si>
    <t>SRG-INJ-2651</t>
  </si>
  <si>
    <t>Right Index finger</t>
  </si>
  <si>
    <t>Whilst doing recovery, Michaela was closing up a kids director chair to put back and caught her index finger between the chair. Causing the finger to be squished.</t>
  </si>
  <si>
    <t>SRG-INJ-2561</t>
  </si>
  <si>
    <t>Head</t>
  </si>
  <si>
    <t>Fehmi was attempting to dispose of some cardboard waste &amp; when opening the lid to the bin It slipped out of position and struck him on the head.</t>
  </si>
  <si>
    <t>SRG-INJ-2484</t>
  </si>
  <si>
    <t>AU330553</t>
  </si>
  <si>
    <t>ELLIOTT, AUGUSTUS</t>
  </si>
  <si>
    <t>Bee sting Right hand</t>
  </si>
  <si>
    <t>Was stung by a bee on the way back into the store after refilling a gas bottle</t>
  </si>
  <si>
    <t>SRG-INJ-2456</t>
  </si>
  <si>
    <t>AU322832</t>
  </si>
  <si>
    <t>GIULIANO, MARK</t>
  </si>
  <si>
    <t>right hand in between thumb and index finger</t>
  </si>
  <si>
    <t>Mark was assisting a customer cabinet when, he took the knife off the customer to put the knife away and cut in between his thumb and pointer finger, he than came and found myself (tyler) to get a band aid, since then we have cleaned the wound and out a band aid on.</t>
  </si>
  <si>
    <t>SRG-INJ-2361</t>
  </si>
  <si>
    <t>AU323900</t>
  </si>
  <si>
    <t>KENNEDY, JOHN</t>
  </si>
  <si>
    <t>Right hand ring finger.</t>
  </si>
  <si>
    <t>I was moving some new heater stock from a bulk stack on the grass floor over to the heating &amp; cooling home location. When manually handling the stock "without gloves" I managed a small laceration to the base of the ring finger on my right hand.</t>
  </si>
  <si>
    <t>SRG-INJ-2362</t>
  </si>
  <si>
    <t>left hand middle finger</t>
  </si>
  <si>
    <t>Whilst unpacking a box of Denali Lite sleeping bags, I managed to slice my middle finger open on my left hand.</t>
  </si>
  <si>
    <t>SRG-INJ-2117</t>
  </si>
  <si>
    <t>grazed/cut left thumb.</t>
  </si>
  <si>
    <t>I was putting stock away on the shelf &amp; somehow smashed the tip of my left thumb on an upper hanging lip of data stripping. It is throbbing in pain &amp; started bleeding.</t>
  </si>
  <si>
    <t>SRG-INJ-2118</t>
  </si>
  <si>
    <t>Fainted</t>
  </si>
  <si>
    <t>Team member passed out</t>
  </si>
  <si>
    <t>Heat stress/heat stroke</t>
  </si>
  <si>
    <t>Exposure to environmental heat</t>
  </si>
  <si>
    <t>SRG-INJ-2096</t>
  </si>
  <si>
    <t>Upper lip</t>
  </si>
  <si>
    <t>When bending down to move a box I hit my upper lip on a trolley</t>
  </si>
  <si>
    <t>SRG-INJ-2105</t>
  </si>
  <si>
    <t>AU332220</t>
  </si>
  <si>
    <t>KANESHAN, MARY</t>
  </si>
  <si>
    <t>Box fell on right big toe</t>
  </si>
  <si>
    <t>As Mary was moving a gazebo box for a click and collect another box fell on to her toe</t>
  </si>
  <si>
    <t>SRG-INJ-2032</t>
  </si>
  <si>
    <t>right hand pointing finger bruising</t>
  </si>
  <si>
    <t>I was trying to pack down an Oztent RS stretcher which a customer had decided to open up and dump in a walkway. When attempting to pack it down the frame slid off the other stretcher is was sitting on and half folded down, crushing my finger in the framework.</t>
  </si>
  <si>
    <t>SRG-INJ-1852</t>
  </si>
  <si>
    <t>Right Forearm</t>
  </si>
  <si>
    <t>Team Member was moving shelves around and the shelf got caught in a spot that cause her arm to get stuck. She then called another team member over to help remove the shelf so she could get her arm out</t>
  </si>
  <si>
    <t>SRG-INJ-1746</t>
  </si>
  <si>
    <t>left arm</t>
  </si>
  <si>
    <t>team members was carrying a box out the back of registers when her foot hit the corner of the racks and caused the box to rebound onto her arm and created a graze which has bruised and slight blood, the team members arm has now gone tingly</t>
  </si>
  <si>
    <t>SRG-INJ-1720</t>
  </si>
  <si>
    <t>Right hand on index finger.</t>
  </si>
  <si>
    <t>As I was re-stacking a bulk stack of new wood pellets, I somehow managed to obtain a deep cut to my right hand index finger.</t>
  </si>
  <si>
    <t>SRG-INJ-1708</t>
  </si>
  <si>
    <t>michaela had cut her finger on a cardboard box while working the stock</t>
  </si>
  <si>
    <t>was working with the shoe boxes and cut my finger on the cardboard box</t>
  </si>
  <si>
    <t>SRG-INJ-1701</t>
  </si>
  <si>
    <t>A cut was sustained on the Palm of right hand.</t>
  </si>
  <si>
    <t>TL Johnny was throwing out cardboard &amp; managed to cut open the palm of his right hand on the lip of the dumpster.</t>
  </si>
  <si>
    <t>SRG-INJ-1660</t>
  </si>
  <si>
    <t>Right Thumb</t>
  </si>
  <si>
    <t>Right thumb just started to hurt under nail. Throbbing pain and a bit of blood. Not sure on the cause,  Washed thumb and put a bandaid over the area</t>
  </si>
  <si>
    <t>SRG-INJ-1637</t>
  </si>
  <si>
    <t>AU322852</t>
  </si>
  <si>
    <t>PILOIS, JONATHON</t>
  </si>
  <si>
    <t>right hand and the middle finger</t>
  </si>
  <si>
    <t>team member was walking past the big sign at the registers and cut his finger on the edge of the metal sign.</t>
  </si>
  <si>
    <t>SRG-INJ-1592</t>
  </si>
  <si>
    <t>AU323352</t>
  </si>
  <si>
    <t>TALEB, SAJA</t>
  </si>
  <si>
    <t>Looking for box on pallets, due to minimal space when i turned I hit the top right portion of my head on the metal border of racking.</t>
  </si>
  <si>
    <t>SRG-INJ-1648</t>
  </si>
  <si>
    <t>Right Shoulder</t>
  </si>
  <si>
    <t>Saja was looking through pallets to find stock for online orders. As she was moving boxes she felt 3 sharp pops. I have attached a photo of a summary of Saja exact words that has happened. Saja Has a previous injury from a previous job.</t>
  </si>
  <si>
    <t>SRG-INJ-1581</t>
  </si>
  <si>
    <t>AU328279</t>
  </si>
  <si>
    <t>BROWN, KEITH</t>
  </si>
  <si>
    <t>right foot middle toe</t>
  </si>
  <si>
    <t>assisting the  store manager with a customer that was stealing, at the front entrance and pushed into the side of the door..</t>
  </si>
  <si>
    <t>SRG-INJ-2598</t>
  </si>
  <si>
    <t>S23AV132377</t>
  </si>
  <si>
    <t>AU320276</t>
  </si>
  <si>
    <t>WILLIAMS, JONOTHON</t>
  </si>
  <si>
    <t>A018</t>
  </si>
  <si>
    <t>Kawana Waters</t>
  </si>
  <si>
    <t>Jon and I were searching through boxes on pallets in the warehouse area. Jon turned and his knee twisted and he felt a pain in his knee area. Jon needed to sit down for approximately 10 minutes. Jon did resume working</t>
  </si>
  <si>
    <t>SRG-INJ-2566</t>
  </si>
  <si>
    <t>AU328692</t>
  </si>
  <si>
    <t>BOYD, SAMARA</t>
  </si>
  <si>
    <t>Paper cut</t>
  </si>
  <si>
    <t>Cut finger on edge of a box while unpacking thermals.</t>
  </si>
  <si>
    <t>SRG-INJ-2526</t>
  </si>
  <si>
    <t>AU308339</t>
  </si>
  <si>
    <t>KING, JAYDEN</t>
  </si>
  <si>
    <t>left hand 2 fingers got cut on the PVC box</t>
  </si>
  <si>
    <t>I went to get a shelf and some hooks, As I went to pick up a box of hooks off a shelf the box broke cutting my fingers.</t>
  </si>
  <si>
    <t>SRG-INJ-2351</t>
  </si>
  <si>
    <t>AU237670</t>
  </si>
  <si>
    <t>HEATH, LESLEY</t>
  </si>
  <si>
    <t>Scrap/sore shoulder and hip</t>
  </si>
  <si>
    <t>riding bike to work, lady failed to stop at Crossing, and knocked Danny off his bike. Lady stop, but then drove off. Danny then had to walk home, with his bike as lady in vehicle buckled his back wheel on his Lemons Electric Bike. Danny called the store to notify team he would be late, I offered for him to have the day off, but he declined. I notice danny has a Minor Scrap on his knee, soreness in shoulder and right Hip. We have been checking in on him all day today to make sure he is ok.</t>
  </si>
  <si>
    <t>SRG-INJ-2270</t>
  </si>
  <si>
    <t>AU324321</t>
  </si>
  <si>
    <t>MEREDITH, BRADLEY</t>
  </si>
  <si>
    <t>Back - due to repetive movement</t>
  </si>
  <si>
    <t>Moving Bulk Stacks of Beach Carts and have injured back -</t>
  </si>
  <si>
    <t>SRG-INJ-2044</t>
  </si>
  <si>
    <t>AU324246</t>
  </si>
  <si>
    <t>KINSELLA, OSCAR</t>
  </si>
  <si>
    <t>L/H index finger</t>
  </si>
  <si>
    <t>Suffered abbraision/cut to L/H index finger while unlocking floor of cage finger slipped.</t>
  </si>
  <si>
    <t>SRG-INJ-1975</t>
  </si>
  <si>
    <t>S23HU068277</t>
  </si>
  <si>
    <t>AU313677</t>
  </si>
  <si>
    <t>GRAFF, JODI</t>
  </si>
  <si>
    <t>lifting a lot of heavy winter stock and have sustained an injury to my left collarbone region</t>
  </si>
  <si>
    <t>while pulling overstock clearance clothing off the racks within the tsg overstock room i felt my left collar bone and surrounding area within the muscles etc and shoulder was getting sore due to the heavy lifting of winter jackets while moving them back and forth between front and back rail/racking.  I just felt at the time it was because i was using the muscles as would be expected with moving stock at high volume. Over the next couple of days it progressively got worse and i have been getting sharp pains and and a lot of discomfort around my collarbone, even cracking sounds when moving my shoulder back and forth on the left to the point it hurts to lift my arm or with and weight in my left hand.  I have been doing ice/heat and resting it on my days off.  When i got back to work i reported the incident to the store manager directly who informed me to fill in this form and send it through.</t>
  </si>
  <si>
    <t>SRG-INJ-1811</t>
  </si>
  <si>
    <t>AU312473</t>
  </si>
  <si>
    <t>TANNAHILL, KERRY</t>
  </si>
  <si>
    <t>right ankle rolled and left elbow grazed</t>
  </si>
  <si>
    <t>I had just finished a called with my Cluster manager and I was walking back into the loading dock and rolled my right ankle on a clear merchandising clip on the cement floor, also grazing my left elbow.</t>
  </si>
  <si>
    <t>SRG-INJ-1774</t>
  </si>
  <si>
    <t>Has fainted</t>
  </si>
  <si>
    <t>Team Member has fainted</t>
  </si>
  <si>
    <t>Circulatory system</t>
  </si>
  <si>
    <t>SRG-INJ-1737</t>
  </si>
  <si>
    <t>Dropped Box onto finger</t>
  </si>
  <si>
    <t>While trying to fill the drinks fridge, there was a full carton of Soft Drink on the top shelf, in trying to get the box off the top shelf, Jodi jammed her finger between the box and the shelf below.</t>
  </si>
  <si>
    <t>SRG-INJ-1725</t>
  </si>
  <si>
    <t>Impact to the lower back area</t>
  </si>
  <si>
    <t>Jon was wrapping a pallet, near the roller door and he was coming around the corner of the pallet he hit his lower lumbar area on the corner of the wall, that caused a jolt to his back and there was a controlled fall to the floor as Jon could feel his back spasming, after approximately a minute Jon felt the spasm release and he was able to get to his feet unassisted. Jon was still in some pain.</t>
  </si>
  <si>
    <t>SRG-INJ-1583</t>
  </si>
  <si>
    <t>left shoulder. left hip</t>
  </si>
  <si>
    <t>Came walking in from Back Dock - boxes from a pallet had fallen on the ground, they were out of my line of sight and I tripped over them.</t>
  </si>
  <si>
    <t>SRG-INJ-3196</t>
  </si>
  <si>
    <t>AU308429</t>
  </si>
  <si>
    <t>DURANCE, KATHERINE</t>
  </si>
  <si>
    <t>A020</t>
  </si>
  <si>
    <t>Preston</t>
  </si>
  <si>
    <t>spasm in right shoulder when reaching for box below</t>
  </si>
  <si>
    <t>Katherine was reaching for a box below her when she felt a painful spasm in her right posterior trapezius muscle (shoulder.) She then placed a ice pack on it.</t>
  </si>
  <si>
    <t>SRG-INJ-2891</t>
  </si>
  <si>
    <t>AU221989</t>
  </si>
  <si>
    <t>GOLDSWORTHY, PETER</t>
  </si>
  <si>
    <t>Left knee medial meniscus</t>
  </si>
  <si>
    <t>Peter walked in with MRI scan informing Bri and I he has a sore knee and it is work related from July. Felt sudden pain in knee when knelt down filling fishing hooks. Peter went to doctors and was advised it was arthritis. Peter did not seek medical attention at the time and informed doctor that he had the upcoming store project build he wanted to be available for.</t>
  </si>
  <si>
    <t>SRG-INJ-2451</t>
  </si>
  <si>
    <t>AU332630</t>
  </si>
  <si>
    <t>RENNIE, HANNAH</t>
  </si>
  <si>
    <t>Middle finger nail on the left hand</t>
  </si>
  <si>
    <t>Hannah was climbing a ladder to put away boxes in despatch. She slipped on a step, and grabbed the side of the ladder that caught her nail on her left middle finger, ripping it out incompletely.</t>
  </si>
  <si>
    <t>SRG-INJ-1942</t>
  </si>
  <si>
    <t>AU224985</t>
  </si>
  <si>
    <t>JENKINSON, NICHOLAS</t>
  </si>
  <si>
    <t>Nick hit the back of his hand on one of the fastening bolts of a rolly rack</t>
  </si>
  <si>
    <t>Nick was going out the back to get an item of clothing for a customer and knocked the back of his hand on a rolly rack</t>
  </si>
  <si>
    <t>SRG-INJ-3092</t>
  </si>
  <si>
    <t>AU335946</t>
  </si>
  <si>
    <t>HUI, NOK IN</t>
  </si>
  <si>
    <t>A022</t>
  </si>
  <si>
    <t>Cannington</t>
  </si>
  <si>
    <t>hooks from lure through team members right thumb</t>
  </si>
  <si>
    <t>Team member was filling the spinning blade lures, 2 of the barbs that are uncovered came out of the packaging and lodged into the team members finger as they were going to put the lure on the prong.</t>
  </si>
  <si>
    <t>SRG-INJ-2620</t>
  </si>
  <si>
    <t>AU320152</t>
  </si>
  <si>
    <t>MORADAY, PAUL</t>
  </si>
  <si>
    <t>Tents impacted the top left side of Paul's head</t>
  </si>
  <si>
    <t>Paul was placing a tent in the wall below the tents that slipped forward. When the tents slipped forward 2 of them fell off the shelf to impact Paul's head. He quickly reported the issue to Team leader Wendy. We will move the tents to make the location safe.</t>
  </si>
  <si>
    <t>SRG-INJ-2617</t>
  </si>
  <si>
    <t>AU322913</t>
  </si>
  <si>
    <t>WILLIAMS, ANTHONY</t>
  </si>
  <si>
    <t>No immediate issue. Problem came out about 24 hours after the incident as the wrist became very painful. I have had to use painkillers to reduce the discomfort.</t>
  </si>
  <si>
    <t>I went to loosen an allen bolt on the side of the gooseneck for a bike, to adjust the handlebar location, the bolt was tight so I had to put a lot of tension on the bolt with the allen wrench. It finally released with a lot of force. The bolt came loose and the rest of the build went without issue. The next afternoon, my wrist started to hurt a lot and overnight I had to take pain killers to reduce the pain</t>
  </si>
  <si>
    <t>SRG-INJ-2520</t>
  </si>
  <si>
    <t>AU332286</t>
  </si>
  <si>
    <t>MUIR, JORDAN</t>
  </si>
  <si>
    <t>Glancing blow from above, on TM head</t>
  </si>
  <si>
    <t>TM was placing boxes in the bin when one of the boxes touched the lid and caused it co come loose from the latch. The lid came down on the TM's head and arm, giving a glancing blow to the head of the TM. TM came in and reported the injury and we asked TM to sit in the lunch room with an ice pack on the injured area. After checking the TM's head, no visible swelling was noticed. Will keep checking on the TM to ensure no signs of Concussion show up. TM returned to work at 2pm</t>
  </si>
  <si>
    <t>SRG-INJ-2490</t>
  </si>
  <si>
    <t>AU314566</t>
  </si>
  <si>
    <t>TURBETT, RACHEL</t>
  </si>
  <si>
    <t>Left Hand bruising and broken skin</t>
  </si>
  <si>
    <t>Team member was removing heavy mats that were placed in a unsafe manner from the top of the dexion .The team member was on top of the wave,as the team member went to remove the item as safely as possible the box got court between the wave and the dexion  and unfortunately her hand got stuck and was hurt in the process.</t>
  </si>
  <si>
    <t>SRG-INJ-1922</t>
  </si>
  <si>
    <t>AU329118</t>
  </si>
  <si>
    <t>PHILPOTT, JENNIFER</t>
  </si>
  <si>
    <t>Foot injury - Bruising</t>
  </si>
  <si>
    <t>note from the team member:  I was trying to shut a metal drawer at services that was jammed. When i pulled the drawer out it came loose and fell to the floor landing on my right foot. I now have pain in my first 4 toes.</t>
  </si>
  <si>
    <t>SRG-INJ-3260</t>
  </si>
  <si>
    <t>AU334695</t>
  </si>
  <si>
    <t>HATCH, NATASHA</t>
  </si>
  <si>
    <t>A023</t>
  </si>
  <si>
    <t>West Gosford</t>
  </si>
  <si>
    <t>"Twinge" or Strain in lower back on the left side - Acute lumbar back pain</t>
  </si>
  <si>
    <t>I was packing ecoms when I felt a twinge in my back wasn't able to bend down as it hurt. I thought it was going to get better but progressively got worse over the night and now when I sit or move it hurts and pins and needles.</t>
  </si>
  <si>
    <t>SRG-INJ-3250</t>
  </si>
  <si>
    <t>AU327076</t>
  </si>
  <si>
    <t>NORDICK, GRANT</t>
  </si>
  <si>
    <t>Grazed Hip and strong contact between the aggressor and Grant across the right shoulder and neck area</t>
  </si>
  <si>
    <t xml:space="preserve">Attempted theft, offender had his elbow into the side of my neck trying get me to release.  He also placed one of his hands on my arm and then took hold of his arm to remove his hand from me.  I pointed out that I simply removed his hand from me.  </t>
  </si>
  <si>
    <t>SRG-INJ-3251</t>
  </si>
  <si>
    <t>AU300527</t>
  </si>
  <si>
    <t>NADER, THOMAS</t>
  </si>
  <si>
    <t>Left and right hand, left lower leg/knee. Lower back</t>
  </si>
  <si>
    <t xml:space="preserve"> my left hand was pinned between a bike and a metal railing, I was scratched on the right hand by the metal bike. I have bruises down my left leg from the bike being hit into it and cuts across my left knee from the bike. I have also strained my left leg and lower back with mild pain</t>
  </si>
  <si>
    <t>SRG-INJ-2894</t>
  </si>
  <si>
    <t>AU334414</t>
  </si>
  <si>
    <t>WHAPSHOTT, KYLE</t>
  </si>
  <si>
    <t xml:space="preserve">Kyle Whapshott was carrying one box of aluminum XL recliners 8.6KG carried it down two flights of stairs absolutely fine made it to the 3rd last step and ankle just rolled from underneath him, he heard a snap in the ankle and fell forward caught himself on a box and fell face first into the floor. </t>
  </si>
  <si>
    <t>SRG-INJ-1723</t>
  </si>
  <si>
    <t>AU323573</t>
  </si>
  <si>
    <t>PHILLIPS, TRACEY</t>
  </si>
  <si>
    <t>Bruising to the elbow</t>
  </si>
  <si>
    <t>Tracey was walking through the racetrack when her foot caught in that carry strap of the trifold bed with was rotated onto its side. This caused Tracey to trip and landed on arm. Tracy then stood up and rotated the tri fold beds to that the handles were facing up to eliminate the risk of it happen again.</t>
  </si>
  <si>
    <t>SRG-INJ-1688</t>
  </si>
  <si>
    <t>AU307750</t>
  </si>
  <si>
    <t>MUA, GEORGIA</t>
  </si>
  <si>
    <t>Radicular lower back pain, right</t>
  </si>
  <si>
    <t>Team member was scanning awnings for stocktake. Involved pulling awnings from under shelf to locate barcodes and put back into place. Team member started to experience pain in leg and lower back.</t>
  </si>
  <si>
    <t>SRG-INJ-3086</t>
  </si>
  <si>
    <t>AU330597</t>
  </si>
  <si>
    <t>OLSEN, ERIN</t>
  </si>
  <si>
    <t>A025</t>
  </si>
  <si>
    <t>Belrose</t>
  </si>
  <si>
    <t>Erin's cheek has a bruise/small cut.</t>
  </si>
  <si>
    <t>Erin was trying to put a 120mm U-bar into our shelving unit, though it slipped, fell our of her hand and hit her in the face.</t>
  </si>
  <si>
    <t>SRG-INJ-3434</t>
  </si>
  <si>
    <t>AU235351</t>
  </si>
  <si>
    <t>RIDGE, NATHAN</t>
  </si>
  <si>
    <t>Placing bar into bay, the bar shifted and Nathan hit his hand on the underside of the above mesh, caused mild bruising treated with ice pack</t>
  </si>
  <si>
    <t>moving fixtures within bay, straight bar did not come free, left hand collided with pin at the bottom of grid mesh.</t>
  </si>
  <si>
    <t>SRG-INJ-2311</t>
  </si>
  <si>
    <t>AU331670</t>
  </si>
  <si>
    <t>PEFKOS, HARRISON</t>
  </si>
  <si>
    <t>Foot (R) (Heel) - Contusion / Bruising / Minor Crush</t>
  </si>
  <si>
    <t>I walked outside to stack an empty pallet using our walkie stacker. While maneuvering the walkie stacker towards the back side of our loading area, I had the back part of the walkie stacker roll over my foot, squishing it between the walkie and the ground. There was quite a lot of pain but I tried to push through. I notified my team leader immediately, to which he said if the pain gets any worse to let him know.. The pain was quite bad to begin with, though it did not get worse or better. No further action was taken on this day. Normal footwear was worn during this incident.</t>
  </si>
  <si>
    <t>SRG-INJ-3513</t>
  </si>
  <si>
    <t>AU240072</t>
  </si>
  <si>
    <t>LONG, SARAH</t>
  </si>
  <si>
    <t>A026</t>
  </si>
  <si>
    <t>Springvale</t>
  </si>
  <si>
    <t>RIGHT BIG TOE</t>
  </si>
  <si>
    <t>pulled stove box out from the shelve not noticing that a hot plate was under it and the hot plate fell on to my big toe</t>
  </si>
  <si>
    <t>SRG-INJ-3342</t>
  </si>
  <si>
    <t>AU321604</t>
  </si>
  <si>
    <t>NARAYAN, RAJU</t>
  </si>
  <si>
    <t>Moving kayak</t>
  </si>
  <si>
    <t>Possible pinched nerve, had had a sore lower back for approx 4-5 weeks after transporting kayak from dispatch to shop floor. At the the time didn't think it was an issue as it healed overnight with rest. Since incident lower back pain has flared on and off. Over the past week pain in lower left sciatica has become very painful once its inflamed. Made a doctors appointment yesterday and he has request an immediate MRI which I'm making today. Will update as information comes available</t>
  </si>
  <si>
    <t>Injuries to nerves and spinal cord, not elsewhere classified</t>
  </si>
  <si>
    <t>SRG-INJ-3234</t>
  </si>
  <si>
    <t>AU311769</t>
  </si>
  <si>
    <t>REKKAS, LUCY</t>
  </si>
  <si>
    <t>Scratch/minor cut</t>
  </si>
  <si>
    <t>Lucy was moving trolleys and scratched upper buttock on fixture. Fixture has been been moved, incident was not reported by Lucy but another team member days after the event. No further action is required.</t>
  </si>
  <si>
    <t>SRG-INJ-3096</t>
  </si>
  <si>
    <t>bruising on left knee</t>
  </si>
  <si>
    <t>At 2.40pm Sarah was walking into the display tent she tripped on the tent and landed on her left knee which caused swelling and was in a bit pain. She stopped working to make a doctors appointment which confirmed bruising on tendon and has been advised to carry light duties for the week</t>
  </si>
  <si>
    <t>SRG-INJ-3071</t>
  </si>
  <si>
    <t>Tim spent the first hour of the day lifting and moving stock around dispatch. Around 9am he notified me of a sore lower back. This pain persisted throughout the day even after he went to light duties only. The pain has continued since then despite avoiding heavy lifting.</t>
  </si>
  <si>
    <t>SRG-INJ-2673</t>
  </si>
  <si>
    <t>G741666A</t>
  </si>
  <si>
    <t>AU240605</t>
  </si>
  <si>
    <t>HIRST, JASMIN</t>
  </si>
  <si>
    <t>Anaconda ACT</t>
  </si>
  <si>
    <t>A027</t>
  </si>
  <si>
    <t>Fyshwick</t>
  </si>
  <si>
    <t>ight ankle, really bad roll</t>
  </si>
  <si>
    <t>attempting to pull pallets into the dock, catching a run away pallet jack and rolled right ankle very badly on the down hill roll of the driveway.</t>
  </si>
  <si>
    <t>SRG-INJ-2285</t>
  </si>
  <si>
    <t>AU327172</t>
  </si>
  <si>
    <t>SHORTT, LAURA</t>
  </si>
  <si>
    <t>bump/laceration</t>
  </si>
  <si>
    <t>Laura was exiting the TSG excess hole and opened the swinging door. Door hit the new signage frame, came off the hooks, edge of signage has made contact with the bridge of TM nose</t>
  </si>
  <si>
    <t>SRG-INJ-3348</t>
  </si>
  <si>
    <t>G748790G</t>
  </si>
  <si>
    <t>AU333957</t>
  </si>
  <si>
    <t>KRUSHKA, BRANDON</t>
  </si>
  <si>
    <t>A028</t>
  </si>
  <si>
    <t>Left Hamstring</t>
  </si>
  <si>
    <t>bent to pick a lure he felt a twinge in his hamstring. He immediately stopped what he was doing and using the trolley that he was packing items into for support made his way to report the matter to Team Leader Aaron.</t>
  </si>
  <si>
    <t>Withdrawn Claim</t>
  </si>
  <si>
    <t>SRG-INJ-3114</t>
  </si>
  <si>
    <t>AU322853</t>
  </si>
  <si>
    <t>CUBITT, GARY</t>
  </si>
  <si>
    <t>Tweak/strain in back</t>
  </si>
  <si>
    <t>Whilst on the ladder retrieving an item from the racking Team member Garry Cubitt was twisting and felt a twinge in his back. Initially he thought nothing of it however it has caused him some discomfort, and "grabs at him when he breathes deeply"</t>
  </si>
  <si>
    <t>SRG-INJ-3079</t>
  </si>
  <si>
    <t>G7462315</t>
  </si>
  <si>
    <t>AU334409</t>
  </si>
  <si>
    <t>ASHTON, SAMUEL</t>
  </si>
  <si>
    <t>symptoms of depression and anxiety and general stress.</t>
  </si>
  <si>
    <t>Dealing with unrealistic expectation, high pressure work environment</t>
  </si>
  <si>
    <t>Work pressure</t>
  </si>
  <si>
    <t>SRG-INJ-2981</t>
  </si>
  <si>
    <t>AU333063</t>
  </si>
  <si>
    <t>MADDEN, ANAIYA</t>
  </si>
  <si>
    <t>Twisted right knee</t>
  </si>
  <si>
    <t>Twisted right knee whilst trying to stop a loaded clothing rack</t>
  </si>
  <si>
    <t>SRG-INJ-2367</t>
  </si>
  <si>
    <t>AU333194</t>
  </si>
  <si>
    <t>KINGDON, SIMON</t>
  </si>
  <si>
    <t>sliced in between second and middle finger</t>
  </si>
  <si>
    <t>Team Member Simon Kingdon was trying to retrieve stock from Dungeon was unable to move past because of an obstruction ( cardboard boxes in wooden crate ) Simon proceeded to move the cardboard boxes while moving them sliced his right hand open located in between second and middle finger. Cause of said incident was a exposed broken hinge on the side of the wooden box.</t>
  </si>
  <si>
    <t>SRG-INJ-2268</t>
  </si>
  <si>
    <t>G7384207</t>
  </si>
  <si>
    <t>AU225668</t>
  </si>
  <si>
    <t>ATKINSON, SCOTT</t>
  </si>
  <si>
    <t>Right Knee twisted</t>
  </si>
  <si>
    <t>Team Member was carrying a box of fishing rods and tripped on a box and slightly twisted knee. twisted it again a few days later.</t>
  </si>
  <si>
    <t>SRG-INJ-2168</t>
  </si>
  <si>
    <t>AU313697</t>
  </si>
  <si>
    <t>WILKINSON-REED, ELIZA</t>
  </si>
  <si>
    <t>elbow and forearm</t>
  </si>
  <si>
    <t>Team member is suffering pain in her elbow and forearm when on the registers for an extended period (multiple hours). The pain is worse when completing repetitive movements. The pain subsides after resting. Management have advised her to seek medical attention and determine the cause and what modifications need to be made to her work schedule/duties.</t>
  </si>
  <si>
    <t>SRG-INJ-2109</t>
  </si>
  <si>
    <t>AU331761</t>
  </si>
  <si>
    <t>FOSTER, MACKENZIE</t>
  </si>
  <si>
    <t>Cut finger in crease</t>
  </si>
  <si>
    <t>Cut crease in finger</t>
  </si>
  <si>
    <t>SRG-INJ-2076</t>
  </si>
  <si>
    <t>AU311936</t>
  </si>
  <si>
    <t>HILL, NASH</t>
  </si>
  <si>
    <t>Right food big toe</t>
  </si>
  <si>
    <t>Stillage was lowered by a team member when Nash's foot was slightly underneath. Stillage was lifted back up to remove team members toe</t>
  </si>
  <si>
    <t>SRG-INJ-2060</t>
  </si>
  <si>
    <t>AU240558</t>
  </si>
  <si>
    <t>DONALD, JESSIE</t>
  </si>
  <si>
    <t>sore ear and head</t>
  </si>
  <si>
    <t>Caravan cover fell on head into my ear which there fore was squashed into my head which had the headset on  cover fell on my head</t>
  </si>
  <si>
    <t>Head and other</t>
  </si>
  <si>
    <t>SRG-INJ-1666</t>
  </si>
  <si>
    <t>G744896O</t>
  </si>
  <si>
    <t>AU317466</t>
  </si>
  <si>
    <t>MCGAUGHEY, CHERYL</t>
  </si>
  <si>
    <t>Left knee - lump and bruising, Left elbow - bruising</t>
  </si>
  <si>
    <t>Team member tripped on a parcel and hit her left knee, left elbow on the floor. Her head clipped the chair on her way down. Iced knee and elbow, head checked for abrasions and swelling but nothing observed</t>
  </si>
  <si>
    <t>SRG-INJ-3226</t>
  </si>
  <si>
    <t>AU298780</t>
  </si>
  <si>
    <t>LENORD, JED</t>
  </si>
  <si>
    <t>A029</t>
  </si>
  <si>
    <t>Lower left leg</t>
  </si>
  <si>
    <t>Jed was gathering a click and collect from the click and collect room, he was on his way back to the customer, looking down to check the pda that the parcel was correct and scrapped his leg on a box on the floor behind POS 2</t>
  </si>
  <si>
    <t>SRG-INJ-3151</t>
  </si>
  <si>
    <t>AU298976</t>
  </si>
  <si>
    <t>ICHLOV, ROBERT</t>
  </si>
  <si>
    <t>right hand, no injury reported, no treatment required.</t>
  </si>
  <si>
    <t>Robert Ichlov, had just dealt with a customer who was difficult to help. He took out his frustration on the bathroom wall by punching it &amp; creating a hole. Robert came straight to me to report the incident.</t>
  </si>
  <si>
    <t>SRG-INJ-3058</t>
  </si>
  <si>
    <t>AU336535</t>
  </si>
  <si>
    <t>BEDDOW, HARRISON</t>
  </si>
  <si>
    <t>right hand index finger caught between two 3x3 gazebos</t>
  </si>
  <si>
    <t>Harrison was unloading unboxed dune 3x3 gazebos from a z cage and caught his finger between two gazebos</t>
  </si>
  <si>
    <t>SRG-INJ-3031</t>
  </si>
  <si>
    <t>AU333076</t>
  </si>
  <si>
    <t>WELSH, CHRISTIAN</t>
  </si>
  <si>
    <t>While at Rutherford for stock-take. I turned to walk away, caught my foot on a beach trolley and tweaked my lower back.</t>
  </si>
  <si>
    <t>SRG-INJ-2850</t>
  </si>
  <si>
    <t>left side of head</t>
  </si>
  <si>
    <t>Christian Welsh was assisting Meg to pull down a 4 way fixture one of the arms struck Christian in the head causing a slight cut next to the side of his head. Christian has been able to continue his normal duty's</t>
  </si>
  <si>
    <t>SRG-INJ-2758</t>
  </si>
  <si>
    <t>AU333100</t>
  </si>
  <si>
    <t>ELLIOTT, JAMIE</t>
  </si>
  <si>
    <t>Jamie was recovering the Sleeping mat displays. When she put one back into the wall, one of our new A4 signs came off the hook and hit her on the nose causing it to bleed from a skin tear.</t>
  </si>
  <si>
    <t>SRG-INJ-2697</t>
  </si>
  <si>
    <t>AU238856</t>
  </si>
  <si>
    <t>BETTS, STEPHEN</t>
  </si>
  <si>
    <t>I have no injury's</t>
  </si>
  <si>
    <t>Tara Brown  team leader of Bennetts Green and myself were driving in my car from Newcastle to the anaconda store at Coffs harbour for stocktake. we had just stopped to have some lunch. We were travelling north about 40 kms north of kempsy. I was passing a lady in a ute with a caravan on the back of the car moved into my lane and side swiped my car causing my car to lose control and slide down the road. this caused the lady to swerve all over the road and crash into a tree on the other side of the left hand side of the road. We got out of the car and there were other bystanders that had seen what had happened called the police and ambulance to attend the scene.  The ambulance checked everyone that was involved to make sure that we were Ok.</t>
  </si>
  <si>
    <t>SRG-INJ-2152</t>
  </si>
  <si>
    <t>Lungs - Asthma Attack</t>
  </si>
  <si>
    <t>Jed has had an asthma attack after filling 2 9kg gas bottles</t>
  </si>
  <si>
    <t>Asthma</t>
  </si>
  <si>
    <t>Respiratory system</t>
  </si>
  <si>
    <t>Chemical products</t>
  </si>
  <si>
    <t>SRG-INJ-1988</t>
  </si>
  <si>
    <t>AU311355</t>
  </si>
  <si>
    <t>PETERSON, SANDRA</t>
  </si>
  <si>
    <t>Right side rib cage</t>
  </si>
  <si>
    <t>I was with Sandy when she lifted the kids kayak &amp; she felt the pain in her rib cage</t>
  </si>
  <si>
    <t>Trunk - unspecified locations</t>
  </si>
  <si>
    <t>SRG-INJ-1766</t>
  </si>
  <si>
    <t>AU226893</t>
  </si>
  <si>
    <t>FELICELLI, LOREDANA</t>
  </si>
  <si>
    <t>Left wrist injury - swollen, bruised</t>
  </si>
  <si>
    <t>Lori was packing away snow gear/boxes when she tripped over the leg on the bike rack. She fell onto her left wrist. Her wrist was sore, swollen and bruised around a recent operation site. Immediately following, she applied ice &amp; went home early.</t>
  </si>
  <si>
    <t>SRG-INJ-1643</t>
  </si>
  <si>
    <t>Right hand side rib</t>
  </si>
  <si>
    <t>I (Lori Felicelli) was up on the WAVE to get some snow stock down from the up tops. I lent over onto the top signage rail to reach the jacket &amp; felt a rip pop.</t>
  </si>
  <si>
    <t>Non-physical agencies</t>
  </si>
  <si>
    <t>SRG-INJ-3560</t>
  </si>
  <si>
    <t>AU332899</t>
  </si>
  <si>
    <t>BALDACCHINO, ZACK</t>
  </si>
  <si>
    <t>A030</t>
  </si>
  <si>
    <t>Hoppers Crossing</t>
  </si>
  <si>
    <t>left side nose</t>
  </si>
  <si>
    <t>team member walked a bit too close the end of the isle and scratched eye on the end wing with plastic bunk, then walked into rooftop tent and hit his head</t>
  </si>
  <si>
    <t>SRG-INJ-3483</t>
  </si>
  <si>
    <t>AU338677</t>
  </si>
  <si>
    <t>BONE, KALIA</t>
  </si>
  <si>
    <t>Kalia was recovering in footwear, was on and off registers as well while Jinelle was training Pamela on registers, Jinelle was later informed that a spider had bit Kalia on the palm</t>
  </si>
  <si>
    <t>Insect and spider bites and stings</t>
  </si>
  <si>
    <t>SRG-INJ-3322</t>
  </si>
  <si>
    <t>AU333921</t>
  </si>
  <si>
    <t>WHIFFIN, CLAUDIA</t>
  </si>
  <si>
    <t>left hand graze</t>
  </si>
  <si>
    <t>claudia was taking a click and collect to the front reg  that she put in a cage trolley, upon return she reached down to talk on the headset which resulted in her scraping her hand on the glass cabinet .</t>
  </si>
  <si>
    <t>SRG-INJ-2489</t>
  </si>
  <si>
    <t>AU331743</t>
  </si>
  <si>
    <t>HEYWARD, AIDAN</t>
  </si>
  <si>
    <t>right leg scratch</t>
  </si>
  <si>
    <t>Aidan was cleaning behind the store of the wooden debris as instructed by email, injured his back and was scraped on the leg by a nail</t>
  </si>
  <si>
    <t>SRG-INJ-2415</t>
  </si>
  <si>
    <t>AU313745</t>
  </si>
  <si>
    <t>CLEUR, JINELLE</t>
  </si>
  <si>
    <t>figuring out how to fold the last  display swag platform for a customer and while folding in the legs didn't realise I had my right ring finger in the way and  folded in legs cutting off a chunk of finger</t>
  </si>
  <si>
    <t>SRG-INJ-2278</t>
  </si>
  <si>
    <t>AU324010</t>
  </si>
  <si>
    <t>MOOLMAN, LAUREN</t>
  </si>
  <si>
    <t>left index finger</t>
  </si>
  <si>
    <t>using box cutter with right hand, cut towards body . had pointer in path of box cutter and sliced index finger tip</t>
  </si>
  <si>
    <t>SRG-INJ-3291</t>
  </si>
  <si>
    <t>AU336522</t>
  </si>
  <si>
    <t>SAWLEY, EMMA</t>
  </si>
  <si>
    <t>A032</t>
  </si>
  <si>
    <t>Modbury</t>
  </si>
  <si>
    <t>At 13:55 Team member placed a Dune 3x3 gazebo standing upright next to herself at the registers and proceeded to serve customers, when the gazebo then fell toward the team member, hitting her right foot.</t>
  </si>
  <si>
    <t>SRG-INJ-3055</t>
  </si>
  <si>
    <t>AU230872</t>
  </si>
  <si>
    <t>LITCHFIELD, SHANE</t>
  </si>
  <si>
    <t>sprained or stretched thumb ligament</t>
  </si>
  <si>
    <t>Shifting Bulkstack of Avenli London Spa's roughly 60cm in the racetrack to neaten up the area. Bulk stacked 3 high.  When right hand slipped and caught thumb causing right thumb to bend far back. Heard a cracking sound, but thumb was not dislocated. Treated with cold water and no swelling showing after just very tender.</t>
  </si>
  <si>
    <t>SRG-INJ-2988</t>
  </si>
  <si>
    <t>Right shin bone, bruise and broken skin</t>
  </si>
  <si>
    <t>Moving stock in despatch and hit shin bone on rooftop tent trolley. Injury is  nothing major only bruising and broken skin, but lodging due to wanting to note that new trolleys do not have rubberised bumpers like the old ones (pictured)</t>
  </si>
  <si>
    <t>SRG-INJ-2563</t>
  </si>
  <si>
    <t>AU233781</t>
  </si>
  <si>
    <t>POLS, DARCY</t>
  </si>
  <si>
    <t>Right Thumb, squished between table and racking. Brusing</t>
  </si>
  <si>
    <t>Whilst lifting a folding trestle table from the eccom packing area with another team member a team members (Darcy Pols)  thumb was caught between the table and dexion support beam. The table had boxes of satchels on it hence the team lift causing it to have some weight.</t>
  </si>
  <si>
    <t>SRG-INJ-2332</t>
  </si>
  <si>
    <t>AU300995</t>
  </si>
  <si>
    <t>MALCOLM, ELLIOT</t>
  </si>
  <si>
    <t>Shelf hit shin</t>
  </si>
  <si>
    <t>dropped shelf on shin minor minor cut</t>
  </si>
  <si>
    <t>SRG-INJ-3354</t>
  </si>
  <si>
    <t>AU298019</t>
  </si>
  <si>
    <t>PATSALIDES, ALEXANDER</t>
  </si>
  <si>
    <t>A034</t>
  </si>
  <si>
    <t>Noarlunga</t>
  </si>
  <si>
    <t>Left shin laceration</t>
  </si>
  <si>
    <t>Alex was looking for an item for customer when he slightly knocked the stack of Dune flat pack fire pits (All 3 were standing upright) 2 slid down the front of his leg. These have a weight of 17kg each</t>
  </si>
  <si>
    <t>SRG-INJ-3214</t>
  </si>
  <si>
    <t>AU326390</t>
  </si>
  <si>
    <t>CARTHEW, DYLAN</t>
  </si>
  <si>
    <t>Cut on palm of hand, TM removed a sheath from a knife to see the length of blade which was printed on it,</t>
  </si>
  <si>
    <t>SRG-INJ-1728</t>
  </si>
  <si>
    <t>56806548/00</t>
  </si>
  <si>
    <t>AU326902</t>
  </si>
  <si>
    <t>FERRARI, ALLEE</t>
  </si>
  <si>
    <t>Fractured left hand pinky</t>
  </si>
  <si>
    <t>As Allee was looking for an online item, on the ladder. The top of her finger/ nail got caught in the grid mesh (the narrow part by the edge). As it was her nail, she didn't notice it was in there until she pulled her hand towards herself normally. Thought she just badly hurt her nail, until the pain didn't disappear and ice didn't help. After persisting for 10 minutes, it was then decided by Allee and the key holder for the day that she presented to emergency.</t>
  </si>
  <si>
    <t>SRG-INJ-2518</t>
  </si>
  <si>
    <t>AU313056</t>
  </si>
  <si>
    <t>ACHESON, SHANAE</t>
  </si>
  <si>
    <t>A035</t>
  </si>
  <si>
    <t>On the right side of body</t>
  </si>
  <si>
    <t>I was carrying a box of Colombia fleece jackets out to the floor and was turning arounds and my foot got hooked under the pallet jack that was sitting there and fell over and landed on my right side</t>
  </si>
  <si>
    <t>SRG-INJ-1803</t>
  </si>
  <si>
    <t>AU326534</t>
  </si>
  <si>
    <t>THOMAS, KEANU</t>
  </si>
  <si>
    <t>Gash on lip</t>
  </si>
  <si>
    <t>Marcus gave Keanu a faulty rod to dispose of, Keanu then proceeded to brake the rod against one of the yellow bollards resulting him getting a cut lip injury</t>
  </si>
  <si>
    <t>SRG-INJ-3324</t>
  </si>
  <si>
    <t>AU325639</t>
  </si>
  <si>
    <t>PAAVOLA, JAMES</t>
  </si>
  <si>
    <t>A037</t>
  </si>
  <si>
    <t>Cairns</t>
  </si>
  <si>
    <t>cuts to forehead and split eyebrow due to falling shelf</t>
  </si>
  <si>
    <t>Jimmy and Sam were getting a kayak out of the wall for a customer when it hit the shelf at the very top of the wall behind signage and it fell hitting Jimmy in the forehead splitting this eyebrow on the left hand side and also above  his right eyebrow. He became very pale and light headed and started sweating and felt like he was going to vomit Hayley applied first aid. kept him sitting, He Contacted his parent and his mum came to get him an take him to the hospital for stitches</t>
  </si>
  <si>
    <t>SRG-INJ-3252</t>
  </si>
  <si>
    <t>AU298018</t>
  </si>
  <si>
    <t>KOMSIC, LUKE</t>
  </si>
  <si>
    <t>sore head and felt a little dizzy</t>
  </si>
  <si>
    <t>Luke was pulling down the inflatable pool toys etc when he turned his back and approximately a dozen pool slide boxes fell off the shelf and hit his head and back..</t>
  </si>
  <si>
    <t>SRG-INJ-3119</t>
  </si>
  <si>
    <t>AU334407</t>
  </si>
  <si>
    <t>VUDRAG, ALISIA</t>
  </si>
  <si>
    <t>cuts to forehead due to head hiting 12 way stand</t>
  </si>
  <si>
    <t>Alisia was bending down to pick up clothing and when she stood up her head hit the end of a 12 way clothes rack which has no protective end cap on and split her forehead in 2 places.</t>
  </si>
  <si>
    <t>SRG-INJ-3088</t>
  </si>
  <si>
    <t>AU334822</t>
  </si>
  <si>
    <t>BATHIE, BENJAMIN</t>
  </si>
  <si>
    <t>Cut to head from nail on timber pallet</t>
  </si>
  <si>
    <t>Team member was carrying wooden pallet in front of his head walking away from from the loading dock. When picking up the pallet, one of the planks fell loose and landed on the team members head which caused a nail to go into their head. Team member then proceeded to pull the plank with the nail out of his head as it wasn't lodged too far in.</t>
  </si>
  <si>
    <t>SRG-INJ-2736</t>
  </si>
  <si>
    <t>AU322031</t>
  </si>
  <si>
    <t>VIRZI, ELLEISHA</t>
  </si>
  <si>
    <t>Fainted and hit her face on some boxes</t>
  </si>
  <si>
    <t>Elleisha was packing ecoms with another team member before collapsing without warning. She hit her face on some boxes underneath the desk. The nearby team member put her in the recovery position immediately as she woke up. Her nose was bleeding and she split her lip. An ambulance was called.</t>
  </si>
  <si>
    <t>SRG-INJ-2039</t>
  </si>
  <si>
    <t>AU327862</t>
  </si>
  <si>
    <t>ROWLANDS, HEATHER</t>
  </si>
  <si>
    <t>Roof of mouth - twas cut</t>
  </si>
  <si>
    <t>Heather was trying to put away a box up on the second shelf, and the box slipped and hit her in the face. She had a pen in her mouth (since she didn't have free hands and didn't want to put it down and lose it), so as the box fell, it pushed the pen into her mouth and cut the roof of her mouth.</t>
  </si>
  <si>
    <t>SRG-INJ-1990</t>
  </si>
  <si>
    <t>AU323151</t>
  </si>
  <si>
    <t>WEST, MARCUS</t>
  </si>
  <si>
    <t>THE LEFT TOE</t>
  </si>
  <si>
    <t>TEAM MEMBER OICKED UP GAZEBO AND THEN IT DROPPED ON TO HIS TOE</t>
  </si>
  <si>
    <t>SRG-INJ-1748</t>
  </si>
  <si>
    <t>AU326125</t>
  </si>
  <si>
    <t>SAGER, SHAYNON</t>
  </si>
  <si>
    <t>HER RIGHT KNEE JUST SOME PAIN</t>
  </si>
  <si>
    <t>Team member was lifting 220L storage boxes and they were up high and the box fell on her knee</t>
  </si>
  <si>
    <t>SRG-INJ-3564</t>
  </si>
  <si>
    <t>AU335534</t>
  </si>
  <si>
    <t>CRONK, PAIGE</t>
  </si>
  <si>
    <t>A038</t>
  </si>
  <si>
    <t>Toowoomba</t>
  </si>
  <si>
    <t>Left hand &amp; knuckles</t>
  </si>
  <si>
    <t>Paige - working snow footwear cage. As Paige went to grab a pair of shoes from bottom of cage, the divider dropped slightly as boots were pulled out (as the divider was not locked in correctly as the boots was holding the divider up). Paige reported it to myself (Ash). Was offered ice but was happy to continue working :) Sore, swollen &amp; bruising starting to come out on knuckles and palm of hand. No medical attention required at this stage. Has been advised to seek medical attention if required</t>
  </si>
  <si>
    <t>SRG-INJ-3472</t>
  </si>
  <si>
    <t>Top right foot</t>
  </si>
  <si>
    <t>Customer collected his click and collect (fridge &amp; shower). Paige offered to assist the gentleman to give him a hand carrying the fridge to his car. Whilst approaching the car, the customer lost grip of the fridge and dropped it. The fridge fell onto Paige's foot causing redness that will probably result in bruising. Paige continued with her normal duties despite it being a little sore. No medical attention required at this stage.</t>
  </si>
  <si>
    <t>SRG-INJ-3253</t>
  </si>
  <si>
    <t>AU324370</t>
  </si>
  <si>
    <t>WYATT, BLAKE</t>
  </si>
  <si>
    <t>Left pointer finger</t>
  </si>
  <si>
    <t>Blake had just completed filling a gas bottle and as he has put it down on to the trolley to wheel back in the decanting valve has come lose and started shooting white gas. Some of it has hit straight onto Blakes finger.   We ran his finger under warm water straight away and wrapped it in a bandage.  Declined going to the hospital.</t>
  </si>
  <si>
    <t>Cold burn</t>
  </si>
  <si>
    <t>SRG-INJ-3118</t>
  </si>
  <si>
    <t>AU232802</t>
  </si>
  <si>
    <t>MAY, ASHLEIGH</t>
  </si>
  <si>
    <t>Left hand</t>
  </si>
  <si>
    <t>(I) Ash, brought a stock trolley out the back and as I went through the flappy doors A chair box with 2 excess chairs in it fell. As it fell I went to grab it and hurt my left hand. ... But will probably come good in a couple days. Not a lost time injury &amp; will trooper on</t>
  </si>
  <si>
    <t>SRG-INJ-2810</t>
  </si>
  <si>
    <t>AU333827</t>
  </si>
  <si>
    <t>WANDS, JASMINE</t>
  </si>
  <si>
    <t>knock to Shin</t>
  </si>
  <si>
    <t>customer came in to collect his pre-paid Roof Top tent, Myself Ethan and Blake where all went out to move it. We all pulled and then something not sure if it was the edge of the box or the silver trolley that hit my leg. We had our phone torch on to help us see as there is no lighting in the back back room.</t>
  </si>
  <si>
    <t>SRG-INJ-2694</t>
  </si>
  <si>
    <t>S23GW137758</t>
  </si>
  <si>
    <t>AU329631</t>
  </si>
  <si>
    <t>BURKE, ETHAN</t>
  </si>
  <si>
    <t>back of Left hand</t>
  </si>
  <si>
    <t>Squished hand between bike wheel and frame when taking down for a customer to have a look at.</t>
  </si>
  <si>
    <t>SRG-INJ-2679</t>
  </si>
  <si>
    <t>Right eye</t>
  </si>
  <si>
    <t>Blake went out to the gas bottle station to disconnect the gas hose which was accidently left on the gas bottle overnight. The hose was still built up with pressure (blake didn't know), and as he disconnected the hose, he got a spray of gas in the face. Blake was wearing safety gear and googles at the time of the incident. The gas got under the goggles and got a blast of vapor on this eye lid. This was reported instantly &amp; an eye wash was performed instore as he stated that his eyelid was cold. We advised Blake that it was best to get seen to by an urgent care facility or hospital for a further wash out &amp; assessment. An offer to drive him was given but was denied &amp; said he was ok to drive himself.</t>
  </si>
  <si>
    <t>Exposure to substances without current injury or disease apparent</t>
  </si>
  <si>
    <t>SRG-INJ-2527</t>
  </si>
  <si>
    <t>Left thumb</t>
  </si>
  <si>
    <t>Blake went to fill a 9kg gas bottle, and as he was turning the nozzle on the bottle he heard a pop in his thumb, It started tingling and swelling. I saw Blake looking at his thumb &amp; asked if he was ok? He told me what had happened &amp; I sent him out to the break room to put some ice on it. Blake said his thumb isn't in pain but is a bit swollen &amp; a bit achy but has denied further medical attention.</t>
  </si>
  <si>
    <t>SRG-INJ-2496</t>
  </si>
  <si>
    <t>AU307561</t>
  </si>
  <si>
    <t>MEHARG, MITCHELL</t>
  </si>
  <si>
    <t>Safety knife cut</t>
  </si>
  <si>
    <t>Mitchie was filling DDLR's and went to grab the safety knife from his pocket and the blade was exposed due to possible wear &amp; tear of the knife. He didn't realize and sliced his right thumb. Mitchie put a band aid on his thumb, threw the knife out in the industrial bin out the back and reported the incident.</t>
  </si>
  <si>
    <t>SRG-INJ-2426</t>
  </si>
  <si>
    <t>AU328461</t>
  </si>
  <si>
    <t>JACK, WILLIAM</t>
  </si>
  <si>
    <t>finger got pinched between mesh</t>
  </si>
  <si>
    <t>Will was moving bin floor fixture off a kayak in the back room of the dispatch where one mesh fixture slipped and pinched his finger. he has applied an ice pack for 30mins and went back to work</t>
  </si>
  <si>
    <t>SRG-INJ-2240</t>
  </si>
  <si>
    <t>AU324596</t>
  </si>
  <si>
    <t>DOUGLAS, ALISON</t>
  </si>
  <si>
    <t>Back of head near ear</t>
  </si>
  <si>
    <t>On Thurs 18/01/2024, Alison was picking up clothing that was on the ground in our TSG department, As she went to stand up she bumped her head on a 12 way bar. Alison reported the incident today 20/01/2024 as she got dizzy at the front registers and I asked what was happening, if she was ok and or needed anything? Alison stated she bumped her head prior to this incident at the gym. Alison believes the two bumps to the head recently has been contributing to her recent dizzy spells.  Seeking medical advice &amp; concluding shift early to do so was recommended today but refused.</t>
  </si>
  <si>
    <t>SRG-INJ-2155</t>
  </si>
  <si>
    <t>Chemical exposure to Eyes</t>
  </si>
  <si>
    <t>Ethan Burke was assigned to fill Gas Bottles. Whilst he was filling a 9kg bottle the gas nozzle sprayed gas over clothing, gloves and sprayed onto his face. Protective gear was worn which helped prevent major injury. Due to the spray on the face, gas vapor went up under his safety goggles and into his eyes. Ethan reported the incident to me (Ash May) and said he was ok &amp; was happy to continue his shift . I checked in on Ethan 15min later and he said his eyes were a little irritated, and that's when he said gas vapor got into his eyes from under the goggles. I gave him eye wash from the first aid kit to rinse his eyes out in the bathroom. He said he was ok. An hr later I checked in on him again and one of his eyes were red. I told him he needed to get it checked and asked if he was ok to go to the hospital or the urgent care centre in Toowoomba. He called his Dad, said yes he will be fine and left. He said he was ok to get himself there. I will follow up with Ethan this afternoon. The gas hose is faulty and has been placed in the office with a DO NOT USE sign on it. Due to no spare gas hoses, gas has been suspended until replacement hose is sent and new hoses are inspected.</t>
  </si>
  <si>
    <t>Chemical burn</t>
  </si>
  <si>
    <t>Other basic chemicals</t>
  </si>
  <si>
    <t>SRG-INJ-2156</t>
  </si>
  <si>
    <t>AU330678</t>
  </si>
  <si>
    <t>WILLIAMS, ERYN</t>
  </si>
  <si>
    <t>Near Faint</t>
  </si>
  <si>
    <t>Eryn Williams came out the back feeling faint, weak, shaking, vision loss and pain in her arms and legs. She was conscious and able to engage in conversation. I  (Ash May) got a team member to grab a cushion from the tea room and i laid her down. Due to symptoms not improving I called her an ambulance @ 1:12pm. Ambos arrived, did obs and took her to hospital for further medical treatment.</t>
  </si>
  <si>
    <t>SRG-INJ-2112</t>
  </si>
  <si>
    <t>Concussion - Back of head</t>
  </si>
  <si>
    <t>Approx 8:55am, Blake wheeled out empty cage to pack gazebos onto in the back room of dispatch, Blake loaded 1 gazebo onto stock cage and as he bent down the the middle divider of the cage fell and hit the middle back of his head (divider obviously wasn't locked in correctly) . Blake said he woke up and was lying over the gazebo and said he believes he was knocked out for a very short period. Blake proceeded to walk a couple of steps where he sat down and was then found by a team member (Tim) who checked to see if he was ok. Tim assisted Blake to the tea room. I (Ash) was than informed. Blake was alert, knew his DOB and where he was. Blake was nauseated &amp; shaking. It was clear he had sustained a knock to the head due to evident swelling and was experiencing severe pain, I (Ash) called 000 immediately and Blakes Dad was notified. Blake's Dad met the ambulance at the shop. Blake was placed in a neck collar and was given nausea medication and the green whistle to ease pain. Ambo crew assessed Blake and did make mention that he had suffered a hematoma on the back of his head. He was taken to hospital for further assessment.</t>
  </si>
  <si>
    <t>SRG-INJ-1682</t>
  </si>
  <si>
    <t>S23SV040952</t>
  </si>
  <si>
    <t>AU322726</t>
  </si>
  <si>
    <t>HANSON, BLAIR</t>
  </si>
  <si>
    <t>Blair Hanson (Team Member) - lifting multiple rooftop tents onto customers cars outside dispatch throughout the duration of the day &amp; sustained significant pain in right wrist. This is a repeat injury. Blair has sought medical attention recently and awaiting follow-up appointments and scans</t>
  </si>
  <si>
    <t>SRG-INJ-3530</t>
  </si>
  <si>
    <t>AU240004</t>
  </si>
  <si>
    <t>WALLACE, CARLA</t>
  </si>
  <si>
    <t>A039</t>
  </si>
  <si>
    <t>Highett</t>
  </si>
  <si>
    <t>Tennis Elbow</t>
  </si>
  <si>
    <t>Tennis Elbow from repetitive movement.  Left elbow has flared up over the past few weeks. Team member has been seeking physio and doing light duties when required. Team member going to bring letter from physio next week.</t>
  </si>
  <si>
    <t>SRG-INJ-3531</t>
  </si>
  <si>
    <t>AU238405</t>
  </si>
  <si>
    <t>CARR, LOREN</t>
  </si>
  <si>
    <t>Right hand - internal bruising</t>
  </si>
  <si>
    <t>Whilst scanning clearance for STO hit back of right hand</t>
  </si>
  <si>
    <t>SRG-INJ-3259</t>
  </si>
  <si>
    <t>AU338077</t>
  </si>
  <si>
    <t>HODOLIC, ALEKSA</t>
  </si>
  <si>
    <t>injury to elbow from hitting back of kayak paddle that was podruding from returns trolley.</t>
  </si>
  <si>
    <t>A trolley with click and collects was in front of the register, the team member walked past and cut their arm around their elbow on a paddle. Relatively deep cut, cleaned and wrapped in a bandage, then went home early. Advised to seek medical attention if they wanted, however to clean again soon when they get home and redress.</t>
  </si>
  <si>
    <t>SRG-INJ-2727</t>
  </si>
  <si>
    <t>AU239167</t>
  </si>
  <si>
    <t>NEWTON, JENNIFER</t>
  </si>
  <si>
    <t>Over the past week or so, Jennifer's wrists and hands have been getting sore and progressively worse over time due to repetitive use of tasks involving the use of her hands.</t>
  </si>
  <si>
    <t>SRG-INJ-1808</t>
  </si>
  <si>
    <t>AU312323</t>
  </si>
  <si>
    <t>FORREST, ASHER</t>
  </si>
  <si>
    <t>was hit in the head</t>
  </si>
  <si>
    <t>team member passed asher a few hike tents. asher was comfatable catching the tents. the last tent passed over was a little high hitting asher in the head with the poles in the bag hitting first.</t>
  </si>
  <si>
    <t>SRG-INJ-3573</t>
  </si>
  <si>
    <t>AU322757</t>
  </si>
  <si>
    <t>TRIEU, TAN</t>
  </si>
  <si>
    <t>A040</t>
  </si>
  <si>
    <t>Watergardens</t>
  </si>
  <si>
    <t>Tan accidently twisted his knee a little walking around te corner in fishing. Not thinking it was to bad to report.</t>
  </si>
  <si>
    <t>SRG-INJ-2791</t>
  </si>
  <si>
    <t>AU327169</t>
  </si>
  <si>
    <t>SPOKES, JULIE</t>
  </si>
  <si>
    <t>Lower right abdomen</t>
  </si>
  <si>
    <t>Julie was feeling pain on the shop floor, she went to the toilet, went to pickup the wipes in the toilet, and couldn't move and got a sharp moving pain on the right lower abdomen, she had ask us to call an ambulance. We called an ambulance, they said a nurse will called back to assess. When the nurse called back 20 mins later, Julie was feeling okay, she told the nurse, she was feeling better and didn't need an ambulance. Julie did want to go back to work, but i said she needs to get her husband to pick her up and go and see a doctor make sure everything is okay. I also ask for a fit to work from her doctor as well.</t>
  </si>
  <si>
    <t>Hernias</t>
  </si>
  <si>
    <t>SRG-INJ-2793</t>
  </si>
  <si>
    <t>AU329406</t>
  </si>
  <si>
    <t>CARPENTER, ERIC</t>
  </si>
  <si>
    <t>Left hand, between fingers</t>
  </si>
  <si>
    <t>Was adjusting bike holder, went to move it and it slipped out of his hand and fell though hand, cut between fingers.</t>
  </si>
  <si>
    <t>SRG-INJ-2208</t>
  </si>
  <si>
    <t>AU329454</t>
  </si>
  <si>
    <t>STEPHENS, WILLIAM</t>
  </si>
  <si>
    <t>deep slither of skin cut/chunked out of hand behind thumb</t>
  </si>
  <si>
    <t>Team member was cutting open box with saftey cutter and cut into back of hand snapping protective tip of safty cutter off. Team Member bandaged wound in store then went directly to medical clinic.</t>
  </si>
  <si>
    <t>SRG-INJ-1894</t>
  </si>
  <si>
    <t>small superficial cut on finger, bruse on right knee</t>
  </si>
  <si>
    <t>Was bringing the fire inspector through to back office and tripped on feat of one of displayed chairs when pushing a tsg rack out of the way to get passed. Didnt push rack far enough away to pass properly. Other team member was pushing tsg rack onto floor from back dock but was distraced by customer leaving rack in the way.</t>
  </si>
  <si>
    <t>SRG-INJ-1576</t>
  </si>
  <si>
    <t>AU326614</t>
  </si>
  <si>
    <t>CARTER, SHEYLEE</t>
  </si>
  <si>
    <t>TM has sprain her lower back when receving the pallet load for the day.</t>
  </si>
  <si>
    <t>SRG-INJ-2724</t>
  </si>
  <si>
    <t>AU334152</t>
  </si>
  <si>
    <t>SIJY, ABHINAV</t>
  </si>
  <si>
    <t>A041</t>
  </si>
  <si>
    <t>Box Hill</t>
  </si>
  <si>
    <t>Minor strain</t>
  </si>
  <si>
    <t>Team Member (Abhinav) was recovering footwear when they felt a throbbing pain in their left forearm. It continued to hurt for a while after.  Abhinav then reported to Team Leader (Jack) who then applied a cold pack at 4:39pm. Team Member was advised to sit down and apply cold pack for 5 minutes then to assess how they felt.   At 4:41pm, team member reported that the pain had subsided and that they felt a slight amount of pressure in their forearm. The team member was then sent to work at register for the remainder of the day.</t>
  </si>
  <si>
    <t>SRG-INJ-3295</t>
  </si>
  <si>
    <t>AU311568</t>
  </si>
  <si>
    <t>ANSWERTH, SOPHIE</t>
  </si>
  <si>
    <t>A042</t>
  </si>
  <si>
    <t>Maribyrnong</t>
  </si>
  <si>
    <t>Muscular Injury/strain Top and back of shoulder, side of neck, back of head</t>
  </si>
  <si>
    <t>Sophie went to move the kayak stand and it fell as she was moving it. The end of one of the kayaks hit her.</t>
  </si>
  <si>
    <t>Head and Neck</t>
  </si>
  <si>
    <t>SRG-INJ-3116</t>
  </si>
  <si>
    <t>AU297973</t>
  </si>
  <si>
    <t>BRAUER, ADIN</t>
  </si>
  <si>
    <t>Left Shoulder supraspinatus injury shoulder strain in left shoulder</t>
  </si>
  <si>
    <t>I strained shoulder when reaching for a box on a shelf in our despatch. i saw a heavy box on shelving about 28kg knowing it shouldn't be there went to move it and felt my shoulder jolt.</t>
  </si>
  <si>
    <t>SRG-INJ-2558</t>
  </si>
  <si>
    <t>AU317144</t>
  </si>
  <si>
    <t>TRAN, ALBERT</t>
  </si>
  <si>
    <t>front of right shoulder</t>
  </si>
  <si>
    <t>albert was taking out the tickets  thought he had a cricket on his hand resulting in him throwing the basket  with his right arm.  reslting in pain in his right shoulder on the front part of his shoulder.</t>
  </si>
  <si>
    <t>SRG-INJ-2447</t>
  </si>
  <si>
    <t>AU236353</t>
  </si>
  <si>
    <t>COLLIS, HAYLEY</t>
  </si>
  <si>
    <t>blood nose as a result of a display toilet hitting her in the nose</t>
  </si>
  <si>
    <t>As hayley walked down the esky/cooler Aisle, Hayley saw a display spinifex 20l toilet sitting on top of one of the coolers, Hayley noticed it and went to put it back on shelf when she picked up the toilet the top seperated from the bottom of the unit and as a result struck Hayley in the face in the nose on the right side resulting in a blood nose wich was made worse by her nose ring that got pushed in further into the nose.</t>
  </si>
  <si>
    <t>SRG-INJ-1645</t>
  </si>
  <si>
    <t>AU328736</t>
  </si>
  <si>
    <t>LEW, MATTHEW</t>
  </si>
  <si>
    <t>Was bitten</t>
  </si>
  <si>
    <t>Bitten by a rat/mouse.  Grabbed an empty box on the back shelf of fishing and while grabbing the carboard also grabbed something soft and furry, next felt a sharp pain in my index finger.</t>
  </si>
  <si>
    <t>Live four-legged animals</t>
  </si>
  <si>
    <t>SRG-INJ-3046</t>
  </si>
  <si>
    <t>G745926D</t>
  </si>
  <si>
    <t>AU322367</t>
  </si>
  <si>
    <t>KARPATHIOS, NIKOLAOS</t>
  </si>
  <si>
    <t>Anaconda NT</t>
  </si>
  <si>
    <t>A043</t>
  </si>
  <si>
    <t>Darwin</t>
  </si>
  <si>
    <t>big toe</t>
  </si>
  <si>
    <t>Team member kicked his toe on the corner of a pallet in the back dock.  Was lifting a pallet on the pallet jack and moving backwards, heard his name over the earpiece and stopped but pallet jack continued to roll and TM caught his toe. TM was wearing covered shoes but no reinforced toe. Was working in the racking area of the back reserve.</t>
  </si>
  <si>
    <t>SRG-INJ-2507</t>
  </si>
  <si>
    <t>AU324166</t>
  </si>
  <si>
    <t>NICHOLAS, NIKITAS</t>
  </si>
  <si>
    <t>Eyes</t>
  </si>
  <si>
    <t>Team member went to fill a gas bottle. The hose was still out from a previous fill and the gas tap was on. The team member has picked up the hose to connect to the gas bottle and depressed the trigger allowing gas to come up. The hose was pointed away from the team member but some gas has sprayed towards the gas cylinder and some has come back getting the team member in the eyes which has caused some irritation. The team member did not have the safety glasses on at this point.</t>
  </si>
  <si>
    <t>SRG-INJ-2431</t>
  </si>
  <si>
    <t>pain, numbness and redness on the left hand between the thumb and pointer finger</t>
  </si>
  <si>
    <t>Team member was filling a gas bottle as the bottle reached the filled amount and excess gas began come out of the overfill valve the team member went to shut the valve a screw driver but the valve would close, a large burst of LPG came from the valve soaking through the gloves and affecting the skin. the team member did say his reaction was slightly delayed from surprises with the bust came out. It took a few minutes for another team member to notify me of the incident. Once told about the incident I instructed the team member to use warm water to slowly warm the affected tissue, after 20 minutes we utilizes a 20 minute rest period before  continuing to warm with water for another 20 minutes. the Area affected is on the left hand between the thumb and pointer finger and is red with no visible blistering and no white tissue. The team member is experiencing some numbness, tingling and pain.</t>
  </si>
  <si>
    <t>Other and unspecified contact with chemical or substance</t>
  </si>
  <si>
    <t>SRG-INJ-2394</t>
  </si>
  <si>
    <t>lower back left had side pain</t>
  </si>
  <si>
    <t>went to pick up a stand that had been dropped on the ground as i went to pick it up my back began to hurt</t>
  </si>
  <si>
    <t>SRG-INJ-2023</t>
  </si>
  <si>
    <t>AU330243</t>
  </si>
  <si>
    <t>KELLY, HELENA</t>
  </si>
  <si>
    <t>Hit her top lip and gave her a fat lip small cut on the in side of her lip</t>
  </si>
  <si>
    <t>Large full box of crocs were high on shelves and and when team member tried to get down off the shelf it was too heavy and hit her in the her lip.</t>
  </si>
  <si>
    <t>SRG-INJ-1911</t>
  </si>
  <si>
    <t>G734927K</t>
  </si>
  <si>
    <t>AU330361</t>
  </si>
  <si>
    <t>KAKKAR, RUHANI</t>
  </si>
  <si>
    <t>Wrist strain when tightening valve on gas bottle</t>
  </si>
  <si>
    <t>While tightening the valve on a gas bottle there was pain felt in the wrist.</t>
  </si>
  <si>
    <t>SRG-INJ-3547</t>
  </si>
  <si>
    <t>AU237465</t>
  </si>
  <si>
    <t>NICHOLSON, PATRICIA</t>
  </si>
  <si>
    <t>A044</t>
  </si>
  <si>
    <t>Warringah Mall</t>
  </si>
  <si>
    <t>Small cut to bridge of nose</t>
  </si>
  <si>
    <t xml:space="preserve">moving a rolly rack from the corner of fixtures and one of the arms of the rack which was folded down and placed agaisnt the wall and hit Team Member Patricia Nicholson on the nose, it cause a slight cut and minimal blood.  </t>
  </si>
  <si>
    <t>SRG-INJ-3124</t>
  </si>
  <si>
    <t>AU337726</t>
  </si>
  <si>
    <t>THOREUX, JUSTINE</t>
  </si>
  <si>
    <t>Small cut to tip of finger</t>
  </si>
  <si>
    <t>Justine Thoreux injured her finger while loading stock and fainted while washing her hand. Team members Lucia Voicu, Bredon Makery, and Trish Nicholson assisted her, providing water, sugar, and an ice pack. Justine refused an ambulance, felt better after resting, and left to catch the bus home.</t>
  </si>
  <si>
    <t>SRG-INJ-2139</t>
  </si>
  <si>
    <t>AU328606</t>
  </si>
  <si>
    <t>WALKER, EMILY</t>
  </si>
  <si>
    <t>A045</t>
  </si>
  <si>
    <t>Wollongong</t>
  </si>
  <si>
    <t>Knee hit the stairs causing pain.</t>
  </si>
  <si>
    <t>Team member Emily Walker stated that she slipped while walking up the stairs to the upper level dock while carrying a box. She stated that she hit her knee on the stairs when she slipped. She said she did not believe that the knee had an injury but may show bruising in coming days. She said she did not require any medical attention and was able to continue her normal duties.</t>
  </si>
  <si>
    <t>SRG-INJ-2763</t>
  </si>
  <si>
    <t>AU322930</t>
  </si>
  <si>
    <t>GREEN, SHELLIE</t>
  </si>
  <si>
    <t>A046</t>
  </si>
  <si>
    <t>Rockhampton</t>
  </si>
  <si>
    <t>Left shoulder bruising, carpet burn on her left knee, scrapes on her left arm and 2 swollen toes on her left foot</t>
  </si>
  <si>
    <t>Shelli was in the tsg room where she was carrying a pair of shorts, the shorts pocket had hooked onto a rolly rack that was in the tsg room and shelli fell forward.</t>
  </si>
  <si>
    <t>SRG-INJ-2703</t>
  </si>
  <si>
    <t>AU322995</t>
  </si>
  <si>
    <t>PFINGST, JASMINE</t>
  </si>
  <si>
    <t>I was standing on a ladder in front of dex grabbed a heavy box and felt a pain in my left shoulder.</t>
  </si>
  <si>
    <t>SRG-INJ-2177</t>
  </si>
  <si>
    <t>S23JG086178</t>
  </si>
  <si>
    <t>AU311926</t>
  </si>
  <si>
    <t>BROSNAN, GEORDIE</t>
  </si>
  <si>
    <t>Wrist (right) - Scaphoid fracture</t>
  </si>
  <si>
    <t>Geordie was traveling to work Saturday morning on his scooter and  around 8.45am on the corner of of North and Campbell street he was struck by a car. Geordie was knocked off his scooter and he grazed his left knee and hurt his right hand.  Geordie made it to work but was shaken when he got to work.  Geordie called myself once he got to work to work and told me what happened. I asked him to write down what happened and that he needed to go the a doctor or hospital to get checked out.  Once I have received the hospital letter ill add to the report</t>
  </si>
  <si>
    <t>Other transport</t>
  </si>
  <si>
    <t>SRG-INJ-3553</t>
  </si>
  <si>
    <t>AU326240</t>
  </si>
  <si>
    <t>SCARBOROUGH, FINN</t>
  </si>
  <si>
    <t>A047</t>
  </si>
  <si>
    <t>North Lakes</t>
  </si>
  <si>
    <t>arms and legs</t>
  </si>
  <si>
    <t>team member moved a box and a battery fell and it dropped acid everwhere and on the team members legs got sprayed with liquid</t>
  </si>
  <si>
    <t>SRG-INJ-3261</t>
  </si>
  <si>
    <t>AU309991</t>
  </si>
  <si>
    <t>EVERETT, AMY</t>
  </si>
  <si>
    <t>Team member stated she got flung in the face by a metal end of a hose</t>
  </si>
  <si>
    <t>Team member Amy was getting a hose with a metal end out of a bag and the metal bit flung and hit her the skin right next to her eye.</t>
  </si>
  <si>
    <t>SRG-INJ-3140</t>
  </si>
  <si>
    <t>AU331134</t>
  </si>
  <si>
    <t>PLUMEIER, TRINITY</t>
  </si>
  <si>
    <t>Security Pin into Kneecap</t>
  </si>
  <si>
    <t>Trinity was sweeping underneath the counter. A security pin had come out from underneath the counter and when she went to kneel down to sweep up the mess the pin had stabbed her in the kneecap. Mary then came up to the front to pull the pin out and assist Trinity to get outside into air as she felt like passing out, throwing up and collapsing. Once outside Dale performed first aid, disinfected the wound, applied a snap ice pack, and then bandaged ice pack to the wound.</t>
  </si>
  <si>
    <t>SRG-INJ-2893</t>
  </si>
  <si>
    <t>Right Bicep light graze sore arm</t>
  </si>
  <si>
    <t>Team member lifting tent over 16KG - graze to right bicep and sore arm</t>
  </si>
  <si>
    <t>SRG-INJ-1910</t>
  </si>
  <si>
    <t>AU314292</t>
  </si>
  <si>
    <t>OWEN, STEPHEN</t>
  </si>
  <si>
    <t>team member stated he landed on his knees and once he was home they swelled up</t>
  </si>
  <si>
    <t>looks like the team member tripped over his own feet while serving a customer</t>
  </si>
  <si>
    <t>SRG-INJ-3543</t>
  </si>
  <si>
    <t>S24EX236486</t>
  </si>
  <si>
    <t>AU200058</t>
  </si>
  <si>
    <t>RIVERS-GRIFFITH, ELIZABETH</t>
  </si>
  <si>
    <t>A048</t>
  </si>
  <si>
    <t>I initially hurt my shoulder when I was preparing the shoe section for stocktake.  I discussed this injury with you and cam over the following week,  hoping the injury would improve. Iâ€™ve since seen and spoke to a physio- they suspect itâ€™s a strained rotator cuff from continuously handling the boxes over those 3 days.   Cam did allow me to work at services the day I came back after my weekend, as I was still  in pain  This was helpful, however after another 2 days of work it was getting worse not better and unfortunately has not healed since.</t>
  </si>
  <si>
    <t>SRG-INJ-3505</t>
  </si>
  <si>
    <t>left thumb</t>
  </si>
  <si>
    <t>Whilst lifting shirts off a ubar located on the Ringers Western clothing display stand, the ubar lifted off the stand's frame and impacted the team member on top of the thenar region of her left hand. Subsequent bruising and swelling lasting for a week has since appeared (pic attached).  REPORT LOGGED BY : CAMERON BATE (TEAM LEADER)</t>
  </si>
  <si>
    <t>SRG-INJ-2782</t>
  </si>
  <si>
    <t>AU298402</t>
  </si>
  <si>
    <t>BRODERICK, BOOKER</t>
  </si>
  <si>
    <t>Team member was opening a fishing box with strapping tape around it, it slipped, point of orange safety knife snapped off and now exposed blade cut into his left thumb. 15mm long</t>
  </si>
  <si>
    <t>SRG-INJ-3585</t>
  </si>
  <si>
    <t>AU328867</t>
  </si>
  <si>
    <t>MATTHEWS, OLIVER</t>
  </si>
  <si>
    <t>A049</t>
  </si>
  <si>
    <t>Tingalpa</t>
  </si>
  <si>
    <t>Right Foot</t>
  </si>
  <si>
    <t>Oliver was awaiting paperwork from the delivery driver. While standing and waiting the driver was moving his electric pallet jack. The corner of the jack ran over Oliver's right foot.</t>
  </si>
  <si>
    <t>SRG-INJ-2811</t>
  </si>
  <si>
    <t>AU328422</t>
  </si>
  <si>
    <t>WARD, LAURA</t>
  </si>
  <si>
    <t>Laura Ward was covering a 10 min break at the front services counter when she called over the headset for assistance as she did not feel well, Laura then lost hearing and began to get light headed so she sat down on the floor to prevent passing out. Madonna Thompson came to assist and made sure Laura was ok, gave a bottle of water and calmed her. James Elliot came to further assist and took Laura to the team room to rest. Laura's brother was called to come and drive her home.  The next day, Ryan Lomax call Laura's mother to check in on her where she advised that Laura had tested positive for Covid and was resting up and getting better. Laura remained home to rest.</t>
  </si>
  <si>
    <t>SRG-INJ-2194</t>
  </si>
  <si>
    <t>S23XC084855</t>
  </si>
  <si>
    <t>AU325804</t>
  </si>
  <si>
    <t>ANDERSON, WILLIAM</t>
  </si>
  <si>
    <t>Impact to left elbow.</t>
  </si>
  <si>
    <t>Team member (William Anderson 325804) was rushing secure stock outside in the rain when another team member (Cooper Meyer) kicked an empty fridge box into their direction resulting in them tripping over the box and injuring their left elbow.</t>
  </si>
  <si>
    <t>SRG-INJ-3367</t>
  </si>
  <si>
    <t>AU329963</t>
  </si>
  <si>
    <t>STEWART, CAMERON</t>
  </si>
  <si>
    <t>A050</t>
  </si>
  <si>
    <t>Albury</t>
  </si>
  <si>
    <t>Left Knee</t>
  </si>
  <si>
    <t>Cameron went to get up on the safety step and missed the first step causing him to hit his knee on the step</t>
  </si>
  <si>
    <t>SRG-INJ-2768</t>
  </si>
  <si>
    <t>AU327728</t>
  </si>
  <si>
    <t>FOX, ANGUS</t>
  </si>
  <si>
    <t>Index finger on left hand top of finger</t>
  </si>
  <si>
    <t>Angus was trying to remove the extending arm on one of the TSG Rolling Rails that had bent and would not go back in.  In removing it, it snapped and sliced through his left index finger.</t>
  </si>
  <si>
    <t>SRG-INJ-2393</t>
  </si>
  <si>
    <t>AU320142</t>
  </si>
  <si>
    <t>KYNASTON, SKYE</t>
  </si>
  <si>
    <t>Left Hand</t>
  </si>
  <si>
    <t>Grabbing shoes out of the footwear wall and Skyes thumb was in the hole of the footwear box and her fingers under the box when the weight of the box caused her to over extend her hand causing pain in the hand</t>
  </si>
  <si>
    <t>SRG-INJ-1863</t>
  </si>
  <si>
    <t>AU314734</t>
  </si>
  <si>
    <t>WILLIAMS, NATASHA</t>
  </si>
  <si>
    <t>Right Pinky finger</t>
  </si>
  <si>
    <t>pulling chairs out of the box on a pallet on back doc  pulled chair out, as tash pulled chair out she twisted her hand to pull it out and my finger twisted with the chair an i ripped her nail off in half</t>
  </si>
  <si>
    <t>SRG-INJ-3384</t>
  </si>
  <si>
    <t>AU311835</t>
  </si>
  <si>
    <t>PERRINGTON, RIJKE</t>
  </si>
  <si>
    <t>A051</t>
  </si>
  <si>
    <t>Rutherford</t>
  </si>
  <si>
    <t>Lower back and right side buttock pain</t>
  </si>
  <si>
    <t>Rijke was stepping down off a stool to the shop floor, the stool slipped from underneath Rijke, causing Rijke to fall and land hard on the shop floor. After the incident Alex approached Rijke, Rijke mentioned lower back discomfort as well as right buttock discomfort.</t>
  </si>
  <si>
    <t>SRG-INJ-2963</t>
  </si>
  <si>
    <t>AU326244</t>
  </si>
  <si>
    <t>BYRNE, SIENNA</t>
  </si>
  <si>
    <t>TL Brendan and TM Sienna Byrne were having a discussion regarding a courier and a box of 4x swimming Body Glove Rapeedo snorkel kits from above on dexion shelving of where the two were standing.</t>
  </si>
  <si>
    <t>SRG-INJ-2749</t>
  </si>
  <si>
    <t>AU332228</t>
  </si>
  <si>
    <t>KELLY, JOSIE</t>
  </si>
  <si>
    <t>right leg and stomach- liquid causing discomfort on skin</t>
  </si>
  <si>
    <t>Josie was lifting a battery onto the service counter for a customer, She tipped the battery almost 90 degrees, causing the liquid inside to spill all over her and the floor</t>
  </si>
  <si>
    <t>SRG-INJ-2073</t>
  </si>
  <si>
    <t>swag collided with left shoulder when removing off dexion shelf</t>
  </si>
  <si>
    <t>Team Member - Sienna Byrne ( 326244 ) was out in the receiving area to collect a Click &amp; Collect for a customer. The King titan was on a shelf above head height and as Sienna was removing the swag she turned while the swag was still of the dexion to pull it off the shelf. The swag slipped off the dexion colliding with her left shoulder.</t>
  </si>
  <si>
    <t>SRG-INJ-2068</t>
  </si>
  <si>
    <t>AU332658</t>
  </si>
  <si>
    <t>LANE, ELLYSE</t>
  </si>
  <si>
    <t>Small bump on forehead in between eyebrows occur after the incident</t>
  </si>
  <si>
    <t>Ellyse was completing some training modules at lane 4 and simply fell towards the computer monitor hitting it with her head but did not collapse to the ground; she managed to alert herself of the incident and was able to stand momentarily until team member Shaydelle assisted her to sit on the ground until SM attended to her.</t>
  </si>
  <si>
    <t>SRG-INJ-3087</t>
  </si>
  <si>
    <t>AU334196</t>
  </si>
  <si>
    <t>HEMMATJOO, ALIDA</t>
  </si>
  <si>
    <t>A052</t>
  </si>
  <si>
    <t>Nose hit by end of rail</t>
  </si>
  <si>
    <t>Team member wheeling clothing rail through the department, the wheel hit a display clothing table stopping suddenly and the team member hit their nose on the end of the rail.</t>
  </si>
  <si>
    <t>SRG-INJ-2654</t>
  </si>
  <si>
    <t>lower back - dull pain</t>
  </si>
  <si>
    <t>Team member was unboxing and filling lounge chairs when she felt a dull pain in her lower back which lasted throughout her shift.</t>
  </si>
  <si>
    <t>SRG-INJ-2601</t>
  </si>
  <si>
    <t>AU311159</t>
  </si>
  <si>
    <t>CALLIPARI, FRANCO</t>
  </si>
  <si>
    <t>Cut to right hand, Hit left hip on floor, twisted hurt right knee</t>
  </si>
  <si>
    <t>Frank fell off the ladder when getting down a boxed sounder off the high shelves. He miss stepped thinking he was at the bottom when he was not and fell to the floor from step 3. He tried to grab the ladder and cut his hand on the way down, and hit his left hip on the floor and twisted his right knee. Band aids were applied to cut on hand.</t>
  </si>
  <si>
    <t>SRG-INJ-2485</t>
  </si>
  <si>
    <t>AU314147</t>
  </si>
  <si>
    <t>NATIVO, SEBASTIAN</t>
  </si>
  <si>
    <t>left hand received a deep paper cut.</t>
  </si>
  <si>
    <t>deep paper cut on a piece of paper in the team room while I was waiting for my food to warm up.</t>
  </si>
  <si>
    <t>SRG-INJ-1923</t>
  </si>
  <si>
    <t>AU331261</t>
  </si>
  <si>
    <t>NEENAN, TANYA</t>
  </si>
  <si>
    <t>Passed out, hit/sctratched nose and sore right ankle</t>
  </si>
  <si>
    <t>Team member Tanya Neenan felt dizzy and then passed out at the registers in front of Amber Curry team member. she was unconcious for under a minute and still felt dizzy</t>
  </si>
  <si>
    <t>SRG-INJ-3542</t>
  </si>
  <si>
    <t>AU302788</t>
  </si>
  <si>
    <t>GOODCHILD, ZACK</t>
  </si>
  <si>
    <t>A053</t>
  </si>
  <si>
    <t>Midland</t>
  </si>
  <si>
    <t>stepped backwards off a pallet and hyper extended knee, No pain at time but few days later, local pain around knee area</t>
  </si>
  <si>
    <t>SRG-INJ-2487</t>
  </si>
  <si>
    <t>AU332315</t>
  </si>
  <si>
    <t>CLIFFORD, ZACH</t>
  </si>
  <si>
    <t>side of face</t>
  </si>
  <si>
    <t>A female customer with a pram has come into store, has walked around the store for a while and then has come to the services Zach has then asked the customer to open her bag which she does voluntary she then has become agitated when asked about  the pram and that's when Zach has tried to force the issue by trying to open the pram himself and the customer has struck him with a fist near the front doors</t>
  </si>
  <si>
    <t>SRG-INJ-2356</t>
  </si>
  <si>
    <t>AU327718</t>
  </si>
  <si>
    <t>BURGE, HARRY</t>
  </si>
  <si>
    <t>arm near elbow</t>
  </si>
  <si>
    <t>Team went to put rubbish in bin notice it was a little full and went to push down the rubbish when poked by a nail from end of a pallet that put in the bin</t>
  </si>
  <si>
    <t>SRG-INJ-2305</t>
  </si>
  <si>
    <t>G7382238</t>
  </si>
  <si>
    <t>AU314639</t>
  </si>
  <si>
    <t>NELSON, PETER</t>
  </si>
  <si>
    <t>Right Ankle strain</t>
  </si>
  <si>
    <t>Peter was walking and serving a customer as he has turned around he's rolled his ankle causing a significant instant pain and bruising</t>
  </si>
  <si>
    <t>SRG-INJ-2014</t>
  </si>
  <si>
    <t>AU329835</t>
  </si>
  <si>
    <t>PASCOE, RHIANNON</t>
  </si>
  <si>
    <t>A054</t>
  </si>
  <si>
    <t>Ipswich</t>
  </si>
  <si>
    <t>shin and toe</t>
  </si>
  <si>
    <t>while serving a customer Rhyannion has gone to pull the draw out for a barcode and the draw has come off the runner and has hit her right shin and right toe.</t>
  </si>
  <si>
    <t>SRG-INJ-1679</t>
  </si>
  <si>
    <t>S23KW036748</t>
  </si>
  <si>
    <t>AU299257</t>
  </si>
  <si>
    <t>JOB, TRACEY</t>
  </si>
  <si>
    <t>Right top of foot, right knee, left back hip, right rib, left and right  shoulders, neck, right wrist and slight headache.</t>
  </si>
  <si>
    <t>Tracey was taking a phone call in the despatch area when she walked towards the computer, Tracey then tripped and fell over 2 bunk beds that had been placed on the floor to be packed for an on-line order. Tracey fell very hard on her back and also hurt and neck and right foot, right knee, left hip, back of neck and ribs.</t>
  </si>
  <si>
    <t>SRG-INJ-1801</t>
  </si>
  <si>
    <t>AU329802</t>
  </si>
  <si>
    <t>KOSTNER, DANIEL</t>
  </si>
  <si>
    <t>A055</t>
  </si>
  <si>
    <t>Right index finger burned</t>
  </si>
  <si>
    <t>Team member was not wearing correct PPE when filling gas bottles. As such was burnt by the gas when it escaped the bottle as it was full.</t>
  </si>
  <si>
    <t>SRG-INJ-3264</t>
  </si>
  <si>
    <t>AU337104</t>
  </si>
  <si>
    <t>BOUCHER, NATE</t>
  </si>
  <si>
    <t>A057</t>
  </si>
  <si>
    <t>Mackay</t>
  </si>
  <si>
    <t>Left Hand, Middle and Pointer Finger</t>
  </si>
  <si>
    <t>Team Member was heating meal in microwave and was peeling the plastic seal off and has steam burns to his left mainly pointer and middle fingers</t>
  </si>
  <si>
    <t>Kitchen and domestic equipment</t>
  </si>
  <si>
    <t>SRG-INJ-2203</t>
  </si>
  <si>
    <t>AU321089</t>
  </si>
  <si>
    <t>BRAZIER, MATTHEW</t>
  </si>
  <si>
    <t>Lower Back</t>
  </si>
  <si>
    <t>Team Member was working Stock, Fridges and Kayaks. He did not report with a Bad Back until today 9/1/24 when he text me to say he would not be coming in</t>
  </si>
  <si>
    <t>SRG-INJ-2059</t>
  </si>
  <si>
    <t>AU294655</t>
  </si>
  <si>
    <t>AHERN, ANGELA</t>
  </si>
  <si>
    <t>walked into the walkie stacker. wasn't paying  attention. small abrasion on top of head.</t>
  </si>
  <si>
    <t>SRG-INJ-2006</t>
  </si>
  <si>
    <t>AU293452</t>
  </si>
  <si>
    <t>STANLEY, HAYLEY</t>
  </si>
  <si>
    <t>pain in side</t>
  </si>
  <si>
    <t>Unsure if work related. Hayley Stanley complained of side pain and felt ill. sent her to the hospital to be looked at. not sure of any outcome as yet.</t>
  </si>
  <si>
    <t>SRG-INJ-1984</t>
  </si>
  <si>
    <t>Left Fore Arm Laceration</t>
  </si>
  <si>
    <t>Team Member was using a Clever Cutter to open the packaging on new Footwear End POS and the plastic safety cover caught her arm and pinched into the blade slicing open her arm.</t>
  </si>
  <si>
    <t>SRG-INJ-1573</t>
  </si>
  <si>
    <t>Gas contact to face and eye</t>
  </si>
  <si>
    <t>Team Member was filling a Gas Bottle and the hose blew off during decanting .. exploding gas onto her face. She was wearing correct PPE but the Gas got up under the eye protection</t>
  </si>
  <si>
    <t>SRG-INJ-3576</t>
  </si>
  <si>
    <t>AU337464</t>
  </si>
  <si>
    <t>EYRE, KELLY</t>
  </si>
  <si>
    <t>A060</t>
  </si>
  <si>
    <t>Right Small toe</t>
  </si>
  <si>
    <t>Team member was moving a pallet of fire wood out of the store. The pallet was moving faster than expected and ran over their foot.</t>
  </si>
  <si>
    <t>SRG-INJ-3370</t>
  </si>
  <si>
    <t>G748983J</t>
  </si>
  <si>
    <t>AU330385</t>
  </si>
  <si>
    <t>MANJILIM, CHRISJOVEINY</t>
  </si>
  <si>
    <t>Lower Back injury</t>
  </si>
  <si>
    <t>She went to get a trolley to move a spa, sliding it along the ground to pull it towards her. She lifted one side of the spa to rest it on the trolley, but as she did, she felt her back go. She was in significant pain and could barely move.</t>
  </si>
  <si>
    <t>SRG-INJ-3199</t>
  </si>
  <si>
    <t>AU316602</t>
  </si>
  <si>
    <t>CHATTERTON, LAUREN</t>
  </si>
  <si>
    <t>Right Wrist &amp; forearm</t>
  </si>
  <si>
    <t>Team member went to the second storage container to see if a bike was in the container. The team member said they lifted the lock and felt a pain in their wrist. Team member said they must have been lifting it wrong and were not using appropriate manual handling procedures and they had struggled to get the lock open. Team member said they put the lock down and then went to work registers and let the supervisor on duty know they had hurt themselves. Team member mentioned to the supervisor that their wrist has been hurting before this and it's been an ongoing issue for quite some time. Team member did not put any ice on it throughout the day or night and no visible bruising is present upon inspection. Team member said it was still tender the next day but did not bring it up with the store manager until after their shift was about to end. Team member was informed to rest it and keep the team informed of any changes.</t>
  </si>
  <si>
    <t>SRG-INJ-3358</t>
  </si>
  <si>
    <t>G748859I</t>
  </si>
  <si>
    <t>AU333662</t>
  </si>
  <si>
    <t>JOHNSON-COOPER, TARLIA</t>
  </si>
  <si>
    <t>groined area</t>
  </si>
  <si>
    <t>putting stock out and felt a strain, started to hurt when they were lifting. thought it was a strain would heal it. went to  09/12/2024 where a scan was booked and they were told to do light duties until the scan had been completed.</t>
  </si>
  <si>
    <t>SRG-INJ-2085</t>
  </si>
  <si>
    <t>G736053Z</t>
  </si>
  <si>
    <t>AU327781</t>
  </si>
  <si>
    <t>MCGRATH, LEAH</t>
  </si>
  <si>
    <t>Wrist, lower back</t>
  </si>
  <si>
    <t>Leah stepped back, her foot caught the box and she fell backwards  she went to grab the counter and the bench behind the counter as she was going down. Leah hit the ground</t>
  </si>
  <si>
    <t>SRG-INJ-1694</t>
  </si>
  <si>
    <t>AU327092</t>
  </si>
  <si>
    <t>DWYER, JASON</t>
  </si>
  <si>
    <t>lower right leg above sock</t>
  </si>
  <si>
    <t>Jason Dwyer was in the fishing room and felt something on his leg. When he went to look at what it was he noticed a leech had somehow been feeding on his right leg. I walked him down to the staffroom to to do first aid and apply salt but it had fallen off as he was walking. I collected it off the ground, cleaned the surface very well and killed and disposed of it.</t>
  </si>
  <si>
    <t>SRG-INJ-3544</t>
  </si>
  <si>
    <t>AU330389</t>
  </si>
  <si>
    <t>HARKINS, SAMUEL</t>
  </si>
  <si>
    <t>A061</t>
  </si>
  <si>
    <t>Marsden Park</t>
  </si>
  <si>
    <t>Right hand, middle finger</t>
  </si>
  <si>
    <t>Samuel was opening a box with a clever cutter, as he was cutting the end of the box open, his finger hit the side of the cage where the square shape "Cage door lock" sits. This caused minimal bleeding and required a band aid.</t>
  </si>
  <si>
    <t>SRG-INJ-3481</t>
  </si>
  <si>
    <t>AU334796</t>
  </si>
  <si>
    <t>VORHAUER, ANNALISE</t>
  </si>
  <si>
    <t>Shin, graze/swelling/bruise</t>
  </si>
  <si>
    <t xml:space="preserve"> being hit by falling object </t>
  </si>
  <si>
    <t>SRG-INJ-3375</t>
  </si>
  <si>
    <t>AU327681</t>
  </si>
  <si>
    <t>BURGESS, ADAM</t>
  </si>
  <si>
    <t>Right Knee, Left elbow and Middle of chest - Minor Pain/Possible bruise for all</t>
  </si>
  <si>
    <t xml:space="preserve">adam tripped over a box and little bruise on knee and minor pain in chest - Adam is doing okay now </t>
  </si>
  <si>
    <t>SRG-INJ-3090</t>
  </si>
  <si>
    <t>AU334088</t>
  </si>
  <si>
    <t>FAIZ, HAMAN</t>
  </si>
  <si>
    <t>Top of right hand</t>
  </si>
  <si>
    <t>Team member was lifting a 80LTR frontier fridge with another team member Whilst carrying the fridge - their hand slipped off holding the fridge and their hand flung out and hit the pointed part of the A4 ticket stand Hand is currently stiff and is being iced with an ice pack</t>
  </si>
  <si>
    <t>SRG-INJ-2900</t>
  </si>
  <si>
    <t>Top of head, neck</t>
  </si>
  <si>
    <t xml:space="preserve">Adam Burgess was putting rubbish in the bin. As he was getting said rubbish out of the cardboard bin there was a gust of wind that had blown the lid shut and had hit Adam on the head. He said that his head did hurt when it initially fell over and that his head was fine now (approx 16:00pm).  </t>
  </si>
  <si>
    <t>SRG-INJ-2513</t>
  </si>
  <si>
    <t>Left knee and left forearm</t>
  </si>
  <si>
    <t>Adam was carrying an empty box from the shop floor and went through the plastic doors than tripped over the bottom of a rolly rack of clothes and fell onto floor sustaining a few bruises on the left knee and left forearm</t>
  </si>
  <si>
    <t>SRG-INJ-2189</t>
  </si>
  <si>
    <t>AU307575</t>
  </si>
  <si>
    <t>MARTIN, IZABELLA</t>
  </si>
  <si>
    <t>right forearm</t>
  </si>
  <si>
    <t>Was grabbing a box of gas bottles, (2kg which had 4 quantities inside). I held the box wrong and it has put pressure on my right forearm which has pushed my plate into my arm and now I have this pain running through my arm. (I previously broken my arm from sport injury and I now have a metal plate)</t>
  </si>
  <si>
    <t>SRG-INJ-2088</t>
  </si>
  <si>
    <t>AU325498</t>
  </si>
  <si>
    <t>GYMELLAS, JOHNEY</t>
  </si>
  <si>
    <t>Johney was wheeling a stock cage and got their hand stuck in-between the cage and the hardtop roof top display. This caused a pre-existing cut to re open</t>
  </si>
  <si>
    <t>SRG-INJ-3323</t>
  </si>
  <si>
    <t>AU319594</t>
  </si>
  <si>
    <t>MARTIN, AISHA</t>
  </si>
  <si>
    <t>A062</t>
  </si>
  <si>
    <t>Campbelltown</t>
  </si>
  <si>
    <t>Pre-existing Anxiety/Depression</t>
  </si>
  <si>
    <t>Work-induced stress has worsened previously managed anxiety, mainly due to communication issues with executives and management. Similar problems occurred a year ago, leading to mental health treatment, but the patient did not pursue workers' compensation. Unresolved issues have contributed to the cu</t>
  </si>
  <si>
    <t>Biological agencies</t>
  </si>
  <si>
    <t>SRG-INJ-2922</t>
  </si>
  <si>
    <t>AU317985</t>
  </si>
  <si>
    <t>HILLYER, JAIMEE</t>
  </si>
  <si>
    <t>Team Member was moving shelving, one of the corners was stuck, team member then used her hand/wrist, put it under the shelf and pushed upwards to try pop the shelf out using abit of force and then she notice her wrist starting to inflame and brusing straight away.</t>
  </si>
  <si>
    <t>SRG-INJ-2437</t>
  </si>
  <si>
    <t>AU323437</t>
  </si>
  <si>
    <t>HENRISSON, JOSHUA</t>
  </si>
  <si>
    <t>Laceration the the left hand between the thumb and forefinger</t>
  </si>
  <si>
    <t>Josh was opening a boxed toddler bike for a customer and when he was cutting the cable tie holding the wheels on with a Klever Kutter the blade sliced the webbing on his left hand between the thumb and forefinger. He found help with another team member who wrapped it in paper towel. Then  he came to find me ( Karyn) then manager on duty.  The laceration was quite serious and we thought it best he go and get medical assistance as quickly as possible. I asked another team member ( Erik Zak ) to drive him to the hospital to get stitches.</t>
  </si>
  <si>
    <t>SRG-INJ-2306</t>
  </si>
  <si>
    <t>AU321455</t>
  </si>
  <si>
    <t>MACDONALD, JAKE</t>
  </si>
  <si>
    <t>Shoulder (L) - Sprain / strain</t>
  </si>
  <si>
    <t>Team member was lifting a slim line moon chair out of the box and felt a twinge in the left shoulder.  was not sore when incident occurred but as the day has progressed it is starting to hurt.</t>
  </si>
  <si>
    <t>SRG-INJ-2137</t>
  </si>
  <si>
    <t>Left hand middle finger received cut 1/2 a cm in length</t>
  </si>
  <si>
    <t>Aisha was cutting bubble wrap using a clever cutter, a section of the cutter is damaged allowing the blade to cut your left middle finger</t>
  </si>
  <si>
    <t>SRG-INJ-2119</t>
  </si>
  <si>
    <t>Right knee- swelling bruising and small laceration</t>
  </si>
  <si>
    <t>Team member was walking towards the front of the dock and his leg hit the fishing rod display rack at knee height. Caused immediate bruising, swelling and small laceration.</t>
  </si>
  <si>
    <t>SRG-INJ-2047</t>
  </si>
  <si>
    <t>AU331787</t>
  </si>
  <si>
    <t>NEWTON, KAYDEN</t>
  </si>
  <si>
    <t>Team member was loading 2m awning into cage upright. The weight distribution caused the external gate to release allowing 15 awnings to fall on to team members back.</t>
  </si>
  <si>
    <t>SRG-INJ-1641</t>
  </si>
  <si>
    <t>Team Member Jake Macdonald was lifting the XO750 Jockey Wheel in it's box on to a shelf and slipped from his hand and squashed his finger on the metal shelf. This cased instant pain and bleeding at the site. After about 10 mins there was also swelling.</t>
  </si>
  <si>
    <t>SRG-INJ-3294</t>
  </si>
  <si>
    <t>AU328263</t>
  </si>
  <si>
    <t>MCCABE-KIRKHAM, JACK</t>
  </si>
  <si>
    <t>A063</t>
  </si>
  <si>
    <t>Near miss but team member was shaken up</t>
  </si>
  <si>
    <t>Jack â€“ I heard that there was a dispute with a customer over the earpiece, involving a man upset about not receiving customer service. As I walked over I noticed he was yelling and swearing at Narelle, I quietly asked her if she was okay and said I will come back once I was done helping another customer. As I was walking away the man yelled abusive things towards me, I turned around and told him that he either has to leave the store immediately. The customer then charged towards me, throwing around the pickaxe he had in his hand and another metal object (which I couldnâ€™t identify). I stood still with my hands on my hips repeatedly telling the customer to leave the store, whilst he was yelling more abusive slurs towards me, telling me to hit him, and physically threatening me with the pickaxe. Once I realised the was going to hit me before listening to what I was saying I walked away to the registers, and then the customer shortly after left the store once more yelling abusive things towards me.</t>
  </si>
  <si>
    <t>SRG-INJ-3066</t>
  </si>
  <si>
    <t>AU327908</t>
  </si>
  <si>
    <t>DAVID, SAMUEL</t>
  </si>
  <si>
    <t>Left hand, Middle finger</t>
  </si>
  <si>
    <t>Sam was doing some stock when he went to open a box with a safety knife when the accidentally cut his middle finger on his left hand.  He told Scott straight away which they they both went to the tea room to get it bandaged up.</t>
  </si>
  <si>
    <t>SRG-INJ-2064</t>
  </si>
  <si>
    <t>AU319522</t>
  </si>
  <si>
    <t>HARDCASTLE, MICHAEL</t>
  </si>
  <si>
    <t>Soft Tissue Injury - Knee</t>
  </si>
  <si>
    <t>Michael was getting a bike for a customer from out in the back dock, where the bikes are stored there were some pallets in front of the bikes so all that needed to happen was Mick had to move the pallets around. He managed to move a few around but didn't create enough room for himself to get around one so he threw the boxed bike on top of a pallet then he tried to go around the wooden pallet that was on top of another pallet which this is where the bike was, once he realized he couldn't go around it he then decided to jump over the pallet with it resulting in him getting his leg tangled in so clear wrap that was around the bottom pallet caught him and he then had the wooden pallet and bike fall on top of him.</t>
  </si>
  <si>
    <t>SRG-INJ-2731</t>
  </si>
  <si>
    <t>AU332597</t>
  </si>
  <si>
    <t>DELLAR, JESSE</t>
  </si>
  <si>
    <t>A065</t>
  </si>
  <si>
    <t>Rockingham</t>
  </si>
  <si>
    <t>sprained ankle</t>
  </si>
  <si>
    <t>Jesse was carrying a box of hook down to the registers. When leaving the tea room we have 5 steps you have to go down. On the first step miss judged where i put my foot on the step slipped down the stairs and rolled ankle and hitting head on toilet door.</t>
  </si>
  <si>
    <t>SRG-INJ-2708</t>
  </si>
  <si>
    <t>G7426068</t>
  </si>
  <si>
    <t>AU323979</t>
  </si>
  <si>
    <t>EDWARDS, JILL</t>
  </si>
  <si>
    <t>tail bone, back. shoulders blades</t>
  </si>
  <si>
    <t>I was asked to come up to the office, upon entering the office there was a chair close to the filing cabinet, there was also a third team member behind me. Unfortunately, it was just an accident as the team member had no idea i was going to sit down on the chair that was next to the filing cabinet, she has pulled it away thinking i was going to sit on the chair by the desk. as she has pulled it away for herself i have gone to sit down unaware in which i fell straight onto my tail bone. It instantly gave me shooting pains in my back and up my spine. I t was not reported, hence why I'm doing this today 1 day later as my back is very stiff and sore especially between my shoulder blades and lower back . Hurts when bending or crouching down. I will keep an eye on this being over 50 i am a little concerned as it was quite a hard fall. It was no ones fault .  I will attach the video, you can see i found it uncomfortable to sit on the chair while i was in the office and had to sit on my leg to remove pressure</t>
  </si>
  <si>
    <t>SRG-INJ-2125</t>
  </si>
  <si>
    <t>Set of crab scoops fell hitiing right shoulder</t>
  </si>
  <si>
    <t>Was moving kayaks around to get to one when knocked a set of 5 crab scoops and it hit right shoulder</t>
  </si>
  <si>
    <t>SRG-INJ-2062</t>
  </si>
  <si>
    <t>AU308372</t>
  </si>
  <si>
    <t>GINNS, REBECCA</t>
  </si>
  <si>
    <t>Stuck with object on right knuck of the toe - Bruising</t>
  </si>
  <si>
    <t>Was empty a knee board when I shook the box to get it to come out and it fell on my right foot knuckles of toes.</t>
  </si>
  <si>
    <t>SRG-INJ-1881</t>
  </si>
  <si>
    <t>AU330251</t>
  </si>
  <si>
    <t>NEWMAN, AARON</t>
  </si>
  <si>
    <t>Team member was cleaning the compound when he lifted a base without checking under it. Black spider bite his left thumb</t>
  </si>
  <si>
    <t>SRG-INJ-1677</t>
  </si>
  <si>
    <t>Left knee hyper extended</t>
  </si>
  <si>
    <t>Saturday morning, approx 11.45 am a team member came up to myself Jill while serving asking for help to collect a bike down in dispatch from top shelf of mezzanine floor as she is frightened of heights. their was no other team member available at the time so i excused myself from my customers and went out to help the team member Rebecca. The back dispatch at the very rear of the store had a cage with a kayak sticking out and approx  x3 120cm roof top tents also at the rear of the store, so moving the waive had limited space to maneuver in. I collected the bike from the top shelf, I asked the team member to make sure she was well out of the way so I didn't drop the bike accidently on her. Rebecca was well out of the way, as I continued to move the waive  forward  the wheel of the waive hit the edge cage with the kayak  on it and it accidently clipped Rebecca's  left knee causing her to hyper extended  it .</t>
  </si>
  <si>
    <t>SRG-INJ-2286</t>
  </si>
  <si>
    <t>G740595C</t>
  </si>
  <si>
    <t>AU307251</t>
  </si>
  <si>
    <t>CHITARRA, JAMES</t>
  </si>
  <si>
    <t>A066</t>
  </si>
  <si>
    <t>Butler</t>
  </si>
  <si>
    <t>Lower abdomen, Testicular region</t>
  </si>
  <si>
    <t>Bollard stuck in base-  Lock somehow seized up. couldn't pull out. Sprayed inside lock with lubricant's, Jiggled it a bit and attempted to remove bollard a couple of times on final attempt felt a pinch in lower abdomen/crutch area. Didn't think too much off it and continued on. Still felt tight over next few days and over the next week the pain moved into my genitals and crutch as well as lower abdomen area. Only doctors appointment I could get was on the 29th January and in have a ultra scan booked in for the 9th Feb. Doctor is wanting scans to see if  onset of hernia or anything else down going on down there.   Due to upgrade on office computer loosing logins and holidays both (both myself and others) this is only being logged now.</t>
  </si>
  <si>
    <t>SRG-INJ-3524</t>
  </si>
  <si>
    <t>S24TK235335</t>
  </si>
  <si>
    <t>AU330023</t>
  </si>
  <si>
    <t>POTHECARY, JASON</t>
  </si>
  <si>
    <t>A067</t>
  </si>
  <si>
    <t>Airlie Beach</t>
  </si>
  <si>
    <t>lower back  pain, possible sciatic issue</t>
  </si>
  <si>
    <t>Jason had started his shift at 9.00am to start unloading stock in the receiving dock. he had bent over to pick up an empty pine pallet to remove. he had felt a twinge in his lower back, buttock and upper leg area, his colleague spotted him sitting on the pallet in what seemed in pain. receiving TM then assisted in helping him up to sit him on a chair.  Jason sat for a few minutes whilst an ambulance was called. Jason then managed to stand up from the chair and sat on the floor where he proceeded to lay down. i assessed his situation and asked to not move around where possible. i asked what he was feeling and what happened. he believes he had either pulled a muscle or pinched a nerve as he went to move the pallet. he was fairly incoherent and in obvious pain the Ambulance arrived 20 minutes later and gave him a green whistle, ( morphine stick) and asked him to sit on the gerney. he struggled with the pain and sat himself up on the gerney and the ambulance took him at 09.33</t>
  </si>
  <si>
    <t>SRG-INJ-3271</t>
  </si>
  <si>
    <t>AU336645</t>
  </si>
  <si>
    <t>TASKER, KEVIN</t>
  </si>
  <si>
    <t>left shoulder</t>
  </si>
  <si>
    <t>Pulling a box out of a box, the shoulder dislocated. Wasn't a heavy box or product.</t>
  </si>
  <si>
    <t>SRG-INJ-2860</t>
  </si>
  <si>
    <t>S24PJ159529</t>
  </si>
  <si>
    <t>AU332489</t>
  </si>
  <si>
    <t>TELFORD, KAI</t>
  </si>
  <si>
    <t>left foot, impression soft tissue injury</t>
  </si>
  <si>
    <t>Kai was pulling the walkie stacker behind him to unload the truck when it connected his foot..</t>
  </si>
  <si>
    <t>Other plant equipment</t>
  </si>
  <si>
    <t>SRG-INJ-2248</t>
  </si>
  <si>
    <t>AU332996</t>
  </si>
  <si>
    <t>SMALLMAN, STEVEN</t>
  </si>
  <si>
    <t>Twisted left knee</t>
  </si>
  <si>
    <t>twisted left knee when picking up a kayak</t>
  </si>
  <si>
    <t>SRG-INJ-3412</t>
  </si>
  <si>
    <t>AU335676</t>
  </si>
  <si>
    <t>ZADRO, XAVIER</t>
  </si>
  <si>
    <t>A068</t>
  </si>
  <si>
    <t>Coffs Harbour</t>
  </si>
  <si>
    <t>left pointer finger tip</t>
  </si>
  <si>
    <t>Team member loading a stapler and a staple pricked into his finger</t>
  </si>
  <si>
    <t>SRG-INJ-2779</t>
  </si>
  <si>
    <t>AU327050</t>
  </si>
  <si>
    <t>BALL, KELLY</t>
  </si>
  <si>
    <t>lower right hand side of back/hip area</t>
  </si>
  <si>
    <t>Kelly was squatting down replacing bunks in snow . A customer asked for some help when Kelly stood up to help.  As she has stood up and turned she felt a tied pull in her lower right hand side of her back.</t>
  </si>
  <si>
    <t>SRG-INJ-2472</t>
  </si>
  <si>
    <t>AU325215</t>
  </si>
  <si>
    <t>ANDERSON, JOSHUA</t>
  </si>
  <si>
    <t>Head and fingers on left hand</t>
  </si>
  <si>
    <t>Josh was gathering some fixtures from the storage mods in the hallway. someone had placed an old Sea to Summit metal display on top of some boxes on the top shelf. this fell down, hitting josh on the head and hand inflicting a small cut between his fingers.</t>
  </si>
  <si>
    <t>SRG-INJ-2232</t>
  </si>
  <si>
    <t>AU317114</t>
  </si>
  <si>
    <t>MAYGER, JAMES</t>
  </si>
  <si>
    <t>Thumb (L) - Laceration</t>
  </si>
  <si>
    <t>Jay and Ian where taking down display hiking tent together. while jay was pulling out the frame of the tent the cord inside the pole got caught on something.. jay stopped pulling to look at what it was caught on as the cord came free and the pole and cord has moved at speed towards jay and has sliced a deep cut into the inside of his left thumb.</t>
  </si>
  <si>
    <t>SRG-INJ-2056</t>
  </si>
  <si>
    <t>Bottom of right foot in Knuckle (joint0 between big toe and foot</t>
  </si>
  <si>
    <t>Josh stepped on a loose pin (1.5cm) from a pencil tag that had fallen on the floor and was laying point up</t>
  </si>
  <si>
    <t>SRG-INJ-1865</t>
  </si>
  <si>
    <t>right thumb/wrist</t>
  </si>
  <si>
    <t>the team member hurt their right thumb on Saturday (not at work) but there was no pain and was fully mobile.  on the 5/10/23 the team member was pushing a box onto the wave when their thumb bent back cause a lot of pain. the team member went to the hospital to have it checked. it was x-rayed and now needs to be MRI. the team member is in a half cast until MRI results</t>
  </si>
  <si>
    <t>SRG-INJ-3306</t>
  </si>
  <si>
    <t>AU225342</t>
  </si>
  <si>
    <t>HUNTLEY, BENEN</t>
  </si>
  <si>
    <t>A069</t>
  </si>
  <si>
    <t>Gepps Cross</t>
  </si>
  <si>
    <t>Left ankle</t>
  </si>
  <si>
    <t>I was on the step ladder removing a shelf at head height. The shelf slipped out of my hands and fell onto my ankle.</t>
  </si>
  <si>
    <t>SRG-INJ-2420</t>
  </si>
  <si>
    <t>58228587/00</t>
  </si>
  <si>
    <t>AU298497</t>
  </si>
  <si>
    <t>MUNN, EBONY</t>
  </si>
  <si>
    <t>Left medial meniscus tear</t>
  </si>
  <si>
    <t>Stepped down from step ladder and felt sharp pain in left knee. Didn't slip or fall. Pain in left knee. Bruising showing the next day.</t>
  </si>
  <si>
    <t>SRG-INJ-1763</t>
  </si>
  <si>
    <t>Back of the head / Left side of my neck</t>
  </si>
  <si>
    <t>During the theft that I have reported, whilst providing a description to police on my phone, one of the thieves turned around and ran back towards me and punched me in the back of the head whilst I was walking to my car to head home for the day.</t>
  </si>
  <si>
    <t>SRG-INJ-3522</t>
  </si>
  <si>
    <t>AU236081</t>
  </si>
  <si>
    <t>KENNEDY, JAMILAH</t>
  </si>
  <si>
    <t>A070</t>
  </si>
  <si>
    <t>Melville</t>
  </si>
  <si>
    <t>grazed and bruised tow</t>
  </si>
  <si>
    <t>I was moving a shelf in a small basket and the shelf came out and fell through the basket and onto my toe.</t>
  </si>
  <si>
    <t>SRG-INJ-3426</t>
  </si>
  <si>
    <t>AU333646</t>
  </si>
  <si>
    <t>CHAMBERLAIN, JORDAN</t>
  </si>
  <si>
    <t>Lifted beach wagon and twinged back</t>
  </si>
  <si>
    <t>I moved the beach wagon off the shelf and then lifted it with the normal way. I carried it up to the counter for a customer but after i noticed my left side of my back becoming painful but has gotten worse throughout the day.</t>
  </si>
  <si>
    <t>SRG-INJ-2649</t>
  </si>
  <si>
    <t>AU333823</t>
  </si>
  <si>
    <t>EMMERTON, ALICE</t>
  </si>
  <si>
    <t>Thumb</t>
  </si>
  <si>
    <t>Team Member was helping a customer and showing how to fold the knife when she slipped and sliced her thumb about 1 cm in length beside the thumb nail and about 3mm deep.</t>
  </si>
  <si>
    <t>SRG-INJ-2380</t>
  </si>
  <si>
    <t>AU331353</t>
  </si>
  <si>
    <t>GROENEWEG, EMMA</t>
  </si>
  <si>
    <t>Hit her head on the ground</t>
  </si>
  <si>
    <t>Team member was serving a customer on registers. Right before she went to serve the next customer she felt light headed and dizzy. She went to walk away from the register to breath and collect herself then while walking away fainted and fell straight backwards onto the ground with a visible knock to the head as seen on the footage. Team immediately went to her aid. While looking at footage and talking directly to the team members there was a short period where she was unconscious. Ambulance was called, team were instructed to leave her in the place that she was in until ambulance had arrived. They took her to hospital and put her through all the necessary checks and she was cleared to leave. Team member came back to the store in the afternoon to collect her car and drove herself home. They hospital put it down to possibly low blood pressure and/or stress as Emma has mentioned she has been very busy with her Uni work. She is going to get a follow up Dr apt next week with her GP.</t>
  </si>
  <si>
    <t>SRG-INJ-2293</t>
  </si>
  <si>
    <t>AU326102</t>
  </si>
  <si>
    <t>GRAU, CHERIE</t>
  </si>
  <si>
    <t>2 bikes fell on  RH shoulder, twisting her back.</t>
  </si>
  <si>
    <t>Cherie was taking boxes out of the thermal o/s to be filled. She was trying to pull out some boxes, but the 2 bike stack next to the thermal o/s started to fall. It fell on Cherie's RH shoulder and twisted forward; slightly hurting her back.</t>
  </si>
  <si>
    <t>SRG-INJ-1815</t>
  </si>
  <si>
    <t>AU236234</t>
  </si>
  <si>
    <t>MATTHEWS, MORGAN</t>
  </si>
  <si>
    <t>Cut on the bottom of the foot from broken glass</t>
  </si>
  <si>
    <t>Walking outside and some broken glass on the ground flicked up and inside of my shoes and cut the under the arch of my foot. Restaurant and Anaconda team assisted to clean the cut and apply band aid and bandage. No further medical attention was required and the injury is healing.</t>
  </si>
  <si>
    <t>SRG-INJ-1634</t>
  </si>
  <si>
    <t>AU311376</t>
  </si>
  <si>
    <t>POSTMA, BENEDICT</t>
  </si>
  <si>
    <t>Upper inner left arm</t>
  </si>
  <si>
    <t>Team member was putting a faulty gazebo into the bin. Team member had damaged faulty gazebo leg before disposing of it into the bin. When the team member put it into the bin one of the sharp legs hit his arm and received a laceration to his upper left arm cm's deep. Team member came straight inside to notify myself. First aid team member covered and bandaged up his arm and the team member then drove himself to the Doctors where he received 5 stitches. Team member then returned to the store an hour later to complete his shift.</t>
  </si>
  <si>
    <t>SRG-INJ-3003</t>
  </si>
  <si>
    <t>AU335686</t>
  </si>
  <si>
    <t>YOUNG, SARAH</t>
  </si>
  <si>
    <t>A071</t>
  </si>
  <si>
    <t>Bunbury</t>
  </si>
  <si>
    <t>Whole lower half of body</t>
  </si>
  <si>
    <t>Team Member had a stack of boxes fall on her  Team member - Sarah Young - Payroll - 335686</t>
  </si>
  <si>
    <t>SRG-INJ-1657</t>
  </si>
  <si>
    <t>AU321518</t>
  </si>
  <si>
    <t>LIUTO, DANIEL</t>
  </si>
  <si>
    <t>drill hit eye</t>
  </si>
  <si>
    <t>He was on his lunch brake and was trying to fix his scooter, he was using a drill to put a screw back in and the drill slipped and it hit him in the face causing a cut near his eye.</t>
  </si>
  <si>
    <t>SRG-INJ-3556</t>
  </si>
  <si>
    <t>AU318250</t>
  </si>
  <si>
    <t>BROWN, RODNEY</t>
  </si>
  <si>
    <t>A072</t>
  </si>
  <si>
    <t>Browns Plains</t>
  </si>
  <si>
    <t>As team member pulled the item off the shelf, they felt a pinch in the left shoulder</t>
  </si>
  <si>
    <t>Team member was serving a customer and was pulling a box of Super Deluxe Stretcher, which is located low down on the fixture, and then felt a pain in their left shoulder blade.  Team member felt a pinch in their shoulder.</t>
  </si>
  <si>
    <t>SRG-INJ-3153</t>
  </si>
  <si>
    <t>AU310924</t>
  </si>
  <si>
    <t>MCKNIGHT, IAIN</t>
  </si>
  <si>
    <t>Cramp on most of the lower side of back</t>
  </si>
  <si>
    <t>Muscles on left side of back is all cramped.  Cramp/Pain on left hand side of back.</t>
  </si>
  <si>
    <t>SRG-INJ-2193</t>
  </si>
  <si>
    <t>AU310978</t>
  </si>
  <si>
    <t>UPTON, AMBER</t>
  </si>
  <si>
    <t>team member was bending down to pick up a coat hanger from the ground but when standing upright the team member hit their forehead on one of the arm bars.</t>
  </si>
  <si>
    <t>SRG-INJ-1707</t>
  </si>
  <si>
    <t>Left side of head and shoulder</t>
  </si>
  <si>
    <t>Picking E-Comm - Sleeping bags - top shelf ( Coleman Tall c 3) Taking from front however the back products were tightly packed and become loose  falling hitting Amber in left head and shoulder - no pain at the time however pain started 90 Mins later not able to turn her head</t>
  </si>
  <si>
    <t>SRG-INJ-1595</t>
  </si>
  <si>
    <t>AU325248</t>
  </si>
  <si>
    <t>STANGHERLIN, MILLA</t>
  </si>
  <si>
    <t>Right side shoulder and head</t>
  </si>
  <si>
    <t>T/M  (Milla) working at registers went to collect a CC from behind the counter - wobbled and then fell hitting her shoulder and head and the entry door frame  and then fell into the back once again hitting her head against CC (Extreme coolers)</t>
  </si>
  <si>
    <t>SRG-INJ-1589</t>
  </si>
  <si>
    <t>AU311047</t>
  </si>
  <si>
    <t>LECKIE, JULIAN</t>
  </si>
  <si>
    <t>scrape knees, elbow and hit lip</t>
  </si>
  <si>
    <t>team member was breaking down boxes inside cause it was raining when he walked outside he slipped on a piece of broken pallet and fell flat onto the ground, scraping knees and elbow.</t>
  </si>
  <si>
    <t>SRG-INJ-3555</t>
  </si>
  <si>
    <t>AU336317</t>
  </si>
  <si>
    <t>BILLING, ALAN</t>
  </si>
  <si>
    <t>A073</t>
  </si>
  <si>
    <t>Eastern Creek</t>
  </si>
  <si>
    <t>Left shoulder/upper back</t>
  </si>
  <si>
    <t>Team member Alan Billing was talking to Store manager Trinity Fuller with his back to the gazebo wall, Team member Mitchell Veliscech was removing a 6x3 gazebo from the wall when it tipped and fell onto Alans left shoulder/back.</t>
  </si>
  <si>
    <t>SRG-INJ-2372</t>
  </si>
  <si>
    <t>AU322613</t>
  </si>
  <si>
    <t>PARKER, TRACEY</t>
  </si>
  <si>
    <t>Whist assisting another team member move signage, her foot got hooked on the corner. She tripped and landed on her right knee/thigh</t>
  </si>
  <si>
    <t>SRG-INJ-2354</t>
  </si>
  <si>
    <t>AU322631</t>
  </si>
  <si>
    <t>VELISCECH, MITCHELL</t>
  </si>
  <si>
    <t>Team member was punched on left elbow</t>
  </si>
  <si>
    <t>2 known offenders walked into the store at 13:30, one (red shirt) went to packs and bags then proceeded to TSG with 1 mountain designs expedition 120L wheeled duffle bag and 1 caribee Ranger pack, other (yellow shirt) walked into TSG. from the time 13:31-13:36 both offenders were filling the bags with a range of TSG items. from 13:36 they headed to the back of the store where they both split, red shirt went toward fire exit and yellow shirt towards dock. yellow shirt turned and followed red shirt. both offenders passed one of the team members who tried to say something to them and followed them to the fire exit where he confronted the offender in the yellow shirt who turned around and punched the team member. Red shirt had already left, and the yellow shirt followed. Exited at 13:37.</t>
  </si>
  <si>
    <t>SRG-INJ-2363</t>
  </si>
  <si>
    <t>AU322616</t>
  </si>
  <si>
    <t>SAMMUT, JOANNE</t>
  </si>
  <si>
    <t>Left Wrist</t>
  </si>
  <si>
    <t>Taking boxes into dock stepped back and a piece of plastic wrapped around my foot causing me to fall backwards. I landed heavily on my left hand as I tried to stop myself.</t>
  </si>
  <si>
    <t>SRG-INJ-2622</t>
  </si>
  <si>
    <t>AU203847</t>
  </si>
  <si>
    <t>LYELL, SONIA</t>
  </si>
  <si>
    <t>A074</t>
  </si>
  <si>
    <t>Mildura</t>
  </si>
  <si>
    <t>left lower leg. laceration around 8cm long</t>
  </si>
  <si>
    <t>was putting a metal rusty stillage into skip and scraped my leg on the side which caused a laceration about 8cm long on my left lower leg</t>
  </si>
  <si>
    <t>SRG-INJ-2229</t>
  </si>
  <si>
    <t>AU313017</t>
  </si>
  <si>
    <t>MCGLASHAN, KAID</t>
  </si>
  <si>
    <t>Right Inner Knee</t>
  </si>
  <si>
    <t>Kaid was taking boxes out of a ply wood pallet with side walls that we had received earlier that day. Unknown to Kaid, there were nails hanging out of the side of the pallet, and when he knelt down to pick up a box, one of the nails went 10mm deep into his knee. The wound consistently bled since, not properly clotting.</t>
  </si>
  <si>
    <t>SRG-INJ-2187</t>
  </si>
  <si>
    <t>AU325309</t>
  </si>
  <si>
    <t>AYSON, ANTONIO</t>
  </si>
  <si>
    <t>Anton was working stock and then he sat down to be out of the way while I brought the stock in. As walking in I told him I was going to put a pallet above where he is so he will have to move in a second which he may of misheard to having to move right now and jumped up to get out of the way which lead to him jumping into the orange beam holding stock above him with a fair amount of force. He instantly fell back down in shock and pain and didn't know what to do and now can't remember what occurred after the events</t>
  </si>
  <si>
    <t>SRG-INJ-2158</t>
  </si>
  <si>
    <t>AU317048</t>
  </si>
  <si>
    <t>LAMBERT, ALEXIS</t>
  </si>
  <si>
    <t>Lex was wrapping an order with the black shrink wrap and the black wrap come apart and the brand new full sized roll dropped on her left foot (roughly 6 kg) . It then to bounce and drop back on her left foot again.</t>
  </si>
  <si>
    <t>SRG-INJ-2013</t>
  </si>
  <si>
    <t>AU313007</t>
  </si>
  <si>
    <t>PEIRCE, TREY</t>
  </si>
  <si>
    <t>left side of neck bruising</t>
  </si>
  <si>
    <t>Trey was pulling the pallet out, and as he was reaching the carparks the rooftop tent (Nomad 130cm Rooftop Tent) fell on him hitting him in the left side of his neck</t>
  </si>
  <si>
    <t>SRG-INJ-1785</t>
  </si>
  <si>
    <t>back of the head</t>
  </si>
  <si>
    <t>Alexis was crouching down to show a customer one of the toilets they were looking at and lost balance and fell backwards hitting the back of her head on the edge of the fridge bench cabinet</t>
  </si>
  <si>
    <t>SRG-INJ-3469</t>
  </si>
  <si>
    <t>60428939 00</t>
  </si>
  <si>
    <t>AU335600</t>
  </si>
  <si>
    <t>BUSH, EBONY</t>
  </si>
  <si>
    <t>A075</t>
  </si>
  <si>
    <t>Munno Para</t>
  </si>
  <si>
    <t>Unfair dismissal and unfair treatment</t>
  </si>
  <si>
    <t>Acute stress reaction, adjustment disorder &amp; anxious moods</t>
  </si>
  <si>
    <t>SRG-INJ-3304</t>
  </si>
  <si>
    <t>AU336368</t>
  </si>
  <si>
    <t>MCHALE, JAKOB</t>
  </si>
  <si>
    <t>Cut to finger tip on right hand index finger</t>
  </si>
  <si>
    <t>Jakob was destroying a faulty breathe free mask to dispose of. Was using a knife to cut the strap when he cut the tip of his  finger. First aid was applied and jakob was advised stitches may be required. He attended Elizabeth Medical Clinic and as suspected he received stiches.</t>
  </si>
  <si>
    <t>SRG-INJ-2414</t>
  </si>
  <si>
    <t>AU310112</t>
  </si>
  <si>
    <t>ESPOSITO, ANN MARIE</t>
  </si>
  <si>
    <t>Item struck the outside behing the big toe on right foot</t>
  </si>
  <si>
    <t>Anni picking up Awning EnSite vertically cardboard box came open below product slipped down striking Annies foot, Annie has sustained bruising and was unable to walk</t>
  </si>
  <si>
    <t>SRG-INJ-2020</t>
  </si>
  <si>
    <t>AU316945</t>
  </si>
  <si>
    <t>NUGENT, TALIA</t>
  </si>
  <si>
    <t>bruising and some broken skin sustained to two middle fingers on right hand</t>
  </si>
  <si>
    <t>Talia was pulling a loaded flat top trolley with Brett back down the racetrack to take out the back, as she passed one of the glass cabinets she got too close and jammed her fingers in-between the trolley and the cabinet.</t>
  </si>
  <si>
    <t>SRG-INJ-1970</t>
  </si>
  <si>
    <t>AU316938</t>
  </si>
  <si>
    <t>MURPHY, BEN</t>
  </si>
  <si>
    <t>Muscular stress and pain - Knee</t>
  </si>
  <si>
    <t>Team member carrying box,walking through closed large heavy plastic doors that le4ad to storeroom, team member moved and slightly twisted his way through and lost his coordination and felt a popping sensation in his right knee, claims his knee was sore for a few days, better now no pain but a little stiff</t>
  </si>
  <si>
    <t>SRG-INJ-1904</t>
  </si>
  <si>
    <t>57196135/00</t>
  </si>
  <si>
    <t>AU324341</t>
  </si>
  <si>
    <t>PHIPPS, ADAM</t>
  </si>
  <si>
    <t>R Shoulder pain. mild bursitis. bicep tendon inflammation and pulley injury</t>
  </si>
  <si>
    <t>Adam was putting over stocks out the back after filling on the shop floor. He picked up a box (roughly 5kgs) and went to put it in the racking, as he was doing this he felt something give out in his shoulder and was in pain. He described the pain as being a shooting in his shoulder with aching in his forearm to fingers. We applied an ice pack which slightly helped the pain and his arm was put in a sling to assist with not moving it as much as possible as that caused more pain. Adam has had some issues with this shoulder from a previous incident that happened at work around 2 months ago where he walked/turned around into a prong stabbing him in the same shoulder. A recent scan has shown that the tendon has some damage, it is believed that this is the cause of this current injury. As we were unable to get into a GP on the Sunday of the incident his partner picked him up from work and took him to hospital hoping to get some more scans done. They were unable to assist with this at the time and was referred back to his GP which he will be seeing Tuesday 17th as this was as soon as they could get him in.</t>
  </si>
  <si>
    <t>SRG-INJ-2000</t>
  </si>
  <si>
    <t>Injury to front of right shoulder upon impact on prong</t>
  </si>
  <si>
    <t>Adam was walking down footwear aisle, went to walk behind a customer and customer stepped back causing Adam to trip and in the process fall into the bay and hit his shoulder on a metal prong. Adam reported to Annie and Sam immediately after the incident.</t>
  </si>
  <si>
    <t>SRG-INJ-3541</t>
  </si>
  <si>
    <t>S24LR236041</t>
  </si>
  <si>
    <t>AU333857</t>
  </si>
  <si>
    <t>BROWN, LUKE</t>
  </si>
  <si>
    <t>A076</t>
  </si>
  <si>
    <t>Smithfield</t>
  </si>
  <si>
    <t>Big toe left foot</t>
  </si>
  <si>
    <t>Whilst trying to fold / destroy faulty gazebo frame Luke slipped backwards landing on his left foot, hurting his big toe on his left foot. Luke's injury is only minor at this stage and will be monitored accordingly.</t>
  </si>
  <si>
    <t>SRG-INJ-2881</t>
  </si>
  <si>
    <t>AU327229</t>
  </si>
  <si>
    <t>HIPGRAVE, CHARLIE</t>
  </si>
  <si>
    <t>Head butting the Wave with the bridge of his nose.</t>
  </si>
  <si>
    <t>standing on the wave attempting to straighten the ends of the signage bar the bar slipped and Charlie's head hit the wave, head butting the wave connecting with the bridge of his nose.</t>
  </si>
  <si>
    <t>SRG-INJ-2843</t>
  </si>
  <si>
    <t>S24SB159378</t>
  </si>
  <si>
    <t>Back has pinched and now has pain</t>
  </si>
  <si>
    <t>while packing ecomms Luke removed a hanger from a pair of pants and stretched the waist band, while doing this he felt his back pinch.</t>
  </si>
  <si>
    <t>SRG-INJ-2689</t>
  </si>
  <si>
    <t>AU332196</t>
  </si>
  <si>
    <t>GRIFFITHS, KAYNE</t>
  </si>
  <si>
    <t>sign post fell and made contact with the back of the head</t>
  </si>
  <si>
    <t>2 x team members were moving a stack of fire pits and one decided he would spin around and knocked one of the ticket posts over and it fell onto the back of the team members head</t>
  </si>
  <si>
    <t>SRG-INJ-2610</t>
  </si>
  <si>
    <t>S23BQ129953</t>
  </si>
  <si>
    <t>Luke was breaking down pallets and felt his back twinge when he was lifting the collapsible fire pit..</t>
  </si>
  <si>
    <t>SRG-INJ-2095</t>
  </si>
  <si>
    <t>AU317034</t>
  </si>
  <si>
    <t>READER, ADAM</t>
  </si>
  <si>
    <t>hurt wrist while folding stillage</t>
  </si>
  <si>
    <t>Hurt wrist while folding stillage.</t>
  </si>
  <si>
    <t>SRG-INJ-2001</t>
  </si>
  <si>
    <t>AU317751</t>
  </si>
  <si>
    <t>MORTLEY, EMILY</t>
  </si>
  <si>
    <t>Team member was stepping down a ladder and felt her back pinch and now has pain.</t>
  </si>
  <si>
    <t>SRG-INJ-2481</t>
  </si>
  <si>
    <t>AU227125</t>
  </si>
  <si>
    <t>REDDIN, FRANCESCA</t>
  </si>
  <si>
    <t>A077</t>
  </si>
  <si>
    <t>Albany</t>
  </si>
  <si>
    <t>back of Head</t>
  </si>
  <si>
    <t>Team members Fran  was relocating a kayak ( mako) they were trying to stand it up as opposed to lying flat, when this was done the seat fell out and hit her on the back of the head.</t>
  </si>
  <si>
    <t>SRG-INJ-2022</t>
  </si>
  <si>
    <t>Grazed Nose</t>
  </si>
  <si>
    <t>Fran was pulling box off 2nd shelf a loose item on top of the box fell off and hit Fran on the nose.</t>
  </si>
  <si>
    <t>SRG-INJ-1793</t>
  </si>
  <si>
    <t>Bruised finger possible fracture.</t>
  </si>
  <si>
    <t>Our team member Fran Reddin was at services assisting with a return item (torch) the item slipped out of Frans hand as she went to catch it, there was a fumble and fran's hand was smacked with the torch her ring finger on her left hand it has immediately  started bruising (she is icing it)</t>
  </si>
  <si>
    <t>SRG-INJ-2236</t>
  </si>
  <si>
    <t>AU326260</t>
  </si>
  <si>
    <t>SKINNER, ADAM</t>
  </si>
  <si>
    <t>A079</t>
  </si>
  <si>
    <t>Cleveland</t>
  </si>
  <si>
    <t>RH Index finger, laceration</t>
  </si>
  <si>
    <t>I was loading boxes of product onto the racking when my hand slipped while shifting them, and I back handed the raw edge of the racking (Vertical beam), and sliced my finger, a lot of bleeding ensued.</t>
  </si>
  <si>
    <t>SRG-INJ-2512</t>
  </si>
  <si>
    <t>AU319423</t>
  </si>
  <si>
    <t>WOODBERRY, ALYSSA</t>
  </si>
  <si>
    <t>A080</t>
  </si>
  <si>
    <t>Glenorchy</t>
  </si>
  <si>
    <t>fell and winded herself, hurt her hand and abdomen.</t>
  </si>
  <si>
    <t>pulling pallet inside and slipped foward.</t>
  </si>
  <si>
    <t>SRG-INJ-2986</t>
  </si>
  <si>
    <t>AU322028</t>
  </si>
  <si>
    <t>EGAN, RONALD</t>
  </si>
  <si>
    <t>A081</t>
  </si>
  <si>
    <t>Busselton</t>
  </si>
  <si>
    <t>left leg bruising and back ache</t>
  </si>
  <si>
    <t>Team member Ron Tripped and fell over clear spooling machine cover that had been placed on the ground by a junior team member without his knowledge. he has sustained bruising to is left shin and has a sore back as a result of the fall.</t>
  </si>
  <si>
    <t>SRG-INJ-3438</t>
  </si>
  <si>
    <t>AU327277</t>
  </si>
  <si>
    <t>DAVIS, MONIQUE</t>
  </si>
  <si>
    <t>leg bruising</t>
  </si>
  <si>
    <t>Roll rack fell onto Monique's leg when she tried to move it aside, wheel was buckled and caused the roll rack to tip over. Karri saw the roll rack tip over from the office cctv footage and came out to assist Monique. They both off loaded the roll rack clothing to try get the roll rack up off the ground as it was too heavy to lift while full of stock. roll rack was then disassembled and disposed of due to the buckled wheel. Team member Monique has reported soreness in her knee from the roll rack falling on her but at this point has chosen to continue work.</t>
  </si>
  <si>
    <t>SRG-INJ-2345</t>
  </si>
  <si>
    <t>right ankle swelling</t>
  </si>
  <si>
    <t>team member Ron rolled ankle whilst walking past fishing desk. noticed swelling and tenderness up leg. was offered ice pack and opportunity to sit down and elevate ankle. opted to go hope and rest.</t>
  </si>
  <si>
    <t>SRG-INJ-2488</t>
  </si>
  <si>
    <t>AU321195</t>
  </si>
  <si>
    <t>SPURGEON, DIETER</t>
  </si>
  <si>
    <t>Scratchy, tight throat &amp; chest</t>
  </si>
  <si>
    <t>Team members smell smoke at approximately 3.30pm after a brief check of the external premises it appeared to be coming from somewhere else (no visible smoke and only feint smell) . at 3.50pm dieter steps outside of dispatch noticing the smell has gotten stronger. he spots the smoke bellowing from behind the bin and heads for a fire extinguisher while Daniel alerts management to the fire via headset. Dieter then heads to the fire and discharges the first fire extinguisher onto the engulfed pallet. Management heads over to assist and assess the situation. The fire extinguisher quickly runs out so a second extinguisher is fetched and discharged onto the blaze. this results in a cloud of thick smoke and the blaze being extinguished. Dieter is directed inside to rest and drink water due to a sore throat. management then asks dieter if he would like to be assessed at hospital for smoke inhalation, Dieter agrees. Neil douses the bunt area and surrounding pallets with water and checks for spot fires or smoldering wood.  at present management and dieter are at hospital awaiting a doctor. and cctv is being reviewed</t>
  </si>
  <si>
    <t>Other respiratory conditions due to substances</t>
  </si>
  <si>
    <t>SRG-INJ-2130</t>
  </si>
  <si>
    <t>right ankle on outside</t>
  </si>
  <si>
    <t>team member was attempting to access a gazebo deep in the bay. team member stepped inside of storage area and began to pull gazebo out from the back of the bay. the gazebo got caught on a bolt sticking out of the floor and tipped over trapping team members foot underneath between the front bar of the bay and gazebo. team member called for assistance. camp and hike supervisor helped lift the gazebo off the team members foot. foot doesn't appear to be permanently injured but is sore and possibly bruised.</t>
  </si>
  <si>
    <t>SRG-INJ-2003</t>
  </si>
  <si>
    <t>right pinky finger caught in fishing nets</t>
  </si>
  <si>
    <t>team member got right pinky finger caught in fishing nets when filling shelf with stock. team member appears to have dislocated finger. team member came to team leader to report the injury. they were then asked if they wanted to go to hospital or administer ice to the injury. team member elected to drive himself to the hospital</t>
  </si>
  <si>
    <t>SRG-INJ-1736</t>
  </si>
  <si>
    <t>AU321164</t>
  </si>
  <si>
    <t>DOBSON, EMILY</t>
  </si>
  <si>
    <t>pinky finger on my rite hand got pinched in-between roll rack</t>
  </si>
  <si>
    <t>I was lowering a roll rack down and got my finger pinched in-between the support bar and hanging rack causing a chunk of skin to be taken off and my finger to bleed.</t>
  </si>
  <si>
    <t>SRG-INJ-2445</t>
  </si>
  <si>
    <t>AU331677</t>
  </si>
  <si>
    <t>BUSSON, SEAN</t>
  </si>
  <si>
    <t>A082</t>
  </si>
  <si>
    <t>Dubbo</t>
  </si>
  <si>
    <t>Lower right of Back</t>
  </si>
  <si>
    <t>Sean was putting A4 tickets in the holders at approx 3;15pm . When he had completed that he turned around and tripped on a display high chair that was situated on the floor in front of Eco Bin. Sean said it was situated a bit off to the side. Sean tripped over this and has felt some pain in his lower right back. He has taken 2 Nurofen and has applied a cold pack to the area.</t>
  </si>
  <si>
    <t>SRG-INJ-2559</t>
  </si>
  <si>
    <t>AU330078</t>
  </si>
  <si>
    <t>KALKHOVEN, Elizabeth</t>
  </si>
  <si>
    <t>Splinter from the wooden box</t>
  </si>
  <si>
    <t>Liz was assisting us in setting up the store she was merchandising the campfire cast iron cooking sets when she got a splinter in her finger from the wooden crate.</t>
  </si>
  <si>
    <t>SRG-INJ-2786</t>
  </si>
  <si>
    <t>AU331727</t>
  </si>
  <si>
    <t>SHEAN, TAHLIA</t>
  </si>
  <si>
    <t>A085</t>
  </si>
  <si>
    <t>Palmerston</t>
  </si>
  <si>
    <t>ears ringing and head ache</t>
  </si>
  <si>
    <t>Team member was filling gas bottle and said the high pitch noise has left a ringing sound in her left ear</t>
  </si>
  <si>
    <t>Exposure to single, sudden sound</t>
  </si>
  <si>
    <t>SRG-INJ-2612</t>
  </si>
  <si>
    <t>AU309603</t>
  </si>
  <si>
    <t>TYERS, CHRISTOPHER</t>
  </si>
  <si>
    <t>Hit in the stomach</t>
  </si>
  <si>
    <t>Four male youths entered the store as put objects down their clothes then went into packs and bags noticed one of the youths put a backpack drinker on his back he said it was his, we asked him to remove it and leave the store. Offensive language was used towards us, I was hit in the stomach with a box he also shaped up and threatened to hit me he also punched a display board out the front before leaving.</t>
  </si>
  <si>
    <t>SRG-INJ-3235</t>
  </si>
  <si>
    <t>AU328041</t>
  </si>
  <si>
    <t>POND, BELLA ROSE</t>
  </si>
  <si>
    <t>A086</t>
  </si>
  <si>
    <t>Nowra</t>
  </si>
  <si>
    <t>Pain in Left hand fingers</t>
  </si>
  <si>
    <t>Customer lifting a Sup onto the counter and lost their grip resulting with the Sup landing on a Team members left hand</t>
  </si>
  <si>
    <t>SRG-INJ-3221</t>
  </si>
  <si>
    <t>AU335982</t>
  </si>
  <si>
    <t>CLAMBACK, MARLEY</t>
  </si>
  <si>
    <t>had some pain on impact</t>
  </si>
  <si>
    <t>Hunter was bringing up a click and collect and accidentally dropped a 20L ice box on Marley's forearm, followed by quite a lot of pain in Marley's arm, resulting in her telling a manager.</t>
  </si>
  <si>
    <t>SRG-INJ-1940</t>
  </si>
  <si>
    <t>AU328030</t>
  </si>
  <si>
    <t>MISON, JADE</t>
  </si>
  <si>
    <t>Small graze on right hand</t>
  </si>
  <si>
    <t>While completing a task of placing a wooden display cabinet onto a pallet for dispatch Jade knocked his right hand on a wooden pallet.</t>
  </si>
  <si>
    <t>SRG-INJ-1944</t>
  </si>
  <si>
    <t>AU328423</t>
  </si>
  <si>
    <t>TAYLOR, TANAYA</t>
  </si>
  <si>
    <t>Briusing to Right elbow</t>
  </si>
  <si>
    <t>Team member placing rubbish into the Skip bin and knocked elbow on the top edge of the skip bin</t>
  </si>
  <si>
    <t>SRG-INJ-1730</t>
  </si>
  <si>
    <t>AU328050</t>
  </si>
  <si>
    <t>BUTTON, CHARMAINE</t>
  </si>
  <si>
    <t>TM was adjusting height of U bar on PFD wall, the U bar has not fallen into the mesh correctly and has impacted the TM left wrist</t>
  </si>
  <si>
    <t>SRG-INJ-1591</t>
  </si>
  <si>
    <t>AU328026</t>
  </si>
  <si>
    <t>LONGLAND, DENISE</t>
  </si>
  <si>
    <t>Right hand back side/knuckles of ring and pinky finger</t>
  </si>
  <si>
    <t>Moving the MD four way from external dock to shop floor. As team member was bringing over, bracket dislodged, and hit back of the hand/knuckle causing bruising and abrasion</t>
  </si>
  <si>
    <t>SRG-INJ-2093</t>
  </si>
  <si>
    <t>AU331444</t>
  </si>
  <si>
    <t>ZERNER, KMALA</t>
  </si>
  <si>
    <t>A087</t>
  </si>
  <si>
    <t>Team member has huge pain in chest and arm</t>
  </si>
  <si>
    <t>Team member went to get a click and collect and then all of a sudden had massive chest pain and hunched over onto the floor. A fellow team member was in the area and assisted immediately. Team member then called out on the headset to myself and called an ambulance. Team member passed out a number of times in between massive chest pain while we waited for the ambulance to arrive. Team member was then sent to hospital in an ambulance.</t>
  </si>
  <si>
    <t>SRG-INJ-3587</t>
  </si>
  <si>
    <t>AU336969</t>
  </si>
  <si>
    <t>RAWSON, JOSHUA</t>
  </si>
  <si>
    <t>A089</t>
  </si>
  <si>
    <t>Bundaberg</t>
  </si>
  <si>
    <t>Right shoulder  and pectoral muscle</t>
  </si>
  <si>
    <t>Josh was lifting a fridge onto a pallet and felt a slight strain in his right shoulder at the time when he went to pick one up.  He then came to find assistance to lift the other one but advised he didn't feel like it was to bad at all.  Just precautionary.  It's a bit tender today so the doctor has given him the day off</t>
  </si>
  <si>
    <t>SRG-INJ-3094</t>
  </si>
  <si>
    <t>AU336989</t>
  </si>
  <si>
    <t>MCCORMACK, JESSIE</t>
  </si>
  <si>
    <t>lower back left side</t>
  </si>
  <si>
    <t>Jessie was walking to the TSG section and felt a pain in her lower back on he left side.  It has put her in a bit of discomfort.</t>
  </si>
  <si>
    <t>SRG-INJ-3430</t>
  </si>
  <si>
    <t>FARRAR, CHRISTIE</t>
  </si>
  <si>
    <t>Team member had a small amount of bruising and swelling on her left knee.  Her ankle was okay</t>
  </si>
  <si>
    <t>Christie Farrah  Payroll number: 336964 Christie was unpacking clothing in TSG when she rolled her ankle falling and landing on her knee.  She iced it and was okay after that.</t>
  </si>
  <si>
    <t>SRG-INJ-3077</t>
  </si>
  <si>
    <t>AU329233</t>
  </si>
  <si>
    <t>MCDONALD, TRACY</t>
  </si>
  <si>
    <t>A091</t>
  </si>
  <si>
    <t>Albion Park</t>
  </si>
  <si>
    <t>Middle- lower Back</t>
  </si>
  <si>
    <t xml:space="preserve"> Felt a mild pain in her lower back. She believed that it was simply tightness from lifting boxes of pizza ovens approximately 12kgs on the dock earlier in shift. So she was not to was not too concerned. She only became concerned the next morning when the pin had increased.</t>
  </si>
  <si>
    <t>SRG-INJ-3316</t>
  </si>
  <si>
    <t>AU332217</t>
  </si>
  <si>
    <t>MARTIN, LISA</t>
  </si>
  <si>
    <t>A092</t>
  </si>
  <si>
    <t>neck( front of neck)  and right shoulder</t>
  </si>
  <si>
    <t>A wasp likely climbed into my shirt while I was taking the plastic to the bin. After walking through the dock, it stung my neck and then moved to my shoulder, where I grabbed it. The wasp fell to the ground, and there's no sign of an allergic reaction yet.</t>
  </si>
  <si>
    <t>Being bitten by an animal</t>
  </si>
  <si>
    <t>SRG-INJ-2946</t>
  </si>
  <si>
    <t>AU332193</t>
  </si>
  <si>
    <t>BEST, CHRISTOPHER</t>
  </si>
  <si>
    <t>Cut to thumb</t>
  </si>
  <si>
    <t>Whilst tightening Front Wheel nut with an open ended the spanner slipped and resulted in a cut to the thumb</t>
  </si>
  <si>
    <t>SRG-INJ-2879</t>
  </si>
  <si>
    <t>AU332364</t>
  </si>
  <si>
    <t>MCCLEERY, GREGORY</t>
  </si>
  <si>
    <t>Bottom</t>
  </si>
  <si>
    <t xml:space="preserve">on the step ladder coming down from the 2nd step he has stepped off the side of the ladder and not down the ladder fell onto the ground . Greg was little bit of shock but insisted he was not hurt, Team made sure Greg was ok before he got up. he replied he lost his footing and he was not hurt. </t>
  </si>
  <si>
    <t>SRG-INJ-3400</t>
  </si>
  <si>
    <t>AU336158</t>
  </si>
  <si>
    <t>WOOD, ALEX</t>
  </si>
  <si>
    <t>A094</t>
  </si>
  <si>
    <t>Forrestdale</t>
  </si>
  <si>
    <t>right hand crushed between box and metal shelf</t>
  </si>
  <si>
    <t>Alex was moving boxes of chairs off the pallet in the overs section, the box slipped and the box caught her hand between the box and the metal shelving</t>
  </si>
  <si>
    <t>SRG-INJ-3301</t>
  </si>
  <si>
    <t>AU337718</t>
  </si>
  <si>
    <t>MEAGHER, BENJAMIN</t>
  </si>
  <si>
    <t>Benjamin Meagher got something in left eye</t>
  </si>
  <si>
    <t>Ben M was taking the pallets out ready for the delivery today when a gust of wind below something into left eye</t>
  </si>
  <si>
    <t>SRG-INJ-3067</t>
  </si>
  <si>
    <t>acid from battery on leg/fingers causing redness/warmth</t>
  </si>
  <si>
    <t>moving deep cycle battery forward on stand, felt something on leg and fingers and realized it was acid leaking from battery. came to find team leader straight away, advised what happened was told to wash areas with soap and water as well as new pants given.  incident report done. battery moved and quarantined to prevent further hazards. area on leg red/warm but nothing of concern.</t>
  </si>
  <si>
    <t>SRG-INJ-3388</t>
  </si>
  <si>
    <t>AU222121</t>
  </si>
  <si>
    <t>SINGLETON, MARK</t>
  </si>
  <si>
    <t>A900</t>
  </si>
  <si>
    <t>Anaconda Pty Ltd</t>
  </si>
  <si>
    <t>Customer decided to purchase an 80L dual zone frontier fridge.  I went to go get him a trolley and assist him to put the fridge on the trolley.  we lifted it together off the stack (3 high) and onto the trolley.  I felt pain in my left shoulder right at the point.  it was only when i lifted my arm straight up forward of my body.  i thought it was just a bit sore.  it hasn't got any better overnight so ill go get it checked out</t>
  </si>
  <si>
    <t>SRG-INJ-2245</t>
  </si>
  <si>
    <t>AU236721</t>
  </si>
  <si>
    <t>MUFFET, LILY</t>
  </si>
  <si>
    <t>Chest / Neck - Bruising (from Seat Belt) and Whiplash</t>
  </si>
  <si>
    <t>On the way home from the airport after arriving from Melbourne on the 18.01.24 I was hit by another car who ran a red light, this occurred at 7.20pm (Brisbane time).  Overall I am ok with the only injury being whiplash and bruising from the seatbelt and bruising which occurred from hitting the side of the car.  I have a doctors appointment tomorrow just to see what they recommend as my neck is still quite stiff however the bruising is hurting less.  Also both cars are expected to be write offs according to the insurance and tow companies.</t>
  </si>
  <si>
    <t>Neck and Trunk</t>
  </si>
  <si>
    <t>SRG-INJ-1799</t>
  </si>
  <si>
    <t>AU302625</t>
  </si>
  <si>
    <t>ROBINSON, MARGIE</t>
  </si>
  <si>
    <t>Rolled Left Ankle, resulting in a sprain</t>
  </si>
  <si>
    <t>Margie was on the stage as part of a group presentation, has stepped backward and lost footing on the edge of the stage causing Margie to fall back and roll her left ankle.</t>
  </si>
  <si>
    <t>FFM VIC</t>
  </si>
  <si>
    <t>SRG-INJ-1936</t>
  </si>
  <si>
    <t>AU236173</t>
  </si>
  <si>
    <t>FINCH, ANN</t>
  </si>
  <si>
    <t>F999</t>
  </si>
  <si>
    <t>FFM F&amp;F Management</t>
  </si>
  <si>
    <t>Top of Head</t>
  </si>
  <si>
    <t>Bent down to pick up some flowers that have fallen  and hit head on fridge handle whilst coming up. Top of head.</t>
  </si>
  <si>
    <t>SRG-INJ-3390</t>
  </si>
  <si>
    <t>AU298498</t>
  </si>
  <si>
    <t>HUNT, WENDY</t>
  </si>
  <si>
    <t>SGA VIC</t>
  </si>
  <si>
    <t>H999</t>
  </si>
  <si>
    <t>SG Aviation</t>
  </si>
  <si>
    <t>Head (head ache) Left Wrist soreness</t>
  </si>
  <si>
    <t>Stepped out of the rental car and slipped on ice and fell backwards and hit my head on the concrete. Thankfully I am ok, just a bit sore..</t>
  </si>
  <si>
    <t>SRG-INJ-2787</t>
  </si>
  <si>
    <t>AU238820</t>
  </si>
  <si>
    <t>CUNNEEN, BRIAN</t>
  </si>
  <si>
    <t>Right Shoulder strain</t>
  </si>
  <si>
    <t>walking up the stairs and slipped on the entry stairs to the aircraft. Landed on elbow, but jarred my upper shoulder</t>
  </si>
  <si>
    <t>SRG-INJ-3565</t>
  </si>
  <si>
    <t>AU298295</t>
  </si>
  <si>
    <t>HURD, LES</t>
  </si>
  <si>
    <t>Spotlight VIC</t>
  </si>
  <si>
    <t>S002</t>
  </si>
  <si>
    <t>frame in the box</t>
  </si>
  <si>
    <t>team member was unpacking a pallet, which was packed very unsafely</t>
  </si>
  <si>
    <t>SRG-INJ-3506</t>
  </si>
  <si>
    <t>AU332563</t>
  </si>
  <si>
    <t>COLLIVER, AUSTINN</t>
  </si>
  <si>
    <t>large bump on the forehead, slight graze</t>
  </si>
  <si>
    <t>Austinn was preparing the fitters run, and 2 wooden pelmets which were standing up right, fell on his head causing a large bump on his forehead</t>
  </si>
  <si>
    <t>SRG-INJ-3246</t>
  </si>
  <si>
    <t>AU327628</t>
  </si>
  <si>
    <t>DALY, ANNALEE</t>
  </si>
  <si>
    <t>forehead left side</t>
  </si>
  <si>
    <t>Annalee went to collect a click and collect for a customer and whilst reaching for the click and collect blinds slipped and fell and knocked her on the forehead.</t>
  </si>
  <si>
    <t>SRG-INJ-2964</t>
  </si>
  <si>
    <t>AU211637</t>
  </si>
  <si>
    <t>BEH, SUE</t>
  </si>
  <si>
    <t>photo frame</t>
  </si>
  <si>
    <t>was working stock on bottom of shelf and had a couple frames fall from one of the higher shelves, she has a bump on her head and was feeling dizzy. she was sent home and strongly encouraged to go see a doctor</t>
  </si>
  <si>
    <t>SRG-INJ-2699</t>
  </si>
  <si>
    <t>BUMP AND GRAZE</t>
  </si>
  <si>
    <t>METAL A4 SIGN STAND SITTING ON DINNER SETS IN RACE TRACK FELL AND HIT TEAM MEMBER ON THE HEAD. LEFT BUMP ON FORHEAD (LEFT HAND SIDE) AND SMALL GRAZE</t>
  </si>
  <si>
    <t>SRG-INJ-2164</t>
  </si>
  <si>
    <t>AU201219</t>
  </si>
  <si>
    <t>ARMENIO, MARIA</t>
  </si>
  <si>
    <t>knees</t>
  </si>
  <si>
    <t>Walking from racetrack  and turning into register 1, stepping on to extension wires thus tripping and falling forward, with both hands hanging on counter but landing on knees. Antionetta not watching where she was going and the cleaner was cleaning and didnt even help her after she fell.</t>
  </si>
  <si>
    <t>SRG-INJ-2080</t>
  </si>
  <si>
    <t>AU236740</t>
  </si>
  <si>
    <t>MARSHALL, AMY</t>
  </si>
  <si>
    <t>left leg</t>
  </si>
  <si>
    <t>Amy pushed through 2 cages and bruised her left leg - she is ok</t>
  </si>
  <si>
    <t>SRG-INJ-1605</t>
  </si>
  <si>
    <t>Antionetta was folding towels and a corner of the towel flicked into her eye resulting in a blood vessel blowing up under her eye.</t>
  </si>
  <si>
    <t>SRG-INJ-1599</t>
  </si>
  <si>
    <t>AU232214</t>
  </si>
  <si>
    <t>DIX, SIMONE</t>
  </si>
  <si>
    <t>When the robber broke into the back roller door on the dock Mino and myself ran to the front of the store in a panic to exit the building and in doing so I twisted my left knee.</t>
  </si>
  <si>
    <t>SRG-INJ-3536</t>
  </si>
  <si>
    <t>AU327239</t>
  </si>
  <si>
    <t>ASKER, MILLIE</t>
  </si>
  <si>
    <t>S004</t>
  </si>
  <si>
    <t>Mentone</t>
  </si>
  <si>
    <t>Continuous squatting/crouching whilst putting away haberdashery items, progressively becoming more painful, with slight crunching sensation in right knee.</t>
  </si>
  <si>
    <t>SRG-INJ-3272</t>
  </si>
  <si>
    <t>AU302778</t>
  </si>
  <si>
    <t>MOOK, JESSICA</t>
  </si>
  <si>
    <t>right top of foot</t>
  </si>
  <si>
    <t>while packing ecommerce 240 faux wood venetian was lifted and packaging at bottom was unable to hold weight and blind fell onto foot</t>
  </si>
  <si>
    <t>SRG-INJ-3074</t>
  </si>
  <si>
    <t>AU216170</t>
  </si>
  <si>
    <t>VEALE, WENDY</t>
  </si>
  <si>
    <t>lower back, no hazards identified</t>
  </si>
  <si>
    <t>TEAM MEMBER PUTTING STOCK AWAY IN HABBY, NO HEAVY LIFTING, ONLY SMALL ITEMS RIBBONS AND TRIMS. TEAM MEMBER FELT TWINGE IN BACK AND COULD NOT MOVE AND WAS IN SEVERE PAIN.</t>
  </si>
  <si>
    <t>SRG-INJ-2726</t>
  </si>
  <si>
    <t>Bruising to left hand side thigh</t>
  </si>
  <si>
    <t>Wendy Veale was behind the dress counter and had just finished serving a customer. She turned to walk away but got her foot caught in a cord that was plugged into the computer hard drive underneath the counter. The anti fatigue mat underneath her feet also slipped out from under her as there was quite a lot of fabric debris and fluff underneath it. Zachary Stephens witnessed this and immediately called for help. Maria Kent came on scene and asked Wendy if she had hit her head, to which she said no. Maria asked if she required an ambulance, to which Wendy said no. She then applied a cold pack to Wendy's thigh for 20 minutes. Wendy then stood up without assistance and sat in the tea room for 30 minutes until she decided she would go home as she was quite shaken from the incident and her thigh was hurting. I asked if she was okay to drive and if she felt disoriented or had pain anywhere else and she said she was okay.</t>
  </si>
  <si>
    <t>SRG-INJ-2043</t>
  </si>
  <si>
    <t>AU200791</t>
  </si>
  <si>
    <t>JOHNSON, CARMELINA</t>
  </si>
  <si>
    <t>Walked into red basket, causing team member to fall on ground, landing on right side hip and wrist, as well as scraping right side knee</t>
  </si>
  <si>
    <t>Lina was walking from the front counter to the furnishings counter and her knee knocked the wheely basket on the floor which was behind the fabric trolley on the left-hand side cutting bench. Lina landed on her right hip and right wrist and scraped her right knee. Lina knocked a green basket under the counter containing glass items which shattered all over the floor. No injuries from the glass.</t>
  </si>
  <si>
    <t>SRG-INJ-1853</t>
  </si>
  <si>
    <t>top,of right foot</t>
  </si>
  <si>
    <t>Team member had cut fabric and when she was putting items into customer bag scissors have fallen off the counter onto her foot. Team member name is Carmelina Johnson 200791</t>
  </si>
  <si>
    <t>SRG-INJ-1743</t>
  </si>
  <si>
    <t>AU206972</t>
  </si>
  <si>
    <t>GORODISHTCHER, EVELIN</t>
  </si>
  <si>
    <t>small scratch above right eye</t>
  </si>
  <si>
    <t>staff member was putting rubbish in bins and a piece of cardborad flew up with the wind and scratched above staff members eyebrow</t>
  </si>
  <si>
    <t>SRG-INJ-3589</t>
  </si>
  <si>
    <t>AU306038</t>
  </si>
  <si>
    <t>HENG, ALEXANDRA</t>
  </si>
  <si>
    <t>S005</t>
  </si>
  <si>
    <t>Sandown</t>
  </si>
  <si>
    <t>left wrist strain</t>
  </si>
  <si>
    <t>Working stock and lifting heaving boxes, left wrist sustained some trauma. Repetitive lifting,</t>
  </si>
  <si>
    <t>SRG-INJ-3567</t>
  </si>
  <si>
    <t>AU338955</t>
  </si>
  <si>
    <t>FIDLER, ELIZA JAY</t>
  </si>
  <si>
    <t>backside and hip on left and inside knee.</t>
  </si>
  <si>
    <t>Falling off the last step of the tall ladder, I thought it was the floor but didn't check. Rolled my ankle and feel back into a shelf.</t>
  </si>
  <si>
    <t>SRG-INJ-3439</t>
  </si>
  <si>
    <t>AU232530</t>
  </si>
  <si>
    <t>SONG, MINSOPAAL</t>
  </si>
  <si>
    <t>right leg/knee, Buttocks, Rear Right hand side of body and Head</t>
  </si>
  <si>
    <t>I was called up to Party at around 1230, on the way I had picked up some curtains that were unpacked, as I had walked through the race way and turned left past a mesh table  and had stepped into some human poo and slipped and fell backwards.  I was winded for about 30 seconds and when I had realized there were foot steps of residual pooh on the floor.  A customer had offered some helped and as I was laying on the floor composing myself I was alerted by many costumers saying that some one had been 'sick' up the race way near a dump bin,  As I walked up I had realized that it was a decent sized pooh and it was runny. I managed to limp my way through to our storage cleaners closet to get a mop with disinfectant and clean it all up. As i fell my right leg slipped under me and my knee hit the floor very hard, and the right side of my body including the right backside of my head hit the mesh table. my work pants were covered in pooh.</t>
  </si>
  <si>
    <t>SRG-INJ-3269</t>
  </si>
  <si>
    <t>AU213124</t>
  </si>
  <si>
    <t>PULI, BHAGYA</t>
  </si>
  <si>
    <t>was trying to lift a table tone fabric off the rack to cut for a customer and it slipped out of her hand and she cut her finger on the racking somehow</t>
  </si>
  <si>
    <t>SRG-INJ-3239</t>
  </si>
  <si>
    <t>AU234737</t>
  </si>
  <si>
    <t>KATAKOUZINOS, HARRY</t>
  </si>
  <si>
    <t>lifting boxes from home D to Dress and felt a pull on my lower back</t>
  </si>
  <si>
    <t>SRG-INJ-2396</t>
  </si>
  <si>
    <t>bruising and swelling on the left hand</t>
  </si>
  <si>
    <t>Team member was wheeling down a cage of stock to be worked but also banged their hand on a display shelf during the process</t>
  </si>
  <si>
    <t>SRG-INJ-2292</t>
  </si>
  <si>
    <t>Arm (both) / Hand (both) - Pain and cramping</t>
  </si>
  <si>
    <t>Staff member was relocating shelving and stock (approx. 6 shelves). They removed the initial stock from the shelves, relocated the shelving and then restocked the shelves. During this time the staff member started feeling sharp pain and cramping through out both arms and hands.</t>
  </si>
  <si>
    <t>SRG-INJ-2247</t>
  </si>
  <si>
    <t>AU320134</t>
  </si>
  <si>
    <t>GRAHAM, BETHANY</t>
  </si>
  <si>
    <t>While completing a bag check on suspected/confirmed shoplifters, Beth's arm/shoulder was pulled at an awkward angle as a customer in a mobility scooter (male) tried to drive away while she was retrieving stolen stock. An accomplice (female) was pushing a shopping bag down on the arm to prevent staff from pulling out the stolen stock.</t>
  </si>
  <si>
    <t>SRG-INJ-2195</t>
  </si>
  <si>
    <t>AU320279</t>
  </si>
  <si>
    <t>DOE, DIANE</t>
  </si>
  <si>
    <t>right hip</t>
  </si>
  <si>
    <t>hit right hip with keyboard tray</t>
  </si>
  <si>
    <t>SRG-INJ-2124</t>
  </si>
  <si>
    <t>bumped knee on the right hand side</t>
  </si>
  <si>
    <t>SRG-INJ-2107</t>
  </si>
  <si>
    <t>Pain and bruising on right lower shin</t>
  </si>
  <si>
    <t>I was coming back behind the registers and my feet and legs were trapped and tripped against a red shopping basket</t>
  </si>
  <si>
    <t>SRG-INJ-2090</t>
  </si>
  <si>
    <t>left foot bruising of the mucle on the top of foot</t>
  </si>
  <si>
    <t>was pushing a trolley out the way of another trolley and the stock dropped off the trolley and fell on to her foot.</t>
  </si>
  <si>
    <t>SRG-INJ-1897</t>
  </si>
  <si>
    <t>AU230554</t>
  </si>
  <si>
    <t>TRENERRY, BROOKE</t>
  </si>
  <si>
    <t>i was pulling a cage behind me and i turned around to see whats behind me and i saw a customer in a motorized scooter so i thought i would move out of their way and as i turned to see them i pulled the cage to far to the right hand side and my hand got jammed in between the fixture and the cage.</t>
  </si>
  <si>
    <t>SRG-INJ-1671</t>
  </si>
  <si>
    <t>AU317826</t>
  </si>
  <si>
    <t>KENDIRJIAN, SARA</t>
  </si>
  <si>
    <t>bruising on both knees</t>
  </si>
  <si>
    <t>Sara tripped up the stairs and bruised her knees</t>
  </si>
  <si>
    <t>SRG-INJ-3487</t>
  </si>
  <si>
    <t>AU209753</t>
  </si>
  <si>
    <t>VAN HEES, ANN-MAREE</t>
  </si>
  <si>
    <t>S006</t>
  </si>
  <si>
    <t>hurting in Rib area on left side</t>
  </si>
  <si>
    <t>tm got up from the office chair when taking a phone call to look for stock. walked straight into office door lock at full force. knocked the air out of her lungs and was not able to breathe for a few seconds. has searing pain in left rib cage</t>
  </si>
  <si>
    <t>SRG-INJ-3385</t>
  </si>
  <si>
    <t>AU210363</t>
  </si>
  <si>
    <t>RICKARDS, BRONWYN</t>
  </si>
  <si>
    <t>fell down 2-3 stairs, fell onto left knee. left knee swollen and bruised.</t>
  </si>
  <si>
    <t>Walking down the tea room stairs and missed a step which resulted in falling down 2-3 stairs, landing on left knee. First aid was applied, ice pack and elevation of the leg.</t>
  </si>
  <si>
    <t>SRG-INJ-3030</t>
  </si>
  <si>
    <t>AU298458</t>
  </si>
  <si>
    <t>FERRY, SUSAN</t>
  </si>
  <si>
    <t>Right forearm with severe bruising after baby trolley seat fell onto arm</t>
  </si>
  <si>
    <t>Sue was filling trolley bay with Trolleys and noticed the Bay Trolley Seat was up. On putting the seat down this banged onto the front of Her right arm causing instant bruising</t>
  </si>
  <si>
    <t>SRG-INJ-2826</t>
  </si>
  <si>
    <t>AU307487</t>
  </si>
  <si>
    <t>RANTALL, TRUDY</t>
  </si>
  <si>
    <t>fractured greater tubercle L prox humerus</t>
  </si>
  <si>
    <t>Team member slipped on a plastic component of merchandise hooks.  fell from standing height onto concrete shop floor.</t>
  </si>
  <si>
    <t>SRG-INJ-2594</t>
  </si>
  <si>
    <t>AU319677</t>
  </si>
  <si>
    <t>LUDINIC, TANIA</t>
  </si>
  <si>
    <t>Box fell hitting Tania on the Head causing damages to Reading Glasses. There was no Injury reported to the Body.</t>
  </si>
  <si>
    <t>Team Member refilling Manchester Stock from Despatch where a Box fell on Head causing damage to Reading Glasses</t>
  </si>
  <si>
    <t>SRG-INJ-2399</t>
  </si>
  <si>
    <t>AU329076</t>
  </si>
  <si>
    <t>HOPE, LUCY</t>
  </si>
  <si>
    <t>Jammed Back of Left Hand on left side underneath Little Finger causing Redness/soreness</t>
  </si>
  <si>
    <t>Team Member was bringing empty cage from shop floor into Despatch where she bumped her hand on another cage at the Doorway</t>
  </si>
  <si>
    <t>SRG-INJ-1905</t>
  </si>
  <si>
    <t>AU318126</t>
  </si>
  <si>
    <t>EVANS, JUDITH</t>
  </si>
  <si>
    <t>little finger on Right Hand bent Back</t>
  </si>
  <si>
    <t>Team Member was moving a trolley to access excess stock in despatch where she caught her little finger on an Eco Bin which bent right back causing immediate pain</t>
  </si>
  <si>
    <t>SRG-INJ-1825</t>
  </si>
  <si>
    <t>little finger</t>
  </si>
  <si>
    <t>Jude was moving cages and hit her hand on a pallet</t>
  </si>
  <si>
    <t>SRG-INJ-1732</t>
  </si>
  <si>
    <t>AU325233</t>
  </si>
  <si>
    <t>VAN DER POL, HAISHA</t>
  </si>
  <si>
    <t>mouth</t>
  </si>
  <si>
    <t>wrapping remnants up, ripped the cling wrap and have hit myself in the mouth which has led to a chipped tooth and bloody lip.</t>
  </si>
  <si>
    <t>SRG-INJ-3413</t>
  </si>
  <si>
    <t>AU335472</t>
  </si>
  <si>
    <t>RIZZO, PETER</t>
  </si>
  <si>
    <t>S008</t>
  </si>
  <si>
    <t>Essendon</t>
  </si>
  <si>
    <t>left hand ponter finger laceration</t>
  </si>
  <si>
    <t>Team member was splitting the load and has sliced his finger, first aid was administered by Sandy and team member was sent home with advisement to go to a Dr due to the amount of blood and potentially requiring stitches or glue.</t>
  </si>
  <si>
    <t>SRG-INJ-3318</t>
  </si>
  <si>
    <t>AU237729</t>
  </si>
  <si>
    <t>GUEST, KARISSA</t>
  </si>
  <si>
    <t>Bruised Right Foot</t>
  </si>
  <si>
    <t>Wooden pallet, dropped on team member foot.</t>
  </si>
  <si>
    <t>SRG-INJ-2672</t>
  </si>
  <si>
    <t>AU319981</t>
  </si>
  <si>
    <t>WILLIAMSON, LISA</t>
  </si>
  <si>
    <t>As she was trying to retrieve a cafe blind one of the stabiliser bars  fell and hit her right hand</t>
  </si>
  <si>
    <t>SRG-INJ-2279</t>
  </si>
  <si>
    <t>right hand ring finger laceration</t>
  </si>
  <si>
    <t>Lisa was packing a ecom order and she hit her right hand on to the tape dispenser causing it to cut her ring finger. there was a laceration to her right ring finger.</t>
  </si>
  <si>
    <t>SRG-INJ-1967</t>
  </si>
  <si>
    <t>AU298942</t>
  </si>
  <si>
    <t>DEWA, STEPHANIE</t>
  </si>
  <si>
    <t>Pallet jack ran over foot w/stock, stock fell off pallet stephanie was pulling pallet to inside dispatch. bruised foot, toes swelled</t>
  </si>
  <si>
    <t>SRG-INJ-1664</t>
  </si>
  <si>
    <t>AU327347</t>
  </si>
  <si>
    <t>ROGERS, KAITLYN</t>
  </si>
  <si>
    <t>hit ribs on euro bin corner</t>
  </si>
  <si>
    <t>Team member Kaitlyn Rogers whilst leaning into euro bin side panel she hit the right side of her ribs "really hard".</t>
  </si>
  <si>
    <t>SRG-INJ-2475</t>
  </si>
  <si>
    <t>AU305852</t>
  </si>
  <si>
    <t>MASSOURIDIS, OLGA</t>
  </si>
  <si>
    <t>S010</t>
  </si>
  <si>
    <t>Jarred left knee and bruising to left arm</t>
  </si>
  <si>
    <t>Olga had a trip behind the counter, her left foot seem to plant at an angle (maybe due to corner of anti fatigue mat) and she took a tumble to the floor knocking her left arm on back counter in the process</t>
  </si>
  <si>
    <t>SRG-INJ-3461</t>
  </si>
  <si>
    <t>AU215797</t>
  </si>
  <si>
    <t>SULA, NADIA</t>
  </si>
  <si>
    <t>Bruised knee and wrist</t>
  </si>
  <si>
    <t>i tripped up the steps between dress and furn. hit my right knee on the edge of the top step and landed on my left wrist.</t>
  </si>
  <si>
    <t>SRG-INJ-1895</t>
  </si>
  <si>
    <t>AU317689</t>
  </si>
  <si>
    <t>TRIFFLE, SCOTT</t>
  </si>
  <si>
    <t>Bruise on right ring finger</t>
  </si>
  <si>
    <t>I was putting stock into a promotional end and was trying to fit a support bar in. The bottom corner of this end has been hit by something and is buckled, so it the bar was not going in easily. The sign from the top of the end fell and landed on my right ring finger.</t>
  </si>
  <si>
    <t>SRG-INJ-1570</t>
  </si>
  <si>
    <t>AU309563</t>
  </si>
  <si>
    <t>DAVIES, JOEL</t>
  </si>
  <si>
    <t>lower back and left wrist</t>
  </si>
  <si>
    <t>A customer had asked for some help getting cushions down from a high shelf, stepping off the ladder, Joel has missed the last step. falling backwards, landing on lower back and hitting his left wrist on the floor.</t>
  </si>
  <si>
    <t>SRG-INJ-3596</t>
  </si>
  <si>
    <t>AU335836</t>
  </si>
  <si>
    <t>HUNTER, BONNIE</t>
  </si>
  <si>
    <t>Spotlight TAS</t>
  </si>
  <si>
    <t>S011</t>
  </si>
  <si>
    <t>Cut to left pinkie finger</t>
  </si>
  <si>
    <t>Bonnie Hunter was trimming the ribbon and the weight of the bouquet fell off the counter. Bonnie went to catch the weight and had scissors in her hand and the scissors cut her  left pinkie finger</t>
  </si>
  <si>
    <t>Scissors</t>
  </si>
  <si>
    <t>SRG-INJ-3578</t>
  </si>
  <si>
    <t>AU328465</t>
  </si>
  <si>
    <t>RODDA, DENIRA</t>
  </si>
  <si>
    <t>Thumb on left hand</t>
  </si>
  <si>
    <t>Cutting a box in half and saftey knife slipped. Basic first aid/bandage applied no further action</t>
  </si>
  <si>
    <t>SRG-INJ-3561</t>
  </si>
  <si>
    <t>G750836E</t>
  </si>
  <si>
    <t>AU307304</t>
  </si>
  <si>
    <t>POLLINGTON, LUCAS</t>
  </si>
  <si>
    <t>Upper left shoulder</t>
  </si>
  <si>
    <t>Lucas strained his left shoulder while reaching over trolleys inside the shipping container to retrieve a box stacked high. He experienced sharp, ongoing pain, especially when pushing down with his arm.</t>
  </si>
  <si>
    <t>SRG-INJ-3399</t>
  </si>
  <si>
    <t>AU334207</t>
  </si>
  <si>
    <t>BROAD, LANI</t>
  </si>
  <si>
    <t>Inner forearm/elbow</t>
  </si>
  <si>
    <t>Team member was holding a balloon and has popped in their arm causing a red raised surface mark on the inner forearm/elbow causing burning sensation. Ice pack was applied and team member has been told to monitor and report any other symptoms.</t>
  </si>
  <si>
    <t>SRG-INJ-2671</t>
  </si>
  <si>
    <t>AU235096</t>
  </si>
  <si>
    <t>LEPPARD, FRANCINE</t>
  </si>
  <si>
    <t>Fran was sitting printing at the dispatch desk and she felt something in  her eye.  Fran rubbed her  eye and it went very red in color and started to water.  When she looked to the left it grabbed and hurt like there was something in there scratching on the eyeball.  Kristy attended to Fran and helped put saline in her eye to try and help clear it out, but she had no sucess.  It was decided to take Fran to the Emergency Department to have it properly examined.</t>
  </si>
  <si>
    <t>SRG-INJ-2449</t>
  </si>
  <si>
    <t>AU320291</t>
  </si>
  <si>
    <t>HARBOTTLE, SARAH</t>
  </si>
  <si>
    <t>Right upper thigh</t>
  </si>
  <si>
    <t>Merchandising the new heritage bags by putting sign posts into the bags to support. While carry the bags with the poles inside over to a location an impact injury occurred while accidently walking into pattern cabinets while the bags were being carried loaded against the team members top right thigh. This has caused trauma to the thigh causing a red 15cm mark on the area.</t>
  </si>
  <si>
    <t>SRG-INJ-2104</t>
  </si>
  <si>
    <t>AU240478</t>
  </si>
  <si>
    <t>JACKSON, JARETH</t>
  </si>
  <si>
    <t>Left thumb popped out and back in</t>
  </si>
  <si>
    <t>Moving pallet and pallet jerked and bumped thumb</t>
  </si>
  <si>
    <t>SRG-INJ-2103</t>
  </si>
  <si>
    <t>AU310907</t>
  </si>
  <si>
    <t>AIRS, AMANDA</t>
  </si>
  <si>
    <t>Right  thumb became dislocated but went back in straight away</t>
  </si>
  <si>
    <t>WAS TYING A 90CM BALLOON AND DISLOCATED HER THUMB</t>
  </si>
  <si>
    <t>SRG-INJ-3303</t>
  </si>
  <si>
    <t>AU322138</t>
  </si>
  <si>
    <t>WESTON, JOLENE</t>
  </si>
  <si>
    <t>S013</t>
  </si>
  <si>
    <t>serving a customer turned around and slammed into the support pole</t>
  </si>
  <si>
    <t>SRG-INJ-3254</t>
  </si>
  <si>
    <t>AU324263</t>
  </si>
  <si>
    <t>HUGHAN, LAYLA</t>
  </si>
  <si>
    <t>Hip/bottom</t>
  </si>
  <si>
    <t>Lay was feeling a bit funny/light headed whilst doing click and collects. She was leaning on the trolley near Dress cutting counter when she passes out for a few seconds and collapses on the chair/ground. I (Lara) had just finished serving a customer when I noticed from the corner of my eye that she went down and I hurried over to her. Natalia soon followed me to help as did a customer. We got Lay some water and lollies for sugar. Lay landed on her hip/bottom area, just a bit soar from that. After she felt well enough to get back up she went to take a lunch break to have a rest. Came back to work but still a bit weary/flat/tired from the incident. I did ask if she wanted to go home but she said she would be ok. Did some paper work in the office with the air con.</t>
  </si>
  <si>
    <t>SRG-INJ-2652</t>
  </si>
  <si>
    <t>AU324502</t>
  </si>
  <si>
    <t>ROSE, JORDAN</t>
  </si>
  <si>
    <t>A team member was up on the wave bringing down boxed mattress toppers. Another team member (Jordan) was standing underneath. As they have bent down to pick up one of the boxes another has been dropped from the wave and has hit them on the head.</t>
  </si>
  <si>
    <t>Other intracranial injury, not elsewhere classified</t>
  </si>
  <si>
    <t>SRG-INJ-2657</t>
  </si>
  <si>
    <t>AU308722</t>
  </si>
  <si>
    <t>MCGEARY, MOLLIE</t>
  </si>
  <si>
    <t>5-6 teenagers entered the store. They made their way down to the craft department all in hoodies. The craft team member alerted me to them being disruptive / potentially stealing. As they were making their way out of the store after being told to leave -They threw several items at a team member, Mollie, hitting her in the face. They yelled insults and threats at her as they were leaving as well.</t>
  </si>
  <si>
    <t>SRG-INJ-3362</t>
  </si>
  <si>
    <t>AU332860</t>
  </si>
  <si>
    <t>BRAMLEY, REBECCA JANE</t>
  </si>
  <si>
    <t>S014</t>
  </si>
  <si>
    <t>bruised toe</t>
  </si>
  <si>
    <t>dropped sewing machine on foot</t>
  </si>
  <si>
    <t>SRG-INJ-3302</t>
  </si>
  <si>
    <t>AU333941</t>
  </si>
  <si>
    <t>MCCARTHY, SARA</t>
  </si>
  <si>
    <t>Left shoulder and arm pain</t>
  </si>
  <si>
    <t>Twisted while holding a medium box of frames in the left arm. Felt pain shooting down to elbow from top of shoulder</t>
  </si>
  <si>
    <t>SRG-INJ-3299</t>
  </si>
  <si>
    <t>AU238171</t>
  </si>
  <si>
    <t>ALMARIO, AIREEN</t>
  </si>
  <si>
    <t>lower right back strain</t>
  </si>
  <si>
    <t>unpacking a pallet then served a customer lifted a blind then felt pain in lower back LHS</t>
  </si>
  <si>
    <t>SRG-INJ-3158</t>
  </si>
  <si>
    <t>AU320658</t>
  </si>
  <si>
    <t>KAO, BIANCA</t>
  </si>
  <si>
    <t>front facing frames and as bianca bent down to do the next shelf 3 frames fell on their head.</t>
  </si>
  <si>
    <t>SRG-INJ-3159</t>
  </si>
  <si>
    <t>AU332526</t>
  </si>
  <si>
    <t>TISCH, MELANIE</t>
  </si>
  <si>
    <t>left side</t>
  </si>
  <si>
    <t>pulled all rugs out, picked up one off the floor and yanked on it and felt shooting pain up left side of back</t>
  </si>
  <si>
    <t>SRG-INJ-3160</t>
  </si>
  <si>
    <t>AU322435</t>
  </si>
  <si>
    <t>KALIWELL, SHAY</t>
  </si>
  <si>
    <t>hand cramp</t>
  </si>
  <si>
    <t>hand cramped up and fingers locked</t>
  </si>
  <si>
    <t>SRG-INJ-3123</t>
  </si>
  <si>
    <t>AU238047</t>
  </si>
  <si>
    <t>ALEXANDER, KAREN</t>
  </si>
  <si>
    <t>KAREN WAS OPENING BOX WITH CUTTER SLIPPED</t>
  </si>
  <si>
    <t>working Koo dark store stock cut finger with Stanley knife CUTTING HER RIGHT INDEX FINGER</t>
  </si>
  <si>
    <t>SRG-INJ-3076</t>
  </si>
  <si>
    <t>AU313277</t>
  </si>
  <si>
    <t>LEWIS-LUTWYCHE, MICHAELA</t>
  </si>
  <si>
    <t>team member was putting a bath mat away and hit head on metal shelf</t>
  </si>
  <si>
    <t>SRG-INJ-3065</t>
  </si>
  <si>
    <t>AU225336</t>
  </si>
  <si>
    <t>COLBERT, VICKI</t>
  </si>
  <si>
    <t>right hand wrist</t>
  </si>
  <si>
    <t>team member was picking 141 frames for an ecomm order and a frame fell on her wrist</t>
  </si>
  <si>
    <t>SRG-INJ-3060</t>
  </si>
  <si>
    <t>ankle bruised</t>
  </si>
  <si>
    <t>karen accidentally hit her ankle with a white flatbed trolley while transporting stock</t>
  </si>
  <si>
    <t>SRG-INJ-3028</t>
  </si>
  <si>
    <t>AU200419</t>
  </si>
  <si>
    <t>COYLE, CATHRYN</t>
  </si>
  <si>
    <t>Bruised Hand</t>
  </si>
  <si>
    <t>Cathryn was loading a blind onto a trolley for a customer when the customer attempted to help her and accidentally hit her with the blind.</t>
  </si>
  <si>
    <t>Being hit by a person accidentally</t>
  </si>
  <si>
    <t>SRG-INJ-2980</t>
  </si>
  <si>
    <t>AU238166</t>
  </si>
  <si>
    <t>MARSHALL, SUSAN</t>
  </si>
  <si>
    <t>left and side  wrist and anlkle</t>
  </si>
  <si>
    <t>team member was up a ladder getting artwork down. The ladder was on a rubber mat which made the ladder off balance. As Sue was coming down the ladder it was off balance and she  fell from the third rung</t>
  </si>
  <si>
    <t>SRG-INJ-2960</t>
  </si>
  <si>
    <t>strain to lower back &amp; impact to right knee</t>
  </si>
  <si>
    <t>Karen was assisting a customer, turned around to switch off the cutting machine behind her &amp; she tripped on the anti fatigue mat</t>
  </si>
  <si>
    <t>SRG-INJ-2849</t>
  </si>
  <si>
    <t>AU237936</t>
  </si>
  <si>
    <t>THYNNE, BRODY</t>
  </si>
  <si>
    <t>sore lower back</t>
  </si>
  <si>
    <t>sore lower back after using the walkie stacker to load cages for AusPost</t>
  </si>
  <si>
    <t>SRG-INJ-2770</t>
  </si>
  <si>
    <t>AU320652</t>
  </si>
  <si>
    <t>PEACH, SARAH</t>
  </si>
  <si>
    <t>woke up with sore back</t>
  </si>
  <si>
    <t>woke up at home with a sore back</t>
  </si>
  <si>
    <t>SRG-INJ-2692</t>
  </si>
  <si>
    <t>righ hand index finger</t>
  </si>
  <si>
    <t>team member was tiding the tablecloths. She went to straighten stock. Pulled hand under arbee bar and has pulled a large piece of skin off her knuckle. very large skin flap</t>
  </si>
  <si>
    <t>SRG-INJ-2695</t>
  </si>
  <si>
    <t>landed on back/bottom when she slipped</t>
  </si>
  <si>
    <t>Rebecca was walking from the sink to her locker, her right foot slipped &amp; she landed on her back/bottom</t>
  </si>
  <si>
    <t>SRG-INJ-2650</t>
  </si>
  <si>
    <t>AU322425</t>
  </si>
  <si>
    <t>BENNETT, SANDRA</t>
  </si>
  <si>
    <t>back strain</t>
  </si>
  <si>
    <t>Sandy was switching over the full/empty helium tanks, has twisted wrong while bent over moving a tank.</t>
  </si>
  <si>
    <t>SRG-INJ-2653</t>
  </si>
  <si>
    <t>AU210904</t>
  </si>
  <si>
    <t>HERMANS, MELISSA</t>
  </si>
  <si>
    <t>Melissa was lifting curtains up high with a ladder then subsequently moved Magic Drape (weighty)</t>
  </si>
  <si>
    <t>SRG-INJ-2573</t>
  </si>
  <si>
    <t>Right thigh</t>
  </si>
  <si>
    <t>Tripped/stumbled on a red basket trolley that was on the floor</t>
  </si>
  <si>
    <t>SRG-INJ-2552</t>
  </si>
  <si>
    <t>strain to groin</t>
  </si>
  <si>
    <t>Brody was taking boxes of ready made curtains upstairs with Julie &amp; Jordan, after finishing his shift he had soreness in his groin area that is persisting today</t>
  </si>
  <si>
    <t>SRG-INJ-2523</t>
  </si>
  <si>
    <t>AU200455</t>
  </si>
  <si>
    <t>HENNESSY, STEPHEN</t>
  </si>
  <si>
    <t>shoulder strain</t>
  </si>
  <si>
    <t>pulling pallet out &amp; as it came forward it started to collapse &amp; fall forward</t>
  </si>
  <si>
    <t>SRG-INJ-2476</t>
  </si>
  <si>
    <t>AU230900</t>
  </si>
  <si>
    <t>FINLAYSON, JANICE</t>
  </si>
  <si>
    <t>lower back strain</t>
  </si>
  <si>
    <t>Janice was lifting a dual roller blind (210cm) up from the bench and as she twisted she has injured her back</t>
  </si>
  <si>
    <t>SRG-INJ-2407</t>
  </si>
  <si>
    <t>unpacking upholstery fabric from a white trolley, trying to pick up the fabric from the bottom shelf, 4 rolls wedged together, Aireen tugged on the bolt of Luxe Velvet &amp; hurt her lower back</t>
  </si>
  <si>
    <t>SRG-INJ-2385</t>
  </si>
  <si>
    <t>box hit right leg shin.</t>
  </si>
  <si>
    <t>while unpacking a pallet received to split a box fell onto lower right leg</t>
  </si>
  <si>
    <t>SRG-INJ-2241</t>
  </si>
  <si>
    <t>AU312271</t>
  </si>
  <si>
    <t>ASHLIN, GABRIELLE</t>
  </si>
  <si>
    <t>hit top of head</t>
  </si>
  <si>
    <t>bent down and went to stand back up and hit head on the balloon stretching tool that is attached to the counter</t>
  </si>
  <si>
    <t>SRG-INJ-2148</t>
  </si>
  <si>
    <t>AU231184</t>
  </si>
  <si>
    <t>MCGRATH, JOANNE</t>
  </si>
  <si>
    <t>Grace on right elbow and sore coccyx .  Small cut on right hand pinkie finger</t>
  </si>
  <si>
    <t>Foot got caught on black base left near a pallet and fell landing on coccyx</t>
  </si>
  <si>
    <t>SRG-INJ-2094</t>
  </si>
  <si>
    <t>shelf fell on the front of her ankle</t>
  </si>
  <si>
    <t>Sue was moving shelves when one slipped &amp; fell on her ankle</t>
  </si>
  <si>
    <t>SRG-INJ-2100</t>
  </si>
  <si>
    <t>AU239777</t>
  </si>
  <si>
    <t>MOSS, MELANIE</t>
  </si>
  <si>
    <t>Mel picked up a rug/runner and heard something click in her back</t>
  </si>
  <si>
    <t>SRG-INJ-2067</t>
  </si>
  <si>
    <t>AU300977</t>
  </si>
  <si>
    <t>YULE, JORDYN</t>
  </si>
  <si>
    <t>bruising and swelling to top of left foot/toes</t>
  </si>
  <si>
    <t>heavy outdoor sunscreen blind dropped on foot/toes while lifting into fixture, the bottom of the pack gave way and the blind fell out from approx. a metre in height landing on foot/toes</t>
  </si>
  <si>
    <t>SRG-INJ-2004</t>
  </si>
  <si>
    <t>AU239327</t>
  </si>
  <si>
    <t>TOMLINS, SANDRA</t>
  </si>
  <si>
    <t>Bruised ankle from falling flower box full of RB bars</t>
  </si>
  <si>
    <t>Sandra was reaching into a shelf from the side and moved away then a white wooden flower holder box full of RB bars fell directly on her ankle. It hit her left ankle on the inside</t>
  </si>
  <si>
    <t>SRG-INJ-2005</t>
  </si>
  <si>
    <t>strained her back lifting</t>
  </si>
  <si>
    <t>Aireen was putting up the A6"s in the area of the Faux wood venetians when she noticed that the blinds had been put in the wrong spot. The were the 63mm 180x210 times 6 and they needed to be lifted across to the right area. this strained her back. she originally thought she was ok but as she finished she realized that she had over done it.</t>
  </si>
  <si>
    <t>SRG-INJ-1997</t>
  </si>
  <si>
    <t>working pallet of blinds -  lifted very large 240cm blind out of cardboard pallet bin</t>
  </si>
  <si>
    <t>SRG-INJ-1886</t>
  </si>
  <si>
    <t>Cut to ankle</t>
  </si>
  <si>
    <t>Sandy was pulling the cage behind her and caught her ankle causing injury .</t>
  </si>
  <si>
    <t>SRG-INJ-1751</t>
  </si>
  <si>
    <t>Right thumb</t>
  </si>
  <si>
    <t>Karen was rolling out fabric and got her thumb caught in the zip tie that attaches the swing tag. Jarring her thumb. Karen immediately came to layby and received some medical attention, in the form of an ice pack.</t>
  </si>
  <si>
    <t>SRG-INJ-1680</t>
  </si>
  <si>
    <t>left index Finger</t>
  </si>
  <si>
    <t>Brody was holding the table whilst adjusting the feet on the table in layby, The table was on a pallet jack and Steve thought Brody was clear but when the jack was released Brody's finger was squashed.</t>
  </si>
  <si>
    <t>SRG-INJ-1629</t>
  </si>
  <si>
    <t>Sue has a sore arm and hand on the right side of her body</t>
  </si>
  <si>
    <t>Sue  Marshall was standing on the counter putting up wall art at the front registers, she lost her balance and grabbed the side of a fixture on the wall to stop herself falling. Her right hand is sore.</t>
  </si>
  <si>
    <t>SRG-INJ-2516</t>
  </si>
  <si>
    <t>AU241006</t>
  </si>
  <si>
    <t>ELLIOTT, ALYSHA</t>
  </si>
  <si>
    <t>S016</t>
  </si>
  <si>
    <t>Sale</t>
  </si>
  <si>
    <t>Alysha was mildly electrocuted/zapped by walkie stacker charger whilst moving it to a clear area that would reach the walkie stacker.</t>
  </si>
  <si>
    <t>Contact with electricity</t>
  </si>
  <si>
    <t>SRG-INJ-1726</t>
  </si>
  <si>
    <t>AU224948</t>
  </si>
  <si>
    <t>MACPHERSON, JACKIE</t>
  </si>
  <si>
    <t>Jackie tripped over the wheel stop in the car park and fell on her elbow. As a result she has fractured her elbow in 2 places.</t>
  </si>
  <si>
    <t>Fractures, unspecified</t>
  </si>
  <si>
    <t>SRG-INJ-1678</t>
  </si>
  <si>
    <t>AU309753</t>
  </si>
  <si>
    <t>FAITHFULL, TERRIANNE</t>
  </si>
  <si>
    <t>right hip and lower back</t>
  </si>
  <si>
    <t>standing up on yellow safety step to take the sign out of the ticket frame and hurt right hip/back area stepping off the yellow safety step</t>
  </si>
  <si>
    <t>SRG-INJ-3344</t>
  </si>
  <si>
    <t>AU325858</t>
  </si>
  <si>
    <t>SYKES, HANNAH</t>
  </si>
  <si>
    <t>S017</t>
  </si>
  <si>
    <t>Bump/soreness Top right-side of head</t>
  </si>
  <si>
    <t>Team member (Hannah Sykes - 325858 was bringing in empty cages &amp; trolleys from our receiving area end of day. They were separating two cages when the one closest to them was stuck due to the bottom shelf not being latched properly so they re-latched it and while doing so, the centre shelf collapsed and struck them on the top right-hand side of their head. They rolled the cage inside and reported it immediately to a manager (Lara - Craft/Party). When looking at the head area there was no wound or bleeding just redness and a small bump, they weren't delirious and no sign of concussion. Team member said they felt okay and didn't want to ice the area, there was only pain and felt a headache coming on. Stayed until end of shift (6pm) and did light duties, filling paper work</t>
  </si>
  <si>
    <t>SRG-INJ-3265</t>
  </si>
  <si>
    <t>AU336912</t>
  </si>
  <si>
    <t>POYA, PAYMANA</t>
  </si>
  <si>
    <t>Head and back of neck</t>
  </si>
  <si>
    <t>Paymana was completing TMS training module on furnishings computer, i went to speak to her and she fainted, she fell backwards and hitting her head on a red shopping basket. She said when i was talking to her she could not hear me and that is all she remembers. She came to within a couple of minutes and just said she felt a bit sick in the stomach and her head hurt,. We asked if she would like us to call an ambulance but she just wanted us to call her dad.. we also asked her if this had happened before and she said no. we gave her some cold water to drink after about five minutes she said she was feeling better she sat up and then we walked her to the office where her father came and took her home. i have spoken to her this morning she said she was feeling much better and her father has made an appointment with doctor she was not sure when or what date this appointment was made for.</t>
  </si>
  <si>
    <t>SRG-INJ-3145</t>
  </si>
  <si>
    <t>AU229211</t>
  </si>
  <si>
    <t>SIMMONS, SHANTARA-LEE</t>
  </si>
  <si>
    <t>Pinky finger of left hand was squashed between metal leaver and metal side of cleanaway recycling bin.</t>
  </si>
  <si>
    <t>Bin lid was open all the way and I was trying to lower the lid to shut it for the end of day. It wouldn't budge when i was trying to lower it but once I let go my finger got wedged between the metal leaver and the blue ledge part of the bin.</t>
  </si>
  <si>
    <t>SRG-INJ-2827</t>
  </si>
  <si>
    <t>AU231503</t>
  </si>
  <si>
    <t>BYRNES, LAILA</t>
  </si>
  <si>
    <t>Hit bottom of leg near right ankle</t>
  </si>
  <si>
    <t>Pushing stock trolley and have hit into one of the metal shop fixtures, and as a result have hit my foot/ankle onto the bottom metal part of the trolley.</t>
  </si>
  <si>
    <t>SRG-INJ-2742</t>
  </si>
  <si>
    <t>AU312695</t>
  </si>
  <si>
    <t>CORRIE, MIA</t>
  </si>
  <si>
    <t>Shoulder -grabbed banister to stop falling after tripping and reefed shoulder</t>
  </si>
  <si>
    <t>shoe grabbed on stair grip grabbed banister to stop falling and reefed shoulder</t>
  </si>
  <si>
    <t>SRG-INJ-2470</t>
  </si>
  <si>
    <t>Pinky and ring finger of left hand</t>
  </si>
  <si>
    <t>Squashed pinky and ring finger into the lock of the container.</t>
  </si>
  <si>
    <t>SRG-INJ-2382</t>
  </si>
  <si>
    <t>AU202874</t>
  </si>
  <si>
    <t>DAVIS, SHARON</t>
  </si>
  <si>
    <t>caught left knee cap in eco cage knee is swollen</t>
  </si>
  <si>
    <t>moving eco bin and caught knee cap on cage of bin</t>
  </si>
  <si>
    <t>SRG-INJ-2436</t>
  </si>
  <si>
    <t>AU316654</t>
  </si>
  <si>
    <t>FREDERICKS, KENNETH</t>
  </si>
  <si>
    <t>Pain Rt side neck and numbness Rt index finger</t>
  </si>
  <si>
    <t>woke up  with pain in right arm and shoulder. pain has spread to upper back</t>
  </si>
  <si>
    <t>SRG-INJ-2016</t>
  </si>
  <si>
    <t>AU299099</t>
  </si>
  <si>
    <t>MERRY, LUANNE</t>
  </si>
  <si>
    <t>chunk taken out of second finger on right hand</t>
  </si>
  <si>
    <t>took chunk out of finger  opening plastic blind packaging hand slipped and cut on the plastic</t>
  </si>
  <si>
    <t>SRG-INJ-3448</t>
  </si>
  <si>
    <t>AU201760</t>
  </si>
  <si>
    <t>MCKINLAY, CARISSA</t>
  </si>
  <si>
    <t>Spotlight NSW</t>
  </si>
  <si>
    <t>S019</t>
  </si>
  <si>
    <t>Lower back/hip. Pulled hip</t>
  </si>
  <si>
    <t>Roll of bubble wrap fell off top shelf hitting team member in the back unexpectedly. Due to lunging forward as she wasn't expecting to be hit she has injured her hip</t>
  </si>
  <si>
    <t>SRG-INJ-3423</t>
  </si>
  <si>
    <t>PORTEOUS, CARISSA</t>
  </si>
  <si>
    <t>Lower back. Spasmed</t>
  </si>
  <si>
    <t>Carissa was working with the readymade curtain stock from the XS tops and was using the WAVE for improved access. To reach the XS stock, she needed to remove a display board. However, the display board was tightly positioned within the bay, and while attempting to lift it, Carissa experienced a spas</t>
  </si>
  <si>
    <t>SRG-INJ-3241</t>
  </si>
  <si>
    <t>AU237054</t>
  </si>
  <si>
    <t>MORSON, KELLY</t>
  </si>
  <si>
    <t>elbow</t>
  </si>
  <si>
    <t>elbow injury from working stock or pulling pallets</t>
  </si>
  <si>
    <t>SRG-INJ-2580</t>
  </si>
  <si>
    <t>AU233001</t>
  </si>
  <si>
    <t>CAROLYN, Roberts</t>
  </si>
  <si>
    <t>Top of head right hand side</t>
  </si>
  <si>
    <t>Team member had rubbish on cage and was putting rubbish in bin. When team member was bending down to grab rubbish the drop shelf fell hit team member in the head</t>
  </si>
  <si>
    <t>SRG-INJ-2640</t>
  </si>
  <si>
    <t>AU216553</t>
  </si>
  <si>
    <t>IOANE, CHARLITA</t>
  </si>
  <si>
    <t>bruising on arms</t>
  </si>
  <si>
    <t>Charlita while relaying the Home decor dept. lost control of a shelf which landed on both her arms injuring and bruising her.</t>
  </si>
  <si>
    <t>SRG-INJ-1939</t>
  </si>
  <si>
    <t>ROBERTS, CAROLYN</t>
  </si>
  <si>
    <t>bump to left eye</t>
  </si>
  <si>
    <t>Lifting a box out of another box team member got hit in eye with box whilst pulling the box out</t>
  </si>
  <si>
    <t>SRG-INJ-3277</t>
  </si>
  <si>
    <t>AU202681</t>
  </si>
  <si>
    <t>STEVANOSKI, JOANNA</t>
  </si>
  <si>
    <t>S020</t>
  </si>
  <si>
    <t>Left hand/wrist - Back of head down neck &amp; spine - both Ankles</t>
  </si>
  <si>
    <t>Team member was stepping down off ladder and believes she missed the bottom step falling into the Hooked product wall behind her. Believes she may have landed on the base of the fixture. There were no known  witnesses to the incident but it was heard by another team member &amp; a customer who both came to team members aid. I was called to department, team member was sitting on the floor holding her hand. At the time she could not fully recollect where or how she had landed only that she had hit the stock bay behind her hitting her head &amp; believed she put her hand out to break her fall.. Another team member went &amp; retrieved an ice pack for her wrist that was showing some some swelling &amp; was red. She wanted to return to work stating she was fine, just a bit embarrassed. I asked her to remain seated for a bit to observe &amp; we made general conversation. I then accompanied her to the Tea room had her eat an ice block as she has a known blood sugar issue. After about 5 minutes she wanted to return to work. She appeared fine.</t>
  </si>
  <si>
    <t>SRG-INJ-2853</t>
  </si>
  <si>
    <t>AU312245</t>
  </si>
  <si>
    <t>MCLAUGHLIN, ASHLEY</t>
  </si>
  <si>
    <t>middle finger and ring finger on her left hand</t>
  </si>
  <si>
    <t>Ashley was leaving the store at 6pm and walked out of the staff door, she then went to pull the door behind her and squashed her middle and ring finger in the door as she was closing it.</t>
  </si>
  <si>
    <t>SRG-INJ-2438</t>
  </si>
  <si>
    <t>AU201919</t>
  </si>
  <si>
    <t>TEAL, LARNIE</t>
  </si>
  <si>
    <t>front of left knee</t>
  </si>
  <si>
    <t>Whilst getting stock back from an attempted theft Myself &amp; another Team member were kicked.</t>
  </si>
  <si>
    <t>SRG-INJ-2439</t>
  </si>
  <si>
    <t>AU215592</t>
  </si>
  <si>
    <t>STEVCESKI, KOSTADINKA</t>
  </si>
  <si>
    <t>Left Upper Thigh</t>
  </si>
  <si>
    <t>Team member was kicked by a suspected shop lifter when exiting store</t>
  </si>
  <si>
    <t>SRG-INJ-1618</t>
  </si>
  <si>
    <t>Fixture fell from Wall, team member caught it &amp; no has discomfort in her lower to mid back</t>
  </si>
  <si>
    <t>Team member was changing bunk tickets when the fixture fell from the wall</t>
  </si>
  <si>
    <t>SRG-INJ-2848</t>
  </si>
  <si>
    <t>AU329690</t>
  </si>
  <si>
    <t>BONNETT, JOANNE</t>
  </si>
  <si>
    <t>S021</t>
  </si>
  <si>
    <t>Left shoulder took the impact, but the right shoulder was the one in pain after from jarring</t>
  </si>
  <si>
    <t>Jo found customer filling his bag. Jo asked him if he'd like to put the products back. He put the bag on the floor Pulled out the 2nd QCS set and threw it at Jo hitting her in the left shoulder with it.  Jo took Nurofen after the incident- she was feeling pain in her right shoulder from jarring</t>
  </si>
  <si>
    <t>SRG-INJ-2630</t>
  </si>
  <si>
    <t>AU318225</t>
  </si>
  <si>
    <t>RILEY, SCOTT</t>
  </si>
  <si>
    <t>anxiety depression dizziness</t>
  </si>
  <si>
    <t>Scott has been saying he has stress, anxiety and depression for some time.  The store team felt this was not work-related, so we did the NRW process.  Scott has called today to say it is work related. I have emailed him new paperwork and copied it to the WorkCover team. The work-related injury is related to psychosocial issues in the store.  Scott claims that his health matters are work-related and brought on by stresses associated with work. These include having too many managers, conflicting feedback, and the business not actioning his request to meet with HR when the anxiety first occurred.</t>
  </si>
  <si>
    <t>SRG-INJ-2479</t>
  </si>
  <si>
    <t>AU240189</t>
  </si>
  <si>
    <t>CRAIG, MELISSA</t>
  </si>
  <si>
    <t>lower right back</t>
  </si>
  <si>
    <t>Mel Craig was helping a customer lifting a heavy craft table into the customers car. She than Heard a pop and had instant pain in her lower right back.</t>
  </si>
  <si>
    <t>SRG-INJ-3508</t>
  </si>
  <si>
    <t>AU314391</t>
  </si>
  <si>
    <t>MCMANUS, CHARLOTTE</t>
  </si>
  <si>
    <t>S024</t>
  </si>
  <si>
    <t>Back of left hand</t>
  </si>
  <si>
    <t>Jammed hand between stock trolley and fixture</t>
  </si>
  <si>
    <t>SRG-INJ-3495</t>
  </si>
  <si>
    <t>AU238571</t>
  </si>
  <si>
    <t>LAMBERT, ALAN</t>
  </si>
  <si>
    <t>left leg knee Right &amp; left elbow and Right side of head</t>
  </si>
  <si>
    <t>slipped on driveway twice</t>
  </si>
  <si>
    <t>SRG-INJ-3455</t>
  </si>
  <si>
    <t>AU202930</t>
  </si>
  <si>
    <t>GIAQUINTO, HELLE-KIM</t>
  </si>
  <si>
    <t>left hand between thumb and finger</t>
  </si>
  <si>
    <t>while opening box with box cutter caught my hand with box cutter between thumb and finger left hand</t>
  </si>
  <si>
    <t>SRG-INJ-3428</t>
  </si>
  <si>
    <t>AU314444</t>
  </si>
  <si>
    <t>GRAHAM, TERRI</t>
  </si>
  <si>
    <t>Lifting a roll of tabletones large roll of clear plastic</t>
  </si>
  <si>
    <t>SRG-INJ-3139</t>
  </si>
  <si>
    <t>AU317394</t>
  </si>
  <si>
    <t>EASEY, SHANNON</t>
  </si>
  <si>
    <t>Old injury that tends to re occur somedays</t>
  </si>
  <si>
    <t>SRG-INJ-3112</t>
  </si>
  <si>
    <t>AU231801</t>
  </si>
  <si>
    <t>HARDING, DENISE</t>
  </si>
  <si>
    <t>RIght knee</t>
  </si>
  <si>
    <t>Denise was packing ecomm orders and as she turned around she tripped over the base of the step ladder</t>
  </si>
  <si>
    <t>SRG-INJ-3104</t>
  </si>
  <si>
    <t>After shift finished felt her back was sore, from unpacking in dock</t>
  </si>
  <si>
    <t>SRG-INJ-2979</t>
  </si>
  <si>
    <t>Left foot</t>
  </si>
  <si>
    <t>Was stepping off the ladder thinks that foot got caught or misplaced the step</t>
  </si>
  <si>
    <t>SRG-INJ-2966</t>
  </si>
  <si>
    <t>Sore index finger</t>
  </si>
  <si>
    <t>Squashed index finger between fabric and trolley</t>
  </si>
  <si>
    <t>SRG-INJ-2568</t>
  </si>
  <si>
    <t>AU204851</t>
  </si>
  <si>
    <t>FLIPPENCE, VERONICA</t>
  </si>
  <si>
    <t>we received 12 pallets and was trying to shuffle them as we had another 4 coming and needed to move some inside, there wasn't enough space and they were all jammed together and trying to move them has hurt my lower back.</t>
  </si>
  <si>
    <t>SRG-INJ-2514</t>
  </si>
  <si>
    <t>Left hand just above the knuckles</t>
  </si>
  <si>
    <t>Moving trolleys in order to access M2M goods for installer to pick up, as moving trolleys jammed left hand just above the knuckles between 2 trolleys, ice pack was used on injury, team member said pain has calmed down.</t>
  </si>
  <si>
    <t>SRG-INJ-2339</t>
  </si>
  <si>
    <t>Kim was in her department, furnishings. She was returning upholstery and other fabrics and her back became sore from the constant strain of lifting and moving the heavy rolls. It became progressively more painful and Kim needed to abandon the task.</t>
  </si>
  <si>
    <t>SRG-INJ-2206</t>
  </si>
  <si>
    <t>AU200068</t>
  </si>
  <si>
    <t>PATON, FRANCES</t>
  </si>
  <si>
    <t>Right side shoulder</t>
  </si>
  <si>
    <t>Louise was turning over a package of curtains when she felt a pain in her right shoulder</t>
  </si>
  <si>
    <t>SRG-INJ-2204</t>
  </si>
  <si>
    <t>Sore back and pain radiating to upper legs</t>
  </si>
  <si>
    <t>Shannon was doing stock work after receiving clearance for full pre-injury duties in her latest medical update. She was removing some Spartys tables from the airlock and replacing with Semco Easels, which is heavier work than she has been performing due to her restrictions. She did mention to Rachel (her colleague) at the end of her shift Monday that she was hurting a little bit. On Tuesday when she arrived for her shift in the afternoon, she mentioned she was in a bit of pain. She requested to go home early and then Wednesday phoned in unable to attend her shift. Although not reporting a specific incident causing pain, I believe it was from this movement of stock, looking at the footage, from not following correct procedures for manual handling and stock movement.</t>
  </si>
  <si>
    <t>SRG-INJ-1861</t>
  </si>
  <si>
    <t>neck</t>
  </si>
  <si>
    <t>Stationary, merging into lookout road, turning left. Car ran up the back of the car.</t>
  </si>
  <si>
    <t>SRG-INJ-1802</t>
  </si>
  <si>
    <t>AU312328</t>
  </si>
  <si>
    <t>BOWN, AMANDA JANE</t>
  </si>
  <si>
    <t>Pain from the middle finger on left hasnd through to wrist/forearm area</t>
  </si>
  <si>
    <t>I was trying to lift a smallish box from a cage as we were sorting the load into departments ready for transport. As I started to lift the box I felt a snappping sensation in my middle finger and then the pain shot down from the finger through my palm and into my wrist and forearm. These areas have been in pain all day. There doesn't seem to be any swelling or bruising, just pain and tenderness, paricularly when I flex my fingers.</t>
  </si>
  <si>
    <t>SRG-INJ-1659</t>
  </si>
  <si>
    <t>Pulled muscle in lower back</t>
  </si>
  <si>
    <t>Shannon was moving around frames out the back and putting them on the shelf and felt pain in her back. The pain got worse over the weekend.</t>
  </si>
  <si>
    <t>SRG-INJ-1615</t>
  </si>
  <si>
    <t>AU312583</t>
  </si>
  <si>
    <t>ANDERSON-RAYNER, EVE</t>
  </si>
  <si>
    <t>Bitten by something, red mark on right lower leg</t>
  </si>
  <si>
    <t>SRG-INJ-1585</t>
  </si>
  <si>
    <t>AU307955</t>
  </si>
  <si>
    <t>KNIGHT, DAISY</t>
  </si>
  <si>
    <t>Daisy was moving dinnersets and she dropped one on her finger</t>
  </si>
  <si>
    <t>SRG-INJ-3391</t>
  </si>
  <si>
    <t>AU331730</t>
  </si>
  <si>
    <t>GUNNER, HENRY</t>
  </si>
  <si>
    <t>Spotlight SA</t>
  </si>
  <si>
    <t>S025</t>
  </si>
  <si>
    <t>Trinity Gardens</t>
  </si>
  <si>
    <t>right neck</t>
  </si>
  <si>
    <t>Henry came into work with soreness in his neck, once he was working he had pushed a trolley of stock and strained his neck. Henry left shortly after to attend doctor.</t>
  </si>
  <si>
    <t>SRG-INJ-3237</t>
  </si>
  <si>
    <t>AU331887</t>
  </si>
  <si>
    <t>BARKER, NATALIE</t>
  </si>
  <si>
    <t>Left leg, bruise/swelling</t>
  </si>
  <si>
    <t>There was a photo frame leaning up against a basket, it fell down and hit Nat on her left leg</t>
  </si>
  <si>
    <t>SRG-INJ-3217</t>
  </si>
  <si>
    <t>AU240701</t>
  </si>
  <si>
    <t>CAVUOTO, GRAZIA</t>
  </si>
  <si>
    <t>right knee and right hip. knee is a little bit swollen and has a bruise appearing and hip feels sore</t>
  </si>
  <si>
    <t>team member tripped over ottoman that was holding tea room door open</t>
  </si>
  <si>
    <t>SRG-INJ-3212</t>
  </si>
  <si>
    <t>59928766/00</t>
  </si>
  <si>
    <t>AU335821</t>
  </si>
  <si>
    <t>DUFFIELD, MEGAN</t>
  </si>
  <si>
    <t>Left ankle twisted and bruised</t>
  </si>
  <si>
    <t>Megan was putting away trims when she slipped on a ribbon on the ground and fell over. Her ankle is injured.</t>
  </si>
  <si>
    <t>SRG-INJ-3095</t>
  </si>
  <si>
    <t>AU311579</t>
  </si>
  <si>
    <t>ZAPPIA, MATTHEW</t>
  </si>
  <si>
    <t>index finger left hand, stapled into, bleeding</t>
  </si>
  <si>
    <t>Matt was refilling a stapler and accidentally stapled his finger</t>
  </si>
  <si>
    <t>SRG-INJ-3052</t>
  </si>
  <si>
    <t>AU333067</t>
  </si>
  <si>
    <t>MINUTILLO, JAZLYN</t>
  </si>
  <si>
    <t>was pulling cage along racetrack and got hand stuck between the side of the cage and the front of a fixture and was crushed</t>
  </si>
  <si>
    <t>SRG-INJ-2993</t>
  </si>
  <si>
    <t>AU335211</t>
  </si>
  <si>
    <t>BAKER, MADELINE</t>
  </si>
  <si>
    <t>Painful and possible bruising to left big toe.</t>
  </si>
  <si>
    <t>Maddy was changing over the tabletone when the vinyl rolled off the counter onto her foot, injuring her left big toe.</t>
  </si>
  <si>
    <t>SRG-INJ-2948</t>
  </si>
  <si>
    <t>AU324403</t>
  </si>
  <si>
    <t>LEWIS, SHAREE</t>
  </si>
  <si>
    <t>right wrist bruising along (right had more of the impact) with small bruising on left wrist</t>
  </si>
  <si>
    <t>team member was putting veri shade blind stock away when she has knocked the top sign and it has fallen down on her just above the wrist.</t>
  </si>
  <si>
    <t>SRG-INJ-2771</t>
  </si>
  <si>
    <t>left and right ankle. left ankle has a slight graze and the right ankle is painful to walk on and move</t>
  </si>
  <si>
    <t>Jaz was stepping off a small ladder and missed a step and fell forward</t>
  </si>
  <si>
    <t>SRG-INJ-2412</t>
  </si>
  <si>
    <t>AU314271</t>
  </si>
  <si>
    <t>STIGWOOD, DYLAN</t>
  </si>
  <si>
    <t>Right middle finger</t>
  </si>
  <si>
    <t>I rolled out vinyl for a customer, I went to reset the blade, as I reset the blade the blade got caught/jammed and sliced the top of my finger</t>
  </si>
  <si>
    <t>SRG-INJ-2265</t>
  </si>
  <si>
    <t>big toe on right foot had a blind fall out of package and land on it</t>
  </si>
  <si>
    <t>team member was putting stock out when the blind he was putting out fill through the packaging and his big toe on his right foot.</t>
  </si>
  <si>
    <t>SRG-INJ-3178</t>
  </si>
  <si>
    <t>AU200039</t>
  </si>
  <si>
    <t>BRITTON, KATHLEEN</t>
  </si>
  <si>
    <t>S026</t>
  </si>
  <si>
    <t>Bendigo</t>
  </si>
  <si>
    <t>Forehead, roll of shrink wrap fell out of grip and hit on forehead</t>
  </si>
  <si>
    <t>Kathie was packing 2 large Roller Blinds and the roll of Shrink Wrap fell out of hands and hit her in the forehead.</t>
  </si>
  <si>
    <t>SRG-INJ-3156</t>
  </si>
  <si>
    <t>AU335509</t>
  </si>
  <si>
    <t>JOHNSON, TAYLA</t>
  </si>
  <si>
    <t>Left Forearm</t>
  </si>
  <si>
    <t>Team Member was fixing front end binds on half shelf and the 60cm blinds were protruding over the edge of the shelf and fell on the team members forearm and caused a small cut of on her forearm</t>
  </si>
  <si>
    <t>SRG-INJ-3070</t>
  </si>
  <si>
    <t>AU305353</t>
  </si>
  <si>
    <t>HAYES, AMBER</t>
  </si>
  <si>
    <t>Cut to right hand finger</t>
  </si>
  <si>
    <t>Team member was unloading stock and a Wiltshire Portofino cutlery set had the knife partly exposed when it cut her right hand finger</t>
  </si>
  <si>
    <t>SRG-INJ-2852</t>
  </si>
  <si>
    <t>AU298403</t>
  </si>
  <si>
    <t>ROUXELLE, ELLY</t>
  </si>
  <si>
    <t>knock to head and shoulder</t>
  </si>
  <si>
    <t>Large shutter fell onto Elly and Mex helped Elly get box off.</t>
  </si>
  <si>
    <t>SRG-INJ-2824</t>
  </si>
  <si>
    <t>AU335322</t>
  </si>
  <si>
    <t>BROOM, OLIVIA</t>
  </si>
  <si>
    <t>bottom</t>
  </si>
  <si>
    <t>A team member (olivia) was putting stock out, a customer came up behind her and groped her on the bottom. after the incident olivia came and spoke to me (Jo) regarding what had happened. i then went and spoke to the customer and his carer about the incident. the carer was aware of what had happened and had made the customer apologies to Olivia directly after the incident.  The carer was very remorseful.</t>
  </si>
  <si>
    <t>SRG-INJ-2709</t>
  </si>
  <si>
    <t>Left Ring finger</t>
  </si>
  <si>
    <t>Alysha was pushing a cage and a hook caught the side of the cage then flicked her hand</t>
  </si>
  <si>
    <t>SRG-INJ-2675</t>
  </si>
  <si>
    <t>AU332614</t>
  </si>
  <si>
    <t>BATH, RYAN</t>
  </si>
  <si>
    <t>Left Ankle/ back of foot achilles tendon</t>
  </si>
  <si>
    <t>Roll Cage dragged behind team member with stock on it, hit back of left ankle.</t>
  </si>
  <si>
    <t>SRG-INJ-2531</t>
  </si>
  <si>
    <t>AU229215</t>
  </si>
  <si>
    <t>RUTLAND-MACDONALD, ASHLEY</t>
  </si>
  <si>
    <t>Right Achilles</t>
  </si>
  <si>
    <t>TM was dragging cage - hit metal lip and nocked ankle</t>
  </si>
  <si>
    <t>SRG-INJ-2077</t>
  </si>
  <si>
    <t>AU237483</t>
  </si>
  <si>
    <t>OWEN, GAYLE</t>
  </si>
  <si>
    <t>Left index Finger</t>
  </si>
  <si>
    <t>Cut left hand index finger with Scissors while cutting Customer Fabric</t>
  </si>
  <si>
    <t>SRG-INJ-1977</t>
  </si>
  <si>
    <t>AU323326</t>
  </si>
  <si>
    <t>LAWRY, JESSICA</t>
  </si>
  <si>
    <t>Working on a cage of stock, turned over a box of craft stock and it slipped out of hand and hit team member in the eye. Box was on the top shelf ontop of another box.</t>
  </si>
  <si>
    <t>SRG-INJ-1778</t>
  </si>
  <si>
    <t>AU317328</t>
  </si>
  <si>
    <t>WHITE, ISABELLA</t>
  </si>
  <si>
    <t>impact to the right hand.</t>
  </si>
  <si>
    <t>Izzy was dragging a stock Z cage in to receiving from the shop floor with excess bed linen stock. she had her hands grasping the side of the cage from the outside. as she walked backwards dragging the cage her hand was caught between the cage and the door opening.</t>
  </si>
  <si>
    <t>SRG-INJ-2253</t>
  </si>
  <si>
    <t>AU308115</t>
  </si>
  <si>
    <t>ORR, GABRIELLE</t>
  </si>
  <si>
    <t>S027</t>
  </si>
  <si>
    <t>South Melbourne</t>
  </si>
  <si>
    <t>left forearm</t>
  </si>
  <si>
    <t>Sound check person had us pop balloons throughout the day. At the end of the day we over filled a 45cm latex balloon til it popped as we had done throughout the day. When it popped it caused cuts on the team members left arm</t>
  </si>
  <si>
    <t>SRG-INJ-3424</t>
  </si>
  <si>
    <t>AU235016</t>
  </si>
  <si>
    <t>HAYWARD, BRUCE</t>
  </si>
  <si>
    <t>S028</t>
  </si>
  <si>
    <t>Bondi Junction</t>
  </si>
  <si>
    <t>not sure in any</t>
  </si>
  <si>
    <t>Bruce informed me that he fell down the stairs near a customers home. He insisted he was fine, claiming the was no need to report the incident, I will have Bruce complete incident report as soon as he arrives at the store</t>
  </si>
  <si>
    <t>SRG-INJ-3165</t>
  </si>
  <si>
    <t>Last week, Bruce reported falling while using a stool to measure windows at a customer's home. He claimed the stool was too short but said he was fine. Later, he returned with a doctor's certificate due to pain in his previously injured hand, and a scan was recommended. Iâ€™ve asked for more details a</t>
  </si>
  <si>
    <t>SRG-INJ-3136</t>
  </si>
  <si>
    <t>AU227261</t>
  </si>
  <si>
    <t>WEBB, CAROL</t>
  </si>
  <si>
    <t>bruising/sore right knee</t>
  </si>
  <si>
    <t>Walking down the back isle in the dress area Carol tripped and fell on her right knee</t>
  </si>
  <si>
    <t>SRG-INJ-2909</t>
  </si>
  <si>
    <t>right wrist swollen</t>
  </si>
  <si>
    <t>While rushing  back to customers house with M2M samples, Bruce tripped on stairs and had a fall. He put his right hand out and hurt his wrist He fell onto his wrist and it was swollen by the time he got to the store to report it. in the night he messaged me to let me know that it has gotten worse</t>
  </si>
  <si>
    <t>SRG-INJ-2340</t>
  </si>
  <si>
    <t>AU312591</t>
  </si>
  <si>
    <t>LATA, NISHITA</t>
  </si>
  <si>
    <t>cut on left side of nose and red mark on left upper eyelid</t>
  </si>
  <si>
    <t>team member was swapping helium tanks when he picked up a bottle of the ground and threw it in the air to catch it and missed and reached out to catch with his right hand and at the same time Nishita was behind him and turned to walked past  and his right handed hit her in the face causing a small cut on her nose and redness on her upper eyelid</t>
  </si>
  <si>
    <t>SRG-INJ-2324</t>
  </si>
  <si>
    <t>Back (R - Lumbar) - Strain / Spain / Muscular Stress</t>
  </si>
  <si>
    <t>HI,  Please see the following details for a car accident on the 19/02/24 at approx.. 1.15pm.  Travelling east on Oxford Street, Paddington. a car in front of me stopped fairly quickly . I believe a car in front of this car was turning right into Flinders St, with little advance warning that I could see..  It managed to stop in time as did the car in front of me.  Unfortunately, the car behind me did not/ could not stop in time.  I quickly saw it in my rearview mirror and after stopping, I took my foot off my brake pedal and let my car roll forward a few feet to try to avoid the car from behind . But this did not happen, and I felt quite I hard Thump/Hit from the Toyota from behind.  The driver, a young girl told me she â€œtried to pump her brakesâ€ in order to stop more quickly but as I think she had anti-skid braking I believe all this did would have extended her breaking distance. Either way she hit my car.  I could see only minimal damage to the Toyotaâ€™s front BUT reasonable damage to the rear of my car did happen. The car is still drivable, and all brake lights and blinker lights still work.  Please advise any additional information that is necessary.  I also have additional photos and a Video of the cars the other driver admitting liability in this matter . This can be sent, or snap shots sent as well from the video.  Thanks.  Bruce Hayward.. Bondi Junction â€¦ 0413988528â€¦</t>
  </si>
  <si>
    <t>SRG-INJ-1661</t>
  </si>
  <si>
    <t>AU206585</t>
  </si>
  <si>
    <t>KAJIC, AMELA</t>
  </si>
  <si>
    <t>hit the top of the head hard on the metal beam that is only about 140cm of the ground. headache,the part of the head was burning and hurting. The next morning started having neck and back pain from the impact</t>
  </si>
  <si>
    <t>I was looking for an item for Ecom in the far corner of despatch,craft excess. The box was on the groung, under shelf pushed all the way to the wall. I bent down to reach the box and as I was taking the box out and standing up I hit my head hard onto a metal beam that is positioned about 140cm of the ground</t>
  </si>
  <si>
    <t>SRG-INJ-3562</t>
  </si>
  <si>
    <t>AU335746</t>
  </si>
  <si>
    <t>DAWE, KANDACE</t>
  </si>
  <si>
    <t>S029</t>
  </si>
  <si>
    <t>left hand sore where previous fracture was</t>
  </si>
  <si>
    <t>was on second step of ladder tidying material and stepped off ladder from 2nd step and fell onto floor putting hands out in front of herself and hurt her newly recovered left hand( from previous incident) landing forward on knees.</t>
  </si>
  <si>
    <t>SRG-INJ-3527</t>
  </si>
  <si>
    <t>AU297830</t>
  </si>
  <si>
    <t>VERBEEK, VERONICA</t>
  </si>
  <si>
    <t>index finger on right hand</t>
  </si>
  <si>
    <t>Veronica verbeek was pulling a roll of fabric out from middle shelf, it was slightly stuck with other rolls and suddenly it came free and finger got stuck between the roll of fabric and the post on the table opposite  small cut on index finger on right hand, bled a lot</t>
  </si>
  <si>
    <t>SRG-INJ-3497</t>
  </si>
  <si>
    <t>AU335744</t>
  </si>
  <si>
    <t>WORSLEY, SARAH</t>
  </si>
  <si>
    <t>small cut on index finger right near knuckle</t>
  </si>
  <si>
    <t>wheeling a cage towards bedding going backwards pulling the cage down main ailse was watching right hand along that side and clipped left hand on front end of rack</t>
  </si>
  <si>
    <t>SRG-INJ-3489</t>
  </si>
  <si>
    <t>left hand caught between cage</t>
  </si>
  <si>
    <t>went to move stock cage to take out to work and hand has got caught between cages, didn't hurt at time so did not mention to team leader working...Did mention to team member Liz.....</t>
  </si>
  <si>
    <t>SRG-INJ-3219</t>
  </si>
  <si>
    <t>AU233395</t>
  </si>
  <si>
    <t>DURSTON, TANIA</t>
  </si>
  <si>
    <t>left foot and ankle</t>
  </si>
  <si>
    <t>walked out of shop into foyer to put a ticket onto a table walked back into shop thru doors to walk behind register counters and stood on edge/ corner of mat and rolled ankle</t>
  </si>
  <si>
    <t>SRG-INJ-3045</t>
  </si>
  <si>
    <t>AU313037</t>
  </si>
  <si>
    <t>VINCETIC, CHRISTINA</t>
  </si>
  <si>
    <t>brusiing to knee and swelling to ankle</t>
  </si>
  <si>
    <t>store had just opened christina was grabbing cardboard rolls for a customer that are kept under the rolling machine has tripped caught her feet ?  ending on her back on the floor.  looks like she hits the counter but have spoken with christina and did not hit the counter with her head, managed to protect and used counter to stabilise herself.  customer did witness but did not leave details.</t>
  </si>
  <si>
    <t>SRG-INJ-3012</t>
  </si>
  <si>
    <t>middle back, left side to centre</t>
  </si>
  <si>
    <t>moving rugs from one eco bin to another and onto rug wall, back has become very sore - middle of back more on left side dtl Chrissy Hayden did come over at end and assisted moving last rug</t>
  </si>
  <si>
    <t>SRG-INJ-2987</t>
  </si>
  <si>
    <t>AU333491</t>
  </si>
  <si>
    <t>CAVERZAN, BRIANNA</t>
  </si>
  <si>
    <t>hit top of head, then hit under nose</t>
  </si>
  <si>
    <t>Brianna was under the table moving boxes of paper. She went to stand up and hit the top of her head on a table. When she hit her head, she moved down and hit under her nose hard on another table.</t>
  </si>
  <si>
    <t>SRG-INJ-2806</t>
  </si>
  <si>
    <t>AU334712</t>
  </si>
  <si>
    <t>GLADMAN, JASMYN</t>
  </si>
  <si>
    <t>pulling a trolley backwards along back ailse and hit hand on a canvas that was sticking our from fixture causing bruising and a scratch</t>
  </si>
  <si>
    <t>SRG-INJ-2319</t>
  </si>
  <si>
    <t>AU230549</t>
  </si>
  <si>
    <t>WALDRON, KYLIE</t>
  </si>
  <si>
    <t>Felt hot and dizzy</t>
  </si>
  <si>
    <t>Team member felt very hot and dizzy, did not faint but felt like she was about to, it feels very warm in store, other team members complained (unaware of Kylie's incident) team member was taken to tea room where it is a lot cooler until she felt better.</t>
  </si>
  <si>
    <t>Other and multiple systemic conditions</t>
  </si>
  <si>
    <t>SRG-INJ-2154</t>
  </si>
  <si>
    <t>AU305469</t>
  </si>
  <si>
    <t>VINCETIC, ELIZABETH</t>
  </si>
  <si>
    <t>redness and slight swelling of face cheeks</t>
  </si>
  <si>
    <t>team member applied sunscreen to her face at 10.30am  as was working outside unloading pallets by 11am she notice her face felt as if it was burning and it was very red had a reaction to the sunscreen</t>
  </si>
  <si>
    <t>SRG-INJ-2050</t>
  </si>
  <si>
    <t>graze/broken skin on left forearm</t>
  </si>
  <si>
    <t>team member was walking towards ready mades from counter along back wall and caught her arm against a blinds divider( fixture) that was in an eco bin and broke the skin on her arm</t>
  </si>
  <si>
    <t>SRG-INJ-2199</t>
  </si>
  <si>
    <t>AU299150</t>
  </si>
  <si>
    <t>KNIGHT, ABBY</t>
  </si>
  <si>
    <t>Grazed Left forearm</t>
  </si>
  <si>
    <t>Abby was looking for shelves on a trolley seeing how many there was, bent down to count them and then when raised herself upwards she didn't realize she was under the shelving on the pallet racking and hit her had on it causing a bump on her head, right side temple and some neck strain</t>
  </si>
  <si>
    <t>SRG-INJ-1703</t>
  </si>
  <si>
    <t>AU320811</t>
  </si>
  <si>
    <t>MARTIN, FIONA</t>
  </si>
  <si>
    <t>both arms and hands, left ankle and knee, back a bot sore from impact</t>
  </si>
  <si>
    <t>coming down the ladder from putting cushions away and mis judged the steps - missed the bottom step and fell to the floor. sore left ankle from landing on concrete and both hands and arms from putting arms out to catch herself</t>
  </si>
  <si>
    <t>SRG-INJ-3229</t>
  </si>
  <si>
    <t>AU235548</t>
  </si>
  <si>
    <t>MOHAMED, CINDY</t>
  </si>
  <si>
    <t>S030</t>
  </si>
  <si>
    <t>Birkenhead Point</t>
  </si>
  <si>
    <t>shoulder / arm RHS</t>
  </si>
  <si>
    <t>strain shoulder by lifting curtains up to the hanging rail</t>
  </si>
  <si>
    <t>SRG-INJ-3148</t>
  </si>
  <si>
    <t>AU336444</t>
  </si>
  <si>
    <t>PEARSE, AMELIA</t>
  </si>
  <si>
    <t>Team member picked up scissors off floor and felt twinge of pain in back</t>
  </si>
  <si>
    <t>SRG-INJ-3040</t>
  </si>
  <si>
    <t>AU200654</t>
  </si>
  <si>
    <t>BOCCALATTE, THERESA</t>
  </si>
  <si>
    <t>Left side</t>
  </si>
  <si>
    <t>Team member fell on left side while pushing heavy box</t>
  </si>
  <si>
    <t>SRG-INJ-3019</t>
  </si>
  <si>
    <t>AU297948</t>
  </si>
  <si>
    <t>CONNELL-EADE, WILLIAM</t>
  </si>
  <si>
    <t>strain in right hand</t>
  </si>
  <si>
    <t>Team member lifted a box to put onto trolley and felt sharp pain in right hand</t>
  </si>
  <si>
    <t>SRG-INJ-2350</t>
  </si>
  <si>
    <t>AU309395</t>
  </si>
  <si>
    <t>YOUNG, ELIZABETH</t>
  </si>
  <si>
    <t>bent to pick up box and felt a twinge in right hip region  pain in lower back</t>
  </si>
  <si>
    <t>SRG-INJ-2071</t>
  </si>
  <si>
    <t>AU328330</t>
  </si>
  <si>
    <t>MORGAN, HENRY</t>
  </si>
  <si>
    <t>Right Thumb - suspected broken</t>
  </si>
  <si>
    <t>Pushing trolley and got thumb stuck in trolley</t>
  </si>
  <si>
    <t>SRG-INJ-3465</t>
  </si>
  <si>
    <t>AU237599</t>
  </si>
  <si>
    <t>WALLACE, JESSICA</t>
  </si>
  <si>
    <t>S034</t>
  </si>
  <si>
    <t>right wrist, sprained from lifting boxes</t>
  </si>
  <si>
    <t>unloading mancehester stock from trolley</t>
  </si>
  <si>
    <t>SRG-INJ-3444</t>
  </si>
  <si>
    <t>AU313635</t>
  </si>
  <si>
    <t>SERBEC, EMMA</t>
  </si>
  <si>
    <t>bruised hand</t>
  </si>
  <si>
    <t>team member was pushing  trolley of appliance's to a different location of the racetrack, team members hand got squashed in between trolley and front panel. felt faint and hand bruised straight away</t>
  </si>
  <si>
    <t>SRG-INJ-3464</t>
  </si>
  <si>
    <t>AU221656</t>
  </si>
  <si>
    <t>LOONE, MARLENE</t>
  </si>
  <si>
    <t>Spotlight QLD</t>
  </si>
  <si>
    <t>S035</t>
  </si>
  <si>
    <t>bruised/crushed left hand.</t>
  </si>
  <si>
    <t>Removing shelf fixture, shelf slipped and crushed team members hand.</t>
  </si>
  <si>
    <t>SRG-INJ-3274</t>
  </si>
  <si>
    <t>AU207711</t>
  </si>
  <si>
    <t>STRONACH, AUDREY</t>
  </si>
  <si>
    <t>Bruising and pain, upper right leg.</t>
  </si>
  <si>
    <t>Helium tank fell onto team members leg.</t>
  </si>
  <si>
    <t>SRG-INJ-3273</t>
  </si>
  <si>
    <t>Bruised and swelling of left ankle.</t>
  </si>
  <si>
    <t>Team member stuck a part of the WAVE with their ankle that was on charge just outside the back office door.</t>
  </si>
  <si>
    <t>Other mobile plant</t>
  </si>
  <si>
    <t>SRG-INJ-2149</t>
  </si>
  <si>
    <t>AU310853</t>
  </si>
  <si>
    <t>DONALDSON, HALEIGH</t>
  </si>
  <si>
    <t>Left foot - Unspecified</t>
  </si>
  <si>
    <t>Pallet ran into Team Members foot</t>
  </si>
  <si>
    <t>SRG-INJ-1898</t>
  </si>
  <si>
    <t>AU221487</t>
  </si>
  <si>
    <t>STRONACH, NATHAN</t>
  </si>
  <si>
    <t>Head (back) / Back - Unspecified</t>
  </si>
  <si>
    <t>Chair at custom made counter collapsed under team member, he fell and hit his head on the chair as he fell.</t>
  </si>
  <si>
    <t>SRG-INJ-1794</t>
  </si>
  <si>
    <t>Shelf of roll cage fell down and hit Audrey on the head.</t>
  </si>
  <si>
    <t>SRG-INJ-3185</t>
  </si>
  <si>
    <t>S24QJ198621</t>
  </si>
  <si>
    <t>AU235832</t>
  </si>
  <si>
    <t>MCTAGUE, FRANCIS</t>
  </si>
  <si>
    <t>S036</t>
  </si>
  <si>
    <t>MACGREGOR</t>
  </si>
  <si>
    <t>Lower back injury</t>
  </si>
  <si>
    <t>The injury occurred on Saturday 30th November after Francis was cleaning up the Rug room that day she could feel a pain in my lower back once the day had ended.</t>
  </si>
  <si>
    <t>SRG-INJ-2957</t>
  </si>
  <si>
    <t>team member was pulling cage of stock and as she passed the pole on the left her hand was squashed between the cage and pole</t>
  </si>
  <si>
    <t>SRG-INJ-2835</t>
  </si>
  <si>
    <t>AU333250</t>
  </si>
  <si>
    <t>PEARCE, TYLON</t>
  </si>
  <si>
    <t>squashed foot</t>
  </si>
  <si>
    <t>Team member was using pallet jack and some how ran over his foot with the pallet jack. team member released the safety trigger on the pallet jack. Pallet jack when down and landed on team members foot causing injury.</t>
  </si>
  <si>
    <t>SRG-INJ-1912</t>
  </si>
  <si>
    <t>AU302491</t>
  </si>
  <si>
    <t>PACHER, KIMBERLEY</t>
  </si>
  <si>
    <t>Head (back) / Wrist (right) - Unspecified</t>
  </si>
  <si>
    <t>Kim was un boxing some flip out sofas and as she pulled the box from the pallet she got her foot caught in the pallet wrap and fell backwards, landing on her right wrist and hit the back of her head</t>
  </si>
  <si>
    <t>SRG-INJ-1685</t>
  </si>
  <si>
    <t>AU303886</t>
  </si>
  <si>
    <t>CONRAD, SARAH</t>
  </si>
  <si>
    <t>Nose as Sarah wears sunglasses while in the sun</t>
  </si>
  <si>
    <t>Sarah was unloading pallets when she went to walk around and pick up the pallet wrap her shoe got caught in it causing her to fall and face plant into the unpacked pallet</t>
  </si>
  <si>
    <t>SRG-INJ-1662</t>
  </si>
  <si>
    <t>S23KS033702</t>
  </si>
  <si>
    <t>AU298326</t>
  </si>
  <si>
    <t>BREEN, JANIE</t>
  </si>
  <si>
    <t>Finger - Lacerate 3rd left finger</t>
  </si>
  <si>
    <t>Janie was shutting the doors when they were on manual mode - door slammed on her finger because she forgot to remove her hand from the door</t>
  </si>
  <si>
    <t>SRG-INJ-3499</t>
  </si>
  <si>
    <t>AU200621</t>
  </si>
  <si>
    <t>NEAL, JODIE</t>
  </si>
  <si>
    <t>S037</t>
  </si>
  <si>
    <t>Scrape to left knee, bruising to left hand, two small cuts to left hand and bump on left side forehead</t>
  </si>
  <si>
    <t>Was walking back into the store and don't know how exactly slipped/tripped over. landed on left knee and used left hand to land on but head also hit the pavement. There was a piece of cardboard on the ground that she may have slipped on</t>
  </si>
  <si>
    <t>SRG-INJ-3470</t>
  </si>
  <si>
    <t>AU332054</t>
  </si>
  <si>
    <t>ANDREWS, MADELYN</t>
  </si>
  <si>
    <t>Outer right side ankle and left knee cap</t>
  </si>
  <si>
    <t>Maddy was exiting store where she rolled her right ankle as she was stepping onto the lower step. She then landed on her left knee causing a slight graze to her knee cap</t>
  </si>
  <si>
    <t>SRG-INJ-3471</t>
  </si>
  <si>
    <t>AU306111</t>
  </si>
  <si>
    <t>TIMOTIN, MICHELLE</t>
  </si>
  <si>
    <t>Outer left ankle</t>
  </si>
  <si>
    <t>Michelle was breaking a load of Easter and stepped onto the pallet. Her left foot wedged into the open slat space causing some swelling in her ankle.</t>
  </si>
  <si>
    <t>SRG-INJ-3453</t>
  </si>
  <si>
    <t>AU292972</t>
  </si>
  <si>
    <t>ROONEY, JUDITH</t>
  </si>
  <si>
    <t>Right elbow</t>
  </si>
  <si>
    <t>Judith's right leg and it just gave way and she fell backwards onto her bottom. on the way down her right elbow hit a aisle basket and caused bruising and a small cut</t>
  </si>
  <si>
    <t>SRG-INJ-3232</t>
  </si>
  <si>
    <t>AU336283</t>
  </si>
  <si>
    <t>MUNOZ, LAURA</t>
  </si>
  <si>
    <t>Right Hand, bruising and grazes</t>
  </si>
  <si>
    <t>Pulling an upright with hands on the outer side of trolley, where going through walkway that has mats on hooks  and scrapped right top of hand on the exposed hooks</t>
  </si>
  <si>
    <t>SRG-INJ-3218</t>
  </si>
  <si>
    <t>AU303956</t>
  </si>
  <si>
    <t>CAMPBELL, LEAANN</t>
  </si>
  <si>
    <t>Lower right back</t>
  </si>
  <si>
    <t>Lea was pulling her lap top bag from the front seat of her car and has pulled a muscle in her lower right back</t>
  </si>
  <si>
    <t>SRG-INJ-3110</t>
  </si>
  <si>
    <t>AU200731</t>
  </si>
  <si>
    <t>CEN, AMIE</t>
  </si>
  <si>
    <t>Right knee jarred as her foot went from underneath her and landed on her bottom</t>
  </si>
  <si>
    <t>Amie slipped on water that was on the ground whilst helping a customer hurting her right knee and her right bottom</t>
  </si>
  <si>
    <t>SRG-INJ-3084</t>
  </si>
  <si>
    <t>AU332082</t>
  </si>
  <si>
    <t>COLLINS, KATE</t>
  </si>
  <si>
    <t>Kate has reported to me that she was putting the candle making boxes on the shelf, thboxes on the shelf one fall down hit her straight on the nose, Kate has mentioned she has broken her nose, previous.  Kate has mentioned some swelling around the area that the box made contact with.</t>
  </si>
  <si>
    <t>SRG-INJ-2908</t>
  </si>
  <si>
    <t>AU332866</t>
  </si>
  <si>
    <t>AJAK, AYEN</t>
  </si>
  <si>
    <t>Right Hand middle finger</t>
  </si>
  <si>
    <t>Ayen was pulling a cage through the first aisle of kitchen, and she turned around to see if their was anything behind her, towards the middle of the aisle. , her right hand was jammed between and caused injury to the middle finger on her right hand.</t>
  </si>
  <si>
    <t>SRG-INJ-2886</t>
  </si>
  <si>
    <t>AU327184</t>
  </si>
  <si>
    <t>JOHNSON, HAYLEY</t>
  </si>
  <si>
    <t>fabric bolt hit the side of Hayleys head and left ear</t>
  </si>
  <si>
    <t>Hayley was working in the quilting department, whilst picking up fabric hit her head on the fabric bolt when trying to pick it up. the fabric has hit her in the head and the side of her ear. this was on the left side of the head</t>
  </si>
  <si>
    <t>SRG-INJ-2858</t>
  </si>
  <si>
    <t>AU203761</t>
  </si>
  <si>
    <t>KEELEY, MARTHESE</t>
  </si>
  <si>
    <t>middle finger on the right hand</t>
  </si>
  <si>
    <t>Marthese was pushing a dip and got her finger jammed between the dip and fixturing and cut her finger</t>
  </si>
  <si>
    <t>SRG-INJ-2859</t>
  </si>
  <si>
    <t>AU334598</t>
  </si>
  <si>
    <t>MANI, ARDA</t>
  </si>
  <si>
    <t>left hand 4th finger</t>
  </si>
  <si>
    <t>Arda was taking stock out of a box and cut his 4th finger on his left hand</t>
  </si>
  <si>
    <t>SRG-INJ-2743</t>
  </si>
  <si>
    <t>AU236739</t>
  </si>
  <si>
    <t>LEPAR, VESNA</t>
  </si>
  <si>
    <t>Vesna Lepar was picking the click and collect, and as she was holding the blind that was 240 tall. The blind slipped and hit her in the right shoulder where  Vesna had previous Surgery with a torn muscle.</t>
  </si>
  <si>
    <t>SRG-INJ-2735</t>
  </si>
  <si>
    <t>Maddy was serving a customer and when another team member moved a trolley, it hit a blind that was standing up, where it fell and hit Maddy on the back of her head.</t>
  </si>
  <si>
    <t>SRG-INJ-2715</t>
  </si>
  <si>
    <t>mid section of the  back of the head</t>
  </si>
  <si>
    <t>Judith was putting blinds into euro and as she was turning around to get some more blinds, at this point, Judith informed me that she turned in a awkward position at which point Judith fall over and hit the mid section of of her head..</t>
  </si>
  <si>
    <t>SRG-INJ-2707</t>
  </si>
  <si>
    <t>AU312853</t>
  </si>
  <si>
    <t>OBRIEN, CATHERINE</t>
  </si>
  <si>
    <t>Right Hand, middle finger</t>
  </si>
  <si>
    <t>Catherine was assisting a customer and when walking with him she tripped on a roll of material and when nearly falling to the floor she grabbed onto the shelving where she bent her right middle finger back.</t>
  </si>
  <si>
    <t>SRG-INJ-2711</t>
  </si>
  <si>
    <t>Vesna was picking Click and Collect order and when she bent down to pick up a packet of carbon paper - felt a sharp pain in her lower back</t>
  </si>
  <si>
    <t>SRG-INJ-2524</t>
  </si>
  <si>
    <t>AU334173</t>
  </si>
  <si>
    <t>SHEAD, SAMANTHA</t>
  </si>
  <si>
    <t>Sam was using a upright to move stock and the mid shelf wasn't locked in correctly and from the distance I was standing I heard it come back down ad was approached by Sam who had informed me it hit her in the head which i inspected for injury their was no sign of bleeding or bruises at the time of the incident</t>
  </si>
  <si>
    <t>SRG-INJ-2505</t>
  </si>
  <si>
    <t>AU222759</t>
  </si>
  <si>
    <t>HOFFMAN, ASHLEY</t>
  </si>
  <si>
    <t>Right Hand</t>
  </si>
  <si>
    <t>Sam was pushing a upright cage, while pushing the cage Sam was approached by a customer during the interaction Sam's right hand was stuck between the support pillar and the cage as the spooked Sam while she was pushing the cage</t>
  </si>
  <si>
    <t>SRG-INJ-2313</t>
  </si>
  <si>
    <t>AU232513</t>
  </si>
  <si>
    <t>HAMILTON, TIMOTHY</t>
  </si>
  <si>
    <t>Arm (Upper near armpit) - Bite / Sting</t>
  </si>
  <si>
    <t>Team member was bitten by a spider while unpacking a pallet, causing a stinging sensation.</t>
  </si>
  <si>
    <t>Poisoning and toxic effects of substances</t>
  </si>
  <si>
    <t>SRG-INJ-1915</t>
  </si>
  <si>
    <t>sprained left hand</t>
  </si>
  <si>
    <t>was tidying fabrics and got thumb caught on fixture. hand is swollen.</t>
  </si>
  <si>
    <t>SRG-INJ-1889</t>
  </si>
  <si>
    <t>AU205718</t>
  </si>
  <si>
    <t>WYLIE, CAROLINE</t>
  </si>
  <si>
    <t>Hip and scratches on right arm</t>
  </si>
  <si>
    <t>Carol was decending down a ladder and missed the bottom step and landed hard on her right leg and feel to ground landing on her hip and right arm</t>
  </si>
  <si>
    <t>SRG-INJ-1747</t>
  </si>
  <si>
    <t>AU309869</t>
  </si>
  <si>
    <t>AFIOUNI, NAMAT</t>
  </si>
  <si>
    <t>Namat was changing the location of an empty shelf where a slight pain started in her right wrist, but then the pain intensified and her vain in her wrist seemed to swell up.</t>
  </si>
  <si>
    <t>SRG-INJ-1705</t>
  </si>
  <si>
    <t>AU321250</t>
  </si>
  <si>
    <t>NEAVE, SAMANTHA</t>
  </si>
  <si>
    <t>back and shoulder</t>
  </si>
  <si>
    <t>heavy lifting from excess racking caused the team member to pull a muscle in their back up through their shoulder</t>
  </si>
  <si>
    <t>SRG-INJ-3554</t>
  </si>
  <si>
    <t>AU235758</t>
  </si>
  <si>
    <t>WISHEY, JANELLE</t>
  </si>
  <si>
    <t>S038</t>
  </si>
  <si>
    <t>Cleaner has mopped the staff room leaving the floor very wet. No signage was put out advising of wet floor, Team member has slipped and fell on the wet floor and hurt her lower back.</t>
  </si>
  <si>
    <t>SRG-INJ-3000</t>
  </si>
  <si>
    <t>S24EA177099</t>
  </si>
  <si>
    <t>AU238886</t>
  </si>
  <si>
    <t>VICKERY, SAMANTHA</t>
  </si>
  <si>
    <t>was pulling stock trolley came around corner and crushed hand between trolley and gabling</t>
  </si>
  <si>
    <t>SRG-INJ-2872</t>
  </si>
  <si>
    <t>S24AQ162520</t>
  </si>
  <si>
    <t>AU221659</t>
  </si>
  <si>
    <t>O'CONNELL, TIFFANY</t>
  </si>
  <si>
    <t>repetitive stress injury to left elbow</t>
  </si>
  <si>
    <t>was unloading delivery on loading dock downstairs and loading into hoist to bring delivery upstairs. repetitive lifting of heavy dinnersets etc caused left elbow to start hurting.</t>
  </si>
  <si>
    <t>SRG-INJ-2863</t>
  </si>
  <si>
    <t>AU333514</t>
  </si>
  <si>
    <t>RICHARDS, ABBEY</t>
  </si>
  <si>
    <t>cut to head</t>
  </si>
  <si>
    <t>Was putting away made to measure when an RB bar was knocked off and fell down and hit TM on head</t>
  </si>
  <si>
    <t>SRG-INJ-2775</t>
  </si>
  <si>
    <t>S24XJ148192</t>
  </si>
  <si>
    <t>PELVIC REGION AND THUMB</t>
  </si>
  <si>
    <t>TEAM MEMBER WAS RUNNING TO FIX PA SYSTEM WHEN TRIPPED AND FELL ONTO HER FRONT ON THE FLOOR</t>
  </si>
  <si>
    <t>SRG-INJ-2688</t>
  </si>
  <si>
    <t>S23HF136756</t>
  </si>
  <si>
    <t>AU330180</t>
  </si>
  <si>
    <t>GALLAGHER, KEELY</t>
  </si>
  <si>
    <t>potential pulled muscle in back</t>
  </si>
  <si>
    <t>Team member was bending over to pick up stock and felt a pinching sensation in her back</t>
  </si>
  <si>
    <t>SRG-INJ-2250</t>
  </si>
  <si>
    <t>AU237293</t>
  </si>
  <si>
    <t>CLARE, MEGAN</t>
  </si>
  <si>
    <t>Knee/Ankle - Not Specified</t>
  </si>
  <si>
    <t>Team Member was cutting tabletone for customer. She walked back to the counter with the cut piece of tabletone, holding the piece of tabletone in front of her while walking. She has tripped over the long piece of tabletone near the counter and fallen to the floor.</t>
  </si>
  <si>
    <t>SRG-INJ-2141</t>
  </si>
  <si>
    <t>AU324090</t>
  </si>
  <si>
    <t>WISEMAN, HARMONY</t>
  </si>
  <si>
    <t>Team member was merchandising new photo frames when a frame fell forward and hit team member on the head</t>
  </si>
  <si>
    <t>SRG-INJ-1663</t>
  </si>
  <si>
    <t>AU214909</t>
  </si>
  <si>
    <t>SCOTT, MICHELLE</t>
  </si>
  <si>
    <t>Unpacking M2M shutters, one of the longer boxes got hooked and bounced back catching Michelle on the thumb. Pushing thumb backwards.</t>
  </si>
  <si>
    <t>SRG-INJ-3584</t>
  </si>
  <si>
    <t>AU338629</t>
  </si>
  <si>
    <t>BULLIVANT, ANNA</t>
  </si>
  <si>
    <t>S039</t>
  </si>
  <si>
    <t>Very painful graze on right hand. Hard to use and move. Throbbing feeling. Sore.</t>
  </si>
  <si>
    <t>Assisting a customer to retrieve a  blind. Went into the isle with Roller blinds and went to lift out a Blind from the fixture and it kicked the top bar off the sides which then fell onto my hand. RB Bar fell which was not fixed with support to help stay in place. Blind too tall. Higher than the fixtures above.</t>
  </si>
  <si>
    <t>SRG-INJ-3485</t>
  </si>
  <si>
    <t>S24NP229695</t>
  </si>
  <si>
    <t>AU201757</t>
  </si>
  <si>
    <t>SZYSZ, PATRICIA</t>
  </si>
  <si>
    <t>Left shoulder and both knees</t>
  </si>
  <si>
    <t>Trish was walking and has tripped over her own feet and fallen on her knees and shoulder</t>
  </si>
  <si>
    <t>SRG-INJ-2996</t>
  </si>
  <si>
    <t>AU330551</t>
  </si>
  <si>
    <t>BALLINGER, KATRINA</t>
  </si>
  <si>
    <t>Buttox &amp; Left Knee</t>
  </si>
  <si>
    <t>Katrina was walking across the race track when she has slipped over on water that was on the floor that has leaked from the roof due to the rain and landed on her buttox.</t>
  </si>
  <si>
    <t>SRG-INJ-2997</t>
  </si>
  <si>
    <t>left knee bruising</t>
  </si>
  <si>
    <t>Katrina was helping a customer when she has slipped on water on the floor due to the rain and customers walking in with wet shoes, she has slipped over on her knee</t>
  </si>
  <si>
    <t>SRG-INJ-2930</t>
  </si>
  <si>
    <t>S24JQ167115</t>
  </si>
  <si>
    <t>AU321776</t>
  </si>
  <si>
    <t>BAXTER, KIM</t>
  </si>
  <si>
    <t>Upper back in shoulder blades</t>
  </si>
  <si>
    <t>Kim was bending over to fix fabrics and heard a pop in her back</t>
  </si>
  <si>
    <t>SRG-INJ-2915</t>
  </si>
  <si>
    <t>AU335248</t>
  </si>
  <si>
    <t>BLACKLEY, HALLIE</t>
  </si>
  <si>
    <t>Hip/upper left leg</t>
  </si>
  <si>
    <t>Team member got caught on a fixture bruised her hip</t>
  </si>
  <si>
    <t>SRG-INJ-2905</t>
  </si>
  <si>
    <t>S23YL163497</t>
  </si>
  <si>
    <t>AU236263</t>
  </si>
  <si>
    <t>RICHARDS, SUSAN</t>
  </si>
  <si>
    <t>Shoulders</t>
  </si>
  <si>
    <t>Team Member Susan Richards, did not originally report this injury but as of last week has commented that over the course of time her shoulder is causing her pain through certain movements in sew centre. Such as the tight squeeze of the fabrics or rolling the fabric out.</t>
  </si>
  <si>
    <t>SRG-INJ-3038</t>
  </si>
  <si>
    <t>S24GR180320</t>
  </si>
  <si>
    <t>Team member through continuous same movement has resulted in not being able to move her arm straight and the shoulder blade and shoulder locks.</t>
  </si>
  <si>
    <t>SRG-INJ-2846</t>
  </si>
  <si>
    <t>AU303859</t>
  </si>
  <si>
    <t>CHUNG KWAN- FUIMAONO, MARIA</t>
  </si>
  <si>
    <t>lft knee</t>
  </si>
  <si>
    <t>Maria slipped on water that was on the floor from emptying buckets of water on the shop floor,</t>
  </si>
  <si>
    <t>SRG-INJ-2798</t>
  </si>
  <si>
    <t>AU322588</t>
  </si>
  <si>
    <t>MORENO-GALIOS, JASMINE</t>
  </si>
  <si>
    <t>top of right foot</t>
  </si>
  <si>
    <t>Sila was pushing a pallet into store and hit Jasmines right foot</t>
  </si>
  <si>
    <t>SRG-INJ-2799</t>
  </si>
  <si>
    <t>AU216205</t>
  </si>
  <si>
    <t>HAZELGROVE, ELIZABETH</t>
  </si>
  <si>
    <t>right leg</t>
  </si>
  <si>
    <t>beth was lifting large box when the product fell out and hit her on the leg</t>
  </si>
  <si>
    <t>SRG-INJ-2450</t>
  </si>
  <si>
    <t>AU239835</t>
  </si>
  <si>
    <t>SHAW, BRENDON</t>
  </si>
  <si>
    <t>left hand bruising</t>
  </si>
  <si>
    <t>Brendon was putting up signage near the front doors when they have opened up and squashed his hand</t>
  </si>
  <si>
    <t>SRG-INJ-2444</t>
  </si>
  <si>
    <t>AU332467</t>
  </si>
  <si>
    <t>WARWICK, DANIEL</t>
  </si>
  <si>
    <t>lower right back/kidney</t>
  </si>
  <si>
    <t>Team member was pulling empty bin and backed into the corner of another bin</t>
  </si>
  <si>
    <t>SRG-INJ-2401</t>
  </si>
  <si>
    <t>AU309279</t>
  </si>
  <si>
    <t>SMITH, OLIVIA</t>
  </si>
  <si>
    <t>Lower back right hand side</t>
  </si>
  <si>
    <t>Olivia was bringing out a full pallet of stock from despatch when she has backed into a trolley that was full of stock left by the despatch door which was not visible through the clear doors.</t>
  </si>
  <si>
    <t>SRG-INJ-1992</t>
  </si>
  <si>
    <t>Hand (left) - Laceration</t>
  </si>
  <si>
    <t>Katrina was putting away stock when she came across a broken photo frame in the ceva bin that she was working out of.  upon finding the broken frame she has taken it to her supervisor Silia who disposed of it. and then upon returning to continue working on the stock in the ceva bin when she has grabbed another frame (unbroken) and unknowingly it had a shard of glass on it, and it has imbedded into her hand. Katrina immediately removed the glass from her hand and sought the help of another staff member (Olivia) who has assisted Katrina with first aid by washing the wound and applying band aids.</t>
  </si>
  <si>
    <t>SRG-INJ-1978</t>
  </si>
  <si>
    <t>AU310133</t>
  </si>
  <si>
    <t>PANDELAKIS, LAUREN</t>
  </si>
  <si>
    <t>Right Eye</t>
  </si>
  <si>
    <t>Lauren was working in her department putting out stock and needed to clean her hands as they got dirty. She went to the sew center registers where the bottle of hand sanitizer was kept. The bottle sat high on a shelf and as Lauren pressed the dispenser it shot straight directly into her eye. First Aid was immediately given in the Tea room following this incident. Nassey (myself) assisted Lauren to an eye wash bath using a bottle lid as no Eye Wash bath was held in the First Aid Kit. Lauren then immediately called her family to pick her up. Lauren then went to receive Medical help at her GP.</t>
  </si>
  <si>
    <t>SRG-INJ-1868</t>
  </si>
  <si>
    <t>AU314134</t>
  </si>
  <si>
    <t>AH-TOON, RUTH</t>
  </si>
  <si>
    <t>Leg (right - knee) - Unspecified</t>
  </si>
  <si>
    <t>uth ah-toon was lifting metal  cocky perch  and the metal corner hit her right leg side of her knee</t>
  </si>
  <si>
    <t>SRG-INJ-1846</t>
  </si>
  <si>
    <t>AU330661</t>
  </si>
  <si>
    <t>CHEESEMAN, JAKEB</t>
  </si>
  <si>
    <t>Finger (right index) - Biological (needle stick)</t>
  </si>
  <si>
    <t>On 25/09/2023 Jakeb requested to leave for his half an hour break at around 10am as his mother had called to remind him to take his anti seizure medication. He has appeared out of sorts for the duration of stocktake, stating to Ruth that he had been working double shifts.  Jakeb Cheeseman was Stocktaking the wiltshire baking bay on 27/09/2023 and was jabbed with a blood filled unisharp 27 needle on his right hand index finger - a midwife nurse on stocktake duty suggested that the blood was quite fresh, it is a dark maroon colour.   Deb Carol witnessed  Jakeb put his stocktake gun down and leave the area, she did not see anything happen and stated that Jakeb made no sound, Deb was unaware that anything had happened.  Lynda Guinea stated that jakeb made no sound, he simply stood up and walked away as if he had completed counting his bay.   We have written statements from both team members.  On 27/09/2023 Shannon Parker rushed Jakeb to the medical centre. The nurse saw Jakeb immediately who informed him that blood tests would be taken today, with a follow up appointment and tests to be done in three months. The nurse stated that the likelihood of contracting something was minimal, but this has caused jakeb stress and concern as it would anyone.   Jakeb expressed that he was feeling unwell and uneasy about the events that had taken place and was waiting to speak with a doctor - however was keen to return to Stocktake after he had seen the doctor.</t>
  </si>
  <si>
    <t>Medical sharp/needle-stick puncture</t>
  </si>
  <si>
    <t>SRG-INJ-1734</t>
  </si>
  <si>
    <t>AU314811</t>
  </si>
  <si>
    <t>CARPENTER, JADE</t>
  </si>
  <si>
    <t>Right lower back and buttox have bruising and a cut/deep scratch</t>
  </si>
  <si>
    <t>A team member has placed a customers click and collect order (a large blind) against the counter The blind has slipped and struck another team member in the lower back/buttox area causing bruising and a cut.</t>
  </si>
  <si>
    <t>SRG-INJ-3570</t>
  </si>
  <si>
    <t>AU334429</t>
  </si>
  <si>
    <t>GREENTREE, SHARRON</t>
  </si>
  <si>
    <t>S040</t>
  </si>
  <si>
    <t>Tamworth</t>
  </si>
  <si>
    <t>Whilst Sharon Greentree working wool in the section with a 3 step ladder. She was stepping down, holding with 1 hand as she had stock in another. she missed step the last run and fell to the floor onto her knees and wrists .</t>
  </si>
  <si>
    <t>SRG-INJ-3532</t>
  </si>
  <si>
    <t>AU313688</t>
  </si>
  <si>
    <t>SHEEN, KIM</t>
  </si>
  <si>
    <t>As I was informed. Kim lifted a carton of frames onto a furniture trolley weighing a little over 12kg (picture available) she felt a strange feeling in her lower back, not thinking much of it. However looking at CCTV I did notice that 3 minutes prior Kim Struggled with a Door mirror box weighing 14.1kg and 2 Arch mirrors weighing 9.5kg ea. Shortly after she proceeded to bend down to pick up a pallet from the floor to drag it outside and instantly felt a sharp pain in the lower back. She found herself in significant pain  for which she called for assistance from team members . At this point she did not have the ability to sit. She stated to a team member Karen Foley that she felt tingles going down her right leg from the lower back. Both Karen Foley and Beth Todhunter offered her a chair as to rest, however when they try to assist her, Kim let out a scream in pain. Lucky at the time an Ambulance team were in the shop and offered assistance.</t>
  </si>
  <si>
    <t>SRG-INJ-3373</t>
  </si>
  <si>
    <t>AU327350</t>
  </si>
  <si>
    <t>SMITH, WILLIAM</t>
  </si>
  <si>
    <t>finger pinched</t>
  </si>
  <si>
    <t>The deliver driver insisted the stillage be removed from the truck I went to adjust the walkie stackers forks to better distribute the weight and I lost grip on the fork causing it to come down and pinch my finger.</t>
  </si>
  <si>
    <t>SRG-INJ-3325</t>
  </si>
  <si>
    <t>AU334368</t>
  </si>
  <si>
    <t>FILICIETTI, TRACEY</t>
  </si>
  <si>
    <t>to her left thumb</t>
  </si>
  <si>
    <t>Tracey Filicietti, Cut her finger whilst repacking an ART EASEL  Renoir Universal Folding Easel Natural 9321507017652</t>
  </si>
  <si>
    <t>SRG-INJ-2659</t>
  </si>
  <si>
    <t>AU331237</t>
  </si>
  <si>
    <t>DUSTIN, NATASHA</t>
  </si>
  <si>
    <t>strain to right knee</t>
  </si>
  <si>
    <t>Natasha Dunstan Lifted the Zypher Vinyl to the cutting table. whilst cutting 2 meters she strained her knee when maneuvering it.</t>
  </si>
  <si>
    <t>SRG-INJ-2018</t>
  </si>
  <si>
    <t>AU326469</t>
  </si>
  <si>
    <t>MORRISON, JODIE</t>
  </si>
  <si>
    <t>Shoulder Rotator Cuff Injury</t>
  </si>
  <si>
    <t>felt discomfort in shoulder on Monday, thought little of it as I took it as a strain and worked through to Thursday and noticed it was becoming unbearable for which I was sent home prior to starting my Friday shift. I then sought my doctors advice.</t>
  </si>
  <si>
    <t>SRG-INJ-1745</t>
  </si>
  <si>
    <t>AU324547</t>
  </si>
  <si>
    <t>DEVINE, MARGARET</t>
  </si>
  <si>
    <t>Foot is bruised and swollen</t>
  </si>
  <si>
    <t>Team member was helping a customer and accidentally kicked the baseline of the fixture. She has swelling and bruising to her right foot.</t>
  </si>
  <si>
    <t>SRG-INJ-1686</t>
  </si>
  <si>
    <t>Lower portion of right foot</t>
  </si>
  <si>
    <t>Whilst unloading the truck, going backward the walker was turning, I did not move my foot fast enough, and the walker ran over the lower portion of the right foot.</t>
  </si>
  <si>
    <t>SRG-INJ-1656</t>
  </si>
  <si>
    <t>Kim Sheen, Was moving an shelf from our old fixtures in sewing approx 11:30 am 26.7.2023. when she strained her lower back, which has caused increased discomfort throughout the day.</t>
  </si>
  <si>
    <t>SRG-INJ-3337</t>
  </si>
  <si>
    <t>AU240308</t>
  </si>
  <si>
    <t>MURRAY, JUDITH</t>
  </si>
  <si>
    <t>S041</t>
  </si>
  <si>
    <t>Judy Team member was coming down a three step ladder when her foot slipped in to the run and lost her balance and fell to the ground on carpet, resulted on compound fracture,   Ambulance attended and gave first Aid and was taken to Dubbo Base Hospital</t>
  </si>
  <si>
    <t>SRG-INJ-3283</t>
  </si>
  <si>
    <t>AU235560</t>
  </si>
  <si>
    <t>LITTLE, DEBORAH</t>
  </si>
  <si>
    <t>right forearm / right shoulder</t>
  </si>
  <si>
    <t>TM  inquired arm while empty rubbish into big bins out the side of store</t>
  </si>
  <si>
    <t>SRG-INJ-3035</t>
  </si>
  <si>
    <t>AU300472</t>
  </si>
  <si>
    <t>PEARSON, DONNA</t>
  </si>
  <si>
    <t>Top of Foot</t>
  </si>
  <si>
    <t xml:space="preserve">When she grabbed the trolley the lap trays that were on the bottom of the trolley (hanging over the side of trolley) got caught on another box on the trolley that had heavy 'cube shelves' in it, which in turn has fallen on the top of my foot, causing a lump on the top of Donna foot.  </t>
  </si>
  <si>
    <t>SRG-INJ-2318</t>
  </si>
  <si>
    <t>AU333003</t>
  </si>
  <si>
    <t>THOMPSON, MARDI</t>
  </si>
  <si>
    <t>Shoulder (R) - Fracture</t>
  </si>
  <si>
    <t>Originally I was breaking down the load. I went over to help a team member (Jenny) stack a black euro bin on top of another euro bin. I picked the euro bin up and moved to the right and as I was doing so, I tripped over a pallet that was immediately behind me. I stuck my arm out as I was falling to brace myself on the wall and as that happened I heard my shoulder crack loudly and fell to the ground.  I couldn't move my right arm directly after the fact, so Jenny ran to get me some ice, but I called her back for assistance to get up as I couldn't bare any weight on my arm. Jenny helped me up, I went into the office and called my colleague. I didn't want an ambulance to be called and rang my friend to take me to the hospital.</t>
  </si>
  <si>
    <t>SRG-INJ-3548</t>
  </si>
  <si>
    <t>AU330302</t>
  </si>
  <si>
    <t>GREEN, ANNA</t>
  </si>
  <si>
    <t>S042</t>
  </si>
  <si>
    <t>Queanbeyan</t>
  </si>
  <si>
    <t>Injury occurred on right cheek bone. Metal bar holding curtains up fell and the middle part of the bar hit her</t>
  </si>
  <si>
    <t>Anna was putting excess up, however didn't use a step stool so when reaching to put curtains away accidently knocked off bar that was above head height</t>
  </si>
  <si>
    <t>SRG-INJ-3549</t>
  </si>
  <si>
    <t>AU334824</t>
  </si>
  <si>
    <t>BROWN, ABIGAIL</t>
  </si>
  <si>
    <t>Middle Finger Right Hand</t>
  </si>
  <si>
    <t>Abi picked up a stock box and in process of lifting has ripped off a nail - middle finger, right hand - as her fake nail was caught in box and pulled real nail off underneath as box slid from her grasp onto the stock cage.</t>
  </si>
  <si>
    <t>SRG-INJ-3525</t>
  </si>
  <si>
    <t>AU322549</t>
  </si>
  <si>
    <t>POOK, SIMONE</t>
  </si>
  <si>
    <t>pelvis - stretched ligaments</t>
  </si>
  <si>
    <t xml:space="preserve"> I strained a ligament in my pelvis while putting fabric away, and by late morning it started aching. I continued working with Panadol and Nurofen, but by Saturday, the pain made walking difficult. Today, it worsened again, and I informed my Store Manager.</t>
  </si>
  <si>
    <t>SRG-INJ-3460</t>
  </si>
  <si>
    <t>AU335374</t>
  </si>
  <si>
    <t>CHANTELL, HAMILTON</t>
  </si>
  <si>
    <t>Left hand scratched, bruised with a slight cut</t>
  </si>
  <si>
    <t>Chantell was placing a blind into section and had accidentally knocked another blind off its hook. This blind then fell towards chantell's head where she managed to block it with her hands. however in doing so she has caused two little cuts on her left hand.</t>
  </si>
  <si>
    <t>SRG-INJ-3389</t>
  </si>
  <si>
    <t>AU298960</t>
  </si>
  <si>
    <t>GARDINER, MIRANDA</t>
  </si>
  <si>
    <t>Index finger - crush injury</t>
  </si>
  <si>
    <t>Whilst putting a shelf in place on the power end. When pushing the shelf down the shelf fell and bent and slammed down on Miranda's finger.</t>
  </si>
  <si>
    <t>SRG-INJ-3381</t>
  </si>
  <si>
    <t>AU333994</t>
  </si>
  <si>
    <t>RAE, TAMIEKA</t>
  </si>
  <si>
    <t>Laceration above left eyebrow</t>
  </si>
  <si>
    <t>laceration to Left eyebrow</t>
  </si>
  <si>
    <t>SRG-INJ-3341</t>
  </si>
  <si>
    <t>Top Left Foot</t>
  </si>
  <si>
    <t>Abi was moving a wooden pallet to storage after unloading stock, holding one side at a 45-degree angle. As she positioned it, she dropped the side, but her left foot was under the pallet when it hit the ground, impacting the top of her foot.</t>
  </si>
  <si>
    <t>SRG-INJ-3258</t>
  </si>
  <si>
    <t>AU320699</t>
  </si>
  <si>
    <t>FERGUSON, CONNOR</t>
  </si>
  <si>
    <t>Muscular strain</t>
  </si>
  <si>
    <t>Whenever Connor extends is arm out to much (like with cutting fabric) he says it feels tender and has a slight pain. Stiffness in the chest as well.</t>
  </si>
  <si>
    <t>SRG-INJ-3238</t>
  </si>
  <si>
    <t>AU305291</t>
  </si>
  <si>
    <t>KAMINSKI, AMOS</t>
  </si>
  <si>
    <t>Removing Stock from shelf at head height; two boxes stacked on each other - however a third box had been placed behind top box; lifted first box off, then went to remove bottom stock box and the third hidden behind slid forward and off and impacted forehead.</t>
  </si>
  <si>
    <t>SRG-INJ-3131</t>
  </si>
  <si>
    <t>Head (left temple)</t>
  </si>
  <si>
    <t>As Abigail was moving a box from a pallet, it slipped and the corner of the box hit her in the temple</t>
  </si>
  <si>
    <t>SRG-INJ-3021</t>
  </si>
  <si>
    <t>AU334745</t>
  </si>
  <si>
    <t>MCELHINNEY, DEBBIE</t>
  </si>
  <si>
    <t>head impacted by stock box; frontal headache; vomiting; tingling fingers; blurry vision in immediate aftermath</t>
  </si>
  <si>
    <t>Team Member (TM) was driving Wave Wave has collided with a seasonal fixture, causing a heavier item to dislodge and collide with a TMs head below who was picking stock up off ground at the time;</t>
  </si>
  <si>
    <t>SRG-INJ-2728</t>
  </si>
  <si>
    <t>AU302504</t>
  </si>
  <si>
    <t>ALSTON, RACHEL</t>
  </si>
  <si>
    <t>Team member was breaking down pallets when a nerve pinched in her back. At the time, they were not lifting heavy stock. Team member has been put on pain relief so far.</t>
  </si>
  <si>
    <t>SRG-INJ-2662</t>
  </si>
  <si>
    <t>right  knee</t>
  </si>
  <si>
    <t>The cleaner has left his long broom and a mop laying on the floor in front of the dress counter. Miranda saw it as a hazard and in attempting to move the objects, they got caught between a base and a cage and Miranda tripped in jurying her knee</t>
  </si>
  <si>
    <t>SRG-INJ-2702</t>
  </si>
  <si>
    <t>AU210772</t>
  </si>
  <si>
    <t>HACKWORTH, NIRMALA</t>
  </si>
  <si>
    <t>right arm/ forearm and palm</t>
  </si>
  <si>
    <t>Nirmala and Marija were placing stock in the back dock of Spartys (Excess storage site 2) - Marija climbed ladder to place box of heated throws up top on stack of throw boxes, was passed box by Nirmala, however Marija lost grip box and it fell and impacted Nirmala's head.</t>
  </si>
  <si>
    <t>SRG-INJ-2343</t>
  </si>
  <si>
    <t>AU331068</t>
  </si>
  <si>
    <t>CARR, JOHN</t>
  </si>
  <si>
    <t>Left Thumb</t>
  </si>
  <si>
    <t>Whilst cutting a box down has cut his thumb</t>
  </si>
  <si>
    <t>SRG-INJ-2273</t>
  </si>
  <si>
    <t>left wrist</t>
  </si>
  <si>
    <t>Cleaning under fixtures</t>
  </si>
  <si>
    <t>SRG-INJ-2175</t>
  </si>
  <si>
    <t>AU322956</t>
  </si>
  <si>
    <t>PATEJUK-AZIZ, NATALIA</t>
  </si>
  <si>
    <t>Cut on left palm</t>
  </si>
  <si>
    <t>Employee was using a scraper to remove gunk from the shelving units when they accidently cut their hand with the scraper. they were trying to clean of the gunk from the scraper when it stippled straight into there palm</t>
  </si>
  <si>
    <t>SRG-INJ-2111</t>
  </si>
  <si>
    <t>AU311964</t>
  </si>
  <si>
    <t>LEWIS, ISABELLA</t>
  </si>
  <si>
    <t>side of left pinky</t>
  </si>
  <si>
    <t>Isabella was packing ecom, a box started to fall and as she tried to catch it she hit her hand on the tape dispenser</t>
  </si>
  <si>
    <t>SRG-INJ-2200</t>
  </si>
  <si>
    <t>Right forearm in pain due to constant strain of heavy lifting</t>
  </si>
  <si>
    <t>Constant heavy lifting from both Albion park setup as well as in the home store Queanbeyan with rearranging shelves</t>
  </si>
  <si>
    <t>SRG-INJ-3256</t>
  </si>
  <si>
    <t>AU227233</t>
  </si>
  <si>
    <t>HUGHES, ELIZABETH</t>
  </si>
  <si>
    <t>S043</t>
  </si>
  <si>
    <t>scratch stomach</t>
  </si>
  <si>
    <t>Liz was cleaning and fixing up the fixture room. She lifted a black rack with a semi sharp end and it scrapped her stomach.</t>
  </si>
  <si>
    <t>SRG-INJ-3108</t>
  </si>
  <si>
    <t>AU216229</t>
  </si>
  <si>
    <t>HOWARD, KERRY</t>
  </si>
  <si>
    <t>strained lower back</t>
  </si>
  <si>
    <t>Struck by falling products</t>
  </si>
  <si>
    <t>SRG-INJ-2825</t>
  </si>
  <si>
    <t>AU311224</t>
  </si>
  <si>
    <t>ROXBURGH, SCOTT</t>
  </si>
  <si>
    <t>Left side of head</t>
  </si>
  <si>
    <t>Stood up and banged head on under side of the wave shelf whilst picking up stock from the base of the wave</t>
  </si>
  <si>
    <t>SRG-INJ-2655</t>
  </si>
  <si>
    <t>Scott came into work with a sore back with an unknown cause. Later in his shift he came to me and explained that he would need to go home early as his back was giving him too much pain. He continued that he had also flared it up further after lifting a few boxes that were heavier and a more awkward shape.</t>
  </si>
  <si>
    <t>SRG-INJ-2590</t>
  </si>
  <si>
    <t>S23DG134543</t>
  </si>
  <si>
    <t>AU314843</t>
  </si>
  <si>
    <t>BLANCHARD, JESSICA</t>
  </si>
  <si>
    <t>Lifted Full roll of vinyl onto shoulder and shopper made a "pop" sensation</t>
  </si>
  <si>
    <t>SRG-INJ-2539</t>
  </si>
  <si>
    <t>AU239272</t>
  </si>
  <si>
    <t>CHISELETT, CAITLYND</t>
  </si>
  <si>
    <t>left upper arm scratch &amp; left knee at the back</t>
  </si>
  <si>
    <t>Shelf fell against back of leg, knee buckled &amp; hit.</t>
  </si>
  <si>
    <t>SRG-INJ-2302</t>
  </si>
  <si>
    <t>AU311134</t>
  </si>
  <si>
    <t>CAHILL, BILLIE</t>
  </si>
  <si>
    <t>Shoulder (R) - Bruising</t>
  </si>
  <si>
    <t>Billie was trying to put a shelf in back wall. The back peg board was pressing forward making it tight to get the shelf in. As it was at a higher than usual height Billie has lifted the shelf upwards above shoulder height to get it in. With the unexpected resistance from the peg board her hand has slipped as she tried to apply more force to get the shelf in. As the shelf has slipped, it landed hard on top of her right shoulder.</t>
  </si>
  <si>
    <t>SRG-INJ-2263</t>
  </si>
  <si>
    <t>top of head and neck</t>
  </si>
  <si>
    <t>Lizz was in Furnishings filling stock, she has stood up and hit the top of her head hard against an arby bar above. This resulted in both head and neck pain.</t>
  </si>
  <si>
    <t>SRG-INJ-2211</t>
  </si>
  <si>
    <t>Psychological - Panic Attack</t>
  </si>
  <si>
    <t>Lizzy was asking Deacon to call a customer when she felt a customer touch her on the shoulder, she turned around to find the customer in her personal space which has caused a panic attack.</t>
  </si>
  <si>
    <t>SRG-INJ-2078</t>
  </si>
  <si>
    <t>AU321773</t>
  </si>
  <si>
    <t>QUINLAN, BIANCA</t>
  </si>
  <si>
    <t>Ankle (Right) - Sprain / strain</t>
  </si>
  <si>
    <t>Bianca Quinlan twisted her ankle when collecting a layby from the dock area</t>
  </si>
  <si>
    <t>SRG-INJ-1986</t>
  </si>
  <si>
    <t>Head (top) - Contusion</t>
  </si>
  <si>
    <t>Team member was working stock/ re-merchandising a tall side panel and a single prong hook fell from a height, impacting onto her head.</t>
  </si>
  <si>
    <t>SRG-INJ-1830</t>
  </si>
  <si>
    <t>AU324662</t>
  </si>
  <si>
    <t>STANLEY, NAY KEESHA</t>
  </si>
  <si>
    <t>RIGHT FOREARM SUSTAINED BUMP AND IS NOW RAISED, SWOLLEN AND RED</t>
  </si>
  <si>
    <t>TEAM WAS HELPING CUSTOMER WITH LIFT OF FOLDING WORKSTATION - TEAM LIFT HEAVY ITEM CUSTOMER DID NOT TAKE AN EVEN AMOUNT OF WEIGHT AND LEFT IT TO FALL ON TEAM MEMBERS FOREARM.</t>
  </si>
  <si>
    <t>SRG-INJ-1674</t>
  </si>
  <si>
    <t>Sprained ankle</t>
  </si>
  <si>
    <t>Walking round corner and rolled ankle outwards</t>
  </si>
  <si>
    <t>SRG-INJ-1621</t>
  </si>
  <si>
    <t>AU203256</t>
  </si>
  <si>
    <t>BURTON, BELINDA</t>
  </si>
  <si>
    <t>Eye irritation</t>
  </si>
  <si>
    <t>When filling stock, stethoscope fell back down and packaging corner went into right eye</t>
  </si>
  <si>
    <t>SRG-INJ-1609</t>
  </si>
  <si>
    <t>AU209151</t>
  </si>
  <si>
    <t>HOWARD, KAREN</t>
  </si>
  <si>
    <t>Abrasion</t>
  </si>
  <si>
    <t>Team was opening the bin lockup when a big just of wind took her and caught arm in door and was flung onto the ground grazing her arm and brushing leg and palms</t>
  </si>
  <si>
    <t>SRG-INJ-3512</t>
  </si>
  <si>
    <t>AU200117</t>
  </si>
  <si>
    <t>LIEBICH, CHARLOTTE</t>
  </si>
  <si>
    <t>S044</t>
  </si>
  <si>
    <t>rolled ankle</t>
  </si>
  <si>
    <t>Charli rolled her ankle when going behind counter which resulted in her falling down</t>
  </si>
  <si>
    <t>SRG-INJ-3127</t>
  </si>
  <si>
    <t>59838773/00</t>
  </si>
  <si>
    <t>AU240640</t>
  </si>
  <si>
    <t>IRWIN, FERIEL</t>
  </si>
  <si>
    <t>right knee, hyper extention</t>
  </si>
  <si>
    <t>Team member was serving a customer and stepped sideways and there was storage container under the next counter stocking out. as stepping to the right the team member hyder extended there knee from hitting the box that was stocking out and stumbled resulting in hurting there right knee.</t>
  </si>
  <si>
    <t>SRG-INJ-3042</t>
  </si>
  <si>
    <t>59584048/00</t>
  </si>
  <si>
    <t>AU226027</t>
  </si>
  <si>
    <t>SOLLY, SAMARA</t>
  </si>
  <si>
    <t>Hair pulled out, Punched and Kneed in the head.</t>
  </si>
  <si>
    <t>Three girls entered the store at 16:27, they filled bags with spotlight stock and headed to the front where the entire management team was waiting to complete bag checks. Two of the girls have stopped and let us check bags, but the third has tried to shove past at which point Samara and Steph have body blocked and asked again for her to show her bag. The girl has then grabbed Samara by the hair and pulled her to the ground, then began to punch and kick Samara in the head. Amanda has tried to pull the girl off Samara, at which point the girl has turned around and bitten Amanda on the thumb. A male customer has then jumped in and grabbed the girl by the arms and puled her off and pushed her away from the team, the girls two friends were also trying to drag their friend out of the store. The assaulting girl has then grabbed two tree skirts from a stack in the front foyer and thrown them at us before leaving the store. We locked the front door and she came back and kicked the doors as she could not get back in to continue her assault. During this I (Deianira) was on the phone to the police. Units were dispatched and we then turned out attention onto first aid for Samara. Her condition worsened and I dialed 000 a second time for an ambulance. Samara was taken to hospital by Ambulance, and Amanda has driven to a doctors surgery with Dani to have her thumb treated and fully checked over.</t>
  </si>
  <si>
    <t>SRG-INJ-3043</t>
  </si>
  <si>
    <t>AU335758</t>
  </si>
  <si>
    <t>KING, AMANDA</t>
  </si>
  <si>
    <t>Right hand Injury, Thumb was bitten</t>
  </si>
  <si>
    <t>SRG-INJ-3054</t>
  </si>
  <si>
    <t>AU324616</t>
  </si>
  <si>
    <t>AXLEBY, STEPHANIE</t>
  </si>
  <si>
    <t>Psychosocial Injury</t>
  </si>
  <si>
    <t>Three girls entered the store at 16:27, they filled bags with spotlight stock and headed to the front where the entire management team was waiting to complete bag checks. Two of the girls have stopped and let us check bags, but the third has tried to shove past at which point Samara and Steph have body blocked and asked again for her to show her bag. The girl has then grabbed Samara by the hair and pulled her to the ground, then began to punch and kick Samara in the head. Amanda has tried to pull the girl off Samara, at which point the girl has turned around and bitten Amanda on the thumb. A male customer has then jumped in and grabbed the girl by the arms and puled her off and pushed her away from the team, the girls two friends were also trying to drag their friend out of the store. The assaulting girl has then grabbed two tree skirts from a stack in the front foyer and thrown them at us before leaving the store. We locked the front door and she came back and kicked the doors as she could not get back in to continue her assault.</t>
  </si>
  <si>
    <t>SRG-INJ-2815</t>
  </si>
  <si>
    <t>AU314274</t>
  </si>
  <si>
    <t>JARRED, RHYLEY</t>
  </si>
  <si>
    <t>rhyley was working stock and a frame fellout and hit him on the knee</t>
  </si>
  <si>
    <t>SRG-INJ-2690</t>
  </si>
  <si>
    <t>lump and bruising both legs and foot</t>
  </si>
  <si>
    <t>steph has gone into the back dock to get a shelf, rhyley had pulled beans down and blocked the walk way so steph went to lift the beans up to walk through the empty pallet fell into her  legs</t>
  </si>
  <si>
    <t>SRG-INJ-2625</t>
  </si>
  <si>
    <t>AU204123</t>
  </si>
  <si>
    <t>LEE, RHONDA</t>
  </si>
  <si>
    <t>left hand cut open</t>
  </si>
  <si>
    <t>walking backwards went to the side to avoid customer and caught hand between cage and trolley</t>
  </si>
  <si>
    <t>SRG-INJ-2413</t>
  </si>
  <si>
    <t>pushing black knockdown fixture, caught her hand on a front end fixture</t>
  </si>
  <si>
    <t>SRG-INJ-3550</t>
  </si>
  <si>
    <t>AU203321</t>
  </si>
  <si>
    <t>ASTARITA, MARIA</t>
  </si>
  <si>
    <t>S045</t>
  </si>
  <si>
    <t>Lidcombe</t>
  </si>
  <si>
    <t>pulled muscle in the centre back</t>
  </si>
  <si>
    <t>When putting roll of fabric back on shelf slipped  on pile of threads with right foot. right knee slightly bent .Than leaned back on bottom and pulled muscle in the centre back</t>
  </si>
  <si>
    <t>SRG-INJ-3482</t>
  </si>
  <si>
    <t>AU298862</t>
  </si>
  <si>
    <t>SEKULIC, AMY</t>
  </si>
  <si>
    <t>left ankle</t>
  </si>
  <si>
    <t>was on the wave machine and machine wasnt fully down and when she stepped back to get off  she rolled her ankle</t>
  </si>
  <si>
    <t>SRG-INJ-2738</t>
  </si>
  <si>
    <t>AU209193</t>
  </si>
  <si>
    <t>BIVIANO, GIUSEPINA</t>
  </si>
  <si>
    <t>Top of head - no injury ascertained via sight and touch</t>
  </si>
  <si>
    <t>Team member was looking for particular stock in despatch, when she felt something fall and strike her on the top of her head</t>
  </si>
  <si>
    <t>SRG-INJ-2371</t>
  </si>
  <si>
    <t>AU321821</t>
  </si>
  <si>
    <t>LIVINGSTON, SAMUEL</t>
  </si>
  <si>
    <t>Top of head abrasion/cut</t>
  </si>
  <si>
    <t>Team member was installing new blind hanging rack which dislodged an RB bar from the top of the bay that fell and struck him on the top of his head</t>
  </si>
  <si>
    <t>SRG-INJ-2282</t>
  </si>
  <si>
    <t>AU312225</t>
  </si>
  <si>
    <t>BIVIANO, GISELLE</t>
  </si>
  <si>
    <t>Below Left eye</t>
  </si>
  <si>
    <t>Team member was picking ecom orders, she briefly stopped to assist a customer then when she finished she then went to lift a box off an eco base and the A4 ticket and stand slid off and struck her below her left eye</t>
  </si>
  <si>
    <t>SRG-INJ-1981</t>
  </si>
  <si>
    <t>AU329360</t>
  </si>
  <si>
    <t>VALDES, CRISTINA</t>
  </si>
  <si>
    <t>Right Wrist and Right Thumb</t>
  </si>
  <si>
    <t>Team member was cleaning and scraping plant bases for approximately 2hrs when she felt a pop in her right hand that felt like a torn muscle. She was scraping up something sticky that was spilled all over the base but never noticed until we sold the plants down.</t>
  </si>
  <si>
    <t>SRG-INJ-1954</t>
  </si>
  <si>
    <t>AU317356</t>
  </si>
  <si>
    <t>WALKER, JULIET</t>
  </si>
  <si>
    <t>Team member was cutting vinyl roll and pulled roll which injured her shoulder</t>
  </si>
  <si>
    <t>SRG-INJ-3494</t>
  </si>
  <si>
    <t>AU324323</t>
  </si>
  <si>
    <t>FOSTER, RONAN</t>
  </si>
  <si>
    <t>S046</t>
  </si>
  <si>
    <t>No pain presently, it stung at first.</t>
  </si>
  <si>
    <t>Ronan was lifting baskets to put on the top shelf (he was standing on a yellow step). He felt wobbly, lost his balance and fell backwards. His leg landed on the ground and he then fell back onto his backside.</t>
  </si>
  <si>
    <t>SRG-INJ-3392</t>
  </si>
  <si>
    <t>AU331497</t>
  </si>
  <si>
    <t>FITZGERALD, TRACEY</t>
  </si>
  <si>
    <t>cut finger with knife</t>
  </si>
  <si>
    <t>Tracey was opening boxes of stock with a retractable knife. She was pushing the knife away from her body as she cut the boxes open. It caught her finger on the opposite hand as she cut through the box. She reported the injury and used a band aid from the first aid kit.</t>
  </si>
  <si>
    <t>SRG-INJ-3365</t>
  </si>
  <si>
    <t>AU335490</t>
  </si>
  <si>
    <t>CAMILLERI, CHRISTINE</t>
  </si>
  <si>
    <t>Fell off ladder and hurt ankle</t>
  </si>
  <si>
    <t>Christine was filling stock on top shelf of sheets, she was on the ladder preparing to climb down when she missed the last 2 steps and slipped and fell on her right ankle. Christine tried to pull herself up to her feet but almost pulled the ladder on top of her. A customer close by stopped the ladder from falling and Jazmine and Zara came to help Christine to her feet.</t>
  </si>
  <si>
    <t>SRG-INJ-3025</t>
  </si>
  <si>
    <t>AU233137</t>
  </si>
  <si>
    <t>MORRIS, LUKE</t>
  </si>
  <si>
    <t>Left elbow inflammation</t>
  </si>
  <si>
    <t>Luke first felt a soreness in his left elbow Monday before he started working instore. It was a tenderness in the joint. It has flared up today after doing repetitive tasks - including moving palletsNo camera and stock with pallet jack and walky stacker use.</t>
  </si>
  <si>
    <t>SRG-INJ-2931</t>
  </si>
  <si>
    <t>AU322322</t>
  </si>
  <si>
    <t>ARTHY, MAGENTA</t>
  </si>
  <si>
    <t>Thumb on left han</t>
  </si>
  <si>
    <t>TM used thumb nail to glide between side of box and lid of box to break sellotape seal and cardboard cut skin under thumb nail.</t>
  </si>
  <si>
    <t>SRG-INJ-2902</t>
  </si>
  <si>
    <t>Left wrist, box cutter went into arm</t>
  </si>
  <si>
    <t>Tracey was using a box cutter to cut a box, she slipped/hit her elbow on the top of the table and punctured her left arm, the cut was roughly 1cm wide and 1.5cm deep (blade was fully submerged) was bleeding, seeked immediate medical attention.</t>
  </si>
  <si>
    <t>SRG-INJ-2613</t>
  </si>
  <si>
    <t>AU325857</t>
  </si>
  <si>
    <t>ANDERSON, GISELLE</t>
  </si>
  <si>
    <t>Hit my head, behind my ears</t>
  </si>
  <si>
    <t>3 Blinds slipped &amp; hit right side of my head, behind my ears.</t>
  </si>
  <si>
    <t>SRG-INJ-2430</t>
  </si>
  <si>
    <t>AU325900</t>
  </si>
  <si>
    <t>SLAMKOVA, BIJANKA</t>
  </si>
  <si>
    <t>Scratched on face (cheek) and knee bruising.</t>
  </si>
  <si>
    <t>Using pallet jack to pull out a pallet to reach stock behind it. Have gone between two pallets of stock, one of those has unbalanced and fallen on the back of team member and they have fallen into the pallet in front of them.</t>
  </si>
  <si>
    <t>SRG-INJ-1918</t>
  </si>
  <si>
    <t>AU329460</t>
  </si>
  <si>
    <t>WATSON, NOELYNE</t>
  </si>
  <si>
    <t>Finger (multiple - both hands) - Laceration</t>
  </si>
  <si>
    <t>Staff member put her hands under the plastic strapping on a PDQ of plants( sitting on the floor) to move it.  It fell while her hands were under the strapping cutting into fingers on both hands.</t>
  </si>
  <si>
    <t>SRG-INJ-1784</t>
  </si>
  <si>
    <t>AU330135</t>
  </si>
  <si>
    <t>MATTHEWS, KATRINA</t>
  </si>
  <si>
    <t>middle of lower back</t>
  </si>
  <si>
    <t>8:20am Back twinge while bending down putting a cash draw into the tin man 10:20am Pushing a pellet on the pellet jack into the dock area from outside (slight slope up)</t>
  </si>
  <si>
    <t>SRG-INJ-1742</t>
  </si>
  <si>
    <t>AU308970</t>
  </si>
  <si>
    <t>ZILLFLEISCH, ZARA</t>
  </si>
  <si>
    <t>Zara was tidying &amp; filling stock when the frypans (3 or 4) slide off the hook, one hitting her in the forehead.</t>
  </si>
  <si>
    <t>SRG-INJ-3450</t>
  </si>
  <si>
    <t>AU299137</t>
  </si>
  <si>
    <t>WYVILL, SAMANTHA</t>
  </si>
  <si>
    <t>S047</t>
  </si>
  <si>
    <t>chest</t>
  </si>
  <si>
    <t>I opened the despatch door and I felt a pop and pain in my chest?sternum</t>
  </si>
  <si>
    <t>SRG-INJ-3417</t>
  </si>
  <si>
    <t>S24PA222690</t>
  </si>
  <si>
    <t>AU306178</t>
  </si>
  <si>
    <t>GRAHAM, KYLIE</t>
  </si>
  <si>
    <t>right side neck, shoulder and down back</t>
  </si>
  <si>
    <t>It started raining, so we got the tarp to cover the stock outside. I lifted the tarp and pulled with my arms above my head and felt a sharp pain in my neck, going down the right side into my shoulder and back.</t>
  </si>
  <si>
    <t>SRG-INJ-3293</t>
  </si>
  <si>
    <t>AU327006</t>
  </si>
  <si>
    <t>KADDATZ, LARISSIA</t>
  </si>
  <si>
    <t>I was asked to go and help Mackay store out for the week commencing the 9th Of December.  Travelled to Mackay from Rockhampton on the Thursday 12th of December, went to the Mackay store to start work on that same day.  My duties were to unpack pallets and cages of stock to replenish store.  I had continued these duties right up to Monday 16th of December.  I started to experience pain in my right shoulder starting to take pain killers to relieve the uncomfortable pain thinking that might help.  Pain starting to escalate once I returned home from Mackay.  I went to my doctor and have been booked in for a ultrasound and xray on the 11/2/25 to find out what injuries have been done.</t>
  </si>
  <si>
    <t>SRG-INJ-2929</t>
  </si>
  <si>
    <t>AU323958</t>
  </si>
  <si>
    <t>LANCASTER, KOBI</t>
  </si>
  <si>
    <t>I came out and Kobi was in the lunch room, he asked if anyone had any pain killers and said his back was sore. I asked him had he lifted something heavy or done something. He said I don't know, I think it's just from not moving for awhile and moving again (Team member had only returned from being off for a week &amp; a half) I asked if it was his sciatic nerve &amp; he said no he doesn't think so that he doesn't have pain in his leg or anything. He took some panadol &amp; sat for a bit, about 350pm he left &amp; went home. He has said today that his Dad gave him some stuff to take &amp; it has made it feel better but still stiff. I have advised he is best to see a doctor before returning to work, which he said he had an appointment at 3pm today.</t>
  </si>
  <si>
    <t>SRG-INJ-2409</t>
  </si>
  <si>
    <t>AU202656</t>
  </si>
  <si>
    <t>PRICE, KAREN</t>
  </si>
  <si>
    <t>Making room for more rugs to go into a Eco bin when lifting rugs jarred lower back.  Experienced strong pain in that area.  Came up to DTL Manager Donna Grogan to report incident.  There were no witnesses..</t>
  </si>
  <si>
    <t>SRG-INJ-2057</t>
  </si>
  <si>
    <t>AU230989</t>
  </si>
  <si>
    <t>SILVESTER, JANNAHA</t>
  </si>
  <si>
    <t>Back/ (Shoulder (Right) - Muscular stress / strain</t>
  </si>
  <si>
    <t>Hurt right back shoulder  and in the centre  region</t>
  </si>
  <si>
    <t>SRG-INJ-1590</t>
  </si>
  <si>
    <t>AU302478</t>
  </si>
  <si>
    <t>BOON, JESSICA</t>
  </si>
  <si>
    <t>Back of the head on Left hand side</t>
  </si>
  <si>
    <t>Team member Jessica Boon was collapsing a roll cage. She has latched both the doors into the sides. She lifts the top shelf up &amp; latches it in, then commences to lift the bottom shelf. As she has gone to lift the bottom shelf the top shelf came down &amp; struck her on the bottom of the head.</t>
  </si>
  <si>
    <t>SRG-INJ-3416</t>
  </si>
  <si>
    <t>AU332719</t>
  </si>
  <si>
    <t>PRIEST, CLAIR</t>
  </si>
  <si>
    <t>S048</t>
  </si>
  <si>
    <t>Lismore</t>
  </si>
  <si>
    <t>Anxiety and depression</t>
  </si>
  <si>
    <t>SRG-INJ-3209</t>
  </si>
  <si>
    <t>hi float in eye</t>
  </si>
  <si>
    <t>a balloon popped while i was blowing it up. it had hi float in it. it got in my eye.</t>
  </si>
  <si>
    <t>SRG-INJ-2435</t>
  </si>
  <si>
    <t>AU326014</t>
  </si>
  <si>
    <t>WOOD, RENEE</t>
  </si>
  <si>
    <t>Bruise to head</t>
  </si>
  <si>
    <t>Team member Renee Wood lifted empty cube stand and placed it on the floor. It bounced up and hit them on the right side of their forehead. Team member had sustained small bruise/scratch to the size of a 50c coin.</t>
  </si>
  <si>
    <t>SRG-INJ-2373</t>
  </si>
  <si>
    <t>AU329791</t>
  </si>
  <si>
    <t>O'GORMAN, GRACIE</t>
  </si>
  <si>
    <t>TM jammed/caught fingers of right hand between stock cage and hooks on a side panel. Fingers were caught and bent with force. Fingers do not appear to be broken as they have full range of movement, however they have bruised instantly.</t>
  </si>
  <si>
    <t>TM got their fingers caught between a stock cage and a hook on a side panel when moving cage down racetrack.</t>
  </si>
  <si>
    <t>SRG-INJ-2192</t>
  </si>
  <si>
    <t>AU329624</t>
  </si>
  <si>
    <t>JACKSON, MAHALIA</t>
  </si>
  <si>
    <t>Wound to scalp</t>
  </si>
  <si>
    <t>A customer with a trolley full of blinds knocked over a poster stand, Mahalia tried to grab it to stop it hitting the floor and it hit her on top of her head. Mahalia immediately left the shop floor and came to the tearoom for assistance, when she realized the top of her head was bleeding. Mahalia was taken into the office and sat down on a chair. Tayla and Renee performed first aid by cleaning the affected area with a cleansing cloth from the first aid kit and then applying pressure to the area with a non  adherent dressing. affected area was cleaned again after bleeding stopped.  Mahalia's partner was called to pick her up and take her home, as she was feeling dizzy and unsteady. Ambulance was not required, however possible concussion, if symptoms continue Mahalia will seek medical treatment.</t>
  </si>
  <si>
    <t>SRG-INJ-2166</t>
  </si>
  <si>
    <t>Ladder landed on neck/shoulder, scrapped forearms</t>
  </si>
  <si>
    <t>Team member attempted to move large ladder by lifting it from its resting position to access tablecloth overstocks. Ladder was too heavy and when team member attempted lift it fell towards them and hit their neck/shoulder. Team member righted ladder and notified store manager immediately.</t>
  </si>
  <si>
    <t>SRG-INJ-2575</t>
  </si>
  <si>
    <t>AU323488</t>
  </si>
  <si>
    <t>FITZGERALD, AVA</t>
  </si>
  <si>
    <t>S049</t>
  </si>
  <si>
    <t>Horsham</t>
  </si>
  <si>
    <t>MIND</t>
  </si>
  <si>
    <t>Today at the Horsham store one of our casuals offered assistance to 2 customers and received verbal abuse in return. Enough to make her feeling quite distraught and emotionally compromised leading her to remove herself from the situation and seeking a DTL immediately.   An incident report has been completed and attached to this email. As i am uncertain if this requires an incident report or not i have done this to be safe rather than sorry.   For your reassurance, Ava has had a conversation with me and some time for a drink too calm herself. She has assured me she is feeling back to her usual self and is happy to return to the shop floor to she out the rest of her shift whilst feeling she is in a safe environment.</t>
  </si>
  <si>
    <t>SRG-INJ-1786</t>
  </si>
  <si>
    <t>AU305314</t>
  </si>
  <si>
    <t>BAKER, JOEL</t>
  </si>
  <si>
    <t>Head strike</t>
  </si>
  <si>
    <t>Leeanne and Joel where placing 2.4m patio blinds into the their bay.  Upon placing have dislodged a furnishings wooden display board (containing old curtain tracks).  Display has fallen down on both TM, striking Joel in the head and Leeanne in the shoulder/Ankle area.  Display board was held in place by 4 zip ties and 2 signage rails (as per photos)  First aid given in store by Leeanne and SM.   Assessing Joel currently   update 3:37 Joels parents contacted to come and take him home.</t>
  </si>
  <si>
    <t>SRG-INJ-1787</t>
  </si>
  <si>
    <t>AU240672</t>
  </si>
  <si>
    <t>GRAY, LEEANNE</t>
  </si>
  <si>
    <t>Right shoulder, Right Ankle. Hit by a falling wooden display board</t>
  </si>
  <si>
    <t>INCI 3480 ADDING IN OTHER TEAM MEMBER INCIDENT FORM</t>
  </si>
  <si>
    <t>SRG-INJ-3539</t>
  </si>
  <si>
    <t>AU317535</t>
  </si>
  <si>
    <t>COOKE-FROST, MIKHAIL</t>
  </si>
  <si>
    <t>S050</t>
  </si>
  <si>
    <t>Face bruising and swelling</t>
  </si>
  <si>
    <t>Was cleaning out offsite location and leant into a Euro pallet to get the rubbish out of the bottom. The side collapsed and the team member fell face first into the opposite side of the pallet. Bruising/swelling to the bridge of the nose, and headache followed.</t>
  </si>
  <si>
    <t>SRG-INJ-3458</t>
  </si>
  <si>
    <t>AU338889</t>
  </si>
  <si>
    <t>MENZIES, DANIEL</t>
  </si>
  <si>
    <t>Left index finger top knuckle</t>
  </si>
  <si>
    <t>Cutting a box away from body knife slipped and sliced left index finger top knuckle</t>
  </si>
  <si>
    <t>SRG-INJ-2857</t>
  </si>
  <si>
    <t>AU331859</t>
  </si>
  <si>
    <t>IBRAHIM, YOUSTINA</t>
  </si>
  <si>
    <t>Neck, shoulders, back of head, forehead</t>
  </si>
  <si>
    <t>stopped at red signal Rare ended by another driver who did not stop</t>
  </si>
  <si>
    <t>SRG-INJ-2648</t>
  </si>
  <si>
    <t>AU328714</t>
  </si>
  <si>
    <t>HEDGER, MITCHELL</t>
  </si>
  <si>
    <t>Mitchell Hedger was getting a ULD for the Ecom Orders, as he was erecting a cage the sides fell down and landed on his right foot.  He was wearing steal cap boots. Felt some pain at the time it happened. He didnt need first aid and chose not to go home.  Continued working and said he was ok.</t>
  </si>
  <si>
    <t>SRG-INJ-2615</t>
  </si>
  <si>
    <t>AU202487</t>
  </si>
  <si>
    <t>MRKIC, JADRANKA</t>
  </si>
  <si>
    <t>redness and bruising in area struck</t>
  </si>
  <si>
    <t>Folded trestle table fell and stuck right lower leg/ankle of employee</t>
  </si>
  <si>
    <t>SRG-INJ-1920</t>
  </si>
  <si>
    <t>Neck and Arm</t>
  </si>
  <si>
    <t>struck by trolley load of blinds</t>
  </si>
  <si>
    <t>SRG-INJ-1789</t>
  </si>
  <si>
    <t>AU311862</t>
  </si>
  <si>
    <t>SMITH, BELINDA</t>
  </si>
  <si>
    <t>pain to lower back</t>
  </si>
  <si>
    <t>Belinda was attempting to access ladder in dock area and had to move some boxes out of the way. when she attempted to lift one of these boxes she experienced pain in her lower back.</t>
  </si>
  <si>
    <t>SRG-INJ-3421</t>
  </si>
  <si>
    <t>AU323733</t>
  </si>
  <si>
    <t>COCKS, BRYCE</t>
  </si>
  <si>
    <t>Spotlight WA</t>
  </si>
  <si>
    <t>S052</t>
  </si>
  <si>
    <t>reset team member had a frame fall on his head.</t>
  </si>
  <si>
    <t>SRG-INJ-3383</t>
  </si>
  <si>
    <t>AU336473</t>
  </si>
  <si>
    <t>GATTI, BROCK</t>
  </si>
  <si>
    <t>bicep</t>
  </si>
  <si>
    <t>moving an eco bin with room dividers.</t>
  </si>
  <si>
    <t>SRG-INJ-3314</t>
  </si>
  <si>
    <t>AU326435</t>
  </si>
  <si>
    <t>KIMM, BETHANY</t>
  </si>
  <si>
    <t>shoulder pain</t>
  </si>
  <si>
    <t>Bethany tried to pull a pattern draw open and it was stuck. the draw didn't open and she dislocated her shoulder.</t>
  </si>
  <si>
    <t>SRG-INJ-3297</t>
  </si>
  <si>
    <t>AU330756</t>
  </si>
  <si>
    <t>JAMES, MITCHELL</t>
  </si>
  <si>
    <t>no injury to body</t>
  </si>
  <si>
    <t>I was in the break room and the man who fills the vending machine made small talk with me and then proceeded to tell me that I am working a 'girls' job and that I should be working a mans job in the mines. A coworker, Julie, walked into the break room as this happened and called him out on his comment and said that it was sexist and he responded by saying "Damn right it is!"</t>
  </si>
  <si>
    <t>Sexual harassment</t>
  </si>
  <si>
    <t>SRG-INJ-3243</t>
  </si>
  <si>
    <t>AU320864</t>
  </si>
  <si>
    <t>BOON, JUDE</t>
  </si>
  <si>
    <t>Left foot- Second toe from big toe</t>
  </si>
  <si>
    <t>Was helping to move a Manchester mesh table when it ran over Jude's second toe on his left foot.</t>
  </si>
  <si>
    <t>SRG-INJ-3017</t>
  </si>
  <si>
    <t>AU322783</t>
  </si>
  <si>
    <t>COCKS, LISA</t>
  </si>
  <si>
    <t>left back of head. possible concussion</t>
  </si>
  <si>
    <t>Brought a cage down to dress to drop off a box and as I was removing the box 3 bolts of furnishings fabric fell out of the cage hitting me in the back of my head.  I asked for assistance from on my team members in Furnishings but realised that my comms had gone flat.</t>
  </si>
  <si>
    <t>SRG-INJ-2911</t>
  </si>
  <si>
    <t>G744710A</t>
  </si>
  <si>
    <t>AU314043</t>
  </si>
  <si>
    <t>LANZELLOTTO, JUNE</t>
  </si>
  <si>
    <t>Twisted/dislocated ankle, and potential concussion</t>
  </si>
  <si>
    <t>June was attempting to obtain stolen stock from a thief, in the process was knocked over and banged her head on the wall and twisted/dislocated ankle</t>
  </si>
  <si>
    <t>SRG-INJ-2883</t>
  </si>
  <si>
    <t>Abrasion to inner left forearm near elbow</t>
  </si>
  <si>
    <t>Was picking up an item for an ecom order when it collapsed in half, scratching my left arm. The item was a Really Useful Box Scrapbook Drawers Towers Rainbow.</t>
  </si>
  <si>
    <t>SRG-INJ-2869</t>
  </si>
  <si>
    <t>Painful right wrist,</t>
  </si>
  <si>
    <t>Team member Beth has some pain in her RH hand wrist after working at the counter and recovering stock.</t>
  </si>
  <si>
    <t>SRG-INJ-2744</t>
  </si>
  <si>
    <t>Jude was writing off a stand mixer in the box, went to move it to the adjacent counter and the box collapsed and the body part of the mixer landed on his right forefoot.</t>
  </si>
  <si>
    <t>SRG-INJ-2567</t>
  </si>
  <si>
    <t>AU305435</t>
  </si>
  <si>
    <t>MESSENGER, NATHAN</t>
  </si>
  <si>
    <t>Tailbone</t>
  </si>
  <si>
    <t>Team member prepping for Rug Clearance Sale, Slipped while pulling a pallet of rugs through dispatch resulting in falling on their tailbone. Resulted from a poorly prepped pallet that was heavy, flooring that offered insufficient traction to pull a pallet and  despatch being too full with stock requiring them to stop-start and over exert themselves to pull the pallet.</t>
  </si>
  <si>
    <t>SRG-INJ-2549</t>
  </si>
  <si>
    <t>AU328298</t>
  </si>
  <si>
    <t>NEWMAN, JADE</t>
  </si>
  <si>
    <t>right shoulder pull/pop</t>
  </si>
  <si>
    <t>Lifted a heavy box and shoulder gave out</t>
  </si>
  <si>
    <t>SRG-INJ-2477</t>
  </si>
  <si>
    <t>G740593A</t>
  </si>
  <si>
    <t>AU311581</t>
  </si>
  <si>
    <t>FREDERICK, JULIE</t>
  </si>
  <si>
    <t>right shoulder burstitis</t>
  </si>
  <si>
    <t>had a furnishings fabric roll and went to put it on a trolly and felt something in right shoulder blade pull/pop</t>
  </si>
  <si>
    <t>SRG-INJ-2458</t>
  </si>
  <si>
    <t>pinky toe sustained a blood blister</t>
  </si>
  <si>
    <t>Pallet jack ran over my left foot while I was trying to maneuver it into position.</t>
  </si>
  <si>
    <t>SRG-INJ-2147</t>
  </si>
  <si>
    <t>AU309724</t>
  </si>
  <si>
    <t>WATERS, GRACEY</t>
  </si>
  <si>
    <t>hand, hit</t>
  </si>
  <si>
    <t>unpacking tables, box slipped causing hand to collide with corner of table prong</t>
  </si>
  <si>
    <t>SRG-INJ-2069</t>
  </si>
  <si>
    <t>AU326623</t>
  </si>
  <si>
    <t>HOLDWAY, LIAM</t>
  </si>
  <si>
    <t>Stock cage jolted on the uneven ground and hit team member on the forehead.</t>
  </si>
  <si>
    <t>SRG-INJ-1951</t>
  </si>
  <si>
    <t>AU311551</t>
  </si>
  <si>
    <t>RUSSELL, CLAIRE</t>
  </si>
  <si>
    <t>opening stock boxes and cut left thumb on safety blade</t>
  </si>
  <si>
    <t>SRG-INJ-1935</t>
  </si>
  <si>
    <t>Inside right knee</t>
  </si>
  <si>
    <t>Picked up sticky tape dispenser and cement bottom fell out hitting me on my inner knee before smashing on the ground.</t>
  </si>
  <si>
    <t>SRG-INJ-1947</t>
  </si>
  <si>
    <t>metal splinter lodged in side of middle finger on left hand</t>
  </si>
  <si>
    <t>Had collapsed our largest ladder to remove from behind the counter, as I was lowering it down on its side to slide through the gates a metal splinter lodged itself in the side of my finger, causing it to bleed excessively.</t>
  </si>
  <si>
    <t>SRG-INJ-1567</t>
  </si>
  <si>
    <t>Hammer fell off Walkie-stacker and grazed leg</t>
  </si>
  <si>
    <t>Hammer was left on top of the Walkie-stacker lid. Team member opened lid to charge the walkie-stacker, the hammer fell off and grazed the team member's leg.</t>
  </si>
  <si>
    <t>Handtools, non-powered, edged</t>
  </si>
  <si>
    <t>SRG-INJ-3343</t>
  </si>
  <si>
    <t>AU332736</t>
  </si>
  <si>
    <t>BISHARA, ELIANA</t>
  </si>
  <si>
    <t>S053</t>
  </si>
  <si>
    <t>Standing up to fast from closing locker, and hit head on another locker that was open above</t>
  </si>
  <si>
    <t>SRG-INJ-3037</t>
  </si>
  <si>
    <t>AU334050</t>
  </si>
  <si>
    <t>SELIM, RAEF</t>
  </si>
  <si>
    <t>Back injury from repeated carrying samples up and down apartment stairs in bondi while attending customers for m2m</t>
  </si>
  <si>
    <t>Has development a sore back from carrying samples up and down apartment stairs while attending appointments in bondi</t>
  </si>
  <si>
    <t>SRG-INJ-2383</t>
  </si>
  <si>
    <t>Team member, was moving the ladder at the registers area to get a picture for the customer and the ladder got out of her control and leaned forward and the team member said they where holding the ladder and it caused a pain in the shoulder as they holding the ladder</t>
  </si>
  <si>
    <t>SRG-INJ-1948</t>
  </si>
  <si>
    <t>AU329431</t>
  </si>
  <si>
    <t>HOPKINS, CATHERINE</t>
  </si>
  <si>
    <t>Knee scraped then became swollen, twisted sholder</t>
  </si>
  <si>
    <t>lights where not on Cathy slipped and fell</t>
  </si>
  <si>
    <t>SRG-INJ-1919</t>
  </si>
  <si>
    <t>AU325298</t>
  </si>
  <si>
    <t>PAULL, ANNA</t>
  </si>
  <si>
    <t>nose</t>
  </si>
  <si>
    <t>anna was clear wrapping fabric near the sequin fabric and pulled to hard and hit herself with the cling film</t>
  </si>
  <si>
    <t>SRG-INJ-3475</t>
  </si>
  <si>
    <t>AU332747</t>
  </si>
  <si>
    <t>HETERICK, EVELYN</t>
  </si>
  <si>
    <t>S054</t>
  </si>
  <si>
    <t xml:space="preserve">Sorin Heterick (Evelyn) was heating water in a bowl when it slipped, and the left thumb was burned. The burn was not severe, and Sorin ran the thumb under cold water for 7 minutes before wrapping it with a 5cm dressing and Band-Aids from the first aid kit.  </t>
  </si>
  <si>
    <t>SRG-INJ-3355</t>
  </si>
  <si>
    <t>AU320993</t>
  </si>
  <si>
    <t>HENRY, CORINNE</t>
  </si>
  <si>
    <t>Left upper thigh</t>
  </si>
  <si>
    <t>Spent a few hours up and down the ladder relaying the cushion wall</t>
  </si>
  <si>
    <t>SRG-INJ-3287</t>
  </si>
  <si>
    <t>AU336080</t>
  </si>
  <si>
    <t>PRICE, MELANIE</t>
  </si>
  <si>
    <t>Right hand</t>
  </si>
  <si>
    <t>Team member was pulling a stock cage and jammed right hand between cage and tall mod fixture. immediate bruising and swelling to the top of right hand occurred.</t>
  </si>
  <si>
    <t>SRG-INJ-3220</t>
  </si>
  <si>
    <t>AU235789</t>
  </si>
  <si>
    <t>TRAVES, ALLISON</t>
  </si>
  <si>
    <t>Left shoulder blade and left upper arm above elbow</t>
  </si>
  <si>
    <t>Ladder fell onto DTL's shoulder (not safety ladder), ladder was behind the plastic doors leading into BD and when she opened it., it fell on her and struck her on the left shoulder blade and left upper arm (above elbow)</t>
  </si>
  <si>
    <t>SRG-INJ-2569</t>
  </si>
  <si>
    <t>AU333597</t>
  </si>
  <si>
    <t>CRAVINO, JANINE</t>
  </si>
  <si>
    <t>first knuckle of middle finger</t>
  </si>
  <si>
    <t>Team member was working with fixtures in the party section and got her finger caught between the punch panel and shelf.</t>
  </si>
  <si>
    <t>SRG-INJ-2546</t>
  </si>
  <si>
    <t>AU321486</t>
  </si>
  <si>
    <t>WILLCOTT, FAITH</t>
  </si>
  <si>
    <t>team member was lifting blockout fabric on the bolt back onto the table and got her finger caught between the metal and bolt.</t>
  </si>
  <si>
    <t>SRG-INJ-1610</t>
  </si>
  <si>
    <t>AU208335</t>
  </si>
  <si>
    <t>DOUEIHI, LINDA</t>
  </si>
  <si>
    <t>landed on back when fell off bottom step of ladder.</t>
  </si>
  <si>
    <t>Team member was on ladder to reach frame, was coming down and missed the last step, fell off the ladder on to her back.</t>
  </si>
  <si>
    <t>SRG-INJ-3480</t>
  </si>
  <si>
    <t>S24CE230023</t>
  </si>
  <si>
    <t>AU226616</t>
  </si>
  <si>
    <t>DENNING, TAMARIND</t>
  </si>
  <si>
    <t>S055</t>
  </si>
  <si>
    <t>Indooroopilly</t>
  </si>
  <si>
    <t>Staff member Tammy was servicing a customer she turn to walk towards the back bench and slipped over a very small piece of plastic &amp; fell down splitting her legs onto her knee. A customer who was medically trained jumped in to help Tammy while our DTL's where being called. Tammy &amp; other witnesses said they heard her knee crack, 000 was called and DTL's waited with Tammy until the ambulance arrived.</t>
  </si>
  <si>
    <t>SRG-INJ-2976</t>
  </si>
  <si>
    <t>AU316932</t>
  </si>
  <si>
    <t>PAUL, HAYLEY</t>
  </si>
  <si>
    <t>Bruise and bump on right hand</t>
  </si>
  <si>
    <t>Team member was pulling a cage and her hand jammed in between the cage and one of our roof support poles when she was trying to pull it past.</t>
  </si>
  <si>
    <t>SRG-INJ-2890</t>
  </si>
  <si>
    <t>Pinky Finger broken</t>
  </si>
  <si>
    <t>I was putting tills away at the end of the day, and as I was closing the safe door, slammed my finger in the door.</t>
  </si>
  <si>
    <t>SRG-INJ-2327</t>
  </si>
  <si>
    <t>AU201323</t>
  </si>
  <si>
    <t>GANN, SHELLIE</t>
  </si>
  <si>
    <t>Knee / leg - Bite and graze</t>
  </si>
  <si>
    <t>Consultant touched a client's shoulder, and a small dog present in the house bit the consultant on the leg/knee</t>
  </si>
  <si>
    <t>SRG-INJ-2274</t>
  </si>
  <si>
    <t>Chest/Back - Contusion and Bruising</t>
  </si>
  <si>
    <t>Team member fell on stray wooden pallet on floor onto her chest</t>
  </si>
  <si>
    <t>SRG-INJ-1874</t>
  </si>
  <si>
    <t>AU325197</t>
  </si>
  <si>
    <t>RICHARDSON, GEORGIA</t>
  </si>
  <si>
    <t>Hand (unspecified - top) - Abrasion wound</t>
  </si>
  <si>
    <t>Team member smashed hand between concrete pole &amp; cage due to tight gap to fit through</t>
  </si>
  <si>
    <t>SRG-INJ-3514</t>
  </si>
  <si>
    <t>AU336238</t>
  </si>
  <si>
    <t>ARMSTRONG, SARAH</t>
  </si>
  <si>
    <t>Spotlight NT</t>
  </si>
  <si>
    <t>S057</t>
  </si>
  <si>
    <t>Lower body seems to have been strained due to carrying weighted blankets. No prior injury according to Sarah.</t>
  </si>
  <si>
    <t>Sarah was recovering and returning weighted blankets. One by one she was picking them up and moving them to their correct location. Later on in the shift she advised that she had had bad lower back pain and wanted to go home. I granted her request to go home early but forgot to lodge the incident report until today.</t>
  </si>
  <si>
    <t>SRG-INJ-3529</t>
  </si>
  <si>
    <t>AU329885</t>
  </si>
  <si>
    <t>THAKRAR, KRINA</t>
  </si>
  <si>
    <t>Impact on right hand causing swelling on wrist.</t>
  </si>
  <si>
    <t>Roller blind fell &amp; struck on the right hand of TM. This has caused swelling and discomfort. This happened wile repositioning the roller blind at the closing time. Since it was closing the TM tried to speed up her work and it caused her to lose balance &amp; fall onto her right hand.</t>
  </si>
  <si>
    <t>SRG-INJ-3352</t>
  </si>
  <si>
    <t>AU206277</t>
  </si>
  <si>
    <t>LAY, OI</t>
  </si>
  <si>
    <t>right side of body and face</t>
  </si>
  <si>
    <t>Team member was walking down the stairs without holding the handrail. Miss-stepped and fell forward from the fifth last step. Team member hit her head on the ground with large immediate swelling just above her eye. Grazed knee and right hand. Teeth and gums where sore from impact. After a few minutes her eye went bright red, didn't notice any pain or trouble with vision. Was taken to hospital, right side of her face, chest and torso began to hurt.</t>
  </si>
  <si>
    <t>SRG-INJ-2892</t>
  </si>
  <si>
    <t>G744232B</t>
  </si>
  <si>
    <t>AU298443</t>
  </si>
  <si>
    <t>GIBB, ANN</t>
  </si>
  <si>
    <t>Lower back./ spine</t>
  </si>
  <si>
    <t>Team member was walking up a ladder to place stock, as she bent back she said she had a weird feeling in her back however she continues working.  After this she continued to work stock in furnishing lifting curtains and blinds which are heavy. After the end of her shift her back was in a lot more pain but just felt uncomfortable. From waking up the next morning her back was in a lot of pain and was struggling to move.</t>
  </si>
  <si>
    <t>SRG-INJ-2312</t>
  </si>
  <si>
    <t>AU311562</t>
  </si>
  <si>
    <t>WELSFORD, LEONARD</t>
  </si>
  <si>
    <t>Trunk/Torso (L) (Near Armpit) - Contusion/Bruising</t>
  </si>
  <si>
    <t>while at a customerâ€™s house I had a fall.  I was in the dining room and as I turned around their dog was behind my feet. I lost balance and while falling I collided with a dining chair.  The impact was on my left side near my underarm.</t>
  </si>
  <si>
    <t>SRG-INJ-1833</t>
  </si>
  <si>
    <t>G733805B</t>
  </si>
  <si>
    <t>AU322912</t>
  </si>
  <si>
    <t>DECKERT, KAREN</t>
  </si>
  <si>
    <t>19.09.2023 : 2 team members in the store have had a disagreement, resulting in 1 leaving the store upset. There is a known history between the 2 team members of 1 speaking inappropriately top the other.  20.09.2023 : The team members daughter came in to see the SM. She has said that the team member was in the hospital due to issues outside of work combined with the added stress of the work incident. She also said that she is unsure when or if the team member would be back to work. 20.09.2023 : The team members husband came in to see the SM with a certificate covering 20.09 - 22.09. He has explained that they are going to get a work cover certificate from the doctor so that the team member can have a break from work.</t>
  </si>
  <si>
    <t>SRG-INJ-1773</t>
  </si>
  <si>
    <t>G733584E</t>
  </si>
  <si>
    <t>AU324655</t>
  </si>
  <si>
    <t>MCINTYRE, SAMANTHA</t>
  </si>
  <si>
    <t>Sam closed the empty euro bin, then folded down the sides and lifted onto its side, when lifting Sam felt a pinch then but proceeded to push to the ramp. when dropping the pallet back onto its base Sam felt an intense pinch and cramp throughout her lower back. Sam then walked away and sat down. then continued to break down pallets and work stock.</t>
  </si>
  <si>
    <t>SRG-INJ-3582</t>
  </si>
  <si>
    <t>AU233522</t>
  </si>
  <si>
    <t>SPENCER, KYLIE</t>
  </si>
  <si>
    <t>S058</t>
  </si>
  <si>
    <t>Pole hit Forehead. I have a cut, bruise and swelling to forehead</t>
  </si>
  <si>
    <t>Refilling Bubble Wrap Roll onto storage pole and the pole bounced back and hit me in the forehead</t>
  </si>
  <si>
    <t>SRG-INJ-3447</t>
  </si>
  <si>
    <t>AU338481</t>
  </si>
  <si>
    <t>SHEHAN, TANNAH</t>
  </si>
  <si>
    <t>Pallet poorly stacked has fallen onto team member</t>
  </si>
  <si>
    <t>SRG-INJ-3231</t>
  </si>
  <si>
    <t>AU326932</t>
  </si>
  <si>
    <t>KELLY, VICKI</t>
  </si>
  <si>
    <t>Jarred arm</t>
  </si>
  <si>
    <t>Cody was pushing a pallet jack into a pallet and tried to push it and let go but as the handle was turned the pallet jack spun around and hit a trolley being pushed by Vicki, which in turn jarred her arm. Cody apologised to Vicki, however the next day her arm was still sore.</t>
  </si>
  <si>
    <t>SRG-INJ-3478</t>
  </si>
  <si>
    <t>G7506237</t>
  </si>
  <si>
    <t>AU333870</t>
  </si>
  <si>
    <t>FARBER, CAITLIN</t>
  </si>
  <si>
    <t>Sternum</t>
  </si>
  <si>
    <t>Hit it sternum with pallet jack handle</t>
  </si>
  <si>
    <t>SRG-INJ-2816</t>
  </si>
  <si>
    <t>AU330626</t>
  </si>
  <si>
    <t>STEWART, ALANNAH</t>
  </si>
  <si>
    <t>Back of head pain and dizziness</t>
  </si>
  <si>
    <t>TM was standing side-on to inflation station, not wearing ear or eye protection when 30cm balloon popped and hit back of team member's head when inflating.</t>
  </si>
  <si>
    <t>SRG-INJ-2453</t>
  </si>
  <si>
    <t>AU236749</t>
  </si>
  <si>
    <t>REGALI, KARIS</t>
  </si>
  <si>
    <t>Internal knee pain &amp; bruise</t>
  </si>
  <si>
    <t>Team member tripped over shoelace and fell to the floor, hitting their knee.</t>
  </si>
  <si>
    <t>SRG-INJ-2542</t>
  </si>
  <si>
    <t>Ankle Pain</t>
  </si>
  <si>
    <t>I have an injury to my ankle. It is ongoing since February. I suspect an overuse injury. Currently getting it investigated but no known incident specifically,</t>
  </si>
  <si>
    <t>SRG-INJ-2251</t>
  </si>
  <si>
    <t>AU326628</t>
  </si>
  <si>
    <t>FARBER, ELI</t>
  </si>
  <si>
    <t>Eli was carrying a box of supplies to the team room. On the way down the stairs, at the middle landing, Eli went to turn, while holding the box with some supplies in, and as he did he has rolled his ankle. Eli has reported that he has pain in the ankle. An ice pack has been supplied to alleviate pain and swelling.</t>
  </si>
  <si>
    <t>SRG-INJ-2222</t>
  </si>
  <si>
    <t>AU239573</t>
  </si>
  <si>
    <t>NOEL, OLIVIA</t>
  </si>
  <si>
    <t>right arm</t>
  </si>
  <si>
    <t>Olivia was doing Ecomm stock picks in the furnishings area. She needed to get a particular blind which was behind others, so had to move several to get to them. The blinds on the shelf were tilting and falling forwards and Olivia had to stop them from falling. Afterwards, she realized her right arm was hurting when she went to lift other blinds which she needed for another order.</t>
  </si>
  <si>
    <t>SRG-INJ-3488</t>
  </si>
  <si>
    <t>G7500641</t>
  </si>
  <si>
    <t>S060</t>
  </si>
  <si>
    <t>Hobart - Glenorchy</t>
  </si>
  <si>
    <t>right index finger, bruising and swollen with a small cut.</t>
  </si>
  <si>
    <t>Team member was breaking wooden fixture with a AXE and hit her hand onto the wooden fixture instead of with the AXE.</t>
  </si>
  <si>
    <t>SRG-INJ-3431</t>
  </si>
  <si>
    <t>G7494507</t>
  </si>
  <si>
    <t>AU201326</t>
  </si>
  <si>
    <t>O'SHEA, CINDY</t>
  </si>
  <si>
    <t>LEFT ARM</t>
  </si>
  <si>
    <t>MOVING CAGE OF BLINDS OUT TO ACCESS OTHER STOCK. BLIND FELL FORWARD HITTING ARM</t>
  </si>
  <si>
    <t>SRG-INJ-3257</t>
  </si>
  <si>
    <t>AU233235</t>
  </si>
  <si>
    <t>HERMANS, TAMARA</t>
  </si>
  <si>
    <t>lifting a box from top of pallet and it fell hitting top of head</t>
  </si>
  <si>
    <t>SRG-INJ-3233</t>
  </si>
  <si>
    <t>AU298334</t>
  </si>
  <si>
    <t>MAHARJAN, SEVIKA</t>
  </si>
  <si>
    <t>left foot/toe</t>
  </si>
  <si>
    <t>Stacking pallets and one slipped hitting her toe</t>
  </si>
  <si>
    <t>SRG-INJ-3200</t>
  </si>
  <si>
    <t>AU329022</t>
  </si>
  <si>
    <t>BYARD, SHELBY</t>
  </si>
  <si>
    <t>RIGHT ANKLE</t>
  </si>
  <si>
    <t>Was putting away fabrics and just stepped and rolled her ankle</t>
  </si>
  <si>
    <t>SRG-INJ-3171</t>
  </si>
  <si>
    <t>AU327935</t>
  </si>
  <si>
    <t>RICHARDS, TAHLIA</t>
  </si>
  <si>
    <t>Theo (Tahlia) was walking around the counter and tripped over the mats, going backwards landing on their left hand.</t>
  </si>
  <si>
    <t>SRG-INJ-3169</t>
  </si>
  <si>
    <t>head and ear</t>
  </si>
  <si>
    <t>RETRIEVING A TABLE WHICH WAs stacked. top one fell and hit ear &amp; head</t>
  </si>
  <si>
    <t>SRG-INJ-3057</t>
  </si>
  <si>
    <t>AU322172</t>
  </si>
  <si>
    <t>ROSS, ALEXANDER</t>
  </si>
  <si>
    <t>Lexi was looking for spare blind parts underneath the counter for a customer when they hit their hand on the drawer when trying to get up.</t>
  </si>
  <si>
    <t>SRG-INJ-3020</t>
  </si>
  <si>
    <t>box in back of head</t>
  </si>
  <si>
    <t>doing stock and grabbed a box that hit her on back of head</t>
  </si>
  <si>
    <t>SRG-INJ-2940</t>
  </si>
  <si>
    <t>AU322427</t>
  </si>
  <si>
    <t>BOWERMAN, KIMBRA</t>
  </si>
  <si>
    <t>left cheek/face</t>
  </si>
  <si>
    <t>Kimbra was doing ecom orders and reached for a pan causing one to fall and hit her in face</t>
  </si>
  <si>
    <t>SRG-INJ-3194</t>
  </si>
  <si>
    <t>AU236692</t>
  </si>
  <si>
    <t>SPONG, AMANDA</t>
  </si>
  <si>
    <t>no injury</t>
  </si>
  <si>
    <t>M2M consultant reversed out of driveway when attending a measure and quote and reversed into an unregistered car parked opposite on street.</t>
  </si>
  <si>
    <t>SRG-INJ-2895</t>
  </si>
  <si>
    <t>AU323514</t>
  </si>
  <si>
    <t>JONES, HOLLIE</t>
  </si>
  <si>
    <t>back of head</t>
  </si>
  <si>
    <t>Sevika was moving a pallet with walkie stacker.  blind from behind fell and struck her in back of head.</t>
  </si>
  <si>
    <t>SRG-INJ-2896</t>
  </si>
  <si>
    <t>AU320298</t>
  </si>
  <si>
    <t>CHESNIK, CASSIE</t>
  </si>
  <si>
    <t>bottom/and back</t>
  </si>
  <si>
    <t>cassie stepped back and tripped on a ladder</t>
  </si>
  <si>
    <t>SRG-INJ-2847</t>
  </si>
  <si>
    <t>AU322169</t>
  </si>
  <si>
    <t>VERMEY, OLIVIA</t>
  </si>
  <si>
    <t>mental stress</t>
  </si>
  <si>
    <t>a guy stealing items came back into the store to yell and threaten olivia who was working on the front of the register</t>
  </si>
  <si>
    <t>SRG-INJ-2866</t>
  </si>
  <si>
    <t>SHOULDER</t>
  </si>
  <si>
    <t>BLIND FELL ON TEAM MEMBER FROM BACK OF COUNTER</t>
  </si>
  <si>
    <t>SRG-INJ-2800</t>
  </si>
  <si>
    <t>G743317B</t>
  </si>
  <si>
    <t>AU222434</t>
  </si>
  <si>
    <t>CONNORS, STEPHANIE</t>
  </si>
  <si>
    <t>ANKLE  AND UPPER LEG</t>
  </si>
  <si>
    <t>STEPH WAS OUT THE BACK GETTING A CLICK AND COLLECT AND TRIPPED OVER THE BOXES LEFT ON THE FLOOR</t>
  </si>
  <si>
    <t>SRG-INJ-2766</t>
  </si>
  <si>
    <t>while loading up the clear plastic rolls by the metre, metal part on the stand scraped skin of hand and thumb, partially pulling thumb nail off.</t>
  </si>
  <si>
    <t>SRG-INJ-2753</t>
  </si>
  <si>
    <t>AU324703</t>
  </si>
  <si>
    <t>GAETANI, AMELIA</t>
  </si>
  <si>
    <t>ANKLE</t>
  </si>
  <si>
    <t>FELL OFF LADDER</t>
  </si>
  <si>
    <t>SRG-INJ-2586</t>
  </si>
  <si>
    <t>AU333564</t>
  </si>
  <si>
    <t>CLIFFORD, JENNIE</t>
  </si>
  <si>
    <t>head and neck</t>
  </si>
  <si>
    <t>TEAM  MEMBER DOING STOCK IN CONTAINER, QUILT FELL ON TEAM MEMBERS HEAD AND CAUSED HEAD TO JOLT BACK, EFFECTING THE NECK TO JOLT BACK</t>
  </si>
  <si>
    <t>SRG-INJ-2641</t>
  </si>
  <si>
    <t>G7415408</t>
  </si>
  <si>
    <t>left hand affected by continual cutting. and incorrect scissors</t>
  </si>
  <si>
    <t>repetitive type injury to left hand</t>
  </si>
  <si>
    <t>SRG-INJ-2497</t>
  </si>
  <si>
    <t>finger</t>
  </si>
  <si>
    <t>tried to stop a white table from falling and fell on top of finger. Injuring fingertip/nail</t>
  </si>
  <si>
    <t>SRG-INJ-2459</t>
  </si>
  <si>
    <t>right hand hit by stock</t>
  </si>
  <si>
    <t>Sevika was working stock in Semco canvas aisle. whilst putting stock up a canvas fell forward onto the floor striking her hand.</t>
  </si>
  <si>
    <t>SRG-INJ-2460</t>
  </si>
  <si>
    <t>AU214010</t>
  </si>
  <si>
    <t>CHARLTON, VICKIE</t>
  </si>
  <si>
    <t>shoulder and head</t>
  </si>
  <si>
    <t>Vickie ws doing ecommerce in despatch . as despatch is quite full the space is narrow. Boxes behind were bumped and fell forward. luckily only had cushion inserts inside.</t>
  </si>
  <si>
    <t>SRG-INJ-2406</t>
  </si>
  <si>
    <t>AU318272</t>
  </si>
  <si>
    <t>WILTSHIRE, RYAN</t>
  </si>
  <si>
    <t>Ryan was trying to obtain a M2M order and some stock that was stacked too close fell  and struck his shoulder. he stayed at work and has been here every shift since.</t>
  </si>
  <si>
    <t>SRG-INJ-2378</t>
  </si>
  <si>
    <t>Alyssa has a pre existing on going back problem, she was lifting a heavy box and flared her back pain</t>
  </si>
  <si>
    <t>SRG-INJ-2377</t>
  </si>
  <si>
    <t>Right ANKLE</t>
  </si>
  <si>
    <t>SEARCHING FOR BLINDS FOR CLICK N COLLECT AND ONE HAD FALLEN AND LANDED ON KIMBRA</t>
  </si>
  <si>
    <t>SRG-INJ-2333</t>
  </si>
  <si>
    <t>Cindy was climbing down the step ladder and missed the bottom step and fell into the shelves behind her.</t>
  </si>
  <si>
    <t>SRG-INJ-2288</t>
  </si>
  <si>
    <t>right index finger</t>
  </si>
  <si>
    <t>Alyssa was trying to fix the store trolley, and has hit her right index finger on the metal.</t>
  </si>
  <si>
    <t>SRG-INJ-2244</t>
  </si>
  <si>
    <t>AU203158</t>
  </si>
  <si>
    <t>PROUD, LINDA</t>
  </si>
  <si>
    <t>RIBS</t>
  </si>
  <si>
    <t>REACHING IT THE BIN AND HURT HER RIBS</t>
  </si>
  <si>
    <t>SRG-INJ-2210</t>
  </si>
  <si>
    <t>Alyssa was trying to close the cage for Australia post to pick up our ecommerce pick up and she closed the cage on her finger, cut her middle left finger.</t>
  </si>
  <si>
    <t>SRG-INJ-2213</t>
  </si>
  <si>
    <t>lexi was picking up a heavy blind and drop on her foot</t>
  </si>
  <si>
    <t>SRG-INJ-2178</t>
  </si>
  <si>
    <t>right toe</t>
  </si>
  <si>
    <t>team member was moving stock and ran over toe with walkie stacker</t>
  </si>
  <si>
    <t>SRG-INJ-1913</t>
  </si>
  <si>
    <t>wrist</t>
  </si>
  <si>
    <t>lifting a 2 person craft table in to the car with the customer and has hurt his wrist</t>
  </si>
  <si>
    <t>SRG-INJ-1809</t>
  </si>
  <si>
    <t>G733269C</t>
  </si>
  <si>
    <t>AU314421</t>
  </si>
  <si>
    <t>SANDRA, Berry</t>
  </si>
  <si>
    <t>team member was erecting a euro pallt and rather than exit with 3 sides up..she erects 4 and attempts to climb over side. falling back and hitting head</t>
  </si>
  <si>
    <t>SRG-INJ-1731</t>
  </si>
  <si>
    <t>AU325441</t>
  </si>
  <si>
    <t>ARTLEY, TRACEY</t>
  </si>
  <si>
    <t>left hand cut</t>
  </si>
  <si>
    <t>Team member cut their thumb with a tape measure</t>
  </si>
  <si>
    <t>SRG-INJ-1696</t>
  </si>
  <si>
    <t>AU309596</t>
  </si>
  <si>
    <t>BRAR, JASPREET</t>
  </si>
  <si>
    <t>left finger</t>
  </si>
  <si>
    <t>Team member got finger caught between door and bollard when opening the door.</t>
  </si>
  <si>
    <t>SRG-INJ-1668</t>
  </si>
  <si>
    <t>G731836E</t>
  </si>
  <si>
    <t>AU203227</t>
  </si>
  <si>
    <t>SPAULDING, MANDY</t>
  </si>
  <si>
    <t>Meniscal injury R knee</t>
  </si>
  <si>
    <t>standing talking to dtl re stock placement. customer approached and asked for help. half turned to assist customer. felt knee pop and exclaimed loudly oh my knee. painful but kept going</t>
  </si>
  <si>
    <t>SRG-INJ-1639</t>
  </si>
  <si>
    <t>Front of right foot bruise and swelling</t>
  </si>
  <si>
    <t>Staff member was traveling with excess red carts behind the furnishings counter when her foot got caught under the red carts which was caught under the floor mats. this made her trip over.</t>
  </si>
  <si>
    <t>SRG-INJ-3498</t>
  </si>
  <si>
    <t>AU337835</t>
  </si>
  <si>
    <t>RADOVANOVIC, NICKOLETA</t>
  </si>
  <si>
    <t>S061</t>
  </si>
  <si>
    <t>Hit on back left side of head</t>
  </si>
  <si>
    <t>Nicky was working a cage taking yarn out to be organised and worked. While squatting and leaning into the cage, tall objects that were standing upright fell forward. Two hit Nicky on the head and one missed her. Georgia was on site as witnessed and rushed to help. Nicky continued her shift as normal as there was only ~15min left.</t>
  </si>
  <si>
    <t>SRG-INJ-3321</t>
  </si>
  <si>
    <t>G748408C</t>
  </si>
  <si>
    <t>AU325020</t>
  </si>
  <si>
    <t>POON, LUCY</t>
  </si>
  <si>
    <t>RH thumb inflammation/bruising</t>
  </si>
  <si>
    <t>Moving stock into a trolley, one of the boxes slipped when I was moving it over, tried to catch it but wasn't able to correctly grip it and didn't account for the weight shifting. my right thumb got trapped between the box and edge of trolley</t>
  </si>
  <si>
    <t>SRG-INJ-3286</t>
  </si>
  <si>
    <t>G748059A</t>
  </si>
  <si>
    <t>AU298665</t>
  </si>
  <si>
    <t>RICE, TRACEY</t>
  </si>
  <si>
    <t>Fractured Left Wrist</t>
  </si>
  <si>
    <t>Tracey was moving a pallet of stock back to despatch. When moving the pallet from it's initial position, four white ecobase mesh walls that were leaning on the pallet fell onto the floor knocking off some stock from the pallet. Tracey picked some stock off the floor and moved to pick up the rest on the other side of the mesh walls, stepped on them and they gave way under her feet causing her to fall on the floor. Tracey set her hand down to brace the fall but caused damage instead. Staff assisted her in applying a sling using fabrics. After about 10 minutes Tracey left for the hospital with a friend driving her.</t>
  </si>
  <si>
    <t>SRG-INJ-2867</t>
  </si>
  <si>
    <t>Hit on the top of the head</t>
  </si>
  <si>
    <t>Team member reported that he was working with stock of packaged blinds in despatch area when one of the blinds fell and him on the head. He then showed me the CCTV footage on his phone and said that he was going home.</t>
  </si>
  <si>
    <t>SRG-INJ-2674</t>
  </si>
  <si>
    <t>AU325021</t>
  </si>
  <si>
    <t>MOORE, IVY</t>
  </si>
  <si>
    <t>Cut to left hand</t>
  </si>
  <si>
    <t>Cutting up a gift card and the scissors cut left hand</t>
  </si>
  <si>
    <t>SRG-INJ-2577</t>
  </si>
  <si>
    <t>Lucy, staff member, was assisting a customer with a click and collect for a venetian blind. After handing the product to the customer and getting him to sign off, Lucy bent over the trolley next to her to start another task. The customer picked up the blind and did not adjust his grip to the weight of the blind to allow it balance properly. the top of the blind over balanced and fell on Lucy's head as she was bent over.</t>
  </si>
  <si>
    <t>SRG-INJ-2212</t>
  </si>
  <si>
    <t>AU329470</t>
  </si>
  <si>
    <t>HACKETT, TAMARA</t>
  </si>
  <si>
    <t>tripped on object hurt arm ankle and face</t>
  </si>
  <si>
    <t>slipped on a piece of foam that was on the ground, rolled ankle falling arms first was holding a box which caused team member to also hurt face</t>
  </si>
  <si>
    <t>SRG-INJ-1812</t>
  </si>
  <si>
    <t>G7336004</t>
  </si>
  <si>
    <t>AU324862</t>
  </si>
  <si>
    <t>KAUR, SARVJEET</t>
  </si>
  <si>
    <t>R Shoulder/neck &amp; elbow tenderness</t>
  </si>
  <si>
    <t>Team member was originally on front end counter, had asked to try and different department and wanted to be moved. Once moved Sarah started to complain that her elbow and neck was hurting. She went and visited the doctor and completed a scan and had bursitis. Sarah had the injection in the shoulder took some time off and said it was still hurting.</t>
  </si>
  <si>
    <t>SRG-INJ-2822</t>
  </si>
  <si>
    <t>AU230737</t>
  </si>
  <si>
    <t>ADAMS, CAROLINE</t>
  </si>
  <si>
    <t>S062</t>
  </si>
  <si>
    <t>Taree</t>
  </si>
  <si>
    <t>sustained bruising to ribs</t>
  </si>
  <si>
    <t>Team member unloading  the pallets, Lent into a Euro bin to get a box of stock from the bottom of the bin and rolled her ribs on the right hand side of the rim of the bin sustaining muscle pain</t>
  </si>
  <si>
    <t>SRG-INJ-2796</t>
  </si>
  <si>
    <t>AU310449</t>
  </si>
  <si>
    <t>FAWCETT, EMMA</t>
  </si>
  <si>
    <t>back of left hand</t>
  </si>
  <si>
    <t>Team member was pulling a cage of stock through a narrow isle, when her hand became jammed between the gable &amp; cage. Felt hot/sweaty &amp; ringing ears in the moments after. Team member sat down at the nearest counter until this had passed.</t>
  </si>
  <si>
    <t>SRG-INJ-1893</t>
  </si>
  <si>
    <t>AU236835</t>
  </si>
  <si>
    <t>SMITH, SANDRA</t>
  </si>
  <si>
    <t>Sandra called me very distressed and crying, she said she as been to the DR and is having time off as she had a really rough day at work on the Friday before and she cant cope any more.</t>
  </si>
  <si>
    <t>SRG-INJ-1607</t>
  </si>
  <si>
    <t>AU234430</t>
  </si>
  <si>
    <t>BURROWS, KELLEE</t>
  </si>
  <si>
    <t>pulled back muscle</t>
  </si>
  <si>
    <t>Unpacking the pallets, placed down box, walked back to pallet and back grabbed.</t>
  </si>
  <si>
    <t>SRG-INJ-1600</t>
  </si>
  <si>
    <t>sprained right ankle</t>
  </si>
  <si>
    <t>Team member was carrying a cricut machine down the stairs for a customer, team member has missed the bottom step &amp; twisted her ankle</t>
  </si>
  <si>
    <t>SRG-INJ-3368</t>
  </si>
  <si>
    <t>AU214605</t>
  </si>
  <si>
    <t>REZAIE, FERESHTEH</t>
  </si>
  <si>
    <t>S063</t>
  </si>
  <si>
    <t>Right knee and foot.</t>
  </si>
  <si>
    <t>I was wheeling a trolley of blind to furnishing as the trolley was a bit over loaded I thing I put to much pressure on my right foot and hurt my knee.</t>
  </si>
  <si>
    <t>SRG-INJ-3215</t>
  </si>
  <si>
    <t>AU336991</t>
  </si>
  <si>
    <t>ARAPIS, ANTOINETTE MARIE</t>
  </si>
  <si>
    <t>opening boxes of stock knife cutter slipped while cutting.</t>
  </si>
  <si>
    <t>SRG-INJ-3186</t>
  </si>
  <si>
    <t>AU231166</t>
  </si>
  <si>
    <t>CHADWICK, JENNIFER</t>
  </si>
  <si>
    <t>left breast</t>
  </si>
  <si>
    <t>Jenny was walking to the front to conduct morning huddle carrying folders and paper work, walking straight but checking paper work not looking forward, she tripped over a base with Christmas nutcrackers standing on</t>
  </si>
  <si>
    <t>SRG-INJ-2994</t>
  </si>
  <si>
    <t>cut on right index finger</t>
  </si>
  <si>
    <t>Was remerching the sidepanel in the kitchen area - removing colourmix knives in plastic seal - 1 fell. When picking up dropped packaging the smallest knife had slid out of the packaging and cut Ferey  on her right index finger.</t>
  </si>
  <si>
    <t>SRG-INJ-2977</t>
  </si>
  <si>
    <t>G745981B</t>
  </si>
  <si>
    <t>AU222312</t>
  </si>
  <si>
    <t>GREEVE, KATHRINE</t>
  </si>
  <si>
    <t>Left lower back to left knee</t>
  </si>
  <si>
    <t>walking over grass walked into nothing. After the incident the customer said becareful the grass can be spongy.  Katherine is our M2M consultant and was visiting a client's house to measure her windows when she walked into a large dip in customer lawn and twisted her leg. She said that the dip couldn't be seen as it was covered by  thick grass.</t>
  </si>
  <si>
    <t>SRG-INJ-2958</t>
  </si>
  <si>
    <t>AU209002</t>
  </si>
  <si>
    <t>CRUICKSHANK, JENIFER</t>
  </si>
  <si>
    <t>Cut finger on plastic shelving while putting up A6 tickets</t>
  </si>
  <si>
    <t>SRG-INJ-2807</t>
  </si>
  <si>
    <t>AU298626</t>
  </si>
  <si>
    <t>SAN, AUNG</t>
  </si>
  <si>
    <t>Middle finger Right hand</t>
  </si>
  <si>
    <t>Team member previously placed eco base onto a trolley, yesterday then needed the trolley today and so removed the eco base but it fell and squished his finger between another base. He applied an ice pack to it and alerted the nearest DTL.</t>
  </si>
  <si>
    <t>SRG-INJ-2623</t>
  </si>
  <si>
    <t>AU313169</t>
  </si>
  <si>
    <t>PATEL, ESHA</t>
  </si>
  <si>
    <t>Esha was pulling euros of stock from store floor for day storage in outside despatch area. Released the pallet jack out from under the euro and due to slope in area rolled forward onto their knee.</t>
  </si>
  <si>
    <t>SRG-INJ-2416</t>
  </si>
  <si>
    <t>right hand palm area near thumb</t>
  </si>
  <si>
    <t>Team member working planogram in bedding that required shelves to be changed/adjusted. When dislodging shelves that were stuck together they hurt their palm.</t>
  </si>
  <si>
    <t>SRG-INJ-2359</t>
  </si>
  <si>
    <t>RIGHT EYEBALL</t>
  </si>
  <si>
    <t>jenny was pushing rubbish into the bin when a cardboard strip . flicked up and papercut my right eyeball</t>
  </si>
  <si>
    <t>SRG-INJ-2321</t>
  </si>
  <si>
    <t>AU308493</t>
  </si>
  <si>
    <t>ROSE, DASY</t>
  </si>
  <si>
    <t>Bump/bruising on head and sore chest</t>
  </si>
  <si>
    <t>Dasy was picking up a Cricut machine, hit her head on the door strike plate (Door deadbolt where it latches) the box that she was lifting then fell and hit her chest.</t>
  </si>
  <si>
    <t>SRG-INJ-2275</t>
  </si>
  <si>
    <t>AU232683</t>
  </si>
  <si>
    <t>HOWLETT, NATASHA</t>
  </si>
  <si>
    <t>Knocked skin on right thumb</t>
  </si>
  <si>
    <t>Team member was carrying out parcel to give to Australia post. it was a large unwieldy parcel that restricted vision of things immediately on the other side. As they were walking it to despatch her thumb got stuck on the keypad that is used to open the door. Team member delivered the parcel to awaiting postie and inspected thumb then applied first aid spray and bandaid informing Claire and Lyssa</t>
  </si>
  <si>
    <t>SRG-INJ-2280</t>
  </si>
  <si>
    <t>puncture under nail</t>
  </si>
  <si>
    <t>Team member was folding fabric and fingernail caught on the table between the ruler and the wood. Piece of the table came of and nicked under their nail and scatched them.</t>
  </si>
  <si>
    <t>SRG-INJ-2260</t>
  </si>
  <si>
    <t>staple puncture on finger</t>
  </si>
  <si>
    <t>pinky finger was pricked by a staple deep enough to bleed. Repacking a return blind that still had staples in it.</t>
  </si>
  <si>
    <t>SRG-INJ-2030</t>
  </si>
  <si>
    <t>Pulled muscle in right thigh hurts to walk on it and feels strained with continuous quick movement. Pain will hopefully fade. Trying not to overstrain it</t>
  </si>
  <si>
    <t>Natasha was retrieving large metal fans at the back of the sea container, cleared a path somewhat then carried the fans out. First fan was fine, second fan was heavier then expected and caused her to lose her footing knocking fixtures over causing her to stumble/trip still holding the fan. This caused her to pull a muscle in her right leg as she worked to correct her balance and not fall. the join in the fan then pinched her finger. Managed to carry fan out of sea container then cleared and better stacked the fixtures away to reduce hazard before having a break and retrieving the final fan</t>
  </si>
  <si>
    <t>SRG-INJ-2031</t>
  </si>
  <si>
    <t>AU317193</t>
  </si>
  <si>
    <t>JONES, TIARA</t>
  </si>
  <si>
    <t>Sore and swollen hand</t>
  </si>
  <si>
    <t>Team member dragging cage through aisle when hand was caught between fixture and side of cage. Team member was not paying attention to space where cage was moving through. This resulted in sore and swollen hand</t>
  </si>
  <si>
    <t>SRG-INJ-1892</t>
  </si>
  <si>
    <t>AU226690</t>
  </si>
  <si>
    <t>CARLSSON, STEPHANIE</t>
  </si>
  <si>
    <t>Right ankle</t>
  </si>
  <si>
    <t>Team member was putting fabric away and had one of the fabric trolleys down the poplin aisle. When she was walking past it she hit her right ankle on the bottom corner of the trolley</t>
  </si>
  <si>
    <t>SRG-INJ-1827</t>
  </si>
  <si>
    <t>Team member was retrieving black rack fixtures from the white sea container and a set of the base wheels fell over colliding with the top of her head</t>
  </si>
  <si>
    <t>SRG-INJ-2227</t>
  </si>
  <si>
    <t>AU202419</t>
  </si>
  <si>
    <t>BARRANCA, VANESSA</t>
  </si>
  <si>
    <t>Team Member was cutting plastic tie off the embroidery hoops and her thumb has gotten in the way of the knife blade, resulting in a cut on her left thumb. First Aid was given by a DTL, Team Member was spoken to regarding safety whilst using a knife and the Team Member has resumed her duties.</t>
  </si>
  <si>
    <t>SRG-INJ-1575</t>
  </si>
  <si>
    <t>Graze to back heel</t>
  </si>
  <si>
    <t>Was Pulling the cage out of the dock when I was stopped by a customer.  I turned around and the cage kept moving and hit the back of my heel.</t>
  </si>
  <si>
    <t>SRG-INJ-2751</t>
  </si>
  <si>
    <t>AU236607</t>
  </si>
  <si>
    <t>SAYERS, RIKKY</t>
  </si>
  <si>
    <t>S065</t>
  </si>
  <si>
    <t>Middle finger, right hand, jarred/bruised</t>
  </si>
  <si>
    <t>Rikky entered the tea room to wash her hands and slipped on the wet floor in front of the vending machine with one foot, tried to recover and her other foot had slipped and she hit her right hand against the sink cupboard and has hurt/jarred her middle finger. Rikky then notified duty manager, Brenda Pulleine, that she had slipped and hurt her hand. We applied first aide, putting ice on it and strapping it up. Rikky is now having difficulties performing all her job tasks. Upon looking at the floor I, Brenda, noticed wet patches in front of the fridge, sink and vending machine. On closer look this appeared to be floor detergent and EXTREMELY slippery. This has been cleaned and cleared by staff.</t>
  </si>
  <si>
    <t>SRG-INJ-2769</t>
  </si>
  <si>
    <t>G7431055</t>
  </si>
  <si>
    <t>AU200625</t>
  </si>
  <si>
    <t>WALLIS, SANDRA</t>
  </si>
  <si>
    <t>Impact on both knees, one more bruised than the other.</t>
  </si>
  <si>
    <t>Sandra was unpacking pallets and tripped over a box of stock that was being unpacked and fell straight on her knees.</t>
  </si>
  <si>
    <t>SRG-INJ-2667</t>
  </si>
  <si>
    <t>AU321468</t>
  </si>
  <si>
    <t>GHILARDI, CHELSEA</t>
  </si>
  <si>
    <t>back left foot heel area, cut skin</t>
  </si>
  <si>
    <t>Chelsea Ghilardi was pulling a pallet from inside the store to outside and where the floor drain was and the pallet jack ran into the back of left foot heel</t>
  </si>
  <si>
    <t>SRG-INJ-2002</t>
  </si>
  <si>
    <t>smashed left elbow on steel trolley and lost feeling down forearm and pinkie and ring finger</t>
  </si>
  <si>
    <t>smashed left elbow on a trolley. lost feeling down forearm to pinkie and ring finger</t>
  </si>
  <si>
    <t>SRG-INJ-1850</t>
  </si>
  <si>
    <t>AU311575</t>
  </si>
  <si>
    <t>WILSON, ALYSSA</t>
  </si>
  <si>
    <t>twinged her back when twisting to put out stock</t>
  </si>
  <si>
    <t>twisted wrong when putting away stock and hurt her back</t>
  </si>
  <si>
    <t>SRG-INJ-1768</t>
  </si>
  <si>
    <t>AU323949</t>
  </si>
  <si>
    <t>WATSON, ARCHAR</t>
  </si>
  <si>
    <t>lower leg near rt knee</t>
  </si>
  <si>
    <t>cut leg open near knee, while cutting up boxes for rubbish</t>
  </si>
  <si>
    <t>SRG-INJ-1755</t>
  </si>
  <si>
    <t>AU236675</t>
  </si>
  <si>
    <t>HOOPER, DANIELLE</t>
  </si>
  <si>
    <t>bending up and down marking down products, and putting them on bottom of table, knee twisted and bent funny, tender</t>
  </si>
  <si>
    <t>SRG-INJ-1721</t>
  </si>
  <si>
    <t>AU234746</t>
  </si>
  <si>
    <t>RITCHIE, JO-ANNE</t>
  </si>
  <si>
    <t>Rolled left ankle as she was walking into store</t>
  </si>
  <si>
    <t>SRG-INJ-3394</t>
  </si>
  <si>
    <t>S24BG220540</t>
  </si>
  <si>
    <t>AU337781</t>
  </si>
  <si>
    <t>DANIEL, ANDREW</t>
  </si>
  <si>
    <t>S069</t>
  </si>
  <si>
    <t>Andrew was taking out cage of stock and when passing in between eco bins and fabric stands, he has collided with the fabric stand when pulling cage down the race track causing a laceration on his finger. Andrew then reported it to myself and then we placed a dressing holding with fingers to stop any bleeding. Offered Andrew a ambulance but he was alright with driving to the hospital.</t>
  </si>
  <si>
    <t>SRG-INJ-2231</t>
  </si>
  <si>
    <t>AU302757</t>
  </si>
  <si>
    <t>MCALPINE, DAMIEN</t>
  </si>
  <si>
    <t>Back of the Head - Not Specified</t>
  </si>
  <si>
    <t>Damien was moving pallets during cleanup and when he lifted one and a slat fell off and donked him on the head.</t>
  </si>
  <si>
    <t>SRG-INJ-2037</t>
  </si>
  <si>
    <t>AU230955</t>
  </si>
  <si>
    <t>STREETER, MADELYN</t>
  </si>
  <si>
    <t>Heels (Left / Right) - Blisters</t>
  </si>
  <si>
    <t>She was wearing new work boots which has given her massive blisters, which she kept working through.</t>
  </si>
  <si>
    <t>Other diseases of skin and subcutaneous tissue, not elsewhere classified</t>
  </si>
  <si>
    <t>SRG-INJ-1885</t>
  </si>
  <si>
    <t>AU220637</t>
  </si>
  <si>
    <t>STEWART, FIONA</t>
  </si>
  <si>
    <t>Knee (left) - Unspecified</t>
  </si>
  <si>
    <t>Team member was pushing a stock trolley moving ecomms out the back and when she went around a corner twisted at her knee instead of her body and tweaked it.  Didn't feel the pain till later in the day.</t>
  </si>
  <si>
    <t>SRG-INJ-3401</t>
  </si>
  <si>
    <t>AU240989</t>
  </si>
  <si>
    <t>CORNISH, FAYE</t>
  </si>
  <si>
    <t>S070</t>
  </si>
  <si>
    <t>left shoulder, left palm, both knees, back, and right shin</t>
  </si>
  <si>
    <t>Faye was getting a product from the aisle for a customer on the phone.  When leaving the aisle with products in hand she has tripped over baskets that are at the start of the aisle and has fallen on top of the baskets landing and hands and knees</t>
  </si>
  <si>
    <t>SRG-INJ-3338</t>
  </si>
  <si>
    <t>AU319862</t>
  </si>
  <si>
    <t>BLAKE, PAULINE</t>
  </si>
  <si>
    <t>HEAD - RIGHT SIDE BRUISING</t>
  </si>
  <si>
    <t>Team member bent down to grab red baskets against a side end, as shes lifted up shes hit the side of her head on the side end hook. BAD LIGHTING. DIDN'T SEE THE HOOK DUE TO LIMITED LIGHTING.</t>
  </si>
  <si>
    <t>SRG-INJ-3263</t>
  </si>
  <si>
    <t>Sore elbow</t>
  </si>
  <si>
    <t>I was on the wave machine and i pulled my arm down and hit my elbow really hard on the wave machine and my whole arm vibrated</t>
  </si>
  <si>
    <t>SRG-INJ-3051</t>
  </si>
  <si>
    <t>AU226532</t>
  </si>
  <si>
    <t>COVERDALE, STEPHANIE</t>
  </si>
  <si>
    <t>Scab on right shoulder</t>
  </si>
  <si>
    <t>Steph was cleaning frames and frame from the top shelf has fallen on her shoulder</t>
  </si>
  <si>
    <t>SRG-INJ-3032</t>
  </si>
  <si>
    <t>bruising on knee cap</t>
  </si>
  <si>
    <t>Pauline dropped a venetian blind on her knee cap when getting it out the bay</t>
  </si>
  <si>
    <t>SRG-INJ-3044</t>
  </si>
  <si>
    <t>strain. something popped in her side</t>
  </si>
  <si>
    <t>Faye was leaning into a pallet and something popped</t>
  </si>
  <si>
    <t>SRG-INJ-2904</t>
  </si>
  <si>
    <t>AU323115</t>
  </si>
  <si>
    <t>SPRAKE, KIRRA</t>
  </si>
  <si>
    <t>superficial bruising</t>
  </si>
  <si>
    <t>Kirra was getting a blind out of the fixture and the bar fell on her arm</t>
  </si>
  <si>
    <t>SRG-INJ-2836</t>
  </si>
  <si>
    <t>AU320186</t>
  </si>
  <si>
    <t>RITZROW, ZACCARIAH</t>
  </si>
  <si>
    <t>TO THE EARS</t>
  </si>
  <si>
    <t>CUSTOMERS WALKED OUT WITH TROLLEY FULL OF STOCK THROUGH OUR CRAFT FIRE EXIT DOOR AND SET OFF THE ALARM. MANAGERS DEB ERICA &amp; MADDI SPOKE WITH SECURITY TO DISARM THE ALARM THAT WAS BLARING FROM THE STORE.</t>
  </si>
  <si>
    <t>Audio shock, audio shriek</t>
  </si>
  <si>
    <t>SRG-INJ-2837</t>
  </si>
  <si>
    <t>AU308732</t>
  </si>
  <si>
    <t>DORAN, JACOB</t>
  </si>
  <si>
    <t>SRG-INJ-2638</t>
  </si>
  <si>
    <t>AU310240</t>
  </si>
  <si>
    <t>WILLIAMS, BRONWYN</t>
  </si>
  <si>
    <t>leg swelled up</t>
  </si>
  <si>
    <t>Bron was getting a wall art down for a customer and she scraped her leg on the ladder when getting down. the front of her leg started to swell as she burst a vein in her leg</t>
  </si>
  <si>
    <t>SRG-INJ-2582</t>
  </si>
  <si>
    <t>AU319449</t>
  </si>
  <si>
    <t>ALLISON, RYAN</t>
  </si>
  <si>
    <t>Knock on head and elbow</t>
  </si>
  <si>
    <t>Ryan was working stock down the Venetian aisle when a blind fell out of the bay towards Ryan and hit him on his head and elbow</t>
  </si>
  <si>
    <t>SRG-INJ-2404</t>
  </si>
  <si>
    <t>Hit Head</t>
  </si>
  <si>
    <t>Bar fell when the team member was taking a rod down in furnishings</t>
  </si>
  <si>
    <t>SRG-INJ-2295</t>
  </si>
  <si>
    <t>Thigh (R) - Bruising and swelling Ankle/Leg/Hip - Pain</t>
  </si>
  <si>
    <t>Bronwyn was cleaning the aisles, picked up costumes to replace in packaging, while walking to counter the pants leg of the costume fell on the ground and slipped on them</t>
  </si>
  <si>
    <t>SRG-INJ-2179</t>
  </si>
  <si>
    <t>pain in upper back</t>
  </si>
  <si>
    <t>lifting stock for customer to see</t>
  </si>
  <si>
    <t>SRG-INJ-2157</t>
  </si>
  <si>
    <t>AU229004</t>
  </si>
  <si>
    <t>MEANEY, PATRICIA</t>
  </si>
  <si>
    <t>sore toe</t>
  </si>
  <si>
    <t>Team Member dropped PDA on foot</t>
  </si>
  <si>
    <t>SRG-INJ-2128</t>
  </si>
  <si>
    <t>sliced plam</t>
  </si>
  <si>
    <t>team member slided plam</t>
  </si>
  <si>
    <t>SRG-INJ-2106</t>
  </si>
  <si>
    <t>FOREHEAD</t>
  </si>
  <si>
    <t>BENT DOWN TO PICK UP STOCK OF FLOOR AND HIT HOOK ON THE WAY DOWN.</t>
  </si>
  <si>
    <t>SRG-INJ-2008</t>
  </si>
  <si>
    <t>AU313535</t>
  </si>
  <si>
    <t>KENNEDY, ELLA</t>
  </si>
  <si>
    <t>cut finger on basket</t>
  </si>
  <si>
    <t>SRG-INJ-1867</t>
  </si>
  <si>
    <t>AU314119</t>
  </si>
  <si>
    <t>TAYLOR, JASMYN</t>
  </si>
  <si>
    <t>raised mark on chin</t>
  </si>
  <si>
    <t>team member pulled stock out of a box when unpacking stock and hit herself in the face with the corner of wooden stock</t>
  </si>
  <si>
    <t>SRG-INJ-1769</t>
  </si>
  <si>
    <t>AU219753</t>
  </si>
  <si>
    <t>GEORGATSOS, CATHERINE</t>
  </si>
  <si>
    <t>blood blister and swelling on left thumb</t>
  </si>
  <si>
    <t>finger jammed in safe door</t>
  </si>
  <si>
    <t>SRG-INJ-1749</t>
  </si>
  <si>
    <t>bruised right leg</t>
  </si>
  <si>
    <t>team member knocked leg on fixture under counter as she was walking past</t>
  </si>
  <si>
    <t>SRG-INJ-1719</t>
  </si>
  <si>
    <t>AU307733</t>
  </si>
  <si>
    <t>HANCOCK, LAURA</t>
  </si>
  <si>
    <t>swollen finger</t>
  </si>
  <si>
    <t>team member's finger got stuck in cage</t>
  </si>
  <si>
    <t>SRG-INJ-1673</t>
  </si>
  <si>
    <t>bump on top of head</t>
  </si>
  <si>
    <t>team member hit top of head on racking in layby whilst packing a click and collect order</t>
  </si>
  <si>
    <t>SRG-INJ-1665</t>
  </si>
  <si>
    <t>Jared Torso and left arm</t>
  </si>
  <si>
    <t>Team member didn't see the puddle of water due to the roof leaking and has slipped</t>
  </si>
  <si>
    <t>SRG-INJ-1598</t>
  </si>
  <si>
    <t>AU328535</t>
  </si>
  <si>
    <t>DI LABIO, KYLE</t>
  </si>
  <si>
    <t>Cut on finger</t>
  </si>
  <si>
    <t>Team member cut his finger</t>
  </si>
  <si>
    <t>SRG-INJ-3403</t>
  </si>
  <si>
    <t>AU302347</t>
  </si>
  <si>
    <t>GRANT, TAYLA</t>
  </si>
  <si>
    <t>S072</t>
  </si>
  <si>
    <t>Melrose Park</t>
  </si>
  <si>
    <t>Top of the Right Foot contusion</t>
  </si>
  <si>
    <t>Tayla was putting something in the bin and a roll con canvas slid of the shelf and landed on her foot.</t>
  </si>
  <si>
    <t>SRG-INJ-2626</t>
  </si>
  <si>
    <t>AU333093</t>
  </si>
  <si>
    <t>BROWN, ABIGAYLE</t>
  </si>
  <si>
    <t>Last night woke up lot of pain base of back. This morning tried to get out of bed can't bend or twist  without pain, I can't stand with correct posture and I can't sit down completely. I think I might have pulled a muscle yesterday at work.</t>
  </si>
  <si>
    <t>Last night I woke up in a lot of pain at the base of my back. This morning iâ€™ve tried to get out of bed but I canâ€™t bend or twist in any manner without pain, I canâ€™t stand with correct posture and I canâ€™t sit down completely. I think I might have pulled a muscle yesterday at work. Iâ€™m letting you know in case you might need to do an incident/injury report. I would like to see a doctor asap, but would this be something I have to do through work or can I see my own doctor?</t>
  </si>
  <si>
    <t>SRG-INJ-2611</t>
  </si>
  <si>
    <t>58566373/00</t>
  </si>
  <si>
    <t>AU321040</t>
  </si>
  <si>
    <t>CONNOLLY, BENJAMIN</t>
  </si>
  <si>
    <t>Left Shoulder - possible rotator cuff tear</t>
  </si>
  <si>
    <t>Was receipting in Made to Measure,  lifting boxes and strained left shoulder</t>
  </si>
  <si>
    <t>SRG-INJ-2454</t>
  </si>
  <si>
    <t>AU329906</t>
  </si>
  <si>
    <t>TILLACK, MACKENZIE</t>
  </si>
  <si>
    <t>slight mark on forehead, small bruise</t>
  </si>
  <si>
    <t>Mackenzie was in the process of collecting a click and collect order and knocked her head on a blind that was on the top shelf.</t>
  </si>
  <si>
    <t>SRG-INJ-1887</t>
  </si>
  <si>
    <t>57193119/00</t>
  </si>
  <si>
    <t>AU313353</t>
  </si>
  <si>
    <t>ZIPPEL, ROBYN</t>
  </si>
  <si>
    <t>Mental</t>
  </si>
  <si>
    <t>Team member has certificate for 2 weeks off. Team member did speak with regional manager previously about not being happy in her role. Team member advised that she would like a transfer but also noted that she had applied for another job with Kaiser craft she was probably going to take the new job as she would only work 15 hours per week where she could again pick up her business of coaching cricut classes that paid her $50 per hour.</t>
  </si>
  <si>
    <t>SRG-INJ-1800</t>
  </si>
  <si>
    <t>56955515_00</t>
  </si>
  <si>
    <t>AU298547</t>
  </si>
  <si>
    <t>PIKULIC, MEGAN</t>
  </si>
  <si>
    <t>hurt lower back while cleaning under base boards</t>
  </si>
  <si>
    <t>Megan hurt her lower left back while cleaning under base boards. cleaning unde baseboards during stocktake prep. repetitive bending, reaching, twisting, puling movements</t>
  </si>
  <si>
    <t>SRG-INJ-3459</t>
  </si>
  <si>
    <t>AU236649</t>
  </si>
  <si>
    <t>BOWEN, DAKOTA</t>
  </si>
  <si>
    <t>S073</t>
  </si>
  <si>
    <t>Team member was putting sticker on pallet and another team member  pushed a pallet with walkie staker . Team member's arm got stuck between the 2 pallets</t>
  </si>
  <si>
    <t>SRG-INJ-3245</t>
  </si>
  <si>
    <t>AU317539</t>
  </si>
  <si>
    <t>KOTSOPOULOS, EFTHALIA</t>
  </si>
  <si>
    <t>team member was moving a pallet and got finger stuck between a pallet and the pallet jack</t>
  </si>
  <si>
    <t>SRG-INJ-1987</t>
  </si>
  <si>
    <t>AU313788</t>
  </si>
  <si>
    <t>VANDERPLANK, REBECCA</t>
  </si>
  <si>
    <t>Team member slipped on a piece of cardboard and flip chart that was on the floor, she had stepped on both and lost her footing and landed on her knee</t>
  </si>
  <si>
    <t>SRG-INJ-1932</t>
  </si>
  <si>
    <t>AU308799</t>
  </si>
  <si>
    <t>NEWITT, LILY</t>
  </si>
  <si>
    <t>Lower back, bottom and left ankle</t>
  </si>
  <si>
    <t>Slipped on a wall art canvas that had fallen from where it was leaning and it got trapped under her feet and she fell on her bottom. She has a sore bottom and lower back and left ankle</t>
  </si>
  <si>
    <t>SRG-INJ-1926</t>
  </si>
  <si>
    <t>AU317399</t>
  </si>
  <si>
    <t>WESOLOWSKI, ISABELLA</t>
  </si>
  <si>
    <t>Team member was feeling dizzy and light headed, she  was helped by other team member and a customer then she collapsed and hit her head on the counter</t>
  </si>
  <si>
    <t>SRG-INJ-1927</t>
  </si>
  <si>
    <t>AU311229</t>
  </si>
  <si>
    <t>KLIFUNIS, STEPHANIE</t>
  </si>
  <si>
    <t>shoulders</t>
  </si>
  <si>
    <t>Blinds ready for pick up from, Click &amp; Collect, had fallen down and team member tried to catch them but they landed on her shoulders</t>
  </si>
  <si>
    <t>SRG-INJ-3504</t>
  </si>
  <si>
    <t>AU298293</t>
  </si>
  <si>
    <t>ZUPANCIC, SAMANTHA</t>
  </si>
  <si>
    <t>S074</t>
  </si>
  <si>
    <t>Clovercrest</t>
  </si>
  <si>
    <t>Right eye brow bone</t>
  </si>
  <si>
    <t>Staff member was entering the laybuy room and walked into the pole of a macrame wall hanging, injuring the brow bone above her right eye . Staff member was offered a cold pack and sat down for 20 minutes before returning to work.</t>
  </si>
  <si>
    <t>SRG-INJ-3359</t>
  </si>
  <si>
    <t>AU336711</t>
  </si>
  <si>
    <t>ANDERSEN, MICHAEL</t>
  </si>
  <si>
    <t>left index finger small cut from retraceable knife</t>
  </si>
  <si>
    <t>Michael was cutting a M2M box open with blue strapping with a new retractable knife and when he was cutting the blue plastic strapping the knife slipped and knicked his finger</t>
  </si>
  <si>
    <t>SRG-INJ-3134</t>
  </si>
  <si>
    <t>AU298833</t>
  </si>
  <si>
    <t>BOURKE, ISABELLA</t>
  </si>
  <si>
    <t>Staff member Bella reported that they stepped on the bottom of their pants and tripped down the stairs. They came into the office in pain, stating they just needed to sit down for a minute and that they would be fine to work. They stated that their back hurt but not enough to stop working. Ice pack was offered but staff member declined.</t>
  </si>
  <si>
    <t>SRG-INJ-2639</t>
  </si>
  <si>
    <t>AU312464</t>
  </si>
  <si>
    <t>BOHUTINSKY, EMILY</t>
  </si>
  <si>
    <t>middle abdomen, torso and legs</t>
  </si>
  <si>
    <t>Lady came in with a Drakes trolley and her puppy proceeded to grab a whole trolley of craft supplies. Team member asked the customer for her receipt customer hit team member numerous times with trolley.</t>
  </si>
  <si>
    <t>SRG-INJ-2554</t>
  </si>
  <si>
    <t>AU229659</t>
  </si>
  <si>
    <t>ATKINSON, MEGAN</t>
  </si>
  <si>
    <t>Team member was destroying damaged dress fabric cut pointer finger on the left hand. team put bandaid on finger but is still bleeding</t>
  </si>
  <si>
    <t>SRG-INJ-2423</t>
  </si>
  <si>
    <t>AU309614</t>
  </si>
  <si>
    <t>PAYNE, DANIELLE</t>
  </si>
  <si>
    <t>Hurt eye/ eye lid</t>
  </si>
  <si>
    <t>Danni was putting items in a bin in the racetrack and the edge of the item hit the price sign on bin and the sign spun and hit team member in eye as they were bending down.</t>
  </si>
  <si>
    <t>SRG-INJ-2226</t>
  </si>
  <si>
    <t>AU313247</t>
  </si>
  <si>
    <t>TRENORDEN, TINA</t>
  </si>
  <si>
    <t>hurt wrist and ankle</t>
  </si>
  <si>
    <t>Tina was working stock from pallet, turned around standing on plastic pallet and tripped on the pallet wrapping, the wrapping was sticky so caused her feet to get stuck on the wrap  and her feet wouldn't move so she fell over and landed on hands/side and ankle.</t>
  </si>
  <si>
    <t>SRG-INJ-1966</t>
  </si>
  <si>
    <t>AU230335</t>
  </si>
  <si>
    <t>BOHUTINSKY, KATE</t>
  </si>
  <si>
    <t>left hand, pinky and ring finger</t>
  </si>
  <si>
    <t>I (Kate) was putting a roll of plastic tabletone onto a stock dip when it slipped and fell on onto the empty stock trolley. My hands were holding either side of the trolley but the vibration from the heavy roll falling bounced my hand into the side of the trolley where it holds a shelf and my left hand got pinched</t>
  </si>
  <si>
    <t>SRG-INJ-1856</t>
  </si>
  <si>
    <t>AU305460</t>
  </si>
  <si>
    <t>CASTRO, LACRAMIOARA</t>
  </si>
  <si>
    <t>Possible fractured toe, visually slightly red and swollen</t>
  </si>
  <si>
    <t>Lacramioara Castro believes she may have fractured her toe at work but did not tell any manager about the incident at the time.</t>
  </si>
  <si>
    <t>SRG-INJ-1756</t>
  </si>
  <si>
    <t>AU323319</t>
  </si>
  <si>
    <t>ADAMS, RUBY</t>
  </si>
  <si>
    <t>Small lump and slight busing on forehead. Stiff neck and slight headache coming on later.</t>
  </si>
  <si>
    <t>I was sorting through shelves to throw some away and when I lent down to pick up a shelf I smacked my forehead onto a protruding made to measure curtain track.</t>
  </si>
  <si>
    <t>SRG-INJ-2532</t>
  </si>
  <si>
    <t>AU217609</t>
  </si>
  <si>
    <t>CASE, SARAH</t>
  </si>
  <si>
    <t>S077</t>
  </si>
  <si>
    <t>Mount Gambier</t>
  </si>
  <si>
    <t>Sarah was carrying a small blind in the Furnishings department when she caught her arm on a fabric roll that was pertruding out. It made Sarah then stop and twist whilst still carrying the blind and then she felt pain on upper back.</t>
  </si>
  <si>
    <t>SRG-INJ-1614</t>
  </si>
  <si>
    <t>AU238865</t>
  </si>
  <si>
    <t>ARGENT, PETER</t>
  </si>
  <si>
    <t>mid to lower back</t>
  </si>
  <si>
    <t>while seated on the floor team member was gently removing 4 rolls of fabric to fulfill a e-commerce order during this action team member experienced a twinge in their mid to lower back resulting in low pain in the generalized area which remains slightly tender to the feel.</t>
  </si>
  <si>
    <t>SRG-INJ-3501</t>
  </si>
  <si>
    <t>AU314861</t>
  </si>
  <si>
    <t>COZZONE, JOSEPH</t>
  </si>
  <si>
    <t>S079</t>
  </si>
  <si>
    <t>West Burleigh</t>
  </si>
  <si>
    <t>Falling shelf on cage hit Joe on the front of head as he bent to release cage brake.</t>
  </si>
  <si>
    <t>Team Member setting up cages for breaking down pallets, cage shelf was not clipped on properly and fell on team members head at front top. TM was going to move cage and in doing so shelf fell. Not sure if unsecured or moved during movement of cage.</t>
  </si>
  <si>
    <t>SRG-INJ-3357</t>
  </si>
  <si>
    <t>Joe mentioned he was fine Wednesday after working Monday and Tuesday.  felt a pinch on left shoulder working a rug on the blinds trolley</t>
  </si>
  <si>
    <t>Organizing heavy trolley stock, left shoulder blade twinged when lifting rug placed on blinds trolley.</t>
  </si>
  <si>
    <t>SRG-INJ-3141</t>
  </si>
  <si>
    <t>S24JU205602</t>
  </si>
  <si>
    <t>AU300442</t>
  </si>
  <si>
    <t>SMART, ROSALIND</t>
  </si>
  <si>
    <t>Navigating the office to get fixtures and moved around small bin, twisted left knee. Team member was made sit down, was offered ice pack. Continued to work.</t>
  </si>
  <si>
    <t>SRG-INJ-3063</t>
  </si>
  <si>
    <t>AU336789</t>
  </si>
  <si>
    <t>ABRAHAM, GINA</t>
  </si>
  <si>
    <t>Rolling out fabric, turned my body around to pull fabric along table,,  I pivoted and foot stuck on black anti fatigue mat and knee clicked out of place. It was difficult to walk until I manipulated my knee and it clicked back in.</t>
  </si>
  <si>
    <t>SRG-INJ-2874</t>
  </si>
  <si>
    <t>AU321109</t>
  </si>
  <si>
    <t>ERSKINE, KAREN</t>
  </si>
  <si>
    <t>Karen was pushing her cage along looking over left hand shoulder to make sure she wasn't hitting anything and her hand got sandwiched (ouch) against another cage.  Ouchy moment, nearly swore, took a liitle bit of skin off, presently hurting in immediate area.  Ice pack put on hand to relieve pain and stop throbbing.</t>
  </si>
  <si>
    <t>SRG-INJ-2391</t>
  </si>
  <si>
    <t>Fall to left hip and knee onto side and shoulder.</t>
  </si>
  <si>
    <t>Working stock and leading team for stock. Coming back from back dock towards furnishings racetrack, stepped out to speak to other team member as they were approaching with empty cage. Shoes gripped floor and went sideways. Ankle twisted causing fall to the left onto floor. Landed on left knee and hip.</t>
  </si>
  <si>
    <t>SRG-INJ-2163</t>
  </si>
  <si>
    <t>AU331842</t>
  </si>
  <si>
    <t>KYNASTON, CHELSEA</t>
  </si>
  <si>
    <t>Head - Headache, nausea and light headed after being struck</t>
  </si>
  <si>
    <t>Tm was serving a customer that had a few blinds and the customer let go of on of the blinds and this dropped on to Chelsea s head striking her just above the hairline of her head</t>
  </si>
  <si>
    <t>SRG-INJ-2086</t>
  </si>
  <si>
    <t>S23QA078230</t>
  </si>
  <si>
    <t>AU231106</t>
  </si>
  <si>
    <t>YARNOLD, TANIA</t>
  </si>
  <si>
    <t>Tear of the meniscus on the right knee</t>
  </si>
  <si>
    <t>Working on shop floor doing stock replenishment, and also on the dock breaking stock load pallets down. Knee was starting to hurt in the afternoon as the day progressed it became more painful and swollen. I had to ask one of the tm to bring the pallets from outside in as I couldnt walk properly and the incline hurt too much.</t>
  </si>
  <si>
    <t>SRG-INJ-1934</t>
  </si>
  <si>
    <t>AU307525</t>
  </si>
  <si>
    <t>ROSE, RENAE</t>
  </si>
  <si>
    <t>Ankle (right) - Sprain / strain</t>
  </si>
  <si>
    <t>TM was coming out of the Bathroom stall and twisted her ankle from paper towel that was on the floor</t>
  </si>
  <si>
    <t>SRG-INJ-1902</t>
  </si>
  <si>
    <t>AU297966</t>
  </si>
  <si>
    <t>ARMSTRONG, FAITH</t>
  </si>
  <si>
    <t>Hand (right) / Wrist (right) - Neuropraxia and soft tissue injury</t>
  </si>
  <si>
    <t>Faith was bringing the cages in off the shop floor @ 5pm walking backwards dragging the cage and has caught her hand between the cage and the dock doors. The cage was 3/4 full of ready made curtains so the weight was quite heavier than standard stock on a cage</t>
  </si>
  <si>
    <t>SRG-INJ-1759</t>
  </si>
  <si>
    <t>S23UH045557</t>
  </si>
  <si>
    <t>AU330405</t>
  </si>
  <si>
    <t>STARFALL, STEPHANY</t>
  </si>
  <si>
    <t>Right Ankle swelling and Left leg grazed left shin and knee</t>
  </si>
  <si>
    <t>Steph was taking the cardboard to the recycle bins and stepped down the gutter of the car park but her ankle has rolled as she stepped down</t>
  </si>
  <si>
    <t>SRG-INJ-1640</t>
  </si>
  <si>
    <t>AU322283</t>
  </si>
  <si>
    <t>JACKSON, HUDSON</t>
  </si>
  <si>
    <t>left forearm lasting break</t>
  </si>
  <si>
    <t>Hudson on Wave tidying up top displays and stock area when got zapped twice at the furnishings area and again once in the venetial blinds top display area.</t>
  </si>
  <si>
    <t>Electrocution, shock from electric current</t>
  </si>
  <si>
    <t>SRG-INJ-3346</t>
  </si>
  <si>
    <t>AU221288</t>
  </si>
  <si>
    <t>WEBB, SHARON</t>
  </si>
  <si>
    <t>S080</t>
  </si>
  <si>
    <t>Falling blind hit Sharon on finger</t>
  </si>
  <si>
    <t>Sharon was picking the fitter's run and roller blinds fell on her hand and pushed her right hand back, pushing the middle finger back.</t>
  </si>
  <si>
    <t>SRG-INJ-3006</t>
  </si>
  <si>
    <t>AU335606</t>
  </si>
  <si>
    <t>FRANCIS, ROXSY</t>
  </si>
  <si>
    <t>right shin 1cm cut</t>
  </si>
  <si>
    <t>Roxsy was using a box cutter to remove the plastic wrap from the pallet and has slipped off while cutting and hit her shin with the box cutter.</t>
  </si>
  <si>
    <t>SRG-INJ-2998</t>
  </si>
  <si>
    <t>AU332631</t>
  </si>
  <si>
    <t>KILLIP, HARRISON</t>
  </si>
  <si>
    <t>2cm cut on finger</t>
  </si>
  <si>
    <t>opened sew draw looking for a knife and there was a rotary cutter in the drawer and has cut his finger on the rotary cutter, unsure how the cutter opened.</t>
  </si>
  <si>
    <t>SRG-INJ-2403</t>
  </si>
  <si>
    <t>AU301076</t>
  </si>
  <si>
    <t>O'ROURKE, EMILY</t>
  </si>
  <si>
    <t>Emily was working stock off a stock cage, as she took the bolt of fabric off the cage it has slipped out of her right hand and  landed on her left thumb.  The bolt of fabric has made the thumb bend back and seems to have jarred the thumb.  Emily did not notify the manager on duty until the next day (15.03.24) When Emily woke up this morning she has noted that it has become sorer and notified a manager on duty.  Emily will be seeing a DR tomorrow to have the thumb assessed.</t>
  </si>
  <si>
    <t>SRG-INJ-2381</t>
  </si>
  <si>
    <t>Bump and bruise on the shin/foot</t>
  </si>
  <si>
    <t>The wooden panel on the front of the rolling machine that holds the empty rolls had fallen off and Sharon had propped it up against the machine when she started her shift so it wasn't laying on the floor. A bit later Sharon was moving around and has bumped into the panel causing it to fall and graze down her shin/foot . She has a lump and a bruise forming where the board has hit her.</t>
  </si>
  <si>
    <t>SRG-INJ-2384</t>
  </si>
  <si>
    <t>S23GS106326</t>
  </si>
  <si>
    <t>AU325128</t>
  </si>
  <si>
    <t>SYMES, JANE</t>
  </si>
  <si>
    <t>Left eye corneal abrasion surface scrape to eye</t>
  </si>
  <si>
    <t>folding a piece of PVC plastic flicked up into left eye</t>
  </si>
  <si>
    <t>SRG-INJ-2301</t>
  </si>
  <si>
    <t>AU240969</t>
  </si>
  <si>
    <t>HALL, NICOLA</t>
  </si>
  <si>
    <t>Head (forehead) - Contusion/Laceration</t>
  </si>
  <si>
    <t>Nicola Hall opened the car door and hit head on the door. Reported to STL - Lorelee. Broken skin on forehead and a bump. Possibly blacked out for a moment. No first aid administered as the team member was alone and offsite.</t>
  </si>
  <si>
    <t>SRG-INJ-1646</t>
  </si>
  <si>
    <t>AU310575</t>
  </si>
  <si>
    <t>GIBBS, MICHELLE</t>
  </si>
  <si>
    <t>needle punctured finger while changing bobbin</t>
  </si>
  <si>
    <t>SRG-INJ-3510</t>
  </si>
  <si>
    <t>AU337727</t>
  </si>
  <si>
    <t>CARLIER-DAGCI, TAJ</t>
  </si>
  <si>
    <t>S081</t>
  </si>
  <si>
    <t>Tuggerah</t>
  </si>
  <si>
    <t>Scratch to left forearm</t>
  </si>
  <si>
    <t>TM was dismantling black racking utilized to merchandise Easter stock when he grazed his left forearm on a wire shelf. A small scratch was visible, no blood. MFA by way of cleaning and applying a Band Aid. TM completed his shift with  no further incidents or attention required.</t>
  </si>
  <si>
    <t>SRG-INJ-3515</t>
  </si>
  <si>
    <t>AU309955</t>
  </si>
  <si>
    <t>MARTINEZ, CLAUDIA</t>
  </si>
  <si>
    <t>Bilateral hand pain and nerve pains - both hands</t>
  </si>
  <si>
    <t xml:space="preserve"> Claudia Martinez has worked at Spotlight for 5 years in the dress department, unfolding rolls and cutting cloth. She reported a repetitive strain injury in both wrists, with the right worse than the left, causing ache in her middle finger and nerve pain in her right hand. Claudia has since resigned</t>
  </si>
  <si>
    <t>SRG-INJ-3516</t>
  </si>
  <si>
    <t>Psychological Injury</t>
  </si>
  <si>
    <t>Claudia worked alone in the dress department for almost a year, handling overwhelming tasks without adequate support, leading to her resignation due to stress and anxiety. She has sought counseling and medication for her emotional well-being. Claudia also reported a bullying incident</t>
  </si>
  <si>
    <t>SRG-INJ-3378</t>
  </si>
  <si>
    <t>AU207912</t>
  </si>
  <si>
    <t>LYON, SANDRA</t>
  </si>
  <si>
    <t>Inside of right hand/palm. Below thumb.</t>
  </si>
  <si>
    <t>Sandra hurt hef right palm while while putting the lunch bag in fridge - When doing this, a knife in the lunch bag has pierced the side of the lunch bag and punctured/cut the team members hand</t>
  </si>
  <si>
    <t>SRG-INJ-3315</t>
  </si>
  <si>
    <t>AU309953</t>
  </si>
  <si>
    <t>MACRI, ALISSANDRA</t>
  </si>
  <si>
    <t>Right Knee and Right Ankle</t>
  </si>
  <si>
    <t>At approx 7.30am the Team member was stepping on to the escalator travelling upwards to the store location when she slipped on some water falling to her right knee and spraining her right ankle.</t>
  </si>
  <si>
    <t>SRG-INJ-2917</t>
  </si>
  <si>
    <t>Split Knuckle</t>
  </si>
  <si>
    <t>Team member reached towards the front of the counter to move something and caught her knuckle on the metal capping, slicing it open.</t>
  </si>
  <si>
    <t>SRG-INJ-2530</t>
  </si>
  <si>
    <t>AU310889</t>
  </si>
  <si>
    <t>DOONAN, JESSIKA</t>
  </si>
  <si>
    <t>Laceration to left middle finger</t>
  </si>
  <si>
    <t>Was Cutting open a plastic bag of yarn and I slipped causing me to cut my left middle finger, I applied first aid to myself but the wound wouldn't stop bleeding. I went to hospital to have it looked at. Hospital gave me a local anesthetic to my finger to have it flushed and cleaned out, I didn't require any  stitches just updated tenuis needle. they rebandaged it up for me and I was discharged to return to work.</t>
  </si>
  <si>
    <t>SRG-INJ-2243</t>
  </si>
  <si>
    <t>AU218889</t>
  </si>
  <si>
    <t>WILLOTT, WENDY</t>
  </si>
  <si>
    <t>Left side knee &amp; hip area, left side groin.</t>
  </si>
  <si>
    <t>Wendy had just finished serving a customer when she has turned to walk towards craft dept. and she has snagged her foot on a hip printer cord that was protruding from under the register, she has then fall onto her right knee and hip.</t>
  </si>
  <si>
    <t>SRG-INJ-3332</t>
  </si>
  <si>
    <t>AU331266</t>
  </si>
  <si>
    <t>STUBBS, KASSANDRA</t>
  </si>
  <si>
    <t>S082</t>
  </si>
  <si>
    <t>ankle sprain, knee &amp; wrist bruise, sore finger.</t>
  </si>
  <si>
    <t>Team member tripped on anti fatigue mat when carrying tills</t>
  </si>
  <si>
    <t>SRG-INJ-3205</t>
  </si>
  <si>
    <t>AU329811</t>
  </si>
  <si>
    <t>HARLAND, JOSHUA</t>
  </si>
  <si>
    <t>sore back</t>
  </si>
  <si>
    <t>TM said he was using the walkie stacker and twisted his back by looking up.  He said his back has been sore for the past 2 weeks, due to a car accident he had a few years ago.</t>
  </si>
  <si>
    <t>SRG-INJ-3085</t>
  </si>
  <si>
    <t>AU323663</t>
  </si>
  <si>
    <t>DE CEAN, JOHN</t>
  </si>
  <si>
    <t>sore neck, right side of head, left elbow</t>
  </si>
  <si>
    <t>was working stock and came down ladder and missed bottom step and fell on my back</t>
  </si>
  <si>
    <t>SRG-INJ-3056</t>
  </si>
  <si>
    <t>AU215968</t>
  </si>
  <si>
    <t>CRAWFORD, BETTY</t>
  </si>
  <si>
    <t>Shoulder - rotator cuff injury / sore shoulder</t>
  </si>
  <si>
    <t>Team member cannot remember exact date / time of incident.  TM has had sore shoulder since July / August &amp; can only think that they were lifting heavy Ready Made curtains., and this is why their shoulder is sore / injured.</t>
  </si>
  <si>
    <t>SRG-INJ-2721</t>
  </si>
  <si>
    <t>AU334895</t>
  </si>
  <si>
    <t>SUTTON, JETT</t>
  </si>
  <si>
    <t>Right toe sore.  bruised??</t>
  </si>
  <si>
    <t>New Team member pushing a cage &amp; a box of fry pans fell on his toe.</t>
  </si>
  <si>
    <t>SRG-INJ-2599</t>
  </si>
  <si>
    <t>AU316437</t>
  </si>
  <si>
    <t>GAWLU, JA TSIN</t>
  </si>
  <si>
    <t>hand and back soft tissue injury</t>
  </si>
  <si>
    <t>team member got left hand caught between the trolley and fixture</t>
  </si>
  <si>
    <t>SRG-INJ-2443</t>
  </si>
  <si>
    <t>AU330963</t>
  </si>
  <si>
    <t>KORN, KATIE</t>
  </si>
  <si>
    <t>Soft tissue injusy to back of heel. First aid given.</t>
  </si>
  <si>
    <t>Team member pulled cage (with one hand) and cage ran into back of heel.</t>
  </si>
  <si>
    <t>SRG-INJ-2442</t>
  </si>
  <si>
    <t>AU317402</t>
  </si>
  <si>
    <t>WALKER, SANDRA</t>
  </si>
  <si>
    <t>Swelling &amp; bruising to left hand  thumb</t>
  </si>
  <si>
    <t>Thurs before lunch.  TM unpacking a black euro bin.  Picked up box (from bottom of bin) &amp; dropped it because it was heavy.  Hurt thumb of left hand.</t>
  </si>
  <si>
    <t>SRG-INJ-2463</t>
  </si>
  <si>
    <t>AU323705</t>
  </si>
  <si>
    <t>CARMICHAEL (EX BRADY), STEPHANIE</t>
  </si>
  <si>
    <t>nerve pain - back, leg, foot.</t>
  </si>
  <si>
    <t>Pulling box from bottom of cage, box on top of cage (Box of quilt cover sets) fell off and landed on back of head (whilst crouching down).</t>
  </si>
  <si>
    <t>SRG-INJ-1862</t>
  </si>
  <si>
    <t>AU326990</t>
  </si>
  <si>
    <t>ANDERSON, LYNNETTE</t>
  </si>
  <si>
    <t>got left hand caught between heavy pallets, this caused her to jerk forward causing jarring of her back</t>
  </si>
  <si>
    <t>SRG-INJ-1681</t>
  </si>
  <si>
    <t>AU328215</t>
  </si>
  <si>
    <t>ELLIS, KEEGAN</t>
  </si>
  <si>
    <t>Deep cut to pad of  middle finger, right hand.</t>
  </si>
  <si>
    <t>Team member Keegan Ellis,  loading a PDQ onto a pallet jack, using the packing straps.  The straps are crimped together.  The crimps were not folded in, leaving a sharp edge of metal  Team member has cut finger on this sharp piece of metal.</t>
  </si>
  <si>
    <t>SRG-INJ-3563</t>
  </si>
  <si>
    <t>AU325943</t>
  </si>
  <si>
    <t>RILEY, LISA</t>
  </si>
  <si>
    <t>S084</t>
  </si>
  <si>
    <t>Right side. Down right leg.</t>
  </si>
  <si>
    <t>Trip and fall. Outside M2M customer house. Front lawn uneven ground.</t>
  </si>
  <si>
    <t>SRG-INJ-3569</t>
  </si>
  <si>
    <t>AU305975</t>
  </si>
  <si>
    <t>GOUGH, AMANDA</t>
  </si>
  <si>
    <t>left wrist sprain/ torn ligament</t>
  </si>
  <si>
    <t>Mandy was carrying some heavy blinds for eccomm order from office through to dispatch to leave near back door for courier. When lifting the blinds upright to lean against wall her wrist twisted and felt sharp pain. since then has still been suffering from some wrist pain. Went to her physio this morning (Wed 16th April) who treated it and strapped it and has given a wrist brace to wear. Physio thinks may have torn/sprained a ligament and has suggested get a Dr referral for an MRI to see extent of damage and get accurate treatment plan for it.  Didn't report at time as didn't think was too major but after having three days off over weekend and resting and no lifting still had some soreness this week</t>
  </si>
  <si>
    <t>SRG-INJ-3174</t>
  </si>
  <si>
    <t>G747437F</t>
  </si>
  <si>
    <t>AU201499</t>
  </si>
  <si>
    <t>GOUGH, ROSEMARIE</t>
  </si>
  <si>
    <t>Transverse Fracture Left Patella knee</t>
  </si>
  <si>
    <t>Bunbury Store Manager Rosemarie Gough came out office door into despatch and tripped on empty carton. Rosemarie came down heavily on left knee.</t>
  </si>
  <si>
    <t>SRG-INJ-2864</t>
  </si>
  <si>
    <t>AU328655</t>
  </si>
  <si>
    <t>PINELLI, DANIELLE</t>
  </si>
  <si>
    <t>Fall off ladder</t>
  </si>
  <si>
    <t>Danielle was working overs and fell of the ladder missing three step from the bottom. She does not recall the events after the fall or even the fall itself. All she remembers was being found buy another team member lying on the floor on her right side. Was winded and wheezing and may have landed on right wrist and ankle.</t>
  </si>
  <si>
    <t>SRG-INJ-2375</t>
  </si>
  <si>
    <t>AU311702</t>
  </si>
  <si>
    <t>PENMAN, KELLI</t>
  </si>
  <si>
    <t>Entire Body</t>
  </si>
  <si>
    <t>Team member Kelli Penman trip on plastic pallet packaging and fall.</t>
  </si>
  <si>
    <t>SRG-INJ-2390</t>
  </si>
  <si>
    <t>All information is on the email</t>
  </si>
  <si>
    <t>SRG-INJ-2299</t>
  </si>
  <si>
    <t>AU328164</t>
  </si>
  <si>
    <t>GOULD, NATALIE</t>
  </si>
  <si>
    <t>Team Member Nightfill injury to right hand.  Was walking backwards with white bed trolley as it was high. Hit hand on fixtures.</t>
  </si>
  <si>
    <t>SRG-INJ-1866</t>
  </si>
  <si>
    <t>AU316673</t>
  </si>
  <si>
    <t>WELLSTEAD, BENJAMIN</t>
  </si>
  <si>
    <t>Right leg above and to the right of knee cap.</t>
  </si>
  <si>
    <t>DTL cut roll of leatherette fabric. Then placed roll leaning against fabric cutting counter on staff side. Team member knocked the roll of fabric over hitting another DTL in the process.</t>
  </si>
  <si>
    <t>SRG-INJ-1690</t>
  </si>
  <si>
    <t>G7323134</t>
  </si>
  <si>
    <t>AU321181</t>
  </si>
  <si>
    <t>BURGOYNE, KERRY</t>
  </si>
  <si>
    <t>RB fell on her head</t>
  </si>
  <si>
    <t>RB was dislodgedn when puttins a ros int the fixture</t>
  </si>
  <si>
    <t>SRG-INJ-3022</t>
  </si>
  <si>
    <t>AU317981</t>
  </si>
  <si>
    <t>SKLAVOS, ANGELLINA</t>
  </si>
  <si>
    <t>S088</t>
  </si>
  <si>
    <t>Castle Hill</t>
  </si>
  <si>
    <t>left collar bone top pf left leg</t>
  </si>
  <si>
    <t>Getting blind out of Fixture and blond fell over hit  left collar bone and left thigh</t>
  </si>
  <si>
    <t>SRG-INJ-2783</t>
  </si>
  <si>
    <t>AU214301</t>
  </si>
  <si>
    <t>MAJOR, SALLY</t>
  </si>
  <si>
    <t>Knee and Leg</t>
  </si>
  <si>
    <t>Sally jarred her right knee while walling down stairs at customers house</t>
  </si>
  <si>
    <t>SRG-INJ-2669</t>
  </si>
  <si>
    <t>AU203364</t>
  </si>
  <si>
    <t>SEKULIC, KATHY</t>
  </si>
  <si>
    <t>saw shoulder</t>
  </si>
  <si>
    <t>Kathy has reported shoulder pain</t>
  </si>
  <si>
    <t>SRG-INJ-2633</t>
  </si>
  <si>
    <t>Sally Major was doing custom made visit and fell on customer driveway as it had around 100mm lip and was uneven near garage</t>
  </si>
  <si>
    <t>SRG-INJ-2602</t>
  </si>
  <si>
    <t>AU331231</t>
  </si>
  <si>
    <t>FARHADI, ELHAM</t>
  </si>
  <si>
    <t>Arm shoulder</t>
  </si>
  <si>
    <t>Lifted a box in Manchestor not sure what was in it.didnt report it</t>
  </si>
  <si>
    <t>SRG-INJ-2360</t>
  </si>
  <si>
    <t>AU298755</t>
  </si>
  <si>
    <t>SPITERI, COURTNEY</t>
  </si>
  <si>
    <t>Rib catilidge back</t>
  </si>
  <si>
    <t>Lifting shelves felt Pinch on Back</t>
  </si>
  <si>
    <t>SRG-INJ-2053</t>
  </si>
  <si>
    <t>AU209199</t>
  </si>
  <si>
    <t>SAINI, RAKESH</t>
  </si>
  <si>
    <t>FOOT</t>
  </si>
  <si>
    <t>TEAM MEMBER WAS LOADING AUSPOST PARCELS AND RAN OVER HIS FOREFOOT WITH THE WALKE MACHINE, WE PLACED ICE PACK AND EVELATED FOOT. WAS NOT ABLE TO PLACE PRESSURE OR DRIVE AND AN AMBULANCE WAS CALLED. MIDDLE TOE WAS DISCOLOURED AND PURPLE WITH NO SENSATIONS, BIG TOE HAD NO FEELING AND COULDNT BE MOVED.</t>
  </si>
  <si>
    <t>SRG-INJ-1669</t>
  </si>
  <si>
    <t>AU206136</t>
  </si>
  <si>
    <t>MADAFIGLIO, MARIA</t>
  </si>
  <si>
    <t>Reaching for a frame frame fell and hit on nose</t>
  </si>
  <si>
    <t>SRG-INJ-3588</t>
  </si>
  <si>
    <t>AU326464</t>
  </si>
  <si>
    <t>MITCHELL, DIANNE</t>
  </si>
  <si>
    <t>S090</t>
  </si>
  <si>
    <t>Left Shoulder and both wrists and hands</t>
  </si>
  <si>
    <t>Team Member stocking curtains lost balance and fell from ladder landing on side hurting hands and shoulder</t>
  </si>
  <si>
    <t>SRG-INJ-3526</t>
  </si>
  <si>
    <t>AU326364</t>
  </si>
  <si>
    <t>ARNOLD, CASEY</t>
  </si>
  <si>
    <t>Pushed a Uro bin into place popping something in lower back</t>
  </si>
  <si>
    <t>SRG-INJ-2821</t>
  </si>
  <si>
    <t>AU326348</t>
  </si>
  <si>
    <t>MCCOOMBES, MAKENAH</t>
  </si>
  <si>
    <t>Psychological</t>
  </si>
  <si>
    <t>A previous employee came into store and approached one of our junior stuff members (Makenah Mccoombes). The words spoken by the previous employee was inappropriate,(Sexual nature) making the team member very uncomfortable and feeling very unsafe. The team member became very upset and needed to leave the shop floor. I (DTL) was then notified that a team member was upset. I found her visibly shaken up and upset. She then explained to me the situation. I have informed her that she may leave the shop floor if the previous employee does enter the store again.</t>
  </si>
  <si>
    <t>SRG-INJ-2683</t>
  </si>
  <si>
    <t>58806914/00</t>
  </si>
  <si>
    <t>AU326355</t>
  </si>
  <si>
    <t>FAULDS, REBECCA</t>
  </si>
  <si>
    <t>Stress and anxiety</t>
  </si>
  <si>
    <t>Stress and Burn out</t>
  </si>
  <si>
    <t>SRG-INJ-1630</t>
  </si>
  <si>
    <t>AU326139</t>
  </si>
  <si>
    <t>GOWAN, TRACY</t>
  </si>
  <si>
    <t>whilst using the small handled plastic wrap roller to wrap fabric rolls, the plastic stretched out and did not break but swang back and hit the staff member in the nose, causing it a cut, bleeding, and potential bruising.</t>
  </si>
  <si>
    <t>SRG-INJ-2829</t>
  </si>
  <si>
    <t>S24KE155227</t>
  </si>
  <si>
    <t>AU327446</t>
  </si>
  <si>
    <t>THORNTON, JOANNE</t>
  </si>
  <si>
    <t>S094</t>
  </si>
  <si>
    <t>Team member was working patterns while seated and stood up to serve a customer and knocked her knee</t>
  </si>
  <si>
    <t>SRG-INJ-2729</t>
  </si>
  <si>
    <t>AU306230</t>
  </si>
  <si>
    <t>GEUE, MICHAEL</t>
  </si>
  <si>
    <t>lower back/spine</t>
  </si>
  <si>
    <t>Michael reported a painful lower back at 7.30am on wed morning. there is no specific incident to report but was working stock from pallets on tues 2/7/24. Doctors appointment booked 3/7/24 at 2.45pm to check on lower back spine pain.</t>
  </si>
  <si>
    <t>SRG-INJ-2535</t>
  </si>
  <si>
    <t>AU327513</t>
  </si>
  <si>
    <t>MCCONNELL, JENNA</t>
  </si>
  <si>
    <t>head, hand and body</t>
  </si>
  <si>
    <t>At 5.15pm on the 26/4/24 Known 3 female shoplifters entered the store and made their way to the craft department specifically the Glue aisle in Craft. they were recognised and asked to leave the store by Jenna mcconnell Craft DTL. Jenna was walking the 3 female first nations to the front of the store and they became verbally abusive and started throwing things around off shelves in sew centre haberdashery and smashing glassware and mugs. Jenna felt unsafe and started filming the 3 females and they started throwing items at jenna and 2 of the females were screaming at Jenna and started punching her in the head and face, this was in the home decor racetrack towards the front of the store. the fight travelled from home decor to the entry doors where other team members created a barricade and physically pushed the 3 females out of the doors and shut the doors to prevent re entry. the police were called from team member Glenys carpenters phone while the incident was occuring instore and the phone was handed to Laura the store manager who completed the call that an assault was taking place. the police attended immediately and took copies of all available footage and obtained a statement and video footage of the assault taking place on CCTV footage and Jennas phone.</t>
  </si>
  <si>
    <t>SRG-INJ-2429</t>
  </si>
  <si>
    <t>Left Hand Sider Upper Rib. Doctor has advised suspected pulled muscle between ribs.</t>
  </si>
  <si>
    <t>Team member Joanne Thornton has started her shift on registers at 13:30 - incident occurred shortly after at 13:49. Jo was sorting department returns to be cleared away when she noticed an air fryer unit sitting on a basket of yarn. She attempted to pick it up and stated it was a little heavier than she anticipated and felt a popping sensation under her upper left hand side of her ribs. Team member advised she felt like she couldn't move for a moment and stood there unable to lower the unit or move. Team member remained at registers for a few minutes longer until she advised that the discomfort was too much and she went to take a break in the team room.  I (Paula Martin DTL) entered the team room to find Jo semi reclined on a chair in visible discomfort - I asked her what was wrong, what had happened and when. I obtained an incident report form form managers office and paper to make notes, Asked Jo to describe to me the details of the incident. Jo advised that the discomfort was making it a little difficult to breathe easily, Other DTL on duty Jenna McConnel had entered tea room shortly before and offered to assist to get Jo to medical attention. Jo opted to see the doctors at the medical center next to our store. Jenna walked with Jo to the medical practice however their team advised there was nothing they could do for her and she needed to go to be seen at the hospital.  As neither myself of Jenna had a car at work, and with the advise from the medical center team,  the decision was made to call an ambulance to assess Jo and get her to the hospital. Ambulance team arrived at store at 14:53 and took Jo to the Cairns Hospital for treatment. Jo contacted myself and Store Manager Laura Fazldeen that she had been seen by a doctor and nothing was fractured but the doctor believed she has pulled the muscle between her ribs. Doctor has advised that she needs to rest and has issued a medical certificate dated from Friday 22/03/2024 through to Wednesday 27/03/2024 with a return to work on Thursday 28/03/2024</t>
  </si>
  <si>
    <t>SRG-INJ-2338</t>
  </si>
  <si>
    <t>left small toe</t>
  </si>
  <si>
    <t>Jenna Mconnell was working stock and dropped a box of visual diaries on her small toe on her left foot</t>
  </si>
  <si>
    <t>SRG-INJ-2290</t>
  </si>
  <si>
    <t>S23DQ096889</t>
  </si>
  <si>
    <t>AU330310</t>
  </si>
  <si>
    <t>MILNER, CALE</t>
  </si>
  <si>
    <t>Spine - Potential L4/5 spine disc prolapse</t>
  </si>
  <si>
    <t>Cale was lifting a francheville folding work trolley with a team member into a shopping trolley for a customer and felt a pain in his back. at the time he thought nothing of the incident and has continued to work resett shifts as a core team member. Cale attended the hospital on 5/2/24 as the pain in his back was greater than usual and has produced a medical report stating that he has potential disk prolapse in his spine and requires an MRI scan to see injury. there is a GP appointment booked for tomorrow and awaiting a MRI scan.</t>
  </si>
  <si>
    <t>SRG-INJ-2198</t>
  </si>
  <si>
    <t>S23UA085756</t>
  </si>
  <si>
    <t>AU300595</t>
  </si>
  <si>
    <t>BROWNE, AMY</t>
  </si>
  <si>
    <t>Left shoulder - Tendinopathy and bursitis</t>
  </si>
  <si>
    <t>Amy was removing pillow boxes from shelf in loading dock and the weight of the memory foam pillows pulled a muscle in shoulder</t>
  </si>
  <si>
    <t>SRG-INJ-2176</t>
  </si>
  <si>
    <t>Lower right leg (front - shin) - Unspecified injury</t>
  </si>
  <si>
    <t>Jenna was wheeling a flat bed containing items for a large click and collect order through the hallway to assign staging location. Flatbed bumped a piece of board that was leaning against the wall, causing it to fall and hit her on the front of her lower right leg/shin area. Jenna stood board back up, reported the incident to fellow DTL Paula through the push2talk and continued to complete click and collect order.</t>
  </si>
  <si>
    <t>SRG-INJ-2120</t>
  </si>
  <si>
    <t>AU216492</t>
  </si>
  <si>
    <t>BURNS, ANNETTE</t>
  </si>
  <si>
    <t>Finger - Laceration</t>
  </si>
  <si>
    <t>Annie was cutting a cable tie with a box cutter and cut her finger in the process</t>
  </si>
  <si>
    <t>SRG-INJ-1924</t>
  </si>
  <si>
    <t>AU313864</t>
  </si>
  <si>
    <t>EZZAHIR, ALI</t>
  </si>
  <si>
    <t>Knee (left) - Soft tissue injury (tenderness and mild swelling behind knee)</t>
  </si>
  <si>
    <t>Team member reported tenderness and light swelling behind his left knee. When asked if this tenderness occurred while at work or outside of work, team member advised felt some discomfort in the area the previous day while working caged stock (curtains) but after assisting furnishings team with a flatbed of blinds today the pain level increased and he asked if he could finish his shift earlier then scheduled. Team member has previously had outside of work injuries (sports) that has impacted his shoulders or legs.</t>
  </si>
  <si>
    <t>SRG-INJ-2536</t>
  </si>
  <si>
    <t>S23AE118654</t>
  </si>
  <si>
    <t>AU298139</t>
  </si>
  <si>
    <t>BROWN, MASON</t>
  </si>
  <si>
    <t>abdomen</t>
  </si>
  <si>
    <t>team member was unloading stock from a euro bin and had sudden onset of pain in abdomen</t>
  </si>
  <si>
    <t>SRG-INJ-1767</t>
  </si>
  <si>
    <t>AU324786</t>
  </si>
  <si>
    <t>BROWN, RORY</t>
  </si>
  <si>
    <t>left bicep</t>
  </si>
  <si>
    <t>team member was reaching up to put cushion on shelf and left arm bicep muscle pulled and is sore to move.</t>
  </si>
  <si>
    <t>SRG-INJ-1729</t>
  </si>
  <si>
    <t>S23WY041755</t>
  </si>
  <si>
    <t>AU306169</t>
  </si>
  <si>
    <t>SULLIVAN, TARA</t>
  </si>
  <si>
    <t>Deep slice to palm of right hand</t>
  </si>
  <si>
    <t>Team member was cutting tabletone when it stopped cutting. Team member investigated, leaning one hand on rack, hand slipped, slicing hand on cutting blade which had become loose and was now facing sideways instead of downwards.</t>
  </si>
  <si>
    <t>Cutting, slicing, sawing machinery</t>
  </si>
  <si>
    <t>SRG-INJ-1594</t>
  </si>
  <si>
    <t>AU316545</t>
  </si>
  <si>
    <t>HUDSON, KEILEY</t>
  </si>
  <si>
    <t>TM was leaving the bathroom when she slipped over on a rubber glove that was on the floor but she hadn`t seen it.</t>
  </si>
  <si>
    <t>SRG-INJ-1647</t>
  </si>
  <si>
    <t>S23KN028864</t>
  </si>
  <si>
    <t>AU220666</t>
  </si>
  <si>
    <t>DOBINSON, ANNE</t>
  </si>
  <si>
    <t>psychosocial</t>
  </si>
  <si>
    <t>Record of social claim with Anne Dobinson and Laura Fazldeen 8/07/2023 On sat 8/10/23 Anne had her lunch delivered by a friend to the front counter around 12pm. On delivery of her lunch Anne was putting her lunch away in the tearoom and there were several team members present in the tea room and the ecom area.  Amy Browne and Tricia Shearsmith started commenting on the male person delivering her meal and asking how many male friends she had and the word slut was used, the conversation continued with insinuations to Annes character and then the conversation continued with the word sunflower which was explained by Tricia the in her language the word sunflower is slang for slut. This caused Anne to feel intimidated and uncomfortable as she felt is was no ones business to be commenting on her personal life in this public manner and at work. Anne did not state this and decided to let it go as not to bring further attention to herself and the issue. The conversation and laughing and use of these terms  was continually brought up each time the team members Saw Anne and at one stage Tricia had finished her shift and then sought out Amy in at the front of the store to continue the conversation while Amy was collecting tills for EOD.  The further conversations involved other team members who hearing the comments removed themselves from the conversations as soon as it was understood and they chose not to be involved. Anne was feeling embarrassed and humiliated throughout every conversation and it was magnified by the inclusion of other senior and junior team members by Amy and Tricia.</t>
  </si>
  <si>
    <t>SRG-INJ-1588</t>
  </si>
  <si>
    <t>AU221212</t>
  </si>
  <si>
    <t>SHEARSMITH, NAPASSAWAN</t>
  </si>
  <si>
    <t>Thursday 29/06 - Team member was blowing up large order of balloons (+100) on her own. After inflating this order she experienced pain in her left shoulder. Team member also reported that she felt pain in her left shoulder during her shift on Saturday 24/06/2023. Team member reported to Store Manager, and then later to DTL Paula who filled out an incident report form for her. Team member was about to start three day weekend, and was advised to let leadership team know how she was feeling on her next shift back. Leadership team have requested team member keep us updated during the day if she feels discomfort and have tried to ensure she is not doing repetitive tasks for extended periods of time. Team member has only recently returned to full time hours from work cover injury from same area of body.</t>
  </si>
  <si>
    <t>SRG-INJ-3382</t>
  </si>
  <si>
    <t>AU225158</t>
  </si>
  <si>
    <t>REILLY-BROWNE, TAYLA</t>
  </si>
  <si>
    <t>S096</t>
  </si>
  <si>
    <t>Lower right side of back</t>
  </si>
  <si>
    <t>Team member was on a ladder and was asked a question by a customer. When team member turned to answer she twisted her back the wrong way.  This incident was reported on Monday morning. Team member wasn't sure if it was this incident was what caused the injury as it only started to hurt in the evening.</t>
  </si>
  <si>
    <t>SRG-INJ-3369</t>
  </si>
  <si>
    <t>AU235368</t>
  </si>
  <si>
    <t>PIPER, LINDA</t>
  </si>
  <si>
    <t>Team member was moving fabric rolls (vinyl) from table to table and has injured lower back</t>
  </si>
  <si>
    <t>SRG-INJ-2797</t>
  </si>
  <si>
    <t>AU219824</t>
  </si>
  <si>
    <t>ROSA, LEAH</t>
  </si>
  <si>
    <t>TM was grabbing a Turner Eyelet curtain from the top shelf when the metal (RB) bar fell and hit her on the head.</t>
  </si>
  <si>
    <t>SRG-INJ-2499</t>
  </si>
  <si>
    <t>Back and side</t>
  </si>
  <si>
    <t>Preparing m2m fitter run with Leah, a total of 33 shutters, felt a bit of n ache that day, the next day moved 2 ages of ready mades into a bin, more aches that day, then daily moving stock and lifting has made pain worse</t>
  </si>
  <si>
    <t>SRG-INJ-2267</t>
  </si>
  <si>
    <t>AU207698</t>
  </si>
  <si>
    <t>FARLEIGH, KAREN</t>
  </si>
  <si>
    <t>Cut hand</t>
  </si>
  <si>
    <t>Doing fabric stock and hand caught on white corner of fixture whilst wheeling a stock cage out</t>
  </si>
  <si>
    <t>SRG-INJ-2040</t>
  </si>
  <si>
    <t>Elbow / Hip / Knee (Right side) - Bruising and grazes</t>
  </si>
  <si>
    <t>Tripped over stock sticking out of display stand as it was at ankle height and team member did not see it while she was looking for a fabric to complete an ecomm order.</t>
  </si>
  <si>
    <t>SRG-INJ-1973</t>
  </si>
  <si>
    <t>AU310287</t>
  </si>
  <si>
    <t>DAVIS, CHELSEA</t>
  </si>
  <si>
    <t>Hand / ankle / back (Unspecified locations) - Unspecified injuries</t>
  </si>
  <si>
    <t>Tripped over a trolley. Went to move trolley, trolley has a dodgy wheel and it jammed, and I fell over</t>
  </si>
  <si>
    <t>SRG-INJ-1878</t>
  </si>
  <si>
    <t>Shoulder (right) - Unspecified</t>
  </si>
  <si>
    <t>Team member was carrying 2.4m blind from despatch to the front of the store into the layby room.</t>
  </si>
  <si>
    <t>SRG-INJ-3476</t>
  </si>
  <si>
    <t>AU323142</t>
  </si>
  <si>
    <t>SARAC, VERONICA</t>
  </si>
  <si>
    <t>S098</t>
  </si>
  <si>
    <t>Burnside</t>
  </si>
  <si>
    <t>back of bottom left calf</t>
  </si>
  <si>
    <t>pulling 3 stepper ladder, wheel caught back of leg, i dropped stepper, as it was falling it caught my calf</t>
  </si>
  <si>
    <t>SRG-INJ-3309</t>
  </si>
  <si>
    <t>AU207902</t>
  </si>
  <si>
    <t>MCLAUGHLIN, SUE</t>
  </si>
  <si>
    <t>LEFT UPPER ARM STRAIN</t>
  </si>
  <si>
    <t>went to put rubbish out the back in cleanaway bin, lid was closed so i went to pull it up in the first socket thats when i felt pain on left upper arm as i was lifting the lid. I came into office to tell Maria DTL,  no signs of bruising or swelling yet, is able to move just feeling of discomfort. no witness and no first aid needed.</t>
  </si>
  <si>
    <t>SRG-INJ-3061</t>
  </si>
  <si>
    <t>AU214125</t>
  </si>
  <si>
    <t>DI TOMASO, MARIA</t>
  </si>
  <si>
    <t>psychological</t>
  </si>
  <si>
    <t>A young girl approached Maria di Tomaso asking if she was a manager, and her mum who was on the phone wanted to speak to a manager, I (Maria) then turned around and said yes how can i help. The mum who was on the phone then proceeded to tell me why is my click and collect not ready for my daughter to pick up. Her first words to me without even looking into her order or knowing what was happening where. I just spoke to someone over the phone who was a rude BITCH and was yelling. I stopped the conversation and said please do  not speak like that and walked away as she was still yelling. in the mean time i was looking up the customer order and it was not even over due. The the daughter holding the phone was embarrassed and apologized on behalf of her mother. We tried to help the customer but she was abusive and we had a few click and collects to do and we did explain that we will get to it as soon as possible and that it was not over due.</t>
  </si>
  <si>
    <t>SRG-INJ-2982</t>
  </si>
  <si>
    <t>AU317698</t>
  </si>
  <si>
    <t>O'CONNELL, SUSAN</t>
  </si>
  <si>
    <t>whilst Team member Luke Rumbacic was putting cardboard in the bin a lock on the chain of the bin swung and hit Luke in the eye causing a black eye/bruise</t>
  </si>
  <si>
    <t>SRG-INJ-2928</t>
  </si>
  <si>
    <t>AU300652</t>
  </si>
  <si>
    <t>BRIFFA, SUSAN</t>
  </si>
  <si>
    <t>L Shoulder tendinosis and full thickness incomplete tear of supraspinatus, associated with mild to moderate subacromial bursitis</t>
  </si>
  <si>
    <t>Putting a box into a cage trolley on the race track in Home decor</t>
  </si>
  <si>
    <t>SRG-INJ-2503</t>
  </si>
  <si>
    <t>AU202629</t>
  </si>
  <si>
    <t>PLESS, MONIKA</t>
  </si>
  <si>
    <t>Monika hurt left hip</t>
  </si>
  <si>
    <t>Monika was walking up the racetrack with a red basket in her hand and she trip and fell on a corner of an eco base</t>
  </si>
  <si>
    <t>SRG-INJ-2307</t>
  </si>
  <si>
    <t>AU235749</t>
  </si>
  <si>
    <t>ADVANI, MALINI</t>
  </si>
  <si>
    <t>Shoulder (L) - Inflammation / Pain          [** Note: Previous Injury (SRG-INJ-341) and W/Cover Claim: 12200016991 on Same Shoulder]</t>
  </si>
  <si>
    <t>Working stock and in the process of fitting everything into shelves and trying to work at a fast pace and efficiently, Malini hurt her left shoulder, (a previous injury) while pushing and pulling of the fabric bolts in and out of the shelving causing pain and inflammation by the end of the day.</t>
  </si>
  <si>
    <t>SRG-INJ-2165</t>
  </si>
  <si>
    <t>AU217494</t>
  </si>
  <si>
    <t>SAMBEVSKA, CHRISTINA</t>
  </si>
  <si>
    <t>left shoulder sore</t>
  </si>
  <si>
    <t>I was in dispatch getting fitters run  ready and my shoulder popped trying to move boxes ready for run. Kayla team member walked in as it happened. This was also reported to Suzi store manager as she was at the other end of dispatch. it was full of stock and not enough room to move</t>
  </si>
  <si>
    <t>SRG-INJ-2097</t>
  </si>
  <si>
    <t>sign post fell on her left hand grazing the top of hand</t>
  </si>
  <si>
    <t>TEAM MEMBER WAS WORKING AND SIGN THAT WAS ON TOP OF SEWING MACHINE FELL AND GRAZED MALINIS ARM</t>
  </si>
  <si>
    <t>SRG-INJ-2084</t>
  </si>
  <si>
    <t>AU298600</t>
  </si>
  <si>
    <t>BEAGLEY, JONATHAN</t>
  </si>
  <si>
    <t>injury to hand scrapped against trolley and fixturing</t>
  </si>
  <si>
    <t>Jon Beagly (Team member) had stock on a cage and was walking with cage when he jammed his hand between the cage and the store fixturing(furnishing/bath towels</t>
  </si>
  <si>
    <t>SRG-INJ-1985</t>
  </si>
  <si>
    <t>AU324419</t>
  </si>
  <si>
    <t>GEORGI, JENEVIEVE</t>
  </si>
  <si>
    <t>sprain in ribs and shoulder on back</t>
  </si>
  <si>
    <t>team member was filling Manchester on Friday and moving cartons to and from a cage. The team member felt pain and spasms from shoulders to bottom of rib cage in her back. The team member then swapped cages and only did lighter stock. The team member did not report the incident to management at the time. The pain levels were minor at work but became worse later that day. The team member was in discomfort all weekend and is still in minor pain today (Wednesday). The team member did not attend a GP or emergency room.</t>
  </si>
  <si>
    <t>SRG-INJ-1968</t>
  </si>
  <si>
    <t>AU329689</t>
  </si>
  <si>
    <t>MURRAY, STEVEN</t>
  </si>
  <si>
    <t>left leg, left elbow, left shoulder collision injury from fall</t>
  </si>
  <si>
    <t>I was assisting john in dispatch when I fell backwards over the walkie stacker forks and tripped and fell heavily on the floor</t>
  </si>
  <si>
    <t>SRG-INJ-1823</t>
  </si>
  <si>
    <t>bruised left hand and some pain on left hand side of body</t>
  </si>
  <si>
    <t>team member Sue Mc Laughlin was working on a ladder. Sue missed the last rung coming down and fell to the floor bracing herself on the way down.</t>
  </si>
  <si>
    <t>SRG-INJ-3393</t>
  </si>
  <si>
    <t>AU334825</t>
  </si>
  <si>
    <t>HOULAHAN, AYN</t>
  </si>
  <si>
    <t>S099</t>
  </si>
  <si>
    <t>Port Macquarie</t>
  </si>
  <si>
    <t>lower  back</t>
  </si>
  <si>
    <t>Asssiting a customer lift a rug when it fell to the ground. Team member lifted the rug and felt a sharp pain to her lower back</t>
  </si>
  <si>
    <t>SRG-INJ-1724</t>
  </si>
  <si>
    <t>AU220234</t>
  </si>
  <si>
    <t>BAIRD, TERESSA</t>
  </si>
  <si>
    <t>Cut to right thumb</t>
  </si>
  <si>
    <t>Team member cut their thumb while replacing a cutting blade on a Fskars cutter</t>
  </si>
  <si>
    <t>SRG-INJ-2685</t>
  </si>
  <si>
    <t>AU290163</t>
  </si>
  <si>
    <t>MCMILLAN, SUSAN</t>
  </si>
  <si>
    <t>S100</t>
  </si>
  <si>
    <t>dropped box of bedlinen on top of foot</t>
  </si>
  <si>
    <t>dropped box of bedlinen when removing from cage</t>
  </si>
  <si>
    <t>SRG-INJ-2597</t>
  </si>
  <si>
    <t>AU322785</t>
  </si>
  <si>
    <t>KUBINYI, SHARON</t>
  </si>
  <si>
    <t>fractured ribs</t>
  </si>
  <si>
    <t>team member was leaning into shelving from the wave and fractured ribs</t>
  </si>
  <si>
    <t>Upper limb - unspecified locations</t>
  </si>
  <si>
    <t>SRG-INJ-2387</t>
  </si>
  <si>
    <t>Walked into base of stock cage while pushing it and cut shin.</t>
  </si>
  <si>
    <t>Team member was pushing stock cage and stepped into the cage base and cut leg.</t>
  </si>
  <si>
    <t>SRG-INJ-2376</t>
  </si>
  <si>
    <t>AU311853</t>
  </si>
  <si>
    <t>COX, JORJA</t>
  </si>
  <si>
    <t>Team member called in sick on the 08.03.24, has notified Manager that her wrist was hurting from repeated lifting throughout time. First time leadership was notified</t>
  </si>
  <si>
    <t>SRG-INJ-2291</t>
  </si>
  <si>
    <t>AU322770</t>
  </si>
  <si>
    <t>SIMS, MICHELLE</t>
  </si>
  <si>
    <t>Team member was assisting a customer in reaching an item for a price check and whilst removing the item (large canvas), another framed art piece fell and struck her.</t>
  </si>
  <si>
    <t>SRG-INJ-2262</t>
  </si>
  <si>
    <t>AU232048</t>
  </si>
  <si>
    <t>FARMER, KATHERINE</t>
  </si>
  <si>
    <t>Twisted/sprained knee and bruising</t>
  </si>
  <si>
    <t>Team member was moving stock and foot fell into gap in the racking causing the team member to fall onto racking and twist knee.</t>
  </si>
  <si>
    <t>SRG-INJ-1835</t>
  </si>
  <si>
    <t>AU320512</t>
  </si>
  <si>
    <t>SHEPHERD, VICTORIA</t>
  </si>
  <si>
    <t>pulled back musle</t>
  </si>
  <si>
    <t>Team member pulled a muscle in her back when lifting a custom made box</t>
  </si>
  <si>
    <t>SRG-INJ-1653</t>
  </si>
  <si>
    <t>AU298360</t>
  </si>
  <si>
    <t>GREEN, GEORGIA</t>
  </si>
  <si>
    <t>Possible sprain/strain</t>
  </si>
  <si>
    <t>Team member felt pain in previous injury site - tendon injury 2 years ago. Team member was moving stock and felt a pain after lifting</t>
  </si>
  <si>
    <t>SRG-INJ-1613</t>
  </si>
  <si>
    <t>AU328056</t>
  </si>
  <si>
    <t>STONE, AMY</t>
  </si>
  <si>
    <t>back pain</t>
  </si>
  <si>
    <t>team member has called in sick Friday - team member has notified myself that she has woken up with a pinch in her back and assumes it was from work. team member didn't have any pain on Thursday and did not notify anyone of an injury</t>
  </si>
  <si>
    <t>SRG-INJ-3580</t>
  </si>
  <si>
    <t>AU334161</t>
  </si>
  <si>
    <t>STYLES, MIA</t>
  </si>
  <si>
    <t>S102</t>
  </si>
  <si>
    <t>Burnie</t>
  </si>
  <si>
    <t>Left hand fingers</t>
  </si>
  <si>
    <t>Mia jammed her fingers in between 2 tables</t>
  </si>
  <si>
    <t>SRG-INJ-3474</t>
  </si>
  <si>
    <t>AU324212</t>
  </si>
  <si>
    <t>BAKES, KELLI</t>
  </si>
  <si>
    <t>tenderness around sternum area</t>
  </si>
  <si>
    <t>Kelli was helping an elderly lady carry a box to her car. upon lifting the box into the lady's car she had the box hit her in the sternum causing some tenderness</t>
  </si>
  <si>
    <t>SRG-INJ-3467</t>
  </si>
  <si>
    <t>AU218050</t>
  </si>
  <si>
    <t>PHILPOTT, LINDY-ANN</t>
  </si>
  <si>
    <t>cut hand</t>
  </si>
  <si>
    <t>Shifting electrical equipment on to the corner a base and grabbed box, didn't see cocky stand on top, it fell when moving the boxes so she grabbed it to stop it falling and it sliced her hand.</t>
  </si>
  <si>
    <t>SRG-INJ-3414</t>
  </si>
  <si>
    <t>G749329I</t>
  </si>
  <si>
    <t>AU319837</t>
  </si>
  <si>
    <t>ELLIS, MACKENZIE</t>
  </si>
  <si>
    <t>headache</t>
  </si>
  <si>
    <t>Filling pillows in external storage and bumped stock trolley into a bulk stack causing the top box to fall down on back section of top of head,</t>
  </si>
  <si>
    <t>SRG-INJ-3409</t>
  </si>
  <si>
    <t>G749287I</t>
  </si>
  <si>
    <t>AU323044</t>
  </si>
  <si>
    <t>COSTELLO, EMMA</t>
  </si>
  <si>
    <t>Headache/neck &amp; shoulder pain</t>
  </si>
  <si>
    <t>Emma was checking stock behind venetians and 60cm venetians which are on a higher shelf with in the bay fell forward hitting her in the back of the head/shoulder area as she was bent down.</t>
  </si>
  <si>
    <t>SRG-INJ-3405</t>
  </si>
  <si>
    <t>G749255A</t>
  </si>
  <si>
    <t>AU332778</t>
  </si>
  <si>
    <t>JONES, APRIL</t>
  </si>
  <si>
    <t>small cut on thumb</t>
  </si>
  <si>
    <t>April has a very small cut on her thumb but she is unsure what has caused it</t>
  </si>
  <si>
    <t>SRG-INJ-3386</t>
  </si>
  <si>
    <t>G7491149</t>
  </si>
  <si>
    <t>bruised nose</t>
  </si>
  <si>
    <t>putting doona cover away and a doona cover on the top shelf came down and hit lindy in the nose.</t>
  </si>
  <si>
    <t>SRG-INJ-3374</t>
  </si>
  <si>
    <t>Hit to right shoulder and back of head by tall box and sharp twisting of right side of body.</t>
  </si>
  <si>
    <t>On 14/02/2025, Lindy was involved in an incident where a tall box of made-to-measure blinds was left leaning against a pallet at the back of the dispatch area. While attempting to step past the box to look for stock on the overhead shelving,</t>
  </si>
  <si>
    <t>SRG-INJ-3284</t>
  </si>
  <si>
    <t>AU311850</t>
  </si>
  <si>
    <t>COKER, HENRY</t>
  </si>
  <si>
    <t>left thumb nail</t>
  </si>
  <si>
    <t>squished thumb between knockdown fixtures whilst packing away.</t>
  </si>
  <si>
    <t>SRG-INJ-3184</t>
  </si>
  <si>
    <t>red slightly swollen right knee</t>
  </si>
  <si>
    <t>Lindy was collecting rubish at front counter with a trolley when the trolley hit the shelving and the trolley bounced back  into her right knee</t>
  </si>
  <si>
    <t>SRG-INJ-3047</t>
  </si>
  <si>
    <t>G7460814</t>
  </si>
  <si>
    <t>AU334439</t>
  </si>
  <si>
    <t>NOLAN, DIAMOND</t>
  </si>
  <si>
    <t>Right knee red and inflamed and right wrist sore</t>
  </si>
  <si>
    <t>missed a step at the top of the step ladder while bringing stock down from top shelf. landed on the ground onto the side of her knee and wrist. resulting in injury to her right knee and right wrist</t>
  </si>
  <si>
    <t>SRG-INJ-2923</t>
  </si>
  <si>
    <t>AU333120</t>
  </si>
  <si>
    <t>SMITH, EVA</t>
  </si>
  <si>
    <t>cut on right pinky finger</t>
  </si>
  <si>
    <t>Eva has cut her finger on front riser while doing stocktake,</t>
  </si>
  <si>
    <t>SRG-INJ-2789</t>
  </si>
  <si>
    <t>AU323668</t>
  </si>
  <si>
    <t>GOWER, GYPSI</t>
  </si>
  <si>
    <t>right hand, pinky finger got stuck in cutting guide</t>
  </si>
  <si>
    <t>Gypsi was cutting fabric and got her finger nail caught in the cutting guide on the desk causing her finger to bleed</t>
  </si>
  <si>
    <t>SRG-INJ-2762</t>
  </si>
  <si>
    <t>G746000W</t>
  </si>
  <si>
    <t>AU323640</t>
  </si>
  <si>
    <t>NORRIS, LISA</t>
  </si>
  <si>
    <t>Strained left shoulder</t>
  </si>
  <si>
    <t>Stretched to reach bolt of fabric on shelf and now has shoulder pain</t>
  </si>
  <si>
    <t>SRG-INJ-2704</t>
  </si>
  <si>
    <t>hit knee on basket</t>
  </si>
  <si>
    <t>Lindy was carrying a click and collect parcel to place out on the shelf and couldn't see the red basket and ran into it hurting her knee</t>
  </si>
  <si>
    <t>SRG-INJ-2564</t>
  </si>
  <si>
    <t>pinched skin and broke skin on left leg</t>
  </si>
  <si>
    <t>henry was was putting together a cage and his left leg got pinched in cage</t>
  </si>
  <si>
    <t>SRG-INJ-2498</t>
  </si>
  <si>
    <t>AU316751</t>
  </si>
  <si>
    <t>SHEALS, KAYLA</t>
  </si>
  <si>
    <t>Lower back was hurt when kayla had tripped over the ladder. she also hit her right upper arm on the fixtures</t>
  </si>
  <si>
    <t>kayla was getting a sewing machine for a customer when she tripped and feel on a ladder left in the walk way hurting her lower back and shoulder</t>
  </si>
  <si>
    <t>SRG-INJ-2329</t>
  </si>
  <si>
    <t>graze to left leg</t>
  </si>
  <si>
    <t>Lindy was carrying lids to put in a trollie and hit her leg on the eco base that wasn't completely full and took skin off her shin</t>
  </si>
  <si>
    <t>SRG-INJ-2108</t>
  </si>
  <si>
    <t>AU298102</t>
  </si>
  <si>
    <t>MARSHALL, KASEY</t>
  </si>
  <si>
    <t>kasey has a sore right hand around the knuckle area/ring finger. hand it ok just a little sore. ice applied to hand straight away.</t>
  </si>
  <si>
    <t>kasey was lifting a curtain lining into the bay and it was slippery and her hand slipped and it dropped and kasey's hand got caught between the lining and the trolley.</t>
  </si>
  <si>
    <t>SRG-INJ-2029</t>
  </si>
  <si>
    <t>Hit self in head</t>
  </si>
  <si>
    <t>Henry was using a pole to maneuver a stock box towards himself and hit himself in the head with the pole.</t>
  </si>
  <si>
    <t>SRG-INJ-2007</t>
  </si>
  <si>
    <t>pulled part of finger nail from nail bed</t>
  </si>
  <si>
    <t>Kasey was picking up stock from the floor and caught her pinky finger nail in the concrete join</t>
  </si>
  <si>
    <t>SRG-INJ-2017</t>
  </si>
  <si>
    <t>G7354939</t>
  </si>
  <si>
    <t>AU236130</t>
  </si>
  <si>
    <t>MAWER, KIARA</t>
  </si>
  <si>
    <t>Soft Tissue injury Left Knee Twisted knee - having pain under knee cap whilst walking</t>
  </si>
  <si>
    <t>Kiara was walking into the tea room and turned to speak to another team member, as she turned her shoe gripped on the floor and she twisted her knee.</t>
  </si>
  <si>
    <t>SRG-INJ-1896</t>
  </si>
  <si>
    <t>AU316734</t>
  </si>
  <si>
    <t>KELLY, SOPHIE</t>
  </si>
  <si>
    <t>twisted ankle when moving blind</t>
  </si>
  <si>
    <t>Sophie was lifting a blind when she twisted her ankle</t>
  </si>
  <si>
    <t>SRG-INJ-1876</t>
  </si>
  <si>
    <t>AU211601</t>
  </si>
  <si>
    <t>BUTLER, JACQUELINE</t>
  </si>
  <si>
    <t>Hit wrist on floor</t>
  </si>
  <si>
    <t>Jackie was putting overstocks away whilst up the ladder and missed the last step causing her to fall.</t>
  </si>
  <si>
    <t>SRG-INJ-1792</t>
  </si>
  <si>
    <t>G7332523</t>
  </si>
  <si>
    <t>AU218046</t>
  </si>
  <si>
    <t>BLOOM, Gaylene</t>
  </si>
  <si>
    <t>graze on arm</t>
  </si>
  <si>
    <t>Gaylene was going down a ladder in front of the dye and missed a step and fell grazing her arm on a bin in the race track she also hurt her back when she fell,gaylene was in shock after aswell</t>
  </si>
  <si>
    <t>SRG-INJ-1762</t>
  </si>
  <si>
    <t>G734517E</t>
  </si>
  <si>
    <t>left knee was injured upon falling</t>
  </si>
  <si>
    <t>lisa was up a ladder doing a task, when she went to get down she missed the last two steps of the ladder causing her to fall on the ground and hurt her left knee. cut to left knee, no first aid required.</t>
  </si>
  <si>
    <t>SRG-INJ-1761</t>
  </si>
  <si>
    <t>Henry was dislodging a pallet from the walkie staker. Henry struck the pallet with a hammer causing some of the pallet to break off and hit his left eye. eye was red and ice pack was applied to his eye.</t>
  </si>
  <si>
    <t>henry was trying to dislodge a pallet that was logged in our walkie stacker. Henry struck the pallet with a hammer, when this happened it caused a piece of the pallet to break off which hit henry in the left eye. we applied first aid via an ice pack to Henry's eye.</t>
  </si>
  <si>
    <t>SRG-INJ-1712</t>
  </si>
  <si>
    <t>balloon popped in face</t>
  </si>
  <si>
    <t>Kelli was inflating a  balloon and it pooped in her face. the balloon  hit her face when it burst</t>
  </si>
  <si>
    <t>SRG-INJ-1632</t>
  </si>
  <si>
    <t>hit left eye</t>
  </si>
  <si>
    <t>henry was lifting a box in dispatch onto a shelf when it fell back poking him in the eye</t>
  </si>
  <si>
    <t>SRG-INJ-2452</t>
  </si>
  <si>
    <t>AU324031</t>
  </si>
  <si>
    <t>O'CONNOR, RONALD</t>
  </si>
  <si>
    <t>S104</t>
  </si>
  <si>
    <t>Mandurah</t>
  </si>
  <si>
    <t>swollen knee, no abrasions</t>
  </si>
  <si>
    <t>Slipped and fell on gravel driveway with right leg being caught under body.  Left foot slipped on loose pea gravel causing him to fall.</t>
  </si>
  <si>
    <t>SRG-INJ-2400</t>
  </si>
  <si>
    <t>AU328467</t>
  </si>
  <si>
    <t>KELLETT, INDIANNA</t>
  </si>
  <si>
    <t>wrist/forearm</t>
  </si>
  <si>
    <t>Trying to grab a page, and another cage started to roll away crushing arm.</t>
  </si>
  <si>
    <t>SRG-INJ-2012</t>
  </si>
  <si>
    <t>right back of hand</t>
  </si>
  <si>
    <t>team member was pulling cage from stockroom to manchester, she quickly maneuvered to get out of customers was and caught her had on a trolley in the racetrack.  her left palm was crushed between the cage and trolly causing a bruise to back of her right hand.  team member is indianna kellett and was roster as reset team</t>
  </si>
  <si>
    <t>SRG-INJ-1783</t>
  </si>
  <si>
    <t>AU310311</t>
  </si>
  <si>
    <t>LEMOS DA SILVA, DANIELLE</t>
  </si>
  <si>
    <t>Face, eye and mouth</t>
  </si>
  <si>
    <t>I've watched this lady leaving the store with a big shopping bag filled with bedding, as i was keeping my eyes on her because she's a regular thieve and wanted to make sure she wasn't going to leave without paying once again. As i approached her and asked to be provided with a proof of purchase, she went off and charged towards me and my colleague, we managed to get the stock back, that's when she was being told off by our customer and she then proceeded to verbally abuse him, and started hitting us and then spat on my face. After trying to settle her down, she decided to follow us back in store  and said that she was going to steal all over again. She had been then advised that she was trespassing she then try to hit my colleague again, the gentle man told her off again, and i had to put myself in between them to protect them from her. She then went next door to cause chaos there too, and knocked off their stand too, the lady next door had some issues with her too.</t>
  </si>
  <si>
    <t>SRG-INJ-3557</t>
  </si>
  <si>
    <t>AU312345</t>
  </si>
  <si>
    <t>ROOSTAEI, MASOUMEH</t>
  </si>
  <si>
    <t>S105</t>
  </si>
  <si>
    <t>Mt Druitt</t>
  </si>
  <si>
    <t>Right hand top of the middle finger (from the base of the nail)</t>
  </si>
  <si>
    <t>I was moving a trolley with a very heavy parcel . The parcel slipped and I tried to stop it from getting damaged using my right hand but my right hand top of my middle finger (from the base of the nail) got in the way and it was crushed..</t>
  </si>
  <si>
    <t>SRG-INJ-3540</t>
  </si>
  <si>
    <t>AU200210</t>
  </si>
  <si>
    <t>LAFU, LENNIX</t>
  </si>
  <si>
    <t>Right forearm</t>
  </si>
  <si>
    <t>Closing a cage and putting down the shelf and the corner of the latch scratched his right forearm about 10 cm in length</t>
  </si>
  <si>
    <t>SRG-INJ-3454</t>
  </si>
  <si>
    <t>AU337227</t>
  </si>
  <si>
    <t>VALADKHANI, HAMED</t>
  </si>
  <si>
    <t>His left ear lobe</t>
  </si>
  <si>
    <t>On Thursday while he was counting planters on the top shelf,he ran into a spider web and felt something bite his rea lobe. Since then it has started to swell become itchy painful and red.</t>
  </si>
  <si>
    <t>SRG-INJ-3333</t>
  </si>
  <si>
    <t>AU335805</t>
  </si>
  <si>
    <t>RAHMDEL, SAHAR</t>
  </si>
  <si>
    <t>cut the finger</t>
  </si>
  <si>
    <t>Shahr cut her Finger while she open the boxes of pillows</t>
  </si>
  <si>
    <t>SRG-INJ-3339</t>
  </si>
  <si>
    <t>right hand thumb</t>
  </si>
  <si>
    <t>Whilst lifting the wooden pallets to stack a splinter entered his right thumb.. There was inflammation around the site. First aid was given in that antiseptic cream was administered and a Band-Aid put over the site. He removed the splinter latter that evening when he was at home, The site is now ok . he doesn't have any pain .</t>
  </si>
  <si>
    <t>SRG-INJ-3278</t>
  </si>
  <si>
    <t>AU327209</t>
  </si>
  <si>
    <t>NAZARI, JILA</t>
  </si>
  <si>
    <t>a rusty nail poking out that she couldn't see and  she scratched her right thumb. She wrapped it in a cloth and continued to work and she didn't tell anyone. After a few days of being sore she went to the doctors and found that it was very infected.</t>
  </si>
  <si>
    <t>SRG-INJ-2468</t>
  </si>
  <si>
    <t>Neck and backache</t>
  </si>
  <si>
    <t>I was in the back dock accepting the morning delivery. when the 7 pallets were in the dock, I proceeded to stack the wooden base pallets with the help of the truck driver (usually this doesn't happen ) as the drivers will not take the empty pallets if they are not stacked. There were 5 wooden pallets and 4 plastic pallets to be stacked. I was lifting and bending according to safe work practice . It was during the stacking of the wooden pallets that I noticed that the back of my neck started to hurt.. I didn't think too much about it and kept on stacking the pallets. The pain gradually increased during the day and I started to have limited movement moving my head around. By Wednesday my back and neck was painful. I have made an appointment for today Thursday the 4/4/2024 at 12.00 noon. to see my GP for her advice.</t>
  </si>
  <si>
    <t>SRG-INJ-2446</t>
  </si>
  <si>
    <t>AU328575</t>
  </si>
  <si>
    <t>GRIMA, AMANDA</t>
  </si>
  <si>
    <t>I brought a stock cage full of recycling rubbish to the back dock. i stopped the trolley on the platform and stepped down to put the rubbish in the bin, turned around and collected more rubbish off the trolley and turned back to the bin putting rubbish in it when the stock trolley rolled off the edge of the dock and hit my left shoulder, wrist and hip. i then called for Nat to help me. we put the trolley back up, and cleaned the rubbish and i went and put ice on my wrist and shoulder.</t>
  </si>
  <si>
    <t>SRG-INJ-3503</t>
  </si>
  <si>
    <t>AU325700</t>
  </si>
  <si>
    <t>FROST, JESSICA</t>
  </si>
  <si>
    <t>S106</t>
  </si>
  <si>
    <t>Mount Barker</t>
  </si>
  <si>
    <t>hard impact on right elbow (ulnar nerve)</t>
  </si>
  <si>
    <t>I hit my right funny bone (ulnar nerve) hard on the corner of a cupboard door. My right arm from my elbow to my pinky and ring finger went numb immediately and took around 10 minutes for me to regain feeling. I returned to work as usual but experienced pain and numbness intermittently in my right arm/hand throughout the rest of the night. This morning (27/3) the pain and numbness is still ongoing, I have rung my GP and his advice was to strap my elbow for support and take ibuprofen which I have done. I have an appointment with my GP on Monday 31/3 to follow up if the symptoms are still ongoing. In the meantime I am continuing work as usual.</t>
  </si>
  <si>
    <t>SRG-INJ-3411</t>
  </si>
  <si>
    <t>I was closing the roller door when a nut fell from the top of the roller door mechanism and hit me on the top of the head. Skin was not broken and I returned to work as usual. The roller door was being serviced earlier the today and this was the first time the door had be closed since the work men left. I assume they accidently left the nut loose when working on the door.</t>
  </si>
  <si>
    <t>SRG-INJ-3180</t>
  </si>
  <si>
    <t>left knee. significant bruise and swelling below knee cap.</t>
  </si>
  <si>
    <t>I tripped in receiving when trying to step over a box and believe I hit my left knee during the trip. Throughout the day I noticed pain when kneeling and when I checked had a bruise forming. Over the next 24 hours my knee swelled significantly and the bruise covered my entire knee.</t>
  </si>
  <si>
    <t>SRG-INJ-3068</t>
  </si>
  <si>
    <t>AU337054</t>
  </si>
  <si>
    <t>LADHAMS, LILY</t>
  </si>
  <si>
    <t>No visible injury</t>
  </si>
  <si>
    <t>Lily Ladhams was serving at register 2 when she fainted</t>
  </si>
  <si>
    <t>SRG-INJ-3023</t>
  </si>
  <si>
    <t>AU334833</t>
  </si>
  <si>
    <t>MERRITT, KAYLAH</t>
  </si>
  <si>
    <t>Kaylah was removing plastic wrap from empty timber pallet at the start of a night fill shift. She walked over the pallet and her foot got stuck in the wooden pallet slats and she fell forward and landed knee first onto the ground. She got up immediately but was in pain and paced/stood for around 3 minutes, then continued work.</t>
  </si>
  <si>
    <t>SRG-INJ-2868</t>
  </si>
  <si>
    <t>AU326603</t>
  </si>
  <si>
    <t>HEWETT, AMANDA</t>
  </si>
  <si>
    <t>left upper under arm</t>
  </si>
  <si>
    <t>team member was on a ladder in the sheet room, as they where climbing down they missed the bottom step and grabbed on to the mesh table scrapping their arm and falling to the floor.</t>
  </si>
  <si>
    <t>SRG-INJ-2534</t>
  </si>
  <si>
    <t>AU226805</t>
  </si>
  <si>
    <t>SHORT, ANNA-MARIE</t>
  </si>
  <si>
    <t>back of head and upper back</t>
  </si>
  <si>
    <t>a few boxes fell down hitting team member in the head as they had their back to to them. They where not stacked correctly.</t>
  </si>
  <si>
    <t>SRG-INJ-2432</t>
  </si>
  <si>
    <t>AU329363</t>
  </si>
  <si>
    <t>HOSKING, EDEN</t>
  </si>
  <si>
    <t>upper back, right shoulder, back off neck and back of head</t>
  </si>
  <si>
    <t>eden was stocking towels on a ladder during a resett shift. she slipped and fell off the ladder moving between the second and third step. her recount is that she fell on her back and injured her back, neck/shoulder and head. i (jessica frost) was supervising nightfill at the time, and was in receiving when another team member came and told me that "eden fell off a ladder but shes okay". i then immediately went and spoke to eden, and she also told me she was okay but was holding her shoulder. as we had 15 minutes left of the shift i sent her into the team room to sit down and then got her recount at the end of the night.</t>
  </si>
  <si>
    <t>SRG-INJ-2113</t>
  </si>
  <si>
    <t>AU230506</t>
  </si>
  <si>
    <t>WILSON, ASTA</t>
  </si>
  <si>
    <t>Arm jard when catching the bin, as the arm was already sore it made it worse cuasing muscle pain in nec and shoulders</t>
  </si>
  <si>
    <t>Team Member did no properly latch rubbish bin lid which then feel, The team member caught it and jarred her arm.</t>
  </si>
  <si>
    <t>SRG-INJ-1950</t>
  </si>
  <si>
    <t>AU234617</t>
  </si>
  <si>
    <t>MELVILLE, CAITLIN</t>
  </si>
  <si>
    <t>right hand point finger bruised in first join</t>
  </si>
  <si>
    <t>Team member went to move the gas cylinder and felt her right point finger pop it is now bruised</t>
  </si>
  <si>
    <t>SRG-INJ-1855</t>
  </si>
  <si>
    <t>Anna was rushing / walking through Sew Dept and knocked hand on corner of fabric ditch, injuring knuckle on left had mid finger.  Reported by Ally Graham DTL Dress / Sew / Craft - Party</t>
  </si>
  <si>
    <t>SRG-INJ-3404</t>
  </si>
  <si>
    <t>AU239375</t>
  </si>
  <si>
    <t>MALEY, JODY</t>
  </si>
  <si>
    <t>S107</t>
  </si>
  <si>
    <t>Geraldton</t>
  </si>
  <si>
    <t>sore calf muscle</t>
  </si>
  <si>
    <t>Staff member was holding the door open as i walked out i did not see her leg sticking out so i tripped over her leg falling forward,lucky there was a shopping trolley if front of me so i grabbed onto that . I felt my calf muscle pull.</t>
  </si>
  <si>
    <t>SRG-INJ-3143</t>
  </si>
  <si>
    <t>AU240450</t>
  </si>
  <si>
    <t>SINGLETON, PETA</t>
  </si>
  <si>
    <t>jarred wrist</t>
  </si>
  <si>
    <t>while peta was removing stock from the shelf she placed some on the floor behind herself which she then forgot that she did, so she went to walk back and tripped over and braced the fall with her hand, causing pain in her wrist</t>
  </si>
  <si>
    <t>SRG-INJ-2844</t>
  </si>
  <si>
    <t>G744085D</t>
  </si>
  <si>
    <t>AU331004</t>
  </si>
  <si>
    <t>UGLE, CLAUDIA</t>
  </si>
  <si>
    <t>Cut to the finger</t>
  </si>
  <si>
    <t>Team Member was curling ribbon on some balloons and scissors were not closed properly and cut skin off finger and bleed a lot so did first aid and sent off to hospital to get checked.</t>
  </si>
  <si>
    <t>SRG-INJ-2682</t>
  </si>
  <si>
    <t>AU325951</t>
  </si>
  <si>
    <t>SQUIRES, RACHEL</t>
  </si>
  <si>
    <t>Hit head on racking.</t>
  </si>
  <si>
    <t>Team member was putting stock away in warehouse under racking and stood up too quickly and hit the top of her head. team member then went and told supervisor that she had hit her head.</t>
  </si>
  <si>
    <t>SRG-INJ-2621</t>
  </si>
  <si>
    <t>AU297905</t>
  </si>
  <si>
    <t>CRAWFORD, ROBYN</t>
  </si>
  <si>
    <t>cut to leg about 3 cm long</t>
  </si>
  <si>
    <t>Breaking dinner set as damage and written off a small fragment richoted and hit inner right calf and left a 3 cm cut and have asked team member to get checked.</t>
  </si>
  <si>
    <t>SRG-INJ-2052</t>
  </si>
  <si>
    <t>G736202Z</t>
  </si>
  <si>
    <t>Cut right index finger with scissors at the spartys counter .cutting ribbon</t>
  </si>
  <si>
    <t>SRG-INJ-2965</t>
  </si>
  <si>
    <t>AU228041</t>
  </si>
  <si>
    <t>LAWRENCE, LEANNE</t>
  </si>
  <si>
    <t>S109</t>
  </si>
  <si>
    <t>Her foot, she has sustained a dancers fracture</t>
  </si>
  <si>
    <t>Leanne was putting stock up on a front end in Kids bedding, she was on the ladder accessing the top. She stepped off the ladder, the ladder was wobbly. She lost balance and had to catch herself on the dump bin behind her.</t>
  </si>
  <si>
    <t>SRG-INJ-2684</t>
  </si>
  <si>
    <t>AU330481</t>
  </si>
  <si>
    <t>CONSTABLE, TRACY MAREE</t>
  </si>
  <si>
    <t>Her head, where the frame made contact</t>
  </si>
  <si>
    <t>Customer was wanting frames down from the top shelf, as she tried to grab it down there was a pile of frames that were laying stacked on the shelf, which fell and hit her on the head.</t>
  </si>
  <si>
    <t>SRG-INJ-2619</t>
  </si>
  <si>
    <t>AU325107</t>
  </si>
  <si>
    <t>REBB, JOANNA</t>
  </si>
  <si>
    <t>Her back, when she stumbled backwards and fell she broke her fall with the middle supporting fixture that holds the shelves in place</t>
  </si>
  <si>
    <t>Johanna was on the step ladder getting excess wool down, she misjudged the steps of the ladder and lost balance, stumbling backwards and falling.</t>
  </si>
  <si>
    <t>SRG-INJ-1906</t>
  </si>
  <si>
    <t>AU323366</t>
  </si>
  <si>
    <t>JENNINGS, KOBI</t>
  </si>
  <si>
    <t>Elbow was aching before shift. While pushing the til trolley it began to hurt as if over extended.</t>
  </si>
  <si>
    <t>SRG-INJ-3538</t>
  </si>
  <si>
    <t>AU326402</t>
  </si>
  <si>
    <t>CHAPMAN, ALISON</t>
  </si>
  <si>
    <t>S110</t>
  </si>
  <si>
    <t>Mental anguish</t>
  </si>
  <si>
    <t>Alison was serving a customer that had incorrectly supplied measurements for cutback blinds.  Alison explained that as the order had already been processed there was no refund available.  The customer then became quite aggressive and confrontational about this.  Alison called for a manager to come and assist with the situation and Michelle DTL attended.  Michelle also explained to this customer the terms of the cutback purchase and he was  quite aggressive with her also and Michelle had to repeat herself several times to get the customer to understand that Alison had been correct in her advice to him.  Eventually he was told to call back on Monday and Michelle would email the cutback service to see what could be done.</t>
  </si>
  <si>
    <t>SRG-INJ-3519</t>
  </si>
  <si>
    <t>AU201228</t>
  </si>
  <si>
    <t>O'KEEFFE, WILHELMINA</t>
  </si>
  <si>
    <t>Wilma was getting a blind down from the hook, as she has gone to take it of a small piece of plastic has come off the packaging and has gone in her left eye</t>
  </si>
  <si>
    <t>SRG-INJ-3228</t>
  </si>
  <si>
    <t>Left temple</t>
  </si>
  <si>
    <t>Alison was removing stock from a euro when 5 roller blinds fell forward and hit her on the front of the head.</t>
  </si>
  <si>
    <t>SRG-INJ-3187</t>
  </si>
  <si>
    <t>AU232169</t>
  </si>
  <si>
    <t>LATHAM, JULIE</t>
  </si>
  <si>
    <t>left arm grazed, after landing on her left hand</t>
  </si>
  <si>
    <t>Julie was standing on a yellow stool holding a cast iron skillet where she then fell and landed on her left arm which she has grazed.</t>
  </si>
  <si>
    <t>SRG-INJ-3292</t>
  </si>
  <si>
    <t>AU232354</t>
  </si>
  <si>
    <t>VIDOVIC, BELINDA</t>
  </si>
  <si>
    <t>Belinda has 4 bulging discs in her neck</t>
  </si>
  <si>
    <t>Pre existing injury/medical condition Belinda has 4 bulging discs in her neck that are causing her pain and is impacting her ability to be able to fully complete her role in cutting fabrics for FFC</t>
  </si>
  <si>
    <t>SRG-INJ-3120</t>
  </si>
  <si>
    <t>AU325903</t>
  </si>
  <si>
    <t>KOVATS, FINLEY</t>
  </si>
  <si>
    <t>Left knee cap - impact against ground</t>
  </si>
  <si>
    <t>Leaning down to put jars on lower shelf, decided to kneel to do this and dropped heavily on left knee. When landed on this knee it hurt but didn't think too much about it. It started to swell later that night and progressively the pain and swelling got worse.</t>
  </si>
  <si>
    <t>SRG-INJ-3064</t>
  </si>
  <si>
    <t>AU309551</t>
  </si>
  <si>
    <t>CASTLE, CAROLINE</t>
  </si>
  <si>
    <t>Right hand and knuckles</t>
  </si>
  <si>
    <t>Caroline was fixing a cage and the cage shelf fell on her hand and hit her fingers and knuckles.</t>
  </si>
  <si>
    <t>SRG-INJ-2938</t>
  </si>
  <si>
    <t>AU324264</t>
  </si>
  <si>
    <t>PHILLIPS-STUEVEN, RHIKI</t>
  </si>
  <si>
    <t>Right hand, pinky finger</t>
  </si>
  <si>
    <t>Rhikki was walking through the doorway with a white half trolley, she was walking with speed with her hand on the right side of it.  Her finger hit the side of the door and got pulled back with the door.  She heard a crack sound</t>
  </si>
  <si>
    <t>SRG-INJ-2918</t>
  </si>
  <si>
    <t>Left Knee tendon inflammation, baker's cyst</t>
  </si>
  <si>
    <t>Bending over to grab a box out of an eco bin  felt a sharp pain in her knee, resulting in pain and swelling in her knee</t>
  </si>
  <si>
    <t>SRG-INJ-2830</t>
  </si>
  <si>
    <t>Ryan was fixing a bar for the racking and the bar had hit is head</t>
  </si>
  <si>
    <t>SRG-INJ-2670</t>
  </si>
  <si>
    <t>Top of the head</t>
  </si>
  <si>
    <t>Ryan was working stock and fixing up a bay when fixuring fell and has hit head</t>
  </si>
  <si>
    <t>SRG-INJ-2592</t>
  </si>
  <si>
    <t>Possibly repetitive strain injury on her right hand top between her forefinger and middle finger</t>
  </si>
  <si>
    <t>Rhiki was working Venetian blinds yesterday. After unpacking blinds for about 2 hours her right hand started to have soreness and was preventing her from working any more blinds</t>
  </si>
  <si>
    <t>SRG-INJ-2508</t>
  </si>
  <si>
    <t>AU325059</t>
  </si>
  <si>
    <t>HOSKING, LILY</t>
  </si>
  <si>
    <t>Was moving stock on shop floor and has moved a quilt cover, with force and has knocked and hit in face</t>
  </si>
  <si>
    <t>SRG-INJ-2495</t>
  </si>
  <si>
    <t>AU319987</t>
  </si>
  <si>
    <t>KELLY, COLMAN</t>
  </si>
  <si>
    <t>Cut on hand</t>
  </si>
  <si>
    <t>Colman was putting stock out the back and hit his hand against a cracked tub and cut his hand</t>
  </si>
  <si>
    <t>SRG-INJ-2461</t>
  </si>
  <si>
    <t>AU234836</t>
  </si>
  <si>
    <t>RUSSELL, JENNIFER</t>
  </si>
  <si>
    <t>Palm of left hand</t>
  </si>
  <si>
    <t>Jen was putting together a post crate and the metal spring clasp broke and hit her hand</t>
  </si>
  <si>
    <t>SRG-INJ-2427</t>
  </si>
  <si>
    <t>Bach of hand</t>
  </si>
  <si>
    <t>Colman was walking out the dispatch doors and clipped his hand on the door and has cut his hand</t>
  </si>
  <si>
    <t>SRG-INJ-2428</t>
  </si>
  <si>
    <t>AU322570</t>
  </si>
  <si>
    <t>TILSON, ERIN</t>
  </si>
  <si>
    <t>Ankle bone</t>
  </si>
  <si>
    <t>Erin was reaching for a signage post when one had fallen and hit her ankcle bone</t>
  </si>
  <si>
    <t>SRG-INJ-2352</t>
  </si>
  <si>
    <t>AU314399</t>
  </si>
  <si>
    <t>PHILLIPS, LYNDAL</t>
  </si>
  <si>
    <t>Pin prick on hand</t>
  </si>
  <si>
    <t>Sally has gone to open a box and work stock and a loose pin has go into her hand</t>
  </si>
  <si>
    <t>SRG-INJ-2335</t>
  </si>
  <si>
    <t>Cut to finger</t>
  </si>
  <si>
    <t>Belinda was packing Semco scissors and cut her right hand ring finger</t>
  </si>
  <si>
    <t>SRG-INJ-2303</t>
  </si>
  <si>
    <t>Little finger, ripped nail</t>
  </si>
  <si>
    <t>Returning fabric material back to self, when placing down ripped nail on fabric</t>
  </si>
  <si>
    <t>SRG-INJ-2159</t>
  </si>
  <si>
    <t>Left Knee medial meniscus tear Bruising on both shins</t>
  </si>
  <si>
    <t>Caroline was working stock off the pallet when a broken plank of the pallet flicked up and caused Caroline to lose her balance and fell onto the prongs of the walkie stackie landing on her shins and knees</t>
  </si>
  <si>
    <t>SRG-INJ-2102</t>
  </si>
  <si>
    <t>Back, setting up ecom pallet and twinged back</t>
  </si>
  <si>
    <t>Setting up ecom pallet and felt a tinge in her back and didnt think it was too bad. Then when she picked up a bolt of fabric she dropped it and felt pain in her back. Now on Frida y it is hurting worse then on Wednesday.</t>
  </si>
  <si>
    <t>SRG-INJ-1964</t>
  </si>
  <si>
    <t>Bump on head and scratch on neck</t>
  </si>
  <si>
    <t>Was working stock from a cage that had stock stacked fairly high. Was getting stock from bottom part of cage and the a pack of pillowcases fell from the top part of the cage and fell on head and scratched neck</t>
  </si>
  <si>
    <t>SRG-INJ-1949</t>
  </si>
  <si>
    <t>Squashed hand</t>
  </si>
  <si>
    <t>Rhiki was wheeling a trolley of stock backwards and squashed her right hand between the trolley and a timber pallet</t>
  </si>
  <si>
    <t>SRG-INJ-1921</t>
  </si>
  <si>
    <t>Sprain to left hand - affecting forefinger and middle finger</t>
  </si>
  <si>
    <t>Rhiki was rolling and cutting furnishing fabric and suddenly got a pain through her muscle in her hand.  Felt like the muscle pulled.</t>
  </si>
  <si>
    <t>SRG-INJ-1888</t>
  </si>
  <si>
    <t>AU217066</t>
  </si>
  <si>
    <t>BROWNE, ANGELA</t>
  </si>
  <si>
    <t>Right hand, big thumb</t>
  </si>
  <si>
    <t>Restocking the drink fridge at the register, while stocking the top shelf hit finger on the top of the machine roof. Finger has come off slightly</t>
  </si>
  <si>
    <t>SRG-INJ-1883</t>
  </si>
  <si>
    <t>AU311320</t>
  </si>
  <si>
    <t>MUNDAY, ROSEMARY</t>
  </si>
  <si>
    <t>Bite on ankle</t>
  </si>
  <si>
    <t>Rosie was working yarn and had been bitten by something and is itchy</t>
  </si>
  <si>
    <t>SRG-INJ-1871</t>
  </si>
  <si>
    <t>Jammed finger ULD cage</t>
  </si>
  <si>
    <t>SRG-INJ-1824</t>
  </si>
  <si>
    <t>Sore shoulder blade and neck muscle</t>
  </si>
  <si>
    <t>Was trying to stop a theft. I was holding onto a bag that had our stock that hadn't been purchased in it and one of the male offenders ripped the bag from me and wrenched my right shoulder</t>
  </si>
  <si>
    <t>SRG-INJ-1818</t>
  </si>
  <si>
    <t>Right knee &amp; big toe</t>
  </si>
  <si>
    <t>Erin was typing in the door cord to entry the back office when Rhiki opened the door to exited, squashing Erin's toe and hipping her knee.</t>
  </si>
  <si>
    <t>SRG-INJ-1740</t>
  </si>
  <si>
    <t>Took the top layer of skin off the top of his left hand</t>
  </si>
  <si>
    <t>Colman was walking past the last bay of the sewing baskets, stopped to talk to a member, and then on recommencing moving his trolley to the storeroom accidently scraped the top of his hand and took the skin off the top of his hand</t>
  </si>
  <si>
    <t>SRG-INJ-1702</t>
  </si>
  <si>
    <t>Paper cut on left ear</t>
  </si>
  <si>
    <t>Ryan had stuck a piece of paper to a box of venetian blinds and as he was lifting the box, the paper cut his left ear</t>
  </si>
  <si>
    <t>SRG-INJ-1692</t>
  </si>
  <si>
    <t>AU322361</t>
  </si>
  <si>
    <t>SWAN, ELLE</t>
  </si>
  <si>
    <t>Top of left and right thigh have bruised from latex balloon bursting</t>
  </si>
  <si>
    <t>Latex balloon burst as it was being inflated and exploded on Team member, Elle's,, thighs.</t>
  </si>
  <si>
    <t>SRG-INJ-1636</t>
  </si>
  <si>
    <t>AU298752</t>
  </si>
  <si>
    <t>CHIVERS, TARA</t>
  </si>
  <si>
    <t>When putting out stock, I notice a pain in my left knee when bending down or climbing a ladder</t>
  </si>
  <si>
    <t>SRG-INJ-1652</t>
  </si>
  <si>
    <t>AU239538</t>
  </si>
  <si>
    <t>COLLINS, EMMA</t>
  </si>
  <si>
    <t>Top left thigh</t>
  </si>
  <si>
    <t>Emma was walking out to the  fulfillment centre to see if she could use the computer. Whilst she was asking the girls, she walked backwards into a step ladder and empty boxes. and tripped over these and landed on the of left thigh against the step ladder</t>
  </si>
  <si>
    <t>SRG-INJ-1574</t>
  </si>
  <si>
    <t>AU240645</t>
  </si>
  <si>
    <t>RUSSO, MARIE</t>
  </si>
  <si>
    <t>Picking up stock for Manchester, team member heard a pop in shoulder and it was sore after that</t>
  </si>
  <si>
    <t>SRG-INJ-1569</t>
  </si>
  <si>
    <t>hit on head from falling blind in the bay</t>
  </si>
  <si>
    <t>Team Member Wilhelmina O'Keeffe was getting a 180cm blind from the waterfall blind set up when the blind behind hit Wilma in the head when the blind was moving back</t>
  </si>
  <si>
    <t>SRG-INJ-3545</t>
  </si>
  <si>
    <t>AU221722</t>
  </si>
  <si>
    <t>FORSTER, SHAUNA</t>
  </si>
  <si>
    <t>S111</t>
  </si>
  <si>
    <t>Deep laceration to left index finger</t>
  </si>
  <si>
    <t>Team member has cut index finger with Stanley knife, was a brand new knife just opened.</t>
  </si>
  <si>
    <t>SRG-INJ-3534</t>
  </si>
  <si>
    <t>AU236539</t>
  </si>
  <si>
    <t>DARE, SANDRA</t>
  </si>
  <si>
    <t>Cut to front of head</t>
  </si>
  <si>
    <t>Laceration to forehead cut 1cm to 1.5 cm Bending to turn on power for rolling machine knocked head on shelf above</t>
  </si>
  <si>
    <t>SRG-INJ-3330</t>
  </si>
  <si>
    <t>While packing a large fauxwood blinds for online order, twisted wrist.</t>
  </si>
  <si>
    <t>SRG-INJ-3137</t>
  </si>
  <si>
    <t>Ribs/Back</t>
  </si>
  <si>
    <t>Recovery being done on quilting fabric wall and over stretching and repetitve actions causing body to strain.</t>
  </si>
  <si>
    <t>SRG-INJ-3106</t>
  </si>
  <si>
    <t>AU240997</t>
  </si>
  <si>
    <t>SOUTH, COURTNEY</t>
  </si>
  <si>
    <t>Injured right shoulder/arm</t>
  </si>
  <si>
    <t>On Wednesday 13th Nov 2024 I was creating a Cricut display for the craft room. I picked up a cricut machine maker 3 (which are heavy) to take to the craft room via hand. Once I finished the display, I was putting up signage which was a lot of repetitive movement with my right arm being extended. After I had finished putting up signage I headed to the craft counter to inflate balloons for the VIP Sale. When I got to the craft counter my right shoulder did not feel good. I could not raise my arm above head without feeling pain/discomfort. I tried to do some stretches thinking I might have strained something and continued to inflate the balloons.   When I woke up on Thursday 14th Nov 2024, the pain and discomfort is still present. Finding it hard to use my right arm/shoulder as it feels weaker than usual. Difficulty picking up normal average weight objects eg. kettle of water or opening the fridge.  I am right hand dominant.</t>
  </si>
  <si>
    <t>SRG-INJ-2912</t>
  </si>
  <si>
    <t>AU328086</t>
  </si>
  <si>
    <t>BLAXLAND, KATIE</t>
  </si>
  <si>
    <t>left side of neck</t>
  </si>
  <si>
    <t>Turned in awkward manner too quickly</t>
  </si>
  <si>
    <t>SRG-INJ-2913</t>
  </si>
  <si>
    <t>AU218946</t>
  </si>
  <si>
    <t>DAVIDSON, KERRI</t>
  </si>
  <si>
    <t>Strain to right hamstring</t>
  </si>
  <si>
    <t>Lifting and moving oversized blinds during pre-count of stocktake, moving from 1 black eco to another black eco.</t>
  </si>
  <si>
    <t>SRG-INJ-2833</t>
  </si>
  <si>
    <t>AU310299</t>
  </si>
  <si>
    <t>GENTLE, CARLEY RAE</t>
  </si>
  <si>
    <t>Both wrists - Right wrist worst</t>
  </si>
  <si>
    <t>Developed numbness and stabbing/pins and needles in wrists/hands. Worse in right hand.  Started to notice numbness over time full symptoms 17th of July 2024</t>
  </si>
  <si>
    <t>SRG-INJ-2606</t>
  </si>
  <si>
    <t>Right foot</t>
  </si>
  <si>
    <t>While unloading the DC delivery, I was turning the walkie stackie around in a tight space and have caught my right foot under outside arm of machine. I was wearing my steel caps so toes have been protected, has got caught about mid way up foot and had to move machine forward to release foot.. Has cut front of my shoe and has left some swelling and will probably leave some bruising but ultimately not too bad. Very near miss.</t>
  </si>
  <si>
    <t>Self-propelled plant</t>
  </si>
  <si>
    <t>SRG-INJ-2565</t>
  </si>
  <si>
    <t>left front shoulder</t>
  </si>
  <si>
    <t>packing blinds and after lifting a 180x210 faux wood venetian, felt a twinge in left shoulder. now feeling of pulsing in front of left shoulder.</t>
  </si>
  <si>
    <t>SRG-INJ-2455</t>
  </si>
  <si>
    <t>S23WL121813</t>
  </si>
  <si>
    <t>AU328027</t>
  </si>
  <si>
    <t>GOULD MCGINN, JORDAN</t>
  </si>
  <si>
    <t>Team member has hurt wrist when lifting memory foam topper</t>
  </si>
  <si>
    <t>SRG-INJ-2593</t>
  </si>
  <si>
    <t>S23VJ129280</t>
  </si>
  <si>
    <t>AU326946</t>
  </si>
  <si>
    <t>MUNOKOA-LOVELOCK, BONNIE</t>
  </si>
  <si>
    <t>Unpacking 16 pallets per day for 5 days straight, moving stock from pallets to cages and trolleys. Repetition of the same actions.</t>
  </si>
  <si>
    <t>SRG-INJ-2261</t>
  </si>
  <si>
    <t>AU216775</t>
  </si>
  <si>
    <t>STEPHENSON, ANNEMARIE</t>
  </si>
  <si>
    <t>Heavy Vase fell through packaging and onto left foot</t>
  </si>
  <si>
    <t>SRG-INJ-2216</t>
  </si>
  <si>
    <t>Lower back and shoulders - Muscular stress</t>
  </si>
  <si>
    <t>Blind fixture wasnt secure - I went to remove blinds and fixture went to fall - I had to brace the blinds and call for help. 2 team members had to assist. approx 30 outdoor blinds total</t>
  </si>
  <si>
    <t>SRG-INJ-2191</t>
  </si>
  <si>
    <t>AU239701</t>
  </si>
  <si>
    <t>NARAYAN, LISA</t>
  </si>
  <si>
    <t>Lower back - Muscular stress</t>
  </si>
  <si>
    <t>Lisa was rushing to do a catalogue set up and over stretched and hurt her lower back</t>
  </si>
  <si>
    <t>SRG-INJ-1991</t>
  </si>
  <si>
    <t>S23XD074754</t>
  </si>
  <si>
    <t>AU317149</t>
  </si>
  <si>
    <t>VOLKER, SUZANNE</t>
  </si>
  <si>
    <t>Wrist (right) - Traumatic ganglion</t>
  </si>
  <si>
    <t>Lifting 15 metres of vinyl fabric for Ecom order</t>
  </si>
  <si>
    <t>SRG-INJ-1854</t>
  </si>
  <si>
    <t>AU213106</t>
  </si>
  <si>
    <t>KASAS, ROBERT</t>
  </si>
  <si>
    <t>Eye (left) - Laceration/bruising</t>
  </si>
  <si>
    <t>Rob was moving an echo base to stack and it rebound towards him and bruised and cut corner of left eye</t>
  </si>
  <si>
    <t>SRG-INJ-1649</t>
  </si>
  <si>
    <t>Right hand middle finger - small cut, swelling and bruising</t>
  </si>
  <si>
    <t>Pulling trolley with Xmas fixtures on it and smashed middle finger between trolley and price checker. Also didn't do  what I tell all my team that you should have hands on inside of trolley</t>
  </si>
  <si>
    <t>SRG-INJ-1650</t>
  </si>
  <si>
    <t>AU216692</t>
  </si>
  <si>
    <t>NARAYAN, ANITA</t>
  </si>
  <si>
    <t>Right knee/upper shin</t>
  </si>
  <si>
    <t>Security deactivation device came off counter when scanning a product across it &amp; hit right leg</t>
  </si>
  <si>
    <t>SRG-INJ-1596</t>
  </si>
  <si>
    <t>Hit ankle with edge of stock cage</t>
  </si>
  <si>
    <t>SRG-INJ-3349</t>
  </si>
  <si>
    <t>AU332998</t>
  </si>
  <si>
    <t>BRETT, ERICA</t>
  </si>
  <si>
    <t>S112</t>
  </si>
  <si>
    <t>Strained Left Ankle</t>
  </si>
  <si>
    <t>Team member reports stepping off a 3 step ladder and rolled her ankle after putting bedding boxes on shelving</t>
  </si>
  <si>
    <t>SRG-INJ-3197</t>
  </si>
  <si>
    <t>AU335667</t>
  </si>
  <si>
    <t>VILLAGOMEZ LEAL, IRAIS</t>
  </si>
  <si>
    <t>Neck and back</t>
  </si>
  <si>
    <t>Team member reported a customer in furnishings wanted some plastic off a roll. Team member reported they assumed the process to be the same as if they had asked for material. Team member reports removing the plastic roll from its bracket. "It is really heavy, and I really struggled". Team member reports the customer helped to move the plastic roll to the bench to assist them. Team member was subsequently absent from work due to a cold for the following 2 weeks and now reports ongoing muscular skeletal pain which is impacting her ability to stand, sit, kneel, squat, walk, and lift things.</t>
  </si>
  <si>
    <t>SRG-INJ-3144</t>
  </si>
  <si>
    <t>AU307626</t>
  </si>
  <si>
    <t>CURRAN, BAILEY</t>
  </si>
  <si>
    <t>Inappropriate comments about Bailey</t>
  </si>
  <si>
    <t>Bailey Curran has not attended work since 20th stating anxiety and has told the team he may need to have himself admitted to help his mental health (has told team he is diagnosed with borderline personality disorder)  His Mother Kelly Curran has attended the warrnambool store asking us to complete workcover for her son Bailey as his ongoing challenges with mental health are due to an incident with previous store manager Lloyd Phelan - which was in an investigation last week leading to Lloyd's termination.   This involved a comment in August which Lloyd said "I'll give you enough rope to hang yourself'  The mother has said this has caused triggering for Bailey as his friend committed suicide when he was a young boy.   Bailey was very grateful when Amanda Bowering spoke with him last week after Lloyd left and said he was keen to stay in warrnambool through christmas before moving back to Geelong in january.</t>
  </si>
  <si>
    <t>SRG-INJ-2878</t>
  </si>
  <si>
    <t>Right Ankle</t>
  </si>
  <si>
    <t>Resett team was reorganising the rugs and had them all over the floor. Bailey was called up to the office and had to navigate through the pile of rugs on the floor. In the process Bailey had stepped on a rug as told by the resett team to do so and a rug had slipped out from under the foot and Bailey slipped over.</t>
  </si>
  <si>
    <t>SRG-INJ-3202</t>
  </si>
  <si>
    <t>AU214333</t>
  </si>
  <si>
    <t>BRANCH, BELINDA</t>
  </si>
  <si>
    <t>S113</t>
  </si>
  <si>
    <t>South Morang</t>
  </si>
  <si>
    <t>Right forearm bruising and scrapes, Left shin cuts and scrapes</t>
  </si>
  <si>
    <t>the team member was closing and organizing the euro bins and fell over and hurt her arm and leg</t>
  </si>
  <si>
    <t>SRG-INJ-2933</t>
  </si>
  <si>
    <t>AU332892</t>
  </si>
  <si>
    <t>PITTO, ERINI</t>
  </si>
  <si>
    <t>sore right shoulder</t>
  </si>
  <si>
    <t>went to get a wall art down for a customer and 3 fell forward hitting her in the shoulder</t>
  </si>
  <si>
    <t>SRG-INJ-2595</t>
  </si>
  <si>
    <t>AU333469</t>
  </si>
  <si>
    <t>BHAMBI, RISHABH</t>
  </si>
  <si>
    <t>Left finger</t>
  </si>
  <si>
    <t>Rishi cut his finger on a box cutter. He had cut open a box, and then went to reach in but the blade did not retract properly and cut through the top of his fingernail. Other team members around took him to the tea room where first aid was applied, and then Mihaela drove him to the Northern hospital at Epping.</t>
  </si>
  <si>
    <t>SRG-INJ-2570</t>
  </si>
  <si>
    <t>AU318188</t>
  </si>
  <si>
    <t>FERRY, NICHOLAS</t>
  </si>
  <si>
    <t>Nick was wrapping a pallet on the shop floor and dropped the metal wrapping tool onto his foot. When he got home and removed his shoe he found a cut on his big toe and reported it to managers.</t>
  </si>
  <si>
    <t>SRG-INJ-2218</t>
  </si>
  <si>
    <t>AU308143</t>
  </si>
  <si>
    <t>IRVINE, REBECCA</t>
  </si>
  <si>
    <t>Rebecca was moving frames when the shelf collapsed onto her right forearm.  Ice was applied &amp; resumed duties.</t>
  </si>
  <si>
    <t>SRG-INJ-2173</t>
  </si>
  <si>
    <t>AU322380</t>
  </si>
  <si>
    <t>BEGUM, HAMIDA</t>
  </si>
  <si>
    <t>Hamida was putting stock away and bumped her head on a shelf above, causing a foot stool to fall on her head.  She said she felt dizzy, Louise got an ice pack and Hamida sat in tea room for 15 minutes and said she felt fine to resume duties. Was laughing and joking about it with other team members and managers on duty.  Hamida came and saw managers approx 1:40pm saying her neck was sore and she needed to leave. She said she was taking an Uber to the doctors.</t>
  </si>
  <si>
    <t>SRG-INJ-2138</t>
  </si>
  <si>
    <t>team member was putting overstocks into cage and the top shelf fell on her head. there was no latch to secure the shelf and team member leaned in to add the box and then it fell in the right side of the back of her head.</t>
  </si>
  <si>
    <t>SRG-INJ-3574</t>
  </si>
  <si>
    <t>AU228978</t>
  </si>
  <si>
    <t>THOMPSON, SALLY</t>
  </si>
  <si>
    <t>S114</t>
  </si>
  <si>
    <t>Carnegie</t>
  </si>
  <si>
    <t>lifting related lower back strain with bilateral numbness of feet. restricted right thumb movement from lifting, referred pain in feet</t>
  </si>
  <si>
    <t>Repeated lifting and handing and measuring of table tones and protectors, particularly over the week prior, starting from 5th until my final day of work on the 10th .  sustained lower back weakness, referred pain in toes and a trigger thumb on the right hand.</t>
  </si>
  <si>
    <t>SRG-INJ-2926</t>
  </si>
  <si>
    <t>AU316937</t>
  </si>
  <si>
    <t>JAMES, MELINDA</t>
  </si>
  <si>
    <t>S115</t>
  </si>
  <si>
    <t>Banged elbow and landed on bottom and back</t>
  </si>
  <si>
    <t>Melinda was helping Andrew relaying the greenery room when she misjudged the step down off the step ladder.  She forgot that she was using a 3 step and stepped down off what she though was a 2 step. Due to this she has fallen  backwards landing on her bottom and back and hitting her elbow.</t>
  </si>
  <si>
    <t>SRG-INJ-2795</t>
  </si>
  <si>
    <t>AU325131</t>
  </si>
  <si>
    <t>VULICH, RYLEE</t>
  </si>
  <si>
    <t>Shoulder/ Collar Bone, Grazed thumb/ forearm.</t>
  </si>
  <si>
    <t>Team member was counting blinds for stock take and said he was lifting a blind and under estimated the length and it slipped.  He has complained of a sore shoulder/ collar bone. and has a minor graze on his thumb and lower arm.</t>
  </si>
  <si>
    <t>SRG-INJ-3579</t>
  </si>
  <si>
    <t>AU337187</t>
  </si>
  <si>
    <t>DWYER, KSENIA</t>
  </si>
  <si>
    <t>S116</t>
  </si>
  <si>
    <t>Left leg just below knee</t>
  </si>
  <si>
    <t>Ksenia knelt on a chair in the tea room. There was a nail/ screw  sticking up and she tore her trousers and cut her leg. The cut was not deep and only required a band aid.</t>
  </si>
  <si>
    <t>SRG-INJ-3435</t>
  </si>
  <si>
    <t>AU235780</t>
  </si>
  <si>
    <t>HICKS, CAITLIN</t>
  </si>
  <si>
    <t>Hand / finger</t>
  </si>
  <si>
    <t>Caitlin Hicks was putting out stock from a stock cage. She was attempting to open a plastic bag containing pillowcases . As she was trying to cut the sticky tape she missed the packet and sliced her middle finger on her left hand.</t>
  </si>
  <si>
    <t>SRG-INJ-3425</t>
  </si>
  <si>
    <t>AU321723</t>
  </si>
  <si>
    <t>MEIER, AMANDA</t>
  </si>
  <si>
    <t>finger nail on little finger of left hand came off.</t>
  </si>
  <si>
    <t>Opened the door and fingernail of little finger got caught against door frame.</t>
  </si>
  <si>
    <t>SRG-INJ-3379</t>
  </si>
  <si>
    <t>AU337109</t>
  </si>
  <si>
    <t>FLETCHER, JESSICA</t>
  </si>
  <si>
    <t>palm of hand</t>
  </si>
  <si>
    <t>Jessica opened scissors to cut open a box. The scissors caught on the cardboard and flicked into her hand. Stabbing her palm near her thumb</t>
  </si>
  <si>
    <t>SRG-INJ-2732</t>
  </si>
  <si>
    <t>Team member was moving stock in the fixture and a frinial from a Noosa Rod Set fell out of the cut out in the  packaging and landed on her head.</t>
  </si>
  <si>
    <t>SRG-INJ-2637</t>
  </si>
  <si>
    <t>AU319444</t>
  </si>
  <si>
    <t>ROGERS, KAYLEE</t>
  </si>
  <si>
    <t>organizing clearance bay and the bar was not in properly and it fell on Kaylee's foot.</t>
  </si>
  <si>
    <t>SRG-INJ-2553</t>
  </si>
  <si>
    <t>S23VG132061</t>
  </si>
  <si>
    <t>AU323156</t>
  </si>
  <si>
    <t>HODGSON, COOPER</t>
  </si>
  <si>
    <t>Wrist injury</t>
  </si>
  <si>
    <t>We were relaying fabrics, Cooper picked up a roll of fabric and she felt a twinge as she moved. She felt her wrist ache immediately.</t>
  </si>
  <si>
    <t>SRG-INJ-2289</t>
  </si>
  <si>
    <t>AU298710</t>
  </si>
  <si>
    <t>O'CONNELL, TODD</t>
  </si>
  <si>
    <t>Lower back right side</t>
  </si>
  <si>
    <t>Large carton delivered by TOLL as part of a shutter consignment, was removed from the truck and placed against the exterior wall of despatch. When lifted the carton to bring inside, team member attempted to carry carton (approximately 4m long) on their shoulder by tilting at halfway point and letting weight even out over shoulder. True weight was not explicitly stated on carton, and no "heavy", or "2 person lift" labels were present. When full weight of carton was supported by team member, they tried to even out the weight and felt pain in their lower right side of back. Managed to bring carton inside and stand up against wall in despatch. Upon checked consignment label after incident, weight was stated at 10kg, however, when weighed on scales in despatch, true weight was 49.96kg.</t>
  </si>
  <si>
    <t>SRG-INJ-2277</t>
  </si>
  <si>
    <t>S23AB102176</t>
  </si>
  <si>
    <t>AU311531</t>
  </si>
  <si>
    <t>MCKEON, THERESA</t>
  </si>
  <si>
    <t>Right Deltoid Ligament Pain /Straining of the neck and shoulder</t>
  </si>
  <si>
    <t>Theresa strained her neck by twisting sideways trying to remove stock from high shelving while on a ladder . Excess stock was packed too tightly into the overhead bays which made it difficult to lift and remove heavy stock.</t>
  </si>
  <si>
    <t>SRG-INJ-2123</t>
  </si>
  <si>
    <t>Finger (left - small) - Puncture wound</t>
  </si>
  <si>
    <t>Team member was moving mesh table and the broken corner of wire frame punctured finger</t>
  </si>
  <si>
    <t>SRG-INJ-1875</t>
  </si>
  <si>
    <t>AU309039</t>
  </si>
  <si>
    <t>FEARNS, VINCENZINA</t>
  </si>
  <si>
    <t>Knee (right) - Abrasion and Back (middle) - Sprain / strain</t>
  </si>
  <si>
    <t>Zina left Despatch to attend to an issue at the front counter. In her rush she stepped on a silica pouch on the floor and slipped over. She grazed her knee and slightly twisted her back.</t>
  </si>
  <si>
    <t>SRG-INJ-3535</t>
  </si>
  <si>
    <t>AU202027</t>
  </si>
  <si>
    <t>FREEBORN, LEE</t>
  </si>
  <si>
    <t>S117</t>
  </si>
  <si>
    <t>Injured knee</t>
  </si>
  <si>
    <t>Lee was cutting the heavy weight PVC table covering. She measured out 2.2 m which sits on the floor while cutting. She then reached across to cut and ended up tripping on the plastic. She fell onto her knee.</t>
  </si>
  <si>
    <t>SRG-INJ-2635</t>
  </si>
  <si>
    <t>AU204295</t>
  </si>
  <si>
    <t>SCHILLING, SHERIDAN</t>
  </si>
  <si>
    <t>Finger next to thumb on the left hand</t>
  </si>
  <si>
    <t>Team member was cutting open a blind packaging when she cut her finger next to her thumb on her left hand</t>
  </si>
  <si>
    <t>SRG-INJ-1928</t>
  </si>
  <si>
    <t>elbow, upper arm very tender as per lifting heavy blinds and fabric</t>
  </si>
  <si>
    <t>SRG-INJ-1635</t>
  </si>
  <si>
    <t>AU329507</t>
  </si>
  <si>
    <t>DALE, NICOLA</t>
  </si>
  <si>
    <t>hit on top of head, but injury is neck, spine and left shoulder</t>
  </si>
  <si>
    <t>i was lifting a box with a large size manequin in it onto a box above my head. the box slipped and fell on top of my head. i lifted the box up and put it onto a shelf</t>
  </si>
  <si>
    <t>SRG-INJ-3521</t>
  </si>
  <si>
    <t>AU338597</t>
  </si>
  <si>
    <t>ASHFORD, ILLUSION</t>
  </si>
  <si>
    <t>S118</t>
  </si>
  <si>
    <t>A loose candles fell rom a cage while an employee was pushing it on to the shop floor. Illusion went over to assist and picked a up candle, it was shattered on one side which resulted in loose glass covering and entering her hand.</t>
  </si>
  <si>
    <t>SRG-INJ-3288</t>
  </si>
  <si>
    <t>Left middle finger</t>
  </si>
  <si>
    <t>Rinley was breaking down a box when the knife cut their finger.</t>
  </si>
  <si>
    <t>SRG-INJ-3170</t>
  </si>
  <si>
    <t>AU297991</t>
  </si>
  <si>
    <t>MARR, ROBERT</t>
  </si>
  <si>
    <t>Robert was moving a pallet, misjudged the distance between himself and stationary pallet and foot was caught in between  two pallets</t>
  </si>
  <si>
    <t>SRG-INJ-2884</t>
  </si>
  <si>
    <t>S24FX166308</t>
  </si>
  <si>
    <t>AU311960</t>
  </si>
  <si>
    <t>HASS, HEATHER</t>
  </si>
  <si>
    <t>Top of left foot and toes</t>
  </si>
  <si>
    <t>Team member was lifting role of clear plastic onto holder, plastic slipped and landed on team members left foot</t>
  </si>
  <si>
    <t>SRG-INJ-2792</t>
  </si>
  <si>
    <t>S24HP151434</t>
  </si>
  <si>
    <t>AU328533</t>
  </si>
  <si>
    <t>STAGG, DEBRA</t>
  </si>
  <si>
    <t>team member tripped on ladder</t>
  </si>
  <si>
    <t>SRG-INJ-1933</t>
  </si>
  <si>
    <t>AU231493</t>
  </si>
  <si>
    <t>WINKLER, RHONDA</t>
  </si>
  <si>
    <t>Wrist (left) - Soft tissue injury</t>
  </si>
  <si>
    <t>Rolled ankle off edge of mat behind dew counter and fell on left hand and right knee</t>
  </si>
  <si>
    <t>SRG-INJ-1869</t>
  </si>
  <si>
    <t>S23SD055327</t>
  </si>
  <si>
    <t>AU300954</t>
  </si>
  <si>
    <t>GLENN, JAYDE</t>
  </si>
  <si>
    <t>Back (lower) - Unspecified</t>
  </si>
  <si>
    <t>Pushing Dump Bin across the floor. Twisted and felt a pinch in lower back</t>
  </si>
  <si>
    <t>SRG-INJ-1870</t>
  </si>
  <si>
    <t>AU330842</t>
  </si>
  <si>
    <t>JOHNSON JEFFERIES, HARRISON</t>
  </si>
  <si>
    <t>Pulling a Pallet</t>
  </si>
  <si>
    <t>SRG-INJ-1790</t>
  </si>
  <si>
    <t>S21ML857980</t>
  </si>
  <si>
    <t>AU308870</t>
  </si>
  <si>
    <t>WATT, ADRIAN</t>
  </si>
  <si>
    <t>Umbilical area</t>
  </si>
  <si>
    <t>Team member went to pick up a towel and felt uncomfortable. Team member was holding his stomach throughout the day</t>
  </si>
  <si>
    <t>SRG-INJ-1770</t>
  </si>
  <si>
    <t>AU322260</t>
  </si>
  <si>
    <t>CHISHOLM, REBECCA</t>
  </si>
  <si>
    <t>Rebecca Chisholm (322260) was lifting a cardboard box into the cardboard bin. the item was not heavy, however based on the awkward angle and it just rolled out.</t>
  </si>
  <si>
    <t>SRG-INJ-3109</t>
  </si>
  <si>
    <t>AU220244</t>
  </si>
  <si>
    <t>SURACE, CONCETTA</t>
  </si>
  <si>
    <t>S119</t>
  </si>
  <si>
    <t>Knee and Hip</t>
  </si>
  <si>
    <t>Concetta opened the door heading into the BOH. She tripped over / her foot got caught and she fell forwards/to the side. She hit her Knee and hip. She took pain relief she had and iced and elevated her knee/leg.</t>
  </si>
  <si>
    <t>SRG-INJ-2962</t>
  </si>
  <si>
    <t>AU334139</t>
  </si>
  <si>
    <t>WOOLCOCK, DANIEL</t>
  </si>
  <si>
    <t>team member tripped on a box that was placed next to a bulk stack of sewing machines, he has lost balance and stumbled into the stack of sewing machines, this has caused 2 sewing machines to fall and as they fell hit him on the head.</t>
  </si>
  <si>
    <t>SRG-INJ-2174</t>
  </si>
  <si>
    <t>AU332586</t>
  </si>
  <si>
    <t>HUTCHINGS, KATHRYN</t>
  </si>
  <si>
    <t>Pain on top of right foot.</t>
  </si>
  <si>
    <t>Team member top of right foot hurting more and more through the day. Possibly related to a trip that happened earlier in the month but unsure.</t>
  </si>
  <si>
    <t>SRG-INJ-1842</t>
  </si>
  <si>
    <t>AU226910</t>
  </si>
  <si>
    <t>BUGG, KRISTIE</t>
  </si>
  <si>
    <t>team member was moving some rugs out of a location one one has fallen on to the side of the fixture, this has caused the whole fixture to shift slightly. when the fixture shifted one of the valance bands have fallen from the top and landed on team members head. there was a split in the skin and a fair amount of blood. cleaned it up and aranged for her to be picked up by next of kin to seek meddical attetion.</t>
  </si>
  <si>
    <t>SRG-INJ-1733</t>
  </si>
  <si>
    <t>shoulder blade</t>
  </si>
  <si>
    <t>Concetta lifted a 240cm dual roller blind up from the counter to move it across for a customer to put fabric down on the counter</t>
  </si>
  <si>
    <t>SRG-INJ-1683</t>
  </si>
  <si>
    <t>56543764/00</t>
  </si>
  <si>
    <t>Firstly I want to say thank you for being so compassionate when I was in such a vulnerable state you do amazing at your role.   Run down of what I remember in the moment   Our previous store manager loved us doing a nightly hand over so we all new what was going on in our store and all over the business. I have attached my hand over on sunday night.   I woke monday morning to see tanya removed herself I didn't know why so re added her thinking non the wiser   Today I come into work she asked to chat when I had a free 10 mins. I then went to the office said hey tanya I'm free now before I head out to the shop floor what did you want to chat about.   She instantly raised her voice at me saying she doesn't appreciate my handover attacking her. And that she wasn't made aware of a bag that is sitting in the office or what it was about. I told her with all other leaders what this bag was about as I was going to be on road show. I'm huge on communication. Shes also walked past each day and never asked again like she said she wasn't aware. I calmy responded to say Tanya I'm sorry that you've taken something personal I was never malicious about anything nor was that my intentions and with that she got angry and told me the changes in the roster are an attack on her and I do everything to subbotage her. I said im not having you yell at me you removing yourself from the group was not mature and there was another way to go about it and this is too heated she said im not a fucking saint with that I got heated and said im not dealing with this crap im leaving she said I can get back here now and talk about it I said absolutely not by this stage I cant breathe my lips were knumb im shaking liz (other dtl walked in and i said to her im not doing this and ive left)   Us three leaders had planned to make a time with fiona to chat about our worries we were starting to have and about tanya removing her self from our form of communication however she was headed to Melbourne so we thought best to wait till she's back  Tanya started in April and we welcomed her in with open arms tried supporting her in every way possible like we have with every other store manager we were so excited that we would still have a full leadership team  She started the week before our stock take, on our stocktake we were so unsupported by her and the whole thing feel apart she didn't communicate with us about anything or drive were we were out  Tanya is cold we all walk on egg shells daily, there was three other dtls in that group and ive been victimised and picked out for it.   Us three leaders are left to run the store, our departments and the dock daily while she sits in the office all day  The rosters don't support us in our departments she never discuses with us who's on, people who are untrained are left in departments alone on peak trade.  We arent aloud to make any adjustments to rosters  We arent aloud to read emails  We arent made aware of pallet loads or any other important information our regional shares as tanya doesn't communicate   The only time she has been in my department is because I asked her to look at something I've done  She does not come out on the shop floor and work with the team at all some of them have never even had an interaction with her   She removes shifts from team and doesn't notify them have evidence on the team asking about this also   We have been told to sign in and out if we stay to do extra hours even off our own back because she just got a 30k pay our from woolies for this and it will be coming to spotlight soon. She stays on her own accord.   She legitimately sits in the office all day long.  We are left dealing with all sam tasks etc  A customer didn't have her photo ID for a refund tanya got the lady so worked up she then walked the customer out the store all the way to her car (would be cctv footage of her leaving with her)  All of the above ive just gone about doing my job thinking shes just trying to find her feet but its a true reflection of her as a person  I do not appreciate being verbally attacked and feeling scared in my work place. She has left me in a state of panic I struggled to drive home and I am still shaking. Never in my 12 years at spotlight or 6 years as a Dtl have I had confrontation or anyone feel like I'm attacking them as a person. I'm passionate about my role and the people I wear my heart on my sleeve and I'm really hurt by this.   Thanks Samara  Sent from the Connect for Hotmail app</t>
  </si>
  <si>
    <t>SRG-INJ-2223</t>
  </si>
  <si>
    <t>AU221592</t>
  </si>
  <si>
    <t>HARRISON, DEBRA</t>
  </si>
  <si>
    <t>S120</t>
  </si>
  <si>
    <t>Right Elbow Wrist Knee ankle</t>
  </si>
  <si>
    <t>Staff member was delivering click and collect to front counter. Whilst assigning caught foot in little footstool behind counter and fell heavily behind the counter. First aide trained .Manager called and staff member had gotten up and was sitting on a stepper near layby room. Manager checked staff member who was complaining of sore elbow, wrist, knee an ankle down right side of the body. Staff member  escorted to office where first aide was administered in the way of ice packs, elevation of leg and pain relief. Staff members daughter called and came and picked her up from despatch exit. Staff member indicated she would be seeking medical consultation.</t>
  </si>
  <si>
    <t>SRG-INJ-3406</t>
  </si>
  <si>
    <t>AU332362</t>
  </si>
  <si>
    <t>KEMP, LOGAN</t>
  </si>
  <si>
    <t>S121</t>
  </si>
  <si>
    <t>Miranda</t>
  </si>
  <si>
    <t>Right rib cage</t>
  </si>
  <si>
    <t>Logan was putting rubbish into the bins on the dock. He has gone to put his foot on the side of the bin and slipped</t>
  </si>
  <si>
    <t>SRG-INJ-3326</t>
  </si>
  <si>
    <t>AU230627</t>
  </si>
  <si>
    <t>SAEZ, ALEJANDRA</t>
  </si>
  <si>
    <t>Lower right hand side of Back</t>
  </si>
  <si>
    <t>I felt a strange sensation in my lower right back while placing a roll on the fabric shelf. I experienced the same feeling again with the second roll. Initially, the pain wasnâ€™t severe, but after walking home (3 km), the pain intensified. After a shower and ice, it didnâ€™t improve. I saw a doctor the</t>
  </si>
  <si>
    <t>SRG-INJ-3311</t>
  </si>
  <si>
    <t>AU331105</t>
  </si>
  <si>
    <t>KEMP, COLLEEN</t>
  </si>
  <si>
    <t>lower back, left hip and leg</t>
  </si>
  <si>
    <t>On January 4th, I felt pain in my lower back and left hip, which worsened and spread down my leg. After an ineffective massage, I saw my doctor, who prescribed pain relief and recommended a CT scan if it doesn't improve in two weeks.</t>
  </si>
  <si>
    <t>SRG-INJ-2939</t>
  </si>
  <si>
    <t>AU227236</t>
  </si>
  <si>
    <t>MCLAUGHLIN, SCOTT</t>
  </si>
  <si>
    <t>arm (upper) - blood test area</t>
  </si>
  <si>
    <t>I was working on the outdoor blinds. While doing so the track has hit the top RB bar that holds the Furnishing Display signs, and it has come shooting at me quite fast in the arm It is sore and it does hurt lifting from the arm but again maybe because its just happened.</t>
  </si>
  <si>
    <t>SRG-INJ-2914</t>
  </si>
  <si>
    <t>AU309803</t>
  </si>
  <si>
    <t>AKTER, ROKEYA</t>
  </si>
  <si>
    <t xml:space="preserve">Seema was taking ffurnishing fabric from the counter to put back onto the shop floor. So when carying the fabric and turned around headed towards Custom Made and had to go through a gap . Seema hit her elbow on the metal hinge of one of the tables quite heavily. </t>
  </si>
  <si>
    <t>SRG-INJ-2634</t>
  </si>
  <si>
    <t>Have pulled something in left shoulder while getting stock out of Eco Bin and transfering it onto a cage in the back dock</t>
  </si>
  <si>
    <t>SRG-INJ-2209</t>
  </si>
  <si>
    <t>AU230512</t>
  </si>
  <si>
    <t>CHARALAMBOUS, ANTHIE</t>
  </si>
  <si>
    <t>In the process of pulling out Gas Cylinder 300 Tank and the tank caught the bottom rail and I went backwards with force</t>
  </si>
  <si>
    <t>SRG-INJ-3466</t>
  </si>
  <si>
    <t>G7508115</t>
  </si>
  <si>
    <t>AU234177</t>
  </si>
  <si>
    <t>ROSE, KAREN</t>
  </si>
  <si>
    <t>S122</t>
  </si>
  <si>
    <t>Cockburn</t>
  </si>
  <si>
    <t>Shoulder injury, TM felt a twisting sensation after lifting 5 grazing boxes across the top of a fixture.</t>
  </si>
  <si>
    <t>Team member was lifting grazing boxes from shelf and moving them to counter when noticed her shoulder suddenly felt as if it had been twisted.</t>
  </si>
  <si>
    <t>SRG-INJ-3319</t>
  </si>
  <si>
    <t>AU338379</t>
  </si>
  <si>
    <t>JACKSON, ANTHEA</t>
  </si>
  <si>
    <t>Back of the Left Hand</t>
  </si>
  <si>
    <t>pulling the cage backwards and jammed the hand between that and another cage</t>
  </si>
  <si>
    <t>SRG-INJ-3223</t>
  </si>
  <si>
    <t>AU328226</t>
  </si>
  <si>
    <t>RUSSELL, LISA</t>
  </si>
  <si>
    <t>right top forearm</t>
  </si>
  <si>
    <t>Lisa was opening office door when a merch pole that was sitting right beside outside of door fell into her arm leaving a large gash</t>
  </si>
  <si>
    <t>SRG-INJ-2838</t>
  </si>
  <si>
    <t>AU334461</t>
  </si>
  <si>
    <t>TREHAN, ASHWIN</t>
  </si>
  <si>
    <t>strain on left arm, just above the elbow</t>
  </si>
  <si>
    <t>Ashwin was putting away some Caine Gummerson curtains on the high shelf when he felt a pull in his upper left arm,</t>
  </si>
  <si>
    <t>SRG-INJ-2722</t>
  </si>
  <si>
    <t>AU225574</t>
  </si>
  <si>
    <t>CLARK, WENDY-ANNE</t>
  </si>
  <si>
    <t>back pain from repetitive lifting rugs onto sloped shelving</t>
  </si>
  <si>
    <t>Lisa and I were setting up the clearance for Rugs sale. We had 4 pallets of overstocked rugs and full shelves. We had to pull every single rug out, unwrap and place in its home. Some of the wool rugs especially were very heavy and with the amount of rugs we moved and the tight fitting spaces they needed to go, I tweaked my back getting them all fitted.</t>
  </si>
  <si>
    <t>SRG-INJ-2525</t>
  </si>
  <si>
    <t>AU308872</t>
  </si>
  <si>
    <t>KOP, HUNTER</t>
  </si>
  <si>
    <t>cut slice to finger</t>
  </si>
  <si>
    <t>Team Member sliced pinky finger on sticky tape dispenser</t>
  </si>
  <si>
    <t>SRG-INJ-2433</t>
  </si>
  <si>
    <t>AU329287</t>
  </si>
  <si>
    <t>GLORIE, KASSANDRA</t>
  </si>
  <si>
    <t>MIDDLE 3 FINGERS BENT BACK OF ONE HAND. UNKNOWN WHICH HAND</t>
  </si>
  <si>
    <t>ADVISED BY KIM DREW THAT AS KASSANDRA GLORIE WAS PUTTING SHEETS IN  MANCHESTER SECTION  THAT SHE BENT HER 3 MIDDLE FINGERS BACK ON A STAND UP CAGE. SHE ADVISED KIM THAT SHE HURT HERSELF AND KIM TOLD HER TO GO AND ICE HER HAND 10 MINUTES ON 10 OFF IN THE STAFF TEA ROOM. THAT WAS APPROX 4.50PM. IT WAS NOT UNTIL 7PM WHEN THE NIGHTFILL TEAM SUPERVISOR WAS ROUNDING ALL THE TEAM UP TO START CLEANING FOR THE EVENING THAT IT WAS NOTICED KASSANDRA WAS NOT IN STORE. KIM WENT TO THE CCTV FOOTAGE TO FIND THAT KASSANDRA HAD EXITED THE STORE AT 5.10PM WITHOUT ADVISING ANYONE SHE WAS LEAVING FOR HOME.</t>
  </si>
  <si>
    <t>SRG-INJ-2294</t>
  </si>
  <si>
    <t>Jake pulled a rollcage out for me to work,I bent down at a box fell and hit my left shoulder.</t>
  </si>
  <si>
    <t>SRG-INJ-2269</t>
  </si>
  <si>
    <t>Sharp pain to the left ankle</t>
  </si>
  <si>
    <t>was unloading a cardboard pallet and I couldn't reach the bottom. I cut the sides so i could get into the pallet and the cardboard was not folding forward. I used my foot to push the cardboard flap as I have a sore back and my left ankle twisted</t>
  </si>
  <si>
    <t>SRG-INJ-2171</t>
  </si>
  <si>
    <t>AU327929</t>
  </si>
  <si>
    <t>DREW, KIM</t>
  </si>
  <si>
    <t>head contacted walkie stacker above the right eye</t>
  </si>
  <si>
    <t>putting the seasonal racks into shelving boxes bent down to pickup shelf and hit head on the left hand side of the walkie stacker on the right side of the head just above the right eye</t>
  </si>
  <si>
    <t>SRG-INJ-1989</t>
  </si>
  <si>
    <t>AU307400</t>
  </si>
  <si>
    <t>HENDERSON, CAITLYN</t>
  </si>
  <si>
    <t>sticky tape dispenser fell and tried to catch it impulsively</t>
  </si>
  <si>
    <t>SRG-INJ-1882</t>
  </si>
  <si>
    <t>AU238421</t>
  </si>
  <si>
    <t>FOOTER, JAKE</t>
  </si>
  <si>
    <t>tight strain in shoulder. sharp pain in the elbow and pulsating fingers.</t>
  </si>
  <si>
    <t>lifted venetian out of bay and shoulder seized up in severe pain couldn't move arm for 15 minutes still in pain don't have full movement in arm shoulder and elbow sore fingers feel like there pulsating</t>
  </si>
  <si>
    <t>SRG-INJ-1606</t>
  </si>
  <si>
    <t>pulled muscle/sprain wrist</t>
  </si>
  <si>
    <t>Pulled muscle in right hand carrying pallet wrap/sticky tape from office works back to store</t>
  </si>
  <si>
    <t>SRG-INJ-3351</t>
  </si>
  <si>
    <t>AU206557</t>
  </si>
  <si>
    <t>LESLIE, ELIZABETH</t>
  </si>
  <si>
    <t>S123</t>
  </si>
  <si>
    <t>cut on head just above hairline in the hair</t>
  </si>
  <si>
    <t>Liz was climbing up ladder to put up wall art up and has hit her head on the door frame of the click and collect bay has small cut on her forehead (in her hair just above her hair line), has a sore neck both sides and a headache.</t>
  </si>
  <si>
    <t>SRG-INJ-2921</t>
  </si>
  <si>
    <t>Elizabeth went up a ladder to fill up the wall art. in click and collect bay</t>
  </si>
  <si>
    <t>SRG-INJ-2854</t>
  </si>
  <si>
    <t>AU200160</t>
  </si>
  <si>
    <t>LOUTTIT, TAMMY-LEE</t>
  </si>
  <si>
    <t>After emptying a black bin, Putting the sides down and it got stuck and thumb bent backwards with instant pain</t>
  </si>
  <si>
    <t>SRG-INJ-2457</t>
  </si>
  <si>
    <t>AU305099</t>
  </si>
  <si>
    <t>WHYTCROSS, TAYLAH</t>
  </si>
  <si>
    <t>Lower right hand side of the back</t>
  </si>
  <si>
    <t>In despatch, filling printer with paper for Ecommerce, closed the printer and a box fell from the shelf above and hit Taylah on the lower right hand side of the back</t>
  </si>
  <si>
    <t>SRG-INJ-1848</t>
  </si>
  <si>
    <t>AU305057</t>
  </si>
  <si>
    <t>BUTLER, KIM</t>
  </si>
  <si>
    <t>Kim Butler was walking between pallets and stepped onto board with a nail sticking up</t>
  </si>
  <si>
    <t>SRG-INJ-3240</t>
  </si>
  <si>
    <t>AU212594</t>
  </si>
  <si>
    <t>ILEY, JENNIFER</t>
  </si>
  <si>
    <t>S124</t>
  </si>
  <si>
    <t>Albert Park</t>
  </si>
  <si>
    <t>Hit top of the head with large blinds falling forward.</t>
  </si>
  <si>
    <t>Jennie pulled out a blind for a click &amp; collect, and once the one was pulled out, all of the blinds fell forward hitting Jennie in the head.  Jennie was hit in the top of the head.  After the event, Jennie sat down and had some water and panadol and took some time off the shop floor.</t>
  </si>
  <si>
    <t>SRG-INJ-3089</t>
  </si>
  <si>
    <t>pulled shoulder muscle</t>
  </si>
  <si>
    <t>Jennie was measuring some plastic from a roll of the tabletones and potentially pulled a muscle.</t>
  </si>
  <si>
    <t>SRG-INJ-2901</t>
  </si>
  <si>
    <t>AU234663</t>
  </si>
  <si>
    <t>CHISHOLM, JENNIFER</t>
  </si>
  <si>
    <t>left side of the forehead  cardboard hit head</t>
  </si>
  <si>
    <t>pallet cardboard casing box, bounced up and hit her on the forehead as she was leaning in to get carton out</t>
  </si>
  <si>
    <t>SRG-INJ-2618</t>
  </si>
  <si>
    <t>AU316453</t>
  </si>
  <si>
    <t>MACHADO, SELBEE</t>
  </si>
  <si>
    <t>right wrist sore</t>
  </si>
  <si>
    <t>She was moving shelf level to planagram</t>
  </si>
  <si>
    <t>SRG-INJ-2591</t>
  </si>
  <si>
    <t>bruising to the back of both upper arm</t>
  </si>
  <si>
    <t>lost balance while walking though despatch as walkway was very narrow due to pallets and stock and fell in to the Custom made bay resulting in bruising on back of both upper arms.</t>
  </si>
  <si>
    <t>SRG-INJ-2506</t>
  </si>
  <si>
    <t>AU321519</t>
  </si>
  <si>
    <t>WAYE, CAROLINE</t>
  </si>
  <si>
    <t>right hand knuckles graze</t>
  </si>
  <si>
    <t>holding dip rails as pushing passing a pallet on the dock floor right hand knuckles were jammed between the rail and pallet</t>
  </si>
  <si>
    <t>SRG-INJ-1972</t>
  </si>
  <si>
    <t>While filling Sheers on the ladder in the furnishing department, she missed a step and resulted in jolting her shoulder.</t>
  </si>
  <si>
    <t>SRG-INJ-1697</t>
  </si>
  <si>
    <t>56806531/00</t>
  </si>
  <si>
    <t>Left hand bruised</t>
  </si>
  <si>
    <t>Team member had her hand crushed between to objects (two dips)</t>
  </si>
  <si>
    <t>SRG-INJ-1654</t>
  </si>
  <si>
    <t>AU312646</t>
  </si>
  <si>
    <t>SAVELLI, BIANCA</t>
  </si>
  <si>
    <t>Fell down on left side R ankle, L Knee</t>
  </si>
  <si>
    <t>Bianca and Caroline were lifting a box of black racking, when Bianca tripped over the pallet jack while walking with the box.</t>
  </si>
  <si>
    <t>SRG-INJ-1572</t>
  </si>
  <si>
    <t>Hit by small ladder when moved, ladder opened unexpectedly.</t>
  </si>
  <si>
    <t>Jenny was in the back office (ecom room) and moved the small ladder which open and dropped on her hand. Within 5 minutes of the incident, there was a visible lump on the soft part of the thumb.</t>
  </si>
  <si>
    <t>SRG-INJ-3377</t>
  </si>
  <si>
    <t>AU335716</t>
  </si>
  <si>
    <t>ALSAMANI, CHRESTINA</t>
  </si>
  <si>
    <t>S125</t>
  </si>
  <si>
    <t>Wetherill Park</t>
  </si>
  <si>
    <t>right hand side of her head</t>
  </si>
  <si>
    <t>team member was trying to close the cage.  The top shelve of the cage was not secured and while Chrestina was trying to close the bottom shelve the top shelf fell on her hitting her right side of the head.</t>
  </si>
  <si>
    <t>SRG-INJ-3224</t>
  </si>
  <si>
    <t>AU309793</t>
  </si>
  <si>
    <t>HARN, MAUREEN</t>
  </si>
  <si>
    <t>Sprain and bruising</t>
  </si>
  <si>
    <t>Maureen was decending the ladder and slipped for the last 3 steps and twisted her ankle</t>
  </si>
  <si>
    <t>SRG-INJ-3149</t>
  </si>
  <si>
    <t>AU333081</t>
  </si>
  <si>
    <t>SALEEM, ASTEER</t>
  </si>
  <si>
    <t>Whilst working, the parcels was on the way caused a hazzard for me to trip and hurt my hand, Now it is slightly swollen.</t>
  </si>
  <si>
    <t>SRG-INJ-3048</t>
  </si>
  <si>
    <t>AU331291</t>
  </si>
  <si>
    <t>BOOLE-VAN LENTE, MIEKE</t>
  </si>
  <si>
    <t>The VIP search engine had an upgrade overnight and due to this it was taking longer to find VIP customers and some we had to get extra details for. A lot of customers got frustrated, angry and abusive. MJ went into a panic attack from the abuse and could not go back on the shop floor.</t>
  </si>
  <si>
    <t>SRG-INJ-2943</t>
  </si>
  <si>
    <t>AU333798</t>
  </si>
  <si>
    <t>JIMENEZ-LIEBS, JYRAN</t>
  </si>
  <si>
    <t>While opening the stock box from the stock cage, Jyran's elbow came in contact with the metal part of the cage. Jyran was force pulling the box out and, in the process, he hit the edge of the cage.</t>
  </si>
  <si>
    <t>SRG-INJ-2808</t>
  </si>
  <si>
    <t>AU314108</t>
  </si>
  <si>
    <t>ODISHO, CHRISTINA</t>
  </si>
  <si>
    <t>pinky finger right hand</t>
  </si>
  <si>
    <t>Was breaking down the box for the eccom parcel and snipped my pinky finger while opening the bundle</t>
  </si>
  <si>
    <t>SRG-INJ-2755</t>
  </si>
  <si>
    <t>thigh</t>
  </si>
  <si>
    <t>Maureen was getting a box from a shelf and a box of drinks fell off a different shelf and hit her leg. The point of impact was Maureen's cyst.</t>
  </si>
  <si>
    <t>SRG-INJ-2664</t>
  </si>
  <si>
    <t>AU211442</t>
  </si>
  <si>
    <t>ALI, RAZIA</t>
  </si>
  <si>
    <t>left leg knee</t>
  </si>
  <si>
    <t>I was re merchandising the storage section and was lifting the 1200 wide shelf (heavy) coming down the ladder my knee twisted a bit as I was trying to control the shelf so that it does not fall.  I didn't feel any pain then but when i finished for the day went home the next morning i was unable to bend my left knee.</t>
  </si>
  <si>
    <t>SRG-INJ-2419</t>
  </si>
  <si>
    <t>rleft hand side hand/shoulder</t>
  </si>
  <si>
    <t>team member was serving customer who wanted to buy dinner set and Maureen tried to lift, and the dinner set slipped of her hands. She was in pain few minutes later and had her hand on the side, still lifting couple of light weights items.  She has got a minimum pain in her left shoulder at the back.  While doing movement of her arms she feels its heavy and unable to make a full grip because she does suffer from athetize and had been wearing a compression glove.</t>
  </si>
  <si>
    <t>SRG-INJ-2035</t>
  </si>
  <si>
    <t>AU331288</t>
  </si>
  <si>
    <t>YOKHANNA, KARMEN</t>
  </si>
  <si>
    <t>Staff Member was cleaning up the front entry, and whilst she was going back to the front register she tripped and twisted her ankle</t>
  </si>
  <si>
    <t>SRG-INJ-1810</t>
  </si>
  <si>
    <t>AU209364</t>
  </si>
  <si>
    <t>RYAN, OLGA</t>
  </si>
  <si>
    <t>right hand pinkie finger</t>
  </si>
  <si>
    <t>team member was pushing online trolley to online room.  Olga was in front and she got her right pinky finger got jammed between trolley and counter.</t>
  </si>
  <si>
    <t>SRG-INJ-1805</t>
  </si>
  <si>
    <t>AU324587</t>
  </si>
  <si>
    <t>NAMOUR, MARY</t>
  </si>
  <si>
    <t>was holding loose curtain heading towards furnishings counter and tripped over the end of the curtain. Fell flat on my knees and chest.</t>
  </si>
  <si>
    <t>SRG-INJ-2502</t>
  </si>
  <si>
    <t>AU225517</t>
  </si>
  <si>
    <t>LEWIS, JULIE</t>
  </si>
  <si>
    <t>S127</t>
  </si>
  <si>
    <t>Ballina</t>
  </si>
  <si>
    <t>Ashlee Grant messaged me Wednesday morning and said she had been pushing a cage off the floor and caught the top of her hand on a curtain rod.</t>
  </si>
  <si>
    <t>SRG-INJ-2469</t>
  </si>
  <si>
    <t>AU324485</t>
  </si>
  <si>
    <t>SALES, KERRY</t>
  </si>
  <si>
    <t>Depression - Psycological Injury following resignation</t>
  </si>
  <si>
    <t>Team member alleges bullying/harassment over a 12 month period</t>
  </si>
  <si>
    <t>Depression</t>
  </si>
  <si>
    <t>SRG-INJ-2126</t>
  </si>
  <si>
    <t>AU311561</t>
  </si>
  <si>
    <t>STEWART, NAOMI</t>
  </si>
  <si>
    <t>Bullying - I have a list written of things that have been said about me and to me</t>
  </si>
  <si>
    <t>Bullying</t>
  </si>
  <si>
    <t>SRG-INJ-2889</t>
  </si>
  <si>
    <t>AU302360</t>
  </si>
  <si>
    <t>ANDREWS, NICHOLAS</t>
  </si>
  <si>
    <t>S129</t>
  </si>
  <si>
    <t>Springfield</t>
  </si>
  <si>
    <t>LEFT HAND THUMB</t>
  </si>
  <si>
    <t>Putting a curtain sample onto a sticker  bar an then as I went to put the sticker bar back in-between the grids. Sticker bar was stock used force to push sticker bar into place, sticker bar flung out and hit Nicholas in the left thumb.</t>
  </si>
  <si>
    <t>SRG-INJ-2877</t>
  </si>
  <si>
    <t>AU307327</t>
  </si>
  <si>
    <t>LOCK, MATTHEW</t>
  </si>
  <si>
    <t>Team Member Matthew Lock reported by phone that he slipped on some plastic and landed against a pallet of stock on this shoulder</t>
  </si>
  <si>
    <t>SRG-INJ-2482</t>
  </si>
  <si>
    <t>AU332282</t>
  </si>
  <si>
    <t>HANCOCK, TRACY</t>
  </si>
  <si>
    <t>left hand, chest, nose</t>
  </si>
  <si>
    <t>Team member was carrying items for a Click and Collect and tripped over a box that had fallen across the floor.</t>
  </si>
  <si>
    <t>SRG-INJ-2101</t>
  </si>
  <si>
    <t>Finger (left - ring) -  Laceration</t>
  </si>
  <si>
    <t>Putting a shelf back in the fixture racking. Broken plastic riser cut finger while sliding shelf into racking</t>
  </si>
  <si>
    <t>SRG-INJ-1925</t>
  </si>
  <si>
    <t>AU307742</t>
  </si>
  <si>
    <t>JEEAWODY, MAYA</t>
  </si>
  <si>
    <t>Foot (right - side and bottom) - Unspecified</t>
  </si>
  <si>
    <t>Maya stood on a box trying to reach an item at height. She stepped off the box and landed on the side of her foot.</t>
  </si>
  <si>
    <t>SRG-INJ-1758</t>
  </si>
  <si>
    <t>right elbow</t>
  </si>
  <si>
    <t>Grabbing box off top of pallet, box was heavier than appeared. box hit elbow causing elbow to bed the wrong way. Box put pressure on arm</t>
  </si>
  <si>
    <t>SRG-INJ-1727</t>
  </si>
  <si>
    <t>AU227285</t>
  </si>
  <si>
    <t>ALEXANDER, LUCAS</t>
  </si>
  <si>
    <t>Right shin</t>
  </si>
  <si>
    <t>Lucas Alexander was de cluttering the training room. I slid the large conference table towards myself so I was able to clean behind the table. The table leg fell apart and smashed against my right shin. I checked my leg, its swollen, bleeding and browsed. I currently have a limp.</t>
  </si>
  <si>
    <t>SRG-INJ-3551</t>
  </si>
  <si>
    <t>AU206960</t>
  </si>
  <si>
    <t>LOVELL, REBECCA</t>
  </si>
  <si>
    <t>S131</t>
  </si>
  <si>
    <t>Capalaba</t>
  </si>
  <si>
    <t>top right hand bruised</t>
  </si>
  <si>
    <t>was retuning fabric to returns spill and bumped to top of my hand on the corner of the metal side. this was the same injured hand from a few weeks ago so is still sensitive.</t>
  </si>
  <si>
    <t>SRG-INJ-3493</t>
  </si>
  <si>
    <t>AU326152</t>
  </si>
  <si>
    <t>READ, TAYLAH</t>
  </si>
  <si>
    <t>right hand strained</t>
  </si>
  <si>
    <t>Taylah said she picked up a box and it slipped causing a pain to shoot through her right hand. she said the cage did not have the lock in place.</t>
  </si>
  <si>
    <t>SRG-INJ-3473</t>
  </si>
  <si>
    <t>knees, right wrist/palm, lower back and right hip</t>
  </si>
  <si>
    <t>I was re rolling fabric and I was walking to other side of desk when fabric that I had just sorted to rolled was caught under my foot and I slipped on the tulle fabric causing myself to land on my knees and right wrist causing bruising. it also has aggravated my hip and lower back</t>
  </si>
  <si>
    <t>SRG-INJ-3163</t>
  </si>
  <si>
    <t>AU305588</t>
  </si>
  <si>
    <t>CROWN, LEILANI</t>
  </si>
  <si>
    <t>Sprained left ankle</t>
  </si>
  <si>
    <t>Lani twisted her ankle while taking a step.</t>
  </si>
  <si>
    <t>SRG-INJ-3135</t>
  </si>
  <si>
    <t>AU320893</t>
  </si>
  <si>
    <t>SMITH, KATRINA</t>
  </si>
  <si>
    <t>Christmas Work function. playing putt putt, team member Glenda tripped behind Katrina landing on her which pushed Katrina forward which she then tripped on a boulder causing her to fall over and scrape her knee. Katrina has stated no other injuries seem apparent atm. have advised her over the next couple of days if she believes anything is related to the fall to seek medical advise.</t>
  </si>
  <si>
    <t>SRG-INJ-2984</t>
  </si>
  <si>
    <t>Cut to right thumb due to applying pressure to sharp edge of acrylic</t>
  </si>
  <si>
    <t>Leilani Crown was kneeling down to get stock for a customer and used her hand to steady herself, which a broken piece of acrylic stabbed her right thumb.</t>
  </si>
  <si>
    <t>SRG-INJ-2975</t>
  </si>
  <si>
    <t>S24FJ173927</t>
  </si>
  <si>
    <t>AU312145</t>
  </si>
  <si>
    <t>DALE, SUSAN</t>
  </si>
  <si>
    <t>left hand/wrist</t>
  </si>
  <si>
    <t>sue was picking up a roll of fabric and heard a sound and is now sore</t>
  </si>
  <si>
    <t>SRG-INJ-2969</t>
  </si>
  <si>
    <t>Slight cut to the index finger with a paint scraper</t>
  </si>
  <si>
    <t>Was scrapping gum off of a shelf and had the scrapper at a bad angle and slipped and hit her finger with the blade.</t>
  </si>
  <si>
    <t>SRG-INJ-2954</t>
  </si>
  <si>
    <t>S24UU179537</t>
  </si>
  <si>
    <t>Sprained strained wrist</t>
  </si>
  <si>
    <t>Taylah was working reset and lifted a box she immediately felt like it dislocated (but didn't) she has a wrist strain/sprain</t>
  </si>
  <si>
    <t>SRG-INJ-2885</t>
  </si>
  <si>
    <t>AU323859</t>
  </si>
  <si>
    <t>WEST, Jennifer</t>
  </si>
  <si>
    <t>Team Member Jennifer was rolling fabric when fabric got caught on roller causing fabric to tangle around thumb and pull thumb into roller. this has caused slight swelling and slight bruising. have advised team member if swelling continues to get xray but at this stage we do not believe it is necessary.  ice pack was given to team member and thumb iced for 15 min</t>
  </si>
  <si>
    <t>SRG-INJ-2545</t>
  </si>
  <si>
    <t>AU298818</t>
  </si>
  <si>
    <t>BRENNAN, LEE</t>
  </si>
  <si>
    <t>pallet jack ran into left foot and slightly lifted left big toe</t>
  </si>
  <si>
    <t>SRG-INJ-2467</t>
  </si>
  <si>
    <t>AU234186</t>
  </si>
  <si>
    <t>SCHAFER, KYLIE</t>
  </si>
  <si>
    <t>moving stock cage outside in preparation for todays load when ankle hit against other cage</t>
  </si>
  <si>
    <t>SRG-INJ-2330</t>
  </si>
  <si>
    <t>AU308558</t>
  </si>
  <si>
    <t>SMITH, DONNA</t>
  </si>
  <si>
    <t>Thigh (R) - Puncture wound (dog bite) / laceration / contusion and bruising</t>
  </si>
  <si>
    <t>Donna Custom Made Consultant was visiting a client at her house customer opened electric gate she drove in and customer came out to greet her some minutes later outside the dog came out of house was uncontrollable and bit Donna on the back right thigh just above knee. breaking skin slightly at top of scratch causing a 7 cm scratch down her leg and a lump under the break of skin and considerable bruising.</t>
  </si>
  <si>
    <t>SRG-INJ-2264</t>
  </si>
  <si>
    <t>AU325066</t>
  </si>
  <si>
    <t>MORRIS, HELEN</t>
  </si>
  <si>
    <t>Its been raining all morning. Helen slipped while entering the front door. She had slipped on the floor just after the mat at the front door.</t>
  </si>
  <si>
    <t>SRG-INJ-1945</t>
  </si>
  <si>
    <t>Knee (right) / Foot (right) - Unspecified</t>
  </si>
  <si>
    <t>Sue was getting ready to cut fabric and the fabric rolled and fell of table and hit her right knee and then landed on her foot.</t>
  </si>
  <si>
    <t>SRG-INJ-1946</t>
  </si>
  <si>
    <t>Knee (right) - Unspecified</t>
  </si>
  <si>
    <t>Sue picked up a roll of sheer fabric and turned around to show customer. As she turned the fabric was unrolled and she stood on the fabric and slipped proceeding into the splits.</t>
  </si>
  <si>
    <t>SRG-INJ-1843</t>
  </si>
  <si>
    <t>AU227186</t>
  </si>
  <si>
    <t>COMERFORD, KAREN</t>
  </si>
  <si>
    <t>Ankle (left) - Unspecified</t>
  </si>
  <si>
    <t>team member walking and hit ankle on dump bin base on floor</t>
  </si>
  <si>
    <t>SRG-INJ-1700</t>
  </si>
  <si>
    <t>AU238688</t>
  </si>
  <si>
    <t>GIDDINS, LAUREN</t>
  </si>
  <si>
    <t>team member was carrying an overlocker for a customer and the bottom part of the box hit the paper pattern filling cabinet causing it to jar her back</t>
  </si>
  <si>
    <t>SRG-INJ-3080</t>
  </si>
  <si>
    <t>AU236321</t>
  </si>
  <si>
    <t>O'NEILL, JESSICA</t>
  </si>
  <si>
    <t>S132</t>
  </si>
  <si>
    <t>Wangaratta</t>
  </si>
  <si>
    <t>Left Hip</t>
  </si>
  <si>
    <t>Team member working stock as normal. Team member bent down slightly to place a packet of curtains under a table, appears concerned, stops and then resumes work. After a minute or so, team member then stops again and leans back on eco bins holding left hip. Team member continued to walk around, work and bend down through out the rest of her shift. Team member told several other team members of the incident before coming to management. When team member approached management with her concern she stated she had 'popped' her hip out and she's 'just letting us know'. She resumed work as normal for the rest of the shift.</t>
  </si>
  <si>
    <t>SRG-INJ-2947</t>
  </si>
  <si>
    <t>Rolled right ankle</t>
  </si>
  <si>
    <t>Team member rolled her foot on itself and fell, twisting her ankle. Nothing was tripped over and there was no tripping hazard. She was able to walk after the incident.</t>
  </si>
  <si>
    <t>SRG-INJ-1941</t>
  </si>
  <si>
    <t>Bruise on left shin &amp; sore left wrist</t>
  </si>
  <si>
    <t>Team member was putting away shelving from a completed planogram. Lost balance and fell over the forks of the walkie stacker. Team member explains that it was simply a loss of balance that caused her to fall.</t>
  </si>
  <si>
    <t>SRG-INJ-3361</t>
  </si>
  <si>
    <t>AU230371</t>
  </si>
  <si>
    <t>MURPHY, CATHERINE</t>
  </si>
  <si>
    <t>S135</t>
  </si>
  <si>
    <t>Cranbourne</t>
  </si>
  <si>
    <t>Team member was helping the fitter to get the fitter's run ready and a heavy blind box fell on her head</t>
  </si>
  <si>
    <t>SRG-INJ-3101</t>
  </si>
  <si>
    <t>AU329742</t>
  </si>
  <si>
    <t>PANTOURS, SHARIFAH</t>
  </si>
  <si>
    <t>Shari was putting yarn overstocks on the racking and accidently hit her head against the shelf</t>
  </si>
  <si>
    <t>SRG-INJ-2989</t>
  </si>
  <si>
    <t>AU323788</t>
  </si>
  <si>
    <t>THOMAS, AARON</t>
  </si>
  <si>
    <t>Foot</t>
  </si>
  <si>
    <t>Aaron was helping to pull out the Black Promotional racks from the wooden crate.  One of the wooden planks from the crate that was pulled out had nails on it's sides.  In the process of pulling the racks, Aaron accidentally stepped on one of the nails</t>
  </si>
  <si>
    <t>SRG-INJ-2663</t>
  </si>
  <si>
    <t>AU239773</t>
  </si>
  <si>
    <t>HUMBLE, SEAN</t>
  </si>
  <si>
    <t>RIGHT HAND INDEX FINGER</t>
  </si>
  <si>
    <t>Team member was working on a relay on one of the promo ends in furnishings department and his finger got jammed in between the fixture and the railing</t>
  </si>
  <si>
    <t>SRG-INJ-2589</t>
  </si>
  <si>
    <t>AU318062</t>
  </si>
  <si>
    <t>DE SILVA, LATHTHUWAHANDI SHASHIKA</t>
  </si>
  <si>
    <t>Right side of forehead / Swelling</t>
  </si>
  <si>
    <t>Sashi was going to get a cutter from the dispatch table.  There was a standing trolley on her right. She stepped on the base of the trolley which then moved and the top part of the trolley hit the corner of the forehead quite hard.  Sashi came into tearoom to nurse the swelling on the right side of her forehead.  She was in tears due to the pain and quite shook up by the incident. We took out some ice from the freezer to hold it over the swelling on her forehead.  Photos of the injury attached</t>
  </si>
  <si>
    <t>SRG-INJ-2421</t>
  </si>
  <si>
    <t>While moving Cages finger was jammed between an already placed cage and the cage that was moving</t>
  </si>
  <si>
    <t>SRG-INJ-3082</t>
  </si>
  <si>
    <t>AU298625</t>
  </si>
  <si>
    <t>TORRESAN, LOUISE</t>
  </si>
  <si>
    <t>S136</t>
  </si>
  <si>
    <t>Griffith</t>
  </si>
  <si>
    <t>Team member hit back of her head on fire hose real when standing up from picking up item.</t>
  </si>
  <si>
    <t>Team Member was filling stock when a plastic container fell off the shelf and on to the floor. The team member went to pick it up, and dropped it a second time and it slid further away. When team member finally picked it up on the second attempt they hit the back of their head on the Fire Hose Real.</t>
  </si>
  <si>
    <t>SRG-INJ-2978</t>
  </si>
  <si>
    <t>Team member sustained a laceration to the top of her hand from jamming her right hand when pulling a stock cage</t>
  </si>
  <si>
    <t>Team member was pulling a stock cage and her hand got stuck between cage and white roof support pole</t>
  </si>
  <si>
    <t>SRG-INJ-2959</t>
  </si>
  <si>
    <t>AU297914</t>
  </si>
  <si>
    <t>SULLY, LISA</t>
  </si>
  <si>
    <t>Team member was lifting a blind out of a Euro bin while breaking down the load when her right shoulder popped out and back in again.</t>
  </si>
  <si>
    <t>SRG-INJ-2756</t>
  </si>
  <si>
    <t>AU230774</t>
  </si>
  <si>
    <t>YATES, SKY</t>
  </si>
  <si>
    <t>Cut to left pointer finger</t>
  </si>
  <si>
    <t>Team Member was assembling the seasonal black racks for Book week when she cut her finger on a sharp edge of one of the fixtures</t>
  </si>
  <si>
    <t>SRG-INJ-2603</t>
  </si>
  <si>
    <t>Lisa was zapped in her left ear from Motorola headpiece, the headpiece has no exposed wires.</t>
  </si>
  <si>
    <t>Lisa got zapped from ear piece, there is no visible damage on piece. Lisa has a red mark down the side of her face on her left side, I asked her if she wanted to go to Hospital and she said she would be okay.</t>
  </si>
  <si>
    <t>SRG-INJ-2389</t>
  </si>
  <si>
    <t>AU298274</t>
  </si>
  <si>
    <t>MCGARRY, MARC</t>
  </si>
  <si>
    <t>Cut to Left palm by carton cutter</t>
  </si>
  <si>
    <t>Marc was breaking down todays load when he cut open a box to decant the stock into a cage, when his company approved and supplied orange carton cutter did not retract and Marc cut his hand/palm with the carton cutter when going to put it into his pocket. Team Member washed the cut to ensure it was clean before applying band aids to the wound. We provided Marc with work gloves to wear to avoid any dirt or infection getting in to the wound.</t>
  </si>
  <si>
    <t>SRG-INJ-2388</t>
  </si>
  <si>
    <t>Sprain Strain of the left wrist</t>
  </si>
  <si>
    <t>Lisa was assisting with stocktake Prep at the Mittagong Store and noticed a lump on her left wrist and a dull ache after lifting and re organizing all the rolls of Vinyl in the Furnishings department. Team Member was not worried about it initially but has noticed a numbness to her left pinky finger</t>
  </si>
  <si>
    <t>SRG-INJ-2220</t>
  </si>
  <si>
    <t>AU239813</t>
  </si>
  <si>
    <t>MCGARRY, LEANNE</t>
  </si>
  <si>
    <t>Team member has a bite on her right fore arm</t>
  </si>
  <si>
    <t>Leanne was cleaning under bottom shelves of the bays and has a bite mark on her arm.</t>
  </si>
  <si>
    <t>SRG-INJ-2207</t>
  </si>
  <si>
    <t>Team Member jolted her lower back while dismounting from the large ladder and thought she was on bottom step but was on 2nd last step.</t>
  </si>
  <si>
    <t>Team Member was dismounting from the large ladder and thought she was on bottom step but was on 2nd last step. Jolted her lower back as she dismounted with one leg on the ground and other leg still on second last step.</t>
  </si>
  <si>
    <t>SRG-INJ-2202</t>
  </si>
  <si>
    <t>AU231335</t>
  </si>
  <si>
    <t>FAVERO, MARIA</t>
  </si>
  <si>
    <t>Team member sustained a laceration to the top of her head from a falling RB bar that was not secured</t>
  </si>
  <si>
    <t>Team member was emptying end cap of stock when top RB Bar fell and hit team member on the top of the head, Team member sustained a laceration to the top of her head</t>
  </si>
  <si>
    <t>SRG-INJ-1628</t>
  </si>
  <si>
    <t>Team Member was hit on the left hand side of his head by falling stock cage shelf.</t>
  </si>
  <si>
    <t>Team Member was folding up stock cage and top shelf didnt lock in and dropped down and hit the Team Member on the left hand side of the head. Team member sat in the lunchroom with an ice pack on his head for 15 minutes then wanted to get back to work..</t>
  </si>
  <si>
    <t>SRG-INJ-3568</t>
  </si>
  <si>
    <t>AU327973</t>
  </si>
  <si>
    <t>BARRETT, MATTHEW</t>
  </si>
  <si>
    <t>S137</t>
  </si>
  <si>
    <t>Orange</t>
  </si>
  <si>
    <t>lfting a semco box from eco bin leaning right over eco bin 'not lower the side  The semco box weighs around 15kg and Matt lifted on his own then twisting to remove box</t>
  </si>
  <si>
    <t>SRG-INJ-3490</t>
  </si>
  <si>
    <t>AU317861</t>
  </si>
  <si>
    <t>LEES, KAREN</t>
  </si>
  <si>
    <t>inside left elbow</t>
  </si>
  <si>
    <t>When Karen was taking out the outdoor blind for a customer, the metal for the valance fell down and injured her left arm and was a near miss for the customer. Ice pack has been applied to her arm.</t>
  </si>
  <si>
    <t>SRG-INJ-3457</t>
  </si>
  <si>
    <t>Right hand side of forehead</t>
  </si>
  <si>
    <t>Matt was scanning products in the back wall of craft section, was removing a box from shelf above valance and there was an R-bar sitting on top of the boxes, which slid off hitting Matt on the right side of his forehead</t>
  </si>
  <si>
    <t>SRG-INJ-2660</t>
  </si>
  <si>
    <t>AU331948</t>
  </si>
  <si>
    <t>HASSELL, JOSHUA</t>
  </si>
  <si>
    <t>,  I refer to an incident that occurred on Saturday the first of June at approximately 1:30pm.  I attended at 23 Avonlee Lane Blayney NSW to assist in a quote for shutters.     Upon arrival the lady was out the front with 2 dogs and due to the country setting not usual.  I exited the vehicle and at this stage the larger dog seemed upset with my presences.  The lady said its not her dog and he is fine.  After taking some steps towards the home the dog attempted to bite me and at this stage, I informed the lady I would be returning to my car whilst trying to return to the car.  The dog continued to try and bite me while she was trying to get it under control while getting the keys out of my pocket the dog was successful in biting me.  I was able to get into the car and the lady locked the dog up in the garage and I was able to complete the quote.  The bite itself did not puncher the skin and I have no injuries from this.     After completing the job I contacted Erin the manger on duty to advise and she was unclear on what actions needed to be taken.  After informing Sharon McClelland she thought it best to fill in a incident repot.     Hope this is enough info for you as requested.</t>
  </si>
  <si>
    <t>SRG-INJ-2492</t>
  </si>
  <si>
    <t>AU333613</t>
  </si>
  <si>
    <t>HOBDEN, SUSAN</t>
  </si>
  <si>
    <t>Nose plastic lids scrapped across my nose causing it to bleed</t>
  </si>
  <si>
    <t>plastic  tub with lids inside slipped out when Sue lifted the container and hit her face</t>
  </si>
  <si>
    <t>SRG-INJ-1807</t>
  </si>
  <si>
    <t>Matt was bringing in the pallets using the walky stacker, and was moving backwards to bring the pallets into the dock. he has walked into the yellow bollard and hasnt released the handle of the walky stacker so it has kept moving while he was stopped. the walky stacker has then come over his foot.</t>
  </si>
  <si>
    <t>SRG-INJ-1571</t>
  </si>
  <si>
    <t>AU327520</t>
  </si>
  <si>
    <t>DASEY, KYLE</t>
  </si>
  <si>
    <t>Kyle was working the stock in the dock walked across the empty trolley falls to the groung clutching his knee he messgaed today to say he had hurt his knee I was to look on the camera between 9.30-10am for footage I need assistance in downloading the file please</t>
  </si>
  <si>
    <t>SRG-INJ-2741</t>
  </si>
  <si>
    <t>AU333432</t>
  </si>
  <si>
    <t>OTTEN, TYLER</t>
  </si>
  <si>
    <t>S138</t>
  </si>
  <si>
    <t>Armidale</t>
  </si>
  <si>
    <t>Top of hand near the thumb</t>
  </si>
  <si>
    <t>Team member has cut the top of this left hand thumb with a box knife</t>
  </si>
  <si>
    <t>SRG-INJ-2677</t>
  </si>
  <si>
    <t>AU330595</t>
  </si>
  <si>
    <t>ROOBOL, AMME</t>
  </si>
  <si>
    <t>Back of the head</t>
  </si>
  <si>
    <t>Amme missed a step on the ladder and fell off. she bumped the back of her head on the ground.</t>
  </si>
  <si>
    <t>SRG-INJ-2422</t>
  </si>
  <si>
    <t>team member cut hand between the thumb and index finger whilst using box knife to open boxes</t>
  </si>
  <si>
    <t>Team member was working stock and cut hand whilst opening box</t>
  </si>
  <si>
    <t>SRG-INJ-3594</t>
  </si>
  <si>
    <t>AU298980</t>
  </si>
  <si>
    <t>PHILIPPI, MADISON</t>
  </si>
  <si>
    <t>S139</t>
  </si>
  <si>
    <t>Left upper arm</t>
  </si>
  <si>
    <t>Holly was removing curtains for M2M when 2 boxes of stock fell down hitting Madison on left arm above elbow.</t>
  </si>
  <si>
    <t>SRG-INJ-3397</t>
  </si>
  <si>
    <t>AU329387</t>
  </si>
  <si>
    <t>CLARK, PATRICK</t>
  </si>
  <si>
    <t>Left hand index finger</t>
  </si>
  <si>
    <t>Team member was cutting a small box with retractable blade. Cutting away from self however had finger in wrong position - not below box but top of box in direct position on cutting blade.</t>
  </si>
  <si>
    <t>SRG-INJ-3313</t>
  </si>
  <si>
    <t>AU327703</t>
  </si>
  <si>
    <t>MILES, ELIZABETH</t>
  </si>
  <si>
    <t>Liz wastruck her arm on sunglass stand (attached to side panel of candy lane) as she was walking by and moved from a customer.</t>
  </si>
  <si>
    <t>SRG-INJ-3305</t>
  </si>
  <si>
    <t>AU201541</t>
  </si>
  <si>
    <t>EBERT, HELEN</t>
  </si>
  <si>
    <t>Helen was reaching over the helium tank to place some balloon weights behind in the cupboard, and as she brought her arm back, she has impaled herself on the pin that is on the regulator. (see picture below) When we were assessing the wound, Helen went in shock and we placed her into recovery position and called an ambulance. she was OK after approx 15mins on the floor. By the time the ambulance arrived Helen was sitting up all good and the injury was not loosing any blood, but at bruised. Helen kept working, even though I advised her to go home.</t>
  </si>
  <si>
    <t>SRG-INJ-3244</t>
  </si>
  <si>
    <t>AU329350</t>
  </si>
  <si>
    <t>GRAHAM, EMILY</t>
  </si>
  <si>
    <t>Small finger on R hand</t>
  </si>
  <si>
    <t>Emily was pushing a well of stock and got her finger jammed between the well she was pushing and another well in the dispatch area. Emily kept working as she said it wasn't broken.</t>
  </si>
  <si>
    <t>SRG-INJ-3222</t>
  </si>
  <si>
    <t>AU331498</t>
  </si>
  <si>
    <t>CARMICHAEL, EMMA</t>
  </si>
  <si>
    <t>Left hand arm half way between wrist &amp; elbow</t>
  </si>
  <si>
    <t>Emma was cutting down a box to flatten so she could take to the bin, however the retractable knife slipped and she has cut her arm. After seeing the blood, Emma was very nauseous</t>
  </si>
  <si>
    <t>SRG-INJ-2631</t>
  </si>
  <si>
    <t>AU239251</t>
  </si>
  <si>
    <t>MCINTOSH, HOLLY</t>
  </si>
  <si>
    <t>Holly McIntosh was finishing stock at Spotlight Hervey Bay, Holly moved a cardboard box and it impacted her right eye.  She came to the office where Kerrie Bennet Craft DTL checked to make sure no bleeding or visible impact. Sat in office with eye closed for approximately 20 minutes. Eye was stinging and vision blurry. Holly will seek further medical treatment to make sure her eye has not been scratched in the incident.</t>
  </si>
  <si>
    <t>SRG-INJ-2719</t>
  </si>
  <si>
    <t>AU307268</t>
  </si>
  <si>
    <t>DAY, CAROLYN</t>
  </si>
  <si>
    <t>Carol was attempting go under the bottom rung of the racking to retrieve a box which had fallen off the pallet when moving. She did not go down low enough and cracked her head on the racking.</t>
  </si>
  <si>
    <t>SRG-INJ-2579</t>
  </si>
  <si>
    <t>S23KH122755</t>
  </si>
  <si>
    <t>AU232245</t>
  </si>
  <si>
    <t>BENNET, KERRIE</t>
  </si>
  <si>
    <t>Kerrie reported to me that her thumb had been hurting since fitting of new shop and showed me that it was swollen. I advised her to go to the DR to have it checked out. Kerrie has been blowing up balloons and working in the craft section for 10yrs.</t>
  </si>
  <si>
    <t>SRG-INJ-2146</t>
  </si>
  <si>
    <t>Left wrist - Unspecified</t>
  </si>
  <si>
    <t>Knocked wrist against racking</t>
  </si>
  <si>
    <t>SRG-INJ-2075</t>
  </si>
  <si>
    <t>AU322664</t>
  </si>
  <si>
    <t>MOORE, BAILEY</t>
  </si>
  <si>
    <t>Toe (left - big) - Bruising/contusion</t>
  </si>
  <si>
    <t>Rested a stack of RB bards against a black eco, then once looked away, the stack fell on toe.</t>
  </si>
  <si>
    <t>SRG-INJ-1864</t>
  </si>
  <si>
    <t>S23KV058168</t>
  </si>
  <si>
    <t>Arm (left) - Humeral neck fracture</t>
  </si>
  <si>
    <t>Elizabeth started doing Click and collect early and picked the stock - she place 3 pillows leaning against counter with 1 pillow on top of the counter, the pillows slid down as she went to walk behind the counter to the printer and she then started  to fall but she stepped on the pillow which then slipped from under her footing, trying to grab the counter, but her hand slipped hurting her thumb and she fell onto the pole then went down onto the floor landing on her left shoulder/arm</t>
  </si>
  <si>
    <t>SRG-INJ-1780</t>
  </si>
  <si>
    <t>AU311009</t>
  </si>
  <si>
    <t>BUSOLI, SUSAN</t>
  </si>
  <si>
    <t>Right eye struck with falling packaging resulting in cut, transported to hospital awaiting further information.</t>
  </si>
  <si>
    <t>Sue was moving an empty fabric tube, accidentally knocked packaging of scissors down from up above and struck her in the eye, hard plastic corner has cut her eye resulted in it bleeding.  Ambulance called, transported to hospital, will advise extent of injury.</t>
  </si>
  <si>
    <t>SRG-INJ-3537</t>
  </si>
  <si>
    <t>AU232913</t>
  </si>
  <si>
    <t>STUTE, MONIQUE</t>
  </si>
  <si>
    <t>S145</t>
  </si>
  <si>
    <t>Roxburgh Park</t>
  </si>
  <si>
    <t>circumferential disc bulge and right racet joint arthropathy</t>
  </si>
  <si>
    <t>a large box was jammed in a euro bin, team member attempted to pry the box out and injured her lower back. Has been to a doctor and it was determined that she has a circumferential disc bulge and right facet joint arthropathy and is now on light duties</t>
  </si>
  <si>
    <t>SRG-INJ-2642</t>
  </si>
  <si>
    <t>AU238934</t>
  </si>
  <si>
    <t>MCHARDY, SUZANNE</t>
  </si>
  <si>
    <t>right hand shoulder torn ligament</t>
  </si>
  <si>
    <t>Sue was apparently using a screw driver to work on a bracket at the counter. she said she turned the screw driver and felt something in her  right shoulder "go" with a loud pop. She said even the customer heard it. She then went to the store manager and said she had damaged her arm.</t>
  </si>
  <si>
    <t>SRG-INJ-1969</t>
  </si>
  <si>
    <t>AU233180</t>
  </si>
  <si>
    <t>right hand shoulder</t>
  </si>
  <si>
    <t>Sue lifted a venitian blind and felt a slight strain right hand shoulder. However it was not until the Saturday 28th that she realised she was having trouble stretching whilst cutting fabric. Sue notified management Monday 30th October. Sue has a doctors appointment 2/11/23 for her shoulder.</t>
  </si>
  <si>
    <t>SRG-INJ-1845</t>
  </si>
  <si>
    <t>AU312950</t>
  </si>
  <si>
    <t>YOUHANNA, NATALIE</t>
  </si>
  <si>
    <t>CUT</t>
  </si>
  <si>
    <t>CUT ON BOTTOM OF PALM</t>
  </si>
  <si>
    <t>SRG-INJ-2596</t>
  </si>
  <si>
    <t>AU305082</t>
  </si>
  <si>
    <t>MILLER, SHELLEY</t>
  </si>
  <si>
    <t>S146</t>
  </si>
  <si>
    <t>Pulled muscle in back</t>
  </si>
  <si>
    <t>lifting blind and it slipped when trying to stop from falling hurt back</t>
  </si>
  <si>
    <t>SRG-INJ-2326</t>
  </si>
  <si>
    <t>G7393607</t>
  </si>
  <si>
    <t>AU312176</t>
  </si>
  <si>
    <t>GRAHAM, REBECCA</t>
  </si>
  <si>
    <t>Right-sided Neck muscle spasms pulled muscle in neck and broken skin above eyebrow</t>
  </si>
  <si>
    <t>Was removing stock from side panel that were on hooks and when getting something down the hook above unhooked and fell hitting on face which made her flitch and pull a muscle in neck.</t>
  </si>
  <si>
    <t>SRG-INJ-2314</t>
  </si>
  <si>
    <t>AU303979</t>
  </si>
  <si>
    <t>PICKERING, MADISON</t>
  </si>
  <si>
    <t>Swollen and bruised hand</t>
  </si>
  <si>
    <t>Taking frame off sign stand and it dropped catching side of hand in between poles.</t>
  </si>
  <si>
    <t>SRG-INJ-3463</t>
  </si>
  <si>
    <t>AU301080</t>
  </si>
  <si>
    <t>BURTON, VIVIENNE</t>
  </si>
  <si>
    <t>S147</t>
  </si>
  <si>
    <t>Gladstone</t>
  </si>
  <si>
    <t>Right foot big toe bruising under toe nail</t>
  </si>
  <si>
    <t>Vivienne was recovering the curtain tapes and accessories area with she picked up a box of Led chain weight tape (EAN 9314935439417), the product fell from the bottom of the box and hit Vivienne on the right toe.</t>
  </si>
  <si>
    <t>SRG-INJ-3376</t>
  </si>
  <si>
    <t>AU316960</t>
  </si>
  <si>
    <t>MARTIN, MADDISON</t>
  </si>
  <si>
    <t>Maddison was moving boxes of blinds from a EuroBin onto a white trolley, she felt a muscle strain, and then reported incident to me.</t>
  </si>
  <si>
    <t>SRG-INJ-3033</t>
  </si>
  <si>
    <t>AU332225</t>
  </si>
  <si>
    <t>CHAPPLE, EVANGELINE</t>
  </si>
  <si>
    <t>Big toe</t>
  </si>
  <si>
    <t>I dropped an empty timber pallet on my foot as I was stacking them in the dock. I didn't feel like I was that hurt so I continued bringing pallets up from the dock. My big toe has progressively gotten more swollen and painful since.</t>
  </si>
  <si>
    <t>SRG-INJ-2127</t>
  </si>
  <si>
    <t>AU312727</t>
  </si>
  <si>
    <t>HEMPSEED, TELIAH</t>
  </si>
  <si>
    <t>Ankle - Muscular soreness</t>
  </si>
  <si>
    <t>Wooden pallet on ground - TM stepped on it to get last box and foot fell in-between slats on the pallet.</t>
  </si>
  <si>
    <t>SRG-INJ-1943</t>
  </si>
  <si>
    <t>AU235900</t>
  </si>
  <si>
    <t>WIMBUS, ROSEMARY</t>
  </si>
  <si>
    <t>Finger (left - middle) - Laceration</t>
  </si>
  <si>
    <t>Rose was putting a broken glass ball into a box when it cut her finger</t>
  </si>
  <si>
    <t>SRG-INJ-1839</t>
  </si>
  <si>
    <t>AU238556</t>
  </si>
  <si>
    <t>PATCHETT, KATIE</t>
  </si>
  <si>
    <t>Back tenderness from impact of landing</t>
  </si>
  <si>
    <t>Putting yarn overstocks away in yarn baskets, went to step off 3 step ladder missing 2 bottom steps landing flat footed on floor.</t>
  </si>
  <si>
    <t>SRG-INJ-1713</t>
  </si>
  <si>
    <t>AU234758</t>
  </si>
  <si>
    <t>HICK, SARAH</t>
  </si>
  <si>
    <t>Bruising to her left knee and sprained left rotary cuff due to Sarahs foot not landing properly when walking and her ankle gave away causing her to fall on her left side.</t>
  </si>
  <si>
    <t>On Tuesday at 5.25pm Sarah was walking towards the centre exit when her foot did't land properly and her ankle gave out and she fell over on her left side resulting in bruising to her left knee and a sprain to her left rotary cuff.</t>
  </si>
  <si>
    <t>SRG-INJ-3533</t>
  </si>
  <si>
    <t>AU240322</t>
  </si>
  <si>
    <t>HANNA-PLUNKETT, NIKKI-LEE</t>
  </si>
  <si>
    <t>S148</t>
  </si>
  <si>
    <t>Grafton</t>
  </si>
  <si>
    <t>Tripped, landed on wrists</t>
  </si>
  <si>
    <t>Sandbag was placed next to the door on the outside of the despatch. Team member has stepped outside and tripped over the edge of sandbag.</t>
  </si>
  <si>
    <t>SRG-INJ-3242</t>
  </si>
  <si>
    <t>AU232108</t>
  </si>
  <si>
    <t>MORAN, AMY-MAREE</t>
  </si>
  <si>
    <t>Left palm thumb (abductor pollicis brevis)-Googled</t>
  </si>
  <si>
    <t>Amy was pulling out cushions from vertical stack. Her thumb muscle started to hurt and then got worse.</t>
  </si>
  <si>
    <t>SRG-INJ-3103</t>
  </si>
  <si>
    <t>AU232115</t>
  </si>
  <si>
    <t>PIPER, JOANNE</t>
  </si>
  <si>
    <t>Injuries occurred to knees, shoulder and wrist with impact.</t>
  </si>
  <si>
    <t>Team member tripped when entering office doorway due to a divot created by hole in cement from wear. First aid was given by Nicole Robb.</t>
  </si>
  <si>
    <t>SRG-INJ-2865</t>
  </si>
  <si>
    <t>AU233548</t>
  </si>
  <si>
    <t>ROBB, NICOLE</t>
  </si>
  <si>
    <t>Back injury/Pain</t>
  </si>
  <si>
    <t>Injury occurred when lifting helium tank out of helium station and putting in new bottles.</t>
  </si>
  <si>
    <t>SRG-INJ-3328</t>
  </si>
  <si>
    <t>AU321510</t>
  </si>
  <si>
    <t>WILSON-KLEIDON, ERIN</t>
  </si>
  <si>
    <t>S149</t>
  </si>
  <si>
    <t>Right Heel</t>
  </si>
  <si>
    <t>Erin was taking rubbish out on the Roll Cage &amp; Roll Cage hit her back heel, taking skin off.</t>
  </si>
  <si>
    <t>SRG-INJ-3133</t>
  </si>
  <si>
    <t>AU239750</t>
  </si>
  <si>
    <t>ABBOTT, MELISSA</t>
  </si>
  <si>
    <t>Gash to her left temple</t>
  </si>
  <si>
    <t>Melissa Abbott, M2M Consultant, was getting out of her vehicle &amp; slipped on the driveway, clucked the car door &amp; the car door top edge gashed her temple.</t>
  </si>
  <si>
    <t>SRG-INJ-3117</t>
  </si>
  <si>
    <t>Erin was putting up some Ticketing &amp; a customer accidentally ran into her, &amp; hit her shoulder very hard.</t>
  </si>
  <si>
    <t>SRG-INJ-2873</t>
  </si>
  <si>
    <t>S24HN162685</t>
  </si>
  <si>
    <t>AU290220</t>
  </si>
  <si>
    <t>WILSON, GLENDA</t>
  </si>
  <si>
    <t>Glenda Wilson was hand loading Dinner sets onto an Eco Base &amp; injured her lower back.</t>
  </si>
  <si>
    <t>SRG-INJ-2646</t>
  </si>
  <si>
    <t>AU306120</t>
  </si>
  <si>
    <t>RUSHWORTH, SARAH</t>
  </si>
  <si>
    <t>Sarah was taking a C&amp;C to Despatch using the rear stairs from the upper Craft Department. Sarah missed the last stair &amp; twisted her ankle.</t>
  </si>
  <si>
    <t>SRG-INJ-2665</t>
  </si>
  <si>
    <t>Erin was moving M2M Shutters into a Euro Bin &amp; sprained her back. It is sore in 3 places from her neck down to her lower back.</t>
  </si>
  <si>
    <t>SRG-INJ-2607</t>
  </si>
  <si>
    <t>AU310862</t>
  </si>
  <si>
    <t>JEFFREY, SHAREE</t>
  </si>
  <si>
    <t>fore head above right eye</t>
  </si>
  <si>
    <t>Whilst moving wheelie track for M2M curtains the top pole on top of rack become dislodged and hit me in forehead above right eye.</t>
  </si>
  <si>
    <t>SRG-INJ-2466</t>
  </si>
  <si>
    <t>AU310120</t>
  </si>
  <si>
    <t>HAMILTON, JESSICA</t>
  </si>
  <si>
    <t>Left front knee</t>
  </si>
  <si>
    <t>Team members shoe lace got caught on a loose screw at top of stairs and they fell over onto the shop floor. I attended straight away to the team member and assessed her for any injuries. The team member was able to stand and i instructed the team member to attend to the tea room and apply an ice pack to the affected knee area, and let another DTL and manager know what had occurred. The team member returned to shop floor 15 minutes later feeling fine to proceed with there duties. An incident report was filled out by the team member.</t>
  </si>
  <si>
    <t>SRG-INJ-2184</t>
  </si>
  <si>
    <t>S23BM083167</t>
  </si>
  <si>
    <t>Right knee - Unspecified</t>
  </si>
  <si>
    <t>While Tracey was coming down on the WAVE with stock, Sharee was grabbing for the box when the WAVE moved a little forward, and Sharee's knee had hit the front of the WAVE. I stopped immediately because I heard a thud, then gave her first aid.</t>
  </si>
  <si>
    <t>SRG-INJ-1873</t>
  </si>
  <si>
    <t>Back (lower right) - Strain / sprain</t>
  </si>
  <si>
    <t>Sharee Jeffrey was lifting Room Dividers into a euro bin &amp; strained her back.</t>
  </si>
  <si>
    <t>SRG-INJ-3440</t>
  </si>
  <si>
    <t>AU309484</t>
  </si>
  <si>
    <t>BARLOW, NICOLA</t>
  </si>
  <si>
    <t>S152</t>
  </si>
  <si>
    <t>Hornsby</t>
  </si>
  <si>
    <t>cut on right middle finger</t>
  </si>
  <si>
    <t>team member moved a pair of scissors to roll fabric out for cutting and caught the tip of her finger on the tip of the scissors.</t>
  </si>
  <si>
    <t>SRG-INJ-3334</t>
  </si>
  <si>
    <t>AU313784</t>
  </si>
  <si>
    <t>BERZINS, ANDREJS</t>
  </si>
  <si>
    <t>Target area red and swelling</t>
  </si>
  <si>
    <t>A Made to Measure track that was placed outside the roller door moved in the wind in the previous day. When the door opened it fell an struck Drew on the forehead as he carried a box out of the storeroom.</t>
  </si>
  <si>
    <t>SRG-INJ-2759</t>
  </si>
  <si>
    <t>AU326281</t>
  </si>
  <si>
    <t>WILDER, ELIO</t>
  </si>
  <si>
    <t>strain to right side mid/lower back</t>
  </si>
  <si>
    <t>Team Member required to use the tall ladder for the stock so turned the ladder from it's position in order to open it. As they turned the ladder, the ladder base began to slip away. Injury: strain to the Team Member's lower right back</t>
  </si>
  <si>
    <t>SRG-INJ-2185</t>
  </si>
  <si>
    <t>AU312338</t>
  </si>
  <si>
    <t>VINE, CHARLOTTE</t>
  </si>
  <si>
    <t>experience pain to the thre fingers on her  left hand especially the inside of her middle finger</t>
  </si>
  <si>
    <t>Charlotte was trying to remove the magnet off an older frame, as she was pushing it off instead of popping it off.  It twisted around to the other side with her fingers underneath. She tried moving it off to get her fingers out for around 10 seconds, As it wasn't budging, she had to pull her fingers out of the clamp resulting in the three large stumps pressing in the middle of three of her fingers on her left hand. The inside of the the middle finger was pinched</t>
  </si>
  <si>
    <t>SRG-INJ-2121</t>
  </si>
  <si>
    <t>AU331807</t>
  </si>
  <si>
    <t>WARKEN MILIOLI, IAN</t>
  </si>
  <si>
    <t>Cut and trauma to right index finger, bruised left knee and bruised right elbow</t>
  </si>
  <si>
    <t>Placing ceramic mug into sink to wash and handle broke off slicing finger</t>
  </si>
  <si>
    <t>SRG-INJ-1971</t>
  </si>
  <si>
    <t>AU331862</t>
  </si>
  <si>
    <t>WILSON, ABBIE</t>
  </si>
  <si>
    <t>Cut to middle finger left hand</t>
  </si>
  <si>
    <t>Abbie was unpacking stock and cut her middle finger on left hand.</t>
  </si>
  <si>
    <t>SRG-INJ-1961</t>
  </si>
  <si>
    <t>AU309487</t>
  </si>
  <si>
    <t>CLIFT, JORJA</t>
  </si>
  <si>
    <t>bled from finger</t>
  </si>
  <si>
    <t>Jorja was doing some merchandising on end unit and sliced her finger. Not aware of what she sliced it on.</t>
  </si>
  <si>
    <t>SRG-INJ-1880</t>
  </si>
  <si>
    <t>AU313756</t>
  </si>
  <si>
    <t>WHYTE, KIM</t>
  </si>
  <si>
    <t>Cut and trauma to right ring finger, bruised left knee and bruised right elbow</t>
  </si>
  <si>
    <t>As Kim was climbing stairs to the sew department her foot missed the top step and she fell forward hitting a display rack and landing heavily on the floor. She sustained injuries to her right ring finger, right elbow and left knee.</t>
  </si>
  <si>
    <t>SRG-INJ-1884</t>
  </si>
  <si>
    <t>AU328179</t>
  </si>
  <si>
    <t>STEEL, HAYLEIGH</t>
  </si>
  <si>
    <t>Experienced pain from impact of fabric roll to top of right foot</t>
  </si>
  <si>
    <t>While moving a roll of curtaining fabric from shelf to trolley Hayleigh lost grip of the roll and it drop onto right foot.</t>
  </si>
  <si>
    <t>SRG-INJ-1603</t>
  </si>
  <si>
    <t>AU323233</t>
  </si>
  <si>
    <t>STEUERWALD, MIRABAI</t>
  </si>
  <si>
    <t>centre lower back strain</t>
  </si>
  <si>
    <t>Mirabai was putting away fabric, felt like they may have twisted wrong, or fixture was too full to fit roll back in. Felt back click and is now in pain.</t>
  </si>
  <si>
    <t>SRG-INJ-1586</t>
  </si>
  <si>
    <t>AU320963</t>
  </si>
  <si>
    <t>BAL, JAAP</t>
  </si>
  <si>
    <t>Cut on middle finger of the right hand</t>
  </si>
  <si>
    <t>Jaap cut his finger while sweeping up broken glass. Middle finger right hand</t>
  </si>
  <si>
    <t>SRG-INJ-2899</t>
  </si>
  <si>
    <t>AU322860</t>
  </si>
  <si>
    <t>BROWN, EVE</t>
  </si>
  <si>
    <t>Spotlight ACT</t>
  </si>
  <si>
    <t>S153</t>
  </si>
  <si>
    <t>Gungahlin</t>
  </si>
  <si>
    <t>team member was exiting bathroom and bumped door on knee</t>
  </si>
  <si>
    <t>SRG-INJ-2425</t>
  </si>
  <si>
    <t>hit knee with basket</t>
  </si>
  <si>
    <t>Team member carrying red</t>
  </si>
  <si>
    <t>SRG-INJ-1976</t>
  </si>
  <si>
    <t>AU309483</t>
  </si>
  <si>
    <t>ROWLEY, CHARLIE</t>
  </si>
  <si>
    <t>Charlie was moving BOC tank in party, it fell, bounced and hit her hand</t>
  </si>
  <si>
    <t>SRG-INJ-1890</t>
  </si>
  <si>
    <t>AU320594</t>
  </si>
  <si>
    <t>PEDERSEN, JASMINE</t>
  </si>
  <si>
    <t>Initially we thought she hit her hand as she fainted. however watching back on the camera it appears she hit her hand on a cage and fainted a little while after that.</t>
  </si>
  <si>
    <t>SRG-INJ-1814</t>
  </si>
  <si>
    <t>AU311840</t>
  </si>
  <si>
    <t>MORRIS, TANYA</t>
  </si>
  <si>
    <t>Back left side</t>
  </si>
  <si>
    <t>Team member was trying to open helium tank tap. and twisted back.</t>
  </si>
  <si>
    <t>SRG-INJ-1752</t>
  </si>
  <si>
    <t>AU236204</t>
  </si>
  <si>
    <t>MCKERSIE, ROSALIE</t>
  </si>
  <si>
    <t>top of the head</t>
  </si>
  <si>
    <t>was moving a blind and another one fell and hit her on the head really hard</t>
  </si>
  <si>
    <t>SRG-INJ-1717</t>
  </si>
  <si>
    <t>AU313031</t>
  </si>
  <si>
    <t>ROBB, CHRISTOPHER</t>
  </si>
  <si>
    <t>was putting rubbish in the bin and cut his hand an the bin</t>
  </si>
  <si>
    <t>SRG-INJ-1715</t>
  </si>
  <si>
    <t>AU329160</t>
  </si>
  <si>
    <t>TURNBULL, RACHEL</t>
  </si>
  <si>
    <t>left hand an finger</t>
  </si>
  <si>
    <t>customer was stealing an they snatched item out of there hand and pulled there left index finger witch hurt it</t>
  </si>
  <si>
    <t>SRG-INJ-1716</t>
  </si>
  <si>
    <t>legs</t>
  </si>
  <si>
    <t>customer was trying to steal and started ramming trollies into Rachels legs</t>
  </si>
  <si>
    <t>SRG-INJ-1620</t>
  </si>
  <si>
    <t>AU313565</t>
  </si>
  <si>
    <t>FRYER, JESSICA</t>
  </si>
  <si>
    <t>Team members right thumb was cut open from the data strip</t>
  </si>
  <si>
    <t>Team member was moving bunk along in the data strip, the front of the data strip broke off into the team members thumb.</t>
  </si>
  <si>
    <t>SRG-INJ-1622</t>
  </si>
  <si>
    <t>right side, arm and chest</t>
  </si>
  <si>
    <t>Team member injured while disposing a venetian. loose timber bounced out of the bin, hitting team members arm and chest.</t>
  </si>
  <si>
    <t>SRG-INJ-1608</t>
  </si>
  <si>
    <t>Framed A3 sign in the dress department fell off spring stand as team member was fixing it. fell on team member's head.</t>
  </si>
  <si>
    <t>SRG-INJ-2785</t>
  </si>
  <si>
    <t>S24SX151071</t>
  </si>
  <si>
    <t>AU230683</t>
  </si>
  <si>
    <t>BARGEWELL, ROCKSEANE</t>
  </si>
  <si>
    <t>S154</t>
  </si>
  <si>
    <t>Upper Coomera</t>
  </si>
  <si>
    <t>Pressure on left knee after leaning on knee putting stock away</t>
  </si>
  <si>
    <t>Roxy lent down on left knee to put stock away, felt pressure on knee so moved to right knee to take pressure off and complete task</t>
  </si>
  <si>
    <t>SRG-INJ-2765</t>
  </si>
  <si>
    <t>S24JS149790</t>
  </si>
  <si>
    <t>AU317187</t>
  </si>
  <si>
    <t>TAMARESIS, GEORGE</t>
  </si>
  <si>
    <t>Loading rubbish into bin and slipped on a piece of cardboard on the ground. Ankle twisted.</t>
  </si>
  <si>
    <t>SRG-INJ-2336</t>
  </si>
  <si>
    <t>AU300958</t>
  </si>
  <si>
    <t>HEIDTMAN, SAMANTHA</t>
  </si>
  <si>
    <t>Right Knee, slight swelling</t>
  </si>
  <si>
    <t>Was putting overstock boxes away and there was a pallet jack half under under a Ceva bin . Sami didn't see it and tripped over prongs .</t>
  </si>
  <si>
    <t>SRG-INJ-2183</t>
  </si>
  <si>
    <t>Left knee (behind) - Sprain/Strain</t>
  </si>
  <si>
    <t>Sami was putting patterns away when she moved forward for a customer . She felt a twitch in her knee . On the following days she has said the pain in her knee has gotten worse .</t>
  </si>
  <si>
    <t>SRG-INJ-1711</t>
  </si>
  <si>
    <t>AU216018</t>
  </si>
  <si>
    <t>PRIEST, EVELYN</t>
  </si>
  <si>
    <t>Lower back intense pain</t>
  </si>
  <si>
    <t>Evelyn was unpacking a palette of promotional boxes and when she picked up a box she felt excruciating pain in her lower back .</t>
  </si>
  <si>
    <t>SRG-INJ-3402</t>
  </si>
  <si>
    <t>AU298707</t>
  </si>
  <si>
    <t>SIMIC, VESNA</t>
  </si>
  <si>
    <t>S159</t>
  </si>
  <si>
    <t>The Glen</t>
  </si>
  <si>
    <t>toes</t>
  </si>
  <si>
    <t>Going through counting rolls for stock take rolls fell from wall landed on Vesna's toes and caused injury</t>
  </si>
  <si>
    <t>SRG-INJ-3433</t>
  </si>
  <si>
    <t>AU334058</t>
  </si>
  <si>
    <t>HULLAND, MARLEY</t>
  </si>
  <si>
    <t>Team member cut themselves.</t>
  </si>
  <si>
    <t>SRG-INJ-3007</t>
  </si>
  <si>
    <t>AU308450</t>
  </si>
  <si>
    <t>ROBERTSHAWE, LILY</t>
  </si>
  <si>
    <t>Cage got temporarily stuck on a corner of the hallway wall and jolted forward after pulling on the cage. The cage hit the ankle of the team member. Person completing report : Lily Robertshawe.</t>
  </si>
  <si>
    <t>SRG-INJ-2255</t>
  </si>
  <si>
    <t>AU308431</t>
  </si>
  <si>
    <t>CHILD, AARON</t>
  </si>
  <si>
    <t>Both my legs (on the calves) So far, there is a small bruise on my left calve and a much larger bruise on my right calve (which took the majority of the impact)</t>
  </si>
  <si>
    <t>I was in the storeroom, I had been tasked with cleaning up a large mess of boxes that had accumulated at the front of the room. After I had cleaned up a majority of the mess, there remained a stack of seven metal shelf fixtures (see image) leaning against boxes on a shelving unit. Some time after I had moved the boxes around the shelves, I had turned my back and the shelves fell over and landed on my legs, primarily my right calve. After taking a moment to analyze what had just happened to me and after the pain settled down I was able to move the shelves to a safer location. In the days following the incident a large and deep bruise had developed on my right leg.  The storeroom has been a very hazardous point in our store for a very long time.  I became a reset team member around 2021 and spend a lot of time back there. The fact that an injury like this (or worse) didn't happen to me sooner is little more than luck in my opinion.</t>
  </si>
  <si>
    <t>SRG-INJ-1965</t>
  </si>
  <si>
    <t>AU240647</t>
  </si>
  <si>
    <t>THOMSON, TRACEY</t>
  </si>
  <si>
    <t>Upper Arm</t>
  </si>
  <si>
    <t>2 Long Rulers were left in a tub on the side of the dress counter which accidentally cut her upper arm.  Tracey had cuts and bruises.</t>
  </si>
  <si>
    <t>SRG-INJ-1860</t>
  </si>
  <si>
    <t>Back &amp; Shoulder</t>
  </si>
  <si>
    <t>Hurt Back while moving cage in stock room.  Also hurt shoulder.  Got jammed on uneven floor &amp; hit another cage.</t>
  </si>
  <si>
    <t>SRG-INJ-2464</t>
  </si>
  <si>
    <t>AU310973</t>
  </si>
  <si>
    <t>MCCULLOCH, CHASE</t>
  </si>
  <si>
    <t>S161</t>
  </si>
  <si>
    <t>lower right back / pain shooting through to lower left side, and shooting down butt area to upper thighs. weak to stand. pain well standing pain while sitting.</t>
  </si>
  <si>
    <t>Chase was pushing a white stock trolley with sew through the walk way when he felt a sharp pain on his lower right side which shot across to his left and down to the buttocks area.  Pain level AT 6.</t>
  </si>
  <si>
    <t>SRG-INJ-3013</t>
  </si>
  <si>
    <t>AU321551</t>
  </si>
  <si>
    <t>LAVIS, ANGELINA</t>
  </si>
  <si>
    <t>S162</t>
  </si>
  <si>
    <t>bruised right elbow, sore left ankle, sore lower back, headache</t>
  </si>
  <si>
    <t>Angie was putting a sign up when she stepped onto yellow staff foot stool when the stool slipped from under her and she fell backwards onto her right elbow &amp; hip/bottom</t>
  </si>
  <si>
    <t>SRG-INJ-2284</t>
  </si>
  <si>
    <t>AU317725</t>
  </si>
  <si>
    <t>KONOWALOW, ZOE</t>
  </si>
  <si>
    <t>Zoe was working the yarn overheads when she thinks she move the wrong way &amp; hurt her back</t>
  </si>
  <si>
    <t>SRG-INJ-1782</t>
  </si>
  <si>
    <t>AU237060</t>
  </si>
  <si>
    <t>MURPHY, MICHELLE</t>
  </si>
  <si>
    <t>Cut finger Index finger right hand</t>
  </si>
  <si>
    <t>Team member was destroying recalled products when glass hit her finger which resulted in a deep cut to finger</t>
  </si>
  <si>
    <t>SRG-INJ-2402</t>
  </si>
  <si>
    <t>AU326406</t>
  </si>
  <si>
    <t>FRANICH, LEUIS</t>
  </si>
  <si>
    <t>S163</t>
  </si>
  <si>
    <t>Ellenbrook</t>
  </si>
  <si>
    <t>stress</t>
  </si>
  <si>
    <t>Group of youth who have been recognized from previous visit and causing an nuisance. DTL Leusi has confronted  this group in the past and they take no notice of him. leuis has mention he feels helpless as he is the senior person and has  responsibility for his team and that he is stressed/anxious because of these events.</t>
  </si>
  <si>
    <t>SRG-INJ-2197</t>
  </si>
  <si>
    <t>AU312082</t>
  </si>
  <si>
    <t>MARCHESANI, CHRISTI</t>
  </si>
  <si>
    <t>department team member Christi message me Friday morning informing me she had hurt her back Thursday while moving a shelf in craft  and that she need to go home once my shift started as she could hardly move.</t>
  </si>
  <si>
    <t>SRG-INJ-3078</t>
  </si>
  <si>
    <t>AU312944</t>
  </si>
  <si>
    <t>SEABROOK, ASHLEY</t>
  </si>
  <si>
    <t>S165</t>
  </si>
  <si>
    <t>Mittagong</t>
  </si>
  <si>
    <t>A large made to measure cylinder fell over, tipped over the black fixtures in the racking, resulting in the cylinder falling on my right shoulder and the fixtures falling on my head.</t>
  </si>
  <si>
    <t>I was bringing in the pallets with the pallet jack. there was nothing around me. when the large made to measure cylinder fell over, tipped over the black fixtures in the racking, resulting in the cylinder falling on my shoulder and the fixtures falling on my head.</t>
  </si>
  <si>
    <t>SRG-INJ-2465</t>
  </si>
  <si>
    <t>AU331770</t>
  </si>
  <si>
    <t>DENNEY, MADDISON</t>
  </si>
  <si>
    <t>right index finger. swelling, bruising, bleeding.</t>
  </si>
  <si>
    <t>Maddie was throwing out a metal shelving unit into the garbage bin. As she threw it in the bin, the bracket got stuck under her ring and ripped it off.</t>
  </si>
  <si>
    <t>SRG-INJ-2116</t>
  </si>
  <si>
    <t>AU322896</t>
  </si>
  <si>
    <t>SORENSEN, SHARON</t>
  </si>
  <si>
    <t>upper back. sharp pain/strain.</t>
  </si>
  <si>
    <t>Sharon lifted a box off the pallets that she was breaking down. As she picked the box up she has twisted and then felt a sharp pain up the top behind her ribcage on her back.</t>
  </si>
  <si>
    <t>SRG-INJ-2028</t>
  </si>
  <si>
    <t>AU331262</t>
  </si>
  <si>
    <t>HAMILTON, TYLER</t>
  </si>
  <si>
    <t>right calf</t>
  </si>
  <si>
    <t>Tyler was on a step ladder getting a mirror down for a customer and the mirror was still slightly out of reach because of the products in front, so he pushed up on his toes and tensed his calf muscle. he then felt a shooting pain in his right lower leg,</t>
  </si>
  <si>
    <t>SRG-INJ-1952</t>
  </si>
  <si>
    <t>AU321834</t>
  </si>
  <si>
    <t>FISHER, CHARLOTTE</t>
  </si>
  <si>
    <t>lower back.</t>
  </si>
  <si>
    <t>she suddenly had lower back pain after turning a certain way. it became worse after the manager on duty kept her on the front counter for 9 hour days for 4 days in a row. from there, she has been to the doctors who explained that she needs rotation and to "take it easy". there will be a follow up in the coming days, with physio involved as well.</t>
  </si>
  <si>
    <t>SRG-INJ-3518</t>
  </si>
  <si>
    <t>AU328505</t>
  </si>
  <si>
    <t>MILLER, LAUREN</t>
  </si>
  <si>
    <t>S166</t>
  </si>
  <si>
    <t>scratch on right leg</t>
  </si>
  <si>
    <t>Lauren fell down in the back room</t>
  </si>
  <si>
    <t>SRG-INJ-3280</t>
  </si>
  <si>
    <t>AU316807</t>
  </si>
  <si>
    <t>BRIGGS, JAMES</t>
  </si>
  <si>
    <t>Lifting large venetian out of excess bay in the dock. Popped out elbow joint. Area is tender and experiencing mild pain.</t>
  </si>
  <si>
    <t>SRG-INJ-3216</t>
  </si>
  <si>
    <t>AU325860</t>
  </si>
  <si>
    <t>TROUP, ROSALIND</t>
  </si>
  <si>
    <t>Ros messaged the store Tuesday morning, saying her knee was sore and she would be in later. She explained that bending and lifting quilting fabric the night before aggravated an existing injury. We advised her to take it easy, and she left early to rest after her pain persisted.</t>
  </si>
  <si>
    <t>SRG-INJ-3132</t>
  </si>
  <si>
    <t>AU205233</t>
  </si>
  <si>
    <t>JONES, SHELLEY</t>
  </si>
  <si>
    <t>Knee/ right</t>
  </si>
  <si>
    <t>Whilst working stock from a pallet, Shelley twisted and her knee gave way. It was near the end of her shift, it has continued to get worse since incident. Shelley has made a appointment with doctors next Tuesday 26/11/2024.  She is currently wearing a knee brace as a precaution..</t>
  </si>
  <si>
    <t>SRG-INJ-3004</t>
  </si>
  <si>
    <t>AU298657</t>
  </si>
  <si>
    <t>Team member was working stock. The were using a retractable safety knife to open boxes, and cut their finger.</t>
  </si>
  <si>
    <t>SRG-INJ-2794</t>
  </si>
  <si>
    <t>Left shoulder and arm</t>
  </si>
  <si>
    <t>James (employee/DTL furnishings) was relaying the sewing machine wall at direction of store manager Saturday 20/07/24. the large and higher price point machines were to be moved from a racetrack bulk stack to the back wall.</t>
  </si>
  <si>
    <t>SRG-INJ-2281</t>
  </si>
  <si>
    <t>AU311470</t>
  </si>
  <si>
    <t>WILSON, CHEREE</t>
  </si>
  <si>
    <t>Helium tank has fallen on her big and second toe. There is impact damage, cut at the nail bed which was bleeding continuously, blood trapped under the  nail</t>
  </si>
  <si>
    <t>Cheree was trying to grab the balloon, its string was to short to reach. She has boosted herself on the counter with one leg and in the process of coming back down knocked the empty helium tank which landed on her toe.</t>
  </si>
  <si>
    <t>SRG-INJ-2258</t>
  </si>
  <si>
    <t>AU222870</t>
  </si>
  <si>
    <t>HAYES, JELICA</t>
  </si>
  <si>
    <t>Jo was putting rubbish into the bins and hit her head on the corner of the bin. She has come into the backdock saying she required assistance, I asked what was wrong and she showed me the blood on her hand.</t>
  </si>
  <si>
    <t>SRG-INJ-2054</t>
  </si>
  <si>
    <t>AU317306</t>
  </si>
  <si>
    <t>BROADBENT, SAMANTHA</t>
  </si>
  <si>
    <t>Moved a box and a corner of the cocky stand fell on my head, making my head bleed.</t>
  </si>
  <si>
    <t>SRG-INJ-1791</t>
  </si>
  <si>
    <t>AU323980</t>
  </si>
  <si>
    <t>NEWMAN, NIKKI</t>
  </si>
  <si>
    <t>Knees, lower back</t>
  </si>
  <si>
    <t>Was moving a pallet and tripped over the corner of the pallet, landing on my knees</t>
  </si>
  <si>
    <t>SRG-INJ-3418</t>
  </si>
  <si>
    <t>S168</t>
  </si>
  <si>
    <t>Windsor</t>
  </si>
  <si>
    <t>getting a readymade down for a customer on the phone and the R bar fell out and whacked me across the temple on my head</t>
  </si>
  <si>
    <t>SRG-INJ-3356</t>
  </si>
  <si>
    <t>S24SF212039</t>
  </si>
  <si>
    <t>AU326914</t>
  </si>
  <si>
    <t>KUHN, LILLIAN</t>
  </si>
  <si>
    <t>Lillian Kuhn was working in reset and hurt her back lifting too many heavy boxes</t>
  </si>
  <si>
    <t>SRG-INJ-3496</t>
  </si>
  <si>
    <t>AU333013</t>
  </si>
  <si>
    <t>STEWART, LOUISE</t>
  </si>
  <si>
    <t>S171</t>
  </si>
  <si>
    <t>nail</t>
  </si>
  <si>
    <t>Louise was putting fabric back in to the shelf, it was a bit tight and she pushed harder and she hit her nail with a bolt of fabric</t>
  </si>
  <si>
    <t>SRG-INJ-3091</t>
  </si>
  <si>
    <t>AU331557</t>
  </si>
  <si>
    <t>HAMILTON, BRYONY</t>
  </si>
  <si>
    <t>Finger crushed on right hand</t>
  </si>
  <si>
    <t>The dock supervisor was putting cardboard into the bins and was about to flip the lid down, in the process due to the windy weather the bin lid had flipped up, crushing the supervisors finger in between the adjustable latch of the bin.</t>
  </si>
  <si>
    <t>SRG-INJ-2636</t>
  </si>
  <si>
    <t>AU329457</t>
  </si>
  <si>
    <t>MAFFULLO, SUSAN</t>
  </si>
  <si>
    <t>Left side of ribs</t>
  </si>
  <si>
    <t>Sue has leaned into a euro bin to retrieve a box from the bottom. She did not drop the side of the euro and says she leaned in so far her feet were off the ground.</t>
  </si>
  <si>
    <t>SRG-INJ-2614</t>
  </si>
  <si>
    <t>AU331528</t>
  </si>
  <si>
    <t>SMITH, AMELIA</t>
  </si>
  <si>
    <t>I was lining up furnishing rolls of curtain fabric on the shelf and have hurt my shoulder doing so when i lifted a roll of blockout curtain fabric. The pain is progressively getting worse since.</t>
  </si>
  <si>
    <t>SRG-INJ-2550</t>
  </si>
  <si>
    <t>AU331395</t>
  </si>
  <si>
    <t>KANE, KERRI</t>
  </si>
  <si>
    <t>Psychosocial</t>
  </si>
  <si>
    <t>After a discussion with the SM and the RM, Kerri is claiming stress. The matter is currently under investigation. The store has raised a Donsafe incident as well.  Please all note that Kerri had a tele interview with Doctor at 2pm whilst at work on tue and went home sick. She than called in sick the next day and has given no indication to the SM that she was going through W/C stress leave. Later that afternoon she emailed Mursel with grievance and W/C certificate.</t>
  </si>
  <si>
    <t>SRG-INJ-2353</t>
  </si>
  <si>
    <t>AU235971</t>
  </si>
  <si>
    <t>ENGLAND, JORJA</t>
  </si>
  <si>
    <t>ARM</t>
  </si>
  <si>
    <t>UNLOADING STOCK STOCK FELT A PAIN BETWEEN THE SHOULDE AND ELBOW</t>
  </si>
  <si>
    <t>SRG-INJ-2322</t>
  </si>
  <si>
    <t>AU332226</t>
  </si>
  <si>
    <t>BONDY, JOSEPH</t>
  </si>
  <si>
    <t>Head (Back) / Neck (Back) / Upper Back - Contusion and bruising</t>
  </si>
  <si>
    <t>Joseph had half unpacked a pallet and walked away. upon returning Joseph had his back turned to the half unpacked pallet and stood on the cut cardboard side of that pallet. He shook a box in the adjacent pallet which then caused the blinds still left standing in the half unpacked pallet to move and fall. Hitting Joseph in the back of his head, nape of his neck and side of his ribs.</t>
  </si>
  <si>
    <t>SRG-INJ-2328</t>
  </si>
  <si>
    <t>AU331560</t>
  </si>
  <si>
    <t>STANKOSKI, KAROLINA</t>
  </si>
  <si>
    <t>Sprain/Strain</t>
  </si>
  <si>
    <t>Karolina was lifting large heavy boxes over her head and also carrying them on her head</t>
  </si>
  <si>
    <t>SRG-INJ-2242</t>
  </si>
  <si>
    <t>AU331603</t>
  </si>
  <si>
    <t>CAREY, VICTORIA</t>
  </si>
  <si>
    <t>Victoria Carey was helping customer lift blinds, and customer twisted blinds and it landed on my hand which caused it to land on my had with a twist. Applied Ice pack by Tony.</t>
  </si>
  <si>
    <t>SRG-INJ-2217</t>
  </si>
  <si>
    <t>AU331633</t>
  </si>
  <si>
    <t>HARDING, NIKITA</t>
  </si>
  <si>
    <t>head shoulder and forearm</t>
  </si>
  <si>
    <t>Nikita Harding was moving eo base, once the pallett had been removed team member was fixing the rugs in the cage when the cage split open causing rugs to fall and hit the team member</t>
  </si>
  <si>
    <t>SRG-INJ-3298</t>
  </si>
  <si>
    <t>AU330179</t>
  </si>
  <si>
    <t>ROGAN, MATTHEW</t>
  </si>
  <si>
    <t>S174</t>
  </si>
  <si>
    <t>Alexandria</t>
  </si>
  <si>
    <t>I tripped on a floor mat that was in the entrance to the building, and fell onto my knee and took skin off, and bruising.</t>
  </si>
  <si>
    <t>SRG-INJ-2696</t>
  </si>
  <si>
    <t>AU317696</t>
  </si>
  <si>
    <t>TIERNEY, John</t>
  </si>
  <si>
    <t>Lung infection</t>
  </si>
  <si>
    <t>John has been hospitalised in the last week due to a combination of Covid and what he says is inhaling mold from a call out client's house.</t>
  </si>
  <si>
    <t>Novel coronavirus (COVID-19)</t>
  </si>
  <si>
    <t>Contact with, or exposure to, biological factors of unknown origin</t>
  </si>
  <si>
    <t>SRG-INJ-1795</t>
  </si>
  <si>
    <t>AU314730</t>
  </si>
  <si>
    <t>LEUNG, NIKKI</t>
  </si>
  <si>
    <t>poked eye on protruding cable tie attached to a made to measure curtain while lifting it from racking</t>
  </si>
  <si>
    <t>Team member (Nikki Leung) poked her eye on a protruding cable tie attached to one of the made to measure curtains while lifting it from the racking. Another team member who's a nurse checked eye and recommended over the counter treatment but we will follow up with Nikki</t>
  </si>
  <si>
    <t>SRG-INJ-3255</t>
  </si>
  <si>
    <t>AU332333</t>
  </si>
  <si>
    <t>HYSLOP, LUCY</t>
  </si>
  <si>
    <t>S175</t>
  </si>
  <si>
    <t>Robina</t>
  </si>
  <si>
    <t>cut left thumb below nail</t>
  </si>
  <si>
    <t>Lucy was cutting open the top of the box of stock and she cut her left thumb with the stanley knife</t>
  </si>
  <si>
    <t>SRG-INJ-3157</t>
  </si>
  <si>
    <t>AU317222</t>
  </si>
  <si>
    <t>BUCK, ANGELA</t>
  </si>
  <si>
    <t>Sore back and neck . Maybe from seatbelt</t>
  </si>
  <si>
    <t>Ange was travelling  home from work when she came over a hill in the dark and ended up in flood water in a dip of the road .</t>
  </si>
  <si>
    <t>SRG-INJ-2115</t>
  </si>
  <si>
    <t>AU330265</t>
  </si>
  <si>
    <t>LOFTUS, SIENNA</t>
  </si>
  <si>
    <t>team member cut her finger on a pair of scissors while opening a bolt of fabric. middle finger, left hand</t>
  </si>
  <si>
    <t>SRG-INJ-3183</t>
  </si>
  <si>
    <t>S24SA202086</t>
  </si>
  <si>
    <t>AU325217</t>
  </si>
  <si>
    <t>NICHOLLS, JANELLE</t>
  </si>
  <si>
    <t>S176</t>
  </si>
  <si>
    <t>Logan Hyperdome</t>
  </si>
  <si>
    <t>Back of head- bump/ bleeding</t>
  </si>
  <si>
    <t>Employee was leaving the staff room and fainted to the floor. Employee hit her head as she fainted.</t>
  </si>
  <si>
    <t>SRG-INJ-3201</t>
  </si>
  <si>
    <t>AU325689</t>
  </si>
  <si>
    <t>GRAHAM, WENDY</t>
  </si>
  <si>
    <t>S188</t>
  </si>
  <si>
    <t>Belmont</t>
  </si>
  <si>
    <t>tm tripped into the cords of a coverlet left on the shopfloor</t>
  </si>
  <si>
    <t>Wendy tripped into a coverlet cords and felt on the floor hitting his wrist and hip</t>
  </si>
  <si>
    <t>SRG-INJ-3191</t>
  </si>
  <si>
    <t>AU326671</t>
  </si>
  <si>
    <t>KENNEDY, SHANIA</t>
  </si>
  <si>
    <t>brusing on nailbed and thumb</t>
  </si>
  <si>
    <t>Knocked thumb on clip strip working stock</t>
  </si>
  <si>
    <t>SRG-INJ-3027</t>
  </si>
  <si>
    <t>G7465728</t>
  </si>
  <si>
    <t>AU298849</t>
  </si>
  <si>
    <t>HAQUE, AYSHA</t>
  </si>
  <si>
    <t>bum &amp; head</t>
  </si>
  <si>
    <t>missed bottom step fell on bum then hit head on concrete</t>
  </si>
  <si>
    <t>SRG-INJ-2955</t>
  </si>
  <si>
    <t>AU334499</t>
  </si>
  <si>
    <t>IZADI DOOST SHESHKOL, MARYAM</t>
  </si>
  <si>
    <t>hurt back</t>
  </si>
  <si>
    <t>lifting blind out of eco bin Mary said it felt like something broke in her lower back and was in immediate pain  very painful to stand M</t>
  </si>
  <si>
    <t>SRG-INJ-2906</t>
  </si>
  <si>
    <t>AU334845</t>
  </si>
  <si>
    <t>AYDIN, BAYRAM</t>
  </si>
  <si>
    <t>left index minor cut on the side</t>
  </si>
  <si>
    <t>TM was putting away the bedding overstock onto the top racking shelf as he went to put it in place, lost control and hit his finger  onto the corner of the railing.  This result in him cutting the side of his left index.</t>
  </si>
  <si>
    <t>SRG-INJ-2907</t>
  </si>
  <si>
    <t>AU317414</t>
  </si>
  <si>
    <t>VOLPI, JASMINE</t>
  </si>
  <si>
    <t>bump on head, sore neck and headache</t>
  </si>
  <si>
    <t>Dtl Jasmine was standing in the roller blinds aisle when a roller blinds fell and hit her in the head</t>
  </si>
  <si>
    <t>SRG-INJ-1851</t>
  </si>
  <si>
    <t>None</t>
  </si>
  <si>
    <t>Two ladies entered the store with empty trolley and bags. Was in store for around 20 minutes and then went to exit the store with items. Staff asked to check the younger woman's bag and had draped her personal items on top so staff could not see stolen items clearly. Older lady attempted to exit with trolley, again, with personal items draped over the trolley claiming she had a child in the trolley. Staff could clearly see spotlight items in the trolley. Threatened staff with violence, spat, threatened staff with pliers and told members her family members will come to 'bash us'. Let her leave the store in fear of violence. Reported to the police.</t>
  </si>
  <si>
    <t>SRG-INJ-3398</t>
  </si>
  <si>
    <t>AU334223</t>
  </si>
  <si>
    <t>ZACHARIOU, THEARIA</t>
  </si>
  <si>
    <t>S201</t>
  </si>
  <si>
    <t>Taylors Beach</t>
  </si>
  <si>
    <t>hit wrist on trolley</t>
  </si>
  <si>
    <t>has hurt wrist on a trolley</t>
  </si>
  <si>
    <t>SRG-INJ-3130</t>
  </si>
  <si>
    <t>AU335814</t>
  </si>
  <si>
    <t>TYSZYK, CASSANDRA</t>
  </si>
  <si>
    <t>lower right back and hip</t>
  </si>
  <si>
    <t>holding a box of spray paint and placed it on the floor approx  2kg as Cass placed it on the floor, she felt a slight Twing on her lower right side of her back and hip</t>
  </si>
  <si>
    <t>SRG-INJ-2999</t>
  </si>
  <si>
    <t>AU328310</t>
  </si>
  <si>
    <t>VAN VUGT, SONJA</t>
  </si>
  <si>
    <t>Sonja had reported she stood on the edge of the matt and twisted her ankle. Sonja reported feeling fine yesterday after the fall however she has called me this morning to advise her ankle is swollen and she wishes to take the next week off to allow it to heal.</t>
  </si>
  <si>
    <t>SRG-INJ-2784</t>
  </si>
  <si>
    <t>AU333568</t>
  </si>
  <si>
    <t>TAYLOR, NATALIE</t>
  </si>
  <si>
    <t>Nat was inspecting a broken box of a Manu cast iron pot, she opened the box put her hand in to pull the pot out and didn't realize the handle on the pot was broken off and this caused a cut on her finger.</t>
  </si>
  <si>
    <t>SRG-INJ-2706</t>
  </si>
  <si>
    <t>AU328160</t>
  </si>
  <si>
    <t>WEBB, MARGARET</t>
  </si>
  <si>
    <t>Pull in lower back</t>
  </si>
  <si>
    <t>Bent over to pick up some small pots of a PDQ and felt a pull in my back</t>
  </si>
  <si>
    <t>SRG-INJ-1601</t>
  </si>
  <si>
    <t>AU329133</t>
  </si>
  <si>
    <t>SHORTLAND, SARAH</t>
  </si>
  <si>
    <t>team member bent down to pick something up out of a basket and as she came up had bumped her head on the fire hose hanging on the wall.</t>
  </si>
  <si>
    <t>SRG-INJ-3598</t>
  </si>
  <si>
    <t>AU322663</t>
  </si>
  <si>
    <t>BUDHRAJA, PIYUSH</t>
  </si>
  <si>
    <t>S813</t>
  </si>
  <si>
    <t>HS Dark Store</t>
  </si>
  <si>
    <t>Acute Stress Response</t>
  </si>
  <si>
    <t>Piyush put his resume forward for the Leading Hand roll and going through the process of the roll didn't get the position. Piyush had then asked his manager (Joseph Jeffery) for a reason why he wasn't selected. A conversation took place of feedback and Piyush wasn't satisfied with the answer, Leading to a claim of acute stress from the work place.</t>
  </si>
  <si>
    <t>SRG-INJ-3491</t>
  </si>
  <si>
    <t>AU335788</t>
  </si>
  <si>
    <t>BAIRD, CHRISTOPHER</t>
  </si>
  <si>
    <t>S900</t>
  </si>
  <si>
    <t>Spotlight Pty Ltd</t>
  </si>
  <si>
    <t>Head - but TM wearing helmet.</t>
  </si>
  <si>
    <t>Entered by Daryl Megna from site Security Officer Wayne Matautia report.  A staff member from level 1 cyclist was riding his bike up the level 2 carpark ramp. A car was in front of him, and as the boom gate went up for the car, the cyclist moved to the right, outside of the bike lane. The boom gate arm then closed, striking him on the helmet and causing the arm to disconnect. The cyclist continued riding after the incident. He reported the incident to me and told me he is okay, as he was wearing his helmet.</t>
  </si>
  <si>
    <t>SRG-INJ-3347</t>
  </si>
  <si>
    <t>AU204133</t>
  </si>
  <si>
    <t>MCLELLAND, THOMAS</t>
  </si>
  <si>
    <t>Right hand side shoulder</t>
  </si>
  <si>
    <t>Went out to pick up an empty pallet to put on the charity pile side of the loading dock area.  As IW lifted the pallet and felt a snap in their right shoulder.  Feeling discomfort.  Able to move arm and continued working.</t>
  </si>
  <si>
    <t>SRG-INJ-3340</t>
  </si>
  <si>
    <t>AU305729</t>
  </si>
  <si>
    <t>MOORE, ANDREW</t>
  </si>
  <si>
    <t>Left Ankle rolled</t>
  </si>
  <si>
    <t>ADAM HARKER:  Andrew Moore was pushing a trolley full of combo boards for the shopfitters, when the load unbalanced, and caused the trolley to tip over. Andrew claims he has his feet anchored at the time to try to stop the trolley from tipping. Andrew then proceeded to unload the goods with the help of Carter (shopfitter) and then continued with his work. About 5 to 10 minutes later, Andrew started to feel his Left ankle began to swell and feel tender when walking.  At 3pm, I noticed Andrew with a slight limp, and asked what happened, then Andrew explained. He then went to the tea room to rest and raise his ankle. An ice pack was administered, and Andrew claims he feels ok, slightly swollen and tender, and he thinks it may have been an hyper-extension.</t>
  </si>
  <si>
    <t>SRG-INJ-3317</t>
  </si>
  <si>
    <t>AU316801</t>
  </si>
  <si>
    <t>POLUTAK, IBRAHIM</t>
  </si>
  <si>
    <t>On 17/01 my team member Ibrahim Polutak tried to stand up from his office chair. That didn't quite work and he had to sit back down. But he had accidently pushed the office chair away.  As he consequence he fell over and his right shoulder broke the fall. Then he tried to get up again. But lost his balance and fell over again. The 3 attempt to stand up was successful.  The right shoulder remained painful for a few days. On Monday 20/01 Ibrahim visited the GP because of the shoulder pain. An X-ray scan showed no damage to the shoulder but further physiotherapy was recommended.</t>
  </si>
  <si>
    <t>SRG-INJ-3039</t>
  </si>
  <si>
    <t>AU309280</t>
  </si>
  <si>
    <t>WHITAKER, STEVEN</t>
  </si>
  <si>
    <t>Muscluar injury</t>
  </si>
  <si>
    <t>Leaned into the footwell of the car to grab phone and felt pain in left leg.</t>
  </si>
  <si>
    <t>SRG-INJ-2952</t>
  </si>
  <si>
    <t>AU313307</t>
  </si>
  <si>
    <t>FENNELL, CAMERON</t>
  </si>
  <si>
    <t>Anxiety</t>
  </si>
  <si>
    <t>Cameron appeared to pass out and convulse in the kitchen while filling his water bottle.  His explanation was that he had been for an ultrasound and had not eaten since day before</t>
  </si>
  <si>
    <t>SRG-INJ-2752</t>
  </si>
  <si>
    <t>AU321016</t>
  </si>
  <si>
    <t>FOXINGTON, MICHAEL</t>
  </si>
  <si>
    <t>Mickey bumped his head on a metal counterweight attached to a boomstand</t>
  </si>
  <si>
    <t>SRG-INJ-2737</t>
  </si>
  <si>
    <t>AU321809</t>
  </si>
  <si>
    <t>MACDONALD, BRODIE</t>
  </si>
  <si>
    <t>impact to the side of the head/face area. Extent of injury, unsure. Currently sore/potential headache, visible redness, potential swelling.</t>
  </si>
  <si>
    <t>Light stand fell over and hit team member(Brodie Macdonald) in the side of the head/face area. Extent of injury, unsure. Currently sore/potential headache, visible redness, potential swelling.</t>
  </si>
  <si>
    <t>SRG-INJ-2723</t>
  </si>
  <si>
    <t>AU205870</t>
  </si>
  <si>
    <t>FATAI, JOANNE</t>
  </si>
  <si>
    <t>Joanne has hurt her left arm, elbow, shoulder, knee and ankle,</t>
  </si>
  <si>
    <t>Joanne Fatai was walking to the smoking area on level 3 on the outside of the lift (near where Avi Gilboa parks) and tripped over the speed hump. Joanne has hurt her shoulder, left elbow, left knee and ankle. Joanne is back at work.</t>
  </si>
  <si>
    <t>SRG-INJ-2705</t>
  </si>
  <si>
    <t>AU314446</t>
  </si>
  <si>
    <t>O'BRIEN, MADELINE</t>
  </si>
  <si>
    <t>Left eye</t>
  </si>
  <si>
    <t>Maddy was walking to her desk whilst holding a charging cord, it flicked upwards and hit her in the left eye.  After an hour with an ice pack her eye didn't look too red but vision was blurred so she was sent home in an uber.</t>
  </si>
  <si>
    <t>SRG-INJ-2643</t>
  </si>
  <si>
    <t>AU330267</t>
  </si>
  <si>
    <t>KELLY, ELISE</t>
  </si>
  <si>
    <t>Sore forearm &amp; shoulder (From reaction to falling object, maybe pulled muscle or something)</t>
  </si>
  <si>
    <t>a clamp fell from the top of a wall and landed on Elise's right forearm, resulting in pain when moving arm, potential pre-bruise, maybe more</t>
  </si>
  <si>
    <t>SRG-INJ-2533</t>
  </si>
  <si>
    <t>AU202508</t>
  </si>
  <si>
    <t>WREGG, JASON</t>
  </si>
  <si>
    <t>Driving four hour return trip in Toyota Hi Lux. Movement from car and badly maintained road caused severe pain i lower back</t>
  </si>
  <si>
    <t>SRG-INJ-2491</t>
  </si>
  <si>
    <t>AU239383</t>
  </si>
  <si>
    <t>ASHTON, HARRY</t>
  </si>
  <si>
    <t>Feeling threatened and intimidated</t>
  </si>
  <si>
    <t>Fed-Ex driver pulled up in Browns Lane to complete collection of our outgoing parcels. Nowhere to pull over so he turned on his hazard lights and started his normal collection routine.  While loading parcels onto a trolley in despatch office we heard loud aggressive honking from the laneway. Went out to investigate and a female member of the public was angry that she couldnâ€™t drive through the lane.   Eventually exited her vehicle and started yelling and getting abusive. Pulled out her phone and started filming me threatening to report myself and driver for â€œillegal activityâ€ and put us on social media. Felt intimidated. As she had stepped over the threshold into the loading dock asked her to leave the private property and disengaged conversation.  Fed-Ex driver finished loading parcels and advised her she could now pass through the lane as he was leaving. She then drove away; understand she ended up going shopping in South Melbourne Central</t>
  </si>
  <si>
    <t>SRG-INJ-2408</t>
  </si>
  <si>
    <t>AU324317</t>
  </si>
  <si>
    <t>SAPHIN, ALEXANDRA</t>
  </si>
  <si>
    <t>Burn Left Hand</t>
  </si>
  <si>
    <t>Alex was rinsing her cup under boiling water and the cup slipped and burnt her hand.  Hand was run under luke warm water for approximately 5 min</t>
  </si>
  <si>
    <t>SRG-INJ-2300</t>
  </si>
  <si>
    <t>AU235902</t>
  </si>
  <si>
    <t>HUMBLE, MELISA</t>
  </si>
  <si>
    <t>wrist aching and headache from stress</t>
  </si>
  <si>
    <t>Another Car ran a red light and Lisa hit their rear end</t>
  </si>
  <si>
    <t>SRG-INJ-2471</t>
  </si>
  <si>
    <t>AU240922</t>
  </si>
  <si>
    <t>GLASS, JORDAN</t>
  </si>
  <si>
    <t>Hurt Hand</t>
  </si>
  <si>
    <t>It was really fast but when I tried to roll the white board aside to get to cables it started falling back towards me and the person sitting closest to the front of the room, I am more shocked from the whiteboard almost hitting that person in the head when it fell, I hurt my hand trying to hold it up, but I couldn't stop it. Only after it fell, I realised that one of the bolts holding the whiteboard to its wheels was loose and had come out which is probably what caused it to fall so easily.</t>
  </si>
  <si>
    <t>SRG-INJ-2049</t>
  </si>
  <si>
    <t>AU313191</t>
  </si>
  <si>
    <t>MAZUMDAR, KUNAL</t>
  </si>
  <si>
    <t>Small cut on pinky finger</t>
  </si>
  <si>
    <t>crushed my finger between the desk and chair while moving around and still had my palm resting on the chair handle</t>
  </si>
  <si>
    <t>SRG-INJ-2025</t>
  </si>
  <si>
    <t>AU329786</t>
  </si>
  <si>
    <t>CLARK, LIAM</t>
  </si>
  <si>
    <t>Team member received a  phone call that was quiet demeaning and demoralising. Leaving the TM feeling upset.</t>
  </si>
  <si>
    <t>SRG-INJ-1931</t>
  </si>
  <si>
    <t>au322108</t>
  </si>
  <si>
    <t>LIM-CAIRNS, Elsa</t>
  </si>
  <si>
    <t>Bruised shin</t>
  </si>
  <si>
    <t>Went behind a set, hit shin on concealed wall support strut</t>
  </si>
  <si>
    <t>SRG-INJ-1788</t>
  </si>
  <si>
    <t>AU294486</t>
  </si>
  <si>
    <t>SHAW, REECE</t>
  </si>
  <si>
    <t>Boiling hot water ran over hand</t>
  </si>
  <si>
    <t>Went to fill up my water bottle and flicked the wrong tap on the flick mix by accident. My bottle was lined up for the cold tap and the boiling water ran over my hand from the side so got my index and middle finger both sides on my left hand. The Safety was not engaged on the tap.</t>
  </si>
  <si>
    <t>SRG-INJ-2417</t>
  </si>
  <si>
    <t>AU324266</t>
  </si>
  <si>
    <t>CLIFFORD, BRODIE</t>
  </si>
  <si>
    <t>S907</t>
  </si>
  <si>
    <t>Photography</t>
  </si>
  <si>
    <t>Brodie was bitten by a child. Child talent was runnign amok on set, Brodie was interacting with the child in a playful way to try and get the child talent's socks off to prepare them for the next outfit. She caught the child and removed the socks, and the child grabbed her arm and bit it.</t>
  </si>
  <si>
    <t>SRG-INJ-2374</t>
  </si>
  <si>
    <t>AU330106</t>
  </si>
  <si>
    <t>TENCHE, ANDREI</t>
  </si>
  <si>
    <t>Andrei walked into a clothing rack, it stuck him on the top of the head. Currently experiencing a headache and bump at the site.</t>
  </si>
  <si>
    <t>SRG-INJ-2331</t>
  </si>
  <si>
    <t>AU322108</t>
  </si>
  <si>
    <t>LIM-CAIRNS, ELSA</t>
  </si>
  <si>
    <t>Ankle (R) - Sprain / Strain</t>
  </si>
  <si>
    <t>Elsa was standing on a TEAMSTEP safety stool, when she went to step down from the stool it slipped out from under her and her ankle rolled causing her to collapse. She is feeling pain in her ankle and tenderness when walking.</t>
  </si>
  <si>
    <t>SRG-INJ-1568</t>
  </si>
  <si>
    <t>AU239177</t>
  </si>
  <si>
    <t>MUSCARA, AARON</t>
  </si>
  <si>
    <t>Aaron fell in the office this morning and hit his head The team have been checking in on him since and he has a bump on the back of his head  which is slightly sore</t>
  </si>
  <si>
    <t>SRG-INJ-3552</t>
  </si>
  <si>
    <t>AU324691</t>
  </si>
  <si>
    <t>WOL, CHARLES</t>
  </si>
  <si>
    <t>S910</t>
  </si>
  <si>
    <t>Laverton</t>
  </si>
  <si>
    <t>Bad pain in left hip</t>
  </si>
  <si>
    <t>When Charles was pulling a pallet for picking, he heard a sound from his left hip and he started feeling a bad pain.</t>
  </si>
  <si>
    <t>SRG-INJ-3320</t>
  </si>
  <si>
    <t>AU324859</t>
  </si>
  <si>
    <t>GUEM, AGUM</t>
  </si>
  <si>
    <t>Sprains</t>
  </si>
  <si>
    <t>Team member was standing next to conveyor when forklift driver went to place a euro bin adjacent to the conveyor so articles can be loaded onto conveyor. While doing this he hit the conveyor with the euro bin causing the first section of the conveyor to move out of place, followed by the second section to topple over. Team member in the vicinity tried to move away quickly and in doing so she sprained her left thigh. Although team member is much better, she took today off to have an X-ray for investigative purposes.</t>
  </si>
  <si>
    <t>SRG-INJ-3211</t>
  </si>
  <si>
    <t>AU203462</t>
  </si>
  <si>
    <t>KOFTEROS, ANASTASIA</t>
  </si>
  <si>
    <t>Bruised and swollen ankle</t>
  </si>
  <si>
    <t>Team member was trying to grab a fabric roll on a pallet . She stepped on to the pallet to reach for the roll,she accidentally placed her foot between the pallets slats and injured her right ankle.</t>
  </si>
  <si>
    <t>SRG-INJ-2924</t>
  </si>
  <si>
    <t>AU324823</t>
  </si>
  <si>
    <t>CHATTHA, ZAIN</t>
  </si>
  <si>
    <t>left feet.</t>
  </si>
  <si>
    <t>I was picking full pallet and having problem while picking so I go to the leading hand to describe him. there is some stock in front of the desk and by mistake my feet stuck on rack only pallet and twist little bit.</t>
  </si>
  <si>
    <t>SRG-INJ-2802</t>
  </si>
  <si>
    <t>AU322598</t>
  </si>
  <si>
    <t>JYOTI, JYOTI</t>
  </si>
  <si>
    <t>Jyoti was picking dinner set 20kg from 3c-68-01 as per her she lifts the dinner set not in correct posture due to rushing to pick orders from that she felt irritation in her lower back .</t>
  </si>
  <si>
    <t>SRG-INJ-2805</t>
  </si>
  <si>
    <t>AU201581</t>
  </si>
  <si>
    <t>VELLA, RAYMOND</t>
  </si>
  <si>
    <t>UNDER MY NECK ON MY BACK</t>
  </si>
  <si>
    <t>In Containers PA area while taking pallet for PUT AWAY one of the FL driver push the pallet from back.</t>
  </si>
  <si>
    <t>SRG-INJ-2817</t>
  </si>
  <si>
    <t>AU206879</t>
  </si>
  <si>
    <t>KACUNIC, IVAN</t>
  </si>
  <si>
    <t>head - to the side/back on the LHS</t>
  </si>
  <si>
    <t>Toilet cubical assistance bar dislocated from the wall mount and hit the head</t>
  </si>
  <si>
    <t>SRG-INJ-2687</t>
  </si>
  <si>
    <t>AU320809</t>
  </si>
  <si>
    <t>MOHAMMED, ABDUL RAOOF</t>
  </si>
  <si>
    <t>B Laverton 2</t>
  </si>
  <si>
    <t>Left Eye Impact</t>
  </si>
  <si>
    <t>Abdul Raoof was team-lifting stock with Dawit into store A092. Dawit was lifting the bottom of the carton while Abdul grabbed the strap on the top as this box was awkward and heavy. The strap broke and Abdul whipped himself in the face, catching the left eye area. Abdul had a sore eye and an icepack was given. He was icing his eye and flushing it out for around 20 minutes before going on break. Earl and I (team leaders for allocation) have checked his eye and did not see anything out of the ordinary. He had informed us he was fine, although there was some general soreness/discomfort around the eye.</t>
  </si>
  <si>
    <t>SRG-INJ-2605</t>
  </si>
  <si>
    <t>AU319721</t>
  </si>
  <si>
    <t>BUSH, JOVARN</t>
  </si>
  <si>
    <t>Ribs</t>
  </si>
  <si>
    <t>Jovarn was operating the high reach while diving back to reviving, near aisle 25 when the machine suddenly stop causing him to fall out of his seat and falling to the ground and injuring his ribs.</t>
  </si>
  <si>
    <t>SRG-INJ-2551</t>
  </si>
  <si>
    <t>AU298316</t>
  </si>
  <si>
    <t>BOYD, MARK</t>
  </si>
  <si>
    <t>scratches on back</t>
  </si>
  <si>
    <t>While pulling out pallets in the staging area to straighten up the loscam pallets for dispatching back to loscam, a plain pallet to segregate between the two warehouses (fire safety) was jammed in the bottom of the loscam pallet. the team member was trying to pull out the plain pallet manually and the stack of loscams wobbled and fell over on top of the team member.</t>
  </si>
  <si>
    <t>SRG-INJ-2538</t>
  </si>
  <si>
    <t>Team member's finger was accidently cut by another team member when she attempted to assist in removing the plastic covering of a pallet containing stock.</t>
  </si>
  <si>
    <t>SRG-INJ-2510</t>
  </si>
  <si>
    <t>REUPENA, Selwyn</t>
  </si>
  <si>
    <t>Team member name: Selwyn Reupena.      Index finger, left hand, cut on finger</t>
  </si>
  <si>
    <t>Staff member went to restart the sortation system. The safety switch in the middle of the belt had to be reset, while team member was resetting the safety switch his finger slipped and cut his index finger on the left hand. Team member was given a band aid from the Manager. First aid required.</t>
  </si>
  <si>
    <t>SRG-INJ-2410</t>
  </si>
  <si>
    <t>AU320820</t>
  </si>
  <si>
    <t>PEDURU ARACHCHIGE, MODITHA RANAHANSA</t>
  </si>
  <si>
    <t>Got hit on the left foot/swollen</t>
  </si>
  <si>
    <t>The team member was moving full pallets into wrapping area when his left  foot got  caught between the pallets and the electric pallet jack.</t>
  </si>
  <si>
    <t>SRG-INJ-2369</t>
  </si>
  <si>
    <t>AU309126</t>
  </si>
  <si>
    <t>CHAND, ALVIN</t>
  </si>
  <si>
    <t>Right Shoulder/Upper right Back</t>
  </si>
  <si>
    <t>The team member was using pallet jack to move the bins and then it suddenly jerked due the plastic pieces getting stuck under the tyres. This caused a sharp pain in his right shoulder/upper right back.</t>
  </si>
  <si>
    <t>SRG-INJ-2357</t>
  </si>
  <si>
    <t>AU320879</t>
  </si>
  <si>
    <t>KAUR, GAGANDEEP</t>
  </si>
  <si>
    <t>right face, right shoulder and left ribs</t>
  </si>
  <si>
    <t>Team member Gagandeep Kaur was wrapping a stack of empty plastic pallets when the top pallets collapsed on her hitting her  right face and shoulder, she fell to the ground hitting her ribs on a metal stillage.</t>
  </si>
  <si>
    <t>SRG-INJ-2364</t>
  </si>
  <si>
    <t>KHAN, Aamir Ali</t>
  </si>
  <si>
    <t>Trying to lift the weight,that is carton</t>
  </si>
  <si>
    <t>SRG-INJ-2366</t>
  </si>
  <si>
    <t>NORZI, Persem</t>
  </si>
  <si>
    <t>When I lift top box and box very heavy I got injury my back.</t>
  </si>
  <si>
    <t>SRG-INJ-2276</t>
  </si>
  <si>
    <t>AU227677</t>
  </si>
  <si>
    <t>VETEHA, DENNY</t>
  </si>
  <si>
    <t>eyes affected by oil/fluid</t>
  </si>
  <si>
    <t>Team member was loading WA truck and suddenly the hydraulic hose burst and oil spread into eyes</t>
  </si>
  <si>
    <t>SRG-INJ-2365</t>
  </si>
  <si>
    <t>AU320776</t>
  </si>
  <si>
    <t>WILLIAMS, Simon</t>
  </si>
  <si>
    <t>on the middle finger</t>
  </si>
  <si>
    <t>Trying to open a box and got cut on my  middle finger.</t>
  </si>
  <si>
    <t>SRG-INJ-2233</t>
  </si>
  <si>
    <t>ABBAS NEJAD, Mohammed</t>
  </si>
  <si>
    <t>cramp</t>
  </si>
  <si>
    <t>Team member's leg was caught on a pallet left on the floor whilst attempting to lift a pallet with another team member.</t>
  </si>
  <si>
    <t>SRG-INJ-2132</t>
  </si>
  <si>
    <t>AU319689</t>
  </si>
  <si>
    <t>KUOL, DANIEL</t>
  </si>
  <si>
    <t>picking blinds bending to place blinds in the tubs</t>
  </si>
  <si>
    <t>was lifting blinds to place into the bin, felt pain on lower back</t>
  </si>
  <si>
    <t>SRG-INJ-2136</t>
  </si>
  <si>
    <t>AU320793</t>
  </si>
  <si>
    <t>POPPLETON, ELIZABETH</t>
  </si>
  <si>
    <t>scrapped skin</t>
  </si>
  <si>
    <t>put one pallet in allocation empty pallet area, pallet in that area not stack properly one of the pallet just move and hit leg.</t>
  </si>
  <si>
    <t>SRG-INJ-2098</t>
  </si>
  <si>
    <t>HUTCHINSON, JARRED</t>
  </si>
  <si>
    <t>Small cut/bump on the forehead</t>
  </si>
  <si>
    <t>Stock (tables) fell off the pallet onto the team member (Jarred). The tables were stacked on top of a light box which became unbalanced. It pushed the other tables that were stacked upright to fall onto Jarred while he was crouching to write SSCC number on the pallet. Jarred braced as the table fell which hit his arm and head.</t>
  </si>
  <si>
    <t>SRG-INJ-2131</t>
  </si>
  <si>
    <t>battery cells exploded and team member had ringing in his ears</t>
  </si>
  <si>
    <t>battery cells exploded. Team member states that he has some ringing in his ears.</t>
  </si>
  <si>
    <t>Other diseases of the ear and mastoid process</t>
  </si>
  <si>
    <t>Explosion</t>
  </si>
  <si>
    <t>Forklift</t>
  </si>
  <si>
    <t>SRG-INJ-2041</t>
  </si>
  <si>
    <t>AU321134</t>
  </si>
  <si>
    <t>SINGH, AJAYPAL</t>
  </si>
  <si>
    <t>My legs and arms</t>
  </si>
  <si>
    <t>Battery of LO  Machine VR11200 came out and started leaking. I was walking near by and the liquid drops fell all over my legs and arms. My trouser was all damaged and I felt some irritation so I had to take a shower and change my cloths.</t>
  </si>
  <si>
    <t>SRG-INJ-2042</t>
  </si>
  <si>
    <t>AU309131</t>
  </si>
  <si>
    <t>HUYNH, NATHAN</t>
  </si>
  <si>
    <t>My legs.</t>
  </si>
  <si>
    <t>Battery of LO  Machine VR11200 came out and started leaking. I was walking near by and the liquid drops fell all over my legs. My trouser was all damaged and I felt some irritation so I had to take a shower and change my cloths.</t>
  </si>
  <si>
    <t>Long term contact with chemicals or substances</t>
  </si>
  <si>
    <t>SRG-INJ-2033</t>
  </si>
  <si>
    <t>AU322970</t>
  </si>
  <si>
    <t>TRIANTY, NINDA</t>
  </si>
  <si>
    <t>Side of left ankle</t>
  </si>
  <si>
    <t>Team member hit the side of her left ankle with the cage trolley while moving it</t>
  </si>
  <si>
    <t>SRG-INJ-1982</t>
  </si>
  <si>
    <t>AU324683</t>
  </si>
  <si>
    <t>NIPOE, NAMONKOAH</t>
  </si>
  <si>
    <t>sore little right finger</t>
  </si>
  <si>
    <t>was driving a tugger and the plastic on the floor made the tugger swing cut my little finger Right finger</t>
  </si>
  <si>
    <t>SRG-INJ-1847</t>
  </si>
  <si>
    <t>AU320787</t>
  </si>
  <si>
    <t>SAN JOSE, KARL</t>
  </si>
  <si>
    <t>splinter right middle finger</t>
  </si>
  <si>
    <t>wood splinter on Right middle finger whilst lifting timber pallet by hand</t>
  </si>
  <si>
    <t>SRG-INJ-1813</t>
  </si>
  <si>
    <t>index finger on left hand</t>
  </si>
  <si>
    <t>was pulling out a box when a roll of shrink rolled an hit her hand</t>
  </si>
  <si>
    <t>SRG-INJ-1760</t>
  </si>
  <si>
    <t>nil  box fell onto shoulder very light box, no injury</t>
  </si>
  <si>
    <t>fragile box was on top of a stack of boxes upside down, trying to reach the box and remove, the box slipped out of my fingers and I lost balance and hurt left shoulder. was standing between two pallets</t>
  </si>
  <si>
    <t>SRG-INJ-1741</t>
  </si>
  <si>
    <t>AU320803</t>
  </si>
  <si>
    <t>PAREKH, SONALBEN</t>
  </si>
  <si>
    <t>Sonal was walking to the clock machines when she slipped and twisted her ankle</t>
  </si>
  <si>
    <t>SRG-INJ-1776</t>
  </si>
  <si>
    <t>AU320781</t>
  </si>
  <si>
    <t>KAUR, DALJIT</t>
  </si>
  <si>
    <t>should right shoulder developed whilst lifting heavy items at the cross dock</t>
  </si>
  <si>
    <t>sustained a sore Right shoulder pain due to lifting heavy boxes at Cross dock,</t>
  </si>
  <si>
    <t>SRG-INJ-1672</t>
  </si>
  <si>
    <t>sore head left side of head</t>
  </si>
  <si>
    <t>I moved one carton to a different location, did not notice plastic wrap, foot got stuck on the plastic.  carton hit my head as I held it .  I stumbled and the carton weighing approx. 7-8kg hit my head</t>
  </si>
  <si>
    <t>SRG-INJ-1699</t>
  </si>
  <si>
    <t>AU324698</t>
  </si>
  <si>
    <t>WILLIAMS, KEITH</t>
  </si>
  <si>
    <t>broken glasses no injury to team member</t>
  </si>
  <si>
    <t>rug fell on my face and cracked the lens of my glasses   - was stacking rugs on the floor</t>
  </si>
  <si>
    <t>SRG-INJ-2297</t>
  </si>
  <si>
    <t>S23CY094340</t>
  </si>
  <si>
    <t>AU328476</t>
  </si>
  <si>
    <t>FORKGEN, LANCE</t>
  </si>
  <si>
    <t>S921</t>
  </si>
  <si>
    <t>Injury alleged to have occurred on 01/09/2023 - Neck pain with rt arm and radiculopathy, migraine</t>
  </si>
  <si>
    <t>Lance has mentioned that he has been having pain and was seeing a dr to get tests, he stated on 25/01/24 that it happens when he drives and demonstrated how he holds his arm up. There was no specific incident or occasion from when this happened.</t>
  </si>
  <si>
    <t>APR, FY25</t>
  </si>
  <si>
    <t>Q4, FY25</t>
  </si>
  <si>
    <t>FAIs</t>
  </si>
  <si>
    <t/>
  </si>
  <si>
    <t>Harris Scarfe</t>
  </si>
  <si>
    <t>SA</t>
  </si>
  <si>
    <t>Store</t>
  </si>
  <si>
    <t>SA/TAS</t>
  </si>
  <si>
    <t>Harris Scarfe - SA/TAS</t>
  </si>
  <si>
    <t>MAR, FY25</t>
  </si>
  <si>
    <t>Q3, FY25</t>
  </si>
  <si>
    <t>Incident</t>
  </si>
  <si>
    <t>DEC, FY24</t>
  </si>
  <si>
    <t>Q2, FY24</t>
  </si>
  <si>
    <t>OCT, FY24</t>
  </si>
  <si>
    <t>OCT, FY25</t>
  </si>
  <si>
    <t>Q2, FY25</t>
  </si>
  <si>
    <t>SEP, FY25</t>
  </si>
  <si>
    <t>Q1, FY25</t>
  </si>
  <si>
    <t>AUG, FY25</t>
  </si>
  <si>
    <t>MTIs</t>
  </si>
  <si>
    <t>JUL, FY25</t>
  </si>
  <si>
    <t>JUN, FY24</t>
  </si>
  <si>
    <t>Q4, FY24</t>
  </si>
  <si>
    <t>MAY, FY24</t>
  </si>
  <si>
    <t>NOV, FY24</t>
  </si>
  <si>
    <t>SEP, FY24</t>
  </si>
  <si>
    <t>Q1, FY24</t>
  </si>
  <si>
    <t>AUG, FY24</t>
  </si>
  <si>
    <t>LTIs</t>
  </si>
  <si>
    <t>MAR, FY24</t>
  </si>
  <si>
    <t>Q3, FY24</t>
  </si>
  <si>
    <t>FEB, FY24</t>
  </si>
  <si>
    <t>JAN, FY24</t>
  </si>
  <si>
    <t>FEB, FY25</t>
  </si>
  <si>
    <t>APR, FY24</t>
  </si>
  <si>
    <t>JUL, FY24</t>
  </si>
  <si>
    <t>DEC, FY25</t>
  </si>
  <si>
    <t>VIC</t>
  </si>
  <si>
    <t>Harris Scarfe - VIC</t>
  </si>
  <si>
    <t>VIC &amp; NSW</t>
  </si>
  <si>
    <t>Harris Scarfe - VIC &amp; NSW</t>
  </si>
  <si>
    <t>NOV, FY25</t>
  </si>
  <si>
    <t>JAN, FY25</t>
  </si>
  <si>
    <t>DC</t>
  </si>
  <si>
    <t>Supply Chain</t>
  </si>
  <si>
    <t>SG</t>
  </si>
  <si>
    <t>Harris Scarfe SG</t>
  </si>
  <si>
    <t>HS SG</t>
  </si>
  <si>
    <t>Support Group AU</t>
  </si>
  <si>
    <t>TAS</t>
  </si>
  <si>
    <t>NSW</t>
  </si>
  <si>
    <t>NSW/ACT</t>
  </si>
  <si>
    <t>Harris Scarfe - NSW/ACT</t>
  </si>
  <si>
    <t>QLD</t>
  </si>
  <si>
    <t>Harris Scarfe - QLD</t>
  </si>
  <si>
    <t>ACT</t>
  </si>
  <si>
    <t>Anaconda</t>
  </si>
  <si>
    <t>VIC North / East</t>
  </si>
  <si>
    <t>Anaconda - VIC North / East</t>
  </si>
  <si>
    <t>QLD Central</t>
  </si>
  <si>
    <t>Anaconda - QLD Central</t>
  </si>
  <si>
    <t>WA</t>
  </si>
  <si>
    <t>Anaconda - WA</t>
  </si>
  <si>
    <t>BRISBANE / FNQ Cluster</t>
  </si>
  <si>
    <t>Anaconda - BRISBANE / FNQ Cluster</t>
  </si>
  <si>
    <t>NSW South</t>
  </si>
  <si>
    <t>Anaconda - NSW South</t>
  </si>
  <si>
    <t>QLD NW / NT</t>
  </si>
  <si>
    <t>Anaconda - QLD NW / NT</t>
  </si>
  <si>
    <t>SA / ACT</t>
  </si>
  <si>
    <t>Anaconda - SA / ACT</t>
  </si>
  <si>
    <t>VIC West / TAS</t>
  </si>
  <si>
    <t>Anaconda - VIC West / TAS</t>
  </si>
  <si>
    <t>NSW North</t>
  </si>
  <si>
    <t>Anaconda - NSW North</t>
  </si>
  <si>
    <t>NT</t>
  </si>
  <si>
    <t>Anaconda SG</t>
  </si>
  <si>
    <t>Ana SG</t>
  </si>
  <si>
    <t>FFM</t>
  </si>
  <si>
    <t>Spotlight Group Holdings</t>
  </si>
  <si>
    <t>SGA</t>
  </si>
  <si>
    <t>Spotlight Group Aviation</t>
  </si>
  <si>
    <t>Spotlight</t>
  </si>
  <si>
    <t>Spotlight AU</t>
  </si>
  <si>
    <t>VIC East</t>
  </si>
  <si>
    <t>Spotlight AU - VIC East</t>
  </si>
  <si>
    <t>VIC West</t>
  </si>
  <si>
    <t>Spotlight AU - VIC West</t>
  </si>
  <si>
    <t>QLD Central / TAS</t>
  </si>
  <si>
    <t>Spotlight AU - QLD Central / TAS</t>
  </si>
  <si>
    <t>SA/NT</t>
  </si>
  <si>
    <t>Spotlight AU - SA/NT</t>
  </si>
  <si>
    <t>NSW South / ACT</t>
  </si>
  <si>
    <t>Spotlight AU - NSW South / ACT</t>
  </si>
  <si>
    <t>NSW Central</t>
  </si>
  <si>
    <t>Spotlight AU - NSW Central</t>
  </si>
  <si>
    <t>QLD North</t>
  </si>
  <si>
    <t>Spotlight AU - QLD North</t>
  </si>
  <si>
    <t>NSW North / QLD South</t>
  </si>
  <si>
    <t>Spotlight AU - NSW North / QLD South</t>
  </si>
  <si>
    <t>Spotlight AU - WA</t>
  </si>
  <si>
    <t>Spotlight SG</t>
  </si>
  <si>
    <t>Spot SG</t>
  </si>
  <si>
    <t>Shared Serv.</t>
  </si>
  <si>
    <t>Marketing</t>
  </si>
  <si>
    <t>Hire Date</t>
  </si>
  <si>
    <t>Term Date</t>
  </si>
  <si>
    <t>Tenure at Date of Injury</t>
  </si>
  <si>
    <t>Tenure with the Company</t>
  </si>
  <si>
    <t>Employment type</t>
  </si>
  <si>
    <t>Base hours</t>
  </si>
  <si>
    <t>Age</t>
  </si>
  <si>
    <t xml:space="preserve">Done Safe ID </t>
  </si>
  <si>
    <t>INC3730</t>
  </si>
  <si>
    <t>INC3757</t>
  </si>
  <si>
    <t>INC3797</t>
  </si>
  <si>
    <t>INC3815</t>
  </si>
  <si>
    <t>INC3816</t>
  </si>
  <si>
    <t>INC3892</t>
  </si>
  <si>
    <t>INC3861</t>
  </si>
  <si>
    <t>INC3975</t>
  </si>
  <si>
    <t>INC3972</t>
  </si>
  <si>
    <t>INC3950</t>
  </si>
  <si>
    <t>INC3960</t>
  </si>
  <si>
    <t>INC3994</t>
  </si>
  <si>
    <t>INC4043</t>
  </si>
  <si>
    <t>INC6416</t>
  </si>
  <si>
    <t>INC4177</t>
  </si>
  <si>
    <t>INC4233</t>
  </si>
  <si>
    <t>INC4250</t>
  </si>
  <si>
    <t>INC4270</t>
  </si>
  <si>
    <t>INC4296</t>
  </si>
  <si>
    <t>INC4298</t>
  </si>
  <si>
    <t>INC4319</t>
  </si>
  <si>
    <t>INC4297</t>
  </si>
  <si>
    <t>INC4320</t>
  </si>
  <si>
    <t>INC12058</t>
  </si>
  <si>
    <t>INC4368</t>
  </si>
  <si>
    <t>INC4436</t>
  </si>
  <si>
    <t>INC4369</t>
  </si>
  <si>
    <t>INC4378</t>
  </si>
  <si>
    <t>INC4401</t>
  </si>
  <si>
    <t>INC4415</t>
  </si>
  <si>
    <t>INC4417</t>
  </si>
  <si>
    <t>INC4479</t>
  </si>
  <si>
    <t>INC4472</t>
  </si>
  <si>
    <t>INC4489</t>
  </si>
  <si>
    <t>INC4511</t>
  </si>
  <si>
    <t>INC5527</t>
  </si>
  <si>
    <t>INC4521</t>
  </si>
  <si>
    <t>INC4533</t>
  </si>
  <si>
    <t>INC4520</t>
  </si>
  <si>
    <t>INC4562</t>
  </si>
  <si>
    <t>INC4590</t>
  </si>
  <si>
    <t>INC4564</t>
  </si>
  <si>
    <t>INC4555</t>
  </si>
  <si>
    <t>INC5326</t>
  </si>
  <si>
    <t>INC4589</t>
  </si>
  <si>
    <t>INC4586</t>
  </si>
  <si>
    <t>INC4581</t>
  </si>
  <si>
    <t>INC4603</t>
  </si>
  <si>
    <t>INC4627</t>
  </si>
  <si>
    <t>INC4730</t>
  </si>
  <si>
    <t>INC4704</t>
  </si>
  <si>
    <t>INC4735</t>
  </si>
  <si>
    <t>INC4758</t>
  </si>
  <si>
    <t>INC4773</t>
  </si>
  <si>
    <t>INC4771</t>
  </si>
  <si>
    <t>INC4789</t>
  </si>
  <si>
    <t>INC5061</t>
  </si>
  <si>
    <t>INC4802</t>
  </si>
  <si>
    <t>INC4810</t>
  </si>
  <si>
    <t>INC4846</t>
  </si>
  <si>
    <t>INC4848</t>
  </si>
  <si>
    <t>INC4878</t>
  </si>
  <si>
    <t>INC4880</t>
  </si>
  <si>
    <t>INC4921</t>
  </si>
  <si>
    <t>INC4946</t>
  </si>
  <si>
    <t>INC4934</t>
  </si>
  <si>
    <t>INC4952</t>
  </si>
  <si>
    <t>INC4978</t>
  </si>
  <si>
    <t>INC4999</t>
  </si>
  <si>
    <t>INC5048</t>
  </si>
  <si>
    <t>INC5030</t>
  </si>
  <si>
    <t>INC5035</t>
  </si>
  <si>
    <t>INC5105</t>
  </si>
  <si>
    <t>INC5130</t>
  </si>
  <si>
    <t>INC5126</t>
  </si>
  <si>
    <t>INC5127</t>
  </si>
  <si>
    <t>INC5166</t>
  </si>
  <si>
    <t>INC5172</t>
  </si>
  <si>
    <t>INC5189</t>
  </si>
  <si>
    <t>INC5204</t>
  </si>
  <si>
    <t>INC5252</t>
  </si>
  <si>
    <t>INC5224</t>
  </si>
  <si>
    <t>INC5310</t>
  </si>
  <si>
    <t>INC5365</t>
  </si>
  <si>
    <t>INC5358</t>
  </si>
  <si>
    <t>INC5360</t>
  </si>
  <si>
    <t>INC5407</t>
  </si>
  <si>
    <t>INC5416</t>
  </si>
  <si>
    <t>INC5494</t>
  </si>
  <si>
    <t>INC5502</t>
  </si>
  <si>
    <t>INC5495</t>
  </si>
  <si>
    <t>INC5510</t>
  </si>
  <si>
    <t>INC6822</t>
  </si>
  <si>
    <t>INC5575</t>
  </si>
  <si>
    <t>INC5583</t>
  </si>
  <si>
    <t>INC5599</t>
  </si>
  <si>
    <t>INC5609</t>
  </si>
  <si>
    <t>INC5631</t>
  </si>
  <si>
    <t>INC5632</t>
  </si>
  <si>
    <t>INC5636</t>
  </si>
  <si>
    <t>INC5633</t>
  </si>
  <si>
    <t>INC5658</t>
  </si>
  <si>
    <t>INC5680</t>
  </si>
  <si>
    <t>INC5729</t>
  </si>
  <si>
    <t>INC5739</t>
  </si>
  <si>
    <t>INC5774</t>
  </si>
  <si>
    <t>INC5802</t>
  </si>
  <si>
    <t>INC5816</t>
  </si>
  <si>
    <t>INC5834</t>
  </si>
  <si>
    <t>INC5862</t>
  </si>
  <si>
    <t>INC5898</t>
  </si>
  <si>
    <t>INC5916</t>
  </si>
  <si>
    <t>INC5938</t>
  </si>
  <si>
    <t>INC5975</t>
  </si>
  <si>
    <t>INC6012</t>
  </si>
  <si>
    <t>INC5990</t>
  </si>
  <si>
    <t>INC5989</t>
  </si>
  <si>
    <t>INC6112</t>
  </si>
  <si>
    <t>INC6058</t>
  </si>
  <si>
    <t>INC6129</t>
  </si>
  <si>
    <t>INC6121</t>
  </si>
  <si>
    <t>INC6207</t>
  </si>
  <si>
    <t>INC6203</t>
  </si>
  <si>
    <t>INC6384</t>
  </si>
  <si>
    <t>INC6264</t>
  </si>
  <si>
    <t>INC6306</t>
  </si>
  <si>
    <t>INC6338</t>
  </si>
  <si>
    <t>INC6348</t>
  </si>
  <si>
    <t>INC6361</t>
  </si>
  <si>
    <t>INC6385</t>
  </si>
  <si>
    <t>INC6410</t>
  </si>
  <si>
    <t>INC6420</t>
  </si>
  <si>
    <t>INC6421</t>
  </si>
  <si>
    <t>INC6438</t>
  </si>
  <si>
    <t>INC6471</t>
  </si>
  <si>
    <t>INC6468</t>
  </si>
  <si>
    <t>INC6480</t>
  </si>
  <si>
    <t>INC6506</t>
  </si>
  <si>
    <t>INC6557</t>
  </si>
  <si>
    <t>INC6567</t>
  </si>
  <si>
    <t>INC6555</t>
  </si>
  <si>
    <t>INC6616</t>
  </si>
  <si>
    <t>INC6583</t>
  </si>
  <si>
    <t>INC6605</t>
  </si>
  <si>
    <t>INC6585</t>
  </si>
  <si>
    <t>INC6818</t>
  </si>
  <si>
    <t>INC6628</t>
  </si>
  <si>
    <t>INC6615</t>
  </si>
  <si>
    <t>INC6629</t>
  </si>
  <si>
    <t>INC6717</t>
  </si>
  <si>
    <t>INC6723</t>
  </si>
  <si>
    <t>INC6703</t>
  </si>
  <si>
    <t>INC6744</t>
  </si>
  <si>
    <t>INC6770</t>
  </si>
  <si>
    <t>INC6898</t>
  </si>
  <si>
    <t>INC6835</t>
  </si>
  <si>
    <t>INC6968</t>
  </si>
  <si>
    <t>INC6927</t>
  </si>
  <si>
    <t>INC6916</t>
  </si>
  <si>
    <t>INC7026</t>
  </si>
  <si>
    <t>INC7054</t>
  </si>
  <si>
    <t>INC7064</t>
  </si>
  <si>
    <t>INC7176</t>
  </si>
  <si>
    <t>INC7092</t>
  </si>
  <si>
    <t>INC7111</t>
  </si>
  <si>
    <t>INC7126</t>
  </si>
  <si>
    <t>INC7178</t>
  </si>
  <si>
    <t>INC7188</t>
  </si>
  <si>
    <t>INC7254</t>
  </si>
  <si>
    <t>INC7286</t>
  </si>
  <si>
    <t>INC7308</t>
  </si>
  <si>
    <t>INC7325</t>
  </si>
  <si>
    <t>INC7346</t>
  </si>
  <si>
    <t>INC7422</t>
  </si>
  <si>
    <t>INC7434</t>
  </si>
  <si>
    <t>INC7480</t>
  </si>
  <si>
    <t>INC7520</t>
  </si>
  <si>
    <t>INC7517</t>
  </si>
  <si>
    <t>INC7529</t>
  </si>
  <si>
    <t>INC7581</t>
  </si>
  <si>
    <t>INC7605</t>
  </si>
  <si>
    <t>INC7594</t>
  </si>
  <si>
    <t>INC7621</t>
  </si>
  <si>
    <t>INC7632</t>
  </si>
  <si>
    <t>INC7664</t>
  </si>
  <si>
    <t>INC7666</t>
  </si>
  <si>
    <t>INC7693</t>
  </si>
  <si>
    <t>INC7718</t>
  </si>
  <si>
    <t>INC7739</t>
  </si>
  <si>
    <t>INC7877</t>
  </si>
  <si>
    <t>INC7870</t>
  </si>
  <si>
    <t>INC7796</t>
  </si>
  <si>
    <t>INC9081</t>
  </si>
  <si>
    <t>INC7818</t>
  </si>
  <si>
    <t>INC7836</t>
  </si>
  <si>
    <t>INC7873</t>
  </si>
  <si>
    <t>INC7839</t>
  </si>
  <si>
    <t>INC7856</t>
  </si>
  <si>
    <t>INC7955</t>
  </si>
  <si>
    <t>INC7988</t>
  </si>
  <si>
    <t>INC7989</t>
  </si>
  <si>
    <t>INC8035</t>
  </si>
  <si>
    <t>INC8026</t>
  </si>
  <si>
    <t>INC8067</t>
  </si>
  <si>
    <t>INC8046</t>
  </si>
  <si>
    <t>INC9129</t>
  </si>
  <si>
    <t>INC9055</t>
  </si>
  <si>
    <t>INC9128</t>
  </si>
  <si>
    <t>INC9182</t>
  </si>
  <si>
    <t>INC9152</t>
  </si>
  <si>
    <t>INC9174</t>
  </si>
  <si>
    <t>INC9257</t>
  </si>
  <si>
    <t>INC9254</t>
  </si>
  <si>
    <t>INC9351</t>
  </si>
  <si>
    <t>INC9404</t>
  </si>
  <si>
    <t>INC9357</t>
  </si>
  <si>
    <t>INC9417</t>
  </si>
  <si>
    <t>INC9451</t>
  </si>
  <si>
    <t>INC9487</t>
  </si>
  <si>
    <t>INC9521</t>
  </si>
  <si>
    <t>INC9533</t>
  </si>
  <si>
    <t>INC9546</t>
  </si>
  <si>
    <t>INC9580</t>
  </si>
  <si>
    <t>INC9575</t>
  </si>
  <si>
    <t>INC9582</t>
  </si>
  <si>
    <t>INC9593</t>
  </si>
  <si>
    <t>INC9603</t>
  </si>
  <si>
    <t>INC9623</t>
  </si>
  <si>
    <t>INC9768</t>
  </si>
  <si>
    <t>INC9665</t>
  </si>
  <si>
    <t>INC9693</t>
  </si>
  <si>
    <t>INC9798</t>
  </si>
  <si>
    <t>INC9732</t>
  </si>
  <si>
    <t>INC9743</t>
  </si>
  <si>
    <t>INC9958</t>
  </si>
  <si>
    <t>INC9775</t>
  </si>
  <si>
    <t>INC9770</t>
  </si>
  <si>
    <t>INC9787</t>
  </si>
  <si>
    <t>INC9840</t>
  </si>
  <si>
    <t>INC9839</t>
  </si>
  <si>
    <t>INC9869</t>
  </si>
  <si>
    <t>INC9923</t>
  </si>
  <si>
    <t>INC9973</t>
  </si>
  <si>
    <t>INC10071</t>
  </si>
  <si>
    <t>INC10041</t>
  </si>
  <si>
    <t>INC10052</t>
  </si>
  <si>
    <t>INC10189</t>
  </si>
  <si>
    <t>INC10160</t>
  </si>
  <si>
    <t>INC10182</t>
  </si>
  <si>
    <t>INC10204</t>
  </si>
  <si>
    <t>INC10259</t>
  </si>
  <si>
    <t>INC10274</t>
  </si>
  <si>
    <t>INC10337</t>
  </si>
  <si>
    <t>INC10394</t>
  </si>
  <si>
    <t>INC10578</t>
  </si>
  <si>
    <t>INC10392</t>
  </si>
  <si>
    <t>INC10461</t>
  </si>
  <si>
    <t>INC10486</t>
  </si>
  <si>
    <t>INC12266</t>
  </si>
  <si>
    <t>INC10635</t>
  </si>
  <si>
    <t>INC10516</t>
  </si>
  <si>
    <t>INC10524</t>
  </si>
  <si>
    <t>INC10532</t>
  </si>
  <si>
    <t>INC10530</t>
  </si>
  <si>
    <t>INC10554</t>
  </si>
  <si>
    <t>INC10557</t>
  </si>
  <si>
    <t>INC10580</t>
  </si>
  <si>
    <t>INC10590</t>
  </si>
  <si>
    <t>INC10564</t>
  </si>
  <si>
    <t>INC10579</t>
  </si>
  <si>
    <t>INC11034</t>
  </si>
  <si>
    <t>INC10760</t>
  </si>
  <si>
    <t>INC10751</t>
  </si>
  <si>
    <t>INC10764</t>
  </si>
  <si>
    <t>INC10805</t>
  </si>
  <si>
    <t>INC10798</t>
  </si>
  <si>
    <t>INC10818</t>
  </si>
  <si>
    <t>INC10862</t>
  </si>
  <si>
    <t>INC10904</t>
  </si>
  <si>
    <t>INC10909</t>
  </si>
  <si>
    <t>INC10915</t>
  </si>
  <si>
    <t>INC11004</t>
  </si>
  <si>
    <t>INC11001</t>
  </si>
  <si>
    <t>INC11023</t>
  </si>
  <si>
    <t>INC11038</t>
  </si>
  <si>
    <t>INC11069</t>
  </si>
  <si>
    <t>INC11067</t>
  </si>
  <si>
    <t>INC11196</t>
  </si>
  <si>
    <t>INC11171</t>
  </si>
  <si>
    <t>INC11349</t>
  </si>
  <si>
    <t>INC11442</t>
  </si>
  <si>
    <t>INC11701</t>
  </si>
  <si>
    <t>INC11534</t>
  </si>
  <si>
    <t>INC11544</t>
  </si>
  <si>
    <t>INC11611</t>
  </si>
  <si>
    <t>INC11652</t>
  </si>
  <si>
    <t>INC11775</t>
  </si>
  <si>
    <t>INC11743</t>
  </si>
  <si>
    <t>INC11829</t>
  </si>
  <si>
    <t>INC11843</t>
  </si>
  <si>
    <t>INC11866</t>
  </si>
  <si>
    <t>INC11853</t>
  </si>
  <si>
    <t>INC11877</t>
  </si>
  <si>
    <t>INC11867</t>
  </si>
  <si>
    <t>INC11894</t>
  </si>
  <si>
    <t>INC11911</t>
  </si>
  <si>
    <t>INC11910</t>
  </si>
  <si>
    <t>INC11931</t>
  </si>
  <si>
    <t>INC11920</t>
  </si>
  <si>
    <t>INC12032</t>
  </si>
  <si>
    <t>INC12112</t>
  </si>
  <si>
    <t>INC12149</t>
  </si>
  <si>
    <t>INC12157</t>
  </si>
  <si>
    <t>INC12175</t>
  </si>
  <si>
    <t>INC12252</t>
  </si>
  <si>
    <t>INC12200</t>
  </si>
  <si>
    <t>INC12213</t>
  </si>
  <si>
    <t>INC12271</t>
  </si>
  <si>
    <t>INC12301</t>
  </si>
  <si>
    <t>INC12418</t>
  </si>
  <si>
    <t>INC12421</t>
  </si>
  <si>
    <t>INC12472</t>
  </si>
  <si>
    <t>INC12513</t>
  </si>
  <si>
    <t>INC12526</t>
  </si>
  <si>
    <t>INC12608</t>
  </si>
  <si>
    <t>INC12631</t>
  </si>
  <si>
    <t>INC12637</t>
  </si>
  <si>
    <t>NWR</t>
  </si>
  <si>
    <t>Psycho Social</t>
  </si>
  <si>
    <t>Non Work Related Injury</t>
  </si>
  <si>
    <t>Date of Birth</t>
  </si>
  <si>
    <t>Age Bracket</t>
  </si>
  <si>
    <t>Linked</t>
  </si>
  <si>
    <t>Incidents Correlation NWR_TMJ</t>
  </si>
  <si>
    <t>Row Labels</t>
  </si>
  <si>
    <t>Grand Total</t>
  </si>
  <si>
    <t>Count of Grouping Level 2</t>
  </si>
  <si>
    <t>Incidents</t>
  </si>
  <si>
    <t>FY24</t>
  </si>
  <si>
    <t>FY25</t>
  </si>
  <si>
    <t>YTD Incident</t>
  </si>
  <si>
    <t>YTD Claim</t>
  </si>
  <si>
    <t>Count of Age Bracket</t>
  </si>
  <si>
    <t>20-24 Years</t>
  </si>
  <si>
    <t>25-34 Years</t>
  </si>
  <si>
    <t>35-44 Years</t>
  </si>
  <si>
    <t>45-54 Years</t>
  </si>
  <si>
    <t>Less Than 20 Years</t>
  </si>
  <si>
    <t>More Than 55 Years</t>
  </si>
  <si>
    <t>HS Incidents Per Age Group and Region</t>
  </si>
  <si>
    <t>Tenure Bracket at Date of Injury</t>
  </si>
  <si>
    <t>Under 1 Year</t>
  </si>
  <si>
    <t>1-5 Years</t>
  </si>
  <si>
    <t>6-10 Years</t>
  </si>
  <si>
    <t>11-15 Years</t>
  </si>
  <si>
    <t>16-20 Years</t>
  </si>
  <si>
    <t>21-25 Years</t>
  </si>
  <si>
    <t>26-30 Years</t>
  </si>
  <si>
    <t>More Than 30 Years</t>
  </si>
  <si>
    <t>HS Incidents Per Tenure Group</t>
  </si>
  <si>
    <t>HS Claims Per Age Group and Region</t>
  </si>
  <si>
    <t>HS Claim Per Tenure Group</t>
  </si>
  <si>
    <t>Claims</t>
  </si>
  <si>
    <t>Count of Incidents Correlation NWR_TMJ</t>
  </si>
  <si>
    <t>Column Labels</t>
  </si>
  <si>
    <t>Incident Correlation NWR_TMJ</t>
  </si>
  <si>
    <t>Accepted Claims</t>
  </si>
  <si>
    <t>Pending Claims</t>
  </si>
  <si>
    <t>Declined Claims</t>
  </si>
  <si>
    <t>Non-Work Related</t>
  </si>
  <si>
    <t>Team Member Incidents</t>
  </si>
  <si>
    <t>Figure 1</t>
  </si>
  <si>
    <t>Incidents and Claims within 18-month period</t>
  </si>
  <si>
    <t>Figure 2</t>
  </si>
  <si>
    <t>Claim Status within 18-month period</t>
  </si>
  <si>
    <t>Figure 3</t>
  </si>
  <si>
    <t xml:space="preserve">Non-Work Related incidents  </t>
  </si>
  <si>
    <t>Figure 4</t>
  </si>
  <si>
    <t>Claim Status within Non-Work Related</t>
  </si>
  <si>
    <t>Employment Type</t>
  </si>
  <si>
    <t>FULL TIME</t>
  </si>
  <si>
    <t>PART TIME</t>
  </si>
  <si>
    <t>CASUAL</t>
  </si>
  <si>
    <t>Group</t>
  </si>
  <si>
    <t>Total Incidents within 19-month period</t>
  </si>
  <si>
    <t>Total Incidents and Claims within 19-month period</t>
  </si>
  <si>
    <t>Total Incidents and Claims within 19-month period by Age Groups</t>
  </si>
  <si>
    <t>Total Claims within 19-month period</t>
  </si>
  <si>
    <t>Total Incidents and Claims within 19-month period by Tenure Groups</t>
  </si>
  <si>
    <t>HS Incidents between 1-5 years Tenure</t>
  </si>
  <si>
    <t>HS Claims between 1-5 years Tenure</t>
  </si>
  <si>
    <t>Count of Claim</t>
  </si>
  <si>
    <t>1 Year</t>
  </si>
  <si>
    <t>2 Years</t>
  </si>
  <si>
    <t>3 Years</t>
  </si>
  <si>
    <t>4 Years</t>
  </si>
  <si>
    <t>5 Years</t>
  </si>
  <si>
    <t>Figure 5</t>
  </si>
  <si>
    <t>Total Incidents and Claims between 1-5 Years Tenure from Date of Injury</t>
  </si>
  <si>
    <t>SRG-INJ-3692</t>
  </si>
  <si>
    <t>AU239233</t>
  </si>
  <si>
    <t>EDWARDS, JODY</t>
  </si>
  <si>
    <t>Jody was putting back outdoor blinds when the top bar, which had not been properly installed, dislodged and fell on her head. She hadnâ€™t noticed it had hit the bar while lifting the blind. This has been an ongoing issue. A customer heard the bar fall and checked Jodyâ€™s head for any cuts or bleeding.</t>
  </si>
  <si>
    <t>R-Bar</t>
  </si>
  <si>
    <t>MAY, FY25</t>
  </si>
  <si>
    <t>SRG-INJ-3695</t>
  </si>
  <si>
    <t>AU334785</t>
  </si>
  <si>
    <t>GORDON, TAMMEE LEE</t>
  </si>
  <si>
    <t>Left foot, big toe</t>
  </si>
  <si>
    <t xml:space="preserve"> Tamme was serving customer with the ammunition boxes large maxxtrax recovery boards to slip off the shelf onto her toe Tammee, she visited doctor they dressed the wound on left toe and suggested an X-Ray </t>
  </si>
  <si>
    <t>SRG-INJ-3696</t>
  </si>
  <si>
    <t>AU338012</t>
  </si>
  <si>
    <t>DE CHAZAL, VENETIA</t>
  </si>
  <si>
    <t>Ven tripped on a bar that was protruding from a M2M display and fell, landing on her knee.  Ven came off the floor and we applied an ide pack to the injury.  She sat for 15 minutes then returned to the floor.</t>
  </si>
  <si>
    <t>SRG-INJ-3687</t>
  </si>
  <si>
    <t>left knee with already sustained injury</t>
  </si>
  <si>
    <t>A substance impaired person in store, talking to himself constantly the whole time in store decided when team member was approaching to walk past to put his foot out in front of her. Team member did a big sidestep to avoid going near the guy and tripping over his foot, passing between 2 dump bins.</t>
  </si>
  <si>
    <t>SRG-INJ-3689</t>
  </si>
  <si>
    <t>right thumb and wrist, bit of numbness and aching</t>
  </si>
  <si>
    <t>Vickie was picking up a box of ready made curtains from the bottom of the pallet and the box of ready mades slipped back onto her hand.</t>
  </si>
  <si>
    <t>SRG-INJ-3694</t>
  </si>
  <si>
    <t>AU307953</t>
  </si>
  <si>
    <t>TYLER-WHITEMAN, KYRA</t>
  </si>
  <si>
    <t>A090</t>
  </si>
  <si>
    <t>sprain to right ankle</t>
  </si>
  <si>
    <t>Kyra was standing on a  3 step ladder, forgot she was above ground level  and stepped straight onto the floor. Sprain to right ankle</t>
  </si>
  <si>
    <t>SRG-INJ-3685</t>
  </si>
  <si>
    <t>Mid back. Strain and pain.</t>
  </si>
  <si>
    <t>While serving a customer I picked up a 160x230cm KOO Ombre Charcoal rug and returned the product to the bin. As I picked it up a felt a pull and sharp pain in my mid back. I reported the incident immediately to DTL Paul Rodgers. Rested and stretched in the office for 10 minutes and return to work.</t>
  </si>
  <si>
    <t>SRG-INJ-3682</t>
  </si>
  <si>
    <t>AU233860</t>
  </si>
  <si>
    <t>MCKEE, SAM</t>
  </si>
  <si>
    <t>crush/laceration right thumb</t>
  </si>
  <si>
    <t>throwing fixtures into skip bin, fixture slipped and thumb became jammed between fixture and skip bin</t>
  </si>
  <si>
    <t>SRG-INJ-3686</t>
  </si>
  <si>
    <t>AU338492</t>
  </si>
  <si>
    <t>BESTER, ADDISON</t>
  </si>
  <si>
    <t>Fingers being cut</t>
  </si>
  <si>
    <t>Adi was pulling flannelette sheets out of a pallet and onto the tables during nightfill and received a couple of papercuts on her fingers while handling the sheets from the card wrap-around on the sheets.</t>
  </si>
  <si>
    <t>SRG-INJ-3677</t>
  </si>
  <si>
    <t>upper left eyebrow, upper left cheek and left side of nose was hit by falling stock</t>
  </si>
  <si>
    <t>pulling the roll cage through the fire corridoor, roll cage got stuck in a hole and tiped. stock fell off. hit my upper left cheek left eyebrow and left side of my nose.  the floors had been logged due to the unsafe nature of the floor and multiple holes in the concrete that the cages get stuck in.</t>
  </si>
  <si>
    <t>SRG-INJ-3688</t>
  </si>
  <si>
    <t>AU337223</t>
  </si>
  <si>
    <t>ELLA, CHELSEA</t>
  </si>
  <si>
    <t>Chelsea was up a ladder putting a cast Iron casserole dish on the shelf which was heavier then most baking items and hit her right hand on the ladder which has caused  redness and swelling, tightness of the hand in opening and closing fist.</t>
  </si>
  <si>
    <t>SRG-INJ-3684</t>
  </si>
  <si>
    <t>right temporal lobe</t>
  </si>
  <si>
    <t>Removing a roller blind from the bay when another blind fell and hit her on right temporal area</t>
  </si>
  <si>
    <t>SRG-INJ-3675</t>
  </si>
  <si>
    <t>AU310802</t>
  </si>
  <si>
    <t>SOONDRA, AMANDA</t>
  </si>
  <si>
    <t>sore hip</t>
  </si>
  <si>
    <t>Amanda has said when working in greenery her back started to hurt believes it may have been when working Manu cast iron stock but noticed no pain until evening progress back sore around 6:30pm</t>
  </si>
  <si>
    <t>SRG-INJ-3681</t>
  </si>
  <si>
    <t>AU337204</t>
  </si>
  <si>
    <t>HURLEY, ASTON</t>
  </si>
  <si>
    <t>team member walked around corner and his right hand ( top of hand behind the index ) collided with the edge of a cove. the edge did not have a plastic cover insert for protection and was a little sharp however it was blunt force that has cause an abrasion to the skin ( 1 cm width ) as well as immediate swelling and bruising on entire hand. TM dropped to the ground in pain, did not land on the hand. was holding the hand with his left hand and was curdled on the ground. TM proceeded out back and informed Adam DTL and was treated with an ice pack with a tea towel.   Pain over night, Panadol for treatment. grip cause pain and stretching. Pain has stayed stagnate and abrasion and swelling have remained the same. Today using avoidance of using to cure pain. does not believe will see a doctor but believes may be fractured. optimistic it will get better on its own.</t>
  </si>
  <si>
    <t>SRG-INJ-3678</t>
  </si>
  <si>
    <t>AU317008</t>
  </si>
  <si>
    <t>HARMER, BREANNAH</t>
  </si>
  <si>
    <t>team member threw back her keys and said you can cover my shifts for this and week. texted the regional manager saying she was having the rest of the week off sick due to bullying in the work place and wants to go on stress leave.</t>
  </si>
  <si>
    <t>SRG-INJ-3670</t>
  </si>
  <si>
    <t>AU339367</t>
  </si>
  <si>
    <t>BARTELT, SUZANNE</t>
  </si>
  <si>
    <t>S205</t>
  </si>
  <si>
    <t>Suzanne Bartelt was unloading a pallet of stock in the sew center, and during the process of lifting multiple fabric rolls at the same time felt a pain the left shoulder.</t>
  </si>
  <si>
    <t>SRG-INJ-3674</t>
  </si>
  <si>
    <t>AU237793</t>
  </si>
  <si>
    <t>GIBLETT, SAMONE</t>
  </si>
  <si>
    <t>S015</t>
  </si>
  <si>
    <t>both shoulders are sore/ strained and a sore left knee</t>
  </si>
  <si>
    <t>Had to move the anti fatigue mats behind POS3 to be able to get the wave in to geta print down for a customer. Ella was operating the Wave and was getting a print down but was waiting for Samone to grab another to put it back up. Samone tripped over the 3 mats, piled behind counter as she gave a print to Ella.</t>
  </si>
  <si>
    <t>SRG-INJ-3676</t>
  </si>
  <si>
    <t>she accidentally knocked an A4 frame, which fell and hit Lindy on the head. Sophie provided an ice pack and confirmed Lindy was onfirmed Lindy was okay to continue her shift. Lindy later reported the incident to Henry, and we are completing the repor</t>
  </si>
  <si>
    <t>SRG-INJ-3667</t>
  </si>
  <si>
    <t>Left Knee on impact with Floor as well as right hand and right foot</t>
  </si>
  <si>
    <t>Team member was picking items in despatch for eComm when loose stock fell from a shelf as she pulled down a box. As she turned to pick up the box, she slipped on a piece of broken plastic and fell, injuring her hand, knee, and foot.</t>
  </si>
  <si>
    <t>SRG-INJ-3666</t>
  </si>
  <si>
    <t>Nicky landed on her left shoulder, which it tender</t>
  </si>
  <si>
    <t>Nicky was picking ecom when cleaners were mopping floor without wet floor signage. Nicky slipped and fell.</t>
  </si>
  <si>
    <t>SRG-INJ-3669</t>
  </si>
  <si>
    <t>HS251836</t>
  </si>
  <si>
    <t>CARVER, JOSEPHINE</t>
  </si>
  <si>
    <t>Left side of face cheekbone</t>
  </si>
  <si>
    <t>Josephine Carver  Moving bars from fixtures in shelving flicked up and hit me in the face.</t>
  </si>
  <si>
    <t>SRG-INJ-3664</t>
  </si>
  <si>
    <t>HS325818</t>
  </si>
  <si>
    <t>PIPER, LILIJANA</t>
  </si>
  <si>
    <t>Left knuckle</t>
  </si>
  <si>
    <t>When moving stock I scraped my knuckle on shelf bracket.</t>
  </si>
  <si>
    <t>SRG-INJ-3671</t>
  </si>
  <si>
    <t>Back, right hand side/lower back pain and numbness</t>
  </si>
  <si>
    <t>Moving display tents around on the tent floor and clearing bulkstacks. Towards the end of the day I could feel my back become quiet sore. By the next morning it felt like muscular pain which has now moved to numbness in the back and sore with movement.</t>
  </si>
  <si>
    <t>SRG-INJ-3668</t>
  </si>
  <si>
    <t>AU338493</t>
  </si>
  <si>
    <t>GILL, LAMIA</t>
  </si>
  <si>
    <t>Left little finger nail ripped off.</t>
  </si>
  <si>
    <t>Team member was reaching in to an eco base to adjust some stock and caught her fingernail on the mesh sides. This then ripped off her little fingernail entirely and she needed to go the hospital to get the remainder of the nail removed.</t>
  </si>
  <si>
    <t>SRG-INJ-3661</t>
  </si>
  <si>
    <t>AU339712</t>
  </si>
  <si>
    <t>THOMAS, RILEY</t>
  </si>
  <si>
    <t>Right middle side of back</t>
  </si>
  <si>
    <t>Riley (Sid) was lifting a kids fluid rapid 50cm bike onto 2nd storage shelf in our back storage room (waist height as) and as he lifted the bike box he got a sharp pain in the muscular side of his back. Sid reported it immediately to myself (Ash). I assessed the 2nd shelf and product. Sid refused ICE or medical treatment &amp; said "it happens sometimes" (prior injury) and said he will be all good and wanted to continue his shift. Sid was placed solely on customer service for the remainder of his shift. Manual Handling / product lifting Training will be re-touched on next shift. Sid did say at the commencement of his shift that it was feeling better. Follow up by leaders will be followed over coming days to ensure he is still ok and no medical treatment is needed.</t>
  </si>
  <si>
    <t>SRG-INJ-3660</t>
  </si>
  <si>
    <t>cut to the left top of hand</t>
  </si>
  <si>
    <t>I was unpacking boxes in the dock and heard Christine squeal in pain. I came around the corner to see Christine holding her hand. She had sliced the top of her hand with the safety knife. We put tissues on it straight away to stop the bleeding. Once the bleeding had resolved we cleaned with an alcohol wipe and then applied a bandage to the area as a bandaid was not quite big enough.  I asked Christine if she wanted to go to the doctors or the hospital and she advised that she did not and a bandage would be sufficient.  The bandage is big enough to stop her bending her hand too much to allow it time to heal and not reopen.  Upon inspecting the knife we have found that the black plastic part of the blade section of the knife had worn away and had exposed the blade through the black plastic. Please see attached photos. We have taped up the blade and disposed of it and given Christine a new safety knife to use.</t>
  </si>
  <si>
    <t>SRG-INJ-3663</t>
  </si>
  <si>
    <t>AU239433</t>
  </si>
  <si>
    <t>POHATU, NASSEY HURIHIA</t>
  </si>
  <si>
    <t>Sharp pain under right knee cap. felt only when weight is applied.</t>
  </si>
  <si>
    <t>Went into this area to tidy it up and put stock onto front bays and then remove stock to put in another area. Bent down to put Plastic storage container stock onto shelf. Then stood up straight, felt extreme pain in my knee under knee cap. felt like a tear and it stung. Pain subsided a little bit in 10-15min i was able to put a little bit of pressure on it and i used a trolley for assistance to get back to the office.</t>
  </si>
  <si>
    <t>SRG-INJ-3662</t>
  </si>
  <si>
    <t>lower left side has a cut/graze. painful</t>
  </si>
  <si>
    <t>Sharee was looking for a Click and Collect and 1x 90cm blind that was hung up fell down and scraped her back.  Sharee came to the dress department to let me know what had happened, I asked if she wanted to leave or to sit down she declined. Sharee then showed me her back and i saw a cut/graze from the fallen blind.</t>
  </si>
  <si>
    <t>SRG-INJ-3657</t>
  </si>
  <si>
    <t>Lower back pain at tailbone.</t>
  </si>
  <si>
    <t>Fay was relaying dinner sets to fit out new stock which she had just unboxed from a pallet. While lifting one of the dinner sets her lower back (tailbone) had a sudden spike in pain and seized up. She immediately stopped what she was doing and took paracetamol &amp; ibuprofen, before delegating any lifting tasks to another team member.</t>
  </si>
  <si>
    <t>SRG-INJ-3679</t>
  </si>
  <si>
    <t>AU339459</t>
  </si>
  <si>
    <t>HIGGINS, LEANNE</t>
  </si>
  <si>
    <t>Left glute muscle</t>
  </si>
  <si>
    <t>Lifting heavy boxes unloading pallets, sore glute muscle from lifting the weight of stock</t>
  </si>
  <si>
    <t>SRG-INJ-3680</t>
  </si>
  <si>
    <t>pinky finger</t>
  </si>
  <si>
    <t>White pushing stock out, Marissa sustained injury on her left pinky finger from a broken dinner plate. First aid was applied.</t>
  </si>
  <si>
    <t>SRG-INJ-3649</t>
  </si>
  <si>
    <t>AU339201</t>
  </si>
  <si>
    <t>HENDERSON, KATHERINE</t>
  </si>
  <si>
    <t>TM already had a knee that was causing her concern and was wearing a knee support.  In walking at a fast pace whilst carrying fabric she overextended her knee backwards and felt a pulling feeling in the back of the knee.  DTL advised the VM of the incident and asked if she could do lighter duties that did not include walking at a fast pace.</t>
  </si>
  <si>
    <t>SRG-INJ-3651</t>
  </si>
  <si>
    <t>Cut to left hand wrist</t>
  </si>
  <si>
    <t>Lisa was filling firepit stock, heavy flatpak firepit.  As Lisa was removing the firepit flatpak a customer pushed her cage and spoke to her which resulted in the side catch of the cage tearing Lisa's skin on her left hand wrist. Cutting it open.</t>
  </si>
  <si>
    <t>SRG-INJ-3653</t>
  </si>
  <si>
    <t>went to lift a bike of the pallet of stock as it was unstable and the bike fell and land on the right big toe</t>
  </si>
  <si>
    <t>SRG-INJ-3658</t>
  </si>
  <si>
    <t>AU336412</t>
  </si>
  <si>
    <t>BARWICK, SAMARA</t>
  </si>
  <si>
    <t>Right index finger - closest to hand</t>
  </si>
  <si>
    <t>Samara put her hand on the door when exiting to stop it slamming closed. Her right index finger was caught between the door and door frame.. Her finger bruised and became swollen, we applied ice to the area.</t>
  </si>
  <si>
    <t>SRG-INJ-3655</t>
  </si>
  <si>
    <t>Side of right hand</t>
  </si>
  <si>
    <t>Started his shift with the store manager Lidia having a discussion about the number of pallets he needs to work. Was feeling frustrated from the start, then with the added pressure of having mixed pallets to work and then a difficult box of picture frames, which he could not get open. Was overwhelmed with frustration and slammed his fist into the box.  Nothing in the box was broken although he caused some injury to his right hand.  He came to  me (Lisa Cocks, his mum &amp; Furnishings DTL) for first aid and to advise what happened.  A large hematoma came up on knuckle of his pinky finger which has been constantly iced and rested.  Unfortunately he is unable to complete his shift and will be going home.</t>
  </si>
  <si>
    <t>SRG-INJ-3656</t>
  </si>
  <si>
    <t>Right calf</t>
  </si>
  <si>
    <t>Moditha was stacking pallet for S120 when Charles came next to him. Charles was using an electric pallet jack which hit Moditha's picking pallet. The corner of the pallet hit Moditha's left leg (calf) and he had to sit down at the spot as he was feeling a terrible pain.</t>
  </si>
  <si>
    <t>SRG-INJ-3673</t>
  </si>
  <si>
    <t>AU334482</t>
  </si>
  <si>
    <t>GUEST, JOSHUA</t>
  </si>
  <si>
    <t>lower back lumbar</t>
  </si>
  <si>
    <t>team member was lifting a euro bin by himself and strained his back</t>
  </si>
  <si>
    <t>SRG-INJ-3654</t>
  </si>
  <si>
    <t>Team member was lining the Australia Post crate with cardboard to protect packages due to wet weather as she lent forward no the cage caught her finger</t>
  </si>
  <si>
    <t>SRG-INJ-3647</t>
  </si>
  <si>
    <t>AU336298</t>
  </si>
  <si>
    <t>ALLEN, JAIME</t>
  </si>
  <si>
    <t>forehesd</t>
  </si>
  <si>
    <t>Staff member bent down to put something on a low shelf and knocked head on shelf</t>
  </si>
  <si>
    <t>SRG-INJ-3652</t>
  </si>
  <si>
    <t>AU329441</t>
  </si>
  <si>
    <t>FENWICK, TAHNAYA</t>
  </si>
  <si>
    <t>left pinky toe</t>
  </si>
  <si>
    <t>Tahnaya was straightening up photo frames when one fell from eye level and landed on her left pinky toe</t>
  </si>
  <si>
    <t>SRG-INJ-3648</t>
  </si>
  <si>
    <t>Bump on the head, a bit of a headache</t>
  </si>
  <si>
    <t>Customer lifted up the track to have a look at it and tilted it to the side and it hit Ryan on the top of his head</t>
  </si>
  <si>
    <t>SRG-INJ-3650</t>
  </si>
  <si>
    <t>AU339115</t>
  </si>
  <si>
    <t>MUNRO, PAUL</t>
  </si>
  <si>
    <t>Paul was trying to charge the walkie stacker and the charger didn't turn on so he waited and nothing happened, he then disconnected it and tried again and nothing happened so he flicked off the power point and then went to push the power cord to see if it was loose and got electrocuted.</t>
  </si>
  <si>
    <t>SRG-INJ-3665</t>
  </si>
  <si>
    <t>Soreness to lower back.</t>
  </si>
  <si>
    <t>Was no specific incident. Gradually became sore through the night.  Jennifer hasn't mentioned it to  me at all, until after calling in sick today (Thursday 22/05/2025).  Message stated that Jennifer is "unwell and hurt her back".  I have explained to Jennifer that she will need to go to get a doctors certificate of clearance to come back to work, and that i would supply the forms we need filled out.</t>
  </si>
  <si>
    <t>SRG-INJ-3646</t>
  </si>
  <si>
    <t>AU318000</t>
  </si>
  <si>
    <t>REGLE, NATALIE</t>
  </si>
  <si>
    <t>Top of head and left side of face</t>
  </si>
  <si>
    <t>Natalie was picking stock for an Ecom order and climbing back down the step ladder when 4 canvaes fell off the shelf and hit her on the top of her head and the left side of her face</t>
  </si>
  <si>
    <t>SRG-INJ-3645</t>
  </si>
  <si>
    <t>AU317789</t>
  </si>
  <si>
    <t>SOMERVILLE, BRENNA</t>
  </si>
  <si>
    <t>drink bottle thrown at her back</t>
  </si>
  <si>
    <t>Some kids came in and stole some hair ties and drink out of the fridge. Team member asked if they were going to pay for the drink and the young boy started mouthing off at her, squirting her with the drink as well as over products and the floor. The team member stepped back from them and walked away and the kid through the drink bottle at her.</t>
  </si>
  <si>
    <t>SRG-INJ-3644</t>
  </si>
  <si>
    <t>AU327002</t>
  </si>
  <si>
    <t>BRADBURN, SAMANTHA</t>
  </si>
  <si>
    <t>left knee,sore back,neck and arms</t>
  </si>
  <si>
    <t>Sam was putting away fabric from the furnishings counter . looking at the security cameras there was 4 rolls laying on the floor. Sam finished marking back a roll of furnishings fabric then proceeded to take it back to the shelf,not looking sam then tripped over fabric that was laying on the floor. Sam fell forward landing face down .Sam then found her head piece then called out To Liam ( DTL ) that she was on the floor .Liam then came to see Sam as she was getting up off the floor,Liam then got her a chair to sit on .Sam had pain in her left knee and it swelled up straight away .Liam then got a staff member to get a ice pack. Liam then called myself (store Manager) as i was not rostered on .I then came down to the store to see if Sam was ok . Sam was complaining that she had a very sore knee,her back and neck were sore also and her arms. Sams daughter was rung to come and get her as she was going to try and walk out of the store to go to hospital,i asked Sam to try and stand up to see if she could walk,she was in alot of pain so i insisted that we get an ambulance to pick her up . Throughout this time we kept an ice pack on her knee and just monitored her,Ambulance then arrived got her on the bed and up to the hospital she went.</t>
  </si>
  <si>
    <t>SRG-INJ-3643</t>
  </si>
  <si>
    <t>Right Foot, big toe</t>
  </si>
  <si>
    <t xml:space="preserve"> While assisting with a Click &amp; Collect Rooftop Tent order, a customer attempted to help by pulling the item, causing it to slide off the trolley and land on Samuelâ€™s right foot, which also hit the trolley. Initially, the pain was mild, similar to stubbing a toe, but it has worsened in24hr</t>
  </si>
  <si>
    <t>SRG-INJ-3642</t>
  </si>
  <si>
    <t>AU237620</t>
  </si>
  <si>
    <t>FICHERA, ANGELA</t>
  </si>
  <si>
    <t>Left side ribs, right pinky finger</t>
  </si>
  <si>
    <t>Angela fell off the yellow step stool, onto a trolley. The trolley slipped away and the customer helped her up.</t>
  </si>
  <si>
    <t>SRG-INJ-3640</t>
  </si>
  <si>
    <t>A team member was removing a large sign above valance and asked to pass it down to me whilst passing it down the team member dropped the sign and it feel from a height onto my left hand</t>
  </si>
  <si>
    <t>SRG-INJ-3639</t>
  </si>
  <si>
    <t>AU339160</t>
  </si>
  <si>
    <t>DAVEY, OLIVER</t>
  </si>
  <si>
    <t>spasm from right calf to lower back, pulsing pain in area. limping from calf injury</t>
  </si>
  <si>
    <t>Ollie was helping put the beams into the dexion to keep stock secure, one beam was stuck, squatted to push it up using his shoulder to try release it, when pushing - calf on right leg had tensed/spasmed and shot pain to lower back. Flagged to team shortly after, pain still hitting lower back and still pulsing pain in calf muscle. Limping due to pain. Stopped all duties of work, sitting to rest for time being.</t>
  </si>
  <si>
    <t>SRG-INJ-3637</t>
  </si>
  <si>
    <t>HS322742</t>
  </si>
  <si>
    <t>KOLIO, FALEALAGO</t>
  </si>
  <si>
    <t>Right arm elbow</t>
  </si>
  <si>
    <t>While collecting the floor mats to be thrown out, the team member hit the right elbow on the top of the bin. The team member  then kept cleaning and informed his supervisor at 9:30am before first break. After the break the team member informed the supervisor that he wanted to keep cleaning and leave after the job was completed. At 11:00am the supervisor noticed that they were using a broom with 1 hand. Supervisor has then said to team member we will go fill out the incident report so the team member can go home.</t>
  </si>
  <si>
    <t>SRG-INJ-3635</t>
  </si>
  <si>
    <t>HS333309</t>
  </si>
  <si>
    <t>JESSEN, JANE</t>
  </si>
  <si>
    <t>shelf collapsed as assistant store manager was stacking bowls onto shelf, large amount of stock proceeded to fall to the floor and shatter and manager was cut in the process. no serious injury to manager just minor cuts, blood was present on the floor during clean up.</t>
  </si>
  <si>
    <t>SRG-INJ-3634</t>
  </si>
  <si>
    <t>sternum</t>
  </si>
  <si>
    <t>Sandy was sliding a Queen titan Swag on the floor to take down the front of the store when it caught something on the floor and got stuck. When it got stuck it pushed against Sandy into her sternum. She reported being winded, pain in her chest where the box struck her.</t>
  </si>
  <si>
    <t>SRG-INJ-3641</t>
  </si>
  <si>
    <t>AU334404</t>
  </si>
  <si>
    <t>HALL, DYLAN</t>
  </si>
  <si>
    <t>Holding something for another team member while de-spooling and something got jammed and braid wrapped around finger and cut it.</t>
  </si>
  <si>
    <t>SRG-INJ-3630</t>
  </si>
  <si>
    <t>Was coming down the stairs empty handed, missed the bottom step and rolled ankle. Had manager come have a look and sat down to rest ankle before trying to put weight on foot. Was able to walk with some pain.</t>
  </si>
  <si>
    <t>SRG-INJ-3631</t>
  </si>
  <si>
    <t>cut/ laeration from sharp metal</t>
  </si>
  <si>
    <t>Customer injured themselves (cut) on a dish rack in the kitchen accessories department. Jacob kiff was removing the items from the selling floor as a hierarchy control, and also cut himself on the razor sharp metal</t>
  </si>
  <si>
    <t>SRG-INJ-3636</t>
  </si>
  <si>
    <t>AU221905</t>
  </si>
  <si>
    <t>MOORE-GALLAGHER, MICHAEL</t>
  </si>
  <si>
    <t>Michael was adding more  clearance rugs to the fixture . He lifted a rug from the back and knocked  the RB bar causing it to fall and hit the top front of his head.</t>
  </si>
  <si>
    <t>SRG-INJ-3672</t>
  </si>
  <si>
    <t>potential sprain on left wrist</t>
  </si>
  <si>
    <t>Lifting fabric roll and heard a pop</t>
  </si>
  <si>
    <t>SRG-INJ-3633</t>
  </si>
  <si>
    <t>AU310388</t>
  </si>
  <si>
    <t>RUSSELL, LARA</t>
  </si>
  <si>
    <t>Was pushing trolley through dispatch doors and another team member was behind me who - to get through the doors - had to push the trolley with a little force but I was a bit too close and she slammed her trolley into my ankle.</t>
  </si>
  <si>
    <t>SRG-INJ-3632</t>
  </si>
  <si>
    <t>AU338911</t>
  </si>
  <si>
    <t>BUSHBY, CAITLIN</t>
  </si>
  <si>
    <t>RIGHT PALM OF HAND</t>
  </si>
  <si>
    <t>DURING A TEAM MEMBER LIFTING A BOX THERE WAS A PIECE OF GLASS THAT HAD BEEN LODGED IN THE BOXED ON ONE OF THE CORNERS WHICH HAD BECOME LODGED IN THE TEAM MEMBERS PALM.</t>
  </si>
  <si>
    <t>SRG-INJ-3628</t>
  </si>
  <si>
    <t>HS700382</t>
  </si>
  <si>
    <t>KOVACS, THOMAS</t>
  </si>
  <si>
    <t>sting</t>
  </si>
  <si>
    <t>Tom was placing empty boxes into the skip bin when he felt a sharp pain in his left outer pinky finger â€” he had been stung by a bee. He flicked the bee off and used a splinter probe from the first aid kit to remove the stinger. His left pinky and hand have localized swelling and pain but he is other</t>
  </si>
  <si>
    <t>SRG-INJ-3626</t>
  </si>
  <si>
    <t>base of right thumb</t>
  </si>
  <si>
    <t>I was walking through the back dock to find a cage for a team member. There was some empty crushed down boxes on the floor. I tripped and fell down. Put my hands down to stop myself. Hit my hand and elbow (right)  and my left  hand to a lesser extent.on the concrete floor.. The base of my right thumb is sore. I iced it straight away.. I also have a little niggle on the base of my left thumb</t>
  </si>
  <si>
    <t>SRG-INJ-3625</t>
  </si>
  <si>
    <t>AU216035</t>
  </si>
  <si>
    <t>BALDWIN, MELISSA</t>
  </si>
  <si>
    <t>Right forearm bruising and scrapes,</t>
  </si>
  <si>
    <t>table tone bar got caught on another roll and came off when pulling it out, caught the team member on her arm as it fell.</t>
  </si>
  <si>
    <t>SRG-INJ-3638</t>
  </si>
  <si>
    <t>Amy was refilling/ moving cast iron and dinner sets on Sunday and at the end of day noticed her right wrist was sore. she strapped it wed and thurs and went to the dr thursday.</t>
  </si>
  <si>
    <t>SRG-INJ-3624</t>
  </si>
  <si>
    <t>AU321758</t>
  </si>
  <si>
    <t>CUSKELLY, MIKAYLA</t>
  </si>
  <si>
    <t>cut to finger</t>
  </si>
  <si>
    <t>Cut to finger on a staple</t>
  </si>
  <si>
    <t>SRG-INJ-3683</t>
  </si>
  <si>
    <t>AU238601</t>
  </si>
  <si>
    <t>SULLIVAN, MARY</t>
  </si>
  <si>
    <t>strain in shoulder causing her to not be able to lift her arm properly</t>
  </si>
  <si>
    <t>was carrying a large heavy curtains, which put a lot of strain on her shoulder</t>
  </si>
  <si>
    <t>SRG-INJ-3621</t>
  </si>
  <si>
    <t>AU313474</t>
  </si>
  <si>
    <t>SLOMAN-SMITH, DANNIELLE</t>
  </si>
  <si>
    <t>Left side middle of back, now radiating out</t>
  </si>
  <si>
    <t>Staff member was picking up a large bolt of wadding for a customer and felt a pop in her back. She took some pain killers after wards and continued to work for a period of time but is suffering pain in her back and finding it difficult to breathe.</t>
  </si>
  <si>
    <t>SRG-INJ-3627</t>
  </si>
  <si>
    <t>right shoulder and arm heavily strained</t>
  </si>
  <si>
    <t>lifted heavy sewing machines from the steel cages onto the shelves.</t>
  </si>
  <si>
    <t>SRG-INJ-3622</t>
  </si>
  <si>
    <t>AU317307</t>
  </si>
  <si>
    <t>HEWITT, HARRY</t>
  </si>
  <si>
    <t>middle back strain</t>
  </si>
  <si>
    <t>Team member was working a pallet of stock and went to grab mirrors from the middle and when they lifted the mirror they felt a sudden pain in their back.</t>
  </si>
  <si>
    <t>SRG-INJ-3620</t>
  </si>
  <si>
    <t>AU200056</t>
  </si>
  <si>
    <t>KOKOLIS, ELLEANOR</t>
  </si>
  <si>
    <t>Right pinky finger</t>
  </si>
  <si>
    <t>"When covering [another team member</t>
  </si>
  <si>
    <t>SRG-INJ-3619</t>
  </si>
  <si>
    <t>AU336253</t>
  </si>
  <si>
    <t>KERR, AMANDA</t>
  </si>
  <si>
    <t>Cut and bump on Forhead</t>
  </si>
  <si>
    <t>Arbee Bar came out of shelf whilst stocking shelf and nocked forhead</t>
  </si>
  <si>
    <t>SRG-INJ-3615</t>
  </si>
  <si>
    <t>AU322418</t>
  </si>
  <si>
    <t>CLARKSON, JODIE</t>
  </si>
  <si>
    <t>LIFTING CAPRICE 270 DUAL ROLLER BLIND OUT OF BAY FOR CUSTOMER</t>
  </si>
  <si>
    <t>SRG-INJ-3618</t>
  </si>
  <si>
    <t>AU200062</t>
  </si>
  <si>
    <t>MARINO, ROSANNA</t>
  </si>
  <si>
    <t>both kness are hurt when she fell</t>
  </si>
  <si>
    <t>At  3.15 Rossana was working stock in Furnishing  and started walking didnt see blinds and fell over the blinds onto her knees on the floor,</t>
  </si>
  <si>
    <t>SRG-INJ-3616</t>
  </si>
  <si>
    <t>twisted ankle</t>
  </si>
  <si>
    <t>SRG-INJ-3610</t>
  </si>
  <si>
    <t>Twisted ankle and knee as she fell and hit knee and elbow on ground when she fell</t>
  </si>
  <si>
    <t>Team member was packaging an online order and tripped on an empty roll of pallet wrap. The team member the tried to stop her fall by grabbing a close by pallet, however was unable to stop her fall and fell to the ground.</t>
  </si>
  <si>
    <t>SRG-INJ-3611</t>
  </si>
  <si>
    <t>AU318305</t>
  </si>
  <si>
    <t>SMITH, CARROLLYN</t>
  </si>
  <si>
    <t>felt twinge in lower left of back</t>
  </si>
  <si>
    <t>Carry was unpacking a pallet and she has lent over and stretched to far and has felt a twinge in her back</t>
  </si>
  <si>
    <t>SRG-INJ-3623</t>
  </si>
  <si>
    <t>nock to ankle</t>
  </si>
  <si>
    <t>Nock to ankle whilst moving scoop of stock</t>
  </si>
  <si>
    <t>SRG-INJ-3612</t>
  </si>
  <si>
    <t>AU302777</t>
  </si>
  <si>
    <t>DAVIES-REID, MICHELLE</t>
  </si>
  <si>
    <t>Left bicep</t>
  </si>
  <si>
    <t>Team member was unpacking lifting a box out of a pallet at waist height and felt pain in her left bicep, almost like a pulled muscle. Area was iced and team member took their own Nurofen for the pain but is still in pain today and has booked a doctor's appointment to get the injury looked at.</t>
  </si>
  <si>
    <t>SRG-INJ-3609</t>
  </si>
  <si>
    <t>AU336386</t>
  </si>
  <si>
    <t>SANT, HENRY</t>
  </si>
  <si>
    <t>Left hand pointer finger</t>
  </si>
  <si>
    <t>TM whilst filling the stapler got a staple lodged in his left pointer finger</t>
  </si>
  <si>
    <t>SRG-INJ-3617</t>
  </si>
  <si>
    <t>Upper Back</t>
  </si>
  <si>
    <t>Muscle discomfort after reaching and lifting m2m stock</t>
  </si>
  <si>
    <t>SRG-INJ-3608</t>
  </si>
  <si>
    <t>I went to go and pick up an order that was a large carton full of mason jars, not labeled as being heavy and not labelled as being fragile.  the top was secured with tape only but the bottom was not. it was only folded in and weaved to be closed. There were 10 packs of 8 mason jars that spilled out from under neath and smashed into my right foot as i picked it up to move because it was put in a location that wouldn't have been noticed by despatched to be shipped.</t>
  </si>
  <si>
    <t>SRG-INJ-3613</t>
  </si>
  <si>
    <t>AU200168</t>
  </si>
  <si>
    <t>Store headset (radio) shocked/zapped team members right ear when receiving communication (sound).</t>
  </si>
  <si>
    <t>Team member was receiving comunication through radio and felt the headset shock him on right ear.</t>
  </si>
  <si>
    <t>SRG-INJ-3614</t>
  </si>
  <si>
    <t>Injury consists of bruising and grazing to few areas inclduing left arm below elbow, right arm above elbow/blow shoulder, left leg above ankle and left inner leg above/behind knee. (see images)</t>
  </si>
  <si>
    <t>Team member moved a basket to access shelves more easily. After picking up a basket of hooks from the shelf, they stepped back and tripped over the earlier-moved basket, resulting in a fall. Injuries were assessed on the ground, with photos taken of grazes and early bruising.</t>
  </si>
  <si>
    <t>SRG-INJ-3607</t>
  </si>
  <si>
    <t>S24KV242206</t>
  </si>
  <si>
    <t>shoulder muscle pull</t>
  </si>
  <si>
    <t>team member was putting fabric away on shelf and felt a pain in muscle.</t>
  </si>
  <si>
    <t>SRG-INJ-3606</t>
  </si>
  <si>
    <t>S24KR242308</t>
  </si>
  <si>
    <t>Lower right back/hip</t>
  </si>
  <si>
    <t>Liz was tidying stock through aisles and leant down to pick up an item from the bottom shelf, she felt a pull in her lower back and could barely stand. Liz then called for help and was assisted to the staff room where she sat down. Liz was monitored to see if the pain would ease. Still no better after 15-20, the ambulance was then called.</t>
  </si>
  <si>
    <t>SRG-INJ-3604</t>
  </si>
  <si>
    <t>AU338408</t>
  </si>
  <si>
    <t>SCHUTZ, RILEY</t>
  </si>
  <si>
    <t>Riley had finished working a cage of kayak backrests, and took his cage out to the bins to empty rubbish. As Riley was loading rubbish into the industrial bins in despatch, a small fragment of rock got in his right eye, thinking it blew up with the wind outside. Ash (Team Leader) was near by at the time and Riley reported it on the spot. Riley went to the bathroom to try &amp; get it out but was unsuccessful. I (Ash) grabbed eye wash from the first aid box and told him to flush his eye out. Riley did that and the small fragment of rock came out. Riley's eye was red &amp; blurry following. Riley had a 10 minute break following.  His eye was improving and was happy to resume normal duties.</t>
  </si>
  <si>
    <t>SRG-INJ-3605</t>
  </si>
  <si>
    <t>HS326116</t>
  </si>
  <si>
    <t>CONNELLY, RYAN</t>
  </si>
  <si>
    <t>Wood splinter into left eye</t>
  </si>
  <si>
    <t>Ryan was stacking a pallet when a piece of wood splintered off and hit his left eye. He tried to rinse it out, and was then sent to Specsavers, where they confirmed there was no damage to the eye. he is well no time loss no md treatmen required back</t>
  </si>
  <si>
    <t>SRG-INJ-3602</t>
  </si>
  <si>
    <t>HS327110</t>
  </si>
  <si>
    <t>GANGEMI, OLIVIA</t>
  </si>
  <si>
    <t>right fingers index and middle</t>
  </si>
  <si>
    <t>Olivia Gangemi was washing her dishes and was using the hot water tap,  she got distracted while doing this and she lent in and two of her right fingers got burnt, olivia spoke to management, we applied cold water, ice pack, and we used burnaid/antiseptic cream to help aid with the pain and recovery,</t>
  </si>
  <si>
    <t>SRG-INJ-3601</t>
  </si>
  <si>
    <t>AU329307</t>
  </si>
  <si>
    <t>HAYNES, INGRID</t>
  </si>
  <si>
    <t>Left ring finger</t>
  </si>
  <si>
    <t>Removing RB bar and smashed my finger with the end of it</t>
  </si>
  <si>
    <t>SRG-INJ-3603</t>
  </si>
  <si>
    <t xml:space="preserve">Team member experienced arm pain after a full day of heavy lifting. The pain worsened the next day (1/5/25) but she continued working with moderate lifting. She reported increased pain and inflammation today (2/5/25), so Iâ€™ve sent her home to rest and recover. </t>
  </si>
  <si>
    <t>SRG-INJ-3599</t>
  </si>
  <si>
    <t>AU204764</t>
  </si>
  <si>
    <t>ANDERSON, KELLY</t>
  </si>
  <si>
    <t>Unpacking stock got some fibre in eye</t>
  </si>
  <si>
    <t>SRG-INJ-3597</t>
  </si>
  <si>
    <t>AU318266</t>
  </si>
  <si>
    <t>DAWKINS, NATASHA</t>
  </si>
  <si>
    <t>Twisting of the arm causing pain and stifness in the right Bicep</t>
  </si>
  <si>
    <t>Team member was trying to move (Push) a rollie rack full of apparel. The rack didnt move and the team member gave another pull and the rack tipped over. In the process the team members arm was pulled awekwardly as the rail fell. Now has a sore right bicep.</t>
  </si>
  <si>
    <t>SRG-INJ-3600</t>
  </si>
  <si>
    <t>HS297188</t>
  </si>
  <si>
    <t>PULLING, ALEXANDER</t>
  </si>
  <si>
    <t>head/neck</t>
  </si>
  <si>
    <t>i reached into plastics bin to retrieve shoe boxes (that werent supposed to be there).  Then the lid fell on my head as i was trying to retrieve boxes.  I was dazed for a bit, then grabbed boxes and shut the lid.  Then I walked back into the dock with sore head.  Didnt think much of it but my sleepings affected.</t>
  </si>
  <si>
    <t>SRG-INJ-3595</t>
  </si>
  <si>
    <t>G7511369</t>
  </si>
  <si>
    <t>HS331188</t>
  </si>
  <si>
    <t>while helping a customer and recovering jeans, i knelt down on the floor with my right knee and felt something pop inside my knee</t>
  </si>
  <si>
    <t>SRG-INJ-2972</t>
  </si>
  <si>
    <t>AU298350</t>
  </si>
  <si>
    <t>PRIOR, DAVID</t>
  </si>
  <si>
    <t>F001</t>
  </si>
  <si>
    <t>FFM Family Residences</t>
  </si>
  <si>
    <t>Injuring my right calf and thigh</t>
  </si>
  <si>
    <t>I was walking quickly plating food to take to the formal table and ran backwards into the warmer drawer that i didint realise had popped open. Bruise on my right thigh and calf, GP says this has developed into  possible haematoma. I am getting US scans to montior.</t>
  </si>
  <si>
    <t>Family</t>
  </si>
  <si>
    <t>Family Residence</t>
  </si>
  <si>
    <t>Bilateral wrist De Quervain Tenosynovitis R&gt;L pain in the hands and wrists</t>
  </si>
  <si>
    <t>Custom Made</t>
  </si>
  <si>
    <t>Spot Merch</t>
  </si>
  <si>
    <t>YTD Claims</t>
  </si>
  <si>
    <t>YTD Incidents</t>
  </si>
  <si>
    <t>Figure 6</t>
  </si>
  <si>
    <t>Total Incidents and Claims within 19-month period (NSW Only)</t>
  </si>
  <si>
    <t>SALARIED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</si>
</sst>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rgb="FF3F3F3F"/>
      <name val="Aptos Narrow"/>
      <family val="2"/>
      <scheme val="minor"/>
    </font>
    <font>
      <b/>
      <sz val="10"/>
      <name val="Aptos Narrow"/>
      <family val="2"/>
      <scheme val="minor"/>
    </font>
  </fonts>
  <fills count="17">
    <fill>
      <patternFill patternType="none"/>
    </fill>
    <fill>
      <patternFill patternType="gray125"/>
    </fill>
    <fill>
      <patternFill patternType="solid">
        <fgColor theme="4" tint="0.39997558519241921"/>
        <bgColor indexed="65"/>
      </patternFill>
    </fill>
    <fill>
      <patternFill patternType="solid">
        <fgColor theme="5" tint="0.39997558519241921"/>
        <bgColor indexed="65"/>
      </patternFill>
    </fill>
    <fill>
      <patternFill patternType="solid">
        <fgColor theme="7" tint="0.39997558519241921"/>
        <bgColor indexed="65"/>
      </patternFill>
    </fill>
    <fill>
      <patternFill patternType="solid">
        <fgColor theme="8"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9"/>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7" tint="0.39997558519241921"/>
        <bgColor indexed="64"/>
      </patternFill>
    </fill>
    <fill>
      <patternFill patternType="solid">
        <fgColor theme="4" tint="0.79998168889431442"/>
        <bgColor indexed="64"/>
      </patternFill>
    </fill>
  </fills>
  <borders count="11">
    <border>
      <left/>
      <right/>
      <top/>
      <bottom/>
      <diagonal/>
    </border>
    <border>
      <left/>
      <right/>
      <top/>
      <bottom style="medium">
        <color indexed="64"/>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s>
  <cellStyleXfs count="7">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3" fillId="9" borderId="2" applyNumberFormat="0" applyAlignment="0" applyProtection="0"/>
  </cellStyleXfs>
  <cellXfs count="65">
    <xf numFmtId="0" fontId="0" fillId="0" borderId="0" xfId="0"/>
    <xf numFmtId="49" fontId="0" fillId="0" borderId="0" xfId="0" applyNumberFormat="1"/>
    <xf numFmtId="15" fontId="0" fillId="0" borderId="0" xfId="0" applyNumberFormat="1"/>
    <xf numFmtId="164" fontId="0" fillId="0" borderId="0" xfId="0" applyNumberFormat="1"/>
    <xf numFmtId="0" fontId="0" fillId="0" borderId="0" xfId="0" applyAlignment="1">
      <alignment horizontal="left"/>
    </xf>
    <xf numFmtId="0" fontId="2" fillId="3" borderId="1" xfId="2" applyFont="1" applyBorder="1"/>
    <xf numFmtId="0" fontId="2" fillId="5" borderId="1" xfId="4" applyFont="1" applyBorder="1"/>
    <xf numFmtId="0" fontId="2" fillId="4" borderId="1" xfId="3" applyFont="1" applyBorder="1"/>
    <xf numFmtId="0" fontId="2" fillId="6" borderId="1" xfId="5" applyFont="1" applyBorder="1"/>
    <xf numFmtId="0" fontId="2" fillId="2" borderId="1" xfId="1" applyFont="1" applyBorder="1"/>
    <xf numFmtId="15" fontId="0" fillId="0" borderId="0" xfId="0" applyNumberFormat="1" applyAlignment="1">
      <alignment horizontal="left"/>
    </xf>
    <xf numFmtId="18" fontId="0" fillId="0" borderId="0" xfId="0" applyNumberFormat="1" applyAlignment="1">
      <alignment horizontal="left"/>
    </xf>
    <xf numFmtId="0" fontId="1" fillId="3" borderId="0" xfId="2" applyBorder="1"/>
    <xf numFmtId="0" fontId="1" fillId="5" borderId="0" xfId="4" applyBorder="1"/>
    <xf numFmtId="0" fontId="1" fillId="4" borderId="0" xfId="3" applyBorder="1"/>
    <xf numFmtId="0" fontId="1" fillId="6" borderId="0" xfId="5" applyBorder="1"/>
    <xf numFmtId="0" fontId="1" fillId="2" borderId="0" xfId="1"/>
    <xf numFmtId="49" fontId="0" fillId="0" borderId="0" xfId="0" applyNumberFormat="1" applyAlignment="1">
      <alignment horizontal="left"/>
    </xf>
    <xf numFmtId="164" fontId="0" fillId="0" borderId="0" xfId="0" applyNumberFormat="1" applyAlignment="1">
      <alignment horizontal="left"/>
    </xf>
    <xf numFmtId="14" fontId="1" fillId="3" borderId="0" xfId="2" applyNumberFormat="1" applyBorder="1"/>
    <xf numFmtId="14" fontId="2" fillId="3" borderId="1" xfId="2" applyNumberFormat="1" applyFont="1" applyBorder="1"/>
    <xf numFmtId="14" fontId="0" fillId="0" borderId="0" xfId="0" applyNumberFormat="1"/>
    <xf numFmtId="0" fontId="2" fillId="0" borderId="1" xfId="2" applyFont="1" applyFill="1" applyBorder="1"/>
    <xf numFmtId="0" fontId="1" fillId="0" borderId="0" xfId="2" applyFill="1" applyBorder="1"/>
    <xf numFmtId="15" fontId="0" fillId="7" borderId="0" xfId="0" applyNumberFormat="1" applyFill="1"/>
    <xf numFmtId="15" fontId="0" fillId="7" borderId="0" xfId="0" applyNumberFormat="1" applyFill="1" applyAlignment="1">
      <alignment horizontal="left"/>
    </xf>
    <xf numFmtId="0" fontId="0" fillId="7" borderId="0" xfId="0" applyFill="1"/>
    <xf numFmtId="0" fontId="2" fillId="8" borderId="1" xfId="2" applyFont="1" applyFill="1" applyBorder="1"/>
    <xf numFmtId="0" fontId="1" fillId="8" borderId="0" xfId="2" applyFill="1" applyBorder="1"/>
    <xf numFmtId="0" fontId="0" fillId="8" borderId="0" xfId="0" applyFill="1"/>
    <xf numFmtId="0" fontId="2" fillId="3" borderId="1" xfId="2" applyFont="1" applyBorder="1" applyAlignment="1">
      <alignment horizontal="left"/>
    </xf>
    <xf numFmtId="0" fontId="1" fillId="3" borderId="0" xfId="2" applyBorder="1" applyAlignment="1">
      <alignment horizontal="left"/>
    </xf>
    <xf numFmtId="14" fontId="0" fillId="0" borderId="0" xfId="0" applyNumberFormat="1" applyAlignment="1">
      <alignment horizontal="left"/>
    </xf>
    <xf numFmtId="0" fontId="0" fillId="8" borderId="0" xfId="2" applyFont="1" applyFill="1" applyBorder="1"/>
    <xf numFmtId="0" fontId="0" fillId="0" borderId="0" xfId="0" pivotButton="1"/>
    <xf numFmtId="0" fontId="2" fillId="10" borderId="3" xfId="0" applyFont="1" applyFill="1" applyBorder="1" applyAlignment="1">
      <alignment horizontal="center"/>
    </xf>
    <xf numFmtId="0" fontId="4" fillId="9" borderId="9" xfId="6" applyFont="1" applyBorder="1" applyAlignment="1">
      <alignment horizontal="left" vertical="center" wrapText="1"/>
    </xf>
    <xf numFmtId="0" fontId="0" fillId="12" borderId="10" xfId="0" applyFill="1" applyBorder="1" applyAlignment="1">
      <alignment horizontal="center"/>
    </xf>
    <xf numFmtId="0" fontId="0" fillId="11" borderId="10" xfId="0" applyFill="1" applyBorder="1" applyAlignment="1">
      <alignment horizontal="center"/>
    </xf>
    <xf numFmtId="0" fontId="0" fillId="0" borderId="8" xfId="0" applyBorder="1"/>
    <xf numFmtId="0" fontId="2" fillId="13" borderId="0" xfId="0" applyFont="1" applyFill="1" applyAlignment="1">
      <alignment horizontal="center" vertical="center"/>
    </xf>
    <xf numFmtId="0" fontId="2" fillId="13" borderId="0" xfId="0" applyFont="1" applyFill="1" applyAlignment="1">
      <alignment horizontal="center"/>
    </xf>
    <xf numFmtId="0" fontId="0" fillId="0" borderId="0" xfId="0" applyAlignment="1">
      <alignment horizontal="left" vertical="top"/>
    </xf>
    <xf numFmtId="0" fontId="1" fillId="0" borderId="0" xfId="2" applyFill="1" applyBorder="1" applyAlignment="1">
      <alignment horizontal="left" vertical="top"/>
    </xf>
    <xf numFmtId="0" fontId="1" fillId="0" borderId="0" xfId="3" applyFill="1" applyBorder="1" applyAlignment="1">
      <alignment horizontal="left" vertical="top"/>
    </xf>
    <xf numFmtId="0" fontId="1" fillId="0" borderId="0" xfId="0" applyFont="1" applyAlignment="1">
      <alignment horizontal="left" vertical="top"/>
    </xf>
    <xf numFmtId="0" fontId="2" fillId="14" borderId="3" xfId="0" applyFont="1" applyFill="1" applyBorder="1" applyAlignment="1">
      <alignment horizontal="center"/>
    </xf>
    <xf numFmtId="0" fontId="2" fillId="14" borderId="0" xfId="0" applyFont="1" applyFill="1" applyAlignment="1">
      <alignment horizontal="center" vertical="center"/>
    </xf>
    <xf numFmtId="0" fontId="0" fillId="15" borderId="10" xfId="0" applyFill="1" applyBorder="1" applyAlignment="1">
      <alignment horizontal="center"/>
    </xf>
    <xf numFmtId="0" fontId="0" fillId="16" borderId="10" xfId="0" applyFill="1" applyBorder="1" applyAlignment="1">
      <alignment horizontal="center"/>
    </xf>
    <xf numFmtId="0" fontId="0" fillId="0" borderId="0" xfId="0" applyAlignment="1">
      <alignment horizontal="left" indent="1"/>
    </xf>
    <xf numFmtId="0" fontId="2" fillId="0" borderId="0" xfId="0" applyFont="1"/>
    <xf numFmtId="0" fontId="0" fillId="0" borderId="0" xfId="0" applyAlignment="1">
      <alignment horizontal="center" vertical="center"/>
    </xf>
    <xf numFmtId="0" fontId="2" fillId="13" borderId="8" xfId="0" applyFont="1" applyFill="1" applyBorder="1" applyAlignment="1">
      <alignment horizontal="center" vertical="center"/>
    </xf>
    <xf numFmtId="0" fontId="2" fillId="13" borderId="8" xfId="0" applyFont="1" applyFill="1" applyBorder="1" applyAlignment="1">
      <alignment horizontal="center"/>
    </xf>
    <xf numFmtId="0" fontId="2" fillId="11" borderId="4" xfId="0" applyFont="1" applyFill="1" applyBorder="1" applyAlignment="1">
      <alignment horizontal="center"/>
    </xf>
    <xf numFmtId="0" fontId="2" fillId="11" borderId="5" xfId="0" applyFont="1" applyFill="1" applyBorder="1" applyAlignment="1">
      <alignment horizontal="center"/>
    </xf>
    <xf numFmtId="0" fontId="2" fillId="11" borderId="6" xfId="0" applyFont="1" applyFill="1" applyBorder="1" applyAlignment="1">
      <alignment horizontal="center"/>
    </xf>
    <xf numFmtId="0" fontId="2" fillId="10" borderId="7" xfId="0" applyFont="1" applyFill="1" applyBorder="1" applyAlignment="1">
      <alignment horizontal="center"/>
    </xf>
    <xf numFmtId="0" fontId="2" fillId="10" borderId="1" xfId="0" applyFont="1" applyFill="1" applyBorder="1" applyAlignment="1">
      <alignment horizontal="center"/>
    </xf>
    <xf numFmtId="0" fontId="2" fillId="15" borderId="4" xfId="0" applyFont="1" applyFill="1" applyBorder="1" applyAlignment="1">
      <alignment horizontal="center"/>
    </xf>
    <xf numFmtId="0" fontId="2" fillId="15" borderId="5" xfId="0" applyFont="1" applyFill="1" applyBorder="1" applyAlignment="1">
      <alignment horizontal="center"/>
    </xf>
    <xf numFmtId="0" fontId="2" fillId="15" borderId="6" xfId="0" applyFont="1" applyFill="1" applyBorder="1" applyAlignment="1">
      <alignment horizontal="center"/>
    </xf>
    <xf numFmtId="0" fontId="2" fillId="16" borderId="7" xfId="0" applyFont="1" applyFill="1" applyBorder="1" applyAlignment="1">
      <alignment horizontal="center"/>
    </xf>
    <xf numFmtId="0" fontId="2" fillId="16" borderId="1" xfId="0" applyFont="1" applyFill="1" applyBorder="1" applyAlignment="1">
      <alignment horizontal="center"/>
    </xf>
  </cellXfs>
  <cellStyles count="7">
    <cellStyle name="40% - Accent5" xfId="4" builtinId="47"/>
    <cellStyle name="60% - Accent1" xfId="1" builtinId="32"/>
    <cellStyle name="60% - Accent2" xfId="2" builtinId="36"/>
    <cellStyle name="60% - Accent4" xfId="3" builtinId="44"/>
    <cellStyle name="60% - Accent6" xfId="5" builtinId="52"/>
    <cellStyle name="Normal" xfId="0" builtinId="0"/>
    <cellStyle name="Output" xfId="6" builtinId="21"/>
  </cellStyles>
  <dxfs count="0"/>
  <tableStyles count="0" defaultTableStyle="TableStyleMedium2" defaultPivotStyle="PivotStyleLight16"/>
  <colors>
    <mruColors>
      <color rgb="FF2F5597"/>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'HS FEED'!$A$3</c:f>
              <c:strCache>
                <c:ptCount val="1"/>
                <c:pt idx="0">
                  <c:v>Incidents</c:v>
                </c:pt>
              </c:strCache>
            </c:strRef>
          </c:tx>
          <c:spPr>
            <a:solidFill>
              <a:srgbClr val="2F559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38100" cap="rnd">
                <a:solidFill>
                  <a:srgbClr val="FFC000"/>
                </a:solidFill>
              </a:ln>
              <a:effectLst/>
            </c:spPr>
            <c:trendlineType val="linear"/>
            <c:dispRSqr val="0"/>
            <c:dispEq val="0"/>
          </c:trendline>
          <c:cat>
            <c:strRef>
              <c:f>'HS FEED'!$F$2:$AE$2</c:f>
              <c:strCache>
                <c:ptCount val="19"/>
                <c:pt idx="0">
                  <c:v>OCT, FY24</c:v>
                </c:pt>
                <c:pt idx="1">
                  <c:v>NOV, FY24</c:v>
                </c:pt>
                <c:pt idx="2">
                  <c:v>DEC, FY24</c:v>
                </c:pt>
                <c:pt idx="3">
                  <c:v>JAN, FY24</c:v>
                </c:pt>
                <c:pt idx="4">
                  <c:v>FEB, FY24</c:v>
                </c:pt>
                <c:pt idx="5">
                  <c:v>MAR, FY24</c:v>
                </c:pt>
                <c:pt idx="6">
                  <c:v>APR, FY24</c:v>
                </c:pt>
                <c:pt idx="7">
                  <c:v>MAY, FY24</c:v>
                </c:pt>
                <c:pt idx="8">
                  <c:v>JUN, FY24</c:v>
                </c:pt>
                <c:pt idx="9">
                  <c:v>JUL, FY25</c:v>
                </c:pt>
                <c:pt idx="10">
                  <c:v>AUG, FY25</c:v>
                </c:pt>
                <c:pt idx="11">
                  <c:v>SEP, FY25</c:v>
                </c:pt>
                <c:pt idx="12">
                  <c:v>OCT, FY25</c:v>
                </c:pt>
                <c:pt idx="13">
                  <c:v>NOV, FY25</c:v>
                </c:pt>
                <c:pt idx="14">
                  <c:v>DEC, FY25</c:v>
                </c:pt>
                <c:pt idx="15">
                  <c:v>JAN, FY25</c:v>
                </c:pt>
                <c:pt idx="16">
                  <c:v>FEB, FY25</c:v>
                </c:pt>
                <c:pt idx="17">
                  <c:v>MAR, FY25</c:v>
                </c:pt>
                <c:pt idx="18">
                  <c:v>APR, FY25</c:v>
                </c:pt>
              </c:strCache>
            </c:strRef>
          </c:cat>
          <c:val>
            <c:numRef>
              <c:f>'HS FEED'!$F$3:$AE$3</c:f>
              <c:numCache>
                <c:formatCode>General</c:formatCode>
                <c:ptCount val="19"/>
                <c:pt idx="0">
                  <c:v>13</c:v>
                </c:pt>
                <c:pt idx="1">
                  <c:v>19</c:v>
                </c:pt>
                <c:pt idx="2">
                  <c:v>27</c:v>
                </c:pt>
                <c:pt idx="3">
                  <c:v>17</c:v>
                </c:pt>
                <c:pt idx="4">
                  <c:v>20</c:v>
                </c:pt>
                <c:pt idx="5">
                  <c:v>17</c:v>
                </c:pt>
                <c:pt idx="6">
                  <c:v>12</c:v>
                </c:pt>
                <c:pt idx="7">
                  <c:v>30</c:v>
                </c:pt>
                <c:pt idx="8">
                  <c:v>18</c:v>
                </c:pt>
                <c:pt idx="9">
                  <c:v>16</c:v>
                </c:pt>
                <c:pt idx="10">
                  <c:v>24</c:v>
                </c:pt>
                <c:pt idx="11">
                  <c:v>17</c:v>
                </c:pt>
                <c:pt idx="12">
                  <c:v>16</c:v>
                </c:pt>
                <c:pt idx="13">
                  <c:v>18</c:v>
                </c:pt>
                <c:pt idx="14">
                  <c:v>17</c:v>
                </c:pt>
                <c:pt idx="15">
                  <c:v>8</c:v>
                </c:pt>
                <c:pt idx="16">
                  <c:v>9</c:v>
                </c:pt>
                <c:pt idx="17">
                  <c:v>19</c:v>
                </c:pt>
                <c:pt idx="18">
                  <c:v>10</c:v>
                </c:pt>
              </c:numCache>
            </c:numRef>
          </c:val>
          <c:extLst>
            <c:ext xmlns:c16="http://schemas.microsoft.com/office/drawing/2014/chart" uri="{C3380CC4-5D6E-409C-BE32-E72D297353CC}">
              <c16:uniqueId val="{00000000-14CA-4E18-91D4-44ACFE32B18C}"/>
            </c:ext>
          </c:extLst>
        </c:ser>
        <c:dLbls>
          <c:dLblPos val="outEnd"/>
          <c:showLegendKey val="0"/>
          <c:showVal val="1"/>
          <c:showCatName val="0"/>
          <c:showSerName val="0"/>
          <c:showPercent val="0"/>
          <c:showBubbleSize val="0"/>
        </c:dLbls>
        <c:gapWidth val="100"/>
        <c:overlap val="-24"/>
        <c:axId val="252000639"/>
        <c:axId val="234039471"/>
      </c:barChart>
      <c:catAx>
        <c:axId val="252000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039471"/>
        <c:crosses val="autoZero"/>
        <c:auto val="1"/>
        <c:lblAlgn val="ctr"/>
        <c:lblOffset val="100"/>
        <c:noMultiLvlLbl val="0"/>
      </c:catAx>
      <c:valAx>
        <c:axId val="23403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000639"/>
        <c:crosses val="autoZero"/>
        <c:crossBetween val="between"/>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2700000"/>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a:t>Claims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Claims</c:v>
          </c:tx>
          <c:spPr>
            <a:solidFill>
              <a:schemeClr val="accent2"/>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38100" cap="rnd">
                <a:solidFill>
                  <a:srgbClr val="2F5597"/>
                </a:solidFill>
              </a:ln>
              <a:effectLst/>
            </c:spPr>
            <c:trendlineType val="linear"/>
            <c:dispRSqr val="0"/>
            <c:dispEq val="0"/>
          </c:trendline>
          <c:cat>
            <c:strRef>
              <c:f>'HS FEED'!$F$2:$AE$2</c:f>
              <c:strCache>
                <c:ptCount val="19"/>
                <c:pt idx="0">
                  <c:v>OCT, FY24</c:v>
                </c:pt>
                <c:pt idx="1">
                  <c:v>NOV, FY24</c:v>
                </c:pt>
                <c:pt idx="2">
                  <c:v>DEC, FY24</c:v>
                </c:pt>
                <c:pt idx="3">
                  <c:v>JAN, FY24</c:v>
                </c:pt>
                <c:pt idx="4">
                  <c:v>FEB, FY24</c:v>
                </c:pt>
                <c:pt idx="5">
                  <c:v>MAR, FY24</c:v>
                </c:pt>
                <c:pt idx="6">
                  <c:v>APR, FY24</c:v>
                </c:pt>
                <c:pt idx="7">
                  <c:v>MAY, FY24</c:v>
                </c:pt>
                <c:pt idx="8">
                  <c:v>JUN, FY24</c:v>
                </c:pt>
                <c:pt idx="9">
                  <c:v>JUL, FY25</c:v>
                </c:pt>
                <c:pt idx="10">
                  <c:v>AUG, FY25</c:v>
                </c:pt>
                <c:pt idx="11">
                  <c:v>SEP, FY25</c:v>
                </c:pt>
                <c:pt idx="12">
                  <c:v>OCT, FY25</c:v>
                </c:pt>
                <c:pt idx="13">
                  <c:v>NOV, FY25</c:v>
                </c:pt>
                <c:pt idx="14">
                  <c:v>DEC, FY25</c:v>
                </c:pt>
                <c:pt idx="15">
                  <c:v>JAN, FY25</c:v>
                </c:pt>
                <c:pt idx="16">
                  <c:v>FEB, FY25</c:v>
                </c:pt>
                <c:pt idx="17">
                  <c:v>MAR, FY25</c:v>
                </c:pt>
                <c:pt idx="18">
                  <c:v>APR, FY25</c:v>
                </c:pt>
              </c:strCache>
            </c:strRef>
          </c:cat>
          <c:val>
            <c:numRef>
              <c:f>'HS FEED'!$F$7:$AE$7</c:f>
              <c:numCache>
                <c:formatCode>General</c:formatCode>
                <c:ptCount val="19"/>
                <c:pt idx="0">
                  <c:v>3</c:v>
                </c:pt>
                <c:pt idx="1">
                  <c:v>2</c:v>
                </c:pt>
                <c:pt idx="2">
                  <c:v>4</c:v>
                </c:pt>
                <c:pt idx="3">
                  <c:v>1</c:v>
                </c:pt>
                <c:pt idx="4">
                  <c:v>3</c:v>
                </c:pt>
                <c:pt idx="5">
                  <c:v>2</c:v>
                </c:pt>
                <c:pt idx="6">
                  <c:v>1</c:v>
                </c:pt>
                <c:pt idx="7">
                  <c:v>6</c:v>
                </c:pt>
                <c:pt idx="8">
                  <c:v>4</c:v>
                </c:pt>
                <c:pt idx="9">
                  <c:v>3</c:v>
                </c:pt>
                <c:pt idx="10">
                  <c:v>6</c:v>
                </c:pt>
                <c:pt idx="11">
                  <c:v>3</c:v>
                </c:pt>
                <c:pt idx="12">
                  <c:v>3</c:v>
                </c:pt>
                <c:pt idx="13">
                  <c:v>5</c:v>
                </c:pt>
                <c:pt idx="14">
                  <c:v>3</c:v>
                </c:pt>
                <c:pt idx="15">
                  <c:v>1</c:v>
                </c:pt>
                <c:pt idx="16">
                  <c:v>2</c:v>
                </c:pt>
                <c:pt idx="17">
                  <c:v>3</c:v>
                </c:pt>
                <c:pt idx="18">
                  <c:v>2</c:v>
                </c:pt>
              </c:numCache>
            </c:numRef>
          </c:val>
          <c:extLst>
            <c:ext xmlns:c16="http://schemas.microsoft.com/office/drawing/2014/chart" uri="{C3380CC4-5D6E-409C-BE32-E72D297353CC}">
              <c16:uniqueId val="{00000000-14CA-4E18-91D4-44ACFE32B18C}"/>
            </c:ext>
          </c:extLst>
        </c:ser>
        <c:dLbls>
          <c:dLblPos val="outEnd"/>
          <c:showLegendKey val="0"/>
          <c:showVal val="1"/>
          <c:showCatName val="0"/>
          <c:showSerName val="0"/>
          <c:showPercent val="0"/>
          <c:showBubbleSize val="0"/>
        </c:dLbls>
        <c:gapWidth val="100"/>
        <c:overlap val="-24"/>
        <c:axId val="252000639"/>
        <c:axId val="234039471"/>
      </c:barChart>
      <c:catAx>
        <c:axId val="252000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039471"/>
        <c:crosses val="autoZero"/>
        <c:auto val="1"/>
        <c:lblAlgn val="ctr"/>
        <c:lblOffset val="100"/>
        <c:noMultiLvlLbl val="0"/>
      </c:catAx>
      <c:valAx>
        <c:axId val="23403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000639"/>
        <c:crosses val="autoZero"/>
        <c:crossBetween val="between"/>
      </c:valAx>
      <c:spPr>
        <a:noFill/>
        <a:ln>
          <a:noFill/>
        </a:ln>
        <a:effectLst/>
      </c:spPr>
    </c:plotArea>
    <c:legend>
      <c:legendPos val="b"/>
      <c:legendEntry>
        <c:idx val="1"/>
        <c:delete val="1"/>
      </c:legendEntry>
      <c:layout>
        <c:manualLayout>
          <c:xMode val="edge"/>
          <c:yMode val="edge"/>
          <c:x val="0.45816981311071064"/>
          <c:y val="0.88749298302113611"/>
          <c:w val="6.0195933339657837E-2"/>
          <c:h val="7.064412487272198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2700000"/>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a:t>Incidents vs Claims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Incidents</c:v>
          </c:tx>
          <c:spPr>
            <a:solidFill>
              <a:srgbClr val="2F559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'HS FEED'!$F$2:$AE$2</c:f>
              <c:strCache>
                <c:ptCount val="19"/>
                <c:pt idx="0">
                  <c:v>OCT, FY24</c:v>
                </c:pt>
                <c:pt idx="1">
                  <c:v>NOV, FY24</c:v>
                </c:pt>
                <c:pt idx="2">
                  <c:v>DEC, FY24</c:v>
                </c:pt>
                <c:pt idx="3">
                  <c:v>JAN, FY24</c:v>
                </c:pt>
                <c:pt idx="4">
                  <c:v>FEB, FY24</c:v>
                </c:pt>
                <c:pt idx="5">
                  <c:v>MAR, FY24</c:v>
                </c:pt>
                <c:pt idx="6">
                  <c:v>APR, FY24</c:v>
                </c:pt>
                <c:pt idx="7">
                  <c:v>MAY, FY24</c:v>
                </c:pt>
                <c:pt idx="8">
                  <c:v>JUN, FY24</c:v>
                </c:pt>
                <c:pt idx="9">
                  <c:v>JUL, FY25</c:v>
                </c:pt>
                <c:pt idx="10">
                  <c:v>AUG, FY25</c:v>
                </c:pt>
                <c:pt idx="11">
                  <c:v>SEP, FY25</c:v>
                </c:pt>
                <c:pt idx="12">
                  <c:v>OCT, FY25</c:v>
                </c:pt>
                <c:pt idx="13">
                  <c:v>NOV, FY25</c:v>
                </c:pt>
                <c:pt idx="14">
                  <c:v>DEC, FY25</c:v>
                </c:pt>
                <c:pt idx="15">
                  <c:v>JAN, FY25</c:v>
                </c:pt>
                <c:pt idx="16">
                  <c:v>FEB, FY25</c:v>
                </c:pt>
                <c:pt idx="17">
                  <c:v>MAR, FY25</c:v>
                </c:pt>
                <c:pt idx="18">
                  <c:v>APR, FY25</c:v>
                </c:pt>
              </c:strCache>
            </c:strRef>
          </c:cat>
          <c:val>
            <c:numRef>
              <c:f>'HS FEED'!$F$3:$AE$3</c:f>
              <c:numCache>
                <c:formatCode>General</c:formatCode>
                <c:ptCount val="19"/>
                <c:pt idx="0">
                  <c:v>13</c:v>
                </c:pt>
                <c:pt idx="1">
                  <c:v>19</c:v>
                </c:pt>
                <c:pt idx="2">
                  <c:v>27</c:v>
                </c:pt>
                <c:pt idx="3">
                  <c:v>17</c:v>
                </c:pt>
                <c:pt idx="4">
                  <c:v>20</c:v>
                </c:pt>
                <c:pt idx="5">
                  <c:v>17</c:v>
                </c:pt>
                <c:pt idx="6">
                  <c:v>12</c:v>
                </c:pt>
                <c:pt idx="7">
                  <c:v>30</c:v>
                </c:pt>
                <c:pt idx="8">
                  <c:v>18</c:v>
                </c:pt>
                <c:pt idx="9">
                  <c:v>16</c:v>
                </c:pt>
                <c:pt idx="10">
                  <c:v>24</c:v>
                </c:pt>
                <c:pt idx="11">
                  <c:v>17</c:v>
                </c:pt>
                <c:pt idx="12">
                  <c:v>16</c:v>
                </c:pt>
                <c:pt idx="13">
                  <c:v>18</c:v>
                </c:pt>
                <c:pt idx="14">
                  <c:v>17</c:v>
                </c:pt>
                <c:pt idx="15">
                  <c:v>8</c:v>
                </c:pt>
                <c:pt idx="16">
                  <c:v>9</c:v>
                </c:pt>
                <c:pt idx="17">
                  <c:v>19</c:v>
                </c:pt>
                <c:pt idx="18">
                  <c:v>10</c:v>
                </c:pt>
              </c:numCache>
            </c:numRef>
          </c:val>
          <c:extLst>
            <c:ext xmlns:c16="http://schemas.microsoft.com/office/drawing/2014/chart" uri="{C3380CC4-5D6E-409C-BE32-E72D297353CC}">
              <c16:uniqueId val="{00000000-9A3F-4849-87D4-722DDF9E2ED1}"/>
            </c:ext>
          </c:extLst>
        </c:ser>
        <c:ser>
          <c:idx val="1"/>
          <c:order val="1"/>
          <c:tx>
            <c:v>Claims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'HS FEED'!$F$2:$AE$2</c:f>
              <c:strCache>
                <c:ptCount val="19"/>
                <c:pt idx="0">
                  <c:v>OCT, FY24</c:v>
                </c:pt>
                <c:pt idx="1">
                  <c:v>NOV, FY24</c:v>
                </c:pt>
                <c:pt idx="2">
                  <c:v>DEC, FY24</c:v>
                </c:pt>
                <c:pt idx="3">
                  <c:v>JAN, FY24</c:v>
                </c:pt>
                <c:pt idx="4">
                  <c:v>FEB, FY24</c:v>
                </c:pt>
                <c:pt idx="5">
                  <c:v>MAR, FY24</c:v>
                </c:pt>
                <c:pt idx="6">
                  <c:v>APR, FY24</c:v>
                </c:pt>
                <c:pt idx="7">
                  <c:v>MAY, FY24</c:v>
                </c:pt>
                <c:pt idx="8">
                  <c:v>JUN, FY24</c:v>
                </c:pt>
                <c:pt idx="9">
                  <c:v>JUL, FY25</c:v>
                </c:pt>
                <c:pt idx="10">
                  <c:v>AUG, FY25</c:v>
                </c:pt>
                <c:pt idx="11">
                  <c:v>SEP, FY25</c:v>
                </c:pt>
                <c:pt idx="12">
                  <c:v>OCT, FY25</c:v>
                </c:pt>
                <c:pt idx="13">
                  <c:v>NOV, FY25</c:v>
                </c:pt>
                <c:pt idx="14">
                  <c:v>DEC, FY25</c:v>
                </c:pt>
                <c:pt idx="15">
                  <c:v>JAN, FY25</c:v>
                </c:pt>
                <c:pt idx="16">
                  <c:v>FEB, FY25</c:v>
                </c:pt>
                <c:pt idx="17">
                  <c:v>MAR, FY25</c:v>
                </c:pt>
                <c:pt idx="18">
                  <c:v>APR, FY25</c:v>
                </c:pt>
              </c:strCache>
            </c:strRef>
          </c:cat>
          <c:val>
            <c:numRef>
              <c:f>'HS FEED'!$F$7:$AE$7</c:f>
              <c:numCache>
                <c:formatCode>General</c:formatCode>
                <c:ptCount val="19"/>
                <c:pt idx="0">
                  <c:v>3</c:v>
                </c:pt>
                <c:pt idx="1">
                  <c:v>2</c:v>
                </c:pt>
                <c:pt idx="2">
                  <c:v>4</c:v>
                </c:pt>
                <c:pt idx="3">
                  <c:v>1</c:v>
                </c:pt>
                <c:pt idx="4">
                  <c:v>3</c:v>
                </c:pt>
                <c:pt idx="5">
                  <c:v>2</c:v>
                </c:pt>
                <c:pt idx="6">
                  <c:v>1</c:v>
                </c:pt>
                <c:pt idx="7">
                  <c:v>6</c:v>
                </c:pt>
                <c:pt idx="8">
                  <c:v>4</c:v>
                </c:pt>
                <c:pt idx="9">
                  <c:v>3</c:v>
                </c:pt>
                <c:pt idx="10">
                  <c:v>6</c:v>
                </c:pt>
                <c:pt idx="11">
                  <c:v>3</c:v>
                </c:pt>
                <c:pt idx="12">
                  <c:v>3</c:v>
                </c:pt>
                <c:pt idx="13">
                  <c:v>5</c:v>
                </c:pt>
                <c:pt idx="14">
                  <c:v>3</c:v>
                </c:pt>
                <c:pt idx="15">
                  <c:v>1</c:v>
                </c:pt>
                <c:pt idx="16">
                  <c:v>2</c:v>
                </c:pt>
                <c:pt idx="17">
                  <c:v>3</c:v>
                </c:pt>
                <c:pt idx="18">
                  <c:v>2</c:v>
                </c:pt>
              </c:numCache>
            </c:numRef>
          </c:val>
          <c:extLst>
            <c:ext xmlns:c16="http://schemas.microsoft.com/office/drawing/2014/chart" uri="{C3380CC4-5D6E-409C-BE32-E72D297353CC}">
              <c16:uniqueId val="{00000003-9A3F-4849-87D4-722DDF9E2ED1}"/>
            </c:ext>
          </c:extLst>
        </c:ser>
        <c:dLbls>
          <c:dLblPos val="outEnd"/>
          <c:showLegendKey val="0"/>
          <c:showVal val="1"/>
          <c:showCatName val="0"/>
          <c:showSerName val="0"/>
          <c:showPercent val="0"/>
          <c:showBubbleSize val="0"/>
        </c:dLbls>
        <c:gapWidth val="100"/>
        <c:overlap val="-24"/>
        <c:axId val="1143790671"/>
        <c:axId val="1143791151"/>
      </c:barChart>
      <c:catAx>
        <c:axId val="11437906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91151"/>
        <c:crosses val="autoZero"/>
        <c:auto val="1"/>
        <c:lblAlgn val="ctr"/>
        <c:lblOffset val="100"/>
        <c:noMultiLvlLbl val="0"/>
      </c:catAx>
      <c:valAx>
        <c:axId val="114379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90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a:t>Incidents vs Claims by Age Groups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450568678915134E-2"/>
          <c:y val="0.16421620893245645"/>
          <c:w val="0.94825313502478858"/>
          <c:h val="0.53214758085300407"/>
        </c:manualLayout>
      </c:layout>
      <c:barChart>
        <c:barDir val="col"/>
        <c:grouping val="clustered"/>
        <c:varyColors val="0"/>
        <c:ser>
          <c:idx val="0"/>
          <c:order val="0"/>
          <c:tx>
            <c:strRef>
              <c:f>'HS FEED'!$AJ$12</c:f>
              <c:strCache>
                <c:ptCount val="1"/>
                <c:pt idx="0">
                  <c:v>Incidents</c:v>
                </c:pt>
              </c:strCache>
            </c:strRef>
          </c:tx>
          <c:spPr>
            <a:solidFill>
              <a:srgbClr val="2F559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38100" cap="rnd">
                <a:solidFill>
                  <a:srgbClr val="FFC000"/>
                </a:solidFill>
              </a:ln>
              <a:effectLst/>
            </c:spPr>
            <c:trendlineType val="linear"/>
            <c:dispRSqr val="0"/>
            <c:dispEq val="0"/>
          </c:trendline>
          <c:cat>
            <c:strRef>
              <c:f>'HS FEED'!$AK$11:$AP$11</c:f>
              <c:strCache>
                <c:ptCount val="6"/>
                <c:pt idx="0">
                  <c:v>Less Than 20 Years</c:v>
                </c:pt>
                <c:pt idx="1">
                  <c:v>20-24 Years</c:v>
                </c:pt>
                <c:pt idx="2">
                  <c:v>25-34 Years</c:v>
                </c:pt>
                <c:pt idx="3">
                  <c:v>35-44 Years</c:v>
                </c:pt>
                <c:pt idx="4">
                  <c:v>45-54 Years</c:v>
                </c:pt>
                <c:pt idx="5">
                  <c:v>More Than 55 Years</c:v>
                </c:pt>
              </c:strCache>
            </c:strRef>
          </c:cat>
          <c:val>
            <c:numRef>
              <c:f>'HS FEED'!$AK$12:$AP$12</c:f>
              <c:numCache>
                <c:formatCode>General</c:formatCode>
                <c:ptCount val="6"/>
                <c:pt idx="0">
                  <c:v>21</c:v>
                </c:pt>
                <c:pt idx="1">
                  <c:v>49</c:v>
                </c:pt>
                <c:pt idx="2">
                  <c:v>63</c:v>
                </c:pt>
                <c:pt idx="3">
                  <c:v>44</c:v>
                </c:pt>
                <c:pt idx="4">
                  <c:v>66</c:v>
                </c:pt>
                <c:pt idx="5">
                  <c:v>84</c:v>
                </c:pt>
              </c:numCache>
            </c:numRef>
          </c:val>
          <c:extLst>
            <c:ext xmlns:c16="http://schemas.microsoft.com/office/drawing/2014/chart" uri="{C3380CC4-5D6E-409C-BE32-E72D297353CC}">
              <c16:uniqueId val="{00000000-14CA-4E18-91D4-44ACFE32B18C}"/>
            </c:ext>
          </c:extLst>
        </c:ser>
        <c:ser>
          <c:idx val="1"/>
          <c:order val="1"/>
          <c:tx>
            <c:strRef>
              <c:f>'HS FEED'!$AJ$13</c:f>
              <c:strCache>
                <c:ptCount val="1"/>
                <c:pt idx="0">
                  <c:v>Claims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'HS FEED'!$AK$11:$AP$11</c:f>
              <c:strCache>
                <c:ptCount val="6"/>
                <c:pt idx="0">
                  <c:v>Less Than 20 Years</c:v>
                </c:pt>
                <c:pt idx="1">
                  <c:v>20-24 Years</c:v>
                </c:pt>
                <c:pt idx="2">
                  <c:v>25-34 Years</c:v>
                </c:pt>
                <c:pt idx="3">
                  <c:v>35-44 Years</c:v>
                </c:pt>
                <c:pt idx="4">
                  <c:v>45-54 Years</c:v>
                </c:pt>
                <c:pt idx="5">
                  <c:v>More Than 55 Years</c:v>
                </c:pt>
              </c:strCache>
            </c:strRef>
          </c:cat>
          <c:val>
            <c:numRef>
              <c:f>'HS FEED'!$AK$13:$AP$13</c:f>
              <c:numCache>
                <c:formatCode>General</c:formatCode>
                <c:ptCount val="6"/>
                <c:pt idx="0">
                  <c:v>0</c:v>
                </c:pt>
                <c:pt idx="1">
                  <c:v>10</c:v>
                </c:pt>
                <c:pt idx="2">
                  <c:v>11</c:v>
                </c:pt>
                <c:pt idx="3">
                  <c:v>11</c:v>
                </c:pt>
                <c:pt idx="4">
                  <c:v>8</c:v>
                </c:pt>
                <c:pt idx="5">
                  <c:v>17</c:v>
                </c:pt>
              </c:numCache>
            </c:numRef>
          </c:val>
          <c:extLst>
            <c:ext xmlns:c16="http://schemas.microsoft.com/office/drawing/2014/chart" uri="{C3380CC4-5D6E-409C-BE32-E72D297353CC}">
              <c16:uniqueId val="{00000001-EDF1-4EBF-83B9-194661067D0D}"/>
            </c:ext>
          </c:extLst>
        </c:ser>
        <c:dLbls>
          <c:dLblPos val="outEnd"/>
          <c:showLegendKey val="0"/>
          <c:showVal val="1"/>
          <c:showCatName val="0"/>
          <c:showSerName val="0"/>
          <c:showPercent val="0"/>
          <c:showBubbleSize val="0"/>
        </c:dLbls>
        <c:gapWidth val="100"/>
        <c:overlap val="-24"/>
        <c:axId val="252000639"/>
        <c:axId val="234039471"/>
      </c:barChart>
      <c:catAx>
        <c:axId val="252000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039471"/>
        <c:crosses val="autoZero"/>
        <c:auto val="1"/>
        <c:lblAlgn val="ctr"/>
        <c:lblOffset val="100"/>
        <c:noMultiLvlLbl val="0"/>
      </c:catAx>
      <c:valAx>
        <c:axId val="23403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000639"/>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2700000"/>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a:t>Incidents vs Claims by Tenure at Date of Injury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4.5765676880751352E-2"/>
          <c:y val="0.16787713718651032"/>
          <c:w val="0.93656364038832496"/>
          <c:h val="0.62963413720790895"/>
        </c:manualLayout>
      </c:layout>
      <c:barChart>
        <c:barDir val="col"/>
        <c:grouping val="clustered"/>
        <c:varyColors val="0"/>
        <c:ser>
          <c:idx val="0"/>
          <c:order val="0"/>
          <c:tx>
            <c:strRef>
              <c:f>'HS FEED'!$AJ$19</c:f>
              <c:strCache>
                <c:ptCount val="1"/>
                <c:pt idx="0">
                  <c:v>Incidents</c:v>
                </c:pt>
              </c:strCache>
            </c:strRef>
          </c:tx>
          <c:spPr>
            <a:solidFill>
              <a:srgbClr val="2F559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38100" cap="rnd">
                <a:solidFill>
                  <a:srgbClr val="FFC000"/>
                </a:solidFill>
              </a:ln>
              <a:effectLst/>
            </c:spPr>
            <c:trendlineType val="linear"/>
            <c:dispRSqr val="0"/>
            <c:dispEq val="0"/>
          </c:trendline>
          <c:cat>
            <c:strRef>
              <c:f>'HS FEED'!$AK$18:$AR$18</c:f>
              <c:strCache>
                <c:ptCount val="8"/>
                <c:pt idx="0">
                  <c:v>Under 1 Year</c:v>
                </c:pt>
                <c:pt idx="1">
                  <c:v>1-5 Years</c:v>
                </c:pt>
                <c:pt idx="2">
                  <c:v>6-10 Years</c:v>
                </c:pt>
                <c:pt idx="3">
                  <c:v>11-15 Years</c:v>
                </c:pt>
                <c:pt idx="4">
                  <c:v>16-20 Years</c:v>
                </c:pt>
                <c:pt idx="5">
                  <c:v>21-25 Years</c:v>
                </c:pt>
                <c:pt idx="6">
                  <c:v>26-30 Years</c:v>
                </c:pt>
                <c:pt idx="7">
                  <c:v>More Than 30 Years</c:v>
                </c:pt>
              </c:strCache>
            </c:strRef>
          </c:cat>
          <c:val>
            <c:numRef>
              <c:f>'HS FEED'!$AK$19:$AR$19</c:f>
              <c:numCache>
                <c:formatCode>General</c:formatCode>
                <c:ptCount val="8"/>
                <c:pt idx="0">
                  <c:v>62</c:v>
                </c:pt>
                <c:pt idx="1">
                  <c:v>165</c:v>
                </c:pt>
                <c:pt idx="2">
                  <c:v>47</c:v>
                </c:pt>
                <c:pt idx="3">
                  <c:v>17</c:v>
                </c:pt>
                <c:pt idx="4">
                  <c:v>17</c:v>
                </c:pt>
                <c:pt idx="5">
                  <c:v>7</c:v>
                </c:pt>
                <c:pt idx="6">
                  <c:v>7</c:v>
                </c:pt>
                <c:pt idx="7">
                  <c:v>5</c:v>
                </c:pt>
              </c:numCache>
            </c:numRef>
          </c:val>
          <c:extLst>
            <c:ext xmlns:c16="http://schemas.microsoft.com/office/drawing/2014/chart" uri="{C3380CC4-5D6E-409C-BE32-E72D297353CC}">
              <c16:uniqueId val="{00000000-14CA-4E18-91D4-44ACFE32B18C}"/>
            </c:ext>
          </c:extLst>
        </c:ser>
        <c:ser>
          <c:idx val="1"/>
          <c:order val="1"/>
          <c:tx>
            <c:strRef>
              <c:f>'HS FEED'!$AJ$20</c:f>
              <c:strCache>
                <c:ptCount val="1"/>
                <c:pt idx="0">
                  <c:v>Claims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'HS FEED'!$AK$18:$AR$18</c:f>
              <c:strCache>
                <c:ptCount val="8"/>
                <c:pt idx="0">
                  <c:v>Under 1 Year</c:v>
                </c:pt>
                <c:pt idx="1">
                  <c:v>1-5 Years</c:v>
                </c:pt>
                <c:pt idx="2">
                  <c:v>6-10 Years</c:v>
                </c:pt>
                <c:pt idx="3">
                  <c:v>11-15 Years</c:v>
                </c:pt>
                <c:pt idx="4">
                  <c:v>16-20 Years</c:v>
                </c:pt>
                <c:pt idx="5">
                  <c:v>21-25 Years</c:v>
                </c:pt>
                <c:pt idx="6">
                  <c:v>26-30 Years</c:v>
                </c:pt>
                <c:pt idx="7">
                  <c:v>More Than 30 Years</c:v>
                </c:pt>
              </c:strCache>
            </c:strRef>
          </c:cat>
          <c:val>
            <c:numRef>
              <c:f>'HS FEED'!$AK$20:$AR$20</c:f>
              <c:numCache>
                <c:formatCode>General</c:formatCode>
                <c:ptCount val="8"/>
                <c:pt idx="0">
                  <c:v>8</c:v>
                </c:pt>
                <c:pt idx="1">
                  <c:v>28</c:v>
                </c:pt>
                <c:pt idx="2">
                  <c:v>9</c:v>
                </c:pt>
                <c:pt idx="3">
                  <c:v>8</c:v>
                </c:pt>
                <c:pt idx="4">
                  <c:v>3</c:v>
                </c:pt>
                <c:pt idx="5">
                  <c:v>0</c:v>
                </c:pt>
                <c:pt idx="6">
                  <c:v>1</c:v>
                </c:pt>
                <c:pt idx="7">
                  <c:v>0</c:v>
                </c:pt>
              </c:numCache>
            </c:numRef>
          </c:val>
          <c:extLst>
            <c:ext xmlns:c16="http://schemas.microsoft.com/office/drawing/2014/chart" uri="{C3380CC4-5D6E-409C-BE32-E72D297353CC}">
              <c16:uniqueId val="{00000001-EDF1-4EBF-83B9-194661067D0D}"/>
            </c:ext>
          </c:extLst>
        </c:ser>
        <c:dLbls>
          <c:dLblPos val="outEnd"/>
          <c:showLegendKey val="0"/>
          <c:showVal val="1"/>
          <c:showCatName val="0"/>
          <c:showSerName val="0"/>
          <c:showPercent val="0"/>
          <c:showBubbleSize val="0"/>
        </c:dLbls>
        <c:gapWidth val="100"/>
        <c:overlap val="-24"/>
        <c:axId val="252000639"/>
        <c:axId val="234039471"/>
      </c:barChart>
      <c:catAx>
        <c:axId val="252000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039471"/>
        <c:crosses val="autoZero"/>
        <c:auto val="1"/>
        <c:lblAlgn val="ctr"/>
        <c:lblOffset val="100"/>
        <c:noMultiLvlLbl val="0"/>
      </c:catAx>
      <c:valAx>
        <c:axId val="23403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000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2700000"/>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a:t>Incidents vs Claims between 1-5 Years Tenure from Date of Injury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5450568678915134E-2"/>
          <c:y val="0.16841348622742319"/>
          <c:w val="0.94825313502478858"/>
          <c:h val="0.58322764759135459"/>
        </c:manualLayout>
      </c:layout>
      <c:barChart>
        <c:barDir val="col"/>
        <c:grouping val="clustered"/>
        <c:varyColors val="0"/>
        <c:ser>
          <c:idx val="0"/>
          <c:order val="0"/>
          <c:tx>
            <c:strRef>
              <c:f>'HS FEED'!$AJ$24</c:f>
              <c:strCache>
                <c:ptCount val="1"/>
                <c:pt idx="0">
                  <c:v>Incidents</c:v>
                </c:pt>
              </c:strCache>
            </c:strRef>
          </c:tx>
          <c:spPr>
            <a:solidFill>
              <a:srgbClr val="2F559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38100" cap="rnd">
                <a:solidFill>
                  <a:srgbClr val="FFC000"/>
                </a:solidFill>
              </a:ln>
              <a:effectLst/>
            </c:spPr>
            <c:trendlineType val="linear"/>
            <c:dispRSqr val="0"/>
            <c:dispEq val="0"/>
          </c:trendline>
          <c:cat>
            <c:strRef>
              <c:f>'HS FEED'!$AK$23:$AO$23</c:f>
              <c:strCache>
                <c:ptCount val="5"/>
                <c:pt idx="0">
                  <c:v>1 Year</c:v>
                </c:pt>
                <c:pt idx="1">
                  <c:v>2 Years</c:v>
                </c:pt>
                <c:pt idx="2">
                  <c:v>3 Years</c:v>
                </c:pt>
                <c:pt idx="3">
                  <c:v>4 Years</c:v>
                </c:pt>
                <c:pt idx="4">
                  <c:v>5 Years</c:v>
                </c:pt>
              </c:strCache>
            </c:strRef>
          </c:cat>
          <c:val>
            <c:numRef>
              <c:f>'HS FEED'!$AK$24:$AO$24</c:f>
              <c:numCache>
                <c:formatCode>General</c:formatCode>
                <c:ptCount val="5"/>
                <c:pt idx="0">
                  <c:v>72</c:v>
                </c:pt>
                <c:pt idx="1">
                  <c:v>38</c:v>
                </c:pt>
                <c:pt idx="2">
                  <c:v>23</c:v>
                </c:pt>
                <c:pt idx="3">
                  <c:v>20</c:v>
                </c:pt>
                <c:pt idx="4">
                  <c:v>12</c:v>
                </c:pt>
              </c:numCache>
            </c:numRef>
          </c:val>
          <c:extLst>
            <c:ext xmlns:c16="http://schemas.microsoft.com/office/drawing/2014/chart" uri="{C3380CC4-5D6E-409C-BE32-E72D297353CC}">
              <c16:uniqueId val="{00000000-14CA-4E18-91D4-44ACFE32B18C}"/>
            </c:ext>
          </c:extLst>
        </c:ser>
        <c:ser>
          <c:idx val="1"/>
          <c:order val="1"/>
          <c:tx>
            <c:strRef>
              <c:f>'HS FEED'!$AJ$25</c:f>
              <c:strCache>
                <c:ptCount val="1"/>
                <c:pt idx="0">
                  <c:v>Claims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'HS FEED'!$AK$23:$AO$23</c:f>
              <c:strCache>
                <c:ptCount val="5"/>
                <c:pt idx="0">
                  <c:v>1 Year</c:v>
                </c:pt>
                <c:pt idx="1">
                  <c:v>2 Years</c:v>
                </c:pt>
                <c:pt idx="2">
                  <c:v>3 Years</c:v>
                </c:pt>
                <c:pt idx="3">
                  <c:v>4 Years</c:v>
                </c:pt>
                <c:pt idx="4">
                  <c:v>5 Years</c:v>
                </c:pt>
              </c:strCache>
            </c:strRef>
          </c:cat>
          <c:val>
            <c:numRef>
              <c:f>'HS FEED'!$AK$25:$AO$25</c:f>
              <c:numCache>
                <c:formatCode>General</c:formatCode>
                <c:ptCount val="5"/>
                <c:pt idx="0">
                  <c:v>12</c:v>
                </c:pt>
                <c:pt idx="1">
                  <c:v>8</c:v>
                </c:pt>
                <c:pt idx="2">
                  <c:v>3</c:v>
                </c:pt>
                <c:pt idx="3">
                  <c:v>3</c:v>
                </c:pt>
                <c:pt idx="4">
                  <c:v>2</c:v>
                </c:pt>
              </c:numCache>
            </c:numRef>
          </c:val>
          <c:extLst>
            <c:ext xmlns:c16="http://schemas.microsoft.com/office/drawing/2014/chart" uri="{C3380CC4-5D6E-409C-BE32-E72D297353CC}">
              <c16:uniqueId val="{00000001-EDF1-4EBF-83B9-194661067D0D}"/>
            </c:ext>
          </c:extLst>
        </c:ser>
        <c:dLbls>
          <c:dLblPos val="outEnd"/>
          <c:showLegendKey val="0"/>
          <c:showVal val="1"/>
          <c:showCatName val="0"/>
          <c:showSerName val="0"/>
          <c:showPercent val="0"/>
          <c:showBubbleSize val="0"/>
        </c:dLbls>
        <c:gapWidth val="100"/>
        <c:overlap val="-24"/>
        <c:axId val="252000639"/>
        <c:axId val="234039471"/>
      </c:barChart>
      <c:catAx>
        <c:axId val="252000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039471"/>
        <c:crosses val="autoZero"/>
        <c:auto val="1"/>
        <c:lblAlgn val="ctr"/>
        <c:lblOffset val="100"/>
        <c:noMultiLvlLbl val="0"/>
      </c:catAx>
      <c:valAx>
        <c:axId val="23403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000639"/>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rot="-2700000"/>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a:t>NSW Incidents vs Claims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'HS FEED'!$A$12</c:f>
              <c:strCache>
                <c:ptCount val="1"/>
                <c:pt idx="0">
                  <c:v>Incidents</c:v>
                </c:pt>
              </c:strCache>
            </c:strRef>
          </c:tx>
          <c:spPr>
            <a:solidFill>
              <a:srgbClr val="2F559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'HS FEED'!$F$2:$AE$2</c:f>
              <c:strCache>
                <c:ptCount val="19"/>
                <c:pt idx="0">
                  <c:v>OCT, FY24</c:v>
                </c:pt>
                <c:pt idx="1">
                  <c:v>NOV, FY24</c:v>
                </c:pt>
                <c:pt idx="2">
                  <c:v>DEC, FY24</c:v>
                </c:pt>
                <c:pt idx="3">
                  <c:v>JAN, FY24</c:v>
                </c:pt>
                <c:pt idx="4">
                  <c:v>FEB, FY24</c:v>
                </c:pt>
                <c:pt idx="5">
                  <c:v>MAR, FY24</c:v>
                </c:pt>
                <c:pt idx="6">
                  <c:v>APR, FY24</c:v>
                </c:pt>
                <c:pt idx="7">
                  <c:v>MAY, FY24</c:v>
                </c:pt>
                <c:pt idx="8">
                  <c:v>JUN, FY24</c:v>
                </c:pt>
                <c:pt idx="9">
                  <c:v>JUL, FY25</c:v>
                </c:pt>
                <c:pt idx="10">
                  <c:v>AUG, FY25</c:v>
                </c:pt>
                <c:pt idx="11">
                  <c:v>SEP, FY25</c:v>
                </c:pt>
                <c:pt idx="12">
                  <c:v>OCT, FY25</c:v>
                </c:pt>
                <c:pt idx="13">
                  <c:v>NOV, FY25</c:v>
                </c:pt>
                <c:pt idx="14">
                  <c:v>DEC, FY25</c:v>
                </c:pt>
                <c:pt idx="15">
                  <c:v>JAN, FY25</c:v>
                </c:pt>
                <c:pt idx="16">
                  <c:v>FEB, FY25</c:v>
                </c:pt>
                <c:pt idx="17">
                  <c:v>MAR, FY25</c:v>
                </c:pt>
                <c:pt idx="18">
                  <c:v>APR, FY25</c:v>
                </c:pt>
              </c:strCache>
            </c:strRef>
          </c:cat>
          <c:val>
            <c:numRef>
              <c:f>'HS FEED'!$F$12:$AE$12</c:f>
              <c:numCache>
                <c:formatCode>General</c:formatCode>
                <c:ptCount val="19"/>
                <c:pt idx="0">
                  <c:v>1</c:v>
                </c:pt>
                <c:pt idx="1">
                  <c:v>2</c:v>
                </c:pt>
                <c:pt idx="2">
                  <c:v>4</c:v>
                </c:pt>
                <c:pt idx="3">
                  <c:v>2</c:v>
                </c:pt>
                <c:pt idx="4">
                  <c:v>4</c:v>
                </c:pt>
                <c:pt idx="5">
                  <c:v>5</c:v>
                </c:pt>
                <c:pt idx="6">
                  <c:v>1</c:v>
                </c:pt>
                <c:pt idx="7">
                  <c:v>4</c:v>
                </c:pt>
                <c:pt idx="8">
                  <c:v>0</c:v>
                </c:pt>
                <c:pt idx="9">
                  <c:v>2</c:v>
                </c:pt>
                <c:pt idx="10">
                  <c:v>2</c:v>
                </c:pt>
                <c:pt idx="11">
                  <c:v>4</c:v>
                </c:pt>
                <c:pt idx="12">
                  <c:v>3</c:v>
                </c:pt>
                <c:pt idx="13">
                  <c:v>3</c:v>
                </c:pt>
                <c:pt idx="14">
                  <c:v>2</c:v>
                </c:pt>
                <c:pt idx="15">
                  <c:v>0</c:v>
                </c:pt>
                <c:pt idx="16">
                  <c:v>2</c:v>
                </c:pt>
                <c:pt idx="17">
                  <c:v>0</c:v>
                </c:pt>
                <c:pt idx="18">
                  <c:v>2</c:v>
                </c:pt>
              </c:numCache>
            </c:numRef>
          </c:val>
          <c:extLst>
            <c:ext xmlns:c16="http://schemas.microsoft.com/office/drawing/2014/chart" uri="{C3380CC4-5D6E-409C-BE32-E72D297353CC}">
              <c16:uniqueId val="{00000000-3553-4F3D-BEC2-2F4E273BD336}"/>
            </c:ext>
          </c:extLst>
        </c:ser>
        <c:ser>
          <c:idx val="1"/>
          <c:order val="1"/>
          <c:tx>
            <c:strRef>
              <c:f>'HS FEED'!$A$13</c:f>
              <c:strCache>
                <c:ptCount val="1"/>
                <c:pt idx="0">
                  <c:v>Claims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'HS FEED'!$F$2:$AE$2</c:f>
              <c:strCache>
                <c:ptCount val="19"/>
                <c:pt idx="0">
                  <c:v>OCT, FY24</c:v>
                </c:pt>
                <c:pt idx="1">
                  <c:v>NOV, FY24</c:v>
                </c:pt>
                <c:pt idx="2">
                  <c:v>DEC, FY24</c:v>
                </c:pt>
                <c:pt idx="3">
                  <c:v>JAN, FY24</c:v>
                </c:pt>
                <c:pt idx="4">
                  <c:v>FEB, FY24</c:v>
                </c:pt>
                <c:pt idx="5">
                  <c:v>MAR, FY24</c:v>
                </c:pt>
                <c:pt idx="6">
                  <c:v>APR, FY24</c:v>
                </c:pt>
                <c:pt idx="7">
                  <c:v>MAY, FY24</c:v>
                </c:pt>
                <c:pt idx="8">
                  <c:v>JUN, FY24</c:v>
                </c:pt>
                <c:pt idx="9">
                  <c:v>JUL, FY25</c:v>
                </c:pt>
                <c:pt idx="10">
                  <c:v>AUG, FY25</c:v>
                </c:pt>
                <c:pt idx="11">
                  <c:v>SEP, FY25</c:v>
                </c:pt>
                <c:pt idx="12">
                  <c:v>OCT, FY25</c:v>
                </c:pt>
                <c:pt idx="13">
                  <c:v>NOV, FY25</c:v>
                </c:pt>
                <c:pt idx="14">
                  <c:v>DEC, FY25</c:v>
                </c:pt>
                <c:pt idx="15">
                  <c:v>JAN, FY25</c:v>
                </c:pt>
                <c:pt idx="16">
                  <c:v>FEB, FY25</c:v>
                </c:pt>
                <c:pt idx="17">
                  <c:v>MAR, FY25</c:v>
                </c:pt>
                <c:pt idx="18">
                  <c:v>APR, FY25</c:v>
                </c:pt>
              </c:strCache>
            </c:strRef>
          </c:cat>
          <c:val>
            <c:numRef>
              <c:f>'HS FEED'!$F$13:$AE$13</c:f>
              <c:numCache>
                <c:formatCode>General</c:formatCode>
                <c:ptCount val="19"/>
                <c:pt idx="0">
                  <c:v>0</c:v>
                </c:pt>
                <c:pt idx="1">
                  <c:v>0</c:v>
                </c:pt>
                <c:pt idx="2">
                  <c:v>0</c:v>
                </c:pt>
                <c:pt idx="3">
                  <c:v>0</c:v>
                </c:pt>
                <c:pt idx="4">
                  <c:v>1</c:v>
                </c:pt>
                <c:pt idx="5">
                  <c:v>0</c:v>
                </c:pt>
                <c:pt idx="6">
                  <c:v>0</c:v>
                </c:pt>
                <c:pt idx="7">
                  <c:v>0</c:v>
                </c:pt>
                <c:pt idx="8">
                  <c:v>0</c:v>
                </c:pt>
                <c:pt idx="9">
                  <c:v>1</c:v>
                </c:pt>
                <c:pt idx="10">
                  <c:v>0</c:v>
                </c:pt>
                <c:pt idx="11">
                  <c:v>1</c:v>
                </c:pt>
                <c:pt idx="12">
                  <c:v>1</c:v>
                </c:pt>
                <c:pt idx="13">
                  <c:v>1</c:v>
                </c:pt>
                <c:pt idx="14">
                  <c:v>0</c:v>
                </c:pt>
                <c:pt idx="15">
                  <c:v>0</c:v>
                </c:pt>
                <c:pt idx="16">
                  <c:v>0</c:v>
                </c:pt>
                <c:pt idx="17">
                  <c:v>0</c:v>
                </c:pt>
                <c:pt idx="18">
                  <c:v>1</c:v>
                </c:pt>
              </c:numCache>
            </c:numRef>
          </c:val>
          <c:extLst>
            <c:ext xmlns:c16="http://schemas.microsoft.com/office/drawing/2014/chart" uri="{C3380CC4-5D6E-409C-BE32-E72D297353CC}">
              <c16:uniqueId val="{00000002-3553-4F3D-BEC2-2F4E273BD336}"/>
            </c:ext>
          </c:extLst>
        </c:ser>
        <c:dLbls>
          <c:dLblPos val="outEnd"/>
          <c:showLegendKey val="0"/>
          <c:showVal val="1"/>
          <c:showCatName val="0"/>
          <c:showSerName val="0"/>
          <c:showPercent val="0"/>
          <c:showBubbleSize val="0"/>
        </c:dLbls>
        <c:gapWidth val="100"/>
        <c:overlap val="-24"/>
        <c:axId val="1143790671"/>
        <c:axId val="1143791151"/>
      </c:barChart>
      <c:catAx>
        <c:axId val="11437906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91151"/>
        <c:crosses val="autoZero"/>
        <c:auto val="1"/>
        <c:lblAlgn val="ctr"/>
        <c:lblOffset val="100"/>
        <c:noMultiLvlLbl val="0"/>
      </c:catAx>
      <c:valAx>
        <c:axId val="114379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90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AU"/>
              <a:t>Group Incidents vs Claims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'Group FEED'!$A$3</c:f>
              <c:strCache>
                <c:ptCount val="1"/>
                <c:pt idx="0">
                  <c:v>Incidents</c:v>
                </c:pt>
              </c:strCache>
            </c:strRef>
          </c:tx>
          <c:spPr>
            <a:solidFill>
              <a:srgbClr val="2F5597"/>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'Group FEED'!$O$2:$AF$2</c:f>
              <c:strCache>
                <c:ptCount val="13"/>
                <c:pt idx="0">
                  <c:v>MAY, FY24</c:v>
                </c:pt>
                <c:pt idx="1">
                  <c:v>JUN, FY24</c:v>
                </c:pt>
                <c:pt idx="2">
                  <c:v>JUL, FY25</c:v>
                </c:pt>
                <c:pt idx="3">
                  <c:v>AUG, FY25</c:v>
                </c:pt>
                <c:pt idx="4">
                  <c:v>SEP, FY25</c:v>
                </c:pt>
                <c:pt idx="5">
                  <c:v>OCT, FY25</c:v>
                </c:pt>
                <c:pt idx="6">
                  <c:v>NOV, FY25</c:v>
                </c:pt>
                <c:pt idx="7">
                  <c:v>DEC, FY25</c:v>
                </c:pt>
                <c:pt idx="8">
                  <c:v>JAN, FY25</c:v>
                </c:pt>
                <c:pt idx="9">
                  <c:v>FEB, FY25</c:v>
                </c:pt>
                <c:pt idx="10">
                  <c:v>MAR, FY25</c:v>
                </c:pt>
                <c:pt idx="11">
                  <c:v>APR, FY25</c:v>
                </c:pt>
                <c:pt idx="12">
                  <c:v>MAY, FY25</c:v>
                </c:pt>
              </c:strCache>
            </c:strRef>
          </c:cat>
          <c:val>
            <c:numRef>
              <c:f>'Group FEED'!$O$3:$AF$3</c:f>
              <c:numCache>
                <c:formatCode>General</c:formatCode>
                <c:ptCount val="13"/>
                <c:pt idx="0">
                  <c:v>114</c:v>
                </c:pt>
                <c:pt idx="1">
                  <c:v>85</c:v>
                </c:pt>
                <c:pt idx="2">
                  <c:v>73</c:v>
                </c:pt>
                <c:pt idx="3">
                  <c:v>103</c:v>
                </c:pt>
                <c:pt idx="4">
                  <c:v>66</c:v>
                </c:pt>
                <c:pt idx="5">
                  <c:v>83</c:v>
                </c:pt>
                <c:pt idx="6">
                  <c:v>101</c:v>
                </c:pt>
                <c:pt idx="7">
                  <c:v>81</c:v>
                </c:pt>
                <c:pt idx="8">
                  <c:v>66</c:v>
                </c:pt>
                <c:pt idx="9">
                  <c:v>85</c:v>
                </c:pt>
                <c:pt idx="10">
                  <c:v>81</c:v>
                </c:pt>
                <c:pt idx="11">
                  <c:v>65</c:v>
                </c:pt>
                <c:pt idx="12">
                  <c:v>95</c:v>
                </c:pt>
              </c:numCache>
            </c:numRef>
          </c:val>
          <c:extLst>
            <c:ext xmlns:c16="http://schemas.microsoft.com/office/drawing/2014/chart" uri="{C3380CC4-5D6E-409C-BE32-E72D297353CC}">
              <c16:uniqueId val="{00000000-361A-44B1-A95E-CC3D760AD383}"/>
            </c:ext>
          </c:extLst>
        </c:ser>
        <c:ser>
          <c:idx val="1"/>
          <c:order val="1"/>
          <c:tx>
            <c:strRef>
              <c:f>'Group FEED'!$A$7</c:f>
              <c:strCache>
                <c:ptCount val="1"/>
                <c:pt idx="0">
                  <c:v>Claims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'Group FEED'!$O$2:$AF$2</c:f>
              <c:strCache>
                <c:ptCount val="13"/>
                <c:pt idx="0">
                  <c:v>MAY, FY24</c:v>
                </c:pt>
                <c:pt idx="1">
                  <c:v>JUN, FY24</c:v>
                </c:pt>
                <c:pt idx="2">
                  <c:v>JUL, FY25</c:v>
                </c:pt>
                <c:pt idx="3">
                  <c:v>AUG, FY25</c:v>
                </c:pt>
                <c:pt idx="4">
                  <c:v>SEP, FY25</c:v>
                </c:pt>
                <c:pt idx="5">
                  <c:v>OCT, FY25</c:v>
                </c:pt>
                <c:pt idx="6">
                  <c:v>NOV, FY25</c:v>
                </c:pt>
                <c:pt idx="7">
                  <c:v>DEC, FY25</c:v>
                </c:pt>
                <c:pt idx="8">
                  <c:v>JAN, FY25</c:v>
                </c:pt>
                <c:pt idx="9">
                  <c:v>FEB, FY25</c:v>
                </c:pt>
                <c:pt idx="10">
                  <c:v>MAR, FY25</c:v>
                </c:pt>
                <c:pt idx="11">
                  <c:v>APR, FY25</c:v>
                </c:pt>
                <c:pt idx="12">
                  <c:v>MAY, FY25</c:v>
                </c:pt>
              </c:strCache>
            </c:strRef>
          </c:cat>
          <c:val>
            <c:numRef>
              <c:f>'Group FEED'!$O$7:$AF$7</c:f>
              <c:numCache>
                <c:formatCode>General</c:formatCode>
                <c:ptCount val="13"/>
                <c:pt idx="0">
                  <c:v>19</c:v>
                </c:pt>
                <c:pt idx="1">
                  <c:v>16</c:v>
                </c:pt>
                <c:pt idx="2">
                  <c:v>14</c:v>
                </c:pt>
                <c:pt idx="3">
                  <c:v>29</c:v>
                </c:pt>
                <c:pt idx="4">
                  <c:v>16</c:v>
                </c:pt>
                <c:pt idx="5">
                  <c:v>19</c:v>
                </c:pt>
                <c:pt idx="6">
                  <c:v>22</c:v>
                </c:pt>
                <c:pt idx="7">
                  <c:v>10</c:v>
                </c:pt>
                <c:pt idx="8">
                  <c:v>13</c:v>
                </c:pt>
                <c:pt idx="9">
                  <c:v>13</c:v>
                </c:pt>
                <c:pt idx="10">
                  <c:v>11</c:v>
                </c:pt>
                <c:pt idx="11">
                  <c:v>12</c:v>
                </c:pt>
                <c:pt idx="12">
                  <c:v>8</c:v>
                </c:pt>
              </c:numCache>
            </c:numRef>
          </c:val>
          <c:extLst>
            <c:ext xmlns:c16="http://schemas.microsoft.com/office/drawing/2014/chart" uri="{C3380CC4-5D6E-409C-BE32-E72D297353CC}">
              <c16:uniqueId val="{00000000-4990-475D-8C9D-555965E39BB9}"/>
            </c:ext>
          </c:extLst>
        </c:ser>
        <c:dLbls>
          <c:dLblPos val="outEnd"/>
          <c:showLegendKey val="0"/>
          <c:showVal val="1"/>
          <c:showCatName val="0"/>
          <c:showSerName val="0"/>
          <c:showPercent val="0"/>
          <c:showBubbleSize val="0"/>
        </c:dLbls>
        <c:gapWidth val="100"/>
        <c:overlap val="-24"/>
        <c:axId val="2031926080"/>
        <c:axId val="2031928480"/>
      </c:barChart>
      <c:catAx>
        <c:axId val="20319260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28480"/>
        <c:crosses val="autoZero"/>
        <c:auto val="1"/>
        <c:lblAlgn val="ctr"/>
        <c:lblOffset val="100"/>
        <c:noMultiLvlLbl val="0"/>
      </c:catAx>
      <c:valAx>
        <c:axId val="2031928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926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94-46E6-BE7E-9784E324A11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94-46E6-BE7E-9784E324A115}"/>
              </c:ext>
            </c:extLst>
          </c:dPt>
          <c:dLbls>
            <c:dLbl>
              <c:idx val="0"/>
              <c:layout>
                <c:manualLayout>
                  <c:x val="2.6460859977949284E-2"/>
                  <c:y val="-3.4949745293411494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94-46E6-BE7E-9784E324A115}"/>
                </c:ext>
              </c:extLst>
            </c:dLbl>
            <c:dLbl>
              <c:idx val="1"/>
              <c:layout>
                <c:manualLayout>
                  <c:x val="-3.9691289966923955E-2"/>
                  <c:y val="3.1454770764070231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294-46E6-BE7E-9784E324A1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extLst>
          </c:dLbls>
          <c:cat>
            <c:strRef>
              <c:f>'Pie Charts'!$A$3:$A$4</c:f>
              <c:strCache>
                <c:ptCount val="2"/>
                <c:pt idx="0">
                  <c:v>Incidents</c:v>
                </c:pt>
                <c:pt idx="1">
                  <c:v>Claims</c:v>
                </c:pt>
              </c:strCache>
            </c:strRef>
          </c:cat>
          <c:val>
            <c:numRef>
              <c:f>'Pie Charts'!$B$3:$B$4</c:f>
              <c:numCache>
                <c:formatCode>General</c:formatCode>
                <c:ptCount val="2"/>
                <c:pt idx="0">
                  <c:v>270</c:v>
                </c:pt>
                <c:pt idx="1">
                  <c:v>57</c:v>
                </c:pt>
              </c:numCache>
            </c:numRef>
          </c:val>
          <c:extLst>
            <c:ext xmlns:c16="http://schemas.microsoft.com/office/drawing/2014/chart" uri="{C3380CC4-5D6E-409C-BE32-E72D297353CC}">
              <c16:uniqueId val="{00000004-2294-46E6-BE7E-9784E324A115}"/>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5AC-4F3D-BE20-2BA0B44BD9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5AC-4F3D-BE20-2BA0B44BD9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5AC-4F3D-BE20-2BA0B44BD9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5AC-4F3D-BE20-2BA0B44BD9D3}"/>
              </c:ext>
            </c:extLst>
          </c:dPt>
          <c:dLbls>
            <c:dLbl>
              <c:idx val="2"/>
              <c:layout>
                <c:manualLayout>
                  <c:x val="-9.643814903571836E-3"/>
                  <c:y val="1.070348600791098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5AC-4F3D-BE20-2BA0B44BD9D3}"/>
                </c:ext>
              </c:extLst>
            </c:dLbl>
            <c:dLbl>
              <c:idx val="3"/>
              <c:layout>
                <c:manualLayout>
                  <c:x val="8.6049155540339997E-2"/>
                  <c:y val="-2.165095560238069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5AC-4F3D-BE20-2BA0B44BD9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extLst>
          </c:dLbls>
          <c:cat>
            <c:strRef>
              <c:f>'Pie Charts'!$A$18:$A$21</c:f>
              <c:strCache>
                <c:ptCount val="4"/>
                <c:pt idx="0">
                  <c:v>Accepted Claim</c:v>
                </c:pt>
                <c:pt idx="1">
                  <c:v>Pending Claim</c:v>
                </c:pt>
                <c:pt idx="2">
                  <c:v>Accepted Claim (MEO)</c:v>
                </c:pt>
                <c:pt idx="3">
                  <c:v>Invalid Claim</c:v>
                </c:pt>
              </c:strCache>
            </c:strRef>
          </c:cat>
          <c:val>
            <c:numRef>
              <c:f>'Pie Charts'!$B$18:$B$21</c:f>
              <c:numCache>
                <c:formatCode>General</c:formatCode>
                <c:ptCount val="4"/>
                <c:pt idx="0">
                  <c:v>36</c:v>
                </c:pt>
                <c:pt idx="1">
                  <c:v>13</c:v>
                </c:pt>
                <c:pt idx="2">
                  <c:v>5</c:v>
                </c:pt>
                <c:pt idx="3">
                  <c:v>2</c:v>
                </c:pt>
              </c:numCache>
            </c:numRef>
          </c:val>
          <c:extLst>
            <c:ext xmlns:c16="http://schemas.microsoft.com/office/drawing/2014/chart" uri="{C3380CC4-5D6E-409C-BE32-E72D297353CC}">
              <c16:uniqueId val="{00000008-A5AC-4F3D-BE20-2BA0B44BD9D3}"/>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294-46E6-BE7E-9784E324A11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294-46E6-BE7E-9784E324A115}"/>
              </c:ext>
            </c:extLst>
          </c:dPt>
          <c:dLbls>
            <c:dLbl>
              <c:idx val="0"/>
              <c:layout>
                <c:manualLayout>
                  <c:x val="8.7193448018845127E-2"/>
                  <c:y val="-8.3478215143737003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294-46E6-BE7E-9784E324A1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extLst>
          </c:dLbls>
          <c:cat>
            <c:strRef>
              <c:f>'Pie Charts'!$P$3:$P$4</c:f>
              <c:strCache>
                <c:ptCount val="2"/>
                <c:pt idx="0">
                  <c:v>Team Member Incidents</c:v>
                </c:pt>
                <c:pt idx="1">
                  <c:v>Non-Work Related</c:v>
                </c:pt>
              </c:strCache>
            </c:strRef>
          </c:cat>
          <c:val>
            <c:numRef>
              <c:f>'Pie Charts'!$Q$3:$Q$4</c:f>
              <c:numCache>
                <c:formatCode>General</c:formatCode>
                <c:ptCount val="2"/>
                <c:pt idx="0">
                  <c:v>300</c:v>
                </c:pt>
                <c:pt idx="1">
                  <c:v>27</c:v>
                </c:pt>
              </c:numCache>
            </c:numRef>
          </c:val>
          <c:extLst>
            <c:ext xmlns:c16="http://schemas.microsoft.com/office/drawing/2014/chart" uri="{C3380CC4-5D6E-409C-BE32-E72D297353CC}">
              <c16:uniqueId val="{00000004-2294-46E6-BE7E-9784E324A115}"/>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3EA-4953-BDAE-BE0C4453289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3EA-4953-BDAE-BE0C44532892}"/>
              </c:ext>
            </c:extLst>
          </c:dPt>
          <c:dPt>
            <c:idx val="2"/>
            <c:bubble3D val="0"/>
            <c:spPr>
              <a:solidFill>
                <a:schemeClr val="bg2">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E0-498B-BBB2-C114AE7209C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E5E0-498B-BBB2-C114AE7209CF}"/>
              </c:ext>
            </c:extLst>
          </c:dPt>
          <c:dLbls>
            <c:dLbl>
              <c:idx val="2"/>
              <c:layout>
                <c:manualLayout>
                  <c:x val="-1.2759169738292062E-2"/>
                  <c:y val="-2.6016255721357025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5E0-498B-BBB2-C114AE7209CF}"/>
                </c:ext>
              </c:extLst>
            </c:dLbl>
            <c:dLbl>
              <c:idx val="3"/>
              <c:layout>
                <c:manualLayout>
                  <c:x val="9.113692670208616E-2"/>
                  <c:y val="-8.8740971741590475E-3"/>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5E0-498B-BBB2-C114AE7209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0"/>
            <c:extLst>
              <c:ext xmlns:c15="http://schemas.microsoft.com/office/drawing/2012/chart" uri="{CE6537A1-D6FC-4f65-9D91-7224C49458BB}"/>
            </c:extLst>
          </c:dLbls>
          <c:cat>
            <c:strRef>
              <c:f>'Pie Charts'!$P$18:$P$21</c:f>
              <c:strCache>
                <c:ptCount val="4"/>
                <c:pt idx="0">
                  <c:v>Non-Work Related</c:v>
                </c:pt>
                <c:pt idx="1">
                  <c:v>Pending Claims</c:v>
                </c:pt>
                <c:pt idx="2">
                  <c:v>Accepted Claims</c:v>
                </c:pt>
                <c:pt idx="3">
                  <c:v>Declined Claims</c:v>
                </c:pt>
              </c:strCache>
            </c:strRef>
          </c:cat>
          <c:val>
            <c:numRef>
              <c:f>'Pie Charts'!$Q$18:$Q$21</c:f>
              <c:numCache>
                <c:formatCode>General</c:formatCode>
                <c:ptCount val="4"/>
                <c:pt idx="0">
                  <c:v>23</c:v>
                </c:pt>
                <c:pt idx="1">
                  <c:v>1</c:v>
                </c:pt>
                <c:pt idx="2">
                  <c:v>2</c:v>
                </c:pt>
                <c:pt idx="3">
                  <c:v>1</c:v>
                </c:pt>
              </c:numCache>
            </c:numRef>
          </c:val>
          <c:extLst>
            <c:ext xmlns:c16="http://schemas.microsoft.com/office/drawing/2014/chart" uri="{C3380CC4-5D6E-409C-BE32-E72D297353CC}">
              <c16:uniqueId val="{00000000-E5E0-498B-BBB2-C114AE7209CF}"/>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33338</xdr:rowOff>
    </xdr:from>
    <xdr:to>
      <xdr:col>13</xdr:col>
      <xdr:colOff>28575</xdr:colOff>
      <xdr:row>16</xdr:row>
      <xdr:rowOff>47626</xdr:rowOff>
    </xdr:to>
    <xdr:graphicFrame macro="">
      <xdr:nvGraphicFramePr>
        <xdr:cNvPr id="2" name="Chart 1">
          <a:extLst>
            <a:ext uri="{FF2B5EF4-FFF2-40B4-BE49-F238E27FC236}">
              <a16:creationId xmlns:a16="http://schemas.microsoft.com/office/drawing/2014/main" id="{9BAE6468-2A4F-75DD-8D12-C2C0A5CDF3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18</xdr:row>
      <xdr:rowOff>90487</xdr:rowOff>
    </xdr:from>
    <xdr:to>
      <xdr:col>13</xdr:col>
      <xdr:colOff>47625</xdr:colOff>
      <xdr:row>34</xdr:row>
      <xdr:rowOff>76200</xdr:rowOff>
    </xdr:to>
    <xdr:graphicFrame macro="">
      <xdr:nvGraphicFramePr>
        <xdr:cNvPr id="3" name="Chart 2">
          <a:extLst>
            <a:ext uri="{FF2B5EF4-FFF2-40B4-BE49-F238E27FC236}">
              <a16:creationId xmlns:a16="http://schemas.microsoft.com/office/drawing/2014/main" id="{04ECD4E2-B8D4-79CD-8D72-6536B9697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381000</xdr:colOff>
      <xdr:row>0</xdr:row>
      <xdr:rowOff>33336</xdr:rowOff>
    </xdr:from>
    <xdr:to>
      <xdr:col>27</xdr:col>
      <xdr:colOff>438150</xdr:colOff>
      <xdr:row>16</xdr:row>
      <xdr:rowOff>38100</xdr:rowOff>
    </xdr:to>
    <xdr:graphicFrame macro="">
      <xdr:nvGraphicFramePr>
        <xdr:cNvPr id="4" name="Chart 3">
          <a:extLst>
            <a:ext uri="{FF2B5EF4-FFF2-40B4-BE49-F238E27FC236}">
              <a16:creationId xmlns:a16="http://schemas.microsoft.com/office/drawing/2014/main" id="{B7607EE6-1985-4D33-6E4C-1FEC0CDAF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381000</xdr:colOff>
      <xdr:row>18</xdr:row>
      <xdr:rowOff>85726</xdr:rowOff>
    </xdr:from>
    <xdr:to>
      <xdr:col>27</xdr:col>
      <xdr:colOff>419100</xdr:colOff>
      <xdr:row>34</xdr:row>
      <xdr:rowOff>95250</xdr:rowOff>
    </xdr:to>
    <xdr:graphicFrame macro="">
      <xdr:nvGraphicFramePr>
        <xdr:cNvPr id="5" name="Chart 4">
          <a:extLst>
            <a:ext uri="{FF2B5EF4-FFF2-40B4-BE49-F238E27FC236}">
              <a16:creationId xmlns:a16="http://schemas.microsoft.com/office/drawing/2014/main" id="{4324AB8C-C4BA-CFF8-80B0-901C3C9BC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66675</xdr:colOff>
      <xdr:row>37</xdr:row>
      <xdr:rowOff>2</xdr:rowOff>
    </xdr:from>
    <xdr:to>
      <xdr:col>13</xdr:col>
      <xdr:colOff>47625</xdr:colOff>
      <xdr:row>52</xdr:row>
      <xdr:rowOff>133350</xdr:rowOff>
    </xdr:to>
    <xdr:graphicFrame macro="">
      <xdr:nvGraphicFramePr>
        <xdr:cNvPr id="6" name="Chart 5">
          <a:extLst>
            <a:ext uri="{FF2B5EF4-FFF2-40B4-BE49-F238E27FC236}">
              <a16:creationId xmlns:a16="http://schemas.microsoft.com/office/drawing/2014/main" id="{706C7313-0834-7821-E698-2E1B9A241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371475</xdr:colOff>
      <xdr:row>37</xdr:row>
      <xdr:rowOff>1</xdr:rowOff>
    </xdr:from>
    <xdr:to>
      <xdr:col>27</xdr:col>
      <xdr:colOff>409575</xdr:colOff>
      <xdr:row>52</xdr:row>
      <xdr:rowOff>123824</xdr:rowOff>
    </xdr:to>
    <xdr:graphicFrame macro="">
      <xdr:nvGraphicFramePr>
        <xdr:cNvPr id="8" name="Chart 7">
          <a:extLst>
            <a:ext uri="{FF2B5EF4-FFF2-40B4-BE49-F238E27FC236}">
              <a16:creationId xmlns:a16="http://schemas.microsoft.com/office/drawing/2014/main" id="{DE92CA0F-F50F-1B3E-0007-15887FC40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209550</xdr:colOff>
      <xdr:row>55</xdr:row>
      <xdr:rowOff>38100</xdr:rowOff>
    </xdr:from>
    <xdr:to>
      <xdr:col>21</xdr:col>
      <xdr:colOff>266700</xdr:colOff>
      <xdr:row>71</xdr:row>
      <xdr:rowOff>114300</xdr:rowOff>
    </xdr:to>
    <xdr:graphicFrame macro="">
      <xdr:nvGraphicFramePr>
        <xdr:cNvPr id="7" name="Chart 6">
          <a:extLst>
            <a:ext uri="{FF2B5EF4-FFF2-40B4-BE49-F238E27FC236}">
              <a16:creationId xmlns:a16="http://schemas.microsoft.com/office/drawing/2014/main" id="{9448912B-9D08-4F26-B7CD-523CC87AB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104774</xdr:colOff>
      <xdr:row>0</xdr:row>
      <xdr:rowOff>119061</xdr:rowOff>
    </xdr:from>
    <xdr:to>
      <xdr:col>12</xdr:col>
      <xdr:colOff>342899</xdr:colOff>
      <xdr:row>17</xdr:row>
      <xdr:rowOff>123824</xdr:rowOff>
    </xdr:to>
    <xdr:graphicFrame macro="">
      <xdr:nvGraphicFramePr>
        <xdr:cNvPr id="2" name="Chart 1">
          <a:extLst>
            <a:ext uri="{FF2B5EF4-FFF2-40B4-BE49-F238E27FC236}">
              <a16:creationId xmlns:a16="http://schemas.microsoft.com/office/drawing/2014/main" id="{BDDAC46D-CE52-F234-6535-E34B53D35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9526</xdr:rowOff>
    </xdr:from>
    <xdr:to>
      <xdr:col>13</xdr:col>
      <xdr:colOff>209550</xdr:colOff>
      <xdr:row>14</xdr:row>
      <xdr:rowOff>66676</xdr:rowOff>
    </xdr:to>
    <xdr:graphicFrame macro="">
      <xdr:nvGraphicFramePr>
        <xdr:cNvPr id="2" name="Chart 1">
          <a:extLst>
            <a:ext uri="{FF2B5EF4-FFF2-40B4-BE49-F238E27FC236}">
              <a16:creationId xmlns:a16="http://schemas.microsoft.com/office/drawing/2014/main" id="{CB8D829C-6930-4CC2-A8C3-AF4A57206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16</xdr:row>
      <xdr:rowOff>180975</xdr:rowOff>
    </xdr:from>
    <xdr:to>
      <xdr:col>13</xdr:col>
      <xdr:colOff>161925</xdr:colOff>
      <xdr:row>31</xdr:row>
      <xdr:rowOff>28575</xdr:rowOff>
    </xdr:to>
    <xdr:graphicFrame macro="">
      <xdr:nvGraphicFramePr>
        <xdr:cNvPr id="3" name="Chart 2">
          <a:extLst>
            <a:ext uri="{FF2B5EF4-FFF2-40B4-BE49-F238E27FC236}">
              <a16:creationId xmlns:a16="http://schemas.microsoft.com/office/drawing/2014/main" id="{B9B212DE-4B88-443D-A74E-A30EB2941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257175</xdr:colOff>
      <xdr:row>0</xdr:row>
      <xdr:rowOff>38100</xdr:rowOff>
    </xdr:from>
    <xdr:to>
      <xdr:col>27</xdr:col>
      <xdr:colOff>447676</xdr:colOff>
      <xdr:row>14</xdr:row>
      <xdr:rowOff>109539</xdr:rowOff>
    </xdr:to>
    <xdr:graphicFrame macro="">
      <xdr:nvGraphicFramePr>
        <xdr:cNvPr id="4" name="Chart 3">
          <a:extLst>
            <a:ext uri="{FF2B5EF4-FFF2-40B4-BE49-F238E27FC236}">
              <a16:creationId xmlns:a16="http://schemas.microsoft.com/office/drawing/2014/main" id="{675ECFCF-5E5B-98C3-13D6-CC5CA7E35D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290512</xdr:colOff>
      <xdr:row>17</xdr:row>
      <xdr:rowOff>23813</xdr:rowOff>
    </xdr:from>
    <xdr:to>
      <xdr:col>27</xdr:col>
      <xdr:colOff>457200</xdr:colOff>
      <xdr:row>31</xdr:row>
      <xdr:rowOff>38101</xdr:rowOff>
    </xdr:to>
    <xdr:graphicFrame macro="">
      <xdr:nvGraphicFramePr>
        <xdr:cNvPr id="5" name="Chart 4">
          <a:extLst>
            <a:ext uri="{FF2B5EF4-FFF2-40B4-BE49-F238E27FC236}">
              <a16:creationId xmlns:a16="http://schemas.microsoft.com/office/drawing/2014/main" id="{E56BBE6B-2EDD-E5E7-FBD2-4C7E18100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an Nguyen" refreshedDate="45797.506869212964" createdVersion="8" refreshedVersion="8" minRefreshableVersion="3" recordCount="327" xr:uid="{843B5EE3-24A4-4CB5-B33A-E9F91D77105B}">
  <cacheSource type="worksheet">
    <worksheetSource ref="A1:BB328" sheet="18-Month HS Incidents"/>
  </cacheSource>
  <cacheFields count="54">
    <cacheField name="SolvInjury ID" numFmtId="0">
      <sharedItems/>
    </cacheField>
    <cacheField name="Done Safe ID " numFmtId="0">
      <sharedItems/>
    </cacheField>
    <cacheField name="Claim Number" numFmtId="0">
      <sharedItems containsBlank="1" containsMixedTypes="1" containsNumber="1" containsInteger="1" minValue="6581995" maxValue="12240083557"/>
    </cacheField>
    <cacheField name="Mental Injury" numFmtId="0">
      <sharedItems/>
    </cacheField>
    <cacheField name="Employee ID" numFmtId="0">
      <sharedItems containsSemiMixedTypes="0" containsString="0" containsNumber="1" containsInteger="1" minValue="185531" maxValue="407192"/>
    </cacheField>
    <cacheField name="Name" numFmtId="0">
      <sharedItems/>
    </cacheField>
    <cacheField name="Date of Birth" numFmtId="14">
      <sharedItems containsSemiMixedTypes="0" containsNonDate="0" containsDate="1" containsString="0" minDate="1952-02-25T00:00:00" maxDate="2007-08-09T00:00:00"/>
    </cacheField>
    <cacheField name="Date of Injury" numFmtId="15">
      <sharedItems containsSemiMixedTypes="0" containsNonDate="0" containsDate="1" containsString="0" minDate="2023-09-26T00:00:00" maxDate="2025-04-28T00:00:00"/>
    </cacheField>
    <cacheField name="Time of Injury" numFmtId="18">
      <sharedItems containsSemiMixedTypes="0" containsNonDate="0" containsDate="1" containsString="0" minDate="1899-12-30T07:05:00" maxDate="1899-12-30T20:45:00"/>
    </cacheField>
    <cacheField name="Policy" numFmtId="0">
      <sharedItems/>
    </cacheField>
    <cacheField name="Site" numFmtId="0">
      <sharedItems containsSemiMixedTypes="0" containsString="0" containsNumber="1" containsInteger="1" minValue="1005" maxValue="9098"/>
    </cacheField>
    <cacheField name="Name2" numFmtId="0">
      <sharedItems/>
    </cacheField>
    <cacheField name="Injury Description" numFmtId="0">
      <sharedItems/>
    </cacheField>
    <cacheField name="Incident Description" numFmtId="0">
      <sharedItems longText="1"/>
    </cacheField>
    <cacheField name="Injury Type" numFmtId="0">
      <sharedItems/>
    </cacheField>
    <cacheField name="Liability Status" numFmtId="0">
      <sharedItems containsBlank="1"/>
    </cacheField>
    <cacheField name="Current Capacity" numFmtId="0">
      <sharedItems/>
    </cacheField>
    <cacheField name="Open/Closed" numFmtId="0">
      <sharedItems/>
    </cacheField>
    <cacheField name="Days Lost" numFmtId="0">
      <sharedItems containsSemiMixedTypes="0" containsString="0" containsNumber="1" containsInteger="1" minValue="0" maxValue="296"/>
    </cacheField>
    <cacheField name="Worksafe Notified" numFmtId="0">
      <sharedItems/>
    </cacheField>
    <cacheField name="Injury Outcome" numFmtId="0">
      <sharedItems/>
    </cacheField>
    <cacheField name="Nature of Injury" numFmtId="0">
      <sharedItems containsBlank="1"/>
    </cacheField>
    <cacheField name="Bodily Location" numFmtId="0">
      <sharedItems containsBlank="1"/>
    </cacheField>
    <cacheField name="Mechanism" numFmtId="0">
      <sharedItems containsBlank="1"/>
    </cacheField>
    <cacheField name="Sub Mechanism" numFmtId="0">
      <sharedItems containsBlank="1"/>
    </cacheField>
    <cacheField name="Agency" numFmtId="0">
      <sharedItems containsBlank="1"/>
    </cacheField>
    <cacheField name="Equipment" numFmtId="0">
      <sharedItems containsBlank="1"/>
    </cacheField>
    <cacheField name="Closure Rate" numFmtId="0">
      <sharedItems containsMixedTypes="1" containsNumber="1" containsInteger="1" minValue="0" maxValue="0"/>
    </cacheField>
    <cacheField name="NWR" numFmtId="0">
      <sharedItems/>
    </cacheField>
    <cacheField name="Psycho Social" numFmtId="0">
      <sharedItems/>
    </cacheField>
    <cacheField name="Incidents Correlation NWR_TMJ" numFmtId="0">
      <sharedItems containsBlank="1"/>
    </cacheField>
    <cacheField name="Hire Date" numFmtId="14">
      <sharedItems containsSemiMixedTypes="0" containsNonDate="0" containsDate="1" containsString="0" minDate="1986-03-24T00:00:00" maxDate="2024-12-24T00:00:00"/>
    </cacheField>
    <cacheField name="Term Date" numFmtId="14">
      <sharedItems containsNonDate="0" containsDate="1" containsString="0" containsBlank="1" minDate="2023-12-07T00:00:00" maxDate="2025-04-16T00:00:00"/>
    </cacheField>
    <cacheField name="Tenure at Date of Injury" numFmtId="0">
      <sharedItems containsSemiMixedTypes="0" containsString="0" containsNumber="1" containsInteger="1" minValue="0" maxValue="38" count="30">
        <n v="2"/>
        <n v="0"/>
        <n v="17"/>
        <n v="20"/>
        <n v="1"/>
        <n v="6"/>
        <n v="24"/>
        <n v="13"/>
        <n v="7"/>
        <n v="8"/>
        <n v="3"/>
        <n v="10"/>
        <n v="4"/>
        <n v="15"/>
        <n v="29"/>
        <n v="26"/>
        <n v="11"/>
        <n v="9"/>
        <n v="12"/>
        <n v="5"/>
        <n v="34"/>
        <n v="16"/>
        <n v="23"/>
        <n v="38"/>
        <n v="27"/>
        <n v="14"/>
        <n v="37"/>
        <n v="18"/>
        <n v="21"/>
        <n v="30"/>
      </sharedItems>
    </cacheField>
    <cacheField name="Tenure with the Company" numFmtId="0">
      <sharedItems containsSemiMixedTypes="0" containsString="0" containsNumber="1" containsInteger="1" minValue="0" maxValue="39"/>
    </cacheField>
    <cacheField name="Tenure Bracket at Date of Injury" numFmtId="0">
      <sharedItems count="8">
        <s v="1-5 Years"/>
        <s v="Under 1 Year"/>
        <s v="16-20 Years"/>
        <s v="6-10 Years"/>
        <s v="21-25 Years"/>
        <s v="11-15 Years"/>
        <s v="26-30 Years"/>
        <s v="More Than 30 Years"/>
      </sharedItems>
    </cacheField>
    <cacheField name="Employment type" numFmtId="0">
      <sharedItems/>
    </cacheField>
    <cacheField name="Base hours" numFmtId="0">
      <sharedItems containsSemiMixedTypes="0" containsString="0" containsNumber="1" minValue="0.01" maxValue="38"/>
    </cacheField>
    <cacheField name="Age" numFmtId="0">
      <sharedItems containsSemiMixedTypes="0" containsString="0" containsNumber="1" containsInteger="1" minValue="17" maxValue="73"/>
    </cacheField>
    <cacheField name="Age Bracket" numFmtId="0">
      <sharedItems count="6">
        <s v="More Than 55 Years"/>
        <s v="45-54 Years"/>
        <s v="25-34 Years"/>
        <s v="20-24 Years"/>
        <s v="35-44 Years"/>
        <s v="Less Than 20 Years"/>
      </sharedItems>
    </cacheField>
    <cacheField name="Fiscal Month" numFmtId="0">
      <sharedItems count="19">
        <s v="OCT, FY24"/>
        <s v="NOV, FY24"/>
        <s v="DEC, FY24"/>
        <s v="JAN, FY24"/>
        <s v="FEB, FY24"/>
        <s v="MAR, FY24"/>
        <s v="APR, FY24"/>
        <s v="MAY, FY24"/>
        <s v="JUN, FY24"/>
        <s v="JUL, FY25"/>
        <s v="AUG, FY25"/>
        <s v="SEP, FY25"/>
        <s v="OCT, FY25"/>
        <s v="NOV, FY25"/>
        <s v="DEC, FY25"/>
        <s v="JAN, FY25"/>
        <s v="FEB, FY25"/>
        <s v="MAR, FY25"/>
        <s v="APR, FY25"/>
      </sharedItems>
    </cacheField>
    <cacheField name="Fiscal Quarter" numFmtId="0">
      <sharedItems/>
    </cacheField>
    <cacheField name="Outcome Code" numFmtId="0">
      <sharedItems/>
    </cacheField>
    <cacheField name="Claim" numFmtId="0">
      <sharedItems count="2">
        <s v=""/>
        <s v="Claim"/>
      </sharedItems>
    </cacheField>
    <cacheField name="Claim Status" numFmtId="0">
      <sharedItems containsBlank="1" count="6">
        <m/>
        <s v="Accepted Claim"/>
        <s v="Accepted Claim (MEO)"/>
        <s v="Pending Claim"/>
        <s v="Declined Claim"/>
        <s v="Invalid Claim"/>
      </sharedItems>
    </cacheField>
    <cacheField name="MOI" numFmtId="0">
      <sharedItems containsMixedTypes="1" containsNumber="1" containsInteger="1" minValue="0" maxValue="0"/>
    </cacheField>
    <cacheField name="Agency2" numFmtId="0">
      <sharedItems containsMixedTypes="1" containsNumber="1" containsInteger="1" minValue="0" maxValue="0" count="17">
        <s v="Other materials and objects"/>
        <s v="Human agencies"/>
        <s v="Other substances"/>
        <n v="0"/>
        <s v="Furniture and fittings"/>
        <s v="Road transport"/>
        <s v="Other powered equipment, tools and appliances"/>
        <s v="Indoor environment"/>
        <s v="Fastening, packing and packaging equipment"/>
        <s v="Office and electronic equipment"/>
        <s v="Other non-powered equipment"/>
        <s v="Electrical Installation"/>
        <s v="Other and not specified agencies"/>
        <s v="Ladders, mobile platforms, mobile stairways and scaffolding"/>
        <s v="Non-metallic minerals and substances"/>
        <s v="Utensils not elsewhere classified"/>
        <s v="Outdoor environment"/>
      </sharedItems>
    </cacheField>
    <cacheField name="Company on Policy" numFmtId="0">
      <sharedItems/>
    </cacheField>
    <cacheField name="State" numFmtId="0">
      <sharedItems count="6">
        <s v="VIC"/>
        <s v="SA"/>
        <s v="TAS"/>
        <s v="QLD"/>
        <s v="NSW"/>
        <s v="ACT"/>
      </sharedItems>
    </cacheField>
    <cacheField name="Class 3" numFmtId="0">
      <sharedItems/>
    </cacheField>
    <cacheField name="Company" numFmtId="0">
      <sharedItems count="1">
        <s v="Harris Scarfe"/>
      </sharedItems>
    </cacheField>
    <cacheField name="Region" numFmtId="0">
      <sharedItems/>
    </cacheField>
    <cacheField name="Grouping Level 1" numFmtId="0">
      <sharedItems/>
    </cacheField>
    <cacheField name="Grouping Level 2" numFmtId="0">
      <sharedItems count="5">
        <s v="Harris Scarfe - VIC"/>
        <s v="Harris Scarfe - SA/TAS"/>
        <s v="Harris Scarfe - VIC &amp; NSW"/>
        <s v="Harris Scarfe - QLD"/>
        <s v="Harris Scarfe - NSW/AC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7">
  <r>
    <s v="SRG-INJ-1844"/>
    <s v="INC3730"/>
    <m/>
    <s v="No"/>
    <n v="297458"/>
    <s v="DOUGLAS, KARIN"/>
    <d v="1957-03-13T00:00:00"/>
    <d v="2023-09-26T00:00:00"/>
    <d v="1899-12-30T10:30:00"/>
    <s v="Harris Scarfe VIC"/>
    <n v="2032"/>
    <s v="Traralgon"/>
    <s v="Head sore"/>
    <s v="Team member lifted dinnersets off shelf which caused shelf to lift up and hit Karin in the head"/>
    <s v="Injury"/>
    <m/>
    <s v="No Assessment"/>
    <s v="Closed"/>
    <n v="0"/>
    <b v="0"/>
    <s v="Not Applicable"/>
    <s v="Residual soft tissue disorders due to trauma or unknown mechanisms"/>
    <s v="Head - unspecified locations"/>
    <s v="Being Hit By Moving Objects"/>
    <s v="Being hit by moving objects"/>
    <s v="Other materials and objects"/>
    <m/>
    <n v="0"/>
    <e v="#N/A"/>
    <e v="#N/A"/>
    <m/>
    <d v="2021-05-13T00:00:00"/>
    <d v="2024-03-12T00:00:00"/>
    <x v="0"/>
    <n v="2"/>
    <x v="0"/>
    <s v="PART TIME"/>
    <n v="21.5"/>
    <n v="68"/>
    <x v="0"/>
    <x v="0"/>
    <s v="Q2, FY24"/>
    <s v="Incident"/>
    <x v="0"/>
    <x v="0"/>
    <s v="Being Hit By Moving Objects"/>
    <x v="0"/>
    <s v="Harris Scarfe"/>
    <x v="0"/>
    <s v="Store"/>
    <x v="0"/>
    <s v="VIC"/>
    <s v="Harris Scarfe"/>
    <x v="0"/>
  </r>
  <r>
    <s v="SRG-INJ-1849"/>
    <s v="INC3757"/>
    <m/>
    <s v="No"/>
    <n v="327134"/>
    <s v="MITCHELL, ANGELA"/>
    <d v="1960-12-08T00:00:00"/>
    <d v="2023-09-27T00:00:00"/>
    <d v="1899-12-30T09:25:00"/>
    <s v="Harris Scarfe SA"/>
    <n v="1005"/>
    <s v="Elizabeth"/>
    <s v="Hit head on corner of wall. Has a little bump but not feeling dizzy or sick."/>
    <s v="Angela was bending down to put stock away and bumped her head on the corner of the wall when she got up. Angela left early but not related to this. She was not feeling well in the morning."/>
    <s v="Injury"/>
    <m/>
    <s v="No Assessment"/>
    <s v="Closed"/>
    <n v="0"/>
    <b v="0"/>
    <s v="First Aid Injury"/>
    <s v="Residual soft tissue disorders due to trauma or unknown mechanisms"/>
    <s v="Head - unspecified locations"/>
    <s v="Hitting Objects With a Part of the Body"/>
    <s v="Hitting stationary objects"/>
    <s v="Human agencies"/>
    <m/>
    <n v="0"/>
    <e v="#N/A"/>
    <e v="#N/A"/>
    <m/>
    <d v="2022-12-05T00:00:00"/>
    <m/>
    <x v="1"/>
    <n v="2"/>
    <x v="1"/>
    <s v="PART TIME"/>
    <n v="35"/>
    <n v="64"/>
    <x v="0"/>
    <x v="0"/>
    <s v="Q2, FY24"/>
    <s v="FAIs"/>
    <x v="0"/>
    <x v="0"/>
    <s v="Hitting Objects With a Part of the Body"/>
    <x v="1"/>
    <s v="Harris Scarfe"/>
    <x v="1"/>
    <s v="Store"/>
    <x v="0"/>
    <s v="SA/TAS"/>
    <s v="Harris Scarfe"/>
    <x v="1"/>
  </r>
  <r>
    <s v="SRG-INJ-1857"/>
    <s v="INC3797"/>
    <m/>
    <s v="No"/>
    <n v="288086"/>
    <s v="KNIGHT, REBEKAH"/>
    <d v="1979-01-26T00:00:00"/>
    <d v="2023-10-01T00:00:00"/>
    <d v="1899-12-30T12:29:00"/>
    <s v="Harris Scarfe TAS"/>
    <n v="4045"/>
    <s v="Ulverstone"/>
    <s v="Strained back"/>
    <s v="I tried to help a customer to lift and move the Harris Scarfe sign that had blown off of the building and broken the front door.  I have pulled a muscle in my lower back right side."/>
    <s v="Injury"/>
    <m/>
    <s v="No Assessment"/>
    <s v="Closed"/>
    <n v="0"/>
    <b v="0"/>
    <s v="Not Applicable"/>
    <s v="Residual soft tissue disorders due to trauma or unknown mechanisms"/>
    <s v="Lower limb - multiple locations"/>
    <s v="Body Stressing"/>
    <s v="Muscular stress while lifting, carrying, or putting down objects"/>
    <s v="Other materials and objects"/>
    <m/>
    <n v="0"/>
    <e v="#N/A"/>
    <e v="#N/A"/>
    <m/>
    <d v="2006-03-13T00:00:00"/>
    <m/>
    <x v="2"/>
    <n v="19"/>
    <x v="2"/>
    <s v="SALARIED"/>
    <n v="38"/>
    <n v="46"/>
    <x v="1"/>
    <x v="0"/>
    <s v="Q2, FY24"/>
    <s v="Incident"/>
    <x v="0"/>
    <x v="0"/>
    <s v="Body Stressing"/>
    <x v="0"/>
    <s v="Harris Scarfe"/>
    <x v="2"/>
    <s v="Store"/>
    <x v="0"/>
    <s v="SA/TAS"/>
    <s v="Harris Scarfe"/>
    <x v="1"/>
  </r>
  <r>
    <s v="SRG-INJ-1858"/>
    <s v="INC3815"/>
    <m/>
    <s v="No"/>
    <n v="297563"/>
    <s v="PRIDMORE-JOHNSTON, REBECCA"/>
    <d v="1996-12-24T00:00:00"/>
    <d v="2023-10-03T00:00:00"/>
    <d v="1899-12-30T11:30:00"/>
    <s v="Harris Scarfe TAS"/>
    <n v="4043"/>
    <s v="Launceston"/>
    <s v="right ankle"/>
    <s v="Rebecca Pridmore was empty rubbish when she scratched her right ankle on stock cage"/>
    <s v="Injury"/>
    <m/>
    <s v="No Assessment"/>
    <s v="Closed"/>
    <n v="0"/>
    <b v="0"/>
    <s v="Not Applicable"/>
    <s v="Contusion, bruising and superficial crushing"/>
    <s v="Ankle"/>
    <s v="Hitting Objects With a Part of the Body"/>
    <s v="Hitting stationary objects"/>
    <s v="Other materials and objects"/>
    <m/>
    <n v="0"/>
    <e v="#N/A"/>
    <e v="#N/A"/>
    <m/>
    <d v="2021-08-16T00:00:00"/>
    <m/>
    <x v="0"/>
    <n v="3"/>
    <x v="0"/>
    <s v="PART TIME"/>
    <n v="31"/>
    <n v="28"/>
    <x v="2"/>
    <x v="0"/>
    <s v="Q2, FY24"/>
    <s v="Incident"/>
    <x v="0"/>
    <x v="0"/>
    <s v="Hitting Objects With a Part of the Body"/>
    <x v="0"/>
    <s v="Harris Scarfe"/>
    <x v="2"/>
    <s v="Store"/>
    <x v="0"/>
    <s v="SA/TAS"/>
    <s v="Harris Scarfe"/>
    <x v="1"/>
  </r>
  <r>
    <s v="SRG-INJ-1859"/>
    <s v="INC3816"/>
    <m/>
    <s v="No"/>
    <n v="325752"/>
    <s v="ANDREWS, SIOBHAN"/>
    <d v="2001-07-10T00:00:00"/>
    <d v="2023-10-03T00:00:00"/>
    <d v="1899-12-30T12:20:00"/>
    <s v="Harris Scarfe TAS"/>
    <n v="4044"/>
    <s v="Devonport"/>
    <s v="The right thumb, over the knuckle."/>
    <s v="I was rearranging stock on the shelving units when my thumb got cut along the knuckle. The shelving unit had a sharp nook and had cut my thumb.   Then I cleaned the wound with an alcohol wipe, and wrapped the injury with an adhesive strip (band-aid)."/>
    <s v="Injury"/>
    <m/>
    <s v="No Assessment"/>
    <s v="Closed"/>
    <n v="0"/>
    <b v="0"/>
    <s v="First Aid Injury"/>
    <s v="Laceration or open wound not involving traumatic amputation"/>
    <s v="Hand, finger and thumb"/>
    <s v="Hitting Objects With a Part of the Body"/>
    <s v="Hitting stationary objects"/>
    <s v="Human agencies"/>
    <m/>
    <n v="0"/>
    <e v="#N/A"/>
    <e v="#N/A"/>
    <m/>
    <d v="2022-10-24T00:00:00"/>
    <d v="2024-02-08T00:00:00"/>
    <x v="1"/>
    <n v="1"/>
    <x v="1"/>
    <s v="CASUAL"/>
    <n v="0.01"/>
    <n v="23"/>
    <x v="3"/>
    <x v="0"/>
    <s v="Q2, FY24"/>
    <s v="FAIs"/>
    <x v="0"/>
    <x v="0"/>
    <s v="Hitting Objects With a Part of the Body"/>
    <x v="1"/>
    <s v="Harris Scarfe"/>
    <x v="2"/>
    <s v="Store"/>
    <x v="0"/>
    <s v="SA/TAS"/>
    <s v="Harris Scarfe"/>
    <x v="1"/>
  </r>
  <r>
    <s v="SRG-INJ-1879"/>
    <s v="INC3892"/>
    <m/>
    <s v="No"/>
    <n v="286152"/>
    <s v="DIMAKAKOS, MELISSA"/>
    <d v="1975-04-04T00:00:00"/>
    <d v="2023-10-04T00:00:00"/>
    <d v="1899-12-30T11:17:00"/>
    <s v="Harris Scarfe VIC"/>
    <n v="2023"/>
    <s v="Epping"/>
    <s v="moving heavy loose dinnerware/ dinnersets"/>
    <s v="on Tuesday Melisa had to take everything off the gondola including lose dinnerware/dinner sets and on Wednesday after moving the new gondola she had to put all the stock back on . she said she had to try to rush to get the job done as it was through trading hours and right close to entry door and there could be a hazard there."/>
    <s v="Injury"/>
    <m/>
    <s v="No Assessment"/>
    <s v="Closed"/>
    <n v="0"/>
    <b v="0"/>
    <s v="Not Applicable"/>
    <s v="Residual soft tissue disorders due to trauma or unknown mechanisms"/>
    <s v="Shoulder"/>
    <s v="Body Stressing"/>
    <s v="Muscular stress while lifting, carrying, or putting down objects"/>
    <s v="Other materials and objects"/>
    <m/>
    <n v="0"/>
    <e v="#N/A"/>
    <e v="#N/A"/>
    <m/>
    <d v="2003-05-13T00:00:00"/>
    <m/>
    <x v="3"/>
    <n v="22"/>
    <x v="2"/>
    <s v="PART TIME"/>
    <n v="34.75"/>
    <n v="50"/>
    <x v="1"/>
    <x v="0"/>
    <s v="Q2, FY24"/>
    <s v="Incident"/>
    <x v="0"/>
    <x v="0"/>
    <s v="Body Stressing"/>
    <x v="0"/>
    <s v="Harris Scarfe"/>
    <x v="0"/>
    <s v="Store"/>
    <x v="0"/>
    <s v="VIC &amp; NSW"/>
    <s v="Harris Scarfe"/>
    <x v="2"/>
  </r>
  <r>
    <s v="SRG-INJ-1872"/>
    <s v="INC3861"/>
    <n v="12230032770"/>
    <s v="No"/>
    <n v="297478"/>
    <s v="KOKKINOS, ANGELA"/>
    <d v="1969-09-12T00:00:00"/>
    <d v="2023-10-06T00:00:00"/>
    <d v="1899-12-30T13:45:00"/>
    <s v="Harris Scarfe VIC"/>
    <n v="2020"/>
    <s v="Forest Hill"/>
    <s v="Laceration over the dorsum of the right hand/ Laceration ulnar aspect of the right ring finger"/>
    <s v="Angela was trying to see on high shelf of white wall, she was holding two cups while looking for more she steps backward and didn't notice a step stool in the aisle and fell onto the orange step stool and sideward onto floor. the two loose cups she was holding fell onto the ground and broke on tiles and Angela fell onto the loose broken pieces cutting her right hand on top, and right ring finger."/>
    <s v="Claim"/>
    <s v="Accepted Claim"/>
    <s v="Restricted Duties"/>
    <s v="Open"/>
    <n v="64"/>
    <b v="0"/>
    <s v="Lost Time Injury"/>
    <s v="Laceration or open wound not involving traumatic amputation"/>
    <s v="Hand, finger and thumb"/>
    <s v="Falls, Trips and Slips of a Person"/>
    <s v="Falls from a height"/>
    <s v="Other materials and objects"/>
    <m/>
    <s v="Open"/>
    <s v="Non Work Related Injury"/>
    <e v="#N/A"/>
    <s v="Linked"/>
    <d v="2021-05-24T00:00:00"/>
    <d v="2024-10-18T00:00:00"/>
    <x v="0"/>
    <n v="3"/>
    <x v="0"/>
    <s v="CASUAL"/>
    <n v="0.01"/>
    <n v="55"/>
    <x v="0"/>
    <x v="0"/>
    <s v="Q2, FY24"/>
    <s v="LTIs"/>
    <x v="1"/>
    <x v="1"/>
    <s v="Falls, Trips and Slips of a Person"/>
    <x v="0"/>
    <s v="Harris Scarfe"/>
    <x v="0"/>
    <s v="Store"/>
    <x v="0"/>
    <s v="VIC"/>
    <s v="Harris Scarfe"/>
    <x v="0"/>
  </r>
  <r>
    <s v="SRG-INJ-1908"/>
    <s v="INC3975"/>
    <m/>
    <s v="No"/>
    <n v="297080"/>
    <s v="CSIKOS, JAMISON"/>
    <d v="2003-04-21T00:00:00"/>
    <d v="2023-10-13T00:00:00"/>
    <d v="1899-12-30T08:10:00"/>
    <s v="Harris Scarfe VIC"/>
    <n v="2028"/>
    <s v="Cranbourne Park"/>
    <s v="left cheeks"/>
    <s v="Box was up high and fall onto team members face."/>
    <s v="Injury"/>
    <m/>
    <s v="No Assessment"/>
    <s v="Closed"/>
    <n v="0"/>
    <b v="0"/>
    <s v="Not Applicable"/>
    <s v="Residual soft tissue disorders due to trauma or unknown mechanisms"/>
    <s v="Face, not elsewhere classified"/>
    <s v="Being Hit By Moving Objects"/>
    <s v="Being hit by falling objects"/>
    <s v="Other materials and objects"/>
    <s v="Boxes"/>
    <n v="0"/>
    <e v="#N/A"/>
    <e v="#N/A"/>
    <m/>
    <d v="2020-10-14T00:00:00"/>
    <d v="2025-03-13T00:00:00"/>
    <x v="0"/>
    <n v="4"/>
    <x v="0"/>
    <s v="PART TIME"/>
    <n v="36"/>
    <n v="22"/>
    <x v="3"/>
    <x v="0"/>
    <s v="Q2, FY24"/>
    <s v="Incident"/>
    <x v="0"/>
    <x v="0"/>
    <s v="Being Hit By Moving Objects"/>
    <x v="0"/>
    <s v="Harris Scarfe"/>
    <x v="0"/>
    <s v="Store"/>
    <x v="0"/>
    <s v="VIC"/>
    <s v="Harris Scarfe"/>
    <x v="0"/>
  </r>
  <r>
    <s v="SRG-INJ-1907"/>
    <s v="INC3972"/>
    <s v="S23RG061184"/>
    <s v="No"/>
    <n v="324107"/>
    <s v="SANDHU, KULDEEP KAUR"/>
    <d v="1982-01-13T00:00:00"/>
    <d v="2023-10-13T00:00:00"/>
    <d v="1899-12-30T16:30:00"/>
    <s v="Harris Scarfe QLD"/>
    <n v="9095"/>
    <s v="Chermside"/>
    <s v="Pain in right hand localised to the thumb and fingers"/>
    <s v="We have had an excess of beach towels come in to our Store which all needed to be folded as per the VM merchandising guidelines. Kuldeep's right hand has localised pain around the right thumb and finger area."/>
    <s v="Claim"/>
    <s v="Accepted Claim"/>
    <s v="Fit"/>
    <s v="Closed"/>
    <n v="11"/>
    <b v="0"/>
    <s v="Lost Time Injury"/>
    <s v="Residual soft tissue disorders due to trauma or unknown mechanisms"/>
    <s v="Hand, finger and thumb"/>
    <s v="Body Stressing"/>
    <s v="Muscular stress while handling objects other than lifting, carrying or putting down"/>
    <s v="Human agencies"/>
    <m/>
    <s v="Closed"/>
    <e v="#N/A"/>
    <e v="#N/A"/>
    <m/>
    <d v="2022-08-15T00:00:00"/>
    <m/>
    <x v="4"/>
    <n v="2"/>
    <x v="0"/>
    <s v="PART TIME"/>
    <n v="34.5"/>
    <n v="43"/>
    <x v="4"/>
    <x v="0"/>
    <s v="Q2, FY24"/>
    <s v="LTIs"/>
    <x v="1"/>
    <x v="1"/>
    <s v="Body Stressing"/>
    <x v="1"/>
    <s v="Harris Scarfe"/>
    <x v="3"/>
    <s v="Store"/>
    <x v="0"/>
    <s v="QLD"/>
    <s v="Harris Scarfe"/>
    <x v="3"/>
  </r>
  <r>
    <s v="SRG-INJ-1899"/>
    <s v="INC3950"/>
    <m/>
    <s v="No"/>
    <n v="325800"/>
    <s v="THOMAS, LAUREN"/>
    <d v="2006-02-02T00:00:00"/>
    <d v="2023-10-14T00:00:00"/>
    <d v="1899-12-30T14:20:00"/>
    <s v="Harris Scarfe SA"/>
    <n v="1005"/>
    <s v="Elizabeth"/>
    <s v="Right eye stining"/>
    <s v="Lauren was using hand sanitizer when the dispenser sprayed  out into her eye. She rinsed her eye with water several times until it felt better. The sanitiser was placed away with a do not use sign on it"/>
    <s v="Injury"/>
    <m/>
    <s v="No Assessment"/>
    <s v="Closed"/>
    <n v="0"/>
    <b v="0"/>
    <s v="Not Applicable"/>
    <s v="Foreign body on external eye, in ear or nose or in respiratory, digestive or reproductive tract"/>
    <s v="Eye"/>
    <s v="Chemicals and Other Substances"/>
    <s v="Single contact with chemical or substance"/>
    <s v="Other substances"/>
    <m/>
    <n v="0"/>
    <e v="#N/A"/>
    <e v="#N/A"/>
    <m/>
    <d v="2022-10-24T00:00:00"/>
    <m/>
    <x v="1"/>
    <n v="2"/>
    <x v="1"/>
    <s v="CASUAL"/>
    <n v="0.01"/>
    <n v="19"/>
    <x v="5"/>
    <x v="0"/>
    <s v="Q2, FY24"/>
    <s v="Incident"/>
    <x v="0"/>
    <x v="0"/>
    <s v="Chemicals and Other Substances"/>
    <x v="2"/>
    <s v="Harris Scarfe"/>
    <x v="1"/>
    <s v="Store"/>
    <x v="0"/>
    <s v="SA/TAS"/>
    <s v="Harris Scarfe"/>
    <x v="1"/>
  </r>
  <r>
    <s v="SRG-INJ-1901"/>
    <s v="INC3960"/>
    <s v="S23AH062694"/>
    <s v="No"/>
    <n v="295133"/>
    <s v="DANILEUSKI, THOMAS"/>
    <d v="1990-12-08T00:00:00"/>
    <d v="2023-10-15T00:00:00"/>
    <d v="1899-12-30T17:25:00"/>
    <s v="Harris Scarfe QLD"/>
    <n v="9095"/>
    <s v="Chermside"/>
    <s v="Thomas hit the front of his face on the ground breaking his glasses and cutting his eyebrow and grazing his cheek."/>
    <s v="Thomas and myself were saying goodbye to each other when his right knee gave way and causing him to fall and hit his head face on breaking his glasses and cutting his eyebrow. he hit his right elbow as he came down as well."/>
    <s v="Claim"/>
    <s v="Accepted Claim"/>
    <s v="Fit"/>
    <s v="Closed"/>
    <n v="29"/>
    <b v="0"/>
    <s v="Lost Time Injury"/>
    <s v="Residual soft tissue disorders due to trauma or unknown mechanisms"/>
    <s v="Face, not elsewhere classified"/>
    <s v="Falls, Trips and Slips of a Person"/>
    <s v="Falls from a height"/>
    <s v="Human agencies"/>
    <m/>
    <s v="Closed"/>
    <s v="Non Work Related Injury"/>
    <e v="#N/A"/>
    <m/>
    <d v="2016-11-28T00:00:00"/>
    <d v="2024-10-27T00:00:00"/>
    <x v="5"/>
    <n v="7"/>
    <x v="3"/>
    <s v="PART TIME"/>
    <n v="35.25"/>
    <n v="34"/>
    <x v="2"/>
    <x v="0"/>
    <s v="Q2, FY24"/>
    <s v="LTIs"/>
    <x v="1"/>
    <x v="1"/>
    <s v="Falls, Trips and Slips of a Person"/>
    <x v="1"/>
    <s v="Harris Scarfe"/>
    <x v="3"/>
    <s v="Store"/>
    <x v="0"/>
    <s v="QLD"/>
    <s v="Harris Scarfe"/>
    <x v="3"/>
  </r>
  <r>
    <s v="SRG-INJ-1917"/>
    <s v="INC3994"/>
    <m/>
    <s v="No"/>
    <n v="283771"/>
    <s v="HENDY, KATE"/>
    <d v="1983-07-29T00:00:00"/>
    <d v="2023-10-18T00:00:00"/>
    <d v="1899-12-30T12:55:00"/>
    <s v="Harris Scarfe SA"/>
    <n v="1011"/>
    <s v="Marion"/>
    <s v="Left shoulder"/>
    <s v="Kate reported that she was experiencing some pain in her left shoulder as she was unpacking US Polo shirts  out of their individual packets whilst at the registers."/>
    <s v="Injury"/>
    <m/>
    <s v="No Assessment"/>
    <s v="Closed"/>
    <n v="0"/>
    <b v="0"/>
    <s v="Not Applicable"/>
    <s v="Residual soft tissue disorders due to trauma or unknown mechanisms"/>
    <s v="Shoulder"/>
    <s v="Body Stressing"/>
    <s v="Muscular stress while lifting, carrying, or putting down objects"/>
    <s v="Other materials and objects"/>
    <m/>
    <n v="0"/>
    <e v="#N/A"/>
    <e v="#N/A"/>
    <m/>
    <d v="1999-08-02T00:00:00"/>
    <m/>
    <x v="6"/>
    <n v="25"/>
    <x v="4"/>
    <s v="PART TIME"/>
    <n v="20.63"/>
    <n v="41"/>
    <x v="4"/>
    <x v="0"/>
    <s v="Q2, FY24"/>
    <s v="Incident"/>
    <x v="0"/>
    <x v="0"/>
    <s v="Body Stressing"/>
    <x v="0"/>
    <s v="Harris Scarfe"/>
    <x v="1"/>
    <s v="Store"/>
    <x v="0"/>
    <s v="SA/TAS"/>
    <s v="Harris Scarfe"/>
    <x v="1"/>
  </r>
  <r>
    <s v="SRG-INJ-1930"/>
    <s v="INC4043"/>
    <m/>
    <s v="No"/>
    <n v="324204"/>
    <s v="DOWSETT, TAMERA"/>
    <d v="1979-02-09T00:00:00"/>
    <d v="2023-10-22T00:00:00"/>
    <d v="1899-12-30T13:13:00"/>
    <s v="Harris Scarfe NSW"/>
    <n v="6071"/>
    <s v="Tweed Heads"/>
    <s v="foot"/>
    <s v="Tam was in napery and a shelf feel on her foot."/>
    <s v="Injury"/>
    <m/>
    <s v="No Assessment"/>
    <s v="Closed"/>
    <n v="0"/>
    <b v="0"/>
    <s v="Not Applicable"/>
    <s v="Residual soft tissue disorders due to trauma or unknown mechanisms"/>
    <s v="Foot and toes"/>
    <s v="Being Hit By Moving Objects"/>
    <s v="Being hit by falling objects"/>
    <s v="Other materials and objects"/>
    <m/>
    <n v="0"/>
    <e v="#N/A"/>
    <e v="#N/A"/>
    <m/>
    <d v="2022-09-05T00:00:00"/>
    <m/>
    <x v="4"/>
    <n v="2"/>
    <x v="0"/>
    <s v="SALARIED"/>
    <n v="38"/>
    <n v="46"/>
    <x v="1"/>
    <x v="0"/>
    <s v="Q2, FY24"/>
    <s v="Incident"/>
    <x v="0"/>
    <x v="0"/>
    <s v="Being Hit By Moving Objects"/>
    <x v="0"/>
    <s v="Harris Scarfe"/>
    <x v="4"/>
    <s v="Store"/>
    <x v="0"/>
    <s v="QLD"/>
    <s v="Harris Scarfe"/>
    <x v="3"/>
  </r>
  <r>
    <s v="SRG-INJ-2541"/>
    <s v="INC6416"/>
    <s v="58519959/00"/>
    <s v="No"/>
    <n v="291457"/>
    <s v="ALLEN, SUSAN"/>
    <d v="1957-04-16T00:00:00"/>
    <d v="2023-10-30T00:00:00"/>
    <d v="1899-12-30T13:34:00"/>
    <s v="Harris Scarfe SA"/>
    <n v="1006"/>
    <s v="West Lakes"/>
    <s v="&quot;was there an incident at work?&quot;  and stated, &quot;well, you know, lifting things at work.&quot;"/>
    <s v="Sue cannot define if there was actually an incident that occurred. Her statement was '&quot;well, you know, lifting things at work.&quot; Sue did see a doctor and Physio. At the time, Sue took personal leave to see a doctor then a physio. Doctors cert and Work capacity forms were given to Teresa (manager). Often staff just place things on the desk without communicating, and they get missed."/>
    <s v="Claim"/>
    <s v="Accepted Claim (MEO)"/>
    <s v="Permanently Restricted"/>
    <s v="Closed"/>
    <n v="0"/>
    <b v="0"/>
    <s v="Medical Treatment Injury"/>
    <s v="Residual soft tissue disorders due to trauma or unknown mechanisms"/>
    <s v="Back-Upper and lower"/>
    <s v="Body Stressing"/>
    <s v="Muscular stress with no objects being handled"/>
    <s v="Human agencies"/>
    <m/>
    <s v="Closed"/>
    <e v="#N/A"/>
    <e v="#N/A"/>
    <m/>
    <d v="2010-09-24T00:00:00"/>
    <m/>
    <x v="7"/>
    <n v="14"/>
    <x v="5"/>
    <s v="PART TIME"/>
    <n v="13.5"/>
    <n v="68"/>
    <x v="0"/>
    <x v="1"/>
    <s v="Q2, FY24"/>
    <s v="MTIs"/>
    <x v="1"/>
    <x v="2"/>
    <s v="Body Stressing"/>
    <x v="1"/>
    <s v="Harris Scarfe"/>
    <x v="1"/>
    <s v="Store"/>
    <x v="0"/>
    <s v="SA/TAS"/>
    <s v="Harris Scarfe"/>
    <x v="1"/>
  </r>
  <r>
    <s v="SRG-INJ-1963"/>
    <s v="INC4177"/>
    <m/>
    <s v="No"/>
    <n v="331290"/>
    <s v="KARYN, FALCO"/>
    <d v="1980-03-22T00:00:00"/>
    <d v="2023-10-31T00:00:00"/>
    <d v="1899-12-30T13:30:00"/>
    <s v="Harris Scarfe QLD"/>
    <n v="9098"/>
    <s v="Carindale"/>
    <s v="lower right side of back"/>
    <s v="lifted dinner set and threw out lower back (reoccurring injury)"/>
    <s v="Injury"/>
    <m/>
    <s v="No Assessment"/>
    <s v="Closed"/>
    <n v="0"/>
    <b v="0"/>
    <s v="Not Applicable"/>
    <s v="Residual soft tissue disorders due to trauma or unknown mechanisms"/>
    <s v="Back-Upper and lower"/>
    <s v="Body Stressing"/>
    <s v="Muscular stress while lifting, carrying, or putting down objects"/>
    <s v="Human agencies"/>
    <m/>
    <n v="0"/>
    <e v="#N/A"/>
    <e v="#N/A"/>
    <m/>
    <d v="2023-10-23T00:00:00"/>
    <m/>
    <x v="1"/>
    <n v="1"/>
    <x v="1"/>
    <s v="SALARIED"/>
    <n v="38"/>
    <n v="45"/>
    <x v="1"/>
    <x v="1"/>
    <s v="Q2, FY24"/>
    <s v="Incident"/>
    <x v="0"/>
    <x v="0"/>
    <s v="Body Stressing"/>
    <x v="1"/>
    <s v="Harris Scarfe"/>
    <x v="3"/>
    <s v="Store"/>
    <x v="0"/>
    <s v="QLD"/>
    <s v="Harris Scarfe"/>
    <x v="3"/>
  </r>
  <r>
    <s v="SRG-INJ-1974"/>
    <s v="INC4233"/>
    <m/>
    <s v="No"/>
    <n v="294740"/>
    <s v="LAWSON, NIKKITA"/>
    <d v="2000-12-12T00:00:00"/>
    <d v="2023-11-03T00:00:00"/>
    <d v="1899-12-30T16:20:00"/>
    <s v="Harris Scarfe TAS"/>
    <n v="4043"/>
    <s v="Launceston"/>
    <s v="Under Left eye"/>
    <s v="Checking for stock in the basement where there was fixture left on the floor. Accidentally stepped on it, its the fallen forward and hit me under the left eye leaving a small cut. Small cut cleaned with alcohol wipe and icepack applied."/>
    <s v="Injury"/>
    <m/>
    <s v="No Assessment"/>
    <s v="Closed"/>
    <n v="0"/>
    <b v="0"/>
    <s v="First Aid Injury"/>
    <s v="Laceration or open wound not involving traumatic amputation"/>
    <s v="Eye"/>
    <s v="Being Hit By Moving Objects"/>
    <s v="Being hit by falling objects"/>
    <s v="Other materials and objects"/>
    <m/>
    <n v="0"/>
    <e v="#N/A"/>
    <e v="#N/A"/>
    <m/>
    <d v="2016-04-04T00:00:00"/>
    <m/>
    <x v="8"/>
    <n v="9"/>
    <x v="3"/>
    <s v="PART TIME"/>
    <n v="28"/>
    <n v="24"/>
    <x v="3"/>
    <x v="1"/>
    <s v="Q2, FY24"/>
    <s v="FAIs"/>
    <x v="0"/>
    <x v="0"/>
    <s v="Being Hit By Moving Objects"/>
    <x v="0"/>
    <s v="Harris Scarfe"/>
    <x v="2"/>
    <s v="Store"/>
    <x v="0"/>
    <s v="SA/TAS"/>
    <s v="Harris Scarfe"/>
    <x v="1"/>
  </r>
  <r>
    <s v="SRG-INJ-1980"/>
    <s v="INC4250"/>
    <m/>
    <s v="No"/>
    <n v="297591"/>
    <s v="MCMULLEN, ALYSE"/>
    <d v="1996-03-04T00:00:00"/>
    <d v="2023-11-05T00:00:00"/>
    <d v="1899-12-30T12:40:00"/>
    <s v="Harris Scarfe VIC"/>
    <n v="2042"/>
    <s v="Carnegie (Hs Home)"/>
    <s v="Cut to lateral knuckle of left index finger"/>
    <s v="Alyse McMullen (ASM - Carnegie) was working in the Home Deco department near the front of the Carnegie HS Store. She found a diffuser that didn't have a display on show so she took it to the Register area to unbox the product to place it on show. The diffuser had a plug firmly wedged in it's opening which Alyse attempted to remove. She attempted to remove the lid of the diffuser using her Safety Cutter but slipped and cut her left hand (near the lateral knuckle of her index finger). She went to the bathroom to wash the wound and then returned to the store. She went to the office to lay down as she was feeling light-headed  with shock. A Team Member (Callan Nicholson) applied a First Aid dressing and too k her to the Medical Centre in Carnegie Central. They were unable to assist, so Callen transported her to her own doctor in Cheltenham. He advised that she had escaped serious damage, but that the wound required 2 stitches and that after a couple of days away from work (which she was rostered to have off) she would need to return on limited duties. She was able to drive herself home."/>
    <s v="Injury"/>
    <m/>
    <s v="Fit"/>
    <s v="Closed"/>
    <n v="0"/>
    <b v="0"/>
    <s v="Medical Treatment Injury"/>
    <s v="Laceration or open wound not involving traumatic amputation"/>
    <s v="Hand, finger and thumb"/>
    <s v="Hitting Objects With a Part of the Body"/>
    <s v="Hitting stationary objects"/>
    <s v="Human agencies"/>
    <m/>
    <n v="0"/>
    <e v="#N/A"/>
    <e v="#N/A"/>
    <m/>
    <d v="2021-08-23T00:00:00"/>
    <m/>
    <x v="0"/>
    <n v="3"/>
    <x v="0"/>
    <s v="SALARIED"/>
    <n v="38"/>
    <n v="29"/>
    <x v="2"/>
    <x v="1"/>
    <s v="Q2, FY24"/>
    <s v="MTIs"/>
    <x v="0"/>
    <x v="0"/>
    <s v="Hitting Objects With a Part of the Body"/>
    <x v="1"/>
    <s v="Harris Scarfe"/>
    <x v="0"/>
    <s v="Store"/>
    <x v="0"/>
    <s v="VIC"/>
    <s v="Harris Scarfe"/>
    <x v="0"/>
  </r>
  <r>
    <s v="SRG-INJ-1983"/>
    <s v="INC4270"/>
    <m/>
    <s v="No"/>
    <n v="406820"/>
    <s v="HUNTER, SARAH"/>
    <d v="1970-10-02T00:00:00"/>
    <d v="2023-11-06T00:00:00"/>
    <d v="1899-12-30T16:30:00"/>
    <s v="Harris Scarfe SA"/>
    <n v="1011"/>
    <s v="Marion"/>
    <s v="Strain to my right hand at the base of my finger between the middle and ring finger."/>
    <s v="When I  got home last night I had some soreness in my  right hand in between the middle and ring fingers. I  had been re merchandising the women's apparel pad and executing markdowns in the area during the day and may have strained the area. I applied heat to the area but am  still having some pain today."/>
    <s v="Injury"/>
    <m/>
    <s v="No Assessment"/>
    <s v="Closed"/>
    <n v="0"/>
    <b v="0"/>
    <s v="First Aid Injury"/>
    <s v="Residual soft tissue disorders due to trauma or unknown mechanisms"/>
    <s v="Hand, finger and thumb"/>
    <s v="Body Stressing"/>
    <s v="Muscular stress while lifting, carrying, or putting down objects"/>
    <s v="Human agencies"/>
    <m/>
    <n v="0"/>
    <e v="#N/A"/>
    <e v="#N/A"/>
    <m/>
    <d v="2015-05-18T00:00:00"/>
    <m/>
    <x v="9"/>
    <n v="10"/>
    <x v="3"/>
    <s v="SALARIED"/>
    <n v="38"/>
    <n v="54"/>
    <x v="1"/>
    <x v="1"/>
    <s v="Q2, FY24"/>
    <s v="FAIs"/>
    <x v="0"/>
    <x v="0"/>
    <s v="Body Stressing"/>
    <x v="1"/>
    <s v="Harris Scarfe"/>
    <x v="1"/>
    <s v="Store"/>
    <x v="0"/>
    <s v="SA/TAS"/>
    <s v="Harris Scarfe"/>
    <x v="1"/>
  </r>
  <r>
    <s v="SRG-INJ-1993"/>
    <s v="INC4296"/>
    <m/>
    <s v="No"/>
    <n v="295516"/>
    <s v="NUTTALL, BELINDA"/>
    <d v="1971-03-01T00:00:00"/>
    <d v="2023-11-10T00:00:00"/>
    <d v="1899-12-30T16:30:00"/>
    <s v="Harris Scarfe VIC"/>
    <n v="2021"/>
    <s v="Geelong"/>
    <s v="Left calf muscle popped"/>
    <s v="I was condensing stock to make room, using a safety step. I stepped on the safety step to reach the top shelf. Finished what I was doing and stepped down off the safety step onto the floor. My calf muscle popped and was too painful to walk on"/>
    <s v="Injury"/>
    <m/>
    <s v="No Assessment"/>
    <s v="Closed"/>
    <n v="0"/>
    <b v="0"/>
    <s v="Medical Treatment Injury"/>
    <s v="Residual soft tissue disorders due to trauma or unknown mechanisms"/>
    <s v="Lower leg"/>
    <s v="Body Stressing"/>
    <s v="Muscular stress with no objects being handled"/>
    <s v="Human agencies"/>
    <m/>
    <n v="0"/>
    <e v="#N/A"/>
    <e v="#N/A"/>
    <m/>
    <d v="2017-08-14T00:00:00"/>
    <m/>
    <x v="5"/>
    <n v="7"/>
    <x v="3"/>
    <s v="SALARIED"/>
    <n v="38"/>
    <n v="54"/>
    <x v="1"/>
    <x v="1"/>
    <s v="Q2, FY24"/>
    <s v="MTIs"/>
    <x v="0"/>
    <x v="0"/>
    <s v="Body Stressing"/>
    <x v="1"/>
    <s v="Harris Scarfe"/>
    <x v="0"/>
    <s v="Store"/>
    <x v="0"/>
    <s v="VIC &amp; NSW"/>
    <s v="Harris Scarfe"/>
    <x v="2"/>
  </r>
  <r>
    <s v="SRG-INJ-1995"/>
    <s v="INC4298"/>
    <m/>
    <s v="No"/>
    <n v="297588"/>
    <s v="MAVER, GEORGIE"/>
    <d v="2002-12-30T00:00:00"/>
    <d v="2023-11-11T00:00:00"/>
    <d v="1899-12-30T14:00:00"/>
    <s v="Harris Scarfe VIC"/>
    <n v="2023"/>
    <s v="Epping"/>
    <s v="lower back and wrist is hurting"/>
    <s v="while carrying an arm full of clothes to move to another rack, Georgie tripped over a safety step stool which she did not see"/>
    <s v="Injury"/>
    <m/>
    <s v="No Assessment"/>
    <s v="Closed"/>
    <n v="0"/>
    <b v="0"/>
    <s v="Not Applicable"/>
    <s v="Residual soft tissue disorders due to trauma or unknown mechanisms"/>
    <s v="Upper and lower limbs"/>
    <s v="Falls, Trips and Slips of a Person"/>
    <s v="Falls on the same level"/>
    <s v="Other materials and objects"/>
    <m/>
    <n v="0"/>
    <e v="#N/A"/>
    <e v="#N/A"/>
    <m/>
    <d v="2021-08-27T00:00:00"/>
    <m/>
    <x v="0"/>
    <n v="3"/>
    <x v="0"/>
    <s v="SALARIED"/>
    <n v="38"/>
    <n v="22"/>
    <x v="3"/>
    <x v="1"/>
    <s v="Q2, FY24"/>
    <s v="Incident"/>
    <x v="0"/>
    <x v="0"/>
    <s v="Falls, Trips and Slips of a Person"/>
    <x v="0"/>
    <s v="Harris Scarfe"/>
    <x v="0"/>
    <s v="Store"/>
    <x v="0"/>
    <s v="VIC &amp; NSW"/>
    <s v="Harris Scarfe"/>
    <x v="2"/>
  </r>
  <r>
    <s v="SRG-INJ-1998"/>
    <s v="INC4319"/>
    <m/>
    <s v="No"/>
    <n v="407120"/>
    <s v="ZIGOURAS, LOREDANA"/>
    <d v="1963-12-12T00:00:00"/>
    <d v="2023-11-11T00:00:00"/>
    <d v="1899-12-30T16:55:00"/>
    <s v="Harris Scarfe VIC"/>
    <n v="2025"/>
    <s v="Southland"/>
    <s v="Soreness, brusing and tender left knee"/>
    <s v="Wheeling out rails of Apparel clearance from our P2 space as I came around the corner the rail tipped completely over and I went over are the top of it, causing my left knee to be hurt and bruising on the inside of my right and left knees."/>
    <s v="Injury"/>
    <m/>
    <s v="No Assessment"/>
    <s v="Closed"/>
    <n v="0"/>
    <b v="0"/>
    <s v="Not Applicable"/>
    <s v="Residual soft tissue disorders due to trauma or unknown mechanisms"/>
    <s v="Knee"/>
    <s v="Falls, Trips and Slips of a Person"/>
    <s v="Falls on the same level"/>
    <s v="Other materials and objects"/>
    <m/>
    <n v="0"/>
    <s v="Non Work Related Injury"/>
    <e v="#N/A"/>
    <m/>
    <d v="2020-07-20T00:00:00"/>
    <m/>
    <x v="10"/>
    <n v="4"/>
    <x v="0"/>
    <s v="CASUAL"/>
    <n v="0.01"/>
    <n v="61"/>
    <x v="0"/>
    <x v="1"/>
    <s v="Q2, FY24"/>
    <s v="Incident"/>
    <x v="0"/>
    <x v="0"/>
    <s v="Falls, Trips and Slips of a Person"/>
    <x v="0"/>
    <s v="Harris Scarfe"/>
    <x v="0"/>
    <s v="Store"/>
    <x v="0"/>
    <s v="VIC"/>
    <s v="Harris Scarfe"/>
    <x v="0"/>
  </r>
  <r>
    <s v="SRG-INJ-1994"/>
    <s v="INC4297"/>
    <m/>
    <s v="No"/>
    <n v="325769"/>
    <s v="ARNOLD, MAKENZIE"/>
    <d v="2006-08-04T00:00:00"/>
    <d v="2023-11-11T00:00:00"/>
    <d v="1899-12-30T13:10:00"/>
    <s v="Harris Scarfe TAS"/>
    <n v="4045"/>
    <s v="Ulverstone"/>
    <s v="Aggressive Customer"/>
    <s v="Aggressive customer"/>
    <s v="Injury"/>
    <m/>
    <s v="No Assessment"/>
    <s v="Closed"/>
    <n v="0"/>
    <b v="0"/>
    <s v="Not Applicable"/>
    <s v="Other mental diseases, not elsewhere classified"/>
    <s v="Head - unspecified locations"/>
    <s v="Mental Stress"/>
    <s v="Exposure to a traumatic event"/>
    <s v="Human agencies"/>
    <m/>
    <n v="0"/>
    <e v="#N/A"/>
    <e v="#N/A"/>
    <m/>
    <d v="2022-10-24T00:00:00"/>
    <m/>
    <x v="4"/>
    <n v="2"/>
    <x v="0"/>
    <s v="CASUAL"/>
    <n v="0.01"/>
    <n v="18"/>
    <x v="5"/>
    <x v="1"/>
    <s v="Q2, FY24"/>
    <s v="Incident"/>
    <x v="0"/>
    <x v="0"/>
    <s v="Mental Stress"/>
    <x v="1"/>
    <s v="Harris Scarfe"/>
    <x v="2"/>
    <s v="Store"/>
    <x v="0"/>
    <s v="SA/TAS"/>
    <s v="Harris Scarfe"/>
    <x v="1"/>
  </r>
  <r>
    <s v="SRG-INJ-1999"/>
    <s v="INC4320"/>
    <m/>
    <s v="No"/>
    <n v="323716"/>
    <s v="BYNION, FAY"/>
    <d v="1992-01-05T00:00:00"/>
    <d v="2023-11-13T00:00:00"/>
    <d v="1899-12-30T16:40:00"/>
    <s v="Harris Scarfe VIC"/>
    <n v="2025"/>
    <s v="Southland"/>
    <s v="Soreness, brusing and tender left foot"/>
    <s v="Fay was working and filling stock when the lid fell out of a box and landed directly on the top foot bone, causing pain and soreness"/>
    <s v="Injury"/>
    <m/>
    <s v="No Assessment"/>
    <s v="Closed"/>
    <n v="0"/>
    <b v="0"/>
    <s v="Not Applicable"/>
    <s v="Residual soft tissue disorders due to trauma or unknown mechanisms"/>
    <s v="Foot and toes"/>
    <s v="Being Hit By Moving Objects"/>
    <s v="Being hit by falling objects"/>
    <s v="Other materials and objects"/>
    <m/>
    <n v="0"/>
    <s v="Non Work Related Injury"/>
    <e v="#N/A"/>
    <m/>
    <d v="2022-07-25T00:00:00"/>
    <m/>
    <x v="4"/>
    <n v="2"/>
    <x v="0"/>
    <s v="SALARIED"/>
    <n v="38"/>
    <n v="33"/>
    <x v="2"/>
    <x v="1"/>
    <s v="Q2, FY24"/>
    <s v="Incident"/>
    <x v="0"/>
    <x v="0"/>
    <s v="Being Hit By Moving Objects"/>
    <x v="0"/>
    <s v="Harris Scarfe"/>
    <x v="0"/>
    <s v="Store"/>
    <x v="0"/>
    <s v="VIC"/>
    <s v="Harris Scarfe"/>
    <x v="0"/>
  </r>
  <r>
    <s v="SRG-INJ-3486"/>
    <s v="INC12058"/>
    <n v="12240077534"/>
    <s v="Yes"/>
    <n v="329940"/>
    <s v="ADDAMS, SAMANTHA"/>
    <d v="1987-01-12T00:00:00"/>
    <d v="2023-11-14T00:00:00"/>
    <d v="1899-12-30T12:00:00"/>
    <s v="Harris Scarfe VIC"/>
    <n v="2019"/>
    <s v="Ballarat"/>
    <s v="Psychosocial injury"/>
    <s v="Experiencing ongoing bullying and harassment at her workplace, particularly from her Store Manager. Team Member details several incidents where they felt mistreated and singled out by SM over a period of time, especially since returning to work after a medical procedure."/>
    <s v="Claim"/>
    <s v="Pending Claim"/>
    <s v="Unfit"/>
    <s v="Open"/>
    <n v="40"/>
    <b v="0"/>
    <s v="Medical Treatment Injury"/>
    <s v="Reaction to stressors - other, multiple or not specified"/>
    <s v="Psychological system"/>
    <s v="Mental Stress"/>
    <s v="Work related harassment and/or workplace bullying"/>
    <s v="Human agencies"/>
    <m/>
    <s v="Open"/>
    <e v="#N/A"/>
    <s v="Psychosocial"/>
    <m/>
    <d v="2023-07-24T00:00:00"/>
    <d v="2025-03-30T00:00:00"/>
    <x v="1"/>
    <n v="1"/>
    <x v="1"/>
    <s v="PART TIME"/>
    <n v="22.5"/>
    <n v="38"/>
    <x v="4"/>
    <x v="1"/>
    <s v="Q2, FY24"/>
    <s v="MTIs"/>
    <x v="1"/>
    <x v="3"/>
    <s v="Mental Stress"/>
    <x v="1"/>
    <s v="Harris Scarfe"/>
    <x v="0"/>
    <s v="Store"/>
    <x v="0"/>
    <s v="VIC &amp; NSW"/>
    <s v="Harris Scarfe"/>
    <x v="2"/>
  </r>
  <r>
    <s v="SRG-INJ-2010"/>
    <s v="INC4368"/>
    <m/>
    <s v="No"/>
    <n v="326552"/>
    <s v="GANGI, ALESSIA"/>
    <d v="2004-05-24T00:00:00"/>
    <d v="2023-11-16T00:00:00"/>
    <d v="1899-12-30T19:40:00"/>
    <s v="Harris Scarfe VIC"/>
    <n v="2024"/>
    <s v="Highpoint"/>
    <s v="Both legs"/>
    <s v="Thursday 16th of Nov @7:40pm Alessia tripped over mannequin stand near fitting rooms, fellinto it hurtinh both legs. She felt a bit sore after mannequin was moved to centre of stand to make it more obvious.  No camera in the area."/>
    <s v="Injury"/>
    <m/>
    <s v="No Assessment"/>
    <s v="Closed"/>
    <n v="0"/>
    <b v="0"/>
    <s v="Not Applicable"/>
    <m/>
    <m/>
    <m/>
    <m/>
    <m/>
    <m/>
    <n v="0"/>
    <e v="#N/A"/>
    <e v="#N/A"/>
    <m/>
    <d v="2022-11-21T00:00:00"/>
    <m/>
    <x v="1"/>
    <n v="2"/>
    <x v="1"/>
    <s v="CASUAL"/>
    <n v="0.01"/>
    <n v="20"/>
    <x v="3"/>
    <x v="1"/>
    <s v="Q2, FY24"/>
    <s v="Incident"/>
    <x v="0"/>
    <x v="0"/>
    <n v="0"/>
    <x v="3"/>
    <s v="Harris Scarfe"/>
    <x v="0"/>
    <s v="Store"/>
    <x v="0"/>
    <s v="VIC &amp; NSW"/>
    <s v="Harris Scarfe"/>
    <x v="2"/>
  </r>
  <r>
    <s v="SRG-INJ-2034"/>
    <s v="INC4436"/>
    <m/>
    <s v="No"/>
    <n v="293338"/>
    <s v="SMITH, KIEREN"/>
    <d v="1993-10-08T00:00:00"/>
    <d v="2023-11-17T00:00:00"/>
    <d v="1899-12-30T15:00:00"/>
    <s v="Harris Scarfe SA"/>
    <n v="1011"/>
    <s v="Marion"/>
    <s v="Laceration on right hand near pinky to mid way through palm."/>
    <s v="While taking out the plastics Kieren cut his right hand on a sharp bit of plastic shelving that has broken off."/>
    <s v="Injury"/>
    <m/>
    <s v="No Assessment"/>
    <s v="Closed"/>
    <n v="0"/>
    <b v="0"/>
    <s v="First Aid Injury"/>
    <s v="Laceration or open wound not involving traumatic amputation"/>
    <s v="Hand, finger and thumb"/>
    <s v="Hitting Objects With a Part of the Body"/>
    <s v="Hitting stationary objects"/>
    <s v="Human agencies"/>
    <m/>
    <n v="0"/>
    <e v="#N/A"/>
    <e v="#N/A"/>
    <m/>
    <d v="2013-07-15T00:00:00"/>
    <d v="2024-05-31T00:00:00"/>
    <x v="11"/>
    <n v="10"/>
    <x v="3"/>
    <s v="PART TIME"/>
    <n v="30"/>
    <n v="31"/>
    <x v="2"/>
    <x v="1"/>
    <s v="Q2, FY24"/>
    <s v="FAIs"/>
    <x v="0"/>
    <x v="0"/>
    <s v="Hitting Objects With a Part of the Body"/>
    <x v="1"/>
    <s v="Harris Scarfe"/>
    <x v="1"/>
    <s v="Store"/>
    <x v="0"/>
    <s v="SA/TAS"/>
    <s v="Harris Scarfe"/>
    <x v="1"/>
  </r>
  <r>
    <s v="SRG-INJ-2011"/>
    <s v="INC4369"/>
    <m/>
    <s v="No"/>
    <n v="328036"/>
    <s v="MEAD, SUSANNE"/>
    <d v="1970-10-30T00:00:00"/>
    <d v="2023-11-17T00:00:00"/>
    <d v="1899-12-30T13:50:00"/>
    <s v="Harris Scarfe VIC"/>
    <n v="2029"/>
    <s v="Waurn Ponds (Hs Home)"/>
    <s v="grazed arm armd grazed wrist"/>
    <s v="fall from small ladder in back store room while retrieving stock for customer."/>
    <s v="Injury"/>
    <m/>
    <s v="No Assessment"/>
    <s v="Closed"/>
    <n v="0"/>
    <b v="0"/>
    <s v="First Aid Injury"/>
    <s v="Laceration or open wound not involving traumatic amputation"/>
    <s v="Wrist"/>
    <s v="Falls, Trips and Slips of a Person"/>
    <s v="Falls on the same level"/>
    <s v="Human agencies"/>
    <m/>
    <n v="0"/>
    <e v="#N/A"/>
    <e v="#N/A"/>
    <m/>
    <d v="2023-02-20T00:00:00"/>
    <m/>
    <x v="1"/>
    <n v="2"/>
    <x v="1"/>
    <s v="PART TIME"/>
    <n v="14.25"/>
    <n v="54"/>
    <x v="1"/>
    <x v="1"/>
    <s v="Q2, FY24"/>
    <s v="FAIs"/>
    <x v="0"/>
    <x v="0"/>
    <s v="Falls, Trips and Slips of a Person"/>
    <x v="1"/>
    <s v="Harris Scarfe"/>
    <x v="0"/>
    <s v="Store"/>
    <x v="0"/>
    <s v="VIC &amp; NSW"/>
    <s v="Harris Scarfe"/>
    <x v="2"/>
  </r>
  <r>
    <s v="SRG-INJ-2015"/>
    <s v="INC4378"/>
    <m/>
    <s v="No"/>
    <n v="331399"/>
    <s v="MORRISS, ASHLEY"/>
    <d v="2004-10-08T00:00:00"/>
    <d v="2023-11-18T00:00:00"/>
    <d v="1899-12-30T11:34:00"/>
    <s v="Harris Scarfe NSW"/>
    <n v="6068"/>
    <s v="Wagga Wagga"/>
    <s v="LEFT FOOT - STEPPED ON SECURITY PIN"/>
    <s v="Ashley stepped on pin that goes into a hammer tag. Went through the sole of shoe into her foot"/>
    <s v="Injury"/>
    <m/>
    <s v="No Assessment"/>
    <s v="Closed"/>
    <n v="0"/>
    <b v="0"/>
    <s v="First Aid Injury"/>
    <s v="Laceration or open wound not involving traumatic amputation"/>
    <s v="Foot and toes"/>
    <s v="Hitting Objects With a Part of the Body"/>
    <s v="Hitting stationary objects"/>
    <s v="Human agencies"/>
    <m/>
    <n v="0"/>
    <e v="#N/A"/>
    <s v="Psychosocial"/>
    <m/>
    <d v="2023-10-09T00:00:00"/>
    <m/>
    <x v="1"/>
    <n v="1"/>
    <x v="1"/>
    <s v="CASUAL"/>
    <n v="0.01"/>
    <n v="20"/>
    <x v="3"/>
    <x v="1"/>
    <s v="Q2, FY24"/>
    <s v="FAIs"/>
    <x v="0"/>
    <x v="0"/>
    <s v="Hitting Objects With a Part of the Body"/>
    <x v="1"/>
    <s v="Harris Scarfe"/>
    <x v="4"/>
    <s v="Store"/>
    <x v="0"/>
    <s v="NSW/ACT"/>
    <s v="Harris Scarfe"/>
    <x v="4"/>
  </r>
  <r>
    <s v="SRG-INJ-2021"/>
    <s v="INC4401"/>
    <m/>
    <s v="No"/>
    <n v="318178"/>
    <s v="DE GENNARO, MADELINE"/>
    <d v="2002-11-15T00:00:00"/>
    <d v="2023-11-21T00:00:00"/>
    <d v="1899-12-30T09:40:00"/>
    <s v="Harris Scarfe SA"/>
    <n v="1011"/>
    <s v="Marion"/>
    <s v="Laceration between index and middle knuckle"/>
    <s v="Madeline noticed a cut on her hand between her index and middle knuckles on her right hand. When I asked Madeline how she injured herself she was unsure and could not recall how it occurred."/>
    <s v="Injury"/>
    <m/>
    <s v="No Assessment"/>
    <s v="Closed"/>
    <n v="0"/>
    <b v="0"/>
    <s v="First Aid Injury"/>
    <s v="Laceration or open wound not involving traumatic amputation"/>
    <s v="Hand, finger and thumb"/>
    <s v="Body Stressing"/>
    <s v="Muscular stress with no objects being handled"/>
    <s v="Human agencies"/>
    <m/>
    <n v="0"/>
    <e v="#N/A"/>
    <e v="#N/A"/>
    <m/>
    <d v="2021-11-01T00:00:00"/>
    <m/>
    <x v="0"/>
    <n v="3"/>
    <x v="0"/>
    <s v="CASUAL"/>
    <n v="0.01"/>
    <n v="22"/>
    <x v="3"/>
    <x v="1"/>
    <s v="Q2, FY24"/>
    <s v="FAIs"/>
    <x v="0"/>
    <x v="0"/>
    <s v="Body Stressing"/>
    <x v="1"/>
    <s v="Harris Scarfe"/>
    <x v="1"/>
    <s v="Store"/>
    <x v="0"/>
    <s v="SA/TAS"/>
    <s v="Harris Scarfe"/>
    <x v="1"/>
  </r>
  <r>
    <s v="SRG-INJ-2026"/>
    <s v="INC4415"/>
    <m/>
    <s v="No"/>
    <n v="321428"/>
    <s v="MCGURGAN, KAYLA"/>
    <d v="1991-01-14T00:00:00"/>
    <d v="2023-11-21T00:00:00"/>
    <d v="1899-12-30T12:01:00"/>
    <s v="Harris Scarfe VIC"/>
    <n v="2026"/>
    <s v="Shepparton"/>
    <s v="lower back"/>
    <s v="Kayla was walking towards the linen house wall to put stock on the shelf, the floor has a hole rotting away from old termites. As Kayla stepped forward she lost her balance and braced her other foot down and jolted her back."/>
    <s v="Injury"/>
    <m/>
    <s v="No Assessment"/>
    <s v="Closed"/>
    <n v="0"/>
    <b v="0"/>
    <s v="Not Applicable"/>
    <s v="Residual soft tissue disorders due to trauma or unknown mechanisms"/>
    <s v="Back-Upper and lower"/>
    <s v="Falls, Trips and Slips of a Person"/>
    <s v="Stepping, kneeling or sitting on objects"/>
    <s v="Other materials and objects"/>
    <m/>
    <n v="0"/>
    <e v="#N/A"/>
    <e v="#N/A"/>
    <m/>
    <d v="2022-03-21T00:00:00"/>
    <m/>
    <x v="4"/>
    <n v="3"/>
    <x v="0"/>
    <s v="CASUAL"/>
    <n v="0.01"/>
    <n v="34"/>
    <x v="2"/>
    <x v="1"/>
    <s v="Q2, FY24"/>
    <s v="Incident"/>
    <x v="0"/>
    <x v="0"/>
    <s v="Falls, Trips and Slips of a Person"/>
    <x v="0"/>
    <s v="Harris Scarfe"/>
    <x v="0"/>
    <s v="Store"/>
    <x v="0"/>
    <s v="VIC &amp; NSW"/>
    <s v="Harris Scarfe"/>
    <x v="2"/>
  </r>
  <r>
    <s v="SRG-INJ-2027"/>
    <s v="INC4417"/>
    <m/>
    <s v="No"/>
    <n v="321779"/>
    <s v="ADAMS, CHRISTINE"/>
    <d v="1963-06-04T00:00:00"/>
    <d v="2023-11-21T00:00:00"/>
    <d v="1899-12-30T17:32:00"/>
    <s v="Harris Scarfe VIC"/>
    <n v="2029"/>
    <s v="Waurn Ponds (Hs Home)"/>
    <s v="Bottom lip and cut on the inside and bruised on the outside"/>
    <s v="Team member was returning stock to shelves when team member slipped and knocked lip on shelf bar causing it to bleed and bruise"/>
    <s v="Injury"/>
    <m/>
    <s v="No Assessment"/>
    <s v="Closed"/>
    <n v="0"/>
    <b v="0"/>
    <s v="Not Applicable"/>
    <s v="Laceration or open wound not involving traumatic amputation"/>
    <s v="Mouth"/>
    <s v="Falls, Trips and Slips of a Person"/>
    <s v="Falls on the same level"/>
    <s v="Human agencies"/>
    <m/>
    <n v="0"/>
    <e v="#N/A"/>
    <e v="#N/A"/>
    <m/>
    <d v="2022-04-04T00:00:00"/>
    <m/>
    <x v="4"/>
    <n v="3"/>
    <x v="0"/>
    <s v="PART TIME"/>
    <n v="21.25"/>
    <n v="61"/>
    <x v="0"/>
    <x v="1"/>
    <s v="Q2, FY24"/>
    <s v="Incident"/>
    <x v="0"/>
    <x v="0"/>
    <s v="Falls, Trips and Slips of a Person"/>
    <x v="1"/>
    <s v="Harris Scarfe"/>
    <x v="0"/>
    <s v="Store"/>
    <x v="0"/>
    <s v="VIC &amp; NSW"/>
    <s v="Harris Scarfe"/>
    <x v="2"/>
  </r>
  <r>
    <s v="SRG-INJ-2051"/>
    <s v="INC4479"/>
    <m/>
    <s v="No"/>
    <n v="296514"/>
    <s v="BOURNE, MAREE"/>
    <d v="1956-07-08T00:00:00"/>
    <d v="2023-11-24T00:00:00"/>
    <d v="1899-12-30T08:30:00"/>
    <s v="Harris Scarfe NSW"/>
    <n v="6068"/>
    <s v="Wagga Wagga"/>
    <s v="left side of forehead above eyebrow"/>
    <s v="Maree was on 3 step ladder putting bulky mattress topper up on the top shelf - lost footing and banged left hand side of forehead.  Maree was unfazed by incident and continued putting excess stock in reserve shelf."/>
    <s v="Injury"/>
    <m/>
    <s v="No Assessment"/>
    <s v="Closed"/>
    <n v="0"/>
    <b v="0"/>
    <s v="Not Applicable"/>
    <s v="Residual soft tissue disorders due to trauma or unknown mechanisms"/>
    <s v="Face, not elsewhere classified"/>
    <s v="Being Hit By Moving Objects"/>
    <s v="Being hit by falling objects"/>
    <s v="Other materials and objects"/>
    <m/>
    <n v="0"/>
    <e v="#N/A"/>
    <s v="Psychosocial"/>
    <m/>
    <d v="2019-04-08T00:00:00"/>
    <m/>
    <x v="12"/>
    <n v="6"/>
    <x v="0"/>
    <s v="PART TIME"/>
    <n v="16"/>
    <n v="68"/>
    <x v="0"/>
    <x v="1"/>
    <s v="Q2, FY24"/>
    <s v="Incident"/>
    <x v="0"/>
    <x v="0"/>
    <s v="Being Hit By Moving Objects"/>
    <x v="0"/>
    <s v="Harris Scarfe"/>
    <x v="4"/>
    <s v="Store"/>
    <x v="0"/>
    <s v="NSW/ACT"/>
    <s v="Harris Scarfe"/>
    <x v="4"/>
  </r>
  <r>
    <s v="SRG-INJ-2046"/>
    <s v="INC4472"/>
    <m/>
    <s v="No"/>
    <n v="296943"/>
    <s v="PENFOLD, ALANA"/>
    <d v="1992-02-19T00:00:00"/>
    <d v="2023-11-27T00:00:00"/>
    <d v="1899-12-30T11:15:00"/>
    <s v="Harris Scarfe SA"/>
    <n v="1005"/>
    <s v="Elizabeth"/>
    <s v="rh Little finger"/>
    <s v="Alana was closing a postal cage and the latch sprang back catching her RH baby finger causing laceration and bleeding"/>
    <s v="Injury"/>
    <m/>
    <s v="No Assessment"/>
    <s v="Closed"/>
    <n v="0"/>
    <b v="0"/>
    <s v="First Aid Injury"/>
    <s v="Laceration or open wound not involving traumatic amputation"/>
    <s v="Hand, finger and thumb"/>
    <s v="Hitting Objects With a Part of the Body"/>
    <s v="Hitting stationary objects"/>
    <s v="Human agencies"/>
    <m/>
    <n v="0"/>
    <e v="#N/A"/>
    <e v="#N/A"/>
    <m/>
    <d v="2020-07-20T00:00:00"/>
    <m/>
    <x v="10"/>
    <n v="4"/>
    <x v="0"/>
    <s v="CASUAL"/>
    <n v="0.01"/>
    <n v="33"/>
    <x v="2"/>
    <x v="2"/>
    <s v="Q2, FY24"/>
    <s v="FAIs"/>
    <x v="0"/>
    <x v="0"/>
    <s v="Hitting Objects With a Part of the Body"/>
    <x v="1"/>
    <s v="Harris Scarfe"/>
    <x v="1"/>
    <s v="Store"/>
    <x v="0"/>
    <s v="SA/TAS"/>
    <s v="Harris Scarfe"/>
    <x v="1"/>
  </r>
  <r>
    <s v="SRG-INJ-2055"/>
    <s v="INC4489"/>
    <m/>
    <s v="No"/>
    <n v="297536"/>
    <s v="RUSH, GEORGINA"/>
    <d v="1968-11-30T00:00:00"/>
    <d v="2023-11-28T00:00:00"/>
    <d v="1899-12-30T14:44:00"/>
    <s v="Harris Scarfe TAS"/>
    <n v="4045"/>
    <s v="Ulverstone"/>
    <s v="verbal abuse"/>
    <s v="A customer came into the store to return a online purchase and only had the confirmation email, so I asked for the itemized one to see what the purchase price was for coffee machine to proceed with return, she couldn't find and was going to go to car for a better look because she didn't have her glasses on, came back into the store and said she hadn't received it and demanded that I ring to see why she hadn't been sent, she showed me her zip pay and I explained I couldn't give out her personal details on the phone and asked nicely if she could ring them, she got louder and demanded that it was my store and said you will ring them, as she was very loud and I was being polite I said excuse me, she proceeded to call me a cunt and grab her item, I replied with sorry but she replied with fucken cunt"/>
    <s v="Injury"/>
    <m/>
    <s v="No Assessment"/>
    <s v="Closed"/>
    <n v="0"/>
    <b v="0"/>
    <s v="Not Applicable"/>
    <s v="Reaction to stressors - other, multiple or not specified"/>
    <s v="Head - unspecified locations"/>
    <s v="Mental Stress"/>
    <s v="Other mental stress factors"/>
    <s v="Human agencies"/>
    <m/>
    <n v="0"/>
    <s v="Non Work Related Injury"/>
    <e v="#N/A"/>
    <m/>
    <d v="2021-07-05T00:00:00"/>
    <m/>
    <x v="0"/>
    <n v="3"/>
    <x v="0"/>
    <s v="PART TIME"/>
    <n v="25.25"/>
    <n v="56"/>
    <x v="0"/>
    <x v="2"/>
    <s v="Q2, FY24"/>
    <s v="Incident"/>
    <x v="0"/>
    <x v="0"/>
    <s v="Mental Stress"/>
    <x v="1"/>
    <s v="Harris Scarfe"/>
    <x v="2"/>
    <s v="Store"/>
    <x v="0"/>
    <s v="SA/TAS"/>
    <s v="Harris Scarfe"/>
    <x v="1"/>
  </r>
  <r>
    <s v="SRG-INJ-2063"/>
    <s v="INC4511"/>
    <m/>
    <s v="No"/>
    <n v="324624"/>
    <s v="FORBES, LILLY MAY"/>
    <d v="2005-02-04T00:00:00"/>
    <d v="2023-11-29T00:00:00"/>
    <d v="1899-12-30T12:00:00"/>
    <s v="Harris Scarfe NSW"/>
    <n v="6071"/>
    <s v="Tweed Heads"/>
    <s v="Cast iron was dropped on her finger"/>
    <s v="Dropped a cast Iron on her finger."/>
    <s v="Injury"/>
    <m/>
    <s v="No Assessment"/>
    <s v="Closed"/>
    <n v="0"/>
    <b v="0"/>
    <s v="Not Applicable"/>
    <s v="Residual soft tissue disorders due to trauma or unknown mechanisms"/>
    <s v="Hand, finger and thumb"/>
    <s v="Being Hit By Moving Objects"/>
    <s v="Being hit by falling objects"/>
    <s v="Other materials and objects"/>
    <m/>
    <n v="0"/>
    <e v="#N/A"/>
    <e v="#N/A"/>
    <m/>
    <d v="2022-09-05T00:00:00"/>
    <d v="2024-01-12T00:00:00"/>
    <x v="4"/>
    <n v="1"/>
    <x v="0"/>
    <s v="PART TIME"/>
    <n v="19"/>
    <n v="20"/>
    <x v="3"/>
    <x v="2"/>
    <s v="Q2, FY24"/>
    <s v="Incident"/>
    <x v="0"/>
    <x v="0"/>
    <s v="Being Hit By Moving Objects"/>
    <x v="0"/>
    <s v="Harris Scarfe"/>
    <x v="4"/>
    <s v="Store"/>
    <x v="0"/>
    <s v="QLD"/>
    <s v="Harris Scarfe"/>
    <x v="3"/>
  </r>
  <r>
    <s v="SRG-INJ-2323"/>
    <s v="INC5527"/>
    <s v="S23WA101711"/>
    <s v="No"/>
    <n v="407192"/>
    <s v="MCNAMARA, NEASHER"/>
    <d v="2002-06-13T00:00:00"/>
    <d v="2023-11-29T00:00:00"/>
    <d v="1899-12-30T14:00:00"/>
    <s v="Harris Scarfe QLD"/>
    <n v="9095"/>
    <s v="Chermside"/>
    <s v="middle of back strained/sprained"/>
    <s v="The injury is a pre existing injury from 2020 that after 3 years has flared up during the Hervey Bay Store fitout. I was unpacking stock and breaking down pallets that has then cause strain on my spin and cause inflammation on the pre existing injury site."/>
    <s v="Claim"/>
    <s v="Accepted Claim"/>
    <s v="Restricted Duties"/>
    <s v="Closed"/>
    <n v="24"/>
    <b v="0"/>
    <s v="Medical Treatment Injury"/>
    <s v="Residual soft tissue disorders due to trauma or unknown mechanisms"/>
    <s v="Back-Upper and lower"/>
    <s v="Body Stressing"/>
    <s v="Muscular stress while lifting, carrying, or putting down objects"/>
    <s v="Human agencies"/>
    <m/>
    <s v="Closed"/>
    <e v="#N/A"/>
    <e v="#N/A"/>
    <m/>
    <d v="2019-10-04T00:00:00"/>
    <d v="2024-09-01T00:00:00"/>
    <x v="12"/>
    <n v="4"/>
    <x v="0"/>
    <s v="SALARIED"/>
    <n v="38"/>
    <n v="22"/>
    <x v="3"/>
    <x v="2"/>
    <s v="Q2, FY24"/>
    <s v="MTIs"/>
    <x v="1"/>
    <x v="1"/>
    <s v="Body Stressing"/>
    <x v="1"/>
    <s v="Harris Scarfe"/>
    <x v="3"/>
    <s v="Store"/>
    <x v="0"/>
    <s v="QLD"/>
    <s v="Harris Scarfe"/>
    <x v="3"/>
  </r>
  <r>
    <s v="SRG-INJ-2066"/>
    <s v="INC4521"/>
    <m/>
    <s v="No"/>
    <n v="297369"/>
    <s v="MARINO, ANGELA"/>
    <d v="1969-11-27T00:00:00"/>
    <d v="2023-11-30T00:00:00"/>
    <d v="1899-12-30T17:10:00"/>
    <s v="Harris Scarfe SA"/>
    <n v="1010"/>
    <s v="Whyalla"/>
    <s v="Cut on Left thumb"/>
    <s v="Team member Angela Marino, cut Left Thumb on Klever Knife while working apparel stock."/>
    <s v="Injury"/>
    <m/>
    <s v="No Assessment"/>
    <s v="Closed"/>
    <n v="0"/>
    <b v="0"/>
    <s v="First Aid Injury"/>
    <s v="Laceration or open wound not involving traumatic amputation"/>
    <s v="Hand, finger and thumb"/>
    <s v="Hitting Objects With a Part of the Body"/>
    <s v="Hitting stationary objects"/>
    <s v="Other materials and objects"/>
    <s v="Knives"/>
    <n v="0"/>
    <e v="#N/A"/>
    <e v="#N/A"/>
    <m/>
    <d v="2021-02-22T00:00:00"/>
    <d v="2023-12-10T00:00:00"/>
    <x v="0"/>
    <n v="2"/>
    <x v="0"/>
    <s v="PART TIME"/>
    <n v="20"/>
    <n v="55"/>
    <x v="0"/>
    <x v="2"/>
    <s v="Q2, FY24"/>
    <s v="FAIs"/>
    <x v="0"/>
    <x v="0"/>
    <s v="Hitting Objects With a Part of the Body"/>
    <x v="0"/>
    <s v="Harris Scarfe"/>
    <x v="1"/>
    <s v="Store"/>
    <x v="0"/>
    <s v="SA/TAS"/>
    <s v="Harris Scarfe"/>
    <x v="1"/>
  </r>
  <r>
    <s v="SRG-INJ-2074"/>
    <s v="INC4533"/>
    <m/>
    <s v="No"/>
    <n v="322452"/>
    <s v="QUEEN, DECLAN"/>
    <d v="1999-05-03T00:00:00"/>
    <d v="2023-11-30T00:00:00"/>
    <d v="1899-12-30T15:00:00"/>
    <s v="Harris Scarfe TAS"/>
    <n v="4042"/>
    <s v="Cambridge"/>
    <s v="Left Shoulder"/>
    <s v="Declan's Apron got caught on the hook on top of the large tristand and it pulled Declan back and he has jared his left shoulder.  Next day 1/12 Declan is feeling a slight muscle strain in the area and discomfort to lift."/>
    <s v="Injury"/>
    <m/>
    <s v="No Assessment"/>
    <s v="Closed"/>
    <n v="0"/>
    <b v="0"/>
    <s v="Not Applicable"/>
    <s v="Residual soft tissue disorders due to trauma or unknown mechanisms"/>
    <s v="Shoulder"/>
    <s v="Being Hit By Moving Objects"/>
    <s v="Being trapped by moving machinery or equipment"/>
    <s v="Furniture and fittings"/>
    <m/>
    <n v="0"/>
    <e v="#N/A"/>
    <e v="#N/A"/>
    <m/>
    <d v="2022-05-16T00:00:00"/>
    <m/>
    <x v="4"/>
    <n v="3"/>
    <x v="0"/>
    <s v="PART TIME"/>
    <n v="19"/>
    <n v="26"/>
    <x v="2"/>
    <x v="2"/>
    <s v="Q2, FY24"/>
    <s v="Incident"/>
    <x v="0"/>
    <x v="0"/>
    <s v="Being Hit By Moving Objects"/>
    <x v="4"/>
    <s v="Harris Scarfe"/>
    <x v="2"/>
    <s v="Store"/>
    <x v="0"/>
    <s v="SA/TAS"/>
    <s v="Harris Scarfe"/>
    <x v="1"/>
  </r>
  <r>
    <s v="SRG-INJ-2065"/>
    <s v="INC4520"/>
    <m/>
    <s v="No"/>
    <n v="331325"/>
    <s v="HANSEN, LACHLAN"/>
    <d v="2005-03-12T00:00:00"/>
    <d v="2023-11-30T00:00:00"/>
    <d v="1899-12-30T15:00:00"/>
    <s v="Harris Scarfe QLD"/>
    <n v="9097"/>
    <s v="Hervey Bay"/>
    <s v="eye"/>
    <s v="Lachlan was laying down on his back directly under a table assembling it with a drill. A piece of metal fell straight into his eye and he was then rushed to the first aid box to flush his eye out with saline solution. He then left to seek medical attention from an optometrist. We are awaiting his response as to the condition of his eye.   Lachlan was not instructed to lay under the table and complete that task."/>
    <s v="Injury"/>
    <m/>
    <s v="No Assessment"/>
    <s v="Closed"/>
    <n v="0"/>
    <b v="0"/>
    <s v="Medical Treatment Injury"/>
    <s v="Foreign body on external eye, in ear or nose or in respiratory, digestive or reproductive tract"/>
    <s v="Eye"/>
    <s v="Being Hit By Moving Objects"/>
    <s v="Being hit by falling objects"/>
    <s v="Other materials and objects"/>
    <m/>
    <n v="0"/>
    <e v="#N/A"/>
    <e v="#N/A"/>
    <m/>
    <d v="2023-10-23T00:00:00"/>
    <d v="2023-12-24T00:00:00"/>
    <x v="1"/>
    <n v="0"/>
    <x v="1"/>
    <s v="PART TIME"/>
    <n v="20"/>
    <n v="20"/>
    <x v="3"/>
    <x v="2"/>
    <s v="Q2, FY24"/>
    <s v="MTIs"/>
    <x v="0"/>
    <x v="0"/>
    <s v="Being Hit By Moving Objects"/>
    <x v="0"/>
    <s v="Harris Scarfe"/>
    <x v="3"/>
    <s v="Store"/>
    <x v="0"/>
    <s v="QLD"/>
    <s v="Harris Scarfe"/>
    <x v="3"/>
  </r>
  <r>
    <s v="SRG-INJ-2081"/>
    <s v="INC4562"/>
    <m/>
    <s v="No"/>
    <n v="290039"/>
    <s v="NICOLAISEN, CHRISTINA"/>
    <d v="1973-08-14T00:00:00"/>
    <d v="2023-12-02T00:00:00"/>
    <d v="1899-12-30T16:39:00"/>
    <s v="Harris Scarfe VIC"/>
    <n v="2022"/>
    <s v="Knox City"/>
    <s v="right middle finger - laceration"/>
    <s v="Team member Christina was showing a customer a knife out of a knife block set . she accidently when sliding out the knife cut herself on the right Middle  finger ."/>
    <s v="Injury"/>
    <m/>
    <s v="No Assessment"/>
    <s v="Closed"/>
    <n v="0"/>
    <b v="0"/>
    <s v="First Aid Injury"/>
    <s v="Laceration or open wound not involving traumatic amputation"/>
    <s v="Hand, finger and thumb"/>
    <s v="Hitting Objects With a Part of the Body"/>
    <s v="Hitting stationary objects"/>
    <s v="Human agencies"/>
    <m/>
    <n v="0"/>
    <e v="#N/A"/>
    <e v="#N/A"/>
    <m/>
    <d v="2008-04-29T00:00:00"/>
    <m/>
    <x v="13"/>
    <n v="17"/>
    <x v="5"/>
    <s v="FULL TIME"/>
    <n v="38"/>
    <n v="51"/>
    <x v="1"/>
    <x v="2"/>
    <s v="Q2, FY24"/>
    <s v="FAIs"/>
    <x v="0"/>
    <x v="0"/>
    <s v="Hitting Objects With a Part of the Body"/>
    <x v="1"/>
    <s v="Harris Scarfe"/>
    <x v="0"/>
    <s v="Store"/>
    <x v="0"/>
    <s v="VIC"/>
    <s v="Harris Scarfe"/>
    <x v="0"/>
  </r>
  <r>
    <s v="SRG-INJ-2092"/>
    <s v="INC4590"/>
    <s v="S23AA076220"/>
    <s v="No"/>
    <n v="321495"/>
    <s v="VELLACOTT, ELIZA"/>
    <d v="2002-06-18T00:00:00"/>
    <d v="2023-12-02T00:00:00"/>
    <d v="1899-12-30T08:45:00"/>
    <s v="Harris Scarfe QLD"/>
    <n v="9088"/>
    <s v="West Burleigh (Mega Home)"/>
    <s v="Whiplash"/>
    <s v="Eliza had a car accident on the way to her shift, she called the store and let a supervisor know. More details are unclear at this stage."/>
    <s v="Claim"/>
    <s v="Accepted Claim"/>
    <s v="Permanently Restricted"/>
    <s v="Closed"/>
    <n v="0"/>
    <b v="0"/>
    <s v="Medical Treatment Injury"/>
    <s v="Residual soft tissue disorders due to trauma or unknown mechanisms"/>
    <s v="Neck"/>
    <s v="Vehicle Incidents and Other"/>
    <s v="Vehicle accident"/>
    <s v="Road transport"/>
    <m/>
    <s v="Closed"/>
    <e v="#N/A"/>
    <e v="#N/A"/>
    <m/>
    <d v="2022-04-07T00:00:00"/>
    <d v="2025-04-07T00:00:00"/>
    <x v="4"/>
    <n v="3"/>
    <x v="0"/>
    <s v="CASUAL"/>
    <n v="0.01"/>
    <n v="22"/>
    <x v="3"/>
    <x v="2"/>
    <s v="Q2, FY24"/>
    <s v="MTIs"/>
    <x v="1"/>
    <x v="1"/>
    <s v="Vehicle Incidents and Other"/>
    <x v="5"/>
    <s v="Harris Scarfe"/>
    <x v="3"/>
    <s v="Store"/>
    <x v="0"/>
    <s v="QLD"/>
    <s v="Harris Scarfe"/>
    <x v="3"/>
  </r>
  <r>
    <s v="SRG-INJ-2083"/>
    <s v="INC4564"/>
    <m/>
    <s v="No"/>
    <n v="293338"/>
    <s v="SMITH, KIEREN"/>
    <d v="1993-10-08T00:00:00"/>
    <d v="2023-12-04T00:00:00"/>
    <d v="1899-12-30T15:13:00"/>
    <s v="Harris Scarfe SA"/>
    <n v="1011"/>
    <s v="Marion"/>
    <s v="No injury"/>
    <s v="Kieren Smith (staff member) went to take the plastic rubbish down to the Westfield loading dock where the plastics bin is. He was coming back to the store when the lift jolted and stopped with the door slightly ajar. Kieren called the store manager who notified Westfield Security about the situation. Westfield were unable to get Kieren out of the lift so called for a lift technician to attend asap. Kieren was stuck in the lift for aprox. 1 hour and 15 minutes."/>
    <s v="Injury"/>
    <m/>
    <s v="No Assessment"/>
    <s v="Closed"/>
    <n v="0"/>
    <b v="0"/>
    <s v="Not Applicable"/>
    <s v="Short term shock from exposure to disturbing circumstances"/>
    <s v="Head - unspecified locations"/>
    <s v="Mental Stress"/>
    <s v="Other mental stress factors"/>
    <s v="Other powered equipment, tools and appliances"/>
    <m/>
    <n v="0"/>
    <e v="#N/A"/>
    <e v="#N/A"/>
    <m/>
    <d v="2013-07-15T00:00:00"/>
    <d v="2024-05-31T00:00:00"/>
    <x v="11"/>
    <n v="10"/>
    <x v="3"/>
    <s v="PART TIME"/>
    <n v="30"/>
    <n v="31"/>
    <x v="2"/>
    <x v="2"/>
    <s v="Q2, FY24"/>
    <s v="Incident"/>
    <x v="0"/>
    <x v="0"/>
    <s v="Mental Stress"/>
    <x v="6"/>
    <s v="Harris Scarfe"/>
    <x v="1"/>
    <s v="Store"/>
    <x v="0"/>
    <s v="SA/TAS"/>
    <s v="Harris Scarfe"/>
    <x v="1"/>
  </r>
  <r>
    <s v="SRG-INJ-2079"/>
    <s v="INC4555"/>
    <m/>
    <s v="No"/>
    <n v="328737"/>
    <s v="TROTTER, MEGAN"/>
    <d v="1972-12-24T00:00:00"/>
    <d v="2023-12-04T00:00:00"/>
    <d v="1899-12-30T07:20:00"/>
    <s v="Harris Scarfe QLD"/>
    <n v="9088"/>
    <s v="West Burleigh (Mega Home)"/>
    <s v="Knock to the forehead/hairline"/>
    <s v="Megan was exiting the dock to continue outside with pallets. The roller door was lower than usual to stop the sun from getting in our eccom team member's eyes. Megan has hit the bottom edge of the roller door with her head/forehead. Ice was applied to the area for at least 20 minutes. Megan confirmed she is feeling ok to work."/>
    <s v="Injury"/>
    <m/>
    <s v="No Assessment"/>
    <s v="Closed"/>
    <n v="0"/>
    <b v="0"/>
    <s v="First Aid Injury"/>
    <s v="Residual soft tissue disorders due to trauma or unknown mechanisms"/>
    <s v="Head - unspecified locations"/>
    <s v="Hitting Objects With a Part of the Body"/>
    <s v="Hitting stationary objects"/>
    <s v="Human agencies"/>
    <m/>
    <n v="0"/>
    <e v="#N/A"/>
    <e v="#N/A"/>
    <m/>
    <d v="2023-04-17T00:00:00"/>
    <m/>
    <x v="1"/>
    <n v="2"/>
    <x v="1"/>
    <s v="PART TIME"/>
    <n v="33.75"/>
    <n v="52"/>
    <x v="1"/>
    <x v="2"/>
    <s v="Q2, FY24"/>
    <s v="FAIs"/>
    <x v="0"/>
    <x v="0"/>
    <s v="Hitting Objects With a Part of the Body"/>
    <x v="1"/>
    <s v="Harris Scarfe"/>
    <x v="3"/>
    <s v="Store"/>
    <x v="0"/>
    <s v="QLD"/>
    <s v="Harris Scarfe"/>
    <x v="3"/>
  </r>
  <r>
    <s v="SRG-INJ-2287"/>
    <s v="INC5326"/>
    <s v="57946027/00"/>
    <s v="No"/>
    <n v="256900"/>
    <s v="ROSSI, MARIA"/>
    <d v="1971-09-25T00:00:00"/>
    <d v="2023-12-06T00:00:00"/>
    <d v="1899-12-30T12:30:00"/>
    <s v="Harris Scarfe SA"/>
    <n v="1011"/>
    <s v="Marion"/>
    <s v="Sore back, legs and feet"/>
    <s v="Luisa was condensing stock in the underwear department, involved bending and squatting and moving between the fixture and the stock trolley. Luisa's legs, feet and back became sore during this process and she was barely able to finish her shift."/>
    <s v="Claim"/>
    <s v="Accepted Claim"/>
    <s v="Unfit"/>
    <s v="Open"/>
    <n v="296"/>
    <b v="0"/>
    <s v="Lost Time Injury"/>
    <s v="Residual soft tissue disorders due to trauma or unknown mechanisms"/>
    <s v="Lower limb - multiple locations"/>
    <s v="Body Stressing"/>
    <s v="Muscular stress while handling objects other than lifting, carrying or putting down"/>
    <s v="Human agencies"/>
    <m/>
    <s v="Open"/>
    <e v="#N/A"/>
    <e v="#N/A"/>
    <m/>
    <d v="1994-06-10T00:00:00"/>
    <m/>
    <x v="14"/>
    <n v="30"/>
    <x v="6"/>
    <s v="PART TIME"/>
    <n v="15.25"/>
    <n v="53"/>
    <x v="1"/>
    <x v="2"/>
    <s v="Q2, FY24"/>
    <s v="LTIs"/>
    <x v="1"/>
    <x v="1"/>
    <s v="Body Stressing"/>
    <x v="1"/>
    <s v="Harris Scarfe"/>
    <x v="1"/>
    <s v="Store"/>
    <x v="0"/>
    <s v="SA/TAS"/>
    <s v="Harris Scarfe"/>
    <x v="1"/>
  </r>
  <r>
    <s v="SRG-INJ-2091"/>
    <s v="INC4589"/>
    <m/>
    <s v="No"/>
    <n v="280547"/>
    <s v="WELLS, AMANDA"/>
    <d v="1968-05-29T00:00:00"/>
    <d v="2023-12-06T00:00:00"/>
    <d v="1899-12-30T14:02:00"/>
    <s v="Harris Scarfe SA"/>
    <n v="1013"/>
    <s v="Gepps Cross (Hs Home)"/>
    <s v="Sore nose"/>
    <s v="Queen Size Elysian Sheet Set in New  pVC  free plastic packging fell from height of top shelf while stacking shelves below. Hit employee on bridge of nose."/>
    <s v="Injury"/>
    <m/>
    <s v="No Assessment"/>
    <s v="Closed"/>
    <n v="0"/>
    <b v="0"/>
    <s v="Not Applicable"/>
    <s v="Residual soft tissue disorders due to trauma or unknown mechanisms"/>
    <s v="Nose"/>
    <s v="Being Hit By Moving Objects"/>
    <s v="Being hit by falling objects"/>
    <s v="Other materials and objects"/>
    <m/>
    <n v="0"/>
    <e v="#N/A"/>
    <e v="#N/A"/>
    <m/>
    <d v="1996-12-30T00:00:00"/>
    <m/>
    <x v="15"/>
    <n v="28"/>
    <x v="6"/>
    <s v="FULL TIME"/>
    <n v="38"/>
    <n v="56"/>
    <x v="0"/>
    <x v="2"/>
    <s v="Q2, FY24"/>
    <s v="Incident"/>
    <x v="0"/>
    <x v="0"/>
    <s v="Being Hit By Moving Objects"/>
    <x v="0"/>
    <s v="Harris Scarfe"/>
    <x v="1"/>
    <s v="Store"/>
    <x v="0"/>
    <s v="SA/TAS"/>
    <s v="Harris Scarfe"/>
    <x v="1"/>
  </r>
  <r>
    <s v="SRG-INJ-2089"/>
    <s v="INC4586"/>
    <m/>
    <s v="No"/>
    <n v="323727"/>
    <s v="MCGREGOR, COOPER"/>
    <d v="1999-09-28T00:00:00"/>
    <d v="2023-12-06T00:00:00"/>
    <d v="1899-12-30T12:15:00"/>
    <s v="Harris Scarfe VIC"/>
    <n v="2025"/>
    <s v="Southland"/>
    <s v="Left shoulder"/>
    <s v="Was crouched down stacking small boxes in tabletop reserve, then as he went to stand up, banged left shoulder into a cage."/>
    <s v="Injury"/>
    <m/>
    <s v="No Assessment"/>
    <s v="Closed"/>
    <n v="0"/>
    <b v="0"/>
    <s v="Not Applicable"/>
    <s v="Residual soft tissue disorders due to trauma or unknown mechanisms"/>
    <s v="Shoulder"/>
    <s v="Hitting Objects With a Part of the Body"/>
    <s v="Hitting stationary objects"/>
    <s v="Human agencies"/>
    <m/>
    <n v="0"/>
    <e v="#N/A"/>
    <e v="#N/A"/>
    <m/>
    <d v="2022-07-25T00:00:00"/>
    <d v="2025-02-27T00:00:00"/>
    <x v="4"/>
    <n v="2"/>
    <x v="0"/>
    <s v="PART TIME"/>
    <n v="30"/>
    <n v="25"/>
    <x v="2"/>
    <x v="2"/>
    <s v="Q2, FY24"/>
    <s v="Incident"/>
    <x v="0"/>
    <x v="0"/>
    <s v="Hitting Objects With a Part of the Body"/>
    <x v="1"/>
    <s v="Harris Scarfe"/>
    <x v="0"/>
    <s v="Store"/>
    <x v="0"/>
    <s v="VIC"/>
    <s v="Harris Scarfe"/>
    <x v="0"/>
  </r>
  <r>
    <s v="SRG-INJ-2087"/>
    <s v="INC4581"/>
    <m/>
    <s v="No"/>
    <n v="332335"/>
    <s v="TODD, ERIC"/>
    <d v="1993-03-24T00:00:00"/>
    <d v="2023-12-06T00:00:00"/>
    <d v="1899-12-30T09:48:00"/>
    <s v="Harris Scarfe NSW"/>
    <n v="5060"/>
    <s v="Bathurst"/>
    <s v="Back and hip - possible strain"/>
    <s v="Team member approached saying he has injured his back and hip lifting. He then advised he has pre-existing back and hip injury"/>
    <s v="Injury"/>
    <m/>
    <s v="No Assessment"/>
    <s v="Closed"/>
    <n v="0"/>
    <b v="0"/>
    <s v="Medical Treatment Injury"/>
    <s v="Residual soft tissue disorders due to trauma or unknown mechanisms"/>
    <s v="Back-Upper and lower"/>
    <s v="Body Stressing"/>
    <s v="Muscular stress while lifting, carrying, or putting down objects"/>
    <s v="Human agencies"/>
    <m/>
    <n v="0"/>
    <e v="#N/A"/>
    <e v="#N/A"/>
    <m/>
    <d v="2023-11-27T00:00:00"/>
    <d v="2023-12-07T00:00:00"/>
    <x v="1"/>
    <n v="0"/>
    <x v="1"/>
    <s v="PART TIME"/>
    <n v="20"/>
    <n v="32"/>
    <x v="2"/>
    <x v="2"/>
    <s v="Q2, FY24"/>
    <s v="MTIs"/>
    <x v="0"/>
    <x v="0"/>
    <s v="Body Stressing"/>
    <x v="1"/>
    <s v="Harris Scarfe"/>
    <x v="4"/>
    <s v="Store"/>
    <x v="0"/>
    <s v="QLD"/>
    <s v="Harris Scarfe"/>
    <x v="3"/>
  </r>
  <r>
    <s v="SRG-INJ-2099"/>
    <s v="INC4603"/>
    <m/>
    <s v="No"/>
    <n v="324744"/>
    <s v="SHARAN, NATASHA"/>
    <d v="1980-04-18T00:00:00"/>
    <d v="2023-12-07T00:00:00"/>
    <d v="1899-12-30T13:05:00"/>
    <s v="Harris Scarfe QLD"/>
    <n v="9087"/>
    <s v="Loganholme"/>
    <s v="Small security laynard tag was broken with exposed wire pierced left thumb"/>
    <s v="Repacking a display Tefal 6 piece cookset for a customer.  All pieces had security laynard tags attached. One of the Small Laynard Tags on the frying pan was broken and a sharp metal piece was exposed which pierced my thumb on my left hand. I immediately removed the tag from my thumb and cleaned the area with alcohol swabs. There was also a burning sensation on the thumb where it had been pierced."/>
    <s v="Injury"/>
    <m/>
    <s v="No Assessment"/>
    <s v="Closed"/>
    <n v="0"/>
    <b v="0"/>
    <s v="Not Applicable"/>
    <s v="Laceration or open wound not involving traumatic amputation"/>
    <s v="Hand, finger and thumb"/>
    <s v="Hitting Objects With a Part of the Body"/>
    <s v="Hitting stationary objects"/>
    <s v="Other materials and objects"/>
    <s v="Security Tag / Pin"/>
    <n v="0"/>
    <e v="#N/A"/>
    <e v="#N/A"/>
    <m/>
    <d v="2022-10-03T00:00:00"/>
    <m/>
    <x v="4"/>
    <n v="2"/>
    <x v="0"/>
    <s v="PART TIME"/>
    <n v="23.5"/>
    <n v="45"/>
    <x v="1"/>
    <x v="2"/>
    <s v="Q2, FY24"/>
    <s v="Incident"/>
    <x v="0"/>
    <x v="0"/>
    <s v="Hitting Objects With a Part of the Body"/>
    <x v="0"/>
    <s v="Harris Scarfe"/>
    <x v="3"/>
    <s v="Store"/>
    <x v="0"/>
    <s v="QLD"/>
    <s v="Harris Scarfe"/>
    <x v="3"/>
  </r>
  <r>
    <s v="SRG-INJ-2110"/>
    <s v="INC4627"/>
    <m/>
    <s v="No"/>
    <n v="295292"/>
    <s v="MIRABELLA, EMILY"/>
    <d v="1994-08-23T00:00:00"/>
    <d v="2023-12-09T00:00:00"/>
    <d v="1899-12-30T15:40:00"/>
    <s v="Harris Scarfe VIC"/>
    <n v="2019"/>
    <s v="Ballarat"/>
    <s v="Left knee"/>
    <s v="Emily tripped over an ecomm box and hurt her knee. Prior injury to this knee due to a scooter accident two years ago."/>
    <s v="Injury"/>
    <m/>
    <s v="No Assessment"/>
    <s v="Closed"/>
    <n v="0"/>
    <b v="0"/>
    <s v="Not Applicable"/>
    <s v="Residual soft tissue disorders due to trauma or unknown mechanisms"/>
    <s v="Knee"/>
    <s v="Falls, Trips and Slips of a Person"/>
    <s v="Falls on the same level"/>
    <s v="Other materials and objects"/>
    <s v="Boxes"/>
    <n v="0"/>
    <e v="#N/A"/>
    <e v="#N/A"/>
    <m/>
    <d v="2017-03-13T00:00:00"/>
    <m/>
    <x v="5"/>
    <n v="8"/>
    <x v="3"/>
    <s v="PART TIME"/>
    <n v="18"/>
    <n v="30"/>
    <x v="2"/>
    <x v="2"/>
    <s v="Q2, FY24"/>
    <s v="Incident"/>
    <x v="0"/>
    <x v="0"/>
    <s v="Falls, Trips and Slips of a Person"/>
    <x v="0"/>
    <s v="Harris Scarfe"/>
    <x v="0"/>
    <s v="Store"/>
    <x v="0"/>
    <s v="VIC &amp; NSW"/>
    <s v="Harris Scarfe"/>
    <x v="2"/>
  </r>
  <r>
    <s v="SRG-INJ-2133"/>
    <s v="INC4730"/>
    <m/>
    <s v="No"/>
    <n v="318058"/>
    <s v="EIFFE, TRACEY"/>
    <d v="1969-06-03T00:00:00"/>
    <d v="2023-12-15T00:00:00"/>
    <d v="1899-12-30T18:00:00"/>
    <s v="Harris Scarfe SA"/>
    <n v="1011"/>
    <s v="Marion"/>
    <s v="Strain to shoulders and back"/>
    <s v="Tracey was re arranging the footwear department and putting out a lot of new stock on Friday afternoon. On saturday she woke up feeling sore in her shoulder blades and across her back."/>
    <s v="Injury"/>
    <m/>
    <s v="No Assessment"/>
    <s v="Closed"/>
    <n v="0"/>
    <b v="0"/>
    <s v="Not Applicable"/>
    <s v="Residual soft tissue disorders due to trauma or unknown mechanisms"/>
    <s v="Shoulder"/>
    <s v="Body Stressing"/>
    <s v="Muscular stress while lifting, carrying, or putting down objects"/>
    <s v="Human agencies"/>
    <m/>
    <n v="0"/>
    <e v="#N/A"/>
    <e v="#N/A"/>
    <m/>
    <d v="2021-11-01T00:00:00"/>
    <m/>
    <x v="0"/>
    <n v="3"/>
    <x v="0"/>
    <s v="PART TIME"/>
    <n v="35"/>
    <n v="55"/>
    <x v="0"/>
    <x v="2"/>
    <s v="Q2, FY24"/>
    <s v="Incident"/>
    <x v="0"/>
    <x v="0"/>
    <s v="Body Stressing"/>
    <x v="1"/>
    <s v="Harris Scarfe"/>
    <x v="1"/>
    <s v="Store"/>
    <x v="0"/>
    <s v="SA/TAS"/>
    <s v="Harris Scarfe"/>
    <x v="1"/>
  </r>
  <r>
    <s v="SRG-INJ-2129"/>
    <s v="INC4704"/>
    <m/>
    <s v="No"/>
    <n v="297118"/>
    <s v="HARTIGAN, CORY"/>
    <d v="1972-03-04T00:00:00"/>
    <d v="2023-12-15T00:00:00"/>
    <d v="1899-12-30T14:32:00"/>
    <s v="Harris Scarfe VIC"/>
    <n v="2039"/>
    <s v="Fountain Gate"/>
    <s v="Bruised, swollen  and cut skin on left shin."/>
    <s v="Cory was carrying a box and walked into the corner of an A frame stand. The corner of the shelf pieced the skin and we have applied a cold pack to area."/>
    <s v="Injury"/>
    <m/>
    <s v="No Assessment"/>
    <s v="Closed"/>
    <n v="0"/>
    <b v="0"/>
    <s v="First Aid Injury"/>
    <s v="Laceration or open wound not involving traumatic amputation"/>
    <s v="Lower leg"/>
    <s v="Hitting Objects With a Part of the Body"/>
    <s v="Hitting stationary objects"/>
    <s v="Human agencies"/>
    <m/>
    <n v="0"/>
    <e v="#N/A"/>
    <e v="#N/A"/>
    <m/>
    <d v="2020-10-26T00:00:00"/>
    <m/>
    <x v="10"/>
    <n v="4"/>
    <x v="0"/>
    <s v="SALARIED"/>
    <n v="38"/>
    <n v="53"/>
    <x v="1"/>
    <x v="2"/>
    <s v="Q2, FY24"/>
    <s v="FAIs"/>
    <x v="0"/>
    <x v="0"/>
    <s v="Hitting Objects With a Part of the Body"/>
    <x v="1"/>
    <s v="Harris Scarfe"/>
    <x v="0"/>
    <s v="Store"/>
    <x v="0"/>
    <s v="VIC"/>
    <s v="Harris Scarfe"/>
    <x v="0"/>
  </r>
  <r>
    <s v="SRG-INJ-2135"/>
    <s v="INC4735"/>
    <m/>
    <s v="No"/>
    <n v="318058"/>
    <s v="EIFFE, TRACEY"/>
    <d v="1969-06-03T00:00:00"/>
    <d v="2023-12-18T00:00:00"/>
    <d v="1899-12-30T11:15:00"/>
    <s v="Harris Scarfe SA"/>
    <n v="1011"/>
    <s v="Marion"/>
    <s v="Laceration on right thumb"/>
    <s v="Tracey was helping a customer with a food processor and she cut her thumb on a blade."/>
    <s v="Injury"/>
    <m/>
    <s v="No Assessment"/>
    <s v="Closed"/>
    <n v="0"/>
    <b v="0"/>
    <s v="First Aid Injury"/>
    <s v="Laceration or open wound not involving traumatic amputation"/>
    <s v="Hand, finger and thumb"/>
    <s v="Hitting Objects With a Part of the Body"/>
    <s v="Hitting stationary objects"/>
    <s v="Human agencies"/>
    <m/>
    <n v="0"/>
    <e v="#N/A"/>
    <e v="#N/A"/>
    <m/>
    <d v="2021-11-01T00:00:00"/>
    <m/>
    <x v="0"/>
    <n v="3"/>
    <x v="0"/>
    <s v="PART TIME"/>
    <n v="35"/>
    <n v="55"/>
    <x v="0"/>
    <x v="2"/>
    <s v="Q2, FY24"/>
    <s v="FAIs"/>
    <x v="0"/>
    <x v="0"/>
    <s v="Hitting Objects With a Part of the Body"/>
    <x v="1"/>
    <s v="Harris Scarfe"/>
    <x v="1"/>
    <s v="Store"/>
    <x v="0"/>
    <s v="SA/TAS"/>
    <s v="Harris Scarfe"/>
    <x v="1"/>
  </r>
  <r>
    <s v="SRG-INJ-2140"/>
    <s v="INC4758"/>
    <m/>
    <s v="No"/>
    <n v="331409"/>
    <s v="NAJEM, MARLENE"/>
    <d v="1992-02-05T00:00:00"/>
    <d v="2023-12-18T00:00:00"/>
    <d v="1899-12-30T17:35:00"/>
    <s v="Harris Scarfe NSW"/>
    <n v="5089"/>
    <s v="Rockdale"/>
    <s v="Lower right leg/calf -"/>
    <s v="Marlene was walking down the stairs at the end of her shift when she felt a sharp pain in her lower right leg as she placed it on the lower step. She sat down on the step and gave it a short massage before walking to the front counter where Klay (Store Manager) was to inform him of the incident. After discussion with Klay, Klay drove Marlene home (she generally walks to work). Marlene attended her GP today (19/12/23) and obtained a workcover certificate."/>
    <s v="Injury"/>
    <m/>
    <s v="Fit"/>
    <s v="Closed"/>
    <n v="0"/>
    <b v="0"/>
    <s v="Medical Treatment Injury"/>
    <s v="Residual soft tissue disorders due to trauma or unknown mechanisms"/>
    <s v="Lower leg"/>
    <s v="Falls, Trips and Slips of a Person"/>
    <s v="Stepping, kneeling or sitting on objects"/>
    <s v="Human agencies"/>
    <m/>
    <n v="0"/>
    <s v="Non Work Related Injury"/>
    <e v="#N/A"/>
    <m/>
    <d v="2023-10-09T00:00:00"/>
    <m/>
    <x v="1"/>
    <n v="1"/>
    <x v="1"/>
    <s v="PART TIME"/>
    <n v="20"/>
    <n v="33"/>
    <x v="2"/>
    <x v="2"/>
    <s v="Q2, FY24"/>
    <s v="MTIs"/>
    <x v="0"/>
    <x v="0"/>
    <s v="Falls, Trips and Slips of a Person"/>
    <x v="1"/>
    <s v="Harris Scarfe"/>
    <x v="4"/>
    <s v="Store"/>
    <x v="0"/>
    <s v="NSW/ACT"/>
    <s v="Harris Scarfe"/>
    <x v="4"/>
  </r>
  <r>
    <s v="SRG-INJ-2144"/>
    <s v="INC4773"/>
    <m/>
    <s v="No"/>
    <n v="322042"/>
    <s v="BOLITHO, CHARLOTTE"/>
    <d v="2003-12-02T00:00:00"/>
    <d v="2023-12-20T00:00:00"/>
    <d v="1899-12-30T16:50:00"/>
    <s v="Harris Scarfe VIC"/>
    <n v="2019"/>
    <s v="Ballarat"/>
    <s v="Forehead"/>
    <s v="Charlotte went to take a cage down the ramp and it was not stacked correctly making the inline of the ramp cause boxes to fall off and one hit her head. She now has a lump and redness on her forehead"/>
    <s v="Injury"/>
    <m/>
    <s v="No Assessment"/>
    <s v="Closed"/>
    <n v="0"/>
    <b v="0"/>
    <s v="First Aid Injury"/>
    <s v="Contusion, bruising and superficial crushing"/>
    <s v="Cranium"/>
    <s v="Being Hit By Moving Objects"/>
    <s v="Being hit by falling objects"/>
    <s v="Other materials and objects"/>
    <s v="Boxes"/>
    <n v="0"/>
    <e v="#N/A"/>
    <e v="#N/A"/>
    <m/>
    <d v="2022-04-18T00:00:00"/>
    <m/>
    <x v="4"/>
    <n v="3"/>
    <x v="0"/>
    <s v="PART TIME"/>
    <n v="20"/>
    <n v="21"/>
    <x v="3"/>
    <x v="2"/>
    <s v="Q2, FY24"/>
    <s v="FAIs"/>
    <x v="0"/>
    <x v="0"/>
    <s v="Being Hit By Moving Objects"/>
    <x v="0"/>
    <s v="Harris Scarfe"/>
    <x v="0"/>
    <s v="Store"/>
    <x v="0"/>
    <s v="VIC &amp; NSW"/>
    <s v="Harris Scarfe"/>
    <x v="2"/>
  </r>
  <r>
    <s v="SRG-INJ-2142"/>
    <s v="INC4771"/>
    <m/>
    <s v="No"/>
    <n v="328763"/>
    <s v="REID, SIMONE"/>
    <d v="1974-03-18T00:00:00"/>
    <d v="2023-12-20T00:00:00"/>
    <d v="1899-12-30T15:20:00"/>
    <s v="Harris Scarfe TAS"/>
    <n v="4043"/>
    <s v="Launceston"/>
    <s v="Jarred lower back"/>
    <s v="Simone was walking towards register and her foot tripped on the fatigue mat Jarred lower back"/>
    <s v="Injury"/>
    <m/>
    <s v="No Assessment"/>
    <s v="Closed"/>
    <n v="0"/>
    <b v="0"/>
    <s v="Not Applicable"/>
    <s v="Residual soft tissue disorders due to trauma or unknown mechanisms"/>
    <s v="Back-Upper and lower"/>
    <s v="Falls, Trips and Slips of a Person"/>
    <s v="Falls on the same level"/>
    <s v="Other materials and objects"/>
    <m/>
    <n v="0"/>
    <s v="Non Work Related Injury"/>
    <e v="#N/A"/>
    <m/>
    <d v="2023-04-17T00:00:00"/>
    <m/>
    <x v="1"/>
    <n v="2"/>
    <x v="1"/>
    <s v="CASUAL"/>
    <n v="0.01"/>
    <n v="51"/>
    <x v="1"/>
    <x v="2"/>
    <s v="Q2, FY24"/>
    <s v="Incident"/>
    <x v="0"/>
    <x v="0"/>
    <s v="Falls, Trips and Slips of a Person"/>
    <x v="0"/>
    <s v="Harris Scarfe"/>
    <x v="2"/>
    <s v="Store"/>
    <x v="0"/>
    <s v="SA/TAS"/>
    <s v="Harris Scarfe"/>
    <x v="1"/>
  </r>
  <r>
    <s v="SRG-INJ-2145"/>
    <s v="INC4789"/>
    <m/>
    <s v="No"/>
    <n v="324101"/>
    <s v="CULGAN, JODIE"/>
    <d v="1973-02-20T00:00:00"/>
    <d v="2023-12-20T00:00:00"/>
    <d v="1899-12-30T13:30:00"/>
    <s v="Harris Scarfe NSW"/>
    <n v="6071"/>
    <s v="Tweed Heads"/>
    <s v="Cage hit and ran over right ankle caused instant swelling and bruising"/>
    <s v="Cage ran over right ankle caused instant swelling and bruising"/>
    <s v="Injury"/>
    <m/>
    <s v="No Assessment"/>
    <s v="Closed"/>
    <n v="0"/>
    <b v="0"/>
    <s v="First Aid Injury"/>
    <s v="Contusion, bruising and superficial crushing"/>
    <s v="Ankle"/>
    <s v="Being Hit By Moving Objects"/>
    <s v="Being hit by moving objects"/>
    <s v="Human agencies"/>
    <s v="Roll Cages"/>
    <n v="0"/>
    <e v="#N/A"/>
    <e v="#N/A"/>
    <m/>
    <d v="2022-08-15T00:00:00"/>
    <m/>
    <x v="4"/>
    <n v="2"/>
    <x v="0"/>
    <s v="SALARIED"/>
    <n v="38"/>
    <n v="52"/>
    <x v="1"/>
    <x v="2"/>
    <s v="Q2, FY24"/>
    <s v="FAIs"/>
    <x v="0"/>
    <x v="0"/>
    <s v="Being Hit By Moving Objects"/>
    <x v="1"/>
    <s v="Harris Scarfe"/>
    <x v="4"/>
    <s v="Store"/>
    <x v="0"/>
    <s v="QLD"/>
    <s v="Harris Scarfe"/>
    <x v="3"/>
  </r>
  <r>
    <s v="SRG-INJ-2224"/>
    <s v="INC5061"/>
    <n v="12230058217"/>
    <s v="No"/>
    <n v="321813"/>
    <s v="WEEDON, HELEN"/>
    <d v="1961-12-11T00:00:00"/>
    <d v="2023-12-22T00:00:00"/>
    <d v="1899-12-30T12:30:00"/>
    <s v="Harris Scarfe VIC"/>
    <n v="2031"/>
    <s v="Sunbury"/>
    <s v="Right hand/wrist"/>
    <s v="Helen came to me in August of this year raising an issue with her right hand/wrist. She has told me repeatedly that the initial injury has occurred outside of work, however work has/is reaggravating it. We have been very accommodating for her, putting her on light duties when it is playing up and also after she had an injection into the wrist to see if that could assist. She has been wearing a wrist brace at work for some time now, but unfortunately it does not seem to be recovering. This is the day where she handed in her certificate of capacity"/>
    <s v="Claim"/>
    <s v="Accepted Claim"/>
    <s v="Fit"/>
    <s v="Open"/>
    <n v="126"/>
    <b v="0"/>
    <s v="Lost Time Injury"/>
    <s v="Residual soft tissue disorders due to trauma or unknown mechanisms"/>
    <s v="Hand, finger and thumb"/>
    <s v="Body Stressing"/>
    <s v="Muscular stress with no objects being handled"/>
    <s v="Human agencies"/>
    <m/>
    <s v="Open"/>
    <e v="#N/A"/>
    <e v="#N/A"/>
    <m/>
    <d v="2022-04-04T00:00:00"/>
    <m/>
    <x v="4"/>
    <n v="3"/>
    <x v="0"/>
    <s v="PART TIME"/>
    <n v="22.5"/>
    <n v="63"/>
    <x v="0"/>
    <x v="2"/>
    <s v="Q2, FY24"/>
    <s v="LTIs"/>
    <x v="1"/>
    <x v="1"/>
    <s v="Body Stressing"/>
    <x v="1"/>
    <s v="Harris Scarfe"/>
    <x v="0"/>
    <s v="Store"/>
    <x v="0"/>
    <s v="VIC &amp; NSW"/>
    <s v="Harris Scarfe"/>
    <x v="2"/>
  </r>
  <r>
    <s v="SRG-INJ-2151"/>
    <s v="INC4802"/>
    <m/>
    <s v="No"/>
    <n v="296882"/>
    <s v="HUANG, QIN"/>
    <d v="1975-10-28T00:00:00"/>
    <d v="2023-12-22T00:00:00"/>
    <d v="1899-12-30T12:20:00"/>
    <s v="Harris Scarfe VIC"/>
    <n v="2033"/>
    <s v="Eastland"/>
    <s v="foot"/>
    <s v="Helen was taking underwear off an apparel roller rail when the top of the rail came off and the side of the rail collapsed and one of the ends folded down onto her foot"/>
    <s v="Injury"/>
    <m/>
    <s v="No Assessment"/>
    <s v="Closed"/>
    <n v="0"/>
    <b v="0"/>
    <s v="First Aid Injury"/>
    <s v="Unspecified injuries"/>
    <s v="Foot and toes"/>
    <s v="Being Hit By Moving Objects"/>
    <s v="Being hit by falling objects"/>
    <s v="Other materials and objects"/>
    <m/>
    <n v="0"/>
    <s v="Non Work Related Injury"/>
    <e v="#N/A"/>
    <m/>
    <d v="2019-12-02T00:00:00"/>
    <m/>
    <x v="12"/>
    <n v="5"/>
    <x v="0"/>
    <s v="PART TIME"/>
    <n v="35.5"/>
    <n v="49"/>
    <x v="1"/>
    <x v="2"/>
    <s v="Q2, FY24"/>
    <s v="FAIs"/>
    <x v="0"/>
    <x v="0"/>
    <s v="Being Hit By Moving Objects"/>
    <x v="0"/>
    <s v="Harris Scarfe"/>
    <x v="0"/>
    <s v="Store"/>
    <x v="0"/>
    <s v="VIC"/>
    <s v="Harris Scarfe"/>
    <x v="0"/>
  </r>
  <r>
    <s v="SRG-INJ-2153"/>
    <s v="INC4810"/>
    <m/>
    <s v="No"/>
    <n v="325837"/>
    <s v="INCE, HOLLY"/>
    <d v="2006-02-16T00:00:00"/>
    <d v="2023-12-23T00:00:00"/>
    <d v="1899-12-30T11:15:00"/>
    <s v="Harris Scarfe SA"/>
    <n v="1011"/>
    <s v="Marion"/>
    <s v="Psychological/discomfort"/>
    <s v="Holly noticed a customer staring at her while she was serving another customer. The customer approached Holly on the door, grabbed her arm tightly and said &quot;have a nice day.&quot; This incident made Holly uncomfortable and she stepped away from the door for a few minutes."/>
    <s v="Injury"/>
    <m/>
    <s v="No Assessment"/>
    <s v="Closed"/>
    <n v="0"/>
    <b v="0"/>
    <s v="Not Applicable"/>
    <s v="Reaction to stressors - other, multiple or not specified"/>
    <s v="Psychological system"/>
    <s v="Mental Stress"/>
    <s v="Exposure to a traumatic event"/>
    <s v="Human agencies"/>
    <m/>
    <n v="0"/>
    <e v="#N/A"/>
    <e v="#N/A"/>
    <m/>
    <d v="2022-10-24T00:00:00"/>
    <d v="2024-08-22T00:00:00"/>
    <x v="4"/>
    <n v="1"/>
    <x v="0"/>
    <s v="CASUAL"/>
    <n v="0.01"/>
    <n v="19"/>
    <x v="5"/>
    <x v="2"/>
    <s v="Q2, FY24"/>
    <s v="Incident"/>
    <x v="0"/>
    <x v="0"/>
    <s v="Mental Stress"/>
    <x v="1"/>
    <s v="Harris Scarfe"/>
    <x v="1"/>
    <s v="Store"/>
    <x v="0"/>
    <s v="SA/TAS"/>
    <s v="Harris Scarfe"/>
    <x v="1"/>
  </r>
  <r>
    <s v="SRG-INJ-2161"/>
    <s v="INC4846"/>
    <m/>
    <s v="No"/>
    <n v="318097"/>
    <s v="JOHNSON, JANE"/>
    <d v="2005-07-07T00:00:00"/>
    <d v="2023-12-27T00:00:00"/>
    <d v="1899-12-30T15:40:00"/>
    <s v="Harris Scarfe SA"/>
    <n v="1011"/>
    <s v="Marion"/>
    <s v="Cut to left index finger"/>
    <s v="Jane (staff member) was at the counter measuring a sheet set when she went to move a glass that was sitting on top of it's box. As she did this, the glass fell and smashed into her left hand causing a small cut to her left index finger."/>
    <s v="Injury"/>
    <m/>
    <s v="No Assessment"/>
    <s v="Closed"/>
    <n v="0"/>
    <b v="0"/>
    <s v="First Aid Injury"/>
    <s v="Laceration or open wound not involving traumatic amputation"/>
    <s v="Hand, finger and thumb"/>
    <s v="Being Hit By Moving Objects"/>
    <s v="Being hit by moving objects"/>
    <s v="Other materials and objects"/>
    <m/>
    <n v="0"/>
    <e v="#N/A"/>
    <e v="#N/A"/>
    <m/>
    <d v="2021-11-01T00:00:00"/>
    <m/>
    <x v="0"/>
    <n v="3"/>
    <x v="0"/>
    <s v="CASUAL"/>
    <n v="0.01"/>
    <n v="19"/>
    <x v="5"/>
    <x v="3"/>
    <s v="Q3, FY24"/>
    <s v="FAIs"/>
    <x v="0"/>
    <x v="0"/>
    <s v="Being Hit By Moving Objects"/>
    <x v="0"/>
    <s v="Harris Scarfe"/>
    <x v="1"/>
    <s v="Store"/>
    <x v="0"/>
    <s v="SA/TAS"/>
    <s v="Harris Scarfe"/>
    <x v="1"/>
  </r>
  <r>
    <s v="SRG-INJ-2162"/>
    <s v="INC4848"/>
    <m/>
    <s v="No"/>
    <n v="297049"/>
    <s v="MADDOCK, HANNAH"/>
    <d v="1994-08-06T00:00:00"/>
    <d v="2023-12-27T00:00:00"/>
    <d v="1899-12-30T16:15:00"/>
    <s v="Harris Scarfe QLD"/>
    <n v="9095"/>
    <s v="Chermside"/>
    <s v="top of left wrist"/>
    <s v="turned around and hit top of wrist on racking"/>
    <s v="Injury"/>
    <m/>
    <s v="No Assessment"/>
    <s v="Closed"/>
    <n v="0"/>
    <b v="0"/>
    <s v="First Aid Injury"/>
    <s v="Contusion, bruising and superficial crushing"/>
    <s v="Wrist"/>
    <s v="Hitting Objects With a Part of the Body"/>
    <s v="Hitting stationary objects"/>
    <s v="Human agencies"/>
    <m/>
    <n v="0"/>
    <e v="#N/A"/>
    <e v="#N/A"/>
    <m/>
    <d v="2020-08-24T00:00:00"/>
    <d v="2025-04-07T00:00:00"/>
    <x v="10"/>
    <n v="4"/>
    <x v="0"/>
    <s v="PART TIME"/>
    <n v="22"/>
    <n v="30"/>
    <x v="2"/>
    <x v="3"/>
    <s v="Q3, FY24"/>
    <s v="FAIs"/>
    <x v="0"/>
    <x v="0"/>
    <s v="Hitting Objects With a Part of the Body"/>
    <x v="1"/>
    <s v="Harris Scarfe"/>
    <x v="3"/>
    <s v="Store"/>
    <x v="0"/>
    <s v="QLD"/>
    <s v="Harris Scarfe"/>
    <x v="3"/>
  </r>
  <r>
    <s v="SRG-INJ-2169"/>
    <s v="INC4878"/>
    <m/>
    <s v="No"/>
    <n v="297607"/>
    <s v="RICHARDS, JULIE"/>
    <d v="1969-04-24T00:00:00"/>
    <d v="2023-12-29T00:00:00"/>
    <d v="1899-12-30T08:50:00"/>
    <s v="Harris Scarfe SA"/>
    <n v="1008"/>
    <s v="Tea Tree Plaza"/>
    <s v="right side of face came out red and will likely bruise, right knee hurts and was bleedding a little and both  hands where she tried to stop herself"/>
    <s v="julie fell over the curb and tried to stop herself from falling but landed on her knee and face. she was picked up by her husband and taking to hospital to get her knee checked out as its hurting. we put a cold pack on her face and knee till he arrived"/>
    <s v="Injury"/>
    <m/>
    <s v="No Assessment"/>
    <s v="Closed"/>
    <n v="0"/>
    <b v="0"/>
    <s v="Medical Treatment Injury"/>
    <s v="Multiple injuries"/>
    <s v="Other specified multiple locations"/>
    <s v="Falls, Trips and Slips of a Person"/>
    <s v="Falls on the same level"/>
    <s v="Human agencies"/>
    <m/>
    <n v="0"/>
    <e v="#N/A"/>
    <e v="#N/A"/>
    <m/>
    <d v="2022-10-03T00:00:00"/>
    <m/>
    <x v="4"/>
    <n v="2"/>
    <x v="0"/>
    <s v="PART TIME"/>
    <n v="21"/>
    <n v="56"/>
    <x v="0"/>
    <x v="3"/>
    <s v="Q3, FY24"/>
    <s v="MTIs"/>
    <x v="0"/>
    <x v="0"/>
    <s v="Falls, Trips and Slips of a Person"/>
    <x v="1"/>
    <s v="Harris Scarfe"/>
    <x v="1"/>
    <s v="Store"/>
    <x v="0"/>
    <s v="SA/TAS"/>
    <s v="Harris Scarfe"/>
    <x v="1"/>
  </r>
  <r>
    <s v="SRG-INJ-2170"/>
    <s v="INC4880"/>
    <m/>
    <s v="No"/>
    <n v="295575"/>
    <s v="BAILEY, MANDY"/>
    <d v="1969-01-24T00:00:00"/>
    <d v="2023-12-29T00:00:00"/>
    <d v="1899-12-30T14:00:00"/>
    <s v="Harris Scarfe SA"/>
    <n v="1011"/>
    <s v="Marion"/>
    <s v="Lower back"/>
    <s v="Chirs was wheeling a blue trolley past Mandy, who was facing away when the cover hit Mandys lower back. We iced it, and she rested for 10 minutes. It feels bruised but will keep an eye on it."/>
    <s v="Injury"/>
    <m/>
    <s v="No Assessment"/>
    <s v="Closed"/>
    <n v="0"/>
    <b v="0"/>
    <s v="First Aid Injury"/>
    <s v="Contusion, bruising and superficial crushing"/>
    <s v="Back-Upper and lower"/>
    <s v="Being Hit By Moving Objects"/>
    <s v="Being hit by moving objects"/>
    <s v="Human agencies"/>
    <s v="Trolleys"/>
    <n v="0"/>
    <e v="#N/A"/>
    <e v="#N/A"/>
    <m/>
    <d v="2017-08-21T00:00:00"/>
    <d v="2024-12-10T00:00:00"/>
    <x v="5"/>
    <n v="7"/>
    <x v="3"/>
    <s v="PART TIME"/>
    <n v="21"/>
    <n v="56"/>
    <x v="0"/>
    <x v="3"/>
    <s v="Q3, FY24"/>
    <s v="FAIs"/>
    <x v="0"/>
    <x v="0"/>
    <s v="Being Hit By Moving Objects"/>
    <x v="1"/>
    <s v="Harris Scarfe"/>
    <x v="1"/>
    <s v="Store"/>
    <x v="0"/>
    <s v="SA/TAS"/>
    <s v="Harris Scarfe"/>
    <x v="1"/>
  </r>
  <r>
    <s v="SRG-INJ-2182"/>
    <s v="INC4921"/>
    <m/>
    <s v="No"/>
    <n v="325824"/>
    <s v="RANSOME, VANESSA"/>
    <d v="1972-01-22T00:00:00"/>
    <d v="2024-01-03T00:00:00"/>
    <d v="1899-12-30T09:21:00"/>
    <s v="Harris Scarfe VIC"/>
    <n v="2033"/>
    <s v="Eastland"/>
    <s v="left knee"/>
    <s v="walking down the main corridor and slipped, as the cleaner had just mopped the floor so was a bit wet, out front of menswear and shoes"/>
    <s v="Injury"/>
    <m/>
    <s v="No Assessment"/>
    <s v="Closed"/>
    <n v="0"/>
    <b v="0"/>
    <s v="First Aid Injury"/>
    <s v="Diseases of muscle, tendon and related tissue"/>
    <s v="Knee"/>
    <s v="Falls, Trips and Slips of a Person"/>
    <s v="Falls on the same level"/>
    <s v="Indoor environment"/>
    <m/>
    <n v="0"/>
    <e v="#N/A"/>
    <e v="#N/A"/>
    <m/>
    <d v="2022-10-31T00:00:00"/>
    <m/>
    <x v="4"/>
    <n v="2"/>
    <x v="0"/>
    <s v="CASUAL"/>
    <n v="0.01"/>
    <n v="53"/>
    <x v="1"/>
    <x v="3"/>
    <s v="Q3, FY24"/>
    <s v="FAIs"/>
    <x v="0"/>
    <x v="0"/>
    <s v="Falls, Trips and Slips of a Person"/>
    <x v="7"/>
    <s v="Harris Scarfe"/>
    <x v="0"/>
    <s v="Store"/>
    <x v="0"/>
    <s v="VIC"/>
    <s v="Harris Scarfe"/>
    <x v="0"/>
  </r>
  <r>
    <s v="SRG-INJ-2188"/>
    <s v="INC4946"/>
    <m/>
    <s v="No"/>
    <n v="323303"/>
    <s v="DEAN, KAREN"/>
    <d v="1967-12-09T00:00:00"/>
    <d v="2024-01-04T00:00:00"/>
    <d v="1899-12-30T15:00:00"/>
    <s v="Harris Scarfe VIC"/>
    <n v="2030"/>
    <s v="Warrnambool"/>
    <s v="bruise to the right side of the forehead and sore neck"/>
    <s v="The team member was reaching above head height to put in an arm for the fixture where the shelf above  has  slipped and bumped her on her forehead"/>
    <s v="Injury"/>
    <m/>
    <s v="No Assessment"/>
    <s v="Closed"/>
    <n v="0"/>
    <b v="0"/>
    <s v="First Aid Injury"/>
    <s v="Contusion, bruising and superficial crushing"/>
    <s v="Cranium"/>
    <s v="Being Hit By Moving Objects"/>
    <s v="Being hit by falling objects"/>
    <s v="Other materials and objects"/>
    <m/>
    <n v="0"/>
    <e v="#N/A"/>
    <e v="#N/A"/>
    <m/>
    <d v="2022-06-27T00:00:00"/>
    <m/>
    <x v="4"/>
    <n v="2"/>
    <x v="0"/>
    <s v="PART TIME"/>
    <n v="27.5"/>
    <n v="57"/>
    <x v="0"/>
    <x v="3"/>
    <s v="Q3, FY24"/>
    <s v="FAIs"/>
    <x v="0"/>
    <x v="0"/>
    <s v="Being Hit By Moving Objects"/>
    <x v="0"/>
    <s v="Harris Scarfe"/>
    <x v="0"/>
    <s v="Store"/>
    <x v="0"/>
    <s v="VIC &amp; NSW"/>
    <s v="Harris Scarfe"/>
    <x v="2"/>
  </r>
  <r>
    <s v="SRG-INJ-2186"/>
    <s v="INC4934"/>
    <m/>
    <s v="No"/>
    <n v="326976"/>
    <s v="PARKIN, WESLEY"/>
    <d v="2005-03-07T00:00:00"/>
    <d v="2024-01-04T00:00:00"/>
    <d v="1899-12-30T07:20:00"/>
    <s v="Harris Scarfe VIC"/>
    <n v="2042"/>
    <s v="Carnegie (Hs Home)"/>
    <s v="Left ring toe nail broken off"/>
    <s v="Wes was wheeling a heavy trolley of glassware into the store when he accidentally ran over his toe with the trolley. He then took his shoe off to have a look, hes whole ring toe nail on his left foot had come off. There was a fair bit of blood so he used first aid to clean it up and bandage it. He was put on light duties for the duration of his shift (3 hours)."/>
    <s v="Injury"/>
    <m/>
    <s v="No Assessment"/>
    <s v="Closed"/>
    <n v="0"/>
    <b v="0"/>
    <s v="First Aid Injury"/>
    <s v="Contusion, bruising and superficial crushing"/>
    <s v="Foot and toes"/>
    <s v="Being Hit By Moving Objects"/>
    <s v="Being hit by moving objects"/>
    <s v="Human agencies"/>
    <s v="Trolleys"/>
    <n v="0"/>
    <e v="#N/A"/>
    <e v="#N/A"/>
    <m/>
    <d v="2022-12-05T00:00:00"/>
    <m/>
    <x v="4"/>
    <n v="2"/>
    <x v="0"/>
    <s v="CASUAL"/>
    <n v="0.01"/>
    <n v="20"/>
    <x v="3"/>
    <x v="3"/>
    <s v="Q3, FY24"/>
    <s v="FAIs"/>
    <x v="0"/>
    <x v="0"/>
    <s v="Being Hit By Moving Objects"/>
    <x v="1"/>
    <s v="Harris Scarfe"/>
    <x v="0"/>
    <s v="Store"/>
    <x v="0"/>
    <s v="VIC"/>
    <s v="Harris Scarfe"/>
    <x v="0"/>
  </r>
  <r>
    <s v="SRG-INJ-2190"/>
    <s v="INC4952"/>
    <m/>
    <s v="No"/>
    <n v="331671"/>
    <s v="TULLY, ARCHER"/>
    <d v="2007-08-08T00:00:00"/>
    <d v="2024-01-05T00:00:00"/>
    <d v="1899-12-30T12:15:00"/>
    <s v="Harris Scarfe TAS"/>
    <n v="4042"/>
    <s v="Cambridge"/>
    <s v="Right thumb- small cut to top of thumb pad."/>
    <s v="Upon unpacking Soren Brighton Dinner Sets Archer noticed these had come in again broken.  He opened the box to remove broken pieces and has cut his right thumb."/>
    <s v="Injury"/>
    <m/>
    <s v="No Assessment"/>
    <s v="Closed"/>
    <n v="0"/>
    <b v="0"/>
    <s v="First Aid Injury"/>
    <s v="Laceration or open wound not involving traumatic amputation"/>
    <s v="Hand, finger and thumb"/>
    <s v="Hitting Objects With a Part of the Body"/>
    <s v="Hitting stationary objects"/>
    <s v="Other materials and objects"/>
    <m/>
    <n v="0"/>
    <e v="#N/A"/>
    <e v="#N/A"/>
    <m/>
    <d v="2023-10-16T00:00:00"/>
    <d v="2024-12-14T00:00:00"/>
    <x v="1"/>
    <n v="1"/>
    <x v="1"/>
    <s v="CASUAL"/>
    <n v="0.01"/>
    <n v="17"/>
    <x v="5"/>
    <x v="3"/>
    <s v="Q3, FY24"/>
    <s v="FAIs"/>
    <x v="0"/>
    <x v="0"/>
    <s v="Hitting Objects With a Part of the Body"/>
    <x v="0"/>
    <s v="Harris Scarfe"/>
    <x v="2"/>
    <s v="Store"/>
    <x v="0"/>
    <s v="SA/TAS"/>
    <s v="Harris Scarfe"/>
    <x v="1"/>
  </r>
  <r>
    <s v="SRG-INJ-2196"/>
    <s v="INC4978"/>
    <m/>
    <s v="No"/>
    <n v="295602"/>
    <s v="WILCZEK, CHLOE"/>
    <d v="2000-11-11T00:00:00"/>
    <d v="2024-01-07T00:00:00"/>
    <d v="1899-12-30T15:30:00"/>
    <s v="Harris Scarfe SA"/>
    <n v="1011"/>
    <s v="Marion"/>
    <s v="Cut to right pointer finger"/>
    <s v="Chloe (staff member) cut her right pointer finger on the side of a cardboard shoe box as she was recovering the footwear department. First aid of an alcohol wipe and band aid was administered."/>
    <s v="Injury"/>
    <m/>
    <s v="No Assessment"/>
    <s v="Closed"/>
    <n v="0"/>
    <b v="0"/>
    <s v="First Aid Injury"/>
    <s v="Laceration or open wound not involving traumatic amputation"/>
    <s v="Hand, finger and thumb"/>
    <s v="Hitting Objects With a Part of the Body"/>
    <s v="Hitting stationary objects"/>
    <s v="Other materials and objects"/>
    <s v="Boxes"/>
    <n v="0"/>
    <e v="#N/A"/>
    <e v="#N/A"/>
    <m/>
    <d v="2017-09-04T00:00:00"/>
    <d v="2024-01-14T00:00:00"/>
    <x v="5"/>
    <n v="6"/>
    <x v="3"/>
    <s v="PART TIME"/>
    <n v="10.5"/>
    <n v="24"/>
    <x v="3"/>
    <x v="3"/>
    <s v="Q3, FY24"/>
    <s v="FAIs"/>
    <x v="0"/>
    <x v="0"/>
    <s v="Hitting Objects With a Part of the Body"/>
    <x v="0"/>
    <s v="Harris Scarfe"/>
    <x v="1"/>
    <s v="Store"/>
    <x v="0"/>
    <s v="SA/TAS"/>
    <s v="Harris Scarfe"/>
    <x v="1"/>
  </r>
  <r>
    <s v="SRG-INJ-2201"/>
    <s v="INC4999"/>
    <m/>
    <s v="No"/>
    <n v="292572"/>
    <s v="KIM, LINDA"/>
    <d v="1987-08-04T00:00:00"/>
    <d v="2024-01-09T00:00:00"/>
    <d v="1899-12-30T12:09:00"/>
    <s v="Harris Scarfe VIC"/>
    <n v="2028"/>
    <s v="Cranbourne Park"/>
    <s v="Right wrist"/>
    <s v="Went to put  cage back together as I locked up the middle part it fall onto my write as  I turn away for a second. No other first aid needed at the time."/>
    <s v="Injury"/>
    <m/>
    <s v="No Assessment"/>
    <s v="Closed"/>
    <n v="0"/>
    <b v="0"/>
    <s v="Not Applicable"/>
    <s v="Residual soft tissue disorders due to trauma or unknown mechanisms"/>
    <s v="Wrist"/>
    <s v="Being Hit By Moving Objects"/>
    <s v="Being hit by falling objects"/>
    <s v="Fastening, packing and packaging equipment"/>
    <s v="Roll Cages"/>
    <n v="0"/>
    <e v="#N/A"/>
    <e v="#N/A"/>
    <m/>
    <d v="2012-04-16T00:00:00"/>
    <m/>
    <x v="16"/>
    <n v="13"/>
    <x v="5"/>
    <s v="SALARIED"/>
    <n v="38"/>
    <n v="37"/>
    <x v="4"/>
    <x v="3"/>
    <s v="Q3, FY24"/>
    <s v="Incident"/>
    <x v="0"/>
    <x v="0"/>
    <s v="Being Hit By Moving Objects"/>
    <x v="8"/>
    <s v="Harris Scarfe"/>
    <x v="0"/>
    <s v="Store"/>
    <x v="0"/>
    <s v="VIC"/>
    <s v="Harris Scarfe"/>
    <x v="0"/>
  </r>
  <r>
    <s v="SRG-INJ-2219"/>
    <s v="INC5048"/>
    <m/>
    <s v="No"/>
    <n v="293808"/>
    <s v="CHILD, ASHLEY"/>
    <d v="1998-02-17T00:00:00"/>
    <d v="2024-01-11T00:00:00"/>
    <d v="1899-12-30T16:45:00"/>
    <s v="Harris Scarfe VIC"/>
    <n v="2022"/>
    <s v="Knox City"/>
    <s v="left foot"/>
    <s v="Ashley was standing on a half empty pallet trying to lift Manchester large boxes out of the way so I could reach them from the front of the pallet. When I was moving my foot it got caught between the pallet slats and it was wedged in-between there. I then went to remove my foot and felt that it got jarred somewhat feeling a little bit of pain. My foot then came out ok after this but was sore for the rest of the day."/>
    <s v="Injury"/>
    <m/>
    <s v="No Assessment"/>
    <s v="Closed"/>
    <n v="0"/>
    <b v="0"/>
    <s v="Not Applicable"/>
    <s v="Residual soft tissue disorders due to trauma or unknown mechanisms"/>
    <s v="Foot and toes"/>
    <s v="Being Hit By Moving Objects"/>
    <s v="Being trapped between stationary and moving objects"/>
    <s v="Human agencies"/>
    <m/>
    <n v="0"/>
    <e v="#N/A"/>
    <e v="#N/A"/>
    <m/>
    <d v="2014-06-30T00:00:00"/>
    <d v="2024-05-31T00:00:00"/>
    <x v="17"/>
    <n v="9"/>
    <x v="3"/>
    <s v="PART TIME"/>
    <n v="23.75"/>
    <n v="27"/>
    <x v="2"/>
    <x v="3"/>
    <s v="Q3, FY24"/>
    <s v="Incident"/>
    <x v="0"/>
    <x v="0"/>
    <s v="Being Hit By Moving Objects"/>
    <x v="1"/>
    <s v="Harris Scarfe"/>
    <x v="0"/>
    <s v="Store"/>
    <x v="0"/>
    <s v="VIC"/>
    <s v="Harris Scarfe"/>
    <x v="0"/>
  </r>
  <r>
    <s v="SRG-INJ-2214"/>
    <s v="INC5030"/>
    <m/>
    <s v="No"/>
    <n v="297076"/>
    <s v="TILL, HELEN"/>
    <d v="1957-05-13T00:00:00"/>
    <d v="2024-01-11T00:00:00"/>
    <d v="1899-12-30T08:15:00"/>
    <s v="Harris Scarfe QLD"/>
    <n v="9095"/>
    <s v="Chermside"/>
    <s v="Helen went to sit on chair and the chair leg gave way causing her to fall to the floor."/>
    <s v="when i went to sit on chair it collapsed and i fell on to floor."/>
    <s v="Injury"/>
    <m/>
    <s v="No Assessment"/>
    <s v="Closed"/>
    <n v="0"/>
    <b v="0"/>
    <s v="Not Applicable"/>
    <s v="Residual soft tissue disorders due to trauma or unknown mechanisms"/>
    <s v="Back-Upper and lower"/>
    <s v="Falls, Trips and Slips of a Person"/>
    <s v="Falls from a height"/>
    <s v="Human agencies"/>
    <m/>
    <n v="0"/>
    <e v="#N/A"/>
    <e v="#N/A"/>
    <m/>
    <d v="2020-10-19T00:00:00"/>
    <m/>
    <x v="10"/>
    <n v="4"/>
    <x v="0"/>
    <s v="PART TIME"/>
    <n v="20"/>
    <n v="67"/>
    <x v="0"/>
    <x v="3"/>
    <s v="Q3, FY24"/>
    <s v="Incident"/>
    <x v="0"/>
    <x v="0"/>
    <s v="Falls, Trips and Slips of a Person"/>
    <x v="1"/>
    <s v="Harris Scarfe"/>
    <x v="3"/>
    <s v="Store"/>
    <x v="0"/>
    <s v="QLD"/>
    <s v="Harris Scarfe"/>
    <x v="3"/>
  </r>
  <r>
    <s v="SRG-INJ-2215"/>
    <s v="INC5035"/>
    <m/>
    <s v="No"/>
    <n v="290327"/>
    <s v="EDWARDS, DANIEL"/>
    <d v="1987-07-05T00:00:00"/>
    <d v="2024-01-12T00:00:00"/>
    <d v="1899-12-30T08:45:00"/>
    <s v="Harris Scarfe QLD"/>
    <n v="9095"/>
    <s v="Chermside"/>
    <s v="Left Shoulder"/>
    <s v="The previous day my left shoulder had felt a little sore in the last hour of my shift but nothing worrying as I chalked it up to a lot of unpacking of pallets. Then this morning when I was bringing in the bins I felt some pain in the same shoulder when I moved the bins in. It was harder to bring the bins in then usual as it felt like the wheels didn't want to rotate as easily. (Possibly rusting up from all the rain but that is just a guess.)  The store manager Scott was made away of the issue and is putting in a work order with Clean Away to service the bins.  This shoulder now continues to feel sore and pain when doing a pulling motion."/>
    <s v="Injury"/>
    <m/>
    <s v="No Assessment"/>
    <s v="Closed"/>
    <n v="0"/>
    <b v="0"/>
    <s v="Not Applicable"/>
    <s v="Residual soft tissue disorders due to trauma or unknown mechanisms"/>
    <s v="Shoulder"/>
    <s v="Body Stressing"/>
    <s v="Muscular stress while lifting, carrying, or putting down objects"/>
    <s v="Human agencies"/>
    <m/>
    <n v="0"/>
    <e v="#N/A"/>
    <e v="#N/A"/>
    <m/>
    <d v="2008-07-28T00:00:00"/>
    <m/>
    <x v="13"/>
    <n v="16"/>
    <x v="5"/>
    <s v="FULL TIME"/>
    <n v="38"/>
    <n v="37"/>
    <x v="4"/>
    <x v="3"/>
    <s v="Q3, FY24"/>
    <s v="Incident"/>
    <x v="0"/>
    <x v="0"/>
    <s v="Body Stressing"/>
    <x v="1"/>
    <s v="Harris Scarfe"/>
    <x v="3"/>
    <s v="Store"/>
    <x v="0"/>
    <s v="QLD"/>
    <s v="Harris Scarfe"/>
    <x v="3"/>
  </r>
  <r>
    <s v="SRG-INJ-2230"/>
    <s v="INC5105"/>
    <s v="S23DQ089730"/>
    <s v="No"/>
    <n v="292146"/>
    <s v="NOWLAND, AMELIA"/>
    <d v="1993-05-25T00:00:00"/>
    <d v="2024-01-17T00:00:00"/>
    <d v="1899-12-30T12:30:00"/>
    <s v="Harris Scarfe QLD"/>
    <n v="9095"/>
    <s v="Chermside"/>
    <s v="left knee"/>
    <s v="bending down when picking up a box. When slowly going to stand up corner of box pressed into left knee causing pain it to feel weak/give way."/>
    <s v="Claim"/>
    <s v="Accepted Claim (MEO)"/>
    <s v="Fit"/>
    <s v="Closed"/>
    <n v="0"/>
    <b v="0"/>
    <s v="Medical Treatment Injury"/>
    <s v="Residual soft tissue disorders due to trauma or unknown mechanisms"/>
    <s v="Knee"/>
    <s v="Body Stressing"/>
    <s v="Muscular stress while lifting, carrying, or putting down objects"/>
    <s v="Human agencies"/>
    <s v="Boxes"/>
    <s v="Closed"/>
    <e v="#N/A"/>
    <e v="#N/A"/>
    <m/>
    <d v="2011-06-27T00:00:00"/>
    <m/>
    <x v="18"/>
    <n v="13"/>
    <x v="5"/>
    <s v="PART TIME"/>
    <n v="37"/>
    <n v="31"/>
    <x v="2"/>
    <x v="3"/>
    <s v="Q3, FY24"/>
    <s v="MTIs"/>
    <x v="1"/>
    <x v="2"/>
    <s v="Body Stressing"/>
    <x v="1"/>
    <s v="Harris Scarfe"/>
    <x v="3"/>
    <s v="Store"/>
    <x v="0"/>
    <s v="QLD"/>
    <s v="Harris Scarfe"/>
    <x v="3"/>
  </r>
  <r>
    <s v="SRG-INJ-2237"/>
    <s v="INC5130"/>
    <m/>
    <s v="No"/>
    <n v="294356"/>
    <s v="MCGRATH, INGRID"/>
    <d v="1977-02-09T00:00:00"/>
    <d v="2024-01-19T00:00:00"/>
    <d v="1899-12-30T14:15:00"/>
    <s v="Harris Scarfe NSW"/>
    <n v="5053"/>
    <s v="Shellharbour (Hs Home)"/>
    <s v="Foot, landed on the side of the foot"/>
    <s v="Ingrid was putting fixtures back on the shelf and tripped on a screw coming out of the ground from old dexions which caused her to land on her foot funny. She sat down and rested the foot and called a manager who asked questions regarding any first aid treatment needed."/>
    <s v="Injury"/>
    <m/>
    <s v="No Assessment"/>
    <s v="Closed"/>
    <n v="0"/>
    <b v="0"/>
    <s v="Not Applicable"/>
    <s v="Residual soft tissue disorders due to trauma or unknown mechanisms"/>
    <s v="Foot and toes"/>
    <s v="Falls, Trips and Slips of a Person"/>
    <s v="Falls on the same level"/>
    <s v="Other materials and objects"/>
    <m/>
    <n v="0"/>
    <e v="#N/A"/>
    <e v="#N/A"/>
    <m/>
    <d v="2015-07-13T00:00:00"/>
    <m/>
    <x v="9"/>
    <n v="9"/>
    <x v="3"/>
    <s v="PART TIME"/>
    <n v="35"/>
    <n v="48"/>
    <x v="1"/>
    <x v="3"/>
    <s v="Q3, FY24"/>
    <s v="Incident"/>
    <x v="0"/>
    <x v="0"/>
    <s v="Falls, Trips and Slips of a Person"/>
    <x v="0"/>
    <s v="Harris Scarfe"/>
    <x v="4"/>
    <s v="Store"/>
    <x v="0"/>
    <s v="NSW/ACT"/>
    <s v="Harris Scarfe"/>
    <x v="4"/>
  </r>
  <r>
    <s v="SRG-INJ-2234"/>
    <s v="INC5126"/>
    <m/>
    <s v="No"/>
    <n v="332048"/>
    <s v="PRINCE, SHEENA"/>
    <d v="1960-12-28T00:00:00"/>
    <d v="2024-01-19T00:00:00"/>
    <d v="1899-12-30T09:00:00"/>
    <s v="Harris Scarfe NSW"/>
    <n v="6076"/>
    <s v="Moruya"/>
    <s v="Right palm"/>
    <s v="On 19/01/24 at approximately 8:55am, The team gathered in the room near the clock in area and completed a staff meeting. Sheene Prince had been standing infront of a stock cage which had a goods trolley pushed underneath it.  Once the meeting was completed, Sheena stepped backwards and tripped on one of the wheels from the goods trolley and has fallen backwards onto her right hip and used her right palm to stop the fall.  An ice pack was provided for Sheena to apply to her palm as she said it was sore however sill able to move fingers etc. Slight swelling to palm area, mimimal bruising and Sheena said he hip felt fine.  The trolly wasn't parked in an unsafe manner as it was out of the walkway area however has been moved to the back of the room to be safe.  Sheena said she was fine to work the whole shift however it still appeared that her hand was was still sore. Sheena wa offered to finish at midday to go and rest to ensure she wasn't using her hand unnessesarily.   I have advised Sheena that if any further treatment is required to notify the store Magament team however she believes rest and ice should suffice."/>
    <s v="Injury"/>
    <m/>
    <s v="No Assessment"/>
    <s v="Closed"/>
    <n v="0"/>
    <b v="0"/>
    <s v="First Aid Injury"/>
    <s v="Residual soft tissue disorders due to trauma or unknown mechanisms"/>
    <s v="Hand, finger and thumb"/>
    <s v="Falls, Trips and Slips of a Person"/>
    <s v="Falls on the same level"/>
    <s v="Fastening, packing and packaging equipment"/>
    <s v="Roll Cages"/>
    <n v="0"/>
    <e v="#N/A"/>
    <e v="#N/A"/>
    <m/>
    <d v="2023-11-13T00:00:00"/>
    <m/>
    <x v="1"/>
    <n v="1"/>
    <x v="1"/>
    <s v="PART TIME"/>
    <n v="29"/>
    <n v="64"/>
    <x v="0"/>
    <x v="3"/>
    <s v="Q3, FY24"/>
    <s v="FAIs"/>
    <x v="0"/>
    <x v="0"/>
    <s v="Falls, Trips and Slips of a Person"/>
    <x v="8"/>
    <s v="Harris Scarfe"/>
    <x v="4"/>
    <s v="Store"/>
    <x v="0"/>
    <s v="NSW/ACT"/>
    <s v="Harris Scarfe"/>
    <x v="4"/>
  </r>
  <r>
    <s v="SRG-INJ-2235"/>
    <s v="INC5127"/>
    <m/>
    <s v="No"/>
    <n v="324755"/>
    <s v="EUSTACE, DARELLE"/>
    <d v="1967-02-12T00:00:00"/>
    <d v="2024-01-19T00:00:00"/>
    <d v="1899-12-30T10:24:00"/>
    <s v="Harris Scarfe QLD"/>
    <n v="9086"/>
    <s v="Mt Gravatt"/>
    <s v="minor abrasion to right forearm"/>
    <s v="team member was walking though a tight space between pallets and reserve racking"/>
    <s v="Injury"/>
    <m/>
    <s v="No Assessment"/>
    <s v="Closed"/>
    <n v="0"/>
    <b v="0"/>
    <s v="First Aid Injury"/>
    <s v="Laceration or open wound not involving traumatic amputation"/>
    <s v="Forearm"/>
    <s v="Hitting Objects With a Part of the Body"/>
    <s v="Hitting stationary objects"/>
    <s v="Human agencies"/>
    <m/>
    <n v="0"/>
    <e v="#N/A"/>
    <e v="#N/A"/>
    <m/>
    <d v="2022-10-03T00:00:00"/>
    <m/>
    <x v="4"/>
    <n v="2"/>
    <x v="0"/>
    <s v="PART TIME"/>
    <n v="37"/>
    <n v="58"/>
    <x v="0"/>
    <x v="3"/>
    <s v="Q3, FY24"/>
    <s v="FAIs"/>
    <x v="0"/>
    <x v="0"/>
    <s v="Hitting Objects With a Part of the Body"/>
    <x v="1"/>
    <s v="Harris Scarfe"/>
    <x v="3"/>
    <s v="Store"/>
    <x v="0"/>
    <s v="QLD"/>
    <s v="Harris Scarfe"/>
    <x v="3"/>
  </r>
  <r>
    <s v="SRG-INJ-2246"/>
    <s v="INC5166"/>
    <m/>
    <s v="No"/>
    <n v="293338"/>
    <s v="SMITH, KIEREN"/>
    <d v="1993-10-08T00:00:00"/>
    <d v="2024-01-22T00:00:00"/>
    <d v="1899-12-30T10:45:00"/>
    <s v="Harris Scarfe SA"/>
    <n v="1011"/>
    <s v="Marion"/>
    <s v="Small cut on the palm of his hand"/>
    <s v="When Keiren was unpacking pallets there was some broken china that had fallen out of a box, he cut his left palm on the broken shards."/>
    <s v="Injury"/>
    <m/>
    <s v="No Assessment"/>
    <s v="Closed"/>
    <n v="0"/>
    <b v="0"/>
    <s v="First Aid Injury"/>
    <s v="Laceration or open wound not involving traumatic amputation"/>
    <s v="Hand, finger and thumb"/>
    <s v="Hitting Objects With a Part of the Body"/>
    <s v="Hitting stationary objects"/>
    <s v="Other materials and objects"/>
    <m/>
    <n v="0"/>
    <e v="#N/A"/>
    <e v="#N/A"/>
    <m/>
    <d v="2013-07-15T00:00:00"/>
    <d v="2024-05-31T00:00:00"/>
    <x v="11"/>
    <n v="10"/>
    <x v="3"/>
    <s v="PART TIME"/>
    <n v="30"/>
    <n v="31"/>
    <x v="2"/>
    <x v="4"/>
    <s v="Q3, FY24"/>
    <s v="FAIs"/>
    <x v="0"/>
    <x v="0"/>
    <s v="Hitting Objects With a Part of the Body"/>
    <x v="0"/>
    <s v="Harris Scarfe"/>
    <x v="1"/>
    <s v="Store"/>
    <x v="0"/>
    <s v="SA/TAS"/>
    <s v="Harris Scarfe"/>
    <x v="1"/>
  </r>
  <r>
    <s v="SRG-INJ-2249"/>
    <s v="INC5172"/>
    <m/>
    <s v="No"/>
    <n v="293815"/>
    <s v="FROST, ANGELA"/>
    <d v="1972-03-16T00:00:00"/>
    <d v="2024-01-22T00:00:00"/>
    <d v="1899-12-30T14:15:00"/>
    <s v="Harris Scarfe SA"/>
    <n v="1011"/>
    <s v="Marion"/>
    <s v="Knock to her left shoulder"/>
    <s v="Staff member (Angela Frost) was pulling out saucepans from the end of the gondola, when she turned to put the stock on a nearby trolley she caught her left shoulder on the edge of the gondola. This resulted in some soreness and a red mark."/>
    <s v="Injury"/>
    <m/>
    <s v="No Assessment"/>
    <s v="Closed"/>
    <n v="0"/>
    <b v="0"/>
    <s v="Not Applicable"/>
    <s v="Residual soft tissue disorders due to trauma or unknown mechanisms"/>
    <s v="Shoulder"/>
    <s v="Being Hit By Moving Objects"/>
    <s v="Being trapped between stationary and moving objects"/>
    <s v="Human agencies"/>
    <m/>
    <n v="0"/>
    <e v="#N/A"/>
    <e v="#N/A"/>
    <m/>
    <d v="2014-06-30T00:00:00"/>
    <m/>
    <x v="17"/>
    <n v="10"/>
    <x v="3"/>
    <s v="PART TIME"/>
    <n v="35"/>
    <n v="53"/>
    <x v="1"/>
    <x v="4"/>
    <s v="Q3, FY24"/>
    <s v="Incident"/>
    <x v="0"/>
    <x v="0"/>
    <s v="Being Hit By Moving Objects"/>
    <x v="1"/>
    <s v="Harris Scarfe"/>
    <x v="1"/>
    <s v="Store"/>
    <x v="0"/>
    <s v="SA/TAS"/>
    <s v="Harris Scarfe"/>
    <x v="1"/>
  </r>
  <r>
    <s v="SRG-INJ-2256"/>
    <s v="INC5189"/>
    <m/>
    <s v="No"/>
    <n v="407026"/>
    <s v="JEFFERY, JOSEPH"/>
    <d v="1993-11-09T00:00:00"/>
    <d v="2024-01-23T00:00:00"/>
    <d v="1899-12-30T12:10:00"/>
    <s v="Harris Scarfe VIC"/>
    <n v="2026"/>
    <s v="Shepparton"/>
    <s v="shock"/>
    <s v="Walked inside the lift and hit 1 to go to the top floor, as the doors closed a loud bang with a flare of fire came out of the top of the lift. (the cam shaft has blow a fuse) All i could smell was electrical wire burning. I was dazed and shocked for a couple seconds and i had to wedge to doors open to get out of the lift."/>
    <s v="Incident Only"/>
    <m/>
    <s v="No Assessment"/>
    <s v="Closed"/>
    <n v="0"/>
    <b v="0"/>
    <s v="Not Applicable"/>
    <s v="Short term shock from exposure to disturbing circumstances"/>
    <s v="Head - unspecified locations"/>
    <s v="Being Hit By Moving Objects"/>
    <s v="Being trapped by moving machinery or equipment"/>
    <s v="Office and electronic equipment"/>
    <m/>
    <n v="0"/>
    <e v="#N/A"/>
    <e v="#N/A"/>
    <m/>
    <d v="2018-09-12T00:00:00"/>
    <d v="2024-05-26T00:00:00"/>
    <x v="19"/>
    <n v="5"/>
    <x v="0"/>
    <s v="SALARIED"/>
    <n v="38"/>
    <n v="31"/>
    <x v="2"/>
    <x v="4"/>
    <s v="Q3, FY24"/>
    <s v="Incident"/>
    <x v="0"/>
    <x v="0"/>
    <s v="Being Hit By Moving Objects"/>
    <x v="9"/>
    <s v="Harris Scarfe"/>
    <x v="0"/>
    <s v="Store"/>
    <x v="0"/>
    <s v="VIC &amp; NSW"/>
    <s v="Harris Scarfe"/>
    <x v="2"/>
  </r>
  <r>
    <s v="SRG-INJ-2259"/>
    <s v="INC5204"/>
    <m/>
    <s v="No"/>
    <n v="324744"/>
    <s v="SHARAN, NATASHA"/>
    <d v="1980-04-18T00:00:00"/>
    <d v="2024-01-25T00:00:00"/>
    <d v="1899-12-30T18:15:00"/>
    <s v="Harris Scarfe QLD"/>
    <n v="9087"/>
    <s v="Loganholme"/>
    <s v="Right hand, Middle finger under the nail"/>
    <s v="While picking up a 30l pedal bin for an e-commerce order the lid of the box cut my middle finger under the nail. The finger started to bleed. I cleaned the finger with alcohol wipes and covered the wound with a band aid."/>
    <s v="Injury"/>
    <m/>
    <s v="No Assessment"/>
    <s v="Closed"/>
    <n v="0"/>
    <b v="0"/>
    <s v="First Aid Injury"/>
    <s v="Laceration or open wound not involving traumatic amputation"/>
    <s v="Hand, finger and thumb"/>
    <s v="Hitting Objects With a Part of the Body"/>
    <s v="Hitting stationary objects"/>
    <s v="Other materials and objects"/>
    <m/>
    <n v="0"/>
    <e v="#N/A"/>
    <e v="#N/A"/>
    <m/>
    <d v="2022-10-03T00:00:00"/>
    <m/>
    <x v="4"/>
    <n v="2"/>
    <x v="0"/>
    <s v="PART TIME"/>
    <n v="23.5"/>
    <n v="45"/>
    <x v="1"/>
    <x v="4"/>
    <s v="Q3, FY24"/>
    <s v="FAIs"/>
    <x v="0"/>
    <x v="0"/>
    <s v="Hitting Objects With a Part of the Body"/>
    <x v="0"/>
    <s v="Harris Scarfe"/>
    <x v="3"/>
    <s v="Store"/>
    <x v="0"/>
    <s v="QLD"/>
    <s v="Harris Scarfe"/>
    <x v="3"/>
  </r>
  <r>
    <s v="SRG-INJ-2272"/>
    <s v="INC5252"/>
    <n v="12230065624"/>
    <s v="No"/>
    <n v="323716"/>
    <s v="BYNION, FAY"/>
    <d v="1992-01-05T00:00:00"/>
    <d v="2024-01-26T00:00:00"/>
    <d v="1899-12-30T11:00:00"/>
    <s v="Harris Scarfe VIC"/>
    <n v="2025"/>
    <s v="Southland"/>
    <s v="right forearm, left starting to hurt from possible over compensation"/>
    <s v="Fay came to management about 11am saying that her right arm was ' playing up again' from a previous injury at her prior job  fay was off friday 26th and sat 27th  fay rang Bronwyn on sunday and said she was going to go for scans for possible ' tendonitis ' and or 'carpal tunnel ' fay did say she has this injury at her previous work, however did not go through work cover  fay updated bron on monday 29th that it was starting to feel better with rest and being strapped . scans booked for wednesday 31st  bron emailed fay a JDA and explained the next process with JDA and work cover process as her doctor said to talk to employee about work cover"/>
    <s v="Claim"/>
    <s v="Declined Claim"/>
    <s v="No Assessment"/>
    <s v="Closed"/>
    <n v="0"/>
    <b v="0"/>
    <s v="Not Applicable"/>
    <s v="Residual soft tissue disorders due to trauma or unknown mechanisms"/>
    <s v="Forearm"/>
    <s v="Body Stressing"/>
    <s v="Muscular stress with no objects being handled"/>
    <s v="Human agencies"/>
    <m/>
    <s v="Closed"/>
    <s v="Non Work Related Injury"/>
    <e v="#N/A"/>
    <m/>
    <d v="2022-07-25T00:00:00"/>
    <m/>
    <x v="4"/>
    <n v="2"/>
    <x v="0"/>
    <s v="SALARIED"/>
    <n v="38"/>
    <n v="33"/>
    <x v="2"/>
    <x v="4"/>
    <s v="Q3, FY24"/>
    <s v="Incident"/>
    <x v="1"/>
    <x v="4"/>
    <s v="Body Stressing"/>
    <x v="1"/>
    <s v="Harris Scarfe"/>
    <x v="0"/>
    <s v="Store"/>
    <x v="0"/>
    <s v="VIC"/>
    <s v="Harris Scarfe"/>
    <x v="0"/>
  </r>
  <r>
    <s v="SRG-INJ-2266"/>
    <s v="INC5224"/>
    <m/>
    <s v="No"/>
    <n v="296483"/>
    <s v="RALPH, RACHEL"/>
    <d v="1977-12-19T00:00:00"/>
    <d v="2024-01-27T00:00:00"/>
    <d v="1899-12-30T14:45:00"/>
    <s v="Harris Scarfe NSW"/>
    <n v="6078"/>
    <s v="Ulladulla"/>
    <s v="Left wrist"/>
    <s v="Rachel was working in the Manchester area moving stock around, and she was moving four-way as she was rearranging stock. The stock was too heavy on one side, so it fell as she was moving it. She tried to catch it and part of the four-way gave her blunt impact on her wrist and it started to bruise straight away."/>
    <s v="Injury"/>
    <m/>
    <s v="No Assessment"/>
    <s v="Closed"/>
    <n v="0"/>
    <b v="0"/>
    <s v="First Aid Injury"/>
    <s v="Residual soft tissue disorders due to trauma or unknown mechanisms"/>
    <s v="Wrist"/>
    <s v="Being Hit By Moving Objects"/>
    <s v="Being hit by falling objects"/>
    <s v="Other materials and objects"/>
    <m/>
    <n v="0"/>
    <e v="#N/A"/>
    <e v="#N/A"/>
    <m/>
    <d v="2019-02-25T00:00:00"/>
    <m/>
    <x v="12"/>
    <n v="6"/>
    <x v="0"/>
    <s v="PART TIME"/>
    <n v="24.5"/>
    <n v="47"/>
    <x v="1"/>
    <x v="4"/>
    <s v="Q3, FY24"/>
    <s v="FAIs"/>
    <x v="0"/>
    <x v="0"/>
    <s v="Being Hit By Moving Objects"/>
    <x v="0"/>
    <s v="Harris Scarfe"/>
    <x v="4"/>
    <s v="Store"/>
    <x v="0"/>
    <s v="NSW/ACT"/>
    <s v="Harris Scarfe"/>
    <x v="4"/>
  </r>
  <r>
    <s v="SRG-INJ-2283"/>
    <s v="INC5310"/>
    <m/>
    <s v="No"/>
    <n v="329940"/>
    <s v="ADDAMS, SAMANTHA"/>
    <d v="1987-01-12T00:00:00"/>
    <d v="2024-02-04T00:00:00"/>
    <d v="1899-12-30T12:15:00"/>
    <s v="Harris Scarfe VIC"/>
    <n v="2019"/>
    <s v="Ballarat"/>
    <s v="back of right shoulder has pain and hurts to move"/>
    <s v="Sammi was organising a click and collect and turn very forcefully into a box poking out out the wall and is in pain when lifting and raising arm - there is a bruise. Sammi thinks it's hit a muscle due to the pain when moving around"/>
    <s v="Injury"/>
    <m/>
    <s v="No Assessment"/>
    <s v="Closed"/>
    <n v="0"/>
    <b v="0"/>
    <s v="Not Applicable"/>
    <s v="Residual soft tissue disorders due to trauma or unknown mechanisms"/>
    <s v="Shoulder"/>
    <s v="Body Stressing"/>
    <s v="Muscular stress while lifting, carrying, or putting down objects"/>
    <s v="Human agencies"/>
    <m/>
    <n v="0"/>
    <e v="#N/A"/>
    <s v="Psychosocial"/>
    <m/>
    <d v="2023-07-24T00:00:00"/>
    <d v="2025-03-30T00:00:00"/>
    <x v="1"/>
    <n v="1"/>
    <x v="1"/>
    <s v="PART TIME"/>
    <n v="22.5"/>
    <n v="38"/>
    <x v="4"/>
    <x v="4"/>
    <s v="Q3, FY24"/>
    <s v="Incident"/>
    <x v="0"/>
    <x v="0"/>
    <s v="Body Stressing"/>
    <x v="1"/>
    <s v="Harris Scarfe"/>
    <x v="0"/>
    <s v="Store"/>
    <x v="0"/>
    <s v="VIC &amp; NSW"/>
    <s v="Harris Scarfe"/>
    <x v="2"/>
  </r>
  <r>
    <s v="SRG-INJ-2310"/>
    <s v="INC5365"/>
    <m/>
    <s v="No"/>
    <n v="329423"/>
    <s v="JAMES, CAROLYN"/>
    <d v="1959-06-14T00:00:00"/>
    <d v="2024-02-08T00:00:00"/>
    <d v="1899-12-30T20:45:00"/>
    <s v="Harris Scarfe SA"/>
    <n v="1012"/>
    <s v="Colonnades"/>
    <s v="No Apparent injury however Carolyn advised us on Friday 9th that she was quite sore. After attending the doctor he gave her the weekend off work as she was going to feel sore for a couple of days."/>
    <s v="Carolyn James was walking through the ladieswear dept and as she cut into the walkway she cut across the front of the rail set, clipping the leg of the rail set which then tripped her over. Carolyn fell quite hard into p2. She tried to catch herself on the 3 tier table but was already too far off balance and completely fell on the floor.  I heard a noise and turned the corner to see carolyn on the floor. I asked if she was ok. She said that she was. She was more embarrased than anything. I asked if she had hit her head. She said she did not hit her head.  I asked if she wanted to sit for a little or go out the back and take a break whilst she got her bearings back. She said she was completely fine just embarrassed. Carolyn said that she was rushing and wasnt entirely sure what had happened but had said that it was her fault for rushing and not looking where she was going. I checked in with Carolyn a number of times in the last 15 minutes of the night and she kept saying she was ok and she had no apparent injuries."/>
    <s v="Injury"/>
    <m/>
    <s v="Fit"/>
    <s v="Closed"/>
    <n v="0"/>
    <b v="0"/>
    <s v="First Aid Injury"/>
    <s v="Residual soft tissue disorders due to trauma or unknown mechanisms"/>
    <s v="Unspecified multiple locations"/>
    <s v="Falls, Trips and Slips of a Person"/>
    <s v="Falls on the same level"/>
    <s v="Human agencies"/>
    <m/>
    <n v="0"/>
    <e v="#N/A"/>
    <e v="#N/A"/>
    <m/>
    <d v="2023-06-12T00:00:00"/>
    <d v="2024-03-10T00:00:00"/>
    <x v="1"/>
    <n v="0"/>
    <x v="1"/>
    <s v="CASUAL"/>
    <n v="0.01"/>
    <n v="65"/>
    <x v="0"/>
    <x v="4"/>
    <s v="Q3, FY24"/>
    <s v="FAIs"/>
    <x v="0"/>
    <x v="0"/>
    <s v="Falls, Trips and Slips of a Person"/>
    <x v="1"/>
    <s v="Harris Scarfe"/>
    <x v="1"/>
    <s v="Store"/>
    <x v="0"/>
    <s v="SA/TAS"/>
    <s v="Harris Scarfe"/>
    <x v="1"/>
  </r>
  <r>
    <s v="SRG-INJ-2296"/>
    <s v="INC5358"/>
    <m/>
    <s v="No"/>
    <n v="322335"/>
    <s v="AKOK, BENJAMIN"/>
    <d v="1998-09-05T00:00:00"/>
    <d v="2024-02-08T00:00:00"/>
    <d v="1899-12-30T10:30:00"/>
    <s v="Harris Scarfe VIC"/>
    <n v="2017"/>
    <s v="Woodgrove"/>
    <s v="Mental Health"/>
    <s v="An elderly lady abused a staff member. Her Woodgrove gift card wasn't working and she took it out on Benny. She said some hurtful things like &quot;He's served me before and I wont let him serve me ever again.&quot; Ben kept reducing the $ amount to put through on the gift card to see if that would work. She kept getting frustrated at him. It caused him to be very upset. Benny has Cerebal Palsy and works SO hard to do the best he can for every single customer. He runs our registers on some days and has been an integral part of our team for YEARS!"/>
    <s v="Injury"/>
    <m/>
    <s v="No Assessment"/>
    <s v="Closed"/>
    <n v="0"/>
    <b v="0"/>
    <s v="Not Applicable"/>
    <s v="Short term shock from exposure to disturbing circumstances"/>
    <s v="Head - unspecified locations"/>
    <s v="Mental Stress"/>
    <s v="Work related harassment and/or workplace bullying"/>
    <s v="Human agencies"/>
    <m/>
    <n v="0"/>
    <e v="#N/A"/>
    <e v="#N/A"/>
    <m/>
    <d v="2022-05-09T00:00:00"/>
    <m/>
    <x v="4"/>
    <n v="3"/>
    <x v="0"/>
    <s v="PART TIME"/>
    <n v="15"/>
    <n v="26"/>
    <x v="2"/>
    <x v="4"/>
    <s v="Q3, FY24"/>
    <s v="Incident"/>
    <x v="0"/>
    <x v="0"/>
    <s v="Mental Stress"/>
    <x v="1"/>
    <s v="Harris Scarfe"/>
    <x v="0"/>
    <s v="Store"/>
    <x v="0"/>
    <s v="VIC &amp; NSW"/>
    <s v="Harris Scarfe"/>
    <x v="2"/>
  </r>
  <r>
    <s v="SRG-INJ-2298"/>
    <s v="INC5360"/>
    <m/>
    <s v="No"/>
    <n v="332366"/>
    <s v="KEY, DEBORAH"/>
    <d v="1966-08-27T00:00:00"/>
    <d v="2024-02-08T00:00:00"/>
    <d v="1899-12-30T11:40:00"/>
    <s v="Harris Scarfe NSW"/>
    <n v="5060"/>
    <s v="Bathurst"/>
    <s v="forehead above eye"/>
    <s v="Deborah was trying to put a mattress topper on the top shelf and the global sign was knocked off by the topper and hit her in the face"/>
    <s v="Injury"/>
    <m/>
    <s v="No Assessment"/>
    <s v="Closed"/>
    <n v="0"/>
    <b v="0"/>
    <s v="First Aid Injury"/>
    <s v="Residual soft tissue disorders due to trauma or unknown mechanisms"/>
    <s v="Face, not elsewhere classified"/>
    <s v="Being Hit By Moving Objects"/>
    <s v="Being hit by falling objects"/>
    <s v="Other materials and objects"/>
    <m/>
    <n v="0"/>
    <e v="#N/A"/>
    <e v="#N/A"/>
    <m/>
    <d v="2023-11-27T00:00:00"/>
    <d v="2024-03-18T00:00:00"/>
    <x v="1"/>
    <n v="0"/>
    <x v="1"/>
    <s v="PART TIME"/>
    <n v="20"/>
    <n v="58"/>
    <x v="0"/>
    <x v="4"/>
    <s v="Q3, FY24"/>
    <s v="FAIs"/>
    <x v="0"/>
    <x v="0"/>
    <s v="Being Hit By Moving Objects"/>
    <x v="0"/>
    <s v="Harris Scarfe"/>
    <x v="4"/>
    <s v="Store"/>
    <x v="0"/>
    <s v="QLD"/>
    <s v="Harris Scarfe"/>
    <x v="3"/>
  </r>
  <r>
    <s v="SRG-INJ-2304"/>
    <s v="INC5407"/>
    <m/>
    <s v="No"/>
    <n v="256544"/>
    <s v="MENGOD, VANESSA"/>
    <d v="1974-04-08T00:00:00"/>
    <d v="2024-02-11T00:00:00"/>
    <d v="1899-12-30T11:30:00"/>
    <s v="Harris Scarfe SA"/>
    <n v="1008"/>
    <s v="Tea Tree Plaza"/>
    <s v="left big toe - swollen and bruised"/>
    <s v="Vanessa was taking cardboard out to the bin outside. she put the trolley onto the lift outside and went to flip down the right hand side of the metal plate and she misjudged the distance so it landed on her left big toe . she went to dr after it is not broken just swollen and bruised"/>
    <s v="Injury"/>
    <m/>
    <s v="No Assessment"/>
    <s v="Closed"/>
    <n v="0"/>
    <b v="0"/>
    <s v="First Aid Injury"/>
    <s v="Residual soft tissue disorders due to trauma or unknown mechanisms"/>
    <s v="Foot and toes"/>
    <s v="Being Hit By Moving Objects"/>
    <s v="Being hit by moving objects"/>
    <s v="Other materials and objects"/>
    <m/>
    <n v="0"/>
    <e v="#N/A"/>
    <e v="#N/A"/>
    <m/>
    <d v="1994-05-24T00:00:00"/>
    <m/>
    <x v="14"/>
    <n v="30"/>
    <x v="6"/>
    <s v="SALARIED"/>
    <n v="38"/>
    <n v="51"/>
    <x v="1"/>
    <x v="4"/>
    <s v="Q3, FY24"/>
    <s v="FAIs"/>
    <x v="0"/>
    <x v="0"/>
    <s v="Being Hit By Moving Objects"/>
    <x v="0"/>
    <s v="Harris Scarfe"/>
    <x v="1"/>
    <s v="Store"/>
    <x v="0"/>
    <s v="SA/TAS"/>
    <s v="Harris Scarfe"/>
    <x v="1"/>
  </r>
  <r>
    <s v="SRG-INJ-2308"/>
    <s v="INC5416"/>
    <m/>
    <s v="No"/>
    <n v="324172"/>
    <s v="IRVINE, MARGARET"/>
    <d v="1967-02-04T00:00:00"/>
    <d v="2024-02-12T00:00:00"/>
    <d v="1899-12-30T14:30:00"/>
    <s v="Harris Scarfe NSW"/>
    <n v="6071"/>
    <s v="Tweed Heads"/>
    <s v="lower back"/>
    <s v="Marg was putting the cardboard in the garbage and the wind took it and hurt her back"/>
    <s v="Injury"/>
    <m/>
    <s v="No Assessment"/>
    <s v="Closed"/>
    <n v="0"/>
    <b v="0"/>
    <s v="Not Applicable"/>
    <s v="Residual soft tissue disorders due to trauma or unknown mechanisms"/>
    <s v="Back-Upper and lower"/>
    <s v="Body Stressing"/>
    <s v="Muscular stress while lifting, carrying, or putting down objects"/>
    <s v="Other materials and objects"/>
    <m/>
    <n v="0"/>
    <e v="#N/A"/>
    <e v="#N/A"/>
    <m/>
    <d v="2022-09-05T00:00:00"/>
    <m/>
    <x v="4"/>
    <n v="2"/>
    <x v="0"/>
    <s v="PART TIME"/>
    <n v="19"/>
    <n v="58"/>
    <x v="0"/>
    <x v="4"/>
    <s v="Q3, FY24"/>
    <s v="Incident"/>
    <x v="0"/>
    <x v="0"/>
    <s v="Body Stressing"/>
    <x v="0"/>
    <s v="Harris Scarfe"/>
    <x v="4"/>
    <s v="Store"/>
    <x v="0"/>
    <s v="QLD"/>
    <s v="Harris Scarfe"/>
    <x v="3"/>
  </r>
  <r>
    <s v="SRG-INJ-2315"/>
    <s v="INC5494"/>
    <m/>
    <s v="No"/>
    <n v="406820"/>
    <s v="HUNTER, SARAH"/>
    <d v="1970-10-02T00:00:00"/>
    <d v="2024-02-19T00:00:00"/>
    <d v="1899-12-30T09:20:00"/>
    <s v="Harris Scarfe SA"/>
    <n v="1011"/>
    <s v="Marion"/>
    <s v="Slight bruising to left forearm and soreness on left side of the body"/>
    <s v="I was up a ladder bringing down one of the 3/4 posters off the side wall in JC Lanyon.  When I came back down the ladder holding the sign, I missed the bottom step and fell off the ladder and sideways on to the floor landing on the left side of my body. I didn't feel any pain at the time but I have some bruises on my left forearm and some soreness in my left shoulder."/>
    <s v="Injury"/>
    <m/>
    <s v="No Assessment"/>
    <s v="Closed"/>
    <n v="0"/>
    <b v="0"/>
    <s v="Not Applicable"/>
    <s v="Contusion, bruising and superficial crushing"/>
    <s v="Upper limb - multiple locations"/>
    <s v="Falls, Trips and Slips of a Person"/>
    <s v="Falls from a height"/>
    <s v="Other materials and objects"/>
    <s v="Ladder"/>
    <n v="0"/>
    <e v="#N/A"/>
    <e v="#N/A"/>
    <m/>
    <d v="2015-05-18T00:00:00"/>
    <m/>
    <x v="9"/>
    <n v="10"/>
    <x v="3"/>
    <s v="SALARIED"/>
    <n v="38"/>
    <n v="54"/>
    <x v="1"/>
    <x v="4"/>
    <s v="Q3, FY24"/>
    <s v="Incident"/>
    <x v="0"/>
    <x v="0"/>
    <s v="Falls, Trips and Slips of a Person"/>
    <x v="0"/>
    <s v="Harris Scarfe"/>
    <x v="1"/>
    <s v="Store"/>
    <x v="0"/>
    <s v="SA/TAS"/>
    <s v="Harris Scarfe"/>
    <x v="1"/>
  </r>
  <r>
    <s v="SRG-INJ-2317"/>
    <s v="INC5502"/>
    <m/>
    <s v="No"/>
    <n v="293815"/>
    <s v="FROST, ANGELA"/>
    <d v="1972-03-16T00:00:00"/>
    <d v="2024-02-19T00:00:00"/>
    <d v="1899-12-30T15:45:00"/>
    <s v="Harris Scarfe SA"/>
    <n v="1011"/>
    <s v="Marion"/>
    <s v="Right next to left eye"/>
    <s v="Angela was bending down to retrieve a product on a low shelf when she hit the side of her eye on a cast iron fry pan. A customer had turned the handle facing out instead of in so it was protruding out,"/>
    <s v="Injury"/>
    <m/>
    <s v="No Assessment"/>
    <s v="Closed"/>
    <n v="0"/>
    <b v="0"/>
    <s v="Not Applicable"/>
    <s v="Residual soft tissue disorders due to trauma or unknown mechanisms"/>
    <s v="Face, not elsewhere classified"/>
    <s v="Hitting Objects With a Part of the Body"/>
    <s v="Hitting stationary objects"/>
    <s v="Human agencies"/>
    <m/>
    <n v="0"/>
    <e v="#N/A"/>
    <e v="#N/A"/>
    <m/>
    <d v="2014-06-30T00:00:00"/>
    <m/>
    <x v="17"/>
    <n v="10"/>
    <x v="3"/>
    <s v="PART TIME"/>
    <n v="35"/>
    <n v="53"/>
    <x v="1"/>
    <x v="4"/>
    <s v="Q3, FY24"/>
    <s v="Incident"/>
    <x v="0"/>
    <x v="0"/>
    <s v="Hitting Objects With a Part of the Body"/>
    <x v="1"/>
    <s v="Harris Scarfe"/>
    <x v="1"/>
    <s v="Store"/>
    <x v="0"/>
    <s v="SA/TAS"/>
    <s v="Harris Scarfe"/>
    <x v="1"/>
  </r>
  <r>
    <s v="SRG-INJ-2316"/>
    <s v="INC5495"/>
    <m/>
    <s v="No"/>
    <n v="325234"/>
    <s v="MIOCIC, ANA"/>
    <d v="2002-09-30T00:00:00"/>
    <d v="2024-02-19T00:00:00"/>
    <d v="1899-12-30T11:30:00"/>
    <s v="Harris Scarfe SA"/>
    <n v="1013"/>
    <s v="Gepps Cross (Hs Home)"/>
    <s v="lower back"/>
    <s v="Ana bent down with her knees to pick up a 16 piece  dinner set and has pulled a muscle in back, no photo as outside our of camera view"/>
    <s v="Injury"/>
    <m/>
    <s v="No Assessment"/>
    <s v="Closed"/>
    <n v="0"/>
    <b v="0"/>
    <s v="Not Applicable"/>
    <s v="Residual soft tissue disorders due to trauma or unknown mechanisms"/>
    <s v="Back-Upper and lower"/>
    <s v="Body Stressing"/>
    <s v="Muscular stress while lifting, carrying, or putting down objects"/>
    <s v="Human agencies"/>
    <m/>
    <n v="0"/>
    <e v="#N/A"/>
    <e v="#N/A"/>
    <m/>
    <d v="2022-10-10T00:00:00"/>
    <d v="2024-09-26T00:00:00"/>
    <x v="4"/>
    <n v="1"/>
    <x v="0"/>
    <s v="CASUAL"/>
    <n v="0.01"/>
    <n v="22"/>
    <x v="3"/>
    <x v="4"/>
    <s v="Q3, FY24"/>
    <s v="Incident"/>
    <x v="0"/>
    <x v="0"/>
    <s v="Body Stressing"/>
    <x v="1"/>
    <s v="Harris Scarfe"/>
    <x v="1"/>
    <s v="Store"/>
    <x v="0"/>
    <s v="SA/TAS"/>
    <s v="Harris Scarfe"/>
    <x v="1"/>
  </r>
  <r>
    <s v="SRG-INJ-2320"/>
    <s v="INC5510"/>
    <m/>
    <s v="No"/>
    <n v="293338"/>
    <s v="SMITH, KIEREN"/>
    <d v="1993-10-08T00:00:00"/>
    <d v="2024-02-20T00:00:00"/>
    <d v="1899-12-30T10:35:00"/>
    <s v="Harris Scarfe SA"/>
    <n v="1011"/>
    <s v="Marion"/>
    <s v="Right side hand/palm, right side wrist, right shoulder, right back, and right buttock."/>
    <s v="Kieren was pulling a loaded pallet through the lower dock when the wheel became stuck on an uneven lip in the floor. Instead of rolling up and over the lip, the pallet stopped hard. Kieren's forward momentum was stopped and his right wrist, hand, shoulder, back and buttock were all jarred."/>
    <s v="Injury"/>
    <m/>
    <s v="No Assessment"/>
    <s v="Closed"/>
    <n v="0"/>
    <b v="0"/>
    <s v="Not Applicable"/>
    <s v="Residual soft tissue disorders due to trauma or unknown mechanisms"/>
    <s v="Hand, finger and thumb"/>
    <s v="Body Stressing"/>
    <s v="Muscular stress while handling objects other than lifting, carrying or putting down"/>
    <s v="Other materials and objects"/>
    <m/>
    <n v="0"/>
    <e v="#N/A"/>
    <e v="#N/A"/>
    <m/>
    <d v="2013-07-15T00:00:00"/>
    <d v="2024-05-31T00:00:00"/>
    <x v="11"/>
    <n v="10"/>
    <x v="3"/>
    <s v="PART TIME"/>
    <n v="30"/>
    <n v="31"/>
    <x v="2"/>
    <x v="4"/>
    <s v="Q3, FY24"/>
    <s v="Incident"/>
    <x v="0"/>
    <x v="0"/>
    <s v="Body Stressing"/>
    <x v="0"/>
    <s v="Harris Scarfe"/>
    <x v="1"/>
    <s v="Store"/>
    <x v="0"/>
    <s v="SA/TAS"/>
    <s v="Harris Scarfe"/>
    <x v="1"/>
  </r>
  <r>
    <s v="SRG-INJ-2629"/>
    <s v="INC6822"/>
    <n v="12230104501"/>
    <s v="No"/>
    <n v="322297"/>
    <s v="OSLAY, SHERRIDAN"/>
    <d v="1981-12-13T00:00:00"/>
    <d v="2024-02-22T00:00:00"/>
    <d v="1899-12-30T12:39:00"/>
    <s v="Harris Scarfe VIC"/>
    <n v="2022"/>
    <s v="Knox City"/>
    <s v="Right Elbow common extensor and flexor tendonitis with possible carpal tunnel syndrome Right Elbow/Arm  - strained and overworked"/>
    <s v="we had to as a store change all sheeting high gondola from 6 shelves to 5 as per VM guidelines had requested . This meant every row of shelves had to be emptied and a shelve taken out of each row then all put back in . I was working with Jill but I was responsible for changing all the shelves which was over 90 of them and they were hard to take out and put back in . A result of doing all this work in 1 day was my Right elbow area became very sore and ached and it did swell up somewhat also. Thought it was nothing and would just go away so didn't report at the time . It has now been over 3 months and i have been experiencing still quite a lot of pain and discomfort in this area whenever i do any sort of work . It will swell up afterwards so something further is an issue ."/>
    <s v="Claim"/>
    <s v="Accepted Claim"/>
    <s v="Unfit"/>
    <s v="Open"/>
    <n v="98"/>
    <b v="0"/>
    <s v="Medical Treatment Injury"/>
    <s v="Residual soft tissue disorders due to trauma or unknown mechanisms"/>
    <s v="Elbow"/>
    <s v="Body Stressing"/>
    <s v="Muscular stress while lifting, carrying, or putting down objects"/>
    <s v="Human agencies"/>
    <m/>
    <s v="Open"/>
    <e v="#N/A"/>
    <e v="#N/A"/>
    <m/>
    <d v="2022-05-02T00:00:00"/>
    <m/>
    <x v="4"/>
    <n v="3"/>
    <x v="0"/>
    <s v="SALARIED"/>
    <n v="34.25"/>
    <n v="43"/>
    <x v="4"/>
    <x v="4"/>
    <s v="Q3, FY24"/>
    <s v="MTIs"/>
    <x v="1"/>
    <x v="1"/>
    <s v="Body Stressing"/>
    <x v="1"/>
    <s v="Harris Scarfe"/>
    <x v="0"/>
    <s v="Store"/>
    <x v="0"/>
    <s v="VIC"/>
    <s v="Harris Scarfe"/>
    <x v="0"/>
  </r>
  <r>
    <s v="SRG-INJ-2334"/>
    <s v="INC5575"/>
    <m/>
    <s v="No"/>
    <n v="331223"/>
    <s v="WOODS, TYLER"/>
    <d v="2003-09-16T00:00:00"/>
    <d v="2024-02-23T00:00:00"/>
    <d v="1899-12-30T13:30:00"/>
    <s v="Harris Scarfe VIC"/>
    <n v="2059"/>
    <s v="Bairnsdale"/>
    <s v="Right knee"/>
    <s v="Team member was walking from the warehouse entry to the apparel storage when they felt a click and stumbled which resulted in their knee dislocating,  they then lent against the shelf to put the knee back into place."/>
    <s v="Injury"/>
    <m/>
    <s v="No Assessment"/>
    <s v="Closed"/>
    <n v="0"/>
    <b v="0"/>
    <s v="Not Applicable"/>
    <s v="Trauma to joints and ligaments"/>
    <s v="Knee"/>
    <s v="Body Stressing"/>
    <s v="Muscular stress with no objects being handled"/>
    <s v="Human agencies"/>
    <m/>
    <n v="0"/>
    <e v="#N/A"/>
    <e v="#N/A"/>
    <m/>
    <d v="2023-10-09T00:00:00"/>
    <d v="2024-11-12T00:00:00"/>
    <x v="1"/>
    <n v="1"/>
    <x v="1"/>
    <s v="CASUAL"/>
    <n v="0.01"/>
    <n v="21"/>
    <x v="3"/>
    <x v="4"/>
    <s v="Q3, FY24"/>
    <s v="Incident"/>
    <x v="0"/>
    <x v="0"/>
    <s v="Body Stressing"/>
    <x v="1"/>
    <s v="Harris Scarfe"/>
    <x v="0"/>
    <s v="Store"/>
    <x v="0"/>
    <s v="VIC"/>
    <s v="Harris Scarfe"/>
    <x v="0"/>
  </r>
  <r>
    <s v="SRG-INJ-2337"/>
    <s v="INC5583"/>
    <n v="6581995"/>
    <s v="No"/>
    <n v="324177"/>
    <s v="AYERS, JENNIFER"/>
    <d v="1952-02-25T00:00:00"/>
    <d v="2024-02-23T00:00:00"/>
    <d v="1899-12-30T11:00:00"/>
    <s v="Harris Scarfe NSW"/>
    <n v="6071"/>
    <s v="Tweed Heads"/>
    <s v="behind her knee"/>
    <s v="Jenni said she had her cage and another staff member came towards her with a cage,Jenni tried to get out of the way and she twisted her leg and hurt behind her knee."/>
    <s v="Claim"/>
    <s v="Accepted Claim (MEO)"/>
    <s v="Fit"/>
    <s v="Closed"/>
    <n v="0"/>
    <b v="0"/>
    <s v="Not Applicable"/>
    <s v="Residual soft tissue disorders due to trauma or unknown mechanisms"/>
    <s v="Knee"/>
    <s v="Hitting Objects With a Part of the Body"/>
    <s v="Hitting stationary objects"/>
    <s v="Other materials and objects"/>
    <m/>
    <s v="Closed"/>
    <e v="#N/A"/>
    <e v="#N/A"/>
    <m/>
    <d v="2022-09-05T00:00:00"/>
    <m/>
    <x v="4"/>
    <n v="2"/>
    <x v="0"/>
    <s v="CASUAL"/>
    <n v="0.01"/>
    <n v="73"/>
    <x v="0"/>
    <x v="4"/>
    <s v="Q3, FY24"/>
    <s v="Incident"/>
    <x v="1"/>
    <x v="2"/>
    <s v="Hitting Objects With a Part of the Body"/>
    <x v="0"/>
    <s v="Harris Scarfe"/>
    <x v="4"/>
    <s v="Store"/>
    <x v="0"/>
    <s v="QLD"/>
    <s v="Harris Scarfe"/>
    <x v="3"/>
  </r>
  <r>
    <s v="SRG-INJ-2341"/>
    <s v="INC5599"/>
    <m/>
    <s v="No"/>
    <n v="332237"/>
    <s v="YOUSSOUF, ZEYNEB"/>
    <d v="2005-04-23T00:00:00"/>
    <d v="2024-02-25T00:00:00"/>
    <d v="1899-12-30T16:45:00"/>
    <s v="Harris Scarfe VIC"/>
    <n v="2024"/>
    <s v="Highpoint"/>
    <s v="Fell head first into sunglasses stand and then fell onto back. Small cut on hand, no other injury noted. She felt hot after and needed to rest."/>
    <s v="Team member Zeyneb fainted and fell into the stand of sunglasses. She lost consciousness for approx 5 seconds. She was able to sit up immediately after. She sustained a small scratch on her hand from the fall but no other injuries. She felt better after sitting down and drinking water. She was given an ice pack and band-aid for her hand. She sat in the break room and waited to get picked up by a family member."/>
    <s v="Injury"/>
    <m/>
    <s v="No Assessment"/>
    <s v="Closed"/>
    <n v="0"/>
    <b v="0"/>
    <s v="First Aid Injury"/>
    <s v="Residual soft tissue disorders due to trauma or unknown mechanisms"/>
    <s v="Head - unspecified locations"/>
    <s v="Hitting Objects With a Part of the Body"/>
    <s v="Hitting stationary objects"/>
    <s v="Human agencies"/>
    <m/>
    <n v="0"/>
    <s v="Non Work Related Injury"/>
    <e v="#N/A"/>
    <m/>
    <d v="2023-11-06T00:00:00"/>
    <d v="2024-11-03T00:00:00"/>
    <x v="1"/>
    <n v="0"/>
    <x v="1"/>
    <s v="CASUAL"/>
    <n v="0.01"/>
    <n v="20"/>
    <x v="3"/>
    <x v="4"/>
    <s v="Q3, FY24"/>
    <s v="FAIs"/>
    <x v="0"/>
    <x v="0"/>
    <s v="Hitting Objects With a Part of the Body"/>
    <x v="1"/>
    <s v="Harris Scarfe"/>
    <x v="0"/>
    <s v="Store"/>
    <x v="0"/>
    <s v="VIC &amp; NSW"/>
    <s v="Harris Scarfe"/>
    <x v="2"/>
  </r>
  <r>
    <s v="SRG-INJ-2342"/>
    <s v="INC5609"/>
    <m/>
    <s v="No"/>
    <n v="283771"/>
    <s v="HENDY, KATE"/>
    <d v="1983-07-29T00:00:00"/>
    <d v="2024-02-26T00:00:00"/>
    <d v="1899-12-30T12:15:00"/>
    <s v="Harris Scarfe SA"/>
    <n v="1011"/>
    <s v="Marion"/>
    <s v="Strained finger"/>
    <s v="Kate was pulling out a bag and her right ring finger got caught/ squished. She has constant pain her her finger and a line from her finger to her elbow. She iced the injured finger."/>
    <s v="Injury"/>
    <m/>
    <s v="No Assessment"/>
    <s v="Closed"/>
    <n v="0"/>
    <b v="0"/>
    <s v="First Aid Injury"/>
    <s v="Trauma to muscles and tendons"/>
    <s v="Hand, finger and thumb"/>
    <s v="Hitting Objects With a Part of the Body"/>
    <s v="Hitting moving objects"/>
    <s v="Human agencies"/>
    <m/>
    <n v="0"/>
    <e v="#N/A"/>
    <e v="#N/A"/>
    <m/>
    <d v="1999-08-02T00:00:00"/>
    <m/>
    <x v="6"/>
    <n v="25"/>
    <x v="4"/>
    <s v="PART TIME"/>
    <n v="20.63"/>
    <n v="41"/>
    <x v="4"/>
    <x v="5"/>
    <s v="Q3, FY24"/>
    <s v="FAIs"/>
    <x v="0"/>
    <x v="0"/>
    <s v="Hitting Objects With a Part of the Body"/>
    <x v="1"/>
    <s v="Harris Scarfe"/>
    <x v="1"/>
    <s v="Store"/>
    <x v="0"/>
    <s v="SA/TAS"/>
    <s v="Harris Scarfe"/>
    <x v="1"/>
  </r>
  <r>
    <s v="SRG-INJ-2346"/>
    <s v="INC5631"/>
    <m/>
    <s v="No"/>
    <n v="406857"/>
    <s v="MANILA, AILAMA"/>
    <d v="1973-06-19T00:00:00"/>
    <d v="2024-02-27T00:00:00"/>
    <d v="1899-12-30T07:26:00"/>
    <s v="Harris Scarfe VIC"/>
    <n v="2025"/>
    <s v="Southland"/>
    <s v="lower back"/>
    <s v="was in reserve stacking carpet tile boxes. felt pain in lower back as i finished stacking boxes."/>
    <s v="Injury"/>
    <m/>
    <s v="No Assessment"/>
    <s v="Closed"/>
    <n v="0"/>
    <b v="0"/>
    <s v="Not Applicable"/>
    <s v="Residual soft tissue disorders due to trauma or unknown mechanisms"/>
    <s v="Back-Upper and lower"/>
    <s v="Body Stressing"/>
    <s v="Muscular stress while lifting, carrying, or putting down objects"/>
    <s v="Human agencies"/>
    <m/>
    <n v="0"/>
    <e v="#N/A"/>
    <e v="#N/A"/>
    <m/>
    <d v="2015-11-16T00:00:00"/>
    <m/>
    <x v="9"/>
    <n v="9"/>
    <x v="3"/>
    <s v="SALARIED"/>
    <n v="38"/>
    <n v="51"/>
    <x v="1"/>
    <x v="5"/>
    <s v="Q3, FY24"/>
    <s v="Incident"/>
    <x v="0"/>
    <x v="0"/>
    <s v="Body Stressing"/>
    <x v="1"/>
    <s v="Harris Scarfe"/>
    <x v="0"/>
    <s v="Store"/>
    <x v="0"/>
    <s v="VIC"/>
    <s v="Harris Scarfe"/>
    <x v="0"/>
  </r>
  <r>
    <s v="SRG-INJ-2347"/>
    <s v="INC5632"/>
    <m/>
    <s v="No"/>
    <n v="288672"/>
    <s v="MCMAHON, JUDY"/>
    <d v="1966-10-08T00:00:00"/>
    <d v="2024-02-27T00:00:00"/>
    <d v="1899-12-30T09:10:00"/>
    <s v="Harris Scarfe VIC"/>
    <n v="2026"/>
    <s v="Shepparton"/>
    <s v="left knee cut, both knees bruised, both ankles twisted and swollen"/>
    <s v="Team member was returning to store after a tea break. Tripped on plane tree seed at the entry to the store, and fell over as a result. Team member went home at 10am with bruising and swelling to the ankle and leg."/>
    <s v="Injury"/>
    <m/>
    <s v="Fit"/>
    <s v="Closed"/>
    <n v="3"/>
    <b v="0"/>
    <s v="First Aid Injury"/>
    <s v="Residual soft tissue disorders due to trauma or unknown mechanisms"/>
    <s v="Knee"/>
    <s v="Falls, Trips and Slips of a Person"/>
    <s v="Falls on the same level"/>
    <s v="Other materials and objects"/>
    <m/>
    <n v="0"/>
    <e v="#N/A"/>
    <e v="#N/A"/>
    <m/>
    <d v="2006-10-16T00:00:00"/>
    <m/>
    <x v="2"/>
    <n v="18"/>
    <x v="2"/>
    <s v="PART TIME"/>
    <n v="35"/>
    <n v="58"/>
    <x v="0"/>
    <x v="5"/>
    <s v="Q3, FY24"/>
    <s v="FAIs"/>
    <x v="0"/>
    <x v="0"/>
    <s v="Falls, Trips and Slips of a Person"/>
    <x v="0"/>
    <s v="Harris Scarfe"/>
    <x v="0"/>
    <s v="Store"/>
    <x v="0"/>
    <s v="VIC &amp; NSW"/>
    <s v="Harris Scarfe"/>
    <x v="2"/>
  </r>
  <r>
    <s v="SRG-INJ-2349"/>
    <s v="INC5636"/>
    <m/>
    <s v="No"/>
    <n v="324101"/>
    <s v="CULGAN, JODIE"/>
    <d v="1973-02-20T00:00:00"/>
    <d v="2024-02-27T00:00:00"/>
    <d v="1899-12-30T11:30:00"/>
    <s v="Harris Scarfe NSW"/>
    <n v="6071"/>
    <s v="Tweed Heads"/>
    <s v="leg foot thigh back hip"/>
    <s v="Jodie was taking a customer to scan a pair of shoes at the price scanner when she slipped on security tag (hammer) which was on the floor, she landed on the floor."/>
    <s v="Injury"/>
    <m/>
    <s v="No Assessment"/>
    <s v="Closed"/>
    <n v="0"/>
    <b v="0"/>
    <s v="Not Applicable"/>
    <s v="Residual soft tissue disorders due to trauma or unknown mechanisms"/>
    <s v="Lower limb - multiple locations"/>
    <s v="Falls, Trips and Slips of a Person"/>
    <s v="Falls on the same level"/>
    <s v="Other materials and objects"/>
    <m/>
    <n v="0"/>
    <e v="#N/A"/>
    <e v="#N/A"/>
    <m/>
    <d v="2022-08-15T00:00:00"/>
    <m/>
    <x v="4"/>
    <n v="2"/>
    <x v="0"/>
    <s v="SALARIED"/>
    <n v="38"/>
    <n v="52"/>
    <x v="1"/>
    <x v="5"/>
    <s v="Q3, FY24"/>
    <s v="Incident"/>
    <x v="0"/>
    <x v="0"/>
    <s v="Falls, Trips and Slips of a Person"/>
    <x v="0"/>
    <s v="Harris Scarfe"/>
    <x v="4"/>
    <s v="Store"/>
    <x v="0"/>
    <s v="QLD"/>
    <s v="Harris Scarfe"/>
    <x v="3"/>
  </r>
  <r>
    <s v="SRG-INJ-2348"/>
    <s v="INC5633"/>
    <m/>
    <s v="No"/>
    <n v="330581"/>
    <s v="NICHOLLS, TAHLYA"/>
    <d v="1998-06-15T00:00:00"/>
    <d v="2024-02-28T00:00:00"/>
    <d v="1899-12-30T09:04:00"/>
    <s v="Harris Scarfe QLD"/>
    <n v="9097"/>
    <s v="Hervey Bay"/>
    <s v="hands"/>
    <s v="Tahlya noticed the roller door wasn't automatically rolling up with the key again. (Have notified center management multiple times). When Tahlya tried to manually roll the door up with the chain, as she was pulling down on the chain it suddenly starts pulling the opposite direction to how she was pulling. Which it has never done before and jolted her fingers and hands. She has soreness in her hands and pain in her fingers. The entire incident isn't fully on camera but you can see the chain jump out/force up."/>
    <s v="Injury"/>
    <m/>
    <s v="No Assessment"/>
    <s v="Closed"/>
    <n v="0"/>
    <b v="0"/>
    <s v="Not Applicable"/>
    <s v="Residual soft tissue disorders due to trauma or unknown mechanisms"/>
    <s v="Hand, finger and thumb"/>
    <s v="Being Hit By Moving Objects"/>
    <s v="Being hit by moving objects"/>
    <s v="Other non-powered equipment"/>
    <m/>
    <n v="0"/>
    <e v="#N/A"/>
    <e v="#N/A"/>
    <m/>
    <d v="2023-10-09T00:00:00"/>
    <d v="2024-10-28T00:00:00"/>
    <x v="1"/>
    <n v="1"/>
    <x v="1"/>
    <s v="SALARIED"/>
    <n v="38"/>
    <n v="26"/>
    <x v="2"/>
    <x v="5"/>
    <s v="Q3, FY24"/>
    <s v="Incident"/>
    <x v="0"/>
    <x v="0"/>
    <s v="Being Hit By Moving Objects"/>
    <x v="10"/>
    <s v="Harris Scarfe"/>
    <x v="3"/>
    <s v="Store"/>
    <x v="0"/>
    <s v="QLD"/>
    <s v="Harris Scarfe"/>
    <x v="3"/>
  </r>
  <r>
    <s v="SRG-INJ-2355"/>
    <s v="INC5658"/>
    <s v="58568892/00"/>
    <s v="No"/>
    <n v="294329"/>
    <s v="CRAM, DUNCAN"/>
    <d v="1960-09-07T00:00:00"/>
    <d v="2024-03-01T00:00:00"/>
    <d v="1899-12-30T08:35:00"/>
    <s v="Harris Scarfe SA"/>
    <n v="1008"/>
    <s v="Tea Tree Plaza"/>
    <s v="Grazed and sore knee"/>
    <s v="Employee arrived to work and was walking through the barked area to reach our loading dock and stepped onto a drain. The drain was loose and it collapsed in which caused the employee to fall into the drain, hurting his knee on the way down."/>
    <s v="Claim"/>
    <s v="Accepted Claim"/>
    <s v="Restricted Duties"/>
    <s v="Open"/>
    <n v="26"/>
    <b v="0"/>
    <s v="First Aid Injury"/>
    <s v="Contusion, bruising and superficial crushing"/>
    <s v="Knee"/>
    <s v="Falls, Trips and Slips of a Person"/>
    <s v="Falls from a height"/>
    <s v="Other materials and objects"/>
    <m/>
    <s v="Open"/>
    <s v="Non Work Related Injury"/>
    <e v="#N/A"/>
    <m/>
    <d v="2015-06-08T00:00:00"/>
    <m/>
    <x v="9"/>
    <n v="9"/>
    <x v="3"/>
    <s v="PART TIME"/>
    <n v="33.75"/>
    <n v="64"/>
    <x v="0"/>
    <x v="5"/>
    <s v="Q3, FY24"/>
    <s v="FAIs"/>
    <x v="1"/>
    <x v="1"/>
    <s v="Falls, Trips and Slips of a Person"/>
    <x v="0"/>
    <s v="Harris Scarfe"/>
    <x v="1"/>
    <s v="Store"/>
    <x v="0"/>
    <s v="SA/TAS"/>
    <s v="Harris Scarfe"/>
    <x v="1"/>
  </r>
  <r>
    <s v="SRG-INJ-2358"/>
    <s v="INC5680"/>
    <m/>
    <s v="No"/>
    <n v="332216"/>
    <s v="HUNTER, TALEIGHA"/>
    <d v="2002-03-05T00:00:00"/>
    <d v="2024-03-01T00:00:00"/>
    <d v="1899-12-30T16:18:00"/>
    <s v="Harris Scarfe QLD"/>
    <n v="9097"/>
    <s v="Hervey Bay"/>
    <s v="thumb"/>
    <s v="Taleigha was putting up a ticket on Friday afternoon and as was doing so the ticket frame and arm came falling down on her, hitting her head and cut her hand on the fall."/>
    <s v="Injury"/>
    <m/>
    <s v="No Assessment"/>
    <s v="Closed"/>
    <n v="0"/>
    <b v="0"/>
    <s v="First Aid Injury"/>
    <s v="Laceration or open wound not involving traumatic amputation"/>
    <s v="Hand, finger and thumb"/>
    <s v="Being Hit By Moving Objects"/>
    <s v="Being hit by falling objects"/>
    <m/>
    <m/>
    <n v="0"/>
    <e v="#N/A"/>
    <e v="#N/A"/>
    <m/>
    <d v="2023-11-06T00:00:00"/>
    <m/>
    <x v="1"/>
    <n v="1"/>
    <x v="1"/>
    <s v="SALARIED"/>
    <n v="38"/>
    <n v="23"/>
    <x v="3"/>
    <x v="5"/>
    <s v="Q3, FY24"/>
    <s v="FAIs"/>
    <x v="0"/>
    <x v="0"/>
    <s v="Being Hit By Moving Objects"/>
    <x v="3"/>
    <s v="Harris Scarfe"/>
    <x v="3"/>
    <s v="Store"/>
    <x v="0"/>
    <s v="QLD"/>
    <s v="Harris Scarfe"/>
    <x v="3"/>
  </r>
  <r>
    <s v="SRG-INJ-2368"/>
    <s v="INC5729"/>
    <m/>
    <s v="No"/>
    <n v="328743"/>
    <s v="CORKHILL, CATRINA"/>
    <d v="2000-08-30T00:00:00"/>
    <d v="2024-03-06T00:00:00"/>
    <d v="1899-12-30T11:00:00"/>
    <s v="Harris Scarfe SA"/>
    <n v="1011"/>
    <s v="Marion"/>
    <s v="Ran over foot with apparel rail"/>
    <s v="Catrina was pulling a rail of stock in menswear. She pulled the rail too far and ran over her foot with the rail."/>
    <s v="Injury"/>
    <m/>
    <s v="No Assessment"/>
    <s v="Closed"/>
    <n v="0"/>
    <b v="0"/>
    <s v="Not Applicable"/>
    <s v="Residual soft tissue disorders due to trauma or unknown mechanisms"/>
    <s v="Foot and toes"/>
    <s v="Hitting Objects With a Part of the Body"/>
    <s v="Hitting moving objects"/>
    <s v="Human agencies"/>
    <m/>
    <n v="0"/>
    <e v="#N/A"/>
    <e v="#N/A"/>
    <m/>
    <d v="2023-04-17T00:00:00"/>
    <m/>
    <x v="1"/>
    <n v="2"/>
    <x v="1"/>
    <s v="PART TIME"/>
    <n v="18.75"/>
    <n v="24"/>
    <x v="3"/>
    <x v="5"/>
    <s v="Q3, FY24"/>
    <s v="Incident"/>
    <x v="0"/>
    <x v="0"/>
    <s v="Hitting Objects With a Part of the Body"/>
    <x v="1"/>
    <s v="Harris Scarfe"/>
    <x v="1"/>
    <s v="Store"/>
    <x v="0"/>
    <s v="SA/TAS"/>
    <s v="Harris Scarfe"/>
    <x v="1"/>
  </r>
  <r>
    <s v="SRG-INJ-2370"/>
    <s v="INC5739"/>
    <s v="G7387609"/>
    <s v="No"/>
    <n v="295951"/>
    <s v="HOWELL, KATIA"/>
    <d v="2001-11-24T00:00:00"/>
    <d v="2024-03-06T00:00:00"/>
    <d v="1899-12-30T15:38:00"/>
    <s v="Harris Scarfe TAS"/>
    <n v="4041"/>
    <s v="Moonah"/>
    <s v="Left Hand side blow to the jawline by closed fist"/>
    <s v="Team member Katia Howell stood at the door, the young female came from behind an aisle, still running and punched Katia in the Left hand side of her face, along her jaw, Katia had no time to respond or protect herself, the female ran out the door."/>
    <s v="Claim"/>
    <s v="Accepted Claim"/>
    <s v="Fit"/>
    <s v="Closed"/>
    <n v="100"/>
    <b v="0"/>
    <s v="First Aid Injury"/>
    <m/>
    <s v="Face, not elsewhere classified"/>
    <s v="Being Hit By Moving Objects"/>
    <s v="Being assaulted by a person or persons"/>
    <s v="Human agencies"/>
    <m/>
    <s v="Closed"/>
    <e v="#N/A"/>
    <e v="#N/A"/>
    <m/>
    <d v="2018-03-19T00:00:00"/>
    <d v="2024-06-27T00:00:00"/>
    <x v="19"/>
    <n v="6"/>
    <x v="0"/>
    <s v="CASUAL"/>
    <n v="0.01"/>
    <n v="23"/>
    <x v="3"/>
    <x v="5"/>
    <s v="Q3, FY24"/>
    <s v="FAIs"/>
    <x v="1"/>
    <x v="1"/>
    <s v="Being Hit By Moving Objects"/>
    <x v="1"/>
    <s v="Harris Scarfe"/>
    <x v="2"/>
    <s v="Store"/>
    <x v="0"/>
    <s v="SA/TAS"/>
    <s v="Harris Scarfe"/>
    <x v="1"/>
  </r>
  <r>
    <s v="SRG-INJ-2379"/>
    <s v="INC5774"/>
    <m/>
    <s v="No"/>
    <n v="324204"/>
    <s v="DOWSETT, TAMERA"/>
    <d v="1979-02-09T00:00:00"/>
    <d v="2024-03-10T00:00:00"/>
    <d v="1899-12-30T15:02:00"/>
    <s v="Harris Scarfe NSW"/>
    <n v="6071"/>
    <s v="Tweed Heads"/>
    <s v="lump on top of head. right side."/>
    <s v="Tam was dressing mannequin and lifting her to put up on stand and the head fell off and hit Tams head."/>
    <s v="Injury"/>
    <m/>
    <s v="No Assessment"/>
    <s v="Closed"/>
    <n v="0"/>
    <b v="0"/>
    <s v="Not Applicable"/>
    <s v="Residual soft tissue disorders due to trauma or unknown mechanisms"/>
    <s v="Head - unspecified locations"/>
    <s v="Being Hit By Moving Objects"/>
    <s v="Being hit by falling objects"/>
    <s v="Human agencies"/>
    <m/>
    <n v="0"/>
    <e v="#N/A"/>
    <e v="#N/A"/>
    <m/>
    <d v="2022-09-05T00:00:00"/>
    <m/>
    <x v="4"/>
    <n v="2"/>
    <x v="0"/>
    <s v="SALARIED"/>
    <n v="38"/>
    <n v="46"/>
    <x v="1"/>
    <x v="5"/>
    <s v="Q3, FY24"/>
    <s v="Incident"/>
    <x v="0"/>
    <x v="0"/>
    <s v="Being Hit By Moving Objects"/>
    <x v="1"/>
    <s v="Harris Scarfe"/>
    <x v="4"/>
    <s v="Store"/>
    <x v="0"/>
    <s v="QLD"/>
    <s v="Harris Scarfe"/>
    <x v="3"/>
  </r>
  <r>
    <s v="SRG-INJ-2386"/>
    <s v="INC5802"/>
    <m/>
    <s v="No"/>
    <n v="331913"/>
    <s v="DONOHUE, DANNIELLE"/>
    <d v="1984-11-10T00:00:00"/>
    <d v="2024-03-12T00:00:00"/>
    <d v="1899-12-30T09:15:00"/>
    <s v="Harris Scarfe NSW"/>
    <n v="5060"/>
    <s v="Bathurst"/>
    <s v="left glute, left palm. left shoulder and left side of back"/>
    <s v="missed step on the ladder and dropped approx 1.5m onto stock boxes of metal strainers and concrete"/>
    <s v="Injury"/>
    <m/>
    <s v="No Assessment"/>
    <s v="Closed"/>
    <n v="0"/>
    <b v="0"/>
    <s v="Not Applicable"/>
    <s v="Residual soft tissue disorders due to trauma or unknown mechanisms"/>
    <s v="Other specified multiple locations"/>
    <s v="Falls, Trips and Slips of a Person"/>
    <s v="Falls from a height"/>
    <s v="Other materials and objects"/>
    <m/>
    <n v="0"/>
    <e v="#N/A"/>
    <e v="#N/A"/>
    <m/>
    <d v="2023-11-06T00:00:00"/>
    <d v="2024-07-24T00:00:00"/>
    <x v="1"/>
    <n v="0"/>
    <x v="1"/>
    <s v="SALARIED"/>
    <n v="38"/>
    <n v="40"/>
    <x v="4"/>
    <x v="5"/>
    <s v="Q3, FY24"/>
    <s v="Incident"/>
    <x v="0"/>
    <x v="0"/>
    <s v="Falls, Trips and Slips of a Person"/>
    <x v="0"/>
    <s v="Harris Scarfe"/>
    <x v="4"/>
    <s v="Store"/>
    <x v="0"/>
    <s v="QLD"/>
    <s v="Harris Scarfe"/>
    <x v="3"/>
  </r>
  <r>
    <s v="SRG-INJ-2392"/>
    <s v="INC5816"/>
    <m/>
    <s v="No"/>
    <n v="406376"/>
    <s v="MERCURIO, ROMANO"/>
    <d v="1964-11-03T00:00:00"/>
    <d v="2024-03-13T00:00:00"/>
    <d v="1899-12-30T10:55:00"/>
    <s v="Harris Scarfe SA"/>
    <n v="1011"/>
    <s v="Marion"/>
    <s v="sharp pain in upper left buttock, tingling down in left foot"/>
    <s v="Sharp pain on the bottom left hand side of back, Romano was dragging a box of pillows, went to put his left foot forward and got a sharp pain in his back that area and his leg is tingling. When he sits down and stands back up he is struggling to put weight on his left leg. Noticed a little bit of tenderness on Sunday when working Manchester pallets."/>
    <s v="Injury"/>
    <m/>
    <s v="No Assessment"/>
    <s v="Closed"/>
    <n v="0"/>
    <b v="0"/>
    <s v="Medical Treatment Injury"/>
    <s v="Residual soft tissue disorders due to trauma or unknown mechanisms"/>
    <s v="Lower limb - Unspecified locations"/>
    <s v="Body Stressing"/>
    <s v="Muscular stress while lifting, carrying, or putting down objects"/>
    <s v="Human agencies"/>
    <m/>
    <n v="0"/>
    <e v="#N/A"/>
    <e v="#N/A"/>
    <m/>
    <d v="2007-03-05T00:00:00"/>
    <m/>
    <x v="2"/>
    <n v="18"/>
    <x v="2"/>
    <s v="SALARIED"/>
    <n v="38"/>
    <n v="60"/>
    <x v="0"/>
    <x v="5"/>
    <s v="Q3, FY24"/>
    <s v="MTIs"/>
    <x v="0"/>
    <x v="0"/>
    <s v="Body Stressing"/>
    <x v="1"/>
    <s v="Harris Scarfe"/>
    <x v="1"/>
    <s v="Store"/>
    <x v="0"/>
    <s v="SA/TAS"/>
    <s v="Harris Scarfe"/>
    <x v="1"/>
  </r>
  <r>
    <s v="SRG-INJ-2398"/>
    <s v="INC5834"/>
    <m/>
    <s v="No"/>
    <n v="324204"/>
    <s v="DOWSETT, TAMERA"/>
    <d v="1979-02-09T00:00:00"/>
    <d v="2024-03-14T00:00:00"/>
    <d v="1899-12-30T13:40:00"/>
    <s v="Harris Scarfe NSW"/>
    <n v="6071"/>
    <s v="Tweed Heads"/>
    <s v="ankle"/>
    <s v="Tam was pulling the cage and she stopped and the cage didnt."/>
    <s v="Injury"/>
    <m/>
    <s v="No Assessment"/>
    <s v="Closed"/>
    <n v="0"/>
    <b v="0"/>
    <s v="Not Applicable"/>
    <s v="Residual soft tissue disorders due to trauma or unknown mechanisms"/>
    <s v="Ankle"/>
    <s v="Being Hit By Moving Objects"/>
    <s v="Being hit by moving objects"/>
    <s v="Other materials and objects"/>
    <s v="Roll Cages"/>
    <n v="0"/>
    <e v="#N/A"/>
    <e v="#N/A"/>
    <m/>
    <d v="2022-09-05T00:00:00"/>
    <m/>
    <x v="4"/>
    <n v="2"/>
    <x v="0"/>
    <s v="SALARIED"/>
    <n v="38"/>
    <n v="46"/>
    <x v="1"/>
    <x v="5"/>
    <s v="Q3, FY24"/>
    <s v="Incident"/>
    <x v="0"/>
    <x v="0"/>
    <s v="Being Hit By Moving Objects"/>
    <x v="0"/>
    <s v="Harris Scarfe"/>
    <x v="4"/>
    <s v="Store"/>
    <x v="0"/>
    <s v="QLD"/>
    <s v="Harris Scarfe"/>
    <x v="3"/>
  </r>
  <r>
    <s v="SRG-INJ-2405"/>
    <s v="INC5862"/>
    <m/>
    <s v="No"/>
    <n v="288317"/>
    <s v="ROE, BENJAMIN"/>
    <d v="1988-09-08T00:00:00"/>
    <d v="2024-03-16T00:00:00"/>
    <d v="1899-12-30T14:30:00"/>
    <s v="Harris Scarfe SA"/>
    <n v="1011"/>
    <s v="Marion"/>
    <s v="Left thumb to left elbow &quot;twang&quot;"/>
    <s v="Ben was processing pallets. Lifted a carton of cast iron braisers onto a trolley at waist height, then moved to reposition two units on top of the stack with his left hand. When moving the stock, Ben felt a &quot;twang&quot; from his left thumb, up his left forearm to his left elbow. He did not experience any pain and his hand, wrist and arm felt normal afterwards."/>
    <s v="Injury"/>
    <m/>
    <s v="No Assessment"/>
    <s v="Closed"/>
    <n v="0"/>
    <b v="0"/>
    <s v="Not Applicable"/>
    <s v="Residual soft tissue disorders due to trauma or unknown mechanisms"/>
    <s v="Hand, finger and thumb"/>
    <s v="Body Stressing"/>
    <s v="Muscular stress while lifting, carrying, or putting down objects"/>
    <s v="Other materials and objects"/>
    <m/>
    <n v="0"/>
    <e v="#N/A"/>
    <s v="Psychosocial"/>
    <m/>
    <d v="2006-10-03T00:00:00"/>
    <m/>
    <x v="2"/>
    <n v="18"/>
    <x v="2"/>
    <s v="SALARIED"/>
    <n v="38"/>
    <n v="36"/>
    <x v="4"/>
    <x v="5"/>
    <s v="Q3, FY24"/>
    <s v="Incident"/>
    <x v="0"/>
    <x v="0"/>
    <s v="Body Stressing"/>
    <x v="0"/>
    <s v="Harris Scarfe"/>
    <x v="1"/>
    <s v="Store"/>
    <x v="0"/>
    <s v="SA/TAS"/>
    <s v="Harris Scarfe"/>
    <x v="1"/>
  </r>
  <r>
    <s v="SRG-INJ-2411"/>
    <s v="INC5898"/>
    <m/>
    <s v="No"/>
    <n v="286332"/>
    <s v="DOWSETT, KATIE"/>
    <d v="1984-05-31T00:00:00"/>
    <d v="2024-03-18T00:00:00"/>
    <d v="1899-12-30T15:50:00"/>
    <s v="Harris Scarfe VIC"/>
    <n v="2025"/>
    <s v="Southland"/>
    <s v="Finger got jammed in trolley and her manicured nail was torn"/>
    <s v="The team member trying to stop a theft in progress had her finger and nail damaged by trying to hold the trolley the culprit was wheeling."/>
    <s v="Injury"/>
    <m/>
    <s v="No Assessment"/>
    <s v="Closed"/>
    <n v="0"/>
    <b v="0"/>
    <s v="Not Applicable"/>
    <s v="Residual soft tissue disorders due to trauma or unknown mechanisms"/>
    <s v="Hand, finger and thumb"/>
    <s v="Being Hit By Moving Objects"/>
    <s v="Being hit by moving objects"/>
    <s v="Human agencies"/>
    <m/>
    <n v="0"/>
    <e v="#N/A"/>
    <e v="#N/A"/>
    <m/>
    <d v="2003-08-18T00:00:00"/>
    <m/>
    <x v="3"/>
    <n v="21"/>
    <x v="2"/>
    <s v="FULL TIME"/>
    <n v="38"/>
    <n v="40"/>
    <x v="4"/>
    <x v="5"/>
    <s v="Q3, FY24"/>
    <s v="Incident"/>
    <x v="0"/>
    <x v="0"/>
    <s v="Being Hit By Moving Objects"/>
    <x v="1"/>
    <s v="Harris Scarfe"/>
    <x v="0"/>
    <s v="Store"/>
    <x v="0"/>
    <s v="VIC"/>
    <s v="Harris Scarfe"/>
    <x v="0"/>
  </r>
  <r>
    <s v="SRG-INJ-2418"/>
    <s v="INC5916"/>
    <m/>
    <s v="No"/>
    <n v="325622"/>
    <s v="HODSON, SYLVIA"/>
    <d v="1959-02-03T00:00:00"/>
    <d v="2024-03-21T00:00:00"/>
    <d v="1899-12-30T11:30:00"/>
    <s v="Harris Scarfe NSW"/>
    <n v="5054"/>
    <s v="Blacktown"/>
    <s v="left hand ring finger"/>
    <s v="caught finger  in cage when stepping down off a orange floor step  team member went and put wrapped ice on the finger straight after catching it photo is of finger taken at 12:15   finger is slightly swallon"/>
    <s v="Injury"/>
    <m/>
    <s v="No Assessment"/>
    <s v="Closed"/>
    <n v="0"/>
    <b v="0"/>
    <s v="First Aid Injury"/>
    <s v="Residual soft tissue disorders due to trauma or unknown mechanisms"/>
    <s v="Hand, finger and thumb"/>
    <s v="Being Hit By Moving Objects"/>
    <s v="Being trapped between stationary and moving objects"/>
    <s v="Other materials and objects"/>
    <m/>
    <n v="0"/>
    <e v="#N/A"/>
    <e v="#N/A"/>
    <m/>
    <d v="2022-10-17T00:00:00"/>
    <m/>
    <x v="4"/>
    <n v="2"/>
    <x v="0"/>
    <s v="PART TIME"/>
    <n v="30"/>
    <n v="66"/>
    <x v="0"/>
    <x v="5"/>
    <s v="Q3, FY24"/>
    <s v="FAIs"/>
    <x v="0"/>
    <x v="0"/>
    <s v="Being Hit By Moving Objects"/>
    <x v="0"/>
    <s v="Harris Scarfe"/>
    <x v="4"/>
    <s v="Store"/>
    <x v="0"/>
    <s v="NSW/ACT"/>
    <s v="Harris Scarfe"/>
    <x v="4"/>
  </r>
  <r>
    <s v="SRG-INJ-2424"/>
    <s v="INC5938"/>
    <m/>
    <s v="No"/>
    <n v="330581"/>
    <s v="NICHOLLS, TAHLYA"/>
    <d v="1998-06-15T00:00:00"/>
    <d v="2024-03-22T00:00:00"/>
    <d v="1899-12-30T09:00:00"/>
    <s v="Harris Scarfe QLD"/>
    <n v="9097"/>
    <s v="Hervey Bay"/>
    <s v="left pointer finger"/>
    <s v="Tahlya was opening the front door, and the bottom latch wasn't coming free when unlocked. As she pulled the latch up with some force to unlock the bottom it came up quite quickly and she got her knuckle caught on the metal sides and cut her knuckle. Tahlya then washed her hands, applied a cleansing wipe and put a band aid on"/>
    <s v="Injury"/>
    <m/>
    <s v="No Assessment"/>
    <s v="Closed"/>
    <n v="0"/>
    <b v="0"/>
    <s v="First Aid Injury"/>
    <s v="Laceration or open wound not involving traumatic amputation"/>
    <s v="Hand, finger and thumb"/>
    <s v="Hitting Objects With a Part of the Body"/>
    <s v="Hitting stationary objects"/>
    <s v="Other materials and objects"/>
    <m/>
    <n v="0"/>
    <e v="#N/A"/>
    <e v="#N/A"/>
    <m/>
    <d v="2023-10-09T00:00:00"/>
    <d v="2024-10-28T00:00:00"/>
    <x v="1"/>
    <n v="1"/>
    <x v="1"/>
    <s v="SALARIED"/>
    <n v="38"/>
    <n v="26"/>
    <x v="2"/>
    <x v="5"/>
    <s v="Q3, FY24"/>
    <s v="FAIs"/>
    <x v="0"/>
    <x v="0"/>
    <s v="Hitting Objects With a Part of the Body"/>
    <x v="0"/>
    <s v="Harris Scarfe"/>
    <x v="3"/>
    <s v="Store"/>
    <x v="0"/>
    <s v="QLD"/>
    <s v="Harris Scarfe"/>
    <x v="3"/>
  </r>
  <r>
    <s v="SRG-INJ-2434"/>
    <s v="INC5975"/>
    <m/>
    <s v="No"/>
    <n v="321490"/>
    <s v="GROOMBRIDGE, KATRINA"/>
    <d v="1970-11-30T00:00:00"/>
    <d v="2024-03-25T00:00:00"/>
    <d v="1899-12-30T09:10:00"/>
    <s v="Harris Scarfe TAS"/>
    <n v="4041"/>
    <s v="Moonah"/>
    <s v="Grazing and bruising on right forearm"/>
    <s v="Slipped on wet floor as she fell hit her right forearm on the wall. Landed on the bottom. Jar her head."/>
    <s v="Injury"/>
    <m/>
    <s v="No Assessment"/>
    <s v="Closed"/>
    <n v="0"/>
    <b v="0"/>
    <s v="First Aid Injury"/>
    <s v="Residual soft tissue disorders due to trauma or unknown mechanisms"/>
    <s v="Upper limb - multiple locations"/>
    <s v="Falls, Trips and Slips of a Person"/>
    <s v="Falls on the same level"/>
    <s v="Other materials and objects"/>
    <m/>
    <n v="0"/>
    <e v="#N/A"/>
    <e v="#N/A"/>
    <m/>
    <d v="2022-04-04T00:00:00"/>
    <m/>
    <x v="4"/>
    <n v="3"/>
    <x v="0"/>
    <s v="SALARIED"/>
    <n v="38"/>
    <n v="54"/>
    <x v="1"/>
    <x v="6"/>
    <s v="Q4, FY24"/>
    <s v="FAIs"/>
    <x v="0"/>
    <x v="0"/>
    <s v="Falls, Trips and Slips of a Person"/>
    <x v="0"/>
    <s v="Harris Scarfe"/>
    <x v="2"/>
    <s v="Store"/>
    <x v="0"/>
    <s v="SA/TAS"/>
    <s v="Harris Scarfe"/>
    <x v="1"/>
  </r>
  <r>
    <s v="SRG-INJ-2448"/>
    <s v="INC6012"/>
    <m/>
    <s v="No"/>
    <n v="292944"/>
    <s v="KHANTHAVONGSA, MALA"/>
    <d v="1969-01-31T00:00:00"/>
    <d v="2024-03-25T00:00:00"/>
    <d v="1899-12-30T11:59:00"/>
    <s v="Harris Scarfe ACT"/>
    <n v="6065"/>
    <s v="Tuggeranong"/>
    <s v="Shoulder Joint on right side. This injury has been reported in another incident in Feb 2023"/>
    <s v="Lifting heavy manchester boxes all morning. I started to feel a pain in my shoulder joint area."/>
    <s v="Injury"/>
    <m/>
    <s v="No Assessment"/>
    <s v="Closed"/>
    <n v="0"/>
    <b v="0"/>
    <s v="Not Applicable"/>
    <s v="Trauma to joints and ligaments"/>
    <s v="Shoulder"/>
    <s v="Body Stressing"/>
    <s v="Muscular stress while lifting, carrying, or putting down objects"/>
    <s v="Human agencies"/>
    <m/>
    <n v="0"/>
    <s v="Non Work Related Injury"/>
    <e v="#N/A"/>
    <m/>
    <d v="2012-11-08T00:00:00"/>
    <m/>
    <x v="16"/>
    <n v="12"/>
    <x v="5"/>
    <s v="FULL TIME"/>
    <n v="38"/>
    <n v="56"/>
    <x v="0"/>
    <x v="6"/>
    <s v="Q4, FY24"/>
    <s v="Incident"/>
    <x v="0"/>
    <x v="0"/>
    <s v="Body Stressing"/>
    <x v="1"/>
    <s v="Harris Scarfe"/>
    <x v="5"/>
    <s v="Store"/>
    <x v="0"/>
    <s v="NSW/ACT"/>
    <s v="Harris Scarfe"/>
    <x v="4"/>
  </r>
  <r>
    <s v="SRG-INJ-2441"/>
    <s v="INC5990"/>
    <m/>
    <s v="No"/>
    <n v="296882"/>
    <s v="HUANG, QIN"/>
    <d v="1975-10-28T00:00:00"/>
    <d v="2024-03-26T00:00:00"/>
    <d v="1899-12-30T11:30:00"/>
    <s v="Harris Scarfe VIC"/>
    <n v="2033"/>
    <s v="Eastland"/>
    <s v="right knee"/>
    <s v="Helen was putting new clothing out on the shop floor as she was taking clothes from the rail and placing it on the apparel arm she twisted and hurt her right knee, she felt immediate pain and then limped to find another team member for help she saw vince on the door, I then went over to her and she said she hurt her knee, i went to the office and got her a chair to sit down on, after 10min she wanted to go to the tea room where she applied an icepack."/>
    <s v="Injury"/>
    <m/>
    <s v="Fit"/>
    <s v="Closed"/>
    <n v="8"/>
    <b v="0"/>
    <s v="Medical Treatment Injury"/>
    <s v="Trauma to joints and ligaments"/>
    <s v="Knee"/>
    <s v="Body Stressing"/>
    <s v="Muscular stress while handling objects other than lifting, carrying or putting down"/>
    <s v="Human agencies"/>
    <m/>
    <n v="0"/>
    <s v="Non Work Related Injury"/>
    <e v="#N/A"/>
    <m/>
    <d v="2019-12-02T00:00:00"/>
    <m/>
    <x v="12"/>
    <n v="5"/>
    <x v="0"/>
    <s v="PART TIME"/>
    <n v="35.5"/>
    <n v="49"/>
    <x v="1"/>
    <x v="6"/>
    <s v="Q4, FY24"/>
    <s v="MTIs"/>
    <x v="0"/>
    <x v="0"/>
    <s v="Body Stressing"/>
    <x v="1"/>
    <s v="Harris Scarfe"/>
    <x v="0"/>
    <s v="Store"/>
    <x v="0"/>
    <s v="VIC"/>
    <s v="Harris Scarfe"/>
    <x v="0"/>
  </r>
  <r>
    <s v="SRG-INJ-2440"/>
    <s v="INC5989"/>
    <m/>
    <s v="No"/>
    <n v="322849"/>
    <s v="REYNOLDS, JEFFERSON"/>
    <d v="1990-10-10T00:00:00"/>
    <d v="2024-03-26T00:00:00"/>
    <d v="1899-12-30T09:50:00"/>
    <s v="Harris Scarfe ACT"/>
    <n v="6065"/>
    <s v="Tuggeranong"/>
    <s v="Neck and shoulders"/>
    <s v="Jeff felt some neck pain while processing pallets in the dock."/>
    <s v="Incident Only"/>
    <m/>
    <s v="No Assessment"/>
    <s v="Closed"/>
    <n v="0"/>
    <b v="0"/>
    <s v="Not Applicable"/>
    <s v="Trauma to muscles and tendons"/>
    <s v="Neck and shoulder"/>
    <s v="Body Stressing"/>
    <s v="Muscular stress with no objects being handled"/>
    <s v="Human agencies"/>
    <m/>
    <n v="0"/>
    <e v="#N/A"/>
    <e v="#N/A"/>
    <m/>
    <d v="2022-06-06T00:00:00"/>
    <m/>
    <x v="4"/>
    <n v="2"/>
    <x v="0"/>
    <s v="PART TIME"/>
    <n v="20"/>
    <n v="34"/>
    <x v="2"/>
    <x v="6"/>
    <s v="Q4, FY24"/>
    <s v="Incident"/>
    <x v="0"/>
    <x v="0"/>
    <s v="Body Stressing"/>
    <x v="1"/>
    <s v="Harris Scarfe"/>
    <x v="5"/>
    <s v="Store"/>
    <x v="0"/>
    <s v="NSW/ACT"/>
    <s v="Harris Scarfe"/>
    <x v="4"/>
  </r>
  <r>
    <s v="SRG-INJ-2480"/>
    <s v="INC6112"/>
    <m/>
    <s v="No"/>
    <n v="318004"/>
    <s v="KEATING, BRIDIE"/>
    <d v="1996-05-04T00:00:00"/>
    <d v="2024-03-30T00:00:00"/>
    <d v="1899-12-30T07:47:00"/>
    <s v="Harris Scarfe VIC"/>
    <n v="2045"/>
    <s v="Frankston"/>
    <s v="shoulder"/>
    <s v="bridie was working in ladies wear were she all of a sudden radioed over the head set that she needed help, and that a U clothing bar popped out from the wall  and that she was holding it still  and that it was heavy  James myself  came over and i grabbed the  bar and put it back into the wall into place.  i asked it Bridie was ok what happened and she said the bar popped out while filling stock she was ok and continued to work the rest of the day"/>
    <s v="Injury"/>
    <m/>
    <s v="No Assessment"/>
    <s v="Closed"/>
    <n v="0"/>
    <b v="0"/>
    <s v="Not Applicable"/>
    <s v="Residual soft tissue disorders due to trauma or unknown mechanisms"/>
    <s v="Shoulder"/>
    <s v="Body Stressing"/>
    <s v="Muscular stress while lifting, carrying, or putting down objects"/>
    <s v="Other materials and objects"/>
    <m/>
    <n v="0"/>
    <s v="Non Work Related Injury"/>
    <e v="#N/A"/>
    <m/>
    <d v="2021-11-01T00:00:00"/>
    <m/>
    <x v="0"/>
    <n v="3"/>
    <x v="0"/>
    <s v="PART TIME"/>
    <n v="17.5"/>
    <n v="29"/>
    <x v="2"/>
    <x v="6"/>
    <s v="Q4, FY24"/>
    <s v="Incident"/>
    <x v="0"/>
    <x v="0"/>
    <s v="Body Stressing"/>
    <x v="0"/>
    <s v="Harris Scarfe"/>
    <x v="0"/>
    <s v="Store"/>
    <x v="0"/>
    <s v="VIC"/>
    <s v="Harris Scarfe"/>
    <x v="0"/>
  </r>
  <r>
    <s v="SRG-INJ-2462"/>
    <s v="INC6058"/>
    <n v="12230088834"/>
    <s v="No"/>
    <n v="297227"/>
    <s v="HAILEY, KELLY"/>
    <d v="1989-08-30T00:00:00"/>
    <d v="2024-04-01T00:00:00"/>
    <d v="1899-12-30T13:00:00"/>
    <s v="Harris Scarfe VIC"/>
    <n v="2028"/>
    <s v="Cranbourne Park"/>
    <s v="left side of the head was hit"/>
    <s v="Team member followed customer out to their car as they have stolen knife block and cutlery set from us. As they reached up to smiggle customer got aggressive and started to attack Kelly and hit her across the head with the knife block.   Paramedics was called to check on Kelly as she 7 month pregnant and had a big bump on her head from the hit."/>
    <s v="Claim"/>
    <s v="Accepted Claim"/>
    <s v="Fit"/>
    <s v="Closed"/>
    <n v="22"/>
    <b v="0"/>
    <s v="Medical Treatment Injury"/>
    <s v="Residual soft tissue disorders due to trauma or unknown mechanisms"/>
    <s v="Head - unspecified locations"/>
    <s v="Being Hit By Moving Objects"/>
    <s v="Being assaulted by a person or persons"/>
    <s v="Human agencies"/>
    <m/>
    <s v="Closed"/>
    <e v="#N/A"/>
    <e v="#N/A"/>
    <m/>
    <d v="2020-11-30T00:00:00"/>
    <m/>
    <x v="10"/>
    <n v="4"/>
    <x v="0"/>
    <s v="PART TIME"/>
    <n v="15"/>
    <n v="35"/>
    <x v="4"/>
    <x v="6"/>
    <s v="Q4, FY24"/>
    <s v="MTIs"/>
    <x v="1"/>
    <x v="1"/>
    <s v="Being Hit By Moving Objects"/>
    <x v="1"/>
    <s v="Harris Scarfe"/>
    <x v="0"/>
    <s v="Store"/>
    <x v="0"/>
    <s v="VIC"/>
    <s v="Harris Scarfe"/>
    <x v="0"/>
  </r>
  <r>
    <s v="SRG-INJ-2478"/>
    <s v="INC6129"/>
    <m/>
    <s v="No"/>
    <n v="322472"/>
    <s v="RAFTERY, RUTH"/>
    <d v="1961-07-15T00:00:00"/>
    <d v="2024-04-05T00:00:00"/>
    <d v="1899-12-30T16:45:00"/>
    <s v="Harris Scarfe TAS"/>
    <n v="4042"/>
    <s v="Cambridge"/>
    <s v="Right Eye. Eye scratched with Cardboard"/>
    <s v="."/>
    <s v="Injury"/>
    <m/>
    <s v="No Assessment"/>
    <s v="Closed"/>
    <n v="0"/>
    <b v="0"/>
    <s v="Medical Treatment Injury"/>
    <s v="Laceration or open wound not involving traumatic amputation"/>
    <s v="Eye"/>
    <s v="Being Hit By Moving Objects"/>
    <s v="Being hit by moving objects"/>
    <s v="Other materials and objects"/>
    <m/>
    <n v="0"/>
    <e v="#N/A"/>
    <e v="#N/A"/>
    <m/>
    <d v="2022-05-16T00:00:00"/>
    <m/>
    <x v="4"/>
    <n v="3"/>
    <x v="0"/>
    <s v="CASUAL"/>
    <n v="0.01"/>
    <n v="63"/>
    <x v="0"/>
    <x v="6"/>
    <s v="Q4, FY24"/>
    <s v="MTIs"/>
    <x v="0"/>
    <x v="0"/>
    <s v="Being Hit By Moving Objects"/>
    <x v="0"/>
    <s v="Harris Scarfe"/>
    <x v="2"/>
    <s v="Store"/>
    <x v="0"/>
    <s v="SA/TAS"/>
    <s v="Harris Scarfe"/>
    <x v="1"/>
  </r>
  <r>
    <s v="SRG-INJ-2474"/>
    <s v="INC6121"/>
    <m/>
    <s v="No"/>
    <n v="297049"/>
    <s v="MADDOCK, HANNAH"/>
    <d v="1994-08-06T00:00:00"/>
    <d v="2024-04-07T00:00:00"/>
    <d v="1899-12-30T12:15:00"/>
    <s v="Harris Scarfe QLD"/>
    <n v="9095"/>
    <s v="Chermside"/>
    <s v="Small scratch on wrist but most pain has come from hyperextending her wrist by the way it got caught between the bin lid and bin itself."/>
    <s v="Hannah was trying to close the lid of the bin (big Cleanaway bins) after taking some rubbish out and the lid got stuck open due to the hinge being bent. She was holding the lid up with one hand and the other was adjusting the metal hinge that keeps it open. The bin quickly unjammed and slammed closed, catching Hannah's wrist in the process."/>
    <s v="Injury"/>
    <m/>
    <s v="No Assessment"/>
    <s v="Closed"/>
    <n v="0"/>
    <b v="0"/>
    <s v="First Aid Injury"/>
    <s v="Contusion, bruising and superficial crushing"/>
    <s v="Wrist"/>
    <s v="Being Hit By Moving Objects"/>
    <s v="Being hit by falling objects"/>
    <s v="Other materials and objects"/>
    <m/>
    <n v="0"/>
    <e v="#N/A"/>
    <e v="#N/A"/>
    <m/>
    <d v="2020-08-24T00:00:00"/>
    <d v="2025-04-07T00:00:00"/>
    <x v="10"/>
    <n v="4"/>
    <x v="0"/>
    <s v="PART TIME"/>
    <n v="22"/>
    <n v="30"/>
    <x v="2"/>
    <x v="6"/>
    <s v="Q4, FY24"/>
    <s v="FAIs"/>
    <x v="0"/>
    <x v="0"/>
    <s v="Being Hit By Moving Objects"/>
    <x v="0"/>
    <s v="Harris Scarfe"/>
    <x v="3"/>
    <s v="Store"/>
    <x v="0"/>
    <s v="QLD"/>
    <s v="Harris Scarfe"/>
    <x v="3"/>
  </r>
  <r>
    <s v="SRG-INJ-2494"/>
    <s v="INC6207"/>
    <m/>
    <s v="No"/>
    <n v="221414"/>
    <s v="STRENG, JACQUELINE"/>
    <d v="1957-09-24T00:00:00"/>
    <d v="2024-04-12T00:00:00"/>
    <d v="1899-12-30T15:20:00"/>
    <s v="Harris Scarfe SA"/>
    <n v="1011"/>
    <s v="Marion"/>
    <s v="Laceration right index finger"/>
    <s v="Jackie was placing a broken ceramic pot in the box we use for damaged stock. The pot slipped and she cut her right index finger &lt;5mm long."/>
    <s v="Injury"/>
    <m/>
    <s v="No Assessment"/>
    <s v="Closed"/>
    <n v="0"/>
    <b v="0"/>
    <s v="Not Applicable"/>
    <s v="Laceration or open wound not involving traumatic amputation"/>
    <s v="Hand, finger and thumb"/>
    <s v="Being Hit By Moving Objects"/>
    <s v="Being hit by falling objects"/>
    <s v="Other materials and objects"/>
    <m/>
    <n v="0"/>
    <e v="#N/A"/>
    <e v="#N/A"/>
    <m/>
    <d v="1989-09-25T00:00:00"/>
    <m/>
    <x v="20"/>
    <n v="35"/>
    <x v="7"/>
    <s v="PART TIME"/>
    <n v="32.5"/>
    <n v="67"/>
    <x v="0"/>
    <x v="6"/>
    <s v="Q4, FY24"/>
    <s v="Incident"/>
    <x v="0"/>
    <x v="0"/>
    <s v="Being Hit By Moving Objects"/>
    <x v="0"/>
    <s v="Harris Scarfe"/>
    <x v="1"/>
    <s v="Store"/>
    <x v="0"/>
    <s v="SA/TAS"/>
    <s v="Harris Scarfe"/>
    <x v="1"/>
  </r>
  <r>
    <s v="SRG-INJ-2493"/>
    <s v="INC6203"/>
    <m/>
    <s v="No"/>
    <n v="293177"/>
    <s v="JAY, LAURA"/>
    <d v="1993-08-25T00:00:00"/>
    <d v="2024-04-12T00:00:00"/>
    <d v="1899-12-30T11:30:00"/>
    <s v="Harris Scarfe NSW"/>
    <n v="6076"/>
    <s v="Moruya"/>
    <s v="Left calf muscle"/>
    <s v="I was walking down the stairs going out of the office. I felt my calf muscle pull as I went to step down the stairs. I iced my my leg straight away and had it elevated.  I had a sore leg a couple of days prior."/>
    <s v="Injury"/>
    <m/>
    <s v="No Assessment"/>
    <s v="Closed"/>
    <n v="0"/>
    <b v="0"/>
    <s v="First Aid Injury"/>
    <s v="Trauma to joints and ligaments"/>
    <s v="Lower leg"/>
    <s v="Body Stressing"/>
    <s v="Muscular stress with no objects being handled"/>
    <s v="Human agencies"/>
    <m/>
    <n v="0"/>
    <e v="#N/A"/>
    <e v="#N/A"/>
    <m/>
    <d v="2013-03-11T00:00:00"/>
    <m/>
    <x v="16"/>
    <n v="12"/>
    <x v="5"/>
    <s v="PART TIME"/>
    <n v="22.25"/>
    <n v="31"/>
    <x v="2"/>
    <x v="6"/>
    <s v="Q4, FY24"/>
    <s v="FAIs"/>
    <x v="0"/>
    <x v="0"/>
    <s v="Body Stressing"/>
    <x v="1"/>
    <s v="Harris Scarfe"/>
    <x v="4"/>
    <s v="Store"/>
    <x v="0"/>
    <s v="NSW/ACT"/>
    <s v="Harris Scarfe"/>
    <x v="4"/>
  </r>
  <r>
    <s v="SRG-INJ-2528"/>
    <s v="INC6384"/>
    <m/>
    <s v="No"/>
    <n v="331284"/>
    <s v="MCINTYRE, REBECCA"/>
    <d v="1979-09-19T00:00:00"/>
    <d v="2024-04-12T00:00:00"/>
    <d v="1899-12-30T15:04:00"/>
    <s v="Harris Scarfe QLD"/>
    <n v="9097"/>
    <s v="Hervey Bay"/>
    <s v="hand/thumb"/>
    <s v="As Bec stepped down from the ladder she stood down on to a pallet base that was against the bottom of the ladder (See image). The ladder then moved out of under Bec and she fell backwards and landed on her hand/inner thumb.   Tahlya then got an instant icepack and a bandage. Tahlya applied the icepack for 15 minutes and then bandaged her hand. Bec did not need an ambulance or to see a doctor. But has been informed to seek medical assistance if her injury worsens."/>
    <s v="Injury"/>
    <m/>
    <s v="No Assessment"/>
    <s v="Closed"/>
    <n v="0"/>
    <b v="0"/>
    <s v="First Aid Injury"/>
    <s v="Residual soft tissue disorders due to trauma or unknown mechanisms"/>
    <s v="Hand, finger and thumb"/>
    <s v="Falls, Trips and Slips of a Person"/>
    <s v="Falls on the same level"/>
    <s v="Human agencies"/>
    <m/>
    <n v="0"/>
    <e v="#N/A"/>
    <e v="#N/A"/>
    <m/>
    <d v="2023-10-23T00:00:00"/>
    <m/>
    <x v="1"/>
    <n v="1"/>
    <x v="1"/>
    <s v="PART TIME"/>
    <n v="23.25"/>
    <n v="45"/>
    <x v="1"/>
    <x v="6"/>
    <s v="Q4, FY24"/>
    <s v="FAIs"/>
    <x v="0"/>
    <x v="0"/>
    <s v="Falls, Trips and Slips of a Person"/>
    <x v="1"/>
    <s v="Harris Scarfe"/>
    <x v="3"/>
    <s v="Store"/>
    <x v="0"/>
    <s v="QLD"/>
    <s v="Harris Scarfe"/>
    <x v="3"/>
  </r>
  <r>
    <s v="SRG-INJ-2504"/>
    <s v="INC6264"/>
    <m/>
    <s v="No"/>
    <n v="320431"/>
    <s v="HONEY, RYAN"/>
    <d v="1987-11-09T00:00:00"/>
    <d v="2024-04-18T00:00:00"/>
    <d v="1899-12-30T13:45:00"/>
    <s v="Harris Scarfe VIC"/>
    <n v="2017"/>
    <s v="Woodgrove"/>
    <s v="Left hand. Fingers."/>
    <s v="Ryan was packing up a display Ninja Food Processor for a customer when he cut his hand open on the blade. He came to find me and I went out the back to help him. His dad was also conveniently in store at the time and helped with doing first aid. Ryan then looked like he was going to pass out so we sat him down and gave him some lollies. His dad then took him to go and seek further medical attention."/>
    <s v="Injury"/>
    <m/>
    <s v="No Assessment"/>
    <s v="Closed"/>
    <n v="0"/>
    <b v="0"/>
    <s v="Medical Treatment Injury"/>
    <s v="Laceration or open wound not involving traumatic amputation"/>
    <s v="Hand, finger and thumb"/>
    <s v="Hitting Objects With a Part of the Body"/>
    <s v="Hitting stationary objects"/>
    <s v="Other materials and objects"/>
    <m/>
    <n v="0"/>
    <e v="#N/A"/>
    <e v="#N/A"/>
    <m/>
    <d v="2022-01-10T00:00:00"/>
    <m/>
    <x v="0"/>
    <n v="3"/>
    <x v="0"/>
    <s v="SALARIED"/>
    <n v="38"/>
    <n v="37"/>
    <x v="4"/>
    <x v="6"/>
    <s v="Q4, FY24"/>
    <s v="MTIs"/>
    <x v="0"/>
    <x v="0"/>
    <s v="Hitting Objects With a Part of the Body"/>
    <x v="0"/>
    <s v="Harris Scarfe"/>
    <x v="0"/>
    <s v="Store"/>
    <x v="0"/>
    <s v="VIC &amp; NSW"/>
    <s v="Harris Scarfe"/>
    <x v="2"/>
  </r>
  <r>
    <s v="SRG-INJ-2511"/>
    <s v="INC6306"/>
    <m/>
    <s v="No"/>
    <n v="329940"/>
    <s v="ADDAMS, SAMANTHA"/>
    <d v="1987-01-12T00:00:00"/>
    <d v="2024-04-22T00:00:00"/>
    <d v="1899-12-30T10:30:00"/>
    <s v="Harris Scarfe VIC"/>
    <n v="2019"/>
    <s v="Ballarat"/>
    <s v="Left hand muscle pain and some swelling"/>
    <s v="Grabbed Pepsi max out the back, felt a little twinge. Didn't think anything of it. When serving a customer there was a sharp pain and put hand behind back as was in a lot of pain."/>
    <s v="Injury"/>
    <m/>
    <s v="No Assessment"/>
    <s v="Closed"/>
    <n v="0"/>
    <b v="0"/>
    <s v="First Aid Injury"/>
    <s v="Residual soft tissue disorders due to trauma or unknown mechanisms"/>
    <s v="Back-Upper and lower"/>
    <s v="Body Stressing"/>
    <s v="Muscular stress while handling objects other than lifting, carrying or putting down"/>
    <s v="Human agencies"/>
    <m/>
    <n v="0"/>
    <e v="#N/A"/>
    <s v="Psychosocial"/>
    <m/>
    <d v="2023-07-24T00:00:00"/>
    <d v="2025-03-30T00:00:00"/>
    <x v="1"/>
    <n v="1"/>
    <x v="1"/>
    <s v="PART TIME"/>
    <n v="22.5"/>
    <n v="38"/>
    <x v="4"/>
    <x v="7"/>
    <s v="Q4, FY24"/>
    <s v="FAIs"/>
    <x v="0"/>
    <x v="0"/>
    <s v="Body Stressing"/>
    <x v="1"/>
    <s v="Harris Scarfe"/>
    <x v="0"/>
    <s v="Store"/>
    <x v="0"/>
    <s v="VIC &amp; NSW"/>
    <s v="Harris Scarfe"/>
    <x v="2"/>
  </r>
  <r>
    <s v="SRG-INJ-2517"/>
    <s v="INC6338"/>
    <m/>
    <s v="No"/>
    <n v="324107"/>
    <s v="SANDHU, KULDEEP KAUR"/>
    <d v="1982-01-13T00:00:00"/>
    <d v="2024-04-24T00:00:00"/>
    <d v="1899-12-30T13:09:00"/>
    <s v="Harris Scarfe QLD"/>
    <n v="9095"/>
    <s v="Chermside"/>
    <s v="pierced skin, near nail of middle finger."/>
    <s v="While attaching a security tag to a polo shirt, the pin was stuck inside the tag. When trying to remove the pin from the tag, the pin entered under the skin on the middle finger near the nail. Drew blood."/>
    <s v="Injury"/>
    <m/>
    <s v="No Assessment"/>
    <s v="Closed"/>
    <n v="0"/>
    <b v="0"/>
    <s v="First Aid Injury"/>
    <s v="Laceration or open wound not involving traumatic amputation"/>
    <s v="Hand, finger and thumb"/>
    <s v="Hitting Objects With a Part of the Body"/>
    <s v="Hitting stationary objects"/>
    <s v="Other materials and objects"/>
    <m/>
    <n v="0"/>
    <e v="#N/A"/>
    <e v="#N/A"/>
    <m/>
    <d v="2022-08-15T00:00:00"/>
    <m/>
    <x v="4"/>
    <n v="2"/>
    <x v="0"/>
    <s v="PART TIME"/>
    <n v="34.5"/>
    <n v="43"/>
    <x v="4"/>
    <x v="7"/>
    <s v="Q4, FY24"/>
    <s v="FAIs"/>
    <x v="0"/>
    <x v="0"/>
    <s v="Hitting Objects With a Part of the Body"/>
    <x v="0"/>
    <s v="Harris Scarfe"/>
    <x v="3"/>
    <s v="Store"/>
    <x v="0"/>
    <s v="QLD"/>
    <s v="Harris Scarfe"/>
    <x v="3"/>
  </r>
  <r>
    <s v="SRG-INJ-2519"/>
    <s v="INC6348"/>
    <m/>
    <s v="No"/>
    <n v="295036"/>
    <s v="GORDON, ROSELLE"/>
    <d v="1956-09-05T00:00:00"/>
    <d v="2024-04-24T00:00:00"/>
    <d v="1899-12-30T15:20:00"/>
    <s v="Harris Scarfe QLD"/>
    <n v="9098"/>
    <s v="Carindale"/>
    <s v="forehead"/>
    <s v="Roselle was bending over to put stock out and banged her head on a fixture as she stood up"/>
    <s v="Injury"/>
    <m/>
    <s v="No Assessment"/>
    <s v="Closed"/>
    <n v="0"/>
    <b v="0"/>
    <s v="First Aid Injury"/>
    <s v="Residual soft tissue disorders due to trauma or unknown mechanisms"/>
    <s v="Head - unspecified locations"/>
    <s v="Hitting Objects With a Part of the Body"/>
    <s v="Hitting stationary objects"/>
    <s v="Human agencies"/>
    <m/>
    <n v="0"/>
    <e v="#N/A"/>
    <e v="#N/A"/>
    <m/>
    <d v="2016-10-31T00:00:00"/>
    <m/>
    <x v="8"/>
    <n v="8"/>
    <x v="3"/>
    <s v="PART TIME"/>
    <n v="25"/>
    <n v="68"/>
    <x v="0"/>
    <x v="7"/>
    <s v="Q4, FY24"/>
    <s v="FAIs"/>
    <x v="0"/>
    <x v="0"/>
    <s v="Hitting Objects With a Part of the Body"/>
    <x v="1"/>
    <s v="Harris Scarfe"/>
    <x v="3"/>
    <s v="Store"/>
    <x v="0"/>
    <s v="QLD"/>
    <s v="Harris Scarfe"/>
    <x v="3"/>
  </r>
  <r>
    <s v="SRG-INJ-2522"/>
    <s v="INC6361"/>
    <m/>
    <s v="No"/>
    <n v="323416"/>
    <s v="NGACHIN, MATHOWIC"/>
    <d v="2005-02-04T00:00:00"/>
    <d v="2024-04-26T00:00:00"/>
    <d v="1899-12-30T12:00:00"/>
    <s v="Harris Scarfe VIC"/>
    <n v="2039"/>
    <s v="Fountain Gate"/>
    <s v="object hit left leg"/>
    <s v="trying to disarm soft tag on bedding and the product was leant against the scanner and it fell on Mathowic's leg. and has continually hurt since incident."/>
    <s v="Injury"/>
    <m/>
    <s v="No Assessment"/>
    <s v="Closed"/>
    <n v="0"/>
    <b v="0"/>
    <s v="Not Applicable"/>
    <s v="Contusion, bruising and superficial crushing"/>
    <s v="Lower leg"/>
    <s v="Being Hit By Moving Objects"/>
    <s v="Being hit by falling objects"/>
    <s v="Other materials and objects"/>
    <m/>
    <n v="0"/>
    <e v="#N/A"/>
    <e v="#N/A"/>
    <m/>
    <d v="2022-07-04T00:00:00"/>
    <d v="2024-05-01T00:00:00"/>
    <x v="4"/>
    <n v="1"/>
    <x v="0"/>
    <s v="CASUAL"/>
    <n v="0.01"/>
    <n v="20"/>
    <x v="3"/>
    <x v="7"/>
    <s v="Q4, FY24"/>
    <s v="Incident"/>
    <x v="0"/>
    <x v="0"/>
    <s v="Being Hit By Moving Objects"/>
    <x v="0"/>
    <s v="Harris Scarfe"/>
    <x v="0"/>
    <s v="Store"/>
    <x v="0"/>
    <s v="VIC"/>
    <s v="Harris Scarfe"/>
    <x v="0"/>
  </r>
  <r>
    <s v="SRG-INJ-2529"/>
    <s v="INC6385"/>
    <m/>
    <s v="No"/>
    <n v="330581"/>
    <s v="NICHOLLS, TAHLYA"/>
    <d v="1998-06-15T00:00:00"/>
    <d v="2024-04-28T00:00:00"/>
    <d v="1899-12-30T11:16:00"/>
    <s v="Harris Scarfe QLD"/>
    <n v="9097"/>
    <s v="Hervey Bay"/>
    <s v="left knee"/>
    <s v="Tahlya picked up a box from the back dock and as she lifted the box up and was straightening her knees her left knee gave out from under her and has since not been able to hold weight when bending"/>
    <s v="Injury"/>
    <m/>
    <s v="No Assessment"/>
    <s v="Closed"/>
    <n v="0"/>
    <b v="0"/>
    <s v="First Aid Injury"/>
    <s v="Residual soft tissue disorders due to trauma or unknown mechanisms"/>
    <s v="Knee"/>
    <s v="Body Stressing"/>
    <s v="Muscular stress while lifting, carrying, or putting down objects"/>
    <s v="Human agencies"/>
    <m/>
    <n v="0"/>
    <e v="#N/A"/>
    <e v="#N/A"/>
    <m/>
    <d v="2023-10-09T00:00:00"/>
    <d v="2024-10-28T00:00:00"/>
    <x v="1"/>
    <n v="1"/>
    <x v="1"/>
    <s v="SALARIED"/>
    <n v="38"/>
    <n v="26"/>
    <x v="2"/>
    <x v="7"/>
    <s v="Q4, FY24"/>
    <s v="FAIs"/>
    <x v="0"/>
    <x v="0"/>
    <s v="Body Stressing"/>
    <x v="1"/>
    <s v="Harris Scarfe"/>
    <x v="3"/>
    <s v="Store"/>
    <x v="0"/>
    <s v="QLD"/>
    <s v="Harris Scarfe"/>
    <x v="3"/>
  </r>
  <r>
    <s v="SRG-INJ-2537"/>
    <s v="INC6410"/>
    <m/>
    <s v="No"/>
    <n v="294425"/>
    <s v="BESENYEI, DIANE"/>
    <d v="1970-05-12T00:00:00"/>
    <d v="2024-04-30T00:00:00"/>
    <d v="1899-12-30T07:30:00"/>
    <s v="Harris Scarfe VIC"/>
    <n v="2039"/>
    <s v="Fountain Gate"/>
    <s v="right foot"/>
    <s v="di was unfolding a stiff cage. the shelf that is the base of the cage wasn't clipped in and it fell on her foot when the cage opened."/>
    <s v="Injury"/>
    <m/>
    <s v="No Assessment"/>
    <s v="Closed"/>
    <n v="0"/>
    <b v="0"/>
    <s v="Not Applicable"/>
    <s v="Contusion, bruising and superficial crushing"/>
    <s v="Foot and toes"/>
    <s v="Being Hit By Moving Objects"/>
    <s v="Being hit by falling objects"/>
    <s v="Other materials and objects"/>
    <m/>
    <n v="0"/>
    <e v="#N/A"/>
    <e v="#N/A"/>
    <m/>
    <d v="2015-09-14T00:00:00"/>
    <d v="2024-09-04T00:00:00"/>
    <x v="9"/>
    <n v="8"/>
    <x v="3"/>
    <s v="FULL TIME"/>
    <n v="38"/>
    <n v="54"/>
    <x v="1"/>
    <x v="7"/>
    <s v="Q4, FY24"/>
    <s v="Incident"/>
    <x v="0"/>
    <x v="0"/>
    <s v="Being Hit By Moving Objects"/>
    <x v="0"/>
    <s v="Harris Scarfe"/>
    <x v="0"/>
    <s v="Store"/>
    <x v="0"/>
    <s v="VIC"/>
    <s v="Harris Scarfe"/>
    <x v="0"/>
  </r>
  <r>
    <s v="SRG-INJ-2543"/>
    <s v="INC6420"/>
    <s v="S23FM124433"/>
    <s v="No"/>
    <n v="292530"/>
    <s v="HOLMES, LAURA"/>
    <d v="1976-09-14T00:00:00"/>
    <d v="2024-04-30T00:00:00"/>
    <d v="1899-12-30T13:30:00"/>
    <s v="Harris Scarfe QLD"/>
    <n v="9095"/>
    <s v="Chermside"/>
    <s v="left elbow joint"/>
    <s v="Changing the stock on the front wall from 7L air fryers to 10L air fryers and adjusting shelves to fit them. Lift them properly but have somehow hurt my left elbow muscles. Continued finishing the stock and realized once I finished my shift at 2pm that my arm was really sore"/>
    <s v="Claim"/>
    <s v="Accepted Claim"/>
    <s v="Restricted Duties"/>
    <s v="Open"/>
    <n v="7"/>
    <b v="0"/>
    <s v="Not Applicable"/>
    <s v="Residual soft tissue disorders due to trauma or unknown mechanisms"/>
    <s v="Elbow"/>
    <s v="Body Stressing"/>
    <s v="Muscular stress while handling objects other than lifting, carrying or putting down"/>
    <s v="Human agencies"/>
    <m/>
    <s v="Open"/>
    <e v="#N/A"/>
    <e v="#N/A"/>
    <m/>
    <d v="2012-01-30T00:00:00"/>
    <m/>
    <x v="18"/>
    <n v="13"/>
    <x v="5"/>
    <s v="PART TIME"/>
    <n v="25"/>
    <n v="48"/>
    <x v="1"/>
    <x v="7"/>
    <s v="Q4, FY24"/>
    <s v="Incident"/>
    <x v="1"/>
    <x v="1"/>
    <s v="Body Stressing"/>
    <x v="1"/>
    <s v="Harris Scarfe"/>
    <x v="3"/>
    <s v="Store"/>
    <x v="0"/>
    <s v="QLD"/>
    <s v="Harris Scarfe"/>
    <x v="3"/>
  </r>
  <r>
    <s v="SRG-INJ-2544"/>
    <s v="INC6421"/>
    <m/>
    <s v="No"/>
    <n v="325837"/>
    <s v="INCE, HOLLY"/>
    <d v="2006-02-16T00:00:00"/>
    <d v="2024-05-01T00:00:00"/>
    <d v="1899-12-30T09:20:00"/>
    <s v="Harris Scarfe SA"/>
    <n v="1011"/>
    <s v="Marion"/>
    <s v="No Injury"/>
    <s v="Holly was standing on the door this morning when a middle ages man approached her. He was asking her question like where she lived, where she went to school, how long she had been working here and her age. This made her feel really uncomfortable and unable to go back onto the door. ."/>
    <s v="Injury"/>
    <m/>
    <s v="No Assessment"/>
    <s v="Closed"/>
    <n v="0"/>
    <b v="0"/>
    <s v="Not Applicable"/>
    <s v="Reaction to stressors - other, multiple or not specified"/>
    <s v="Head - unspecified locations"/>
    <s v="Mental Stress"/>
    <s v="Other mental stress factors"/>
    <s v="Human agencies"/>
    <m/>
    <n v="0"/>
    <e v="#N/A"/>
    <e v="#N/A"/>
    <m/>
    <d v="2022-10-24T00:00:00"/>
    <d v="2024-08-22T00:00:00"/>
    <x v="4"/>
    <n v="1"/>
    <x v="0"/>
    <s v="CASUAL"/>
    <n v="0.01"/>
    <n v="19"/>
    <x v="5"/>
    <x v="7"/>
    <s v="Q4, FY24"/>
    <s v="Incident"/>
    <x v="0"/>
    <x v="0"/>
    <s v="Mental Stress"/>
    <x v="1"/>
    <s v="Harris Scarfe"/>
    <x v="1"/>
    <s v="Store"/>
    <x v="0"/>
    <s v="SA/TAS"/>
    <s v="Harris Scarfe"/>
    <x v="1"/>
  </r>
  <r>
    <s v="SRG-INJ-2548"/>
    <s v="INC6438"/>
    <m/>
    <s v="No"/>
    <n v="296583"/>
    <s v="HARRISON, JACK"/>
    <d v="1991-09-13T00:00:00"/>
    <d v="2024-05-02T00:00:00"/>
    <d v="1899-12-30T12:20:00"/>
    <s v="Harris Scarfe QLD"/>
    <n v="9095"/>
    <s v="Chermside"/>
    <s v="Heel Scrape"/>
    <s v="Had to sudden stop to give way to customers, only for a cage to make contact with my left heel."/>
    <s v="Injury"/>
    <m/>
    <s v="No Assessment"/>
    <s v="Closed"/>
    <n v="0"/>
    <b v="0"/>
    <s v="Not Applicable"/>
    <s v="Contusion, bruising and superficial crushing"/>
    <s v="Foot and toes"/>
    <s v="Being Hit By Moving Objects"/>
    <s v="Being hit by moving objects"/>
    <s v="Other materials and objects"/>
    <s v="Roll Cages"/>
    <n v="0"/>
    <e v="#N/A"/>
    <e v="#N/A"/>
    <m/>
    <d v="2019-07-08T00:00:00"/>
    <m/>
    <x v="12"/>
    <n v="5"/>
    <x v="0"/>
    <s v="PART TIME"/>
    <n v="30.75"/>
    <n v="33"/>
    <x v="2"/>
    <x v="7"/>
    <s v="Q4, FY24"/>
    <s v="Incident"/>
    <x v="0"/>
    <x v="0"/>
    <s v="Being Hit By Moving Objects"/>
    <x v="0"/>
    <s v="Harris Scarfe"/>
    <x v="3"/>
    <s v="Store"/>
    <x v="0"/>
    <s v="QLD"/>
    <s v="Harris Scarfe"/>
    <x v="3"/>
  </r>
  <r>
    <s v="SRG-INJ-2556"/>
    <s v="INC6471"/>
    <m/>
    <s v="No"/>
    <n v="286332"/>
    <s v="DOWSETT, KATIE"/>
    <d v="1984-05-31T00:00:00"/>
    <d v="2024-05-03T00:00:00"/>
    <d v="1899-12-30T11:19:00"/>
    <s v="Harris Scarfe VIC"/>
    <n v="2025"/>
    <s v="Southland"/>
    <s v="left elbow"/>
    <s v="katie was on break and was leaning on her left arm and her elbow has started hurting"/>
    <s v="Injury"/>
    <m/>
    <s v="No Assessment"/>
    <s v="Closed"/>
    <n v="0"/>
    <b v="0"/>
    <s v="Not Applicable"/>
    <s v="Trauma to joints and ligaments"/>
    <s v="Elbow"/>
    <s v="Body Stressing"/>
    <s v="Muscular stress with no objects being handled"/>
    <s v="Human agencies"/>
    <m/>
    <n v="0"/>
    <e v="#N/A"/>
    <e v="#N/A"/>
    <m/>
    <d v="2003-08-18T00:00:00"/>
    <m/>
    <x v="3"/>
    <n v="21"/>
    <x v="2"/>
    <s v="FULL TIME"/>
    <n v="38"/>
    <n v="40"/>
    <x v="4"/>
    <x v="7"/>
    <s v="Q4, FY24"/>
    <s v="Incident"/>
    <x v="0"/>
    <x v="0"/>
    <s v="Body Stressing"/>
    <x v="1"/>
    <s v="Harris Scarfe"/>
    <x v="0"/>
    <s v="Store"/>
    <x v="0"/>
    <s v="VIC"/>
    <s v="Harris Scarfe"/>
    <x v="0"/>
  </r>
  <r>
    <s v="SRG-INJ-2555"/>
    <s v="INC6468"/>
    <m/>
    <s v="No"/>
    <n v="296971"/>
    <s v="WEBB, CASSANDRA"/>
    <d v="1988-11-06T00:00:00"/>
    <d v="2024-05-03T00:00:00"/>
    <d v="1899-12-30T14:00:00"/>
    <s v="Harris Scarfe TAS"/>
    <n v="4043"/>
    <s v="Launceston"/>
    <s v="Knocked back of left hand on fixture"/>
    <s v="Team member Cass Webb was pushing cage of sheets when she jammed her left hand between the cage and the moment (fixture)"/>
    <s v="Injury"/>
    <m/>
    <s v="No Assessment"/>
    <s v="Closed"/>
    <n v="0"/>
    <b v="0"/>
    <s v="First Aid Injury"/>
    <s v="Contusion, bruising and superficial crushing"/>
    <s v="Hand, finger and thumb"/>
    <s v="Hitting Objects With a Part of the Body"/>
    <s v="Hitting moving objects"/>
    <s v="Other materials and objects"/>
    <m/>
    <n v="0"/>
    <s v="Non Work Related Injury"/>
    <e v="#N/A"/>
    <m/>
    <d v="2020-06-22T00:00:00"/>
    <m/>
    <x v="10"/>
    <n v="4"/>
    <x v="0"/>
    <s v="PART TIME"/>
    <n v="23"/>
    <n v="36"/>
    <x v="4"/>
    <x v="7"/>
    <s v="Q4, FY24"/>
    <s v="FAIs"/>
    <x v="0"/>
    <x v="0"/>
    <s v="Hitting Objects With a Part of the Body"/>
    <x v="0"/>
    <s v="Harris Scarfe"/>
    <x v="2"/>
    <s v="Store"/>
    <x v="0"/>
    <s v="SA/TAS"/>
    <s v="Harris Scarfe"/>
    <x v="1"/>
  </r>
  <r>
    <s v="SRG-INJ-2557"/>
    <s v="INC6480"/>
    <m/>
    <s v="No"/>
    <n v="326653"/>
    <s v="TOYNTON, ISABEL"/>
    <d v="2004-10-18T00:00:00"/>
    <d v="2024-05-04T00:00:00"/>
    <d v="1899-12-30T13:20:00"/>
    <s v="Harris Scarfe VIC"/>
    <n v="2054"/>
    <s v="Chirnside Park"/>
    <s v="head"/>
    <s v="Team member was in warehouse gathering stock, when she moved the ladder a 6 litre smith &amp; noble air fryer fell on the top of her head. She then came into the tea room where she mentioned she was feeling light headed &amp; slight headache. She did not finish her shift &amp; left shortly after."/>
    <s v="Injury"/>
    <m/>
    <s v="No Assessment"/>
    <s v="Closed"/>
    <n v="0"/>
    <b v="0"/>
    <s v="Not Applicable"/>
    <s v="Contusion, bruising and superficial crushing"/>
    <s v="Head - multiple locations"/>
    <s v="Being Hit By Moving Objects"/>
    <s v="Being hit by falling objects"/>
    <s v="Other materials and objects"/>
    <m/>
    <n v="0"/>
    <e v="#N/A"/>
    <e v="#N/A"/>
    <m/>
    <d v="2022-11-14T00:00:00"/>
    <d v="2024-07-23T00:00:00"/>
    <x v="4"/>
    <n v="1"/>
    <x v="0"/>
    <s v="PART TIME"/>
    <n v="22.25"/>
    <n v="20"/>
    <x v="3"/>
    <x v="7"/>
    <s v="Q4, FY24"/>
    <s v="Incident"/>
    <x v="0"/>
    <x v="0"/>
    <s v="Being Hit By Moving Objects"/>
    <x v="0"/>
    <s v="Harris Scarfe"/>
    <x v="0"/>
    <s v="Store"/>
    <x v="0"/>
    <s v="VIC"/>
    <s v="Harris Scarfe"/>
    <x v="0"/>
  </r>
  <r>
    <s v="SRG-INJ-2562"/>
    <s v="INC6506"/>
    <m/>
    <s v="No"/>
    <n v="326476"/>
    <s v="DAMALAS, BILL"/>
    <d v="1985-02-09T00:00:00"/>
    <d v="2024-05-07T00:00:00"/>
    <d v="1899-12-30T10:21:00"/>
    <s v="Harris Scarfe VIC"/>
    <n v="2054"/>
    <s v="Chirnside Park"/>
    <s v="head"/>
    <s v="refilling wall with bins perimeter brand blade was accidently knocked and fell hitting Billy on the top of the head grazing his head"/>
    <s v="Injury"/>
    <m/>
    <s v="No Assessment"/>
    <s v="Closed"/>
    <n v="0"/>
    <b v="0"/>
    <s v="First Aid Injury"/>
    <s v="Contusion, bruising and superficial crushing"/>
    <s v="Head - unspecified locations"/>
    <s v="Being Hit By Moving Objects"/>
    <s v="Being hit by falling objects"/>
    <s v="Human agencies"/>
    <m/>
    <n v="0"/>
    <e v="#N/A"/>
    <e v="#N/A"/>
    <m/>
    <d v="2022-11-14T00:00:00"/>
    <m/>
    <x v="4"/>
    <n v="2"/>
    <x v="0"/>
    <s v="PART TIME"/>
    <n v="20"/>
    <n v="40"/>
    <x v="4"/>
    <x v="7"/>
    <s v="Q4, FY24"/>
    <s v="FAIs"/>
    <x v="0"/>
    <x v="0"/>
    <s v="Being Hit By Moving Objects"/>
    <x v="1"/>
    <s v="Harris Scarfe"/>
    <x v="0"/>
    <s v="Store"/>
    <x v="0"/>
    <s v="VIC"/>
    <s v="Harris Scarfe"/>
    <x v="0"/>
  </r>
  <r>
    <s v="SRG-INJ-2572"/>
    <s v="INC6557"/>
    <s v="G7408524/"/>
    <s v="No"/>
    <n v="324799"/>
    <s v="MOHAMMADI, SEYEDALIREZA"/>
    <d v="1986-12-07T00:00:00"/>
    <d v="2024-05-09T00:00:00"/>
    <d v="1899-12-30T15:00:00"/>
    <s v="Harris Scarfe ACT"/>
    <n v="6065"/>
    <s v="Tuggeranong"/>
    <s v="Constant pain in lower back which gets too much when trying to bend or move an object"/>
    <s v="Yesterday I was packing the Ecom orders. There was an order with 2 of Soren 16-piece dinner sets that would perfectly fit in one of our boxes. But it was a bit heavy after packing them. Although I tried moving the box with the correct posture, I felt a sharp pain in my lower back during the move. It continues to bother me for the rest of the day in a way that even standing straight or bending down was getting challenging. Since my back is still sore today and I can't move any objects without feeling pain, I decided to report it."/>
    <s v="Claim"/>
    <s v="Accepted Claim"/>
    <s v="Fit"/>
    <s v="Closed"/>
    <n v="5"/>
    <b v="0"/>
    <s v="Not Applicable"/>
    <s v="Residual soft tissue disorders due to trauma or unknown mechanisms"/>
    <s v="Back-Upper and lower"/>
    <s v="Body Stressing"/>
    <s v="Muscular stress while lifting, carrying, or putting down objects"/>
    <s v="Human agencies"/>
    <m/>
    <s v="Closed"/>
    <e v="#N/A"/>
    <e v="#N/A"/>
    <m/>
    <d v="2022-09-12T00:00:00"/>
    <d v="2024-05-26T00:00:00"/>
    <x v="4"/>
    <n v="1"/>
    <x v="0"/>
    <s v="SALARIED"/>
    <n v="38"/>
    <n v="38"/>
    <x v="4"/>
    <x v="7"/>
    <s v="Q4, FY24"/>
    <s v="Incident"/>
    <x v="1"/>
    <x v="1"/>
    <s v="Body Stressing"/>
    <x v="1"/>
    <s v="Harris Scarfe"/>
    <x v="5"/>
    <s v="Store"/>
    <x v="0"/>
    <s v="NSW/ACT"/>
    <s v="Harris Scarfe"/>
    <x v="4"/>
  </r>
  <r>
    <s v="SRG-INJ-2574"/>
    <s v="INC6567"/>
    <m/>
    <s v="No"/>
    <n v="288389"/>
    <s v="CAMPBELL, KIRBY"/>
    <d v="1990-02-02T00:00:00"/>
    <d v="2024-05-10T00:00:00"/>
    <d v="1899-12-30T10:30:00"/>
    <s v="Harris Scarfe TAS"/>
    <n v="4044"/>
    <s v="Devonport"/>
    <s v="Sore twinge in upper back."/>
    <s v="Went out to the dock to get a bread maker for a customer that had just come in on the pallet and took it out to them. Not long after that I felt a twinge in my upper back."/>
    <s v="Injury"/>
    <m/>
    <s v="No Assessment"/>
    <s v="Closed"/>
    <n v="0"/>
    <b v="0"/>
    <s v="Not Applicable"/>
    <s v="Residual soft tissue disorders due to trauma or unknown mechanisms"/>
    <s v="Back-Upper and lower"/>
    <s v="Body Stressing"/>
    <s v="Muscular stress while lifting, carrying, or putting down objects"/>
    <s v="Human agencies"/>
    <m/>
    <n v="0"/>
    <e v="#N/A"/>
    <e v="#N/A"/>
    <m/>
    <d v="2006-09-04T00:00:00"/>
    <m/>
    <x v="2"/>
    <n v="18"/>
    <x v="2"/>
    <s v="PART TIME"/>
    <n v="25"/>
    <n v="35"/>
    <x v="4"/>
    <x v="7"/>
    <s v="Q4, FY24"/>
    <s v="Incident"/>
    <x v="0"/>
    <x v="0"/>
    <s v="Body Stressing"/>
    <x v="1"/>
    <s v="Harris Scarfe"/>
    <x v="2"/>
    <s v="Store"/>
    <x v="0"/>
    <s v="SA/TAS"/>
    <s v="Harris Scarfe"/>
    <x v="1"/>
  </r>
  <r>
    <s v="SRG-INJ-2571"/>
    <s v="INC6555"/>
    <m/>
    <s v="No"/>
    <n v="331913"/>
    <s v="DONOHUE, DANNIELLE"/>
    <d v="1984-11-10T00:00:00"/>
    <d v="2024-05-10T00:00:00"/>
    <d v="1899-12-30T12:45:00"/>
    <s v="Harris Scarfe NSW"/>
    <n v="5060"/>
    <s v="Bathurst"/>
    <s v="Spine"/>
    <s v="Bollard fell on my back when I moved a box. Ground is at a slope."/>
    <s v="Injury"/>
    <m/>
    <s v="No Assessment"/>
    <s v="Closed"/>
    <n v="0"/>
    <b v="0"/>
    <s v="Not Applicable"/>
    <s v="Residual soft tissue disorders due to trauma or unknown mechanisms"/>
    <s v="Back-Upper and lower"/>
    <s v="Being Hit By Moving Objects"/>
    <s v="Being hit by falling objects"/>
    <s v="Other materials and objects"/>
    <m/>
    <n v="0"/>
    <e v="#N/A"/>
    <e v="#N/A"/>
    <m/>
    <d v="2023-11-06T00:00:00"/>
    <d v="2024-07-24T00:00:00"/>
    <x v="1"/>
    <n v="0"/>
    <x v="1"/>
    <s v="SALARIED"/>
    <n v="38"/>
    <n v="40"/>
    <x v="4"/>
    <x v="7"/>
    <s v="Q4, FY24"/>
    <s v="Incident"/>
    <x v="0"/>
    <x v="0"/>
    <s v="Being Hit By Moving Objects"/>
    <x v="0"/>
    <s v="Harris Scarfe"/>
    <x v="4"/>
    <s v="Store"/>
    <x v="0"/>
    <s v="QLD"/>
    <s v="Harris Scarfe"/>
    <x v="3"/>
  </r>
  <r>
    <s v="SRG-INJ-2584"/>
    <s v="INC6616"/>
    <n v="12230104187"/>
    <s v="No"/>
    <n v="291432"/>
    <s v="LANGE, KERRI"/>
    <d v="1965-04-23T00:00:00"/>
    <d v="2024-05-11T00:00:00"/>
    <d v="1899-12-30T12:07:00"/>
    <s v="Harris Scarfe VIC"/>
    <n v="2022"/>
    <s v="Knox City"/>
    <s v="right arm upper - muscle pull"/>
    <s v="I was emptying out a box of ladies dressing gowns which has 2 packs of 6  wrapped inside the box while having a rubber band wrapped around the 6 coat hanger handles which makes even getting 1 pack out quite heavy and awkward . When I pulled in and reached out a pack i felt a slight pull in my right arm around my bicep area . it was only a small pain so kept going and didn't think much of it at the time . next 3 days it got more painful and am now going to doctors on Wednesday 15th to get it checked out  ."/>
    <s v="Claim"/>
    <s v="Accepted Claim"/>
    <s v="Fit"/>
    <s v="Closed"/>
    <n v="1"/>
    <b v="0"/>
    <s v="Medical Treatment Injury"/>
    <s v="Residual soft tissue disorders due to trauma or unknown mechanisms"/>
    <s v="Upper arm"/>
    <s v="Body Stressing"/>
    <s v="Muscular stress while lifting, carrying, or putting down objects"/>
    <s v="Human agencies"/>
    <m/>
    <s v="Closed"/>
    <e v="#N/A"/>
    <e v="#N/A"/>
    <m/>
    <d v="2010-06-21T00:00:00"/>
    <m/>
    <x v="7"/>
    <n v="14"/>
    <x v="5"/>
    <s v="PART TIME"/>
    <n v="29"/>
    <n v="60"/>
    <x v="0"/>
    <x v="7"/>
    <s v="Q4, FY24"/>
    <s v="MTIs"/>
    <x v="1"/>
    <x v="1"/>
    <s v="Body Stressing"/>
    <x v="1"/>
    <s v="Harris Scarfe"/>
    <x v="0"/>
    <s v="Store"/>
    <x v="0"/>
    <s v="VIC"/>
    <s v="Harris Scarfe"/>
    <x v="0"/>
  </r>
  <r>
    <s v="SRG-INJ-2578"/>
    <s v="INC6583"/>
    <n v="12230102480"/>
    <s v="No"/>
    <n v="318004"/>
    <s v="KEATING, BRIDIE"/>
    <d v="1996-05-04T00:00:00"/>
    <d v="2024-05-11T00:00:00"/>
    <d v="1899-12-30T09:03:00"/>
    <s v="Harris Scarfe VIC"/>
    <n v="2045"/>
    <s v="Frankston"/>
    <s v="ankle misjudged bottom step of ladder"/>
    <s v="Bridie was working on the ladder, in the stockroom she misjudged the bottom step and twisted her ankle on the ground, moved her to the office and sat her on a chair  applied snap pack ice and elevated the foot to try and reduce any swelling, for a period of time,  est 10-15 mins, swelling looked ok, and she got a bit of movement back into her foot, it was still sore, bridie was still not great we rang doctors but wait time would of been two hours, drove bridie home, gave her a medial capacity pack, as she was going to ring the doctor and get hers to come to her home,  received the forms last night, looks like she can come back to work but on slightly lighter duties no ladder climbing, 4-5 hours a shift, 5kg limits limited pushing and pulling  thanked her for getting the capacity filled out doctor review in one week tried to check CCTV for footage but couldn't find anything"/>
    <s v="Claim"/>
    <s v="Accepted Claim"/>
    <s v="Fit"/>
    <s v="Closed"/>
    <n v="0"/>
    <b v="0"/>
    <s v="First Aid Injury"/>
    <s v="Trauma to muscles and tendons"/>
    <s v="Ankle"/>
    <s v="Falls, Trips and Slips of a Person"/>
    <s v="Stepping, kneeling or sitting on objects"/>
    <s v="Human agencies"/>
    <m/>
    <s v="Closed"/>
    <s v="Non Work Related Injury"/>
    <e v="#N/A"/>
    <m/>
    <d v="2021-11-01T00:00:00"/>
    <m/>
    <x v="0"/>
    <n v="3"/>
    <x v="0"/>
    <s v="PART TIME"/>
    <n v="17.5"/>
    <n v="29"/>
    <x v="2"/>
    <x v="7"/>
    <s v="Q4, FY24"/>
    <s v="FAIs"/>
    <x v="1"/>
    <x v="1"/>
    <s v="Falls, Trips and Slips of a Person"/>
    <x v="1"/>
    <s v="Harris Scarfe"/>
    <x v="0"/>
    <s v="Store"/>
    <x v="0"/>
    <s v="VIC"/>
    <s v="Harris Scarfe"/>
    <x v="0"/>
  </r>
  <r>
    <s v="SRG-INJ-2581"/>
    <s v="INC6605"/>
    <m/>
    <s v="No"/>
    <n v="322452"/>
    <s v="QUEEN, DECLAN"/>
    <d v="1999-05-03T00:00:00"/>
    <d v="2024-05-13T00:00:00"/>
    <d v="1899-12-30T15:45:00"/>
    <s v="Harris Scarfe TAS"/>
    <n v="4042"/>
    <s v="Cambridge"/>
    <s v="Right side Forehead"/>
    <s v="."/>
    <s v="Injury"/>
    <m/>
    <s v="No Assessment"/>
    <s v="Closed"/>
    <n v="0"/>
    <b v="0"/>
    <s v="Not Applicable"/>
    <s v="Contusion, bruising and superficial crushing"/>
    <s v="Head - unspecified locations"/>
    <s v="Hitting Objects With a Part of the Body"/>
    <s v="Hitting stationary objects"/>
    <s v="Human agencies"/>
    <m/>
    <n v="0"/>
    <e v="#N/A"/>
    <e v="#N/A"/>
    <m/>
    <d v="2022-05-16T00:00:00"/>
    <m/>
    <x v="4"/>
    <n v="3"/>
    <x v="0"/>
    <s v="PART TIME"/>
    <n v="19"/>
    <n v="26"/>
    <x v="2"/>
    <x v="7"/>
    <s v="Q4, FY24"/>
    <s v="Incident"/>
    <x v="0"/>
    <x v="0"/>
    <s v="Hitting Objects With a Part of the Body"/>
    <x v="1"/>
    <s v="Harris Scarfe"/>
    <x v="2"/>
    <s v="Store"/>
    <x v="0"/>
    <s v="SA/TAS"/>
    <s v="Harris Scarfe"/>
    <x v="1"/>
  </r>
  <r>
    <s v="SRG-INJ-2585"/>
    <s v="INC6585"/>
    <m/>
    <s v="No"/>
    <n v="325622"/>
    <s v="HODSON, SYLVIA"/>
    <d v="1959-02-03T00:00:00"/>
    <d v="2024-05-13T00:00:00"/>
    <d v="1899-12-30T09:30:00"/>
    <s v="Harris Scarfe NSW"/>
    <n v="5054"/>
    <s v="Blacktown"/>
    <s v="head"/>
    <s v="The employee was placing the storage bin on the top shelving when the metal panel came off on one side. They then placed the panel back into place, stepped down from the  stool and it the panel then fell off again, directly on top of her head."/>
    <s v="Injury"/>
    <m/>
    <s v="No Assessment"/>
    <s v="Closed"/>
    <n v="0"/>
    <b v="0"/>
    <s v="Not Applicable"/>
    <s v="Contusion, bruising and superficial crushing"/>
    <s v="Head - unspecified locations"/>
    <s v="Being Hit By Moving Objects"/>
    <s v="Being hit by falling objects"/>
    <s v="Other materials and objects"/>
    <m/>
    <n v="0"/>
    <e v="#N/A"/>
    <e v="#N/A"/>
    <m/>
    <d v="2022-10-17T00:00:00"/>
    <m/>
    <x v="4"/>
    <n v="2"/>
    <x v="0"/>
    <s v="PART TIME"/>
    <n v="30"/>
    <n v="66"/>
    <x v="0"/>
    <x v="7"/>
    <s v="Q4, FY24"/>
    <s v="Incident"/>
    <x v="0"/>
    <x v="0"/>
    <s v="Being Hit By Moving Objects"/>
    <x v="0"/>
    <s v="Harris Scarfe"/>
    <x v="4"/>
    <s v="Store"/>
    <x v="0"/>
    <s v="NSW/ACT"/>
    <s v="Harris Scarfe"/>
    <x v="4"/>
  </r>
  <r>
    <s v="SRG-INJ-2628"/>
    <s v="INC6818"/>
    <s v="58725357/00"/>
    <s v="No"/>
    <n v="294934"/>
    <s v="FABIAN, JOSEPH"/>
    <d v="1963-11-28T00:00:00"/>
    <d v="2024-05-15T00:00:00"/>
    <d v="1899-12-30T10:53:00"/>
    <s v="Harris Scarfe SA"/>
    <n v="1008"/>
    <s v="Tea Tree Plaza"/>
    <s v="Right shoulder"/>
    <s v="throughout the day unpacking and stacking boxes/cartons,some cartons of substantial weight being lifted above head height .so obviously somewhere during the day i have over used my shoulder and felt a lot of pain. i knew something did not feel right."/>
    <s v="Claim"/>
    <s v="Accepted Claim"/>
    <s v="Fit"/>
    <s v="Closed"/>
    <n v="24"/>
    <b v="0"/>
    <s v="Lost Time Injury"/>
    <s v="Residual soft tissue disorders due to trauma or unknown mechanisms"/>
    <s v="Shoulder"/>
    <s v="Body Stressing"/>
    <s v="Muscular stress while lifting, carrying, or putting down objects"/>
    <s v="Human agencies"/>
    <m/>
    <s v="Closed"/>
    <e v="#N/A"/>
    <e v="#N/A"/>
    <m/>
    <d v="2016-08-29T00:00:00"/>
    <m/>
    <x v="8"/>
    <n v="8"/>
    <x v="3"/>
    <s v="PART TIME"/>
    <n v="32.5"/>
    <n v="61"/>
    <x v="0"/>
    <x v="7"/>
    <s v="Q4, FY24"/>
    <s v="LTIs"/>
    <x v="1"/>
    <x v="1"/>
    <s v="Body Stressing"/>
    <x v="1"/>
    <s v="Harris Scarfe"/>
    <x v="1"/>
    <s v="Store"/>
    <x v="0"/>
    <s v="SA/TAS"/>
    <s v="Harris Scarfe"/>
    <x v="1"/>
  </r>
  <r>
    <s v="SRG-INJ-2587"/>
    <s v="INC6628"/>
    <m/>
    <s v="No"/>
    <n v="324744"/>
    <s v="SHARAN, NATASHA"/>
    <d v="1980-04-18T00:00:00"/>
    <d v="2024-05-15T00:00:00"/>
    <d v="1899-12-30T15:00:00"/>
    <s v="Harris Scarfe QLD"/>
    <n v="9087"/>
    <s v="Loganholme"/>
    <s v="Right Hand/Wrist - Pulled/Strain along right hand/wrist area while manual lifting empty pallet on top of other pallets"/>
    <s v="After the last pallet had been emptied. I dragged the pallet from the reserve to the other empty pallets on the back dock outside. I lifted the empty pallet at one end  to place on top of the others with both hands. I felt a pull and then pain in my right hand/wrist. The pallet was quite heavy but I could not ask for assistance with lifting the pallet as there was only myself and one other staff member working at the time, who was at the front counter. After i closed and locked the back dock door. I went to the front of the store and told the other staff member working what had happened. I did not treat the pain as it was not that bad at the time. Overnight the pain increased and became worse. I treated the pain with heat rub and wrist bandage. The pain is travelling along the right hand along the wrist. There is pain when i try to twist or move my right hand. I will be going to the doctors to have it checked."/>
    <s v="Injury"/>
    <m/>
    <s v="Restricted Duties"/>
    <s v="Closed"/>
    <n v="0"/>
    <b v="0"/>
    <s v="Not Applicable"/>
    <s v="Residual soft tissue disorders due to trauma or unknown mechanisms"/>
    <s v="Wrist"/>
    <s v="Body Stressing"/>
    <s v="Muscular stress while lifting, carrying, or putting down objects"/>
    <s v="Human agencies"/>
    <m/>
    <n v="0"/>
    <e v="#N/A"/>
    <e v="#N/A"/>
    <m/>
    <d v="2022-10-03T00:00:00"/>
    <m/>
    <x v="4"/>
    <n v="2"/>
    <x v="0"/>
    <s v="PART TIME"/>
    <n v="23.5"/>
    <n v="45"/>
    <x v="1"/>
    <x v="7"/>
    <s v="Q4, FY24"/>
    <s v="Incident"/>
    <x v="0"/>
    <x v="0"/>
    <s v="Body Stressing"/>
    <x v="1"/>
    <s v="Harris Scarfe"/>
    <x v="3"/>
    <s v="Store"/>
    <x v="0"/>
    <s v="QLD"/>
    <s v="Harris Scarfe"/>
    <x v="3"/>
  </r>
  <r>
    <s v="SRG-INJ-2583"/>
    <s v="INC6615"/>
    <m/>
    <s v="No"/>
    <n v="298607"/>
    <s v="PARKER, SHANNON"/>
    <d v="1983-08-03T00:00:00"/>
    <d v="2024-05-15T00:00:00"/>
    <d v="1899-12-30T08:15:00"/>
    <s v="Harris Scarfe QLD"/>
    <n v="9097"/>
    <s v="Hervey Bay"/>
    <s v="hand"/>
    <s v="The roller door would not open, the manual chain was used to open the door which jammed and caused the chain to fling in an upwards direction and causing injury and pain to the SMs right hand. It also was very close to smashing me in the face. This is the second time it's happened to a Team member. The door has been constantly followed up since January with an email chain requesting the door be fixed continuously since we opened. This has been forwarded to the donesafe email."/>
    <s v="Injury"/>
    <m/>
    <s v="No Assessment"/>
    <s v="Closed"/>
    <n v="0"/>
    <b v="0"/>
    <s v="Not Applicable"/>
    <s v="Contusion, bruising and superficial crushing"/>
    <s v="Hand, finger and thumb"/>
    <s v="Being Hit By Moving Objects"/>
    <s v="Being hit by falling objects"/>
    <s v="Electrical Installation"/>
    <m/>
    <n v="0"/>
    <e v="#N/A"/>
    <e v="#N/A"/>
    <m/>
    <d v="2023-10-09T00:00:00"/>
    <m/>
    <x v="1"/>
    <n v="1"/>
    <x v="1"/>
    <s v="SALARIED"/>
    <n v="38"/>
    <n v="41"/>
    <x v="4"/>
    <x v="7"/>
    <s v="Q4, FY24"/>
    <s v="Incident"/>
    <x v="0"/>
    <x v="0"/>
    <s v="Being Hit By Moving Objects"/>
    <x v="11"/>
    <s v="Harris Scarfe"/>
    <x v="3"/>
    <s v="Store"/>
    <x v="0"/>
    <s v="QLD"/>
    <s v="Harris Scarfe"/>
    <x v="3"/>
  </r>
  <r>
    <s v="SRG-INJ-2588"/>
    <s v="INC6629"/>
    <s v="58563713/00"/>
    <s v="No"/>
    <n v="406544"/>
    <s v="BUFO, MARIA"/>
    <d v="1972-08-01T00:00:00"/>
    <d v="2024-05-16T00:00:00"/>
    <d v="1899-12-30T11:15:00"/>
    <s v="Harris Scarfe SA"/>
    <n v="1006"/>
    <s v="West Lakes"/>
    <s v="Mid to lower right hand side of back.feels like muscle strain."/>
    <s v="Teresa was putting stock out and slipped on a piece of paper on the floor."/>
    <s v="Claim"/>
    <s v="Accepted Claim (MEO)"/>
    <s v="No Assessment"/>
    <s v="Closed"/>
    <n v="0"/>
    <b v="0"/>
    <s v="Medical Treatment Injury"/>
    <s v="Residual soft tissue disorders due to trauma or unknown mechanisms"/>
    <s v="Back-Upper and lower"/>
    <s v="Falls, Trips and Slips of a Person"/>
    <s v="Stepping, kneeling or sitting on objects"/>
    <s v="Human agencies"/>
    <m/>
    <s v="Closed"/>
    <e v="#N/A"/>
    <e v="#N/A"/>
    <m/>
    <d v="2011-04-11T00:00:00"/>
    <d v="2024-11-10T00:00:00"/>
    <x v="7"/>
    <n v="13"/>
    <x v="5"/>
    <s v="SALARIED"/>
    <n v="38"/>
    <n v="52"/>
    <x v="1"/>
    <x v="7"/>
    <s v="Q4, FY24"/>
    <s v="MTIs"/>
    <x v="1"/>
    <x v="2"/>
    <s v="Falls, Trips and Slips of a Person"/>
    <x v="1"/>
    <s v="Harris Scarfe"/>
    <x v="1"/>
    <s v="Store"/>
    <x v="0"/>
    <s v="SA/TAS"/>
    <s v="Harris Scarfe"/>
    <x v="1"/>
  </r>
  <r>
    <s v="SRG-INJ-2608"/>
    <s v="INC6717"/>
    <m/>
    <s v="No"/>
    <n v="332334"/>
    <s v="CALLAUGHAN, MEGAN"/>
    <d v="1992-09-05T00:00:00"/>
    <d v="2024-05-16T00:00:00"/>
    <d v="1899-12-30T14:49:00"/>
    <s v="Harris Scarfe NSW"/>
    <n v="5060"/>
    <s v="Bathurst"/>
    <s v="Shoulder"/>
    <s v="Megan was looking in another direction when she walked through the fry-pan area hitting her shoulder on a protruding fry-pan handle."/>
    <s v="Injury"/>
    <m/>
    <s v="No Assessment"/>
    <s v="Closed"/>
    <n v="0"/>
    <b v="0"/>
    <s v="First Aid Injury"/>
    <s v="Contusion, bruising and superficial crushing"/>
    <s v="Shoulder"/>
    <s v="Hitting Objects With a Part of the Body"/>
    <s v="Hitting stationary objects"/>
    <s v="Human agencies"/>
    <m/>
    <n v="0"/>
    <e v="#N/A"/>
    <e v="#N/A"/>
    <m/>
    <d v="2023-11-27T00:00:00"/>
    <d v="2025-04-15T00:00:00"/>
    <x v="1"/>
    <n v="1"/>
    <x v="1"/>
    <s v="PART TIME"/>
    <n v="20"/>
    <n v="32"/>
    <x v="2"/>
    <x v="7"/>
    <s v="Q4, FY24"/>
    <s v="FAIs"/>
    <x v="0"/>
    <x v="0"/>
    <s v="Hitting Objects With a Part of the Body"/>
    <x v="1"/>
    <s v="Harris Scarfe"/>
    <x v="4"/>
    <s v="Store"/>
    <x v="0"/>
    <s v="QLD"/>
    <s v="Harris Scarfe"/>
    <x v="3"/>
  </r>
  <r>
    <s v="SRG-INJ-2609"/>
    <s v="INC6723"/>
    <m/>
    <s v="No"/>
    <n v="290039"/>
    <s v="NICOLAISEN, CHRISTINA"/>
    <d v="1973-08-14T00:00:00"/>
    <d v="2024-05-17T00:00:00"/>
    <d v="1899-12-30T13:00:00"/>
    <s v="Harris Scarfe VIC"/>
    <n v="2022"/>
    <s v="Knox City"/>
    <s v="bruise on left knuckle"/>
    <s v="Christina was walking with a cage of stock from the Receiving dock area through the flap doors and out onto the shop floor . She had pushed 1 side of the flap doors open to go through with the trolley but bumped my left hand on the side of the doorway when passing through . This gave Christina some bruising to the left Knuckle on the left hand ."/>
    <s v="Injury"/>
    <m/>
    <s v="No Assessment"/>
    <s v="Closed"/>
    <n v="0"/>
    <b v="0"/>
    <s v="First Aid Injury"/>
    <s v="Contusion, bruising and superficial crushing"/>
    <s v="Hand, finger and thumb"/>
    <s v="Hitting Objects With a Part of the Body"/>
    <s v="Hitting stationary objects"/>
    <s v="Human agencies"/>
    <m/>
    <n v="0"/>
    <e v="#N/A"/>
    <e v="#N/A"/>
    <m/>
    <d v="2008-04-29T00:00:00"/>
    <m/>
    <x v="21"/>
    <n v="17"/>
    <x v="2"/>
    <s v="FULL TIME"/>
    <n v="38"/>
    <n v="51"/>
    <x v="1"/>
    <x v="7"/>
    <s v="Q4, FY24"/>
    <s v="FAIs"/>
    <x v="0"/>
    <x v="0"/>
    <s v="Hitting Objects With a Part of the Body"/>
    <x v="1"/>
    <s v="Harris Scarfe"/>
    <x v="0"/>
    <s v="Store"/>
    <x v="0"/>
    <s v="VIC"/>
    <s v="Harris Scarfe"/>
    <x v="0"/>
  </r>
  <r>
    <s v="SRG-INJ-2604"/>
    <s v="INC6703"/>
    <m/>
    <s v="No"/>
    <n v="296953"/>
    <s v="WILLIAMS, MARGARET"/>
    <d v="1971-01-15T00:00:00"/>
    <d v="2024-05-17T00:00:00"/>
    <d v="1899-12-30T16:00:00"/>
    <s v="Harris Scarfe TAS"/>
    <n v="4044"/>
    <s v="Devonport"/>
    <s v="Pull/ Strain to right arm /shoulder"/>
    <s v="Margaret was moving stock, felt something pull in upper arm / shoulder on right side.. She took not much notice at the time until she went home and cooled off it was then that she had problems moving her arm."/>
    <s v="Injury"/>
    <m/>
    <s v="No Assessment"/>
    <s v="Closed"/>
    <n v="0"/>
    <b v="0"/>
    <s v="Not Applicable"/>
    <s v="Residual soft tissue disorders due to trauma or unknown mechanisms"/>
    <s v="Shoulder"/>
    <s v="Body Stressing"/>
    <s v="Muscular stress while lifting, carrying, or putting down objects"/>
    <s v="Human agencies"/>
    <m/>
    <n v="0"/>
    <e v="#N/A"/>
    <e v="#N/A"/>
    <m/>
    <d v="2020-07-27T00:00:00"/>
    <m/>
    <x v="10"/>
    <n v="4"/>
    <x v="0"/>
    <s v="PART TIME"/>
    <n v="25"/>
    <n v="54"/>
    <x v="1"/>
    <x v="7"/>
    <s v="Q4, FY24"/>
    <s v="Incident"/>
    <x v="0"/>
    <x v="0"/>
    <s v="Body Stressing"/>
    <x v="1"/>
    <s v="Harris Scarfe"/>
    <x v="2"/>
    <s v="Store"/>
    <x v="0"/>
    <s v="SA/TAS"/>
    <s v="Harris Scarfe"/>
    <x v="1"/>
  </r>
  <r>
    <s v="SRG-INJ-2616"/>
    <s v="INC6744"/>
    <m/>
    <s v="No"/>
    <n v="326571"/>
    <s v="LATHOURAS, PETER"/>
    <d v="1963-12-14T00:00:00"/>
    <d v="2024-05-22T00:00:00"/>
    <d v="1899-12-30T11:45:00"/>
    <s v="Harris Scarfe NSW"/>
    <n v="5089"/>
    <s v="Rockdale"/>
    <s v="Finger"/>
    <s v="Peter sliced finger open on a cage in the storeroom.. has applied pressure and bandage however wont stop bleeding"/>
    <s v="Injury"/>
    <m/>
    <s v="No Assessment"/>
    <s v="Closed"/>
    <n v="0"/>
    <b v="0"/>
    <s v="First Aid Injury"/>
    <s v="Laceration or open wound not involving traumatic amputation"/>
    <s v="Hand, finger and thumb"/>
    <s v="Hitting Objects With a Part of the Body"/>
    <s v="Hitting stationary objects"/>
    <s v="Human agencies"/>
    <m/>
    <n v="0"/>
    <e v="#N/A"/>
    <e v="#N/A"/>
    <m/>
    <d v="2022-11-07T00:00:00"/>
    <m/>
    <x v="4"/>
    <n v="2"/>
    <x v="0"/>
    <s v="PART TIME"/>
    <n v="25"/>
    <n v="61"/>
    <x v="0"/>
    <x v="7"/>
    <s v="Q4, FY24"/>
    <s v="FAIs"/>
    <x v="0"/>
    <x v="0"/>
    <s v="Hitting Objects With a Part of the Body"/>
    <x v="1"/>
    <s v="Harris Scarfe"/>
    <x v="4"/>
    <s v="Store"/>
    <x v="0"/>
    <s v="NSW/ACT"/>
    <s v="Harris Scarfe"/>
    <x v="4"/>
  </r>
  <r>
    <s v="SRG-INJ-2624"/>
    <s v="INC6770"/>
    <m/>
    <s v="No"/>
    <n v="293815"/>
    <s v="FROST, ANGELA"/>
    <d v="1972-03-16T00:00:00"/>
    <d v="2024-05-23T00:00:00"/>
    <d v="1899-12-30T14:40:00"/>
    <s v="Harris Scarfe SA"/>
    <n v="1011"/>
    <s v="Marion"/>
    <s v="Left hand was squished as Angela was pulling a trolley through the isle way. The  index and middle finger knuckles are quite red and sore, looks like it is starting to bruise. We have iced it."/>
    <s v="Angela was pulling a trolley between a pillar and an electrical table when she squished her hand between the trolley and the pillar."/>
    <s v="Injury"/>
    <m/>
    <s v="No Assessment"/>
    <s v="Closed"/>
    <n v="0"/>
    <b v="0"/>
    <s v="First Aid Injury"/>
    <s v="Contusion, bruising and superficial crushing"/>
    <s v="Hand, finger and thumb"/>
    <s v="Hitting Objects With a Part of the Body"/>
    <s v="Hitting stationary objects"/>
    <s v="Human agencies"/>
    <m/>
    <n v="0"/>
    <e v="#N/A"/>
    <e v="#N/A"/>
    <m/>
    <d v="2014-06-30T00:00:00"/>
    <m/>
    <x v="17"/>
    <n v="10"/>
    <x v="3"/>
    <s v="PART TIME"/>
    <n v="35"/>
    <n v="53"/>
    <x v="1"/>
    <x v="7"/>
    <s v="Q4, FY24"/>
    <s v="FAIs"/>
    <x v="0"/>
    <x v="0"/>
    <s v="Hitting Objects With a Part of the Body"/>
    <x v="1"/>
    <s v="Harris Scarfe"/>
    <x v="1"/>
    <s v="Store"/>
    <x v="0"/>
    <s v="SA/TAS"/>
    <s v="Harris Scarfe"/>
    <x v="1"/>
  </r>
  <r>
    <s v="SRG-INJ-2644"/>
    <s v="INC6898"/>
    <m/>
    <s v="No"/>
    <n v="331223"/>
    <s v="WOODS, TYLER"/>
    <d v="2003-09-16T00:00:00"/>
    <d v="2024-05-23T00:00:00"/>
    <d v="1899-12-30T16:00:00"/>
    <s v="Harris Scarfe VIC"/>
    <n v="2059"/>
    <s v="Bairnsdale"/>
    <s v="Dust in  eye"/>
    <s v="Tyler Woods was moving and adjusting shelving inside warehouse. Towards end of shift his eye became itchy. Within afew days it had swollen. Went to doctor and got cream. Did not report to us till yesterday 30/05/2024."/>
    <s v="Injury"/>
    <m/>
    <s v="No Assessment"/>
    <s v="Closed"/>
    <n v="0"/>
    <b v="0"/>
    <s v="Not Applicable"/>
    <s v="Foreign body on external eye, in ear or nose or in respiratory, digestive or reproductive tract"/>
    <s v="Eye"/>
    <s v="Biological Factors"/>
    <s v="Contact with, or exposure to, biological factors of non-human origin"/>
    <s v="Indoor environment"/>
    <m/>
    <n v="0"/>
    <e v="#N/A"/>
    <e v="#N/A"/>
    <m/>
    <d v="2023-10-09T00:00:00"/>
    <d v="2024-11-12T00:00:00"/>
    <x v="1"/>
    <n v="1"/>
    <x v="1"/>
    <s v="CASUAL"/>
    <n v="0.01"/>
    <n v="21"/>
    <x v="3"/>
    <x v="7"/>
    <s v="Q4, FY24"/>
    <s v="Incident"/>
    <x v="0"/>
    <x v="0"/>
    <s v="Biological Factors"/>
    <x v="7"/>
    <s v="Harris Scarfe"/>
    <x v="0"/>
    <s v="Store"/>
    <x v="0"/>
    <s v="VIC"/>
    <s v="Harris Scarfe"/>
    <x v="0"/>
  </r>
  <r>
    <s v="SRG-INJ-2632"/>
    <s v="INC6835"/>
    <m/>
    <s v="No"/>
    <n v="298159"/>
    <s v="GRAVES, IRENE"/>
    <d v="1962-02-04T00:00:00"/>
    <d v="2024-05-27T00:00:00"/>
    <d v="1899-12-30T09:16:00"/>
    <s v="Harris Scarfe QLD"/>
    <n v="9087"/>
    <s v="Loganholme"/>
    <s v="Right hand bruising and swollen, little finger cant close and grip"/>
    <s v="As I was taking a cage full of stock through the plastic doors, I hit my hand on the door frame which was holding on to the cage. I heard a crunch and was very painful. 2 staff were in the reserve and heard me call out in pain."/>
    <s v="Injury"/>
    <m/>
    <s v="No Assessment"/>
    <s v="Closed"/>
    <n v="0"/>
    <b v="0"/>
    <s v="Not Applicable"/>
    <s v="Contusion, bruising and superficial crushing"/>
    <s v="Hand, finger and thumb"/>
    <s v="Hitting Objects With a Part of the Body"/>
    <s v="Hitting stationary objects"/>
    <s v="Human agencies"/>
    <m/>
    <n v="0"/>
    <e v="#N/A"/>
    <e v="#N/A"/>
    <m/>
    <d v="2023-04-17T00:00:00"/>
    <m/>
    <x v="4"/>
    <n v="2"/>
    <x v="0"/>
    <s v="PART TIME"/>
    <n v="15"/>
    <n v="63"/>
    <x v="0"/>
    <x v="8"/>
    <s v="Q4, FY24"/>
    <s v="Incident"/>
    <x v="0"/>
    <x v="0"/>
    <s v="Hitting Objects With a Part of the Body"/>
    <x v="1"/>
    <s v="Harris Scarfe"/>
    <x v="3"/>
    <s v="Store"/>
    <x v="0"/>
    <s v="QLD"/>
    <s v="Harris Scarfe"/>
    <x v="3"/>
  </r>
  <r>
    <s v="SRG-INJ-2661"/>
    <s v="INC6968"/>
    <n v="12230108581"/>
    <s v="No"/>
    <n v="290021"/>
    <s v="MCCOSKER, BERNADETTE"/>
    <d v="1963-12-30T00:00:00"/>
    <d v="2024-05-29T00:00:00"/>
    <d v="1899-12-30T13:30:00"/>
    <s v="Harris Scarfe VIC"/>
    <n v="2030"/>
    <s v="Warrnambool"/>
    <s v="right shoulder"/>
    <s v="Bernadette was emptying the hanger box and felt a twinge in her right shoulder. She felt something but didn't think much of it as wasn't painful but has gotten progressively worse"/>
    <s v="Claim"/>
    <s v="Accepted Claim (MEO)"/>
    <s v="Fit"/>
    <s v="Closed"/>
    <n v="0"/>
    <b v="0"/>
    <s v="Medical Treatment Injury"/>
    <s v="Residual soft tissue disorders due to trauma or unknown mechanisms"/>
    <s v="Shoulder"/>
    <s v="Body Stressing"/>
    <s v="Muscular stress while lifting, carrying, or putting down objects"/>
    <s v="Human agencies"/>
    <m/>
    <s v="Closed"/>
    <e v="#N/A"/>
    <e v="#N/A"/>
    <m/>
    <d v="2008-02-25T00:00:00"/>
    <m/>
    <x v="21"/>
    <n v="17"/>
    <x v="2"/>
    <s v="PART TIME"/>
    <n v="20"/>
    <n v="61"/>
    <x v="0"/>
    <x v="8"/>
    <s v="Q4, FY24"/>
    <s v="MTIs"/>
    <x v="1"/>
    <x v="2"/>
    <s v="Body Stressing"/>
    <x v="1"/>
    <s v="Harris Scarfe"/>
    <x v="0"/>
    <s v="Store"/>
    <x v="0"/>
    <s v="VIC &amp; NSW"/>
    <s v="Harris Scarfe"/>
    <x v="2"/>
  </r>
  <r>
    <s v="SRG-INJ-2656"/>
    <s v="INC6927"/>
    <m/>
    <s v="No"/>
    <n v="285137"/>
    <s v="MEDLING, JANE"/>
    <d v="1959-01-19T00:00:00"/>
    <d v="2024-06-01T00:00:00"/>
    <d v="1899-12-30T12:29:00"/>
    <s v="Harris Scarfe TAS"/>
    <n v="4045"/>
    <s v="Ulverstone"/>
    <s v="Left  Shoulder Blade"/>
    <s v="Hurt my left shoulder lifting stock onto the AFU,s"/>
    <s v="Injury"/>
    <m/>
    <s v="No Assessment"/>
    <s v="Closed"/>
    <n v="0"/>
    <b v="0"/>
    <s v="First Aid Injury"/>
    <s v="Residual soft tissue disorders due to trauma or unknown mechanisms"/>
    <s v="Shoulder"/>
    <s v="Body Stressing"/>
    <s v="Muscular stress while lifting, carrying, or putting down objects"/>
    <s v="Human agencies"/>
    <m/>
    <n v="0"/>
    <e v="#N/A"/>
    <e v="#N/A"/>
    <m/>
    <d v="2001-05-28T00:00:00"/>
    <m/>
    <x v="22"/>
    <n v="23"/>
    <x v="4"/>
    <s v="PART TIME"/>
    <n v="28.25"/>
    <n v="66"/>
    <x v="0"/>
    <x v="8"/>
    <s v="Q4, FY24"/>
    <s v="FAIs"/>
    <x v="0"/>
    <x v="0"/>
    <s v="Body Stressing"/>
    <x v="1"/>
    <s v="Harris Scarfe"/>
    <x v="2"/>
    <s v="Store"/>
    <x v="0"/>
    <s v="SA/TAS"/>
    <s v="Harris Scarfe"/>
    <x v="1"/>
  </r>
  <r>
    <s v="SRG-INJ-2647"/>
    <s v="INC6916"/>
    <s v="S23HG133503"/>
    <s v="No"/>
    <n v="331276"/>
    <s v="CHALAMILA, BELINDA"/>
    <d v="1975-03-27T00:00:00"/>
    <d v="2024-06-01T00:00:00"/>
    <d v="1899-12-30T14:46:00"/>
    <s v="Harris Scarfe QLD"/>
    <n v="9097"/>
    <s v="Hervey Bay"/>
    <s v="thumb"/>
    <s v="Belinda was using a ladder to retrieve quilts from the shelves in the dock, Belinda was pulling the quilts down onto the floor and was not carrying them while going up and down the ladder. When Belinda was coming back down the ladder she missed the bottom step and fell onto her back/bottom and her wrist hit the shelving unit causing her pain just below her thumb. Belinda insisted that she was OK and would shake it off, the SM was present and heard the hard fall.. Belinda has been given light duties for the duration of her shift and will let me know if any pain persists."/>
    <s v="Claim"/>
    <s v="Accepted Claim"/>
    <s v="Fit"/>
    <s v="Closed"/>
    <n v="0"/>
    <b v="0"/>
    <s v="Medical Treatment Injury"/>
    <s v="Contusion, bruising and superficial crushing"/>
    <s v="Hand, finger and thumb"/>
    <s v="Falls, Trips and Slips of a Person"/>
    <s v="Falls from a height"/>
    <s v="Human agencies"/>
    <s v="Ladder"/>
    <s v="Closed"/>
    <e v="#N/A"/>
    <e v="#N/A"/>
    <m/>
    <d v="2023-10-23T00:00:00"/>
    <m/>
    <x v="1"/>
    <n v="1"/>
    <x v="1"/>
    <s v="PART TIME"/>
    <n v="14.5"/>
    <n v="50"/>
    <x v="1"/>
    <x v="8"/>
    <s v="Q4, FY24"/>
    <s v="MTIs"/>
    <x v="1"/>
    <x v="1"/>
    <s v="Falls, Trips and Slips of a Person"/>
    <x v="1"/>
    <s v="Harris Scarfe"/>
    <x v="3"/>
    <s v="Store"/>
    <x v="0"/>
    <s v="QLD"/>
    <s v="Harris Scarfe"/>
    <x v="3"/>
  </r>
  <r>
    <s v="SRG-INJ-2676"/>
    <s v="INC7026"/>
    <m/>
    <s v="No"/>
    <n v="295133"/>
    <s v="DANILEUSKI, THOMAS"/>
    <d v="1990-12-08T00:00:00"/>
    <d v="2024-06-07T00:00:00"/>
    <d v="1899-12-30T14:21:00"/>
    <s v="Harris Scarfe QLD"/>
    <n v="9095"/>
    <s v="Chermside"/>
    <s v="right knee, outer-side of knee cap sharp tearing feeling/pain, followed by multiple deep stabbing pains around most of knee."/>
    <s v="right knee felt a little stiff so tried to gently stretch, rolled edge of rubber map up on top of toes for a little extra light springy resistance and then suddenly felt sharp &quot;tearing&quot; feeling/pain on right side of knee cap followed by multiple(8+) simultaneous deep stabbing pains around the rest of the knee for the next few minutes while i kept still in the same position."/>
    <s v="Injury"/>
    <m/>
    <s v="No Assessment"/>
    <s v="Closed"/>
    <n v="0"/>
    <b v="0"/>
    <s v="Not Applicable"/>
    <s v="Residual soft tissue disorders due to trauma or unknown mechanisms"/>
    <s v="Knee"/>
    <s v="Body Stressing"/>
    <s v="Muscular stress with no objects being handled"/>
    <s v="Human agencies"/>
    <m/>
    <n v="0"/>
    <s v="Non Work Related Injury"/>
    <e v="#N/A"/>
    <m/>
    <d v="2016-11-28T00:00:00"/>
    <d v="2024-10-27T00:00:00"/>
    <x v="8"/>
    <n v="7"/>
    <x v="3"/>
    <s v="PART TIME"/>
    <n v="35.25"/>
    <n v="34"/>
    <x v="2"/>
    <x v="8"/>
    <s v="Q4, FY24"/>
    <s v="Incident"/>
    <x v="0"/>
    <x v="0"/>
    <s v="Body Stressing"/>
    <x v="1"/>
    <s v="Harris Scarfe"/>
    <x v="3"/>
    <s v="Store"/>
    <x v="0"/>
    <s v="QLD"/>
    <s v="Harris Scarfe"/>
    <x v="3"/>
  </r>
  <r>
    <s v="SRG-INJ-2680"/>
    <s v="INC7054"/>
    <m/>
    <s v="No"/>
    <n v="328764"/>
    <s v="COSTELLO, NICOLA"/>
    <d v="1991-11-28T00:00:00"/>
    <d v="2024-06-09T00:00:00"/>
    <d v="1899-12-30T13:18:00"/>
    <s v="Harris Scarfe TAS"/>
    <n v="4044"/>
    <s v="Devonport"/>
    <s v="Left knee twisted strained"/>
    <s v="Standing in homewares as i went to walk away my knee twisted and felt sharp pain through knee walked/limped out to back of store off the shop floor tried to bend it felt like it was locking,"/>
    <s v="Injury"/>
    <m/>
    <s v="No Assessment"/>
    <s v="Closed"/>
    <n v="0"/>
    <b v="0"/>
    <s v="First Aid Injury"/>
    <s v="Residual soft tissue disorders due to trauma or unknown mechanisms"/>
    <s v="Knee"/>
    <s v="Body Stressing"/>
    <s v="Muscular stress with no objects being handled"/>
    <s v="Human agencies"/>
    <m/>
    <n v="0"/>
    <e v="#N/A"/>
    <e v="#N/A"/>
    <m/>
    <d v="2023-04-17T00:00:00"/>
    <d v="2024-12-06T00:00:00"/>
    <x v="4"/>
    <n v="1"/>
    <x v="0"/>
    <s v="CASUAL"/>
    <n v="0.01"/>
    <n v="33"/>
    <x v="2"/>
    <x v="8"/>
    <s v="Q4, FY24"/>
    <s v="FAIs"/>
    <x v="0"/>
    <x v="0"/>
    <s v="Body Stressing"/>
    <x v="1"/>
    <s v="Harris Scarfe"/>
    <x v="2"/>
    <s v="Store"/>
    <x v="0"/>
    <s v="SA/TAS"/>
    <s v="Harris Scarfe"/>
    <x v="1"/>
  </r>
  <r>
    <s v="SRG-INJ-2681"/>
    <s v="INC7064"/>
    <s v="S23UX138473"/>
    <s v="No"/>
    <n v="294522"/>
    <s v="MARSH, REREMOANA"/>
    <d v="1999-05-31T00:00:00"/>
    <d v="2024-06-10T00:00:00"/>
    <d v="1899-12-30T11:00:00"/>
    <s v="Harris Scarfe QLD"/>
    <n v="9095"/>
    <s v="Chermside"/>
    <s v="felt a pull in arm when lifting box"/>
    <s v="I was serving a customer on POS, I went to lift an item up and after the transaction I started to feel pins and needles in my finger tips on my left hand, after awhile, the numbness and slight sting started to work its way up my arm leading to my shoulder being inflamed. ."/>
    <s v="Claim"/>
    <s v="Accepted Claim"/>
    <s v="Fit"/>
    <s v="Closed"/>
    <n v="0"/>
    <b v="0"/>
    <s v="Not Applicable"/>
    <s v="Trauma to joints and ligaments"/>
    <s v="Upper limb - multiple locations"/>
    <s v="Body Stressing"/>
    <s v="Muscular stress while lifting, carrying, or putting down objects"/>
    <s v="Human agencies"/>
    <m/>
    <s v="Closed"/>
    <e v="#N/A"/>
    <e v="#N/A"/>
    <m/>
    <d v="2015-10-12T00:00:00"/>
    <m/>
    <x v="9"/>
    <n v="9"/>
    <x v="3"/>
    <s v="PART TIME"/>
    <n v="30.25"/>
    <n v="25"/>
    <x v="2"/>
    <x v="8"/>
    <s v="Q4, FY24"/>
    <s v="Incident"/>
    <x v="1"/>
    <x v="1"/>
    <s v="Body Stressing"/>
    <x v="1"/>
    <s v="Harris Scarfe"/>
    <x v="3"/>
    <s v="Store"/>
    <x v="0"/>
    <s v="QLD"/>
    <s v="Harris Scarfe"/>
    <x v="3"/>
  </r>
  <r>
    <s v="SRG-INJ-2701"/>
    <s v="INC7176"/>
    <s v="S23HF146153"/>
    <s v="No"/>
    <n v="324107"/>
    <s v="SANDHU, KULDEEP KAUR"/>
    <d v="1982-01-13T00:00:00"/>
    <d v="2024-06-11T00:00:00"/>
    <d v="1899-12-30T10:34:00"/>
    <s v="Harris Scarfe QLD"/>
    <n v="9095"/>
    <s v="Chermside"/>
    <s v="left hand"/>
    <s v="I was assembling the male maniquÃ©s on my own and the arms were not fitting in properly. So I was forcing them in using  both hands and by the end of the day  I was getting  pain and it wasn't very bad at this stage,  But after a day the pain was  more severe. It was  a sharp pain on my left hand palm near my thumb . I have tried painkillers but now it's getting worse ."/>
    <s v="Claim"/>
    <s v="Accepted Claim"/>
    <s v="Fit"/>
    <s v="Closed"/>
    <n v="0"/>
    <b v="0"/>
    <s v="Medical Treatment Injury"/>
    <s v="Residual soft tissue disorders due to trauma or unknown mechanisms"/>
    <s v="Hand, finger and thumb"/>
    <s v="Body Stressing"/>
    <s v="Muscular stress while lifting, carrying, or putting down objects"/>
    <s v="Human agencies"/>
    <m/>
    <s v="Closed"/>
    <e v="#N/A"/>
    <e v="#N/A"/>
    <m/>
    <d v="2022-08-15T00:00:00"/>
    <m/>
    <x v="4"/>
    <n v="2"/>
    <x v="0"/>
    <s v="PART TIME"/>
    <n v="34.5"/>
    <n v="43"/>
    <x v="4"/>
    <x v="8"/>
    <s v="Q4, FY24"/>
    <s v="MTIs"/>
    <x v="1"/>
    <x v="1"/>
    <s v="Body Stressing"/>
    <x v="1"/>
    <s v="Harris Scarfe"/>
    <x v="3"/>
    <s v="Store"/>
    <x v="0"/>
    <s v="QLD"/>
    <s v="Harris Scarfe"/>
    <x v="3"/>
  </r>
  <r>
    <s v="SRG-INJ-2686"/>
    <s v="INC7092"/>
    <m/>
    <s v="No"/>
    <n v="288317"/>
    <s v="ROE, BENJAMIN"/>
    <d v="1988-09-08T00:00:00"/>
    <d v="2024-06-12T00:00:00"/>
    <d v="1899-12-30T15:50:00"/>
    <s v="Harris Scarfe SA"/>
    <n v="1011"/>
    <s v="Marion"/>
    <s v="Left shoulder (top)"/>
    <s v="Ben was emptying the cardboard compactor. Part of the process requires the door to be held closed while it is sealed using the wheel (see second image). When Ben released the door after sealing it, he felt a sharp pain at the apex of his shoulder."/>
    <s v="Injury"/>
    <m/>
    <s v="No Assessment"/>
    <s v="Closed"/>
    <n v="0"/>
    <b v="0"/>
    <s v="Not Applicable"/>
    <s v="Residual soft tissue disorders due to trauma or unknown mechanisms"/>
    <s v="Shoulder"/>
    <s v="Body Stressing"/>
    <s v="Muscular stress while handling objects other than lifting, carrying or putting down"/>
    <s v="Human agencies"/>
    <m/>
    <n v="0"/>
    <e v="#N/A"/>
    <s v="Psychosocial"/>
    <m/>
    <d v="2006-10-03T00:00:00"/>
    <m/>
    <x v="2"/>
    <n v="18"/>
    <x v="2"/>
    <s v="SALARIED"/>
    <n v="38"/>
    <n v="36"/>
    <x v="4"/>
    <x v="8"/>
    <s v="Q4, FY24"/>
    <s v="Incident"/>
    <x v="0"/>
    <x v="0"/>
    <s v="Body Stressing"/>
    <x v="1"/>
    <s v="Harris Scarfe"/>
    <x v="1"/>
    <s v="Store"/>
    <x v="0"/>
    <s v="SA/TAS"/>
    <s v="Harris Scarfe"/>
    <x v="1"/>
  </r>
  <r>
    <s v="SRG-INJ-2691"/>
    <s v="INC7111"/>
    <m/>
    <s v="No"/>
    <n v="185531"/>
    <s v="ANDREACCHIO, JOSEPH"/>
    <d v="1969-02-03T00:00:00"/>
    <d v="2024-06-14T00:00:00"/>
    <d v="1899-12-30T08:40:00"/>
    <s v="Harris Scarfe SA"/>
    <n v="1006"/>
    <s v="West Lakes"/>
    <s v="right ankle/achilles"/>
    <s v="Joe was unpacking a pallet, pulled a box off the pallet.  When he turned around a cast iron box fell of the pallet and hit him on the ankle/achilles. causing a minor laceration/graze,"/>
    <s v="Injury"/>
    <m/>
    <s v="No Assessment"/>
    <s v="Closed"/>
    <n v="0"/>
    <b v="0"/>
    <s v="First Aid Injury"/>
    <s v="Laceration or open wound not involving traumatic amputation"/>
    <s v="Ankle"/>
    <s v="Being Hit By Moving Objects"/>
    <s v="Being hit by falling objects"/>
    <s v="Other materials and objects"/>
    <m/>
    <n v="0"/>
    <e v="#N/A"/>
    <e v="#N/A"/>
    <m/>
    <d v="1986-03-24T00:00:00"/>
    <m/>
    <x v="23"/>
    <n v="39"/>
    <x v="7"/>
    <s v="FULL TIME"/>
    <n v="38"/>
    <n v="56"/>
    <x v="0"/>
    <x v="8"/>
    <s v="Q4, FY24"/>
    <s v="FAIs"/>
    <x v="0"/>
    <x v="0"/>
    <s v="Being Hit By Moving Objects"/>
    <x v="0"/>
    <s v="Harris Scarfe"/>
    <x v="1"/>
    <s v="Store"/>
    <x v="0"/>
    <s v="SA/TAS"/>
    <s v="Harris Scarfe"/>
    <x v="1"/>
  </r>
  <r>
    <s v="SRG-INJ-2693"/>
    <s v="INC7126"/>
    <m/>
    <s v="No"/>
    <n v="295859"/>
    <s v="STANTON, LISA"/>
    <d v="1980-08-13T00:00:00"/>
    <d v="2024-06-14T00:00:00"/>
    <d v="1899-12-30T11:30:00"/>
    <s v="Harris Scarfe SA"/>
    <n v="1011"/>
    <s v="Marion"/>
    <s v="Scraped the back of her hand on the sharp underside of the shelf"/>
    <s v="Lisa was filling shoes when the back of her hand scraped the sharp underside of the footwear shelf. She sustained a small cut on the back of her right hand. She swabbed and dressed the wound herself."/>
    <s v="Injury"/>
    <m/>
    <s v="No Assessment"/>
    <s v="Closed"/>
    <n v="0"/>
    <b v="0"/>
    <s v="First Aid Injury"/>
    <s v="Contusion, bruising and superficial crushing"/>
    <s v="Hand, finger and thumb"/>
    <s v="Hitting Objects With a Part of the Body"/>
    <s v="Hitting stationary objects"/>
    <s v="Human agencies"/>
    <m/>
    <n v="0"/>
    <e v="#N/A"/>
    <e v="#N/A"/>
    <m/>
    <d v="2018-01-29T00:00:00"/>
    <m/>
    <x v="5"/>
    <n v="7"/>
    <x v="3"/>
    <s v="PART TIME"/>
    <n v="27"/>
    <n v="44"/>
    <x v="4"/>
    <x v="8"/>
    <s v="Q4, FY24"/>
    <s v="FAIs"/>
    <x v="0"/>
    <x v="0"/>
    <s v="Hitting Objects With a Part of the Body"/>
    <x v="1"/>
    <s v="Harris Scarfe"/>
    <x v="1"/>
    <s v="Store"/>
    <x v="0"/>
    <s v="SA/TAS"/>
    <s v="Harris Scarfe"/>
    <x v="1"/>
  </r>
  <r>
    <s v="SRG-INJ-2698"/>
    <s v="INC7178"/>
    <m/>
    <s v="No"/>
    <n v="331147"/>
    <s v="JENKINS, KALEY"/>
    <d v="2006-05-09T00:00:00"/>
    <d v="2024-06-18T00:00:00"/>
    <d v="1899-12-30T12:40:00"/>
    <s v="Harris Scarfe VIC"/>
    <n v="2059"/>
    <s v="Bairnsdale"/>
    <s v="Back of head"/>
    <s v="Kaley was standing on high ladder putting electric blankets on top shelf in warehouse and hit the back of her head on one of the support beams"/>
    <s v="Injury"/>
    <m/>
    <s v="No Assessment"/>
    <s v="Closed"/>
    <n v="0"/>
    <b v="0"/>
    <s v="First Aid Injury"/>
    <s v="Residual soft tissue disorders due to trauma or unknown mechanisms"/>
    <s v="Head - unspecified locations"/>
    <s v="Hitting Objects With a Part of the Body"/>
    <s v="Hitting stationary objects"/>
    <s v="Human agencies"/>
    <m/>
    <n v="0"/>
    <e v="#N/A"/>
    <e v="#N/A"/>
    <m/>
    <d v="2023-10-09T00:00:00"/>
    <d v="2024-11-12T00:00:00"/>
    <x v="1"/>
    <n v="1"/>
    <x v="1"/>
    <s v="CASUAL"/>
    <n v="0.01"/>
    <n v="18"/>
    <x v="5"/>
    <x v="8"/>
    <s v="Q4, FY24"/>
    <s v="FAIs"/>
    <x v="0"/>
    <x v="0"/>
    <s v="Hitting Objects With a Part of the Body"/>
    <x v="1"/>
    <s v="Harris Scarfe"/>
    <x v="0"/>
    <s v="Store"/>
    <x v="0"/>
    <s v="VIC"/>
    <s v="Harris Scarfe"/>
    <x v="0"/>
  </r>
  <r>
    <s v="SRG-INJ-2700"/>
    <s v="INC7188"/>
    <m/>
    <s v="No"/>
    <n v="330730"/>
    <s v="CARTER, JULIA"/>
    <d v="1963-07-03T00:00:00"/>
    <d v="2024-06-18T00:00:00"/>
    <d v="1899-12-30T13:00:00"/>
    <s v="Harris Scarfe QLD"/>
    <n v="9098"/>
    <s v="Carindale"/>
    <s v="glute hamstring"/>
    <s v="Julia bent down to pick rubbish off the floor and felt her hamstring/glute twinge. Still able to walk but can feel while walking. Julia finished her shift and is going home to apply heat pack."/>
    <s v="Injury"/>
    <m/>
    <s v="No Assessment"/>
    <s v="Closed"/>
    <n v="0"/>
    <b v="0"/>
    <s v="Not Applicable"/>
    <s v="Residual soft tissue disorders due to trauma or unknown mechanisms"/>
    <s v="Upper Leg"/>
    <s v="Body Stressing"/>
    <s v="Muscular stress while lifting, carrying, or putting down objects"/>
    <s v="Human agencies"/>
    <m/>
    <n v="0"/>
    <e v="#N/A"/>
    <e v="#N/A"/>
    <m/>
    <d v="2023-09-04T00:00:00"/>
    <m/>
    <x v="1"/>
    <n v="1"/>
    <x v="1"/>
    <s v="SALARIED"/>
    <n v="38"/>
    <n v="61"/>
    <x v="0"/>
    <x v="8"/>
    <s v="Q4, FY24"/>
    <s v="Incident"/>
    <x v="0"/>
    <x v="0"/>
    <s v="Body Stressing"/>
    <x v="1"/>
    <s v="Harris Scarfe"/>
    <x v="3"/>
    <s v="Store"/>
    <x v="0"/>
    <s v="QLD"/>
    <s v="Harris Scarfe"/>
    <x v="3"/>
  </r>
  <r>
    <s v="SRG-INJ-2710"/>
    <s v="INC7254"/>
    <m/>
    <s v="No"/>
    <n v="293047"/>
    <s v="GRIFFITHS, CAROLYN"/>
    <d v="1977-06-29T00:00:00"/>
    <d v="2024-06-19T00:00:00"/>
    <d v="1899-12-30T15:10:00"/>
    <s v="Harris Scarfe VIC"/>
    <n v="2022"/>
    <s v="Knox City"/>
    <s v="neck right side"/>
    <s v="Carolyn was inbetween pallets and trying to get a box out from the bottom to bring out . As she grabbed it and then had to turn and lift the box to get out the row she felt some pain in her neck . The pain was not a lot to begin with but got sorer as the day went on . It ran down the right side of the neck ."/>
    <s v="Injury"/>
    <m/>
    <s v="No Assessment"/>
    <s v="Closed"/>
    <n v="0"/>
    <b v="0"/>
    <s v="Not Applicable"/>
    <s v="Trauma to joints and ligaments"/>
    <s v="Neck"/>
    <s v="Body Stressing"/>
    <s v="Muscular stress while handling objects other than lifting, carrying or putting down"/>
    <s v="Human agencies"/>
    <m/>
    <n v="0"/>
    <e v="#N/A"/>
    <e v="#N/A"/>
    <m/>
    <d v="2012-12-10T00:00:00"/>
    <m/>
    <x v="16"/>
    <n v="12"/>
    <x v="5"/>
    <s v="PART TIME"/>
    <n v="36"/>
    <n v="47"/>
    <x v="1"/>
    <x v="8"/>
    <s v="Q4, FY24"/>
    <s v="Incident"/>
    <x v="0"/>
    <x v="0"/>
    <s v="Body Stressing"/>
    <x v="1"/>
    <s v="Harris Scarfe"/>
    <x v="0"/>
    <s v="Store"/>
    <x v="0"/>
    <s v="VIC"/>
    <s v="Harris Scarfe"/>
    <x v="0"/>
  </r>
  <r>
    <s v="SRG-INJ-2714"/>
    <s v="INC7286"/>
    <m/>
    <s v="No"/>
    <n v="280547"/>
    <s v="WELLS, AMANDA"/>
    <d v="1968-05-29T00:00:00"/>
    <d v="2024-06-25T00:00:00"/>
    <d v="1899-12-30T15:45:00"/>
    <s v="Harris Scarfe SA"/>
    <n v="1013"/>
    <s v="Gepps Cross (Hs Home)"/>
    <s v="wrist, or hand not certain"/>
    <s v="Amanda was moving boxes to determine what was in each, As she turned one around to see what was in it she heard a crack in her wrist area. she went on to continue working stacking boxes of sheets and taking to the shop floor. She has woken to say she feels like she has pulled a muscle and her hand is pulling to close a fist."/>
    <s v="Injury"/>
    <m/>
    <s v="No Assessment"/>
    <s v="Closed"/>
    <n v="0"/>
    <b v="0"/>
    <s v="Not Applicable"/>
    <s v="Residual soft tissue disorders due to trauma or unknown mechanisms"/>
    <s v="Wrist"/>
    <s v="Body Stressing"/>
    <s v="Muscular stress while handling objects other than lifting, carrying or putting down"/>
    <s v="Human agencies"/>
    <m/>
    <n v="0"/>
    <e v="#N/A"/>
    <e v="#N/A"/>
    <m/>
    <d v="1996-12-30T00:00:00"/>
    <m/>
    <x v="24"/>
    <n v="28"/>
    <x v="6"/>
    <s v="FULL TIME"/>
    <n v="38"/>
    <n v="56"/>
    <x v="0"/>
    <x v="8"/>
    <s v="Q4, FY24"/>
    <s v="Incident"/>
    <x v="0"/>
    <x v="0"/>
    <s v="Body Stressing"/>
    <x v="1"/>
    <s v="Harris Scarfe"/>
    <x v="1"/>
    <s v="Store"/>
    <x v="0"/>
    <s v="SA/TAS"/>
    <s v="Harris Scarfe"/>
    <x v="1"/>
  </r>
  <r>
    <s v="SRG-INJ-2716"/>
    <s v="INC7308"/>
    <m/>
    <s v="No"/>
    <n v="296971"/>
    <s v="WEBB, CASSANDRA"/>
    <d v="1988-11-06T00:00:00"/>
    <d v="2024-06-27T00:00:00"/>
    <d v="1899-12-30T16:55:00"/>
    <s v="Harris Scarfe TAS"/>
    <n v="4043"/>
    <s v="Launceston"/>
    <s v="Hit in the back left side of head and left shoulder."/>
    <s v="unloading cardboard from a cage, pushed up the centre shelf to get the carboard from in the bottom. It must not have latched with the black latch and it fell down as I reached over and the metal shelf hit me in the back of the head and left shoulder."/>
    <s v="Injury"/>
    <m/>
    <s v="No Assessment"/>
    <s v="Closed"/>
    <n v="0"/>
    <b v="0"/>
    <s v="First Aid Injury"/>
    <s v="Contusion, bruising and superficial crushing"/>
    <s v="Neck and shoulder"/>
    <s v="Being Hit By Moving Objects"/>
    <s v="Being hit by falling objects"/>
    <s v="Human agencies"/>
    <s v="Roll Cages"/>
    <n v="0"/>
    <s v="Non Work Related Injury"/>
    <e v="#N/A"/>
    <m/>
    <d v="2020-06-22T00:00:00"/>
    <m/>
    <x v="12"/>
    <n v="4"/>
    <x v="0"/>
    <s v="PART TIME"/>
    <n v="23"/>
    <n v="36"/>
    <x v="4"/>
    <x v="8"/>
    <s v="Q4, FY24"/>
    <s v="FAIs"/>
    <x v="0"/>
    <x v="0"/>
    <s v="Being Hit By Moving Objects"/>
    <x v="1"/>
    <s v="Harris Scarfe"/>
    <x v="2"/>
    <s v="Store"/>
    <x v="0"/>
    <s v="SA/TAS"/>
    <s v="Harris Scarfe"/>
    <x v="1"/>
  </r>
  <r>
    <s v="SRG-INJ-2717"/>
    <s v="INC7325"/>
    <m/>
    <s v="No"/>
    <n v="281818"/>
    <s v="ZOUNIS, CHRISTINE"/>
    <d v="1961-06-15T00:00:00"/>
    <d v="2024-06-28T00:00:00"/>
    <d v="1899-12-30T15:15:00"/>
    <s v="Harris Scarfe SA"/>
    <n v="1011"/>
    <s v="Marion"/>
    <s v="right knee"/>
    <s v="Christine was walking up to the registers when she thinks she slightly twisted her knee causing pain to the inside of her right knee. She sat down in the lunch room and took a pain killer. After about 15 minutes of resting she felt well enough to go back to work."/>
    <s v="Injury"/>
    <m/>
    <s v="No Assessment"/>
    <s v="Closed"/>
    <n v="0"/>
    <b v="0"/>
    <s v="Not Applicable"/>
    <s v="Residual soft tissue disorders due to trauma or unknown mechanisms"/>
    <s v="Knee"/>
    <s v="Body Stressing"/>
    <s v="Muscular stress with no objects being handled"/>
    <s v="Human agencies"/>
    <m/>
    <n v="0"/>
    <e v="#N/A"/>
    <e v="#N/A"/>
    <m/>
    <d v="1997-11-17T00:00:00"/>
    <m/>
    <x v="15"/>
    <n v="27"/>
    <x v="6"/>
    <s v="FULL TIME"/>
    <n v="38"/>
    <n v="63"/>
    <x v="0"/>
    <x v="8"/>
    <s v="Q4, FY24"/>
    <s v="Incident"/>
    <x v="0"/>
    <x v="0"/>
    <s v="Body Stressing"/>
    <x v="1"/>
    <s v="Harris Scarfe"/>
    <x v="1"/>
    <s v="Store"/>
    <x v="0"/>
    <s v="SA/TAS"/>
    <s v="Harris Scarfe"/>
    <x v="1"/>
  </r>
  <r>
    <s v="SRG-INJ-2718"/>
    <s v="INC7346"/>
    <m/>
    <s v="No"/>
    <n v="295782"/>
    <s v="TRIULCIO, VINCENZO"/>
    <d v="2001-12-05T00:00:00"/>
    <d v="2024-06-30T00:00:00"/>
    <d v="1899-12-30T15:30:00"/>
    <s v="Harris Scarfe SA"/>
    <n v="1006"/>
    <s v="West Lakes"/>
    <s v="Right big toe."/>
    <s v="Vincenzo went on break at 3.00 and came back at 3.30, when he got up from his seat his right big toe started hurting.  Not sure how he did it, can't but he is unable to put pressure on the top half of his foot and was walking on the back of his heel."/>
    <s v="Injury"/>
    <m/>
    <s v="No Assessment"/>
    <s v="Closed"/>
    <n v="0"/>
    <b v="0"/>
    <s v="First Aid Injury"/>
    <s v="Unspecified injuries"/>
    <s v="Foot and toes"/>
    <s v="Body Stressing"/>
    <s v="Muscular stress with no objects being handled"/>
    <s v="Other and not specified agencies"/>
    <m/>
    <n v="0"/>
    <e v="#N/A"/>
    <e v="#N/A"/>
    <m/>
    <d v="2017-11-27T00:00:00"/>
    <m/>
    <x v="5"/>
    <n v="7"/>
    <x v="3"/>
    <s v="CASUAL"/>
    <n v="0.01"/>
    <n v="23"/>
    <x v="3"/>
    <x v="8"/>
    <s v="Q4, FY24"/>
    <s v="FAIs"/>
    <x v="0"/>
    <x v="0"/>
    <s v="Body Stressing"/>
    <x v="12"/>
    <s v="Harris Scarfe"/>
    <x v="1"/>
    <s v="Store"/>
    <x v="0"/>
    <s v="SA/TAS"/>
    <s v="Harris Scarfe"/>
    <x v="1"/>
  </r>
  <r>
    <s v="SRG-INJ-2730"/>
    <s v="INC7422"/>
    <n v="12240004552"/>
    <s v="No"/>
    <n v="321391"/>
    <s v="VIRDUZZO, CAROLYN"/>
    <d v="1967-10-15T00:00:00"/>
    <d v="2024-07-03T00:00:00"/>
    <d v="1899-12-30T13:40:00"/>
    <s v="Harris Scarfe VIC"/>
    <n v="2055"/>
    <s v="Craigieburn"/>
    <s v="Left forearm"/>
    <s v="I was in the office conducting an interview with the door closed when i heard Carolyn calling my name frantically from the storeroom. Upon exiting the office, i could see Carolyn laying face down beside the ladder. As i've approached carolyn, i noticed a pile of blood accumulating beneath her arm. She informed me that she had fallen from the ladder and hurt her arm. I immediately dialled 000 and waited with Carolyn until the ambulance arrived. I applied pressure to her arm to stop the bleeding during this time. Once the ambulance arrived, they transported Carolyn to the Royal Melbourne Hospital. Carolyn had informed me earlier in the day that she wasn't feeling 100%."/>
    <s v="Claim"/>
    <s v="Accepted Claim"/>
    <s v="Restricted Hours"/>
    <s v="Open"/>
    <n v="209"/>
    <b v="0"/>
    <s v="Lost Time Injury"/>
    <s v="Other fractures, not elsewhere classified"/>
    <s v="Forearm"/>
    <s v="Falls, Trips and Slips of a Person"/>
    <s v="Falls from a height"/>
    <s v="Ladders, mobile platforms, mobile stairways and scaffolding"/>
    <s v="Ladder"/>
    <s v="Open"/>
    <e v="#N/A"/>
    <e v="#N/A"/>
    <m/>
    <d v="2022-03-21T00:00:00"/>
    <m/>
    <x v="0"/>
    <n v="3"/>
    <x v="0"/>
    <s v="PART TIME"/>
    <n v="27.25"/>
    <n v="57"/>
    <x v="0"/>
    <x v="9"/>
    <s v="Q1, FY25"/>
    <s v="LTIs"/>
    <x v="1"/>
    <x v="1"/>
    <s v="Falls, Trips and Slips of a Person"/>
    <x v="13"/>
    <s v="Harris Scarfe"/>
    <x v="0"/>
    <s v="Store"/>
    <x v="0"/>
    <s v="VIC &amp; NSW"/>
    <s v="Harris Scarfe"/>
    <x v="2"/>
  </r>
  <r>
    <s v="SRG-INJ-2734"/>
    <s v="INC7434"/>
    <n v="6990451"/>
    <s v="No"/>
    <n v="332438"/>
    <s v="PROSSER, DYLAN"/>
    <d v="2002-07-14T00:00:00"/>
    <d v="2024-07-04T00:00:00"/>
    <d v="1899-12-30T12:00:00"/>
    <s v="Harris Scarfe NSW"/>
    <n v="5060"/>
    <s v="Bathurst"/>
    <s v="Neck and Head"/>
    <s v="I was putting out soft close bins before my break, went to put the last few on bottom shelve, sat on the ground and the top shelve tipped as it was not correctly locked in and the bins fell on top of my head, head was spinning and neck started to hurt."/>
    <s v="Claim"/>
    <s v="Accepted Claim"/>
    <s v="Unfit"/>
    <s v="Closed"/>
    <n v="7"/>
    <b v="0"/>
    <s v="Lost Time Injury"/>
    <s v="Trauma to joints and ligaments"/>
    <s v="Neck"/>
    <s v="Being Hit By Moving Objects"/>
    <s v="Being hit by falling objects"/>
    <s v="Human agencies"/>
    <m/>
    <s v="Closed"/>
    <e v="#N/A"/>
    <e v="#N/A"/>
    <m/>
    <d v="2023-11-27T00:00:00"/>
    <m/>
    <x v="1"/>
    <n v="1"/>
    <x v="1"/>
    <s v="SALARIED"/>
    <n v="38"/>
    <n v="22"/>
    <x v="3"/>
    <x v="9"/>
    <s v="Q1, FY25"/>
    <s v="LTIs"/>
    <x v="1"/>
    <x v="1"/>
    <s v="Being Hit By Moving Objects"/>
    <x v="1"/>
    <s v="Harris Scarfe"/>
    <x v="4"/>
    <s v="Store"/>
    <x v="0"/>
    <s v="QLD"/>
    <s v="Harris Scarfe"/>
    <x v="3"/>
  </r>
  <r>
    <s v="SRG-INJ-2739"/>
    <s v="INC7480"/>
    <m/>
    <s v="No"/>
    <n v="296309"/>
    <s v="JOYCE, CHELSEA"/>
    <d v="1998-01-16T00:00:00"/>
    <d v="2024-07-08T00:00:00"/>
    <d v="1899-12-30T12:17:00"/>
    <s v="Harris Scarfe VIC"/>
    <n v="2028"/>
    <s v="Cranbourne Park"/>
    <s v="left foot was hit and it started to throb"/>
    <s v="dropped chopping board on left foot"/>
    <s v="Injury"/>
    <m/>
    <s v="No Assessment"/>
    <s v="Closed"/>
    <n v="0"/>
    <b v="0"/>
    <s v="Not Applicable"/>
    <s v="Residual soft tissue disorders due to trauma or unknown mechanisms"/>
    <s v="Foot and toes"/>
    <s v="Being Hit By Moving Objects"/>
    <s v="Being hit by falling objects"/>
    <s v="Human agencies"/>
    <m/>
    <n v="0"/>
    <e v="#N/A"/>
    <e v="#N/A"/>
    <m/>
    <d v="2018-10-08T00:00:00"/>
    <m/>
    <x v="19"/>
    <n v="6"/>
    <x v="0"/>
    <s v="FULL TIME"/>
    <n v="38"/>
    <n v="27"/>
    <x v="2"/>
    <x v="9"/>
    <s v="Q1, FY25"/>
    <s v="Incident"/>
    <x v="0"/>
    <x v="0"/>
    <s v="Being Hit By Moving Objects"/>
    <x v="1"/>
    <s v="Harris Scarfe"/>
    <x v="0"/>
    <s v="Store"/>
    <x v="0"/>
    <s v="VIC"/>
    <s v="Harris Scarfe"/>
    <x v="0"/>
  </r>
  <r>
    <s v="SRG-INJ-2747"/>
    <s v="INC7520"/>
    <m/>
    <s v="No"/>
    <n v="406988"/>
    <s v="O'NEILL, LYNN"/>
    <d v="1977-07-06T00:00:00"/>
    <d v="2024-07-10T00:00:00"/>
    <d v="1899-12-30T08:08:00"/>
    <s v="Harris Scarfe QLD"/>
    <n v="9086"/>
    <s v="Mt Gravatt"/>
    <s v="strained/injured back"/>
    <s v="staff member was removing a quilt from the quilt bin and incidentally hurt her back from the strain of removing it from the shelf."/>
    <s v="Injury"/>
    <m/>
    <s v="No Assessment"/>
    <s v="Closed"/>
    <n v="0"/>
    <b v="0"/>
    <s v="Not Applicable"/>
    <s v="Residual soft tissue disorders due to trauma or unknown mechanisms"/>
    <s v="Back-Upper and lower"/>
    <s v="Body Stressing"/>
    <s v="Muscular stress while handling objects other than lifting, carrying or putting down"/>
    <s v="Human agencies"/>
    <m/>
    <n v="0"/>
    <e v="#N/A"/>
    <e v="#N/A"/>
    <m/>
    <d v="2018-02-19T00:00:00"/>
    <m/>
    <x v="5"/>
    <n v="7"/>
    <x v="3"/>
    <s v="SALARIED"/>
    <n v="38"/>
    <n v="47"/>
    <x v="1"/>
    <x v="9"/>
    <s v="Q1, FY25"/>
    <s v="Incident"/>
    <x v="0"/>
    <x v="0"/>
    <s v="Body Stressing"/>
    <x v="1"/>
    <s v="Harris Scarfe"/>
    <x v="3"/>
    <s v="Store"/>
    <x v="0"/>
    <s v="QLD"/>
    <s v="Harris Scarfe"/>
    <x v="3"/>
  </r>
  <r>
    <s v="SRG-INJ-2746"/>
    <s v="INC7517"/>
    <m/>
    <s v="No"/>
    <n v="334890"/>
    <s v="WIRTZ, MICHAEL"/>
    <d v="2006-01-17T00:00:00"/>
    <d v="2024-07-10T00:00:00"/>
    <d v="1899-12-30T09:50:00"/>
    <s v="Harris Scarfe QLD"/>
    <n v="9087"/>
    <s v="Loganholme"/>
    <s v="As above"/>
    <s v="Cut finger whilst trying to demonstrate how to dismantle a Avanti slicing product"/>
    <s v="Injury"/>
    <m/>
    <s v="No Assessment"/>
    <s v="Closed"/>
    <n v="0"/>
    <b v="0"/>
    <s v="First Aid Injury"/>
    <s v="Laceration or open wound not involving traumatic amputation"/>
    <s v="Hand, finger and thumb"/>
    <s v="Being Hit By Moving Objects"/>
    <s v="Being hit by moving objects"/>
    <s v="Human agencies"/>
    <m/>
    <n v="0"/>
    <e v="#N/A"/>
    <e v="#N/A"/>
    <m/>
    <d v="2024-06-17T00:00:00"/>
    <m/>
    <x v="1"/>
    <n v="0"/>
    <x v="1"/>
    <s v="CASUAL"/>
    <n v="0.01"/>
    <n v="19"/>
    <x v="5"/>
    <x v="9"/>
    <s v="Q1, FY25"/>
    <s v="FAIs"/>
    <x v="0"/>
    <x v="0"/>
    <s v="Being Hit By Moving Objects"/>
    <x v="1"/>
    <s v="Harris Scarfe"/>
    <x v="3"/>
    <s v="Store"/>
    <x v="0"/>
    <s v="QLD"/>
    <s v="Harris Scarfe"/>
    <x v="3"/>
  </r>
  <r>
    <s v="SRG-INJ-2750"/>
    <s v="INC7529"/>
    <m/>
    <s v="No"/>
    <n v="295734"/>
    <s v="LUKER, GEORGIA"/>
    <d v="2002-01-15T00:00:00"/>
    <d v="2024-07-11T00:00:00"/>
    <d v="1899-12-30T12:03:00"/>
    <s v="Harris Scarfe QLD"/>
    <n v="9095"/>
    <s v="Chermside"/>
    <s v="sharp, pulling feeling in ankle. felt only the one and is able to walk fine"/>
    <s v="walking and felt sharp pull in ankle"/>
    <s v="Injury"/>
    <m/>
    <s v="No Assessment"/>
    <s v="Closed"/>
    <n v="0"/>
    <b v="0"/>
    <s v="Not Applicable"/>
    <s v="Residual soft tissue disorders due to trauma or unknown mechanisms"/>
    <s v="Ankle"/>
    <s v="Body Stressing"/>
    <s v="Muscular stress with no objects being handled"/>
    <s v="Human agencies"/>
    <m/>
    <n v="0"/>
    <e v="#N/A"/>
    <e v="#N/A"/>
    <m/>
    <d v="2017-10-16T00:00:00"/>
    <m/>
    <x v="5"/>
    <n v="7"/>
    <x v="3"/>
    <s v="PART TIME"/>
    <n v="19"/>
    <n v="23"/>
    <x v="3"/>
    <x v="9"/>
    <s v="Q1, FY25"/>
    <s v="Incident"/>
    <x v="0"/>
    <x v="0"/>
    <s v="Body Stressing"/>
    <x v="1"/>
    <s v="Harris Scarfe"/>
    <x v="3"/>
    <s v="Store"/>
    <x v="0"/>
    <s v="QLD"/>
    <s v="Harris Scarfe"/>
    <x v="3"/>
  </r>
  <r>
    <s v="SRG-INJ-2760"/>
    <s v="INC7581"/>
    <m/>
    <s v="No"/>
    <n v="331926"/>
    <s v="COLENSO, MELANIE"/>
    <d v="1983-11-03T00:00:00"/>
    <d v="2024-07-13T00:00:00"/>
    <d v="1899-12-30T14:00:00"/>
    <s v="Harris Scarfe QLD"/>
    <n v="9088"/>
    <s v="West Burleigh (Mega Home)"/>
    <s v="back"/>
    <s v="Mel put an item into a box whilst doing eccom packing and have stood up and her back has twinged"/>
    <s v="Injury"/>
    <m/>
    <s v="No Assessment"/>
    <s v="Closed"/>
    <n v="0"/>
    <b v="0"/>
    <s v="Not Applicable"/>
    <s v="Trauma to joints and ligaments"/>
    <s v="Back-Upper and lower"/>
    <s v="Body Stressing"/>
    <s v="Muscular stress while lifting, carrying, or putting down objects"/>
    <s v="Human agencies"/>
    <m/>
    <n v="0"/>
    <e v="#N/A"/>
    <e v="#N/A"/>
    <m/>
    <d v="2023-10-30T00:00:00"/>
    <m/>
    <x v="1"/>
    <n v="1"/>
    <x v="1"/>
    <s v="PART TIME"/>
    <n v="14.75"/>
    <n v="41"/>
    <x v="4"/>
    <x v="9"/>
    <s v="Q1, FY25"/>
    <s v="Incident"/>
    <x v="0"/>
    <x v="0"/>
    <s v="Body Stressing"/>
    <x v="1"/>
    <s v="Harris Scarfe"/>
    <x v="3"/>
    <s v="Store"/>
    <x v="0"/>
    <s v="QLD"/>
    <s v="Harris Scarfe"/>
    <x v="3"/>
  </r>
  <r>
    <s v="SRG-INJ-2767"/>
    <s v="INC7605"/>
    <m/>
    <s v="No"/>
    <n v="406963"/>
    <s v="CHAGIS, MARIA"/>
    <d v="1980-11-06T00:00:00"/>
    <d v="2024-07-15T00:00:00"/>
    <d v="1899-12-30T13:30:00"/>
    <s v="Harris Scarfe VIC"/>
    <n v="2027"/>
    <s v="Airport West"/>
    <s v="Laceration on the Left Index Finger"/>
    <s v="I cut open a pre labelled box with a Kleeva cutter that was sent from DC that was placed on the reserve shelves due to it having damaged goods inside. Broken glass could be heard also.  The box was labelled 2 x broken   Attention:  Damaged stock Please inspect if saleable or write off as damaged in transit   I slit the middle of the box with an kleeva cutter and placed my left pointer finger slightly in the box to open the side up. I felt a sharp sting and pulled my finger out immediately to a gush of blood.  The box still hadn't been opened completely at this stage as I had to compress the laceration.  The contents of the box was 4x 24cm O'Cuisena mixing bowls which are made out of Borosilicate glass oven safe so it is a thick strong and durable glass. (2 of which had been assessed at the DC as broken) but I can't say for sure how many of the 4 were in fact broken as the box went in the bin in its entirety.   Article 562593"/>
    <s v="Injury"/>
    <m/>
    <s v="No Assessment"/>
    <s v="Closed"/>
    <n v="0"/>
    <b v="0"/>
    <s v="First Aid Injury"/>
    <s v="Laceration or open wound not involving traumatic amputation"/>
    <s v="Hand, finger and thumb"/>
    <s v="Hitting Objects With a Part of the Body"/>
    <s v="Hitting stationary objects"/>
    <s v="Other materials and objects"/>
    <m/>
    <n v="0"/>
    <e v="#N/A"/>
    <e v="#N/A"/>
    <m/>
    <d v="2017-10-16T00:00:00"/>
    <m/>
    <x v="5"/>
    <n v="7"/>
    <x v="3"/>
    <s v="SALARIED"/>
    <n v="38"/>
    <n v="44"/>
    <x v="4"/>
    <x v="9"/>
    <s v="Q1, FY25"/>
    <s v="FAIs"/>
    <x v="0"/>
    <x v="0"/>
    <s v="Hitting Objects With a Part of the Body"/>
    <x v="0"/>
    <s v="Harris Scarfe"/>
    <x v="0"/>
    <s v="Store"/>
    <x v="0"/>
    <s v="VIC &amp; NSW"/>
    <s v="Harris Scarfe"/>
    <x v="2"/>
  </r>
  <r>
    <s v="SRG-INJ-2764"/>
    <s v="INC7594"/>
    <m/>
    <s v="No"/>
    <n v="296522"/>
    <s v="MCINERNEY, KYLIE"/>
    <d v="1971-05-17T00:00:00"/>
    <d v="2024-07-15T00:00:00"/>
    <d v="1899-12-30T12:50:00"/>
    <s v="Harris Scarfe NSW"/>
    <n v="6068"/>
    <s v="Wagga Wagga"/>
    <s v="Left hip and knee"/>
    <s v="Kylie McInerney in back dock processing stock, stepped side ways and tripped on low laying box. Kylie over balanced sideways and fell to ground landing on left side hip and knee."/>
    <s v="Injury"/>
    <m/>
    <s v="No Assessment"/>
    <s v="Closed"/>
    <n v="0"/>
    <b v="0"/>
    <s v="Not Applicable"/>
    <s v="Residual soft tissue disorders due to trauma or unknown mechanisms"/>
    <s v="Lower limb - multiple locations"/>
    <s v="Falls, Trips and Slips of a Person"/>
    <s v="Falls on the same level"/>
    <s v="Human agencies"/>
    <m/>
    <n v="0"/>
    <e v="#N/A"/>
    <e v="#N/A"/>
    <m/>
    <d v="2019-04-22T00:00:00"/>
    <m/>
    <x v="19"/>
    <n v="6"/>
    <x v="0"/>
    <s v="PART TIME"/>
    <n v="32.25"/>
    <n v="53"/>
    <x v="1"/>
    <x v="9"/>
    <s v="Q1, FY25"/>
    <s v="Incident"/>
    <x v="0"/>
    <x v="0"/>
    <s v="Falls, Trips and Slips of a Person"/>
    <x v="1"/>
    <s v="Harris Scarfe"/>
    <x v="4"/>
    <s v="Store"/>
    <x v="0"/>
    <s v="NSW/ACT"/>
    <s v="Harris Scarfe"/>
    <x v="4"/>
  </r>
  <r>
    <s v="SRG-INJ-2773"/>
    <s v="INC7621"/>
    <m/>
    <s v="No"/>
    <n v="297563"/>
    <s v="PRIDMORE-JOHNSTON, REBECCA"/>
    <d v="1996-12-24T00:00:00"/>
    <d v="2024-07-17T00:00:00"/>
    <d v="1899-12-30T16:49:00"/>
    <s v="Harris Scarfe TAS"/>
    <n v="4043"/>
    <s v="Launceston"/>
    <s v="Sore top of head . Left side"/>
    <s v="Rebecca Pridmore was putting items in cage, and shelf fell on her head"/>
    <s v="Injury"/>
    <m/>
    <s v="No Assessment"/>
    <s v="Closed"/>
    <n v="0"/>
    <b v="0"/>
    <s v="Not Applicable"/>
    <s v="Contusion, bruising and superficial crushing"/>
    <s v="Head - unspecified locations"/>
    <s v="Being Hit By Moving Objects"/>
    <s v="Being hit by falling objects"/>
    <s v="Other non-powered equipment"/>
    <s v="Roll Cages"/>
    <n v="0"/>
    <e v="#N/A"/>
    <e v="#N/A"/>
    <m/>
    <d v="2021-08-16T00:00:00"/>
    <m/>
    <x v="0"/>
    <n v="3"/>
    <x v="0"/>
    <s v="PART TIME"/>
    <n v="31"/>
    <n v="28"/>
    <x v="2"/>
    <x v="9"/>
    <s v="Q1, FY25"/>
    <s v="Incident"/>
    <x v="0"/>
    <x v="0"/>
    <s v="Being Hit By Moving Objects"/>
    <x v="10"/>
    <s v="Harris Scarfe"/>
    <x v="2"/>
    <s v="Store"/>
    <x v="0"/>
    <s v="SA/TAS"/>
    <s v="Harris Scarfe"/>
    <x v="1"/>
  </r>
  <r>
    <s v="SRG-INJ-2774"/>
    <s v="INC7632"/>
    <m/>
    <s v="No"/>
    <n v="318097"/>
    <s v="JOHNSON, JANE"/>
    <d v="2005-07-07T00:00:00"/>
    <d v="2024-07-18T00:00:00"/>
    <d v="1899-12-30T10:15:00"/>
    <s v="Harris Scarfe SA"/>
    <n v="1011"/>
    <s v="Marion"/>
    <s v="small cut on her thumb"/>
    <s v="Jane was unboxing a Wiltshire dish drainer when a stack slipped through her hand and cut her left thumb. She's not sure what she cut her finger on exactly (product or cardboard box) but it did bleed a bit. She was feeling a little bit woozy about it, so she sat down for a little bit. She returned back to work after a few minutes."/>
    <s v="Injury"/>
    <m/>
    <s v="No Assessment"/>
    <s v="Closed"/>
    <n v="0"/>
    <b v="0"/>
    <s v="First Aid Injury"/>
    <s v="Laceration or open wound not involving traumatic amputation"/>
    <s v="Hand, finger and thumb"/>
    <s v="Being Hit By Moving Objects"/>
    <s v="Being hit by moving objects"/>
    <s v="Human agencies"/>
    <m/>
    <n v="0"/>
    <e v="#N/A"/>
    <e v="#N/A"/>
    <m/>
    <d v="2021-11-01T00:00:00"/>
    <m/>
    <x v="0"/>
    <n v="3"/>
    <x v="0"/>
    <s v="CASUAL"/>
    <n v="0.01"/>
    <n v="19"/>
    <x v="5"/>
    <x v="9"/>
    <s v="Q1, FY25"/>
    <s v="FAIs"/>
    <x v="0"/>
    <x v="0"/>
    <s v="Being Hit By Moving Objects"/>
    <x v="1"/>
    <s v="Harris Scarfe"/>
    <x v="1"/>
    <s v="Store"/>
    <x v="0"/>
    <s v="SA/TAS"/>
    <s v="Harris Scarfe"/>
    <x v="1"/>
  </r>
  <r>
    <s v="SRG-INJ-2777"/>
    <s v="INC7664"/>
    <m/>
    <s v="No"/>
    <n v="328739"/>
    <s v="LOLLER, JESSICA"/>
    <d v="1992-02-05T00:00:00"/>
    <d v="2024-07-20T00:00:00"/>
    <d v="1899-12-30T10:06:00"/>
    <s v="Harris Scarfe SA"/>
    <n v="1006"/>
    <s v="West Lakes"/>
    <s v="cut"/>
    <s v="Jess was tidying up the front counters. she was tearing up an empty box to do the rubbish and it cut her Left index finger"/>
    <s v="Injury"/>
    <m/>
    <s v="No Assessment"/>
    <s v="Closed"/>
    <n v="0"/>
    <b v="0"/>
    <s v="First Aid Injury"/>
    <s v="Laceration or open wound not involving traumatic amputation"/>
    <s v="Hand, finger and thumb"/>
    <s v="Hitting Objects With a Part of the Body"/>
    <s v="Hitting moving objects"/>
    <s v="Human agencies"/>
    <m/>
    <n v="0"/>
    <e v="#N/A"/>
    <e v="#N/A"/>
    <m/>
    <d v="2023-04-17T00:00:00"/>
    <m/>
    <x v="4"/>
    <n v="2"/>
    <x v="0"/>
    <s v="CASUAL"/>
    <n v="0.01"/>
    <n v="33"/>
    <x v="2"/>
    <x v="9"/>
    <s v="Q1, FY25"/>
    <s v="FAIs"/>
    <x v="0"/>
    <x v="0"/>
    <s v="Hitting Objects With a Part of the Body"/>
    <x v="1"/>
    <s v="Harris Scarfe"/>
    <x v="1"/>
    <s v="Store"/>
    <x v="0"/>
    <s v="SA/TAS"/>
    <s v="Harris Scarfe"/>
    <x v="1"/>
  </r>
  <r>
    <s v="SRG-INJ-2778"/>
    <s v="INC7666"/>
    <s v="S24WH151517"/>
    <s v="No"/>
    <n v="291282"/>
    <s v="FALCO, Karyn"/>
    <d v="1957-02-17T00:00:00"/>
    <d v="2024-07-20T00:00:00"/>
    <d v="1899-12-30T12:28:00"/>
    <s v="Harris Scarfe QLD"/>
    <n v="9098"/>
    <s v="Carindale"/>
    <s v="lower right side of back"/>
    <s v="Karyn was putting stock away and on bending she felt pain in lower back right hand side upon twisting action"/>
    <s v="Claim"/>
    <s v="Accepted Claim"/>
    <s v="Fit"/>
    <s v="Closed"/>
    <n v="28"/>
    <b v="0"/>
    <s v="Lost Time Injury"/>
    <s v="Residual soft tissue disorders due to trauma or unknown mechanisms"/>
    <s v="Back-Upper and lower"/>
    <s v="Body Stressing"/>
    <s v="Muscular stress while lifting, carrying, or putting down objects"/>
    <s v="Human agencies"/>
    <m/>
    <s v="Closed"/>
    <e v="#N/A"/>
    <e v="#N/A"/>
    <m/>
    <d v="2009-11-23T00:00:00"/>
    <d v="2024-11-19T00:00:00"/>
    <x v="25"/>
    <n v="14"/>
    <x v="5"/>
    <s v="PART TIME"/>
    <n v="23.5"/>
    <n v="68"/>
    <x v="0"/>
    <x v="9"/>
    <s v="Q1, FY25"/>
    <s v="LTIs"/>
    <x v="1"/>
    <x v="1"/>
    <s v="Body Stressing"/>
    <x v="1"/>
    <s v="Harris Scarfe"/>
    <x v="3"/>
    <s v="Store"/>
    <x v="0"/>
    <s v="QLD"/>
    <s v="Harris Scarfe"/>
    <x v="3"/>
  </r>
  <r>
    <s v="SRG-INJ-2781"/>
    <s v="INC7693"/>
    <m/>
    <s v="No"/>
    <n v="319532"/>
    <s v="ORTLEPP, JULIE"/>
    <d v="1961-03-17T00:00:00"/>
    <d v="2024-07-22T00:00:00"/>
    <d v="1899-12-30T16:30:00"/>
    <s v="Harris Scarfe SA"/>
    <n v="1013"/>
    <s v="Gepps Cross (Hs Home)"/>
    <s v="top of head"/>
    <s v="Julie was bending over to pick something up off the shop floor and when stood up banged her head on corner of 3 tier table"/>
    <s v="Injury"/>
    <m/>
    <s v="No Assessment"/>
    <s v="Closed"/>
    <n v="0"/>
    <b v="0"/>
    <s v="Not Applicable"/>
    <s v="Residual soft tissue disorders due to trauma or unknown mechanisms"/>
    <s v="Head - unspecified locations"/>
    <s v="Hitting Objects With a Part of the Body"/>
    <s v="Hitting stationary objects"/>
    <s v="Human agencies"/>
    <m/>
    <n v="0"/>
    <e v="#N/A"/>
    <e v="#N/A"/>
    <m/>
    <d v="2021-11-22T00:00:00"/>
    <m/>
    <x v="0"/>
    <n v="3"/>
    <x v="0"/>
    <s v="CASUAL"/>
    <n v="0.01"/>
    <n v="64"/>
    <x v="0"/>
    <x v="9"/>
    <s v="Q1, FY25"/>
    <s v="Incident"/>
    <x v="0"/>
    <x v="0"/>
    <s v="Hitting Objects With a Part of the Body"/>
    <x v="1"/>
    <s v="Harris Scarfe"/>
    <x v="1"/>
    <s v="Store"/>
    <x v="0"/>
    <s v="SA/TAS"/>
    <s v="Harris Scarfe"/>
    <x v="1"/>
  </r>
  <r>
    <s v="SRG-INJ-2790"/>
    <s v="INC7718"/>
    <m/>
    <s v="No"/>
    <n v="296667"/>
    <s v="COATES, MARISA"/>
    <d v="1964-03-22T00:00:00"/>
    <d v="2024-07-23T00:00:00"/>
    <d v="1899-12-30T16:34:00"/>
    <s v="Harris Scarfe VIC"/>
    <n v="2048"/>
    <s v="Tarneit"/>
    <s v="Finger indes on left hand and thumb left hand"/>
    <s v="Team member was lowering the shelf in the black cage at Impulse. went to drop in was still stuck so went to try and straighten it and her finger got stuck between the cage and the shelf. Customer had to come help lift the shelf off. She has come straight down to apply Ice on her Finger."/>
    <s v="Injury"/>
    <m/>
    <s v="No Assessment"/>
    <s v="Closed"/>
    <n v="0"/>
    <b v="0"/>
    <s v="First Aid Injury"/>
    <s v="Residual soft tissue disorders due to trauma or unknown mechanisms"/>
    <s v="Hand, finger and thumb"/>
    <s v="Being Hit By Moving Objects"/>
    <s v="Being hit by falling objects"/>
    <s v="Other materials and objects"/>
    <m/>
    <n v="0"/>
    <e v="#N/A"/>
    <e v="#N/A"/>
    <m/>
    <d v="2019-09-23T00:00:00"/>
    <m/>
    <x v="12"/>
    <n v="5"/>
    <x v="0"/>
    <s v="PART TIME"/>
    <n v="20.75"/>
    <n v="61"/>
    <x v="0"/>
    <x v="9"/>
    <s v="Q1, FY25"/>
    <s v="FAIs"/>
    <x v="0"/>
    <x v="0"/>
    <s v="Being Hit By Moving Objects"/>
    <x v="0"/>
    <s v="Harris Scarfe"/>
    <x v="0"/>
    <s v="Store"/>
    <x v="0"/>
    <s v="VIC &amp; NSW"/>
    <s v="Harris Scarfe"/>
    <x v="2"/>
  </r>
  <r>
    <s v="SRG-INJ-2788"/>
    <s v="INC7739"/>
    <m/>
    <s v="No"/>
    <n v="190888"/>
    <s v="WATSON, DENA"/>
    <d v="1971-05-04T00:00:00"/>
    <d v="2024-07-26T00:00:00"/>
    <d v="1899-12-30T09:20:00"/>
    <s v="Harris Scarfe SA"/>
    <n v="1006"/>
    <s v="West Lakes"/>
    <s v="Bruised Right elbow and knee."/>
    <s v="Dena was filling the frypan wall, standing on the ground.  She turned around to her left and didn't see the safety step and kicked into the step, lost her balance and fell over."/>
    <s v="Injury"/>
    <m/>
    <s v="No Assessment"/>
    <s v="Closed"/>
    <n v="0"/>
    <b v="0"/>
    <s v="First Aid Injury"/>
    <s v="Contusion, bruising and superficial crushing"/>
    <s v="Other specified multiple locations"/>
    <s v="Falls, Trips and Slips of a Person"/>
    <s v="Falls on the same level"/>
    <s v="Human agencies"/>
    <m/>
    <n v="0"/>
    <e v="#N/A"/>
    <e v="#N/A"/>
    <m/>
    <d v="1986-09-05T00:00:00"/>
    <m/>
    <x v="26"/>
    <n v="38"/>
    <x v="7"/>
    <s v="FULL TIME"/>
    <n v="38"/>
    <n v="54"/>
    <x v="1"/>
    <x v="9"/>
    <s v="Q1, FY25"/>
    <s v="FAIs"/>
    <x v="0"/>
    <x v="0"/>
    <s v="Falls, Trips and Slips of a Person"/>
    <x v="1"/>
    <s v="Harris Scarfe"/>
    <x v="1"/>
    <s v="Store"/>
    <x v="0"/>
    <s v="SA/TAS"/>
    <s v="Harris Scarfe"/>
    <x v="1"/>
  </r>
  <r>
    <s v="SRG-INJ-2820"/>
    <s v="INC7877"/>
    <m/>
    <s v="No"/>
    <n v="335067"/>
    <s v="HASTINGS, KHALEN"/>
    <d v="2006-04-14T00:00:00"/>
    <d v="2024-07-30T00:00:00"/>
    <d v="1899-12-30T13:34:00"/>
    <s v="Harris Scarfe SA"/>
    <n v="1006"/>
    <s v="West Lakes"/>
    <s v="Muscular strain in chest"/>
    <s v="Not sure if it was a work related injury. Khalen has been working on refilling this dept. Filling microwaves and air fryers. He also stated that he had also been doing heavy lifting at home"/>
    <s v="Injury"/>
    <m/>
    <s v="No Assessment"/>
    <s v="Closed"/>
    <n v="0"/>
    <b v="0"/>
    <s v="Medical Treatment Injury"/>
    <s v="Trauma to muscles and tendons"/>
    <s v="Chest (thorax)"/>
    <s v="Body Stressing"/>
    <s v="Muscular stress while lifting, carrying, or putting down objects"/>
    <s v="Human agencies"/>
    <m/>
    <n v="0"/>
    <e v="#N/A"/>
    <e v="#N/A"/>
    <m/>
    <d v="2024-07-01T00:00:00"/>
    <m/>
    <x v="1"/>
    <n v="0"/>
    <x v="1"/>
    <s v="CASUAL"/>
    <n v="0.01"/>
    <n v="19"/>
    <x v="5"/>
    <x v="10"/>
    <s v="Q1, FY25"/>
    <s v="MTIs"/>
    <x v="0"/>
    <x v="0"/>
    <s v="Body Stressing"/>
    <x v="1"/>
    <s v="Harris Scarfe"/>
    <x v="1"/>
    <s v="Store"/>
    <x v="0"/>
    <s v="SA/TAS"/>
    <s v="Harris Scarfe"/>
    <x v="1"/>
  </r>
  <r>
    <s v="SRG-INJ-2818"/>
    <s v="INC7870"/>
    <n v="12240014348"/>
    <s v="No"/>
    <n v="296111"/>
    <s v="MITCHELL, ELIZABETH"/>
    <d v="1962-02-26T00:00:00"/>
    <d v="2024-07-30T00:00:00"/>
    <d v="1899-12-30T10:39:00"/>
    <s v="Harris Scarfe VIC"/>
    <n v="2054"/>
    <s v="Chirnside Park"/>
    <s v="fell and hit her hip"/>
    <s v="Team member only just notified me of this innocent. On Tuesday the 30/7/2024 Elizabeth (Liz) Mitchell was putting stock away on the white wall using the step, while coming down she miss placed her footing and hit her hip and fell to the ground. Since then it has become extremely sore &amp; bruising has come out."/>
    <s v="Claim"/>
    <s v="Accepted Claim"/>
    <s v="Fit"/>
    <s v="Open"/>
    <n v="20"/>
    <b v="0"/>
    <s v="Medical Treatment Injury"/>
    <s v="Residual soft tissue disorders due to trauma or unknown mechanisms"/>
    <s v="Hip"/>
    <s v="Falls, Trips and Slips of a Person"/>
    <s v="Falls from a height"/>
    <s v="Human agencies"/>
    <m/>
    <s v="Open"/>
    <e v="#N/A"/>
    <e v="#N/A"/>
    <m/>
    <d v="2018-06-11T00:00:00"/>
    <m/>
    <x v="5"/>
    <n v="6"/>
    <x v="3"/>
    <s v="PART TIME"/>
    <n v="17.75"/>
    <n v="63"/>
    <x v="0"/>
    <x v="10"/>
    <s v="Q1, FY25"/>
    <s v="MTIs"/>
    <x v="1"/>
    <x v="1"/>
    <s v="Falls, Trips and Slips of a Person"/>
    <x v="1"/>
    <s v="Harris Scarfe"/>
    <x v="0"/>
    <s v="Store"/>
    <x v="0"/>
    <s v="VIC"/>
    <s v="Harris Scarfe"/>
    <x v="0"/>
  </r>
  <r>
    <s v="SRG-INJ-2804"/>
    <s v="INC7796"/>
    <m/>
    <s v="No"/>
    <n v="333714"/>
    <s v="MORGAN, SOPHIA"/>
    <d v="2005-02-25T00:00:00"/>
    <d v="2024-07-30T00:00:00"/>
    <d v="1899-12-30T10:30:00"/>
    <s v="Harris Scarfe NSW"/>
    <n v="5089"/>
    <s v="Rockdale"/>
    <s v="ankle"/>
    <s v="Sophia hit her ankle on a cage quite badly. Has ceased work and in urgent care awaiting an x-ray."/>
    <s v="Injury"/>
    <m/>
    <s v="No Assessment"/>
    <s v="Closed"/>
    <n v="0"/>
    <b v="0"/>
    <s v="Medical Treatment Injury"/>
    <s v="Residual soft tissue disorders due to trauma or unknown mechanisms"/>
    <s v="Ankle"/>
    <s v="Hitting Objects With a Part of the Body"/>
    <s v="Hitting stationary objects"/>
    <s v="Human agencies"/>
    <m/>
    <n v="0"/>
    <e v="#N/A"/>
    <e v="#N/A"/>
    <m/>
    <d v="2024-03-18T00:00:00"/>
    <m/>
    <x v="1"/>
    <n v="1"/>
    <x v="1"/>
    <s v="PART TIME"/>
    <n v="12"/>
    <n v="20"/>
    <x v="3"/>
    <x v="10"/>
    <s v="Q1, FY25"/>
    <s v="MTIs"/>
    <x v="0"/>
    <x v="0"/>
    <s v="Hitting Objects With a Part of the Body"/>
    <x v="1"/>
    <s v="Harris Scarfe"/>
    <x v="4"/>
    <s v="Store"/>
    <x v="0"/>
    <s v="NSW/ACT"/>
    <s v="Harris Scarfe"/>
    <x v="4"/>
  </r>
  <r>
    <s v="SRG-INJ-2861"/>
    <s v="INC9081"/>
    <s v="S24UB159318"/>
    <s v="No"/>
    <n v="330181"/>
    <s v="JANKOWIAK, BARBARA"/>
    <d v="1968-04-15T00:00:00"/>
    <d v="2024-07-30T00:00:00"/>
    <d v="1899-12-30T12:00:00"/>
    <s v="Harris Scarfe QLD"/>
    <n v="9090"/>
    <s v="Maroochydore"/>
    <s v="Neck strain"/>
    <s v="Date estimated by team member once doctors visit  where she stated it had been sore for a few weeks - so the date is the approximate time when the pain was noticed, but not reported. Worked on POS, on and off POS during her shift that day - second team member at POS between 10am and 3pm.  No mention of any pain and then worked her shifts the next 3 days without mention of any kind of pain or soreness. Barbara has stated that after visiting her doctor on 20.08.2024 and he examined her they concluded that her neck pain has stemmed from her head being down while on POS. Barbara also mentioned that she had a previous doctors appointment a few weeks prior due to the pain but cancelled it after the weekend off and feeling better. At no point has Barbara mentioned to myself or my Assistant Manager about having a sore neck or headaches relating to anything to do with her work."/>
    <s v="Claim"/>
    <s v="Accepted Claim"/>
    <s v="Restricted Duties"/>
    <s v="Open"/>
    <n v="0"/>
    <b v="0"/>
    <s v="Medical Treatment Injury"/>
    <s v="Residual soft tissue disorders due to trauma or unknown mechanisms"/>
    <s v="Neck"/>
    <s v="Body Stressing"/>
    <s v="Muscular stress with no objects being handled"/>
    <s v="Human agencies"/>
    <m/>
    <s v="Open"/>
    <e v="#N/A"/>
    <e v="#N/A"/>
    <m/>
    <d v="2023-08-07T00:00:00"/>
    <m/>
    <x v="1"/>
    <n v="1"/>
    <x v="1"/>
    <s v="PART TIME"/>
    <n v="28.25"/>
    <n v="57"/>
    <x v="0"/>
    <x v="10"/>
    <s v="Q1, FY25"/>
    <s v="MTIs"/>
    <x v="1"/>
    <x v="1"/>
    <s v="Body Stressing"/>
    <x v="1"/>
    <s v="Harris Scarfe"/>
    <x v="3"/>
    <s v="Store"/>
    <x v="0"/>
    <s v="QLD"/>
    <s v="Harris Scarfe"/>
    <x v="3"/>
  </r>
  <r>
    <s v="SRG-INJ-2809"/>
    <s v="INC7818"/>
    <m/>
    <s v="No"/>
    <n v="323303"/>
    <s v="DEAN, KAREN"/>
    <d v="1967-12-09T00:00:00"/>
    <d v="2024-07-31T00:00:00"/>
    <d v="1899-12-30T15:30:00"/>
    <s v="Harris Scarfe VIC"/>
    <n v="2030"/>
    <s v="Warrnambool"/>
    <s v="Bump on head - back of head"/>
    <s v="Lynda and Karen were removing bars to refit the bras department when the grey mesh fell down and hit them both on their heads."/>
    <s v="Injury"/>
    <m/>
    <s v="No Assessment"/>
    <s v="Closed"/>
    <n v="0"/>
    <b v="0"/>
    <s v="Not Applicable"/>
    <s v="Contusion, bruising and superficial crushing"/>
    <s v="Head - unspecified locations"/>
    <s v="Being Hit By Moving Objects"/>
    <s v="Being hit by falling objects"/>
    <s v="Other materials and objects"/>
    <m/>
    <n v="0"/>
    <e v="#N/A"/>
    <e v="#N/A"/>
    <m/>
    <d v="2022-06-27T00:00:00"/>
    <m/>
    <x v="0"/>
    <n v="2"/>
    <x v="0"/>
    <s v="PART TIME"/>
    <n v="27.5"/>
    <n v="57"/>
    <x v="0"/>
    <x v="10"/>
    <s v="Q1, FY25"/>
    <s v="Incident"/>
    <x v="0"/>
    <x v="0"/>
    <s v="Being Hit By Moving Objects"/>
    <x v="0"/>
    <s v="Harris Scarfe"/>
    <x v="0"/>
    <s v="Store"/>
    <x v="0"/>
    <s v="VIC &amp; NSW"/>
    <s v="Harris Scarfe"/>
    <x v="2"/>
  </r>
  <r>
    <s v="SRG-INJ-2812"/>
    <s v="INC7836"/>
    <m/>
    <s v="No"/>
    <n v="297410"/>
    <s v="WALLACE, LYNDA"/>
    <d v="1975-02-07T00:00:00"/>
    <d v="2024-07-31T00:00:00"/>
    <d v="1899-12-30T15:30:00"/>
    <s v="Harris Scarfe VIC"/>
    <n v="2030"/>
    <s v="Warrnambool"/>
    <s v="hit side of head"/>
    <s v="Lynda and Karen were removing bars to refit the bras department when the grey mesh fell down and hit them both on their heads."/>
    <s v="Injury"/>
    <m/>
    <s v="No Assessment"/>
    <s v="Closed"/>
    <n v="0"/>
    <b v="0"/>
    <s v="Not Applicable"/>
    <s v="Contusion, bruising and superficial crushing"/>
    <s v="Head - unspecified locations"/>
    <s v="Being Hit By Moving Objects"/>
    <s v="Being hit by falling objects"/>
    <s v="Other materials and objects"/>
    <m/>
    <n v="0"/>
    <e v="#N/A"/>
    <e v="#N/A"/>
    <m/>
    <d v="2021-03-15T00:00:00"/>
    <m/>
    <x v="10"/>
    <n v="4"/>
    <x v="0"/>
    <s v="PART TIME"/>
    <n v="37.75"/>
    <n v="50"/>
    <x v="1"/>
    <x v="10"/>
    <s v="Q1, FY25"/>
    <s v="Incident"/>
    <x v="0"/>
    <x v="0"/>
    <s v="Being Hit By Moving Objects"/>
    <x v="0"/>
    <s v="Harris Scarfe"/>
    <x v="0"/>
    <s v="Store"/>
    <x v="0"/>
    <s v="VIC &amp; NSW"/>
    <s v="Harris Scarfe"/>
    <x v="2"/>
  </r>
  <r>
    <s v="SRG-INJ-2819"/>
    <s v="INC7873"/>
    <m/>
    <s v="No"/>
    <n v="325832"/>
    <s v="VELLAYAN, DASHARAATH"/>
    <d v="2002-10-30T00:00:00"/>
    <d v="2024-08-01T00:00:00"/>
    <d v="1899-12-30T19:20:00"/>
    <s v="Harris Scarfe VIC"/>
    <n v="2024"/>
    <s v="Highpoint"/>
    <s v="shoulder"/>
    <s v="Dash asked a customer to show him a receipt for an vacuum but just continued to walk through the door. Dash went outside the front store (just out the front) asked for a receipt and the customer pushed dash. Dash did not require medical attention"/>
    <s v="Injury"/>
    <m/>
    <s v="No Assessment"/>
    <s v="Closed"/>
    <n v="0"/>
    <b v="0"/>
    <s v="Not Applicable"/>
    <s v="Not Known"/>
    <s v="Shoulder"/>
    <s v="Biological Factors"/>
    <s v="Contact with, or exposure to, biological factors of human origin"/>
    <s v="Human agencies"/>
    <m/>
    <n v="0"/>
    <e v="#N/A"/>
    <e v="#N/A"/>
    <m/>
    <d v="2022-10-31T00:00:00"/>
    <m/>
    <x v="4"/>
    <n v="2"/>
    <x v="0"/>
    <s v="CASUAL"/>
    <n v="0.01"/>
    <n v="22"/>
    <x v="3"/>
    <x v="10"/>
    <s v="Q1, FY25"/>
    <s v="Incident"/>
    <x v="0"/>
    <x v="0"/>
    <s v="Biological Factors"/>
    <x v="1"/>
    <s v="Harris Scarfe"/>
    <x v="0"/>
    <s v="Store"/>
    <x v="0"/>
    <s v="VIC &amp; NSW"/>
    <s v="Harris Scarfe"/>
    <x v="2"/>
  </r>
  <r>
    <s v="SRG-INJ-2813"/>
    <s v="INC7839"/>
    <m/>
    <s v="No"/>
    <n v="297049"/>
    <s v="MADDOCK, HANNAH"/>
    <d v="1994-08-06T00:00:00"/>
    <d v="2024-08-02T00:00:00"/>
    <d v="1899-12-30T11:52:00"/>
    <s v="Harris Scarfe QLD"/>
    <n v="9095"/>
    <s v="Chermside"/>
    <s v="right ring finger knuckle"/>
    <s v="loading parcels into ULDs, grazed and sliced top off right ring finger knuckle on a sharp edge of the mail cage."/>
    <s v="Injury"/>
    <m/>
    <s v="No Assessment"/>
    <s v="Closed"/>
    <n v="0"/>
    <b v="0"/>
    <s v="First Aid Injury"/>
    <s v="Contusion, bruising and superficial crushing"/>
    <s v="Hand, finger and thumb"/>
    <s v="Hitting Objects With a Part of the Body"/>
    <s v="Hitting stationary objects"/>
    <s v="Other materials and objects"/>
    <m/>
    <n v="0"/>
    <e v="#N/A"/>
    <e v="#N/A"/>
    <m/>
    <d v="2020-08-24T00:00:00"/>
    <d v="2025-04-07T00:00:00"/>
    <x v="10"/>
    <n v="4"/>
    <x v="0"/>
    <s v="PART TIME"/>
    <n v="22"/>
    <n v="30"/>
    <x v="2"/>
    <x v="10"/>
    <s v="Q1, FY25"/>
    <s v="FAIs"/>
    <x v="0"/>
    <x v="0"/>
    <s v="Hitting Objects With a Part of the Body"/>
    <x v="0"/>
    <s v="Harris Scarfe"/>
    <x v="3"/>
    <s v="Store"/>
    <x v="0"/>
    <s v="QLD"/>
    <s v="Harris Scarfe"/>
    <x v="3"/>
  </r>
  <r>
    <s v="SRG-INJ-2814"/>
    <s v="INC7856"/>
    <m/>
    <s v="No"/>
    <n v="407036"/>
    <s v="LARKING, GEORGINA"/>
    <d v="1970-01-06T00:00:00"/>
    <d v="2024-08-04T00:00:00"/>
    <d v="1899-12-30T11:09:00"/>
    <s v="Harris Scarfe VIC"/>
    <n v="2032"/>
    <s v="Traralgon"/>
    <s v="right knee, left calf and ankle"/>
    <s v="as I stepped past an open box my shoe caught the lid which folded down and tripped me over. my right foot scraped my left calf as i fell i landed on my right knee and rolled back onto my right hip landing on the concrete floor"/>
    <s v="Injury"/>
    <m/>
    <s v="No Assessment"/>
    <s v="Closed"/>
    <n v="0"/>
    <b v="0"/>
    <s v="Not Applicable"/>
    <s v="Residual soft tissue disorders due to trauma or unknown mechanisms"/>
    <s v="Lower limb - multiple locations"/>
    <s v="Falls, Trips and Slips of a Person"/>
    <s v="Falls on the same level"/>
    <s v="Other materials and objects"/>
    <m/>
    <n v="0"/>
    <e v="#N/A"/>
    <e v="#N/A"/>
    <m/>
    <d v="2018-12-31T00:00:00"/>
    <d v="2024-11-17T00:00:00"/>
    <x v="19"/>
    <n v="5"/>
    <x v="0"/>
    <s v="SALARIED"/>
    <n v="38"/>
    <n v="55"/>
    <x v="0"/>
    <x v="10"/>
    <s v="Q1, FY25"/>
    <s v="Incident"/>
    <x v="0"/>
    <x v="0"/>
    <s v="Falls, Trips and Slips of a Person"/>
    <x v="0"/>
    <s v="Harris Scarfe"/>
    <x v="0"/>
    <s v="Store"/>
    <x v="0"/>
    <s v="VIC"/>
    <s v="Harris Scarfe"/>
    <x v="0"/>
  </r>
  <r>
    <s v="SRG-INJ-2828"/>
    <s v="INC7955"/>
    <m/>
    <s v="No"/>
    <n v="335086"/>
    <s v="HISLOP, NICOLE"/>
    <d v="1982-07-21T00:00:00"/>
    <d v="2024-08-11T00:00:00"/>
    <d v="1899-12-30T14:25:00"/>
    <s v="Harris Scarfe VIC"/>
    <n v="2025"/>
    <s v="Southland"/>
    <s v="Left foot, security pin pierced shoe and skin minimally."/>
    <s v="Nicole stood on a security pin and it pierced her skin lightly. Small drops of blood, disinfected wipes, water and band aid administered."/>
    <s v="Injury"/>
    <m/>
    <s v="No Assessment"/>
    <s v="Closed"/>
    <n v="0"/>
    <b v="0"/>
    <s v="Not Applicable"/>
    <s v="Laceration or open wound not involving traumatic amputation"/>
    <s v="Foot and toes"/>
    <s v="Falls, Trips and Slips of a Person"/>
    <s v="Stepping, kneeling or sitting on objects"/>
    <s v="Human agencies"/>
    <m/>
    <n v="0"/>
    <e v="#N/A"/>
    <e v="#N/A"/>
    <m/>
    <d v="2024-07-08T00:00:00"/>
    <m/>
    <x v="1"/>
    <n v="0"/>
    <x v="1"/>
    <s v="CASUAL"/>
    <n v="0.01"/>
    <n v="42"/>
    <x v="4"/>
    <x v="10"/>
    <s v="Q1, FY25"/>
    <s v="Incident"/>
    <x v="0"/>
    <x v="0"/>
    <s v="Falls, Trips and Slips of a Person"/>
    <x v="1"/>
    <s v="Harris Scarfe"/>
    <x v="0"/>
    <s v="Store"/>
    <x v="0"/>
    <s v="VIC"/>
    <s v="Harris Scarfe"/>
    <x v="0"/>
  </r>
  <r>
    <s v="SRG-INJ-2831"/>
    <s v="INC7988"/>
    <m/>
    <s v="No"/>
    <n v="296672"/>
    <s v="MURPHY, LAUREN"/>
    <d v="1981-08-02T00:00:00"/>
    <d v="2024-08-12T00:00:00"/>
    <d v="1899-12-30T11:20:00"/>
    <s v="Harris Scarfe VIC"/>
    <n v="2030"/>
    <s v="Warrnambool"/>
    <s v="right lower side and left ankle"/>
    <s v="Lauren walked into the ladies toilet and slipped over due to a wet floor with no caution signage up"/>
    <s v="Injury"/>
    <m/>
    <s v="No Assessment"/>
    <s v="Closed"/>
    <n v="0"/>
    <b v="0"/>
    <s v="Not Applicable"/>
    <s v="Residual soft tissue disorders due to trauma or unknown mechanisms"/>
    <s v="Lower limb - multiple locations"/>
    <s v="Falls, Trips and Slips of a Person"/>
    <s v="Falls on the same level"/>
    <s v="Other substances"/>
    <m/>
    <n v="0"/>
    <e v="#N/A"/>
    <e v="#N/A"/>
    <m/>
    <d v="2019-09-23T00:00:00"/>
    <m/>
    <x v="12"/>
    <n v="5"/>
    <x v="0"/>
    <s v="PART TIME"/>
    <n v="10.75"/>
    <n v="43"/>
    <x v="4"/>
    <x v="10"/>
    <s v="Q1, FY25"/>
    <s v="Incident"/>
    <x v="0"/>
    <x v="0"/>
    <s v="Falls, Trips and Slips of a Person"/>
    <x v="2"/>
    <s v="Harris Scarfe"/>
    <x v="0"/>
    <s v="Store"/>
    <x v="0"/>
    <s v="VIC &amp; NSW"/>
    <s v="Harris Scarfe"/>
    <x v="2"/>
  </r>
  <r>
    <s v="SRG-INJ-2832"/>
    <s v="INC7989"/>
    <m/>
    <s v="No"/>
    <n v="406857"/>
    <s v="MANILA, AILAMA"/>
    <d v="1973-06-19T00:00:00"/>
    <d v="2024-08-14T00:00:00"/>
    <d v="1899-12-30T10:00:00"/>
    <s v="Harris Scarfe VIC"/>
    <n v="2025"/>
    <s v="Southland"/>
    <s v="cut left index finger"/>
    <s v="cut finger on vm stand while changing out signage"/>
    <s v="Injury"/>
    <m/>
    <s v="No Assessment"/>
    <s v="Closed"/>
    <n v="0"/>
    <b v="0"/>
    <s v="First Aid Injury"/>
    <s v="Laceration or open wound not involving traumatic amputation"/>
    <s v="Hand, finger and thumb"/>
    <s v="Hitting Objects With a Part of the Body"/>
    <s v="Hitting stationary objects"/>
    <s v="Human agencies"/>
    <m/>
    <n v="0"/>
    <e v="#N/A"/>
    <e v="#N/A"/>
    <m/>
    <d v="2015-11-16T00:00:00"/>
    <m/>
    <x v="9"/>
    <n v="9"/>
    <x v="3"/>
    <s v="SALARIED"/>
    <n v="38"/>
    <n v="51"/>
    <x v="1"/>
    <x v="10"/>
    <s v="Q1, FY25"/>
    <s v="FAIs"/>
    <x v="0"/>
    <x v="0"/>
    <s v="Hitting Objects With a Part of the Body"/>
    <x v="1"/>
    <s v="Harris Scarfe"/>
    <x v="0"/>
    <s v="Store"/>
    <x v="0"/>
    <s v="VIC"/>
    <s v="Harris Scarfe"/>
    <x v="0"/>
  </r>
  <r>
    <s v="SRG-INJ-2842"/>
    <s v="INC8035"/>
    <m/>
    <s v="No"/>
    <n v="335206"/>
    <s v="SALVEMINI, STEVEN"/>
    <d v="1977-04-11T00:00:00"/>
    <d v="2024-08-14T00:00:00"/>
    <d v="1899-12-30T08:45:00"/>
    <s v="Harris Scarfe ACT"/>
    <n v="6059"/>
    <s v="Belconnen"/>
    <s v="pulled nerve/twitch in lowerback"/>
    <s v="all bins are facing the opposite way. Floor was muddy bins stuck, while pushing recycle bin which was stuck felt twitch in my lower back. Went to chemist in my break brought voltaren to ease the pain."/>
    <s v="Claim"/>
    <s v="Pending Claim"/>
    <s v="Fit"/>
    <s v="Closed"/>
    <n v="0"/>
    <b v="0"/>
    <s v="Not Applicable"/>
    <s v="Residual soft tissue disorders due to trauma or unknown mechanisms"/>
    <s v="Back-Upper and lower"/>
    <s v="Body Stressing"/>
    <s v="Muscular stress while handling objects other than lifting, carrying or putting down"/>
    <s v="Human agencies"/>
    <m/>
    <s v="Closed"/>
    <e v="#N/A"/>
    <e v="#N/A"/>
    <m/>
    <d v="2024-07-08T00:00:00"/>
    <d v="2024-08-23T00:00:00"/>
    <x v="1"/>
    <n v="0"/>
    <x v="1"/>
    <s v="PART TIME"/>
    <n v="25"/>
    <n v="48"/>
    <x v="1"/>
    <x v="10"/>
    <s v="Q1, FY25"/>
    <s v="Incident"/>
    <x v="1"/>
    <x v="3"/>
    <s v="Body Stressing"/>
    <x v="1"/>
    <s v="Harris Scarfe"/>
    <x v="5"/>
    <s v="Store"/>
    <x v="0"/>
    <s v="NSW/ACT"/>
    <s v="Harris Scarfe"/>
    <x v="4"/>
  </r>
  <r>
    <s v="SRG-INJ-2839"/>
    <s v="INC8026"/>
    <m/>
    <s v="No"/>
    <n v="331639"/>
    <s v="MACKENROTH, DAVID"/>
    <d v="2006-12-24T00:00:00"/>
    <d v="2024-08-15T00:00:00"/>
    <d v="1899-12-30T18:45:00"/>
    <s v="Harris Scarfe QLD"/>
    <n v="9098"/>
    <s v="Carindale"/>
    <s v="left index finger inside top knuckle"/>
    <s v="David was putting back a display knife and cut his finger which started to bleed quite a bit but has been washed, bandaged and bleeding has stopped."/>
    <s v="Injury"/>
    <m/>
    <s v="No Assessment"/>
    <s v="Closed"/>
    <n v="0"/>
    <b v="0"/>
    <s v="First Aid Injury"/>
    <s v="Laceration or open wound not involving traumatic amputation"/>
    <s v="Hand, finger and thumb"/>
    <s v="Hitting Objects With a Part of the Body"/>
    <s v="Hitting moving objects"/>
    <s v="Human agencies"/>
    <m/>
    <n v="0"/>
    <e v="#N/A"/>
    <e v="#N/A"/>
    <m/>
    <d v="2023-10-16T00:00:00"/>
    <m/>
    <x v="1"/>
    <n v="1"/>
    <x v="1"/>
    <s v="CASUAL"/>
    <n v="0.01"/>
    <n v="18"/>
    <x v="5"/>
    <x v="10"/>
    <s v="Q1, FY25"/>
    <s v="FAIs"/>
    <x v="0"/>
    <x v="0"/>
    <s v="Hitting Objects With a Part of the Body"/>
    <x v="1"/>
    <s v="Harris Scarfe"/>
    <x v="3"/>
    <s v="Store"/>
    <x v="0"/>
    <s v="QLD"/>
    <s v="Harris Scarfe"/>
    <x v="3"/>
  </r>
  <r>
    <s v="SRG-INJ-2851"/>
    <s v="INC8067"/>
    <m/>
    <s v="No"/>
    <n v="325780"/>
    <s v="FRANZI, CVETKA"/>
    <d v="1966-07-15T00:00:00"/>
    <d v="2024-08-17T00:00:00"/>
    <d v="1899-12-30T11:06:00"/>
    <s v="Harris Scarfe VIC"/>
    <n v="2024"/>
    <s v="Highpoint"/>
    <s v="right foot"/>
    <s v="Cvetka (team member) was helping customer by Manchester reserve door. Along doorway there was shelving leaning against the wall, customer accidentally knocked the shelving over and landed on Cvetka's right foot and left a big bruise."/>
    <s v="Injury"/>
    <m/>
    <s v="No Assessment"/>
    <s v="Closed"/>
    <n v="0"/>
    <b v="0"/>
    <s v="Not Applicable"/>
    <s v="Residual soft tissue disorders due to trauma or unknown mechanisms"/>
    <s v="Foot and toes"/>
    <s v="Being Hit By Moving Objects"/>
    <s v="Being hit by falling objects"/>
    <s v="Human agencies"/>
    <m/>
    <n v="0"/>
    <e v="#N/A"/>
    <e v="#N/A"/>
    <m/>
    <d v="2022-10-17T00:00:00"/>
    <m/>
    <x v="4"/>
    <n v="2"/>
    <x v="0"/>
    <s v="PART TIME"/>
    <n v="19"/>
    <n v="58"/>
    <x v="0"/>
    <x v="10"/>
    <s v="Q1, FY25"/>
    <s v="Incident"/>
    <x v="0"/>
    <x v="0"/>
    <s v="Being Hit By Moving Objects"/>
    <x v="1"/>
    <s v="Harris Scarfe"/>
    <x v="0"/>
    <s v="Store"/>
    <x v="0"/>
    <s v="VIC &amp; NSW"/>
    <s v="Harris Scarfe"/>
    <x v="2"/>
  </r>
  <r>
    <s v="SRG-INJ-2845"/>
    <s v="INC8046"/>
    <s v="G744337H"/>
    <s v="No"/>
    <n v="297565"/>
    <s v="CONWAY, SHAUN"/>
    <d v="1993-11-16T00:00:00"/>
    <d v="2024-08-17T00:00:00"/>
    <d v="1899-12-30T10:47:00"/>
    <s v="Harris Scarfe TAS"/>
    <n v="4043"/>
    <s v="Launceston"/>
    <s v="back"/>
    <s v="I was in men's underwear whilst I was putting out stock adjusting forks when I felt a crack in my back and that was manageable pain and then went to continue putting out stock and my back completely gave out making it hard to move and stand so I laid down, but the pain didn't stop.  Heat pack was given"/>
    <s v="Claim"/>
    <s v="Accepted Claim"/>
    <s v="Restricted Duties"/>
    <s v="Closed"/>
    <n v="0"/>
    <b v="0"/>
    <s v="First Aid Injury"/>
    <s v="Residual soft tissue disorders due to trauma or unknown mechanisms"/>
    <s v="Back-Upper and lower"/>
    <s v="Body Stressing"/>
    <s v="Muscular stress while lifting, carrying, or putting down objects"/>
    <s v="Human agencies"/>
    <m/>
    <s v="Closed"/>
    <s v="Non Work Related Injury"/>
    <e v="#N/A"/>
    <m/>
    <d v="2021-08-16T00:00:00"/>
    <m/>
    <x v="10"/>
    <n v="3"/>
    <x v="0"/>
    <s v="PART TIME"/>
    <n v="12"/>
    <n v="31"/>
    <x v="2"/>
    <x v="10"/>
    <s v="Q1, FY25"/>
    <s v="FAIs"/>
    <x v="1"/>
    <x v="1"/>
    <s v="Body Stressing"/>
    <x v="1"/>
    <s v="Harris Scarfe"/>
    <x v="2"/>
    <s v="Store"/>
    <x v="0"/>
    <s v="SA/TAS"/>
    <s v="Harris Scarfe"/>
    <x v="1"/>
  </r>
  <r>
    <s v="SRG-INJ-2871"/>
    <s v="INC9129"/>
    <s v="G744067B"/>
    <s v="Yes"/>
    <n v="321621"/>
    <s v="BELLINGER, SKYE"/>
    <d v="1999-10-30T00:00:00"/>
    <d v="2024-08-20T00:00:00"/>
    <d v="1899-12-30T11:35:00"/>
    <s v="Harris Scarfe TAS"/>
    <n v="4043"/>
    <s v="Launceston"/>
    <s v="I believe Skye is claiming overworked"/>
    <s v="Skye Bellinger requested Tuesday the 21dst off due to having to work out car repairs. I then received an email on Tuesday 22nd from Skye requesting a Claim number for workers comp"/>
    <s v="Claim"/>
    <s v="Pending Claim"/>
    <s v="Fit"/>
    <s v="Closed"/>
    <n v="51"/>
    <b v="0"/>
    <s v="Lost Time Injury"/>
    <s v="Anxiety/stress disorder"/>
    <s v="Head - unspecified locations"/>
    <s v="Mental Stress"/>
    <s v="Other mental stress factors"/>
    <s v="Human agencies"/>
    <m/>
    <s v="Closed"/>
    <e v="#N/A"/>
    <e v="#N/A"/>
    <m/>
    <d v="2022-03-21T00:00:00"/>
    <d v="2024-12-02T00:00:00"/>
    <x v="0"/>
    <n v="2"/>
    <x v="0"/>
    <s v="PART TIME"/>
    <n v="35"/>
    <n v="25"/>
    <x v="2"/>
    <x v="10"/>
    <s v="Q1, FY25"/>
    <s v="LTIs"/>
    <x v="1"/>
    <x v="3"/>
    <s v="Mental Stress"/>
    <x v="1"/>
    <s v="Harris Scarfe"/>
    <x v="2"/>
    <s v="Store"/>
    <x v="0"/>
    <s v="SA/TAS"/>
    <s v="Harris Scarfe"/>
    <x v="1"/>
  </r>
  <r>
    <s v="SRG-INJ-2856"/>
    <s v="INC9055"/>
    <m/>
    <s v="No"/>
    <n v="297431"/>
    <s v="DERAKHSHANI, NEGIN"/>
    <d v="1994-11-30T00:00:00"/>
    <d v="2024-08-21T00:00:00"/>
    <d v="1899-12-30T10:34:00"/>
    <s v="Harris Scarfe VIC"/>
    <n v="2023"/>
    <s v="Epping"/>
    <s v="please refer to report written in the previous page"/>
    <s v="as we were doing our morning fill, I was with Mel and I was trying to open a box to see what inside the box, in case I can put the stock on the shop floor. I was using one of the orange knives, the one I meant to be using, so I tried to open the box with the knife but I couldn't as it was taped very hard, so I pushed in harder to create a hole to start opening from where but as I did press hard, I realized a sharp pain in my wrist, that something moved, since then its been hurting so much and feels really painful, so I spoke with my store manager and she advised me to report this. Also Mel was there and witnessed this and as she saw my reaction then I felt a sharp pain and hold my wrist, she said be careful Negin."/>
    <s v="Injury"/>
    <m/>
    <s v="No Assessment"/>
    <s v="Closed"/>
    <n v="0"/>
    <b v="0"/>
    <s v="Not Applicable"/>
    <s v="Residual soft tissue disorders due to trauma or unknown mechanisms"/>
    <s v="Wrist"/>
    <s v="Body Stressing"/>
    <s v="Muscular stress while lifting, carrying, or putting down objects"/>
    <m/>
    <m/>
    <n v="0"/>
    <e v="#N/A"/>
    <e v="#N/A"/>
    <m/>
    <d v="2021-04-19T00:00:00"/>
    <d v="2024-12-20T00:00:00"/>
    <x v="10"/>
    <n v="3"/>
    <x v="0"/>
    <s v="SALARIED"/>
    <n v="38"/>
    <n v="30"/>
    <x v="2"/>
    <x v="10"/>
    <s v="Q1, FY25"/>
    <s v="Incident"/>
    <x v="0"/>
    <x v="0"/>
    <s v="Body Stressing"/>
    <x v="3"/>
    <s v="Harris Scarfe"/>
    <x v="0"/>
    <s v="Store"/>
    <x v="0"/>
    <s v="VIC &amp; NSW"/>
    <s v="Harris Scarfe"/>
    <x v="2"/>
  </r>
  <r>
    <s v="SRG-INJ-2870"/>
    <s v="INC9128"/>
    <m/>
    <s v="No"/>
    <n v="406857"/>
    <s v="MANILA, AILAMA"/>
    <d v="1973-06-19T00:00:00"/>
    <d v="2024-08-23T00:00:00"/>
    <d v="1899-12-30T19:30:00"/>
    <s v="Harris Scarfe VIC"/>
    <n v="2025"/>
    <s v="Southland"/>
    <s v="head"/>
    <s v="aggressive customer entered store and asked for the manager - manager proceeded to ask her to leave when she became aggressive.  manager followed her out the front door to make sure she left."/>
    <s v="Injury"/>
    <m/>
    <s v="No Assessment"/>
    <s v="Closed"/>
    <n v="0"/>
    <b v="0"/>
    <s v="Medical Treatment Injury"/>
    <s v="Mental diseases unspecified"/>
    <s v="Head - unspecified locations"/>
    <s v="Mental Stress"/>
    <s v="Exposure to a traumatic event"/>
    <s v="Human agencies"/>
    <m/>
    <n v="0"/>
    <e v="#N/A"/>
    <e v="#N/A"/>
    <m/>
    <d v="2015-11-16T00:00:00"/>
    <m/>
    <x v="9"/>
    <n v="9"/>
    <x v="3"/>
    <s v="SALARIED"/>
    <n v="38"/>
    <n v="51"/>
    <x v="1"/>
    <x v="10"/>
    <s v="Q1, FY25"/>
    <s v="MTIs"/>
    <x v="0"/>
    <x v="0"/>
    <s v="Mental Stress"/>
    <x v="1"/>
    <s v="Harris Scarfe"/>
    <x v="0"/>
    <s v="Store"/>
    <x v="0"/>
    <s v="VIC"/>
    <s v="Harris Scarfe"/>
    <x v="0"/>
  </r>
  <r>
    <s v="SRG-INJ-2887"/>
    <s v="INC9182"/>
    <s v="S24RU162033"/>
    <s v="No"/>
    <n v="333815"/>
    <s v="TAYLOR, EMILY"/>
    <d v="1998-07-03T00:00:00"/>
    <d v="2024-08-23T00:00:00"/>
    <d v="1899-12-30T10:20:00"/>
    <s v="Harris Scarfe QLD"/>
    <n v="9090"/>
    <s v="Maroochydore"/>
    <s v="heel/archilles"/>
    <s v="On Friday at approx 12.30pm Emily approached ASM to say she was in alot of pain in her foot/ankle and would need to go home.  When asked what happened she said that she had woken up with it sore but it had become alot worse and she was struggling to walk or stand on the foot. She was sent home to rest and ice it.  Emily returned to work on Saturday morning and used a chair to work at POS, at 3.30pm requested to go home due to the pain. She was told to go to the doctor at this point as she stated she would not be in on Sunday.  Monday was a rostered day off. We received a message at 2pm on Monday to say she had been resting and icing the foot as much as possible and that she was moving around alot better and that she would be good for the dock on Tuesday.  We replied to let her know that her shift would not be on the dock.  Emily returned to work on Tuesday morning and said it was feeling better after some rest.  She was told at this point that she needed to keep us informed of how she was and if she had any restrictions but that we would reassign her from her usual dock position for the rest of the week. She worked until lunchtime at POS and after a break she worked the afternoon in Manchester stocking and recovering in towels.  She left without reporting any further pain or incident. On Wednesday morning we received a text message stating that she would not be at work and would be going to the doctor to see how to proceed. She stated that she would be better to work at POS for the rest of the week as using the step in towels the day before had made the pain worse. The next message was at 3.40pm stating the Dr has given her a work capacity certificate and put her on work cover due to an injury sustained pulling a heavy pallet on Friday.  Emily stated at this point that she had not been to a Dr as advised due to no bulk billing appointments being available.  After this message came through, we asked the question as to why this was a work cover claim and she said it was due to pulling a heavy pallet in the dock on Friday morning.  Up until this point she had not mentioned this to us."/>
    <s v="Claim"/>
    <s v="Accepted Claim"/>
    <s v="Fit"/>
    <s v="Closed"/>
    <n v="0"/>
    <b v="0"/>
    <s v="Medical Treatment Injury"/>
    <s v="Contusion, bruising and superficial crushing"/>
    <s v="Ankle"/>
    <s v="Body Stressing"/>
    <s v="Muscular stress while handling objects other than lifting, carrying or putting down"/>
    <s v="Human agencies"/>
    <m/>
    <s v="Closed"/>
    <e v="#N/A"/>
    <e v="#N/A"/>
    <m/>
    <d v="2024-04-01T00:00:00"/>
    <d v="2024-10-30T00:00:00"/>
    <x v="1"/>
    <n v="0"/>
    <x v="1"/>
    <s v="PART TIME"/>
    <n v="25"/>
    <n v="26"/>
    <x v="2"/>
    <x v="10"/>
    <s v="Q1, FY25"/>
    <s v="MTIs"/>
    <x v="1"/>
    <x v="1"/>
    <s v="Body Stressing"/>
    <x v="1"/>
    <s v="Harris Scarfe"/>
    <x v="3"/>
    <s v="Store"/>
    <x v="0"/>
    <s v="QLD"/>
    <s v="Harris Scarfe"/>
    <x v="3"/>
  </r>
  <r>
    <s v="SRG-INJ-2876"/>
    <s v="INC9152"/>
    <m/>
    <s v="No"/>
    <n v="325893"/>
    <s v="NICHOLSON, CALLAN"/>
    <d v="1992-06-02T00:00:00"/>
    <d v="2024-08-27T00:00:00"/>
    <d v="1899-12-30T12:30:00"/>
    <s v="Harris Scarfe VIC"/>
    <n v="2042"/>
    <s v="Carnegie (Hs Home)"/>
    <s v="Middle finger left hand bruising to finger and base of nail"/>
    <s v="Callan Nicholson was serving a Customer at the Registers located at Front-of Store at HS Carnegie. He passed the customer their receipt and went to close the drawer of the Receipt Printer. When he closed the drawer he jammed the middle finger of his left hand between the printer and the pace in the Register bench where the receipt exits."/>
    <s v="Injury"/>
    <m/>
    <s v="No Assessment"/>
    <s v="Closed"/>
    <n v="0"/>
    <b v="0"/>
    <s v="First Aid Injury"/>
    <s v="Contusion, bruising and superficial crushing"/>
    <s v="Hand, finger and thumb"/>
    <s v="Being Hit By Moving Objects"/>
    <s v="Being trapped between stationary and moving objects"/>
    <s v="Human agencies"/>
    <m/>
    <n v="0"/>
    <e v="#N/A"/>
    <e v="#N/A"/>
    <m/>
    <d v="2022-10-31T00:00:00"/>
    <m/>
    <x v="4"/>
    <n v="2"/>
    <x v="0"/>
    <s v="PART TIME"/>
    <n v="23.75"/>
    <n v="32"/>
    <x v="2"/>
    <x v="10"/>
    <s v="Q1, FY25"/>
    <s v="FAIs"/>
    <x v="0"/>
    <x v="0"/>
    <s v="Being Hit By Moving Objects"/>
    <x v="1"/>
    <s v="Harris Scarfe"/>
    <x v="0"/>
    <s v="Store"/>
    <x v="0"/>
    <s v="VIC"/>
    <s v="Harris Scarfe"/>
    <x v="0"/>
  </r>
  <r>
    <s v="SRG-INJ-2882"/>
    <s v="INC9174"/>
    <m/>
    <s v="No"/>
    <n v="296483"/>
    <s v="RALPH, RACHEL"/>
    <d v="1977-12-19T00:00:00"/>
    <d v="2024-08-27T00:00:00"/>
    <d v="1899-12-30T15:20:00"/>
    <s v="Harris Scarfe NSW"/>
    <n v="6078"/>
    <s v="Ulladulla"/>
    <s v="nil"/>
    <s v="Supervisor was clearing a paper jam inside the lexmark cx920 printer. She touched a metal strip and received a small electric shock"/>
    <s v="Injury"/>
    <m/>
    <s v="No Assessment"/>
    <s v="Closed"/>
    <n v="0"/>
    <b v="0"/>
    <s v="Not Applicable"/>
    <s v="Superficial injury"/>
    <s v="Hand, finger and thumb"/>
    <s v="Hitting Objects With a Part of the Body"/>
    <s v="Hitting stationary objects"/>
    <s v="Office and electronic equipment"/>
    <m/>
    <n v="0"/>
    <e v="#N/A"/>
    <e v="#N/A"/>
    <m/>
    <d v="2019-02-25T00:00:00"/>
    <m/>
    <x v="19"/>
    <n v="6"/>
    <x v="0"/>
    <s v="PART TIME"/>
    <n v="24.5"/>
    <n v="47"/>
    <x v="1"/>
    <x v="10"/>
    <s v="Q1, FY25"/>
    <s v="Incident"/>
    <x v="0"/>
    <x v="0"/>
    <s v="Hitting Objects With a Part of the Body"/>
    <x v="9"/>
    <s v="Harris Scarfe"/>
    <x v="4"/>
    <s v="Store"/>
    <x v="0"/>
    <s v="NSW/ACT"/>
    <s v="Harris Scarfe"/>
    <x v="4"/>
  </r>
  <r>
    <s v="SRG-INJ-2898"/>
    <s v="INC9257"/>
    <m/>
    <s v="No"/>
    <n v="296394"/>
    <s v="LAWSON, ANNIKA"/>
    <d v="2000-12-12T00:00:00"/>
    <d v="2024-09-01T00:00:00"/>
    <d v="1899-12-30T16:01:00"/>
    <s v="Harris Scarfe TAS"/>
    <n v="4043"/>
    <s v="Launceston"/>
    <s v="right hand"/>
    <s v="Team member Annika Lawson  dropped bracket on right hand"/>
    <s v="Injury"/>
    <m/>
    <s v="No Assessment"/>
    <s v="Closed"/>
    <n v="0"/>
    <b v="0"/>
    <s v="Not Applicable"/>
    <s v="Contusion, bruising and superficial crushing"/>
    <s v="Hand, finger and thumb"/>
    <s v="Being Hit By Moving Objects"/>
    <s v="Being hit by falling objects"/>
    <s v="Human agencies"/>
    <m/>
    <n v="0"/>
    <e v="#N/A"/>
    <e v="#N/A"/>
    <m/>
    <d v="2018-11-19T00:00:00"/>
    <m/>
    <x v="19"/>
    <n v="6"/>
    <x v="0"/>
    <s v="PART TIME"/>
    <n v="34"/>
    <n v="24"/>
    <x v="3"/>
    <x v="10"/>
    <s v="Q1, FY25"/>
    <s v="Incident"/>
    <x v="0"/>
    <x v="0"/>
    <s v="Being Hit By Moving Objects"/>
    <x v="1"/>
    <s v="Harris Scarfe"/>
    <x v="2"/>
    <s v="Store"/>
    <x v="0"/>
    <s v="SA/TAS"/>
    <s v="Harris Scarfe"/>
    <x v="1"/>
  </r>
  <r>
    <s v="SRG-INJ-2897"/>
    <s v="INC9254"/>
    <m/>
    <s v="No"/>
    <n v="330581"/>
    <s v="NICHOLLS, TAHLYA"/>
    <d v="1998-06-15T00:00:00"/>
    <d v="2024-09-01T00:00:00"/>
    <d v="1899-12-30T15:11:00"/>
    <s v="Harris Scarfe QLD"/>
    <n v="9097"/>
    <s v="Hervey Bay"/>
    <s v="head"/>
    <s v="Tahlya was removing the half mannequin off the wall and as she was bringing it down, the mannequin/fabric slipped and hit her on the head"/>
    <s v="Injury"/>
    <m/>
    <s v="No Assessment"/>
    <s v="Closed"/>
    <n v="0"/>
    <b v="0"/>
    <s v="First Aid Injury"/>
    <s v="Residual soft tissue disorders due to trauma or unknown mechanisms"/>
    <s v="Head - unspecified locations"/>
    <s v="Being Hit By Moving Objects"/>
    <s v="Being hit by falling objects"/>
    <s v="Other materials and objects"/>
    <m/>
    <n v="0"/>
    <e v="#N/A"/>
    <e v="#N/A"/>
    <m/>
    <d v="2023-10-09T00:00:00"/>
    <d v="2024-10-28T00:00:00"/>
    <x v="1"/>
    <n v="1"/>
    <x v="1"/>
    <s v="SALARIED"/>
    <n v="38"/>
    <n v="26"/>
    <x v="2"/>
    <x v="10"/>
    <s v="Q1, FY25"/>
    <s v="FAIs"/>
    <x v="0"/>
    <x v="0"/>
    <s v="Being Hit By Moving Objects"/>
    <x v="0"/>
    <s v="Harris Scarfe"/>
    <x v="3"/>
    <s v="Store"/>
    <x v="0"/>
    <s v="QLD"/>
    <s v="Harris Scarfe"/>
    <x v="3"/>
  </r>
  <r>
    <s v="SRG-INJ-2916"/>
    <s v="INC9351"/>
    <m/>
    <s v="No"/>
    <n v="333561"/>
    <s v="LEE, CHRISTOPHER"/>
    <d v="1973-11-26T00:00:00"/>
    <d v="2024-09-05T00:00:00"/>
    <d v="1899-12-30T11:00:00"/>
    <s v="Harris Scarfe VIC"/>
    <n v="2033"/>
    <s v="Eastland"/>
    <s v="Lower back area"/>
    <s v="During the morning when Chris was performing duties in the Ecom department he felt a sudden sharp pain and tightness in his back. He felt that most movement in his lower back area was causing sharp pains and general movement had become paired with discomfort. Chris said he was practicing correct movement and bending of knees when doing the physical handling tasks."/>
    <s v="Claim"/>
    <s v="Pending Claim"/>
    <s v="No Assessment"/>
    <s v="Closed"/>
    <n v="0"/>
    <b v="0"/>
    <s v="Not Applicable"/>
    <s v="Residual soft tissue disorders due to trauma or unknown mechanisms"/>
    <s v="Back-Upper and lower"/>
    <s v="Body Stressing"/>
    <s v="Muscular stress with no objects being handled"/>
    <s v="Human agencies"/>
    <m/>
    <s v="Closed"/>
    <e v="#N/A"/>
    <e v="#N/A"/>
    <m/>
    <d v="2024-02-26T00:00:00"/>
    <d v="2024-12-12T00:00:00"/>
    <x v="1"/>
    <n v="0"/>
    <x v="1"/>
    <s v="SALARIED"/>
    <n v="38"/>
    <n v="51"/>
    <x v="1"/>
    <x v="11"/>
    <s v="Q1, FY25"/>
    <s v="Incident"/>
    <x v="1"/>
    <x v="3"/>
    <s v="Body Stressing"/>
    <x v="1"/>
    <s v="Harris Scarfe"/>
    <x v="0"/>
    <s v="Store"/>
    <x v="0"/>
    <s v="VIC"/>
    <s v="Harris Scarfe"/>
    <x v="0"/>
  </r>
  <r>
    <s v="SRG-INJ-2925"/>
    <s v="INC9404"/>
    <m/>
    <s v="No"/>
    <n v="297588"/>
    <s v="MAVER, GEORGIE"/>
    <d v="2002-12-30T00:00:00"/>
    <d v="2024-09-09T00:00:00"/>
    <d v="1899-12-30T10:30:00"/>
    <s v="Harris Scarfe VIC"/>
    <n v="2023"/>
    <s v="Epping"/>
    <s v="top of hand/ palm and fingers"/>
    <s v="ASM Georgie was working a trolley of stock. She was moving the trolley down the isle. As she was wheeling the trolley her hand was jammed between a shelf and the trolley. The weight of the trolley made for a very hard/strong impact on her hand. In our Epping store some of our shelves do not align with the other shelves. the shelf she has collided with sticks out about 1inch more then the other shelves, causing this injury. Georgie came to show me ( Kaitlyn ASM ) this injury. Her hand was very swollen and had a large divet where her hand was crushed between the shelf edge and trolley. Her hand had egg shape swelling. I directed her to go put a ice pack on it and to visit the doctors. She attempted to do a done safe report herself while applying ice but found the pain was travelling to her fingers and was getting worse. Georgie came and told me she was going to attend the local doctors at epping to get it checked as pain was increasing. At this point her hand had started to change colour from bruising. She left for the doctors after this."/>
    <s v="Injury"/>
    <m/>
    <s v="Unfit"/>
    <s v="Closed"/>
    <n v="7"/>
    <b v="0"/>
    <s v="Medical Treatment Injury"/>
    <s v="Residual soft tissue disorders due to trauma or unknown mechanisms"/>
    <s v="Hand, finger and thumb"/>
    <s v="Hitting Objects With a Part of the Body"/>
    <s v="Hitting stationary objects"/>
    <s v="Other materials and objects"/>
    <m/>
    <n v="0"/>
    <e v="#N/A"/>
    <e v="#N/A"/>
    <m/>
    <d v="2021-08-27T00:00:00"/>
    <m/>
    <x v="10"/>
    <n v="3"/>
    <x v="0"/>
    <s v="SALARIED"/>
    <n v="38"/>
    <n v="22"/>
    <x v="3"/>
    <x v="11"/>
    <s v="Q1, FY25"/>
    <s v="MTIs"/>
    <x v="0"/>
    <x v="0"/>
    <s v="Hitting Objects With a Part of the Body"/>
    <x v="0"/>
    <s v="Harris Scarfe"/>
    <x v="0"/>
    <s v="Store"/>
    <x v="0"/>
    <s v="VIC &amp; NSW"/>
    <s v="Harris Scarfe"/>
    <x v="2"/>
  </r>
  <r>
    <s v="SRG-INJ-2919"/>
    <s v="INC9357"/>
    <m/>
    <s v="No"/>
    <n v="294356"/>
    <s v="MCGRATH, INGRID"/>
    <d v="1977-02-09T00:00:00"/>
    <d v="2024-09-09T00:00:00"/>
    <d v="1899-12-30T13:15:00"/>
    <s v="Harris Scarfe NSW"/>
    <n v="5053"/>
    <s v="Shellharbour (Hs Home)"/>
    <s v="Left hand has a small puncture mark and scratch from trying to lift an airfryer and screws being exposed"/>
    <s v="Team member picked up a faulty air fryer to put on a pallet and didn't see a screw sticking out from the item. The screw has punctured and cut the skin on the team members palm of her hand. The team member was treated with first aid to clean the wound and dress it."/>
    <s v="Injury"/>
    <m/>
    <s v="No Assessment"/>
    <s v="Closed"/>
    <n v="0"/>
    <b v="0"/>
    <s v="First Aid Injury"/>
    <s v="Laceration or open wound not involving traumatic amputation"/>
    <s v="Hand, finger and thumb"/>
    <s v="Hitting Objects With a Part of the Body"/>
    <s v="Hitting stationary objects"/>
    <s v="Other materials and objects"/>
    <m/>
    <n v="0"/>
    <e v="#N/A"/>
    <e v="#N/A"/>
    <m/>
    <d v="2015-07-13T00:00:00"/>
    <m/>
    <x v="17"/>
    <n v="9"/>
    <x v="3"/>
    <s v="PART TIME"/>
    <n v="35"/>
    <n v="48"/>
    <x v="1"/>
    <x v="11"/>
    <s v="Q1, FY25"/>
    <s v="FAIs"/>
    <x v="0"/>
    <x v="0"/>
    <s v="Hitting Objects With a Part of the Body"/>
    <x v="0"/>
    <s v="Harris Scarfe"/>
    <x v="4"/>
    <s v="Store"/>
    <x v="0"/>
    <s v="NSW/ACT"/>
    <s v="Harris Scarfe"/>
    <x v="4"/>
  </r>
  <r>
    <s v="SRG-INJ-2927"/>
    <s v="INC9417"/>
    <m/>
    <s v="No"/>
    <n v="323263"/>
    <s v="BERMUDEZ, CARMEN"/>
    <d v="1974-08-22T00:00:00"/>
    <d v="2024-09-11T00:00:00"/>
    <d v="1899-12-30T13:08:00"/>
    <s v="Harris Scarfe VIC"/>
    <n v="2023"/>
    <s v="Epping"/>
    <s v="all I know is her back"/>
    <s v="Carmen text me that she picked up a 30ltr air fryer  and then felt a twinge in her back"/>
    <s v="Injury"/>
    <m/>
    <s v="No Assessment"/>
    <s v="Closed"/>
    <n v="0"/>
    <b v="0"/>
    <s v="Not Applicable"/>
    <s v="Residual soft tissue disorders due to trauma or unknown mechanisms"/>
    <s v="Back-Upper and lower"/>
    <s v="Body Stressing"/>
    <s v="Muscular stress while lifting, carrying, or putting down objects"/>
    <s v="Human agencies"/>
    <m/>
    <n v="0"/>
    <e v="#N/A"/>
    <e v="#N/A"/>
    <m/>
    <d v="2022-06-27T00:00:00"/>
    <d v="2024-11-07T00:00:00"/>
    <x v="0"/>
    <n v="2"/>
    <x v="0"/>
    <s v="PART TIME"/>
    <n v="19"/>
    <n v="50"/>
    <x v="1"/>
    <x v="11"/>
    <s v="Q1, FY25"/>
    <s v="Incident"/>
    <x v="0"/>
    <x v="0"/>
    <s v="Body Stressing"/>
    <x v="1"/>
    <s v="Harris Scarfe"/>
    <x v="0"/>
    <s v="Store"/>
    <x v="0"/>
    <s v="VIC &amp; NSW"/>
    <s v="Harris Scarfe"/>
    <x v="2"/>
  </r>
  <r>
    <s v="SRG-INJ-2932"/>
    <s v="INC9451"/>
    <m/>
    <s v="No"/>
    <n v="297407"/>
    <s v="CHAKOVSKI, ANGELA"/>
    <d v="1962-02-14T00:00:00"/>
    <d v="2024-09-14T00:00:00"/>
    <d v="1899-12-30T08:00:00"/>
    <s v="Harris Scarfe NSW"/>
    <n v="5089"/>
    <s v="Rockdale"/>
    <s v="Head and leg"/>
    <s v="Angela was coming in to store, she had tried to turn alarm off however it wasn't working. with 0 visability as the store lights were off and the back door closed. She then fell on a pallet that she didn't see. She fell forward hitting her head and grazing her leg."/>
    <s v="Injury"/>
    <m/>
    <s v="No Assessment"/>
    <s v="Closed"/>
    <n v="3"/>
    <b v="0"/>
    <s v="Medical Treatment Injury"/>
    <s v="Residual soft tissue disorders due to trauma or unknown mechanisms"/>
    <s v="Head - unspecified locations"/>
    <s v="Falls, Trips and Slips of a Person"/>
    <s v="Falls on the same level"/>
    <s v="Human agencies"/>
    <m/>
    <n v="0"/>
    <e v="#N/A"/>
    <e v="#N/A"/>
    <m/>
    <d v="2021-02-22T00:00:00"/>
    <m/>
    <x v="10"/>
    <n v="4"/>
    <x v="0"/>
    <s v="PART TIME"/>
    <n v="20"/>
    <n v="63"/>
    <x v="0"/>
    <x v="11"/>
    <s v="Q1, FY25"/>
    <s v="MTIs"/>
    <x v="0"/>
    <x v="0"/>
    <s v="Falls, Trips and Slips of a Person"/>
    <x v="1"/>
    <s v="Harris Scarfe"/>
    <x v="4"/>
    <s v="Store"/>
    <x v="0"/>
    <s v="NSW/ACT"/>
    <s v="Harris Scarfe"/>
    <x v="4"/>
  </r>
  <r>
    <s v="SRG-INJ-2936"/>
    <s v="INC9487"/>
    <m/>
    <s v="No"/>
    <n v="324015"/>
    <s v="BONNEY, BLAKE"/>
    <d v="2006-12-18T00:00:00"/>
    <d v="2024-09-17T00:00:00"/>
    <d v="1899-12-30T10:30:00"/>
    <s v="Harris Scarfe QLD"/>
    <n v="9098"/>
    <s v="Carindale"/>
    <s v="front side of right hand"/>
    <s v="Blake scratched right front of hand on sharp bit of metal attached to cage"/>
    <s v="Injury"/>
    <m/>
    <s v="No Assessment"/>
    <s v="Closed"/>
    <n v="0"/>
    <b v="0"/>
    <s v="Not Applicable"/>
    <s v="Contusion, bruising and superficial crushing"/>
    <s v="Hand, finger and thumb"/>
    <s v="Hitting Objects With a Part of the Body"/>
    <s v="Hitting stationary objects"/>
    <s v="Human agencies"/>
    <m/>
    <n v="0"/>
    <e v="#N/A"/>
    <e v="#N/A"/>
    <m/>
    <d v="2022-08-08T00:00:00"/>
    <d v="2024-11-21T00:00:00"/>
    <x v="0"/>
    <n v="2"/>
    <x v="0"/>
    <s v="CASUAL"/>
    <n v="0.01"/>
    <n v="18"/>
    <x v="5"/>
    <x v="11"/>
    <s v="Q1, FY25"/>
    <s v="Incident"/>
    <x v="0"/>
    <x v="0"/>
    <s v="Hitting Objects With a Part of the Body"/>
    <x v="1"/>
    <s v="Harris Scarfe"/>
    <x v="3"/>
    <s v="Store"/>
    <x v="0"/>
    <s v="QLD"/>
    <s v="Harris Scarfe"/>
    <x v="3"/>
  </r>
  <r>
    <s v="SRG-INJ-2942"/>
    <s v="INC9521"/>
    <m/>
    <s v="No"/>
    <n v="333696"/>
    <s v="SHILLING, HEATHER"/>
    <d v="1969-10-07T00:00:00"/>
    <d v="2024-09-18T00:00:00"/>
    <d v="1899-12-30T15:48:00"/>
    <s v="Harris Scarfe SA"/>
    <n v="1011"/>
    <s v="Marion"/>
    <s v="cut to Heather's right ring finger next to the quick"/>
    <s v="Heather was screwing a bar into place on a 4 way rack when her hand slipped. This resulted in a scratch to the nail quick on the side of her ring finger causing it to bleed. Heather came and got a band aid to apply to her finger."/>
    <s v="Injury"/>
    <m/>
    <s v="No Assessment"/>
    <s v="Closed"/>
    <n v="0"/>
    <b v="0"/>
    <s v="First Aid Injury"/>
    <s v="Laceration or open wound not involving traumatic amputation"/>
    <s v="Hand, finger and thumb"/>
    <s v="Hitting Objects With a Part of the Body"/>
    <s v="Hitting stationary objects"/>
    <s v="Human agencies"/>
    <m/>
    <n v="0"/>
    <e v="#N/A"/>
    <e v="#N/A"/>
    <m/>
    <d v="2024-03-18T00:00:00"/>
    <m/>
    <x v="1"/>
    <n v="1"/>
    <x v="1"/>
    <s v="PART TIME"/>
    <n v="25"/>
    <n v="55"/>
    <x v="0"/>
    <x v="11"/>
    <s v="Q1, FY25"/>
    <s v="FAIs"/>
    <x v="0"/>
    <x v="0"/>
    <s v="Hitting Objects With a Part of the Body"/>
    <x v="1"/>
    <s v="Harris Scarfe"/>
    <x v="1"/>
    <s v="Store"/>
    <x v="0"/>
    <s v="SA/TAS"/>
    <s v="Harris Scarfe"/>
    <x v="1"/>
  </r>
  <r>
    <s v="SRG-INJ-2944"/>
    <s v="INC9533"/>
    <m/>
    <s v="No"/>
    <n v="289748"/>
    <s v="HOWELL, GEOFFREY"/>
    <d v="1987-08-21T00:00:00"/>
    <d v="2024-09-20T00:00:00"/>
    <d v="1899-12-30T11:58:00"/>
    <s v="Harris Scarfe SA"/>
    <n v="1013"/>
    <s v="Gepps Cross (Hs Home)"/>
    <s v="right eye"/>
    <s v="whilst Geoffrey was taking down pillow boxes from the top shelf of pallet rack a foreign object went into Geoffrey's eye. this object felt like course solid 1mm grit  like dust particle cardboard or mdf particle board  or wood shaving from the pallet,Flew into Geoffrey's right eye bottom lid. causing irritation scratchiness and redness. to the eye."/>
    <s v="Injury"/>
    <m/>
    <s v="No Assessment"/>
    <s v="Closed"/>
    <n v="0"/>
    <b v="0"/>
    <s v="First Aid Injury"/>
    <s v="Superficial injury"/>
    <s v="Eye"/>
    <s v="Being Hit By Moving Objects"/>
    <s v="Being hit by falling objects"/>
    <s v="Other substances"/>
    <m/>
    <n v="0"/>
    <e v="#N/A"/>
    <s v="Psychosocial"/>
    <m/>
    <d v="2007-08-20T00:00:00"/>
    <m/>
    <x v="2"/>
    <n v="17"/>
    <x v="2"/>
    <s v="PART TIME"/>
    <n v="35"/>
    <n v="37"/>
    <x v="4"/>
    <x v="11"/>
    <s v="Q1, FY25"/>
    <s v="FAIs"/>
    <x v="0"/>
    <x v="0"/>
    <s v="Being Hit By Moving Objects"/>
    <x v="2"/>
    <s v="Harris Scarfe"/>
    <x v="1"/>
    <s v="Store"/>
    <x v="0"/>
    <s v="SA/TAS"/>
    <s v="Harris Scarfe"/>
    <x v="1"/>
  </r>
  <r>
    <s v="SRG-INJ-2945"/>
    <s v="INC9546"/>
    <n v="12240032595"/>
    <s v="No"/>
    <n v="296206"/>
    <s v="TARQUINIO, ZAC"/>
    <d v="2002-10-02T00:00:00"/>
    <d v="2024-09-21T00:00:00"/>
    <d v="1899-12-30T11:45:00"/>
    <s v="Harris Scarfe VIC"/>
    <n v="2033"/>
    <s v="Eastland"/>
    <s v="felt a pop in his knee, knee is hurting"/>
    <s v="I stepped foward to grab a bag off the floor and i felt a pop in my knee"/>
    <s v="Claim"/>
    <s v="Accepted Claim"/>
    <s v="Fit"/>
    <s v="Closed"/>
    <n v="11"/>
    <b v="0"/>
    <s v="First Aid Injury"/>
    <s v="Residual soft tissue disorders due to trauma or unknown mechanisms"/>
    <s v="Knee"/>
    <s v="Body Stressing"/>
    <s v="Muscular stress with no objects being handled"/>
    <s v="Human agencies"/>
    <m/>
    <s v="Closed"/>
    <e v="#N/A"/>
    <e v="#N/A"/>
    <m/>
    <d v="2018-08-20T00:00:00"/>
    <m/>
    <x v="5"/>
    <n v="6"/>
    <x v="3"/>
    <s v="PART TIME"/>
    <n v="16.5"/>
    <n v="22"/>
    <x v="3"/>
    <x v="11"/>
    <s v="Q1, FY25"/>
    <s v="FAIs"/>
    <x v="1"/>
    <x v="1"/>
    <s v="Body Stressing"/>
    <x v="1"/>
    <s v="Harris Scarfe"/>
    <x v="0"/>
    <s v="Store"/>
    <x v="0"/>
    <s v="VIC"/>
    <s v="Harris Scarfe"/>
    <x v="0"/>
  </r>
  <r>
    <s v="SRG-INJ-2950"/>
    <s v="INC9580"/>
    <m/>
    <s v="No"/>
    <n v="405998"/>
    <s v="DIGNEY, SHAUN"/>
    <d v="1977-08-26T00:00:00"/>
    <d v="2024-09-22T00:00:00"/>
    <d v="1899-12-30T15:45:00"/>
    <s v="Harris Scarfe VIC"/>
    <n v="2022"/>
    <s v="Knox City"/>
    <s v="Left middle finger - laceration"/>
    <s v="Shaun was moving wooden fixture base from a stack onto a pallet jack to bring onto the shop floor. When he went to sit the base down on the pallet jack  his right middle finger got caught between the base and pallet jack squashing the end of the middle finger . Then we stopped and cleaned up the wound and wrapped up carefully . Shaun then went to hospital to get checked out properly"/>
    <s v="Injury"/>
    <m/>
    <s v="No Assessment"/>
    <s v="Closed"/>
    <n v="0"/>
    <b v="0"/>
    <s v="Medical Treatment Injury"/>
    <s v="Laceration or open wound not involving traumatic amputation"/>
    <s v="Hand, finger and thumb"/>
    <s v="Being Hit By Moving Objects"/>
    <s v="Being trapped between stationary and moving objects"/>
    <s v="Human agencies"/>
    <m/>
    <n v="0"/>
    <e v="#N/A"/>
    <e v="#N/A"/>
    <m/>
    <d v="2005-09-26T00:00:00"/>
    <m/>
    <x v="27"/>
    <n v="19"/>
    <x v="2"/>
    <s v="SALARIED"/>
    <n v="38"/>
    <n v="47"/>
    <x v="1"/>
    <x v="11"/>
    <s v="Q1, FY25"/>
    <s v="MTIs"/>
    <x v="0"/>
    <x v="0"/>
    <s v="Being Hit By Moving Objects"/>
    <x v="1"/>
    <s v="Harris Scarfe"/>
    <x v="0"/>
    <s v="Store"/>
    <x v="0"/>
    <s v="VIC"/>
    <s v="Harris Scarfe"/>
    <x v="0"/>
  </r>
  <r>
    <s v="SRG-INJ-2949"/>
    <s v="INC9575"/>
    <m/>
    <s v="No"/>
    <n v="280547"/>
    <s v="WELLS, AMANDA"/>
    <d v="1968-05-29T00:00:00"/>
    <d v="2024-09-23T00:00:00"/>
    <d v="1899-12-30T15:51:00"/>
    <s v="Harris Scarfe SA"/>
    <n v="1013"/>
    <s v="Gepps Cross (Hs Home)"/>
    <s v="Nose - causing a bruise to the bridge of nose"/>
    <s v="moving the bamboo folding lap trays and I stacked 2 on the top shelf and as I was filling the second shelf with the lap trays, one of the trays on the top shelf slid off and hit the bridge of my nose."/>
    <s v="Injury"/>
    <m/>
    <s v="No Assessment"/>
    <s v="Closed"/>
    <n v="0"/>
    <b v="0"/>
    <s v="Not Applicable"/>
    <s v="Contusion, bruising and superficial crushing"/>
    <s v="Nose"/>
    <s v="Being Hit By Moving Objects"/>
    <s v="Being hit by falling objects"/>
    <s v="Human agencies"/>
    <m/>
    <n v="0"/>
    <e v="#N/A"/>
    <e v="#N/A"/>
    <m/>
    <d v="1996-12-30T00:00:00"/>
    <m/>
    <x v="24"/>
    <n v="28"/>
    <x v="6"/>
    <s v="FULL TIME"/>
    <n v="38"/>
    <n v="56"/>
    <x v="0"/>
    <x v="11"/>
    <s v="Q1, FY25"/>
    <s v="Incident"/>
    <x v="0"/>
    <x v="0"/>
    <s v="Being Hit By Moving Objects"/>
    <x v="1"/>
    <s v="Harris Scarfe"/>
    <x v="1"/>
    <s v="Store"/>
    <x v="0"/>
    <s v="SA/TAS"/>
    <s v="Harris Scarfe"/>
    <x v="1"/>
  </r>
  <r>
    <s v="SRG-INJ-2951"/>
    <s v="INC9582"/>
    <m/>
    <s v="No"/>
    <n v="335338"/>
    <s v="IARIA, ANTONIO"/>
    <d v="1974-05-21T00:00:00"/>
    <d v="2024-09-24T00:00:00"/>
    <d v="1899-12-30T08:08:00"/>
    <s v="Harris Scarfe VIC"/>
    <n v="2026"/>
    <s v="Shepparton"/>
    <s v="Right arm/wrist"/>
    <s v="Tony was taking a pallet down the ramp and the pallet jack brake did not work. The pallet rammed into the dock rolladoor after tony managed to step aside and let it go."/>
    <s v="Injury"/>
    <m/>
    <s v="No Assessment"/>
    <s v="Closed"/>
    <n v="0"/>
    <b v="0"/>
    <s v="Not Applicable"/>
    <s v="Unspecified injuries"/>
    <s v="Forearm"/>
    <s v="Body Stressing"/>
    <s v="Muscular stress while handling objects other than lifting, carrying or putting down"/>
    <s v="Other non-powered equipment"/>
    <s v="Pallet Jack"/>
    <n v="0"/>
    <e v="#N/A"/>
    <e v="#N/A"/>
    <m/>
    <d v="2024-07-15T00:00:00"/>
    <m/>
    <x v="1"/>
    <n v="0"/>
    <x v="1"/>
    <s v="PART TIME"/>
    <n v="22.5"/>
    <n v="50"/>
    <x v="1"/>
    <x v="11"/>
    <s v="Q1, FY25"/>
    <s v="Incident"/>
    <x v="0"/>
    <x v="0"/>
    <s v="Body Stressing"/>
    <x v="10"/>
    <s v="Harris Scarfe"/>
    <x v="0"/>
    <s v="Store"/>
    <x v="0"/>
    <s v="VIC &amp; NSW"/>
    <s v="Harris Scarfe"/>
    <x v="2"/>
  </r>
  <r>
    <s v="SRG-INJ-2953"/>
    <s v="INC9593"/>
    <m/>
    <s v="No"/>
    <n v="321030"/>
    <s v="HOWELL, JAMES"/>
    <d v="1998-11-05T00:00:00"/>
    <d v="2024-09-24T00:00:00"/>
    <d v="1899-12-30T10:56:00"/>
    <s v="Harris Scarfe NSW"/>
    <n v="5058"/>
    <s v="Bennetts Green"/>
    <s v="Lifting boxes down off a shelf causing a strain/spasm in upper back"/>
    <s v="Team member James Howell No 321030  was on a safety step and he moved  cooksets  from one shelf to another and while he was in the middle of lifting he suddenly felt a muscle spasm in the upper half of his back. He immediately reported the incident"/>
    <s v="Claim"/>
    <s v="Accepted Claim"/>
    <s v="Fit"/>
    <s v="Closed"/>
    <n v="34"/>
    <b v="0"/>
    <s v="Lost Time Injury"/>
    <s v="Trauma to muscles and tendons"/>
    <s v="Back-Upper and lower"/>
    <s v="Body Stressing"/>
    <s v="Muscular stress while lifting, carrying, or putting down objects"/>
    <s v="Human agencies"/>
    <m/>
    <s v="Closed"/>
    <e v="#N/A"/>
    <e v="#N/A"/>
    <m/>
    <d v="2022-02-14T00:00:00"/>
    <d v="2025-02-22T00:00:00"/>
    <x v="0"/>
    <n v="3"/>
    <x v="0"/>
    <s v="PART TIME"/>
    <n v="20"/>
    <n v="26"/>
    <x v="2"/>
    <x v="11"/>
    <s v="Q1, FY25"/>
    <s v="LTIs"/>
    <x v="1"/>
    <x v="1"/>
    <s v="Body Stressing"/>
    <x v="1"/>
    <s v="Harris Scarfe"/>
    <x v="4"/>
    <s v="Store"/>
    <x v="0"/>
    <s v="NSW/ACT"/>
    <s v="Harris Scarfe"/>
    <x v="4"/>
  </r>
  <r>
    <s v="SRG-INJ-2956"/>
    <s v="INC9603"/>
    <m/>
    <s v="No"/>
    <n v="185531"/>
    <s v="ANDREACCHIO, JOSEPH"/>
    <d v="1969-02-03T00:00:00"/>
    <d v="2024-09-25T00:00:00"/>
    <d v="1899-12-30T09:50:00"/>
    <s v="Harris Scarfe SA"/>
    <n v="1006"/>
    <s v="West Lakes"/>
    <s v="Right foot, inside, big toe."/>
    <s v="Joe was moving cast iron from a pallet and as he placed it down, the cast iron slipped and landed on his Right foot, near the big toe/ball of foot joint"/>
    <s v="Injury"/>
    <m/>
    <s v="No Assessment"/>
    <s v="Closed"/>
    <n v="0"/>
    <b v="0"/>
    <s v="First Aid Injury"/>
    <s v="Contusion, bruising and superficial crushing"/>
    <s v="Foot and toes"/>
    <s v="Being Hit By Moving Objects"/>
    <s v="Being hit by falling objects"/>
    <s v="Human agencies"/>
    <m/>
    <n v="0"/>
    <e v="#N/A"/>
    <e v="#N/A"/>
    <m/>
    <d v="1986-03-24T00:00:00"/>
    <m/>
    <x v="23"/>
    <n v="39"/>
    <x v="7"/>
    <s v="FULL TIME"/>
    <n v="38"/>
    <n v="56"/>
    <x v="0"/>
    <x v="11"/>
    <s v="Q1, FY25"/>
    <s v="FAIs"/>
    <x v="0"/>
    <x v="0"/>
    <s v="Being Hit By Moving Objects"/>
    <x v="1"/>
    <s v="Harris Scarfe"/>
    <x v="1"/>
    <s v="Store"/>
    <x v="0"/>
    <s v="SA/TAS"/>
    <s v="Harris Scarfe"/>
    <x v="1"/>
  </r>
  <r>
    <s v="SRG-INJ-2961"/>
    <s v="INC9623"/>
    <m/>
    <s v="No"/>
    <n v="334265"/>
    <s v="GALATOULAS, TERRI"/>
    <d v="2000-01-06T00:00:00"/>
    <d v="2024-09-25T00:00:00"/>
    <d v="1899-12-30T09:36:00"/>
    <s v="Harris Scarfe NSW"/>
    <n v="5054"/>
    <s v="Blacktown"/>
    <s v="Item dropped on left foot/toe"/>
    <s v="Carrying a pallet, trying to put it down and it fell on my foot"/>
    <s v="Injury"/>
    <s v="Pending Claim"/>
    <s v="Restricted Duties"/>
    <s v="Closed"/>
    <n v="0"/>
    <b v="0"/>
    <s v="Medical Treatment Injury"/>
    <s v="Trauma to joints and ligaments"/>
    <s v="Foot and toes"/>
    <s v="Being Hit By Moving Objects"/>
    <s v="Being hit by falling objects"/>
    <s v="Human agencies"/>
    <m/>
    <n v="0"/>
    <e v="#N/A"/>
    <e v="#N/A"/>
    <m/>
    <d v="2024-04-29T00:00:00"/>
    <d v="2025-02-11T00:00:00"/>
    <x v="1"/>
    <n v="0"/>
    <x v="1"/>
    <s v="SALARIED"/>
    <n v="38"/>
    <n v="25"/>
    <x v="2"/>
    <x v="11"/>
    <s v="Q1, FY25"/>
    <s v="MTIs"/>
    <x v="0"/>
    <x v="0"/>
    <s v="Being Hit By Moving Objects"/>
    <x v="1"/>
    <s v="Harris Scarfe"/>
    <x v="4"/>
    <s v="Store"/>
    <x v="0"/>
    <s v="NSW/ACT"/>
    <s v="Harris Scarfe"/>
    <x v="4"/>
  </r>
  <r>
    <s v="SRG-INJ-2990"/>
    <s v="INC9768"/>
    <m/>
    <s v="No"/>
    <n v="291576"/>
    <s v="MCDOWALL, CHARLENE"/>
    <d v="1987-11-17T00:00:00"/>
    <d v="2024-09-26T00:00:00"/>
    <d v="1899-12-30T12:00:00"/>
    <s v="Harris Scarfe VIC"/>
    <n v="2030"/>
    <s v="Warrnambool"/>
    <s v="sore back and right ankle"/>
    <s v="An elderly customer with Parkinson's came into the store whilst shopping she has become incontinent (passed bodily function) resulting in Charlene lifting the customer to help her get all cleaned up. Which has resulted in a flare up with Charlene's back and right ankle."/>
    <s v="Injury"/>
    <m/>
    <s v="No Assessment"/>
    <s v="Closed"/>
    <n v="0"/>
    <b v="0"/>
    <s v="Not Applicable"/>
    <s v="Residual soft tissue disorders due to trauma or unknown mechanisms"/>
    <s v="Trunk and limbs"/>
    <s v="Body Stressing"/>
    <s v="Muscular stress while lifting, carrying, or putting down objects"/>
    <s v="Human agencies"/>
    <m/>
    <n v="0"/>
    <s v="Non Work Related Injury"/>
    <e v="#N/A"/>
    <m/>
    <d v="2010-10-25T00:00:00"/>
    <d v="2025-03-28T00:00:00"/>
    <x v="7"/>
    <n v="14"/>
    <x v="5"/>
    <s v="PART TIME"/>
    <n v="34"/>
    <n v="37"/>
    <x v="4"/>
    <x v="11"/>
    <s v="Q1, FY25"/>
    <s v="Incident"/>
    <x v="0"/>
    <x v="0"/>
    <s v="Body Stressing"/>
    <x v="1"/>
    <s v="Harris Scarfe"/>
    <x v="0"/>
    <s v="Store"/>
    <x v="0"/>
    <s v="VIC &amp; NSW"/>
    <s v="Harris Scarfe"/>
    <x v="2"/>
  </r>
  <r>
    <s v="SRG-INJ-2968"/>
    <s v="INC9665"/>
    <m/>
    <s v="No"/>
    <n v="328516"/>
    <s v="PHILBRICK, TANIA"/>
    <d v="1967-11-19T00:00:00"/>
    <d v="2024-09-27T00:00:00"/>
    <d v="1899-12-30T14:14:00"/>
    <s v="Harris Scarfe QLD"/>
    <n v="9097"/>
    <s v="Hervey Bay"/>
    <s v="arm"/>
    <s v="Tania was putting stock out and came around the corner and she cut her arm by accident as the data stripping was pocking out. Tania then applied a cleansing wipe, bandaid and cut the stripping so it wasn't poking out"/>
    <s v="Injury"/>
    <m/>
    <s v="No Assessment"/>
    <s v="Closed"/>
    <n v="0"/>
    <b v="0"/>
    <s v="First Aid Injury"/>
    <s v="Laceration or open wound not involving traumatic amputation"/>
    <s v="Upper arm"/>
    <s v="Hitting Objects With a Part of the Body"/>
    <s v="Hitting stationary objects"/>
    <s v="Other materials and objects"/>
    <m/>
    <n v="0"/>
    <e v="#N/A"/>
    <e v="#N/A"/>
    <m/>
    <d v="2023-04-03T00:00:00"/>
    <m/>
    <x v="4"/>
    <n v="2"/>
    <x v="0"/>
    <s v="PART TIME"/>
    <n v="20"/>
    <n v="57"/>
    <x v="0"/>
    <x v="11"/>
    <s v="Q1, FY25"/>
    <s v="FAIs"/>
    <x v="0"/>
    <x v="0"/>
    <s v="Hitting Objects With a Part of the Body"/>
    <x v="0"/>
    <s v="Harris Scarfe"/>
    <x v="3"/>
    <s v="Store"/>
    <x v="0"/>
    <s v="QLD"/>
    <s v="Harris Scarfe"/>
    <x v="3"/>
  </r>
  <r>
    <s v="SRG-INJ-2974"/>
    <s v="INC9693"/>
    <m/>
    <s v="No"/>
    <n v="297563"/>
    <s v="PRIDMORE-JOHNSTON, REBECCA"/>
    <d v="1996-12-24T00:00:00"/>
    <d v="2024-10-01T00:00:00"/>
    <d v="1899-12-30T10:16:00"/>
    <s v="Harris Scarfe TAS"/>
    <n v="4043"/>
    <s v="Launceston"/>
    <s v="sore arm and thigh"/>
    <s v="Team member Rebecca Pridmore slipped in reserve"/>
    <s v="Injury"/>
    <m/>
    <s v="No Assessment"/>
    <s v="Closed"/>
    <n v="0"/>
    <b v="0"/>
    <s v="Not Applicable"/>
    <s v="Contusion, bruising and superficial crushing"/>
    <s v="Other specified multiple locations"/>
    <s v="Falls, Trips and Slips of a Person"/>
    <s v="Falls on the same level"/>
    <s v="Human agencies"/>
    <m/>
    <n v="0"/>
    <e v="#N/A"/>
    <e v="#N/A"/>
    <m/>
    <d v="2021-08-16T00:00:00"/>
    <m/>
    <x v="10"/>
    <n v="3"/>
    <x v="0"/>
    <s v="PART TIME"/>
    <n v="31"/>
    <n v="28"/>
    <x v="2"/>
    <x v="12"/>
    <s v="Q2, FY25"/>
    <s v="Incident"/>
    <x v="0"/>
    <x v="0"/>
    <s v="Falls, Trips and Slips of a Person"/>
    <x v="1"/>
    <s v="Harris Scarfe"/>
    <x v="2"/>
    <s v="Store"/>
    <x v="0"/>
    <s v="SA/TAS"/>
    <s v="Harris Scarfe"/>
    <x v="1"/>
  </r>
  <r>
    <s v="SRG-INJ-3001"/>
    <s v="INC9798"/>
    <s v="59715533/00"/>
    <s v="No"/>
    <n v="327986"/>
    <s v="D'ALOIA, AMY"/>
    <d v="1987-11-30T00:00:00"/>
    <d v="2024-10-03T00:00:00"/>
    <d v="1899-12-30T14:00:00"/>
    <s v="Harris Scarfe SA"/>
    <n v="1008"/>
    <s v="Tea Tree Plaza"/>
    <s v="right side of arm/shoulder"/>
    <s v="Amy and i were stacking the xmas excess stock in the reserve and a box landed on Amy shoulder / arm. it wasn't  a heavy box but she flinched when it landed on her"/>
    <s v="Claim"/>
    <s v="Invalid Claim"/>
    <s v="Fit"/>
    <s v="Open"/>
    <n v="12"/>
    <b v="0"/>
    <s v="Medical Treatment Injury"/>
    <s v="Residual soft tissue disorders due to trauma or unknown mechanisms"/>
    <s v="Shoulder"/>
    <s v="Being Hit By Moving Objects"/>
    <s v="Being hit by falling objects"/>
    <s v="Other materials and objects"/>
    <s v="Boxes"/>
    <s v="Open"/>
    <e v="#N/A"/>
    <e v="#N/A"/>
    <m/>
    <d v="2023-02-27T00:00:00"/>
    <m/>
    <x v="4"/>
    <n v="2"/>
    <x v="0"/>
    <s v="PART TIME"/>
    <n v="18.75"/>
    <n v="37"/>
    <x v="4"/>
    <x v="12"/>
    <s v="Q2, FY25"/>
    <s v="MTIs"/>
    <x v="1"/>
    <x v="5"/>
    <s v="Being Hit By Moving Objects"/>
    <x v="0"/>
    <s v="Harris Scarfe"/>
    <x v="1"/>
    <s v="Store"/>
    <x v="0"/>
    <s v="SA/TAS"/>
    <s v="Harris Scarfe"/>
    <x v="1"/>
  </r>
  <r>
    <s v="SRG-INJ-2983"/>
    <s v="INC9732"/>
    <m/>
    <s v="No"/>
    <n v="406840"/>
    <s v="FULLER, PAUL"/>
    <d v="1967-08-14T00:00:00"/>
    <d v="2024-10-04T00:00:00"/>
    <d v="1899-12-30T08:30:00"/>
    <s v="Harris Scarfe VIC"/>
    <n v="2042"/>
    <s v="Carnegie (Hs Home)"/>
    <s v="I have strained some muscles in my back"/>
    <s v="I was carrying an Air Fryer to place it on show. The cleaner had mopped the floor a few minutes earlier. I wasn't aware that he had left a lot of water on the polished concrete floor. I lost my footing, and because my hands were full I landed on my back."/>
    <s v="Injury"/>
    <m/>
    <s v="No Assessment"/>
    <s v="Closed"/>
    <n v="0"/>
    <b v="0"/>
    <s v="First Aid Injury"/>
    <s v="Residual soft tissue disorders due to trauma or unknown mechanisms"/>
    <s v="Back-Upper and lower"/>
    <s v="Falls, Trips and Slips of a Person"/>
    <s v="Falls on the same level"/>
    <s v="Non-metallic minerals and substances"/>
    <m/>
    <n v="0"/>
    <e v="#N/A"/>
    <e v="#N/A"/>
    <m/>
    <d v="2015-08-17T00:00:00"/>
    <m/>
    <x v="17"/>
    <n v="9"/>
    <x v="3"/>
    <s v="SALARIED"/>
    <n v="38"/>
    <n v="57"/>
    <x v="0"/>
    <x v="12"/>
    <s v="Q2, FY25"/>
    <s v="FAIs"/>
    <x v="0"/>
    <x v="0"/>
    <s v="Falls, Trips and Slips of a Person"/>
    <x v="14"/>
    <s v="Harris Scarfe"/>
    <x v="0"/>
    <s v="Store"/>
    <x v="0"/>
    <s v="VIC"/>
    <s v="Harris Scarfe"/>
    <x v="0"/>
  </r>
  <r>
    <s v="SRG-INJ-2985"/>
    <s v="INC9743"/>
    <n v="12240034195"/>
    <s v="No"/>
    <n v="296264"/>
    <s v="RANDLES, EMERSON"/>
    <d v="2002-10-25T00:00:00"/>
    <d v="2024-10-04T00:00:00"/>
    <d v="1899-12-30T12:30:00"/>
    <s v="Harris Scarfe VIC"/>
    <n v="2045"/>
    <s v="Frankston"/>
    <s v="shoulder right,"/>
    <s v="Emerson  was taking out cardboard,  they tried to open the cardboard when they tried to open it the lid swung back down the safety clip failed and fell back down and hurt Emerson's right shoulder  a new replacement bin was already ordered and a follow up was sent to Cleanaway and need maintenance"/>
    <s v="Claim"/>
    <s v="Accepted Claim"/>
    <s v="Fit"/>
    <s v="Closed"/>
    <n v="14"/>
    <b v="0"/>
    <s v="Medical Treatment Injury"/>
    <s v="Residual soft tissue disorders due to trauma or unknown mechanisms"/>
    <s v="Shoulder"/>
    <s v="Being Hit By Moving Objects"/>
    <s v="Being hit by falling objects"/>
    <s v="Other materials and objects"/>
    <m/>
    <s v="Closed"/>
    <e v="#N/A"/>
    <e v="#N/A"/>
    <m/>
    <d v="2018-09-10T00:00:00"/>
    <d v="2025-01-27T00:00:00"/>
    <x v="5"/>
    <n v="6"/>
    <x v="3"/>
    <s v="PART TIME"/>
    <n v="19.75"/>
    <n v="22"/>
    <x v="3"/>
    <x v="12"/>
    <s v="Q2, FY25"/>
    <s v="MTIs"/>
    <x v="1"/>
    <x v="1"/>
    <s v="Being Hit By Moving Objects"/>
    <x v="0"/>
    <s v="Harris Scarfe"/>
    <x v="0"/>
    <s v="Store"/>
    <x v="0"/>
    <s v="VIC"/>
    <s v="Harris Scarfe"/>
    <x v="0"/>
  </r>
  <r>
    <s v="SRG-INJ-3034"/>
    <s v="INC9958"/>
    <m/>
    <s v="No"/>
    <n v="328609"/>
    <s v="BURNS, LEONIE"/>
    <d v="1960-04-12T00:00:00"/>
    <d v="2024-10-07T00:00:00"/>
    <d v="1899-12-30T16:00:00"/>
    <s v="Harris Scarfe NSW"/>
    <n v="5089"/>
    <s v="Rockdale"/>
    <s v="Knees"/>
    <s v="One of the staff members was asked from the ASM to change over the windows at the end of the day. He had dropped the plastc sleeve on the floor and as she was walking out the front of the store, she fell on the plastic hurting her knees"/>
    <s v="Injury"/>
    <m/>
    <s v="No Assessment"/>
    <s v="Closed"/>
    <n v="0"/>
    <b v="0"/>
    <s v="Not Applicable"/>
    <s v="Residual soft tissue disorders due to trauma or unknown mechanisms"/>
    <s v="Knee"/>
    <s v="Falls, Trips and Slips of a Person"/>
    <s v="Falls on the same level"/>
    <s v="Other materials and objects"/>
    <m/>
    <n v="0"/>
    <e v="#N/A"/>
    <e v="#N/A"/>
    <m/>
    <d v="2023-04-03T00:00:00"/>
    <d v="2024-10-17T00:00:00"/>
    <x v="4"/>
    <n v="1"/>
    <x v="0"/>
    <s v="PART TIME"/>
    <n v="18.75"/>
    <n v="65"/>
    <x v="0"/>
    <x v="12"/>
    <s v="Q2, FY25"/>
    <s v="Incident"/>
    <x v="0"/>
    <x v="0"/>
    <s v="Falls, Trips and Slips of a Person"/>
    <x v="0"/>
    <s v="Harris Scarfe"/>
    <x v="4"/>
    <s v="Store"/>
    <x v="0"/>
    <s v="NSW/ACT"/>
    <s v="Harris Scarfe"/>
    <x v="4"/>
  </r>
  <r>
    <s v="SRG-INJ-2992"/>
    <s v="INC9775"/>
    <m/>
    <s v="No"/>
    <n v="335580"/>
    <s v="NOVOTNY, AARON"/>
    <d v="2003-09-05T00:00:00"/>
    <d v="2024-10-08T00:00:00"/>
    <d v="1899-12-30T12:00:00"/>
    <s v="Harris Scarfe NSW"/>
    <n v="6071"/>
    <s v="Tweed Heads"/>
    <s v="back"/>
    <s v="Initially said he hurt his back while he was a asleep or that he could have hurt it rushing to work this morning as he was in a rush. Aaron then said he hurt it picking up a suitcase, at work not in bed and rushing to work. Rest day tomorrow and letting me know how it feels tomorrow afternoon."/>
    <s v="Claim"/>
    <s v="Pending Claim"/>
    <s v="Fit"/>
    <s v="Closed"/>
    <n v="8"/>
    <b v="0"/>
    <s v="Not Applicable"/>
    <s v="Residual soft tissue disorders due to trauma or unknown mechanisms"/>
    <s v="Back-Upper and lower"/>
    <s v="Body Stressing"/>
    <s v="Muscular stress while lifting, carrying, or putting down objects"/>
    <s v="Human agencies"/>
    <m/>
    <s v="Closed"/>
    <e v="#N/A"/>
    <e v="#N/A"/>
    <m/>
    <d v="2024-07-29T00:00:00"/>
    <m/>
    <x v="1"/>
    <n v="0"/>
    <x v="1"/>
    <s v="CASUAL"/>
    <n v="0.01"/>
    <n v="21"/>
    <x v="3"/>
    <x v="12"/>
    <s v="Q2, FY25"/>
    <s v="Incident"/>
    <x v="1"/>
    <x v="3"/>
    <s v="Body Stressing"/>
    <x v="1"/>
    <s v="Harris Scarfe"/>
    <x v="4"/>
    <s v="Store"/>
    <x v="0"/>
    <s v="QLD"/>
    <s v="Harris Scarfe"/>
    <x v="3"/>
  </r>
  <r>
    <s v="SRG-INJ-2991"/>
    <s v="INC9770"/>
    <m/>
    <s v="No"/>
    <n v="292146"/>
    <s v="NOWLAND, AMELIA"/>
    <d v="1993-05-25T00:00:00"/>
    <d v="2024-10-08T00:00:00"/>
    <d v="1899-12-30T08:30:00"/>
    <s v="Harris Scarfe QLD"/>
    <n v="9095"/>
    <s v="Chermside"/>
    <s v="right wrist"/>
    <s v="small bump in wrist appeared a while ago on right wrist. No pain or discomfort. until today where slight twinge felt while taping up boxes for ecomm orders."/>
    <s v="Injury"/>
    <m/>
    <s v="No Assessment"/>
    <s v="Closed"/>
    <n v="0"/>
    <b v="0"/>
    <s v="Not Applicable"/>
    <s v="Residual soft tissue disorders due to trauma or unknown mechanisms"/>
    <s v="Wrist"/>
    <s v="Body Stressing"/>
    <s v="Muscular stress while lifting, carrying, or putting down objects"/>
    <s v="Human agencies"/>
    <m/>
    <n v="0"/>
    <e v="#N/A"/>
    <e v="#N/A"/>
    <m/>
    <d v="2011-06-27T00:00:00"/>
    <m/>
    <x v="7"/>
    <n v="13"/>
    <x v="5"/>
    <s v="PART TIME"/>
    <n v="37"/>
    <n v="31"/>
    <x v="2"/>
    <x v="12"/>
    <s v="Q2, FY25"/>
    <s v="Incident"/>
    <x v="0"/>
    <x v="0"/>
    <s v="Body Stressing"/>
    <x v="1"/>
    <s v="Harris Scarfe"/>
    <x v="3"/>
    <s v="Store"/>
    <x v="0"/>
    <s v="QLD"/>
    <s v="Harris Scarfe"/>
    <x v="3"/>
  </r>
  <r>
    <s v="SRG-INJ-2995"/>
    <s v="INC9787"/>
    <m/>
    <s v="No"/>
    <n v="325643"/>
    <s v="PACE, BIANCA"/>
    <d v="1998-06-21T00:00:00"/>
    <d v="2024-10-09T00:00:00"/>
    <d v="1899-12-30T14:46:00"/>
    <s v="Harris Scarfe NSW"/>
    <n v="5054"/>
    <s v="Blacktown"/>
    <s v="Back"/>
    <s v="Doing repetitive movements and lifting of moderately heavy stock and fixtures resulting in pain in the back"/>
    <s v="Injury"/>
    <m/>
    <s v="No Assessment"/>
    <s v="Closed"/>
    <n v="0"/>
    <b v="0"/>
    <s v="Not Applicable"/>
    <s v="Residual soft tissue disorders due to trauma or unknown mechanisms"/>
    <s v="Back-Upper and lower"/>
    <s v="Body Stressing"/>
    <s v="Muscular stress while lifting, carrying, or putting down objects"/>
    <s v="Human agencies"/>
    <m/>
    <n v="0"/>
    <e v="#N/A"/>
    <e v="#N/A"/>
    <m/>
    <d v="2022-10-17T00:00:00"/>
    <m/>
    <x v="4"/>
    <n v="2"/>
    <x v="0"/>
    <s v="SALARIED"/>
    <n v="38"/>
    <n v="26"/>
    <x v="2"/>
    <x v="12"/>
    <s v="Q2, FY25"/>
    <s v="Incident"/>
    <x v="0"/>
    <x v="0"/>
    <s v="Body Stressing"/>
    <x v="1"/>
    <s v="Harris Scarfe"/>
    <x v="4"/>
    <s v="Store"/>
    <x v="0"/>
    <s v="NSW/ACT"/>
    <s v="Harris Scarfe"/>
    <x v="4"/>
  </r>
  <r>
    <s v="SRG-INJ-3011"/>
    <s v="INC9840"/>
    <m/>
    <s v="No"/>
    <n v="185531"/>
    <s v="ANDREACCHIO, JOSEPH"/>
    <d v="1969-02-03T00:00:00"/>
    <d v="2024-10-14T00:00:00"/>
    <d v="1899-12-30T10:15:00"/>
    <s v="Harris Scarfe SA"/>
    <n v="1006"/>
    <s v="West Lakes"/>
    <s v="cut"/>
    <s v="Joe is our Dock Person.  There was an open box of broken plates on his desk, Joe went to grab them, however one of the broken plates was upright and he cut his left index finger on the sharp edges."/>
    <s v="Injury"/>
    <m/>
    <s v="No Assessment"/>
    <s v="Closed"/>
    <n v="0"/>
    <b v="0"/>
    <s v="First Aid Injury"/>
    <s v="Laceration or open wound not involving traumatic amputation"/>
    <s v="Hand, finger and thumb"/>
    <s v="Hitting Objects With a Part of the Body"/>
    <s v="Hitting stationary objects"/>
    <s v="Other materials and objects"/>
    <m/>
    <n v="0"/>
    <e v="#N/A"/>
    <e v="#N/A"/>
    <m/>
    <d v="1986-03-24T00:00:00"/>
    <m/>
    <x v="23"/>
    <n v="39"/>
    <x v="7"/>
    <s v="FULL TIME"/>
    <n v="38"/>
    <n v="56"/>
    <x v="0"/>
    <x v="12"/>
    <s v="Q2, FY25"/>
    <s v="FAIs"/>
    <x v="0"/>
    <x v="0"/>
    <s v="Hitting Objects With a Part of the Body"/>
    <x v="0"/>
    <s v="Harris Scarfe"/>
    <x v="1"/>
    <s v="Store"/>
    <x v="0"/>
    <s v="SA/TAS"/>
    <s v="Harris Scarfe"/>
    <x v="1"/>
  </r>
  <r>
    <s v="SRG-INJ-3010"/>
    <s v="INC9839"/>
    <m/>
    <s v="No"/>
    <n v="334868"/>
    <s v="MAXWELL, SASHA"/>
    <d v="2006-04-28T00:00:00"/>
    <d v="2024-10-14T00:00:00"/>
    <d v="1899-12-30T09:30:00"/>
    <s v="Harris Scarfe QLD"/>
    <n v="9087"/>
    <s v="Loganholme"/>
    <s v="pulled a tendon on her left foot"/>
    <s v="Sasha Maxwell was kneeling by the drinks fridge, when she went to get up to serve a oncoming customer she fell back on her left ankle pulling a tendon in her foot. half an hour later Sasha Maxwell had her foot wrapped in gauze to support her foot."/>
    <s v="Injury"/>
    <m/>
    <s v="No Assessment"/>
    <s v="Closed"/>
    <n v="0"/>
    <b v="0"/>
    <s v="First Aid Injury"/>
    <s v="Trauma to muscles and tendons"/>
    <s v="Foot and toes"/>
    <s v="Falls, Trips and Slips of a Person"/>
    <s v="Falls on the same level"/>
    <s v="Human agencies"/>
    <m/>
    <n v="0"/>
    <e v="#N/A"/>
    <e v="#N/A"/>
    <m/>
    <d v="2024-06-17T00:00:00"/>
    <m/>
    <x v="1"/>
    <n v="0"/>
    <x v="1"/>
    <s v="CASUAL"/>
    <n v="0.01"/>
    <n v="19"/>
    <x v="5"/>
    <x v="12"/>
    <s v="Q2, FY25"/>
    <s v="FAIs"/>
    <x v="0"/>
    <x v="0"/>
    <s v="Falls, Trips and Slips of a Person"/>
    <x v="1"/>
    <s v="Harris Scarfe"/>
    <x v="3"/>
    <s v="Store"/>
    <x v="0"/>
    <s v="QLD"/>
    <s v="Harris Scarfe"/>
    <x v="3"/>
  </r>
  <r>
    <s v="SRG-INJ-3018"/>
    <s v="INC9869"/>
    <m/>
    <s v="No"/>
    <n v="296953"/>
    <s v="WILLIAMS, MARGARET"/>
    <d v="1971-01-15T00:00:00"/>
    <d v="2024-10-16T00:00:00"/>
    <d v="1899-12-30T11:30:00"/>
    <s v="Harris Scarfe TAS"/>
    <n v="4044"/>
    <s v="Devonport"/>
    <s v="back  spasm"/>
    <s v="Moving stock and back started to spasm  . Took medication and heading home"/>
    <s v="Injury"/>
    <m/>
    <s v="No Assessment"/>
    <s v="Closed"/>
    <n v="0"/>
    <b v="0"/>
    <s v="Not Applicable"/>
    <s v="Other musculoskeletal and connective tissue diseases, not elsewhere classified"/>
    <s v="Back-Upper and lower"/>
    <s v="Body Stressing"/>
    <s v="Muscular stress while handling objects other than lifting, carrying or putting down"/>
    <s v="Human agencies"/>
    <m/>
    <n v="0"/>
    <e v="#N/A"/>
    <e v="#N/A"/>
    <m/>
    <d v="2020-07-27T00:00:00"/>
    <m/>
    <x v="12"/>
    <n v="4"/>
    <x v="0"/>
    <s v="PART TIME"/>
    <n v="25"/>
    <n v="54"/>
    <x v="1"/>
    <x v="12"/>
    <s v="Q2, FY25"/>
    <s v="Incident"/>
    <x v="0"/>
    <x v="0"/>
    <s v="Body Stressing"/>
    <x v="1"/>
    <s v="Harris Scarfe"/>
    <x v="2"/>
    <s v="Store"/>
    <x v="0"/>
    <s v="SA/TAS"/>
    <s v="Harris Scarfe"/>
    <x v="1"/>
  </r>
  <r>
    <s v="SRG-INJ-3026"/>
    <s v="INC9923"/>
    <m/>
    <s v="No"/>
    <n v="290306"/>
    <s v="MUSCAT, MICHELLE"/>
    <d v="1963-12-04T00:00:00"/>
    <d v="2024-10-19T00:00:00"/>
    <d v="1899-12-30T07:05:00"/>
    <s v="Harris Scarfe VIC"/>
    <n v="2020"/>
    <s v="Forest Hill"/>
    <s v="Bruising and Swelling on pinky, ring and middle finger"/>
    <s v="There was cages lined in the walkway between lift and dock, Michelle was trying to get a cage through the passage way and jammed her hand between wall and cage. Michelle was advised to Ice her injury after event by Peter Riggs at the time. By 9am Michelle advised Tyler of swelling and bruising to middle finger, pinky and ring finger on left hand. Rings were also removed from injured fingers due to swelling."/>
    <s v="Injury"/>
    <m/>
    <s v="No Assessment"/>
    <s v="Closed"/>
    <n v="0"/>
    <b v="0"/>
    <s v="First Aid Injury"/>
    <s v="Residual soft tissue disorders due to trauma or unknown mechanisms"/>
    <s v="Hand, finger and thumb"/>
    <s v="Being Hit By Moving Objects"/>
    <s v="Being trapped between stationary and moving objects"/>
    <s v="Human agencies"/>
    <m/>
    <n v="0"/>
    <e v="#N/A"/>
    <e v="#N/A"/>
    <m/>
    <d v="2008-07-01T00:00:00"/>
    <m/>
    <x v="21"/>
    <n v="16"/>
    <x v="2"/>
    <s v="PART TIME"/>
    <n v="23"/>
    <n v="61"/>
    <x v="0"/>
    <x v="12"/>
    <s v="Q2, FY25"/>
    <s v="FAIs"/>
    <x v="0"/>
    <x v="0"/>
    <s v="Being Hit By Moving Objects"/>
    <x v="1"/>
    <s v="Harris Scarfe"/>
    <x v="0"/>
    <s v="Store"/>
    <x v="0"/>
    <s v="VIC"/>
    <s v="Harris Scarfe"/>
    <x v="0"/>
  </r>
  <r>
    <s v="SRG-INJ-3036"/>
    <s v="INC9973"/>
    <m/>
    <s v="No"/>
    <n v="330581"/>
    <s v="NICHOLLS, TAHLYA"/>
    <d v="1998-06-15T00:00:00"/>
    <d v="2024-10-22T00:00:00"/>
    <d v="1899-12-30T14:50:00"/>
    <s v="Harris Scarfe QLD"/>
    <n v="9097"/>
    <s v="Hervey Bay"/>
    <s v="Ankle and knee, no access to ice pack but took a short break after"/>
    <s v="Tahlya was completing a rubbish run and tripped over a bolt that is coming out of the ground, as she tried to stop herself from falling she now has a sore ankle and knee"/>
    <s v="Injury"/>
    <m/>
    <s v="No Assessment"/>
    <s v="Closed"/>
    <n v="0"/>
    <b v="0"/>
    <s v="First Aid Injury"/>
    <s v="Residual soft tissue disorders due to trauma or unknown mechanisms"/>
    <s v="Lower limb - multiple locations"/>
    <s v="Falls, Trips and Slips of a Person"/>
    <s v="Falls on the same level"/>
    <s v="Other materials and objects"/>
    <m/>
    <n v="0"/>
    <e v="#N/A"/>
    <e v="#N/A"/>
    <m/>
    <d v="2023-10-09T00:00:00"/>
    <d v="2024-10-28T00:00:00"/>
    <x v="4"/>
    <n v="1"/>
    <x v="0"/>
    <s v="SALARIED"/>
    <n v="38"/>
    <n v="26"/>
    <x v="2"/>
    <x v="12"/>
    <s v="Q2, FY25"/>
    <s v="FAIs"/>
    <x v="0"/>
    <x v="0"/>
    <s v="Falls, Trips and Slips of a Person"/>
    <x v="0"/>
    <s v="Harris Scarfe"/>
    <x v="3"/>
    <s v="Store"/>
    <x v="0"/>
    <s v="QLD"/>
    <s v="Harris Scarfe"/>
    <x v="3"/>
  </r>
  <r>
    <s v="SRG-INJ-3053"/>
    <s v="INC10071"/>
    <s v="G745915A"/>
    <s v="No"/>
    <n v="322849"/>
    <s v="REYNOLDS, JEFFERSON"/>
    <d v="1990-10-10T00:00:00"/>
    <d v="2024-10-25T00:00:00"/>
    <d v="1899-12-30T08:30:00"/>
    <s v="Harris Scarfe ACT"/>
    <n v="6065"/>
    <s v="Tuggeranong"/>
    <s v="lower back"/>
    <s v="breaking done stock on Friday morning in the dock., while lifting a heavy box heard a loud noise in the back and in pain since."/>
    <s v="Injury"/>
    <m/>
    <s v="Fit"/>
    <s v="Closed"/>
    <n v="0"/>
    <b v="0"/>
    <s v="Restricted Work Injury"/>
    <s v="Residual soft tissue disorders due to trauma or unknown mechanisms"/>
    <s v="Back-Upper and lower"/>
    <s v="Body Stressing"/>
    <s v="Muscular stress while lifting, carrying, or putting down objects"/>
    <s v="Human agencies"/>
    <m/>
    <n v="0"/>
    <e v="#N/A"/>
    <e v="#N/A"/>
    <m/>
    <d v="2022-06-06T00:00:00"/>
    <m/>
    <x v="0"/>
    <n v="2"/>
    <x v="0"/>
    <s v="PART TIME"/>
    <n v="20"/>
    <n v="34"/>
    <x v="2"/>
    <x v="12"/>
    <s v="Q2, FY25"/>
    <s v="Incident"/>
    <x v="0"/>
    <x v="0"/>
    <s v="Body Stressing"/>
    <x v="1"/>
    <s v="Harris Scarfe"/>
    <x v="5"/>
    <s v="Store"/>
    <x v="0"/>
    <s v="NSW/ACT"/>
    <s v="Harris Scarfe"/>
    <x v="4"/>
  </r>
  <r>
    <s v="SRG-INJ-3049"/>
    <s v="INC10041"/>
    <m/>
    <s v="No"/>
    <n v="406820"/>
    <s v="HUNTER, SARAH"/>
    <d v="1970-10-02T00:00:00"/>
    <d v="2024-10-26T00:00:00"/>
    <d v="1899-12-30T08:15:00"/>
    <s v="Harris Scarfe SA"/>
    <n v="1011"/>
    <s v="Marion"/>
    <s v="rednedd and a bruise"/>
    <s v="Sarah Hunter was getting a 3.5lt air fryer off the back wall for a click and collect. The airfryer was sitting behind a A3 Global ticket and when Sarah lifted the perspex ticket the whole arm came away causing the persepex ticket to fall forward and hit her on the left eyebrow. This caused some redness and a small bruise."/>
    <s v="Injury"/>
    <m/>
    <s v="No Assessment"/>
    <s v="Closed"/>
    <n v="0"/>
    <b v="0"/>
    <s v="Not Applicable"/>
    <s v="Contusion, bruising and superficial crushing"/>
    <s v="Face, not elsewhere classified"/>
    <s v="Being Hit By Moving Objects"/>
    <s v="Being hit by falling objects"/>
    <s v="Other materials and objects"/>
    <m/>
    <n v="0"/>
    <e v="#N/A"/>
    <e v="#N/A"/>
    <m/>
    <d v="2015-05-18T00:00:00"/>
    <m/>
    <x v="17"/>
    <n v="10"/>
    <x v="3"/>
    <s v="SALARIED"/>
    <n v="38"/>
    <n v="54"/>
    <x v="1"/>
    <x v="12"/>
    <s v="Q2, FY25"/>
    <s v="Incident"/>
    <x v="0"/>
    <x v="0"/>
    <s v="Being Hit By Moving Objects"/>
    <x v="0"/>
    <s v="Harris Scarfe"/>
    <x v="1"/>
    <s v="Store"/>
    <x v="0"/>
    <s v="SA/TAS"/>
    <s v="Harris Scarfe"/>
    <x v="1"/>
  </r>
  <r>
    <s v="SRG-INJ-3050"/>
    <s v="INC10052"/>
    <m/>
    <s v="No"/>
    <n v="286411"/>
    <s v="WHITE, PALOMA"/>
    <d v="1985-08-09T00:00:00"/>
    <d v="2024-10-27T00:00:00"/>
    <d v="1899-12-30T10:26:00"/>
    <s v="Harris Scarfe SA"/>
    <n v="1006"/>
    <s v="West Lakes"/>
    <s v="left thumb, under nail and the nail."/>
    <s v="I was moving a Tri Set fixture out of the way and the hinge broke and it collapsed, trapping my left thumb in the hinge, cutting my thumb deep under my nail and cutting the nail."/>
    <s v="Injury"/>
    <m/>
    <s v="No Assessment"/>
    <s v="Closed"/>
    <n v="0"/>
    <b v="0"/>
    <s v="First Aid Injury"/>
    <s v="Laceration or open wound not involving traumatic amputation"/>
    <s v="Hand, finger and thumb"/>
    <s v="Hitting Objects With a Part of the Body"/>
    <s v="Hitting moving objects"/>
    <s v="Other materials and objects"/>
    <m/>
    <n v="0"/>
    <e v="#N/A"/>
    <s v="Psychosocial"/>
    <m/>
    <d v="2003-08-23T00:00:00"/>
    <d v="2024-12-04T00:00:00"/>
    <x v="28"/>
    <n v="21"/>
    <x v="4"/>
    <s v="SALARIED"/>
    <n v="38"/>
    <n v="39"/>
    <x v="4"/>
    <x v="12"/>
    <s v="Q2, FY25"/>
    <s v="FAIs"/>
    <x v="0"/>
    <x v="0"/>
    <s v="Hitting Objects With a Part of the Body"/>
    <x v="0"/>
    <s v="Harris Scarfe"/>
    <x v="1"/>
    <s v="Store"/>
    <x v="0"/>
    <s v="SA/TAS"/>
    <s v="Harris Scarfe"/>
    <x v="1"/>
  </r>
  <r>
    <s v="SRG-INJ-3075"/>
    <s v="INC10189"/>
    <n v="7389240"/>
    <s v="No"/>
    <n v="332336"/>
    <s v="PRENTICE, KELLY"/>
    <d v="1970-12-25T00:00:00"/>
    <d v="2024-10-31T00:00:00"/>
    <d v="1899-12-30T12:45:00"/>
    <s v="Harris Scarfe NSW"/>
    <n v="5060"/>
    <s v="Bathurst"/>
    <s v="Right Wrist"/>
    <s v="Kelly was going through unloading pallets, Kelly felt a sharp aching pain through her wrist which continued to be sore for the next few days."/>
    <s v="Injury"/>
    <s v="Pending Claim"/>
    <s v="Fit"/>
    <s v="Closed"/>
    <n v="14"/>
    <b v="0"/>
    <s v="Medical Treatment Injury"/>
    <s v="Residual soft tissue disorders due to trauma or unknown mechanisms"/>
    <s v="Hand, finger and thumb"/>
    <s v="Body Stressing"/>
    <s v="Muscular stress while lifting, carrying, or putting down objects"/>
    <s v="Human agencies"/>
    <m/>
    <n v="0"/>
    <e v="#N/A"/>
    <e v="#N/A"/>
    <m/>
    <d v="2023-11-27T00:00:00"/>
    <m/>
    <x v="1"/>
    <n v="1"/>
    <x v="1"/>
    <s v="SALARIED"/>
    <n v="34"/>
    <n v="54"/>
    <x v="1"/>
    <x v="13"/>
    <s v="Q2, FY25"/>
    <s v="MTIs"/>
    <x v="0"/>
    <x v="0"/>
    <s v="Body Stressing"/>
    <x v="1"/>
    <s v="Harris Scarfe"/>
    <x v="4"/>
    <s v="Store"/>
    <x v="0"/>
    <s v="QLD"/>
    <s v="Harris Scarfe"/>
    <x v="3"/>
  </r>
  <r>
    <s v="SRG-INJ-3069"/>
    <s v="INC10160"/>
    <n v="12240040260"/>
    <s v="No"/>
    <n v="294876"/>
    <s v="PUNCH, JULIANN"/>
    <d v="1967-03-23T00:00:00"/>
    <d v="2024-11-04T00:00:00"/>
    <d v="1899-12-30T09:55:00"/>
    <s v="Harris Scarfe VIC"/>
    <n v="2039"/>
    <s v="Fountain Gate"/>
    <s v="Left Ankle"/>
    <s v="Walking through apparel reserve.Stood on something on the ground and rolled left ankle. Looked to see what I stood on it was a security tag [hammerhead"/>
    <s v="Claim"/>
    <s v="Accepted Claim"/>
    <s v="Fit"/>
    <s v="Open"/>
    <n v="15"/>
    <b v="0"/>
    <s v="Lost Time Injury"/>
    <s v="Residual soft tissue disorders due to trauma or unknown mechanisms"/>
    <s v="Ankle"/>
    <s v="Falls, Trips and Slips of a Person"/>
    <s v="Stepping, kneeling or sitting on objects"/>
    <s v="Other materials and objects"/>
    <s v="Security Tag / Pin"/>
    <s v="Open"/>
    <e v="#N/A"/>
    <e v="#N/A"/>
    <m/>
    <d v="2016-07-18T00:00:00"/>
    <m/>
    <x v="9"/>
    <n v="8"/>
    <x v="3"/>
    <s v="PART TIME"/>
    <n v="33"/>
    <n v="58"/>
    <x v="0"/>
    <x v="13"/>
    <s v="Q2, FY25"/>
    <s v="LTIs"/>
    <x v="1"/>
    <x v="1"/>
    <s v="Falls, Trips and Slips of a Person"/>
    <x v="0"/>
    <s v="Harris Scarfe"/>
    <x v="0"/>
    <s v="Store"/>
    <x v="0"/>
    <s v="VIC"/>
    <s v="Harris Scarfe"/>
    <x v="0"/>
  </r>
  <r>
    <s v="SRG-INJ-3073"/>
    <s v="INC10182"/>
    <m/>
    <s v="No"/>
    <n v="297107"/>
    <s v="DANOS, NICOLE"/>
    <d v="1971-08-02T00:00:00"/>
    <d v="2024-11-05T00:00:00"/>
    <d v="1899-12-30T13:41:00"/>
    <s v="Harris Scarfe TAS"/>
    <n v="4044"/>
    <s v="Devonport"/>
    <s v="repetive strain injury"/>
    <s v="From stripping the shoes the doctor said it's probably tendonitis from repetetive strain. Advised anti inflammatories and a gel for hands. Will follow up with another visit as pain is persisiting"/>
    <s v="Injury"/>
    <m/>
    <s v="No Assessment"/>
    <s v="Closed"/>
    <n v="0"/>
    <b v="0"/>
    <s v="Not Applicable"/>
    <s v="Residual soft tissue disorders due to trauma or unknown mechanisms"/>
    <s v="Hand, finger and thumb"/>
    <s v="Body Stressing"/>
    <s v="Muscular stress while handling objects other than lifting, carrying or putting down"/>
    <s v="Human agencies"/>
    <m/>
    <n v="0"/>
    <e v="#N/A"/>
    <e v="#N/A"/>
    <m/>
    <d v="2020-10-26T00:00:00"/>
    <m/>
    <x v="12"/>
    <n v="4"/>
    <x v="0"/>
    <s v="SALARIED"/>
    <n v="38"/>
    <n v="53"/>
    <x v="1"/>
    <x v="13"/>
    <s v="Q2, FY25"/>
    <s v="Incident"/>
    <x v="0"/>
    <x v="0"/>
    <s v="Body Stressing"/>
    <x v="1"/>
    <s v="Harris Scarfe"/>
    <x v="2"/>
    <s v="Store"/>
    <x v="0"/>
    <s v="SA/TAS"/>
    <s v="Harris Scarfe"/>
    <x v="1"/>
  </r>
  <r>
    <s v="SRG-INJ-3081"/>
    <s v="INC10204"/>
    <m/>
    <s v="No"/>
    <n v="286126"/>
    <s v="SALAMONE, MARIA"/>
    <d v="1961-04-05T00:00:00"/>
    <d v="2024-11-06T00:00:00"/>
    <d v="1899-12-30T15:50:00"/>
    <s v="Harris Scarfe VIC"/>
    <n v="2023"/>
    <s v="Epping"/>
    <s v="eye/face impact of a ticket frame"/>
    <s v="I had Maria recovering throw rugs area (end cap) and suddenly the ticket holder fell down on her face while she was moving a throw rug on the top shelf. The metal bar that the ticket frame is held by also came out of the fixture and fell down onto Maria. Maria has a sore face / eye on the right side. She has no visible cut or bruising as of yet."/>
    <s v="Injury"/>
    <m/>
    <s v="No Assessment"/>
    <s v="Closed"/>
    <n v="0"/>
    <b v="0"/>
    <s v="Not Applicable"/>
    <s v="Contusion, bruising and superficial crushing"/>
    <s v="Eye"/>
    <s v="Being Hit By Moving Objects"/>
    <s v="Being hit by falling objects"/>
    <s v="Other materials and objects"/>
    <m/>
    <n v="0"/>
    <e v="#N/A"/>
    <e v="#N/A"/>
    <m/>
    <d v="2003-04-02T00:00:00"/>
    <m/>
    <x v="28"/>
    <n v="22"/>
    <x v="4"/>
    <s v="PART TIME"/>
    <n v="26.5"/>
    <n v="64"/>
    <x v="0"/>
    <x v="13"/>
    <s v="Q2, FY25"/>
    <s v="Incident"/>
    <x v="0"/>
    <x v="0"/>
    <s v="Being Hit By Moving Objects"/>
    <x v="0"/>
    <s v="Harris Scarfe"/>
    <x v="0"/>
    <s v="Store"/>
    <x v="0"/>
    <s v="VIC &amp; NSW"/>
    <s v="Harris Scarfe"/>
    <x v="2"/>
  </r>
  <r>
    <s v="SRG-INJ-3093"/>
    <s v="INC10259"/>
    <m/>
    <s v="No"/>
    <n v="406364"/>
    <s v="BROWN, SHARON"/>
    <d v="1972-05-18T00:00:00"/>
    <d v="2024-11-09T00:00:00"/>
    <d v="1899-12-30T15:30:00"/>
    <s v="Harris Scarfe ACT"/>
    <n v="6065"/>
    <s v="Tuggeranong"/>
    <s v="bhit left forearm and twisted lower back"/>
    <s v="moving folded up roll cage which fell over knocking me to the floor, when falling down I landed against a Aust Post Ecomm Cage banging my left arm against cage to help me to stop falling, and twisted my lower back"/>
    <s v="Injury"/>
    <m/>
    <s v="No Assessment"/>
    <s v="Closed"/>
    <n v="0"/>
    <b v="0"/>
    <s v="Not Applicable"/>
    <s v="Residual soft tissue disorders due to trauma or unknown mechanisms"/>
    <s v="Back-Upper and lower"/>
    <s v="Falls, Trips and Slips of a Person"/>
    <s v="Falls from a height"/>
    <s v="Other materials and objects"/>
    <s v="Roll Cages"/>
    <n v="0"/>
    <e v="#N/A"/>
    <e v="#N/A"/>
    <m/>
    <d v="2009-11-17T00:00:00"/>
    <m/>
    <x v="25"/>
    <n v="15"/>
    <x v="5"/>
    <s v="SALARIED"/>
    <n v="38"/>
    <n v="52"/>
    <x v="1"/>
    <x v="13"/>
    <s v="Q2, FY25"/>
    <s v="Incident"/>
    <x v="0"/>
    <x v="0"/>
    <s v="Falls, Trips and Slips of a Person"/>
    <x v="0"/>
    <s v="Harris Scarfe"/>
    <x v="5"/>
    <s v="Store"/>
    <x v="0"/>
    <s v="NSW/ACT"/>
    <s v="Harris Scarfe"/>
    <x v="4"/>
  </r>
  <r>
    <s v="SRG-INJ-3097"/>
    <s v="INC10274"/>
    <m/>
    <s v="No"/>
    <n v="326476"/>
    <s v="DAMALAS, BILL"/>
    <d v="1985-02-09T00:00:00"/>
    <d v="2024-11-11T00:00:00"/>
    <d v="1899-12-30T13:30:00"/>
    <s v="Harris Scarfe VIC"/>
    <n v="2054"/>
    <s v="Chirnside Park"/>
    <s v="head the brand plate fell on his head."/>
    <s v="Rearranging quilts on shelf and knocked the brand plate off which fell. He then stepped back out of the way but it still hit him on right side of top of head."/>
    <s v="Injury"/>
    <m/>
    <s v="No Assessment"/>
    <s v="Closed"/>
    <n v="0"/>
    <b v="0"/>
    <s v="Not Applicable"/>
    <s v="Residual soft tissue disorders due to trauma or unknown mechanisms"/>
    <s v="Head - unspecified locations"/>
    <s v="Being Hit By Moving Objects"/>
    <s v="Being hit by falling objects"/>
    <s v="Other materials and objects"/>
    <m/>
    <n v="0"/>
    <e v="#N/A"/>
    <e v="#N/A"/>
    <m/>
    <d v="2022-11-14T00:00:00"/>
    <m/>
    <x v="4"/>
    <n v="2"/>
    <x v="0"/>
    <s v="PART TIME"/>
    <n v="20"/>
    <n v="40"/>
    <x v="4"/>
    <x v="13"/>
    <s v="Q2, FY25"/>
    <s v="Incident"/>
    <x v="0"/>
    <x v="0"/>
    <s v="Being Hit By Moving Objects"/>
    <x v="0"/>
    <s v="Harris Scarfe"/>
    <x v="0"/>
    <s v="Store"/>
    <x v="0"/>
    <s v="VIC"/>
    <s v="Harris Scarfe"/>
    <x v="0"/>
  </r>
  <r>
    <s v="SRG-INJ-3107"/>
    <s v="INC10337"/>
    <m/>
    <s v="No"/>
    <n v="296465"/>
    <s v="AGIUS, MADDISON"/>
    <d v="2001-03-07T00:00:00"/>
    <d v="2024-11-15T00:00:00"/>
    <d v="1899-12-30T14:35:00"/>
    <s v="Harris Scarfe NSW"/>
    <n v="6068"/>
    <s v="Wagga Wagga"/>
    <s v="Rolly rack falling onto ankle"/>
    <s v="Maddy was trying to put up a rolly rack when it slipped and fell onto her ankle. Maddy started to get dizzy afterwards so is now sitting in tea room with ice pack and drinking plenty of water."/>
    <s v="Injury"/>
    <m/>
    <s v="No Assessment"/>
    <s v="Closed"/>
    <n v="0"/>
    <b v="0"/>
    <s v="Not Applicable"/>
    <s v="Residual soft tissue disorders due to trauma or unknown mechanisms"/>
    <s v="Ankle"/>
    <s v="Being Hit By Moving Objects"/>
    <s v="Being hit by falling objects"/>
    <s v="Other materials and objects"/>
    <m/>
    <n v="0"/>
    <e v="#N/A"/>
    <e v="#N/A"/>
    <m/>
    <d v="2019-01-28T00:00:00"/>
    <m/>
    <x v="19"/>
    <n v="6"/>
    <x v="0"/>
    <s v="PART TIME"/>
    <n v="30"/>
    <n v="24"/>
    <x v="3"/>
    <x v="13"/>
    <s v="Q2, FY25"/>
    <s v="Incident"/>
    <x v="0"/>
    <x v="0"/>
    <s v="Being Hit By Moving Objects"/>
    <x v="0"/>
    <s v="Harris Scarfe"/>
    <x v="4"/>
    <s v="Store"/>
    <x v="0"/>
    <s v="NSW/ACT"/>
    <s v="Harris Scarfe"/>
    <x v="4"/>
  </r>
  <r>
    <s v="SRG-INJ-3126"/>
    <s v="INC10394"/>
    <m/>
    <s v="No"/>
    <n v="297080"/>
    <s v="CSIKOS, JAMISON"/>
    <d v="2003-04-21T00:00:00"/>
    <d v="2024-11-16T00:00:00"/>
    <d v="1899-12-30T08:42:00"/>
    <s v="Harris Scarfe VIC"/>
    <n v="2028"/>
    <s v="Cranbourne Park"/>
    <s v="middle left finger"/>
    <s v="Team member was counting the safe when she went to put back a tub of coins and it snap her nail back."/>
    <s v="Injury"/>
    <m/>
    <s v="No Assessment"/>
    <s v="Closed"/>
    <n v="0"/>
    <b v="0"/>
    <s v="First Aid Injury"/>
    <s v="Unspecified injuries"/>
    <s v="Hand, finger and thumb"/>
    <s v="Hitting Objects With a Part of the Body"/>
    <s v="Hitting stationary objects"/>
    <s v="Human agencies"/>
    <m/>
    <n v="0"/>
    <e v="#N/A"/>
    <e v="#N/A"/>
    <m/>
    <d v="2020-10-14T00:00:00"/>
    <d v="2025-03-13T00:00:00"/>
    <x v="12"/>
    <n v="4"/>
    <x v="0"/>
    <s v="PART TIME"/>
    <n v="36"/>
    <n v="22"/>
    <x v="3"/>
    <x v="13"/>
    <s v="Q2, FY25"/>
    <s v="FAIs"/>
    <x v="0"/>
    <x v="0"/>
    <s v="Hitting Objects With a Part of the Body"/>
    <x v="1"/>
    <s v="Harris Scarfe"/>
    <x v="0"/>
    <s v="Store"/>
    <x v="0"/>
    <s v="VIC"/>
    <s v="Harris Scarfe"/>
    <x v="0"/>
  </r>
  <r>
    <s v="SRG-INJ-3172"/>
    <s v="INC10578"/>
    <n v="12240047739"/>
    <s v="No"/>
    <n v="297406"/>
    <s v="PIERCE, CATHRYN"/>
    <d v="1958-03-07T00:00:00"/>
    <d v="2024-11-18T00:00:00"/>
    <d v="1899-12-30T08:01:00"/>
    <s v="Harris Scarfe VIC"/>
    <n v="2029"/>
    <s v="Waurn Ponds (Hs Home)"/>
    <s v="tendon in right wrist"/>
    <s v="Cath has been with Harris Scarfe for a number of years. Starting in our Ballarat Store, then in recent times transfering to here at Waurn Ponds. As a result Cath has developed weak tendons on her wrist from reparative lifting. We first put this a a non work related injury as her tendon tore while she was at home. Cath saw her doctor and it was stated that,it was  work related, but she could still work with a 5KG lifting limit,as stated on a previous JDA. This was sent to Angela as it was non work related at the time.. Cath returned to work on the 27/11 on restricted duties. On Saturday 30/11, Cath was putting a light box (under5kg) back on a shelf out the back and her tendon popped. Cath has since been back to her doctor and has now been told she has no capacity to work from 3/12/24-31/12/24. Estimated time frame of 6 weeks"/>
    <s v="Claim"/>
    <s v="Pending Claim"/>
    <s v="Restricted Hours"/>
    <s v="Open"/>
    <n v="90"/>
    <b v="0"/>
    <s v="Medical Treatment Injury"/>
    <s v="Residual soft tissue disorders due to trauma or unknown mechanisms"/>
    <s v="Wrist"/>
    <s v="Body Stressing"/>
    <s v="Muscular stress while lifting, carrying, or putting down objects"/>
    <s v="Human agencies"/>
    <m/>
    <s v="Open"/>
    <e v="#N/A"/>
    <e v="#N/A"/>
    <m/>
    <d v="2021-02-22T00:00:00"/>
    <m/>
    <x v="10"/>
    <n v="4"/>
    <x v="0"/>
    <s v="PART TIME"/>
    <n v="20.5"/>
    <n v="67"/>
    <x v="0"/>
    <x v="13"/>
    <s v="Q2, FY25"/>
    <s v="MTIs"/>
    <x v="1"/>
    <x v="3"/>
    <s v="Body Stressing"/>
    <x v="1"/>
    <s v="Harris Scarfe"/>
    <x v="0"/>
    <s v="Store"/>
    <x v="0"/>
    <s v="VIC &amp; NSW"/>
    <s v="Harris Scarfe"/>
    <x v="2"/>
  </r>
  <r>
    <s v="SRG-INJ-3125"/>
    <s v="INC10392"/>
    <m/>
    <s v="No"/>
    <n v="329455"/>
    <s v="DAVENPORT, KATIE"/>
    <d v="1982-05-31T00:00:00"/>
    <d v="2024-11-19T00:00:00"/>
    <d v="1899-12-30T07:10:00"/>
    <s v="Harris Scarfe VIC"/>
    <n v="2016"/>
    <s v="Spencer St"/>
    <s v="left big toe"/>
    <s v="pushing the cage around the corner and the brackets came off the trolley and fell on the team members foot. pushing trolley at normal pace and brackets were around head height sitting on top off stock. Team member went to lunchroom to check if toe was ok and took a photo and went back to work as it wasn't stopping her from working"/>
    <s v="Injury"/>
    <m/>
    <s v="No Assessment"/>
    <s v="Closed"/>
    <n v="0"/>
    <b v="0"/>
    <s v="Not Applicable"/>
    <s v="Residual soft tissue disorders due to trauma or unknown mechanisms"/>
    <s v="Foot and toes"/>
    <s v="Being Hit By Moving Objects"/>
    <s v="Being hit by falling objects"/>
    <s v="Other materials and objects"/>
    <s v="Roll Cages"/>
    <n v="0"/>
    <e v="#N/A"/>
    <e v="#N/A"/>
    <m/>
    <d v="2023-06-19T00:00:00"/>
    <m/>
    <x v="4"/>
    <n v="1"/>
    <x v="0"/>
    <s v="PART TIME"/>
    <n v="17.25"/>
    <n v="42"/>
    <x v="4"/>
    <x v="13"/>
    <s v="Q2, FY25"/>
    <s v="Incident"/>
    <x v="0"/>
    <x v="0"/>
    <s v="Being Hit By Moving Objects"/>
    <x v="0"/>
    <s v="Harris Scarfe"/>
    <x v="0"/>
    <s v="Store"/>
    <x v="0"/>
    <s v="VIC &amp; NSW"/>
    <s v="Harris Scarfe"/>
    <x v="2"/>
  </r>
  <r>
    <s v="SRG-INJ-3138"/>
    <s v="INC10461"/>
    <m/>
    <s v="No"/>
    <n v="336597"/>
    <s v="HAYWOOD, EMILY"/>
    <d v="2005-10-07T00:00:00"/>
    <d v="2024-11-25T00:00:00"/>
    <d v="1899-12-30T14:20:00"/>
    <s v="Harris Scarfe VIC"/>
    <n v="2023"/>
    <s v="Epping"/>
    <s v="Back of head"/>
    <s v="Putting shoes away in department, bent down to fix the boxes. While standing back up smacked the back of her head onto the shoe display shelf"/>
    <s v="Injury"/>
    <m/>
    <s v="No Assessment"/>
    <s v="Closed"/>
    <n v="0"/>
    <b v="0"/>
    <s v="Not Applicable"/>
    <s v="Residual soft tissue disorders due to trauma or unknown mechanisms"/>
    <s v="Head - unspecified locations"/>
    <s v="Hitting Objects With a Part of the Body"/>
    <s v="Hitting stationary objects"/>
    <s v="Human agencies"/>
    <m/>
    <n v="0"/>
    <e v="#N/A"/>
    <e v="#N/A"/>
    <m/>
    <d v="2024-09-23T00:00:00"/>
    <m/>
    <x v="1"/>
    <n v="0"/>
    <x v="1"/>
    <s v="CASUAL"/>
    <n v="0.01"/>
    <n v="19"/>
    <x v="5"/>
    <x v="13"/>
    <s v="Q2, FY25"/>
    <s v="Incident"/>
    <x v="0"/>
    <x v="0"/>
    <s v="Hitting Objects With a Part of the Body"/>
    <x v="1"/>
    <s v="Harris Scarfe"/>
    <x v="0"/>
    <s v="Store"/>
    <x v="0"/>
    <s v="VIC &amp; NSW"/>
    <s v="Harris Scarfe"/>
    <x v="2"/>
  </r>
  <r>
    <s v="SRG-INJ-3142"/>
    <s v="INC10486"/>
    <m/>
    <s v="No"/>
    <n v="297049"/>
    <s v="MADDOCK, HANNAH"/>
    <d v="1994-08-06T00:00:00"/>
    <d v="2024-11-27T00:00:00"/>
    <d v="1899-12-30T16:49:00"/>
    <s v="Harris Scarfe QLD"/>
    <n v="9095"/>
    <s v="Chermside"/>
    <s v="repetitive strain injury on left wrist/hand/thumb"/>
    <s v="repetitive strain injury on left wrist/hand/thumb from increased workload packing orders"/>
    <s v="Incident Only"/>
    <s v="Pending Claim"/>
    <s v="Restricted Duties"/>
    <s v="Closed"/>
    <n v="0"/>
    <b v="0"/>
    <s v="Not Applicable"/>
    <s v="Residual soft tissue disorders due to trauma or unknown mechanisms"/>
    <s v="Wrist"/>
    <s v="Body Stressing"/>
    <s v="Muscular stress while lifting, carrying, or putting down objects"/>
    <m/>
    <m/>
    <n v="0"/>
    <e v="#N/A"/>
    <e v="#N/A"/>
    <m/>
    <d v="2020-08-24T00:00:00"/>
    <d v="2025-04-07T00:00:00"/>
    <x v="12"/>
    <n v="4"/>
    <x v="0"/>
    <s v="PART TIME"/>
    <n v="22"/>
    <n v="30"/>
    <x v="2"/>
    <x v="13"/>
    <s v="Q2, FY25"/>
    <s v="Incident"/>
    <x v="0"/>
    <x v="0"/>
    <s v="Body Stressing"/>
    <x v="3"/>
    <s v="Harris Scarfe"/>
    <x v="3"/>
    <s v="Store"/>
    <x v="0"/>
    <s v="QLD"/>
    <s v="Harris Scarfe"/>
    <x v="3"/>
  </r>
  <r>
    <s v="SRG-INJ-3520"/>
    <s v="INC12266"/>
    <n v="12240081274"/>
    <s v="Yes"/>
    <n v="325296"/>
    <s v="GAMMON-PARSONS, PAIGE"/>
    <d v="1996-08-18T00:00:00"/>
    <d v="2024-11-28T00:00:00"/>
    <d v="1899-12-30T10:30:00"/>
    <s v="Harris Scarfe VIC"/>
    <n v="2017"/>
    <s v="Woodgrove"/>
    <s v="Psychosocial injury"/>
    <s v="The concerns include difficulty submitting return-to-work forms due to a GP appointment, a disagreement about the classification of leave as personal rather than work-related, and the impact of management's verbal abuse on mental health. WorkCover inquiries were dismissed, and annual leave was misused during time off, which was not a holiday but a period of struggling with mental health. Tasks outside the role's scope, unclear communication, and workplace dynamics contributed to stress and mental health challenges. There is a request for a safe and supportive work environment, revisiting the leave classification, and improving communication moving forward."/>
    <s v="Claim"/>
    <s v="Pending Claim"/>
    <s v="Unfit"/>
    <s v="Open"/>
    <n v="74"/>
    <b v="0"/>
    <s v="Medical Treatment Injury"/>
    <s v="Anxiety/depression combined"/>
    <s v="Head - unspecified locations"/>
    <s v="Mental Stress"/>
    <s v="Work related harassment and/or workplace bullying"/>
    <s v="Human agencies"/>
    <m/>
    <s v="Open"/>
    <s v="Non Work Related Injury"/>
    <s v="Psychosocial"/>
    <s v="Linked"/>
    <d v="2022-10-25T00:00:00"/>
    <d v="2025-04-11T00:00:00"/>
    <x v="0"/>
    <n v="2"/>
    <x v="0"/>
    <s v="SALARIED"/>
    <n v="38"/>
    <n v="28"/>
    <x v="2"/>
    <x v="13"/>
    <s v="Q2, FY25"/>
    <s v="MTIs"/>
    <x v="1"/>
    <x v="4"/>
    <s v="Mental Stress"/>
    <x v="1"/>
    <s v="Harris Scarfe"/>
    <x v="0"/>
    <s v="Store"/>
    <x v="0"/>
    <s v="VIC &amp; NSW"/>
    <s v="Harris Scarfe"/>
    <x v="2"/>
  </r>
  <r>
    <s v="SRG-INJ-3179"/>
    <s v="INC10635"/>
    <m/>
    <s v="No"/>
    <n v="286126"/>
    <s v="SALAMONE, MARIA"/>
    <d v="1961-04-05T00:00:00"/>
    <d v="2024-11-28T00:00:00"/>
    <d v="1899-12-30T13:30:00"/>
    <s v="Harris Scarfe VIC"/>
    <n v="2023"/>
    <s v="Epping"/>
    <s v="moving a table and tripped and fell on top of the table injuring her upper torso and both knees"/>
    <s v="While removing the folded tressle table Maria was dragging it to back of the store tripped over it and fell on top of the table"/>
    <s v="Injury"/>
    <m/>
    <s v="No Assessment"/>
    <s v="Closed"/>
    <n v="0"/>
    <b v="0"/>
    <s v="Not Applicable"/>
    <s v="Residual soft tissue disorders due to trauma or unknown mechanisms"/>
    <s v="Other specified multiple locations"/>
    <s v="Falls, Trips and Slips of a Person"/>
    <s v="Falls on the same level"/>
    <s v="Human agencies"/>
    <m/>
    <n v="0"/>
    <e v="#N/A"/>
    <e v="#N/A"/>
    <m/>
    <d v="2003-04-02T00:00:00"/>
    <m/>
    <x v="28"/>
    <n v="22"/>
    <x v="4"/>
    <s v="PART TIME"/>
    <n v="26.5"/>
    <n v="64"/>
    <x v="0"/>
    <x v="13"/>
    <s v="Q2, FY25"/>
    <s v="Incident"/>
    <x v="0"/>
    <x v="0"/>
    <s v="Falls, Trips and Slips of a Person"/>
    <x v="1"/>
    <s v="Harris Scarfe"/>
    <x v="0"/>
    <s v="Store"/>
    <x v="0"/>
    <s v="VIC &amp; NSW"/>
    <s v="Harris Scarfe"/>
    <x v="2"/>
  </r>
  <r>
    <s v="SRG-INJ-3150"/>
    <s v="INC10516"/>
    <m/>
    <s v="No"/>
    <n v="331149"/>
    <s v="CHAPMAN, KELLY"/>
    <d v="2007-06-29T00:00:00"/>
    <d v="2024-11-29T00:00:00"/>
    <d v="1899-12-30T17:10:00"/>
    <s v="Harris Scarfe VIC"/>
    <n v="2059"/>
    <s v="Bairnsdale"/>
    <s v="Right index finger"/>
    <s v="Kelly went to take a security tag off a shoe and it got stuck and her hand hit the steel magnet attached to the counter.  This has caused what looks like a dislocation to right index finger"/>
    <s v="Injury"/>
    <m/>
    <s v="No Assessment"/>
    <s v="Closed"/>
    <n v="0"/>
    <b v="0"/>
    <s v="Not Applicable"/>
    <s v="Laceration or open wound not involving traumatic amputation"/>
    <s v="Hand, finger and thumb"/>
    <s v="Being Hit By Moving Objects"/>
    <s v="Being trapped between stationary and moving objects"/>
    <m/>
    <s v="Security Tag / Pin"/>
    <n v="0"/>
    <e v="#N/A"/>
    <e v="#N/A"/>
    <m/>
    <d v="2023-10-09T00:00:00"/>
    <m/>
    <x v="4"/>
    <n v="1"/>
    <x v="0"/>
    <s v="PART TIME"/>
    <n v="25"/>
    <n v="17"/>
    <x v="5"/>
    <x v="13"/>
    <s v="Q2, FY25"/>
    <s v="Incident"/>
    <x v="0"/>
    <x v="0"/>
    <s v="Being Hit By Moving Objects"/>
    <x v="3"/>
    <s v="Harris Scarfe"/>
    <x v="0"/>
    <s v="Store"/>
    <x v="0"/>
    <s v="VIC"/>
    <s v="Harris Scarfe"/>
    <x v="0"/>
  </r>
  <r>
    <s v="SRG-INJ-3152"/>
    <s v="INC10524"/>
    <m/>
    <s v="No"/>
    <n v="297406"/>
    <s v="PIERCE, CATHRYN"/>
    <d v="1958-03-07T00:00:00"/>
    <d v="2024-11-30T00:00:00"/>
    <d v="1899-12-30T12:00:00"/>
    <s v="Harris Scarfe VIC"/>
    <n v="2029"/>
    <s v="Waurn Ponds (Hs Home)"/>
    <s v="tendon in right wrist"/>
    <s v="team member was getting cedar balls for customer. Lifted half empty box to put back on shelf. Palm upwards. Felt immediate pain."/>
    <s v="Injury"/>
    <m/>
    <s v="Unfit"/>
    <s v="Closed"/>
    <n v="23"/>
    <b v="0"/>
    <s v="First Aid Injury"/>
    <s v="Residual soft tissue disorders due to trauma or unknown mechanisms"/>
    <s v="Wrist"/>
    <s v="Body Stressing"/>
    <s v="Muscular stress while lifting, carrying, or putting down objects"/>
    <s v="Human agencies"/>
    <m/>
    <n v="0"/>
    <e v="#N/A"/>
    <e v="#N/A"/>
    <m/>
    <d v="2021-02-22T00:00:00"/>
    <m/>
    <x v="10"/>
    <n v="4"/>
    <x v="0"/>
    <s v="PART TIME"/>
    <n v="20.5"/>
    <n v="67"/>
    <x v="0"/>
    <x v="13"/>
    <s v="Q2, FY25"/>
    <s v="FAIs"/>
    <x v="0"/>
    <x v="0"/>
    <s v="Body Stressing"/>
    <x v="1"/>
    <s v="Harris Scarfe"/>
    <x v="0"/>
    <s v="Store"/>
    <x v="0"/>
    <s v="VIC &amp; NSW"/>
    <s v="Harris Scarfe"/>
    <x v="2"/>
  </r>
  <r>
    <s v="SRG-INJ-3155"/>
    <s v="INC10532"/>
    <n v="7477664"/>
    <s v="No"/>
    <n v="324204"/>
    <s v="DOWSETT, TAMERA"/>
    <d v="1979-02-09T00:00:00"/>
    <d v="2024-11-30T00:00:00"/>
    <d v="1899-12-30T07:30:00"/>
    <s v="Harris Scarfe NSW"/>
    <n v="6071"/>
    <s v="Tweed Heads"/>
    <s v="Thumb cut"/>
    <s v="Tam was packing a blender up for a customer and cut her thumb on the blades EAN9333527576002"/>
    <s v="Claim"/>
    <s v="Invalid Claim"/>
    <s v="No Assessment"/>
    <s v="Closed"/>
    <n v="0"/>
    <b v="0"/>
    <s v="First Aid Injury"/>
    <s v="Laceration or open wound not involving traumatic amputation"/>
    <s v="Hand, finger and thumb"/>
    <s v="Being Hit By Moving Objects"/>
    <s v="Being trapped between stationary and moving objects"/>
    <s v="Human agencies"/>
    <m/>
    <s v="Closed"/>
    <e v="#N/A"/>
    <e v="#N/A"/>
    <m/>
    <d v="2022-09-05T00:00:00"/>
    <m/>
    <x v="0"/>
    <n v="2"/>
    <x v="0"/>
    <s v="SALARIED"/>
    <n v="38"/>
    <n v="46"/>
    <x v="1"/>
    <x v="13"/>
    <s v="Q2, FY25"/>
    <s v="FAIs"/>
    <x v="1"/>
    <x v="5"/>
    <s v="Being Hit By Moving Objects"/>
    <x v="1"/>
    <s v="Harris Scarfe"/>
    <x v="4"/>
    <s v="Store"/>
    <x v="0"/>
    <s v="QLD"/>
    <s v="Harris Scarfe"/>
    <x v="3"/>
  </r>
  <r>
    <s v="SRG-INJ-3154"/>
    <s v="INC10530"/>
    <s v="S24WS196966"/>
    <s v="No"/>
    <n v="297049"/>
    <s v="MADDOCK, HANNAH"/>
    <d v="1994-08-06T00:00:00"/>
    <d v="2024-12-01T00:00:00"/>
    <d v="1899-12-30T12:00:00"/>
    <s v="Harris Scarfe QLD"/>
    <n v="9095"/>
    <s v="Chermside"/>
    <s v="left thumb/hand"/>
    <s v="unfolding ULDs and one side got stuck halfway, i pulled on it a bit harder and then it gave way and I slammed my hand in between 2 ULDs"/>
    <s v="Claim"/>
    <s v="Accepted Claim"/>
    <s v="Restricted Duties"/>
    <s v="Closed"/>
    <n v="0"/>
    <b v="0"/>
    <s v="First Aid Injury"/>
    <s v="Residual soft tissue disorders due to trauma or unknown mechanisms"/>
    <s v="Hand, finger and thumb"/>
    <s v="Being Hit By Moving Objects"/>
    <s v="Being trapped between stationary and moving objects"/>
    <s v="Other materials and objects"/>
    <m/>
    <s v="Closed"/>
    <e v="#N/A"/>
    <e v="#N/A"/>
    <m/>
    <d v="2020-08-24T00:00:00"/>
    <d v="2025-04-07T00:00:00"/>
    <x v="12"/>
    <n v="4"/>
    <x v="0"/>
    <s v="PART TIME"/>
    <n v="22"/>
    <n v="30"/>
    <x v="2"/>
    <x v="13"/>
    <s v="Q2, FY25"/>
    <s v="FAIs"/>
    <x v="1"/>
    <x v="1"/>
    <s v="Being Hit By Moving Objects"/>
    <x v="0"/>
    <s v="Harris Scarfe"/>
    <x v="3"/>
    <s v="Store"/>
    <x v="0"/>
    <s v="QLD"/>
    <s v="Harris Scarfe"/>
    <x v="3"/>
  </r>
  <r>
    <s v="SRG-INJ-3161"/>
    <s v="INC10554"/>
    <m/>
    <s v="No"/>
    <n v="324289"/>
    <s v="SINGH, MARIA"/>
    <d v="1958-07-13T00:00:00"/>
    <d v="2024-12-02T00:00:00"/>
    <d v="1899-12-30T12:00:00"/>
    <s v="Harris Scarfe SA"/>
    <n v="1012"/>
    <s v="Colonnades"/>
    <s v="Landed on her right knee"/>
    <s v="Maria was putting away a click and collect and tripped on the strap of a Berger cookie that had fallen off the top of the box. Maria went down on her right knee. She went and sat for 5 minutes but insists that she is perfectly fine and w3nt back to registers"/>
    <s v="Injury"/>
    <m/>
    <s v="No Assessment"/>
    <s v="Closed"/>
    <n v="0"/>
    <b v="0"/>
    <s v="Not Applicable"/>
    <s v="Residual soft tissue disorders due to trauma or unknown mechanisms"/>
    <s v="Knee"/>
    <s v="Falls, Trips and Slips of a Person"/>
    <s v="Falls from a height"/>
    <s v="Other materials and objects"/>
    <m/>
    <n v="0"/>
    <s v="Non Work Related Injury"/>
    <e v="#N/A"/>
    <m/>
    <d v="2022-08-22T00:00:00"/>
    <m/>
    <x v="0"/>
    <n v="2"/>
    <x v="0"/>
    <s v="PART TIME"/>
    <n v="17.25"/>
    <n v="66"/>
    <x v="0"/>
    <x v="14"/>
    <s v="Q2, FY25"/>
    <s v="Incident"/>
    <x v="0"/>
    <x v="0"/>
    <s v="Falls, Trips and Slips of a Person"/>
    <x v="0"/>
    <s v="Harris Scarfe"/>
    <x v="1"/>
    <s v="Store"/>
    <x v="0"/>
    <s v="SA/TAS"/>
    <s v="Harris Scarfe"/>
    <x v="1"/>
  </r>
  <r>
    <s v="SRG-INJ-3162"/>
    <s v="INC10557"/>
    <m/>
    <s v="No"/>
    <n v="331293"/>
    <s v="ZAFARI, RAHMAT"/>
    <d v="2006-08-06T00:00:00"/>
    <d v="2024-12-02T00:00:00"/>
    <d v="1899-12-30T16:30:00"/>
    <s v="Harris Scarfe NSW"/>
    <n v="6068"/>
    <s v="Wagga Wagga"/>
    <s v="Small cut to top right of head, which produced small amount of bleeding"/>
    <s v="Staff member was squatting down looking for a spot for a quilt he quickly got up and banged his head on corner of a shelf, causing him to sustain a cut to the top right of his head which bleed for a while."/>
    <s v="Injury"/>
    <m/>
    <s v="No Assessment"/>
    <s v="Closed"/>
    <n v="0"/>
    <b v="0"/>
    <s v="Not Applicable"/>
    <s v="Laceration or open wound not involving traumatic amputation"/>
    <s v="Head - unspecified locations"/>
    <s v="Hitting Objects With a Part of the Body"/>
    <s v="Hitting stationary objects"/>
    <s v="Human agencies"/>
    <m/>
    <n v="0"/>
    <e v="#N/A"/>
    <e v="#N/A"/>
    <m/>
    <d v="2023-10-09T00:00:00"/>
    <m/>
    <x v="4"/>
    <n v="1"/>
    <x v="0"/>
    <s v="CASUAL"/>
    <n v="0.01"/>
    <n v="18"/>
    <x v="5"/>
    <x v="14"/>
    <s v="Q2, FY25"/>
    <s v="Incident"/>
    <x v="0"/>
    <x v="0"/>
    <s v="Hitting Objects With a Part of the Body"/>
    <x v="1"/>
    <s v="Harris Scarfe"/>
    <x v="4"/>
    <s v="Store"/>
    <x v="0"/>
    <s v="NSW/ACT"/>
    <s v="Harris Scarfe"/>
    <x v="4"/>
  </r>
  <r>
    <s v="SRG-INJ-3168"/>
    <s v="INC10580"/>
    <m/>
    <s v="No"/>
    <n v="319482"/>
    <s v="KARAURIA, TOEKNEE"/>
    <d v="1971-07-04T00:00:00"/>
    <d v="2024-12-02T00:00:00"/>
    <d v="1899-12-30T08:55:00"/>
    <s v="Harris Scarfe QLD"/>
    <n v="9090"/>
    <s v="Maroochydore"/>
    <s v="left knee"/>
    <s v="Had to move double stacked Ecommerce ULDs from inside the dock to outside the storeroom for pick up. The ULDs were double stacked due to space restrictions in the dock and quantity of ecommerce orders over the Black Friday weekend - 8 cages in total. They were stacked with a motorised pallet jack from Anaconda over the weekend but we have a manual jack and as I moved them I felt a twinge in my left knee and pain."/>
    <s v="Injury"/>
    <m/>
    <s v="No Assessment"/>
    <s v="Closed"/>
    <n v="0"/>
    <b v="0"/>
    <s v="First Aid Injury"/>
    <s v="Residual soft tissue disorders due to trauma or unknown mechanisms"/>
    <s v="Knee"/>
    <s v="Body Stressing"/>
    <s v="Muscular stress while lifting, carrying, or putting down objects"/>
    <s v="Human agencies"/>
    <m/>
    <n v="0"/>
    <e v="#N/A"/>
    <e v="#N/A"/>
    <m/>
    <d v="2021-12-06T00:00:00"/>
    <m/>
    <x v="0"/>
    <n v="3"/>
    <x v="0"/>
    <s v="SALARIED"/>
    <n v="38"/>
    <n v="53"/>
    <x v="1"/>
    <x v="14"/>
    <s v="Q2, FY25"/>
    <s v="FAIs"/>
    <x v="0"/>
    <x v="0"/>
    <s v="Body Stressing"/>
    <x v="1"/>
    <s v="Harris Scarfe"/>
    <x v="3"/>
    <s v="Store"/>
    <x v="0"/>
    <s v="QLD"/>
    <s v="Harris Scarfe"/>
    <x v="3"/>
  </r>
  <r>
    <s v="SRG-INJ-3173"/>
    <s v="INC10590"/>
    <m/>
    <s v="No"/>
    <n v="289054"/>
    <s v="MCCALLUM, LYNNE"/>
    <d v="1959-01-20T00:00:00"/>
    <d v="2024-12-03T00:00:00"/>
    <d v="1899-12-30T10:01:00"/>
    <s v="Harris Scarfe VIC"/>
    <n v="2022"/>
    <s v="Knox City"/>
    <s v="knees and palms small bruising"/>
    <s v="Lynne was up a 3 step ladder getting a knife from the top row of the gadget wall. After Lynne had grabbed the knife for click and collect order and was coming down the ladder but missed the 3rd step on the way down. I fell and landed on my hands and knees jarring my body. I had discomfort in my hands and knees after the fall ."/>
    <s v="Injury"/>
    <m/>
    <s v="No Assessment"/>
    <s v="Closed"/>
    <n v="0"/>
    <b v="0"/>
    <s v="Not Applicable"/>
    <s v="Contusion, bruising and superficial crushing"/>
    <s v="Other specified multiple locations"/>
    <s v="Falls, Trips and Slips of a Person"/>
    <s v="Falls from a height"/>
    <s v="Human agencies"/>
    <m/>
    <n v="0"/>
    <e v="#N/A"/>
    <e v="#N/A"/>
    <m/>
    <d v="2007-03-26T00:00:00"/>
    <m/>
    <x v="2"/>
    <n v="18"/>
    <x v="2"/>
    <s v="PART TIME"/>
    <n v="24.75"/>
    <n v="66"/>
    <x v="0"/>
    <x v="14"/>
    <s v="Q2, FY25"/>
    <s v="Incident"/>
    <x v="0"/>
    <x v="0"/>
    <s v="Falls, Trips and Slips of a Person"/>
    <x v="1"/>
    <s v="Harris Scarfe"/>
    <x v="0"/>
    <s v="Store"/>
    <x v="0"/>
    <s v="VIC"/>
    <s v="Harris Scarfe"/>
    <x v="0"/>
  </r>
  <r>
    <s v="SRG-INJ-3164"/>
    <s v="INC10564"/>
    <m/>
    <s v="No"/>
    <n v="294945"/>
    <s v="DARLOW, ROBYN"/>
    <d v="1986-10-19T00:00:00"/>
    <d v="2024-12-03T00:00:00"/>
    <d v="1899-12-30T11:13:00"/>
    <s v="Harris Scarfe ACT"/>
    <n v="6065"/>
    <s v="Tuggeranong"/>
    <s v="both knees bruised"/>
    <s v="Tripped on mat at POS landing on her knees"/>
    <s v="Injury"/>
    <m/>
    <s v="No Assessment"/>
    <s v="Closed"/>
    <n v="0"/>
    <b v="0"/>
    <s v="First Aid Injury"/>
    <s v="Residual soft tissue disorders due to trauma or unknown mechanisms"/>
    <s v="Knee"/>
    <s v="Falls, Trips and Slips of a Person"/>
    <s v="Falls on the same level"/>
    <m/>
    <m/>
    <n v="0"/>
    <e v="#N/A"/>
    <e v="#N/A"/>
    <m/>
    <d v="2016-08-29T00:00:00"/>
    <m/>
    <x v="9"/>
    <n v="8"/>
    <x v="3"/>
    <s v="FULL TIME"/>
    <n v="38"/>
    <n v="38"/>
    <x v="4"/>
    <x v="14"/>
    <s v="Q2, FY25"/>
    <s v="FAIs"/>
    <x v="0"/>
    <x v="0"/>
    <s v="Falls, Trips and Slips of a Person"/>
    <x v="3"/>
    <s v="Harris Scarfe"/>
    <x v="5"/>
    <s v="Store"/>
    <x v="0"/>
    <s v="NSW/ACT"/>
    <s v="Harris Scarfe"/>
    <x v="4"/>
  </r>
  <r>
    <s v="SRG-INJ-3167"/>
    <s v="INC10579"/>
    <n v="12240052180"/>
    <s v="No"/>
    <n v="323920"/>
    <s v="BOLT, JULIE"/>
    <d v="1961-04-28T00:00:00"/>
    <d v="2024-12-04T00:00:00"/>
    <d v="1899-12-30T08:00:00"/>
    <s v="Harris Scarfe VIC"/>
    <n v="2025"/>
    <s v="Southland"/>
    <s v="lower back"/>
    <s v="julie pulled a muscle in her back /perhaps slip disc, while bending over for a dinner set,   has happened once to her before outside of work. julie was bend over lending on a trolley for support when she was coming to tell bronwyn manager on duty.   ice pack was applied, bronwyn escorted julie out of the store .   doctors appointment made for 12.30 today,  JDA send"/>
    <s v="Claim"/>
    <s v="Accepted Claim"/>
    <s v="Unfit"/>
    <s v="Open"/>
    <n v="34"/>
    <b v="0"/>
    <s v="Lost Time Injury"/>
    <s v="Residual soft tissue disorders due to trauma or unknown mechanisms"/>
    <s v="Back-Upper and lower"/>
    <s v="Body Stressing"/>
    <s v="Muscular stress while handling objects other than lifting, carrying or putting down"/>
    <s v="Human agencies"/>
    <m/>
    <s v="Open"/>
    <s v="Non Work Related Injury"/>
    <e v="#N/A"/>
    <m/>
    <d v="2022-08-08T00:00:00"/>
    <m/>
    <x v="0"/>
    <n v="2"/>
    <x v="0"/>
    <s v="PART TIME"/>
    <n v="23.25"/>
    <n v="64"/>
    <x v="0"/>
    <x v="14"/>
    <s v="Q2, FY25"/>
    <s v="LTIs"/>
    <x v="1"/>
    <x v="1"/>
    <s v="Body Stressing"/>
    <x v="1"/>
    <s v="Harris Scarfe"/>
    <x v="0"/>
    <s v="Store"/>
    <x v="0"/>
    <s v="VIC"/>
    <s v="Harris Scarfe"/>
    <x v="0"/>
  </r>
  <r>
    <s v="SRG-INJ-3281"/>
    <s v="INC11034"/>
    <n v="12240055404"/>
    <s v="No"/>
    <n v="329541"/>
    <s v="BULL, KAREN"/>
    <d v="1970-07-28T00:00:00"/>
    <d v="2024-12-05T00:00:00"/>
    <d v="1899-12-30T15:40:00"/>
    <s v="Harris Scarfe VIC"/>
    <n v="2026"/>
    <s v="Shepparton"/>
    <s v="Achilles Tendon - Left."/>
    <s v="Use of stairs in store - Originally reported as non work related"/>
    <s v="Claim"/>
    <s v="Accepted Claim"/>
    <s v="Restricted Duties"/>
    <s v="Open"/>
    <n v="13"/>
    <b v="0"/>
    <s v="Medical Treatment Injury"/>
    <s v="Residual soft tissue disorders due to trauma or unknown mechanisms"/>
    <s v="Ankle"/>
    <s v="Body Stressing"/>
    <s v="Muscular stress with no objects being handled"/>
    <s v="Human agencies"/>
    <m/>
    <s v="Open"/>
    <s v="Non Work Related Injury"/>
    <e v="#N/A"/>
    <s v="Linked"/>
    <d v="2023-06-26T00:00:00"/>
    <m/>
    <x v="4"/>
    <n v="1"/>
    <x v="0"/>
    <s v="SALARIED"/>
    <n v="38"/>
    <n v="54"/>
    <x v="1"/>
    <x v="14"/>
    <s v="Q2, FY25"/>
    <s v="MTIs"/>
    <x v="1"/>
    <x v="1"/>
    <s v="Body Stressing"/>
    <x v="1"/>
    <s v="Harris Scarfe"/>
    <x v="0"/>
    <s v="Store"/>
    <x v="0"/>
    <s v="VIC &amp; NSW"/>
    <s v="Harris Scarfe"/>
    <x v="2"/>
  </r>
  <r>
    <s v="SRG-INJ-3208"/>
    <s v="INC10760"/>
    <m/>
    <s v="No"/>
    <n v="296539"/>
    <s v="HUTCHINSON, KALEB"/>
    <d v="2002-06-29T00:00:00"/>
    <d v="2024-12-13T00:00:00"/>
    <d v="1899-12-30T14:15:00"/>
    <s v="Harris Scarfe VIC"/>
    <n v="2030"/>
    <s v="Warrnambool"/>
    <s v="sore right side of neck"/>
    <s v="Kaleb was searching for a vacuum cleaner display box for a customer in the front reserve. The box he needed was on the very bottom of the stack. When he pulled the box he needed out a couple of the boxes from the stack fell on top of his head. He flinched when it happened and felt a sharp pain in the right side of his neck. He then had a rest in the office sitting and laying with an ice pack the pain persisted and he went home at 3:20"/>
    <s v="Injury"/>
    <m/>
    <s v="No Assessment"/>
    <s v="Closed"/>
    <n v="0"/>
    <b v="0"/>
    <s v="First Aid Injury"/>
    <s v="Residual soft tissue disorders due to trauma or unknown mechanisms"/>
    <s v="Neck"/>
    <s v="Being Hit By Moving Objects"/>
    <s v="Being hit by falling objects"/>
    <s v="Other materials and objects"/>
    <s v="Boxes"/>
    <n v="0"/>
    <e v="#N/A"/>
    <e v="#N/A"/>
    <m/>
    <d v="2019-04-29T00:00:00"/>
    <d v="2025-01-05T00:00:00"/>
    <x v="19"/>
    <n v="5"/>
    <x v="0"/>
    <s v="PART TIME"/>
    <n v="36.75"/>
    <n v="22"/>
    <x v="3"/>
    <x v="14"/>
    <s v="Q2, FY25"/>
    <s v="FAIs"/>
    <x v="0"/>
    <x v="0"/>
    <s v="Being Hit By Moving Objects"/>
    <x v="0"/>
    <s v="Harris Scarfe"/>
    <x v="0"/>
    <s v="Store"/>
    <x v="0"/>
    <s v="VIC &amp; NSW"/>
    <s v="Harris Scarfe"/>
    <x v="2"/>
  </r>
  <r>
    <s v="SRG-INJ-3206"/>
    <s v="INC10751"/>
    <m/>
    <s v="No"/>
    <n v="296199"/>
    <s v="BELL, CHRISTOPHER"/>
    <d v="1992-07-14T00:00:00"/>
    <d v="2024-12-16T00:00:00"/>
    <d v="1899-12-30T17:00:00"/>
    <s v="Harris Scarfe SA"/>
    <n v="1012"/>
    <s v="Colonnades"/>
    <s v="Minor burn to right hand index and thumb"/>
    <s v="Chris was bringing the pallet jack back inside when it seemed to get caught on something. He tried to push it again and it was still stuck. After pulling it backwards he found that a screw was on the ground and had become stuck on the wheel. He picked up the screw, however the screw had been sitting in the 32 degree heat all day and has burnt Chris's right hand index and thumb. He has run it under cold water a number of times and will put burn cream on it when he gets home. Its a small burn but the nature of where it is and the fact it is a minor burn means its painful and uncomfortable. Chris has continue to work but continues to run it under cold water."/>
    <s v="Injury"/>
    <m/>
    <s v="No Assessment"/>
    <s v="Closed"/>
    <n v="0"/>
    <b v="0"/>
    <s v="First Aid Injury"/>
    <s v="Burns, unspecified"/>
    <s v="Hand, finger and thumb"/>
    <s v="Heat, Electricity and Other Environmental Factors"/>
    <s v="Contact with hot objects"/>
    <s v="Other materials and objects"/>
    <m/>
    <n v="0"/>
    <e v="#N/A"/>
    <e v="#N/A"/>
    <m/>
    <d v="2018-08-20T00:00:00"/>
    <d v="2025-01-26T00:00:00"/>
    <x v="5"/>
    <n v="6"/>
    <x v="3"/>
    <s v="PART TIME"/>
    <n v="32"/>
    <n v="32"/>
    <x v="2"/>
    <x v="14"/>
    <s v="Q2, FY25"/>
    <s v="FAIs"/>
    <x v="0"/>
    <x v="0"/>
    <s v="Heat, Electricity and Other Environmental Factors"/>
    <x v="0"/>
    <s v="Harris Scarfe"/>
    <x v="1"/>
    <s v="Store"/>
    <x v="0"/>
    <s v="SA/TAS"/>
    <s v="Harris Scarfe"/>
    <x v="1"/>
  </r>
  <r>
    <s v="SRG-INJ-3210"/>
    <s v="INC10764"/>
    <m/>
    <s v="No"/>
    <n v="296971"/>
    <s v="WEBB, CASSANDRA"/>
    <d v="1988-11-06T00:00:00"/>
    <d v="2024-12-17T00:00:00"/>
    <d v="1899-12-30T11:40:00"/>
    <s v="Harris Scarfe TAS"/>
    <n v="4043"/>
    <s v="Launceston"/>
    <s v="cut right middle fingernear finger nail"/>
    <s v="Cass was un packing sheet boxes  and cardboard cut her finger"/>
    <s v="Injury"/>
    <m/>
    <s v="No Assessment"/>
    <s v="Closed"/>
    <n v="0"/>
    <b v="0"/>
    <s v="First Aid Injury"/>
    <s v="Laceration or open wound not involving traumatic amputation"/>
    <s v="Hand, finger and thumb"/>
    <s v="Hitting Objects With a Part of the Body"/>
    <s v="Hitting stationary objects"/>
    <s v="Other materials and objects"/>
    <m/>
    <n v="0"/>
    <s v="Non Work Related Injury"/>
    <e v="#N/A"/>
    <m/>
    <d v="2020-06-22T00:00:00"/>
    <m/>
    <x v="12"/>
    <n v="4"/>
    <x v="0"/>
    <s v="PART TIME"/>
    <n v="23"/>
    <n v="36"/>
    <x v="4"/>
    <x v="14"/>
    <s v="Q2, FY25"/>
    <s v="FAIs"/>
    <x v="0"/>
    <x v="0"/>
    <s v="Hitting Objects With a Part of the Body"/>
    <x v="0"/>
    <s v="Harris Scarfe"/>
    <x v="2"/>
    <s v="Store"/>
    <x v="0"/>
    <s v="SA/TAS"/>
    <s v="Harris Scarfe"/>
    <x v="1"/>
  </r>
  <r>
    <s v="SRG-INJ-3227"/>
    <s v="INC10805"/>
    <m/>
    <s v="No"/>
    <n v="297079"/>
    <s v="BASTIAN, WILLIAM"/>
    <d v="2001-05-30T00:00:00"/>
    <d v="2024-12-19T00:00:00"/>
    <d v="1899-12-30T10:45:00"/>
    <s v="Harris Scarfe VIC"/>
    <n v="2028"/>
    <s v="Cranbourne Park"/>
    <s v="left pointer finger towards top has been cut"/>
    <s v="Ninja box was next to desk full of plastic Billy assumed it was rubbish so took a plastic bag and put hand into box not realising there were blades in the box and sliced his left pointer finger on the blade.. The main concern is this is the same blade that the customer cut her thumb on last week and may be contaminated"/>
    <s v="Injury"/>
    <m/>
    <s v="No Assessment"/>
    <s v="Closed"/>
    <n v="0"/>
    <b v="0"/>
    <s v="First Aid Injury"/>
    <s v="Laceration or open wound not involving traumatic amputation"/>
    <s v="Hand, finger and thumb"/>
    <s v="Hitting Objects With a Part of the Body"/>
    <s v="Hitting stationary objects"/>
    <s v="Utensils not elsewhere classified"/>
    <m/>
    <n v="0"/>
    <e v="#N/A"/>
    <e v="#N/A"/>
    <m/>
    <d v="2020-10-08T00:00:00"/>
    <m/>
    <x v="12"/>
    <n v="4"/>
    <x v="0"/>
    <s v="CASUAL"/>
    <n v="0.01"/>
    <n v="23"/>
    <x v="3"/>
    <x v="14"/>
    <s v="Q2, FY25"/>
    <s v="FAIs"/>
    <x v="0"/>
    <x v="0"/>
    <s v="Hitting Objects With a Part of the Body"/>
    <x v="15"/>
    <s v="Harris Scarfe"/>
    <x v="0"/>
    <s v="Store"/>
    <x v="0"/>
    <s v="VIC"/>
    <s v="Harris Scarfe"/>
    <x v="0"/>
  </r>
  <r>
    <s v="SRG-INJ-3225"/>
    <s v="INC10798"/>
    <m/>
    <s v="No"/>
    <n v="325622"/>
    <s v="HODSON, SYLVIA"/>
    <d v="1959-02-03T00:00:00"/>
    <d v="2024-12-19T00:00:00"/>
    <d v="1899-12-30T11:45:00"/>
    <s v="Harris Scarfe NSW"/>
    <n v="5054"/>
    <s v="Blacktown"/>
    <s v="cut her right pinky finger"/>
    <s v="staff member box off a cage and there were knives underneath the box and cut her right pinky finger"/>
    <s v="Injury"/>
    <m/>
    <s v="No Assessment"/>
    <s v="Closed"/>
    <n v="0"/>
    <b v="0"/>
    <s v="Medical Treatment Injury"/>
    <s v="Laceration or open wound not involving traumatic amputation"/>
    <s v="Hand, finger and thumb"/>
    <s v="Hitting Objects With a Part of the Body"/>
    <s v="Hitting stationary objects"/>
    <s v="Human agencies"/>
    <m/>
    <n v="0"/>
    <e v="#N/A"/>
    <e v="#N/A"/>
    <m/>
    <d v="2022-10-17T00:00:00"/>
    <m/>
    <x v="0"/>
    <n v="2"/>
    <x v="0"/>
    <s v="PART TIME"/>
    <n v="30"/>
    <n v="66"/>
    <x v="0"/>
    <x v="14"/>
    <s v="Q2, FY25"/>
    <s v="MTIs"/>
    <x v="0"/>
    <x v="0"/>
    <s v="Hitting Objects With a Part of the Body"/>
    <x v="1"/>
    <s v="Harris Scarfe"/>
    <x v="4"/>
    <s v="Store"/>
    <x v="0"/>
    <s v="NSW/ACT"/>
    <s v="Harris Scarfe"/>
    <x v="4"/>
  </r>
  <r>
    <s v="SRG-INJ-3230"/>
    <s v="INC10818"/>
    <m/>
    <s v="No"/>
    <n v="337378"/>
    <s v="PORTUGALIZA, MENCHU"/>
    <d v="1999-07-25T00:00:00"/>
    <d v="2024-12-20T00:00:00"/>
    <d v="1899-12-30T09:45:00"/>
    <s v="Harris Scarfe QLD"/>
    <n v="9098"/>
    <s v="Carindale"/>
    <s v="Right hand finger and nail lifted"/>
    <s v="Menchu  finger got jammed in H cage and lifted nail on her right,"/>
    <s v="Injury"/>
    <m/>
    <s v="No Assessment"/>
    <s v="Closed"/>
    <n v="0"/>
    <b v="0"/>
    <s v="First Aid Injury"/>
    <s v="Contusion, bruising and superficial crushing"/>
    <s v="Hand, finger and thumb"/>
    <s v="Being Hit By Moving Objects"/>
    <s v="Being hit by falling objects"/>
    <s v="Other non-powered equipment"/>
    <s v="Roll Cages"/>
    <n v="0"/>
    <e v="#N/A"/>
    <e v="#N/A"/>
    <m/>
    <d v="2024-10-21T00:00:00"/>
    <d v="2025-02-03T00:00:00"/>
    <x v="1"/>
    <n v="0"/>
    <x v="1"/>
    <s v="CASUAL"/>
    <n v="0.01"/>
    <n v="25"/>
    <x v="2"/>
    <x v="14"/>
    <s v="Q2, FY25"/>
    <s v="FAIs"/>
    <x v="0"/>
    <x v="0"/>
    <s v="Being Hit By Moving Objects"/>
    <x v="10"/>
    <s v="Harris Scarfe"/>
    <x v="3"/>
    <s v="Store"/>
    <x v="0"/>
    <s v="QLD"/>
    <s v="Harris Scarfe"/>
    <x v="3"/>
  </r>
  <r>
    <s v="SRG-INJ-3236"/>
    <s v="INC10862"/>
    <m/>
    <s v="No"/>
    <n v="335654"/>
    <s v="SERRET, BENJAMIN"/>
    <d v="2003-08-31T00:00:00"/>
    <d v="2024-12-23T00:00:00"/>
    <d v="1899-12-30T15:15:00"/>
    <s v="Harris Scarfe TAS"/>
    <n v="4043"/>
    <s v="Launceston"/>
    <s v="left eye"/>
    <s v="Team member Ben Serret was unpacking cardboard boxes when he hit his eye"/>
    <s v="Injury"/>
    <m/>
    <s v="No Assessment"/>
    <s v="Closed"/>
    <n v="0"/>
    <b v="0"/>
    <s v="Not Applicable"/>
    <s v="Superficial injury"/>
    <s v="Eye"/>
    <s v="Being Hit By Moving Objects"/>
    <s v="Being hit by moving objects"/>
    <s v="Fastening, packing and packaging equipment"/>
    <s v="Boxes"/>
    <n v="0"/>
    <e v="#N/A"/>
    <e v="#N/A"/>
    <m/>
    <d v="2024-08-05T00:00:00"/>
    <m/>
    <x v="1"/>
    <n v="0"/>
    <x v="1"/>
    <s v="CASUAL"/>
    <n v="0.01"/>
    <n v="21"/>
    <x v="3"/>
    <x v="14"/>
    <s v="Q2, FY25"/>
    <s v="Incident"/>
    <x v="0"/>
    <x v="0"/>
    <s v="Being Hit By Moving Objects"/>
    <x v="8"/>
    <s v="Harris Scarfe"/>
    <x v="2"/>
    <s v="Store"/>
    <x v="0"/>
    <s v="SA/TAS"/>
    <s v="Harris Scarfe"/>
    <x v="1"/>
  </r>
  <r>
    <s v="SRG-INJ-3247"/>
    <s v="INC10904"/>
    <m/>
    <s v="No"/>
    <n v="297023"/>
    <s v="PAGE, SOPHIE"/>
    <d v="1996-11-20T00:00:00"/>
    <d v="2024-12-27T00:00:00"/>
    <d v="1899-12-30T14:41:00"/>
    <s v="Harris Scarfe SA"/>
    <n v="1013"/>
    <s v="Gepps Cross (Hs Home)"/>
    <s v="right cheek below eye"/>
    <s v="I was on the ladder putting box of pillows up top on shelf, box slipped out of my hands and corner of the box hit me on the cheek below the eye"/>
    <s v="Incident Only"/>
    <m/>
    <s v="No Assessment"/>
    <s v="Open"/>
    <n v="0"/>
    <b v="0"/>
    <s v="Not Applicable"/>
    <s v="Superficial injury"/>
    <s v="Face, not elsewhere classified"/>
    <s v="Being Hit By Moving Objects"/>
    <s v="Being hit by falling objects"/>
    <s v="Human agencies"/>
    <s v="Boxes"/>
    <n v="0"/>
    <e v="#N/A"/>
    <e v="#N/A"/>
    <m/>
    <d v="2020-08-17T00:00:00"/>
    <m/>
    <x v="12"/>
    <n v="4"/>
    <x v="0"/>
    <s v="SALARIED"/>
    <n v="38"/>
    <n v="28"/>
    <x v="2"/>
    <x v="14"/>
    <s v="Q2, FY25"/>
    <s v="Incident"/>
    <x v="0"/>
    <x v="0"/>
    <s v="Being Hit By Moving Objects"/>
    <x v="1"/>
    <s v="Harris Scarfe"/>
    <x v="1"/>
    <s v="Store"/>
    <x v="0"/>
    <s v="SA/TAS"/>
    <s v="Harris Scarfe"/>
    <x v="1"/>
  </r>
  <r>
    <s v="SRG-INJ-3248"/>
    <s v="INC10909"/>
    <m/>
    <s v="No"/>
    <n v="331904"/>
    <s v="JAGANATHAN, GOWTHAM"/>
    <d v="1999-04-24T00:00:00"/>
    <d v="2024-12-27T00:00:00"/>
    <d v="1899-12-30T11:00:00"/>
    <s v="Harris Scarfe ACT"/>
    <n v="6059"/>
    <s v="Belconnen"/>
    <s v="Crush injury to hand"/>
    <s v="Team member was moving a pallet, and a dinner set fell on their hand. hand looked slightly bruised afterwards, i have checked in with team member at 5.00 and they say their hand is fine.  Logged by Jess Brown ASM"/>
    <s v="Injury"/>
    <m/>
    <s v="No Assessment"/>
    <s v="Closed"/>
    <n v="0"/>
    <b v="0"/>
    <s v="First Aid Injury"/>
    <s v="Contusion, bruising and superficial crushing"/>
    <s v="Hand, finger and thumb"/>
    <s v="Being Hit By Moving Objects"/>
    <s v="Being hit by falling objects"/>
    <s v="Other and not specified agencies"/>
    <m/>
    <n v="0"/>
    <e v="#N/A"/>
    <e v="#N/A"/>
    <m/>
    <d v="2023-10-23T00:00:00"/>
    <m/>
    <x v="4"/>
    <n v="1"/>
    <x v="0"/>
    <s v="CASUAL"/>
    <n v="0.01"/>
    <n v="26"/>
    <x v="2"/>
    <x v="14"/>
    <s v="Q2, FY25"/>
    <s v="FAIs"/>
    <x v="0"/>
    <x v="0"/>
    <s v="Being Hit By Moving Objects"/>
    <x v="12"/>
    <s v="Harris Scarfe"/>
    <x v="5"/>
    <s v="Store"/>
    <x v="0"/>
    <s v="NSW/ACT"/>
    <s v="Harris Scarfe"/>
    <x v="4"/>
  </r>
  <r>
    <s v="SRG-INJ-3249"/>
    <s v="INC10915"/>
    <n v="12240057088"/>
    <s v="No"/>
    <n v="296779"/>
    <s v="PRATHEEPAN, SIVANGEN"/>
    <d v="2001-03-08T00:00:00"/>
    <d v="2024-12-28T00:00:00"/>
    <d v="1899-12-30T10:14:00"/>
    <s v="Harris Scarfe VIC"/>
    <n v="2039"/>
    <s v="Fountain Gate"/>
    <s v="Left foot and toes. Slight skin peel on my big foot and the rest of the toes just hurt when moving a bit"/>
    <s v="Was using the forklift to get the cage stacks outside to aus post truck. When trying to fit the fork into the cage I put in reverse to get it In and my left foot got stuck on something behind me and the fork jammed my foot and I felt my toes bend in. It was on the fast mode and went further back then I pressed and quickly backed it forward. Hurt a bit but only after a while did it start to hurt whe n walking and couldn't put pressure on it."/>
    <s v="Claim"/>
    <s v="Accepted Claim"/>
    <s v="Fit"/>
    <s v="Open"/>
    <n v="7"/>
    <b v="0"/>
    <s v="Lost Time Injury"/>
    <s v="Contusion, bruising and superficial crushing"/>
    <s v="Foot and toes"/>
    <s v="Being Hit By Moving Objects"/>
    <s v="Being hit by moving objects"/>
    <s v="Other powered equipment, tools and appliances"/>
    <s v="Walkie Stacker"/>
    <s v="Open"/>
    <e v="#N/A"/>
    <e v="#N/A"/>
    <m/>
    <d v="2019-11-11T00:00:00"/>
    <m/>
    <x v="19"/>
    <n v="5"/>
    <x v="0"/>
    <s v="CASUAL"/>
    <n v="0.01"/>
    <n v="24"/>
    <x v="3"/>
    <x v="14"/>
    <s v="Q2, FY25"/>
    <s v="LTIs"/>
    <x v="1"/>
    <x v="1"/>
    <s v="Being Hit By Moving Objects"/>
    <x v="6"/>
    <s v="Harris Scarfe"/>
    <x v="0"/>
    <s v="Store"/>
    <x v="0"/>
    <s v="VIC"/>
    <s v="Harris Scarfe"/>
    <x v="0"/>
  </r>
  <r>
    <s v="SRG-INJ-3270"/>
    <s v="INC11004"/>
    <m/>
    <s v="No"/>
    <n v="322470"/>
    <s v="SMITH, EMILY"/>
    <d v="2004-08-28T00:00:00"/>
    <d v="2025-01-04T00:00:00"/>
    <d v="1899-12-30T10:45:00"/>
    <s v="Harris Scarfe TAS"/>
    <n v="4042"/>
    <s v="Cambridge"/>
    <s v="Right hip joint pinching pain when weight put on it/ leg extended"/>
    <s v="I was taking sheets out from the shelving on a step stool and after stepping down noticed a pain in my hip on my right side when I moved and extended my leg. I continued walking on it hoping it would come right but it hasn't yet."/>
    <s v="Injury"/>
    <m/>
    <s v="No Assessment"/>
    <s v="Closed"/>
    <n v="0"/>
    <b v="0"/>
    <s v="Not Applicable"/>
    <s v="Residual soft tissue disorders due to trauma or unknown mechanisms"/>
    <s v="Hip"/>
    <s v="Body Stressing"/>
    <s v="Muscular stress while lifting, carrying, or putting down objects"/>
    <s v="Human agencies"/>
    <m/>
    <n v="0"/>
    <e v="#N/A"/>
    <e v="#N/A"/>
    <m/>
    <d v="2022-05-16T00:00:00"/>
    <m/>
    <x v="0"/>
    <n v="3"/>
    <x v="0"/>
    <s v="PART TIME"/>
    <n v="30"/>
    <n v="20"/>
    <x v="3"/>
    <x v="15"/>
    <s v="Q3, FY25"/>
    <s v="Incident"/>
    <x v="0"/>
    <x v="0"/>
    <s v="Body Stressing"/>
    <x v="1"/>
    <s v="Harris Scarfe"/>
    <x v="2"/>
    <s v="Store"/>
    <x v="0"/>
    <s v="SA/TAS"/>
    <s v="Harris Scarfe"/>
    <x v="1"/>
  </r>
  <r>
    <s v="SRG-INJ-3268"/>
    <s v="INC11001"/>
    <m/>
    <s v="No"/>
    <n v="294740"/>
    <s v="LAWSON, NIKKITA"/>
    <d v="2000-12-12T00:00:00"/>
    <d v="2025-01-04T00:00:00"/>
    <d v="1899-12-30T09:13:00"/>
    <s v="Harris Scarfe TAS"/>
    <n v="4043"/>
    <s v="Launceston"/>
    <s v="left foot"/>
    <s v="Was shutting the sliding door cupboard at the register when it came off and landed on my toes on the left foot."/>
    <s v="Injury"/>
    <m/>
    <s v="No Assessment"/>
    <s v="Closed"/>
    <n v="0"/>
    <b v="0"/>
    <s v="Not Applicable"/>
    <s v="Residual soft tissue disorders due to trauma or unknown mechanisms"/>
    <s v="Foot and toes"/>
    <s v="Being Hit By Moving Objects"/>
    <s v="Being hit by falling objects"/>
    <s v="Other materials and objects"/>
    <m/>
    <n v="0"/>
    <e v="#N/A"/>
    <e v="#N/A"/>
    <m/>
    <d v="2016-04-04T00:00:00"/>
    <m/>
    <x v="9"/>
    <n v="9"/>
    <x v="3"/>
    <s v="PART TIME"/>
    <n v="28"/>
    <n v="24"/>
    <x v="3"/>
    <x v="15"/>
    <s v="Q3, FY25"/>
    <s v="Incident"/>
    <x v="0"/>
    <x v="0"/>
    <s v="Being Hit By Moving Objects"/>
    <x v="0"/>
    <s v="Harris Scarfe"/>
    <x v="2"/>
    <s v="Store"/>
    <x v="0"/>
    <s v="SA/TAS"/>
    <s v="Harris Scarfe"/>
    <x v="1"/>
  </r>
  <r>
    <s v="SRG-INJ-3275"/>
    <s v="INC11023"/>
    <m/>
    <s v="No"/>
    <n v="291576"/>
    <s v="MCDOWALL, CHARLENE"/>
    <d v="1987-11-17T00:00:00"/>
    <d v="2025-01-06T00:00:00"/>
    <d v="1899-12-30T14:45:00"/>
    <s v="Harris Scarfe VIC"/>
    <n v="2030"/>
    <s v="Warrnambool"/>
    <s v="right ankle"/>
    <s v="Charlene was going to the registers, she didn't see a hanger on the ground and has tripped and landed on her bad ankle"/>
    <s v="Claim"/>
    <s v="Pending Claim"/>
    <s v="Fit"/>
    <s v="Open"/>
    <n v="15"/>
    <b v="0"/>
    <s v="Lost Time Injury"/>
    <s v="Residual soft tissue disorders due to trauma or unknown mechanisms"/>
    <s v="Ankle"/>
    <s v="Falls, Trips and Slips of a Person"/>
    <s v="Falls on the same level"/>
    <s v="Other materials and objects"/>
    <m/>
    <s v="Open"/>
    <s v="Non Work Related Injury"/>
    <e v="#N/A"/>
    <m/>
    <d v="2010-10-25T00:00:00"/>
    <d v="2025-03-28T00:00:00"/>
    <x v="25"/>
    <n v="14"/>
    <x v="5"/>
    <s v="PART TIME"/>
    <n v="34"/>
    <n v="37"/>
    <x v="4"/>
    <x v="15"/>
    <s v="Q3, FY25"/>
    <s v="LTIs"/>
    <x v="1"/>
    <x v="3"/>
    <s v="Falls, Trips and Slips of a Person"/>
    <x v="0"/>
    <s v="Harris Scarfe"/>
    <x v="0"/>
    <s v="Store"/>
    <x v="0"/>
    <s v="VIC &amp; NSW"/>
    <s v="Harris Scarfe"/>
    <x v="2"/>
  </r>
  <r>
    <s v="SRG-INJ-3279"/>
    <s v="INC11038"/>
    <m/>
    <s v="No"/>
    <n v="331149"/>
    <s v="CHAPMAN, KELLY"/>
    <d v="2007-06-29T00:00:00"/>
    <d v="2025-01-07T00:00:00"/>
    <d v="1899-12-30T11:45:00"/>
    <s v="Harris Scarfe VIC"/>
    <n v="2059"/>
    <s v="Bairnsdale"/>
    <s v="Right foot/ankle"/>
    <s v="Kelly rolled her right foot/ankle while trying to slow/stop the rollcage she was working stock from."/>
    <s v="Injury"/>
    <m/>
    <s v="No Assessment"/>
    <s v="Closed"/>
    <n v="0"/>
    <b v="0"/>
    <s v="First Aid Injury"/>
    <s v="Residual soft tissue disorders due to trauma or unknown mechanisms"/>
    <s v="Ankle"/>
    <s v="Being Hit By Moving Objects"/>
    <s v="Being hit by moving objects"/>
    <s v="Human agencies"/>
    <m/>
    <n v="0"/>
    <e v="#N/A"/>
    <e v="#N/A"/>
    <m/>
    <d v="2023-10-09T00:00:00"/>
    <m/>
    <x v="4"/>
    <n v="1"/>
    <x v="0"/>
    <s v="PART TIME"/>
    <n v="25"/>
    <n v="17"/>
    <x v="5"/>
    <x v="15"/>
    <s v="Q3, FY25"/>
    <s v="FAIs"/>
    <x v="0"/>
    <x v="0"/>
    <s v="Being Hit By Moving Objects"/>
    <x v="1"/>
    <s v="Harris Scarfe"/>
    <x v="0"/>
    <s v="Store"/>
    <x v="0"/>
    <s v="VIC"/>
    <s v="Harris Scarfe"/>
    <x v="0"/>
  </r>
  <r>
    <s v="SRG-INJ-3290"/>
    <s v="INC11069"/>
    <m/>
    <s v="No"/>
    <n v="338317"/>
    <s v="GRAYSON, SHAUN"/>
    <d v="2000-01-19T00:00:00"/>
    <d v="2025-01-08T00:00:00"/>
    <d v="1899-12-30T16:00:00"/>
    <s v="Harris Scarfe QLD"/>
    <n v="9090"/>
    <s v="Maroochydore"/>
    <s v="Whole body"/>
    <s v="Shaun Worked outside in the heat and suffered from heat stroke and has taken today off sick - headaches and vomiting overnight"/>
    <s v="Injury"/>
    <m/>
    <s v="No Assessment"/>
    <s v="Closed"/>
    <n v="0"/>
    <b v="0"/>
    <s v="Not Applicable"/>
    <s v="Effects of weather, exposure, air pressure and other external causes, not elsewhere classified"/>
    <s v="Other specified multiple locations"/>
    <s v="Biological Factors"/>
    <s v="Contact with, or exposure to, biological factors of non-human origin"/>
    <s v="Outdoor environment"/>
    <m/>
    <n v="0"/>
    <e v="#N/A"/>
    <e v="#N/A"/>
    <m/>
    <d v="2024-12-23T00:00:00"/>
    <m/>
    <x v="1"/>
    <n v="0"/>
    <x v="1"/>
    <s v="CASUAL"/>
    <n v="0.01"/>
    <n v="25"/>
    <x v="2"/>
    <x v="15"/>
    <s v="Q3, FY25"/>
    <s v="Incident"/>
    <x v="0"/>
    <x v="0"/>
    <s v="Biological Factors"/>
    <x v="16"/>
    <s v="Harris Scarfe"/>
    <x v="3"/>
    <s v="Store"/>
    <x v="0"/>
    <s v="QLD"/>
    <s v="Harris Scarfe"/>
    <x v="3"/>
  </r>
  <r>
    <s v="SRG-INJ-3289"/>
    <s v="INC11067"/>
    <m/>
    <s v="No"/>
    <n v="331312"/>
    <s v="LUDLOW, GEORGIANNA"/>
    <d v="2007-04-20T00:00:00"/>
    <d v="2025-01-09T00:00:00"/>
    <d v="1899-12-30T09:00:00"/>
    <s v="Harris Scarfe QLD"/>
    <n v="9097"/>
    <s v="Hervey Bay"/>
    <s v="Cut on her finger which required a bandaid"/>
    <s v="Georgianna was attempting to move a three layer table and pinched her finger between the top and the metal bar causing a cut on her finger. She then felt faint from seeing the cut. She was taken into the tea room and sat down until she felt better. She wrapped her finger with a band aid and felt fine afterwards."/>
    <s v="Injury"/>
    <m/>
    <s v="No Assessment"/>
    <s v="Closed"/>
    <n v="0"/>
    <b v="0"/>
    <s v="First Aid Injury"/>
    <s v="Laceration or open wound not involving traumatic amputation"/>
    <s v="Hand, finger and thumb"/>
    <s v="Being Hit By Moving Objects"/>
    <s v="Being trapped between stationary and moving objects"/>
    <s v="Human agencies"/>
    <m/>
    <n v="0"/>
    <e v="#N/A"/>
    <e v="#N/A"/>
    <m/>
    <d v="2023-10-23T00:00:00"/>
    <m/>
    <x v="4"/>
    <n v="1"/>
    <x v="0"/>
    <s v="PART TIME"/>
    <n v="15"/>
    <n v="18"/>
    <x v="5"/>
    <x v="15"/>
    <s v="Q3, FY25"/>
    <s v="FAIs"/>
    <x v="0"/>
    <x v="0"/>
    <s v="Being Hit By Moving Objects"/>
    <x v="1"/>
    <s v="Harris Scarfe"/>
    <x v="3"/>
    <s v="Store"/>
    <x v="0"/>
    <s v="QLD"/>
    <s v="Harris Scarfe"/>
    <x v="3"/>
  </r>
  <r>
    <s v="SRG-INJ-3310"/>
    <s v="INC11196"/>
    <m/>
    <s v="No"/>
    <n v="329940"/>
    <s v="ADDAMS, SAMANTHA"/>
    <d v="1987-01-12T00:00:00"/>
    <d v="2025-01-16T00:00:00"/>
    <d v="1899-12-30T11:50:00"/>
    <s v="Harris Scarfe VIC"/>
    <n v="2019"/>
    <s v="Ballarat"/>
    <s v="lower back and hips"/>
    <s v="Samantha got a click and collect order for the customer and carried it to the counter. The order was a 30-litre microwave and a robot vacuum cleaner. Sami carried both items together, the microwave is very heavy and should be a 2-person lift. Sami then asked for someone to help a customer to the car. As there was 2 people on POS, I asked over the headset if you are not busy can you do it. Sami said yes but didn't inform me that the product was a microwave. Sami then picked up the microwave and before leaving the POS area adjusted her hold on it by lifting her knee up to balance the microwave and get a better grip. Sami then carried the microwave to the customers car. the car was about half a block away from the front door of the store. Unfortunately, Sami has twinge her back. Sami didn't ask for help or use a trolley to take the item to the customers car. Sami didn't inform me that she injured her back for another one and half hours and by this time she couldn't bend down and had pain across her lower back and hip area. I gave Sami a JDA and asked her to please seek medical treatment as her back will only get worse. Sami went to a walk in/no appointment Doctor's clinic and was given a certified for 2 days off and then return with restrictions of 1-5kg limit."/>
    <s v="Injury"/>
    <m/>
    <s v="No Assessment"/>
    <s v="Closed"/>
    <n v="0"/>
    <b v="0"/>
    <s v="Medical Treatment Injury"/>
    <s v="Residual soft tissue disorders due to trauma or unknown mechanisms"/>
    <s v="Back-Upper and lower"/>
    <s v="Body Stressing"/>
    <s v="Muscular stress while lifting, carrying, or putting down objects"/>
    <s v="Human agencies"/>
    <m/>
    <n v="0"/>
    <e v="#N/A"/>
    <s v="Psychosocial"/>
    <m/>
    <d v="2023-07-24T00:00:00"/>
    <d v="2025-03-30T00:00:00"/>
    <x v="4"/>
    <n v="1"/>
    <x v="0"/>
    <s v="PART TIME"/>
    <n v="22.5"/>
    <n v="38"/>
    <x v="4"/>
    <x v="15"/>
    <s v="Q3, FY25"/>
    <s v="MTIs"/>
    <x v="0"/>
    <x v="0"/>
    <s v="Body Stressing"/>
    <x v="1"/>
    <s v="Harris Scarfe"/>
    <x v="0"/>
    <s v="Store"/>
    <x v="0"/>
    <s v="VIC &amp; NSW"/>
    <s v="Harris Scarfe"/>
    <x v="2"/>
  </r>
  <r>
    <s v="SRG-INJ-3307"/>
    <s v="INC11171"/>
    <m/>
    <s v="No"/>
    <n v="294740"/>
    <s v="LAWSON, NIKKITA"/>
    <d v="2000-12-12T00:00:00"/>
    <d v="2025-01-16T00:00:00"/>
    <d v="1899-12-30T10:05:00"/>
    <s v="Harris Scarfe TAS"/>
    <n v="4043"/>
    <s v="Launceston"/>
    <s v="LEFT HAND"/>
    <s v="pulling a trolley and ran into a moment with her left hand and jammed it in-between the trolley and moment"/>
    <s v="Injury"/>
    <m/>
    <s v="No Assessment"/>
    <s v="Closed"/>
    <n v="0"/>
    <b v="0"/>
    <s v="First Aid Injury"/>
    <s v="Contusion, bruising and superficial crushing"/>
    <s v="Hand, finger and thumb"/>
    <s v="Being Hit By Moving Objects"/>
    <s v="Being trapped between stationary and moving objects"/>
    <s v="Human agencies"/>
    <s v="Trolleys"/>
    <n v="0"/>
    <e v="#N/A"/>
    <e v="#N/A"/>
    <m/>
    <d v="2016-04-04T00:00:00"/>
    <m/>
    <x v="9"/>
    <n v="9"/>
    <x v="3"/>
    <s v="PART TIME"/>
    <n v="28"/>
    <n v="24"/>
    <x v="3"/>
    <x v="15"/>
    <s v="Q3, FY25"/>
    <s v="FAIs"/>
    <x v="0"/>
    <x v="0"/>
    <s v="Being Hit By Moving Objects"/>
    <x v="1"/>
    <s v="Harris Scarfe"/>
    <x v="2"/>
    <s v="Store"/>
    <x v="0"/>
    <s v="SA/TAS"/>
    <s v="Harris Scarfe"/>
    <x v="1"/>
  </r>
  <r>
    <s v="SRG-INJ-3335"/>
    <s v="INC11349"/>
    <m/>
    <s v="No"/>
    <n v="406820"/>
    <s v="HUNTER, SARAH"/>
    <d v="1970-10-02T00:00:00"/>
    <d v="2025-01-28T00:00:00"/>
    <d v="1899-12-30T10:30:00"/>
    <s v="Harris Scarfe SA"/>
    <n v="1011"/>
    <s v="Marion"/>
    <s v="bruising and swelling"/>
    <s v="As I was going home on the bus, my left shin felt really tight and sore.When I got home I iced my leg and today it is swollen and bruised. I don't remember any incident during the day other than when I had to kneel down to get a torn piece of paper out of the bottom paper tray of the photo copier and I felt some pain in my knees."/>
    <s v="Injury"/>
    <m/>
    <s v="No Assessment"/>
    <s v="Closed"/>
    <n v="0"/>
    <b v="0"/>
    <s v="First Aid Injury"/>
    <s v="Unspecified injuries"/>
    <s v="Lower leg"/>
    <s v="Vehicle Incidents and Other"/>
    <s v="Unspecified mechanisms of incident"/>
    <s v="Other and not specified agencies"/>
    <m/>
    <n v="0"/>
    <e v="#N/A"/>
    <e v="#N/A"/>
    <m/>
    <d v="2015-05-18T00:00:00"/>
    <m/>
    <x v="17"/>
    <n v="10"/>
    <x v="3"/>
    <s v="SALARIED"/>
    <n v="38"/>
    <n v="54"/>
    <x v="1"/>
    <x v="16"/>
    <s v="Q3, FY25"/>
    <s v="FAIs"/>
    <x v="0"/>
    <x v="0"/>
    <s v="Vehicle Incidents and Other"/>
    <x v="12"/>
    <s v="Harris Scarfe"/>
    <x v="1"/>
    <s v="Store"/>
    <x v="0"/>
    <s v="SA/TAS"/>
    <s v="Harris Scarfe"/>
    <x v="1"/>
  </r>
  <r>
    <s v="SRG-INJ-3353"/>
    <s v="INC11442"/>
    <n v="12240070256"/>
    <s v="No"/>
    <n v="288672"/>
    <s v="MCMAHON, JUDY"/>
    <d v="1966-10-08T00:00:00"/>
    <d v="2025-01-31T00:00:00"/>
    <d v="1899-12-30T13:35:00"/>
    <s v="Harris Scarfe VIC"/>
    <n v="2026"/>
    <s v="Shepparton"/>
    <s v="Both shoulders"/>
    <s v="Team member lifted a dinner set off a trolley and pulled the muscle in her shoulders. Since then, worsening pain radiating to other shoulder and down both arms."/>
    <s v="Claim"/>
    <s v="Pending Claim"/>
    <s v="Restricted Duties"/>
    <s v="Open"/>
    <n v="0"/>
    <b v="0"/>
    <s v="Medical Treatment Injury"/>
    <s v="Trauma to joints and ligaments"/>
    <s v="Shoulder"/>
    <s v="Body Stressing"/>
    <s v="Muscular stress while lifting, carrying, or putting down objects"/>
    <s v="Human agencies"/>
    <m/>
    <s v="Open"/>
    <e v="#N/A"/>
    <e v="#N/A"/>
    <m/>
    <d v="2006-10-16T00:00:00"/>
    <m/>
    <x v="27"/>
    <n v="18"/>
    <x v="2"/>
    <s v="PART TIME"/>
    <n v="35"/>
    <n v="58"/>
    <x v="0"/>
    <x v="16"/>
    <s v="Q3, FY25"/>
    <s v="MTIs"/>
    <x v="1"/>
    <x v="3"/>
    <s v="Body Stressing"/>
    <x v="1"/>
    <s v="Harris Scarfe"/>
    <x v="0"/>
    <s v="Store"/>
    <x v="0"/>
    <s v="VIC &amp; NSW"/>
    <s v="Harris Scarfe"/>
    <x v="2"/>
  </r>
  <r>
    <s v="SRG-INJ-3396"/>
    <s v="INC11701"/>
    <s v="G749341E"/>
    <s v="No"/>
    <n v="293616"/>
    <s v="CASH, CATHERINE"/>
    <d v="1990-04-15T00:00:00"/>
    <d v="2025-02-07T00:00:00"/>
    <d v="1899-12-30T08:00:00"/>
    <s v="Harris Scarfe TAS"/>
    <n v="4043"/>
    <s v="Launceston"/>
    <s v="tingling sensation in left leg, followed by lower back"/>
    <s v="Catherine cash had felt tingling sensation in the lower part of her left leg followed by a stabbing burning pain at the time Catherine was receiving pallets in. Catherine had told manager Trish that she couldn't lift the pallets. Trish has then sent her home immediately. Catherine had a doctors appointment already booked prior to her shift on the 7th of Feb."/>
    <s v="Claim"/>
    <s v="Pending Claim"/>
    <s v="Unfit"/>
    <s v="Open"/>
    <n v="55"/>
    <b v="0"/>
    <s v="Not Applicable"/>
    <s v="Trauma to muscles and tendons"/>
    <s v="Lower leg"/>
    <s v="Body Stressing"/>
    <s v="Muscular stress while lifting, carrying, or putting down objects"/>
    <s v="Human agencies"/>
    <s v="Pallet Jack"/>
    <s v="Open"/>
    <s v="Non Work Related Injury"/>
    <e v="#N/A"/>
    <s v="Linked"/>
    <d v="2013-11-25T00:00:00"/>
    <m/>
    <x v="16"/>
    <n v="11"/>
    <x v="5"/>
    <s v="PART TIME"/>
    <n v="14.25"/>
    <n v="35"/>
    <x v="4"/>
    <x v="16"/>
    <s v="Q3, FY25"/>
    <s v="Incident"/>
    <x v="1"/>
    <x v="3"/>
    <s v="Body Stressing"/>
    <x v="1"/>
    <s v="Harris Scarfe"/>
    <x v="2"/>
    <s v="Store"/>
    <x v="0"/>
    <s v="SA/TAS"/>
    <s v="Harris Scarfe"/>
    <x v="1"/>
  </r>
  <r>
    <s v="SRG-INJ-3364"/>
    <s v="INC11534"/>
    <m/>
    <s v="No"/>
    <n v="296522"/>
    <s v="MCINERNEY, KYLIE"/>
    <d v="1971-05-17T00:00:00"/>
    <d v="2025-02-11T00:00:00"/>
    <d v="1899-12-30T12:42:00"/>
    <s v="Harris Scarfe NSW"/>
    <n v="6068"/>
    <s v="Wagga Wagga"/>
    <s v="Face- Nose, cheek and forehead"/>
    <s v="Kylie bumped into tressel tables at the back of loading dock. One of them fell, hitting Kylie in the face as she tried to catch it."/>
    <s v="Injury"/>
    <m/>
    <s v="No Assessment"/>
    <s v="Closed"/>
    <n v="0"/>
    <b v="0"/>
    <s v="Not Applicable"/>
    <s v="Contusion, bruising and superficial crushing"/>
    <s v="Head - multiple locations"/>
    <s v="Being Hit By Moving Objects"/>
    <s v="Being hit by falling objects"/>
    <s v="Human agencies"/>
    <m/>
    <n v="0"/>
    <e v="#N/A"/>
    <e v="#N/A"/>
    <m/>
    <d v="2019-04-22T00:00:00"/>
    <m/>
    <x v="19"/>
    <n v="6"/>
    <x v="0"/>
    <s v="PART TIME"/>
    <n v="32.25"/>
    <n v="53"/>
    <x v="1"/>
    <x v="16"/>
    <s v="Q3, FY25"/>
    <s v="Incident"/>
    <x v="0"/>
    <x v="0"/>
    <s v="Being Hit By Moving Objects"/>
    <x v="1"/>
    <s v="Harris Scarfe"/>
    <x v="4"/>
    <s v="Store"/>
    <x v="0"/>
    <s v="NSW/ACT"/>
    <s v="Harris Scarfe"/>
    <x v="4"/>
  </r>
  <r>
    <s v="SRG-INJ-3366"/>
    <s v="INC11544"/>
    <n v="7687882"/>
    <s v="No"/>
    <n v="334999"/>
    <s v="BENJAMIN, DOMARINA"/>
    <d v="1966-09-05T00:00:00"/>
    <d v="2025-02-11T00:00:00"/>
    <d v="1899-12-30T16:56:00"/>
    <s v="Harris Scarfe NSW"/>
    <n v="6068"/>
    <s v="Wagga Wagga"/>
    <s v="Ear infection"/>
    <s v="Domarina has been to doctors about an ear infection that has allegedly been contracted from the ear pieces used at work for communication."/>
    <s v="Injury"/>
    <m/>
    <s v="No Assessment"/>
    <s v="Closed"/>
    <n v="0"/>
    <b v="0"/>
    <s v="Medical Treatment Injury"/>
    <s v="Viral diseases, not classified elsewhere"/>
    <s v="Ear"/>
    <s v="Sound and Pressure"/>
    <s v="Other variations in pressure"/>
    <s v="Other non-powered equipment"/>
    <m/>
    <n v="0"/>
    <e v="#N/A"/>
    <e v="#N/A"/>
    <m/>
    <d v="2024-06-17T00:00:00"/>
    <m/>
    <x v="1"/>
    <n v="0"/>
    <x v="1"/>
    <s v="CASUAL"/>
    <n v="0.01"/>
    <n v="58"/>
    <x v="0"/>
    <x v="16"/>
    <s v="Q3, FY25"/>
    <s v="MTIs"/>
    <x v="0"/>
    <x v="0"/>
    <s v="Sound and Pressure"/>
    <x v="10"/>
    <s v="Harris Scarfe"/>
    <x v="4"/>
    <s v="Store"/>
    <x v="0"/>
    <s v="NSW/ACT"/>
    <s v="Harris Scarfe"/>
    <x v="4"/>
  </r>
  <r>
    <s v="SRG-INJ-3380"/>
    <s v="INC11611"/>
    <m/>
    <s v="No"/>
    <n v="337989"/>
    <s v="RANSOME, MONTANNAH"/>
    <d v="2002-05-08T00:00:00"/>
    <d v="2025-02-17T00:00:00"/>
    <d v="1899-12-30T10:58:00"/>
    <s v="Harris Scarfe VIC"/>
    <n v="2033"/>
    <s v="Eastland"/>
    <s v="sore wrist"/>
    <s v="Team member Montannah has informed us that her wrist is sore from working in the dock and it is causing her pain, it is an RSI from working in the dock, the pain is keeping her up at night, have informed her to go to the doctors"/>
    <s v="Injury"/>
    <m/>
    <s v="Restricted Duties"/>
    <s v="Open"/>
    <n v="0"/>
    <b v="0"/>
    <s v="Lost Time Injury"/>
    <s v="Trauma to muscles and tendons"/>
    <s v="Wrist"/>
    <s v="Body Stressing"/>
    <s v="Muscular stress while handling objects other than lifting, carrying or putting down"/>
    <s v="Human agencies"/>
    <m/>
    <n v="0"/>
    <e v="#N/A"/>
    <e v="#N/A"/>
    <m/>
    <d v="2024-11-21T00:00:00"/>
    <m/>
    <x v="1"/>
    <n v="0"/>
    <x v="1"/>
    <s v="CASUAL"/>
    <n v="0.01"/>
    <n v="23"/>
    <x v="3"/>
    <x v="16"/>
    <s v="Q3, FY25"/>
    <s v="LTIs"/>
    <x v="0"/>
    <x v="0"/>
    <s v="Body Stressing"/>
    <x v="1"/>
    <s v="Harris Scarfe"/>
    <x v="0"/>
    <s v="Store"/>
    <x v="0"/>
    <s v="VIC"/>
    <s v="Harris Scarfe"/>
    <x v="0"/>
  </r>
  <r>
    <s v="SRG-INJ-3387"/>
    <s v="INC11652"/>
    <m/>
    <s v="No"/>
    <n v="330730"/>
    <s v="CARTER, JULIA"/>
    <d v="1963-07-03T00:00:00"/>
    <d v="2025-02-19T00:00:00"/>
    <d v="1899-12-30T15:15:00"/>
    <s v="Harris Scarfe QLD"/>
    <n v="9087"/>
    <s v="Loganholme"/>
    <s v="Right Knee a bruise and grazing to right elbow"/>
    <s v="Julia was standing on the 3 step fold out ladder doing a merchandise change around and she forgot there was an extra step and fell on her right knee and right elbow."/>
    <s v="Injury"/>
    <m/>
    <s v="No Assessment"/>
    <s v="Closed"/>
    <n v="0"/>
    <b v="0"/>
    <s v="First Aid Injury"/>
    <s v="Trauma to muscles and tendons"/>
    <s v="Knee"/>
    <s v="Falls, Trips and Slips of a Person"/>
    <s v="Falls on the same level"/>
    <s v="Human agencies"/>
    <s v="Ladder"/>
    <n v="0"/>
    <e v="#N/A"/>
    <e v="#N/A"/>
    <m/>
    <d v="2023-09-04T00:00:00"/>
    <m/>
    <x v="4"/>
    <n v="1"/>
    <x v="0"/>
    <s v="SALARIED"/>
    <n v="38"/>
    <n v="61"/>
    <x v="0"/>
    <x v="16"/>
    <s v="Q3, FY25"/>
    <s v="FAIs"/>
    <x v="0"/>
    <x v="0"/>
    <s v="Falls, Trips and Slips of a Person"/>
    <x v="1"/>
    <s v="Harris Scarfe"/>
    <x v="3"/>
    <s v="Store"/>
    <x v="0"/>
    <s v="QLD"/>
    <s v="Harris Scarfe"/>
    <x v="3"/>
  </r>
  <r>
    <s v="SRG-INJ-3422"/>
    <s v="INC11775"/>
    <m/>
    <s v="No"/>
    <n v="297528"/>
    <s v="BULL, CASSANDRA"/>
    <d v="2004-02-14T00:00:00"/>
    <d v="2025-02-22T00:00:00"/>
    <d v="1899-12-30T12:30:00"/>
    <s v="Harris Scarfe VIC"/>
    <n v="2022"/>
    <s v="Knox City"/>
    <s v="left Wrist  Strain"/>
    <s v="Cassie was moving and unpacking multiple big quilt, topper and pillow boxes and over the course of the day her left wrist became sore and at the end of the day was in some pain. Had 2 days where hoping pain would go away but sadly didn't . Went to doctor on the Tuesday 25th Feb and they diagnosed a strained wrist."/>
    <s v="Injury"/>
    <m/>
    <s v="No Assessment"/>
    <s v="Closed"/>
    <n v="0"/>
    <b v="0"/>
    <s v="Medical Treatment Injury"/>
    <s v="Trauma to muscles and tendons"/>
    <s v="Wrist"/>
    <s v="Body Stressing"/>
    <s v="Repetitive movement, low muscle loading"/>
    <s v="Human agencies"/>
    <m/>
    <n v="0"/>
    <e v="#N/A"/>
    <e v="#N/A"/>
    <m/>
    <d v="2021-06-28T00:00:00"/>
    <m/>
    <x v="10"/>
    <n v="3"/>
    <x v="0"/>
    <s v="CASUAL"/>
    <n v="0.01"/>
    <n v="21"/>
    <x v="3"/>
    <x v="16"/>
    <s v="Q3, FY25"/>
    <s v="MTIs"/>
    <x v="0"/>
    <x v="0"/>
    <s v="Body Stressing"/>
    <x v="1"/>
    <s v="Harris Scarfe"/>
    <x v="0"/>
    <s v="Store"/>
    <x v="0"/>
    <s v="VIC"/>
    <s v="Harris Scarfe"/>
    <x v="0"/>
  </r>
  <r>
    <s v="SRG-INJ-3410"/>
    <s v="INC11743"/>
    <m/>
    <s v="No"/>
    <n v="296583"/>
    <s v="HARRISON, JACK"/>
    <d v="1991-09-13T00:00:00"/>
    <d v="2025-02-25T00:00:00"/>
    <d v="1899-12-30T12:30:00"/>
    <s v="Harris Scarfe QLD"/>
    <n v="9095"/>
    <s v="Chermside"/>
    <s v="hit under eye of bottom eye lid"/>
    <s v="Jack was moving an old bracket up a few notches and the bracket became stuck. as jack pulled it with some force the bracket came out and he hit himself in the head just below his eye on the eyelid."/>
    <s v="Injury"/>
    <m/>
    <s v="No Assessment"/>
    <s v="Closed"/>
    <n v="0"/>
    <b v="0"/>
    <s v="First Aid Injury"/>
    <s v="Contusion, bruising and superficial crushing"/>
    <s v="Eye"/>
    <s v="Being Hit By Moving Objects"/>
    <s v="Being hit by falling objects"/>
    <s v="Human agencies"/>
    <m/>
    <n v="0"/>
    <e v="#N/A"/>
    <e v="#N/A"/>
    <m/>
    <d v="2019-07-08T00:00:00"/>
    <m/>
    <x v="19"/>
    <n v="5"/>
    <x v="0"/>
    <s v="PART TIME"/>
    <n v="30.75"/>
    <n v="33"/>
    <x v="2"/>
    <x v="16"/>
    <s v="Q3, FY25"/>
    <s v="FAIs"/>
    <x v="0"/>
    <x v="0"/>
    <s v="Being Hit By Moving Objects"/>
    <x v="1"/>
    <s v="Harris Scarfe"/>
    <x v="3"/>
    <s v="Store"/>
    <x v="0"/>
    <s v="QLD"/>
    <s v="Harris Scarfe"/>
    <x v="3"/>
  </r>
  <r>
    <s v="SRG-INJ-3436"/>
    <s v="INC11829"/>
    <s v="G749496L"/>
    <s v="No"/>
    <n v="325722"/>
    <s v="LOVELOCK, ANN"/>
    <d v="1961-05-09T00:00:00"/>
    <d v="2025-03-03T00:00:00"/>
    <d v="1899-12-30T13:27:00"/>
    <s v="Harris Scarfe TAS"/>
    <n v="4045"/>
    <s v="Ulverstone"/>
    <s v="Sliced finger on right hand"/>
    <s v="while packing away a food processor [a display"/>
    <s v="Injury"/>
    <m/>
    <s v="No Assessment"/>
    <s v="Closed"/>
    <n v="0"/>
    <b v="0"/>
    <s v="First Aid Injury"/>
    <s v="Laceration or open wound not involving traumatic amputation"/>
    <s v="Hand, finger and thumb"/>
    <s v="Being Hit By Moving Objects"/>
    <s v="Being trapped by moving machinery or equipment"/>
    <s v="Human agencies"/>
    <m/>
    <n v="0"/>
    <e v="#N/A"/>
    <e v="#N/A"/>
    <m/>
    <d v="2022-10-24T00:00:00"/>
    <m/>
    <x v="0"/>
    <n v="2"/>
    <x v="0"/>
    <s v="PART TIME"/>
    <n v="12"/>
    <n v="63"/>
    <x v="0"/>
    <x v="17"/>
    <s v="Q3, FY25"/>
    <s v="FAIs"/>
    <x v="0"/>
    <x v="0"/>
    <s v="Being Hit By Moving Objects"/>
    <x v="1"/>
    <s v="Harris Scarfe"/>
    <x v="2"/>
    <s v="Store"/>
    <x v="0"/>
    <s v="SA/TAS"/>
    <s v="Harris Scarfe"/>
    <x v="1"/>
  </r>
  <r>
    <s v="SRG-INJ-3437"/>
    <s v="INC11843"/>
    <m/>
    <s v="No"/>
    <n v="294678"/>
    <s v="TSOKOS, GEORGINA"/>
    <d v="1969-11-24T00:00:00"/>
    <d v="2025-03-04T00:00:00"/>
    <d v="1899-12-30T12:50:00"/>
    <s v="Harris Scarfe VIC"/>
    <n v="2025"/>
    <s v="Southland"/>
    <s v="Left hand webbing"/>
    <s v="Gina was trying to close one of the rail extenders, it snapped shut and he she got her webbing from her left hand pinched in between"/>
    <s v="Injury"/>
    <m/>
    <s v="No Assessment"/>
    <s v="Closed"/>
    <n v="0"/>
    <b v="0"/>
    <s v="First Aid Injury"/>
    <s v="Contusion, bruising and superficial crushing"/>
    <s v="Hand, finger and thumb"/>
    <s v="Being Hit By Moving Objects"/>
    <s v="Being trapped between stationary and moving objects"/>
    <s v="Human agencies"/>
    <m/>
    <n v="0"/>
    <e v="#N/A"/>
    <e v="#N/A"/>
    <m/>
    <d v="2016-02-22T00:00:00"/>
    <m/>
    <x v="17"/>
    <n v="9"/>
    <x v="3"/>
    <s v="PART TIME"/>
    <n v="36.5"/>
    <n v="55"/>
    <x v="0"/>
    <x v="17"/>
    <s v="Q3, FY25"/>
    <s v="FAIs"/>
    <x v="0"/>
    <x v="0"/>
    <s v="Being Hit By Moving Objects"/>
    <x v="1"/>
    <s v="Harris Scarfe"/>
    <x v="0"/>
    <s v="Store"/>
    <x v="0"/>
    <s v="VIC"/>
    <s v="Harris Scarfe"/>
    <x v="0"/>
  </r>
  <r>
    <s v="SRG-INJ-3443"/>
    <s v="INC11866"/>
    <m/>
    <s v="No"/>
    <n v="297406"/>
    <s v="PIERCE, CATHRYN"/>
    <d v="1958-03-07T00:00:00"/>
    <d v="2025-03-05T00:00:00"/>
    <d v="1899-12-30T12:45:00"/>
    <s v="Harris Scarfe VIC"/>
    <n v="2029"/>
    <s v="Waurn Ponds (Hs Home)"/>
    <s v="cut finger"/>
    <s v="A customer was wanting to have a look and feel the weight of the knives from a furi knife block set. Cath unlocked the set and opened the box,, they wanted to feel the biggest knife which was in a hard plastic sleeve. to get the knife out of the plastic, Cath needed to twist it out. As Cath handed her the knife she somehow sliced the top of her finger.. Cath then applied pressure with tissues and requested bandaids. I then applied bandaids as requested. Cath then assured me she was ok, and required no further treatment was needed and went back to serving customers."/>
    <s v="Injury"/>
    <m/>
    <s v="No Assessment"/>
    <s v="Closed"/>
    <n v="0"/>
    <b v="0"/>
    <s v="First Aid Injury"/>
    <s v="Laceration or open wound not involving traumatic amputation"/>
    <s v="Hand, finger and thumb"/>
    <s v="Being Hit By Moving Objects"/>
    <s v="Being trapped between stationary and moving objects"/>
    <s v="Human agencies"/>
    <m/>
    <n v="0"/>
    <e v="#N/A"/>
    <e v="#N/A"/>
    <m/>
    <d v="2021-02-22T00:00:00"/>
    <m/>
    <x v="12"/>
    <n v="4"/>
    <x v="0"/>
    <s v="PART TIME"/>
    <n v="20.5"/>
    <n v="67"/>
    <x v="0"/>
    <x v="17"/>
    <s v="Q3, FY25"/>
    <s v="FAIs"/>
    <x v="0"/>
    <x v="0"/>
    <s v="Being Hit By Moving Objects"/>
    <x v="1"/>
    <s v="Harris Scarfe"/>
    <x v="0"/>
    <s v="Store"/>
    <x v="0"/>
    <s v="VIC &amp; NSW"/>
    <s v="Harris Scarfe"/>
    <x v="2"/>
  </r>
  <r>
    <s v="SRG-INJ-3441"/>
    <s v="INC11853"/>
    <m/>
    <s v="No"/>
    <n v="330482"/>
    <s v="HUGHES, HAYLEY"/>
    <d v="1980-01-03T00:00:00"/>
    <d v="2025-03-05T00:00:00"/>
    <d v="1899-12-30T12:05:00"/>
    <s v="Harris Scarfe VIC"/>
    <n v="2059"/>
    <s v="Bairnsdale"/>
    <s v="across bridge of nose"/>
    <s v="Putting a cushion up onto top shelf of gondala behind the A3 acrylic hanging sign. Thought it be safe and i should of taken sign down first but didnt and it dropped off landing on the bridge of my nose before falling to floor"/>
    <s v="Injury"/>
    <m/>
    <s v="No Assessment"/>
    <s v="Closed"/>
    <n v="0"/>
    <b v="0"/>
    <s v="First Aid Injury"/>
    <s v="Contusion, bruising and superficial crushing"/>
    <s v="Nose"/>
    <s v="Being Hit By Moving Objects"/>
    <s v="Being hit by falling objects"/>
    <s v="Human agencies"/>
    <m/>
    <n v="0"/>
    <e v="#N/A"/>
    <e v="#N/A"/>
    <m/>
    <d v="2023-09-25T00:00:00"/>
    <m/>
    <x v="4"/>
    <n v="1"/>
    <x v="0"/>
    <s v="SALARIED"/>
    <n v="38"/>
    <n v="45"/>
    <x v="1"/>
    <x v="17"/>
    <s v="Q3, FY25"/>
    <s v="FAIs"/>
    <x v="0"/>
    <x v="0"/>
    <s v="Being Hit By Moving Objects"/>
    <x v="1"/>
    <s v="Harris Scarfe"/>
    <x v="0"/>
    <s v="Store"/>
    <x v="0"/>
    <s v="VIC"/>
    <s v="Harris Scarfe"/>
    <x v="0"/>
  </r>
  <r>
    <s v="SRG-INJ-3446"/>
    <s v="INC11877"/>
    <m/>
    <s v="No"/>
    <n v="318058"/>
    <s v="EIFFE, TRACEY"/>
    <d v="1969-06-03T00:00:00"/>
    <d v="2025-03-06T00:00:00"/>
    <d v="1899-12-30T14:00:00"/>
    <s v="Harris Scarfe SA"/>
    <n v="1011"/>
    <s v="Marion"/>
    <s v="small cut to the bridge of her nose"/>
    <s v="Tracey was taking some shoes out of the gondola when 5 of the shoe boxes fell towards her and the corner of the box hit her in the face causing a small cut to the bridge of her nose."/>
    <s v="Injury"/>
    <m/>
    <s v="No Assessment"/>
    <s v="Closed"/>
    <n v="0"/>
    <b v="0"/>
    <s v="Not Applicable"/>
    <s v="Laceration or open wound not involving traumatic amputation"/>
    <s v="Nose"/>
    <s v="Being Hit By Moving Objects"/>
    <s v="Being hit by falling objects"/>
    <s v="Human agencies"/>
    <m/>
    <n v="0"/>
    <e v="#N/A"/>
    <e v="#N/A"/>
    <m/>
    <d v="2021-11-01T00:00:00"/>
    <m/>
    <x v="10"/>
    <n v="3"/>
    <x v="0"/>
    <s v="PART TIME"/>
    <n v="35"/>
    <n v="55"/>
    <x v="0"/>
    <x v="17"/>
    <s v="Q3, FY25"/>
    <s v="Incident"/>
    <x v="0"/>
    <x v="0"/>
    <s v="Being Hit By Moving Objects"/>
    <x v="1"/>
    <s v="Harris Scarfe"/>
    <x v="1"/>
    <s v="Store"/>
    <x v="0"/>
    <s v="SA/TAS"/>
    <s v="Harris Scarfe"/>
    <x v="1"/>
  </r>
  <r>
    <s v="SRG-INJ-3445"/>
    <s v="INC11867"/>
    <s v="G749575H"/>
    <s v="No"/>
    <n v="294740"/>
    <s v="LAWSON, NIKKITA"/>
    <d v="2000-12-12T00:00:00"/>
    <d v="2025-03-06T00:00:00"/>
    <d v="1899-12-30T11:35:00"/>
    <s v="Harris Scarfe TAS"/>
    <n v="4043"/>
    <s v="Launceston"/>
    <s v="rolled left ankle"/>
    <s v="Nikkita Lawson was carrying a green basket down the stairs and missed last step and twisted her right ankle"/>
    <s v="Claim"/>
    <s v="Pending Claim"/>
    <s v="Restricted Duties"/>
    <s v="Open"/>
    <n v="0"/>
    <b v="0"/>
    <s v="Lost Time Injury"/>
    <s v="Trauma to muscles and tendons"/>
    <s v="Ankle"/>
    <s v="Falls, Trips and Slips of a Person"/>
    <s v="Falls on the same level"/>
    <s v="Human agencies"/>
    <m/>
    <s v="Open"/>
    <e v="#N/A"/>
    <e v="#N/A"/>
    <m/>
    <d v="2016-04-04T00:00:00"/>
    <m/>
    <x v="9"/>
    <n v="9"/>
    <x v="3"/>
    <s v="PART TIME"/>
    <n v="28"/>
    <n v="24"/>
    <x v="3"/>
    <x v="17"/>
    <s v="Q3, FY25"/>
    <s v="LTIs"/>
    <x v="1"/>
    <x v="1"/>
    <s v="Falls, Trips and Slips of a Person"/>
    <x v="1"/>
    <s v="Harris Scarfe"/>
    <x v="2"/>
    <s v="Store"/>
    <x v="0"/>
    <s v="SA/TAS"/>
    <s v="Harris Scarfe"/>
    <x v="1"/>
  </r>
  <r>
    <s v="SRG-INJ-3449"/>
    <s v="INC11894"/>
    <n v="12240080152"/>
    <s v="No"/>
    <n v="316067"/>
    <s v="PRICE, SAMANTHA"/>
    <d v="1989-10-23T00:00:00"/>
    <d v="2025-03-07T00:00:00"/>
    <d v="1899-12-30T15:10:00"/>
    <s v="Harris Scarfe VIC"/>
    <n v="2016"/>
    <s v="Spencer St"/>
    <s v="Left arm - suddenly felt popping sensation and numb arm."/>
    <s v="Team member Samantha Price hurt herself  While marking down candles. While using markdown gun instantly she felt popping sensation in her left arm. She is feeling pain from index finger up the wrist. She felt like her arm is numb. Katie bandage her arm, I asked her to go home and rest up. See doctor tomorrow if it's painful."/>
    <s v="Claim"/>
    <s v="Pending Claim"/>
    <s v="Restricted Duties"/>
    <s v="Open"/>
    <n v="27"/>
    <b v="0"/>
    <s v="First Aid Injury"/>
    <s v="Diseases of muscle, tendon and related tissue"/>
    <s v="Upper arm"/>
    <s v="Body Stressing"/>
    <s v="Repetitive movement, low muscle loading"/>
    <s v="Human agencies"/>
    <m/>
    <s v="Open"/>
    <e v="#N/A"/>
    <e v="#N/A"/>
    <m/>
    <d v="2023-05-29T00:00:00"/>
    <m/>
    <x v="4"/>
    <n v="1"/>
    <x v="0"/>
    <s v="PART TIME"/>
    <n v="15"/>
    <n v="35"/>
    <x v="4"/>
    <x v="17"/>
    <s v="Q3, FY25"/>
    <s v="FAIs"/>
    <x v="1"/>
    <x v="3"/>
    <s v="Body Stressing"/>
    <x v="1"/>
    <s v="Harris Scarfe"/>
    <x v="0"/>
    <s v="Store"/>
    <x v="0"/>
    <s v="VIC &amp; NSW"/>
    <s v="Harris Scarfe"/>
    <x v="2"/>
  </r>
  <r>
    <s v="SRG-INJ-3452"/>
    <s v="INC11911"/>
    <s v="60428885/00"/>
    <s v="No"/>
    <n v="290398"/>
    <s v="IBRAHIM, CLAUDE"/>
    <d v="1964-12-14T00:00:00"/>
    <d v="2025-03-09T00:00:00"/>
    <d v="1899-12-30T17:05:00"/>
    <s v="Harris Scarfe SA"/>
    <n v="1013"/>
    <s v="Gepps Cross (Hs Home)"/>
    <s v="side, hip, thigh"/>
    <s v="Sunday 9/3/25 - 3.36pm (44 seconds)   Claude  Ibrihim   ( PPT )  staff member, was changing the bed as customer was purchasing quilt on it. Claude was moving around the corner end  of the  bed and tripped over  or misjudged the metal leg of the bed frame  at the end of the bed. Claude fell side ways, putting her hands out to stop her fall on the corner of the bed but still fell. Customer who was waiting with her to get the  quilt helped her to sit up from the laying on her side. Manager made aware by customer I attended, Claude said she felt sick from the shock and the pain and I got her a bowl, she also asked for her water bottle. Manager got a chair for her but Claude said she did not think she could get up. Her right leg was bent underneath her other one. Claude asked if she could call her 2  sons to come and help her as they would need to drive her car home. Claude requested an ambulance be called as she did not want to move . I stayed with Claude until her sons arrived first then when she left in the ambulance at 5pm.  The ambulance people gave her some pain relief and moved her onto board and then  a stretcher with the assistance of her sons and myself.  The ambulance people have informed myself (manager) that they are taking her to a hospital for x rays, They believe it may be a fractured hip., but cannot be certain . Footage viewed on the camera is barely visible, as it is in the top right corner of the screen with only the end of the bed visible, you can make out Claude as a shadow in black tripping over the bed leg as she rounds the corner of it, you can see her reach out and touch the bed before falling to the ground on her side. The camera footage is very blurry and not good quality at all. When zoomed in on that camera the bed is no longer on the screen.  I have attached photo of bed still unmade, normally it is made and the quilt covers over hang the legs and they are not visible ."/>
    <s v="Claim"/>
    <s v="Accepted Claim"/>
    <s v="Unfit"/>
    <s v="Open"/>
    <n v="93"/>
    <b v="0"/>
    <s v="Lost Time Injury"/>
    <s v="Other fractures, not elsewhere classified"/>
    <s v="Hip"/>
    <s v="Falls, Trips and Slips of a Person"/>
    <s v="Falls on the same level"/>
    <s v="Human agencies"/>
    <m/>
    <s v="Open"/>
    <e v="#N/A"/>
    <e v="#N/A"/>
    <m/>
    <d v="2008-07-16T00:00:00"/>
    <m/>
    <x v="21"/>
    <n v="16"/>
    <x v="2"/>
    <s v="PART TIME"/>
    <n v="10"/>
    <n v="60"/>
    <x v="0"/>
    <x v="17"/>
    <s v="Q3, FY25"/>
    <s v="LTIs"/>
    <x v="1"/>
    <x v="1"/>
    <s v="Falls, Trips and Slips of a Person"/>
    <x v="1"/>
    <s v="Harris Scarfe"/>
    <x v="1"/>
    <s v="Store"/>
    <x v="0"/>
    <s v="SA/TAS"/>
    <s v="Harris Scarfe"/>
    <x v="1"/>
  </r>
  <r>
    <s v="SRG-INJ-3451"/>
    <s v="INC11910"/>
    <s v="G749667I"/>
    <s v="No"/>
    <n v="335143"/>
    <s v="WEBBER, KAREN"/>
    <d v="1972-04-25T00:00:00"/>
    <d v="2025-03-09T00:00:00"/>
    <d v="1899-12-30T14:30:00"/>
    <s v="Harris Scarfe TAS"/>
    <n v="4044"/>
    <s v="Devonport"/>
    <s v="right ring finger"/>
    <s v="Moving boxes and burst blood vessel in finger.  Bruised"/>
    <s v="Injury"/>
    <m/>
    <s v="No Assessment"/>
    <s v="Closed"/>
    <n v="0"/>
    <b v="0"/>
    <s v="Not Applicable"/>
    <s v="Contusion, bruising and superficial crushing"/>
    <s v="Hand, finger and thumb"/>
    <s v="Being Hit By Moving Objects"/>
    <s v="Being trapped between stationary and moving objects"/>
    <s v="Human agencies"/>
    <s v="Boxes"/>
    <n v="0"/>
    <e v="#N/A"/>
    <e v="#N/A"/>
    <m/>
    <d v="2024-07-01T00:00:00"/>
    <m/>
    <x v="1"/>
    <n v="0"/>
    <x v="1"/>
    <s v="CASUAL"/>
    <n v="0.01"/>
    <n v="53"/>
    <x v="1"/>
    <x v="17"/>
    <s v="Q3, FY25"/>
    <s v="Incident"/>
    <x v="0"/>
    <x v="0"/>
    <s v="Being Hit By Moving Objects"/>
    <x v="1"/>
    <s v="Harris Scarfe"/>
    <x v="2"/>
    <s v="Store"/>
    <x v="0"/>
    <s v="SA/TAS"/>
    <s v="Harris Scarfe"/>
    <x v="1"/>
  </r>
  <r>
    <s v="SRG-INJ-3462"/>
    <s v="INC11931"/>
    <m/>
    <s v="No"/>
    <n v="294599"/>
    <s v="REINCASTLE, THERESE"/>
    <d v="1965-02-15T00:00:00"/>
    <d v="2025-03-11T00:00:00"/>
    <d v="1899-12-30T17:20:00"/>
    <s v="Harris Scarfe VIC"/>
    <n v="2020"/>
    <s v="Forest Hill"/>
    <s v="twisted ankle as well as twisted wrist needed pain killers to sleep."/>
    <s v="Team member Therese got her foot caught on the click and collect printer cable resulting in her falling onto her side/back and twisting her ankle and wrist. no staff members were near by however there was a customer there that attempted to help her up ( diddnt get customers details)"/>
    <s v="Injury"/>
    <m/>
    <s v="No Assessment"/>
    <s v="Closed"/>
    <n v="0"/>
    <b v="0"/>
    <s v="Not Applicable"/>
    <s v="Trauma to muscles and tendons"/>
    <s v="Ankle"/>
    <s v="Falls, Trips and Slips of a Person"/>
    <s v="Falls on the same level"/>
    <s v="Human agencies"/>
    <m/>
    <n v="0"/>
    <e v="#N/A"/>
    <e v="#N/A"/>
    <m/>
    <d v="2015-11-30T00:00:00"/>
    <m/>
    <x v="17"/>
    <n v="9"/>
    <x v="3"/>
    <s v="PART TIME"/>
    <n v="24.25"/>
    <n v="60"/>
    <x v="0"/>
    <x v="17"/>
    <s v="Q3, FY25"/>
    <s v="Incident"/>
    <x v="0"/>
    <x v="0"/>
    <s v="Falls, Trips and Slips of a Person"/>
    <x v="1"/>
    <s v="Harris Scarfe"/>
    <x v="0"/>
    <s v="Store"/>
    <x v="0"/>
    <s v="VIC"/>
    <s v="Harris Scarfe"/>
    <x v="0"/>
  </r>
  <r>
    <s v="SRG-INJ-3456"/>
    <s v="INC11920"/>
    <m/>
    <s v="No"/>
    <n v="323198"/>
    <s v="STEWART, JAMES"/>
    <d v="1997-04-18T00:00:00"/>
    <d v="2025-03-11T00:00:00"/>
    <d v="1899-12-30T10:50:00"/>
    <s v="Harris Scarfe VIC"/>
    <n v="2048"/>
    <s v="Tarneit"/>
    <s v="right middle finger and index finger"/>
    <s v="Testing a returned steamer, steamer reached hot enough temperature but not hot enough to turn to steam, resulting in steamer to shot hot water out, landing on James Stewarts right hand, resulting in a minor burn."/>
    <s v="Injury"/>
    <m/>
    <s v="No Assessment"/>
    <s v="Closed"/>
    <n v="0"/>
    <b v="0"/>
    <s v="First Aid Injury"/>
    <s v="Hot burn"/>
    <s v="Hand, finger and thumb"/>
    <s v="Heat, Electricity and Other Environmental Factors"/>
    <s v="Contact with hot objects"/>
    <s v="Human agencies"/>
    <m/>
    <n v="0"/>
    <e v="#N/A"/>
    <e v="#N/A"/>
    <m/>
    <d v="2022-06-27T00:00:00"/>
    <m/>
    <x v="0"/>
    <n v="2"/>
    <x v="0"/>
    <s v="PART TIME"/>
    <n v="25"/>
    <n v="28"/>
    <x v="2"/>
    <x v="17"/>
    <s v="Q3, FY25"/>
    <s v="FAIs"/>
    <x v="0"/>
    <x v="0"/>
    <s v="Heat, Electricity and Other Environmental Factors"/>
    <x v="1"/>
    <s v="Harris Scarfe"/>
    <x v="0"/>
    <s v="Store"/>
    <x v="0"/>
    <s v="VIC &amp; NSW"/>
    <s v="Harris Scarfe"/>
    <x v="2"/>
  </r>
  <r>
    <s v="SRG-INJ-3479"/>
    <s v="INC12032"/>
    <m/>
    <s v="No"/>
    <n v="295828"/>
    <s v="HALL, KAITLYN"/>
    <d v="1999-04-15T00:00:00"/>
    <d v="2025-03-19T00:00:00"/>
    <d v="1899-12-30T11:30:00"/>
    <s v="Harris Scarfe VIC"/>
    <n v="2023"/>
    <s v="Epping"/>
    <s v="right fore arm scrape and lump"/>
    <s v="was inserting the shelves on tri set, lost balance while trying to insert shelf. Arm then scraped past and impacted with the screw on the tri set"/>
    <s v="Injury"/>
    <m/>
    <s v="No Assessment"/>
    <s v="Closed"/>
    <n v="0"/>
    <b v="0"/>
    <s v="First Aid Injury"/>
    <s v="Contusion, bruising and superficial crushing"/>
    <s v="Forearm"/>
    <s v="Hitting Objects With a Part of the Body"/>
    <s v="Hitting stationary objects"/>
    <s v="Human agencies"/>
    <m/>
    <n v="0"/>
    <e v="#N/A"/>
    <e v="#N/A"/>
    <m/>
    <d v="2017-12-18T00:00:00"/>
    <m/>
    <x v="8"/>
    <n v="7"/>
    <x v="3"/>
    <s v="SALARIED"/>
    <n v="38"/>
    <n v="26"/>
    <x v="2"/>
    <x v="17"/>
    <s v="Q3, FY25"/>
    <s v="FAIs"/>
    <x v="0"/>
    <x v="0"/>
    <s v="Hitting Objects With a Part of the Body"/>
    <x v="1"/>
    <s v="Harris Scarfe"/>
    <x v="0"/>
    <s v="Store"/>
    <x v="0"/>
    <s v="VIC &amp; NSW"/>
    <s v="Harris Scarfe"/>
    <x v="2"/>
  </r>
  <r>
    <s v="SRG-INJ-3492"/>
    <s v="INC12112"/>
    <s v="G7501595"/>
    <s v="No"/>
    <n v="331215"/>
    <s v="HOWARD, STEPHANIE"/>
    <d v="1985-09-14T00:00:00"/>
    <d v="2025-03-24T00:00:00"/>
    <d v="1899-12-30T12:15:00"/>
    <s v="Harris Scarfe TAS"/>
    <n v="4044"/>
    <s v="Devonport"/>
    <s v="lower back"/>
    <s v="I squatted down to place a toaster on the shelf and felt a grabbing/pulling pain in my lower back"/>
    <s v="Injury"/>
    <m/>
    <s v="No Assessment"/>
    <s v="Closed"/>
    <n v="0"/>
    <b v="0"/>
    <s v="Not Applicable"/>
    <s v="Trauma to muscles and tendons"/>
    <s v="Back-Upper and lower"/>
    <s v="Body Stressing"/>
    <s v="Muscular stress while lifting, carrying, or putting down objects"/>
    <s v="Human agencies"/>
    <m/>
    <n v="0"/>
    <e v="#N/A"/>
    <e v="#N/A"/>
    <m/>
    <d v="2023-10-02T00:00:00"/>
    <m/>
    <x v="4"/>
    <n v="1"/>
    <x v="0"/>
    <s v="PART TIME"/>
    <n v="30"/>
    <n v="39"/>
    <x v="4"/>
    <x v="17"/>
    <s v="Q3, FY25"/>
    <s v="Incident"/>
    <x v="0"/>
    <x v="0"/>
    <s v="Body Stressing"/>
    <x v="1"/>
    <s v="Harris Scarfe"/>
    <x v="2"/>
    <s v="Store"/>
    <x v="0"/>
    <s v="SA/TAS"/>
    <s v="Harris Scarfe"/>
    <x v="1"/>
  </r>
  <r>
    <s v="SRG-INJ-3500"/>
    <s v="INC12149"/>
    <m/>
    <s v="No"/>
    <n v="321779"/>
    <s v="ADAMS, CHRISTINE"/>
    <d v="1963-06-04T00:00:00"/>
    <d v="2025-03-25T00:00:00"/>
    <d v="1899-12-30T11:45:00"/>
    <s v="Harris Scarfe VIC"/>
    <n v="2029"/>
    <s v="Waurn Ponds (Hs Home)"/>
    <s v="left knee"/>
    <s v="While relocating throws onto a back end cap, Chris was adjusting shelf heights to accommodate sizes of throws. One of the shelves was not locked in the notch hole properly, and started to fall. When avoiding the shelf falling on her, Chris tripped and fell onto her knees on the floor. Chris got up and came to inform myself of the incident. I asked if she was ok and did she need any treatment. I said we should fill in a repot, but Chris said her knee was fine and didnt want to do that. I said to Chris to see how she goes and to let me know if her knee gets sore. Later that night i received a messege from her that her knee was a little swollen and sore in the afternoon. I finished for the day at around 1pm, so Chris messeged me after she got home. I called her to see how she was, she explained that her knee had gotten a bit sorer as the afternoon went on and started to swell a little. Got her to take a photo of her knee and send it to me, as she didnt have another shift for the rest of the week. I called her on Wednesday 26/03/2025 to see how her knee was? Said she was going to the doctors friday 28/03/2025 to get it checked out. I will also speak to her today"/>
    <s v="Injury"/>
    <m/>
    <s v="No Assessment"/>
    <s v="Closed"/>
    <n v="0"/>
    <b v="0"/>
    <s v="Not Applicable"/>
    <s v="Contusion, bruising and superficial crushing"/>
    <s v="Knee"/>
    <s v="Being Hit By Moving Objects"/>
    <s v="Being hit by falling objects"/>
    <s v="Human agencies"/>
    <m/>
    <n v="0"/>
    <e v="#N/A"/>
    <e v="#N/A"/>
    <m/>
    <d v="2022-04-04T00:00:00"/>
    <m/>
    <x v="0"/>
    <n v="3"/>
    <x v="0"/>
    <s v="PART TIME"/>
    <n v="21.25"/>
    <n v="61"/>
    <x v="0"/>
    <x v="17"/>
    <s v="Q3, FY25"/>
    <s v="Incident"/>
    <x v="0"/>
    <x v="0"/>
    <s v="Being Hit By Moving Objects"/>
    <x v="1"/>
    <s v="Harris Scarfe"/>
    <x v="0"/>
    <s v="Store"/>
    <x v="0"/>
    <s v="VIC &amp; NSW"/>
    <s v="Harris Scarfe"/>
    <x v="2"/>
  </r>
  <r>
    <s v="SRG-INJ-3502"/>
    <s v="INC12157"/>
    <s v="G7502610"/>
    <s v="No"/>
    <n v="285137"/>
    <s v="MEDLING, JANE"/>
    <d v="1959-01-19T00:00:00"/>
    <d v="2025-03-27T00:00:00"/>
    <d v="1899-12-30T11:40:00"/>
    <s v="Harris Scarfe TAS"/>
    <n v="4045"/>
    <s v="Ulverstone"/>
    <s v="left Knee &amp; ankle &amp;  Left hand"/>
    <s v="Tripped up back stairs and fell on left knee and left hand"/>
    <s v="Injury"/>
    <m/>
    <s v="No Assessment"/>
    <s v="Closed"/>
    <n v="0"/>
    <b v="0"/>
    <s v="First Aid Injury"/>
    <s v="Contusion, bruising and superficial crushing"/>
    <s v="Lower limb - multiple locations"/>
    <s v="Falls, Trips and Slips of a Person"/>
    <s v="Falls on the same level"/>
    <s v="Human agencies"/>
    <m/>
    <n v="0"/>
    <e v="#N/A"/>
    <e v="#N/A"/>
    <m/>
    <d v="2001-05-28T00:00:00"/>
    <m/>
    <x v="22"/>
    <n v="23"/>
    <x v="4"/>
    <s v="PART TIME"/>
    <n v="28.25"/>
    <n v="66"/>
    <x v="0"/>
    <x v="17"/>
    <s v="Q3, FY25"/>
    <s v="FAIs"/>
    <x v="0"/>
    <x v="0"/>
    <s v="Falls, Trips and Slips of a Person"/>
    <x v="1"/>
    <s v="Harris Scarfe"/>
    <x v="2"/>
    <s v="Store"/>
    <x v="0"/>
    <s v="SA/TAS"/>
    <s v="Harris Scarfe"/>
    <x v="1"/>
  </r>
  <r>
    <s v="SRG-INJ-3507"/>
    <s v="INC12175"/>
    <m/>
    <s v="No"/>
    <n v="321544"/>
    <s v="HOULT, PETER"/>
    <d v="1969-11-15T00:00:00"/>
    <d v="2025-03-28T00:00:00"/>
    <d v="1899-12-30T11:45:00"/>
    <s v="Harris Scarfe VIC"/>
    <n v="2028"/>
    <s v="Cranbourne Park"/>
    <s v="right hand knuckle at base of pointer finger"/>
    <s v="Peter said he slipped and fell into Lancom safe and smashed his fist into the glass screen and broke it. However on viewing of the CCTV footage I can see that he actually punched the safe screen in frustration.He has a swollen and bruised knuckle. I will be having a formal discussion next week with Peter regarding this incident"/>
    <s v="Injury"/>
    <m/>
    <s v="No Assessment"/>
    <s v="Open"/>
    <n v="0"/>
    <b v="0"/>
    <s v="Not Applicable"/>
    <s v="Laceration or open wound not involving traumatic amputation"/>
    <s v="Hand, finger and thumb"/>
    <s v="Hitting Objects With a Part of the Body"/>
    <s v="Hitting stationary objects"/>
    <s v="Human agencies"/>
    <m/>
    <n v="0"/>
    <e v="#N/A"/>
    <e v="#N/A"/>
    <m/>
    <d v="2022-03-21T00:00:00"/>
    <m/>
    <x v="10"/>
    <n v="3"/>
    <x v="0"/>
    <s v="PART TIME"/>
    <n v="20.75"/>
    <n v="55"/>
    <x v="0"/>
    <x v="17"/>
    <s v="Q3, FY25"/>
    <s v="Incident"/>
    <x v="0"/>
    <x v="0"/>
    <s v="Hitting Objects With a Part of the Body"/>
    <x v="1"/>
    <s v="Harris Scarfe"/>
    <x v="0"/>
    <s v="Store"/>
    <x v="0"/>
    <s v="VIC"/>
    <s v="Harris Scarfe"/>
    <x v="0"/>
  </r>
  <r>
    <s v="SRG-INJ-3517"/>
    <s v="INC12252"/>
    <m/>
    <s v="No"/>
    <n v="330972"/>
    <s v="TURPIN, AIMEE"/>
    <d v="2005-05-24T00:00:00"/>
    <d v="2025-03-29T00:00:00"/>
    <d v="1899-12-30T10:18:00"/>
    <s v="Harris Scarfe SA"/>
    <n v="1005"/>
    <s v="Elizabeth"/>
    <s v="Face and chest area"/>
    <s v="At 1.15pm Saturday 29/3/2025 Aimee Turpin while performing her role  as Register team member experienced verbal and physical abuse by a male Customer regarding a price check. Male customer during the interaction spat at the team member."/>
    <s v="Injury"/>
    <m/>
    <s v="No Assessment"/>
    <s v="Open"/>
    <n v="0"/>
    <b v="0"/>
    <s v="Not Applicable"/>
    <s v="Contusion, bruising and superficial crushing"/>
    <s v="Trunk - multiple locations"/>
    <s v="Being Hit By Moving Objects"/>
    <s v="Being assaulted by a person or persons"/>
    <s v="Human agencies"/>
    <m/>
    <n v="0"/>
    <e v="#N/A"/>
    <e v="#N/A"/>
    <m/>
    <d v="2023-09-18T00:00:00"/>
    <m/>
    <x v="4"/>
    <n v="1"/>
    <x v="0"/>
    <s v="CASUAL"/>
    <n v="0.01"/>
    <n v="19"/>
    <x v="5"/>
    <x v="17"/>
    <s v="Q3, FY25"/>
    <s v="Incident"/>
    <x v="0"/>
    <x v="0"/>
    <s v="Being Hit By Moving Objects"/>
    <x v="1"/>
    <s v="Harris Scarfe"/>
    <x v="1"/>
    <s v="Store"/>
    <x v="0"/>
    <s v="SA/TAS"/>
    <s v="Harris Scarfe"/>
    <x v="1"/>
  </r>
  <r>
    <s v="SRG-INJ-3509"/>
    <s v="INC12200"/>
    <m/>
    <s v="No"/>
    <n v="297118"/>
    <s v="HARTIGAN, CORY"/>
    <d v="1972-03-04T00:00:00"/>
    <d v="2025-03-29T00:00:00"/>
    <d v="1899-12-30T15:35:00"/>
    <s v="Harris Scarfe VIC"/>
    <n v="2028"/>
    <s v="Cranbourne Park"/>
    <s v="top of my head towards front RHS"/>
    <s v="I unlocked the magnet for the set of knives took 1 knife down for the customer as I handed it to him, 4 more from the top row fell on to my head."/>
    <s v="Injury"/>
    <m/>
    <s v="No Assessment"/>
    <s v="Closed"/>
    <n v="0"/>
    <b v="0"/>
    <s v="Not Applicable"/>
    <s v="Contusion, bruising and superficial crushing"/>
    <s v="Head - unspecified locations"/>
    <s v="Hitting Objects With a Part of the Body"/>
    <s v="Hitting stationary objects"/>
    <s v="Human agencies"/>
    <m/>
    <n v="0"/>
    <e v="#N/A"/>
    <e v="#N/A"/>
    <m/>
    <d v="2020-10-26T00:00:00"/>
    <m/>
    <x v="12"/>
    <n v="4"/>
    <x v="0"/>
    <s v="SALARIED"/>
    <n v="38"/>
    <n v="53"/>
    <x v="1"/>
    <x v="17"/>
    <s v="Q3, FY25"/>
    <s v="Incident"/>
    <x v="0"/>
    <x v="0"/>
    <s v="Hitting Objects With a Part of the Body"/>
    <x v="1"/>
    <s v="Harris Scarfe"/>
    <x v="0"/>
    <s v="Store"/>
    <x v="0"/>
    <s v="VIC"/>
    <s v="Harris Scarfe"/>
    <x v="0"/>
  </r>
  <r>
    <s v="SRG-INJ-3511"/>
    <s v="INC12213"/>
    <m/>
    <s v="No"/>
    <n v="327413"/>
    <s v="TURNER, GEORGIA"/>
    <d v="2003-09-01T00:00:00"/>
    <d v="2025-03-30T00:00:00"/>
    <d v="1899-12-30T14:30:00"/>
    <s v="Harris Scarfe VIC"/>
    <n v="2033"/>
    <s v="Eastland"/>
    <s v="right side of face"/>
    <s v="Team member was on the shop floor in mens wear where a customer had knocked over a mannequin, herself and co working were putting it back together when the torso feel lose and hit her on the left side of her face, (from under check bone to above eyebrow. Ice pack was applied immediately as swelling and redness appeared straight away."/>
    <s v="Injury"/>
    <m/>
    <s v="No Assessment"/>
    <s v="Closed"/>
    <n v="0"/>
    <b v="0"/>
    <s v="First Aid Injury"/>
    <s v="Contusion, bruising and superficial crushing"/>
    <s v="Face, not elsewhere classified"/>
    <s v="Being Hit By Moving Objects"/>
    <s v="Being hit by falling objects"/>
    <s v="Human agencies"/>
    <m/>
    <n v="0"/>
    <e v="#N/A"/>
    <e v="#N/A"/>
    <m/>
    <d v="2022-12-19T00:00:00"/>
    <m/>
    <x v="0"/>
    <n v="2"/>
    <x v="0"/>
    <s v="PART TIME"/>
    <n v="30.5"/>
    <n v="21"/>
    <x v="3"/>
    <x v="17"/>
    <s v="Q3, FY25"/>
    <s v="FAIs"/>
    <x v="0"/>
    <x v="0"/>
    <s v="Being Hit By Moving Objects"/>
    <x v="1"/>
    <s v="Harris Scarfe"/>
    <x v="0"/>
    <s v="Store"/>
    <x v="0"/>
    <s v="VIC"/>
    <s v="Harris Scarfe"/>
    <x v="0"/>
  </r>
  <r>
    <s v="SRG-INJ-3523"/>
    <s v="INC12271"/>
    <s v="G7504348"/>
    <s v="No"/>
    <n v="254339"/>
    <s v="HOW, BEVERLEY"/>
    <d v="1955-11-27T00:00:00"/>
    <d v="2025-03-31T00:00:00"/>
    <d v="1899-12-30T13:30:00"/>
    <s v="Harris Scarfe TAS"/>
    <n v="4045"/>
    <s v="Ulverstone"/>
    <s v="Right shoulder, pulled muscle"/>
    <s v="I was working with Sharon on a relay in loose cookware, adjusting shelves and adding an extra one. After leaving work at 4:15 pm, I began experiencing worsening twinges in my right shoulder. I used a heat pack and took anti-inflammatories and painkil"/>
    <s v="Injury"/>
    <m/>
    <s v="No Assessment"/>
    <s v="Closed"/>
    <n v="0"/>
    <b v="0"/>
    <s v="Not Applicable"/>
    <s v="Trauma to muscles and tendons"/>
    <s v="Shoulder"/>
    <s v="Body Stressing"/>
    <s v="Muscular stress while lifting, carrying, or putting down objects"/>
    <s v="Human agencies"/>
    <m/>
    <n v="0"/>
    <e v="#N/A"/>
    <e v="#N/A"/>
    <m/>
    <d v="1994-07-18T00:00:00"/>
    <m/>
    <x v="29"/>
    <n v="30"/>
    <x v="6"/>
    <s v="SALARIED"/>
    <n v="38"/>
    <n v="69"/>
    <x v="0"/>
    <x v="18"/>
    <s v="Q4, FY25"/>
    <s v="Incident"/>
    <x v="0"/>
    <x v="0"/>
    <s v="Body Stressing"/>
    <x v="1"/>
    <s v="Harris Scarfe"/>
    <x v="2"/>
    <s v="Store"/>
    <x v="0"/>
    <s v="SA/TAS"/>
    <s v="Harris Scarfe"/>
    <x v="1"/>
  </r>
  <r>
    <s v="SRG-INJ-3528"/>
    <s v="INC12301"/>
    <n v="12240083557"/>
    <s v="No"/>
    <n v="297419"/>
    <s v="WICKENS, NICOLE"/>
    <d v="1983-10-22T00:00:00"/>
    <d v="2025-04-01T00:00:00"/>
    <d v="1899-12-30T13:14:00"/>
    <s v="Harris Scarfe VIC"/>
    <n v="2029"/>
    <s v="Waurn Ponds (Hs Home)"/>
    <s v="right bicep tenderness"/>
    <s v="Nicole Wickens was reaching up to get a 30l airfryer oven off the shelf. Because of the size and weight of the box it is awkward to lift. While lifting it down Nikki had pain in her right bicep. As a result Nikkis right bicep is sore and tender when extending her arm"/>
    <s v="Claim"/>
    <s v="Pending Claim"/>
    <s v="Unfit"/>
    <s v="Open"/>
    <n v="20"/>
    <b v="0"/>
    <s v="Medical Treatment Injury"/>
    <s v="Trauma to muscles and tendons"/>
    <s v="Hand, finger and thumb"/>
    <s v="Body Stressing"/>
    <s v="Muscular stress while lifting, carrying, or putting down objects"/>
    <s v="Human agencies"/>
    <s v="Boxes"/>
    <s v="Open"/>
    <e v="#N/A"/>
    <e v="#N/A"/>
    <m/>
    <d v="2021-03-22T00:00:00"/>
    <m/>
    <x v="12"/>
    <n v="4"/>
    <x v="0"/>
    <s v="SALARIED"/>
    <n v="38"/>
    <n v="41"/>
    <x v="4"/>
    <x v="18"/>
    <s v="Q4, FY25"/>
    <s v="MTIs"/>
    <x v="1"/>
    <x v="3"/>
    <s v="Body Stressing"/>
    <x v="1"/>
    <s v="Harris Scarfe"/>
    <x v="0"/>
    <s v="Store"/>
    <x v="0"/>
    <s v="VIC &amp; NSW"/>
    <s v="Harris Scarfe"/>
    <x v="2"/>
  </r>
  <r>
    <s v="SRG-INJ-3558"/>
    <s v="INC12418"/>
    <n v="7902273"/>
    <s v="No"/>
    <n v="331467"/>
    <s v="RIMJHIM, RIMJHIM"/>
    <d v="2003-07-08T00:00:00"/>
    <d v="2025-04-11T00:00:00"/>
    <d v="1899-12-30T14:00:00"/>
    <s v="Harris Scarfe NSW"/>
    <n v="5053"/>
    <s v="Shellharbour (Hs Home)"/>
    <s v="Right knee"/>
    <s v="Rimjhim was merchandising loose cookware when she bent down to pick up a frypan from the second to bottom shelf when she felt her right knee cap move out of place. She felt intense pain and collapsed to the floor where she says she blacked out for a moment and then called for help using the headset."/>
    <s v="Claim"/>
    <s v="Pending Claim"/>
    <s v="Restricted Duties"/>
    <s v="Open"/>
    <n v="0"/>
    <b v="0"/>
    <s v="Medical Treatment Injury"/>
    <s v="Trauma to muscles and tendons"/>
    <s v="Knee"/>
    <s v="Body Stressing"/>
    <s v="Muscular stress while lifting, carrying, or putting down objects"/>
    <s v="Human agencies"/>
    <m/>
    <s v="Open"/>
    <e v="#N/A"/>
    <e v="#N/A"/>
    <m/>
    <d v="2023-10-09T00:00:00"/>
    <m/>
    <x v="4"/>
    <n v="1"/>
    <x v="0"/>
    <s v="PART TIME"/>
    <n v="22.75"/>
    <n v="21"/>
    <x v="3"/>
    <x v="18"/>
    <s v="Q4, FY25"/>
    <s v="MTIs"/>
    <x v="1"/>
    <x v="3"/>
    <s v="Body Stressing"/>
    <x v="1"/>
    <s v="Harris Scarfe"/>
    <x v="4"/>
    <s v="Store"/>
    <x v="0"/>
    <s v="NSW/ACT"/>
    <s v="Harris Scarfe"/>
    <x v="4"/>
  </r>
  <r>
    <s v="SRG-INJ-3559"/>
    <s v="INC12421"/>
    <m/>
    <s v="No"/>
    <n v="325628"/>
    <s v="LEA, CATHERINE"/>
    <d v="1964-09-12T00:00:00"/>
    <d v="2025-04-12T00:00:00"/>
    <d v="1899-12-30T09:55:00"/>
    <s v="Harris Scarfe SA"/>
    <n v="1005"/>
    <s v="Elizabeth"/>
    <s v="Right knee hit the ground and caused pain slight swelling and slight bruising"/>
    <s v="Catherine was kneeling on the floor and went to get up and stumbled and feel back on to her knee"/>
    <s v="Injury"/>
    <m/>
    <s v="No Assessment"/>
    <s v="Closed"/>
    <n v="0"/>
    <b v="0"/>
    <s v="First Aid Injury"/>
    <s v="Contusion, bruising and superficial crushing"/>
    <s v="Knee"/>
    <s v="Body Stressing"/>
    <s v="Muscular stress while lifting, carrying, or putting down objects"/>
    <s v="Human agencies"/>
    <m/>
    <n v="0"/>
    <e v="#N/A"/>
    <e v="#N/A"/>
    <m/>
    <d v="2022-10-24T00:00:00"/>
    <m/>
    <x v="0"/>
    <n v="2"/>
    <x v="0"/>
    <s v="CASUAL"/>
    <n v="0.01"/>
    <n v="60"/>
    <x v="0"/>
    <x v="18"/>
    <s v="Q4, FY25"/>
    <s v="FAIs"/>
    <x v="0"/>
    <x v="0"/>
    <s v="Body Stressing"/>
    <x v="1"/>
    <s v="Harris Scarfe"/>
    <x v="1"/>
    <s v="Store"/>
    <x v="0"/>
    <s v="SA/TAS"/>
    <s v="Harris Scarfe"/>
    <x v="1"/>
  </r>
  <r>
    <s v="SRG-INJ-3583"/>
    <s v="INC12472"/>
    <m/>
    <s v="No"/>
    <n v="330730"/>
    <s v="CARTER, JULIA"/>
    <d v="1963-07-03T00:00:00"/>
    <d v="2025-04-14T00:00:00"/>
    <d v="1899-12-30T17:42:00"/>
    <s v="Harris Scarfe QLD"/>
    <n v="9087"/>
    <s v="Loganholme"/>
    <s v="cut to left arm, cut and severe bruising to right arm, bruising to left and right shins"/>
    <s v="Julia Carter was walking to clock off and was carrying a bread board. walking through the kettle section walked around the corner to the gadget wall and tripped over the safety step that was in the walkway falling into the gadget wall and onto the floor. injuries to both forearms and shins. As she was in the store alone for closing she administered first aid to herself with ice packs. Then attended a doctors clinic to have the injuries seen to. The doctor advised rest and a two day sick note was provided. The safety step has now been located to a more secure location to avoid any further injuries."/>
    <s v="Injury"/>
    <m/>
    <s v="No Assessment"/>
    <s v="Open"/>
    <n v="2"/>
    <b v="0"/>
    <s v="Lost Time Injury"/>
    <s v="Contusion, bruising and superficial crushing"/>
    <s v="Other specified multiple locations"/>
    <s v="Falls, Trips and Slips of a Person"/>
    <s v="Falls on the same level"/>
    <s v="Human agencies"/>
    <m/>
    <n v="0"/>
    <e v="#N/A"/>
    <e v="#N/A"/>
    <m/>
    <d v="2023-09-04T00:00:00"/>
    <m/>
    <x v="4"/>
    <n v="1"/>
    <x v="0"/>
    <s v="SALARIED"/>
    <n v="38"/>
    <n v="61"/>
    <x v="0"/>
    <x v="18"/>
    <s v="Q4, FY25"/>
    <s v="LTIs"/>
    <x v="0"/>
    <x v="0"/>
    <s v="Falls, Trips and Slips of a Person"/>
    <x v="1"/>
    <s v="Harris Scarfe"/>
    <x v="3"/>
    <s v="Store"/>
    <x v="0"/>
    <s v="QLD"/>
    <s v="Harris Scarfe"/>
    <x v="3"/>
  </r>
  <r>
    <s v="SRG-INJ-3572"/>
    <s v="INC12513"/>
    <m/>
    <s v="No"/>
    <n v="334932"/>
    <s v="DINGWALL, SAMANTHA"/>
    <d v="1978-08-18T00:00:00"/>
    <d v="2025-04-16T00:00:00"/>
    <d v="1899-12-30T17:25:00"/>
    <s v="Harris Scarfe VIC"/>
    <n v="2026"/>
    <s v="Shepparton"/>
    <s v="right wrist"/>
    <s v="Samantha was leaving the register area to close the door. As she attempted to step out, she tripped on a power cord from the fan next to the register and fell onto her hands and knees. Judy asked if she was ok. She laughed and said yes. They continued on to close the register  together."/>
    <s v="Injury"/>
    <s v="Pending Claim"/>
    <s v="Unfit"/>
    <s v="Open"/>
    <n v="20"/>
    <b v="0"/>
    <s v="Medical Treatment Injury"/>
    <s v="Trauma to joints and ligaments"/>
    <s v="Wrist"/>
    <s v="Falls, Trips and Slips of a Person"/>
    <s v="Falls on the same level"/>
    <s v="Human agencies"/>
    <m/>
    <n v="0"/>
    <e v="#N/A"/>
    <e v="#N/A"/>
    <m/>
    <d v="2024-06-17T00:00:00"/>
    <m/>
    <x v="1"/>
    <n v="0"/>
    <x v="1"/>
    <s v="CASUAL"/>
    <n v="0.01"/>
    <n v="46"/>
    <x v="1"/>
    <x v="18"/>
    <s v="Q4, FY25"/>
    <s v="MTIs"/>
    <x v="0"/>
    <x v="0"/>
    <s v="Falls, Trips and Slips of a Person"/>
    <x v="1"/>
    <s v="Harris Scarfe"/>
    <x v="0"/>
    <s v="Store"/>
    <x v="0"/>
    <s v="VIC &amp; NSW"/>
    <s v="Harris Scarfe"/>
    <x v="2"/>
  </r>
  <r>
    <s v="SRG-INJ-3575"/>
    <s v="INC12526"/>
    <m/>
    <s v="No"/>
    <n v="297493"/>
    <s v="KIFF, JACOB"/>
    <d v="2003-01-30T00:00:00"/>
    <d v="2025-04-17T00:00:00"/>
    <d v="1899-12-30T10:00:00"/>
    <s v="Harris Scarfe NSW"/>
    <n v="6078"/>
    <s v="Ulladulla"/>
    <s v="bruising/bump"/>
    <s v="Jacob kiff was scanning for stocktake. He was scanning down low and stood up and banged his head on a fixture shelf.  Refused first aid."/>
    <s v="Injury"/>
    <m/>
    <s v="No Assessment"/>
    <s v="Closed"/>
    <n v="0"/>
    <b v="0"/>
    <s v="Not Applicable"/>
    <s v="Contusion, bruising and superficial crushing"/>
    <s v="Cranium"/>
    <s v="Hitting Objects With a Part of the Body"/>
    <s v="Hitting stationary objects"/>
    <s v="Human agencies"/>
    <m/>
    <n v="0"/>
    <e v="#N/A"/>
    <e v="#N/A"/>
    <m/>
    <d v="2021-06-07T00:00:00"/>
    <m/>
    <x v="10"/>
    <n v="3"/>
    <x v="0"/>
    <s v="CASUAL"/>
    <n v="0.01"/>
    <n v="22"/>
    <x v="3"/>
    <x v="18"/>
    <s v="Q4, FY25"/>
    <s v="Incident"/>
    <x v="0"/>
    <x v="0"/>
    <s v="Hitting Objects With a Part of the Body"/>
    <x v="1"/>
    <s v="Harris Scarfe"/>
    <x v="4"/>
    <s v="Store"/>
    <x v="0"/>
    <s v="NSW/ACT"/>
    <s v="Harris Scarfe"/>
    <x v="4"/>
  </r>
  <r>
    <s v="SRG-INJ-3590"/>
    <s v="INC12608"/>
    <m/>
    <s v="No"/>
    <n v="319955"/>
    <s v="SCHEER, GEORGIA"/>
    <d v="2006-09-16T00:00:00"/>
    <d v="2025-04-24T00:00:00"/>
    <d v="1899-12-30T13:35:00"/>
    <s v="Harris Scarfe VIC"/>
    <n v="2020"/>
    <s v="Forest Hill"/>
    <s v="Bruising to upper arm"/>
    <s v="Georgia was assisting a customer and his wife  who had entered the store at 12:58pm and had been browsing the ladies wear area for quite some time.   Georgia was searching for some pants the male had been inquiring about his wife was either non verbal or did not speak English but was verbalizing something towards the husband who was brushing off his wife.   The wife got more dis regulated with the husband and at this point pinched Georgia on the left upper arm aggressively.  The husband did apologize but laughed it off, saying he would come back another time with their daughter.   Georgia left the area in a state of shock, and the incident was reported to the manager on duty Tyler.   Meanwhile the customers left the store the  wife can be seen on camera still agitated."/>
    <s v="Injury"/>
    <m/>
    <s v="No Assessment"/>
    <s v="Closed"/>
    <n v="0"/>
    <b v="0"/>
    <s v="Not Applicable"/>
    <s v="Contusion, bruising and superficial crushing"/>
    <s v="Upper arm"/>
    <s v="Being Hit By Moving Objects"/>
    <s v="Being assaulted by a person or persons"/>
    <s v="Human agencies"/>
    <m/>
    <n v="0"/>
    <e v="#N/A"/>
    <e v="#N/A"/>
    <m/>
    <d v="2021-12-06T00:00:00"/>
    <m/>
    <x v="10"/>
    <n v="3"/>
    <x v="0"/>
    <s v="CASUAL"/>
    <n v="0.01"/>
    <n v="18"/>
    <x v="5"/>
    <x v="18"/>
    <s v="Q4, FY25"/>
    <s v="Incident"/>
    <x v="0"/>
    <x v="0"/>
    <s v="Being Hit By Moving Objects"/>
    <x v="1"/>
    <s v="Harris Scarfe"/>
    <x v="0"/>
    <s v="Store"/>
    <x v="0"/>
    <s v="VIC"/>
    <s v="Harris Scarfe"/>
    <x v="0"/>
  </r>
  <r>
    <s v="SRG-INJ-3592"/>
    <s v="INC12631"/>
    <m/>
    <s v="No"/>
    <n v="322470"/>
    <s v="SMITH, EMILY"/>
    <d v="2004-08-28T00:00:00"/>
    <d v="2025-04-26T00:00:00"/>
    <d v="1899-12-30T08:00:00"/>
    <s v="Harris Scarfe TAS"/>
    <n v="4042"/>
    <s v="Cambridge"/>
    <s v="Right Hip"/>
    <s v="Emily reported and injury/incident on 04.01.2025 INC11004. Without any Medical follow up required at the time. Report only. Since the start of April Emily has had pain come back in the same spot in her hip from this injury.  At the time of pain coming back it was only in her hip when walking but a few days later Emily is experiencing a shooting pain in her right shin and into her foot. This has progressively gotten worse and at times a struggle for her to walk with out discomfort. Emily is now also from walking to compensate the pain in her hip is having some swelling/pain in her right knee. After rest she seems to be ok of a morning, after a few hours of working/walking it becomes painful and therefore affecting the way she walks. Emily was unable to attend work on 26/4 due to this."/>
    <s v="Injury"/>
    <m/>
    <s v="No Assessment"/>
    <s v="Open"/>
    <n v="0"/>
    <b v="0"/>
    <s v="Not Applicable"/>
    <s v="Trauma to muscles and tendons"/>
    <s v="Hip"/>
    <s v="Vehicle Incidents and Other"/>
    <s v="Unspecified mechanisms of incident"/>
    <s v="Human agencies"/>
    <m/>
    <n v="0"/>
    <e v="#N/A"/>
    <e v="#N/A"/>
    <m/>
    <d v="2022-05-16T00:00:00"/>
    <m/>
    <x v="0"/>
    <n v="3"/>
    <x v="0"/>
    <s v="PART TIME"/>
    <n v="30"/>
    <n v="20"/>
    <x v="3"/>
    <x v="18"/>
    <s v="Q4, FY25"/>
    <s v="Incident"/>
    <x v="0"/>
    <x v="0"/>
    <s v="Vehicle Incidents and Other"/>
    <x v="1"/>
    <s v="Harris Scarfe"/>
    <x v="2"/>
    <s v="Store"/>
    <x v="0"/>
    <s v="SA/TAS"/>
    <s v="Harris Scarfe"/>
    <x v="1"/>
  </r>
  <r>
    <s v="SRG-INJ-3593"/>
    <s v="INC12637"/>
    <m/>
    <s v="No"/>
    <n v="337411"/>
    <s v="KENDALL, CHARLOTTE"/>
    <d v="2007-01-26T00:00:00"/>
    <d v="2025-04-27T00:00:00"/>
    <d v="1899-12-30T12:08:00"/>
    <s v="Harris Scarfe QLD"/>
    <n v="9095"/>
    <s v="Chermside"/>
    <s v="Rolled left ankle"/>
    <s v="Charlotte was putting stock back and when she bent over she lost balance and rolled her ankle."/>
    <s v="Injury"/>
    <m/>
    <s v="Restricted Duties"/>
    <s v="Open"/>
    <n v="0"/>
    <b v="0"/>
    <s v="Medical Treatment Injury"/>
    <s v="Trauma to muscles and tendons"/>
    <s v="Ankle"/>
    <s v="Falls, Trips and Slips of a Person"/>
    <s v="Falls on the same level"/>
    <s v="Human agencies"/>
    <m/>
    <n v="0"/>
    <e v="#N/A"/>
    <e v="#N/A"/>
    <m/>
    <d v="2024-10-25T00:00:00"/>
    <m/>
    <x v="1"/>
    <n v="0"/>
    <x v="1"/>
    <s v="CASUAL"/>
    <n v="0.01"/>
    <n v="18"/>
    <x v="5"/>
    <x v="18"/>
    <s v="Q4, FY25"/>
    <s v="MTIs"/>
    <x v="0"/>
    <x v="0"/>
    <s v="Falls, Trips and Slips of a Person"/>
    <x v="1"/>
    <s v="Harris Scarfe"/>
    <x v="3"/>
    <s v="Store"/>
    <x v="0"/>
    <s v="QLD"/>
    <s v="Harris Scarfe"/>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07E713-5D67-4F24-A6E2-B33A49EF2EA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2" firstHeaderRow="1" firstDataRow="1" firstDataCol="1"/>
  <pivotFields count="54">
    <pivotField showAll="0"/>
    <pivotField showAll="0"/>
    <pivotField showAll="0"/>
    <pivotField showAll="0"/>
    <pivotField showAll="0"/>
    <pivotField showAll="0"/>
    <pivotField numFmtId="14" showAll="0"/>
    <pivotField numFmtId="15" showAll="0"/>
    <pivotField numFmtId="1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showAll="0">
      <items count="9">
        <item x="1"/>
        <item x="0"/>
        <item x="3"/>
        <item x="5"/>
        <item x="2"/>
        <item x="4"/>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5"/>
  </rowFields>
  <rowItems count="9">
    <i>
      <x/>
    </i>
    <i>
      <x v="1"/>
    </i>
    <i>
      <x v="2"/>
    </i>
    <i>
      <x v="3"/>
    </i>
    <i>
      <x v="4"/>
    </i>
    <i>
      <x v="5"/>
    </i>
    <i>
      <x v="6"/>
    </i>
    <i>
      <x v="7"/>
    </i>
    <i t="grand">
      <x/>
    </i>
  </rowItems>
  <colItems count="1">
    <i/>
  </colItems>
  <dataFields count="1">
    <dataField name="Count of Grouping Level 2" fld="5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6744A4-77CC-40C8-A26C-9D9A09006E5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32" firstHeaderRow="1" firstDataRow="1" firstDataCol="1" rowPageCount="1" colPageCount="1"/>
  <pivotFields count="54">
    <pivotField showAll="0"/>
    <pivotField showAll="0"/>
    <pivotField showAll="0"/>
    <pivotField showAll="0"/>
    <pivotField showAll="0"/>
    <pivotField showAll="0"/>
    <pivotField numFmtId="14" showAll="0"/>
    <pivotField numFmtId="15" showAll="0"/>
    <pivotField numFmtId="1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axis="axisRow" dataField="1" showAll="0">
      <items count="7">
        <item x="5"/>
        <item x="3"/>
        <item x="2"/>
        <item x="4"/>
        <item x="1"/>
        <item x="0"/>
        <item t="default"/>
      </items>
    </pivotField>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axis="axisRow" showAll="0">
      <items count="6">
        <item x="4"/>
        <item x="3"/>
        <item x="1"/>
        <item x="0"/>
        <item x="2"/>
        <item t="default"/>
      </items>
    </pivotField>
  </pivotFields>
  <rowFields count="2">
    <field x="53"/>
    <field x="39"/>
  </rowFields>
  <rowItems count="29">
    <i>
      <x/>
    </i>
    <i r="1">
      <x v="1"/>
    </i>
    <i r="1">
      <x v="2"/>
    </i>
    <i r="1">
      <x v="3"/>
    </i>
    <i r="1">
      <x v="4"/>
    </i>
    <i>
      <x v="1"/>
    </i>
    <i r="1">
      <x v="1"/>
    </i>
    <i r="1">
      <x v="2"/>
    </i>
    <i r="1">
      <x v="3"/>
    </i>
    <i r="1">
      <x v="4"/>
    </i>
    <i r="1">
      <x v="5"/>
    </i>
    <i>
      <x v="2"/>
    </i>
    <i r="1">
      <x v="1"/>
    </i>
    <i r="1">
      <x v="2"/>
    </i>
    <i r="1">
      <x v="3"/>
    </i>
    <i r="1">
      <x v="4"/>
    </i>
    <i r="1">
      <x v="5"/>
    </i>
    <i>
      <x v="3"/>
    </i>
    <i r="1">
      <x v="1"/>
    </i>
    <i r="1">
      <x v="2"/>
    </i>
    <i r="1">
      <x v="3"/>
    </i>
    <i r="1">
      <x v="4"/>
    </i>
    <i r="1">
      <x v="5"/>
    </i>
    <i>
      <x v="4"/>
    </i>
    <i r="1">
      <x v="2"/>
    </i>
    <i r="1">
      <x v="3"/>
    </i>
    <i r="1">
      <x v="4"/>
    </i>
    <i r="1">
      <x v="5"/>
    </i>
    <i t="grand">
      <x/>
    </i>
  </rowItems>
  <colItems count="1">
    <i/>
  </colItems>
  <pageFields count="1">
    <pageField fld="43" hier="-1"/>
  </pageFields>
  <dataFields count="1">
    <dataField name="Count of Age Bracket" fld="3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05D4D9-E7DA-46D5-A21A-6CB5B1D4367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9" firstHeaderRow="1" firstDataRow="1" firstDataCol="1"/>
  <pivotFields count="54">
    <pivotField showAll="0"/>
    <pivotField showAll="0"/>
    <pivotField showAll="0"/>
    <pivotField showAll="0"/>
    <pivotField showAll="0"/>
    <pivotField showAll="0"/>
    <pivotField numFmtId="14" showAll="0"/>
    <pivotField numFmtId="15" showAll="0"/>
    <pivotField numFmtId="1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axis="axisRow" showAll="0">
      <items count="7">
        <item x="5"/>
        <item x="3"/>
        <item x="2"/>
        <item x="4"/>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4"/>
        <item x="3"/>
        <item x="1"/>
        <item x="0"/>
        <item x="2"/>
        <item t="default"/>
      </items>
    </pivotField>
  </pivotFields>
  <rowFields count="2">
    <field x="53"/>
    <field x="39"/>
  </rowFields>
  <rowItems count="36">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x v="4"/>
    </i>
    <i r="1">
      <x/>
    </i>
    <i r="1">
      <x v="1"/>
    </i>
    <i r="1">
      <x v="2"/>
    </i>
    <i r="1">
      <x v="3"/>
    </i>
    <i r="1">
      <x v="4"/>
    </i>
    <i r="1">
      <x v="5"/>
    </i>
    <i t="grand">
      <x/>
    </i>
  </rowItems>
  <colItems count="1">
    <i/>
  </colItems>
  <dataFields count="1">
    <dataField name="Count of Grouping Level 2" fld="5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1CEFC3-7B1D-4D29-97B8-DC47FA3ED7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E23" firstHeaderRow="1" firstDataRow="1" firstDataCol="1" rowPageCount="1" colPageCount="1"/>
  <pivotFields count="54">
    <pivotField showAll="0"/>
    <pivotField showAll="0"/>
    <pivotField showAll="0"/>
    <pivotField showAll="0"/>
    <pivotField showAll="0"/>
    <pivotField showAll="0"/>
    <pivotField numFmtId="14" showAll="0"/>
    <pivotField numFmtId="15" showAll="0"/>
    <pivotField numFmtId="1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axis="axisRow" showAll="0">
      <items count="31">
        <item x="1"/>
        <item x="4"/>
        <item x="0"/>
        <item x="10"/>
        <item x="12"/>
        <item x="19"/>
        <item x="5"/>
        <item x="8"/>
        <item x="9"/>
        <item x="17"/>
        <item x="11"/>
        <item x="16"/>
        <item x="18"/>
        <item x="7"/>
        <item x="25"/>
        <item x="13"/>
        <item x="21"/>
        <item x="2"/>
        <item x="27"/>
        <item x="3"/>
        <item x="28"/>
        <item x="22"/>
        <item x="6"/>
        <item x="15"/>
        <item x="24"/>
        <item x="14"/>
        <item x="29"/>
        <item x="20"/>
        <item x="26"/>
        <item x="23"/>
        <item t="default"/>
      </items>
    </pivotField>
    <pivotField showAll="0"/>
    <pivotField axis="axisPage" multipleItemSelectionAllowed="1" showAll="0">
      <items count="9">
        <item h="1" x="1"/>
        <item x="0"/>
        <item h="1" x="3"/>
        <item h="1" x="5"/>
        <item h="1" x="2"/>
        <item h="1" x="4"/>
        <item h="1" x="6"/>
        <item h="1"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3"/>
  </rowFields>
  <rowItems count="6">
    <i>
      <x v="1"/>
    </i>
    <i>
      <x v="2"/>
    </i>
    <i>
      <x v="3"/>
    </i>
    <i>
      <x v="4"/>
    </i>
    <i>
      <x v="5"/>
    </i>
    <i t="grand">
      <x/>
    </i>
  </rowItems>
  <colItems count="1">
    <i/>
  </colItems>
  <pageFields count="1">
    <pageField fld="35" hier="-1"/>
  </pageFields>
  <dataFields count="1">
    <dataField name="Count of Grouping Level 2" fld="5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F41D4A-67F7-489D-A400-A90CDAA397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U8" firstHeaderRow="1" firstDataRow="2" firstDataCol="1" rowPageCount="1" colPageCount="1"/>
  <pivotFields count="54">
    <pivotField showAll="0"/>
    <pivotField showAll="0"/>
    <pivotField showAll="0"/>
    <pivotField showAll="0"/>
    <pivotField showAll="0"/>
    <pivotField showAll="0"/>
    <pivotField numFmtId="14" showAll="0"/>
    <pivotField numFmtId="15" showAll="0"/>
    <pivotField numFmtId="1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4" showAll="0"/>
    <pivotField showAll="0"/>
    <pivotField showAll="0"/>
    <pivotField showAll="0"/>
    <pivotField showAll="0"/>
    <pivotField showAll="0"/>
    <pivotField showAll="0"/>
    <pivotField showAll="0"/>
    <pivotField axis="axisCol" showAll="0">
      <items count="7">
        <item x="3"/>
        <item x="2"/>
        <item x="4"/>
        <item x="1"/>
        <item x="5"/>
        <item x="0"/>
        <item t="default"/>
      </items>
    </pivotField>
    <pivotField showAll="0"/>
    <pivotField showAll="0"/>
    <pivotField showAll="0"/>
    <pivotField axis="axisPage" multipleItemSelectionAllowed="1" showAll="0">
      <items count="3">
        <item h="1" x="0"/>
        <item x="1"/>
        <item t="default"/>
      </items>
    </pivotField>
    <pivotField axis="axisRow" showAll="0">
      <items count="7">
        <item x="1"/>
        <item h="1" x="2"/>
        <item x="4"/>
        <item h="1" x="5"/>
        <item x="3"/>
        <item h="1" x="0"/>
        <item t="default"/>
      </items>
    </pivotField>
    <pivotField showAll="0"/>
    <pivotField showAll="0"/>
    <pivotField showAll="0"/>
    <pivotField showAll="0"/>
    <pivotField showAll="0"/>
    <pivotField showAll="0"/>
    <pivotField showAll="0"/>
    <pivotField showAll="0"/>
    <pivotField showAll="0"/>
  </pivotFields>
  <rowFields count="1">
    <field x="44"/>
  </rowFields>
  <rowItems count="4">
    <i>
      <x/>
    </i>
    <i>
      <x v="2"/>
    </i>
    <i>
      <x v="4"/>
    </i>
    <i t="grand">
      <x/>
    </i>
  </rowItems>
  <colFields count="1">
    <field x="39"/>
  </colFields>
  <colItems count="6">
    <i>
      <x/>
    </i>
    <i>
      <x v="1"/>
    </i>
    <i>
      <x v="2"/>
    </i>
    <i>
      <x v="3"/>
    </i>
    <i>
      <x v="5"/>
    </i>
    <i t="grand">
      <x/>
    </i>
  </colItems>
  <pageFields count="1">
    <pageField fld="43" hier="-1"/>
  </pageFields>
  <dataFields count="1">
    <dataField name="Count of Incidents Correlation NWR_TMJ" fld="3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4AA733-B7B2-48DC-B30D-196A48F329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7:I43" firstHeaderRow="1" firstDataRow="1" firstDataCol="1" rowPageCount="2" colPageCount="1"/>
  <pivotFields count="54">
    <pivotField showAll="0"/>
    <pivotField showAll="0"/>
    <pivotField showAll="0"/>
    <pivotField showAll="0"/>
    <pivotField showAll="0"/>
    <pivotField showAll="0"/>
    <pivotField numFmtId="14" showAll="0"/>
    <pivotField numFmtId="15" showAll="0"/>
    <pivotField numFmtId="1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axis="axisRow" showAll="0">
      <items count="31">
        <item x="1"/>
        <item x="4"/>
        <item x="0"/>
        <item x="10"/>
        <item x="12"/>
        <item x="19"/>
        <item x="5"/>
        <item x="8"/>
        <item x="9"/>
        <item x="17"/>
        <item x="11"/>
        <item x="16"/>
        <item x="18"/>
        <item x="7"/>
        <item x="25"/>
        <item x="13"/>
        <item x="21"/>
        <item x="2"/>
        <item x="27"/>
        <item x="3"/>
        <item x="28"/>
        <item x="22"/>
        <item x="6"/>
        <item x="15"/>
        <item x="24"/>
        <item x="14"/>
        <item x="29"/>
        <item x="20"/>
        <item x="26"/>
        <item x="23"/>
        <item t="default"/>
      </items>
    </pivotField>
    <pivotField showAll="0"/>
    <pivotField axis="axisPage" multipleItemSelectionAllowed="1" showAll="0">
      <items count="9">
        <item h="1" x="1"/>
        <item x="0"/>
        <item h="1" x="3"/>
        <item h="1" x="5"/>
        <item h="1" x="2"/>
        <item h="1" x="4"/>
        <item h="1" x="6"/>
        <item h="1" x="7"/>
        <item t="default"/>
      </items>
    </pivotField>
    <pivotField showAll="0"/>
    <pivotField showAll="0"/>
    <pivotField showAll="0"/>
    <pivotField showAll="0"/>
    <pivotField showAll="0"/>
    <pivotField showAll="0"/>
    <pivotField showAll="0"/>
    <pivotField axis="axisPage" dataField="1"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3"/>
  </rowFields>
  <rowItems count="6">
    <i>
      <x v="1"/>
    </i>
    <i>
      <x v="2"/>
    </i>
    <i>
      <x v="3"/>
    </i>
    <i>
      <x v="4"/>
    </i>
    <i>
      <x v="5"/>
    </i>
    <i t="grand">
      <x/>
    </i>
  </rowItems>
  <colItems count="1">
    <i/>
  </colItems>
  <pageFields count="2">
    <pageField fld="35" hier="-1"/>
    <pageField fld="43" hier="-1"/>
  </pageFields>
  <dataFields count="1">
    <dataField name="Count of Claim" fld="4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8A0BD7-4768-4DC1-A7CD-63C3E77A72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10" firstHeaderRow="1" firstDataRow="1" firstDataCol="1" rowPageCount="1" colPageCount="1"/>
  <pivotFields count="54">
    <pivotField showAll="0"/>
    <pivotField showAll="0"/>
    <pivotField showAll="0"/>
    <pivotField showAll="0"/>
    <pivotField showAll="0"/>
    <pivotField showAll="0"/>
    <pivotField numFmtId="14" showAll="0"/>
    <pivotField numFmtId="15" showAll="0"/>
    <pivotField numFmtId="1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showAll="0">
      <items count="9">
        <item x="1"/>
        <item x="0"/>
        <item x="3"/>
        <item x="5"/>
        <item x="2"/>
        <item x="4"/>
        <item x="6"/>
        <item x="7"/>
        <item t="default"/>
      </items>
    </pivotField>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5"/>
  </rowFields>
  <rowItems count="7">
    <i>
      <x/>
    </i>
    <i>
      <x v="1"/>
    </i>
    <i>
      <x v="2"/>
    </i>
    <i>
      <x v="3"/>
    </i>
    <i>
      <x v="4"/>
    </i>
    <i>
      <x v="6"/>
    </i>
    <i t="grand">
      <x/>
    </i>
  </rowItems>
  <colItems count="1">
    <i/>
  </colItems>
  <pageFields count="1">
    <pageField fld="43" hier="-1"/>
  </pageFields>
  <dataFields count="1">
    <dataField name="Count of Grouping Level 2" fld="5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BFA52-3406-4D62-84A8-009465845B12}">
  <dimension ref="A1:H328"/>
  <sheetViews>
    <sheetView workbookViewId="0">
      <selection activeCell="J27" sqref="J27"/>
    </sheetView>
  </sheetViews>
  <sheetFormatPr defaultColWidth="11.28515625" defaultRowHeight="15" x14ac:dyDescent="0.25"/>
  <cols>
    <col min="1" max="1" width="30.140625" style="42" bestFit="1" customWidth="1"/>
    <col min="2" max="2" width="11.28515625" style="42"/>
    <col min="3" max="3" width="25.7109375" style="42" bestFit="1" customWidth="1"/>
    <col min="4" max="4" width="17" style="42" customWidth="1"/>
    <col min="5" max="5" width="15.7109375" style="42" customWidth="1"/>
    <col min="6" max="6" width="64.28515625" style="42" customWidth="1"/>
    <col min="7" max="7" width="7.28515625" style="42" customWidth="1"/>
    <col min="8" max="8" width="19.42578125" style="42" customWidth="1"/>
    <col min="9" max="16384" width="11.28515625" style="42"/>
  </cols>
  <sheetData>
    <row r="1" spans="1:8" x14ac:dyDescent="0.25">
      <c r="A1" s="42" t="s">
        <v>4</v>
      </c>
      <c r="B1" s="42" t="s">
        <v>8</v>
      </c>
      <c r="C1" s="42" t="s">
        <v>4</v>
      </c>
      <c r="D1" s="43" t="s">
        <v>9245</v>
      </c>
      <c r="E1" s="45" t="s">
        <v>9630</v>
      </c>
      <c r="F1" s="45" t="s">
        <v>18</v>
      </c>
      <c r="G1" s="44" t="s">
        <v>28</v>
      </c>
      <c r="H1" s="44" t="s">
        <v>29</v>
      </c>
    </row>
    <row r="2" spans="1:8" x14ac:dyDescent="0.25">
      <c r="A2" s="42" t="s">
        <v>934</v>
      </c>
      <c r="B2" s="42">
        <v>2032</v>
      </c>
      <c r="C2" s="42" t="s">
        <v>929</v>
      </c>
      <c r="D2" s="43">
        <v>2</v>
      </c>
      <c r="E2" s="42" t="s">
        <v>9632</v>
      </c>
      <c r="F2" s="42" t="s">
        <v>89</v>
      </c>
      <c r="G2" s="44" t="s">
        <v>9140</v>
      </c>
      <c r="H2" s="44"/>
    </row>
    <row r="3" spans="1:8" x14ac:dyDescent="0.25">
      <c r="A3" s="42" t="s">
        <v>86</v>
      </c>
      <c r="B3" s="42">
        <v>1005</v>
      </c>
      <c r="C3" s="42" t="s">
        <v>43</v>
      </c>
      <c r="D3" s="43">
        <v>0</v>
      </c>
      <c r="E3" s="42" t="s">
        <v>9632</v>
      </c>
      <c r="F3" s="42" t="s">
        <v>89</v>
      </c>
      <c r="G3" s="44" t="s">
        <v>9140</v>
      </c>
      <c r="H3" s="44"/>
    </row>
    <row r="4" spans="1:8" x14ac:dyDescent="0.25">
      <c r="A4" s="42" t="s">
        <v>1360</v>
      </c>
      <c r="B4" s="42">
        <v>4045</v>
      </c>
      <c r="C4" s="42" t="s">
        <v>1329</v>
      </c>
      <c r="D4" s="43">
        <v>17</v>
      </c>
      <c r="E4" s="42" t="s">
        <v>9631</v>
      </c>
      <c r="F4" s="42" t="s">
        <v>89</v>
      </c>
      <c r="G4" s="44" t="s">
        <v>9140</v>
      </c>
      <c r="H4" s="44"/>
    </row>
    <row r="5" spans="1:8" x14ac:dyDescent="0.25">
      <c r="A5" s="42" t="s">
        <v>1226</v>
      </c>
      <c r="B5" s="42">
        <v>4043</v>
      </c>
      <c r="C5" s="42" t="s">
        <v>1200</v>
      </c>
      <c r="D5" s="43">
        <v>2</v>
      </c>
      <c r="E5" s="42" t="s">
        <v>9632</v>
      </c>
      <c r="F5" s="42" t="s">
        <v>50</v>
      </c>
      <c r="G5" s="44" t="s">
        <v>9140</v>
      </c>
      <c r="H5" s="44"/>
    </row>
    <row r="6" spans="1:8" x14ac:dyDescent="0.25">
      <c r="A6" s="42" t="s">
        <v>1319</v>
      </c>
      <c r="B6" s="42">
        <v>4044</v>
      </c>
      <c r="C6" s="42" t="s">
        <v>1285</v>
      </c>
      <c r="D6" s="43">
        <v>0</v>
      </c>
      <c r="E6" s="42" t="s">
        <v>9633</v>
      </c>
      <c r="F6" s="42" t="s">
        <v>70</v>
      </c>
      <c r="G6" s="44" t="s">
        <v>9140</v>
      </c>
      <c r="H6" s="44"/>
    </row>
    <row r="7" spans="1:8" x14ac:dyDescent="0.25">
      <c r="A7" s="42" t="s">
        <v>653</v>
      </c>
      <c r="B7" s="42">
        <v>2023</v>
      </c>
      <c r="C7" s="42" t="s">
        <v>615</v>
      </c>
      <c r="D7" s="43">
        <v>20</v>
      </c>
      <c r="E7" s="42" t="s">
        <v>9632</v>
      </c>
      <c r="F7" s="42" t="s">
        <v>89</v>
      </c>
      <c r="G7" s="44" t="s">
        <v>9140</v>
      </c>
      <c r="H7" s="44"/>
    </row>
    <row r="8" spans="1:8" x14ac:dyDescent="0.25">
      <c r="A8" s="42" t="s">
        <v>553</v>
      </c>
      <c r="B8" s="42">
        <v>2020</v>
      </c>
      <c r="C8" s="42" t="s">
        <v>538</v>
      </c>
      <c r="D8" s="43">
        <v>2</v>
      </c>
      <c r="E8" s="42" t="s">
        <v>9633</v>
      </c>
      <c r="F8" s="42" t="s">
        <v>70</v>
      </c>
      <c r="G8" s="44" t="s">
        <v>28</v>
      </c>
      <c r="H8" s="44" t="s">
        <v>183</v>
      </c>
    </row>
    <row r="9" spans="1:8" x14ac:dyDescent="0.25">
      <c r="A9" s="42" t="s">
        <v>820</v>
      </c>
      <c r="B9" s="42">
        <v>2028</v>
      </c>
      <c r="C9" s="42" t="s">
        <v>804</v>
      </c>
      <c r="D9" s="43">
        <v>2</v>
      </c>
      <c r="E9" s="42" t="s">
        <v>9632</v>
      </c>
      <c r="F9" s="42" t="s">
        <v>89</v>
      </c>
      <c r="G9" s="44" t="s">
        <v>9140</v>
      </c>
      <c r="H9" s="44"/>
    </row>
    <row r="10" spans="1:8" x14ac:dyDescent="0.25">
      <c r="A10" s="42" t="s">
        <v>1774</v>
      </c>
      <c r="B10" s="42">
        <v>9095</v>
      </c>
      <c r="C10" s="42" t="s">
        <v>1742</v>
      </c>
      <c r="D10" s="43">
        <v>1</v>
      </c>
      <c r="E10" s="42" t="s">
        <v>9632</v>
      </c>
      <c r="F10" s="42" t="s">
        <v>89</v>
      </c>
      <c r="G10" s="44" t="s">
        <v>28</v>
      </c>
      <c r="H10" s="44" t="s">
        <v>183</v>
      </c>
    </row>
    <row r="11" spans="1:8" x14ac:dyDescent="0.25">
      <c r="A11" s="42" t="s">
        <v>76</v>
      </c>
      <c r="B11" s="42">
        <v>1005</v>
      </c>
      <c r="C11" s="42" t="s">
        <v>43</v>
      </c>
      <c r="D11" s="43">
        <v>0</v>
      </c>
      <c r="E11" s="42" t="s">
        <v>9633</v>
      </c>
      <c r="F11" s="42" t="s">
        <v>79</v>
      </c>
      <c r="G11" s="44" t="s">
        <v>9140</v>
      </c>
      <c r="H11" s="44"/>
    </row>
    <row r="12" spans="1:8" x14ac:dyDescent="0.25">
      <c r="A12" s="42" t="s">
        <v>1785</v>
      </c>
      <c r="B12" s="42">
        <v>9095</v>
      </c>
      <c r="C12" s="42" t="s">
        <v>1742</v>
      </c>
      <c r="D12" s="43">
        <v>6</v>
      </c>
      <c r="E12" s="42" t="s">
        <v>9632</v>
      </c>
      <c r="F12" s="42" t="s">
        <v>89</v>
      </c>
      <c r="G12" s="44" t="s">
        <v>28</v>
      </c>
      <c r="H12" s="44" t="s">
        <v>183</v>
      </c>
    </row>
    <row r="13" spans="1:8" x14ac:dyDescent="0.25">
      <c r="A13" s="42" t="s">
        <v>290</v>
      </c>
      <c r="B13" s="42">
        <v>1011</v>
      </c>
      <c r="C13" s="42" t="s">
        <v>215</v>
      </c>
      <c r="D13" s="43">
        <v>24</v>
      </c>
      <c r="E13" s="42" t="s">
        <v>9632</v>
      </c>
      <c r="F13" s="42" t="s">
        <v>89</v>
      </c>
      <c r="G13" s="44" t="s">
        <v>9140</v>
      </c>
      <c r="H13" s="44"/>
    </row>
    <row r="14" spans="1:8" x14ac:dyDescent="0.25">
      <c r="A14" s="42" t="s">
        <v>1585</v>
      </c>
      <c r="B14" s="42">
        <v>6071</v>
      </c>
      <c r="C14" s="42" t="s">
        <v>1586</v>
      </c>
      <c r="D14" s="43">
        <v>1</v>
      </c>
      <c r="E14" s="42" t="s">
        <v>9631</v>
      </c>
      <c r="F14" s="42" t="s">
        <v>89</v>
      </c>
      <c r="G14" s="44" t="s">
        <v>9140</v>
      </c>
      <c r="H14" s="44"/>
    </row>
    <row r="15" spans="1:8" x14ac:dyDescent="0.25">
      <c r="A15" s="42" t="s">
        <v>153</v>
      </c>
      <c r="B15" s="42">
        <v>1006</v>
      </c>
      <c r="C15" s="42" t="s">
        <v>94</v>
      </c>
      <c r="D15" s="43">
        <v>13</v>
      </c>
      <c r="E15" s="42" t="s">
        <v>9632</v>
      </c>
      <c r="F15" s="42" t="s">
        <v>89</v>
      </c>
      <c r="G15" s="44" t="s">
        <v>28</v>
      </c>
      <c r="H15" s="44" t="s">
        <v>147</v>
      </c>
    </row>
    <row r="16" spans="1:8" x14ac:dyDescent="0.25">
      <c r="A16" s="42" t="s">
        <v>1926</v>
      </c>
      <c r="B16" s="42">
        <v>9098</v>
      </c>
      <c r="C16" s="42" t="s">
        <v>1896</v>
      </c>
      <c r="D16" s="43">
        <v>0</v>
      </c>
      <c r="E16" s="42" t="s">
        <v>9631</v>
      </c>
      <c r="F16" s="42" t="s">
        <v>89</v>
      </c>
      <c r="G16" s="44" t="s">
        <v>9140</v>
      </c>
      <c r="H16" s="44"/>
    </row>
    <row r="17" spans="1:8" x14ac:dyDescent="0.25">
      <c r="A17" s="42" t="s">
        <v>1199</v>
      </c>
      <c r="B17" s="42">
        <v>4043</v>
      </c>
      <c r="C17" s="42" t="s">
        <v>1200</v>
      </c>
      <c r="D17" s="43">
        <v>7</v>
      </c>
      <c r="E17" s="42" t="s">
        <v>9632</v>
      </c>
      <c r="F17" s="42" t="s">
        <v>70</v>
      </c>
      <c r="G17" s="44" t="s">
        <v>9140</v>
      </c>
      <c r="H17" s="44"/>
    </row>
    <row r="18" spans="1:8" x14ac:dyDescent="0.25">
      <c r="A18" s="42" t="s">
        <v>1031</v>
      </c>
      <c r="B18" s="42">
        <v>2042</v>
      </c>
      <c r="C18" s="42" t="s">
        <v>1015</v>
      </c>
      <c r="D18" s="43">
        <v>2</v>
      </c>
      <c r="E18" s="42" t="s">
        <v>9631</v>
      </c>
      <c r="F18" s="42" t="s">
        <v>70</v>
      </c>
      <c r="G18" s="44" t="s">
        <v>9140</v>
      </c>
      <c r="H18" s="44"/>
    </row>
    <row r="19" spans="1:8" x14ac:dyDescent="0.25">
      <c r="A19" s="42" t="s">
        <v>221</v>
      </c>
      <c r="B19" s="42">
        <v>1011</v>
      </c>
      <c r="C19" s="42" t="s">
        <v>215</v>
      </c>
      <c r="D19" s="43">
        <v>8</v>
      </c>
      <c r="E19" s="42" t="s">
        <v>9631</v>
      </c>
      <c r="F19" s="42" t="s">
        <v>89</v>
      </c>
      <c r="G19" s="44" t="s">
        <v>9140</v>
      </c>
      <c r="H19" s="44"/>
    </row>
    <row r="20" spans="1:8" x14ac:dyDescent="0.25">
      <c r="A20" s="42" t="s">
        <v>558</v>
      </c>
      <c r="B20" s="42">
        <v>2021</v>
      </c>
      <c r="C20" s="42" t="s">
        <v>559</v>
      </c>
      <c r="D20" s="43">
        <v>6</v>
      </c>
      <c r="E20" s="42" t="s">
        <v>9631</v>
      </c>
      <c r="F20" s="42" t="s">
        <v>89</v>
      </c>
      <c r="G20" s="44" t="s">
        <v>9140</v>
      </c>
      <c r="H20" s="44"/>
    </row>
    <row r="21" spans="1:8" x14ac:dyDescent="0.25">
      <c r="A21" s="42" t="s">
        <v>639</v>
      </c>
      <c r="B21" s="42">
        <v>2023</v>
      </c>
      <c r="C21" s="42" t="s">
        <v>615</v>
      </c>
      <c r="D21" s="43">
        <v>2</v>
      </c>
      <c r="E21" s="42" t="s">
        <v>9631</v>
      </c>
      <c r="F21" s="42" t="s">
        <v>89</v>
      </c>
      <c r="G21" s="44" t="s">
        <v>9140</v>
      </c>
      <c r="H21" s="44"/>
    </row>
    <row r="22" spans="1:8" x14ac:dyDescent="0.25">
      <c r="A22" s="42" t="s">
        <v>746</v>
      </c>
      <c r="B22" s="42">
        <v>2025</v>
      </c>
      <c r="C22" s="42" t="s">
        <v>701</v>
      </c>
      <c r="D22" s="43">
        <v>3</v>
      </c>
      <c r="E22" s="42" t="s">
        <v>9633</v>
      </c>
      <c r="F22" s="42" t="s">
        <v>89</v>
      </c>
      <c r="G22" s="44" t="s">
        <v>9140</v>
      </c>
      <c r="H22" s="44"/>
    </row>
    <row r="23" spans="1:8" x14ac:dyDescent="0.25">
      <c r="A23" s="42" t="s">
        <v>1354</v>
      </c>
      <c r="B23" s="42">
        <v>4045</v>
      </c>
      <c r="C23" s="42" t="s">
        <v>1329</v>
      </c>
      <c r="D23" s="43">
        <v>1</v>
      </c>
      <c r="E23" s="42" t="s">
        <v>9633</v>
      </c>
      <c r="F23" s="42" t="s">
        <v>1357</v>
      </c>
      <c r="G23" s="44" t="s">
        <v>9140</v>
      </c>
      <c r="H23" s="44"/>
    </row>
    <row r="24" spans="1:8" x14ac:dyDescent="0.25">
      <c r="A24" s="42" t="s">
        <v>734</v>
      </c>
      <c r="B24" s="42">
        <v>2025</v>
      </c>
      <c r="C24" s="42" t="s">
        <v>701</v>
      </c>
      <c r="D24" s="43">
        <v>1</v>
      </c>
      <c r="E24" s="42" t="s">
        <v>9631</v>
      </c>
      <c r="F24" s="42" t="s">
        <v>89</v>
      </c>
      <c r="G24" s="44" t="s">
        <v>9140</v>
      </c>
      <c r="H24" s="44"/>
    </row>
    <row r="25" spans="1:8" x14ac:dyDescent="0.25">
      <c r="A25" s="42" t="s">
        <v>512</v>
      </c>
      <c r="B25" s="42">
        <v>2019</v>
      </c>
      <c r="C25" s="42" t="s">
        <v>513</v>
      </c>
      <c r="D25" s="43">
        <v>0</v>
      </c>
      <c r="E25" s="42" t="s">
        <v>9632</v>
      </c>
      <c r="F25" s="42" t="s">
        <v>266</v>
      </c>
      <c r="G25" s="44" t="s">
        <v>28</v>
      </c>
      <c r="H25" s="44" t="s">
        <v>478</v>
      </c>
    </row>
    <row r="26" spans="1:8" x14ac:dyDescent="0.25">
      <c r="A26" s="42" t="s">
        <v>681</v>
      </c>
      <c r="B26" s="42">
        <v>2024</v>
      </c>
      <c r="C26" s="42" t="s">
        <v>664</v>
      </c>
      <c r="D26" s="43">
        <v>0</v>
      </c>
      <c r="E26" s="42" t="s">
        <v>9633</v>
      </c>
      <c r="G26" s="44" t="s">
        <v>9140</v>
      </c>
      <c r="H26" s="44"/>
    </row>
    <row r="27" spans="1:8" x14ac:dyDescent="0.25">
      <c r="A27" s="42" t="s">
        <v>295</v>
      </c>
      <c r="B27" s="42">
        <v>1011</v>
      </c>
      <c r="C27" s="42" t="s">
        <v>215</v>
      </c>
      <c r="D27" s="43">
        <v>10</v>
      </c>
      <c r="E27" s="42" t="s">
        <v>9632</v>
      </c>
      <c r="F27" s="42" t="s">
        <v>70</v>
      </c>
      <c r="G27" s="44" t="s">
        <v>9140</v>
      </c>
      <c r="H27" s="44"/>
    </row>
    <row r="28" spans="1:8" x14ac:dyDescent="0.25">
      <c r="A28" s="42" t="s">
        <v>870</v>
      </c>
      <c r="B28" s="42">
        <v>2029</v>
      </c>
      <c r="C28" s="42" t="s">
        <v>845</v>
      </c>
      <c r="D28" s="43">
        <v>0</v>
      </c>
      <c r="E28" s="42" t="s">
        <v>9632</v>
      </c>
      <c r="F28" s="42" t="s">
        <v>70</v>
      </c>
      <c r="G28" s="44" t="s">
        <v>9140</v>
      </c>
      <c r="H28" s="44"/>
    </row>
    <row r="29" spans="1:8" x14ac:dyDescent="0.25">
      <c r="A29" s="42" t="s">
        <v>1569</v>
      </c>
      <c r="B29" s="42">
        <v>6068</v>
      </c>
      <c r="C29" s="42" t="s">
        <v>1537</v>
      </c>
      <c r="D29" s="43">
        <v>0</v>
      </c>
      <c r="E29" s="42" t="s">
        <v>9633</v>
      </c>
      <c r="F29" s="42" t="s">
        <v>70</v>
      </c>
      <c r="G29" s="44" t="s">
        <v>9140</v>
      </c>
      <c r="H29" s="44"/>
    </row>
    <row r="30" spans="1:8" x14ac:dyDescent="0.25">
      <c r="A30" s="42" t="s">
        <v>353</v>
      </c>
      <c r="B30" s="42">
        <v>1011</v>
      </c>
      <c r="C30" s="42" t="s">
        <v>215</v>
      </c>
      <c r="D30" s="43">
        <v>2</v>
      </c>
      <c r="E30" s="42" t="s">
        <v>9633</v>
      </c>
      <c r="F30" s="42" t="s">
        <v>70</v>
      </c>
      <c r="G30" s="44" t="s">
        <v>9140</v>
      </c>
      <c r="H30" s="44"/>
    </row>
    <row r="31" spans="1:8" x14ac:dyDescent="0.25">
      <c r="A31" s="42" t="s">
        <v>788</v>
      </c>
      <c r="B31" s="42">
        <v>2026</v>
      </c>
      <c r="C31" s="42" t="s">
        <v>756</v>
      </c>
      <c r="D31" s="43">
        <v>1</v>
      </c>
      <c r="E31" s="42" t="s">
        <v>9633</v>
      </c>
      <c r="F31" s="42" t="s">
        <v>89</v>
      </c>
      <c r="G31" s="44" t="s">
        <v>9140</v>
      </c>
      <c r="H31" s="44"/>
    </row>
    <row r="32" spans="1:8" x14ac:dyDescent="0.25">
      <c r="A32" s="42" t="s">
        <v>850</v>
      </c>
      <c r="B32" s="42">
        <v>2029</v>
      </c>
      <c r="C32" s="42" t="s">
        <v>845</v>
      </c>
      <c r="D32" s="43">
        <v>1</v>
      </c>
      <c r="E32" s="42" t="s">
        <v>9632</v>
      </c>
      <c r="F32" s="42" t="s">
        <v>70</v>
      </c>
      <c r="G32" s="44" t="s">
        <v>9140</v>
      </c>
      <c r="H32" s="44"/>
    </row>
    <row r="33" spans="1:8" x14ac:dyDescent="0.25">
      <c r="A33" s="42" t="s">
        <v>1564</v>
      </c>
      <c r="B33" s="42">
        <v>6068</v>
      </c>
      <c r="C33" s="42" t="s">
        <v>1537</v>
      </c>
      <c r="D33" s="43">
        <v>4</v>
      </c>
      <c r="E33" s="42" t="s">
        <v>9632</v>
      </c>
      <c r="F33" s="42" t="s">
        <v>89</v>
      </c>
      <c r="G33" s="44" t="s">
        <v>9140</v>
      </c>
      <c r="H33" s="44"/>
    </row>
    <row r="34" spans="1:8" x14ac:dyDescent="0.25">
      <c r="A34" s="42" t="s">
        <v>67</v>
      </c>
      <c r="B34" s="42">
        <v>1005</v>
      </c>
      <c r="C34" s="42" t="s">
        <v>43</v>
      </c>
      <c r="D34" s="43">
        <v>3</v>
      </c>
      <c r="E34" s="42" t="s">
        <v>9633</v>
      </c>
      <c r="F34" s="42" t="s">
        <v>70</v>
      </c>
      <c r="G34" s="44" t="s">
        <v>9140</v>
      </c>
      <c r="H34" s="44"/>
    </row>
    <row r="35" spans="1:8" x14ac:dyDescent="0.25">
      <c r="A35" s="42" t="s">
        <v>1349</v>
      </c>
      <c r="B35" s="42">
        <v>4045</v>
      </c>
      <c r="C35" s="42" t="s">
        <v>1329</v>
      </c>
      <c r="D35" s="43">
        <v>2</v>
      </c>
      <c r="E35" s="42" t="s">
        <v>9632</v>
      </c>
      <c r="F35" s="42" t="s">
        <v>266</v>
      </c>
      <c r="G35" s="44" t="s">
        <v>9140</v>
      </c>
      <c r="H35" s="44"/>
    </row>
    <row r="36" spans="1:8" x14ac:dyDescent="0.25">
      <c r="A36" s="42" t="s">
        <v>1617</v>
      </c>
      <c r="B36" s="42">
        <v>6071</v>
      </c>
      <c r="C36" s="42" t="s">
        <v>1586</v>
      </c>
      <c r="D36" s="43">
        <v>1</v>
      </c>
      <c r="E36" s="42" t="s">
        <v>9632</v>
      </c>
      <c r="F36" s="42" t="s">
        <v>89</v>
      </c>
      <c r="G36" s="44" t="s">
        <v>9140</v>
      </c>
      <c r="H36" s="44"/>
    </row>
    <row r="37" spans="1:8" x14ac:dyDescent="0.25">
      <c r="A37" s="42" t="s">
        <v>1821</v>
      </c>
      <c r="B37" s="42">
        <v>9095</v>
      </c>
      <c r="C37" s="42" t="s">
        <v>1742</v>
      </c>
      <c r="D37" s="43">
        <v>4</v>
      </c>
      <c r="E37" s="42" t="s">
        <v>9631</v>
      </c>
      <c r="F37" s="42" t="s">
        <v>89</v>
      </c>
      <c r="G37" s="44" t="s">
        <v>28</v>
      </c>
      <c r="H37" s="44" t="s">
        <v>183</v>
      </c>
    </row>
    <row r="38" spans="1:8" x14ac:dyDescent="0.25">
      <c r="A38" s="42" t="s">
        <v>207</v>
      </c>
      <c r="B38" s="42">
        <v>1010</v>
      </c>
      <c r="C38" s="42" t="s">
        <v>208</v>
      </c>
      <c r="D38" s="43">
        <v>2</v>
      </c>
      <c r="E38" s="42" t="s">
        <v>9632</v>
      </c>
      <c r="F38" s="42" t="s">
        <v>70</v>
      </c>
      <c r="G38" s="44" t="s">
        <v>9140</v>
      </c>
      <c r="H38" s="44"/>
    </row>
    <row r="39" spans="1:8" x14ac:dyDescent="0.25">
      <c r="A39" s="42" t="s">
        <v>1181</v>
      </c>
      <c r="B39" s="42">
        <v>4042</v>
      </c>
      <c r="C39" s="42" t="s">
        <v>1173</v>
      </c>
      <c r="D39" s="43">
        <v>1</v>
      </c>
      <c r="E39" s="42" t="s">
        <v>9632</v>
      </c>
      <c r="F39" s="42" t="s">
        <v>89</v>
      </c>
      <c r="G39" s="44" t="s">
        <v>9140</v>
      </c>
      <c r="H39" s="44"/>
    </row>
    <row r="40" spans="1:8" x14ac:dyDescent="0.25">
      <c r="A40" s="42" t="s">
        <v>1890</v>
      </c>
      <c r="B40" s="42">
        <v>9097</v>
      </c>
      <c r="C40" s="42" t="s">
        <v>1844</v>
      </c>
      <c r="D40" s="43">
        <v>0</v>
      </c>
      <c r="E40" s="42" t="s">
        <v>9632</v>
      </c>
      <c r="F40" s="42" t="s">
        <v>79</v>
      </c>
      <c r="G40" s="44" t="s">
        <v>9140</v>
      </c>
      <c r="H40" s="44"/>
    </row>
    <row r="41" spans="1:8" x14ac:dyDescent="0.25">
      <c r="A41" s="42" t="s">
        <v>587</v>
      </c>
      <c r="B41" s="42">
        <v>2022</v>
      </c>
      <c r="C41" s="42" t="s">
        <v>565</v>
      </c>
      <c r="D41" s="43">
        <v>15</v>
      </c>
      <c r="E41" s="42" t="s">
        <v>9631</v>
      </c>
      <c r="F41" s="42" t="s">
        <v>70</v>
      </c>
      <c r="G41" s="44" t="s">
        <v>9140</v>
      </c>
      <c r="H41" s="44"/>
    </row>
    <row r="42" spans="1:8" x14ac:dyDescent="0.25">
      <c r="A42" s="42" t="s">
        <v>1711</v>
      </c>
      <c r="B42" s="42">
        <v>9088</v>
      </c>
      <c r="C42" s="42" t="s">
        <v>1701</v>
      </c>
      <c r="D42" s="43">
        <v>1</v>
      </c>
      <c r="E42" s="42" t="s">
        <v>9633</v>
      </c>
      <c r="F42" s="42" t="s">
        <v>89</v>
      </c>
      <c r="G42" s="44" t="s">
        <v>28</v>
      </c>
      <c r="H42" s="44" t="s">
        <v>183</v>
      </c>
    </row>
    <row r="43" spans="1:8" x14ac:dyDescent="0.25">
      <c r="A43" s="42" t="s">
        <v>295</v>
      </c>
      <c r="B43" s="42">
        <v>1011</v>
      </c>
      <c r="C43" s="42" t="s">
        <v>215</v>
      </c>
      <c r="D43" s="43">
        <v>10</v>
      </c>
      <c r="E43" s="42" t="s">
        <v>9632</v>
      </c>
      <c r="F43" s="42" t="s">
        <v>349</v>
      </c>
      <c r="G43" s="44" t="s">
        <v>9140</v>
      </c>
      <c r="H43" s="44"/>
    </row>
    <row r="44" spans="1:8" x14ac:dyDescent="0.25">
      <c r="A44" s="42" t="s">
        <v>1705</v>
      </c>
      <c r="B44" s="42">
        <v>9088</v>
      </c>
      <c r="C44" s="42" t="s">
        <v>1701</v>
      </c>
      <c r="D44" s="43">
        <v>0</v>
      </c>
      <c r="E44" s="42" t="s">
        <v>9632</v>
      </c>
      <c r="F44" s="42" t="s">
        <v>89</v>
      </c>
      <c r="G44" s="44" t="s">
        <v>9140</v>
      </c>
      <c r="H44" s="44"/>
    </row>
    <row r="45" spans="1:8" x14ac:dyDescent="0.25">
      <c r="A45" s="42" t="s">
        <v>341</v>
      </c>
      <c r="B45" s="42">
        <v>1011</v>
      </c>
      <c r="C45" s="42" t="s">
        <v>215</v>
      </c>
      <c r="D45" s="43">
        <v>29</v>
      </c>
      <c r="E45" s="42" t="s">
        <v>9632</v>
      </c>
      <c r="F45" s="42" t="s">
        <v>89</v>
      </c>
      <c r="G45" s="44" t="s">
        <v>28</v>
      </c>
      <c r="H45" s="44" t="s">
        <v>183</v>
      </c>
    </row>
    <row r="46" spans="1:8" x14ac:dyDescent="0.25">
      <c r="A46" s="42" t="s">
        <v>436</v>
      </c>
      <c r="B46" s="42">
        <v>1013</v>
      </c>
      <c r="C46" s="42" t="s">
        <v>422</v>
      </c>
      <c r="D46" s="43">
        <v>26</v>
      </c>
      <c r="E46" s="42" t="s">
        <v>9631</v>
      </c>
      <c r="F46" s="42" t="s">
        <v>89</v>
      </c>
      <c r="G46" s="44" t="s">
        <v>9140</v>
      </c>
      <c r="H46" s="44"/>
    </row>
    <row r="47" spans="1:8" x14ac:dyDescent="0.25">
      <c r="A47" s="42" t="s">
        <v>739</v>
      </c>
      <c r="B47" s="42">
        <v>2025</v>
      </c>
      <c r="C47" s="42" t="s">
        <v>701</v>
      </c>
      <c r="D47" s="43">
        <v>1</v>
      </c>
      <c r="E47" s="42" t="s">
        <v>9632</v>
      </c>
      <c r="F47" s="42" t="s">
        <v>89</v>
      </c>
      <c r="G47" s="44" t="s">
        <v>9140</v>
      </c>
      <c r="H47" s="44"/>
    </row>
    <row r="48" spans="1:8" x14ac:dyDescent="0.25">
      <c r="A48" s="42" t="s">
        <v>1439</v>
      </c>
      <c r="B48" s="42">
        <v>5060</v>
      </c>
      <c r="C48" s="42" t="s">
        <v>1412</v>
      </c>
      <c r="D48" s="43">
        <v>0</v>
      </c>
      <c r="E48" s="42" t="s">
        <v>9632</v>
      </c>
      <c r="F48" s="42" t="s">
        <v>89</v>
      </c>
      <c r="G48" s="44" t="s">
        <v>9140</v>
      </c>
      <c r="H48" s="44"/>
    </row>
    <row r="49" spans="1:8" x14ac:dyDescent="0.25">
      <c r="A49" s="42" t="s">
        <v>1689</v>
      </c>
      <c r="B49" s="42">
        <v>9087</v>
      </c>
      <c r="C49" s="42" t="s">
        <v>1666</v>
      </c>
      <c r="D49" s="43">
        <v>1</v>
      </c>
      <c r="E49" s="42" t="s">
        <v>9632</v>
      </c>
      <c r="F49" s="42" t="s">
        <v>70</v>
      </c>
      <c r="G49" s="44" t="s">
        <v>9140</v>
      </c>
      <c r="H49" s="44"/>
    </row>
    <row r="50" spans="1:8" x14ac:dyDescent="0.25">
      <c r="A50" s="42" t="s">
        <v>530</v>
      </c>
      <c r="B50" s="42">
        <v>2019</v>
      </c>
      <c r="C50" s="42" t="s">
        <v>513</v>
      </c>
      <c r="D50" s="43">
        <v>6</v>
      </c>
      <c r="E50" s="42" t="s">
        <v>9632</v>
      </c>
      <c r="F50" s="42" t="s">
        <v>89</v>
      </c>
      <c r="G50" s="44" t="s">
        <v>9140</v>
      </c>
      <c r="H50" s="44"/>
    </row>
    <row r="51" spans="1:8" x14ac:dyDescent="0.25">
      <c r="A51" s="42" t="s">
        <v>214</v>
      </c>
      <c r="B51" s="42">
        <v>1011</v>
      </c>
      <c r="C51" s="42" t="s">
        <v>215</v>
      </c>
      <c r="D51" s="43">
        <v>2</v>
      </c>
      <c r="E51" s="42" t="s">
        <v>9632</v>
      </c>
      <c r="F51" s="42" t="s">
        <v>89</v>
      </c>
      <c r="G51" s="44" t="s">
        <v>9140</v>
      </c>
      <c r="H51" s="44"/>
    </row>
    <row r="52" spans="1:8" x14ac:dyDescent="0.25">
      <c r="A52" s="42" t="s">
        <v>803</v>
      </c>
      <c r="B52" s="42">
        <v>2039</v>
      </c>
      <c r="C52" s="42" t="s">
        <v>988</v>
      </c>
      <c r="D52" s="43">
        <v>3</v>
      </c>
      <c r="E52" s="42" t="s">
        <v>9631</v>
      </c>
      <c r="F52" s="42" t="s">
        <v>70</v>
      </c>
      <c r="G52" s="44" t="s">
        <v>9140</v>
      </c>
      <c r="H52" s="44"/>
    </row>
    <row r="53" spans="1:8" x14ac:dyDescent="0.25">
      <c r="A53" s="42" t="s">
        <v>214</v>
      </c>
      <c r="B53" s="42">
        <v>1011</v>
      </c>
      <c r="C53" s="42" t="s">
        <v>215</v>
      </c>
      <c r="D53" s="43">
        <v>2</v>
      </c>
      <c r="E53" s="42" t="s">
        <v>9632</v>
      </c>
      <c r="F53" s="42" t="s">
        <v>70</v>
      </c>
      <c r="G53" s="44" t="s">
        <v>9140</v>
      </c>
      <c r="H53" s="44"/>
    </row>
    <row r="54" spans="1:8" x14ac:dyDescent="0.25">
      <c r="A54" s="42" t="s">
        <v>1465</v>
      </c>
      <c r="B54" s="42">
        <v>5089</v>
      </c>
      <c r="C54" s="42" t="s">
        <v>1445</v>
      </c>
      <c r="D54" s="43">
        <v>0</v>
      </c>
      <c r="E54" s="42" t="s">
        <v>9632</v>
      </c>
      <c r="F54" s="42" t="s">
        <v>89</v>
      </c>
      <c r="G54" s="44" t="s">
        <v>9140</v>
      </c>
      <c r="H54" s="44"/>
    </row>
    <row r="55" spans="1:8" x14ac:dyDescent="0.25">
      <c r="A55" s="42" t="s">
        <v>524</v>
      </c>
      <c r="B55" s="42">
        <v>2019</v>
      </c>
      <c r="C55" s="42" t="s">
        <v>513</v>
      </c>
      <c r="D55" s="43">
        <v>1</v>
      </c>
      <c r="E55" s="42" t="s">
        <v>9632</v>
      </c>
      <c r="F55" s="42" t="s">
        <v>50</v>
      </c>
      <c r="G55" s="44" t="s">
        <v>9140</v>
      </c>
      <c r="H55" s="44"/>
    </row>
    <row r="56" spans="1:8" x14ac:dyDescent="0.25">
      <c r="A56" s="42" t="s">
        <v>1259</v>
      </c>
      <c r="B56" s="42">
        <v>4043</v>
      </c>
      <c r="C56" s="42" t="s">
        <v>1200</v>
      </c>
      <c r="D56" s="43">
        <v>0</v>
      </c>
      <c r="E56" s="42" t="s">
        <v>9633</v>
      </c>
      <c r="F56" s="42" t="s">
        <v>89</v>
      </c>
      <c r="G56" s="44" t="s">
        <v>9140</v>
      </c>
      <c r="H56" s="44"/>
    </row>
    <row r="57" spans="1:8" x14ac:dyDescent="0.25">
      <c r="A57" s="42" t="s">
        <v>1600</v>
      </c>
      <c r="B57" s="42">
        <v>6071</v>
      </c>
      <c r="C57" s="42" t="s">
        <v>1586</v>
      </c>
      <c r="D57" s="43">
        <v>1</v>
      </c>
      <c r="E57" s="42" t="s">
        <v>9631</v>
      </c>
      <c r="F57" s="42" t="s">
        <v>50</v>
      </c>
      <c r="G57" s="44" t="s">
        <v>9140</v>
      </c>
      <c r="H57" s="44"/>
    </row>
    <row r="58" spans="1:8" x14ac:dyDescent="0.25">
      <c r="A58" s="42" t="s">
        <v>917</v>
      </c>
      <c r="B58" s="42">
        <v>2031</v>
      </c>
      <c r="C58" s="42" t="s">
        <v>918</v>
      </c>
      <c r="D58" s="43">
        <v>1</v>
      </c>
      <c r="E58" s="42" t="s">
        <v>9632</v>
      </c>
      <c r="F58" s="42" t="s">
        <v>89</v>
      </c>
      <c r="G58" s="44" t="s">
        <v>28</v>
      </c>
      <c r="H58" s="44" t="s">
        <v>183</v>
      </c>
    </row>
    <row r="59" spans="1:8" x14ac:dyDescent="0.25">
      <c r="A59" s="42" t="s">
        <v>972</v>
      </c>
      <c r="B59" s="42">
        <v>2033</v>
      </c>
      <c r="C59" s="42" t="s">
        <v>952</v>
      </c>
      <c r="D59" s="43">
        <v>4</v>
      </c>
      <c r="E59" s="42" t="s">
        <v>9632</v>
      </c>
      <c r="F59" s="42" t="s">
        <v>134</v>
      </c>
      <c r="G59" s="44" t="s">
        <v>9140</v>
      </c>
      <c r="H59" s="44"/>
    </row>
    <row r="60" spans="1:8" x14ac:dyDescent="0.25">
      <c r="A60" s="42" t="s">
        <v>263</v>
      </c>
      <c r="B60" s="42">
        <v>1011</v>
      </c>
      <c r="C60" s="42" t="s">
        <v>215</v>
      </c>
      <c r="D60" s="43">
        <v>1</v>
      </c>
      <c r="E60" s="42" t="s">
        <v>9633</v>
      </c>
      <c r="F60" s="42" t="s">
        <v>266</v>
      </c>
      <c r="G60" s="44" t="s">
        <v>9140</v>
      </c>
      <c r="H60" s="44"/>
    </row>
    <row r="61" spans="1:8" x14ac:dyDescent="0.25">
      <c r="A61" s="42" t="s">
        <v>237</v>
      </c>
      <c r="B61" s="42">
        <v>1011</v>
      </c>
      <c r="C61" s="42" t="s">
        <v>215</v>
      </c>
      <c r="D61" s="43">
        <v>2</v>
      </c>
      <c r="E61" s="42" t="s">
        <v>9633</v>
      </c>
      <c r="F61" s="42" t="s">
        <v>70</v>
      </c>
      <c r="G61" s="44" t="s">
        <v>9140</v>
      </c>
      <c r="H61" s="44"/>
    </row>
    <row r="62" spans="1:8" x14ac:dyDescent="0.25">
      <c r="A62" s="42" t="s">
        <v>1753</v>
      </c>
      <c r="B62" s="42">
        <v>9095</v>
      </c>
      <c r="C62" s="42" t="s">
        <v>1742</v>
      </c>
      <c r="D62" s="43">
        <v>3</v>
      </c>
      <c r="E62" s="42" t="s">
        <v>9632</v>
      </c>
      <c r="F62" s="42" t="s">
        <v>50</v>
      </c>
      <c r="G62" s="44" t="s">
        <v>9140</v>
      </c>
      <c r="H62" s="44"/>
    </row>
    <row r="63" spans="1:8" x14ac:dyDescent="0.25">
      <c r="A63" s="42" t="s">
        <v>201</v>
      </c>
      <c r="B63" s="42">
        <v>1008</v>
      </c>
      <c r="C63" s="42" t="s">
        <v>170</v>
      </c>
      <c r="D63" s="43">
        <v>1</v>
      </c>
      <c r="E63" s="42" t="s">
        <v>9632</v>
      </c>
      <c r="F63" s="42" t="s">
        <v>204</v>
      </c>
      <c r="G63" s="44" t="s">
        <v>9140</v>
      </c>
      <c r="H63" s="44"/>
    </row>
    <row r="64" spans="1:8" x14ac:dyDescent="0.25">
      <c r="A64" s="42" t="s">
        <v>320</v>
      </c>
      <c r="B64" s="42">
        <v>1011</v>
      </c>
      <c r="C64" s="42" t="s">
        <v>215</v>
      </c>
      <c r="D64" s="43">
        <v>6</v>
      </c>
      <c r="E64" s="42" t="s">
        <v>9632</v>
      </c>
      <c r="F64" s="42" t="s">
        <v>50</v>
      </c>
      <c r="G64" s="44" t="s">
        <v>9140</v>
      </c>
      <c r="H64" s="44"/>
    </row>
    <row r="65" spans="1:8" x14ac:dyDescent="0.25">
      <c r="A65" s="42" t="s">
        <v>976</v>
      </c>
      <c r="B65" s="42">
        <v>2033</v>
      </c>
      <c r="C65" s="42" t="s">
        <v>952</v>
      </c>
      <c r="D65" s="43">
        <v>1</v>
      </c>
      <c r="E65" s="42" t="s">
        <v>9633</v>
      </c>
      <c r="F65" s="42" t="s">
        <v>479</v>
      </c>
      <c r="G65" s="44" t="s">
        <v>9140</v>
      </c>
      <c r="H65" s="44"/>
    </row>
    <row r="66" spans="1:8" x14ac:dyDescent="0.25">
      <c r="A66" s="42" t="s">
        <v>895</v>
      </c>
      <c r="B66" s="42">
        <v>2030</v>
      </c>
      <c r="C66" s="42" t="s">
        <v>876</v>
      </c>
      <c r="D66" s="43">
        <v>1</v>
      </c>
      <c r="E66" s="42" t="s">
        <v>9632</v>
      </c>
      <c r="F66" s="42" t="s">
        <v>50</v>
      </c>
      <c r="G66" s="44" t="s">
        <v>9140</v>
      </c>
      <c r="H66" s="44"/>
    </row>
    <row r="67" spans="1:8" x14ac:dyDescent="0.25">
      <c r="A67" s="42" t="s">
        <v>1026</v>
      </c>
      <c r="B67" s="42">
        <v>2042</v>
      </c>
      <c r="C67" s="42" t="s">
        <v>1015</v>
      </c>
      <c r="D67" s="43">
        <v>1</v>
      </c>
      <c r="E67" s="42" t="s">
        <v>9633</v>
      </c>
      <c r="F67" s="42" t="s">
        <v>50</v>
      </c>
      <c r="G67" s="44" t="s">
        <v>9140</v>
      </c>
      <c r="H67" s="44"/>
    </row>
    <row r="68" spans="1:8" x14ac:dyDescent="0.25">
      <c r="A68" s="42" t="s">
        <v>1190</v>
      </c>
      <c r="B68" s="42">
        <v>4042</v>
      </c>
      <c r="C68" s="42" t="s">
        <v>1173</v>
      </c>
      <c r="D68" s="43">
        <v>0</v>
      </c>
      <c r="E68" s="42" t="s">
        <v>9633</v>
      </c>
      <c r="F68" s="42" t="s">
        <v>70</v>
      </c>
      <c r="G68" s="44" t="s">
        <v>9140</v>
      </c>
      <c r="H68" s="44"/>
    </row>
    <row r="69" spans="1:8" x14ac:dyDescent="0.25">
      <c r="A69" s="42" t="s">
        <v>315</v>
      </c>
      <c r="B69" s="42">
        <v>1011</v>
      </c>
      <c r="C69" s="42" t="s">
        <v>215</v>
      </c>
      <c r="D69" s="43">
        <v>6</v>
      </c>
      <c r="E69" s="42" t="s">
        <v>9632</v>
      </c>
      <c r="F69" s="42" t="s">
        <v>70</v>
      </c>
      <c r="G69" s="44" t="s">
        <v>9140</v>
      </c>
      <c r="H69" s="44"/>
    </row>
    <row r="70" spans="1:8" x14ac:dyDescent="0.25">
      <c r="A70" s="42" t="s">
        <v>835</v>
      </c>
      <c r="B70" s="42">
        <v>2028</v>
      </c>
      <c r="C70" s="42" t="s">
        <v>804</v>
      </c>
      <c r="D70" s="43">
        <v>11</v>
      </c>
      <c r="E70" s="42" t="s">
        <v>9631</v>
      </c>
      <c r="F70" s="42" t="s">
        <v>89</v>
      </c>
      <c r="G70" s="44" t="s">
        <v>9140</v>
      </c>
      <c r="H70" s="44"/>
    </row>
    <row r="71" spans="1:8" x14ac:dyDescent="0.25">
      <c r="A71" s="42" t="s">
        <v>603</v>
      </c>
      <c r="B71" s="42">
        <v>2022</v>
      </c>
      <c r="C71" s="42" t="s">
        <v>565</v>
      </c>
      <c r="D71" s="43">
        <v>9</v>
      </c>
      <c r="E71" s="42" t="s">
        <v>9632</v>
      </c>
      <c r="F71" s="42" t="s">
        <v>89</v>
      </c>
      <c r="G71" s="44" t="s">
        <v>9140</v>
      </c>
      <c r="H71" s="44"/>
    </row>
    <row r="72" spans="1:8" x14ac:dyDescent="0.25">
      <c r="A72" s="42" t="s">
        <v>1812</v>
      </c>
      <c r="B72" s="42">
        <v>9095</v>
      </c>
      <c r="C72" s="42" t="s">
        <v>1742</v>
      </c>
      <c r="D72" s="43">
        <v>3</v>
      </c>
      <c r="E72" s="42" t="s">
        <v>9632</v>
      </c>
      <c r="F72" s="42" t="s">
        <v>89</v>
      </c>
      <c r="G72" s="44" t="s">
        <v>9140</v>
      </c>
      <c r="H72" s="44"/>
    </row>
    <row r="73" spans="1:8" x14ac:dyDescent="0.25">
      <c r="A73" s="42" t="s">
        <v>1808</v>
      </c>
      <c r="B73" s="42">
        <v>9095</v>
      </c>
      <c r="C73" s="42" t="s">
        <v>1742</v>
      </c>
      <c r="D73" s="43">
        <v>15</v>
      </c>
      <c r="E73" s="42" t="s">
        <v>9631</v>
      </c>
      <c r="F73" s="42" t="s">
        <v>89</v>
      </c>
      <c r="G73" s="44" t="s">
        <v>9140</v>
      </c>
      <c r="H73" s="44"/>
    </row>
    <row r="74" spans="1:8" x14ac:dyDescent="0.25">
      <c r="A74" s="42" t="s">
        <v>1761</v>
      </c>
      <c r="B74" s="42">
        <v>9095</v>
      </c>
      <c r="C74" s="42" t="s">
        <v>1742</v>
      </c>
      <c r="D74" s="43">
        <v>12</v>
      </c>
      <c r="E74" s="42" t="s">
        <v>9632</v>
      </c>
      <c r="F74" s="42" t="s">
        <v>89</v>
      </c>
      <c r="G74" s="44" t="s">
        <v>28</v>
      </c>
      <c r="H74" s="44" t="s">
        <v>147</v>
      </c>
    </row>
    <row r="75" spans="1:8" x14ac:dyDescent="0.25">
      <c r="A75" s="42" t="s">
        <v>1371</v>
      </c>
      <c r="B75" s="42">
        <v>5053</v>
      </c>
      <c r="C75" s="42" t="s">
        <v>1367</v>
      </c>
      <c r="D75" s="43">
        <v>8</v>
      </c>
      <c r="E75" s="42" t="s">
        <v>9632</v>
      </c>
      <c r="F75" s="42" t="s">
        <v>89</v>
      </c>
      <c r="G75" s="44" t="s">
        <v>9140</v>
      </c>
      <c r="H75" s="44"/>
    </row>
    <row r="76" spans="1:8" x14ac:dyDescent="0.25">
      <c r="A76" s="42" t="s">
        <v>1632</v>
      </c>
      <c r="B76" s="42">
        <v>6076</v>
      </c>
      <c r="C76" s="42" t="s">
        <v>1627</v>
      </c>
      <c r="D76" s="43">
        <v>0</v>
      </c>
      <c r="E76" s="42" t="s">
        <v>9632</v>
      </c>
      <c r="F76" s="42" t="s">
        <v>89</v>
      </c>
      <c r="G76" s="44" t="s">
        <v>9140</v>
      </c>
      <c r="H76" s="44"/>
    </row>
    <row r="77" spans="1:8" x14ac:dyDescent="0.25">
      <c r="A77" s="42" t="s">
        <v>1660</v>
      </c>
      <c r="B77" s="42">
        <v>9086</v>
      </c>
      <c r="C77" s="42" t="s">
        <v>1655</v>
      </c>
      <c r="D77" s="43">
        <v>1</v>
      </c>
      <c r="E77" s="42" t="s">
        <v>9632</v>
      </c>
      <c r="F77" s="42" t="s">
        <v>70</v>
      </c>
      <c r="G77" s="44" t="s">
        <v>9140</v>
      </c>
      <c r="H77" s="44"/>
    </row>
    <row r="78" spans="1:8" x14ac:dyDescent="0.25">
      <c r="A78" s="42" t="s">
        <v>295</v>
      </c>
      <c r="B78" s="42">
        <v>1011</v>
      </c>
      <c r="C78" s="42" t="s">
        <v>215</v>
      </c>
      <c r="D78" s="43">
        <v>10</v>
      </c>
      <c r="E78" s="42" t="s">
        <v>9632</v>
      </c>
      <c r="F78" s="42" t="s">
        <v>70</v>
      </c>
      <c r="G78" s="44" t="s">
        <v>9140</v>
      </c>
      <c r="H78" s="44"/>
    </row>
    <row r="79" spans="1:8" x14ac:dyDescent="0.25">
      <c r="A79" s="42" t="s">
        <v>258</v>
      </c>
      <c r="B79" s="42">
        <v>1011</v>
      </c>
      <c r="C79" s="42" t="s">
        <v>215</v>
      </c>
      <c r="D79" s="43">
        <v>9</v>
      </c>
      <c r="E79" s="42" t="s">
        <v>9632</v>
      </c>
      <c r="F79" s="42" t="s">
        <v>89</v>
      </c>
      <c r="G79" s="44" t="s">
        <v>9140</v>
      </c>
      <c r="H79" s="44"/>
    </row>
    <row r="80" spans="1:8" x14ac:dyDescent="0.25">
      <c r="A80" s="42" t="s">
        <v>781</v>
      </c>
      <c r="B80" s="42">
        <v>2026</v>
      </c>
      <c r="C80" s="42" t="s">
        <v>756</v>
      </c>
      <c r="D80" s="43">
        <v>5</v>
      </c>
      <c r="E80" s="42" t="s">
        <v>9631</v>
      </c>
      <c r="F80" s="42" t="s">
        <v>349</v>
      </c>
      <c r="G80" s="44" t="s">
        <v>9140</v>
      </c>
      <c r="H80" s="44"/>
    </row>
    <row r="81" spans="1:8" x14ac:dyDescent="0.25">
      <c r="A81" s="42" t="s">
        <v>1689</v>
      </c>
      <c r="B81" s="42">
        <v>9087</v>
      </c>
      <c r="C81" s="42" t="s">
        <v>1666</v>
      </c>
      <c r="D81" s="43">
        <v>1</v>
      </c>
      <c r="E81" s="42" t="s">
        <v>9632</v>
      </c>
      <c r="F81" s="42" t="s">
        <v>70</v>
      </c>
      <c r="G81" s="44" t="s">
        <v>9140</v>
      </c>
      <c r="H81" s="44"/>
    </row>
    <row r="82" spans="1:8" x14ac:dyDescent="0.25">
      <c r="A82" s="42" t="s">
        <v>734</v>
      </c>
      <c r="B82" s="42">
        <v>2025</v>
      </c>
      <c r="C82" s="42" t="s">
        <v>701</v>
      </c>
      <c r="D82" s="43">
        <v>1</v>
      </c>
      <c r="E82" s="42" t="s">
        <v>9631</v>
      </c>
      <c r="F82" s="42" t="s">
        <v>89</v>
      </c>
      <c r="G82" s="44" t="s">
        <v>28</v>
      </c>
      <c r="H82" s="44" t="s">
        <v>372</v>
      </c>
    </row>
    <row r="83" spans="1:8" x14ac:dyDescent="0.25">
      <c r="A83" s="42" t="s">
        <v>1643</v>
      </c>
      <c r="B83" s="42">
        <v>6078</v>
      </c>
      <c r="C83" s="42" t="s">
        <v>1638</v>
      </c>
      <c r="D83" s="43">
        <v>4</v>
      </c>
      <c r="E83" s="42" t="s">
        <v>9632</v>
      </c>
      <c r="F83" s="42" t="s">
        <v>89</v>
      </c>
      <c r="G83" s="44" t="s">
        <v>9140</v>
      </c>
      <c r="H83" s="44"/>
    </row>
    <row r="84" spans="1:8" x14ac:dyDescent="0.25">
      <c r="A84" s="42" t="s">
        <v>512</v>
      </c>
      <c r="B84" s="42">
        <v>2019</v>
      </c>
      <c r="C84" s="42" t="s">
        <v>513</v>
      </c>
      <c r="D84" s="43">
        <v>0</v>
      </c>
      <c r="E84" s="42" t="s">
        <v>9632</v>
      </c>
      <c r="F84" s="42" t="s">
        <v>89</v>
      </c>
      <c r="G84" s="44" t="s">
        <v>9140</v>
      </c>
      <c r="H84" s="44"/>
    </row>
    <row r="85" spans="1:8" x14ac:dyDescent="0.25">
      <c r="A85" s="42" t="s">
        <v>414</v>
      </c>
      <c r="B85" s="42">
        <v>1012</v>
      </c>
      <c r="C85" s="42" t="s">
        <v>401</v>
      </c>
      <c r="D85" s="43">
        <v>0</v>
      </c>
      <c r="E85" s="42" t="s">
        <v>9633</v>
      </c>
      <c r="F85" s="42" t="s">
        <v>89</v>
      </c>
      <c r="G85" s="44" t="s">
        <v>9140</v>
      </c>
      <c r="H85" s="44"/>
    </row>
    <row r="86" spans="1:8" x14ac:dyDescent="0.25">
      <c r="A86" s="42" t="s">
        <v>503</v>
      </c>
      <c r="B86" s="42">
        <v>2017</v>
      </c>
      <c r="C86" s="42" t="s">
        <v>491</v>
      </c>
      <c r="D86" s="43">
        <v>1</v>
      </c>
      <c r="E86" s="42" t="s">
        <v>9632</v>
      </c>
      <c r="F86" s="42" t="s">
        <v>349</v>
      </c>
      <c r="G86" s="44" t="s">
        <v>9140</v>
      </c>
      <c r="H86" s="44"/>
    </row>
    <row r="87" spans="1:8" x14ac:dyDescent="0.25">
      <c r="A87" s="42" t="s">
        <v>1434</v>
      </c>
      <c r="B87" s="42">
        <v>5060</v>
      </c>
      <c r="C87" s="42" t="s">
        <v>1412</v>
      </c>
      <c r="D87" s="43">
        <v>0</v>
      </c>
      <c r="E87" s="42" t="s">
        <v>9632</v>
      </c>
      <c r="F87" s="42" t="s">
        <v>89</v>
      </c>
      <c r="G87" s="44" t="s">
        <v>9140</v>
      </c>
      <c r="H87" s="44"/>
    </row>
    <row r="88" spans="1:8" x14ac:dyDescent="0.25">
      <c r="A88" s="42" t="s">
        <v>195</v>
      </c>
      <c r="B88" s="42">
        <v>1008</v>
      </c>
      <c r="C88" s="42" t="s">
        <v>170</v>
      </c>
      <c r="D88" s="43">
        <v>29</v>
      </c>
      <c r="E88" s="42" t="s">
        <v>9631</v>
      </c>
      <c r="F88" s="42" t="s">
        <v>89</v>
      </c>
      <c r="G88" s="44" t="s">
        <v>9140</v>
      </c>
      <c r="H88" s="44"/>
    </row>
    <row r="89" spans="1:8" x14ac:dyDescent="0.25">
      <c r="A89" s="42" t="s">
        <v>1610</v>
      </c>
      <c r="B89" s="42">
        <v>6071</v>
      </c>
      <c r="C89" s="42" t="s">
        <v>1586</v>
      </c>
      <c r="D89" s="43">
        <v>1</v>
      </c>
      <c r="E89" s="42" t="s">
        <v>9632</v>
      </c>
      <c r="F89" s="42" t="s">
        <v>89</v>
      </c>
      <c r="G89" s="44" t="s">
        <v>9140</v>
      </c>
      <c r="H89" s="44"/>
    </row>
    <row r="90" spans="1:8" x14ac:dyDescent="0.25">
      <c r="A90" s="42" t="s">
        <v>221</v>
      </c>
      <c r="B90" s="42">
        <v>1011</v>
      </c>
      <c r="C90" s="42" t="s">
        <v>215</v>
      </c>
      <c r="D90" s="43">
        <v>8</v>
      </c>
      <c r="E90" s="42" t="s">
        <v>9631</v>
      </c>
      <c r="F90" s="42" t="s">
        <v>50</v>
      </c>
      <c r="G90" s="44" t="s">
        <v>9140</v>
      </c>
      <c r="H90" s="44"/>
    </row>
    <row r="91" spans="1:8" x14ac:dyDescent="0.25">
      <c r="A91" s="42" t="s">
        <v>258</v>
      </c>
      <c r="B91" s="42">
        <v>1011</v>
      </c>
      <c r="C91" s="42" t="s">
        <v>215</v>
      </c>
      <c r="D91" s="43">
        <v>9</v>
      </c>
      <c r="E91" s="42" t="s">
        <v>9632</v>
      </c>
      <c r="F91" s="42" t="s">
        <v>89</v>
      </c>
      <c r="G91" s="44" t="s">
        <v>9140</v>
      </c>
      <c r="H91" s="44"/>
    </row>
    <row r="92" spans="1:8" x14ac:dyDescent="0.25">
      <c r="A92" s="42" t="s">
        <v>454</v>
      </c>
      <c r="B92" s="42">
        <v>1013</v>
      </c>
      <c r="C92" s="42" t="s">
        <v>422</v>
      </c>
      <c r="D92" s="43">
        <v>1</v>
      </c>
      <c r="E92" s="42" t="s">
        <v>9633</v>
      </c>
      <c r="F92" s="42" t="s">
        <v>89</v>
      </c>
      <c r="G92" s="44" t="s">
        <v>9140</v>
      </c>
      <c r="H92" s="44"/>
    </row>
    <row r="93" spans="1:8" x14ac:dyDescent="0.25">
      <c r="A93" s="42" t="s">
        <v>295</v>
      </c>
      <c r="B93" s="42">
        <v>1011</v>
      </c>
      <c r="C93" s="42" t="s">
        <v>215</v>
      </c>
      <c r="D93" s="43">
        <v>10</v>
      </c>
      <c r="E93" s="42" t="s">
        <v>9632</v>
      </c>
      <c r="F93" s="42" t="s">
        <v>89</v>
      </c>
      <c r="G93" s="44" t="s">
        <v>9140</v>
      </c>
      <c r="H93" s="44"/>
    </row>
    <row r="94" spans="1:8" x14ac:dyDescent="0.25">
      <c r="A94" s="42" t="s">
        <v>597</v>
      </c>
      <c r="B94" s="42">
        <v>2022</v>
      </c>
      <c r="C94" s="42" t="s">
        <v>565</v>
      </c>
      <c r="D94" s="43">
        <v>1</v>
      </c>
      <c r="E94" s="42" t="s">
        <v>9632</v>
      </c>
      <c r="F94" s="42" t="s">
        <v>89</v>
      </c>
      <c r="G94" s="44" t="s">
        <v>28</v>
      </c>
      <c r="H94" s="44" t="s">
        <v>183</v>
      </c>
    </row>
    <row r="95" spans="1:8" x14ac:dyDescent="0.25">
      <c r="A95" s="42" t="s">
        <v>1118</v>
      </c>
      <c r="B95" s="42">
        <v>2059</v>
      </c>
      <c r="C95" s="42" t="s">
        <v>1101</v>
      </c>
      <c r="D95" s="43">
        <v>0</v>
      </c>
      <c r="E95" s="42" t="s">
        <v>9633</v>
      </c>
      <c r="F95" s="42" t="s">
        <v>583</v>
      </c>
      <c r="G95" s="44" t="s">
        <v>9140</v>
      </c>
      <c r="H95" s="44"/>
    </row>
    <row r="96" spans="1:8" x14ac:dyDescent="0.25">
      <c r="A96" s="42" t="s">
        <v>1605</v>
      </c>
      <c r="B96" s="42">
        <v>6071</v>
      </c>
      <c r="C96" s="42" t="s">
        <v>1586</v>
      </c>
      <c r="D96" s="43">
        <v>1</v>
      </c>
      <c r="E96" s="42" t="s">
        <v>9633</v>
      </c>
      <c r="F96" s="42" t="s">
        <v>89</v>
      </c>
      <c r="G96" s="44" t="s">
        <v>28</v>
      </c>
      <c r="H96" s="44" t="s">
        <v>147</v>
      </c>
    </row>
    <row r="97" spans="1:8" x14ac:dyDescent="0.25">
      <c r="A97" s="42" t="s">
        <v>676</v>
      </c>
      <c r="B97" s="42">
        <v>2024</v>
      </c>
      <c r="C97" s="42" t="s">
        <v>664</v>
      </c>
      <c r="D97" s="43">
        <v>0</v>
      </c>
      <c r="E97" s="42" t="s">
        <v>9633</v>
      </c>
      <c r="F97" s="42" t="s">
        <v>89</v>
      </c>
      <c r="G97" s="44" t="s">
        <v>9140</v>
      </c>
      <c r="H97" s="44"/>
    </row>
    <row r="98" spans="1:8" x14ac:dyDescent="0.25">
      <c r="A98" s="42" t="s">
        <v>290</v>
      </c>
      <c r="B98" s="42">
        <v>1011</v>
      </c>
      <c r="C98" s="42" t="s">
        <v>215</v>
      </c>
      <c r="D98" s="43">
        <v>24</v>
      </c>
      <c r="E98" s="42" t="s">
        <v>9632</v>
      </c>
      <c r="F98" s="42" t="s">
        <v>115</v>
      </c>
      <c r="G98" s="44" t="s">
        <v>9140</v>
      </c>
      <c r="H98" s="44"/>
    </row>
    <row r="99" spans="1:8" x14ac:dyDescent="0.25">
      <c r="A99" s="42" t="s">
        <v>710</v>
      </c>
      <c r="B99" s="42">
        <v>2025</v>
      </c>
      <c r="C99" s="42" t="s">
        <v>701</v>
      </c>
      <c r="D99" s="43">
        <v>8</v>
      </c>
      <c r="E99" s="42" t="s">
        <v>9631</v>
      </c>
      <c r="F99" s="42" t="s">
        <v>89</v>
      </c>
      <c r="G99" s="44" t="s">
        <v>9140</v>
      </c>
      <c r="H99" s="44"/>
    </row>
    <row r="100" spans="1:8" x14ac:dyDescent="0.25">
      <c r="A100" s="42" t="s">
        <v>761</v>
      </c>
      <c r="B100" s="42">
        <v>2026</v>
      </c>
      <c r="C100" s="42" t="s">
        <v>756</v>
      </c>
      <c r="D100" s="43">
        <v>17</v>
      </c>
      <c r="E100" s="42" t="s">
        <v>9632</v>
      </c>
      <c r="F100" s="42" t="s">
        <v>89</v>
      </c>
      <c r="G100" s="44" t="s">
        <v>9140</v>
      </c>
      <c r="H100" s="44"/>
    </row>
    <row r="101" spans="1:8" x14ac:dyDescent="0.25">
      <c r="A101" s="42" t="s">
        <v>1600</v>
      </c>
      <c r="B101" s="42">
        <v>6071</v>
      </c>
      <c r="C101" s="42" t="s">
        <v>1586</v>
      </c>
      <c r="D101" s="43">
        <v>1</v>
      </c>
      <c r="E101" s="42" t="s">
        <v>9631</v>
      </c>
      <c r="F101" s="42" t="s">
        <v>89</v>
      </c>
      <c r="G101" s="44" t="s">
        <v>9140</v>
      </c>
      <c r="H101" s="44"/>
    </row>
    <row r="102" spans="1:8" x14ac:dyDescent="0.25">
      <c r="A102" s="42" t="s">
        <v>1849</v>
      </c>
      <c r="B102" s="42">
        <v>9097</v>
      </c>
      <c r="C102" s="42" t="s">
        <v>1844</v>
      </c>
      <c r="D102" s="43">
        <v>0</v>
      </c>
      <c r="E102" s="42" t="s">
        <v>9631</v>
      </c>
      <c r="F102" s="42" t="s">
        <v>89</v>
      </c>
      <c r="G102" s="44" t="s">
        <v>9140</v>
      </c>
      <c r="H102" s="44"/>
    </row>
    <row r="103" spans="1:8" x14ac:dyDescent="0.25">
      <c r="A103" s="42" t="s">
        <v>188</v>
      </c>
      <c r="B103" s="42">
        <v>1008</v>
      </c>
      <c r="C103" s="42" t="s">
        <v>170</v>
      </c>
      <c r="D103" s="43">
        <v>8</v>
      </c>
      <c r="E103" s="42" t="s">
        <v>9632</v>
      </c>
      <c r="F103" s="42" t="s">
        <v>50</v>
      </c>
      <c r="G103" s="44" t="s">
        <v>28</v>
      </c>
      <c r="H103" s="44" t="s">
        <v>183</v>
      </c>
    </row>
    <row r="104" spans="1:8" x14ac:dyDescent="0.25">
      <c r="A104" s="42" t="s">
        <v>1883</v>
      </c>
      <c r="B104" s="42">
        <v>9097</v>
      </c>
      <c r="C104" s="42" t="s">
        <v>1844</v>
      </c>
      <c r="D104" s="43">
        <v>0</v>
      </c>
      <c r="E104" s="42" t="s">
        <v>9631</v>
      </c>
      <c r="F104" s="42" t="s">
        <v>70</v>
      </c>
      <c r="G104" s="44" t="s">
        <v>9140</v>
      </c>
      <c r="H104" s="44"/>
    </row>
    <row r="105" spans="1:8" x14ac:dyDescent="0.25">
      <c r="A105" s="42" t="s">
        <v>285</v>
      </c>
      <c r="B105" s="42">
        <v>1011</v>
      </c>
      <c r="C105" s="42" t="s">
        <v>215</v>
      </c>
      <c r="D105" s="43">
        <v>0</v>
      </c>
      <c r="E105" s="42" t="s">
        <v>9632</v>
      </c>
      <c r="F105" s="42" t="s">
        <v>89</v>
      </c>
      <c r="G105" s="44" t="s">
        <v>9140</v>
      </c>
      <c r="H105" s="44"/>
    </row>
    <row r="106" spans="1:8" x14ac:dyDescent="0.25">
      <c r="A106" s="42" t="s">
        <v>1162</v>
      </c>
      <c r="B106" s="42">
        <v>4041</v>
      </c>
      <c r="C106" s="42" t="s">
        <v>1156</v>
      </c>
      <c r="D106" s="43">
        <v>5</v>
      </c>
      <c r="E106" s="42" t="s">
        <v>9633</v>
      </c>
      <c r="G106" s="44" t="s">
        <v>28</v>
      </c>
      <c r="H106" s="44" t="s">
        <v>183</v>
      </c>
    </row>
    <row r="107" spans="1:8" x14ac:dyDescent="0.25">
      <c r="A107" s="42" t="s">
        <v>1585</v>
      </c>
      <c r="B107" s="42">
        <v>6071</v>
      </c>
      <c r="C107" s="42" t="s">
        <v>1586</v>
      </c>
      <c r="D107" s="43">
        <v>1</v>
      </c>
      <c r="E107" s="42" t="s">
        <v>9631</v>
      </c>
      <c r="F107" s="42" t="s">
        <v>89</v>
      </c>
      <c r="G107" s="44" t="s">
        <v>9140</v>
      </c>
      <c r="H107" s="44"/>
    </row>
    <row r="108" spans="1:8" x14ac:dyDescent="0.25">
      <c r="A108" s="42" t="s">
        <v>1426</v>
      </c>
      <c r="B108" s="42">
        <v>5060</v>
      </c>
      <c r="C108" s="42" t="s">
        <v>1412</v>
      </c>
      <c r="D108" s="43">
        <v>0</v>
      </c>
      <c r="E108" s="42" t="s">
        <v>9631</v>
      </c>
      <c r="F108" s="42" t="s">
        <v>89</v>
      </c>
      <c r="G108" s="44" t="s">
        <v>9140</v>
      </c>
      <c r="H108" s="44"/>
    </row>
    <row r="109" spans="1:8" x14ac:dyDescent="0.25">
      <c r="A109" s="42" t="s">
        <v>279</v>
      </c>
      <c r="B109" s="42">
        <v>1011</v>
      </c>
      <c r="C109" s="42" t="s">
        <v>215</v>
      </c>
      <c r="D109" s="43">
        <v>17</v>
      </c>
      <c r="E109" s="42" t="s">
        <v>9631</v>
      </c>
      <c r="F109" s="42" t="s">
        <v>89</v>
      </c>
      <c r="G109" s="44" t="s">
        <v>9140</v>
      </c>
      <c r="H109" s="44"/>
    </row>
    <row r="110" spans="1:8" x14ac:dyDescent="0.25">
      <c r="A110" s="42" t="s">
        <v>1585</v>
      </c>
      <c r="B110" s="42">
        <v>6071</v>
      </c>
      <c r="C110" s="42" t="s">
        <v>1586</v>
      </c>
      <c r="D110" s="43">
        <v>1</v>
      </c>
      <c r="E110" s="42" t="s">
        <v>9631</v>
      </c>
      <c r="F110" s="42" t="s">
        <v>89</v>
      </c>
      <c r="G110" s="44" t="s">
        <v>9140</v>
      </c>
      <c r="H110" s="44"/>
    </row>
    <row r="111" spans="1:8" x14ac:dyDescent="0.25">
      <c r="A111" s="42" t="s">
        <v>252</v>
      </c>
      <c r="B111" s="42">
        <v>1011</v>
      </c>
      <c r="C111" s="42" t="s">
        <v>215</v>
      </c>
      <c r="D111" s="43">
        <v>17</v>
      </c>
      <c r="E111" s="42" t="s">
        <v>9631</v>
      </c>
      <c r="F111" s="42" t="s">
        <v>89</v>
      </c>
      <c r="G111" s="44" t="s">
        <v>9140</v>
      </c>
      <c r="H111" s="44"/>
    </row>
    <row r="112" spans="1:8" x14ac:dyDescent="0.25">
      <c r="A112" s="42" t="s">
        <v>724</v>
      </c>
      <c r="B112" s="42">
        <v>2025</v>
      </c>
      <c r="C112" s="42" t="s">
        <v>701</v>
      </c>
      <c r="D112" s="43">
        <v>20</v>
      </c>
      <c r="E112" s="42" t="s">
        <v>9631</v>
      </c>
      <c r="F112" s="42" t="s">
        <v>89</v>
      </c>
      <c r="G112" s="44" t="s">
        <v>9140</v>
      </c>
      <c r="H112" s="44"/>
    </row>
    <row r="113" spans="1:8" x14ac:dyDescent="0.25">
      <c r="A113" s="42" t="s">
        <v>1384</v>
      </c>
      <c r="B113" s="42">
        <v>5054</v>
      </c>
      <c r="C113" s="42" t="s">
        <v>1385</v>
      </c>
      <c r="D113" s="43">
        <v>1</v>
      </c>
      <c r="E113" s="42" t="s">
        <v>9632</v>
      </c>
      <c r="F113" s="42" t="s">
        <v>89</v>
      </c>
      <c r="G113" s="44" t="s">
        <v>9140</v>
      </c>
      <c r="H113" s="44"/>
    </row>
    <row r="114" spans="1:8" x14ac:dyDescent="0.25">
      <c r="A114" s="42" t="s">
        <v>1849</v>
      </c>
      <c r="B114" s="42">
        <v>9097</v>
      </c>
      <c r="C114" s="42" t="s">
        <v>1844</v>
      </c>
      <c r="D114" s="43">
        <v>0</v>
      </c>
      <c r="E114" s="42" t="s">
        <v>9631</v>
      </c>
      <c r="F114" s="42" t="s">
        <v>70</v>
      </c>
      <c r="G114" s="44" t="s">
        <v>9140</v>
      </c>
      <c r="H114" s="44"/>
    </row>
    <row r="115" spans="1:8" x14ac:dyDescent="0.25">
      <c r="A115" s="42" t="s">
        <v>1154</v>
      </c>
      <c r="B115" s="42">
        <v>4041</v>
      </c>
      <c r="C115" s="42" t="s">
        <v>1156</v>
      </c>
      <c r="D115" s="43">
        <v>1</v>
      </c>
      <c r="E115" s="42" t="s">
        <v>9631</v>
      </c>
      <c r="F115" s="42" t="s">
        <v>89</v>
      </c>
      <c r="G115" s="44" t="s">
        <v>9140</v>
      </c>
      <c r="H115" s="44"/>
    </row>
    <row r="116" spans="1:8" x14ac:dyDescent="0.25">
      <c r="A116" s="42" t="s">
        <v>1531</v>
      </c>
      <c r="B116" s="42">
        <v>6065</v>
      </c>
      <c r="C116" s="42" t="s">
        <v>1508</v>
      </c>
      <c r="D116" s="43">
        <v>11</v>
      </c>
      <c r="E116" s="42" t="s">
        <v>9631</v>
      </c>
      <c r="F116" s="42" t="s">
        <v>583</v>
      </c>
      <c r="G116" s="44" t="s">
        <v>9140</v>
      </c>
      <c r="H116" s="44"/>
    </row>
    <row r="117" spans="1:8" x14ac:dyDescent="0.25">
      <c r="A117" s="42" t="s">
        <v>972</v>
      </c>
      <c r="B117" s="42">
        <v>2033</v>
      </c>
      <c r="C117" s="42" t="s">
        <v>952</v>
      </c>
      <c r="D117" s="43">
        <v>4</v>
      </c>
      <c r="E117" s="42" t="s">
        <v>9632</v>
      </c>
      <c r="F117" s="42" t="s">
        <v>583</v>
      </c>
      <c r="G117" s="44" t="s">
        <v>9140</v>
      </c>
      <c r="H117" s="44"/>
    </row>
    <row r="118" spans="1:8" x14ac:dyDescent="0.25">
      <c r="A118" s="42" t="s">
        <v>1519</v>
      </c>
      <c r="B118" s="42">
        <v>6065</v>
      </c>
      <c r="C118" s="42" t="s">
        <v>1508</v>
      </c>
      <c r="D118" s="43">
        <v>1</v>
      </c>
      <c r="E118" s="42" t="s">
        <v>9632</v>
      </c>
      <c r="F118" s="42" t="s">
        <v>115</v>
      </c>
      <c r="G118" s="44" t="s">
        <v>9140</v>
      </c>
      <c r="H118" s="44"/>
    </row>
    <row r="119" spans="1:8" x14ac:dyDescent="0.25">
      <c r="A119" s="42" t="s">
        <v>1042</v>
      </c>
      <c r="B119" s="42">
        <v>2045</v>
      </c>
      <c r="C119" s="42" t="s">
        <v>1037</v>
      </c>
      <c r="D119" s="43">
        <v>2</v>
      </c>
      <c r="E119" s="42" t="s">
        <v>9632</v>
      </c>
      <c r="F119" s="42" t="s">
        <v>89</v>
      </c>
      <c r="G119" s="44" t="s">
        <v>9140</v>
      </c>
      <c r="H119" s="44"/>
    </row>
    <row r="120" spans="1:8" x14ac:dyDescent="0.25">
      <c r="A120" s="42" t="s">
        <v>830</v>
      </c>
      <c r="B120" s="42">
        <v>2028</v>
      </c>
      <c r="C120" s="42" t="s">
        <v>804</v>
      </c>
      <c r="D120" s="43">
        <v>3</v>
      </c>
      <c r="E120" s="42" t="s">
        <v>9632</v>
      </c>
      <c r="F120" s="42" t="s">
        <v>89</v>
      </c>
      <c r="G120" s="44" t="s">
        <v>28</v>
      </c>
      <c r="H120" s="44" t="s">
        <v>183</v>
      </c>
    </row>
    <row r="121" spans="1:8" x14ac:dyDescent="0.25">
      <c r="A121" s="42" t="s">
        <v>1186</v>
      </c>
      <c r="B121" s="42">
        <v>4042</v>
      </c>
      <c r="C121" s="42" t="s">
        <v>1173</v>
      </c>
      <c r="D121" s="43">
        <v>1</v>
      </c>
      <c r="E121" s="42" t="s">
        <v>9633</v>
      </c>
      <c r="F121" s="42" t="s">
        <v>70</v>
      </c>
      <c r="G121" s="44" t="s">
        <v>9140</v>
      </c>
      <c r="H121" s="44"/>
    </row>
    <row r="122" spans="1:8" x14ac:dyDescent="0.25">
      <c r="A122" s="42" t="s">
        <v>1753</v>
      </c>
      <c r="B122" s="42">
        <v>9095</v>
      </c>
      <c r="C122" s="42" t="s">
        <v>1742</v>
      </c>
      <c r="D122" s="43">
        <v>3</v>
      </c>
      <c r="E122" s="42" t="s">
        <v>9632</v>
      </c>
      <c r="F122" s="42" t="s">
        <v>50</v>
      </c>
      <c r="G122" s="44" t="s">
        <v>9140</v>
      </c>
      <c r="H122" s="44"/>
    </row>
    <row r="123" spans="1:8" x14ac:dyDescent="0.25">
      <c r="A123" s="42" t="s">
        <v>271</v>
      </c>
      <c r="B123" s="42">
        <v>1011</v>
      </c>
      <c r="C123" s="42" t="s">
        <v>215</v>
      </c>
      <c r="D123" s="43">
        <v>34</v>
      </c>
      <c r="E123" s="42" t="s">
        <v>9632</v>
      </c>
      <c r="F123" s="42" t="s">
        <v>70</v>
      </c>
      <c r="G123" s="44" t="s">
        <v>9140</v>
      </c>
      <c r="H123" s="44"/>
    </row>
    <row r="124" spans="1:8" x14ac:dyDescent="0.25">
      <c r="A124" s="42" t="s">
        <v>1626</v>
      </c>
      <c r="B124" s="42">
        <v>6076</v>
      </c>
      <c r="C124" s="42" t="s">
        <v>1627</v>
      </c>
      <c r="D124" s="43">
        <v>11</v>
      </c>
      <c r="E124" s="42" t="s">
        <v>9632</v>
      </c>
      <c r="F124" s="42" t="s">
        <v>583</v>
      </c>
      <c r="G124" s="44" t="s">
        <v>9140</v>
      </c>
      <c r="H124" s="44"/>
    </row>
    <row r="125" spans="1:8" x14ac:dyDescent="0.25">
      <c r="A125" s="42" t="s">
        <v>1875</v>
      </c>
      <c r="B125" s="42">
        <v>9097</v>
      </c>
      <c r="C125" s="42" t="s">
        <v>1844</v>
      </c>
      <c r="D125" s="43">
        <v>0</v>
      </c>
      <c r="E125" s="42" t="s">
        <v>9632</v>
      </c>
      <c r="F125" s="42" t="s">
        <v>89</v>
      </c>
      <c r="G125" s="44" t="s">
        <v>9140</v>
      </c>
      <c r="H125" s="44"/>
    </row>
    <row r="126" spans="1:8" x14ac:dyDescent="0.25">
      <c r="A126" s="42" t="s">
        <v>498</v>
      </c>
      <c r="B126" s="42">
        <v>2017</v>
      </c>
      <c r="C126" s="42" t="s">
        <v>491</v>
      </c>
      <c r="D126" s="43">
        <v>2</v>
      </c>
      <c r="E126" s="42" t="s">
        <v>9631</v>
      </c>
      <c r="F126" s="42" t="s">
        <v>70</v>
      </c>
      <c r="G126" s="44" t="s">
        <v>9140</v>
      </c>
      <c r="H126" s="44"/>
    </row>
    <row r="127" spans="1:8" x14ac:dyDescent="0.25">
      <c r="A127" s="42" t="s">
        <v>512</v>
      </c>
      <c r="B127" s="42">
        <v>2019</v>
      </c>
      <c r="C127" s="42" t="s">
        <v>513</v>
      </c>
      <c r="D127" s="43">
        <v>0</v>
      </c>
      <c r="E127" s="42" t="s">
        <v>9632</v>
      </c>
      <c r="F127" s="42" t="s">
        <v>89</v>
      </c>
      <c r="G127" s="44" t="s">
        <v>9140</v>
      </c>
      <c r="H127" s="44"/>
    </row>
    <row r="128" spans="1:8" x14ac:dyDescent="0.25">
      <c r="A128" s="42" t="s">
        <v>1774</v>
      </c>
      <c r="B128" s="42">
        <v>9095</v>
      </c>
      <c r="C128" s="42" t="s">
        <v>1742</v>
      </c>
      <c r="D128" s="43">
        <v>1</v>
      </c>
      <c r="E128" s="42" t="s">
        <v>9632</v>
      </c>
      <c r="F128" s="42" t="s">
        <v>70</v>
      </c>
      <c r="G128" s="44" t="s">
        <v>9140</v>
      </c>
      <c r="H128" s="44"/>
    </row>
    <row r="129" spans="1:8" x14ac:dyDescent="0.25">
      <c r="A129" s="42" t="s">
        <v>1921</v>
      </c>
      <c r="B129" s="42">
        <v>9098</v>
      </c>
      <c r="C129" s="42" t="s">
        <v>1896</v>
      </c>
      <c r="D129" s="43">
        <v>7</v>
      </c>
      <c r="E129" s="42" t="s">
        <v>9632</v>
      </c>
      <c r="F129" s="42" t="s">
        <v>89</v>
      </c>
      <c r="G129" s="44" t="s">
        <v>9140</v>
      </c>
      <c r="H129" s="44"/>
    </row>
    <row r="130" spans="1:8" x14ac:dyDescent="0.25">
      <c r="A130" s="42" t="s">
        <v>1003</v>
      </c>
      <c r="B130" s="42">
        <v>2039</v>
      </c>
      <c r="C130" s="42" t="s">
        <v>988</v>
      </c>
      <c r="D130" s="43">
        <v>1</v>
      </c>
      <c r="E130" s="42" t="s">
        <v>9633</v>
      </c>
      <c r="F130" s="42" t="s">
        <v>50</v>
      </c>
      <c r="G130" s="44" t="s">
        <v>9140</v>
      </c>
      <c r="H130" s="44"/>
    </row>
    <row r="131" spans="1:8" x14ac:dyDescent="0.25">
      <c r="A131" s="42" t="s">
        <v>1849</v>
      </c>
      <c r="B131" s="42">
        <v>9097</v>
      </c>
      <c r="C131" s="42" t="s">
        <v>1844</v>
      </c>
      <c r="D131" s="43">
        <v>0</v>
      </c>
      <c r="E131" s="42" t="s">
        <v>9631</v>
      </c>
      <c r="F131" s="42" t="s">
        <v>89</v>
      </c>
      <c r="G131" s="44" t="s">
        <v>9140</v>
      </c>
      <c r="H131" s="44"/>
    </row>
    <row r="132" spans="1:8" x14ac:dyDescent="0.25">
      <c r="A132" s="42" t="s">
        <v>999</v>
      </c>
      <c r="B132" s="42">
        <v>2039</v>
      </c>
      <c r="C132" s="42" t="s">
        <v>988</v>
      </c>
      <c r="D132" s="43">
        <v>8</v>
      </c>
      <c r="E132" s="42" t="s">
        <v>9631</v>
      </c>
      <c r="F132" s="42" t="s">
        <v>50</v>
      </c>
      <c r="G132" s="44" t="s">
        <v>9140</v>
      </c>
      <c r="H132" s="44"/>
    </row>
    <row r="133" spans="1:8" x14ac:dyDescent="0.25">
      <c r="A133" s="42" t="s">
        <v>1794</v>
      </c>
      <c r="B133" s="42">
        <v>9095</v>
      </c>
      <c r="C133" s="42" t="s">
        <v>1742</v>
      </c>
      <c r="D133" s="43">
        <v>12</v>
      </c>
      <c r="E133" s="42" t="s">
        <v>9632</v>
      </c>
      <c r="F133" s="42" t="s">
        <v>89</v>
      </c>
      <c r="G133" s="44" t="s">
        <v>28</v>
      </c>
      <c r="H133" s="44" t="s">
        <v>183</v>
      </c>
    </row>
    <row r="134" spans="1:8" x14ac:dyDescent="0.25">
      <c r="A134" s="42" t="s">
        <v>263</v>
      </c>
      <c r="B134" s="42">
        <v>1011</v>
      </c>
      <c r="C134" s="42" t="s">
        <v>215</v>
      </c>
      <c r="D134" s="43">
        <v>1</v>
      </c>
      <c r="E134" s="42" t="s">
        <v>9633</v>
      </c>
      <c r="F134" s="42" t="s">
        <v>266</v>
      </c>
      <c r="G134" s="44" t="s">
        <v>9140</v>
      </c>
      <c r="H134" s="44"/>
    </row>
    <row r="135" spans="1:8" x14ac:dyDescent="0.25">
      <c r="A135" s="42" t="s">
        <v>1747</v>
      </c>
      <c r="B135" s="42">
        <v>9095</v>
      </c>
      <c r="C135" s="42" t="s">
        <v>1742</v>
      </c>
      <c r="D135" s="43">
        <v>4</v>
      </c>
      <c r="E135" s="42" t="s">
        <v>9632</v>
      </c>
      <c r="F135" s="42" t="s">
        <v>50</v>
      </c>
      <c r="G135" s="44" t="s">
        <v>9140</v>
      </c>
      <c r="H135" s="44"/>
    </row>
    <row r="136" spans="1:8" x14ac:dyDescent="0.25">
      <c r="A136" s="42" t="s">
        <v>724</v>
      </c>
      <c r="B136" s="42">
        <v>2025</v>
      </c>
      <c r="C136" s="42" t="s">
        <v>701</v>
      </c>
      <c r="D136" s="43">
        <v>20</v>
      </c>
      <c r="E136" s="42" t="s">
        <v>9631</v>
      </c>
      <c r="F136" s="42" t="s">
        <v>583</v>
      </c>
      <c r="G136" s="44" t="s">
        <v>9140</v>
      </c>
      <c r="H136" s="44"/>
    </row>
    <row r="137" spans="1:8" x14ac:dyDescent="0.25">
      <c r="A137" s="42" t="s">
        <v>1221</v>
      </c>
      <c r="B137" s="42">
        <v>4043</v>
      </c>
      <c r="C137" s="42" t="s">
        <v>1200</v>
      </c>
      <c r="D137" s="43">
        <v>3</v>
      </c>
      <c r="E137" s="42" t="s">
        <v>9632</v>
      </c>
      <c r="F137" s="42" t="s">
        <v>50</v>
      </c>
      <c r="G137" s="44" t="s">
        <v>9140</v>
      </c>
      <c r="H137" s="44"/>
    </row>
    <row r="138" spans="1:8" x14ac:dyDescent="0.25">
      <c r="A138" s="42" t="s">
        <v>1079</v>
      </c>
      <c r="B138" s="42">
        <v>2054</v>
      </c>
      <c r="C138" s="42" t="s">
        <v>1067</v>
      </c>
      <c r="D138" s="43">
        <v>1</v>
      </c>
      <c r="E138" s="42" t="s">
        <v>9632</v>
      </c>
      <c r="F138" s="42" t="s">
        <v>50</v>
      </c>
      <c r="G138" s="44" t="s">
        <v>9140</v>
      </c>
      <c r="H138" s="44"/>
    </row>
    <row r="139" spans="1:8" x14ac:dyDescent="0.25">
      <c r="A139" s="42" t="s">
        <v>1066</v>
      </c>
      <c r="B139" s="42">
        <v>2054</v>
      </c>
      <c r="C139" s="42" t="s">
        <v>1067</v>
      </c>
      <c r="D139" s="43">
        <v>1</v>
      </c>
      <c r="E139" s="42" t="s">
        <v>9632</v>
      </c>
      <c r="F139" s="42" t="s">
        <v>50</v>
      </c>
      <c r="G139" s="44" t="s">
        <v>9140</v>
      </c>
      <c r="H139" s="44"/>
    </row>
    <row r="140" spans="1:8" x14ac:dyDescent="0.25">
      <c r="A140" s="42" t="s">
        <v>1498</v>
      </c>
      <c r="B140" s="42">
        <v>6065</v>
      </c>
      <c r="C140" s="42" t="s">
        <v>1508</v>
      </c>
      <c r="D140" s="43">
        <v>1</v>
      </c>
      <c r="E140" s="42" t="s">
        <v>9631</v>
      </c>
      <c r="F140" s="42" t="s">
        <v>89</v>
      </c>
      <c r="G140" s="44" t="s">
        <v>28</v>
      </c>
      <c r="H140" s="44" t="s">
        <v>183</v>
      </c>
    </row>
    <row r="141" spans="1:8" x14ac:dyDescent="0.25">
      <c r="A141" s="42" t="s">
        <v>1314</v>
      </c>
      <c r="B141" s="42">
        <v>4044</v>
      </c>
      <c r="C141" s="42" t="s">
        <v>1285</v>
      </c>
      <c r="D141" s="43">
        <v>17</v>
      </c>
      <c r="E141" s="42" t="s">
        <v>9632</v>
      </c>
      <c r="F141" s="42" t="s">
        <v>89</v>
      </c>
      <c r="G141" s="44" t="s">
        <v>9140</v>
      </c>
      <c r="H141" s="44"/>
    </row>
    <row r="142" spans="1:8" x14ac:dyDescent="0.25">
      <c r="A142" s="42" t="s">
        <v>1426</v>
      </c>
      <c r="B142" s="42">
        <v>5060</v>
      </c>
      <c r="C142" s="42" t="s">
        <v>1412</v>
      </c>
      <c r="D142" s="43">
        <v>0</v>
      </c>
      <c r="E142" s="42" t="s">
        <v>9631</v>
      </c>
      <c r="F142" s="42" t="s">
        <v>89</v>
      </c>
      <c r="G142" s="44" t="s">
        <v>9140</v>
      </c>
      <c r="H142" s="44"/>
    </row>
    <row r="143" spans="1:8" x14ac:dyDescent="0.25">
      <c r="A143" s="42" t="s">
        <v>592</v>
      </c>
      <c r="B143" s="42">
        <v>2022</v>
      </c>
      <c r="C143" s="42" t="s">
        <v>565</v>
      </c>
      <c r="D143" s="43">
        <v>13</v>
      </c>
      <c r="E143" s="42" t="s">
        <v>9632</v>
      </c>
      <c r="F143" s="42" t="s">
        <v>89</v>
      </c>
      <c r="G143" s="44" t="s">
        <v>28</v>
      </c>
      <c r="H143" s="44" t="s">
        <v>183</v>
      </c>
    </row>
    <row r="144" spans="1:8" x14ac:dyDescent="0.25">
      <c r="A144" s="42" t="s">
        <v>1042</v>
      </c>
      <c r="B144" s="42">
        <v>2045</v>
      </c>
      <c r="C144" s="42" t="s">
        <v>1037</v>
      </c>
      <c r="D144" s="43">
        <v>2</v>
      </c>
      <c r="E144" s="42" t="s">
        <v>9632</v>
      </c>
      <c r="F144" s="42" t="s">
        <v>115</v>
      </c>
      <c r="G144" s="44" t="s">
        <v>28</v>
      </c>
      <c r="H144" s="44" t="s">
        <v>183</v>
      </c>
    </row>
    <row r="145" spans="1:8" x14ac:dyDescent="0.25">
      <c r="A145" s="42" t="s">
        <v>1181</v>
      </c>
      <c r="B145" s="42">
        <v>4042</v>
      </c>
      <c r="C145" s="42" t="s">
        <v>1173</v>
      </c>
      <c r="D145" s="43">
        <v>1</v>
      </c>
      <c r="E145" s="42" t="s">
        <v>9632</v>
      </c>
      <c r="F145" s="42" t="s">
        <v>50</v>
      </c>
      <c r="G145" s="44" t="s">
        <v>9140</v>
      </c>
      <c r="H145" s="44"/>
    </row>
    <row r="146" spans="1:8" x14ac:dyDescent="0.25">
      <c r="A146" s="42" t="s">
        <v>1384</v>
      </c>
      <c r="B146" s="42">
        <v>5054</v>
      </c>
      <c r="C146" s="42" t="s">
        <v>1385</v>
      </c>
      <c r="D146" s="43">
        <v>1</v>
      </c>
      <c r="E146" s="42" t="s">
        <v>9632</v>
      </c>
      <c r="F146" s="42" t="s">
        <v>50</v>
      </c>
      <c r="G146" s="44" t="s">
        <v>9140</v>
      </c>
      <c r="H146" s="44"/>
    </row>
    <row r="147" spans="1:8" x14ac:dyDescent="0.25">
      <c r="A147" s="42" t="s">
        <v>180</v>
      </c>
      <c r="B147" s="42">
        <v>1008</v>
      </c>
      <c r="C147" s="42" t="s">
        <v>170</v>
      </c>
      <c r="D147" s="43">
        <v>7</v>
      </c>
      <c r="E147" s="42" t="s">
        <v>9632</v>
      </c>
      <c r="F147" s="42" t="s">
        <v>89</v>
      </c>
      <c r="G147" s="44" t="s">
        <v>28</v>
      </c>
      <c r="H147" s="44" t="s">
        <v>183</v>
      </c>
    </row>
    <row r="148" spans="1:8" x14ac:dyDescent="0.25">
      <c r="A148" s="42" t="s">
        <v>1689</v>
      </c>
      <c r="B148" s="42">
        <v>9087</v>
      </c>
      <c r="C148" s="42" t="s">
        <v>1666</v>
      </c>
      <c r="D148" s="43">
        <v>1</v>
      </c>
      <c r="E148" s="42" t="s">
        <v>9632</v>
      </c>
      <c r="F148" s="42" t="s">
        <v>89</v>
      </c>
      <c r="G148" s="44" t="s">
        <v>9140</v>
      </c>
      <c r="H148" s="44"/>
    </row>
    <row r="149" spans="1:8" x14ac:dyDescent="0.25">
      <c r="A149" s="42" t="s">
        <v>1867</v>
      </c>
      <c r="B149" s="42">
        <v>9097</v>
      </c>
      <c r="C149" s="42" t="s">
        <v>1844</v>
      </c>
      <c r="D149" s="43">
        <v>0</v>
      </c>
      <c r="E149" s="42" t="s">
        <v>9631</v>
      </c>
      <c r="F149" s="42" t="s">
        <v>50</v>
      </c>
      <c r="G149" s="44" t="s">
        <v>9140</v>
      </c>
      <c r="H149" s="44"/>
    </row>
    <row r="150" spans="1:8" x14ac:dyDescent="0.25">
      <c r="A150" s="42" t="s">
        <v>144</v>
      </c>
      <c r="B150" s="42">
        <v>1006</v>
      </c>
      <c r="C150" s="42" t="s">
        <v>94</v>
      </c>
      <c r="D150" s="43">
        <v>13</v>
      </c>
      <c r="E150" s="42" t="s">
        <v>9631</v>
      </c>
      <c r="F150" s="42" t="s">
        <v>89</v>
      </c>
      <c r="G150" s="44" t="s">
        <v>28</v>
      </c>
      <c r="H150" s="44" t="s">
        <v>147</v>
      </c>
    </row>
    <row r="151" spans="1:8" x14ac:dyDescent="0.25">
      <c r="A151" s="42" t="s">
        <v>1422</v>
      </c>
      <c r="B151" s="42">
        <v>5060</v>
      </c>
      <c r="C151" s="42" t="s">
        <v>1412</v>
      </c>
      <c r="D151" s="43">
        <v>0</v>
      </c>
      <c r="E151" s="42" t="s">
        <v>9632</v>
      </c>
      <c r="F151" s="42" t="s">
        <v>50</v>
      </c>
      <c r="G151" s="44" t="s">
        <v>9140</v>
      </c>
      <c r="H151" s="44"/>
    </row>
    <row r="152" spans="1:8" x14ac:dyDescent="0.25">
      <c r="A152" s="42" t="s">
        <v>587</v>
      </c>
      <c r="B152" s="42">
        <v>2022</v>
      </c>
      <c r="C152" s="42" t="s">
        <v>565</v>
      </c>
      <c r="D152" s="43">
        <v>16</v>
      </c>
      <c r="E152" s="42" t="s">
        <v>9631</v>
      </c>
      <c r="F152" s="42" t="s">
        <v>50</v>
      </c>
      <c r="G152" s="44" t="s">
        <v>9140</v>
      </c>
      <c r="H152" s="44"/>
    </row>
    <row r="153" spans="1:8" x14ac:dyDescent="0.25">
      <c r="A153" s="42" t="s">
        <v>1300</v>
      </c>
      <c r="B153" s="42">
        <v>4044</v>
      </c>
      <c r="C153" s="42" t="s">
        <v>1285</v>
      </c>
      <c r="D153" s="43">
        <v>3</v>
      </c>
      <c r="E153" s="42" t="s">
        <v>9632</v>
      </c>
      <c r="F153" s="42" t="s">
        <v>89</v>
      </c>
      <c r="G153" s="44" t="s">
        <v>9140</v>
      </c>
      <c r="H153" s="44"/>
    </row>
    <row r="154" spans="1:8" x14ac:dyDescent="0.25">
      <c r="A154" s="42" t="s">
        <v>1460</v>
      </c>
      <c r="B154" s="42">
        <v>5089</v>
      </c>
      <c r="C154" s="42" t="s">
        <v>1445</v>
      </c>
      <c r="D154" s="43">
        <v>1</v>
      </c>
      <c r="E154" s="42" t="s">
        <v>9632</v>
      </c>
      <c r="F154" s="42" t="s">
        <v>70</v>
      </c>
      <c r="G154" s="44" t="s">
        <v>9140</v>
      </c>
      <c r="H154" s="44"/>
    </row>
    <row r="155" spans="1:8" x14ac:dyDescent="0.25">
      <c r="A155" s="42" t="s">
        <v>258</v>
      </c>
      <c r="B155" s="42">
        <v>1011</v>
      </c>
      <c r="C155" s="42" t="s">
        <v>215</v>
      </c>
      <c r="D155" s="43">
        <v>9</v>
      </c>
      <c r="E155" s="42" t="s">
        <v>9632</v>
      </c>
      <c r="F155" s="42" t="s">
        <v>50</v>
      </c>
      <c r="G155" s="44" t="s">
        <v>9140</v>
      </c>
      <c r="H155" s="44"/>
    </row>
    <row r="156" spans="1:8" x14ac:dyDescent="0.25">
      <c r="A156" s="42" t="s">
        <v>1118</v>
      </c>
      <c r="B156" s="42">
        <v>2059</v>
      </c>
      <c r="C156" s="42" t="s">
        <v>1101</v>
      </c>
      <c r="D156" s="43">
        <v>0</v>
      </c>
      <c r="E156" s="42" t="s">
        <v>9633</v>
      </c>
      <c r="F156" s="42" t="s">
        <v>79</v>
      </c>
      <c r="G156" s="44" t="s">
        <v>9140</v>
      </c>
      <c r="H156" s="44"/>
    </row>
    <row r="157" spans="1:8" x14ac:dyDescent="0.25">
      <c r="A157" s="42" t="s">
        <v>1684</v>
      </c>
      <c r="B157" s="42">
        <v>9087</v>
      </c>
      <c r="C157" s="42" t="s">
        <v>1666</v>
      </c>
      <c r="D157" s="43">
        <v>1</v>
      </c>
      <c r="E157" s="42" t="s">
        <v>9632</v>
      </c>
      <c r="F157" s="42" t="s">
        <v>50</v>
      </c>
      <c r="G157" s="44" t="s">
        <v>9140</v>
      </c>
      <c r="H157" s="44"/>
    </row>
    <row r="158" spans="1:8" x14ac:dyDescent="0.25">
      <c r="A158" s="42" t="s">
        <v>904</v>
      </c>
      <c r="B158" s="42">
        <v>2030</v>
      </c>
      <c r="C158" s="42" t="s">
        <v>876</v>
      </c>
      <c r="D158" s="43">
        <v>16</v>
      </c>
      <c r="E158" s="42" t="s">
        <v>9632</v>
      </c>
      <c r="F158" s="42" t="s">
        <v>89</v>
      </c>
      <c r="G158" s="44" t="s">
        <v>28</v>
      </c>
      <c r="H158" s="44" t="s">
        <v>147</v>
      </c>
    </row>
    <row r="159" spans="1:8" x14ac:dyDescent="0.25">
      <c r="A159" s="42" t="s">
        <v>1335</v>
      </c>
      <c r="B159" s="42">
        <v>4045</v>
      </c>
      <c r="C159" s="42" t="s">
        <v>1329</v>
      </c>
      <c r="D159" s="43">
        <v>23</v>
      </c>
      <c r="E159" s="42" t="s">
        <v>9632</v>
      </c>
      <c r="F159" s="42" t="s">
        <v>89</v>
      </c>
      <c r="G159" s="44" t="s">
        <v>9140</v>
      </c>
      <c r="H159" s="44"/>
    </row>
    <row r="160" spans="1:8" x14ac:dyDescent="0.25">
      <c r="A160" s="42" t="s">
        <v>1862</v>
      </c>
      <c r="B160" s="42">
        <v>9097</v>
      </c>
      <c r="C160" s="42" t="s">
        <v>1844</v>
      </c>
      <c r="D160" s="43">
        <v>0</v>
      </c>
      <c r="E160" s="42" t="s">
        <v>9632</v>
      </c>
      <c r="F160" s="42" t="s">
        <v>50</v>
      </c>
      <c r="G160" s="44" t="s">
        <v>28</v>
      </c>
      <c r="H160" s="44" t="s">
        <v>183</v>
      </c>
    </row>
    <row r="161" spans="1:8" x14ac:dyDescent="0.25">
      <c r="A161" s="42" t="s">
        <v>1785</v>
      </c>
      <c r="B161" s="42">
        <v>9095</v>
      </c>
      <c r="C161" s="42" t="s">
        <v>1742</v>
      </c>
      <c r="D161" s="43">
        <v>7</v>
      </c>
      <c r="E161" s="42" t="s">
        <v>9632</v>
      </c>
      <c r="F161" s="42" t="s">
        <v>89</v>
      </c>
      <c r="G161" s="44" t="s">
        <v>9140</v>
      </c>
      <c r="H161" s="44"/>
    </row>
    <row r="162" spans="1:8" x14ac:dyDescent="0.25">
      <c r="A162" s="42" t="s">
        <v>1306</v>
      </c>
      <c r="B162" s="42">
        <v>4044</v>
      </c>
      <c r="C162" s="42" t="s">
        <v>1285</v>
      </c>
      <c r="D162" s="43">
        <v>1</v>
      </c>
      <c r="E162" s="42" t="s">
        <v>9633</v>
      </c>
      <c r="F162" s="42" t="s">
        <v>89</v>
      </c>
      <c r="G162" s="44" t="s">
        <v>9140</v>
      </c>
      <c r="H162" s="44"/>
    </row>
    <row r="163" spans="1:8" x14ac:dyDescent="0.25">
      <c r="A163" s="42" t="s">
        <v>1780</v>
      </c>
      <c r="B163" s="42">
        <v>9095</v>
      </c>
      <c r="C163" s="42" t="s">
        <v>1742</v>
      </c>
      <c r="D163" s="43">
        <v>8</v>
      </c>
      <c r="E163" s="42" t="s">
        <v>9632</v>
      </c>
      <c r="F163" s="42" t="s">
        <v>583</v>
      </c>
      <c r="G163" s="44" t="s">
        <v>28</v>
      </c>
      <c r="H163" s="44" t="s">
        <v>183</v>
      </c>
    </row>
    <row r="164" spans="1:8" x14ac:dyDescent="0.25">
      <c r="A164" s="42" t="s">
        <v>1774</v>
      </c>
      <c r="B164" s="42">
        <v>9095</v>
      </c>
      <c r="C164" s="42" t="s">
        <v>1742</v>
      </c>
      <c r="D164" s="43">
        <v>1</v>
      </c>
      <c r="E164" s="42" t="s">
        <v>9632</v>
      </c>
      <c r="F164" s="42" t="s">
        <v>89</v>
      </c>
      <c r="G164" s="44" t="s">
        <v>28</v>
      </c>
      <c r="H164" s="44" t="s">
        <v>183</v>
      </c>
    </row>
    <row r="165" spans="1:8" x14ac:dyDescent="0.25">
      <c r="A165" s="42" t="s">
        <v>252</v>
      </c>
      <c r="B165" s="42">
        <v>1011</v>
      </c>
      <c r="C165" s="42" t="s">
        <v>215</v>
      </c>
      <c r="D165" s="43">
        <v>17</v>
      </c>
      <c r="E165" s="42" t="s">
        <v>9631</v>
      </c>
      <c r="F165" s="42" t="s">
        <v>89</v>
      </c>
      <c r="G165" s="44" t="s">
        <v>9140</v>
      </c>
      <c r="H165" s="44"/>
    </row>
    <row r="166" spans="1:8" x14ac:dyDescent="0.25">
      <c r="A166" s="42" t="s">
        <v>101</v>
      </c>
      <c r="B166" s="42">
        <v>1006</v>
      </c>
      <c r="C166" s="42" t="s">
        <v>94</v>
      </c>
      <c r="D166" s="43">
        <v>38</v>
      </c>
      <c r="E166" s="42" t="s">
        <v>9631</v>
      </c>
      <c r="F166" s="42" t="s">
        <v>70</v>
      </c>
      <c r="G166" s="44" t="s">
        <v>9140</v>
      </c>
      <c r="H166" s="44"/>
    </row>
    <row r="167" spans="1:8" x14ac:dyDescent="0.25">
      <c r="A167" s="42" t="s">
        <v>247</v>
      </c>
      <c r="B167" s="42">
        <v>1011</v>
      </c>
      <c r="C167" s="42" t="s">
        <v>215</v>
      </c>
      <c r="D167" s="43">
        <v>6</v>
      </c>
      <c r="E167" s="42" t="s">
        <v>9632</v>
      </c>
      <c r="F167" s="42" t="s">
        <v>50</v>
      </c>
      <c r="G167" s="44" t="s">
        <v>9140</v>
      </c>
      <c r="H167" s="44"/>
    </row>
    <row r="168" spans="1:8" x14ac:dyDescent="0.25">
      <c r="A168" s="42" t="s">
        <v>1114</v>
      </c>
      <c r="B168" s="42">
        <v>2059</v>
      </c>
      <c r="C168" s="42" t="s">
        <v>1101</v>
      </c>
      <c r="D168" s="43">
        <v>0</v>
      </c>
      <c r="E168" s="42" t="s">
        <v>9633</v>
      </c>
      <c r="F168" s="42" t="s">
        <v>89</v>
      </c>
      <c r="G168" s="44" t="s">
        <v>9140</v>
      </c>
      <c r="H168" s="44"/>
    </row>
    <row r="169" spans="1:8" x14ac:dyDescent="0.25">
      <c r="A169" s="42" t="s">
        <v>1665</v>
      </c>
      <c r="B169" s="42">
        <v>9098</v>
      </c>
      <c r="C169" s="42" t="s">
        <v>1896</v>
      </c>
      <c r="D169" s="43">
        <v>0</v>
      </c>
      <c r="E169" s="42" t="s">
        <v>9631</v>
      </c>
      <c r="F169" s="42" t="s">
        <v>89</v>
      </c>
      <c r="G169" s="44" t="s">
        <v>9140</v>
      </c>
      <c r="H169" s="44"/>
    </row>
    <row r="170" spans="1:8" x14ac:dyDescent="0.25">
      <c r="A170" s="42" t="s">
        <v>580</v>
      </c>
      <c r="B170" s="42">
        <v>2022</v>
      </c>
      <c r="C170" s="42" t="s">
        <v>565</v>
      </c>
      <c r="D170" s="43">
        <v>11</v>
      </c>
      <c r="E170" s="42" t="s">
        <v>9632</v>
      </c>
      <c r="F170" s="42" t="s">
        <v>583</v>
      </c>
      <c r="G170" s="44" t="s">
        <v>9140</v>
      </c>
      <c r="H170" s="44"/>
    </row>
    <row r="171" spans="1:8" x14ac:dyDescent="0.25">
      <c r="A171" s="42" t="s">
        <v>436</v>
      </c>
      <c r="B171" s="42">
        <v>1013</v>
      </c>
      <c r="C171" s="42" t="s">
        <v>422</v>
      </c>
      <c r="D171" s="43">
        <v>27</v>
      </c>
      <c r="E171" s="42" t="s">
        <v>9631</v>
      </c>
      <c r="F171" s="42" t="s">
        <v>89</v>
      </c>
      <c r="G171" s="44" t="s">
        <v>9140</v>
      </c>
      <c r="H171" s="44"/>
    </row>
    <row r="172" spans="1:8" x14ac:dyDescent="0.25">
      <c r="A172" s="42" t="s">
        <v>1221</v>
      </c>
      <c r="B172" s="42">
        <v>4043</v>
      </c>
      <c r="C172" s="42" t="s">
        <v>1200</v>
      </c>
      <c r="D172" s="43">
        <v>4</v>
      </c>
      <c r="E172" s="42" t="s">
        <v>9632</v>
      </c>
      <c r="F172" s="42" t="s">
        <v>50</v>
      </c>
      <c r="G172" s="44" t="s">
        <v>9140</v>
      </c>
      <c r="H172" s="44"/>
    </row>
    <row r="173" spans="1:8" x14ac:dyDescent="0.25">
      <c r="A173" s="42" t="s">
        <v>242</v>
      </c>
      <c r="B173" s="42">
        <v>1011</v>
      </c>
      <c r="C173" s="42" t="s">
        <v>215</v>
      </c>
      <c r="D173" s="43">
        <v>26</v>
      </c>
      <c r="E173" s="42" t="s">
        <v>9631</v>
      </c>
      <c r="F173" s="42" t="s">
        <v>89</v>
      </c>
      <c r="G173" s="44" t="s">
        <v>9140</v>
      </c>
      <c r="H173" s="44"/>
    </row>
    <row r="174" spans="1:8" x14ac:dyDescent="0.25">
      <c r="A174" s="42" t="s">
        <v>131</v>
      </c>
      <c r="B174" s="42">
        <v>1006</v>
      </c>
      <c r="C174" s="42" t="s">
        <v>94</v>
      </c>
      <c r="D174" s="43">
        <v>6</v>
      </c>
      <c r="E174" s="42" t="s">
        <v>9633</v>
      </c>
      <c r="F174" s="42" t="s">
        <v>134</v>
      </c>
      <c r="G174" s="44" t="s">
        <v>9140</v>
      </c>
      <c r="H174" s="44"/>
    </row>
    <row r="175" spans="1:8" x14ac:dyDescent="0.25">
      <c r="A175" s="42" t="s">
        <v>1087</v>
      </c>
      <c r="B175" s="42">
        <v>2055</v>
      </c>
      <c r="C175" s="42" t="s">
        <v>1088</v>
      </c>
      <c r="D175" s="43">
        <v>2</v>
      </c>
      <c r="E175" s="42" t="s">
        <v>9632</v>
      </c>
      <c r="F175" s="42" t="s">
        <v>425</v>
      </c>
      <c r="G175" s="44" t="s">
        <v>28</v>
      </c>
      <c r="H175" s="44" t="s">
        <v>183</v>
      </c>
    </row>
    <row r="176" spans="1:8" x14ac:dyDescent="0.25">
      <c r="A176" s="42" t="s">
        <v>1417</v>
      </c>
      <c r="B176" s="42">
        <v>5060</v>
      </c>
      <c r="C176" s="42" t="s">
        <v>1412</v>
      </c>
      <c r="D176" s="43">
        <v>0</v>
      </c>
      <c r="E176" s="42" t="s">
        <v>9631</v>
      </c>
      <c r="F176" s="42" t="s">
        <v>583</v>
      </c>
      <c r="G176" s="44" t="s">
        <v>28</v>
      </c>
      <c r="H176" s="44" t="s">
        <v>183</v>
      </c>
    </row>
    <row r="177" spans="1:8" x14ac:dyDescent="0.25">
      <c r="A177" s="42" t="s">
        <v>825</v>
      </c>
      <c r="B177" s="42">
        <v>2028</v>
      </c>
      <c r="C177" s="42" t="s">
        <v>804</v>
      </c>
      <c r="D177" s="43">
        <v>5</v>
      </c>
      <c r="E177" s="42" t="s">
        <v>9631</v>
      </c>
      <c r="F177" s="42" t="s">
        <v>89</v>
      </c>
      <c r="G177" s="44" t="s">
        <v>9140</v>
      </c>
      <c r="H177" s="44"/>
    </row>
    <row r="178" spans="1:8" x14ac:dyDescent="0.25">
      <c r="A178" s="42" t="s">
        <v>1653</v>
      </c>
      <c r="B178" s="42">
        <v>9086</v>
      </c>
      <c r="C178" s="42" t="s">
        <v>1655</v>
      </c>
      <c r="D178" s="43">
        <v>6</v>
      </c>
      <c r="E178" s="42" t="s">
        <v>9631</v>
      </c>
      <c r="F178" s="42" t="s">
        <v>89</v>
      </c>
      <c r="G178" s="44" t="s">
        <v>9140</v>
      </c>
      <c r="H178" s="44"/>
    </row>
    <row r="179" spans="1:8" x14ac:dyDescent="0.25">
      <c r="A179" s="42" t="s">
        <v>1679</v>
      </c>
      <c r="B179" s="42">
        <v>9087</v>
      </c>
      <c r="C179" s="42" t="s">
        <v>1666</v>
      </c>
      <c r="D179" s="43">
        <v>0</v>
      </c>
      <c r="E179" s="42" t="s">
        <v>9633</v>
      </c>
      <c r="F179" s="42" t="s">
        <v>70</v>
      </c>
      <c r="G179" s="44" t="s">
        <v>9140</v>
      </c>
      <c r="H179" s="44"/>
    </row>
    <row r="180" spans="1:8" x14ac:dyDescent="0.25">
      <c r="A180" s="42" t="s">
        <v>1768</v>
      </c>
      <c r="B180" s="42">
        <v>9095</v>
      </c>
      <c r="C180" s="42" t="s">
        <v>1742</v>
      </c>
      <c r="D180" s="43">
        <v>6</v>
      </c>
      <c r="E180" s="42" t="s">
        <v>9632</v>
      </c>
      <c r="F180" s="42" t="s">
        <v>89</v>
      </c>
      <c r="G180" s="44" t="s">
        <v>9140</v>
      </c>
      <c r="H180" s="44"/>
    </row>
    <row r="181" spans="1:8" x14ac:dyDescent="0.25">
      <c r="A181" s="42" t="s">
        <v>1700</v>
      </c>
      <c r="B181" s="42">
        <v>9088</v>
      </c>
      <c r="C181" s="42" t="s">
        <v>1701</v>
      </c>
      <c r="D181" s="43">
        <v>0</v>
      </c>
      <c r="E181" s="42" t="s">
        <v>9632</v>
      </c>
      <c r="F181" s="42" t="s">
        <v>583</v>
      </c>
      <c r="G181" s="44" t="s">
        <v>9140</v>
      </c>
      <c r="H181" s="44"/>
    </row>
    <row r="182" spans="1:8" x14ac:dyDescent="0.25">
      <c r="A182" s="42" t="s">
        <v>797</v>
      </c>
      <c r="B182" s="42">
        <v>2027</v>
      </c>
      <c r="C182" s="42" t="s">
        <v>798</v>
      </c>
      <c r="D182" s="43">
        <v>6</v>
      </c>
      <c r="E182" s="42" t="s">
        <v>9631</v>
      </c>
      <c r="F182" s="42" t="s">
        <v>70</v>
      </c>
      <c r="G182" s="44" t="s">
        <v>9140</v>
      </c>
      <c r="H182" s="44"/>
    </row>
    <row r="183" spans="1:8" x14ac:dyDescent="0.25">
      <c r="A183" s="42" t="s">
        <v>1536</v>
      </c>
      <c r="B183" s="42">
        <v>6068</v>
      </c>
      <c r="C183" s="42" t="s">
        <v>1537</v>
      </c>
      <c r="D183" s="43">
        <v>5</v>
      </c>
      <c r="E183" s="42" t="s">
        <v>9632</v>
      </c>
      <c r="F183" s="42" t="s">
        <v>89</v>
      </c>
      <c r="G183" s="44" t="s">
        <v>9140</v>
      </c>
      <c r="H183" s="44"/>
    </row>
    <row r="184" spans="1:8" x14ac:dyDescent="0.25">
      <c r="A184" s="42" t="s">
        <v>1226</v>
      </c>
      <c r="B184" s="42">
        <v>4043</v>
      </c>
      <c r="C184" s="42" t="s">
        <v>1200</v>
      </c>
      <c r="D184" s="43">
        <v>2</v>
      </c>
      <c r="E184" s="42" t="s">
        <v>9632</v>
      </c>
      <c r="F184" s="42" t="s">
        <v>50</v>
      </c>
      <c r="G184" s="44" t="s">
        <v>9140</v>
      </c>
      <c r="H184" s="44"/>
    </row>
    <row r="185" spans="1:8" x14ac:dyDescent="0.25">
      <c r="A185" s="42" t="s">
        <v>237</v>
      </c>
      <c r="B185" s="42">
        <v>1011</v>
      </c>
      <c r="C185" s="42" t="s">
        <v>215</v>
      </c>
      <c r="D185" s="43">
        <v>2</v>
      </c>
      <c r="E185" s="42" t="s">
        <v>9633</v>
      </c>
      <c r="F185" s="42" t="s">
        <v>70</v>
      </c>
      <c r="G185" s="44" t="s">
        <v>9140</v>
      </c>
      <c r="H185" s="44"/>
    </row>
    <row r="186" spans="1:8" x14ac:dyDescent="0.25">
      <c r="A186" s="42" t="s">
        <v>127</v>
      </c>
      <c r="B186" s="42">
        <v>1006</v>
      </c>
      <c r="C186" s="42" t="s">
        <v>94</v>
      </c>
      <c r="D186" s="43">
        <v>1</v>
      </c>
      <c r="E186" s="42" t="s">
        <v>9633</v>
      </c>
      <c r="F186" s="42" t="s">
        <v>70</v>
      </c>
      <c r="G186" s="44" t="s">
        <v>9140</v>
      </c>
      <c r="H186" s="44"/>
    </row>
    <row r="187" spans="1:8" x14ac:dyDescent="0.25">
      <c r="A187" s="42" t="s">
        <v>1912</v>
      </c>
      <c r="B187" s="42">
        <v>9098</v>
      </c>
      <c r="C187" s="42" t="s">
        <v>1896</v>
      </c>
      <c r="D187" s="43">
        <v>14</v>
      </c>
      <c r="E187" s="42" t="s">
        <v>9632</v>
      </c>
      <c r="F187" s="42" t="s">
        <v>89</v>
      </c>
      <c r="G187" s="44" t="s">
        <v>28</v>
      </c>
      <c r="H187" s="44" t="s">
        <v>183</v>
      </c>
    </row>
    <row r="188" spans="1:8" x14ac:dyDescent="0.25">
      <c r="A188" s="42" t="s">
        <v>446</v>
      </c>
      <c r="B188" s="42">
        <v>1013</v>
      </c>
      <c r="C188" s="42" t="s">
        <v>422</v>
      </c>
      <c r="D188" s="43">
        <v>2</v>
      </c>
      <c r="E188" s="42" t="s">
        <v>9633</v>
      </c>
      <c r="F188" s="42" t="s">
        <v>89</v>
      </c>
      <c r="G188" s="44" t="s">
        <v>9140</v>
      </c>
      <c r="H188" s="44"/>
    </row>
    <row r="189" spans="1:8" x14ac:dyDescent="0.25">
      <c r="A189" s="42" t="s">
        <v>1061</v>
      </c>
      <c r="B189" s="42">
        <v>2048</v>
      </c>
      <c r="C189" s="42" t="s">
        <v>1055</v>
      </c>
      <c r="D189" s="43">
        <v>4</v>
      </c>
      <c r="E189" s="42" t="s">
        <v>9632</v>
      </c>
      <c r="F189" s="42" t="s">
        <v>89</v>
      </c>
      <c r="G189" s="44" t="s">
        <v>9140</v>
      </c>
      <c r="H189" s="44"/>
    </row>
    <row r="190" spans="1:8" x14ac:dyDescent="0.25">
      <c r="A190" s="42" t="s">
        <v>119</v>
      </c>
      <c r="B190" s="42">
        <v>1006</v>
      </c>
      <c r="C190" s="42" t="s">
        <v>94</v>
      </c>
      <c r="D190" s="43">
        <v>37</v>
      </c>
      <c r="E190" s="42" t="s">
        <v>9631</v>
      </c>
      <c r="F190" s="42" t="s">
        <v>50</v>
      </c>
      <c r="G190" s="44" t="s">
        <v>9140</v>
      </c>
      <c r="H190" s="44"/>
    </row>
    <row r="191" spans="1:8" x14ac:dyDescent="0.25">
      <c r="A191" s="42" t="s">
        <v>111</v>
      </c>
      <c r="B191" s="42">
        <v>1006</v>
      </c>
      <c r="C191" s="42" t="s">
        <v>94</v>
      </c>
      <c r="D191" s="43">
        <v>0</v>
      </c>
      <c r="E191" s="42" t="s">
        <v>9633</v>
      </c>
      <c r="F191" s="42" t="s">
        <v>115</v>
      </c>
      <c r="G191" s="44" t="s">
        <v>9140</v>
      </c>
      <c r="H191" s="44"/>
    </row>
    <row r="192" spans="1:8" x14ac:dyDescent="0.25">
      <c r="A192" s="42" t="s">
        <v>1072</v>
      </c>
      <c r="B192" s="42">
        <v>2054</v>
      </c>
      <c r="C192" s="42" t="s">
        <v>1067</v>
      </c>
      <c r="D192" s="43">
        <v>6</v>
      </c>
      <c r="E192" s="42" t="s">
        <v>9632</v>
      </c>
      <c r="F192" s="42" t="s">
        <v>89</v>
      </c>
      <c r="G192" s="44" t="s">
        <v>28</v>
      </c>
      <c r="H192" s="44" t="s">
        <v>183</v>
      </c>
    </row>
    <row r="193" spans="1:8" x14ac:dyDescent="0.25">
      <c r="A193" s="42" t="s">
        <v>1455</v>
      </c>
      <c r="B193" s="42">
        <v>5089</v>
      </c>
      <c r="C193" s="42" t="s">
        <v>1445</v>
      </c>
      <c r="D193" s="43">
        <v>0</v>
      </c>
      <c r="E193" s="42" t="s">
        <v>9632</v>
      </c>
      <c r="F193" s="42" t="s">
        <v>89</v>
      </c>
      <c r="G193" s="44" t="s">
        <v>9140</v>
      </c>
      <c r="H193" s="44"/>
    </row>
    <row r="194" spans="1:8" x14ac:dyDescent="0.25">
      <c r="A194" s="42" t="s">
        <v>1736</v>
      </c>
      <c r="B194" s="42">
        <v>9090</v>
      </c>
      <c r="C194" s="42" t="s">
        <v>1719</v>
      </c>
      <c r="D194" s="43">
        <v>0</v>
      </c>
      <c r="E194" s="42" t="s">
        <v>9632</v>
      </c>
      <c r="F194" s="42" t="s">
        <v>89</v>
      </c>
      <c r="G194" s="44" t="s">
        <v>28</v>
      </c>
      <c r="H194" s="44" t="s">
        <v>183</v>
      </c>
    </row>
    <row r="195" spans="1:8" x14ac:dyDescent="0.25">
      <c r="A195" s="42" t="s">
        <v>895</v>
      </c>
      <c r="B195" s="42">
        <v>2030</v>
      </c>
      <c r="C195" s="42" t="s">
        <v>876</v>
      </c>
      <c r="D195" s="43">
        <v>2</v>
      </c>
      <c r="E195" s="42" t="s">
        <v>9632</v>
      </c>
      <c r="F195" s="42" t="s">
        <v>50</v>
      </c>
      <c r="G195" s="44" t="s">
        <v>9140</v>
      </c>
      <c r="H195" s="44"/>
    </row>
    <row r="196" spans="1:8" x14ac:dyDescent="0.25">
      <c r="A196" s="42" t="s">
        <v>900</v>
      </c>
      <c r="B196" s="42">
        <v>2030</v>
      </c>
      <c r="C196" s="42" t="s">
        <v>876</v>
      </c>
      <c r="D196" s="43">
        <v>3</v>
      </c>
      <c r="E196" s="42" t="s">
        <v>9632</v>
      </c>
      <c r="F196" s="42" t="s">
        <v>50</v>
      </c>
      <c r="G196" s="44" t="s">
        <v>9140</v>
      </c>
      <c r="H196" s="44"/>
    </row>
    <row r="197" spans="1:8" x14ac:dyDescent="0.25">
      <c r="A197" s="42" t="s">
        <v>669</v>
      </c>
      <c r="B197" s="42">
        <v>2024</v>
      </c>
      <c r="C197" s="42" t="s">
        <v>664</v>
      </c>
      <c r="D197" s="43">
        <v>1</v>
      </c>
      <c r="E197" s="42" t="s">
        <v>9633</v>
      </c>
      <c r="F197" s="42" t="s">
        <v>391</v>
      </c>
      <c r="G197" s="44" t="s">
        <v>9140</v>
      </c>
      <c r="H197" s="44"/>
    </row>
    <row r="198" spans="1:8" x14ac:dyDescent="0.25">
      <c r="A198" s="42" t="s">
        <v>1753</v>
      </c>
      <c r="B198" s="42">
        <v>9095</v>
      </c>
      <c r="C198" s="42" t="s">
        <v>1742</v>
      </c>
      <c r="D198" s="43">
        <v>3</v>
      </c>
      <c r="E198" s="42" t="s">
        <v>9632</v>
      </c>
      <c r="F198" s="42" t="s">
        <v>50</v>
      </c>
      <c r="G198" s="44" t="s">
        <v>9140</v>
      </c>
      <c r="H198" s="44"/>
    </row>
    <row r="199" spans="1:8" x14ac:dyDescent="0.25">
      <c r="A199" s="42" t="s">
        <v>928</v>
      </c>
      <c r="B199" s="42">
        <v>2032</v>
      </c>
      <c r="C199" s="42" t="s">
        <v>929</v>
      </c>
      <c r="D199" s="43">
        <v>5</v>
      </c>
      <c r="E199" s="42" t="s">
        <v>9631</v>
      </c>
      <c r="F199" s="42" t="s">
        <v>89</v>
      </c>
      <c r="G199" s="44" t="s">
        <v>9140</v>
      </c>
      <c r="H199" s="44"/>
    </row>
    <row r="200" spans="1:8" x14ac:dyDescent="0.25">
      <c r="A200" s="42" t="s">
        <v>719</v>
      </c>
      <c r="B200" s="42">
        <v>2025</v>
      </c>
      <c r="C200" s="42" t="s">
        <v>701</v>
      </c>
      <c r="D200" s="43">
        <v>0</v>
      </c>
      <c r="E200" s="42" t="s">
        <v>9633</v>
      </c>
      <c r="F200" s="42" t="s">
        <v>70</v>
      </c>
      <c r="G200" s="44" t="s">
        <v>9140</v>
      </c>
      <c r="H200" s="44"/>
    </row>
    <row r="201" spans="1:8" x14ac:dyDescent="0.25">
      <c r="A201" s="42" t="s">
        <v>890</v>
      </c>
      <c r="B201" s="42">
        <v>2030</v>
      </c>
      <c r="C201" s="42" t="s">
        <v>876</v>
      </c>
      <c r="D201" s="43">
        <v>4</v>
      </c>
      <c r="E201" s="42" t="s">
        <v>9632</v>
      </c>
      <c r="F201" s="42" t="s">
        <v>89</v>
      </c>
      <c r="G201" s="44" t="s">
        <v>9140</v>
      </c>
      <c r="H201" s="44"/>
    </row>
    <row r="202" spans="1:8" x14ac:dyDescent="0.25">
      <c r="A202" s="42" t="s">
        <v>710</v>
      </c>
      <c r="B202" s="42">
        <v>2025</v>
      </c>
      <c r="C202" s="42" t="s">
        <v>701</v>
      </c>
      <c r="D202" s="43">
        <v>8</v>
      </c>
      <c r="E202" s="42" t="s">
        <v>9631</v>
      </c>
      <c r="F202" s="42" t="s">
        <v>70</v>
      </c>
      <c r="G202" s="44" t="s">
        <v>9140</v>
      </c>
      <c r="H202" s="44"/>
    </row>
    <row r="203" spans="1:8" x14ac:dyDescent="0.25">
      <c r="A203" s="42" t="s">
        <v>1482</v>
      </c>
      <c r="B203" s="42">
        <v>6059</v>
      </c>
      <c r="C203" s="42" t="s">
        <v>1477</v>
      </c>
      <c r="D203" s="43">
        <v>0</v>
      </c>
      <c r="E203" s="42" t="s">
        <v>9632</v>
      </c>
      <c r="F203" s="42" t="s">
        <v>89</v>
      </c>
      <c r="G203" s="44" t="s">
        <v>28</v>
      </c>
      <c r="H203" s="44" t="s">
        <v>478</v>
      </c>
    </row>
    <row r="204" spans="1:8" x14ac:dyDescent="0.25">
      <c r="A204" s="42" t="s">
        <v>1906</v>
      </c>
      <c r="B204" s="42">
        <v>9098</v>
      </c>
      <c r="C204" s="42" t="s">
        <v>1896</v>
      </c>
      <c r="D204" s="43">
        <v>0</v>
      </c>
      <c r="E204" s="42" t="s">
        <v>9633</v>
      </c>
      <c r="F204" s="42" t="s">
        <v>70</v>
      </c>
      <c r="G204" s="44" t="s">
        <v>9140</v>
      </c>
      <c r="H204" s="44"/>
    </row>
    <row r="205" spans="1:8" x14ac:dyDescent="0.25">
      <c r="A205" s="42" t="s">
        <v>663</v>
      </c>
      <c r="B205" s="42">
        <v>2024</v>
      </c>
      <c r="C205" s="42" t="s">
        <v>664</v>
      </c>
      <c r="D205" s="43">
        <v>1</v>
      </c>
      <c r="E205" s="42" t="s">
        <v>9632</v>
      </c>
      <c r="F205" s="42" t="s">
        <v>89</v>
      </c>
      <c r="G205" s="44" t="s">
        <v>9140</v>
      </c>
      <c r="H205" s="44"/>
    </row>
    <row r="206" spans="1:8" x14ac:dyDescent="0.25">
      <c r="A206" s="42" t="s">
        <v>1244</v>
      </c>
      <c r="B206" s="42">
        <v>4043</v>
      </c>
      <c r="C206" s="42" t="s">
        <v>1200</v>
      </c>
      <c r="D206" s="43">
        <v>3</v>
      </c>
      <c r="E206" s="42" t="s">
        <v>9632</v>
      </c>
      <c r="F206" s="42" t="s">
        <v>89</v>
      </c>
      <c r="G206" s="44" t="s">
        <v>28</v>
      </c>
      <c r="H206" s="44" t="s">
        <v>183</v>
      </c>
    </row>
    <row r="207" spans="1:8" x14ac:dyDescent="0.25">
      <c r="A207" s="42" t="s">
        <v>1237</v>
      </c>
      <c r="B207" s="42">
        <v>4043</v>
      </c>
      <c r="C207" s="42" t="s">
        <v>1200</v>
      </c>
      <c r="D207" s="43">
        <v>2</v>
      </c>
      <c r="E207" s="42" t="s">
        <v>9632</v>
      </c>
      <c r="F207" s="42" t="s">
        <v>1240</v>
      </c>
      <c r="G207" s="44" t="s">
        <v>28</v>
      </c>
      <c r="H207" s="44" t="s">
        <v>478</v>
      </c>
    </row>
    <row r="208" spans="1:8" x14ac:dyDescent="0.25">
      <c r="A208" s="42" t="s">
        <v>644</v>
      </c>
      <c r="B208" s="42">
        <v>2023</v>
      </c>
      <c r="C208" s="42" t="s">
        <v>615</v>
      </c>
      <c r="D208" s="43">
        <v>3</v>
      </c>
      <c r="E208" s="42" t="s">
        <v>9631</v>
      </c>
      <c r="F208" s="42" t="s">
        <v>89</v>
      </c>
      <c r="G208" s="44" t="s">
        <v>9140</v>
      </c>
      <c r="H208" s="44"/>
    </row>
    <row r="209" spans="1:8" x14ac:dyDescent="0.25">
      <c r="A209" s="42" t="s">
        <v>710</v>
      </c>
      <c r="B209" s="42">
        <v>2025</v>
      </c>
      <c r="C209" s="42" t="s">
        <v>701</v>
      </c>
      <c r="D209" s="43">
        <v>8</v>
      </c>
      <c r="E209" s="42" t="s">
        <v>9631</v>
      </c>
      <c r="F209" s="42" t="s">
        <v>713</v>
      </c>
      <c r="G209" s="44" t="s">
        <v>9140</v>
      </c>
      <c r="H209" s="44"/>
    </row>
    <row r="210" spans="1:8" x14ac:dyDescent="0.25">
      <c r="A210" s="42" t="s">
        <v>1730</v>
      </c>
      <c r="B210" s="42">
        <v>9090</v>
      </c>
      <c r="C210" s="42" t="s">
        <v>1719</v>
      </c>
      <c r="D210" s="43">
        <v>0</v>
      </c>
      <c r="E210" s="42" t="s">
        <v>9632</v>
      </c>
      <c r="F210" s="42" t="s">
        <v>50</v>
      </c>
      <c r="G210" s="44" t="s">
        <v>28</v>
      </c>
      <c r="H210" s="44" t="s">
        <v>183</v>
      </c>
    </row>
    <row r="211" spans="1:8" x14ac:dyDescent="0.25">
      <c r="A211" s="42" t="s">
        <v>1021</v>
      </c>
      <c r="B211" s="42">
        <v>2042</v>
      </c>
      <c r="C211" s="42" t="s">
        <v>1015</v>
      </c>
      <c r="D211" s="43">
        <v>1</v>
      </c>
      <c r="E211" s="42" t="s">
        <v>9632</v>
      </c>
      <c r="F211" s="42" t="s">
        <v>50</v>
      </c>
      <c r="G211" s="44" t="s">
        <v>9140</v>
      </c>
      <c r="H211" s="44"/>
    </row>
    <row r="212" spans="1:8" x14ac:dyDescent="0.25">
      <c r="A212" s="42" t="s">
        <v>1643</v>
      </c>
      <c r="B212" s="42">
        <v>6078</v>
      </c>
      <c r="C212" s="42" t="s">
        <v>1638</v>
      </c>
      <c r="D212" s="43">
        <v>5</v>
      </c>
      <c r="E212" s="42" t="s">
        <v>9632</v>
      </c>
      <c r="F212" s="42" t="s">
        <v>433</v>
      </c>
      <c r="G212" s="44" t="s">
        <v>9140</v>
      </c>
      <c r="H212" s="44"/>
    </row>
    <row r="213" spans="1:8" x14ac:dyDescent="0.25">
      <c r="A213" s="42" t="s">
        <v>1231</v>
      </c>
      <c r="B213" s="42">
        <v>4043</v>
      </c>
      <c r="C213" s="42" t="s">
        <v>1200</v>
      </c>
      <c r="D213" s="43">
        <v>5</v>
      </c>
      <c r="E213" s="42" t="s">
        <v>9632</v>
      </c>
      <c r="F213" s="42" t="s">
        <v>50</v>
      </c>
      <c r="G213" s="44" t="s">
        <v>9140</v>
      </c>
      <c r="H213" s="44"/>
    </row>
    <row r="214" spans="1:8" x14ac:dyDescent="0.25">
      <c r="A214" s="42" t="s">
        <v>1849</v>
      </c>
      <c r="B214" s="42">
        <v>9097</v>
      </c>
      <c r="C214" s="42" t="s">
        <v>1844</v>
      </c>
      <c r="D214" s="43">
        <v>0</v>
      </c>
      <c r="E214" s="42" t="s">
        <v>9631</v>
      </c>
      <c r="F214" s="42" t="s">
        <v>89</v>
      </c>
      <c r="G214" s="44" t="s">
        <v>9140</v>
      </c>
      <c r="H214" s="44"/>
    </row>
    <row r="215" spans="1:8" x14ac:dyDescent="0.25">
      <c r="A215" s="42" t="s">
        <v>967</v>
      </c>
      <c r="B215" s="42">
        <v>2033</v>
      </c>
      <c r="C215" s="42" t="s">
        <v>952</v>
      </c>
      <c r="D215" s="43">
        <v>0</v>
      </c>
      <c r="E215" s="42" t="s">
        <v>9631</v>
      </c>
      <c r="F215" s="42" t="s">
        <v>89</v>
      </c>
      <c r="G215" s="44" t="s">
        <v>28</v>
      </c>
      <c r="H215" s="44" t="s">
        <v>478</v>
      </c>
    </row>
    <row r="216" spans="1:8" x14ac:dyDescent="0.25">
      <c r="A216" s="42" t="s">
        <v>639</v>
      </c>
      <c r="B216" s="42">
        <v>2023</v>
      </c>
      <c r="C216" s="42" t="s">
        <v>615</v>
      </c>
      <c r="D216" s="43">
        <v>3</v>
      </c>
      <c r="E216" s="42" t="s">
        <v>9631</v>
      </c>
      <c r="F216" s="42" t="s">
        <v>89</v>
      </c>
      <c r="G216" s="44" t="s">
        <v>9140</v>
      </c>
      <c r="H216" s="44"/>
    </row>
    <row r="217" spans="1:8" x14ac:dyDescent="0.25">
      <c r="A217" s="42" t="s">
        <v>1371</v>
      </c>
      <c r="B217" s="42">
        <v>5053</v>
      </c>
      <c r="C217" s="42" t="s">
        <v>1367</v>
      </c>
      <c r="D217" s="43">
        <v>9</v>
      </c>
      <c r="E217" s="42" t="s">
        <v>9632</v>
      </c>
      <c r="F217" s="42" t="s">
        <v>70</v>
      </c>
      <c r="G217" s="44" t="s">
        <v>9140</v>
      </c>
      <c r="H217" s="44"/>
    </row>
    <row r="218" spans="1:8" x14ac:dyDescent="0.25">
      <c r="A218" s="42" t="s">
        <v>634</v>
      </c>
      <c r="B218" s="42">
        <v>2023</v>
      </c>
      <c r="C218" s="42" t="s">
        <v>615</v>
      </c>
      <c r="D218" s="43">
        <v>2</v>
      </c>
      <c r="E218" s="42" t="s">
        <v>9632</v>
      </c>
      <c r="F218" s="42" t="s">
        <v>89</v>
      </c>
      <c r="G218" s="44" t="s">
        <v>9140</v>
      </c>
      <c r="H218" s="44"/>
    </row>
    <row r="219" spans="1:8" x14ac:dyDescent="0.25">
      <c r="A219" s="42" t="s">
        <v>1450</v>
      </c>
      <c r="B219" s="42">
        <v>5089</v>
      </c>
      <c r="C219" s="42" t="s">
        <v>1445</v>
      </c>
      <c r="D219" s="43">
        <v>3</v>
      </c>
      <c r="E219" s="42" t="s">
        <v>9632</v>
      </c>
      <c r="F219" s="42" t="s">
        <v>89</v>
      </c>
      <c r="G219" s="44" t="s">
        <v>9140</v>
      </c>
      <c r="H219" s="44"/>
    </row>
    <row r="220" spans="1:8" x14ac:dyDescent="0.25">
      <c r="A220" s="42" t="s">
        <v>1901</v>
      </c>
      <c r="B220" s="42">
        <v>9098</v>
      </c>
      <c r="C220" s="42" t="s">
        <v>1896</v>
      </c>
      <c r="D220" s="43">
        <v>2</v>
      </c>
      <c r="E220" s="42" t="s">
        <v>9633</v>
      </c>
      <c r="F220" s="42" t="s">
        <v>50</v>
      </c>
      <c r="G220" s="44" t="s">
        <v>9140</v>
      </c>
      <c r="H220" s="44"/>
    </row>
    <row r="221" spans="1:8" x14ac:dyDescent="0.25">
      <c r="A221" s="42" t="s">
        <v>232</v>
      </c>
      <c r="B221" s="42">
        <v>1011</v>
      </c>
      <c r="C221" s="42" t="s">
        <v>215</v>
      </c>
      <c r="D221" s="43">
        <v>0</v>
      </c>
      <c r="E221" s="42" t="s">
        <v>9632</v>
      </c>
      <c r="F221" s="42" t="s">
        <v>70</v>
      </c>
      <c r="G221" s="44" t="s">
        <v>9140</v>
      </c>
      <c r="H221" s="44"/>
    </row>
    <row r="222" spans="1:8" x14ac:dyDescent="0.25">
      <c r="A222" s="42" t="s">
        <v>441</v>
      </c>
      <c r="B222" s="42">
        <v>1013</v>
      </c>
      <c r="C222" s="42" t="s">
        <v>422</v>
      </c>
      <c r="D222" s="43">
        <v>17</v>
      </c>
      <c r="E222" s="42" t="s">
        <v>9632</v>
      </c>
      <c r="F222" s="42" t="s">
        <v>433</v>
      </c>
      <c r="G222" s="44" t="s">
        <v>9140</v>
      </c>
      <c r="H222" s="44"/>
    </row>
    <row r="223" spans="1:8" x14ac:dyDescent="0.25">
      <c r="A223" s="42" t="s">
        <v>962</v>
      </c>
      <c r="B223" s="42">
        <v>2033</v>
      </c>
      <c r="C223" s="42" t="s">
        <v>952</v>
      </c>
      <c r="D223" s="43">
        <v>6</v>
      </c>
      <c r="E223" s="42" t="s">
        <v>9632</v>
      </c>
      <c r="F223" s="42" t="s">
        <v>89</v>
      </c>
      <c r="G223" s="44" t="s">
        <v>28</v>
      </c>
      <c r="H223" s="44" t="s">
        <v>183</v>
      </c>
    </row>
    <row r="224" spans="1:8" x14ac:dyDescent="0.25">
      <c r="A224" s="42" t="s">
        <v>575</v>
      </c>
      <c r="B224" s="42">
        <v>2022</v>
      </c>
      <c r="C224" s="42" t="s">
        <v>565</v>
      </c>
      <c r="D224" s="43">
        <v>18</v>
      </c>
      <c r="E224" s="42" t="s">
        <v>9631</v>
      </c>
      <c r="F224" s="42" t="s">
        <v>70</v>
      </c>
      <c r="G224" s="44" t="s">
        <v>9140</v>
      </c>
      <c r="H224" s="44"/>
    </row>
    <row r="225" spans="1:8" x14ac:dyDescent="0.25">
      <c r="A225" s="42" t="s">
        <v>436</v>
      </c>
      <c r="B225" s="42">
        <v>1013</v>
      </c>
      <c r="C225" s="42" t="s">
        <v>422</v>
      </c>
      <c r="D225" s="43">
        <v>27</v>
      </c>
      <c r="E225" s="42" t="s">
        <v>9631</v>
      </c>
      <c r="F225" s="42" t="s">
        <v>50</v>
      </c>
      <c r="G225" s="44" t="s">
        <v>9140</v>
      </c>
      <c r="H225" s="44"/>
    </row>
    <row r="226" spans="1:8" x14ac:dyDescent="0.25">
      <c r="A226" s="42" t="s">
        <v>771</v>
      </c>
      <c r="B226" s="42">
        <v>2026</v>
      </c>
      <c r="C226" s="42" t="s">
        <v>756</v>
      </c>
      <c r="D226" s="43">
        <v>0</v>
      </c>
      <c r="E226" s="42" t="s">
        <v>9632</v>
      </c>
      <c r="F226" s="42" t="s">
        <v>134</v>
      </c>
      <c r="G226" s="44" t="s">
        <v>9140</v>
      </c>
      <c r="H226" s="44"/>
    </row>
    <row r="227" spans="1:8" x14ac:dyDescent="0.25">
      <c r="A227" s="42" t="s">
        <v>1405</v>
      </c>
      <c r="B227" s="42">
        <v>5058</v>
      </c>
      <c r="C227" s="42" t="s">
        <v>1406</v>
      </c>
      <c r="D227" s="43">
        <v>2</v>
      </c>
      <c r="E227" s="42" t="s">
        <v>9632</v>
      </c>
      <c r="F227" s="42" t="s">
        <v>115</v>
      </c>
      <c r="G227" s="44" t="s">
        <v>28</v>
      </c>
      <c r="H227" s="44" t="s">
        <v>183</v>
      </c>
    </row>
    <row r="228" spans="1:8" x14ac:dyDescent="0.25">
      <c r="A228" s="42" t="s">
        <v>101</v>
      </c>
      <c r="B228" s="42">
        <v>1006</v>
      </c>
      <c r="C228" s="42" t="s">
        <v>94</v>
      </c>
      <c r="D228" s="43">
        <v>38</v>
      </c>
      <c r="E228" s="42" t="s">
        <v>9631</v>
      </c>
      <c r="F228" s="42" t="s">
        <v>50</v>
      </c>
      <c r="G228" s="44" t="s">
        <v>9140</v>
      </c>
      <c r="H228" s="44"/>
    </row>
    <row r="229" spans="1:8" x14ac:dyDescent="0.25">
      <c r="A229" s="42" t="s">
        <v>1395</v>
      </c>
      <c r="B229" s="42">
        <v>5054</v>
      </c>
      <c r="C229" s="42" t="s">
        <v>1385</v>
      </c>
      <c r="D229" s="43">
        <v>0</v>
      </c>
      <c r="E229" s="42" t="s">
        <v>9631</v>
      </c>
      <c r="F229" s="42" t="s">
        <v>583</v>
      </c>
      <c r="G229" s="44" t="s">
        <v>9140</v>
      </c>
      <c r="H229" s="44"/>
    </row>
    <row r="230" spans="1:8" x14ac:dyDescent="0.25">
      <c r="A230" s="42" t="s">
        <v>875</v>
      </c>
      <c r="B230" s="42">
        <v>2030</v>
      </c>
      <c r="C230" s="42" t="s">
        <v>876</v>
      </c>
      <c r="D230" s="43">
        <v>13</v>
      </c>
      <c r="E230" s="42" t="s">
        <v>9632</v>
      </c>
      <c r="F230" s="42" t="s">
        <v>89</v>
      </c>
      <c r="G230" s="44" t="s">
        <v>9140</v>
      </c>
      <c r="H230" s="44"/>
    </row>
    <row r="231" spans="1:8" x14ac:dyDescent="0.25">
      <c r="A231" s="42" t="s">
        <v>1854</v>
      </c>
      <c r="B231" s="42">
        <v>9097</v>
      </c>
      <c r="C231" s="42" t="s">
        <v>1844</v>
      </c>
      <c r="D231" s="43">
        <v>1</v>
      </c>
      <c r="E231" s="42" t="s">
        <v>9632</v>
      </c>
      <c r="F231" s="42" t="s">
        <v>70</v>
      </c>
      <c r="G231" s="44" t="s">
        <v>9140</v>
      </c>
      <c r="H231" s="44"/>
    </row>
    <row r="232" spans="1:8" x14ac:dyDescent="0.25">
      <c r="A232" s="42" t="s">
        <v>1226</v>
      </c>
      <c r="B232" s="42">
        <v>4043</v>
      </c>
      <c r="C232" s="42" t="s">
        <v>1200</v>
      </c>
      <c r="D232" s="43">
        <v>3</v>
      </c>
      <c r="E232" s="42" t="s">
        <v>9632</v>
      </c>
      <c r="F232" s="42" t="s">
        <v>50</v>
      </c>
      <c r="G232" s="44" t="s">
        <v>9140</v>
      </c>
      <c r="H232" s="44"/>
    </row>
    <row r="233" spans="1:8" x14ac:dyDescent="0.25">
      <c r="A233" s="42" t="s">
        <v>169</v>
      </c>
      <c r="B233" s="42">
        <v>1008</v>
      </c>
      <c r="C233" s="42" t="s">
        <v>170</v>
      </c>
      <c r="D233" s="43">
        <v>1</v>
      </c>
      <c r="E233" s="42" t="s">
        <v>9632</v>
      </c>
      <c r="F233" s="42" t="s">
        <v>89</v>
      </c>
      <c r="G233" s="44" t="s">
        <v>28</v>
      </c>
      <c r="H233" s="44" t="s">
        <v>173</v>
      </c>
    </row>
    <row r="234" spans="1:8" x14ac:dyDescent="0.25">
      <c r="A234" s="42" t="s">
        <v>1014</v>
      </c>
      <c r="B234" s="42">
        <v>2042</v>
      </c>
      <c r="C234" s="42" t="s">
        <v>1015</v>
      </c>
      <c r="D234" s="43">
        <v>9</v>
      </c>
      <c r="E234" s="42" t="s">
        <v>9631</v>
      </c>
      <c r="F234" s="42" t="s">
        <v>89</v>
      </c>
      <c r="G234" s="44" t="s">
        <v>9140</v>
      </c>
      <c r="H234" s="44"/>
    </row>
    <row r="235" spans="1:8" x14ac:dyDescent="0.25">
      <c r="A235" s="42" t="s">
        <v>1036</v>
      </c>
      <c r="B235" s="42">
        <v>2045</v>
      </c>
      <c r="C235" s="42" t="s">
        <v>1037</v>
      </c>
      <c r="D235" s="43">
        <v>6</v>
      </c>
      <c r="E235" s="42" t="s">
        <v>9632</v>
      </c>
      <c r="F235" s="42" t="s">
        <v>89</v>
      </c>
      <c r="G235" s="44" t="s">
        <v>28</v>
      </c>
      <c r="H235" s="44" t="s">
        <v>183</v>
      </c>
    </row>
    <row r="236" spans="1:8" x14ac:dyDescent="0.25">
      <c r="A236" s="42" t="s">
        <v>1444</v>
      </c>
      <c r="B236" s="42">
        <v>5089</v>
      </c>
      <c r="C236" s="42" t="s">
        <v>1445</v>
      </c>
      <c r="D236" s="43">
        <v>1</v>
      </c>
      <c r="E236" s="42" t="s">
        <v>9632</v>
      </c>
      <c r="F236" s="42" t="s">
        <v>89</v>
      </c>
      <c r="G236" s="44" t="s">
        <v>9140</v>
      </c>
      <c r="H236" s="44"/>
    </row>
    <row r="237" spans="1:8" x14ac:dyDescent="0.25">
      <c r="A237" s="42" t="s">
        <v>1591</v>
      </c>
      <c r="B237" s="42">
        <v>6071</v>
      </c>
      <c r="C237" s="42" t="s">
        <v>1586</v>
      </c>
      <c r="D237" s="43">
        <v>0</v>
      </c>
      <c r="E237" s="42" t="s">
        <v>9633</v>
      </c>
      <c r="F237" s="42" t="s">
        <v>89</v>
      </c>
      <c r="G237" s="44" t="s">
        <v>28</v>
      </c>
      <c r="H237" s="44" t="s">
        <v>478</v>
      </c>
    </row>
    <row r="238" spans="1:8" x14ac:dyDescent="0.25">
      <c r="A238" s="42" t="s">
        <v>1761</v>
      </c>
      <c r="B238" s="42">
        <v>9095</v>
      </c>
      <c r="C238" s="42" t="s">
        <v>1742</v>
      </c>
      <c r="D238" s="43">
        <v>13</v>
      </c>
      <c r="E238" s="42" t="s">
        <v>9632</v>
      </c>
      <c r="F238" s="42" t="s">
        <v>89</v>
      </c>
      <c r="G238" s="44" t="s">
        <v>9140</v>
      </c>
      <c r="H238" s="44"/>
    </row>
    <row r="239" spans="1:8" x14ac:dyDescent="0.25">
      <c r="A239" s="42" t="s">
        <v>1390</v>
      </c>
      <c r="B239" s="42">
        <v>5054</v>
      </c>
      <c r="C239" s="42" t="s">
        <v>1385</v>
      </c>
      <c r="D239" s="43">
        <v>1</v>
      </c>
      <c r="E239" s="42" t="s">
        <v>9631</v>
      </c>
      <c r="F239" s="42" t="s">
        <v>89</v>
      </c>
      <c r="G239" s="44" t="s">
        <v>9140</v>
      </c>
      <c r="H239" s="44"/>
    </row>
    <row r="240" spans="1:8" x14ac:dyDescent="0.25">
      <c r="A240" s="42" t="s">
        <v>101</v>
      </c>
      <c r="B240" s="42">
        <v>1006</v>
      </c>
      <c r="C240" s="42" t="s">
        <v>94</v>
      </c>
      <c r="D240" s="43">
        <v>38</v>
      </c>
      <c r="E240" s="42" t="s">
        <v>9631</v>
      </c>
      <c r="F240" s="42" t="s">
        <v>70</v>
      </c>
      <c r="G240" s="44" t="s">
        <v>9140</v>
      </c>
      <c r="H240" s="44"/>
    </row>
    <row r="241" spans="1:8" x14ac:dyDescent="0.25">
      <c r="A241" s="42" t="s">
        <v>1674</v>
      </c>
      <c r="B241" s="42">
        <v>9087</v>
      </c>
      <c r="C241" s="42" t="s">
        <v>1666</v>
      </c>
      <c r="D241" s="43">
        <v>0</v>
      </c>
      <c r="E241" s="42" t="s">
        <v>9633</v>
      </c>
      <c r="F241" s="42" t="s">
        <v>115</v>
      </c>
      <c r="G241" s="44" t="s">
        <v>9140</v>
      </c>
      <c r="H241" s="44"/>
    </row>
    <row r="242" spans="1:8" x14ac:dyDescent="0.25">
      <c r="A242" s="42" t="s">
        <v>1300</v>
      </c>
      <c r="B242" s="42">
        <v>4044</v>
      </c>
      <c r="C242" s="42" t="s">
        <v>1285</v>
      </c>
      <c r="D242" s="43">
        <v>4</v>
      </c>
      <c r="E242" s="42" t="s">
        <v>9632</v>
      </c>
      <c r="F242" s="42" t="s">
        <v>1303</v>
      </c>
      <c r="G242" s="44" t="s">
        <v>9140</v>
      </c>
      <c r="H242" s="44"/>
    </row>
    <row r="243" spans="1:8" x14ac:dyDescent="0.25">
      <c r="A243" s="42" t="s">
        <v>548</v>
      </c>
      <c r="B243" s="42">
        <v>2020</v>
      </c>
      <c r="C243" s="42" t="s">
        <v>538</v>
      </c>
      <c r="D243" s="43">
        <v>16</v>
      </c>
      <c r="E243" s="42" t="s">
        <v>9632</v>
      </c>
      <c r="F243" s="42" t="s">
        <v>89</v>
      </c>
      <c r="G243" s="44" t="s">
        <v>9140</v>
      </c>
      <c r="H243" s="44"/>
    </row>
    <row r="244" spans="1:8" x14ac:dyDescent="0.25">
      <c r="A244" s="42" t="s">
        <v>1849</v>
      </c>
      <c r="B244" s="42">
        <v>9097</v>
      </c>
      <c r="C244" s="42" t="s">
        <v>1844</v>
      </c>
      <c r="D244" s="43">
        <v>1</v>
      </c>
      <c r="E244" s="42" t="s">
        <v>9631</v>
      </c>
      <c r="F244" s="42" t="s">
        <v>89</v>
      </c>
      <c r="G244" s="44" t="s">
        <v>9140</v>
      </c>
      <c r="H244" s="44"/>
    </row>
    <row r="245" spans="1:8" x14ac:dyDescent="0.25">
      <c r="A245" s="42" t="s">
        <v>1519</v>
      </c>
      <c r="B245" s="42">
        <v>6065</v>
      </c>
      <c r="C245" s="42" t="s">
        <v>1508</v>
      </c>
      <c r="D245" s="43">
        <v>2</v>
      </c>
      <c r="E245" s="42" t="s">
        <v>9632</v>
      </c>
      <c r="F245" s="42" t="s">
        <v>89</v>
      </c>
      <c r="G245" s="44" t="s">
        <v>9140</v>
      </c>
      <c r="H245" s="44"/>
    </row>
    <row r="246" spans="1:8" x14ac:dyDescent="0.25">
      <c r="A246" s="42" t="s">
        <v>221</v>
      </c>
      <c r="B246" s="42">
        <v>1011</v>
      </c>
      <c r="C246" s="42" t="s">
        <v>215</v>
      </c>
      <c r="D246" s="43">
        <v>9</v>
      </c>
      <c r="E246" s="42" t="s">
        <v>9631</v>
      </c>
      <c r="F246" s="42" t="s">
        <v>50</v>
      </c>
      <c r="G246" s="44" t="s">
        <v>9140</v>
      </c>
      <c r="H246" s="44"/>
    </row>
    <row r="247" spans="1:8" x14ac:dyDescent="0.25">
      <c r="A247" s="42" t="s">
        <v>93</v>
      </c>
      <c r="B247" s="42">
        <v>1006</v>
      </c>
      <c r="C247" s="42" t="s">
        <v>94</v>
      </c>
      <c r="D247" s="43">
        <v>21</v>
      </c>
      <c r="E247" s="42" t="s">
        <v>9631</v>
      </c>
      <c r="F247" s="42" t="s">
        <v>70</v>
      </c>
      <c r="G247" s="44" t="s">
        <v>9140</v>
      </c>
      <c r="H247" s="44"/>
    </row>
    <row r="248" spans="1:8" x14ac:dyDescent="0.25">
      <c r="A248" s="42" t="s">
        <v>1411</v>
      </c>
      <c r="B248" s="42">
        <v>5060</v>
      </c>
      <c r="C248" s="42" t="s">
        <v>1412</v>
      </c>
      <c r="D248" s="43">
        <v>0</v>
      </c>
      <c r="E248" s="42" t="s">
        <v>9632</v>
      </c>
      <c r="F248" s="42" t="s">
        <v>89</v>
      </c>
      <c r="G248" s="44" t="s">
        <v>9140</v>
      </c>
      <c r="H248" s="44"/>
    </row>
    <row r="249" spans="1:8" x14ac:dyDescent="0.25">
      <c r="A249" s="42" t="s">
        <v>994</v>
      </c>
      <c r="B249" s="42">
        <v>2039</v>
      </c>
      <c r="C249" s="42" t="s">
        <v>988</v>
      </c>
      <c r="D249" s="43">
        <v>8</v>
      </c>
      <c r="E249" s="42" t="s">
        <v>9632</v>
      </c>
      <c r="F249" s="42" t="s">
        <v>89</v>
      </c>
      <c r="G249" s="44" t="s">
        <v>28</v>
      </c>
      <c r="H249" s="44" t="s">
        <v>183</v>
      </c>
    </row>
    <row r="250" spans="1:8" x14ac:dyDescent="0.25">
      <c r="A250" s="42" t="s">
        <v>1295</v>
      </c>
      <c r="B250" s="42">
        <v>4044</v>
      </c>
      <c r="C250" s="42" t="s">
        <v>1285</v>
      </c>
      <c r="D250" s="43">
        <v>4</v>
      </c>
      <c r="E250" s="42" t="s">
        <v>9631</v>
      </c>
      <c r="F250" s="42" t="s">
        <v>89</v>
      </c>
      <c r="G250" s="44" t="s">
        <v>9140</v>
      </c>
      <c r="H250" s="44"/>
    </row>
    <row r="251" spans="1:8" x14ac:dyDescent="0.25">
      <c r="A251" s="42" t="s">
        <v>621</v>
      </c>
      <c r="B251" s="42">
        <v>2023</v>
      </c>
      <c r="C251" s="42" t="s">
        <v>615</v>
      </c>
      <c r="D251" s="43">
        <v>21</v>
      </c>
      <c r="E251" s="42" t="s">
        <v>9632</v>
      </c>
      <c r="F251" s="42" t="s">
        <v>50</v>
      </c>
      <c r="G251" s="44" t="s">
        <v>9140</v>
      </c>
      <c r="H251" s="44"/>
    </row>
    <row r="252" spans="1:8" x14ac:dyDescent="0.25">
      <c r="A252" s="42" t="s">
        <v>1513</v>
      </c>
      <c r="B252" s="42">
        <v>6065</v>
      </c>
      <c r="C252" s="42" t="s">
        <v>1508</v>
      </c>
      <c r="D252" s="43">
        <v>14</v>
      </c>
      <c r="E252" s="42" t="s">
        <v>9631</v>
      </c>
      <c r="F252" s="42" t="s">
        <v>89</v>
      </c>
      <c r="G252" s="44" t="s">
        <v>9140</v>
      </c>
      <c r="H252" s="44"/>
    </row>
    <row r="253" spans="1:8" x14ac:dyDescent="0.25">
      <c r="A253" s="42" t="s">
        <v>1066</v>
      </c>
      <c r="B253" s="42">
        <v>2054</v>
      </c>
      <c r="C253" s="42" t="s">
        <v>1067</v>
      </c>
      <c r="D253" s="43">
        <v>1</v>
      </c>
      <c r="E253" s="42" t="s">
        <v>9632</v>
      </c>
      <c r="F253" s="42" t="s">
        <v>89</v>
      </c>
      <c r="G253" s="44" t="s">
        <v>9140</v>
      </c>
      <c r="H253" s="44"/>
    </row>
    <row r="254" spans="1:8" x14ac:dyDescent="0.25">
      <c r="A254" s="42" t="s">
        <v>1556</v>
      </c>
      <c r="B254" s="42">
        <v>6068</v>
      </c>
      <c r="C254" s="42" t="s">
        <v>1537</v>
      </c>
      <c r="D254" s="43">
        <v>5</v>
      </c>
      <c r="E254" s="42" t="s">
        <v>9632</v>
      </c>
      <c r="F254" s="42" t="s">
        <v>89</v>
      </c>
      <c r="G254" s="44" t="s">
        <v>9140</v>
      </c>
      <c r="H254" s="44"/>
    </row>
    <row r="255" spans="1:8" x14ac:dyDescent="0.25">
      <c r="A255" s="42" t="s">
        <v>820</v>
      </c>
      <c r="B255" s="42">
        <v>2028</v>
      </c>
      <c r="C255" s="42" t="s">
        <v>804</v>
      </c>
      <c r="D255" s="43">
        <v>4</v>
      </c>
      <c r="E255" s="42" t="s">
        <v>9632</v>
      </c>
      <c r="F255" s="42" t="s">
        <v>134</v>
      </c>
      <c r="G255" s="44" t="s">
        <v>9140</v>
      </c>
      <c r="H255" s="44"/>
    </row>
    <row r="256" spans="1:8" x14ac:dyDescent="0.25">
      <c r="A256" s="42" t="s">
        <v>855</v>
      </c>
      <c r="B256" s="42">
        <v>2029</v>
      </c>
      <c r="C256" s="42" t="s">
        <v>845</v>
      </c>
      <c r="D256" s="43">
        <v>3</v>
      </c>
      <c r="E256" s="42" t="s">
        <v>9632</v>
      </c>
      <c r="F256" s="42" t="s">
        <v>89</v>
      </c>
      <c r="G256" s="44" t="s">
        <v>28</v>
      </c>
      <c r="H256" s="44" t="s">
        <v>478</v>
      </c>
    </row>
    <row r="257" spans="1:8" x14ac:dyDescent="0.25">
      <c r="A257" s="42" t="s">
        <v>483</v>
      </c>
      <c r="B257" s="42">
        <v>2016</v>
      </c>
      <c r="C257" s="42" t="s">
        <v>475</v>
      </c>
      <c r="D257" s="43">
        <v>1</v>
      </c>
      <c r="E257" s="42" t="s">
        <v>9632</v>
      </c>
      <c r="F257" s="42" t="s">
        <v>89</v>
      </c>
      <c r="G257" s="44" t="s">
        <v>9140</v>
      </c>
      <c r="H257" s="44"/>
    </row>
    <row r="258" spans="1:8" x14ac:dyDescent="0.25">
      <c r="A258" s="42" t="s">
        <v>626</v>
      </c>
      <c r="B258" s="42">
        <v>2023</v>
      </c>
      <c r="C258" s="42" t="s">
        <v>615</v>
      </c>
      <c r="D258" s="43">
        <v>0</v>
      </c>
      <c r="E258" s="42" t="s">
        <v>9633</v>
      </c>
      <c r="F258" s="42" t="s">
        <v>89</v>
      </c>
      <c r="G258" s="44" t="s">
        <v>9140</v>
      </c>
      <c r="H258" s="44"/>
    </row>
    <row r="259" spans="1:8" x14ac:dyDescent="0.25">
      <c r="A259" s="42" t="s">
        <v>1753</v>
      </c>
      <c r="B259" s="42">
        <v>9095</v>
      </c>
      <c r="C259" s="42" t="s">
        <v>1742</v>
      </c>
      <c r="D259" s="43">
        <v>4</v>
      </c>
      <c r="E259" s="42" t="s">
        <v>9632</v>
      </c>
      <c r="F259" s="42" t="s">
        <v>89</v>
      </c>
      <c r="G259" s="44" t="s">
        <v>9140</v>
      </c>
      <c r="H259" s="44"/>
    </row>
    <row r="260" spans="1:8" x14ac:dyDescent="0.25">
      <c r="A260" s="42" t="s">
        <v>490</v>
      </c>
      <c r="B260" s="42">
        <v>2017</v>
      </c>
      <c r="C260" s="42" t="s">
        <v>491</v>
      </c>
      <c r="D260" s="43">
        <v>2</v>
      </c>
      <c r="E260" s="42" t="s">
        <v>9631</v>
      </c>
      <c r="F260" s="42" t="s">
        <v>494</v>
      </c>
      <c r="G260" s="44" t="s">
        <v>28</v>
      </c>
      <c r="H260" s="44" t="s">
        <v>372</v>
      </c>
    </row>
    <row r="261" spans="1:8" x14ac:dyDescent="0.25">
      <c r="A261" s="42" t="s">
        <v>621</v>
      </c>
      <c r="B261" s="42">
        <v>2023</v>
      </c>
      <c r="C261" s="42" t="s">
        <v>615</v>
      </c>
      <c r="D261" s="43">
        <v>21</v>
      </c>
      <c r="E261" s="42" t="s">
        <v>9632</v>
      </c>
      <c r="F261" s="42" t="s">
        <v>89</v>
      </c>
      <c r="G261" s="44" t="s">
        <v>9140</v>
      </c>
      <c r="H261" s="44"/>
    </row>
    <row r="262" spans="1:8" x14ac:dyDescent="0.25">
      <c r="A262" s="42" t="s">
        <v>1106</v>
      </c>
      <c r="B262" s="42">
        <v>2059</v>
      </c>
      <c r="C262" s="42" t="s">
        <v>1101</v>
      </c>
      <c r="D262" s="43">
        <v>1</v>
      </c>
      <c r="E262" s="42" t="s">
        <v>9632</v>
      </c>
      <c r="F262" s="42" t="s">
        <v>70</v>
      </c>
      <c r="G262" s="44" t="s">
        <v>9140</v>
      </c>
      <c r="H262" s="44"/>
    </row>
    <row r="263" spans="1:8" x14ac:dyDescent="0.25">
      <c r="A263" s="42" t="s">
        <v>855</v>
      </c>
      <c r="B263" s="42">
        <v>2029</v>
      </c>
      <c r="C263" s="42" t="s">
        <v>845</v>
      </c>
      <c r="D263" s="43">
        <v>3</v>
      </c>
      <c r="E263" s="42" t="s">
        <v>9632</v>
      </c>
      <c r="F263" s="42" t="s">
        <v>89</v>
      </c>
      <c r="G263" s="44" t="s">
        <v>9140</v>
      </c>
      <c r="H263" s="44"/>
    </row>
    <row r="264" spans="1:8" x14ac:dyDescent="0.25">
      <c r="A264" s="42" t="s">
        <v>1585</v>
      </c>
      <c r="B264" s="42">
        <v>6071</v>
      </c>
      <c r="C264" s="42" t="s">
        <v>1586</v>
      </c>
      <c r="D264" s="43">
        <v>2</v>
      </c>
      <c r="E264" s="42" t="s">
        <v>9631</v>
      </c>
      <c r="F264" s="42" t="s">
        <v>70</v>
      </c>
      <c r="G264" s="44" t="s">
        <v>28</v>
      </c>
      <c r="H264" s="44" t="s">
        <v>173</v>
      </c>
    </row>
    <row r="265" spans="1:8" x14ac:dyDescent="0.25">
      <c r="A265" s="42" t="s">
        <v>1753</v>
      </c>
      <c r="B265" s="42">
        <v>9095</v>
      </c>
      <c r="C265" s="42" t="s">
        <v>1742</v>
      </c>
      <c r="D265" s="43">
        <v>4</v>
      </c>
      <c r="E265" s="42" t="s">
        <v>9632</v>
      </c>
      <c r="F265" s="42" t="s">
        <v>89</v>
      </c>
      <c r="G265" s="44" t="s">
        <v>28</v>
      </c>
      <c r="H265" s="44" t="s">
        <v>183</v>
      </c>
    </row>
    <row r="266" spans="1:8" x14ac:dyDescent="0.25">
      <c r="A266" s="42" t="s">
        <v>409</v>
      </c>
      <c r="B266" s="42">
        <v>1012</v>
      </c>
      <c r="C266" s="42" t="s">
        <v>401</v>
      </c>
      <c r="D266" s="43">
        <v>2</v>
      </c>
      <c r="E266" s="42" t="s">
        <v>9632</v>
      </c>
      <c r="F266" s="42" t="s">
        <v>89</v>
      </c>
      <c r="G266" s="44" t="s">
        <v>9140</v>
      </c>
      <c r="H266" s="44"/>
    </row>
    <row r="267" spans="1:8" x14ac:dyDescent="0.25">
      <c r="A267" s="42" t="s">
        <v>1551</v>
      </c>
      <c r="B267" s="42">
        <v>6068</v>
      </c>
      <c r="C267" s="42" t="s">
        <v>1537</v>
      </c>
      <c r="D267" s="43">
        <v>1</v>
      </c>
      <c r="E267" s="42" t="s">
        <v>9633</v>
      </c>
      <c r="F267" s="42" t="s">
        <v>70</v>
      </c>
      <c r="G267" s="44" t="s">
        <v>9140</v>
      </c>
      <c r="H267" s="44"/>
    </row>
    <row r="268" spans="1:8" x14ac:dyDescent="0.25">
      <c r="A268" s="42" t="s">
        <v>1725</v>
      </c>
      <c r="B268" s="42">
        <v>9090</v>
      </c>
      <c r="C268" s="42" t="s">
        <v>1719</v>
      </c>
      <c r="D268" s="43">
        <v>2</v>
      </c>
      <c r="E268" s="42" t="s">
        <v>9631</v>
      </c>
      <c r="F268" s="42" t="s">
        <v>89</v>
      </c>
      <c r="G268" s="44" t="s">
        <v>9140</v>
      </c>
      <c r="H268" s="44"/>
    </row>
    <row r="269" spans="1:8" x14ac:dyDescent="0.25">
      <c r="A269" s="42" t="s">
        <v>570</v>
      </c>
      <c r="B269" s="42">
        <v>2022</v>
      </c>
      <c r="C269" s="42" t="s">
        <v>565</v>
      </c>
      <c r="D269" s="43">
        <v>17</v>
      </c>
      <c r="E269" s="42" t="s">
        <v>9632</v>
      </c>
      <c r="F269" s="42" t="s">
        <v>50</v>
      </c>
      <c r="G269" s="44" t="s">
        <v>9140</v>
      </c>
      <c r="H269" s="44"/>
    </row>
    <row r="270" spans="1:8" x14ac:dyDescent="0.25">
      <c r="A270" s="42" t="s">
        <v>1507</v>
      </c>
      <c r="B270" s="42">
        <v>6065</v>
      </c>
      <c r="C270" s="42" t="s">
        <v>1508</v>
      </c>
      <c r="D270" s="43">
        <v>8</v>
      </c>
      <c r="E270" s="42" t="s">
        <v>9631</v>
      </c>
      <c r="F270" s="42" t="s">
        <v>89</v>
      </c>
      <c r="G270" s="44" t="s">
        <v>9140</v>
      </c>
      <c r="H270" s="44"/>
    </row>
    <row r="271" spans="1:8" x14ac:dyDescent="0.25">
      <c r="A271" s="42" t="s">
        <v>706</v>
      </c>
      <c r="B271" s="42">
        <v>2025</v>
      </c>
      <c r="C271" s="42" t="s">
        <v>701</v>
      </c>
      <c r="D271" s="43">
        <v>2</v>
      </c>
      <c r="E271" s="42" t="s">
        <v>9632</v>
      </c>
      <c r="F271" s="42" t="s">
        <v>89</v>
      </c>
      <c r="G271" s="44" t="s">
        <v>28</v>
      </c>
      <c r="H271" s="44" t="s">
        <v>183</v>
      </c>
    </row>
    <row r="272" spans="1:8" x14ac:dyDescent="0.25">
      <c r="A272" s="42" t="s">
        <v>766</v>
      </c>
      <c r="B272" s="42">
        <v>2026</v>
      </c>
      <c r="C272" s="42" t="s">
        <v>756</v>
      </c>
      <c r="D272" s="43">
        <v>1</v>
      </c>
      <c r="E272" s="42" t="s">
        <v>9631</v>
      </c>
      <c r="F272" s="42" t="s">
        <v>89</v>
      </c>
      <c r="G272" s="44" t="s">
        <v>28</v>
      </c>
      <c r="H272" s="44" t="s">
        <v>183</v>
      </c>
    </row>
    <row r="273" spans="1:8" x14ac:dyDescent="0.25">
      <c r="A273" s="42" t="s">
        <v>881</v>
      </c>
      <c r="B273" s="42">
        <v>2030</v>
      </c>
      <c r="C273" s="42" t="s">
        <v>876</v>
      </c>
      <c r="D273" s="43">
        <v>5</v>
      </c>
      <c r="E273" s="42" t="s">
        <v>9632</v>
      </c>
      <c r="F273" s="42" t="s">
        <v>89</v>
      </c>
      <c r="G273" s="44" t="s">
        <v>9140</v>
      </c>
      <c r="H273" s="44"/>
    </row>
    <row r="274" spans="1:8" x14ac:dyDescent="0.25">
      <c r="A274" s="42" t="s">
        <v>400</v>
      </c>
      <c r="B274" s="42">
        <v>1012</v>
      </c>
      <c r="C274" s="42" t="s">
        <v>401</v>
      </c>
      <c r="D274" s="43">
        <v>6</v>
      </c>
      <c r="E274" s="42" t="s">
        <v>9632</v>
      </c>
      <c r="F274" s="42" t="s">
        <v>404</v>
      </c>
      <c r="G274" s="44" t="s">
        <v>9140</v>
      </c>
      <c r="H274" s="44"/>
    </row>
    <row r="275" spans="1:8" x14ac:dyDescent="0.25">
      <c r="A275" s="42" t="s">
        <v>1221</v>
      </c>
      <c r="B275" s="42">
        <v>4043</v>
      </c>
      <c r="C275" s="42" t="s">
        <v>1200</v>
      </c>
      <c r="D275" s="43">
        <v>4</v>
      </c>
      <c r="E275" s="42" t="s">
        <v>9632</v>
      </c>
      <c r="F275" s="42" t="s">
        <v>70</v>
      </c>
      <c r="G275" s="44" t="s">
        <v>9140</v>
      </c>
      <c r="H275" s="44"/>
    </row>
    <row r="276" spans="1:8" x14ac:dyDescent="0.25">
      <c r="A276" s="42" t="s">
        <v>814</v>
      </c>
      <c r="B276" s="42">
        <v>2028</v>
      </c>
      <c r="C276" s="42" t="s">
        <v>804</v>
      </c>
      <c r="D276" s="43">
        <v>4</v>
      </c>
      <c r="E276" s="42" t="s">
        <v>9633</v>
      </c>
      <c r="F276" s="42" t="s">
        <v>70</v>
      </c>
      <c r="G276" s="44" t="s">
        <v>9140</v>
      </c>
      <c r="H276" s="44"/>
    </row>
    <row r="277" spans="1:8" x14ac:dyDescent="0.25">
      <c r="A277" s="42" t="s">
        <v>1384</v>
      </c>
      <c r="B277" s="42">
        <v>5054</v>
      </c>
      <c r="C277" s="42" t="s">
        <v>1385</v>
      </c>
      <c r="D277" s="43">
        <v>2</v>
      </c>
      <c r="E277" s="42" t="s">
        <v>9632</v>
      </c>
      <c r="F277" s="42" t="s">
        <v>70</v>
      </c>
      <c r="G277" s="44" t="s">
        <v>9140</v>
      </c>
      <c r="H277" s="44"/>
    </row>
    <row r="278" spans="1:8" x14ac:dyDescent="0.25">
      <c r="A278" s="42" t="s">
        <v>1895</v>
      </c>
      <c r="B278" s="42">
        <v>9098</v>
      </c>
      <c r="C278" s="42" t="s">
        <v>1896</v>
      </c>
      <c r="D278" s="43">
        <v>0</v>
      </c>
      <c r="E278" s="42" t="s">
        <v>9633</v>
      </c>
      <c r="F278" s="42" t="s">
        <v>50</v>
      </c>
      <c r="G278" s="44" t="s">
        <v>9140</v>
      </c>
      <c r="H278" s="44"/>
    </row>
    <row r="279" spans="1:8" x14ac:dyDescent="0.25">
      <c r="A279" s="42" t="s">
        <v>1216</v>
      </c>
      <c r="B279" s="42">
        <v>4043</v>
      </c>
      <c r="C279" s="42" t="s">
        <v>1200</v>
      </c>
      <c r="D279" s="43">
        <v>0</v>
      </c>
      <c r="E279" s="42" t="s">
        <v>9633</v>
      </c>
      <c r="F279" s="42" t="s">
        <v>433</v>
      </c>
      <c r="G279" s="44" t="s">
        <v>9140</v>
      </c>
      <c r="H279" s="44"/>
    </row>
    <row r="280" spans="1:8" x14ac:dyDescent="0.25">
      <c r="A280" s="42" t="s">
        <v>429</v>
      </c>
      <c r="B280" s="42">
        <v>1013</v>
      </c>
      <c r="C280" s="42" t="s">
        <v>422</v>
      </c>
      <c r="D280" s="43">
        <v>4</v>
      </c>
      <c r="E280" s="42" t="s">
        <v>9631</v>
      </c>
      <c r="F280" s="42" t="s">
        <v>433</v>
      </c>
      <c r="G280" s="44" t="s">
        <v>9140</v>
      </c>
      <c r="H280" s="44"/>
    </row>
    <row r="281" spans="1:8" x14ac:dyDescent="0.25">
      <c r="A281" s="42" t="s">
        <v>1475</v>
      </c>
      <c r="B281" s="42">
        <v>6059</v>
      </c>
      <c r="C281" s="42" t="s">
        <v>1477</v>
      </c>
      <c r="D281" s="43">
        <v>1</v>
      </c>
      <c r="E281" s="42" t="s">
        <v>9633</v>
      </c>
      <c r="F281" s="42" t="s">
        <v>50</v>
      </c>
      <c r="G281" s="44" t="s">
        <v>9140</v>
      </c>
      <c r="H281" s="44"/>
    </row>
    <row r="282" spans="1:8" x14ac:dyDescent="0.25">
      <c r="A282" s="42" t="s">
        <v>987</v>
      </c>
      <c r="B282" s="42">
        <v>2039</v>
      </c>
      <c r="C282" s="42" t="s">
        <v>988</v>
      </c>
      <c r="D282" s="43">
        <v>5</v>
      </c>
      <c r="E282" s="42" t="s">
        <v>9633</v>
      </c>
      <c r="F282" s="42" t="s">
        <v>50</v>
      </c>
      <c r="G282" s="44" t="s">
        <v>28</v>
      </c>
      <c r="H282" s="44" t="s">
        <v>183</v>
      </c>
    </row>
    <row r="283" spans="1:8" x14ac:dyDescent="0.25">
      <c r="A283" s="42" t="s">
        <v>1172</v>
      </c>
      <c r="B283" s="42">
        <v>4042</v>
      </c>
      <c r="C283" s="42" t="s">
        <v>1173</v>
      </c>
      <c r="D283" s="43">
        <v>2</v>
      </c>
      <c r="E283" s="42" t="s">
        <v>9632</v>
      </c>
      <c r="F283" s="42" t="s">
        <v>89</v>
      </c>
      <c r="G283" s="44" t="s">
        <v>9140</v>
      </c>
      <c r="H283" s="44"/>
    </row>
    <row r="284" spans="1:8" x14ac:dyDescent="0.25">
      <c r="A284" s="42" t="s">
        <v>1199</v>
      </c>
      <c r="B284" s="42">
        <v>4043</v>
      </c>
      <c r="C284" s="42" t="s">
        <v>1200</v>
      </c>
      <c r="D284" s="43">
        <v>8</v>
      </c>
      <c r="E284" s="42" t="s">
        <v>9632</v>
      </c>
      <c r="F284" s="42" t="s">
        <v>89</v>
      </c>
      <c r="G284" s="44" t="s">
        <v>9140</v>
      </c>
      <c r="H284" s="44"/>
    </row>
    <row r="285" spans="1:8" x14ac:dyDescent="0.25">
      <c r="A285" s="42" t="s">
        <v>875</v>
      </c>
      <c r="B285" s="42">
        <v>2030</v>
      </c>
      <c r="C285" s="42" t="s">
        <v>876</v>
      </c>
      <c r="D285" s="43">
        <v>14</v>
      </c>
      <c r="E285" s="42" t="s">
        <v>9632</v>
      </c>
      <c r="F285" s="42" t="s">
        <v>89</v>
      </c>
      <c r="G285" s="44" t="s">
        <v>28</v>
      </c>
      <c r="H285" s="44" t="s">
        <v>478</v>
      </c>
    </row>
    <row r="286" spans="1:8" x14ac:dyDescent="0.25">
      <c r="A286" s="42" t="s">
        <v>1106</v>
      </c>
      <c r="B286" s="42">
        <v>2059</v>
      </c>
      <c r="C286" s="42" t="s">
        <v>1101</v>
      </c>
      <c r="D286" s="43">
        <v>1</v>
      </c>
      <c r="E286" s="42" t="s">
        <v>9632</v>
      </c>
      <c r="F286" s="42" t="s">
        <v>89</v>
      </c>
      <c r="G286" s="44" t="s">
        <v>9140</v>
      </c>
      <c r="H286" s="44"/>
    </row>
    <row r="287" spans="1:8" x14ac:dyDescent="0.25">
      <c r="A287" s="42" t="s">
        <v>1718</v>
      </c>
      <c r="B287" s="42">
        <v>9090</v>
      </c>
      <c r="C287" s="42" t="s">
        <v>1719</v>
      </c>
      <c r="D287" s="43">
        <v>0</v>
      </c>
      <c r="E287" s="42" t="s">
        <v>9633</v>
      </c>
      <c r="F287" s="42" t="s">
        <v>1722</v>
      </c>
      <c r="G287" s="44" t="s">
        <v>9140</v>
      </c>
      <c r="H287" s="44"/>
    </row>
    <row r="288" spans="1:8" x14ac:dyDescent="0.25">
      <c r="A288" s="42" t="s">
        <v>1843</v>
      </c>
      <c r="B288" s="42">
        <v>9097</v>
      </c>
      <c r="C288" s="42" t="s">
        <v>1844</v>
      </c>
      <c r="D288" s="43">
        <v>1</v>
      </c>
      <c r="E288" s="42" t="s">
        <v>9632</v>
      </c>
      <c r="F288" s="42" t="s">
        <v>70</v>
      </c>
      <c r="G288" s="44" t="s">
        <v>9140</v>
      </c>
      <c r="H288" s="44"/>
    </row>
    <row r="289" spans="1:8" x14ac:dyDescent="0.25">
      <c r="A289" s="42" t="s">
        <v>512</v>
      </c>
      <c r="B289" s="42">
        <v>2019</v>
      </c>
      <c r="C289" s="42" t="s">
        <v>513</v>
      </c>
      <c r="D289" s="43">
        <v>1</v>
      </c>
      <c r="E289" s="42" t="s">
        <v>9632</v>
      </c>
      <c r="F289" s="42" t="s">
        <v>89</v>
      </c>
      <c r="G289" s="44" t="s">
        <v>9140</v>
      </c>
      <c r="H289" s="44"/>
    </row>
    <row r="290" spans="1:8" x14ac:dyDescent="0.25">
      <c r="A290" s="42" t="s">
        <v>1199</v>
      </c>
      <c r="B290" s="42">
        <v>4043</v>
      </c>
      <c r="C290" s="42" t="s">
        <v>1200</v>
      </c>
      <c r="D290" s="43">
        <v>8</v>
      </c>
      <c r="E290" s="42" t="s">
        <v>9632</v>
      </c>
      <c r="F290" s="42" t="s">
        <v>50</v>
      </c>
      <c r="G290" s="44" t="s">
        <v>9140</v>
      </c>
      <c r="H290" s="44"/>
    </row>
    <row r="291" spans="1:8" x14ac:dyDescent="0.25">
      <c r="A291" s="42" t="s">
        <v>221</v>
      </c>
      <c r="B291" s="42">
        <v>1011</v>
      </c>
      <c r="C291" s="42" t="s">
        <v>215</v>
      </c>
      <c r="D291" s="43">
        <v>9</v>
      </c>
      <c r="E291" s="42" t="s">
        <v>9631</v>
      </c>
      <c r="F291" s="42" t="s">
        <v>134</v>
      </c>
      <c r="G291" s="44" t="s">
        <v>9140</v>
      </c>
      <c r="H291" s="44"/>
    </row>
    <row r="292" spans="1:8" x14ac:dyDescent="0.25">
      <c r="A292" s="42" t="s">
        <v>761</v>
      </c>
      <c r="B292" s="42">
        <v>2026</v>
      </c>
      <c r="C292" s="42" t="s">
        <v>756</v>
      </c>
      <c r="D292" s="43">
        <v>18</v>
      </c>
      <c r="E292" s="42" t="s">
        <v>9632</v>
      </c>
      <c r="F292" s="42" t="s">
        <v>583</v>
      </c>
      <c r="G292" s="44" t="s">
        <v>28</v>
      </c>
      <c r="H292" s="44" t="s">
        <v>478</v>
      </c>
    </row>
    <row r="293" spans="1:8" x14ac:dyDescent="0.25">
      <c r="A293" s="42" t="s">
        <v>1206</v>
      </c>
      <c r="B293" s="42">
        <v>4043</v>
      </c>
      <c r="C293" s="42" t="s">
        <v>1200</v>
      </c>
      <c r="D293" s="43">
        <v>11</v>
      </c>
      <c r="E293" s="42" t="s">
        <v>9632</v>
      </c>
      <c r="F293" s="42" t="s">
        <v>115</v>
      </c>
      <c r="G293" s="44" t="s">
        <v>28</v>
      </c>
      <c r="H293" s="44" t="s">
        <v>478</v>
      </c>
    </row>
    <row r="294" spans="1:8" x14ac:dyDescent="0.25">
      <c r="A294" s="42" t="s">
        <v>1536</v>
      </c>
      <c r="B294" s="42">
        <v>6068</v>
      </c>
      <c r="C294" s="42" t="s">
        <v>1537</v>
      </c>
      <c r="D294" s="43">
        <v>5</v>
      </c>
      <c r="E294" s="42" t="s">
        <v>9632</v>
      </c>
      <c r="F294" s="42" t="s">
        <v>50</v>
      </c>
      <c r="G294" s="44" t="s">
        <v>9140</v>
      </c>
      <c r="H294" s="44"/>
    </row>
    <row r="295" spans="1:8" x14ac:dyDescent="0.25">
      <c r="A295" s="42" t="s">
        <v>1542</v>
      </c>
      <c r="B295" s="42">
        <v>6068</v>
      </c>
      <c r="C295" s="42" t="s">
        <v>1537</v>
      </c>
      <c r="D295" s="43">
        <v>0</v>
      </c>
      <c r="E295" s="42" t="s">
        <v>9633</v>
      </c>
      <c r="F295" s="42" t="s">
        <v>1545</v>
      </c>
      <c r="G295" s="44" t="s">
        <v>9140</v>
      </c>
      <c r="H295" s="44"/>
    </row>
    <row r="296" spans="1:8" x14ac:dyDescent="0.25">
      <c r="A296" s="42" t="s">
        <v>957</v>
      </c>
      <c r="B296" s="42">
        <v>2033</v>
      </c>
      <c r="C296" s="42" t="s">
        <v>952</v>
      </c>
      <c r="D296" s="43">
        <v>0</v>
      </c>
      <c r="E296" s="42" t="s">
        <v>9633</v>
      </c>
      <c r="F296" s="42" t="s">
        <v>115</v>
      </c>
      <c r="G296" s="44" t="s">
        <v>9140</v>
      </c>
      <c r="H296" s="44"/>
    </row>
    <row r="297" spans="1:8" x14ac:dyDescent="0.25">
      <c r="A297" s="42" t="s">
        <v>1665</v>
      </c>
      <c r="B297" s="42">
        <v>9087</v>
      </c>
      <c r="C297" s="42" t="s">
        <v>1666</v>
      </c>
      <c r="D297" s="43">
        <v>1</v>
      </c>
      <c r="E297" s="42" t="s">
        <v>9631</v>
      </c>
      <c r="F297" s="42" t="s">
        <v>115</v>
      </c>
      <c r="G297" s="44" t="s">
        <v>9140</v>
      </c>
      <c r="H297" s="44"/>
    </row>
    <row r="298" spans="1:8" x14ac:dyDescent="0.25">
      <c r="A298" s="42" t="s">
        <v>564</v>
      </c>
      <c r="B298" s="42">
        <v>2022</v>
      </c>
      <c r="C298" s="42" t="s">
        <v>565</v>
      </c>
      <c r="D298" s="43">
        <v>3</v>
      </c>
      <c r="E298" s="42" t="s">
        <v>9633</v>
      </c>
      <c r="F298" s="42" t="s">
        <v>115</v>
      </c>
      <c r="G298" s="44" t="s">
        <v>9140</v>
      </c>
      <c r="H298" s="44"/>
    </row>
    <row r="299" spans="1:8" x14ac:dyDescent="0.25">
      <c r="A299" s="42" t="s">
        <v>1747</v>
      </c>
      <c r="B299" s="42">
        <v>9095</v>
      </c>
      <c r="C299" s="42" t="s">
        <v>1742</v>
      </c>
      <c r="D299" s="43">
        <v>5</v>
      </c>
      <c r="E299" s="42" t="s">
        <v>9632</v>
      </c>
      <c r="F299" s="42" t="s">
        <v>50</v>
      </c>
      <c r="G299" s="44" t="s">
        <v>9140</v>
      </c>
      <c r="H299" s="44"/>
    </row>
    <row r="300" spans="1:8" x14ac:dyDescent="0.25">
      <c r="A300" s="42" t="s">
        <v>1341</v>
      </c>
      <c r="B300" s="42">
        <v>4045</v>
      </c>
      <c r="C300" s="42" t="s">
        <v>1329</v>
      </c>
      <c r="D300" s="43">
        <v>2</v>
      </c>
      <c r="E300" s="42" t="s">
        <v>9632</v>
      </c>
      <c r="F300" s="42" t="s">
        <v>70</v>
      </c>
      <c r="G300" s="44" t="s">
        <v>9140</v>
      </c>
      <c r="H300" s="44"/>
    </row>
    <row r="301" spans="1:8" x14ac:dyDescent="0.25">
      <c r="A301" s="42" t="s">
        <v>700</v>
      </c>
      <c r="B301" s="42">
        <v>2025</v>
      </c>
      <c r="C301" s="42" t="s">
        <v>701</v>
      </c>
      <c r="D301" s="43">
        <v>9</v>
      </c>
      <c r="E301" s="42" t="s">
        <v>9632</v>
      </c>
      <c r="F301" s="42" t="s">
        <v>50</v>
      </c>
      <c r="G301" s="44" t="s">
        <v>9140</v>
      </c>
      <c r="H301" s="44"/>
    </row>
    <row r="302" spans="1:8" x14ac:dyDescent="0.25">
      <c r="A302" s="42" t="s">
        <v>855</v>
      </c>
      <c r="B302" s="42">
        <v>2029</v>
      </c>
      <c r="C302" s="42" t="s">
        <v>845</v>
      </c>
      <c r="D302" s="43">
        <v>4</v>
      </c>
      <c r="E302" s="42" t="s">
        <v>9632</v>
      </c>
      <c r="F302" s="42" t="s">
        <v>70</v>
      </c>
      <c r="G302" s="44" t="s">
        <v>9140</v>
      </c>
      <c r="H302" s="44"/>
    </row>
    <row r="303" spans="1:8" x14ac:dyDescent="0.25">
      <c r="A303" s="42" t="s">
        <v>1100</v>
      </c>
      <c r="B303" s="42">
        <v>2059</v>
      </c>
      <c r="C303" s="42" t="s">
        <v>1101</v>
      </c>
      <c r="D303" s="43">
        <v>1</v>
      </c>
      <c r="E303" s="42" t="s">
        <v>9631</v>
      </c>
      <c r="F303" s="42" t="s">
        <v>50</v>
      </c>
      <c r="G303" s="44" t="s">
        <v>9140</v>
      </c>
      <c r="H303" s="44"/>
    </row>
    <row r="304" spans="1:8" x14ac:dyDescent="0.25">
      <c r="A304" s="42" t="s">
        <v>214</v>
      </c>
      <c r="B304" s="42">
        <v>1011</v>
      </c>
      <c r="C304" s="42" t="s">
        <v>215</v>
      </c>
      <c r="D304" s="43">
        <v>3</v>
      </c>
      <c r="E304" s="42" t="s">
        <v>9632</v>
      </c>
      <c r="F304" s="42" t="s">
        <v>70</v>
      </c>
      <c r="G304" s="44" t="s">
        <v>9140</v>
      </c>
      <c r="H304" s="44"/>
    </row>
    <row r="305" spans="1:8" x14ac:dyDescent="0.25">
      <c r="A305" s="42" t="s">
        <v>1199</v>
      </c>
      <c r="B305" s="42">
        <v>4043</v>
      </c>
      <c r="C305" s="42" t="s">
        <v>1200</v>
      </c>
      <c r="D305" s="43">
        <v>8</v>
      </c>
      <c r="E305" s="42" t="s">
        <v>9632</v>
      </c>
      <c r="F305" s="42" t="s">
        <v>115</v>
      </c>
      <c r="G305" s="44" t="s">
        <v>28</v>
      </c>
      <c r="H305" s="44" t="s">
        <v>183</v>
      </c>
    </row>
    <row r="306" spans="1:8" x14ac:dyDescent="0.25">
      <c r="A306" s="42" t="s">
        <v>474</v>
      </c>
      <c r="B306" s="42">
        <v>2016</v>
      </c>
      <c r="C306" s="42" t="s">
        <v>475</v>
      </c>
      <c r="D306" s="43">
        <v>1</v>
      </c>
      <c r="E306" s="42" t="s">
        <v>9632</v>
      </c>
      <c r="F306" s="42" t="s">
        <v>479</v>
      </c>
      <c r="G306" s="44" t="s">
        <v>28</v>
      </c>
      <c r="H306" s="44" t="s">
        <v>478</v>
      </c>
    </row>
    <row r="307" spans="1:8" x14ac:dyDescent="0.25">
      <c r="A307" s="42" t="s">
        <v>421</v>
      </c>
      <c r="B307" s="42">
        <v>1013</v>
      </c>
      <c r="C307" s="42" t="s">
        <v>422</v>
      </c>
      <c r="D307" s="43">
        <v>16</v>
      </c>
      <c r="E307" s="42" t="s">
        <v>9632</v>
      </c>
      <c r="F307" s="42" t="s">
        <v>425</v>
      </c>
      <c r="G307" s="44" t="s">
        <v>28</v>
      </c>
      <c r="H307" s="44" t="s">
        <v>183</v>
      </c>
    </row>
    <row r="308" spans="1:8" x14ac:dyDescent="0.25">
      <c r="A308" s="42" t="s">
        <v>1290</v>
      </c>
      <c r="B308" s="42">
        <v>4044</v>
      </c>
      <c r="C308" s="42" t="s">
        <v>1285</v>
      </c>
      <c r="D308" s="43">
        <v>0</v>
      </c>
      <c r="E308" s="42" t="s">
        <v>9633</v>
      </c>
      <c r="F308" s="42" t="s">
        <v>50</v>
      </c>
      <c r="G308" s="44" t="s">
        <v>9140</v>
      </c>
      <c r="H308" s="44"/>
    </row>
    <row r="309" spans="1:8" x14ac:dyDescent="0.25">
      <c r="A309" s="42" t="s">
        <v>543</v>
      </c>
      <c r="B309" s="42">
        <v>2020</v>
      </c>
      <c r="C309" s="42" t="s">
        <v>538</v>
      </c>
      <c r="D309" s="43">
        <v>9</v>
      </c>
      <c r="E309" s="42" t="s">
        <v>9632</v>
      </c>
      <c r="F309" s="42" t="s">
        <v>115</v>
      </c>
      <c r="G309" s="44" t="s">
        <v>9140</v>
      </c>
      <c r="H309" s="44"/>
    </row>
    <row r="310" spans="1:8" x14ac:dyDescent="0.25">
      <c r="A310" s="42" t="s">
        <v>1054</v>
      </c>
      <c r="B310" s="42">
        <v>2048</v>
      </c>
      <c r="C310" s="42" t="s">
        <v>1055</v>
      </c>
      <c r="D310" s="43">
        <v>2</v>
      </c>
      <c r="E310" s="42" t="s">
        <v>9632</v>
      </c>
      <c r="F310" s="42" t="s">
        <v>1058</v>
      </c>
      <c r="G310" s="44" t="s">
        <v>9140</v>
      </c>
      <c r="H310" s="44"/>
    </row>
    <row r="311" spans="1:8" x14ac:dyDescent="0.25">
      <c r="A311" s="42" t="s">
        <v>614</v>
      </c>
      <c r="B311" s="42">
        <v>2023</v>
      </c>
      <c r="C311" s="42" t="s">
        <v>615</v>
      </c>
      <c r="D311" s="43">
        <v>7</v>
      </c>
      <c r="E311" s="42" t="s">
        <v>9631</v>
      </c>
      <c r="F311" s="42" t="s">
        <v>50</v>
      </c>
      <c r="G311" s="44" t="s">
        <v>9140</v>
      </c>
      <c r="H311" s="44"/>
    </row>
    <row r="312" spans="1:8" x14ac:dyDescent="0.25">
      <c r="A312" s="42" t="s">
        <v>1284</v>
      </c>
      <c r="B312" s="42">
        <v>4044</v>
      </c>
      <c r="C312" s="42" t="s">
        <v>1285</v>
      </c>
      <c r="D312" s="43">
        <v>1</v>
      </c>
      <c r="E312" s="42" t="s">
        <v>9632</v>
      </c>
      <c r="F312" s="42" t="s">
        <v>115</v>
      </c>
      <c r="G312" s="44" t="s">
        <v>9140</v>
      </c>
      <c r="H312" s="44"/>
    </row>
    <row r="313" spans="1:8" x14ac:dyDescent="0.25">
      <c r="A313" s="42" t="s">
        <v>850</v>
      </c>
      <c r="B313" s="42">
        <v>2029</v>
      </c>
      <c r="C313" s="42" t="s">
        <v>845</v>
      </c>
      <c r="D313" s="43">
        <v>2</v>
      </c>
      <c r="E313" s="42" t="s">
        <v>9632</v>
      </c>
      <c r="F313" s="42" t="s">
        <v>50</v>
      </c>
      <c r="G313" s="44" t="s">
        <v>9140</v>
      </c>
      <c r="H313" s="44"/>
    </row>
    <row r="314" spans="1:8" x14ac:dyDescent="0.25">
      <c r="A314" s="42" t="s">
        <v>1335</v>
      </c>
      <c r="B314" s="42">
        <v>4045</v>
      </c>
      <c r="C314" s="42" t="s">
        <v>1329</v>
      </c>
      <c r="D314" s="43">
        <v>23</v>
      </c>
      <c r="E314" s="42" t="s">
        <v>9632</v>
      </c>
      <c r="F314" s="42" t="s">
        <v>50</v>
      </c>
      <c r="G314" s="44" t="s">
        <v>9140</v>
      </c>
      <c r="H314" s="44"/>
    </row>
    <row r="315" spans="1:8" x14ac:dyDescent="0.25">
      <c r="A315" s="42" t="s">
        <v>809</v>
      </c>
      <c r="B315" s="42">
        <v>2028</v>
      </c>
      <c r="C315" s="42" t="s">
        <v>804</v>
      </c>
      <c r="D315" s="43">
        <v>3</v>
      </c>
      <c r="E315" s="42" t="s">
        <v>9632</v>
      </c>
      <c r="F315" s="42" t="s">
        <v>70</v>
      </c>
      <c r="G315" s="44" t="s">
        <v>9140</v>
      </c>
      <c r="H315" s="44"/>
    </row>
    <row r="316" spans="1:8" x14ac:dyDescent="0.25">
      <c r="A316" s="42" t="s">
        <v>57</v>
      </c>
      <c r="B316" s="42">
        <v>1005</v>
      </c>
      <c r="C316" s="42" t="s">
        <v>43</v>
      </c>
      <c r="D316" s="43">
        <v>1</v>
      </c>
      <c r="E316" s="42" t="s">
        <v>9633</v>
      </c>
      <c r="F316" s="42" t="s">
        <v>50</v>
      </c>
      <c r="G316" s="44" t="s">
        <v>9140</v>
      </c>
      <c r="H316" s="44"/>
    </row>
    <row r="317" spans="1:8" x14ac:dyDescent="0.25">
      <c r="A317" s="42" t="s">
        <v>803</v>
      </c>
      <c r="B317" s="42">
        <v>2028</v>
      </c>
      <c r="C317" s="42" t="s">
        <v>804</v>
      </c>
      <c r="D317" s="43">
        <v>4</v>
      </c>
      <c r="E317" s="42" t="s">
        <v>9631</v>
      </c>
      <c r="F317" s="42" t="s">
        <v>50</v>
      </c>
      <c r="G317" s="44" t="s">
        <v>9140</v>
      </c>
      <c r="H317" s="44"/>
    </row>
    <row r="318" spans="1:8" x14ac:dyDescent="0.25">
      <c r="A318" s="42" t="s">
        <v>951</v>
      </c>
      <c r="B318" s="42">
        <v>2033</v>
      </c>
      <c r="C318" s="42" t="s">
        <v>952</v>
      </c>
      <c r="D318" s="43">
        <v>2</v>
      </c>
      <c r="E318" s="42" t="s">
        <v>9632</v>
      </c>
      <c r="F318" s="42" t="s">
        <v>50</v>
      </c>
      <c r="G318" s="44" t="s">
        <v>9140</v>
      </c>
      <c r="H318" s="44"/>
    </row>
    <row r="319" spans="1:8" x14ac:dyDescent="0.25">
      <c r="A319" s="42" t="s">
        <v>1328</v>
      </c>
      <c r="B319" s="42">
        <v>4045</v>
      </c>
      <c r="C319" s="42" t="s">
        <v>1329</v>
      </c>
      <c r="D319" s="43">
        <v>30</v>
      </c>
      <c r="E319" s="42" t="s">
        <v>9631</v>
      </c>
      <c r="F319" s="42" t="s">
        <v>115</v>
      </c>
      <c r="G319" s="44" t="s">
        <v>9140</v>
      </c>
      <c r="H319" s="44"/>
    </row>
    <row r="320" spans="1:8" x14ac:dyDescent="0.25">
      <c r="A320" s="42" t="s">
        <v>844</v>
      </c>
      <c r="B320" s="42">
        <v>2029</v>
      </c>
      <c r="C320" s="42" t="s">
        <v>845</v>
      </c>
      <c r="D320" s="43">
        <v>4</v>
      </c>
      <c r="E320" s="42" t="s">
        <v>9631</v>
      </c>
      <c r="F320" s="42" t="s">
        <v>115</v>
      </c>
      <c r="G320" s="44" t="s">
        <v>28</v>
      </c>
      <c r="H320" s="44" t="s">
        <v>478</v>
      </c>
    </row>
    <row r="321" spans="1:8" x14ac:dyDescent="0.25">
      <c r="A321" s="42" t="s">
        <v>1365</v>
      </c>
      <c r="B321" s="42">
        <v>5053</v>
      </c>
      <c r="C321" s="42" t="s">
        <v>1367</v>
      </c>
      <c r="D321" s="43">
        <v>1</v>
      </c>
      <c r="E321" s="42" t="s">
        <v>9632</v>
      </c>
      <c r="F321" s="42" t="s">
        <v>115</v>
      </c>
      <c r="G321" s="44" t="s">
        <v>28</v>
      </c>
      <c r="H321" s="44" t="s">
        <v>478</v>
      </c>
    </row>
    <row r="322" spans="1:8" x14ac:dyDescent="0.25">
      <c r="A322" s="42" t="s">
        <v>41</v>
      </c>
      <c r="B322" s="42">
        <v>1005</v>
      </c>
      <c r="C322" s="42" t="s">
        <v>43</v>
      </c>
      <c r="D322" s="43">
        <v>2</v>
      </c>
      <c r="E322" s="42" t="s">
        <v>9633</v>
      </c>
      <c r="F322" s="42" t="s">
        <v>50</v>
      </c>
      <c r="G322" s="44" t="s">
        <v>9140</v>
      </c>
      <c r="H322" s="44"/>
    </row>
    <row r="323" spans="1:8" x14ac:dyDescent="0.25">
      <c r="A323" s="42" t="s">
        <v>1665</v>
      </c>
      <c r="B323" s="42">
        <v>9087</v>
      </c>
      <c r="C323" s="42" t="s">
        <v>1666</v>
      </c>
      <c r="D323" s="43">
        <v>1</v>
      </c>
      <c r="E323" s="42" t="s">
        <v>9631</v>
      </c>
      <c r="F323" s="42" t="s">
        <v>50</v>
      </c>
      <c r="G323" s="44" t="s">
        <v>9140</v>
      </c>
      <c r="H323" s="44"/>
    </row>
    <row r="324" spans="1:8" x14ac:dyDescent="0.25">
      <c r="A324" s="42" t="s">
        <v>755</v>
      </c>
      <c r="B324" s="42">
        <v>2026</v>
      </c>
      <c r="C324" s="42" t="s">
        <v>756</v>
      </c>
      <c r="D324" s="43">
        <v>0</v>
      </c>
      <c r="E324" s="42" t="s">
        <v>9633</v>
      </c>
      <c r="F324" s="42" t="s">
        <v>583</v>
      </c>
      <c r="G324" s="44" t="s">
        <v>9140</v>
      </c>
      <c r="H324" s="44"/>
    </row>
    <row r="325" spans="1:8" x14ac:dyDescent="0.25">
      <c r="A325" s="42" t="s">
        <v>1637</v>
      </c>
      <c r="B325" s="42">
        <v>6078</v>
      </c>
      <c r="C325" s="42" t="s">
        <v>1638</v>
      </c>
      <c r="D325" s="43">
        <v>3</v>
      </c>
      <c r="E325" s="42" t="s">
        <v>9633</v>
      </c>
      <c r="F325" s="42" t="s">
        <v>50</v>
      </c>
      <c r="G325" s="44" t="s">
        <v>9140</v>
      </c>
      <c r="H325" s="44"/>
    </row>
    <row r="326" spans="1:8" x14ac:dyDescent="0.25">
      <c r="A326" s="42" t="s">
        <v>537</v>
      </c>
      <c r="B326" s="42">
        <v>2020</v>
      </c>
      <c r="C326" s="42" t="s">
        <v>538</v>
      </c>
      <c r="D326" s="43">
        <v>3</v>
      </c>
      <c r="E326" s="42" t="s">
        <v>9633</v>
      </c>
      <c r="F326" s="42" t="s">
        <v>50</v>
      </c>
      <c r="G326" s="44" t="s">
        <v>9140</v>
      </c>
      <c r="H326" s="44"/>
    </row>
    <row r="327" spans="1:8" x14ac:dyDescent="0.25">
      <c r="A327" s="42" t="s">
        <v>1172</v>
      </c>
      <c r="B327" s="42">
        <v>4042</v>
      </c>
      <c r="C327" s="42" t="s">
        <v>1173</v>
      </c>
      <c r="D327" s="43">
        <v>2</v>
      </c>
      <c r="E327" s="42" t="s">
        <v>9632</v>
      </c>
      <c r="F327" s="42" t="s">
        <v>115</v>
      </c>
      <c r="G327" s="44" t="s">
        <v>9140</v>
      </c>
      <c r="H327" s="44"/>
    </row>
    <row r="328" spans="1:8" x14ac:dyDescent="0.25">
      <c r="A328" s="42" t="s">
        <v>1741</v>
      </c>
      <c r="B328" s="42">
        <v>9095</v>
      </c>
      <c r="C328" s="42" t="s">
        <v>1742</v>
      </c>
      <c r="D328" s="43">
        <v>0</v>
      </c>
      <c r="E328" s="42" t="s">
        <v>9633</v>
      </c>
      <c r="F328" s="42" t="s">
        <v>115</v>
      </c>
      <c r="G328" s="44" t="s">
        <v>9140</v>
      </c>
      <c r="H328" s="44"/>
    </row>
  </sheetData>
  <autoFilter ref="A1:H328" xr:uid="{61A9240F-C9DA-4729-94F7-68703C18E0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FC8B7-4AEF-41AB-8F34-0023FD8E771F}">
  <sheetPr>
    <tabColor theme="5"/>
  </sheetPr>
  <dimension ref="E18:T73"/>
  <sheetViews>
    <sheetView tabSelected="1" topLeftCell="B1" workbookViewId="0">
      <selection activeCell="AG18" sqref="AG18"/>
    </sheetView>
  </sheetViews>
  <sheetFormatPr defaultRowHeight="15" x14ac:dyDescent="0.25"/>
  <sheetData>
    <row r="18" spans="5:20" x14ac:dyDescent="0.25">
      <c r="E18" s="51" t="s">
        <v>9622</v>
      </c>
      <c r="F18" t="s">
        <v>9635</v>
      </c>
      <c r="S18" s="51" t="s">
        <v>9626</v>
      </c>
      <c r="T18" t="s">
        <v>9636</v>
      </c>
    </row>
    <row r="36" spans="5:20" x14ac:dyDescent="0.25">
      <c r="E36" s="51" t="s">
        <v>9624</v>
      </c>
      <c r="F36" t="s">
        <v>9638</v>
      </c>
      <c r="S36" s="51" t="s">
        <v>9628</v>
      </c>
      <c r="T36" t="s">
        <v>9637</v>
      </c>
    </row>
    <row r="54" spans="5:20" x14ac:dyDescent="0.25">
      <c r="E54" s="51" t="s">
        <v>9628</v>
      </c>
      <c r="F54" t="s">
        <v>9639</v>
      </c>
      <c r="S54" s="51" t="s">
        <v>9648</v>
      </c>
      <c r="T54" t="s">
        <v>9649</v>
      </c>
    </row>
    <row r="73" spans="13:14" x14ac:dyDescent="0.25">
      <c r="M73" s="51" t="s">
        <v>10044</v>
      </c>
      <c r="N73" t="s">
        <v>10045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106C-C607-445A-81A0-5899295EBF42}">
  <sheetPr>
    <tabColor theme="5"/>
  </sheetPr>
  <dimension ref="A1"/>
  <sheetViews>
    <sheetView workbookViewId="0">
      <selection activeCell="P7" sqref="P7"/>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FE58-0EBE-4E4F-A05B-609C60AE8B59}">
  <sheetPr>
    <tabColor theme="5"/>
  </sheetPr>
  <dimension ref="A3:V33"/>
  <sheetViews>
    <sheetView workbookViewId="0">
      <selection activeCell="N1" sqref="N1"/>
    </sheetView>
  </sheetViews>
  <sheetFormatPr defaultRowHeight="15" x14ac:dyDescent="0.25"/>
  <cols>
    <col min="1" max="1" width="0.85546875" customWidth="1"/>
    <col min="2" max="2" width="7.7109375" customWidth="1"/>
    <col min="16" max="17" width="0.7109375" customWidth="1"/>
  </cols>
  <sheetData>
    <row r="3" spans="1:22" x14ac:dyDescent="0.25">
      <c r="A3" t="s">
        <v>9588</v>
      </c>
      <c r="B3">
        <v>270</v>
      </c>
      <c r="P3" t="s">
        <v>9621</v>
      </c>
      <c r="Q3">
        <v>300</v>
      </c>
    </row>
    <row r="4" spans="1:22" x14ac:dyDescent="0.25">
      <c r="A4" t="s">
        <v>9613</v>
      </c>
      <c r="B4">
        <v>57</v>
      </c>
      <c r="P4" t="s">
        <v>9620</v>
      </c>
      <c r="Q4">
        <v>27</v>
      </c>
    </row>
    <row r="16" spans="1:22" x14ac:dyDescent="0.25">
      <c r="F16" s="51" t="s">
        <v>9622</v>
      </c>
      <c r="G16" t="s">
        <v>9623</v>
      </c>
      <c r="U16" s="51" t="s">
        <v>9626</v>
      </c>
      <c r="V16" t="s">
        <v>9627</v>
      </c>
    </row>
    <row r="18" spans="1:17" x14ac:dyDescent="0.25">
      <c r="A18" t="s">
        <v>183</v>
      </c>
      <c r="B18">
        <v>36</v>
      </c>
      <c r="P18" t="s">
        <v>9620</v>
      </c>
      <c r="Q18">
        <v>23</v>
      </c>
    </row>
    <row r="19" spans="1:17" x14ac:dyDescent="0.25">
      <c r="A19" t="s">
        <v>478</v>
      </c>
      <c r="B19">
        <v>13</v>
      </c>
      <c r="P19" t="s">
        <v>9618</v>
      </c>
      <c r="Q19">
        <v>1</v>
      </c>
    </row>
    <row r="20" spans="1:17" x14ac:dyDescent="0.25">
      <c r="A20" t="s">
        <v>147</v>
      </c>
      <c r="B20">
        <v>5</v>
      </c>
      <c r="P20" t="s">
        <v>9617</v>
      </c>
      <c r="Q20">
        <v>2</v>
      </c>
    </row>
    <row r="21" spans="1:17" x14ac:dyDescent="0.25">
      <c r="A21" t="s">
        <v>173</v>
      </c>
      <c r="B21">
        <v>2</v>
      </c>
      <c r="P21" t="s">
        <v>9619</v>
      </c>
      <c r="Q21">
        <v>1</v>
      </c>
    </row>
    <row r="22" spans="1:17" x14ac:dyDescent="0.25">
      <c r="A22" t="s">
        <v>372</v>
      </c>
      <c r="B22">
        <v>1</v>
      </c>
    </row>
    <row r="33" spans="6:22" x14ac:dyDescent="0.25">
      <c r="F33" s="51" t="s">
        <v>9624</v>
      </c>
      <c r="G33" t="s">
        <v>9625</v>
      </c>
      <c r="U33" s="51" t="s">
        <v>9628</v>
      </c>
      <c r="V33" t="s">
        <v>9629</v>
      </c>
    </row>
  </sheetData>
  <sortState xmlns:xlrd2="http://schemas.microsoft.com/office/spreadsheetml/2017/richdata2" ref="A18:B22">
    <sortCondition descending="1" ref="B18:B22"/>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F123-0FEB-4CF0-A066-A834BAAD1BA7}">
  <sheetPr>
    <tabColor theme="5"/>
  </sheetPr>
  <dimension ref="A1:U43"/>
  <sheetViews>
    <sheetView workbookViewId="0">
      <selection activeCell="O20" sqref="O20"/>
    </sheetView>
  </sheetViews>
  <sheetFormatPr defaultRowHeight="15" x14ac:dyDescent="0.25"/>
  <cols>
    <col min="1" max="1" width="26.140625" bestFit="1" customWidth="1"/>
    <col min="2" max="2" width="24.7109375" bestFit="1" customWidth="1"/>
    <col min="3" max="3" width="9.7109375" bestFit="1" customWidth="1"/>
    <col min="4" max="4" width="28" customWidth="1"/>
    <col min="5" max="5" width="27.140625" customWidth="1"/>
    <col min="6" max="6" width="10.140625" bestFit="1" customWidth="1"/>
    <col min="7" max="7" width="9.42578125" bestFit="1" customWidth="1"/>
    <col min="8" max="8" width="24.85546875" customWidth="1"/>
    <col min="9" max="9" width="30.42578125" customWidth="1"/>
    <col min="10" max="10" width="9.140625" bestFit="1" customWidth="1"/>
    <col min="11" max="11" width="15.140625" customWidth="1"/>
    <col min="12" max="12" width="10" bestFit="1" customWidth="1"/>
    <col min="13" max="14" width="10.140625" bestFit="1" customWidth="1"/>
    <col min="15" max="15" width="26.140625" customWidth="1"/>
    <col min="16" max="16" width="10" bestFit="1" customWidth="1"/>
    <col min="17" max="17" width="9.5703125" bestFit="1" customWidth="1"/>
    <col min="18" max="18" width="11.28515625" bestFit="1" customWidth="1"/>
    <col min="19" max="19" width="10" bestFit="1" customWidth="1"/>
    <col min="20" max="20" width="9.5703125" bestFit="1" customWidth="1"/>
    <col min="21" max="22" width="11.28515625" bestFit="1" customWidth="1"/>
    <col min="23" max="23" width="18.42578125" bestFit="1" customWidth="1"/>
    <col min="24" max="24" width="11.28515625" bestFit="1" customWidth="1"/>
  </cols>
  <sheetData>
    <row r="1" spans="1:21" x14ac:dyDescent="0.25">
      <c r="H1" s="34" t="s">
        <v>28</v>
      </c>
      <c r="I1" t="s">
        <v>28</v>
      </c>
      <c r="K1" s="34" t="s">
        <v>28</v>
      </c>
      <c r="L1" t="s">
        <v>28</v>
      </c>
      <c r="O1" s="34" t="s">
        <v>28</v>
      </c>
      <c r="P1" t="s">
        <v>28</v>
      </c>
    </row>
    <row r="2" spans="1:21" x14ac:dyDescent="0.25">
      <c r="A2" s="54" t="s">
        <v>9600</v>
      </c>
      <c r="B2" s="54"/>
      <c r="D2" s="54" t="s">
        <v>9610</v>
      </c>
      <c r="E2" s="54"/>
      <c r="H2" s="54" t="s">
        <v>9611</v>
      </c>
      <c r="I2" s="54"/>
      <c r="K2" s="54" t="s">
        <v>9612</v>
      </c>
      <c r="L2" s="54"/>
      <c r="O2" s="54" t="s">
        <v>9616</v>
      </c>
      <c r="P2" s="54"/>
    </row>
    <row r="3" spans="1:21" x14ac:dyDescent="0.25">
      <c r="A3" s="34" t="s">
        <v>9585</v>
      </c>
      <c r="B3" t="s">
        <v>9587</v>
      </c>
      <c r="D3" s="34" t="s">
        <v>9585</v>
      </c>
      <c r="E3" t="s">
        <v>9587</v>
      </c>
      <c r="H3" s="34" t="s">
        <v>9585</v>
      </c>
      <c r="I3" t="s">
        <v>9593</v>
      </c>
      <c r="K3" s="34" t="s">
        <v>9585</v>
      </c>
      <c r="L3" t="s">
        <v>9587</v>
      </c>
      <c r="O3" s="34" t="s">
        <v>9614</v>
      </c>
      <c r="P3" s="34" t="s">
        <v>9615</v>
      </c>
    </row>
    <row r="4" spans="1:21" x14ac:dyDescent="0.25">
      <c r="A4" s="4" t="s">
        <v>9190</v>
      </c>
      <c r="B4">
        <v>34</v>
      </c>
      <c r="D4" s="4" t="s">
        <v>9602</v>
      </c>
      <c r="E4">
        <v>62</v>
      </c>
      <c r="H4" s="4" t="s">
        <v>9190</v>
      </c>
      <c r="I4">
        <v>4</v>
      </c>
      <c r="K4" s="4" t="s">
        <v>9602</v>
      </c>
      <c r="L4">
        <v>8</v>
      </c>
      <c r="O4" s="34" t="s">
        <v>9585</v>
      </c>
      <c r="P4" t="s">
        <v>9594</v>
      </c>
      <c r="Q4" t="s">
        <v>9595</v>
      </c>
      <c r="R4" t="s">
        <v>9596</v>
      </c>
      <c r="S4" t="s">
        <v>9597</v>
      </c>
      <c r="T4" t="s">
        <v>9599</v>
      </c>
      <c r="U4" t="s">
        <v>9586</v>
      </c>
    </row>
    <row r="5" spans="1:21" x14ac:dyDescent="0.25">
      <c r="A5" s="50" t="s">
        <v>9598</v>
      </c>
      <c r="B5">
        <v>1</v>
      </c>
      <c r="D5" s="4" t="s">
        <v>9603</v>
      </c>
      <c r="E5">
        <v>165</v>
      </c>
      <c r="H5" s="50" t="s">
        <v>9594</v>
      </c>
      <c r="I5">
        <v>1</v>
      </c>
      <c r="K5" s="4" t="s">
        <v>9603</v>
      </c>
      <c r="L5">
        <v>28</v>
      </c>
      <c r="O5" s="4" t="s">
        <v>183</v>
      </c>
      <c r="S5">
        <v>1</v>
      </c>
      <c r="T5">
        <v>1</v>
      </c>
      <c r="U5">
        <v>2</v>
      </c>
    </row>
    <row r="6" spans="1:21" x14ac:dyDescent="0.25">
      <c r="A6" s="50" t="s">
        <v>9594</v>
      </c>
      <c r="B6">
        <v>5</v>
      </c>
      <c r="D6" s="4" t="s">
        <v>9604</v>
      </c>
      <c r="E6">
        <v>47</v>
      </c>
      <c r="H6" s="50" t="s">
        <v>9595</v>
      </c>
      <c r="I6">
        <v>1</v>
      </c>
      <c r="K6" s="4" t="s">
        <v>9604</v>
      </c>
      <c r="L6">
        <v>9</v>
      </c>
      <c r="O6" s="4" t="s">
        <v>372</v>
      </c>
      <c r="Q6">
        <v>1</v>
      </c>
      <c r="U6">
        <v>1</v>
      </c>
    </row>
    <row r="7" spans="1:21" x14ac:dyDescent="0.25">
      <c r="A7" s="50" t="s">
        <v>9595</v>
      </c>
      <c r="B7">
        <v>8</v>
      </c>
      <c r="D7" s="4" t="s">
        <v>9605</v>
      </c>
      <c r="E7">
        <v>17</v>
      </c>
      <c r="H7" s="50" t="s">
        <v>9596</v>
      </c>
      <c r="I7">
        <v>1</v>
      </c>
      <c r="K7" s="4" t="s">
        <v>9605</v>
      </c>
      <c r="L7">
        <v>8</v>
      </c>
      <c r="O7" s="4" t="s">
        <v>478</v>
      </c>
      <c r="R7">
        <v>1</v>
      </c>
      <c r="U7">
        <v>1</v>
      </c>
    </row>
    <row r="8" spans="1:21" x14ac:dyDescent="0.25">
      <c r="A8" s="50" t="s">
        <v>9596</v>
      </c>
      <c r="B8">
        <v>2</v>
      </c>
      <c r="D8" s="4" t="s">
        <v>9606</v>
      </c>
      <c r="E8">
        <v>17</v>
      </c>
      <c r="H8" s="50" t="s">
        <v>9597</v>
      </c>
      <c r="I8">
        <v>1</v>
      </c>
      <c r="K8" s="4" t="s">
        <v>9606</v>
      </c>
      <c r="L8">
        <v>3</v>
      </c>
      <c r="O8" s="4" t="s">
        <v>9586</v>
      </c>
      <c r="Q8">
        <v>1</v>
      </c>
      <c r="R8">
        <v>1</v>
      </c>
      <c r="S8">
        <v>1</v>
      </c>
      <c r="T8">
        <v>1</v>
      </c>
      <c r="U8">
        <v>4</v>
      </c>
    </row>
    <row r="9" spans="1:21" x14ac:dyDescent="0.25">
      <c r="A9" s="50" t="s">
        <v>9597</v>
      </c>
      <c r="B9">
        <v>8</v>
      </c>
      <c r="D9" s="4" t="s">
        <v>9607</v>
      </c>
      <c r="E9">
        <v>7</v>
      </c>
      <c r="H9" s="4" t="s">
        <v>9192</v>
      </c>
      <c r="I9">
        <v>17</v>
      </c>
      <c r="K9" s="4" t="s">
        <v>9608</v>
      </c>
      <c r="L9">
        <v>1</v>
      </c>
    </row>
    <row r="10" spans="1:21" x14ac:dyDescent="0.25">
      <c r="A10" s="50" t="s">
        <v>9599</v>
      </c>
      <c r="B10">
        <v>10</v>
      </c>
      <c r="D10" s="4" t="s">
        <v>9608</v>
      </c>
      <c r="E10">
        <v>7</v>
      </c>
      <c r="H10" s="50" t="s">
        <v>9594</v>
      </c>
      <c r="I10">
        <v>4</v>
      </c>
      <c r="K10" s="4" t="s">
        <v>9586</v>
      </c>
      <c r="L10">
        <v>57</v>
      </c>
    </row>
    <row r="11" spans="1:21" x14ac:dyDescent="0.25">
      <c r="A11" s="4" t="s">
        <v>9192</v>
      </c>
      <c r="B11">
        <v>74</v>
      </c>
      <c r="D11" s="4" t="s">
        <v>9609</v>
      </c>
      <c r="E11">
        <v>5</v>
      </c>
      <c r="H11" s="50" t="s">
        <v>9595</v>
      </c>
      <c r="I11">
        <v>5</v>
      </c>
    </row>
    <row r="12" spans="1:21" x14ac:dyDescent="0.25">
      <c r="A12" s="50" t="s">
        <v>9598</v>
      </c>
      <c r="B12">
        <v>6</v>
      </c>
      <c r="D12" s="4" t="s">
        <v>9586</v>
      </c>
      <c r="E12">
        <v>327</v>
      </c>
      <c r="H12" s="50" t="s">
        <v>9596</v>
      </c>
      <c r="I12">
        <v>2</v>
      </c>
    </row>
    <row r="13" spans="1:21" x14ac:dyDescent="0.25">
      <c r="A13" s="50" t="s">
        <v>9594</v>
      </c>
      <c r="B13">
        <v>8</v>
      </c>
      <c r="H13" s="50" t="s">
        <v>9597</v>
      </c>
      <c r="I13">
        <v>3</v>
      </c>
    </row>
    <row r="14" spans="1:21" x14ac:dyDescent="0.25">
      <c r="A14" s="50" t="s">
        <v>9595</v>
      </c>
      <c r="B14">
        <v>22</v>
      </c>
      <c r="H14" s="50" t="s">
        <v>9599</v>
      </c>
      <c r="I14">
        <v>3</v>
      </c>
    </row>
    <row r="15" spans="1:21" x14ac:dyDescent="0.25">
      <c r="A15" s="50" t="s">
        <v>9596</v>
      </c>
      <c r="B15">
        <v>8</v>
      </c>
      <c r="D15" s="34" t="s">
        <v>9601</v>
      </c>
      <c r="E15" t="s">
        <v>9603</v>
      </c>
      <c r="H15" s="4" t="s">
        <v>9145</v>
      </c>
      <c r="I15">
        <v>12</v>
      </c>
    </row>
    <row r="16" spans="1:21" x14ac:dyDescent="0.25">
      <c r="A16" s="50" t="s">
        <v>9597</v>
      </c>
      <c r="B16">
        <v>17</v>
      </c>
      <c r="D16" s="54" t="s">
        <v>9640</v>
      </c>
      <c r="E16" s="54"/>
      <c r="H16" s="50" t="s">
        <v>9594</v>
      </c>
      <c r="I16">
        <v>2</v>
      </c>
    </row>
    <row r="17" spans="1:9" x14ac:dyDescent="0.25">
      <c r="A17" s="50" t="s">
        <v>9599</v>
      </c>
      <c r="B17">
        <v>13</v>
      </c>
      <c r="D17" s="34" t="s">
        <v>9585</v>
      </c>
      <c r="E17" t="s">
        <v>9587</v>
      </c>
      <c r="H17" s="50" t="s">
        <v>9595</v>
      </c>
      <c r="I17">
        <v>2</v>
      </c>
    </row>
    <row r="18" spans="1:9" x14ac:dyDescent="0.25">
      <c r="A18" s="4" t="s">
        <v>9145</v>
      </c>
      <c r="B18">
        <v>103</v>
      </c>
      <c r="D18" s="4">
        <v>1</v>
      </c>
      <c r="E18">
        <v>72</v>
      </c>
      <c r="H18" s="50" t="s">
        <v>9596</v>
      </c>
      <c r="I18">
        <v>2</v>
      </c>
    </row>
    <row r="19" spans="1:9" x14ac:dyDescent="0.25">
      <c r="A19" s="50" t="s">
        <v>9598</v>
      </c>
      <c r="B19">
        <v>9</v>
      </c>
      <c r="D19" s="4">
        <v>2</v>
      </c>
      <c r="E19">
        <v>38</v>
      </c>
      <c r="H19" s="50" t="s">
        <v>9597</v>
      </c>
      <c r="I19">
        <v>2</v>
      </c>
    </row>
    <row r="20" spans="1:9" x14ac:dyDescent="0.25">
      <c r="A20" s="50" t="s">
        <v>9594</v>
      </c>
      <c r="B20">
        <v>15</v>
      </c>
      <c r="D20" s="4">
        <v>3</v>
      </c>
      <c r="E20">
        <v>23</v>
      </c>
      <c r="H20" s="50" t="s">
        <v>9599</v>
      </c>
      <c r="I20">
        <v>4</v>
      </c>
    </row>
    <row r="21" spans="1:9" x14ac:dyDescent="0.25">
      <c r="A21" s="50" t="s">
        <v>9595</v>
      </c>
      <c r="B21">
        <v>16</v>
      </c>
      <c r="D21" s="4">
        <v>4</v>
      </c>
      <c r="E21">
        <v>20</v>
      </c>
      <c r="H21" s="4" t="s">
        <v>9176</v>
      </c>
      <c r="I21">
        <v>13</v>
      </c>
    </row>
    <row r="22" spans="1:9" x14ac:dyDescent="0.25">
      <c r="A22" s="50" t="s">
        <v>9596</v>
      </c>
      <c r="B22">
        <v>14</v>
      </c>
      <c r="D22" s="4">
        <v>5</v>
      </c>
      <c r="E22">
        <v>12</v>
      </c>
      <c r="H22" s="50" t="s">
        <v>9594</v>
      </c>
      <c r="I22">
        <v>3</v>
      </c>
    </row>
    <row r="23" spans="1:9" x14ac:dyDescent="0.25">
      <c r="A23" s="50" t="s">
        <v>9597</v>
      </c>
      <c r="B23">
        <v>18</v>
      </c>
      <c r="D23" s="4" t="s">
        <v>9586</v>
      </c>
      <c r="E23">
        <v>165</v>
      </c>
      <c r="H23" s="50" t="s">
        <v>9595</v>
      </c>
      <c r="I23">
        <v>2</v>
      </c>
    </row>
    <row r="24" spans="1:9" x14ac:dyDescent="0.25">
      <c r="A24" s="50" t="s">
        <v>9599</v>
      </c>
      <c r="B24">
        <v>31</v>
      </c>
      <c r="H24" s="50" t="s">
        <v>9596</v>
      </c>
      <c r="I24">
        <v>2</v>
      </c>
    </row>
    <row r="25" spans="1:9" x14ac:dyDescent="0.25">
      <c r="A25" s="4" t="s">
        <v>9176</v>
      </c>
      <c r="B25">
        <v>64</v>
      </c>
      <c r="H25" s="50" t="s">
        <v>9597</v>
      </c>
      <c r="I25">
        <v>1</v>
      </c>
    </row>
    <row r="26" spans="1:9" x14ac:dyDescent="0.25">
      <c r="A26" s="50" t="s">
        <v>9598</v>
      </c>
      <c r="B26">
        <v>4</v>
      </c>
      <c r="H26" s="50" t="s">
        <v>9599</v>
      </c>
      <c r="I26">
        <v>5</v>
      </c>
    </row>
    <row r="27" spans="1:9" x14ac:dyDescent="0.25">
      <c r="A27" s="50" t="s">
        <v>9594</v>
      </c>
      <c r="B27">
        <v>14</v>
      </c>
      <c r="H27" s="4" t="s">
        <v>9178</v>
      </c>
      <c r="I27">
        <v>11</v>
      </c>
    </row>
    <row r="28" spans="1:9" x14ac:dyDescent="0.25">
      <c r="A28" s="50" t="s">
        <v>9595</v>
      </c>
      <c r="B28">
        <v>9</v>
      </c>
      <c r="H28" s="50" t="s">
        <v>9595</v>
      </c>
      <c r="I28">
        <v>1</v>
      </c>
    </row>
    <row r="29" spans="1:9" x14ac:dyDescent="0.25">
      <c r="A29" s="50" t="s">
        <v>9596</v>
      </c>
      <c r="B29">
        <v>8</v>
      </c>
      <c r="H29" s="50" t="s">
        <v>9596</v>
      </c>
      <c r="I29">
        <v>4</v>
      </c>
    </row>
    <row r="30" spans="1:9" x14ac:dyDescent="0.25">
      <c r="A30" s="50" t="s">
        <v>9597</v>
      </c>
      <c r="B30">
        <v>15</v>
      </c>
      <c r="H30" s="50" t="s">
        <v>9597</v>
      </c>
      <c r="I30">
        <v>1</v>
      </c>
    </row>
    <row r="31" spans="1:9" x14ac:dyDescent="0.25">
      <c r="A31" s="50" t="s">
        <v>9599</v>
      </c>
      <c r="B31">
        <v>14</v>
      </c>
      <c r="H31" s="50" t="s">
        <v>9599</v>
      </c>
      <c r="I31">
        <v>5</v>
      </c>
    </row>
    <row r="32" spans="1:9" x14ac:dyDescent="0.25">
      <c r="A32" s="4" t="s">
        <v>9178</v>
      </c>
      <c r="B32">
        <v>52</v>
      </c>
      <c r="H32" s="4" t="s">
        <v>9586</v>
      </c>
      <c r="I32">
        <v>57</v>
      </c>
    </row>
    <row r="33" spans="1:9" x14ac:dyDescent="0.25">
      <c r="A33" s="50" t="s">
        <v>9598</v>
      </c>
      <c r="B33">
        <v>1</v>
      </c>
    </row>
    <row r="34" spans="1:9" x14ac:dyDescent="0.25">
      <c r="A34" s="50" t="s">
        <v>9594</v>
      </c>
      <c r="B34">
        <v>7</v>
      </c>
      <c r="H34" s="34" t="s">
        <v>9601</v>
      </c>
      <c r="I34" t="s">
        <v>9603</v>
      </c>
    </row>
    <row r="35" spans="1:9" x14ac:dyDescent="0.25">
      <c r="A35" s="50" t="s">
        <v>9595</v>
      </c>
      <c r="B35">
        <v>8</v>
      </c>
      <c r="H35" s="34" t="s">
        <v>28</v>
      </c>
      <c r="I35" t="s">
        <v>28</v>
      </c>
    </row>
    <row r="36" spans="1:9" x14ac:dyDescent="0.25">
      <c r="A36" s="50" t="s">
        <v>9596</v>
      </c>
      <c r="B36">
        <v>12</v>
      </c>
      <c r="H36" s="54" t="s">
        <v>9641</v>
      </c>
      <c r="I36" s="54"/>
    </row>
    <row r="37" spans="1:9" x14ac:dyDescent="0.25">
      <c r="A37" s="50" t="s">
        <v>9597</v>
      </c>
      <c r="B37">
        <v>8</v>
      </c>
      <c r="H37" s="34" t="s">
        <v>9585</v>
      </c>
      <c r="I37" t="s">
        <v>9642</v>
      </c>
    </row>
    <row r="38" spans="1:9" x14ac:dyDescent="0.25">
      <c r="A38" s="50" t="s">
        <v>9599</v>
      </c>
      <c r="B38">
        <v>16</v>
      </c>
      <c r="H38" s="4">
        <v>1</v>
      </c>
      <c r="I38">
        <v>12</v>
      </c>
    </row>
    <row r="39" spans="1:9" x14ac:dyDescent="0.25">
      <c r="A39" s="4" t="s">
        <v>9586</v>
      </c>
      <c r="B39">
        <v>327</v>
      </c>
      <c r="H39" s="4">
        <v>2</v>
      </c>
      <c r="I39">
        <v>8</v>
      </c>
    </row>
    <row r="40" spans="1:9" x14ac:dyDescent="0.25">
      <c r="H40" s="4">
        <v>3</v>
      </c>
      <c r="I40">
        <v>3</v>
      </c>
    </row>
    <row r="41" spans="1:9" x14ac:dyDescent="0.25">
      <c r="H41" s="4">
        <v>4</v>
      </c>
      <c r="I41">
        <v>3</v>
      </c>
    </row>
    <row r="42" spans="1:9" x14ac:dyDescent="0.25">
      <c r="H42" s="4">
        <v>5</v>
      </c>
      <c r="I42">
        <v>2</v>
      </c>
    </row>
    <row r="43" spans="1:9" x14ac:dyDescent="0.25">
      <c r="H43" s="4" t="s">
        <v>9586</v>
      </c>
      <c r="I43">
        <v>28</v>
      </c>
    </row>
  </sheetData>
  <mergeCells count="7">
    <mergeCell ref="K2:L2"/>
    <mergeCell ref="O2:P2"/>
    <mergeCell ref="D16:E16"/>
    <mergeCell ref="H36:I36"/>
    <mergeCell ref="A2:B2"/>
    <mergeCell ref="D2:E2"/>
    <mergeCell ref="H2:I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B76EB-EC96-4A33-964F-768942B5FA5A}">
  <dimension ref="A1:AR34"/>
  <sheetViews>
    <sheetView workbookViewId="0">
      <selection activeCell="C18" sqref="C18"/>
    </sheetView>
  </sheetViews>
  <sheetFormatPr defaultRowHeight="15" x14ac:dyDescent="0.25"/>
  <cols>
    <col min="1" max="1" width="18" customWidth="1"/>
    <col min="3" max="3" width="8.5703125" customWidth="1"/>
    <col min="5" max="5" width="9.140625" hidden="1" customWidth="1"/>
    <col min="9" max="9" width="9.140625" hidden="1" customWidth="1"/>
    <col min="10" max="10" width="9.85546875" customWidth="1"/>
    <col min="11" max="11" width="10.85546875" customWidth="1"/>
    <col min="12" max="12" width="11.5703125" customWidth="1"/>
    <col min="13" max="13" width="10.85546875" hidden="1" customWidth="1"/>
    <col min="14" max="14" width="11.140625" customWidth="1"/>
    <col min="15" max="15" width="10.28515625" customWidth="1"/>
    <col min="16" max="16" width="10.140625" customWidth="1"/>
    <col min="17" max="17" width="9.140625" hidden="1" customWidth="1"/>
    <col min="18" max="18" width="8.28515625" hidden="1" customWidth="1"/>
    <col min="22" max="22" width="9.140625" hidden="1" customWidth="1"/>
    <col min="26" max="26" width="9.140625" hidden="1" customWidth="1"/>
    <col min="30" max="30" width="9.140625" hidden="1" customWidth="1"/>
    <col min="34" max="34" width="0" hidden="1" customWidth="1"/>
  </cols>
  <sheetData>
    <row r="1" spans="1:42" ht="15.75" thickBot="1" x14ac:dyDescent="0.3">
      <c r="A1" s="35" t="s">
        <v>9141</v>
      </c>
      <c r="B1" s="55" t="s">
        <v>9589</v>
      </c>
      <c r="C1" s="56"/>
      <c r="D1" s="56"/>
      <c r="E1" s="56"/>
      <c r="F1" s="56"/>
      <c r="G1" s="56"/>
      <c r="H1" s="56"/>
      <c r="I1" s="56"/>
      <c r="J1" s="56"/>
      <c r="K1" s="56"/>
      <c r="L1" s="56"/>
      <c r="M1" s="56"/>
      <c r="N1" s="56"/>
      <c r="O1" s="56"/>
      <c r="P1" s="56"/>
      <c r="Q1" s="56"/>
      <c r="R1" s="57"/>
      <c r="S1" s="58" t="s">
        <v>9590</v>
      </c>
      <c r="T1" s="59"/>
      <c r="U1" s="59"/>
      <c r="V1" s="59"/>
      <c r="W1" s="59"/>
      <c r="X1" s="59"/>
      <c r="Y1" s="59"/>
      <c r="Z1" s="59"/>
      <c r="AA1" s="59"/>
      <c r="AB1" s="59"/>
      <c r="AC1" s="59"/>
      <c r="AD1" s="59"/>
      <c r="AE1" s="59"/>
      <c r="AF1" s="59"/>
      <c r="AG1" s="59"/>
      <c r="AH1" s="59"/>
      <c r="AI1" s="59"/>
    </row>
    <row r="2" spans="1:42" ht="15.75" thickBot="1" x14ac:dyDescent="0.3">
      <c r="A2" s="40" t="s">
        <v>9588</v>
      </c>
      <c r="B2" s="37" t="str">
        <f>"JUL, "&amp;B1</f>
        <v>JUL, FY24</v>
      </c>
      <c r="C2" s="37" t="str">
        <f>"AUG, "&amp;B1</f>
        <v>AUG, FY24</v>
      </c>
      <c r="D2" s="37" t="str">
        <f>"SEP, "&amp;B1</f>
        <v>SEP, FY24</v>
      </c>
      <c r="E2" s="37" t="str">
        <f>"Q1, "&amp;B1</f>
        <v>Q1, FY24</v>
      </c>
      <c r="F2" s="37" t="str">
        <f>"OCT, "&amp;B1</f>
        <v>OCT, FY24</v>
      </c>
      <c r="G2" s="37" t="str">
        <f>"NOV, "&amp;B1</f>
        <v>NOV, FY24</v>
      </c>
      <c r="H2" s="37" t="str">
        <f>"DEC, "&amp;B1</f>
        <v>DEC, FY24</v>
      </c>
      <c r="I2" s="37" t="str">
        <f>"Q2, "&amp;B1</f>
        <v>Q2, FY24</v>
      </c>
      <c r="J2" s="37" t="str">
        <f>"JAN, "&amp;B1</f>
        <v>JAN, FY24</v>
      </c>
      <c r="K2" s="37" t="str">
        <f>"FEB, "&amp;B1</f>
        <v>FEB, FY24</v>
      </c>
      <c r="L2" s="37" t="str">
        <f>"MAR, "&amp;B1</f>
        <v>MAR, FY24</v>
      </c>
      <c r="M2" s="37" t="str">
        <f>"Q3, "&amp;B1</f>
        <v>Q3, FY24</v>
      </c>
      <c r="N2" s="37" t="str">
        <f>"APR, "&amp;B1</f>
        <v>APR, FY24</v>
      </c>
      <c r="O2" s="37" t="str">
        <f>"MAY, "&amp;B1</f>
        <v>MAY, FY24</v>
      </c>
      <c r="P2" s="37" t="str">
        <f>"JUN, "&amp;B1</f>
        <v>JUN, FY24</v>
      </c>
      <c r="Q2" s="37" t="str">
        <f>"Q4, "&amp;B1</f>
        <v>Q4, FY24</v>
      </c>
      <c r="R2" s="37" t="str">
        <f>"Full Year, "&amp;B1</f>
        <v>Full Year, FY24</v>
      </c>
      <c r="S2" s="38" t="str">
        <f>"JUL, "&amp;S1</f>
        <v>JUL, FY25</v>
      </c>
      <c r="T2" s="38" t="str">
        <f>"AUG, "&amp;S1</f>
        <v>AUG, FY25</v>
      </c>
      <c r="U2" s="38" t="str">
        <f>"SEP, "&amp;S1</f>
        <v>SEP, FY25</v>
      </c>
      <c r="V2" s="38" t="str">
        <f>"Q1, "&amp;S1</f>
        <v>Q1, FY25</v>
      </c>
      <c r="W2" s="38" t="str">
        <f>"OCT, "&amp;S1</f>
        <v>OCT, FY25</v>
      </c>
      <c r="X2" s="38" t="str">
        <f>"NOV, "&amp;S1</f>
        <v>NOV, FY25</v>
      </c>
      <c r="Y2" s="38" t="str">
        <f>"DEC, "&amp;S1</f>
        <v>DEC, FY25</v>
      </c>
      <c r="Z2" s="38" t="str">
        <f>"Q2, "&amp;S1</f>
        <v>Q2, FY25</v>
      </c>
      <c r="AA2" s="38" t="str">
        <f>"JAN, "&amp;S1</f>
        <v>JAN, FY25</v>
      </c>
      <c r="AB2" s="38" t="str">
        <f>"FEB, "&amp;S1</f>
        <v>FEB, FY25</v>
      </c>
      <c r="AC2" s="38" t="str">
        <f>"MAR, "&amp;S1</f>
        <v>MAR, FY25</v>
      </c>
      <c r="AD2" s="38" t="str">
        <f>"Q3, "&amp;S1</f>
        <v>Q3, FY25</v>
      </c>
      <c r="AE2" s="38" t="str">
        <f>"APR, "&amp;S1</f>
        <v>APR, FY25</v>
      </c>
      <c r="AF2" s="38" t="str">
        <f>"MAY, "&amp;S1</f>
        <v>MAY, FY25</v>
      </c>
      <c r="AG2" s="38" t="str">
        <f>"JUN, "&amp;S1</f>
        <v>JUN, FY25</v>
      </c>
      <c r="AH2" s="38" t="str">
        <f>"Q4, "&amp;S1</f>
        <v>Q4, FY25</v>
      </c>
      <c r="AI2" s="38" t="str">
        <f>"Full Year, "&amp;S1</f>
        <v>Full Year, FY25</v>
      </c>
    </row>
    <row r="3" spans="1:42" x14ac:dyDescent="0.25">
      <c r="A3" s="36" t="s">
        <v>9588</v>
      </c>
      <c r="B3" s="39">
        <f>COUNTIFS('18-Month HS Incidents'!$AO:$AO,'HS FEED'!B$2)</f>
        <v>0</v>
      </c>
      <c r="C3" s="39">
        <f>COUNTIFS('18-Month HS Incidents'!$AO:$AO,'HS FEED'!C$2)</f>
        <v>0</v>
      </c>
      <c r="D3" s="39">
        <f>COUNTIFS('18-Month HS Incidents'!$AO:$AO,'HS FEED'!D$2)</f>
        <v>0</v>
      </c>
      <c r="E3" s="39">
        <f>SUBTOTAL(9,B3:D3)</f>
        <v>0</v>
      </c>
      <c r="F3" s="39">
        <f>COUNTIFS('18-Month HS Incidents'!$AO:$AO,'HS FEED'!F$2)</f>
        <v>13</v>
      </c>
      <c r="G3" s="39">
        <f>COUNTIFS('18-Month HS Incidents'!$AO:$AO,'HS FEED'!G$2)</f>
        <v>19</v>
      </c>
      <c r="H3" s="39">
        <f>COUNTIFS('18-Month HS Incidents'!$AO:$AO,'HS FEED'!H$2)</f>
        <v>27</v>
      </c>
      <c r="I3" s="39">
        <f>SUBTOTAL(9,F3:H3)</f>
        <v>59</v>
      </c>
      <c r="J3" s="39">
        <f>COUNTIFS('18-Month HS Incidents'!$AO:$AO,'HS FEED'!J$2)</f>
        <v>17</v>
      </c>
      <c r="K3" s="39">
        <f>COUNTIFS('18-Month HS Incidents'!$AO:$AO,'HS FEED'!K$2)</f>
        <v>20</v>
      </c>
      <c r="L3" s="39">
        <f>COUNTIFS('18-Month HS Incidents'!$AO:$AO,'HS FEED'!L$2)</f>
        <v>17</v>
      </c>
      <c r="M3" s="39">
        <f>SUBTOTAL(9,J3:L3)</f>
        <v>54</v>
      </c>
      <c r="N3" s="39">
        <f>COUNTIFS('18-Month HS Incidents'!$AO:$AO,'HS FEED'!N$2)</f>
        <v>12</v>
      </c>
      <c r="O3" s="39">
        <f>COUNTIFS('18-Month HS Incidents'!$AO:$AO,'HS FEED'!O$2)</f>
        <v>30</v>
      </c>
      <c r="P3" s="39">
        <f>COUNTIFS('18-Month HS Incidents'!$AO:$AO,'HS FEED'!P$2)</f>
        <v>18</v>
      </c>
      <c r="Q3" s="39">
        <f>SUBTOTAL(9,N3:P3)</f>
        <v>60</v>
      </c>
      <c r="R3" s="39">
        <f>SUBTOTAL(9,B3:Q3)</f>
        <v>173</v>
      </c>
      <c r="S3" s="39">
        <f>COUNTIFS('18-Month HS Incidents'!$AO:$AO,'HS FEED'!S$2)</f>
        <v>16</v>
      </c>
      <c r="T3" s="39">
        <f>COUNTIFS('18-Month HS Incidents'!$AO:$AO,'HS FEED'!T$2)</f>
        <v>24</v>
      </c>
      <c r="U3" s="39">
        <f>COUNTIFS('18-Month HS Incidents'!$AO:$AO,'HS FEED'!U$2)</f>
        <v>17</v>
      </c>
      <c r="V3" s="39">
        <f>SUBTOTAL(9,S3:U3)</f>
        <v>57</v>
      </c>
      <c r="W3" s="39">
        <f>COUNTIFS('18-Month HS Incidents'!$AO:$AO,'HS FEED'!W$2)</f>
        <v>16</v>
      </c>
      <c r="X3" s="39">
        <f>COUNTIFS('18-Month HS Incidents'!$AO:$AO,'HS FEED'!X$2)</f>
        <v>18</v>
      </c>
      <c r="Y3" s="39">
        <f>COUNTIFS('18-Month HS Incidents'!$AO:$AO,'HS FEED'!Y$2)</f>
        <v>17</v>
      </c>
      <c r="Z3" s="39">
        <f>SUBTOTAL(9,W3:Y3)</f>
        <v>51</v>
      </c>
      <c r="AA3" s="39">
        <f>COUNTIFS('18-Month HS Incidents'!$AO:$AO,'HS FEED'!AA$2)</f>
        <v>8</v>
      </c>
      <c r="AB3" s="39">
        <f>COUNTIFS('18-Month HS Incidents'!$AO:$AO,'HS FEED'!AB$2)</f>
        <v>9</v>
      </c>
      <c r="AC3" s="39">
        <f>COUNTIFS('18-Month HS Incidents'!$AO:$AO,'HS FEED'!AC$2)</f>
        <v>19</v>
      </c>
      <c r="AD3" s="39">
        <f>SUBTOTAL(9,AA3:AC3)</f>
        <v>36</v>
      </c>
      <c r="AE3" s="39">
        <f>COUNTIFS('18-Month HS Incidents'!$AO:$AO,'HS FEED'!AE$2)</f>
        <v>10</v>
      </c>
      <c r="AF3" s="39">
        <f>COUNTIFS('18-Month HS Incidents'!$AO:$AO,'HS FEED'!AF$2)</f>
        <v>0</v>
      </c>
      <c r="AG3" s="39">
        <f>COUNTIFS('18-Month HS Incidents'!$AO:$AO,'HS FEED'!AG$2)</f>
        <v>0</v>
      </c>
      <c r="AH3" s="39">
        <f>SUBTOTAL(9,AE3:AG3)</f>
        <v>10</v>
      </c>
      <c r="AI3" s="39">
        <f>SUBTOTAL(9,S3:AH3)</f>
        <v>154</v>
      </c>
    </row>
    <row r="4" spans="1:42" x14ac:dyDescent="0.25">
      <c r="A4" s="39" t="s">
        <v>9591</v>
      </c>
      <c r="B4" s="39">
        <f>SUBTOTAL(9,$B3:B3)</f>
        <v>0</v>
      </c>
      <c r="C4" s="39">
        <f>SUBTOTAL(9,$B3:C3)</f>
        <v>0</v>
      </c>
      <c r="D4" s="39">
        <f>SUBTOTAL(9,$B3:D3)</f>
        <v>0</v>
      </c>
      <c r="E4" s="39">
        <f>SUBTOTAL(9,$B3:E3)</f>
        <v>0</v>
      </c>
      <c r="F4" s="39">
        <f>SUBTOTAL(9,$B3:F3)</f>
        <v>13</v>
      </c>
      <c r="G4" s="39">
        <f>SUBTOTAL(9,$B3:G3)</f>
        <v>32</v>
      </c>
      <c r="H4" s="39">
        <f>SUBTOTAL(9,$B3:H3)</f>
        <v>59</v>
      </c>
      <c r="I4" s="39">
        <f>SUBTOTAL(9,$B3:I3)</f>
        <v>59</v>
      </c>
      <c r="J4" s="39">
        <f>SUBTOTAL(9,$B3:J3)</f>
        <v>76</v>
      </c>
      <c r="K4" s="39">
        <f>SUBTOTAL(9,$B3:K3)</f>
        <v>96</v>
      </c>
      <c r="L4" s="39">
        <f>SUBTOTAL(9,$B3:L3)</f>
        <v>113</v>
      </c>
      <c r="M4" s="39">
        <f>SUBTOTAL(9,$B3:M3)</f>
        <v>113</v>
      </c>
      <c r="N4" s="39">
        <f>SUBTOTAL(9,$B3:N3)</f>
        <v>125</v>
      </c>
      <c r="O4" s="39">
        <f>SUBTOTAL(9,$B3:O3)</f>
        <v>155</v>
      </c>
      <c r="P4" s="39">
        <f>SUBTOTAL(9,$B3:P3)</f>
        <v>173</v>
      </c>
      <c r="Q4" s="39">
        <f>SUBTOTAL(9,$B3:Q3)</f>
        <v>173</v>
      </c>
      <c r="R4" s="39">
        <f>SUBTOTAL(9,$B3:R3)</f>
        <v>173</v>
      </c>
      <c r="S4" s="39">
        <f>SUBTOTAL(9,$S3:S3)</f>
        <v>16</v>
      </c>
      <c r="T4" s="39">
        <f>SUBTOTAL(9,$S3:T3)</f>
        <v>40</v>
      </c>
      <c r="U4" s="39">
        <f>SUBTOTAL(9,$S3:U3)</f>
        <v>57</v>
      </c>
      <c r="V4" s="39">
        <f>SUBTOTAL(9,$S3:V3)</f>
        <v>57</v>
      </c>
      <c r="W4" s="39">
        <f>SUBTOTAL(9,$S3:W3)</f>
        <v>73</v>
      </c>
      <c r="X4" s="39">
        <f>SUBTOTAL(9,$S3:X3)</f>
        <v>91</v>
      </c>
      <c r="Y4" s="39">
        <f>SUBTOTAL(9,$S3:Y3)</f>
        <v>108</v>
      </c>
      <c r="Z4" s="39">
        <f>SUBTOTAL(9,$S3:Z3)</f>
        <v>108</v>
      </c>
      <c r="AA4" s="39">
        <f>SUBTOTAL(9,$S3:AA3)</f>
        <v>116</v>
      </c>
      <c r="AB4" s="39">
        <f>SUBTOTAL(9,$S3:AB3)</f>
        <v>125</v>
      </c>
      <c r="AC4" s="39">
        <f>SUBTOTAL(9,$S3:AC3)</f>
        <v>144</v>
      </c>
      <c r="AD4" s="39">
        <f>SUBTOTAL(9,$S3:AD3)</f>
        <v>144</v>
      </c>
      <c r="AE4" s="39">
        <f>SUBTOTAL(9,$S3:AE3)</f>
        <v>154</v>
      </c>
      <c r="AF4" s="39">
        <f>SUBTOTAL(9,$S3:AF3)</f>
        <v>154</v>
      </c>
      <c r="AG4" s="39">
        <f>SUBTOTAL(9,$S3:AG3)</f>
        <v>154</v>
      </c>
      <c r="AH4" s="39">
        <f>SUBTOTAL(9,$S3:AH3)</f>
        <v>154</v>
      </c>
      <c r="AI4" s="39">
        <f>SUBTOTAL(9,$S3:AI3)</f>
        <v>154</v>
      </c>
    </row>
    <row r="6" spans="1:42" x14ac:dyDescent="0.25">
      <c r="A6" s="41" t="s">
        <v>9613</v>
      </c>
    </row>
    <row r="7" spans="1:42" x14ac:dyDescent="0.25">
      <c r="A7" s="39" t="s">
        <v>28</v>
      </c>
      <c r="B7" s="39">
        <f>COUNTIFS('18-Month HS Incidents'!$AO:$AO,'HS FEED'!B$2,'18-Month HS Incidents'!$AR:$AR,"Claim")</f>
        <v>0</v>
      </c>
      <c r="C7" s="39">
        <f>COUNTIFS('18-Month HS Incidents'!$AO:$AO,'HS FEED'!C$2,'18-Month HS Incidents'!$AR:$AR,"Claim")</f>
        <v>0</v>
      </c>
      <c r="D7" s="39">
        <f>COUNTIFS('18-Month HS Incidents'!$AO:$AO,'HS FEED'!D$2,'18-Month HS Incidents'!$AR:$AR,"Claim")</f>
        <v>0</v>
      </c>
      <c r="E7" s="39">
        <f>SUBTOTAL(9,B7:D7)</f>
        <v>0</v>
      </c>
      <c r="F7" s="39">
        <f>COUNTIFS('18-Month HS Incidents'!$AO:$AO,'HS FEED'!F$2,'18-Month HS Incidents'!$AR:$AR,"Claim")</f>
        <v>3</v>
      </c>
      <c r="G7" s="39">
        <f>COUNTIFS('18-Month HS Incidents'!$AO:$AO,'HS FEED'!G$2,'18-Month HS Incidents'!$AR:$AR,"Claim")</f>
        <v>2</v>
      </c>
      <c r="H7" s="39">
        <f>COUNTIFS('18-Month HS Incidents'!$AO:$AO,'HS FEED'!H$2,'18-Month HS Incidents'!$AR:$AR,"Claim")</f>
        <v>4</v>
      </c>
      <c r="I7" s="39">
        <f>SUBTOTAL(9,F7:H7)</f>
        <v>9</v>
      </c>
      <c r="J7" s="39">
        <f>COUNTIFS('18-Month HS Incidents'!$AO:$AO,'HS FEED'!J$2,'18-Month HS Incidents'!$AR:$AR,"Claim")</f>
        <v>1</v>
      </c>
      <c r="K7" s="39">
        <f>COUNTIFS('18-Month HS Incidents'!$AO:$AO,'HS FEED'!K$2,'18-Month HS Incidents'!$AR:$AR,"Claim")</f>
        <v>3</v>
      </c>
      <c r="L7" s="39">
        <f>COUNTIFS('18-Month HS Incidents'!$AO:$AO,'HS FEED'!L$2,'18-Month HS Incidents'!$AR:$AR,"Claim")</f>
        <v>2</v>
      </c>
      <c r="M7" s="39">
        <f>SUBTOTAL(9,J7:L7)</f>
        <v>6</v>
      </c>
      <c r="N7" s="39">
        <f>COUNTIFS('18-Month HS Incidents'!$AO:$AO,'HS FEED'!N$2,'18-Month HS Incidents'!$AR:$AR,"Claim")</f>
        <v>1</v>
      </c>
      <c r="O7" s="39">
        <f>COUNTIFS('18-Month HS Incidents'!$AO:$AO,'HS FEED'!O$2,'18-Month HS Incidents'!$AR:$AR,"Claim")</f>
        <v>6</v>
      </c>
      <c r="P7" s="39">
        <f>COUNTIFS('18-Month HS Incidents'!$AO:$AO,'HS FEED'!P$2,'18-Month HS Incidents'!$AR:$AR,"Claim")</f>
        <v>4</v>
      </c>
      <c r="Q7" s="39">
        <f>SUBTOTAL(9,N7:P7)</f>
        <v>11</v>
      </c>
      <c r="R7" s="39">
        <f>SUBTOTAL(9,B7:Q7)</f>
        <v>26</v>
      </c>
      <c r="S7" s="39">
        <f>COUNTIFS('18-Month HS Incidents'!$AO:$AO,'HS FEED'!S$2,'18-Month HS Incidents'!$AR:$AR,"Claim")</f>
        <v>3</v>
      </c>
      <c r="T7" s="39">
        <f>COUNTIFS('18-Month HS Incidents'!$AO:$AO,'HS FEED'!T$2,'18-Month HS Incidents'!$AR:$AR,"Claim")</f>
        <v>6</v>
      </c>
      <c r="U7" s="39">
        <f>COUNTIFS('18-Month HS Incidents'!$AO:$AO,'HS FEED'!U$2,'18-Month HS Incidents'!$AR:$AR,"Claim")</f>
        <v>3</v>
      </c>
      <c r="V7" s="39">
        <f>SUBTOTAL(9,S7:U7)</f>
        <v>12</v>
      </c>
      <c r="W7" s="39">
        <f>COUNTIFS('18-Month HS Incidents'!$AO:$AO,'HS FEED'!W$2,'18-Month HS Incidents'!$AR:$AR,"Claim")</f>
        <v>3</v>
      </c>
      <c r="X7" s="39">
        <f>COUNTIFS('18-Month HS Incidents'!$AO:$AO,'HS FEED'!X$2,'18-Month HS Incidents'!$AR:$AR,"Claim")</f>
        <v>5</v>
      </c>
      <c r="Y7" s="39">
        <f>COUNTIFS('18-Month HS Incidents'!$AO:$AO,'HS FEED'!Y$2,'18-Month HS Incidents'!$AR:$AR,"Claim")</f>
        <v>3</v>
      </c>
      <c r="Z7" s="39">
        <f>SUBTOTAL(9,W7:Y7)</f>
        <v>11</v>
      </c>
      <c r="AA7" s="39">
        <f>COUNTIFS('18-Month HS Incidents'!$AO:$AO,'HS FEED'!AA$2,'18-Month HS Incidents'!$AR:$AR,"Claim")</f>
        <v>1</v>
      </c>
      <c r="AB7" s="39">
        <f>COUNTIFS('18-Month HS Incidents'!$AO:$AO,'HS FEED'!AB$2,'18-Month HS Incidents'!$AR:$AR,"Claim")</f>
        <v>2</v>
      </c>
      <c r="AC7" s="39">
        <f>COUNTIFS('18-Month HS Incidents'!$AO:$AO,'HS FEED'!AC$2,'18-Month HS Incidents'!$AR:$AR,"Claim")</f>
        <v>3</v>
      </c>
      <c r="AD7" s="39">
        <f>SUBTOTAL(9,AA7:AC7)</f>
        <v>6</v>
      </c>
      <c r="AE7" s="39">
        <f>COUNTIFS('18-Month HS Incidents'!$AO:$AO,'HS FEED'!AE$2,'18-Month HS Incidents'!$AR:$AR,"Claim")</f>
        <v>2</v>
      </c>
      <c r="AF7" s="39">
        <f>COUNTIFS('18-Month HS Incidents'!$AO:$AO,'HS FEED'!AF$2,'18-Month HS Incidents'!$AR:$AR,"Claim")</f>
        <v>0</v>
      </c>
      <c r="AG7" s="39">
        <f>COUNTIFS('18-Month HS Incidents'!$AO:$AO,'HS FEED'!AG$2,'18-Month HS Incidents'!$AR:$AR,"Claim")</f>
        <v>0</v>
      </c>
      <c r="AH7" s="39">
        <f>SUBTOTAL(9,AE7:AG7)</f>
        <v>2</v>
      </c>
      <c r="AI7" s="39">
        <f>SUBTOTAL(9,S7:AH7)</f>
        <v>31</v>
      </c>
    </row>
    <row r="8" spans="1:42" x14ac:dyDescent="0.25">
      <c r="A8" s="39" t="s">
        <v>9592</v>
      </c>
      <c r="B8" s="39">
        <f>SUBTOTAL(9,$B7:B7)</f>
        <v>0</v>
      </c>
      <c r="C8" s="39">
        <f>SUBTOTAL(9,$B7:C7)</f>
        <v>0</v>
      </c>
      <c r="D8" s="39">
        <f>SUBTOTAL(9,$B7:D7)</f>
        <v>0</v>
      </c>
      <c r="E8" s="39">
        <f>SUBTOTAL(9,$B7:E7)</f>
        <v>0</v>
      </c>
      <c r="F8" s="39">
        <f>SUBTOTAL(9,$B7:F7)</f>
        <v>3</v>
      </c>
      <c r="G8" s="39">
        <f>SUBTOTAL(9,$B7:G7)</f>
        <v>5</v>
      </c>
      <c r="H8" s="39">
        <f>SUBTOTAL(9,$B7:H7)</f>
        <v>9</v>
      </c>
      <c r="I8" s="39">
        <f>SUBTOTAL(9,$B7:I7)</f>
        <v>9</v>
      </c>
      <c r="J8" s="39">
        <f>SUBTOTAL(9,$B7:J7)</f>
        <v>10</v>
      </c>
      <c r="K8" s="39">
        <f>SUBTOTAL(9,$B7:K7)</f>
        <v>13</v>
      </c>
      <c r="L8" s="39">
        <f>SUBTOTAL(9,$B7:L7)</f>
        <v>15</v>
      </c>
      <c r="M8" s="39">
        <f>SUBTOTAL(9,$B7:M7)</f>
        <v>15</v>
      </c>
      <c r="N8" s="39">
        <f>SUBTOTAL(9,$B7:N7)</f>
        <v>16</v>
      </c>
      <c r="O8" s="39">
        <f>SUBTOTAL(9,$B7:O7)</f>
        <v>22</v>
      </c>
      <c r="P8" s="39">
        <f>SUBTOTAL(9,$B7:P7)</f>
        <v>26</v>
      </c>
      <c r="Q8" s="39">
        <f>SUBTOTAL(9,$B7:Q7)</f>
        <v>26</v>
      </c>
      <c r="R8" s="39">
        <f>SUBTOTAL(9,$B7:R7)</f>
        <v>26</v>
      </c>
      <c r="S8" s="39">
        <f>SUBTOTAL(9,$S7:S7)</f>
        <v>3</v>
      </c>
      <c r="T8" s="39">
        <f>SUBTOTAL(9,$S7:T7)</f>
        <v>9</v>
      </c>
      <c r="U8" s="39">
        <f>SUBTOTAL(9,$S7:U7)</f>
        <v>12</v>
      </c>
      <c r="V8" s="39">
        <f>SUBTOTAL(9,$S7:V7)</f>
        <v>12</v>
      </c>
      <c r="W8" s="39">
        <f>SUBTOTAL(9,$S7:W7)</f>
        <v>15</v>
      </c>
      <c r="X8" s="39">
        <f>SUBTOTAL(9,$S7:X7)</f>
        <v>20</v>
      </c>
      <c r="Y8" s="39">
        <f>SUBTOTAL(9,$S7:Y7)</f>
        <v>23</v>
      </c>
      <c r="Z8" s="39">
        <f>SUBTOTAL(9,$S7:Z7)</f>
        <v>23</v>
      </c>
      <c r="AA8" s="39">
        <f>SUBTOTAL(9,$S7:AA7)</f>
        <v>24</v>
      </c>
      <c r="AB8" s="39">
        <f>SUBTOTAL(9,$S7:AB7)</f>
        <v>26</v>
      </c>
      <c r="AC8" s="39">
        <f>SUBTOTAL(9,$S7:AC7)</f>
        <v>29</v>
      </c>
      <c r="AD8" s="39">
        <f>SUBTOTAL(9,$S7:AD7)</f>
        <v>29</v>
      </c>
      <c r="AE8" s="39">
        <f>SUBTOTAL(9,$S7:AE7)</f>
        <v>31</v>
      </c>
      <c r="AF8" s="39">
        <f>SUBTOTAL(9,$S7:AF7)</f>
        <v>31</v>
      </c>
      <c r="AG8" s="39">
        <f>SUBTOTAL(9,$S7:AG7)</f>
        <v>31</v>
      </c>
      <c r="AH8" s="39">
        <f>SUBTOTAL(9,$S7:AH7)</f>
        <v>31</v>
      </c>
      <c r="AI8" s="39">
        <f>SUBTOTAL(9,$S7:AI7)</f>
        <v>31</v>
      </c>
    </row>
    <row r="11" spans="1:42" x14ac:dyDescent="0.25">
      <c r="A11" s="53" t="s">
        <v>9188</v>
      </c>
      <c r="AK11" s="4" t="s">
        <v>9598</v>
      </c>
      <c r="AL11" s="4" t="s">
        <v>9594</v>
      </c>
      <c r="AM11" s="4" t="s">
        <v>9595</v>
      </c>
      <c r="AN11" s="4" t="s">
        <v>9596</v>
      </c>
      <c r="AO11" s="4" t="s">
        <v>9597</v>
      </c>
      <c r="AP11" s="4" t="s">
        <v>9599</v>
      </c>
    </row>
    <row r="12" spans="1:42" x14ac:dyDescent="0.25">
      <c r="A12" s="39" t="s">
        <v>9588</v>
      </c>
      <c r="B12" s="39">
        <f>COUNTIFS('18-Month HS Incidents'!$AO:$AO,'HS FEED'!B$2,'18-Month HS Incidents'!$AW:$AW,'HS FEED'!$A$11)</f>
        <v>0</v>
      </c>
      <c r="C12" s="39">
        <f>COUNTIFS('18-Month HS Incidents'!$AO:$AO,'HS FEED'!C$2,'18-Month HS Incidents'!$AW:$AW,'HS FEED'!$A$11)</f>
        <v>0</v>
      </c>
      <c r="D12" s="39">
        <f>COUNTIFS('18-Month HS Incidents'!$AO:$AO,'HS FEED'!D$2,'18-Month HS Incidents'!$AW:$AW,'HS FEED'!$A$11)</f>
        <v>0</v>
      </c>
      <c r="E12" s="39">
        <f>SUBTOTAL(9,B12:D12)</f>
        <v>0</v>
      </c>
      <c r="F12" s="39">
        <f>COUNTIFS('18-Month HS Incidents'!$AO:$AO,'HS FEED'!F$2,'18-Month HS Incidents'!$AW:$AW,'HS FEED'!$A$11)</f>
        <v>1</v>
      </c>
      <c r="G12" s="39">
        <f>COUNTIFS('18-Month HS Incidents'!$AO:$AO,'HS FEED'!G$2,'18-Month HS Incidents'!$AW:$AW,'HS FEED'!$A$11)</f>
        <v>2</v>
      </c>
      <c r="H12" s="39">
        <f>COUNTIFS('18-Month HS Incidents'!$AO:$AO,'HS FEED'!H$2,'18-Month HS Incidents'!$AW:$AW,'HS FEED'!$A$11)</f>
        <v>4</v>
      </c>
      <c r="I12" s="39">
        <f>SUBTOTAL(9,F12:H12)</f>
        <v>7</v>
      </c>
      <c r="J12" s="39">
        <f>COUNTIFS('18-Month HS Incidents'!$AO:$AO,'HS FEED'!J$2,'18-Month HS Incidents'!$AW:$AW,'HS FEED'!$A$11)</f>
        <v>2</v>
      </c>
      <c r="K12" s="39">
        <f>COUNTIFS('18-Month HS Incidents'!$AO:$AO,'HS FEED'!K$2,'18-Month HS Incidents'!$AW:$AW,'HS FEED'!$A$11)</f>
        <v>4</v>
      </c>
      <c r="L12" s="39">
        <f>COUNTIFS('18-Month HS Incidents'!$AO:$AO,'HS FEED'!L$2,'18-Month HS Incidents'!$AW:$AW,'HS FEED'!$A$11)</f>
        <v>5</v>
      </c>
      <c r="M12" s="39">
        <f>SUBTOTAL(9,J12:L12)</f>
        <v>11</v>
      </c>
      <c r="N12" s="39">
        <f>COUNTIFS('18-Month HS Incidents'!$AO:$AO,'HS FEED'!N$2,'18-Month HS Incidents'!$AW:$AW,'HS FEED'!$A$11)</f>
        <v>1</v>
      </c>
      <c r="O12" s="39">
        <f>COUNTIFS('18-Month HS Incidents'!$AO:$AO,'HS FEED'!O$2,'18-Month HS Incidents'!$AW:$AW,'HS FEED'!$A$11)</f>
        <v>4</v>
      </c>
      <c r="P12" s="39">
        <f>COUNTIFS('18-Month HS Incidents'!$AO:$AO,'HS FEED'!P$2,'18-Month HS Incidents'!$AW:$AW,'HS FEED'!$A$11)</f>
        <v>0</v>
      </c>
      <c r="Q12" s="39">
        <f>SUBTOTAL(9,N12:P12)</f>
        <v>5</v>
      </c>
      <c r="R12" s="39">
        <f t="shared" ref="R12:R13" si="0">SUBTOTAL(9,B12:Q12)</f>
        <v>23</v>
      </c>
      <c r="S12" s="39">
        <f>COUNTIFS('18-Month HS Incidents'!$AO:$AO,'HS FEED'!S$2,'18-Month HS Incidents'!$AW:$AW,'HS FEED'!$A$11)</f>
        <v>2</v>
      </c>
      <c r="T12" s="39">
        <f>COUNTIFS('18-Month HS Incidents'!$AO:$AO,'HS FEED'!T$2,'18-Month HS Incidents'!$AW:$AW,'HS FEED'!$A$11)</f>
        <v>2</v>
      </c>
      <c r="U12" s="39">
        <f>COUNTIFS('18-Month HS Incidents'!$AO:$AO,'HS FEED'!U$2,'18-Month HS Incidents'!$AW:$AW,'HS FEED'!$A$11)</f>
        <v>4</v>
      </c>
      <c r="V12" s="39">
        <f>SUBTOTAL(9,S12:U12)</f>
        <v>8</v>
      </c>
      <c r="W12" s="39">
        <f>COUNTIFS('18-Month HS Incidents'!$AO:$AO,'HS FEED'!W$2,'18-Month HS Incidents'!$AW:$AW,'HS FEED'!$A$11)</f>
        <v>3</v>
      </c>
      <c r="X12" s="39">
        <f>COUNTIFS('18-Month HS Incidents'!$AO:$AO,'HS FEED'!X$2,'18-Month HS Incidents'!$AW:$AW,'HS FEED'!$A$11)</f>
        <v>3</v>
      </c>
      <c r="Y12" s="39">
        <f>COUNTIFS('18-Month HS Incidents'!$AO:$AO,'HS FEED'!Y$2,'18-Month HS Incidents'!$AW:$AW,'HS FEED'!$A$11)</f>
        <v>2</v>
      </c>
      <c r="Z12" s="39">
        <f>SUBTOTAL(9,W12:Y12)</f>
        <v>8</v>
      </c>
      <c r="AA12" s="39">
        <f>COUNTIFS('18-Month HS Incidents'!$AO:$AO,'HS FEED'!AA$2,'18-Month HS Incidents'!$AW:$AW,'HS FEED'!$A$11)</f>
        <v>0</v>
      </c>
      <c r="AB12" s="39">
        <f>COUNTIFS('18-Month HS Incidents'!$AO:$AO,'HS FEED'!AB$2,'18-Month HS Incidents'!$AW:$AW,'HS FEED'!$A$11)</f>
        <v>2</v>
      </c>
      <c r="AC12" s="39">
        <f>COUNTIFS('18-Month HS Incidents'!$AO:$AO,'HS FEED'!AC$2,'18-Month HS Incidents'!$AW:$AW,'HS FEED'!$A$11)</f>
        <v>0</v>
      </c>
      <c r="AD12" s="39">
        <f>SUBTOTAL(9,AA12:AC12)</f>
        <v>2</v>
      </c>
      <c r="AE12" s="39">
        <f>COUNTIFS('18-Month HS Incidents'!$AO:$AO,'HS FEED'!AE$2,'18-Month HS Incidents'!$AW:$AW,'HS FEED'!$A$11)</f>
        <v>2</v>
      </c>
      <c r="AF12" s="39">
        <f>COUNTIFS('18-Month HS Incidents'!$AO:$AO,'HS FEED'!AF$2,'18-Month HS Incidents'!$AW:$AW,'HS FEED'!$A$11)</f>
        <v>0</v>
      </c>
      <c r="AG12" s="39">
        <f>COUNTIFS('18-Month HS Incidents'!$AO:$AO,'HS FEED'!AG$2,'18-Month HS Incidents'!$AW:$AW,'HS FEED'!$A$11)</f>
        <v>0</v>
      </c>
      <c r="AH12" s="39">
        <f>SUBTOTAL(9,AE12:AG12)</f>
        <v>2</v>
      </c>
      <c r="AI12" s="39">
        <f t="shared" ref="AI12:AI13" si="1">SUBTOTAL(9,S12:AH12)</f>
        <v>20</v>
      </c>
      <c r="AJ12" t="s">
        <v>9588</v>
      </c>
      <c r="AK12">
        <v>21</v>
      </c>
      <c r="AL12">
        <v>49</v>
      </c>
      <c r="AM12">
        <v>63</v>
      </c>
      <c r="AN12">
        <v>44</v>
      </c>
      <c r="AO12">
        <v>66</v>
      </c>
      <c r="AP12">
        <v>84</v>
      </c>
    </row>
    <row r="13" spans="1:42" x14ac:dyDescent="0.25">
      <c r="A13" s="39" t="s">
        <v>9613</v>
      </c>
      <c r="B13" s="39">
        <f>COUNTIFS('18-Month HS Incidents'!$AO:$AO,'HS FEED'!B$2,'18-Month HS Incidents'!$AR:$AR,"Claim",'18-Month HS Incidents'!$AW:$AW,'HS FEED'!$A$11)</f>
        <v>0</v>
      </c>
      <c r="C13" s="39">
        <f>COUNTIFS('18-Month HS Incidents'!$AO:$AO,'HS FEED'!C$2,'18-Month HS Incidents'!$AR:$AR,"Claim",'18-Month HS Incidents'!$AW:$AW,'HS FEED'!$A$11)</f>
        <v>0</v>
      </c>
      <c r="D13" s="39">
        <f>COUNTIFS('18-Month HS Incidents'!$AO:$AO,'HS FEED'!D$2,'18-Month HS Incidents'!$AR:$AR,"Claim",'18-Month HS Incidents'!$AW:$AW,'HS FEED'!$A$11)</f>
        <v>0</v>
      </c>
      <c r="E13" s="39">
        <f>SUBTOTAL(9,B13:D13)</f>
        <v>0</v>
      </c>
      <c r="F13" s="39">
        <f>COUNTIFS('18-Month HS Incidents'!$AO:$AO,'HS FEED'!F$2,'18-Month HS Incidents'!$AR:$AR,"Claim",'18-Month HS Incidents'!$AW:$AW,'HS FEED'!$A$11)</f>
        <v>0</v>
      </c>
      <c r="G13" s="39">
        <f>COUNTIFS('18-Month HS Incidents'!$AO:$AO,'HS FEED'!G$2,'18-Month HS Incidents'!$AR:$AR,"Claim",'18-Month HS Incidents'!$AW:$AW,'HS FEED'!$A$11)</f>
        <v>0</v>
      </c>
      <c r="H13" s="39">
        <f>COUNTIFS('18-Month HS Incidents'!$AO:$AO,'HS FEED'!H$2,'18-Month HS Incidents'!$AR:$AR,"Claim",'18-Month HS Incidents'!$AW:$AW,'HS FEED'!$A$11)</f>
        <v>0</v>
      </c>
      <c r="I13" s="39">
        <f>SUBTOTAL(9,F13:H13)</f>
        <v>0</v>
      </c>
      <c r="J13" s="39">
        <f>COUNTIFS('18-Month HS Incidents'!$AO:$AO,'HS FEED'!J$2,'18-Month HS Incidents'!$AR:$AR,"Claim",'18-Month HS Incidents'!$AW:$AW,'HS FEED'!$A$11)</f>
        <v>0</v>
      </c>
      <c r="K13" s="39">
        <f>COUNTIFS('18-Month HS Incidents'!$AO:$AO,'HS FEED'!K$2,'18-Month HS Incidents'!$AR:$AR,"Claim",'18-Month HS Incidents'!$AW:$AW,'HS FEED'!$A$11)</f>
        <v>1</v>
      </c>
      <c r="L13" s="39">
        <f>COUNTIFS('18-Month HS Incidents'!$AO:$AO,'HS FEED'!L$2,'18-Month HS Incidents'!$AR:$AR,"Claim",'18-Month HS Incidents'!$AW:$AW,'HS FEED'!$A$11)</f>
        <v>0</v>
      </c>
      <c r="M13" s="39">
        <f>SUBTOTAL(9,J13:L13)</f>
        <v>1</v>
      </c>
      <c r="N13" s="39">
        <f>COUNTIFS('18-Month HS Incidents'!$AO:$AO,'HS FEED'!N$2,'18-Month HS Incidents'!$AR:$AR,"Claim",'18-Month HS Incidents'!$AW:$AW,'HS FEED'!$A$11)</f>
        <v>0</v>
      </c>
      <c r="O13" s="39">
        <f>COUNTIFS('18-Month HS Incidents'!$AO:$AO,'HS FEED'!O$2,'18-Month HS Incidents'!$AR:$AR,"Claim",'18-Month HS Incidents'!$AW:$AW,'HS FEED'!$A$11)</f>
        <v>0</v>
      </c>
      <c r="P13" s="39">
        <f>COUNTIFS('18-Month HS Incidents'!$AO:$AO,'HS FEED'!P$2,'18-Month HS Incidents'!$AR:$AR,"Claim",'18-Month HS Incidents'!$AW:$AW,'HS FEED'!$A$11)</f>
        <v>0</v>
      </c>
      <c r="Q13" s="39">
        <f>SUBTOTAL(9,N13:P13)</f>
        <v>0</v>
      </c>
      <c r="R13" s="39">
        <f t="shared" si="0"/>
        <v>1</v>
      </c>
      <c r="S13" s="39">
        <f>COUNTIFS('18-Month HS Incidents'!$AO:$AO,'HS FEED'!S$2,'18-Month HS Incidents'!$AR:$AR,"Claim",'18-Month HS Incidents'!$AW:$AW,'HS FEED'!$A$11)</f>
        <v>1</v>
      </c>
      <c r="T13" s="39">
        <f>COUNTIFS('18-Month HS Incidents'!$AO:$AO,'HS FEED'!T$2,'18-Month HS Incidents'!$AR:$AR,"Claim",'18-Month HS Incidents'!$AW:$AW,'HS FEED'!$A$11)</f>
        <v>0</v>
      </c>
      <c r="U13" s="39">
        <f>COUNTIFS('18-Month HS Incidents'!$AO:$AO,'HS FEED'!U$2,'18-Month HS Incidents'!$AR:$AR,"Claim",'18-Month HS Incidents'!$AW:$AW,'HS FEED'!$A$11)</f>
        <v>1</v>
      </c>
      <c r="V13" s="39">
        <f>SUBTOTAL(9,S13:U13)</f>
        <v>2</v>
      </c>
      <c r="W13" s="39">
        <f>COUNTIFS('18-Month HS Incidents'!$AO:$AO,'HS FEED'!W$2,'18-Month HS Incidents'!$AR:$AR,"Claim",'18-Month HS Incidents'!$AW:$AW,'HS FEED'!$A$11)</f>
        <v>1</v>
      </c>
      <c r="X13" s="39">
        <f>COUNTIFS('18-Month HS Incidents'!$AO:$AO,'HS FEED'!X$2,'18-Month HS Incidents'!$AR:$AR,"Claim",'18-Month HS Incidents'!$AW:$AW,'HS FEED'!$A$11)</f>
        <v>1</v>
      </c>
      <c r="Y13" s="39">
        <f>COUNTIFS('18-Month HS Incidents'!$AO:$AO,'HS FEED'!Y$2,'18-Month HS Incidents'!$AR:$AR,"Claim",'18-Month HS Incidents'!$AW:$AW,'HS FEED'!$A$11)</f>
        <v>0</v>
      </c>
      <c r="Z13" s="39">
        <f>SUBTOTAL(9,W13:Y13)</f>
        <v>2</v>
      </c>
      <c r="AA13" s="39">
        <f>COUNTIFS('18-Month HS Incidents'!$AO:$AO,'HS FEED'!AA$2,'18-Month HS Incidents'!$AR:$AR,"Claim",'18-Month HS Incidents'!$AW:$AW,'HS FEED'!$A$11)</f>
        <v>0</v>
      </c>
      <c r="AB13" s="39">
        <f>COUNTIFS('18-Month HS Incidents'!$AO:$AO,'HS FEED'!AB$2,'18-Month HS Incidents'!$AR:$AR,"Claim",'18-Month HS Incidents'!$AW:$AW,'HS FEED'!$A$11)</f>
        <v>0</v>
      </c>
      <c r="AC13" s="39">
        <f>COUNTIFS('18-Month HS Incidents'!$AO:$AO,'HS FEED'!AC$2,'18-Month HS Incidents'!$AR:$AR,"Claim",'18-Month HS Incidents'!$AW:$AW,'HS FEED'!$A$11)</f>
        <v>0</v>
      </c>
      <c r="AD13" s="39">
        <f>SUBTOTAL(9,AA13:AC13)</f>
        <v>0</v>
      </c>
      <c r="AE13" s="39">
        <f>COUNTIFS('18-Month HS Incidents'!$AO:$AO,'HS FEED'!AE$2,'18-Month HS Incidents'!$AR:$AR,"Claim",'18-Month HS Incidents'!$AW:$AW,'HS FEED'!$A$11)</f>
        <v>1</v>
      </c>
      <c r="AF13" s="39">
        <f>COUNTIFS('18-Month HS Incidents'!$AO:$AO,'HS FEED'!AF$2,'18-Month HS Incidents'!$AR:$AR,"Claim",'18-Month HS Incidents'!$AW:$AW,'HS FEED'!$A$11)</f>
        <v>0</v>
      </c>
      <c r="AG13" s="39">
        <f>COUNTIFS('18-Month HS Incidents'!$AO:$AO,'HS FEED'!AG$2,'18-Month HS Incidents'!$AR:$AR,"Claim",'18-Month HS Incidents'!$AW:$AW,'HS FEED'!$A$11)</f>
        <v>0</v>
      </c>
      <c r="AH13" s="39">
        <f>SUBTOTAL(9,AE13:AG13)</f>
        <v>1</v>
      </c>
      <c r="AI13" s="39">
        <f t="shared" si="1"/>
        <v>5</v>
      </c>
      <c r="AJ13" t="s">
        <v>9613</v>
      </c>
      <c r="AK13">
        <v>0</v>
      </c>
      <c r="AL13">
        <v>10</v>
      </c>
      <c r="AM13">
        <v>11</v>
      </c>
      <c r="AN13">
        <v>11</v>
      </c>
      <c r="AO13">
        <v>8</v>
      </c>
      <c r="AP13">
        <v>17</v>
      </c>
    </row>
    <row r="18" spans="36:44" x14ac:dyDescent="0.25">
      <c r="AK18" s="4" t="s">
        <v>9602</v>
      </c>
      <c r="AL18" s="4" t="s">
        <v>9603</v>
      </c>
      <c r="AM18" s="4" t="s">
        <v>9604</v>
      </c>
      <c r="AN18" s="4" t="s">
        <v>9605</v>
      </c>
      <c r="AO18" s="4" t="s">
        <v>9606</v>
      </c>
      <c r="AP18" s="4" t="s">
        <v>9607</v>
      </c>
      <c r="AQ18" s="4" t="s">
        <v>9608</v>
      </c>
      <c r="AR18" s="4" t="s">
        <v>9609</v>
      </c>
    </row>
    <row r="19" spans="36:44" x14ac:dyDescent="0.25">
      <c r="AJ19" t="s">
        <v>9588</v>
      </c>
      <c r="AK19">
        <v>62</v>
      </c>
      <c r="AL19">
        <v>165</v>
      </c>
      <c r="AM19">
        <v>47</v>
      </c>
      <c r="AN19">
        <v>17</v>
      </c>
      <c r="AO19">
        <v>17</v>
      </c>
      <c r="AP19">
        <v>7</v>
      </c>
      <c r="AQ19">
        <v>7</v>
      </c>
      <c r="AR19">
        <v>5</v>
      </c>
    </row>
    <row r="20" spans="36:44" x14ac:dyDescent="0.25">
      <c r="AJ20" t="s">
        <v>9613</v>
      </c>
      <c r="AK20">
        <v>8</v>
      </c>
      <c r="AL20">
        <v>28</v>
      </c>
      <c r="AM20">
        <v>9</v>
      </c>
      <c r="AN20">
        <v>8</v>
      </c>
      <c r="AO20">
        <v>3</v>
      </c>
      <c r="AP20">
        <v>0</v>
      </c>
      <c r="AQ20">
        <v>1</v>
      </c>
      <c r="AR20">
        <v>0</v>
      </c>
    </row>
    <row r="23" spans="36:44" x14ac:dyDescent="0.25">
      <c r="AK23" s="52" t="s">
        <v>9643</v>
      </c>
      <c r="AL23" s="52" t="s">
        <v>9644</v>
      </c>
      <c r="AM23" s="52" t="s">
        <v>9645</v>
      </c>
      <c r="AN23" s="52" t="s">
        <v>9646</v>
      </c>
      <c r="AO23" s="52" t="s">
        <v>9647</v>
      </c>
    </row>
    <row r="24" spans="36:44" x14ac:dyDescent="0.25">
      <c r="AJ24" t="s">
        <v>9588</v>
      </c>
      <c r="AK24" s="52">
        <v>72</v>
      </c>
      <c r="AL24" s="52">
        <v>38</v>
      </c>
      <c r="AM24" s="52">
        <v>23</v>
      </c>
      <c r="AN24" s="52">
        <v>20</v>
      </c>
      <c r="AO24" s="52">
        <v>12</v>
      </c>
    </row>
    <row r="25" spans="36:44" x14ac:dyDescent="0.25">
      <c r="AJ25" t="s">
        <v>9613</v>
      </c>
      <c r="AK25" s="52">
        <v>12</v>
      </c>
      <c r="AL25" s="52">
        <v>8</v>
      </c>
      <c r="AM25" s="52">
        <v>3</v>
      </c>
      <c r="AN25" s="52">
        <v>3</v>
      </c>
      <c r="AO25" s="52">
        <v>2</v>
      </c>
    </row>
    <row r="29" spans="36:44" x14ac:dyDescent="0.25">
      <c r="AK29" s="4"/>
    </row>
    <row r="30" spans="36:44" x14ac:dyDescent="0.25">
      <c r="AK30" s="4"/>
    </row>
    <row r="31" spans="36:44" x14ac:dyDescent="0.25">
      <c r="AK31" s="4"/>
    </row>
    <row r="32" spans="36:44" x14ac:dyDescent="0.25">
      <c r="AK32" s="4"/>
    </row>
    <row r="33" spans="37:37" x14ac:dyDescent="0.25">
      <c r="AK33" s="4"/>
    </row>
    <row r="34" spans="37:37" x14ac:dyDescent="0.25">
      <c r="AK34" s="4"/>
    </row>
  </sheetData>
  <sortState xmlns:xlrd2="http://schemas.microsoft.com/office/spreadsheetml/2017/richdata2" ref="A14:B18">
    <sortCondition descending="1" ref="B14:B18"/>
  </sortState>
  <mergeCells count="2">
    <mergeCell ref="B1:R1"/>
    <mergeCell ref="S1:A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42965-E1AB-41E5-A979-5129FBC24678}">
  <dimension ref="A1:AI8"/>
  <sheetViews>
    <sheetView workbookViewId="0">
      <selection activeCell="AG12" sqref="AG12"/>
    </sheetView>
  </sheetViews>
  <sheetFormatPr defaultRowHeight="15" x14ac:dyDescent="0.25"/>
  <cols>
    <col min="1" max="1" width="18" customWidth="1"/>
    <col min="5" max="5" width="9.140625" customWidth="1"/>
    <col min="9" max="9" width="9.140625" customWidth="1"/>
    <col min="10" max="10" width="9.85546875" customWidth="1"/>
    <col min="11" max="11" width="10.85546875" customWidth="1"/>
    <col min="12" max="12" width="11.5703125" customWidth="1"/>
    <col min="13" max="13" width="10.85546875" customWidth="1"/>
    <col min="14" max="14" width="11.140625" customWidth="1"/>
    <col min="15" max="15" width="10.28515625" customWidth="1"/>
    <col min="16" max="16" width="10.140625" customWidth="1"/>
    <col min="17" max="17" width="9.140625" hidden="1" customWidth="1"/>
    <col min="18" max="18" width="8.28515625" hidden="1" customWidth="1"/>
    <col min="22" max="22" width="9.140625" hidden="1" customWidth="1"/>
    <col min="26" max="26" width="9.140625" hidden="1" customWidth="1"/>
    <col min="30" max="30" width="9.140625" hidden="1" customWidth="1"/>
    <col min="35" max="35" width="13.7109375" bestFit="1" customWidth="1"/>
  </cols>
  <sheetData>
    <row r="1" spans="1:35" ht="15.75" thickBot="1" x14ac:dyDescent="0.3">
      <c r="A1" s="46" t="s">
        <v>9634</v>
      </c>
      <c r="B1" s="60" t="s">
        <v>9589</v>
      </c>
      <c r="C1" s="61"/>
      <c r="D1" s="61"/>
      <c r="E1" s="61"/>
      <c r="F1" s="61"/>
      <c r="G1" s="61"/>
      <c r="H1" s="61"/>
      <c r="I1" s="61"/>
      <c r="J1" s="61"/>
      <c r="K1" s="61"/>
      <c r="L1" s="61"/>
      <c r="M1" s="61"/>
      <c r="N1" s="61"/>
      <c r="O1" s="61"/>
      <c r="P1" s="61"/>
      <c r="Q1" s="61"/>
      <c r="R1" s="62"/>
      <c r="S1" s="63" t="s">
        <v>9590</v>
      </c>
      <c r="T1" s="64"/>
      <c r="U1" s="64"/>
      <c r="V1" s="64"/>
      <c r="W1" s="64"/>
      <c r="X1" s="64"/>
      <c r="Y1" s="64"/>
      <c r="Z1" s="64"/>
      <c r="AA1" s="64"/>
      <c r="AB1" s="64"/>
      <c r="AC1" s="64"/>
      <c r="AD1" s="64"/>
      <c r="AE1" s="64"/>
      <c r="AF1" s="64"/>
      <c r="AG1" s="64"/>
      <c r="AH1" s="64"/>
      <c r="AI1" s="64"/>
    </row>
    <row r="2" spans="1:35" ht="15.75" thickBot="1" x14ac:dyDescent="0.3">
      <c r="A2" s="47" t="s">
        <v>9588</v>
      </c>
      <c r="B2" s="48" t="str">
        <f>"JUL, "&amp;B1</f>
        <v>JUL, FY24</v>
      </c>
      <c r="C2" s="48" t="str">
        <f>"AUG, "&amp;B1</f>
        <v>AUG, FY24</v>
      </c>
      <c r="D2" s="48" t="str">
        <f>"SEP, "&amp;B1</f>
        <v>SEP, FY24</v>
      </c>
      <c r="E2" s="48" t="str">
        <f>"Q1, "&amp;B1</f>
        <v>Q1, FY24</v>
      </c>
      <c r="F2" s="48" t="str">
        <f>"OCT, "&amp;B1</f>
        <v>OCT, FY24</v>
      </c>
      <c r="G2" s="48" t="str">
        <f>"NOV, "&amp;B1</f>
        <v>NOV, FY24</v>
      </c>
      <c r="H2" s="48" t="str">
        <f>"DEC, "&amp;B1</f>
        <v>DEC, FY24</v>
      </c>
      <c r="I2" s="48" t="str">
        <f>"Q2, "&amp;B1</f>
        <v>Q2, FY24</v>
      </c>
      <c r="J2" s="48" t="str">
        <f>"JAN, "&amp;B1</f>
        <v>JAN, FY24</v>
      </c>
      <c r="K2" s="48" t="str">
        <f>"FEB, "&amp;B1</f>
        <v>FEB, FY24</v>
      </c>
      <c r="L2" s="48" t="str">
        <f>"MAR, "&amp;B1</f>
        <v>MAR, FY24</v>
      </c>
      <c r="M2" s="48" t="str">
        <f>"Q3, "&amp;B1</f>
        <v>Q3, FY24</v>
      </c>
      <c r="N2" s="48" t="str">
        <f>"APR, "&amp;B1</f>
        <v>APR, FY24</v>
      </c>
      <c r="O2" s="48" t="str">
        <f>"MAY, "&amp;B1</f>
        <v>MAY, FY24</v>
      </c>
      <c r="P2" s="48" t="str">
        <f>"JUN, "&amp;B1</f>
        <v>JUN, FY24</v>
      </c>
      <c r="Q2" s="48" t="str">
        <f>"Q4, "&amp;B1</f>
        <v>Q4, FY24</v>
      </c>
      <c r="R2" s="48" t="str">
        <f>"Full Year, "&amp;B1</f>
        <v>Full Year, FY24</v>
      </c>
      <c r="S2" s="49" t="str">
        <f>"JUL, "&amp;S1</f>
        <v>JUL, FY25</v>
      </c>
      <c r="T2" s="49" t="str">
        <f>"AUG, "&amp;S1</f>
        <v>AUG, FY25</v>
      </c>
      <c r="U2" s="49" t="str">
        <f>"SEP, "&amp;S1</f>
        <v>SEP, FY25</v>
      </c>
      <c r="V2" s="49" t="str">
        <f>"Q1, "&amp;S1</f>
        <v>Q1, FY25</v>
      </c>
      <c r="W2" s="49" t="str">
        <f>"OCT, "&amp;S1</f>
        <v>OCT, FY25</v>
      </c>
      <c r="X2" s="49" t="str">
        <f>"NOV, "&amp;S1</f>
        <v>NOV, FY25</v>
      </c>
      <c r="Y2" s="49" t="str">
        <f>"DEC, "&amp;S1</f>
        <v>DEC, FY25</v>
      </c>
      <c r="Z2" s="49" t="str">
        <f>"Q2, "&amp;S1</f>
        <v>Q2, FY25</v>
      </c>
      <c r="AA2" s="49" t="str">
        <f>"JAN, "&amp;S1</f>
        <v>JAN, FY25</v>
      </c>
      <c r="AB2" s="49" t="str">
        <f>"FEB, "&amp;S1</f>
        <v>FEB, FY25</v>
      </c>
      <c r="AC2" s="49" t="str">
        <f>"MAR, "&amp;S1</f>
        <v>MAR, FY25</v>
      </c>
      <c r="AD2" s="49" t="str">
        <f>"Q3, "&amp;S1</f>
        <v>Q3, FY25</v>
      </c>
      <c r="AE2" s="49" t="str">
        <f>"APR, "&amp;S1</f>
        <v>APR, FY25</v>
      </c>
      <c r="AF2" s="49" t="str">
        <f>"MAY, "&amp;S1</f>
        <v>MAY, FY25</v>
      </c>
      <c r="AG2" s="49" t="str">
        <f>"JUN, "&amp;S1</f>
        <v>JUN, FY25</v>
      </c>
      <c r="AH2" s="49" t="str">
        <f>"Q4, "&amp;S1</f>
        <v>Q4, FY25</v>
      </c>
      <c r="AI2" s="49" t="str">
        <f>"Full Year, "&amp;S1</f>
        <v>Full Year, FY25</v>
      </c>
    </row>
    <row r="3" spans="1:35" x14ac:dyDescent="0.25">
      <c r="A3" s="36" t="s">
        <v>9588</v>
      </c>
      <c r="B3" s="39">
        <f>COUNTIF('INC DATA DUMP - FY23+'!$AA:$AA,'Group FEED'!B$2)</f>
        <v>75</v>
      </c>
      <c r="C3" s="39">
        <f>COUNTIF('INC DATA DUMP - FY23+'!$AA:$AA,'Group FEED'!C$2)</f>
        <v>107</v>
      </c>
      <c r="D3" s="39">
        <f>COUNTIF('INC DATA DUMP - FY23+'!$AA:$AA,'Group FEED'!D$2)</f>
        <v>79</v>
      </c>
      <c r="E3" s="39">
        <f>SUBTOTAL(9,B3:D3)</f>
        <v>261</v>
      </c>
      <c r="F3" s="39">
        <f>COUNTIF('INC DATA DUMP - FY23+'!$AA:$AA,'Group FEED'!F$2)</f>
        <v>89</v>
      </c>
      <c r="G3" s="39">
        <f>COUNTIF('INC DATA DUMP - FY23+'!$AA:$AA,'Group FEED'!G$2)</f>
        <v>107</v>
      </c>
      <c r="H3" s="39">
        <f>COUNTIF('INC DATA DUMP - FY23+'!$AA:$AA,'Group FEED'!H$2)</f>
        <v>109</v>
      </c>
      <c r="I3" s="39">
        <f>SUBTOTAL(9,F3:H3)</f>
        <v>305</v>
      </c>
      <c r="J3" s="39">
        <f>COUNTIF('INC DATA DUMP - FY23+'!$AA:$AA,'Group FEED'!J$2)</f>
        <v>80</v>
      </c>
      <c r="K3" s="39">
        <f>COUNTIF('INC DATA DUMP - FY23+'!$AA:$AA,'Group FEED'!K$2)</f>
        <v>93</v>
      </c>
      <c r="L3" s="39">
        <f>COUNTIF('INC DATA DUMP - FY23+'!$AA:$AA,'Group FEED'!L$2)</f>
        <v>94</v>
      </c>
      <c r="M3" s="39">
        <f>SUBTOTAL(9,J3:L3)</f>
        <v>267</v>
      </c>
      <c r="N3" s="39">
        <f>COUNTIF('INC DATA DUMP - FY23+'!$AA:$AA,'Group FEED'!N$2)</f>
        <v>72</v>
      </c>
      <c r="O3" s="39">
        <f>COUNTIF('INC DATA DUMP - FY23+'!$AA:$AA,'Group FEED'!O$2)</f>
        <v>114</v>
      </c>
      <c r="P3" s="39">
        <f>COUNTIF('INC DATA DUMP - FY23+'!$AA:$AA,'Group FEED'!P$2)</f>
        <v>85</v>
      </c>
      <c r="Q3" s="39">
        <f>SUBTOTAL(9,N3:P3)</f>
        <v>271</v>
      </c>
      <c r="R3" s="39">
        <f>SUBTOTAL(9,B3:Q3)</f>
        <v>1104</v>
      </c>
      <c r="S3" s="39">
        <f>COUNTIF('INC DATA DUMP - FY23+'!$AA:$AA,'Group FEED'!S$2)</f>
        <v>73</v>
      </c>
      <c r="T3" s="39">
        <f>COUNTIF('INC DATA DUMP - FY23+'!$AA:$AA,'Group FEED'!T$2)</f>
        <v>103</v>
      </c>
      <c r="U3" s="39">
        <f>COUNTIF('INC DATA DUMP - FY23+'!$AA:$AA,'Group FEED'!U$2)</f>
        <v>66</v>
      </c>
      <c r="V3" s="39">
        <f>SUBTOTAL(9,S3:U3)</f>
        <v>242</v>
      </c>
      <c r="W3" s="39">
        <f>COUNTIF('INC DATA DUMP - FY23+'!$AA:$AA,'Group FEED'!W$2)</f>
        <v>83</v>
      </c>
      <c r="X3" s="39">
        <f>COUNTIF('INC DATA DUMP - FY23+'!$AA:$AA,'Group FEED'!X$2)</f>
        <v>101</v>
      </c>
      <c r="Y3" s="39">
        <f>COUNTIF('INC DATA DUMP - FY23+'!$AA:$AA,'Group FEED'!Y$2)</f>
        <v>81</v>
      </c>
      <c r="Z3" s="39">
        <f>SUBTOTAL(9,W3:Y3)</f>
        <v>265</v>
      </c>
      <c r="AA3" s="39">
        <f>COUNTIF('INC DATA DUMP - FY23+'!$AA:$AA,'Group FEED'!AA$2)</f>
        <v>66</v>
      </c>
      <c r="AB3" s="39">
        <f>COUNTIF('INC DATA DUMP - FY23+'!$AA:$AA,'Group FEED'!AB$2)</f>
        <v>85</v>
      </c>
      <c r="AC3" s="39">
        <f>COUNTIF('INC DATA DUMP - FY23+'!$AA:$AA,'Group FEED'!AC$2)</f>
        <v>81</v>
      </c>
      <c r="AD3" s="39">
        <f>SUBTOTAL(9,AA3:AC3)</f>
        <v>232</v>
      </c>
      <c r="AE3" s="39">
        <f>COUNTIF('INC DATA DUMP - FY23+'!$AA:$AA,'Group FEED'!AE$2)</f>
        <v>65</v>
      </c>
      <c r="AF3" s="39">
        <f>COUNTIF('INC DATA DUMP - FY23+'!$AA:$AA,'Group FEED'!AF$2)</f>
        <v>95</v>
      </c>
      <c r="AG3" s="39">
        <f>COUNTIF('INC DATA DUMP - FY23+'!$AA:$AA,'Group FEED'!AG$2)</f>
        <v>0</v>
      </c>
      <c r="AH3" s="39">
        <f>SUBTOTAL(9,AE3:AG3)</f>
        <v>160</v>
      </c>
      <c r="AI3" s="39">
        <f>SUBTOTAL(9,S3:AH3)</f>
        <v>899</v>
      </c>
    </row>
    <row r="4" spans="1:35" x14ac:dyDescent="0.25">
      <c r="A4" s="39" t="s">
        <v>10043</v>
      </c>
      <c r="B4" s="39">
        <f>SUBTOTAL(9,$B3:B3)</f>
        <v>75</v>
      </c>
      <c r="C4" s="39">
        <f>SUBTOTAL(9,$B3:C3)</f>
        <v>182</v>
      </c>
      <c r="D4" s="39">
        <f>SUBTOTAL(9,$B3:D3)</f>
        <v>261</v>
      </c>
      <c r="E4" s="39">
        <f>SUBTOTAL(9,$B3:E3)</f>
        <v>261</v>
      </c>
      <c r="F4" s="39">
        <f>SUBTOTAL(9,$B3:F3)</f>
        <v>350</v>
      </c>
      <c r="G4" s="39">
        <f>SUBTOTAL(9,$B3:G3)</f>
        <v>457</v>
      </c>
      <c r="H4" s="39">
        <f>SUBTOTAL(9,$B3:H3)</f>
        <v>566</v>
      </c>
      <c r="I4" s="39">
        <f>SUBTOTAL(9,$B3:I3)</f>
        <v>566</v>
      </c>
      <c r="J4" s="39">
        <f>SUBTOTAL(9,$B3:J3)</f>
        <v>646</v>
      </c>
      <c r="K4" s="39">
        <f>SUBTOTAL(9,$B3:K3)</f>
        <v>739</v>
      </c>
      <c r="L4" s="39">
        <f>SUBTOTAL(9,$B3:L3)</f>
        <v>833</v>
      </c>
      <c r="M4" s="39">
        <f>SUBTOTAL(9,$B3:M3)</f>
        <v>833</v>
      </c>
      <c r="N4" s="39">
        <f>SUBTOTAL(9,$B3:N3)</f>
        <v>905</v>
      </c>
      <c r="O4" s="39">
        <f>SUBTOTAL(9,$B3:O3)</f>
        <v>1019</v>
      </c>
      <c r="P4" s="39">
        <f>SUBTOTAL(9,$B3:P3)</f>
        <v>1104</v>
      </c>
      <c r="Q4" s="39">
        <f>SUBTOTAL(9,$B3:Q3)</f>
        <v>1104</v>
      </c>
      <c r="R4" s="39">
        <f>SUBTOTAL(9,$B3:R3)</f>
        <v>1104</v>
      </c>
      <c r="S4" s="39">
        <f>SUBTOTAL(9,$S3:S3)</f>
        <v>73</v>
      </c>
      <c r="T4" s="39">
        <f>SUBTOTAL(9,$S3:T3)</f>
        <v>176</v>
      </c>
      <c r="U4" s="39">
        <f>SUBTOTAL(9,$S3:U3)</f>
        <v>242</v>
      </c>
      <c r="V4" s="39">
        <f>SUBTOTAL(9,$S3:V3)</f>
        <v>242</v>
      </c>
      <c r="W4" s="39">
        <f>SUBTOTAL(9,$S3:W3)</f>
        <v>325</v>
      </c>
      <c r="X4" s="39">
        <f>SUBTOTAL(9,$S3:X3)</f>
        <v>426</v>
      </c>
      <c r="Y4" s="39">
        <f>SUBTOTAL(9,$S3:Y3)</f>
        <v>507</v>
      </c>
      <c r="Z4" s="39">
        <f>SUBTOTAL(9,$S3:Z3)</f>
        <v>507</v>
      </c>
      <c r="AA4" s="39">
        <f>SUBTOTAL(9,$S3:AA3)</f>
        <v>573</v>
      </c>
      <c r="AB4" s="39">
        <f>SUBTOTAL(9,$S3:AB3)</f>
        <v>658</v>
      </c>
      <c r="AC4" s="39">
        <f>SUBTOTAL(9,$S3:AC3)</f>
        <v>739</v>
      </c>
      <c r="AD4" s="39">
        <f>SUBTOTAL(9,$S3:AD3)</f>
        <v>739</v>
      </c>
      <c r="AE4" s="39">
        <f>SUBTOTAL(9,$S3:AE3)</f>
        <v>804</v>
      </c>
      <c r="AF4" s="39">
        <f>SUBTOTAL(9,$S3:AF3)</f>
        <v>899</v>
      </c>
      <c r="AG4" s="39">
        <f>SUBTOTAL(9,$S3:AG3)</f>
        <v>899</v>
      </c>
      <c r="AH4" s="39">
        <f>SUBTOTAL(9,$S3:AH3)</f>
        <v>899</v>
      </c>
      <c r="AI4" s="39">
        <f>SUBTOTAL(9,$S3:AI3)</f>
        <v>899</v>
      </c>
    </row>
    <row r="6" spans="1:35" x14ac:dyDescent="0.25">
      <c r="A6" s="41" t="s">
        <v>9613</v>
      </c>
    </row>
    <row r="7" spans="1:35" x14ac:dyDescent="0.25">
      <c r="A7" s="39" t="s">
        <v>9613</v>
      </c>
      <c r="B7" s="39">
        <f>COUNTIFS('INC DATA DUMP - FY23+'!$AD:$AD,"Claim",'INC DATA DUMP - FY23+'!$AA:$AA,'Group FEED'!B$2)</f>
        <v>7</v>
      </c>
      <c r="C7" s="39">
        <f>COUNTIFS('INC DATA DUMP - FY23+'!$AD:$AD,"Claim",'INC DATA DUMP - FY23+'!$AA:$AA,'Group FEED'!C$2)</f>
        <v>18</v>
      </c>
      <c r="D7" s="39">
        <f>COUNTIFS('INC DATA DUMP - FY23+'!$AD:$AD,"Claim",'INC DATA DUMP - FY23+'!$AA:$AA,'Group FEED'!D$2)</f>
        <v>11</v>
      </c>
      <c r="E7" s="39">
        <f>SUBTOTAL(9,B7:D7)</f>
        <v>36</v>
      </c>
      <c r="F7" s="39">
        <f>COUNTIFS('INC DATA DUMP - FY23+'!$AD:$AD,"Claim",'INC DATA DUMP - FY23+'!$AA:$AA,'Group FEED'!F$2)</f>
        <v>12</v>
      </c>
      <c r="G7" s="39">
        <f>COUNTIFS('INC DATA DUMP - FY23+'!$AD:$AD,"Claim",'INC DATA DUMP - FY23+'!$AA:$AA,'Group FEED'!G$2)</f>
        <v>14</v>
      </c>
      <c r="H7" s="39">
        <f>COUNTIFS('INC DATA DUMP - FY23+'!$AD:$AD,"Claim",'INC DATA DUMP - FY23+'!$AA:$AA,'Group FEED'!H$2)</f>
        <v>9</v>
      </c>
      <c r="I7" s="39">
        <f>SUBTOTAL(9,F7:H7)</f>
        <v>35</v>
      </c>
      <c r="J7" s="39">
        <f>COUNTIFS('INC DATA DUMP - FY23+'!$AD:$AD,"Claim",'INC DATA DUMP - FY23+'!$AA:$AA,'Group FEED'!J$2)</f>
        <v>11</v>
      </c>
      <c r="K7" s="39">
        <f>COUNTIFS('INC DATA DUMP - FY23+'!$AD:$AD,"Claim",'INC DATA DUMP - FY23+'!$AA:$AA,'Group FEED'!K$2)</f>
        <v>11</v>
      </c>
      <c r="L7" s="39">
        <f>COUNTIFS('INC DATA DUMP - FY23+'!$AD:$AD,"Claim",'INC DATA DUMP - FY23+'!$AA:$AA,'Group FEED'!L$2)</f>
        <v>15</v>
      </c>
      <c r="M7" s="39">
        <f>SUBTOTAL(9,J7:L7)</f>
        <v>37</v>
      </c>
      <c r="N7" s="39">
        <f>COUNTIFS('INC DATA DUMP - FY23+'!$AD:$AD,"Claim",'INC DATA DUMP - FY23+'!$AA:$AA,'Group FEED'!N$2)</f>
        <v>7</v>
      </c>
      <c r="O7" s="39">
        <f>COUNTIFS('INC DATA DUMP - FY23+'!$AD:$AD,"Claim",'INC DATA DUMP - FY23+'!$AA:$AA,'Group FEED'!O$2)</f>
        <v>19</v>
      </c>
      <c r="P7" s="39">
        <f>COUNTIFS('INC DATA DUMP - FY23+'!$AD:$AD,"Claim",'INC DATA DUMP - FY23+'!$AA:$AA,'Group FEED'!P$2)</f>
        <v>16</v>
      </c>
      <c r="Q7" s="39">
        <f>SUBTOTAL(9,N7:P7)</f>
        <v>42</v>
      </c>
      <c r="R7" s="39">
        <f>SUBTOTAL(9,B7:Q7)</f>
        <v>150</v>
      </c>
      <c r="S7" s="39">
        <f>COUNTIFS('INC DATA DUMP - FY23+'!$AD:$AD,"Claim",'INC DATA DUMP - FY23+'!$AA:$AA,'Group FEED'!S$2)</f>
        <v>14</v>
      </c>
      <c r="T7" s="39">
        <f>COUNTIFS('INC DATA DUMP - FY23+'!$AD:$AD,"Claim",'INC DATA DUMP - FY23+'!$AA:$AA,'Group FEED'!T$2)</f>
        <v>29</v>
      </c>
      <c r="U7" s="39">
        <f>COUNTIFS('INC DATA DUMP - FY23+'!$AD:$AD,"Claim",'INC DATA DUMP - FY23+'!$AA:$AA,'Group FEED'!U$2)</f>
        <v>16</v>
      </c>
      <c r="V7" s="39">
        <f>SUBTOTAL(9,S7:U7)</f>
        <v>59</v>
      </c>
      <c r="W7" s="39">
        <f>COUNTIFS('INC DATA DUMP - FY23+'!$AD:$AD,"Claim",'INC DATA DUMP - FY23+'!$AA:$AA,'Group FEED'!W$2)</f>
        <v>19</v>
      </c>
      <c r="X7" s="39">
        <f>COUNTIFS('INC DATA DUMP - FY23+'!$AD:$AD,"Claim",'INC DATA DUMP - FY23+'!$AA:$AA,'Group FEED'!X$2)</f>
        <v>22</v>
      </c>
      <c r="Y7" s="39">
        <f>COUNTIFS('INC DATA DUMP - FY23+'!$AD:$AD,"Claim",'INC DATA DUMP - FY23+'!$AA:$AA,'Group FEED'!Y$2)</f>
        <v>10</v>
      </c>
      <c r="Z7" s="39">
        <f>SUBTOTAL(9,W7:Y7)</f>
        <v>51</v>
      </c>
      <c r="AA7" s="39">
        <f>COUNTIFS('INC DATA DUMP - FY23+'!$AD:$AD,"Claim",'INC DATA DUMP - FY23+'!$AA:$AA,'Group FEED'!AA$2)</f>
        <v>13</v>
      </c>
      <c r="AB7" s="39">
        <f>COUNTIFS('INC DATA DUMP - FY23+'!$AD:$AD,"Claim",'INC DATA DUMP - FY23+'!$AA:$AA,'Group FEED'!AB$2)</f>
        <v>13</v>
      </c>
      <c r="AC7" s="39">
        <f>COUNTIFS('INC DATA DUMP - FY23+'!$AD:$AD,"Claim",'INC DATA DUMP - FY23+'!$AA:$AA,'Group FEED'!AC$2)</f>
        <v>11</v>
      </c>
      <c r="AD7" s="39">
        <f>SUBTOTAL(9,AA7:AC7)</f>
        <v>37</v>
      </c>
      <c r="AE7" s="39">
        <f>COUNTIFS('INC DATA DUMP - FY23+'!$AD:$AD,"Claim",'INC DATA DUMP - FY23+'!$AA:$AA,'Group FEED'!AE$2)</f>
        <v>12</v>
      </c>
      <c r="AF7" s="39">
        <f>COUNTIFS('INC DATA DUMP - FY23+'!$AD:$AD,"Claim",'INC DATA DUMP - FY23+'!$AA:$AA,'Group FEED'!AF$2)</f>
        <v>8</v>
      </c>
      <c r="AG7" s="39">
        <f>COUNTIFS('INC DATA DUMP - FY23+'!$AD:$AD,"Claim",'INC DATA DUMP - FY23+'!$AA:$AA,'Group FEED'!AG$2)</f>
        <v>0</v>
      </c>
      <c r="AH7" s="39">
        <f>SUBTOTAL(9,AE7:AG7)</f>
        <v>20</v>
      </c>
      <c r="AI7" s="39">
        <f>SUBTOTAL(9,S7:AH7)</f>
        <v>167</v>
      </c>
    </row>
    <row r="8" spans="1:35" x14ac:dyDescent="0.25">
      <c r="A8" s="39" t="s">
        <v>10042</v>
      </c>
      <c r="B8" s="39">
        <f>SUBTOTAL(9,$B7:B7)</f>
        <v>7</v>
      </c>
      <c r="C8" s="39">
        <f>SUBTOTAL(9,$B7:C7)</f>
        <v>25</v>
      </c>
      <c r="D8" s="39">
        <f>SUBTOTAL(9,$B7:D7)</f>
        <v>36</v>
      </c>
      <c r="E8" s="39">
        <f>SUBTOTAL(9,$B7:E7)</f>
        <v>36</v>
      </c>
      <c r="F8" s="39">
        <f>SUBTOTAL(9,$B7:F7)</f>
        <v>48</v>
      </c>
      <c r="G8" s="39">
        <f>SUBTOTAL(9,$B7:G7)</f>
        <v>62</v>
      </c>
      <c r="H8" s="39">
        <f>SUBTOTAL(9,$B7:H7)</f>
        <v>71</v>
      </c>
      <c r="I8" s="39">
        <f>SUBTOTAL(9,$B7:I7)</f>
        <v>71</v>
      </c>
      <c r="J8" s="39">
        <f>SUBTOTAL(9,$B7:J7)</f>
        <v>82</v>
      </c>
      <c r="K8" s="39">
        <f>SUBTOTAL(9,$B7:K7)</f>
        <v>93</v>
      </c>
      <c r="L8" s="39">
        <f>SUBTOTAL(9,$B7:L7)</f>
        <v>108</v>
      </c>
      <c r="M8" s="39">
        <f>SUBTOTAL(9,$B7:M7)</f>
        <v>108</v>
      </c>
      <c r="N8" s="39">
        <f>SUBTOTAL(9,$B7:N7)</f>
        <v>115</v>
      </c>
      <c r="O8" s="39">
        <f>SUBTOTAL(9,$B7:O7)</f>
        <v>134</v>
      </c>
      <c r="P8" s="39">
        <f>SUBTOTAL(9,$B7:P7)</f>
        <v>150</v>
      </c>
      <c r="Q8" s="39">
        <f>SUBTOTAL(9,$B7:Q7)</f>
        <v>150</v>
      </c>
      <c r="R8" s="39">
        <f>SUBTOTAL(9,$B7:R7)</f>
        <v>150</v>
      </c>
      <c r="S8" s="39">
        <f>SUBTOTAL(9,$S7:S7)</f>
        <v>14</v>
      </c>
      <c r="T8" s="39">
        <f>SUBTOTAL(9,$S7:T7)</f>
        <v>43</v>
      </c>
      <c r="U8" s="39">
        <f>SUBTOTAL(9,$S7:U7)</f>
        <v>59</v>
      </c>
      <c r="V8" s="39">
        <f>SUBTOTAL(9,$S7:V7)</f>
        <v>59</v>
      </c>
      <c r="W8" s="39">
        <f>SUBTOTAL(9,$S7:W7)</f>
        <v>78</v>
      </c>
      <c r="X8" s="39">
        <f>SUBTOTAL(9,$S7:X7)</f>
        <v>100</v>
      </c>
      <c r="Y8" s="39">
        <f>SUBTOTAL(9,$S7:Y7)</f>
        <v>110</v>
      </c>
      <c r="Z8" s="39">
        <f>SUBTOTAL(9,$S7:Z7)</f>
        <v>110</v>
      </c>
      <c r="AA8" s="39">
        <f>SUBTOTAL(9,$S7:AA7)</f>
        <v>123</v>
      </c>
      <c r="AB8" s="39">
        <f>SUBTOTAL(9,$S7:AB7)</f>
        <v>136</v>
      </c>
      <c r="AC8" s="39">
        <f>SUBTOTAL(9,$S7:AC7)</f>
        <v>147</v>
      </c>
      <c r="AD8" s="39">
        <f>SUBTOTAL(9,$S7:AD7)</f>
        <v>147</v>
      </c>
      <c r="AE8" s="39">
        <f>SUBTOTAL(9,$S7:AE7)</f>
        <v>159</v>
      </c>
      <c r="AF8" s="39">
        <f>SUBTOTAL(9,$S7:AF7)</f>
        <v>167</v>
      </c>
      <c r="AG8" s="39">
        <f>SUBTOTAL(9,$S7:AG7)</f>
        <v>167</v>
      </c>
      <c r="AH8" s="39">
        <f>SUBTOTAL(9,$S7:AH7)</f>
        <v>167</v>
      </c>
      <c r="AI8" s="39">
        <f>SUBTOTAL(9,$S7:AI7)</f>
        <v>167</v>
      </c>
    </row>
  </sheetData>
  <mergeCells count="2">
    <mergeCell ref="B1:R1"/>
    <mergeCell ref="S1:A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2D34C-187A-4ED0-8566-83FDB0ED6F8F}">
  <sheetPr>
    <tabColor theme="9"/>
  </sheetPr>
  <dimension ref="A1:AN2004"/>
  <sheetViews>
    <sheetView topLeftCell="Z12" zoomScale="90" zoomScaleNormal="90" workbookViewId="0">
      <selection activeCell="AK8" sqref="AK8"/>
    </sheetView>
  </sheetViews>
  <sheetFormatPr defaultRowHeight="15" x14ac:dyDescent="0.25"/>
  <cols>
    <col min="1" max="1" width="15.42578125" customWidth="1"/>
    <col min="2" max="2" width="14.140625" style="1" customWidth="1"/>
    <col min="3" max="3" width="11.85546875" customWidth="1"/>
    <col min="4" max="4" width="12.85546875" customWidth="1"/>
    <col min="5" max="5" width="22" customWidth="1"/>
    <col min="6" max="6" width="13.140625" style="2" customWidth="1"/>
    <col min="7" max="7" width="13.140625" style="3" customWidth="1"/>
    <col min="8" max="8" width="18" customWidth="1"/>
    <col min="9" max="9" width="9.85546875" style="4" customWidth="1"/>
    <col min="10" max="10" width="15.7109375" customWidth="1"/>
    <col min="11" max="11" width="25.5703125" customWidth="1"/>
    <col min="12" max="12" width="25.85546875" customWidth="1"/>
    <col min="13" max="13" width="10.85546875" customWidth="1"/>
    <col min="14" max="14" width="10.5703125" customWidth="1"/>
    <col min="15" max="15" width="23.5703125" bestFit="1" customWidth="1"/>
    <col min="16" max="18" width="12.7109375" customWidth="1"/>
    <col min="19" max="19" width="15.140625" customWidth="1"/>
    <col min="20" max="20" width="64.7109375" customWidth="1"/>
    <col min="21" max="21" width="20.42578125" customWidth="1"/>
    <col min="22" max="22" width="25.85546875" customWidth="1"/>
    <col min="23" max="23" width="51.140625" customWidth="1"/>
    <col min="24" max="24" width="29.5703125" customWidth="1"/>
    <col min="25" max="25" width="10.42578125" customWidth="1"/>
    <col min="26" max="26" width="12.5703125" customWidth="1"/>
    <col min="27" max="27" width="15.7109375" customWidth="1"/>
    <col min="28" max="28" width="13.85546875" customWidth="1"/>
    <col min="29" max="29" width="16.5703125" bestFit="1" customWidth="1"/>
    <col min="30" max="30" width="12.28515625" customWidth="1"/>
    <col min="31" max="31" width="21.7109375" customWidth="1"/>
    <col min="32" max="33" width="27.140625" customWidth="1"/>
    <col min="34" max="34" width="20.28515625" bestFit="1" customWidth="1"/>
    <col min="35" max="36" width="12.28515625" customWidth="1"/>
    <col min="37" max="37" width="15.42578125" customWidth="1"/>
    <col min="38" max="38" width="23.42578125" bestFit="1" customWidth="1"/>
    <col min="39" max="39" width="26.5703125" customWidth="1"/>
    <col min="40" max="40" width="39.28515625" bestFit="1" customWidth="1"/>
  </cols>
  <sheetData>
    <row r="1" spans="1:40" ht="15.75" thickBot="1" x14ac:dyDescent="0.3">
      <c r="A1" t="s">
        <v>0</v>
      </c>
      <c r="B1" s="1" t="s">
        <v>1</v>
      </c>
      <c r="C1" t="s">
        <v>2</v>
      </c>
      <c r="D1" t="s">
        <v>3</v>
      </c>
      <c r="E1" t="s">
        <v>4</v>
      </c>
      <c r="F1" s="2" t="s">
        <v>5</v>
      </c>
      <c r="G1" s="3" t="s">
        <v>6</v>
      </c>
      <c r="H1" t="s">
        <v>7</v>
      </c>
      <c r="I1" s="4" t="s">
        <v>8</v>
      </c>
      <c r="J1" t="s">
        <v>4</v>
      </c>
      <c r="K1" t="s">
        <v>9</v>
      </c>
      <c r="L1" t="s">
        <v>10</v>
      </c>
      <c r="M1" t="s">
        <v>11</v>
      </c>
      <c r="N1" t="s">
        <v>12</v>
      </c>
      <c r="O1" t="s">
        <v>13</v>
      </c>
      <c r="P1" t="s">
        <v>14</v>
      </c>
      <c r="Q1" t="s">
        <v>15</v>
      </c>
      <c r="R1" t="s">
        <v>16</v>
      </c>
      <c r="S1" t="s">
        <v>17</v>
      </c>
      <c r="T1" t="s">
        <v>18</v>
      </c>
      <c r="U1" t="s">
        <v>19</v>
      </c>
      <c r="V1" t="s">
        <v>20</v>
      </c>
      <c r="W1" t="s">
        <v>21</v>
      </c>
      <c r="X1" t="s">
        <v>22</v>
      </c>
      <c r="Y1" t="s">
        <v>23</v>
      </c>
      <c r="Z1" s="5" t="s">
        <v>24</v>
      </c>
      <c r="AA1" s="6" t="s">
        <v>25</v>
      </c>
      <c r="AB1" s="6" t="s">
        <v>26</v>
      </c>
      <c r="AC1" s="7" t="s">
        <v>27</v>
      </c>
      <c r="AD1" s="7" t="s">
        <v>28</v>
      </c>
      <c r="AE1" s="7" t="s">
        <v>29</v>
      </c>
      <c r="AF1" s="7" t="s">
        <v>30</v>
      </c>
      <c r="AG1" s="7" t="s">
        <v>22</v>
      </c>
      <c r="AH1" s="8" t="s">
        <v>31</v>
      </c>
      <c r="AI1" s="8" t="s">
        <v>32</v>
      </c>
      <c r="AJ1" s="8" t="s">
        <v>33</v>
      </c>
      <c r="AK1" s="8" t="s">
        <v>34</v>
      </c>
      <c r="AL1" s="8" t="s">
        <v>35</v>
      </c>
      <c r="AM1" s="9" t="s">
        <v>36</v>
      </c>
      <c r="AN1" s="9" t="s">
        <v>37</v>
      </c>
    </row>
    <row r="2" spans="1:40" x14ac:dyDescent="0.25">
      <c r="A2" s="4" t="s">
        <v>9650</v>
      </c>
      <c r="B2" s="4"/>
      <c r="C2" s="4" t="s">
        <v>39</v>
      </c>
      <c r="D2" s="4" t="s">
        <v>9651</v>
      </c>
      <c r="E2" s="4" t="s">
        <v>9652</v>
      </c>
      <c r="F2" s="10">
        <v>45809</v>
      </c>
      <c r="G2" s="11">
        <v>0.4548611111111111</v>
      </c>
      <c r="H2" s="4" t="s">
        <v>4516</v>
      </c>
      <c r="I2" s="4" t="s">
        <v>4869</v>
      </c>
      <c r="J2" s="4" t="s">
        <v>4870</v>
      </c>
      <c r="K2" s="4" t="s">
        <v>447</v>
      </c>
      <c r="L2" s="4" t="s">
        <v>9653</v>
      </c>
      <c r="M2" s="4" t="s">
        <v>46</v>
      </c>
      <c r="N2" s="4"/>
      <c r="O2" s="4" t="s">
        <v>47</v>
      </c>
      <c r="P2" s="4" t="s">
        <v>60</v>
      </c>
      <c r="Q2" s="4">
        <v>0</v>
      </c>
      <c r="R2" s="4" t="b">
        <v>0</v>
      </c>
      <c r="S2" s="4" t="s">
        <v>49</v>
      </c>
      <c r="T2" s="4" t="s">
        <v>50</v>
      </c>
      <c r="U2" s="4" t="s">
        <v>90</v>
      </c>
      <c r="V2" s="4" t="s">
        <v>63</v>
      </c>
      <c r="W2" s="4" t="s">
        <v>108</v>
      </c>
      <c r="X2" s="4" t="s">
        <v>54</v>
      </c>
      <c r="Y2" s="4" t="s">
        <v>9654</v>
      </c>
      <c r="Z2" s="12">
        <v>0</v>
      </c>
      <c r="AA2" s="13" t="s">
        <v>9655</v>
      </c>
      <c r="AB2" s="13" t="s">
        <v>9138</v>
      </c>
      <c r="AC2" s="14" t="s">
        <v>9139</v>
      </c>
      <c r="AD2" s="14" t="s">
        <v>9140</v>
      </c>
      <c r="AE2" s="14" t="s">
        <v>9140</v>
      </c>
      <c r="AF2" s="14" t="s">
        <v>63</v>
      </c>
      <c r="AG2" s="14" t="s">
        <v>54</v>
      </c>
      <c r="AH2" s="15" t="s">
        <v>9220</v>
      </c>
      <c r="AI2" s="15" t="s">
        <v>9188</v>
      </c>
      <c r="AJ2" s="15" t="s">
        <v>9143</v>
      </c>
      <c r="AK2" s="15" t="s">
        <v>9221</v>
      </c>
      <c r="AL2" s="15" t="s">
        <v>9232</v>
      </c>
      <c r="AM2" s="16" t="s">
        <v>9221</v>
      </c>
      <c r="AN2" s="16" t="s">
        <v>9233</v>
      </c>
    </row>
    <row r="3" spans="1:40" x14ac:dyDescent="0.25">
      <c r="A3" s="4" t="s">
        <v>9656</v>
      </c>
      <c r="B3" s="4"/>
      <c r="C3" s="4" t="s">
        <v>39</v>
      </c>
      <c r="D3" s="4" t="s">
        <v>9657</v>
      </c>
      <c r="E3" s="4" t="s">
        <v>9658</v>
      </c>
      <c r="F3" s="10">
        <v>45809</v>
      </c>
      <c r="G3" s="11">
        <v>0.4236111111111111</v>
      </c>
      <c r="H3" s="4" t="s">
        <v>2095</v>
      </c>
      <c r="I3" s="4" t="s">
        <v>3415</v>
      </c>
      <c r="J3" s="4" t="s">
        <v>3416</v>
      </c>
      <c r="K3" s="4" t="s">
        <v>9659</v>
      </c>
      <c r="L3" s="4" t="s">
        <v>9660</v>
      </c>
      <c r="M3" s="4" t="s">
        <v>46</v>
      </c>
      <c r="N3" s="4"/>
      <c r="O3" s="4" t="s">
        <v>47</v>
      </c>
      <c r="P3" s="4" t="s">
        <v>60</v>
      </c>
      <c r="Q3" s="4">
        <v>0</v>
      </c>
      <c r="R3" s="4" t="b">
        <v>0</v>
      </c>
      <c r="S3" s="4" t="s">
        <v>184</v>
      </c>
      <c r="T3" s="4" t="s">
        <v>70</v>
      </c>
      <c r="U3" s="4" t="s">
        <v>107</v>
      </c>
      <c r="V3" s="4" t="s">
        <v>63</v>
      </c>
      <c r="W3" s="4" t="s">
        <v>108</v>
      </c>
      <c r="X3" s="4" t="s">
        <v>54</v>
      </c>
      <c r="Y3" s="4" t="s">
        <v>176</v>
      </c>
      <c r="Z3" s="12">
        <v>0</v>
      </c>
      <c r="AA3" s="13" t="s">
        <v>9655</v>
      </c>
      <c r="AB3" s="13" t="s">
        <v>9138</v>
      </c>
      <c r="AC3" s="14" t="s">
        <v>9166</v>
      </c>
      <c r="AD3" s="14" t="s">
        <v>9140</v>
      </c>
      <c r="AE3" s="14" t="s">
        <v>9140</v>
      </c>
      <c r="AF3" s="14" t="s">
        <v>63</v>
      </c>
      <c r="AG3" s="14" t="s">
        <v>54</v>
      </c>
      <c r="AH3" s="15" t="s">
        <v>9194</v>
      </c>
      <c r="AI3" s="15" t="s">
        <v>9188</v>
      </c>
      <c r="AJ3" s="15" t="s">
        <v>9143</v>
      </c>
      <c r="AK3" s="15" t="s">
        <v>9194</v>
      </c>
      <c r="AL3" s="15" t="s">
        <v>9211</v>
      </c>
      <c r="AM3" s="16" t="s">
        <v>9194</v>
      </c>
      <c r="AN3" s="16" t="s">
        <v>9212</v>
      </c>
    </row>
    <row r="4" spans="1:40" x14ac:dyDescent="0.25">
      <c r="A4" s="4" t="s">
        <v>9661</v>
      </c>
      <c r="B4" s="4"/>
      <c r="C4" s="4" t="s">
        <v>39</v>
      </c>
      <c r="D4" s="4" t="s">
        <v>9662</v>
      </c>
      <c r="E4" s="4" t="s">
        <v>9663</v>
      </c>
      <c r="F4" s="10">
        <v>45808</v>
      </c>
      <c r="G4" s="11">
        <v>0.4909722222222222</v>
      </c>
      <c r="H4" s="4" t="s">
        <v>4910</v>
      </c>
      <c r="I4" s="4" t="s">
        <v>6561</v>
      </c>
      <c r="J4" s="4" t="s">
        <v>1719</v>
      </c>
      <c r="K4" s="4" t="s">
        <v>51</v>
      </c>
      <c r="L4" s="4" t="s">
        <v>9664</v>
      </c>
      <c r="M4" s="4" t="s">
        <v>46</v>
      </c>
      <c r="N4" s="4"/>
      <c r="O4" s="4" t="s">
        <v>47</v>
      </c>
      <c r="P4" s="4" t="s">
        <v>60</v>
      </c>
      <c r="Q4" s="4">
        <v>0</v>
      </c>
      <c r="R4" s="4" t="b">
        <v>0</v>
      </c>
      <c r="S4" s="4" t="s">
        <v>49</v>
      </c>
      <c r="T4" s="4" t="s">
        <v>115</v>
      </c>
      <c r="U4" s="4" t="s">
        <v>51</v>
      </c>
      <c r="V4" s="4" t="s">
        <v>63</v>
      </c>
      <c r="W4" s="4" t="s">
        <v>108</v>
      </c>
      <c r="X4" s="4" t="s">
        <v>54</v>
      </c>
      <c r="Y4" s="4"/>
      <c r="Z4" s="12">
        <v>0</v>
      </c>
      <c r="AA4" s="13" t="s">
        <v>9655</v>
      </c>
      <c r="AB4" s="13" t="s">
        <v>9138</v>
      </c>
      <c r="AC4" s="14" t="s">
        <v>9139</v>
      </c>
      <c r="AD4" s="14" t="s">
        <v>9140</v>
      </c>
      <c r="AE4" s="14" t="s">
        <v>9140</v>
      </c>
      <c r="AF4" s="14" t="s">
        <v>63</v>
      </c>
      <c r="AG4" s="14" t="s">
        <v>54</v>
      </c>
      <c r="AH4" s="15" t="s">
        <v>9220</v>
      </c>
      <c r="AI4" s="15" t="s">
        <v>9191</v>
      </c>
      <c r="AJ4" s="15" t="s">
        <v>9143</v>
      </c>
      <c r="AK4" s="15" t="s">
        <v>9221</v>
      </c>
      <c r="AL4" s="15" t="s">
        <v>9226</v>
      </c>
      <c r="AM4" s="16" t="s">
        <v>9221</v>
      </c>
      <c r="AN4" s="16" t="s">
        <v>9227</v>
      </c>
    </row>
    <row r="5" spans="1:40" x14ac:dyDescent="0.25">
      <c r="A5" s="4" t="s">
        <v>9665</v>
      </c>
      <c r="B5" s="4"/>
      <c r="C5" s="4" t="s">
        <v>39</v>
      </c>
      <c r="D5" s="4" t="s">
        <v>6511</v>
      </c>
      <c r="E5" s="4" t="s">
        <v>6512</v>
      </c>
      <c r="F5" s="10">
        <v>45807</v>
      </c>
      <c r="G5" s="11">
        <v>0.5625</v>
      </c>
      <c r="H5" s="4" t="s">
        <v>4910</v>
      </c>
      <c r="I5" s="4" t="s">
        <v>6502</v>
      </c>
      <c r="J5" s="4" t="s">
        <v>6503</v>
      </c>
      <c r="K5" s="4" t="s">
        <v>9666</v>
      </c>
      <c r="L5" s="4" t="s">
        <v>9667</v>
      </c>
      <c r="M5" s="4" t="s">
        <v>46</v>
      </c>
      <c r="N5" s="4"/>
      <c r="O5" s="4" t="s">
        <v>47</v>
      </c>
      <c r="P5" s="4" t="s">
        <v>60</v>
      </c>
      <c r="Q5" s="4">
        <v>0</v>
      </c>
      <c r="R5" s="4" t="b">
        <v>0</v>
      </c>
      <c r="S5" s="4" t="s">
        <v>61</v>
      </c>
      <c r="T5" s="4" t="s">
        <v>115</v>
      </c>
      <c r="U5" s="4" t="s">
        <v>51</v>
      </c>
      <c r="V5" s="4" t="s">
        <v>123</v>
      </c>
      <c r="W5" s="4" t="s">
        <v>124</v>
      </c>
      <c r="X5" s="4" t="s">
        <v>54</v>
      </c>
      <c r="Y5" s="4"/>
      <c r="Z5" s="12">
        <v>0</v>
      </c>
      <c r="AA5" s="13" t="s">
        <v>9655</v>
      </c>
      <c r="AB5" s="13" t="s">
        <v>9138</v>
      </c>
      <c r="AC5" s="14" t="s">
        <v>9148</v>
      </c>
      <c r="AD5" s="14" t="s">
        <v>9140</v>
      </c>
      <c r="AE5" s="14" t="s">
        <v>9140</v>
      </c>
      <c r="AF5" s="14" t="s">
        <v>123</v>
      </c>
      <c r="AG5" s="14" t="s">
        <v>54</v>
      </c>
      <c r="AH5" s="15" t="s">
        <v>9220</v>
      </c>
      <c r="AI5" s="15" t="s">
        <v>9191</v>
      </c>
      <c r="AJ5" s="15" t="s">
        <v>9143</v>
      </c>
      <c r="AK5" s="15" t="s">
        <v>9221</v>
      </c>
      <c r="AL5" s="15" t="s">
        <v>9236</v>
      </c>
      <c r="AM5" s="16" t="s">
        <v>9221</v>
      </c>
      <c r="AN5" s="16" t="s">
        <v>9237</v>
      </c>
    </row>
    <row r="6" spans="1:40" x14ac:dyDescent="0.25">
      <c r="A6" s="4" t="s">
        <v>9668</v>
      </c>
      <c r="B6" s="4"/>
      <c r="C6" s="4" t="s">
        <v>39</v>
      </c>
      <c r="D6" s="4" t="s">
        <v>6013</v>
      </c>
      <c r="E6" s="4" t="s">
        <v>6014</v>
      </c>
      <c r="F6" s="10">
        <v>45807</v>
      </c>
      <c r="G6" s="11">
        <v>0.61458333333333337</v>
      </c>
      <c r="H6" s="4" t="s">
        <v>4242</v>
      </c>
      <c r="I6" s="4" t="s">
        <v>5918</v>
      </c>
      <c r="J6" s="4" t="s">
        <v>5919</v>
      </c>
      <c r="K6" s="4" t="s">
        <v>9669</v>
      </c>
      <c r="L6" s="4" t="s">
        <v>9670</v>
      </c>
      <c r="M6" s="4" t="s">
        <v>46</v>
      </c>
      <c r="N6" s="4"/>
      <c r="O6" s="4" t="s">
        <v>47</v>
      </c>
      <c r="P6" s="4" t="s">
        <v>60</v>
      </c>
      <c r="Q6" s="4">
        <v>0</v>
      </c>
      <c r="R6" s="4" t="b">
        <v>0</v>
      </c>
      <c r="S6" s="4" t="s">
        <v>61</v>
      </c>
      <c r="T6" s="4" t="s">
        <v>115</v>
      </c>
      <c r="U6" s="4" t="s">
        <v>71</v>
      </c>
      <c r="V6" s="4" t="s">
        <v>52</v>
      </c>
      <c r="W6" s="4" t="s">
        <v>53</v>
      </c>
      <c r="X6" s="4" t="s">
        <v>54</v>
      </c>
      <c r="Y6" s="4" t="s">
        <v>176</v>
      </c>
      <c r="Z6" s="12">
        <v>0</v>
      </c>
      <c r="AA6" s="13" t="s">
        <v>9655</v>
      </c>
      <c r="AB6" s="13" t="s">
        <v>9138</v>
      </c>
      <c r="AC6" s="14" t="s">
        <v>9148</v>
      </c>
      <c r="AD6" s="14" t="s">
        <v>9140</v>
      </c>
      <c r="AE6" s="14" t="s">
        <v>9140</v>
      </c>
      <c r="AF6" s="14" t="s">
        <v>52</v>
      </c>
      <c r="AG6" s="14" t="s">
        <v>54</v>
      </c>
      <c r="AH6" s="15" t="s">
        <v>9220</v>
      </c>
      <c r="AI6" s="15" t="s">
        <v>9187</v>
      </c>
      <c r="AJ6" s="15" t="s">
        <v>9143</v>
      </c>
      <c r="AK6" s="15" t="s">
        <v>9221</v>
      </c>
      <c r="AL6" s="15" t="s">
        <v>9226</v>
      </c>
      <c r="AM6" s="16" t="s">
        <v>9221</v>
      </c>
      <c r="AN6" s="16" t="s">
        <v>9227</v>
      </c>
    </row>
    <row r="7" spans="1:40" x14ac:dyDescent="0.25">
      <c r="A7" s="4" t="s">
        <v>9671</v>
      </c>
      <c r="B7" s="4"/>
      <c r="C7" s="4" t="s">
        <v>39</v>
      </c>
      <c r="D7" s="4" t="s">
        <v>9672</v>
      </c>
      <c r="E7" s="4" t="s">
        <v>9673</v>
      </c>
      <c r="F7" s="10">
        <v>45807</v>
      </c>
      <c r="G7" s="11">
        <v>0.64166666666666672</v>
      </c>
      <c r="H7" s="4" t="s">
        <v>2017</v>
      </c>
      <c r="I7" s="4" t="s">
        <v>9674</v>
      </c>
      <c r="J7" s="4" t="s">
        <v>7161</v>
      </c>
      <c r="K7" s="4" t="s">
        <v>9675</v>
      </c>
      <c r="L7" s="4" t="s">
        <v>9676</v>
      </c>
      <c r="M7" s="4" t="s">
        <v>46</v>
      </c>
      <c r="N7" s="4"/>
      <c r="O7" s="4" t="s">
        <v>47</v>
      </c>
      <c r="P7" s="4" t="s">
        <v>60</v>
      </c>
      <c r="Q7" s="4">
        <v>0</v>
      </c>
      <c r="R7" s="4" t="b">
        <v>0</v>
      </c>
      <c r="S7" s="4" t="s">
        <v>61</v>
      </c>
      <c r="T7" s="4" t="s">
        <v>115</v>
      </c>
      <c r="U7" s="4" t="s">
        <v>140</v>
      </c>
      <c r="V7" s="4" t="s">
        <v>123</v>
      </c>
      <c r="W7" s="4" t="s">
        <v>192</v>
      </c>
      <c r="X7" s="4" t="s">
        <v>54</v>
      </c>
      <c r="Y7" s="4" t="s">
        <v>302</v>
      </c>
      <c r="Z7" s="12">
        <v>0</v>
      </c>
      <c r="AA7" s="13" t="s">
        <v>9655</v>
      </c>
      <c r="AB7" s="13" t="s">
        <v>9138</v>
      </c>
      <c r="AC7" s="14" t="s">
        <v>9148</v>
      </c>
      <c r="AD7" s="14" t="s">
        <v>9140</v>
      </c>
      <c r="AE7" s="14" t="s">
        <v>9140</v>
      </c>
      <c r="AF7" s="14" t="s">
        <v>123</v>
      </c>
      <c r="AG7" s="14" t="s">
        <v>54</v>
      </c>
      <c r="AH7" s="15" t="s">
        <v>9194</v>
      </c>
      <c r="AI7" s="15" t="s">
        <v>9199</v>
      </c>
      <c r="AJ7" s="15" t="s">
        <v>9143</v>
      </c>
      <c r="AK7" s="15" t="s">
        <v>9194</v>
      </c>
      <c r="AL7" s="15" t="s">
        <v>9199</v>
      </c>
      <c r="AM7" s="16" t="s">
        <v>9194</v>
      </c>
      <c r="AN7" s="16" t="s">
        <v>9200</v>
      </c>
    </row>
    <row r="8" spans="1:40" x14ac:dyDescent="0.25">
      <c r="A8" s="4" t="s">
        <v>9677</v>
      </c>
      <c r="B8" s="4"/>
      <c r="C8" s="4" t="s">
        <v>39</v>
      </c>
      <c r="D8" s="4" t="s">
        <v>6723</v>
      </c>
      <c r="E8" s="4" t="s">
        <v>6724</v>
      </c>
      <c r="F8" s="10">
        <v>45806</v>
      </c>
      <c r="G8" s="11">
        <v>0.59375</v>
      </c>
      <c r="H8" s="4" t="s">
        <v>5666</v>
      </c>
      <c r="I8" s="4" t="s">
        <v>6692</v>
      </c>
      <c r="J8" s="4" t="s">
        <v>3645</v>
      </c>
      <c r="K8" s="4" t="s">
        <v>9678</v>
      </c>
      <c r="L8" s="4" t="s">
        <v>9679</v>
      </c>
      <c r="M8" s="4" t="s">
        <v>46</v>
      </c>
      <c r="N8" s="4"/>
      <c r="O8" s="4" t="s">
        <v>47</v>
      </c>
      <c r="P8" s="4" t="s">
        <v>60</v>
      </c>
      <c r="Q8" s="4">
        <v>0</v>
      </c>
      <c r="R8" s="4" t="b">
        <v>0</v>
      </c>
      <c r="S8" s="4" t="s">
        <v>61</v>
      </c>
      <c r="T8" s="4" t="s">
        <v>115</v>
      </c>
      <c r="U8" s="4" t="s">
        <v>148</v>
      </c>
      <c r="V8" s="4" t="s">
        <v>52</v>
      </c>
      <c r="W8" s="4" t="s">
        <v>53</v>
      </c>
      <c r="X8" s="4" t="s">
        <v>54</v>
      </c>
      <c r="Y8" s="4"/>
      <c r="Z8" s="12">
        <v>0</v>
      </c>
      <c r="AA8" s="13" t="s">
        <v>9655</v>
      </c>
      <c r="AB8" s="13" t="s">
        <v>9138</v>
      </c>
      <c r="AC8" s="14" t="s">
        <v>9148</v>
      </c>
      <c r="AD8" s="14" t="s">
        <v>9140</v>
      </c>
      <c r="AE8" s="14" t="s">
        <v>9140</v>
      </c>
      <c r="AF8" s="14" t="s">
        <v>52</v>
      </c>
      <c r="AG8" s="14" t="s">
        <v>54</v>
      </c>
      <c r="AH8" s="15" t="s">
        <v>9220</v>
      </c>
      <c r="AI8" s="15" t="s">
        <v>9199</v>
      </c>
      <c r="AJ8" s="15" t="s">
        <v>9143</v>
      </c>
      <c r="AK8" s="15" t="s">
        <v>9221</v>
      </c>
      <c r="AL8" s="15" t="s">
        <v>9199</v>
      </c>
      <c r="AM8" s="16" t="s">
        <v>9221</v>
      </c>
      <c r="AN8" s="16" t="s">
        <v>9238</v>
      </c>
    </row>
    <row r="9" spans="1:40" x14ac:dyDescent="0.25">
      <c r="A9" s="4" t="s">
        <v>9680</v>
      </c>
      <c r="B9" s="4"/>
      <c r="C9" s="4" t="s">
        <v>39</v>
      </c>
      <c r="D9" s="4" t="s">
        <v>9681</v>
      </c>
      <c r="E9" s="4" t="s">
        <v>9682</v>
      </c>
      <c r="F9" s="10">
        <v>45806</v>
      </c>
      <c r="G9" s="11">
        <v>0.60347222222222219</v>
      </c>
      <c r="H9" s="4" t="s">
        <v>2701</v>
      </c>
      <c r="I9" s="4" t="s">
        <v>2702</v>
      </c>
      <c r="J9" s="4" t="s">
        <v>2703</v>
      </c>
      <c r="K9" s="4" t="s">
        <v>9683</v>
      </c>
      <c r="L9" s="4" t="s">
        <v>9684</v>
      </c>
      <c r="M9" s="4" t="s">
        <v>46</v>
      </c>
      <c r="N9" s="4"/>
      <c r="O9" s="4" t="s">
        <v>47</v>
      </c>
      <c r="P9" s="4" t="s">
        <v>60</v>
      </c>
      <c r="Q9" s="4">
        <v>0</v>
      </c>
      <c r="R9" s="4" t="b">
        <v>0</v>
      </c>
      <c r="S9" s="4" t="s">
        <v>49</v>
      </c>
      <c r="T9" s="4" t="s">
        <v>70</v>
      </c>
      <c r="U9" s="4" t="s">
        <v>71</v>
      </c>
      <c r="V9" s="4" t="s">
        <v>63</v>
      </c>
      <c r="W9" s="4" t="s">
        <v>312</v>
      </c>
      <c r="X9" s="4" t="s">
        <v>54</v>
      </c>
      <c r="Y9" s="4"/>
      <c r="Z9" s="12">
        <v>0</v>
      </c>
      <c r="AA9" s="13" t="s">
        <v>9655</v>
      </c>
      <c r="AB9" s="13" t="s">
        <v>9138</v>
      </c>
      <c r="AC9" s="14" t="s">
        <v>9139</v>
      </c>
      <c r="AD9" s="14" t="s">
        <v>9140</v>
      </c>
      <c r="AE9" s="14" t="s">
        <v>9140</v>
      </c>
      <c r="AF9" s="14" t="s">
        <v>63</v>
      </c>
      <c r="AG9" s="14" t="s">
        <v>54</v>
      </c>
      <c r="AH9" s="15" t="s">
        <v>9194</v>
      </c>
      <c r="AI9" s="15" t="s">
        <v>9193</v>
      </c>
      <c r="AJ9" s="15" t="s">
        <v>9143</v>
      </c>
      <c r="AK9" s="15" t="s">
        <v>9194</v>
      </c>
      <c r="AL9" s="15" t="s">
        <v>9207</v>
      </c>
      <c r="AM9" s="16" t="s">
        <v>9194</v>
      </c>
      <c r="AN9" s="16" t="s">
        <v>9208</v>
      </c>
    </row>
    <row r="10" spans="1:40" x14ac:dyDescent="0.25">
      <c r="A10" s="4" t="s">
        <v>9685</v>
      </c>
      <c r="B10" s="4"/>
      <c r="C10" s="4" t="s">
        <v>39</v>
      </c>
      <c r="D10" s="4" t="s">
        <v>9686</v>
      </c>
      <c r="E10" s="4" t="s">
        <v>9687</v>
      </c>
      <c r="F10" s="10">
        <v>45806</v>
      </c>
      <c r="G10" s="11">
        <v>0.78125</v>
      </c>
      <c r="H10" s="4" t="s">
        <v>4242</v>
      </c>
      <c r="I10" s="4" t="s">
        <v>7028</v>
      </c>
      <c r="J10" s="4" t="s">
        <v>7029</v>
      </c>
      <c r="K10" s="4" t="s">
        <v>9688</v>
      </c>
      <c r="L10" s="4" t="s">
        <v>9689</v>
      </c>
      <c r="M10" s="4" t="s">
        <v>46</v>
      </c>
      <c r="N10" s="4"/>
      <c r="O10" s="4" t="s">
        <v>47</v>
      </c>
      <c r="P10" s="4" t="s">
        <v>48</v>
      </c>
      <c r="Q10" s="4">
        <v>0</v>
      </c>
      <c r="R10" s="4" t="b">
        <v>0</v>
      </c>
      <c r="S10" s="4" t="s">
        <v>49</v>
      </c>
      <c r="T10" s="4" t="s">
        <v>70</v>
      </c>
      <c r="U10" s="4" t="s">
        <v>71</v>
      </c>
      <c r="V10" s="4" t="s">
        <v>72</v>
      </c>
      <c r="W10" s="4" t="s">
        <v>73</v>
      </c>
      <c r="X10" s="4" t="s">
        <v>54</v>
      </c>
      <c r="Y10" s="4"/>
      <c r="Z10" s="12">
        <v>0</v>
      </c>
      <c r="AA10" s="13" t="s">
        <v>9655</v>
      </c>
      <c r="AB10" s="13" t="s">
        <v>9138</v>
      </c>
      <c r="AC10" s="14" t="s">
        <v>9139</v>
      </c>
      <c r="AD10" s="14" t="s">
        <v>9140</v>
      </c>
      <c r="AE10" s="14" t="s">
        <v>9140</v>
      </c>
      <c r="AF10" s="14" t="s">
        <v>72</v>
      </c>
      <c r="AG10" s="14" t="s">
        <v>54</v>
      </c>
      <c r="AH10" s="15" t="s">
        <v>9220</v>
      </c>
      <c r="AI10" s="15" t="s">
        <v>9187</v>
      </c>
      <c r="AJ10" s="15" t="s">
        <v>9143</v>
      </c>
      <c r="AK10" s="15" t="s">
        <v>9221</v>
      </c>
      <c r="AL10" s="15" t="s">
        <v>9226</v>
      </c>
      <c r="AM10" s="16" t="s">
        <v>9221</v>
      </c>
      <c r="AN10" s="16" t="s">
        <v>9227</v>
      </c>
    </row>
    <row r="11" spans="1:40" x14ac:dyDescent="0.25">
      <c r="A11" s="4" t="s">
        <v>9690</v>
      </c>
      <c r="B11" s="4"/>
      <c r="C11" s="4" t="s">
        <v>39</v>
      </c>
      <c r="D11" s="4" t="s">
        <v>8578</v>
      </c>
      <c r="E11" s="4" t="s">
        <v>8579</v>
      </c>
      <c r="F11" s="10">
        <v>45806</v>
      </c>
      <c r="G11" s="11">
        <v>0.47569444444444442</v>
      </c>
      <c r="H11" s="4" t="s">
        <v>4910</v>
      </c>
      <c r="I11" s="4" t="s">
        <v>8580</v>
      </c>
      <c r="J11" s="4" t="s">
        <v>1896</v>
      </c>
      <c r="K11" s="4" t="s">
        <v>9691</v>
      </c>
      <c r="L11" s="4" t="s">
        <v>9692</v>
      </c>
      <c r="M11" s="4" t="s">
        <v>46</v>
      </c>
      <c r="N11" s="4"/>
      <c r="O11" s="4" t="s">
        <v>47</v>
      </c>
      <c r="P11" s="4" t="s">
        <v>60</v>
      </c>
      <c r="Q11" s="4">
        <v>0</v>
      </c>
      <c r="R11" s="4" t="b">
        <v>0</v>
      </c>
      <c r="S11" s="4" t="s">
        <v>49</v>
      </c>
      <c r="T11" s="4" t="s">
        <v>50</v>
      </c>
      <c r="U11" s="4" t="s">
        <v>165</v>
      </c>
      <c r="V11" s="4" t="s">
        <v>63</v>
      </c>
      <c r="W11" s="4" t="s">
        <v>108</v>
      </c>
      <c r="X11" s="4" t="s">
        <v>54</v>
      </c>
      <c r="Y11" s="4" t="s">
        <v>486</v>
      </c>
      <c r="Z11" s="12">
        <v>0</v>
      </c>
      <c r="AA11" s="13" t="s">
        <v>9655</v>
      </c>
      <c r="AB11" s="13" t="s">
        <v>9138</v>
      </c>
      <c r="AC11" s="14" t="s">
        <v>9139</v>
      </c>
      <c r="AD11" s="14" t="s">
        <v>9140</v>
      </c>
      <c r="AE11" s="14" t="s">
        <v>9140</v>
      </c>
      <c r="AF11" s="14" t="s">
        <v>63</v>
      </c>
      <c r="AG11" s="14" t="s">
        <v>54</v>
      </c>
      <c r="AH11" s="15" t="s">
        <v>9220</v>
      </c>
      <c r="AI11" s="15" t="s">
        <v>9191</v>
      </c>
      <c r="AJ11" s="15" t="s">
        <v>9143</v>
      </c>
      <c r="AK11" s="15" t="s">
        <v>9221</v>
      </c>
      <c r="AL11" s="15" t="s">
        <v>9226</v>
      </c>
      <c r="AM11" s="16" t="s">
        <v>9221</v>
      </c>
      <c r="AN11" s="16" t="s">
        <v>9227</v>
      </c>
    </row>
    <row r="12" spans="1:40" x14ac:dyDescent="0.25">
      <c r="A12" s="4" t="s">
        <v>9693</v>
      </c>
      <c r="B12" s="4"/>
      <c r="C12" s="4" t="s">
        <v>39</v>
      </c>
      <c r="D12" s="4" t="s">
        <v>9694</v>
      </c>
      <c r="E12" s="4" t="s">
        <v>9695</v>
      </c>
      <c r="F12" s="10">
        <v>45806</v>
      </c>
      <c r="G12" s="11">
        <v>0.63263888888888886</v>
      </c>
      <c r="H12" s="4" t="s">
        <v>4910</v>
      </c>
      <c r="I12" s="4" t="s">
        <v>8680</v>
      </c>
      <c r="J12" s="4" t="s">
        <v>8681</v>
      </c>
      <c r="K12" s="4" t="s">
        <v>1232</v>
      </c>
      <c r="L12" s="4" t="s">
        <v>9696</v>
      </c>
      <c r="M12" s="4" t="s">
        <v>46</v>
      </c>
      <c r="N12" s="4"/>
      <c r="O12" s="4" t="s">
        <v>47</v>
      </c>
      <c r="P12" s="4" t="s">
        <v>60</v>
      </c>
      <c r="Q12" s="4">
        <v>0</v>
      </c>
      <c r="R12" s="4" t="b">
        <v>0</v>
      </c>
      <c r="S12" s="4" t="s">
        <v>61</v>
      </c>
      <c r="T12" s="4" t="s">
        <v>115</v>
      </c>
      <c r="U12" s="4" t="s">
        <v>71</v>
      </c>
      <c r="V12" s="4" t="s">
        <v>52</v>
      </c>
      <c r="W12" s="4" t="s">
        <v>53</v>
      </c>
      <c r="X12" s="4" t="s">
        <v>54</v>
      </c>
      <c r="Y12" s="4"/>
      <c r="Z12" s="12">
        <v>0</v>
      </c>
      <c r="AA12" s="13" t="s">
        <v>9655</v>
      </c>
      <c r="AB12" s="13" t="s">
        <v>9138</v>
      </c>
      <c r="AC12" s="14" t="s">
        <v>9148</v>
      </c>
      <c r="AD12" s="14" t="s">
        <v>9140</v>
      </c>
      <c r="AE12" s="14" t="s">
        <v>9140</v>
      </c>
      <c r="AF12" s="14" t="s">
        <v>52</v>
      </c>
      <c r="AG12" s="14" t="s">
        <v>54</v>
      </c>
      <c r="AH12" s="15" t="s">
        <v>9220</v>
      </c>
      <c r="AI12" s="15" t="s">
        <v>9191</v>
      </c>
      <c r="AJ12" s="15" t="s">
        <v>9143</v>
      </c>
      <c r="AK12" s="15" t="s">
        <v>9221</v>
      </c>
      <c r="AL12" s="15" t="s">
        <v>9234</v>
      </c>
      <c r="AM12" s="16" t="s">
        <v>9221</v>
      </c>
      <c r="AN12" s="16" t="s">
        <v>9235</v>
      </c>
    </row>
    <row r="13" spans="1:40" x14ac:dyDescent="0.25">
      <c r="A13" s="4" t="s">
        <v>9697</v>
      </c>
      <c r="B13" s="4"/>
      <c r="C13" s="4" t="s">
        <v>39</v>
      </c>
      <c r="D13" s="4" t="s">
        <v>7667</v>
      </c>
      <c r="E13" s="4" t="s">
        <v>7668</v>
      </c>
      <c r="F13" s="10">
        <v>45806</v>
      </c>
      <c r="G13" s="11">
        <v>0.62361111111111112</v>
      </c>
      <c r="H13" s="4" t="s">
        <v>4659</v>
      </c>
      <c r="I13" s="4" t="s">
        <v>7663</v>
      </c>
      <c r="J13" s="4" t="s">
        <v>2886</v>
      </c>
      <c r="K13" s="4" t="s">
        <v>9698</v>
      </c>
      <c r="L13" s="4" t="s">
        <v>9699</v>
      </c>
      <c r="M13" s="4" t="s">
        <v>46</v>
      </c>
      <c r="N13" s="4"/>
      <c r="O13" s="4" t="s">
        <v>47</v>
      </c>
      <c r="P13" s="4" t="s">
        <v>60</v>
      </c>
      <c r="Q13" s="4">
        <v>0</v>
      </c>
      <c r="R13" s="4" t="b">
        <v>0</v>
      </c>
      <c r="S13" s="4" t="s">
        <v>61</v>
      </c>
      <c r="T13" s="4" t="s">
        <v>70</v>
      </c>
      <c r="U13" s="4" t="s">
        <v>90</v>
      </c>
      <c r="V13" s="4" t="s">
        <v>63</v>
      </c>
      <c r="W13" s="4" t="s">
        <v>108</v>
      </c>
      <c r="X13" s="4" t="s">
        <v>54</v>
      </c>
      <c r="Y13" s="4"/>
      <c r="Z13" s="12">
        <v>0</v>
      </c>
      <c r="AA13" s="13" t="s">
        <v>9655</v>
      </c>
      <c r="AB13" s="13" t="s">
        <v>9138</v>
      </c>
      <c r="AC13" s="14" t="s">
        <v>9148</v>
      </c>
      <c r="AD13" s="14" t="s">
        <v>9140</v>
      </c>
      <c r="AE13" s="14" t="s">
        <v>9140</v>
      </c>
      <c r="AF13" s="14" t="s">
        <v>63</v>
      </c>
      <c r="AG13" s="14" t="s">
        <v>54</v>
      </c>
      <c r="AH13" s="15" t="s">
        <v>9220</v>
      </c>
      <c r="AI13" s="15" t="s">
        <v>9142</v>
      </c>
      <c r="AJ13" s="15" t="s">
        <v>9143</v>
      </c>
      <c r="AK13" s="15" t="s">
        <v>9221</v>
      </c>
      <c r="AL13" s="15" t="s">
        <v>9228</v>
      </c>
      <c r="AM13" s="16" t="s">
        <v>9221</v>
      </c>
      <c r="AN13" s="16" t="s">
        <v>9229</v>
      </c>
    </row>
    <row r="14" spans="1:40" x14ac:dyDescent="0.25">
      <c r="A14" s="4" t="s">
        <v>9700</v>
      </c>
      <c r="B14" s="4"/>
      <c r="C14" s="4" t="s">
        <v>39</v>
      </c>
      <c r="D14" s="4" t="s">
        <v>9701</v>
      </c>
      <c r="E14" s="4" t="s">
        <v>9702</v>
      </c>
      <c r="F14" s="10">
        <v>45805</v>
      </c>
      <c r="G14" s="11">
        <v>0.42083333333333334</v>
      </c>
      <c r="H14" s="4" t="s">
        <v>4659</v>
      </c>
      <c r="I14" s="4" t="s">
        <v>5425</v>
      </c>
      <c r="J14" s="4" t="s">
        <v>3736</v>
      </c>
      <c r="K14" s="4" t="s">
        <v>9703</v>
      </c>
      <c r="L14" s="4" t="s">
        <v>9704</v>
      </c>
      <c r="M14" s="4" t="s">
        <v>46</v>
      </c>
      <c r="N14" s="4"/>
      <c r="O14" s="4" t="s">
        <v>47</v>
      </c>
      <c r="P14" s="4" t="s">
        <v>60</v>
      </c>
      <c r="Q14" s="4">
        <v>0</v>
      </c>
      <c r="R14" s="4" t="b">
        <v>0</v>
      </c>
      <c r="S14" s="4" t="s">
        <v>61</v>
      </c>
      <c r="T14" s="4" t="s">
        <v>115</v>
      </c>
      <c r="U14" s="4" t="s">
        <v>426</v>
      </c>
      <c r="V14" s="4" t="s">
        <v>52</v>
      </c>
      <c r="W14" s="4" t="s">
        <v>53</v>
      </c>
      <c r="X14" s="4" t="s">
        <v>54</v>
      </c>
      <c r="Y14" s="4"/>
      <c r="Z14" s="12">
        <v>0</v>
      </c>
      <c r="AA14" s="13" t="s">
        <v>9655</v>
      </c>
      <c r="AB14" s="13" t="s">
        <v>9138</v>
      </c>
      <c r="AC14" s="14" t="s">
        <v>9148</v>
      </c>
      <c r="AD14" s="14" t="s">
        <v>9140</v>
      </c>
      <c r="AE14" s="14" t="s">
        <v>9140</v>
      </c>
      <c r="AF14" s="14" t="s">
        <v>52</v>
      </c>
      <c r="AG14" s="14" t="s">
        <v>54</v>
      </c>
      <c r="AH14" s="15" t="s">
        <v>9220</v>
      </c>
      <c r="AI14" s="15" t="s">
        <v>9142</v>
      </c>
      <c r="AJ14" s="15" t="s">
        <v>9143</v>
      </c>
      <c r="AK14" s="15" t="s">
        <v>9221</v>
      </c>
      <c r="AL14" s="15" t="s">
        <v>9228</v>
      </c>
      <c r="AM14" s="16" t="s">
        <v>9221</v>
      </c>
      <c r="AN14" s="16" t="s">
        <v>9229</v>
      </c>
    </row>
    <row r="15" spans="1:40" x14ac:dyDescent="0.25">
      <c r="A15" s="4" t="s">
        <v>9705</v>
      </c>
      <c r="B15" s="4"/>
      <c r="C15" s="4" t="s">
        <v>39</v>
      </c>
      <c r="D15" s="4" t="s">
        <v>9706</v>
      </c>
      <c r="E15" s="4" t="s">
        <v>9707</v>
      </c>
      <c r="F15" s="10">
        <v>45805</v>
      </c>
      <c r="G15" s="11">
        <v>0.51388888888888884</v>
      </c>
      <c r="H15" s="4" t="s">
        <v>4019</v>
      </c>
      <c r="I15" s="4" t="s">
        <v>5616</v>
      </c>
      <c r="J15" s="4" t="s">
        <v>5617</v>
      </c>
      <c r="K15" s="4" t="s">
        <v>5049</v>
      </c>
      <c r="L15" s="4" t="s">
        <v>9708</v>
      </c>
      <c r="M15" s="4" t="s">
        <v>46</v>
      </c>
      <c r="N15" s="4"/>
      <c r="O15" s="4" t="s">
        <v>47</v>
      </c>
      <c r="P15" s="4" t="s">
        <v>60</v>
      </c>
      <c r="Q15" s="4">
        <v>0</v>
      </c>
      <c r="R15" s="4" t="b">
        <v>0</v>
      </c>
      <c r="S15" s="4" t="s">
        <v>49</v>
      </c>
      <c r="T15" s="4" t="s">
        <v>70</v>
      </c>
      <c r="U15" s="4" t="s">
        <v>71</v>
      </c>
      <c r="V15" s="4" t="s">
        <v>72</v>
      </c>
      <c r="W15" s="4" t="s">
        <v>2410</v>
      </c>
      <c r="X15" s="4" t="s">
        <v>54</v>
      </c>
      <c r="Y15" s="4"/>
      <c r="Z15" s="12">
        <v>0</v>
      </c>
      <c r="AA15" s="13" t="s">
        <v>9655</v>
      </c>
      <c r="AB15" s="13" t="s">
        <v>9138</v>
      </c>
      <c r="AC15" s="14" t="s">
        <v>9139</v>
      </c>
      <c r="AD15" s="14" t="s">
        <v>9140</v>
      </c>
      <c r="AE15" s="14" t="s">
        <v>9140</v>
      </c>
      <c r="AF15" s="14" t="s">
        <v>72</v>
      </c>
      <c r="AG15" s="14" t="s">
        <v>54</v>
      </c>
      <c r="AH15" s="15" t="s">
        <v>9220</v>
      </c>
      <c r="AI15" s="15" t="s">
        <v>9175</v>
      </c>
      <c r="AJ15" s="15" t="s">
        <v>9143</v>
      </c>
      <c r="AK15" s="15" t="s">
        <v>9221</v>
      </c>
      <c r="AL15" s="15" t="s">
        <v>9224</v>
      </c>
      <c r="AM15" s="16" t="s">
        <v>9221</v>
      </c>
      <c r="AN15" s="16" t="s">
        <v>9225</v>
      </c>
    </row>
    <row r="16" spans="1:40" x14ac:dyDescent="0.25">
      <c r="A16" s="4" t="s">
        <v>9709</v>
      </c>
      <c r="B16" s="4"/>
      <c r="C16" s="4" t="s">
        <v>488</v>
      </c>
      <c r="D16" s="4" t="s">
        <v>9710</v>
      </c>
      <c r="E16" s="4" t="s">
        <v>9711</v>
      </c>
      <c r="F16" s="10">
        <v>45805</v>
      </c>
      <c r="G16" s="11">
        <v>0.4375</v>
      </c>
      <c r="H16" s="4" t="s">
        <v>2168</v>
      </c>
      <c r="I16" s="4" t="s">
        <v>3735</v>
      </c>
      <c r="J16" s="4" t="s">
        <v>3736</v>
      </c>
      <c r="K16" s="4" t="s">
        <v>7981</v>
      </c>
      <c r="L16" s="4" t="s">
        <v>9712</v>
      </c>
      <c r="M16" s="4" t="s">
        <v>46</v>
      </c>
      <c r="N16" s="4"/>
      <c r="O16" s="4" t="s">
        <v>47</v>
      </c>
      <c r="P16" s="4" t="s">
        <v>60</v>
      </c>
      <c r="Q16" s="4">
        <v>0</v>
      </c>
      <c r="R16" s="4" t="b">
        <v>0</v>
      </c>
      <c r="S16" s="4" t="s">
        <v>184</v>
      </c>
      <c r="T16" s="4" t="s">
        <v>713</v>
      </c>
      <c r="U16" s="4" t="s">
        <v>330</v>
      </c>
      <c r="V16" s="4" t="s">
        <v>267</v>
      </c>
      <c r="W16" s="4" t="s">
        <v>495</v>
      </c>
      <c r="X16" s="4" t="s">
        <v>54</v>
      </c>
      <c r="Y16" s="4"/>
      <c r="Z16" s="12">
        <v>0</v>
      </c>
      <c r="AA16" s="13" t="s">
        <v>9655</v>
      </c>
      <c r="AB16" s="13" t="s">
        <v>9138</v>
      </c>
      <c r="AC16" s="14" t="s">
        <v>9166</v>
      </c>
      <c r="AD16" s="14" t="s">
        <v>9140</v>
      </c>
      <c r="AE16" s="14" t="s">
        <v>9140</v>
      </c>
      <c r="AF16" s="14" t="s">
        <v>267</v>
      </c>
      <c r="AG16" s="14" t="s">
        <v>54</v>
      </c>
      <c r="AH16" s="15" t="s">
        <v>9194</v>
      </c>
      <c r="AI16" s="15" t="s">
        <v>9142</v>
      </c>
      <c r="AJ16" s="15" t="s">
        <v>9143</v>
      </c>
      <c r="AK16" s="15" t="s">
        <v>9194</v>
      </c>
      <c r="AL16" s="15" t="s">
        <v>9207</v>
      </c>
      <c r="AM16" s="16" t="s">
        <v>9194</v>
      </c>
      <c r="AN16" s="16" t="s">
        <v>9208</v>
      </c>
    </row>
    <row r="17" spans="1:40" x14ac:dyDescent="0.25">
      <c r="A17" s="4" t="s">
        <v>9713</v>
      </c>
      <c r="B17" s="4"/>
      <c r="C17" s="4" t="s">
        <v>39</v>
      </c>
      <c r="D17" s="4" t="s">
        <v>9714</v>
      </c>
      <c r="E17" s="4" t="s">
        <v>9715</v>
      </c>
      <c r="F17" s="10">
        <v>45804</v>
      </c>
      <c r="G17" s="11">
        <v>0.59166666666666667</v>
      </c>
      <c r="H17" s="4" t="s">
        <v>4910</v>
      </c>
      <c r="I17" s="4" t="s">
        <v>9716</v>
      </c>
      <c r="J17" s="4" t="s">
        <v>3540</v>
      </c>
      <c r="K17" s="4" t="s">
        <v>363</v>
      </c>
      <c r="L17" s="4" t="s">
        <v>9717</v>
      </c>
      <c r="M17" s="4" t="s">
        <v>46</v>
      </c>
      <c r="N17" s="4"/>
      <c r="O17" s="4" t="s">
        <v>47</v>
      </c>
      <c r="P17" s="4" t="s">
        <v>48</v>
      </c>
      <c r="Q17" s="4">
        <v>0</v>
      </c>
      <c r="R17" s="4" t="b">
        <v>0</v>
      </c>
      <c r="S17" s="4" t="s">
        <v>61</v>
      </c>
      <c r="T17" s="4" t="s">
        <v>115</v>
      </c>
      <c r="U17" s="4" t="s">
        <v>175</v>
      </c>
      <c r="V17" s="4" t="s">
        <v>52</v>
      </c>
      <c r="W17" s="4" t="s">
        <v>135</v>
      </c>
      <c r="X17" s="4" t="s">
        <v>54</v>
      </c>
      <c r="Y17" s="4"/>
      <c r="Z17" s="12">
        <v>0</v>
      </c>
      <c r="AA17" s="13" t="s">
        <v>9655</v>
      </c>
      <c r="AB17" s="13" t="s">
        <v>9138</v>
      </c>
      <c r="AC17" s="14" t="s">
        <v>9148</v>
      </c>
      <c r="AD17" s="14" t="s">
        <v>9140</v>
      </c>
      <c r="AE17" s="14" t="s">
        <v>9140</v>
      </c>
      <c r="AF17" s="14" t="s">
        <v>52</v>
      </c>
      <c r="AG17" s="14" t="s">
        <v>54</v>
      </c>
      <c r="AH17" s="15" t="s">
        <v>9220</v>
      </c>
      <c r="AI17" s="15" t="s">
        <v>9191</v>
      </c>
      <c r="AJ17" s="15" t="s">
        <v>9143</v>
      </c>
      <c r="AK17" s="15" t="s">
        <v>9221</v>
      </c>
      <c r="AL17" s="15" t="s">
        <v>9234</v>
      </c>
      <c r="AM17" s="16" t="s">
        <v>9221</v>
      </c>
      <c r="AN17" s="16" t="s">
        <v>9235</v>
      </c>
    </row>
    <row r="18" spans="1:40" x14ac:dyDescent="0.25">
      <c r="A18" s="4" t="s">
        <v>9718</v>
      </c>
      <c r="B18" s="4"/>
      <c r="C18" s="4" t="s">
        <v>39</v>
      </c>
      <c r="D18" s="4" t="s">
        <v>9719</v>
      </c>
      <c r="E18" s="4" t="s">
        <v>9720</v>
      </c>
      <c r="F18" s="10">
        <v>45804</v>
      </c>
      <c r="G18" s="11">
        <v>0.45277777777777778</v>
      </c>
      <c r="H18" s="4" t="s">
        <v>4019</v>
      </c>
      <c r="I18" s="4" t="s">
        <v>9721</v>
      </c>
      <c r="J18" s="4" t="s">
        <v>1101</v>
      </c>
      <c r="K18" s="4" t="s">
        <v>9722</v>
      </c>
      <c r="L18" s="4" t="s">
        <v>9723</v>
      </c>
      <c r="M18" s="4" t="s">
        <v>46</v>
      </c>
      <c r="N18" s="4"/>
      <c r="O18" s="4" t="s">
        <v>47</v>
      </c>
      <c r="P18" s="4" t="s">
        <v>48</v>
      </c>
      <c r="Q18" s="4">
        <v>0</v>
      </c>
      <c r="R18" s="4" t="b">
        <v>0</v>
      </c>
      <c r="S18" s="4" t="s">
        <v>61</v>
      </c>
      <c r="T18" s="4" t="s">
        <v>115</v>
      </c>
      <c r="U18" s="4" t="s">
        <v>301</v>
      </c>
      <c r="V18" s="4" t="s">
        <v>123</v>
      </c>
      <c r="W18" s="4" t="s">
        <v>124</v>
      </c>
      <c r="X18" s="4" t="s">
        <v>54</v>
      </c>
      <c r="Y18" s="4"/>
      <c r="Z18" s="12">
        <v>0</v>
      </c>
      <c r="AA18" s="13" t="s">
        <v>9655</v>
      </c>
      <c r="AB18" s="13" t="s">
        <v>9138</v>
      </c>
      <c r="AC18" s="14" t="s">
        <v>9148</v>
      </c>
      <c r="AD18" s="14" t="s">
        <v>9140</v>
      </c>
      <c r="AE18" s="14" t="s">
        <v>9140</v>
      </c>
      <c r="AF18" s="14" t="s">
        <v>123</v>
      </c>
      <c r="AG18" s="14" t="s">
        <v>54</v>
      </c>
      <c r="AH18" s="15" t="s">
        <v>9220</v>
      </c>
      <c r="AI18" s="15" t="s">
        <v>9175</v>
      </c>
      <c r="AJ18" s="15" t="s">
        <v>9143</v>
      </c>
      <c r="AK18" s="15" t="s">
        <v>9221</v>
      </c>
      <c r="AL18" s="15" t="s">
        <v>9222</v>
      </c>
      <c r="AM18" s="16" t="s">
        <v>9221</v>
      </c>
      <c r="AN18" s="16" t="s">
        <v>9223</v>
      </c>
    </row>
    <row r="19" spans="1:40" x14ac:dyDescent="0.25">
      <c r="A19" s="4" t="s">
        <v>9724</v>
      </c>
      <c r="B19" s="4"/>
      <c r="C19" s="4" t="s">
        <v>39</v>
      </c>
      <c r="D19" s="4" t="s">
        <v>7038</v>
      </c>
      <c r="E19" s="4" t="s">
        <v>7039</v>
      </c>
      <c r="F19" s="10">
        <v>45804</v>
      </c>
      <c r="G19" s="11">
        <v>0.75902777777777775</v>
      </c>
      <c r="H19" s="4" t="s">
        <v>4242</v>
      </c>
      <c r="I19" s="4" t="s">
        <v>7028</v>
      </c>
      <c r="J19" s="4" t="s">
        <v>7029</v>
      </c>
      <c r="K19" s="4" t="s">
        <v>447</v>
      </c>
      <c r="L19" s="4" t="s">
        <v>9725</v>
      </c>
      <c r="M19" s="4" t="s">
        <v>46</v>
      </c>
      <c r="N19" s="4"/>
      <c r="O19" s="4" t="s">
        <v>47</v>
      </c>
      <c r="P19" s="4" t="s">
        <v>60</v>
      </c>
      <c r="Q19" s="4">
        <v>0</v>
      </c>
      <c r="R19" s="4" t="b">
        <v>0</v>
      </c>
      <c r="S19" s="4" t="s">
        <v>49</v>
      </c>
      <c r="T19" s="4" t="s">
        <v>50</v>
      </c>
      <c r="U19" s="4" t="s">
        <v>90</v>
      </c>
      <c r="V19" s="4" t="s">
        <v>63</v>
      </c>
      <c r="W19" s="4" t="s">
        <v>108</v>
      </c>
      <c r="X19" s="4" t="s">
        <v>54</v>
      </c>
      <c r="Y19" s="4"/>
      <c r="Z19" s="12">
        <v>0</v>
      </c>
      <c r="AA19" s="13" t="s">
        <v>9655</v>
      </c>
      <c r="AB19" s="13" t="s">
        <v>9138</v>
      </c>
      <c r="AC19" s="14" t="s">
        <v>9139</v>
      </c>
      <c r="AD19" s="14" t="s">
        <v>9140</v>
      </c>
      <c r="AE19" s="14" t="s">
        <v>9140</v>
      </c>
      <c r="AF19" s="14" t="s">
        <v>63</v>
      </c>
      <c r="AG19" s="14" t="s">
        <v>54</v>
      </c>
      <c r="AH19" s="15" t="s">
        <v>9220</v>
      </c>
      <c r="AI19" s="15" t="s">
        <v>9187</v>
      </c>
      <c r="AJ19" s="15" t="s">
        <v>9143</v>
      </c>
      <c r="AK19" s="15" t="s">
        <v>9221</v>
      </c>
      <c r="AL19" s="15" t="s">
        <v>9226</v>
      </c>
      <c r="AM19" s="16" t="s">
        <v>9221</v>
      </c>
      <c r="AN19" s="16" t="s">
        <v>9227</v>
      </c>
    </row>
    <row r="20" spans="1:40" x14ac:dyDescent="0.25">
      <c r="A20" s="4" t="s">
        <v>9726</v>
      </c>
      <c r="B20" s="4"/>
      <c r="C20" s="4" t="s">
        <v>39</v>
      </c>
      <c r="D20" s="4" t="s">
        <v>5471</v>
      </c>
      <c r="E20" s="4" t="s">
        <v>5472</v>
      </c>
      <c r="F20" s="10">
        <v>45803</v>
      </c>
      <c r="G20" s="11">
        <v>0.4826388888888889</v>
      </c>
      <c r="H20" s="4" t="s">
        <v>4516</v>
      </c>
      <c r="I20" s="4" t="s">
        <v>5466</v>
      </c>
      <c r="J20" s="4" t="s">
        <v>5467</v>
      </c>
      <c r="K20" s="4" t="s">
        <v>9727</v>
      </c>
      <c r="L20" s="4" t="s">
        <v>9728</v>
      </c>
      <c r="M20" s="4" t="s">
        <v>46</v>
      </c>
      <c r="N20" s="4"/>
      <c r="O20" s="4" t="s">
        <v>344</v>
      </c>
      <c r="P20" s="4" t="s">
        <v>60</v>
      </c>
      <c r="Q20" s="4">
        <v>5</v>
      </c>
      <c r="R20" s="4" t="b">
        <v>0</v>
      </c>
      <c r="S20" s="4" t="s">
        <v>184</v>
      </c>
      <c r="T20" s="4" t="s">
        <v>50</v>
      </c>
      <c r="U20" s="4" t="s">
        <v>301</v>
      </c>
      <c r="V20" s="4" t="s">
        <v>72</v>
      </c>
      <c r="W20" s="4" t="s">
        <v>73</v>
      </c>
      <c r="X20" s="4" t="s">
        <v>54</v>
      </c>
      <c r="Y20" s="4"/>
      <c r="Z20" s="12">
        <v>0</v>
      </c>
      <c r="AA20" s="13" t="s">
        <v>9655</v>
      </c>
      <c r="AB20" s="13" t="s">
        <v>9138</v>
      </c>
      <c r="AC20" s="14" t="s">
        <v>9166</v>
      </c>
      <c r="AD20" s="14" t="s">
        <v>9140</v>
      </c>
      <c r="AE20" s="14" t="s">
        <v>9140</v>
      </c>
      <c r="AF20" s="14" t="s">
        <v>72</v>
      </c>
      <c r="AG20" s="14" t="s">
        <v>54</v>
      </c>
      <c r="AH20" s="15" t="s">
        <v>9220</v>
      </c>
      <c r="AI20" s="15" t="s">
        <v>9188</v>
      </c>
      <c r="AJ20" s="15" t="s">
        <v>9143</v>
      </c>
      <c r="AK20" s="15" t="s">
        <v>9221</v>
      </c>
      <c r="AL20" s="15" t="s">
        <v>9230</v>
      </c>
      <c r="AM20" s="16" t="s">
        <v>9221</v>
      </c>
      <c r="AN20" s="16" t="s">
        <v>9231</v>
      </c>
    </row>
    <row r="21" spans="1:40" x14ac:dyDescent="0.25">
      <c r="A21" s="4" t="s">
        <v>9729</v>
      </c>
      <c r="B21" s="4"/>
      <c r="C21" s="4" t="s">
        <v>39</v>
      </c>
      <c r="D21" s="4" t="s">
        <v>1294</v>
      </c>
      <c r="E21" s="4" t="s">
        <v>1295</v>
      </c>
      <c r="F21" s="10">
        <v>45803</v>
      </c>
      <c r="G21" s="11">
        <v>0.34027777777777779</v>
      </c>
      <c r="H21" s="4" t="s">
        <v>1155</v>
      </c>
      <c r="I21" s="4">
        <v>4043</v>
      </c>
      <c r="J21" s="4" t="s">
        <v>1200</v>
      </c>
      <c r="K21" s="4" t="s">
        <v>9730</v>
      </c>
      <c r="L21" s="4" t="s">
        <v>9731</v>
      </c>
      <c r="M21" s="4" t="s">
        <v>46</v>
      </c>
      <c r="N21" s="4"/>
      <c r="O21" s="4" t="s">
        <v>174</v>
      </c>
      <c r="P21" s="4" t="s">
        <v>60</v>
      </c>
      <c r="Q21" s="4">
        <v>0</v>
      </c>
      <c r="R21" s="4" t="b">
        <v>0</v>
      </c>
      <c r="S21" s="4" t="s">
        <v>61</v>
      </c>
      <c r="T21" s="4" t="s">
        <v>115</v>
      </c>
      <c r="U21" s="4" t="s">
        <v>175</v>
      </c>
      <c r="V21" s="4" t="s">
        <v>123</v>
      </c>
      <c r="W21" s="4" t="s">
        <v>124</v>
      </c>
      <c r="X21" s="4" t="s">
        <v>54</v>
      </c>
      <c r="Y21" s="4"/>
      <c r="Z21" s="12">
        <v>0</v>
      </c>
      <c r="AA21" s="13" t="s">
        <v>9655</v>
      </c>
      <c r="AB21" s="13" t="s">
        <v>9138</v>
      </c>
      <c r="AC21" s="14" t="s">
        <v>9148</v>
      </c>
      <c r="AD21" s="14" t="s">
        <v>9140</v>
      </c>
      <c r="AE21" s="14" t="s">
        <v>9140</v>
      </c>
      <c r="AF21" s="14" t="s">
        <v>123</v>
      </c>
      <c r="AG21" s="14" t="s">
        <v>54</v>
      </c>
      <c r="AH21" s="15" t="s">
        <v>9141</v>
      </c>
      <c r="AI21" s="15" t="s">
        <v>9187</v>
      </c>
      <c r="AJ21" s="15" t="s">
        <v>9143</v>
      </c>
      <c r="AK21" s="15" t="s">
        <v>9141</v>
      </c>
      <c r="AL21" s="15" t="s">
        <v>9144</v>
      </c>
      <c r="AM21" s="16" t="s">
        <v>9141</v>
      </c>
      <c r="AN21" s="16" t="s">
        <v>9145</v>
      </c>
    </row>
    <row r="22" spans="1:40" x14ac:dyDescent="0.25">
      <c r="A22" s="4" t="s">
        <v>9732</v>
      </c>
      <c r="B22" s="4"/>
      <c r="C22" s="4" t="s">
        <v>39</v>
      </c>
      <c r="D22" s="4" t="s">
        <v>9733</v>
      </c>
      <c r="E22" s="4" t="s">
        <v>9734</v>
      </c>
      <c r="F22" s="10">
        <v>45803</v>
      </c>
      <c r="G22" s="11">
        <v>0.39583333333333331</v>
      </c>
      <c r="H22" s="4" t="s">
        <v>1155</v>
      </c>
      <c r="I22" s="4">
        <v>4044</v>
      </c>
      <c r="J22" s="4" t="s">
        <v>1285</v>
      </c>
      <c r="K22" s="4" t="s">
        <v>9735</v>
      </c>
      <c r="L22" s="4" t="s">
        <v>9736</v>
      </c>
      <c r="M22" s="4" t="s">
        <v>46</v>
      </c>
      <c r="N22" s="4"/>
      <c r="O22" s="4" t="s">
        <v>47</v>
      </c>
      <c r="P22" s="4" t="s">
        <v>48</v>
      </c>
      <c r="Q22" s="4">
        <v>0</v>
      </c>
      <c r="R22" s="4" t="b">
        <v>0</v>
      </c>
      <c r="S22" s="4" t="s">
        <v>61</v>
      </c>
      <c r="T22" s="4" t="s">
        <v>50</v>
      </c>
      <c r="U22" s="4" t="s">
        <v>165</v>
      </c>
      <c r="V22" s="4" t="s">
        <v>72</v>
      </c>
      <c r="W22" s="4" t="s">
        <v>73</v>
      </c>
      <c r="X22" s="4" t="s">
        <v>54</v>
      </c>
      <c r="Y22" s="4"/>
      <c r="Z22" s="12">
        <v>0</v>
      </c>
      <c r="AA22" s="13" t="s">
        <v>9655</v>
      </c>
      <c r="AB22" s="13" t="s">
        <v>9138</v>
      </c>
      <c r="AC22" s="14" t="s">
        <v>9148</v>
      </c>
      <c r="AD22" s="14" t="s">
        <v>9140</v>
      </c>
      <c r="AE22" s="14" t="s">
        <v>9140</v>
      </c>
      <c r="AF22" s="14" t="s">
        <v>72</v>
      </c>
      <c r="AG22" s="14" t="s">
        <v>54</v>
      </c>
      <c r="AH22" s="15" t="s">
        <v>9141</v>
      </c>
      <c r="AI22" s="15" t="s">
        <v>9187</v>
      </c>
      <c r="AJ22" s="15" t="s">
        <v>9143</v>
      </c>
      <c r="AK22" s="15" t="s">
        <v>9141</v>
      </c>
      <c r="AL22" s="15" t="s">
        <v>9144</v>
      </c>
      <c r="AM22" s="16" t="s">
        <v>9141</v>
      </c>
      <c r="AN22" s="16" t="s">
        <v>9145</v>
      </c>
    </row>
    <row r="23" spans="1:40" x14ac:dyDescent="0.25">
      <c r="A23" s="4" t="s">
        <v>9737</v>
      </c>
      <c r="B23" s="4"/>
      <c r="C23" s="4" t="s">
        <v>39</v>
      </c>
      <c r="D23" s="4" t="s">
        <v>9738</v>
      </c>
      <c r="E23" s="4" t="s">
        <v>9739</v>
      </c>
      <c r="F23" s="10">
        <v>45802</v>
      </c>
      <c r="G23" s="11">
        <v>0.60763888888888884</v>
      </c>
      <c r="H23" s="4" t="s">
        <v>1155</v>
      </c>
      <c r="I23" s="4">
        <v>4044</v>
      </c>
      <c r="J23" s="4" t="s">
        <v>1285</v>
      </c>
      <c r="K23" s="4" t="s">
        <v>9740</v>
      </c>
      <c r="L23" s="4" t="s">
        <v>9741</v>
      </c>
      <c r="M23" s="4" t="s">
        <v>46</v>
      </c>
      <c r="N23" s="4"/>
      <c r="O23" s="4" t="s">
        <v>47</v>
      </c>
      <c r="P23" s="4" t="s">
        <v>48</v>
      </c>
      <c r="Q23" s="4">
        <v>0</v>
      </c>
      <c r="R23" s="4" t="b">
        <v>0</v>
      </c>
      <c r="S23" s="4" t="s">
        <v>61</v>
      </c>
      <c r="T23" s="4" t="s">
        <v>50</v>
      </c>
      <c r="U23" s="4" t="s">
        <v>71</v>
      </c>
      <c r="V23" s="4" t="s">
        <v>72</v>
      </c>
      <c r="W23" s="4" t="s">
        <v>2410</v>
      </c>
      <c r="X23" s="4" t="s">
        <v>54</v>
      </c>
      <c r="Y23" s="4"/>
      <c r="Z23" s="12">
        <v>0</v>
      </c>
      <c r="AA23" s="13" t="s">
        <v>9655</v>
      </c>
      <c r="AB23" s="13" t="s">
        <v>9138</v>
      </c>
      <c r="AC23" s="14" t="s">
        <v>9148</v>
      </c>
      <c r="AD23" s="14" t="s">
        <v>9140</v>
      </c>
      <c r="AE23" s="14" t="s">
        <v>9140</v>
      </c>
      <c r="AF23" s="14" t="s">
        <v>72</v>
      </c>
      <c r="AG23" s="14" t="s">
        <v>54</v>
      </c>
      <c r="AH23" s="15" t="s">
        <v>9141</v>
      </c>
      <c r="AI23" s="15" t="s">
        <v>9187</v>
      </c>
      <c r="AJ23" s="15" t="s">
        <v>9143</v>
      </c>
      <c r="AK23" s="15" t="s">
        <v>9141</v>
      </c>
      <c r="AL23" s="15" t="s">
        <v>9144</v>
      </c>
      <c r="AM23" s="16" t="s">
        <v>9141</v>
      </c>
      <c r="AN23" s="16" t="s">
        <v>9145</v>
      </c>
    </row>
    <row r="24" spans="1:40" x14ac:dyDescent="0.25">
      <c r="A24" s="4" t="s">
        <v>9742</v>
      </c>
      <c r="B24" s="4"/>
      <c r="C24" s="4" t="s">
        <v>39</v>
      </c>
      <c r="D24" s="4" t="s">
        <v>3032</v>
      </c>
      <c r="E24" s="4" t="s">
        <v>3033</v>
      </c>
      <c r="F24" s="10">
        <v>45801</v>
      </c>
      <c r="G24" s="11">
        <v>0.60416666666666663</v>
      </c>
      <c r="H24" s="4" t="s">
        <v>1939</v>
      </c>
      <c r="I24" s="4" t="s">
        <v>3027</v>
      </c>
      <c r="J24" s="4" t="s">
        <v>3028</v>
      </c>
      <c r="K24" s="4" t="s">
        <v>9743</v>
      </c>
      <c r="L24" s="4" t="s">
        <v>9744</v>
      </c>
      <c r="M24" s="4" t="s">
        <v>46</v>
      </c>
      <c r="N24" s="4"/>
      <c r="O24" s="4" t="s">
        <v>47</v>
      </c>
      <c r="P24" s="4" t="s">
        <v>60</v>
      </c>
      <c r="Q24" s="4">
        <v>0</v>
      </c>
      <c r="R24" s="4" t="b">
        <v>0</v>
      </c>
      <c r="S24" s="4" t="s">
        <v>61</v>
      </c>
      <c r="T24" s="4" t="s">
        <v>115</v>
      </c>
      <c r="U24" s="4" t="s">
        <v>148</v>
      </c>
      <c r="V24" s="4" t="s">
        <v>52</v>
      </c>
      <c r="W24" s="4" t="s">
        <v>53</v>
      </c>
      <c r="X24" s="4" t="s">
        <v>54</v>
      </c>
      <c r="Y24" s="4"/>
      <c r="Z24" s="12">
        <v>0</v>
      </c>
      <c r="AA24" s="13" t="s">
        <v>9655</v>
      </c>
      <c r="AB24" s="13" t="s">
        <v>9138</v>
      </c>
      <c r="AC24" s="14" t="s">
        <v>9148</v>
      </c>
      <c r="AD24" s="14" t="s">
        <v>9140</v>
      </c>
      <c r="AE24" s="14" t="s">
        <v>9140</v>
      </c>
      <c r="AF24" s="14" t="s">
        <v>52</v>
      </c>
      <c r="AG24" s="14" t="s">
        <v>54</v>
      </c>
      <c r="AH24" s="15" t="s">
        <v>9194</v>
      </c>
      <c r="AI24" s="15" t="s">
        <v>9175</v>
      </c>
      <c r="AJ24" s="15" t="s">
        <v>9143</v>
      </c>
      <c r="AK24" s="15" t="s">
        <v>9194</v>
      </c>
      <c r="AL24" s="15" t="s">
        <v>9195</v>
      </c>
      <c r="AM24" s="16" t="s">
        <v>9194</v>
      </c>
      <c r="AN24" s="16" t="s">
        <v>9196</v>
      </c>
    </row>
    <row r="25" spans="1:40" x14ac:dyDescent="0.25">
      <c r="A25" s="4" t="s">
        <v>9745</v>
      </c>
      <c r="B25" s="4"/>
      <c r="C25" s="4" t="s">
        <v>39</v>
      </c>
      <c r="D25" s="4" t="s">
        <v>9746</v>
      </c>
      <c r="E25" s="4" t="s">
        <v>9747</v>
      </c>
      <c r="F25" s="10">
        <v>45801</v>
      </c>
      <c r="G25" s="11">
        <v>0.625</v>
      </c>
      <c r="H25" s="4" t="s">
        <v>5666</v>
      </c>
      <c r="I25" s="4" t="s">
        <v>7600</v>
      </c>
      <c r="J25" s="4" t="s">
        <v>3806</v>
      </c>
      <c r="K25" s="4" t="s">
        <v>9748</v>
      </c>
      <c r="L25" s="4" t="s">
        <v>9749</v>
      </c>
      <c r="M25" s="4" t="s">
        <v>46</v>
      </c>
      <c r="N25" s="4"/>
      <c r="O25" s="4" t="s">
        <v>47</v>
      </c>
      <c r="P25" s="4" t="s">
        <v>60</v>
      </c>
      <c r="Q25" s="4">
        <v>0</v>
      </c>
      <c r="R25" s="4" t="b">
        <v>0</v>
      </c>
      <c r="S25" s="4" t="s">
        <v>184</v>
      </c>
      <c r="T25" s="4" t="s">
        <v>70</v>
      </c>
      <c r="U25" s="4" t="s">
        <v>71</v>
      </c>
      <c r="V25" s="4" t="s">
        <v>72</v>
      </c>
      <c r="W25" s="4" t="s">
        <v>73</v>
      </c>
      <c r="X25" s="4" t="s">
        <v>54</v>
      </c>
      <c r="Y25" s="4"/>
      <c r="Z25" s="12">
        <v>0</v>
      </c>
      <c r="AA25" s="13" t="s">
        <v>9655</v>
      </c>
      <c r="AB25" s="13" t="s">
        <v>9138</v>
      </c>
      <c r="AC25" s="14" t="s">
        <v>9166</v>
      </c>
      <c r="AD25" s="14" t="s">
        <v>9140</v>
      </c>
      <c r="AE25" s="14" t="s">
        <v>9140</v>
      </c>
      <c r="AF25" s="14" t="s">
        <v>72</v>
      </c>
      <c r="AG25" s="14" t="s">
        <v>54</v>
      </c>
      <c r="AH25" s="15" t="s">
        <v>9220</v>
      </c>
      <c r="AI25" s="15" t="s">
        <v>9199</v>
      </c>
      <c r="AJ25" s="15" t="s">
        <v>9143</v>
      </c>
      <c r="AK25" s="15" t="s">
        <v>9221</v>
      </c>
      <c r="AL25" s="15" t="s">
        <v>9199</v>
      </c>
      <c r="AM25" s="16" t="s">
        <v>9221</v>
      </c>
      <c r="AN25" s="16" t="s">
        <v>9238</v>
      </c>
    </row>
    <row r="26" spans="1:40" x14ac:dyDescent="0.25">
      <c r="A26" s="4" t="s">
        <v>9750</v>
      </c>
      <c r="B26" s="4"/>
      <c r="C26" s="4" t="s">
        <v>39</v>
      </c>
      <c r="D26" s="4" t="s">
        <v>9751</v>
      </c>
      <c r="E26" s="4" t="s">
        <v>9752</v>
      </c>
      <c r="F26" s="10">
        <v>45800</v>
      </c>
      <c r="G26" s="11">
        <v>0.5</v>
      </c>
      <c r="H26" s="4" t="s">
        <v>1992</v>
      </c>
      <c r="I26" s="4" t="s">
        <v>2955</v>
      </c>
      <c r="J26" s="4" t="s">
        <v>2956</v>
      </c>
      <c r="K26" s="4" t="s">
        <v>9753</v>
      </c>
      <c r="L26" s="4" t="s">
        <v>9754</v>
      </c>
      <c r="M26" s="4" t="s">
        <v>46</v>
      </c>
      <c r="N26" s="4"/>
      <c r="O26" s="4" t="s">
        <v>47</v>
      </c>
      <c r="P26" s="4" t="s">
        <v>48</v>
      </c>
      <c r="Q26" s="4">
        <v>0</v>
      </c>
      <c r="R26" s="4" t="b">
        <v>0</v>
      </c>
      <c r="S26" s="4" t="s">
        <v>61</v>
      </c>
      <c r="T26" s="4" t="s">
        <v>115</v>
      </c>
      <c r="U26" s="4" t="s">
        <v>148</v>
      </c>
      <c r="V26" s="4" t="s">
        <v>52</v>
      </c>
      <c r="W26" s="4" t="s">
        <v>53</v>
      </c>
      <c r="X26" s="4" t="s">
        <v>54</v>
      </c>
      <c r="Y26" s="4"/>
      <c r="Z26" s="12">
        <v>0</v>
      </c>
      <c r="AA26" s="13" t="s">
        <v>9655</v>
      </c>
      <c r="AB26" s="13" t="s">
        <v>9138</v>
      </c>
      <c r="AC26" s="14" t="s">
        <v>9148</v>
      </c>
      <c r="AD26" s="14" t="s">
        <v>9140</v>
      </c>
      <c r="AE26" s="14" t="s">
        <v>9140</v>
      </c>
      <c r="AF26" s="14" t="s">
        <v>52</v>
      </c>
      <c r="AG26" s="14" t="s">
        <v>54</v>
      </c>
      <c r="AH26" s="15" t="s">
        <v>9194</v>
      </c>
      <c r="AI26" s="15" t="s">
        <v>9191</v>
      </c>
      <c r="AJ26" s="15" t="s">
        <v>9143</v>
      </c>
      <c r="AK26" s="15" t="s">
        <v>9194</v>
      </c>
      <c r="AL26" s="15" t="s">
        <v>9205</v>
      </c>
      <c r="AM26" s="16" t="s">
        <v>9194</v>
      </c>
      <c r="AN26" s="16" t="s">
        <v>9206</v>
      </c>
    </row>
    <row r="27" spans="1:40" x14ac:dyDescent="0.25">
      <c r="A27" s="4" t="s">
        <v>9755</v>
      </c>
      <c r="B27" s="4"/>
      <c r="C27" s="4" t="s">
        <v>39</v>
      </c>
      <c r="D27" s="4" t="s">
        <v>241</v>
      </c>
      <c r="E27" s="4" t="s">
        <v>242</v>
      </c>
      <c r="F27" s="10">
        <v>45800</v>
      </c>
      <c r="G27" s="11">
        <v>0.41666666666666669</v>
      </c>
      <c r="H27" s="4" t="s">
        <v>42</v>
      </c>
      <c r="I27" s="4">
        <v>1011</v>
      </c>
      <c r="J27" s="4" t="s">
        <v>215</v>
      </c>
      <c r="K27" s="4" t="s">
        <v>9756</v>
      </c>
      <c r="L27" s="4" t="s">
        <v>9757</v>
      </c>
      <c r="M27" s="4" t="s">
        <v>46</v>
      </c>
      <c r="N27" s="4"/>
      <c r="O27" s="4" t="s">
        <v>47</v>
      </c>
      <c r="P27" s="4" t="s">
        <v>60</v>
      </c>
      <c r="Q27" s="4">
        <v>0</v>
      </c>
      <c r="R27" s="4" t="b">
        <v>0</v>
      </c>
      <c r="S27" s="4" t="s">
        <v>49</v>
      </c>
      <c r="T27" s="4" t="s">
        <v>70</v>
      </c>
      <c r="U27" s="4" t="s">
        <v>71</v>
      </c>
      <c r="V27" s="4" t="s">
        <v>72</v>
      </c>
      <c r="W27" s="4" t="s">
        <v>73</v>
      </c>
      <c r="X27" s="4" t="s">
        <v>54</v>
      </c>
      <c r="Y27" s="4"/>
      <c r="Z27" s="12">
        <v>0</v>
      </c>
      <c r="AA27" s="13" t="s">
        <v>9655</v>
      </c>
      <c r="AB27" s="13" t="s">
        <v>9138</v>
      </c>
      <c r="AC27" s="14" t="s">
        <v>9139</v>
      </c>
      <c r="AD27" s="14" t="s">
        <v>9140</v>
      </c>
      <c r="AE27" s="14" t="s">
        <v>9140</v>
      </c>
      <c r="AF27" s="14" t="s">
        <v>72</v>
      </c>
      <c r="AG27" s="14" t="s">
        <v>54</v>
      </c>
      <c r="AH27" s="15" t="s">
        <v>9141</v>
      </c>
      <c r="AI27" s="15" t="s">
        <v>9142</v>
      </c>
      <c r="AJ27" s="15" t="s">
        <v>9143</v>
      </c>
      <c r="AK27" s="15" t="s">
        <v>9141</v>
      </c>
      <c r="AL27" s="15" t="s">
        <v>9144</v>
      </c>
      <c r="AM27" s="16" t="s">
        <v>9141</v>
      </c>
      <c r="AN27" s="16" t="s">
        <v>9145</v>
      </c>
    </row>
    <row r="28" spans="1:40" x14ac:dyDescent="0.25">
      <c r="A28" s="4" t="s">
        <v>9758</v>
      </c>
      <c r="B28" s="4"/>
      <c r="C28" s="4" t="s">
        <v>39</v>
      </c>
      <c r="D28" s="4" t="s">
        <v>9759</v>
      </c>
      <c r="E28" s="4" t="s">
        <v>9760</v>
      </c>
      <c r="F28" s="10">
        <v>45800</v>
      </c>
      <c r="G28" s="11">
        <v>0.64513888888888893</v>
      </c>
      <c r="H28" s="4" t="s">
        <v>4910</v>
      </c>
      <c r="I28" s="4" t="s">
        <v>5121</v>
      </c>
      <c r="J28" s="4" t="s">
        <v>1994</v>
      </c>
      <c r="K28" s="4" t="s">
        <v>9761</v>
      </c>
      <c r="L28" s="4" t="s">
        <v>9762</v>
      </c>
      <c r="M28" s="4" t="s">
        <v>46</v>
      </c>
      <c r="N28" s="4"/>
      <c r="O28" s="4" t="s">
        <v>47</v>
      </c>
      <c r="P28" s="4" t="s">
        <v>48</v>
      </c>
      <c r="Q28" s="4">
        <v>0</v>
      </c>
      <c r="R28" s="4" t="b">
        <v>0</v>
      </c>
      <c r="S28" s="4" t="s">
        <v>61</v>
      </c>
      <c r="T28" s="4" t="s">
        <v>115</v>
      </c>
      <c r="U28" s="4" t="s">
        <v>51</v>
      </c>
      <c r="V28" s="4" t="s">
        <v>52</v>
      </c>
      <c r="W28" s="4" t="s">
        <v>53</v>
      </c>
      <c r="X28" s="4" t="s">
        <v>54</v>
      </c>
      <c r="Y28" s="4"/>
      <c r="Z28" s="12">
        <v>0</v>
      </c>
      <c r="AA28" s="13" t="s">
        <v>9655</v>
      </c>
      <c r="AB28" s="13" t="s">
        <v>9138</v>
      </c>
      <c r="AC28" s="14" t="s">
        <v>9148</v>
      </c>
      <c r="AD28" s="14" t="s">
        <v>9140</v>
      </c>
      <c r="AE28" s="14" t="s">
        <v>9140</v>
      </c>
      <c r="AF28" s="14" t="s">
        <v>52</v>
      </c>
      <c r="AG28" s="14" t="s">
        <v>54</v>
      </c>
      <c r="AH28" s="15" t="s">
        <v>9220</v>
      </c>
      <c r="AI28" s="15" t="s">
        <v>9191</v>
      </c>
      <c r="AJ28" s="15" t="s">
        <v>9143</v>
      </c>
      <c r="AK28" s="15" t="s">
        <v>9221</v>
      </c>
      <c r="AL28" s="15" t="s">
        <v>9236</v>
      </c>
      <c r="AM28" s="16" t="s">
        <v>9221</v>
      </c>
      <c r="AN28" s="16" t="s">
        <v>9237</v>
      </c>
    </row>
    <row r="29" spans="1:40" x14ac:dyDescent="0.25">
      <c r="A29" s="4" t="s">
        <v>9763</v>
      </c>
      <c r="B29" s="4"/>
      <c r="C29" s="4" t="s">
        <v>39</v>
      </c>
      <c r="D29" s="4" t="s">
        <v>4695</v>
      </c>
      <c r="E29" s="4" t="s">
        <v>4696</v>
      </c>
      <c r="F29" s="10">
        <v>45800</v>
      </c>
      <c r="G29" s="11">
        <v>0.67638888888888893</v>
      </c>
      <c r="H29" s="4" t="s">
        <v>4659</v>
      </c>
      <c r="I29" s="4" t="s">
        <v>4660</v>
      </c>
      <c r="J29" s="4" t="s">
        <v>4661</v>
      </c>
      <c r="K29" s="4" t="s">
        <v>9764</v>
      </c>
      <c r="L29" s="4" t="s">
        <v>9765</v>
      </c>
      <c r="M29" s="4" t="s">
        <v>46</v>
      </c>
      <c r="N29" s="4"/>
      <c r="O29" s="4" t="s">
        <v>47</v>
      </c>
      <c r="P29" s="4" t="s">
        <v>48</v>
      </c>
      <c r="Q29" s="4">
        <v>0</v>
      </c>
      <c r="R29" s="4" t="b">
        <v>0</v>
      </c>
      <c r="S29" s="4" t="s">
        <v>61</v>
      </c>
      <c r="T29" s="4" t="s">
        <v>70</v>
      </c>
      <c r="U29" s="4" t="s">
        <v>148</v>
      </c>
      <c r="V29" s="4" t="s">
        <v>63</v>
      </c>
      <c r="W29" s="4" t="s">
        <v>108</v>
      </c>
      <c r="X29" s="4" t="s">
        <v>54</v>
      </c>
      <c r="Y29" s="4"/>
      <c r="Z29" s="12">
        <v>0</v>
      </c>
      <c r="AA29" s="13" t="s">
        <v>9655</v>
      </c>
      <c r="AB29" s="13" t="s">
        <v>9138</v>
      </c>
      <c r="AC29" s="14" t="s">
        <v>9148</v>
      </c>
      <c r="AD29" s="14" t="s">
        <v>9140</v>
      </c>
      <c r="AE29" s="14" t="s">
        <v>9140</v>
      </c>
      <c r="AF29" s="14" t="s">
        <v>63</v>
      </c>
      <c r="AG29" s="14" t="s">
        <v>54</v>
      </c>
      <c r="AH29" s="15" t="s">
        <v>9220</v>
      </c>
      <c r="AI29" s="15" t="s">
        <v>9142</v>
      </c>
      <c r="AJ29" s="15" t="s">
        <v>9143</v>
      </c>
      <c r="AK29" s="15" t="s">
        <v>9221</v>
      </c>
      <c r="AL29" s="15" t="s">
        <v>9228</v>
      </c>
      <c r="AM29" s="16" t="s">
        <v>9221</v>
      </c>
      <c r="AN29" s="16" t="s">
        <v>9229</v>
      </c>
    </row>
    <row r="30" spans="1:40" x14ac:dyDescent="0.25">
      <c r="A30" s="4" t="s">
        <v>9766</v>
      </c>
      <c r="B30" s="4"/>
      <c r="C30" s="4" t="s">
        <v>39</v>
      </c>
      <c r="D30" s="4" t="s">
        <v>733</v>
      </c>
      <c r="E30" s="4" t="s">
        <v>734</v>
      </c>
      <c r="F30" s="10">
        <v>45799</v>
      </c>
      <c r="G30" s="11">
        <v>0.31597222222222221</v>
      </c>
      <c r="H30" s="4" t="s">
        <v>463</v>
      </c>
      <c r="I30" s="4">
        <v>2042</v>
      </c>
      <c r="J30" s="4" t="s">
        <v>1015</v>
      </c>
      <c r="K30" s="4" t="s">
        <v>9767</v>
      </c>
      <c r="L30" s="4" t="s">
        <v>9768</v>
      </c>
      <c r="M30" s="4" t="s">
        <v>46</v>
      </c>
      <c r="N30" s="4"/>
      <c r="O30" s="4" t="s">
        <v>47</v>
      </c>
      <c r="P30" s="4" t="s">
        <v>60</v>
      </c>
      <c r="Q30" s="4">
        <v>0</v>
      </c>
      <c r="R30" s="4" t="b">
        <v>0</v>
      </c>
      <c r="S30" s="4" t="s">
        <v>49</v>
      </c>
      <c r="T30" s="4" t="s">
        <v>115</v>
      </c>
      <c r="U30" s="4" t="s">
        <v>148</v>
      </c>
      <c r="V30" s="4" t="s">
        <v>52</v>
      </c>
      <c r="W30" s="4" t="s">
        <v>53</v>
      </c>
      <c r="X30" s="4" t="s">
        <v>54</v>
      </c>
      <c r="Y30" s="4"/>
      <c r="Z30" s="12">
        <v>0</v>
      </c>
      <c r="AA30" s="13" t="s">
        <v>9655</v>
      </c>
      <c r="AB30" s="13" t="s">
        <v>9138</v>
      </c>
      <c r="AC30" s="14" t="s">
        <v>9139</v>
      </c>
      <c r="AD30" s="14" t="s">
        <v>9140</v>
      </c>
      <c r="AE30" s="14" t="s">
        <v>9140</v>
      </c>
      <c r="AF30" s="14" t="s">
        <v>52</v>
      </c>
      <c r="AG30" s="14" t="s">
        <v>54</v>
      </c>
      <c r="AH30" s="15" t="s">
        <v>9141</v>
      </c>
      <c r="AI30" s="15" t="s">
        <v>9175</v>
      </c>
      <c r="AJ30" s="15" t="s">
        <v>9143</v>
      </c>
      <c r="AK30" s="15" t="s">
        <v>9141</v>
      </c>
      <c r="AL30" s="15" t="s">
        <v>9175</v>
      </c>
      <c r="AM30" s="16" t="s">
        <v>9141</v>
      </c>
      <c r="AN30" s="16" t="s">
        <v>9176</v>
      </c>
    </row>
    <row r="31" spans="1:40" x14ac:dyDescent="0.25">
      <c r="A31" s="4" t="s">
        <v>9769</v>
      </c>
      <c r="B31" s="4"/>
      <c r="C31" s="4" t="s">
        <v>39</v>
      </c>
      <c r="D31" s="4" t="s">
        <v>9770</v>
      </c>
      <c r="E31" s="4" t="s">
        <v>9771</v>
      </c>
      <c r="F31" s="10">
        <v>45799</v>
      </c>
      <c r="G31" s="11">
        <v>0.45833333333333331</v>
      </c>
      <c r="H31" s="4" t="s">
        <v>4910</v>
      </c>
      <c r="I31" s="4" t="s">
        <v>9716</v>
      </c>
      <c r="J31" s="4" t="s">
        <v>3540</v>
      </c>
      <c r="K31" s="4" t="s">
        <v>9772</v>
      </c>
      <c r="L31" s="4" t="s">
        <v>9773</v>
      </c>
      <c r="M31" s="4" t="s">
        <v>46</v>
      </c>
      <c r="N31" s="4"/>
      <c r="O31" s="4" t="s">
        <v>47</v>
      </c>
      <c r="P31" s="4" t="s">
        <v>60</v>
      </c>
      <c r="Q31" s="4">
        <v>0</v>
      </c>
      <c r="R31" s="4" t="b">
        <v>0</v>
      </c>
      <c r="S31" s="4" t="s">
        <v>61</v>
      </c>
      <c r="T31" s="4" t="s">
        <v>115</v>
      </c>
      <c r="U31" s="4" t="s">
        <v>224</v>
      </c>
      <c r="V31" s="4" t="s">
        <v>52</v>
      </c>
      <c r="W31" s="4" t="s">
        <v>53</v>
      </c>
      <c r="X31" s="4" t="s">
        <v>54</v>
      </c>
      <c r="Y31" s="4" t="s">
        <v>176</v>
      </c>
      <c r="Z31" s="12">
        <v>0</v>
      </c>
      <c r="AA31" s="13" t="s">
        <v>9655</v>
      </c>
      <c r="AB31" s="13" t="s">
        <v>9138</v>
      </c>
      <c r="AC31" s="14" t="s">
        <v>9148</v>
      </c>
      <c r="AD31" s="14" t="s">
        <v>9140</v>
      </c>
      <c r="AE31" s="14" t="s">
        <v>9140</v>
      </c>
      <c r="AF31" s="14" t="s">
        <v>52</v>
      </c>
      <c r="AG31" s="14" t="s">
        <v>54</v>
      </c>
      <c r="AH31" s="15" t="s">
        <v>9220</v>
      </c>
      <c r="AI31" s="15" t="s">
        <v>9191</v>
      </c>
      <c r="AJ31" s="15" t="s">
        <v>9143</v>
      </c>
      <c r="AK31" s="15" t="s">
        <v>9221</v>
      </c>
      <c r="AL31" s="15" t="s">
        <v>9234</v>
      </c>
      <c r="AM31" s="16" t="s">
        <v>9221</v>
      </c>
      <c r="AN31" s="16" t="s">
        <v>9235</v>
      </c>
    </row>
    <row r="32" spans="1:40" x14ac:dyDescent="0.25">
      <c r="A32" s="4" t="s">
        <v>9774</v>
      </c>
      <c r="B32" s="4"/>
      <c r="C32" s="4" t="s">
        <v>39</v>
      </c>
      <c r="D32" s="4" t="s">
        <v>1060</v>
      </c>
      <c r="E32" s="4" t="s">
        <v>1061</v>
      </c>
      <c r="F32" s="10">
        <v>45799</v>
      </c>
      <c r="G32" s="11">
        <v>0.78125</v>
      </c>
      <c r="H32" s="4" t="s">
        <v>463</v>
      </c>
      <c r="I32" s="4">
        <v>2048</v>
      </c>
      <c r="J32" s="4" t="s">
        <v>1055</v>
      </c>
      <c r="K32" s="4" t="s">
        <v>9775</v>
      </c>
      <c r="L32" s="4" t="s">
        <v>9776</v>
      </c>
      <c r="M32" s="4" t="s">
        <v>46</v>
      </c>
      <c r="N32" s="4"/>
      <c r="O32" s="4" t="s">
        <v>47</v>
      </c>
      <c r="P32" s="4" t="s">
        <v>60</v>
      </c>
      <c r="Q32" s="4">
        <v>0</v>
      </c>
      <c r="R32" s="4" t="b">
        <v>0</v>
      </c>
      <c r="S32" s="4" t="s">
        <v>49</v>
      </c>
      <c r="T32" s="4" t="s">
        <v>70</v>
      </c>
      <c r="U32" s="4" t="s">
        <v>71</v>
      </c>
      <c r="V32" s="4" t="s">
        <v>72</v>
      </c>
      <c r="W32" s="4" t="s">
        <v>73</v>
      </c>
      <c r="X32" s="4" t="s">
        <v>54</v>
      </c>
      <c r="Y32" s="4"/>
      <c r="Z32" s="12">
        <v>0</v>
      </c>
      <c r="AA32" s="13" t="s">
        <v>9655</v>
      </c>
      <c r="AB32" s="13" t="s">
        <v>9138</v>
      </c>
      <c r="AC32" s="14" t="s">
        <v>9139</v>
      </c>
      <c r="AD32" s="14" t="s">
        <v>9140</v>
      </c>
      <c r="AE32" s="14" t="s">
        <v>9140</v>
      </c>
      <c r="AF32" s="14" t="s">
        <v>72</v>
      </c>
      <c r="AG32" s="14" t="s">
        <v>54</v>
      </c>
      <c r="AH32" s="15" t="s">
        <v>9141</v>
      </c>
      <c r="AI32" s="15" t="s">
        <v>9175</v>
      </c>
      <c r="AJ32" s="15" t="s">
        <v>9143</v>
      </c>
      <c r="AK32" s="15" t="s">
        <v>9141</v>
      </c>
      <c r="AL32" s="15" t="s">
        <v>9177</v>
      </c>
      <c r="AM32" s="16" t="s">
        <v>9141</v>
      </c>
      <c r="AN32" s="16" t="s">
        <v>9178</v>
      </c>
    </row>
    <row r="33" spans="1:40" x14ac:dyDescent="0.25">
      <c r="A33" s="4" t="s">
        <v>9777</v>
      </c>
      <c r="B33" s="4"/>
      <c r="C33" s="4" t="s">
        <v>39</v>
      </c>
      <c r="D33" s="4" t="s">
        <v>9778</v>
      </c>
      <c r="E33" s="4" t="s">
        <v>9779</v>
      </c>
      <c r="F33" s="10">
        <v>45798</v>
      </c>
      <c r="G33" s="11">
        <v>0.46805555555555556</v>
      </c>
      <c r="H33" s="4" t="s">
        <v>4910</v>
      </c>
      <c r="I33" s="4" t="s">
        <v>9716</v>
      </c>
      <c r="J33" s="4" t="s">
        <v>3540</v>
      </c>
      <c r="K33" s="4" t="s">
        <v>2108</v>
      </c>
      <c r="L33" s="4" t="s">
        <v>9780</v>
      </c>
      <c r="M33" s="4" t="s">
        <v>46</v>
      </c>
      <c r="N33" s="4"/>
      <c r="O33" s="4" t="s">
        <v>47</v>
      </c>
      <c r="P33" s="4" t="s">
        <v>60</v>
      </c>
      <c r="Q33" s="4">
        <v>0</v>
      </c>
      <c r="R33" s="4" t="b">
        <v>0</v>
      </c>
      <c r="S33" s="4" t="s">
        <v>61</v>
      </c>
      <c r="T33" s="4" t="s">
        <v>115</v>
      </c>
      <c r="U33" s="4" t="s">
        <v>51</v>
      </c>
      <c r="V33" s="4" t="s">
        <v>52</v>
      </c>
      <c r="W33" s="4" t="s">
        <v>53</v>
      </c>
      <c r="X33" s="4" t="s">
        <v>54</v>
      </c>
      <c r="Y33" s="4"/>
      <c r="Z33" s="12">
        <v>0</v>
      </c>
      <c r="AA33" s="13" t="s">
        <v>9655</v>
      </c>
      <c r="AB33" s="13" t="s">
        <v>9138</v>
      </c>
      <c r="AC33" s="14" t="s">
        <v>9148</v>
      </c>
      <c r="AD33" s="14" t="s">
        <v>9140</v>
      </c>
      <c r="AE33" s="14" t="s">
        <v>9140</v>
      </c>
      <c r="AF33" s="14" t="s">
        <v>52</v>
      </c>
      <c r="AG33" s="14" t="s">
        <v>54</v>
      </c>
      <c r="AH33" s="15" t="s">
        <v>9220</v>
      </c>
      <c r="AI33" s="15" t="s">
        <v>9191</v>
      </c>
      <c r="AJ33" s="15" t="s">
        <v>9143</v>
      </c>
      <c r="AK33" s="15" t="s">
        <v>9221</v>
      </c>
      <c r="AL33" s="15" t="s">
        <v>9234</v>
      </c>
      <c r="AM33" s="16" t="s">
        <v>9221</v>
      </c>
      <c r="AN33" s="16" t="s">
        <v>9235</v>
      </c>
    </row>
    <row r="34" spans="1:40" x14ac:dyDescent="0.25">
      <c r="A34" s="4" t="s">
        <v>9781</v>
      </c>
      <c r="B34" s="4"/>
      <c r="C34" s="4" t="s">
        <v>39</v>
      </c>
      <c r="D34" s="4" t="s">
        <v>2923</v>
      </c>
      <c r="E34" s="4" t="s">
        <v>2924</v>
      </c>
      <c r="F34" s="10">
        <v>45798</v>
      </c>
      <c r="G34" s="11">
        <v>0.45833333333333331</v>
      </c>
      <c r="H34" s="4" t="s">
        <v>1992</v>
      </c>
      <c r="I34" s="4" t="s">
        <v>2913</v>
      </c>
      <c r="J34" s="4" t="s">
        <v>2914</v>
      </c>
      <c r="K34" s="4" t="s">
        <v>9782</v>
      </c>
      <c r="L34" s="4" t="s">
        <v>9783</v>
      </c>
      <c r="M34" s="4" t="s">
        <v>46</v>
      </c>
      <c r="N34" s="4"/>
      <c r="O34" s="4" t="s">
        <v>47</v>
      </c>
      <c r="P34" s="4" t="s">
        <v>48</v>
      </c>
      <c r="Q34" s="4">
        <v>0</v>
      </c>
      <c r="R34" s="4" t="b">
        <v>0</v>
      </c>
      <c r="S34" s="4" t="s">
        <v>49</v>
      </c>
      <c r="T34" s="4" t="s">
        <v>70</v>
      </c>
      <c r="U34" s="4" t="s">
        <v>71</v>
      </c>
      <c r="V34" s="4" t="s">
        <v>63</v>
      </c>
      <c r="W34" s="4" t="s">
        <v>312</v>
      </c>
      <c r="X34" s="4" t="s">
        <v>54</v>
      </c>
      <c r="Y34" s="4"/>
      <c r="Z34" s="12">
        <v>0</v>
      </c>
      <c r="AA34" s="13" t="s">
        <v>9655</v>
      </c>
      <c r="AB34" s="13" t="s">
        <v>9138</v>
      </c>
      <c r="AC34" s="14" t="s">
        <v>9139</v>
      </c>
      <c r="AD34" s="14" t="s">
        <v>9140</v>
      </c>
      <c r="AE34" s="14" t="s">
        <v>9140</v>
      </c>
      <c r="AF34" s="14" t="s">
        <v>63</v>
      </c>
      <c r="AG34" s="14" t="s">
        <v>54</v>
      </c>
      <c r="AH34" s="15" t="s">
        <v>9194</v>
      </c>
      <c r="AI34" s="15" t="s">
        <v>9191</v>
      </c>
      <c r="AJ34" s="15" t="s">
        <v>9143</v>
      </c>
      <c r="AK34" s="15" t="s">
        <v>9194</v>
      </c>
      <c r="AL34" s="15" t="s">
        <v>9201</v>
      </c>
      <c r="AM34" s="16" t="s">
        <v>9194</v>
      </c>
      <c r="AN34" s="16" t="s">
        <v>9202</v>
      </c>
    </row>
    <row r="35" spans="1:40" x14ac:dyDescent="0.25">
      <c r="A35" s="4" t="s">
        <v>9784</v>
      </c>
      <c r="B35" s="4">
        <v>8015117</v>
      </c>
      <c r="C35" s="4" t="s">
        <v>39</v>
      </c>
      <c r="D35" s="4" t="s">
        <v>3568</v>
      </c>
      <c r="E35" s="4" t="s">
        <v>3569</v>
      </c>
      <c r="F35" s="10">
        <v>45798</v>
      </c>
      <c r="G35" s="11">
        <v>0.52083333333333337</v>
      </c>
      <c r="H35" s="4" t="s">
        <v>2095</v>
      </c>
      <c r="I35" s="4" t="s">
        <v>3563</v>
      </c>
      <c r="J35" s="4" t="s">
        <v>3564</v>
      </c>
      <c r="K35" s="4" t="s">
        <v>6041</v>
      </c>
      <c r="L35" s="4" t="s">
        <v>9785</v>
      </c>
      <c r="M35" s="4" t="s">
        <v>28</v>
      </c>
      <c r="N35" s="4" t="s">
        <v>183</v>
      </c>
      <c r="O35" s="4" t="s">
        <v>863</v>
      </c>
      <c r="P35" s="4" t="s">
        <v>60</v>
      </c>
      <c r="Q35" s="4">
        <v>7</v>
      </c>
      <c r="R35" s="4" t="b">
        <v>0</v>
      </c>
      <c r="S35" s="4" t="s">
        <v>114</v>
      </c>
      <c r="T35" s="4" t="s">
        <v>115</v>
      </c>
      <c r="U35" s="4" t="s">
        <v>107</v>
      </c>
      <c r="V35" s="4" t="s">
        <v>63</v>
      </c>
      <c r="W35" s="4" t="s">
        <v>108</v>
      </c>
      <c r="X35" s="4" t="s">
        <v>54</v>
      </c>
      <c r="Y35" s="4"/>
      <c r="Z35" s="12" t="s">
        <v>60</v>
      </c>
      <c r="AA35" s="13" t="s">
        <v>9655</v>
      </c>
      <c r="AB35" s="13" t="s">
        <v>9138</v>
      </c>
      <c r="AC35" s="14" t="s">
        <v>9157</v>
      </c>
      <c r="AD35" s="14" t="s">
        <v>28</v>
      </c>
      <c r="AE35" s="14" t="s">
        <v>183</v>
      </c>
      <c r="AF35" s="14" t="s">
        <v>63</v>
      </c>
      <c r="AG35" s="14" t="s">
        <v>54</v>
      </c>
      <c r="AH35" s="15" t="s">
        <v>9194</v>
      </c>
      <c r="AI35" s="15" t="s">
        <v>9188</v>
      </c>
      <c r="AJ35" s="15" t="s">
        <v>9143</v>
      </c>
      <c r="AK35" s="15" t="s">
        <v>9194</v>
      </c>
      <c r="AL35" s="15" t="s">
        <v>9201</v>
      </c>
      <c r="AM35" s="16" t="s">
        <v>9194</v>
      </c>
      <c r="AN35" s="16" t="s">
        <v>9202</v>
      </c>
    </row>
    <row r="36" spans="1:40" x14ac:dyDescent="0.25">
      <c r="A36" s="4" t="s">
        <v>9786</v>
      </c>
      <c r="B36" s="4"/>
      <c r="C36" s="4" t="s">
        <v>39</v>
      </c>
      <c r="D36" s="4" t="s">
        <v>9787</v>
      </c>
      <c r="E36" s="4" t="s">
        <v>9788</v>
      </c>
      <c r="F36" s="10">
        <v>45798</v>
      </c>
      <c r="G36" s="11">
        <v>0.57222222222222219</v>
      </c>
      <c r="H36" s="4" t="s">
        <v>2095</v>
      </c>
      <c r="I36" s="4" t="s">
        <v>2777</v>
      </c>
      <c r="J36" s="4" t="s">
        <v>1406</v>
      </c>
      <c r="K36" s="4" t="s">
        <v>9789</v>
      </c>
      <c r="L36" s="4" t="s">
        <v>9790</v>
      </c>
      <c r="M36" s="4" t="s">
        <v>46</v>
      </c>
      <c r="N36" s="4"/>
      <c r="O36" s="4" t="s">
        <v>47</v>
      </c>
      <c r="P36" s="4" t="s">
        <v>48</v>
      </c>
      <c r="Q36" s="4">
        <v>0</v>
      </c>
      <c r="R36" s="4" t="b">
        <v>0</v>
      </c>
      <c r="S36" s="4" t="s">
        <v>49</v>
      </c>
      <c r="T36" s="4" t="s">
        <v>50</v>
      </c>
      <c r="U36" s="4" t="s">
        <v>71</v>
      </c>
      <c r="V36" s="4" t="s">
        <v>63</v>
      </c>
      <c r="W36" s="4" t="s">
        <v>312</v>
      </c>
      <c r="X36" s="4" t="s">
        <v>54</v>
      </c>
      <c r="Y36" s="4"/>
      <c r="Z36" s="12">
        <v>0</v>
      </c>
      <c r="AA36" s="13" t="s">
        <v>9655</v>
      </c>
      <c r="AB36" s="13" t="s">
        <v>9138</v>
      </c>
      <c r="AC36" s="14" t="s">
        <v>9139</v>
      </c>
      <c r="AD36" s="14" t="s">
        <v>9140</v>
      </c>
      <c r="AE36" s="14" t="s">
        <v>9140</v>
      </c>
      <c r="AF36" s="14" t="s">
        <v>63</v>
      </c>
      <c r="AG36" s="14" t="s">
        <v>54</v>
      </c>
      <c r="AH36" s="15" t="s">
        <v>9194</v>
      </c>
      <c r="AI36" s="15" t="s">
        <v>9188</v>
      </c>
      <c r="AJ36" s="15" t="s">
        <v>9143</v>
      </c>
      <c r="AK36" s="15" t="s">
        <v>9194</v>
      </c>
      <c r="AL36" s="15" t="s">
        <v>9211</v>
      </c>
      <c r="AM36" s="16" t="s">
        <v>9194</v>
      </c>
      <c r="AN36" s="16" t="s">
        <v>9212</v>
      </c>
    </row>
    <row r="37" spans="1:40" x14ac:dyDescent="0.25">
      <c r="A37" s="4" t="s">
        <v>9791</v>
      </c>
      <c r="B37" s="4"/>
      <c r="C37" s="4" t="s">
        <v>39</v>
      </c>
      <c r="D37" s="4" t="s">
        <v>5664</v>
      </c>
      <c r="E37" s="4" t="s">
        <v>5665</v>
      </c>
      <c r="F37" s="10">
        <v>45798</v>
      </c>
      <c r="G37" s="11">
        <v>0.63888888888888884</v>
      </c>
      <c r="H37" s="4" t="s">
        <v>5666</v>
      </c>
      <c r="I37" s="4" t="s">
        <v>5667</v>
      </c>
      <c r="J37" s="4" t="s">
        <v>2192</v>
      </c>
      <c r="K37" s="4" t="s">
        <v>9792</v>
      </c>
      <c r="L37" s="4" t="s">
        <v>9793</v>
      </c>
      <c r="M37" s="4" t="s">
        <v>46</v>
      </c>
      <c r="N37" s="4"/>
      <c r="O37" s="4" t="s">
        <v>47</v>
      </c>
      <c r="P37" s="4" t="s">
        <v>60</v>
      </c>
      <c r="Q37" s="4">
        <v>0</v>
      </c>
      <c r="R37" s="4" t="b">
        <v>0</v>
      </c>
      <c r="S37" s="4" t="s">
        <v>184</v>
      </c>
      <c r="T37" s="4" t="s">
        <v>70</v>
      </c>
      <c r="U37" s="4" t="s">
        <v>71</v>
      </c>
      <c r="V37" s="4" t="s">
        <v>72</v>
      </c>
      <c r="W37" s="4" t="s">
        <v>73</v>
      </c>
      <c r="X37" s="4" t="s">
        <v>54</v>
      </c>
      <c r="Y37" s="4"/>
      <c r="Z37" s="12">
        <v>0</v>
      </c>
      <c r="AA37" s="13" t="s">
        <v>9655</v>
      </c>
      <c r="AB37" s="13" t="s">
        <v>9138</v>
      </c>
      <c r="AC37" s="14" t="s">
        <v>9166</v>
      </c>
      <c r="AD37" s="14" t="s">
        <v>9140</v>
      </c>
      <c r="AE37" s="14" t="s">
        <v>9140</v>
      </c>
      <c r="AF37" s="14" t="s">
        <v>72</v>
      </c>
      <c r="AG37" s="14" t="s">
        <v>54</v>
      </c>
      <c r="AH37" s="15" t="s">
        <v>9220</v>
      </c>
      <c r="AI37" s="15" t="s">
        <v>9199</v>
      </c>
      <c r="AJ37" s="15" t="s">
        <v>9143</v>
      </c>
      <c r="AK37" s="15" t="s">
        <v>9221</v>
      </c>
      <c r="AL37" s="15" t="s">
        <v>9199</v>
      </c>
      <c r="AM37" s="16" t="s">
        <v>9221</v>
      </c>
      <c r="AN37" s="16" t="s">
        <v>9238</v>
      </c>
    </row>
    <row r="38" spans="1:40" x14ac:dyDescent="0.25">
      <c r="A38" s="4" t="s">
        <v>9794</v>
      </c>
      <c r="B38" s="4"/>
      <c r="C38" s="4" t="s">
        <v>39</v>
      </c>
      <c r="D38" s="4" t="s">
        <v>9027</v>
      </c>
      <c r="E38" s="4" t="s">
        <v>9028</v>
      </c>
      <c r="F38" s="10">
        <v>45798</v>
      </c>
      <c r="G38" s="11">
        <v>0.625</v>
      </c>
      <c r="H38" s="4" t="s">
        <v>4019</v>
      </c>
      <c r="I38" s="4" t="s">
        <v>8854</v>
      </c>
      <c r="J38" s="4" t="s">
        <v>8855</v>
      </c>
      <c r="K38" s="4" t="s">
        <v>9795</v>
      </c>
      <c r="L38" s="4" t="s">
        <v>9796</v>
      </c>
      <c r="M38" s="4" t="s">
        <v>46</v>
      </c>
      <c r="N38" s="4"/>
      <c r="O38" s="4" t="s">
        <v>47</v>
      </c>
      <c r="P38" s="4" t="s">
        <v>48</v>
      </c>
      <c r="Q38" s="4">
        <v>0</v>
      </c>
      <c r="R38" s="4" t="b">
        <v>0</v>
      </c>
      <c r="S38" s="4" t="s">
        <v>61</v>
      </c>
      <c r="T38" s="4" t="s">
        <v>50</v>
      </c>
      <c r="U38" s="4" t="s">
        <v>224</v>
      </c>
      <c r="V38" s="4" t="s">
        <v>63</v>
      </c>
      <c r="W38" s="4" t="s">
        <v>108</v>
      </c>
      <c r="X38" s="4" t="s">
        <v>54</v>
      </c>
      <c r="Y38" s="4"/>
      <c r="Z38" s="12">
        <v>0</v>
      </c>
      <c r="AA38" s="13" t="s">
        <v>9655</v>
      </c>
      <c r="AB38" s="13" t="s">
        <v>9138</v>
      </c>
      <c r="AC38" s="14" t="s">
        <v>9148</v>
      </c>
      <c r="AD38" s="14" t="s">
        <v>9140</v>
      </c>
      <c r="AE38" s="14" t="s">
        <v>9140</v>
      </c>
      <c r="AF38" s="14" t="s">
        <v>63</v>
      </c>
      <c r="AG38" s="14" t="s">
        <v>54</v>
      </c>
      <c r="AH38" s="15" t="s">
        <v>9220</v>
      </c>
      <c r="AI38" s="15" t="s">
        <v>9175</v>
      </c>
      <c r="AJ38" s="15" t="s">
        <v>9183</v>
      </c>
      <c r="AK38" s="15" t="s">
        <v>9239</v>
      </c>
      <c r="AL38" s="15" t="s">
        <v>9240</v>
      </c>
      <c r="AM38" s="16" t="s">
        <v>9186</v>
      </c>
      <c r="AN38" s="16" t="s">
        <v>9186</v>
      </c>
    </row>
    <row r="39" spans="1:40" x14ac:dyDescent="0.25">
      <c r="A39" s="4" t="s">
        <v>9797</v>
      </c>
      <c r="B39" s="4"/>
      <c r="C39" s="4" t="s">
        <v>39</v>
      </c>
      <c r="D39" s="4" t="s">
        <v>9798</v>
      </c>
      <c r="E39" s="4" t="s">
        <v>9799</v>
      </c>
      <c r="F39" s="10">
        <v>45798</v>
      </c>
      <c r="G39" s="11">
        <v>0.10416666666666667</v>
      </c>
      <c r="H39" s="4" t="s">
        <v>4019</v>
      </c>
      <c r="I39" s="4" t="s">
        <v>8282</v>
      </c>
      <c r="J39" s="4" t="s">
        <v>8283</v>
      </c>
      <c r="K39" s="4" t="s">
        <v>9800</v>
      </c>
      <c r="L39" s="4" t="s">
        <v>9801</v>
      </c>
      <c r="M39" s="4" t="s">
        <v>46</v>
      </c>
      <c r="N39" s="4"/>
      <c r="O39" s="4" t="s">
        <v>47</v>
      </c>
      <c r="P39" s="4" t="s">
        <v>60</v>
      </c>
      <c r="Q39" s="4">
        <v>0</v>
      </c>
      <c r="R39" s="4" t="b">
        <v>0</v>
      </c>
      <c r="S39" s="4" t="s">
        <v>114</v>
      </c>
      <c r="T39" s="4" t="s">
        <v>115</v>
      </c>
      <c r="U39" s="4" t="s">
        <v>148</v>
      </c>
      <c r="V39" s="4" t="s">
        <v>52</v>
      </c>
      <c r="W39" s="4" t="s">
        <v>53</v>
      </c>
      <c r="X39" s="4" t="s">
        <v>54</v>
      </c>
      <c r="Y39" s="4"/>
      <c r="Z39" s="12">
        <v>0</v>
      </c>
      <c r="AA39" s="13" t="s">
        <v>9655</v>
      </c>
      <c r="AB39" s="13" t="s">
        <v>9138</v>
      </c>
      <c r="AC39" s="14" t="s">
        <v>9157</v>
      </c>
      <c r="AD39" s="14" t="s">
        <v>9140</v>
      </c>
      <c r="AE39" s="14" t="s">
        <v>9140</v>
      </c>
      <c r="AF39" s="14" t="s">
        <v>52</v>
      </c>
      <c r="AG39" s="14" t="s">
        <v>54</v>
      </c>
      <c r="AH39" s="15" t="s">
        <v>9220</v>
      </c>
      <c r="AI39" s="15" t="s">
        <v>9175</v>
      </c>
      <c r="AJ39" s="15" t="s">
        <v>9143</v>
      </c>
      <c r="AK39" s="15" t="s">
        <v>9221</v>
      </c>
      <c r="AL39" s="15" t="s">
        <v>9224</v>
      </c>
      <c r="AM39" s="16" t="s">
        <v>9221</v>
      </c>
      <c r="AN39" s="16" t="s">
        <v>9225</v>
      </c>
    </row>
    <row r="40" spans="1:40" x14ac:dyDescent="0.25">
      <c r="A40" s="4" t="s">
        <v>9802</v>
      </c>
      <c r="B40" s="4"/>
      <c r="C40" s="4" t="s">
        <v>39</v>
      </c>
      <c r="D40" s="4" t="s">
        <v>6612</v>
      </c>
      <c r="E40" s="4" t="s">
        <v>6613</v>
      </c>
      <c r="F40" s="10">
        <v>45798</v>
      </c>
      <c r="G40" s="11">
        <v>0.52083333333333337</v>
      </c>
      <c r="H40" s="4" t="s">
        <v>4516</v>
      </c>
      <c r="I40" s="4" t="s">
        <v>6599</v>
      </c>
      <c r="J40" s="4" t="s">
        <v>6600</v>
      </c>
      <c r="K40" s="4" t="s">
        <v>2408</v>
      </c>
      <c r="L40" s="4" t="s">
        <v>9803</v>
      </c>
      <c r="M40" s="4" t="s">
        <v>46</v>
      </c>
      <c r="N40" s="4"/>
      <c r="O40" s="4" t="s">
        <v>47</v>
      </c>
      <c r="P40" s="4" t="s">
        <v>60</v>
      </c>
      <c r="Q40" s="4">
        <v>0</v>
      </c>
      <c r="R40" s="4" t="b">
        <v>0</v>
      </c>
      <c r="S40" s="4" t="s">
        <v>61</v>
      </c>
      <c r="T40" s="4" t="s">
        <v>50</v>
      </c>
      <c r="U40" s="4" t="s">
        <v>71</v>
      </c>
      <c r="V40" s="4" t="s">
        <v>63</v>
      </c>
      <c r="W40" s="4" t="s">
        <v>312</v>
      </c>
      <c r="X40" s="4" t="s">
        <v>54</v>
      </c>
      <c r="Y40" s="4"/>
      <c r="Z40" s="12">
        <v>0</v>
      </c>
      <c r="AA40" s="13" t="s">
        <v>9655</v>
      </c>
      <c r="AB40" s="13" t="s">
        <v>9138</v>
      </c>
      <c r="AC40" s="14" t="s">
        <v>9148</v>
      </c>
      <c r="AD40" s="14" t="s">
        <v>9140</v>
      </c>
      <c r="AE40" s="14" t="s">
        <v>9140</v>
      </c>
      <c r="AF40" s="14" t="s">
        <v>63</v>
      </c>
      <c r="AG40" s="14" t="s">
        <v>54</v>
      </c>
      <c r="AH40" s="15" t="s">
        <v>9220</v>
      </c>
      <c r="AI40" s="15" t="s">
        <v>9188</v>
      </c>
      <c r="AJ40" s="15" t="s">
        <v>9143</v>
      </c>
      <c r="AK40" s="15" t="s">
        <v>9221</v>
      </c>
      <c r="AL40" s="15" t="s">
        <v>9232</v>
      </c>
      <c r="AM40" s="16" t="s">
        <v>9221</v>
      </c>
      <c r="AN40" s="16" t="s">
        <v>9233</v>
      </c>
    </row>
    <row r="41" spans="1:40" x14ac:dyDescent="0.25">
      <c r="A41" s="4" t="s">
        <v>9804</v>
      </c>
      <c r="B41" s="4"/>
      <c r="C41" s="4" t="s">
        <v>39</v>
      </c>
      <c r="D41" s="4" t="s">
        <v>9805</v>
      </c>
      <c r="E41" s="4" t="s">
        <v>9806</v>
      </c>
      <c r="F41" s="10">
        <v>45797</v>
      </c>
      <c r="G41" s="11">
        <v>0.4375</v>
      </c>
      <c r="H41" s="4" t="s">
        <v>4516</v>
      </c>
      <c r="I41" s="4" t="s">
        <v>6599</v>
      </c>
      <c r="J41" s="4" t="s">
        <v>6600</v>
      </c>
      <c r="K41" s="4" t="s">
        <v>9807</v>
      </c>
      <c r="L41" s="4" t="s">
        <v>9808</v>
      </c>
      <c r="M41" s="4" t="s">
        <v>46</v>
      </c>
      <c r="N41" s="4"/>
      <c r="O41" s="4" t="s">
        <v>47</v>
      </c>
      <c r="P41" s="4" t="s">
        <v>48</v>
      </c>
      <c r="Q41" s="4">
        <v>0</v>
      </c>
      <c r="R41" s="4" t="b">
        <v>0</v>
      </c>
      <c r="S41" s="4" t="s">
        <v>61</v>
      </c>
      <c r="T41" s="4" t="s">
        <v>50</v>
      </c>
      <c r="U41" s="4" t="s">
        <v>90</v>
      </c>
      <c r="V41" s="4" t="s">
        <v>72</v>
      </c>
      <c r="W41" s="4" t="s">
        <v>73</v>
      </c>
      <c r="X41" s="4" t="s">
        <v>54</v>
      </c>
      <c r="Y41" s="4"/>
      <c r="Z41" s="12">
        <v>0</v>
      </c>
      <c r="AA41" s="13" t="s">
        <v>9655</v>
      </c>
      <c r="AB41" s="13" t="s">
        <v>9138</v>
      </c>
      <c r="AC41" s="14" t="s">
        <v>9148</v>
      </c>
      <c r="AD41" s="14" t="s">
        <v>9140</v>
      </c>
      <c r="AE41" s="14" t="s">
        <v>9140</v>
      </c>
      <c r="AF41" s="14" t="s">
        <v>72</v>
      </c>
      <c r="AG41" s="14" t="s">
        <v>54</v>
      </c>
      <c r="AH41" s="15" t="s">
        <v>9220</v>
      </c>
      <c r="AI41" s="15" t="s">
        <v>9188</v>
      </c>
      <c r="AJ41" s="15" t="s">
        <v>9143</v>
      </c>
      <c r="AK41" s="15" t="s">
        <v>9221</v>
      </c>
      <c r="AL41" s="15" t="s">
        <v>9232</v>
      </c>
      <c r="AM41" s="16" t="s">
        <v>9221</v>
      </c>
      <c r="AN41" s="16" t="s">
        <v>9233</v>
      </c>
    </row>
    <row r="42" spans="1:40" x14ac:dyDescent="0.25">
      <c r="A42" s="4" t="s">
        <v>9809</v>
      </c>
      <c r="B42" s="4"/>
      <c r="C42" s="4" t="s">
        <v>39</v>
      </c>
      <c r="D42" s="4" t="s">
        <v>9810</v>
      </c>
      <c r="E42" s="4" t="s">
        <v>9811</v>
      </c>
      <c r="F42" s="10">
        <v>45797</v>
      </c>
      <c r="G42" s="11">
        <v>0.64236111111111116</v>
      </c>
      <c r="H42" s="4" t="s">
        <v>4516</v>
      </c>
      <c r="I42" s="4" t="s">
        <v>7852</v>
      </c>
      <c r="J42" s="4" t="s">
        <v>1537</v>
      </c>
      <c r="K42" s="4" t="s">
        <v>9812</v>
      </c>
      <c r="L42" s="4" t="s">
        <v>9813</v>
      </c>
      <c r="M42" s="4" t="s">
        <v>46</v>
      </c>
      <c r="N42" s="4"/>
      <c r="O42" s="4" t="s">
        <v>47</v>
      </c>
      <c r="P42" s="4" t="s">
        <v>48</v>
      </c>
      <c r="Q42" s="4">
        <v>0</v>
      </c>
      <c r="R42" s="4" t="b">
        <v>0</v>
      </c>
      <c r="S42" s="4" t="s">
        <v>61</v>
      </c>
      <c r="T42" s="4" t="s">
        <v>50</v>
      </c>
      <c r="U42" s="4" t="s">
        <v>71</v>
      </c>
      <c r="V42" s="4" t="s">
        <v>63</v>
      </c>
      <c r="W42" s="4" t="s">
        <v>108</v>
      </c>
      <c r="X42" s="4" t="s">
        <v>54</v>
      </c>
      <c r="Y42" s="4"/>
      <c r="Z42" s="12">
        <v>0</v>
      </c>
      <c r="AA42" s="13" t="s">
        <v>9655</v>
      </c>
      <c r="AB42" s="13" t="s">
        <v>9138</v>
      </c>
      <c r="AC42" s="14" t="s">
        <v>9148</v>
      </c>
      <c r="AD42" s="14" t="s">
        <v>9140</v>
      </c>
      <c r="AE42" s="14" t="s">
        <v>9140</v>
      </c>
      <c r="AF42" s="14" t="s">
        <v>63</v>
      </c>
      <c r="AG42" s="14" t="s">
        <v>54</v>
      </c>
      <c r="AH42" s="15" t="s">
        <v>9220</v>
      </c>
      <c r="AI42" s="15" t="s">
        <v>9188</v>
      </c>
      <c r="AJ42" s="15" t="s">
        <v>9143</v>
      </c>
      <c r="AK42" s="15" t="s">
        <v>9221</v>
      </c>
      <c r="AL42" s="15" t="s">
        <v>9230</v>
      </c>
      <c r="AM42" s="16" t="s">
        <v>9221</v>
      </c>
      <c r="AN42" s="16" t="s">
        <v>9231</v>
      </c>
    </row>
    <row r="43" spans="1:40" x14ac:dyDescent="0.25">
      <c r="A43" s="4" t="s">
        <v>9814</v>
      </c>
      <c r="B43" s="4"/>
      <c r="C43" s="4" t="s">
        <v>39</v>
      </c>
      <c r="D43" s="4" t="s">
        <v>6319</v>
      </c>
      <c r="E43" s="4" t="s">
        <v>6320</v>
      </c>
      <c r="F43" s="10">
        <v>45797</v>
      </c>
      <c r="G43" s="11">
        <v>0.47916666666666669</v>
      </c>
      <c r="H43" s="4" t="s">
        <v>4019</v>
      </c>
      <c r="I43" s="4" t="s">
        <v>7315</v>
      </c>
      <c r="J43" s="4" t="s">
        <v>1037</v>
      </c>
      <c r="K43" s="4" t="s">
        <v>9815</v>
      </c>
      <c r="L43" s="4" t="s">
        <v>9816</v>
      </c>
      <c r="M43" s="4" t="s">
        <v>46</v>
      </c>
      <c r="N43" s="4"/>
      <c r="O43" s="4" t="s">
        <v>47</v>
      </c>
      <c r="P43" s="4" t="s">
        <v>48</v>
      </c>
      <c r="Q43" s="4">
        <v>0</v>
      </c>
      <c r="R43" s="4" t="b">
        <v>0</v>
      </c>
      <c r="S43" s="4" t="s">
        <v>61</v>
      </c>
      <c r="T43" s="4" t="s">
        <v>50</v>
      </c>
      <c r="U43" s="4" t="s">
        <v>90</v>
      </c>
      <c r="V43" s="4" t="s">
        <v>63</v>
      </c>
      <c r="W43" s="4" t="s">
        <v>108</v>
      </c>
      <c r="X43" s="4" t="s">
        <v>54</v>
      </c>
      <c r="Y43" s="4"/>
      <c r="Z43" s="12">
        <v>0</v>
      </c>
      <c r="AA43" s="13" t="s">
        <v>9655</v>
      </c>
      <c r="AB43" s="13" t="s">
        <v>9138</v>
      </c>
      <c r="AC43" s="14" t="s">
        <v>9148</v>
      </c>
      <c r="AD43" s="14" t="s">
        <v>9140</v>
      </c>
      <c r="AE43" s="14" t="s">
        <v>9140</v>
      </c>
      <c r="AF43" s="14" t="s">
        <v>63</v>
      </c>
      <c r="AG43" s="14" t="s">
        <v>54</v>
      </c>
      <c r="AH43" s="15" t="s">
        <v>9220</v>
      </c>
      <c r="AI43" s="15" t="s">
        <v>9175</v>
      </c>
      <c r="AJ43" s="15" t="s">
        <v>9143</v>
      </c>
      <c r="AK43" s="15" t="s">
        <v>9221</v>
      </c>
      <c r="AL43" s="15" t="s">
        <v>9222</v>
      </c>
      <c r="AM43" s="16" t="s">
        <v>9221</v>
      </c>
      <c r="AN43" s="16" t="s">
        <v>9223</v>
      </c>
    </row>
    <row r="44" spans="1:40" x14ac:dyDescent="0.25">
      <c r="A44" s="4" t="s">
        <v>9817</v>
      </c>
      <c r="B44" s="4"/>
      <c r="C44" s="4" t="s">
        <v>39</v>
      </c>
      <c r="D44" s="4" t="s">
        <v>9818</v>
      </c>
      <c r="E44" s="4" t="s">
        <v>9819</v>
      </c>
      <c r="F44" s="10">
        <v>45797</v>
      </c>
      <c r="G44" s="11">
        <v>0.48402777777777778</v>
      </c>
      <c r="H44" s="4" t="s">
        <v>4659</v>
      </c>
      <c r="I44" s="4" t="s">
        <v>7216</v>
      </c>
      <c r="J44" s="4" t="s">
        <v>7217</v>
      </c>
      <c r="K44" s="4" t="s">
        <v>2971</v>
      </c>
      <c r="L44" s="4" t="s">
        <v>9820</v>
      </c>
      <c r="M44" s="4" t="s">
        <v>28</v>
      </c>
      <c r="N44" s="4" t="s">
        <v>478</v>
      </c>
      <c r="O44" s="4" t="s">
        <v>191</v>
      </c>
      <c r="P44" s="4" t="s">
        <v>60</v>
      </c>
      <c r="Q44" s="4">
        <v>0</v>
      </c>
      <c r="R44" s="4" t="b">
        <v>0</v>
      </c>
      <c r="S44" s="4" t="s">
        <v>184</v>
      </c>
      <c r="T44" s="4" t="s">
        <v>6557</v>
      </c>
      <c r="U44" s="4" t="s">
        <v>71</v>
      </c>
      <c r="V44" s="4" t="s">
        <v>405</v>
      </c>
      <c r="W44" s="4" t="s">
        <v>4458</v>
      </c>
      <c r="X44" s="4" t="s">
        <v>785</v>
      </c>
      <c r="Y44" s="4"/>
      <c r="Z44" s="12" t="s">
        <v>60</v>
      </c>
      <c r="AA44" s="13" t="s">
        <v>9655</v>
      </c>
      <c r="AB44" s="13" t="s">
        <v>9138</v>
      </c>
      <c r="AC44" s="14" t="s">
        <v>9166</v>
      </c>
      <c r="AD44" s="14" t="s">
        <v>28</v>
      </c>
      <c r="AE44" s="14" t="s">
        <v>478</v>
      </c>
      <c r="AF44" s="14" t="s">
        <v>405</v>
      </c>
      <c r="AG44" s="14" t="s">
        <v>785</v>
      </c>
      <c r="AH44" s="15" t="s">
        <v>9220</v>
      </c>
      <c r="AI44" s="15" t="s">
        <v>9142</v>
      </c>
      <c r="AJ44" s="15" t="s">
        <v>9143</v>
      </c>
      <c r="AK44" s="15" t="s">
        <v>9221</v>
      </c>
      <c r="AL44" s="15" t="s">
        <v>9228</v>
      </c>
      <c r="AM44" s="16" t="s">
        <v>9221</v>
      </c>
      <c r="AN44" s="16" t="s">
        <v>9229</v>
      </c>
    </row>
    <row r="45" spans="1:40" x14ac:dyDescent="0.25">
      <c r="A45" s="4" t="s">
        <v>9821</v>
      </c>
      <c r="B45" s="4"/>
      <c r="C45" s="4" t="s">
        <v>39</v>
      </c>
      <c r="D45" s="4" t="s">
        <v>7881</v>
      </c>
      <c r="E45" s="4" t="s">
        <v>7882</v>
      </c>
      <c r="F45" s="10">
        <v>45796</v>
      </c>
      <c r="G45" s="11">
        <v>0.70833333333333337</v>
      </c>
      <c r="H45" s="4" t="s">
        <v>4659</v>
      </c>
      <c r="I45" s="4" t="s">
        <v>7873</v>
      </c>
      <c r="J45" s="4" t="s">
        <v>7874</v>
      </c>
      <c r="K45" s="4" t="s">
        <v>9822</v>
      </c>
      <c r="L45" s="4" t="s">
        <v>9823</v>
      </c>
      <c r="M45" s="4" t="s">
        <v>46</v>
      </c>
      <c r="N45" s="4"/>
      <c r="O45" s="4" t="s">
        <v>47</v>
      </c>
      <c r="P45" s="4" t="s">
        <v>60</v>
      </c>
      <c r="Q45" s="4">
        <v>0</v>
      </c>
      <c r="R45" s="4" t="b">
        <v>0</v>
      </c>
      <c r="S45" s="4" t="s">
        <v>61</v>
      </c>
      <c r="T45" s="4" t="s">
        <v>115</v>
      </c>
      <c r="U45" s="4" t="s">
        <v>148</v>
      </c>
      <c r="V45" s="4" t="s">
        <v>52</v>
      </c>
      <c r="W45" s="4" t="s">
        <v>53</v>
      </c>
      <c r="X45" s="4" t="s">
        <v>54</v>
      </c>
      <c r="Y45" s="4"/>
      <c r="Z45" s="12">
        <v>0</v>
      </c>
      <c r="AA45" s="13" t="s">
        <v>9655</v>
      </c>
      <c r="AB45" s="13" t="s">
        <v>9138</v>
      </c>
      <c r="AC45" s="14" t="s">
        <v>9148</v>
      </c>
      <c r="AD45" s="14" t="s">
        <v>9140</v>
      </c>
      <c r="AE45" s="14" t="s">
        <v>9140</v>
      </c>
      <c r="AF45" s="14" t="s">
        <v>52</v>
      </c>
      <c r="AG45" s="14" t="s">
        <v>54</v>
      </c>
      <c r="AH45" s="15" t="s">
        <v>9220</v>
      </c>
      <c r="AI45" s="15" t="s">
        <v>9142</v>
      </c>
      <c r="AJ45" s="15" t="s">
        <v>9143</v>
      </c>
      <c r="AK45" s="15" t="s">
        <v>9221</v>
      </c>
      <c r="AL45" s="15" t="s">
        <v>9228</v>
      </c>
      <c r="AM45" s="16" t="s">
        <v>9221</v>
      </c>
      <c r="AN45" s="16" t="s">
        <v>9229</v>
      </c>
    </row>
    <row r="46" spans="1:40" x14ac:dyDescent="0.25">
      <c r="A46" s="4" t="s">
        <v>9824</v>
      </c>
      <c r="B46" s="4"/>
      <c r="C46" s="4" t="s">
        <v>39</v>
      </c>
      <c r="D46" s="4" t="s">
        <v>9825</v>
      </c>
      <c r="E46" s="4" t="s">
        <v>9826</v>
      </c>
      <c r="F46" s="10">
        <v>45796</v>
      </c>
      <c r="G46" s="11">
        <v>0.58333333333333337</v>
      </c>
      <c r="H46" s="4" t="s">
        <v>4516</v>
      </c>
      <c r="I46" s="4" t="s">
        <v>7915</v>
      </c>
      <c r="J46" s="4" t="s">
        <v>7916</v>
      </c>
      <c r="K46" s="4" t="s">
        <v>9827</v>
      </c>
      <c r="L46" s="4" t="s">
        <v>9828</v>
      </c>
      <c r="M46" s="4" t="s">
        <v>46</v>
      </c>
      <c r="N46" s="4"/>
      <c r="O46" s="4" t="s">
        <v>47</v>
      </c>
      <c r="P46" s="4" t="s">
        <v>48</v>
      </c>
      <c r="Q46" s="4">
        <v>0</v>
      </c>
      <c r="R46" s="4" t="b">
        <v>0</v>
      </c>
      <c r="S46" s="4" t="s">
        <v>49</v>
      </c>
      <c r="T46" s="4" t="s">
        <v>50</v>
      </c>
      <c r="U46" s="4" t="s">
        <v>165</v>
      </c>
      <c r="V46" s="4" t="s">
        <v>63</v>
      </c>
      <c r="W46" s="4" t="s">
        <v>108</v>
      </c>
      <c r="X46" s="4" t="s">
        <v>54</v>
      </c>
      <c r="Y46" s="4" t="s">
        <v>302</v>
      </c>
      <c r="Z46" s="12">
        <v>0</v>
      </c>
      <c r="AA46" s="13" t="s">
        <v>9655</v>
      </c>
      <c r="AB46" s="13" t="s">
        <v>9138</v>
      </c>
      <c r="AC46" s="14" t="s">
        <v>9139</v>
      </c>
      <c r="AD46" s="14" t="s">
        <v>9140</v>
      </c>
      <c r="AE46" s="14" t="s">
        <v>9140</v>
      </c>
      <c r="AF46" s="14" t="s">
        <v>63</v>
      </c>
      <c r="AG46" s="14" t="s">
        <v>54</v>
      </c>
      <c r="AH46" s="15" t="s">
        <v>9220</v>
      </c>
      <c r="AI46" s="15" t="s">
        <v>9188</v>
      </c>
      <c r="AJ46" s="15" t="s">
        <v>9143</v>
      </c>
      <c r="AK46" s="15" t="s">
        <v>9221</v>
      </c>
      <c r="AL46" s="15" t="s">
        <v>9230</v>
      </c>
      <c r="AM46" s="16" t="s">
        <v>9221</v>
      </c>
      <c r="AN46" s="16" t="s">
        <v>9231</v>
      </c>
    </row>
    <row r="47" spans="1:40" x14ac:dyDescent="0.25">
      <c r="A47" s="4" t="s">
        <v>9829</v>
      </c>
      <c r="B47" s="4"/>
      <c r="C47" s="4" t="s">
        <v>39</v>
      </c>
      <c r="D47" s="4" t="s">
        <v>9830</v>
      </c>
      <c r="E47" s="4" t="s">
        <v>9831</v>
      </c>
      <c r="F47" s="10">
        <v>45795</v>
      </c>
      <c r="G47" s="11">
        <v>0.65972222222222221</v>
      </c>
      <c r="H47" s="4" t="s">
        <v>4910</v>
      </c>
      <c r="I47" s="4" t="s">
        <v>5555</v>
      </c>
      <c r="J47" s="4" t="s">
        <v>3170</v>
      </c>
      <c r="K47" s="4" t="s">
        <v>9832</v>
      </c>
      <c r="L47" s="4" t="s">
        <v>9833</v>
      </c>
      <c r="M47" s="4" t="s">
        <v>46</v>
      </c>
      <c r="N47" s="4"/>
      <c r="O47" s="4" t="s">
        <v>47</v>
      </c>
      <c r="P47" s="4" t="s">
        <v>48</v>
      </c>
      <c r="Q47" s="4">
        <v>0</v>
      </c>
      <c r="R47" s="4" t="b">
        <v>0</v>
      </c>
      <c r="S47" s="4" t="s">
        <v>61</v>
      </c>
      <c r="T47" s="4" t="s">
        <v>50</v>
      </c>
      <c r="U47" s="4" t="s">
        <v>148</v>
      </c>
      <c r="V47" s="4" t="s">
        <v>63</v>
      </c>
      <c r="W47" s="4" t="s">
        <v>64</v>
      </c>
      <c r="X47" s="4" t="s">
        <v>54</v>
      </c>
      <c r="Y47" s="4"/>
      <c r="Z47" s="12">
        <v>0</v>
      </c>
      <c r="AA47" s="13" t="s">
        <v>9655</v>
      </c>
      <c r="AB47" s="13" t="s">
        <v>9138</v>
      </c>
      <c r="AC47" s="14" t="s">
        <v>9148</v>
      </c>
      <c r="AD47" s="14" t="s">
        <v>9140</v>
      </c>
      <c r="AE47" s="14" t="s">
        <v>9140</v>
      </c>
      <c r="AF47" s="14" t="s">
        <v>63</v>
      </c>
      <c r="AG47" s="14" t="s">
        <v>54</v>
      </c>
      <c r="AH47" s="15" t="s">
        <v>9220</v>
      </c>
      <c r="AI47" s="15" t="s">
        <v>9191</v>
      </c>
      <c r="AJ47" s="15" t="s">
        <v>9143</v>
      </c>
      <c r="AK47" s="15" t="s">
        <v>9221</v>
      </c>
      <c r="AL47" s="15" t="s">
        <v>9234</v>
      </c>
      <c r="AM47" s="16" t="s">
        <v>9221</v>
      </c>
      <c r="AN47" s="16" t="s">
        <v>9235</v>
      </c>
    </row>
    <row r="48" spans="1:40" x14ac:dyDescent="0.25">
      <c r="A48" s="4" t="s">
        <v>9834</v>
      </c>
      <c r="B48" s="4"/>
      <c r="C48" s="4" t="s">
        <v>39</v>
      </c>
      <c r="D48" s="4" t="s">
        <v>9835</v>
      </c>
      <c r="E48" s="4" t="s">
        <v>9836</v>
      </c>
      <c r="F48" s="10">
        <v>45795</v>
      </c>
      <c r="G48" s="11">
        <v>0.52013888888888893</v>
      </c>
      <c r="H48" s="4" t="s">
        <v>5666</v>
      </c>
      <c r="I48" s="4" t="s">
        <v>7264</v>
      </c>
      <c r="J48" s="4" t="s">
        <v>7265</v>
      </c>
      <c r="K48" s="4" t="s">
        <v>9837</v>
      </c>
      <c r="L48" s="4" t="s">
        <v>9838</v>
      </c>
      <c r="M48" s="4" t="s">
        <v>28</v>
      </c>
      <c r="N48" s="4" t="s">
        <v>478</v>
      </c>
      <c r="O48" s="4" t="s">
        <v>344</v>
      </c>
      <c r="P48" s="4" t="s">
        <v>60</v>
      </c>
      <c r="Q48" s="4">
        <v>9</v>
      </c>
      <c r="R48" s="4" t="b">
        <v>0</v>
      </c>
      <c r="S48" s="4" t="s">
        <v>184</v>
      </c>
      <c r="T48" s="4" t="s">
        <v>115</v>
      </c>
      <c r="U48" s="4" t="s">
        <v>345</v>
      </c>
      <c r="V48" s="4" t="s">
        <v>123</v>
      </c>
      <c r="W48" s="4" t="s">
        <v>124</v>
      </c>
      <c r="X48" s="4" t="s">
        <v>54</v>
      </c>
      <c r="Y48" s="4"/>
      <c r="Z48" s="12" t="s">
        <v>60</v>
      </c>
      <c r="AA48" s="13" t="s">
        <v>9655</v>
      </c>
      <c r="AB48" s="13" t="s">
        <v>9138</v>
      </c>
      <c r="AC48" s="14" t="s">
        <v>9166</v>
      </c>
      <c r="AD48" s="14" t="s">
        <v>28</v>
      </c>
      <c r="AE48" s="14" t="s">
        <v>478</v>
      </c>
      <c r="AF48" s="14" t="s">
        <v>123</v>
      </c>
      <c r="AG48" s="14" t="s">
        <v>54</v>
      </c>
      <c r="AH48" s="15" t="s">
        <v>9220</v>
      </c>
      <c r="AI48" s="15" t="s">
        <v>9199</v>
      </c>
      <c r="AJ48" s="15" t="s">
        <v>9143</v>
      </c>
      <c r="AK48" s="15" t="s">
        <v>9221</v>
      </c>
      <c r="AL48" s="15" t="s">
        <v>9199</v>
      </c>
      <c r="AM48" s="16" t="s">
        <v>9221</v>
      </c>
      <c r="AN48" s="16" t="s">
        <v>9238</v>
      </c>
    </row>
    <row r="49" spans="1:40" x14ac:dyDescent="0.25">
      <c r="A49" s="4" t="s">
        <v>9839</v>
      </c>
      <c r="B49" s="4"/>
      <c r="C49" s="4" t="s">
        <v>39</v>
      </c>
      <c r="D49" s="4" t="s">
        <v>3413</v>
      </c>
      <c r="E49" s="4" t="s">
        <v>3414</v>
      </c>
      <c r="F49" s="10">
        <v>45794</v>
      </c>
      <c r="G49" s="11">
        <v>0.54166666666666663</v>
      </c>
      <c r="H49" s="4" t="s">
        <v>2095</v>
      </c>
      <c r="I49" s="4" t="s">
        <v>3415</v>
      </c>
      <c r="J49" s="4" t="s">
        <v>3416</v>
      </c>
      <c r="K49" s="4" t="s">
        <v>9840</v>
      </c>
      <c r="L49" s="4" t="s">
        <v>9841</v>
      </c>
      <c r="M49" s="4" t="s">
        <v>46</v>
      </c>
      <c r="N49" s="4"/>
      <c r="O49" s="4" t="s">
        <v>47</v>
      </c>
      <c r="P49" s="4" t="s">
        <v>48</v>
      </c>
      <c r="Q49" s="4">
        <v>0</v>
      </c>
      <c r="R49" s="4" t="b">
        <v>0</v>
      </c>
      <c r="S49" s="4" t="s">
        <v>61</v>
      </c>
      <c r="T49" s="4" t="s">
        <v>50</v>
      </c>
      <c r="U49" s="4" t="s">
        <v>107</v>
      </c>
      <c r="V49" s="4" t="s">
        <v>72</v>
      </c>
      <c r="W49" s="4" t="s">
        <v>73</v>
      </c>
      <c r="X49" s="4" t="s">
        <v>54</v>
      </c>
      <c r="Y49" s="4"/>
      <c r="Z49" s="12">
        <v>0</v>
      </c>
      <c r="AA49" s="13" t="s">
        <v>9655</v>
      </c>
      <c r="AB49" s="13" t="s">
        <v>9138</v>
      </c>
      <c r="AC49" s="14" t="s">
        <v>9148</v>
      </c>
      <c r="AD49" s="14" t="s">
        <v>9140</v>
      </c>
      <c r="AE49" s="14" t="s">
        <v>9140</v>
      </c>
      <c r="AF49" s="14" t="s">
        <v>72</v>
      </c>
      <c r="AG49" s="14" t="s">
        <v>54</v>
      </c>
      <c r="AH49" s="15" t="s">
        <v>9194</v>
      </c>
      <c r="AI49" s="15" t="s">
        <v>9188</v>
      </c>
      <c r="AJ49" s="15" t="s">
        <v>9143</v>
      </c>
      <c r="AK49" s="15" t="s">
        <v>9194</v>
      </c>
      <c r="AL49" s="15" t="s">
        <v>9211</v>
      </c>
      <c r="AM49" s="16" t="s">
        <v>9194</v>
      </c>
      <c r="AN49" s="16" t="s">
        <v>9212</v>
      </c>
    </row>
    <row r="50" spans="1:40" x14ac:dyDescent="0.25">
      <c r="A50" s="4" t="s">
        <v>9842</v>
      </c>
      <c r="B50" s="4"/>
      <c r="C50" s="4" t="s">
        <v>39</v>
      </c>
      <c r="D50" s="4" t="s">
        <v>9843</v>
      </c>
      <c r="E50" s="4" t="s">
        <v>9844</v>
      </c>
      <c r="F50" s="10">
        <v>45794</v>
      </c>
      <c r="G50" s="11">
        <v>0.66666666666666663</v>
      </c>
      <c r="H50" s="4" t="s">
        <v>4516</v>
      </c>
      <c r="I50" s="4" t="s">
        <v>4869</v>
      </c>
      <c r="J50" s="4" t="s">
        <v>4870</v>
      </c>
      <c r="K50" s="4" t="s">
        <v>9845</v>
      </c>
      <c r="L50" s="4" t="s">
        <v>9846</v>
      </c>
      <c r="M50" s="4" t="s">
        <v>46</v>
      </c>
      <c r="N50" s="4"/>
      <c r="O50" s="4" t="s">
        <v>47</v>
      </c>
      <c r="P50" s="4" t="s">
        <v>48</v>
      </c>
      <c r="Q50" s="4">
        <v>0</v>
      </c>
      <c r="R50" s="4" t="b">
        <v>0</v>
      </c>
      <c r="S50" s="4" t="s">
        <v>61</v>
      </c>
      <c r="T50" s="4" t="s">
        <v>50</v>
      </c>
      <c r="U50" s="4" t="s">
        <v>71</v>
      </c>
      <c r="V50" s="4" t="s">
        <v>123</v>
      </c>
      <c r="W50" s="4" t="s">
        <v>149</v>
      </c>
      <c r="X50" s="4" t="s">
        <v>54</v>
      </c>
      <c r="Y50" s="4"/>
      <c r="Z50" s="12">
        <v>0</v>
      </c>
      <c r="AA50" s="13" t="s">
        <v>9655</v>
      </c>
      <c r="AB50" s="13" t="s">
        <v>9138</v>
      </c>
      <c r="AC50" s="14" t="s">
        <v>9148</v>
      </c>
      <c r="AD50" s="14" t="s">
        <v>9140</v>
      </c>
      <c r="AE50" s="14" t="s">
        <v>9140</v>
      </c>
      <c r="AF50" s="14" t="s">
        <v>123</v>
      </c>
      <c r="AG50" s="14" t="s">
        <v>54</v>
      </c>
      <c r="AH50" s="15" t="s">
        <v>9220</v>
      </c>
      <c r="AI50" s="15" t="s">
        <v>9188</v>
      </c>
      <c r="AJ50" s="15" t="s">
        <v>9143</v>
      </c>
      <c r="AK50" s="15" t="s">
        <v>9221</v>
      </c>
      <c r="AL50" s="15" t="s">
        <v>9232</v>
      </c>
      <c r="AM50" s="16" t="s">
        <v>9221</v>
      </c>
      <c r="AN50" s="16" t="s">
        <v>9233</v>
      </c>
    </row>
    <row r="51" spans="1:40" x14ac:dyDescent="0.25">
      <c r="A51" s="4" t="s">
        <v>9847</v>
      </c>
      <c r="B51" s="4"/>
      <c r="C51" s="4" t="s">
        <v>39</v>
      </c>
      <c r="D51" s="4" t="s">
        <v>4525</v>
      </c>
      <c r="E51" s="4" t="s">
        <v>4526</v>
      </c>
      <c r="F51" s="10">
        <v>45793</v>
      </c>
      <c r="G51" s="11">
        <v>0.6430555555555556</v>
      </c>
      <c r="H51" s="4" t="s">
        <v>4516</v>
      </c>
      <c r="I51" s="4" t="s">
        <v>4517</v>
      </c>
      <c r="J51" s="4" t="s">
        <v>2272</v>
      </c>
      <c r="K51" s="4" t="s">
        <v>1775</v>
      </c>
      <c r="L51" s="4" t="s">
        <v>9848</v>
      </c>
      <c r="M51" s="4" t="s">
        <v>46</v>
      </c>
      <c r="N51" s="4"/>
      <c r="O51" s="4" t="s">
        <v>47</v>
      </c>
      <c r="P51" s="4" t="s">
        <v>48</v>
      </c>
      <c r="Q51" s="4">
        <v>0</v>
      </c>
      <c r="R51" s="4" t="b">
        <v>0</v>
      </c>
      <c r="S51" s="4" t="s">
        <v>49</v>
      </c>
      <c r="T51" s="4" t="s">
        <v>50</v>
      </c>
      <c r="U51" s="4" t="s">
        <v>71</v>
      </c>
      <c r="V51" s="4" t="s">
        <v>63</v>
      </c>
      <c r="W51" s="4" t="s">
        <v>108</v>
      </c>
      <c r="X51" s="4" t="s">
        <v>54</v>
      </c>
      <c r="Y51" s="4"/>
      <c r="Z51" s="12">
        <v>0</v>
      </c>
      <c r="AA51" s="13" t="s">
        <v>9655</v>
      </c>
      <c r="AB51" s="13" t="s">
        <v>9138</v>
      </c>
      <c r="AC51" s="14" t="s">
        <v>9139</v>
      </c>
      <c r="AD51" s="14" t="s">
        <v>9140</v>
      </c>
      <c r="AE51" s="14" t="s">
        <v>9140</v>
      </c>
      <c r="AF51" s="14" t="s">
        <v>63</v>
      </c>
      <c r="AG51" s="14" t="s">
        <v>54</v>
      </c>
      <c r="AH51" s="15" t="s">
        <v>9220</v>
      </c>
      <c r="AI51" s="15" t="s">
        <v>9188</v>
      </c>
      <c r="AJ51" s="15" t="s">
        <v>9143</v>
      </c>
      <c r="AK51" s="15" t="s">
        <v>9221</v>
      </c>
      <c r="AL51" s="15" t="s">
        <v>9230</v>
      </c>
      <c r="AM51" s="16" t="s">
        <v>9221</v>
      </c>
      <c r="AN51" s="16" t="s">
        <v>9231</v>
      </c>
    </row>
    <row r="52" spans="1:40" x14ac:dyDescent="0.25">
      <c r="A52" s="4" t="s">
        <v>9849</v>
      </c>
      <c r="B52" s="4"/>
      <c r="C52" s="4" t="s">
        <v>39</v>
      </c>
      <c r="D52" s="4" t="s">
        <v>9850</v>
      </c>
      <c r="E52" s="4" t="s">
        <v>9851</v>
      </c>
      <c r="F52" s="10">
        <v>45793</v>
      </c>
      <c r="G52" s="11">
        <v>0.45833333333333331</v>
      </c>
      <c r="H52" s="4" t="s">
        <v>1939</v>
      </c>
      <c r="I52" s="4" t="s">
        <v>2575</v>
      </c>
      <c r="J52" s="4" t="s">
        <v>2576</v>
      </c>
      <c r="K52" s="4" t="s">
        <v>9852</v>
      </c>
      <c r="L52" s="4" t="s">
        <v>9853</v>
      </c>
      <c r="M52" s="4" t="s">
        <v>28</v>
      </c>
      <c r="N52" s="4" t="s">
        <v>478</v>
      </c>
      <c r="O52" s="4" t="s">
        <v>863</v>
      </c>
      <c r="P52" s="4" t="s">
        <v>60</v>
      </c>
      <c r="Q52" s="4">
        <v>6</v>
      </c>
      <c r="R52" s="4" t="b">
        <v>0</v>
      </c>
      <c r="S52" s="4" t="s">
        <v>184</v>
      </c>
      <c r="T52" s="4" t="s">
        <v>115</v>
      </c>
      <c r="U52" s="4" t="s">
        <v>148</v>
      </c>
      <c r="V52" s="4" t="s">
        <v>52</v>
      </c>
      <c r="W52" s="4" t="s">
        <v>53</v>
      </c>
      <c r="X52" s="4" t="s">
        <v>54</v>
      </c>
      <c r="Y52" s="4"/>
      <c r="Z52" s="12" t="s">
        <v>60</v>
      </c>
      <c r="AA52" s="13" t="s">
        <v>9655</v>
      </c>
      <c r="AB52" s="13" t="s">
        <v>9138</v>
      </c>
      <c r="AC52" s="14" t="s">
        <v>9166</v>
      </c>
      <c r="AD52" s="14" t="s">
        <v>28</v>
      </c>
      <c r="AE52" s="14" t="s">
        <v>478</v>
      </c>
      <c r="AF52" s="14" t="s">
        <v>52</v>
      </c>
      <c r="AG52" s="14" t="s">
        <v>54</v>
      </c>
      <c r="AH52" s="15" t="s">
        <v>9194</v>
      </c>
      <c r="AI52" s="15" t="s">
        <v>9175</v>
      </c>
      <c r="AJ52" s="15" t="s">
        <v>9143</v>
      </c>
      <c r="AK52" s="15" t="s">
        <v>9194</v>
      </c>
      <c r="AL52" s="15" t="s">
        <v>9209</v>
      </c>
      <c r="AM52" s="16" t="s">
        <v>9194</v>
      </c>
      <c r="AN52" s="16" t="s">
        <v>9210</v>
      </c>
    </row>
    <row r="53" spans="1:40" x14ac:dyDescent="0.25">
      <c r="A53" s="4" t="s">
        <v>9854</v>
      </c>
      <c r="B53" s="4"/>
      <c r="C53" s="4" t="s">
        <v>39</v>
      </c>
      <c r="D53" s="4" t="s">
        <v>9855</v>
      </c>
      <c r="E53" s="4" t="s">
        <v>9856</v>
      </c>
      <c r="F53" s="10">
        <v>45793</v>
      </c>
      <c r="G53" s="11">
        <v>0.38541666666666669</v>
      </c>
      <c r="H53" s="4" t="s">
        <v>463</v>
      </c>
      <c r="I53" s="4">
        <v>2900</v>
      </c>
      <c r="J53" s="4" t="s">
        <v>1128</v>
      </c>
      <c r="K53" s="4" t="s">
        <v>9857</v>
      </c>
      <c r="L53" s="4" t="s">
        <v>9858</v>
      </c>
      <c r="M53" s="4" t="s">
        <v>46</v>
      </c>
      <c r="N53" s="4"/>
      <c r="O53" s="4" t="s">
        <v>47</v>
      </c>
      <c r="P53" s="4" t="s">
        <v>48</v>
      </c>
      <c r="Q53" s="4">
        <v>0</v>
      </c>
      <c r="R53" s="4" t="b">
        <v>0</v>
      </c>
      <c r="S53" s="4" t="s">
        <v>49</v>
      </c>
      <c r="T53" s="4" t="s">
        <v>115</v>
      </c>
      <c r="U53" s="4" t="s">
        <v>600</v>
      </c>
      <c r="V53" s="4" t="s">
        <v>72</v>
      </c>
      <c r="W53" s="4" t="s">
        <v>73</v>
      </c>
      <c r="X53" s="4" t="s">
        <v>54</v>
      </c>
      <c r="Y53" s="4"/>
      <c r="Z53" s="12">
        <v>0</v>
      </c>
      <c r="AA53" s="13" t="s">
        <v>9655</v>
      </c>
      <c r="AB53" s="13" t="s">
        <v>9138</v>
      </c>
      <c r="AC53" s="14" t="s">
        <v>9139</v>
      </c>
      <c r="AD53" s="14" t="s">
        <v>9140</v>
      </c>
      <c r="AE53" s="14" t="s">
        <v>9140</v>
      </c>
      <c r="AF53" s="14" t="s">
        <v>72</v>
      </c>
      <c r="AG53" s="14" t="s">
        <v>54</v>
      </c>
      <c r="AH53" s="15" t="s">
        <v>9141</v>
      </c>
      <c r="AI53" s="15" t="s">
        <v>9175</v>
      </c>
      <c r="AJ53" s="15" t="s">
        <v>9183</v>
      </c>
      <c r="AK53" s="15" t="s">
        <v>9184</v>
      </c>
      <c r="AL53" s="15" t="s">
        <v>9185</v>
      </c>
      <c r="AM53" s="16" t="s">
        <v>9186</v>
      </c>
      <c r="AN53" s="16" t="s">
        <v>9186</v>
      </c>
    </row>
    <row r="54" spans="1:40" x14ac:dyDescent="0.25">
      <c r="A54" s="4" t="s">
        <v>9859</v>
      </c>
      <c r="B54" s="4"/>
      <c r="C54" s="4" t="s">
        <v>39</v>
      </c>
      <c r="D54" s="4" t="s">
        <v>9860</v>
      </c>
      <c r="E54" s="4" t="s">
        <v>9861</v>
      </c>
      <c r="F54" s="10">
        <v>45792</v>
      </c>
      <c r="G54" s="11">
        <v>0.57986111111111116</v>
      </c>
      <c r="H54" s="4" t="s">
        <v>1654</v>
      </c>
      <c r="I54" s="4">
        <v>9086</v>
      </c>
      <c r="J54" s="4" t="s">
        <v>1655</v>
      </c>
      <c r="K54" s="4" t="s">
        <v>1291</v>
      </c>
      <c r="L54" s="4" t="s">
        <v>9862</v>
      </c>
      <c r="M54" s="4" t="s">
        <v>46</v>
      </c>
      <c r="N54" s="4"/>
      <c r="O54" s="4" t="s">
        <v>47</v>
      </c>
      <c r="P54" s="4" t="s">
        <v>48</v>
      </c>
      <c r="Q54" s="4">
        <v>0</v>
      </c>
      <c r="R54" s="4" t="b">
        <v>0</v>
      </c>
      <c r="S54" s="4" t="s">
        <v>49</v>
      </c>
      <c r="T54" s="4" t="s">
        <v>70</v>
      </c>
      <c r="U54" s="4" t="s">
        <v>71</v>
      </c>
      <c r="V54" s="4" t="s">
        <v>63</v>
      </c>
      <c r="W54" s="4" t="s">
        <v>108</v>
      </c>
      <c r="X54" s="4" t="s">
        <v>54</v>
      </c>
      <c r="Y54" s="4"/>
      <c r="Z54" s="12">
        <v>0</v>
      </c>
      <c r="AA54" s="13" t="s">
        <v>9655</v>
      </c>
      <c r="AB54" s="13" t="s">
        <v>9138</v>
      </c>
      <c r="AC54" s="14" t="s">
        <v>9139</v>
      </c>
      <c r="AD54" s="14" t="s">
        <v>9140</v>
      </c>
      <c r="AE54" s="14" t="s">
        <v>9140</v>
      </c>
      <c r="AF54" s="14" t="s">
        <v>63</v>
      </c>
      <c r="AG54" s="14" t="s">
        <v>54</v>
      </c>
      <c r="AH54" s="15" t="s">
        <v>9141</v>
      </c>
      <c r="AI54" s="15" t="s">
        <v>9191</v>
      </c>
      <c r="AJ54" s="15" t="s">
        <v>9143</v>
      </c>
      <c r="AK54" s="15" t="s">
        <v>9141</v>
      </c>
      <c r="AL54" s="15" t="s">
        <v>9191</v>
      </c>
      <c r="AM54" s="16" t="s">
        <v>9141</v>
      </c>
      <c r="AN54" s="16" t="s">
        <v>9192</v>
      </c>
    </row>
    <row r="55" spans="1:40" x14ac:dyDescent="0.25">
      <c r="A55" s="4" t="s">
        <v>9863</v>
      </c>
      <c r="B55" s="4"/>
      <c r="C55" s="4" t="s">
        <v>39</v>
      </c>
      <c r="D55" s="4" t="s">
        <v>2813</v>
      </c>
      <c r="E55" s="4" t="s">
        <v>2814</v>
      </c>
      <c r="F55" s="10">
        <v>45792</v>
      </c>
      <c r="G55" s="11">
        <v>0.39930555555555558</v>
      </c>
      <c r="H55" s="4" t="s">
        <v>2095</v>
      </c>
      <c r="I55" s="4" t="s">
        <v>2777</v>
      </c>
      <c r="J55" s="4" t="s">
        <v>1406</v>
      </c>
      <c r="K55" s="4" t="s">
        <v>9864</v>
      </c>
      <c r="L55" s="4" t="s">
        <v>9865</v>
      </c>
      <c r="M55" s="4" t="s">
        <v>46</v>
      </c>
      <c r="N55" s="4"/>
      <c r="O55" s="4" t="s">
        <v>47</v>
      </c>
      <c r="P55" s="4" t="s">
        <v>48</v>
      </c>
      <c r="Q55" s="4">
        <v>0</v>
      </c>
      <c r="R55" s="4" t="b">
        <v>0</v>
      </c>
      <c r="S55" s="4" t="s">
        <v>61</v>
      </c>
      <c r="T55" s="4" t="s">
        <v>50</v>
      </c>
      <c r="U55" s="4" t="s">
        <v>116</v>
      </c>
      <c r="V55" s="4" t="s">
        <v>52</v>
      </c>
      <c r="W55" s="4" t="s">
        <v>53</v>
      </c>
      <c r="X55" s="4" t="s">
        <v>54</v>
      </c>
      <c r="Y55" s="4"/>
      <c r="Z55" s="12">
        <v>0</v>
      </c>
      <c r="AA55" s="13" t="s">
        <v>9655</v>
      </c>
      <c r="AB55" s="13" t="s">
        <v>9138</v>
      </c>
      <c r="AC55" s="14" t="s">
        <v>9148</v>
      </c>
      <c r="AD55" s="14" t="s">
        <v>9140</v>
      </c>
      <c r="AE55" s="14" t="s">
        <v>9140</v>
      </c>
      <c r="AF55" s="14" t="s">
        <v>52</v>
      </c>
      <c r="AG55" s="14" t="s">
        <v>54</v>
      </c>
      <c r="AH55" s="15" t="s">
        <v>9194</v>
      </c>
      <c r="AI55" s="15" t="s">
        <v>9188</v>
      </c>
      <c r="AJ55" s="15" t="s">
        <v>9143</v>
      </c>
      <c r="AK55" s="15" t="s">
        <v>9194</v>
      </c>
      <c r="AL55" s="15" t="s">
        <v>9211</v>
      </c>
      <c r="AM55" s="16" t="s">
        <v>9194</v>
      </c>
      <c r="AN55" s="16" t="s">
        <v>9212</v>
      </c>
    </row>
    <row r="56" spans="1:40" x14ac:dyDescent="0.25">
      <c r="A56" s="4" t="s">
        <v>9866</v>
      </c>
      <c r="B56" s="4"/>
      <c r="C56" s="4" t="s">
        <v>39</v>
      </c>
      <c r="D56" s="4" t="s">
        <v>9867</v>
      </c>
      <c r="E56" s="4" t="s">
        <v>9868</v>
      </c>
      <c r="F56" s="10">
        <v>45791</v>
      </c>
      <c r="G56" s="11">
        <v>0.41805555555555557</v>
      </c>
      <c r="H56" s="4" t="s">
        <v>2168</v>
      </c>
      <c r="I56" s="4" t="s">
        <v>2169</v>
      </c>
      <c r="J56" s="4" t="s">
        <v>2170</v>
      </c>
      <c r="K56" s="4" t="s">
        <v>1461</v>
      </c>
      <c r="L56" s="4" t="s">
        <v>9869</v>
      </c>
      <c r="M56" s="4" t="s">
        <v>46</v>
      </c>
      <c r="N56" s="4"/>
      <c r="O56" s="4" t="s">
        <v>47</v>
      </c>
      <c r="P56" s="4" t="s">
        <v>48</v>
      </c>
      <c r="Q56" s="4">
        <v>0</v>
      </c>
      <c r="R56" s="4" t="b">
        <v>0</v>
      </c>
      <c r="S56" s="4" t="s">
        <v>49</v>
      </c>
      <c r="T56" s="4" t="s">
        <v>70</v>
      </c>
      <c r="U56" s="4" t="s">
        <v>71</v>
      </c>
      <c r="V56" s="4" t="s">
        <v>63</v>
      </c>
      <c r="W56" s="4" t="s">
        <v>312</v>
      </c>
      <c r="X56" s="4" t="s">
        <v>54</v>
      </c>
      <c r="Y56" s="4"/>
      <c r="Z56" s="12">
        <v>0</v>
      </c>
      <c r="AA56" s="13" t="s">
        <v>9655</v>
      </c>
      <c r="AB56" s="13" t="s">
        <v>9138</v>
      </c>
      <c r="AC56" s="14" t="s">
        <v>9139</v>
      </c>
      <c r="AD56" s="14" t="s">
        <v>9140</v>
      </c>
      <c r="AE56" s="14" t="s">
        <v>9140</v>
      </c>
      <c r="AF56" s="14" t="s">
        <v>63</v>
      </c>
      <c r="AG56" s="14" t="s">
        <v>54</v>
      </c>
      <c r="AH56" s="15" t="s">
        <v>9194</v>
      </c>
      <c r="AI56" s="15" t="s">
        <v>9142</v>
      </c>
      <c r="AJ56" s="15" t="s">
        <v>9143</v>
      </c>
      <c r="AK56" s="15" t="s">
        <v>9194</v>
      </c>
      <c r="AL56" s="15" t="s">
        <v>9207</v>
      </c>
      <c r="AM56" s="16" t="s">
        <v>9194</v>
      </c>
      <c r="AN56" s="16" t="s">
        <v>9208</v>
      </c>
    </row>
    <row r="57" spans="1:40" x14ac:dyDescent="0.25">
      <c r="A57" s="4" t="s">
        <v>9870</v>
      </c>
      <c r="B57" s="4"/>
      <c r="C57" s="4" t="s">
        <v>39</v>
      </c>
      <c r="D57" s="4" t="s">
        <v>1283</v>
      </c>
      <c r="E57" s="4" t="s">
        <v>1284</v>
      </c>
      <c r="F57" s="10">
        <v>45791</v>
      </c>
      <c r="G57" s="11">
        <v>0.57638888888888884</v>
      </c>
      <c r="H57" s="4" t="s">
        <v>1155</v>
      </c>
      <c r="I57" s="4">
        <v>4044</v>
      </c>
      <c r="J57" s="4" t="s">
        <v>1285</v>
      </c>
      <c r="K57" s="4" t="s">
        <v>5426</v>
      </c>
      <c r="L57" s="4" t="s">
        <v>9871</v>
      </c>
      <c r="M57" s="4" t="s">
        <v>46</v>
      </c>
      <c r="N57" s="4"/>
      <c r="O57" s="4" t="s">
        <v>47</v>
      </c>
      <c r="P57" s="4" t="s">
        <v>48</v>
      </c>
      <c r="Q57" s="4">
        <v>0</v>
      </c>
      <c r="R57" s="4" t="b">
        <v>0</v>
      </c>
      <c r="S57" s="4" t="s">
        <v>61</v>
      </c>
      <c r="T57" s="4" t="s">
        <v>115</v>
      </c>
      <c r="U57" s="4" t="s">
        <v>140</v>
      </c>
      <c r="V57" s="4" t="s">
        <v>123</v>
      </c>
      <c r="W57" s="4" t="s">
        <v>124</v>
      </c>
      <c r="X57" s="4" t="s">
        <v>54</v>
      </c>
      <c r="Y57" s="4"/>
      <c r="Z57" s="12">
        <v>0</v>
      </c>
      <c r="AA57" s="13" t="s">
        <v>9655</v>
      </c>
      <c r="AB57" s="13" t="s">
        <v>9138</v>
      </c>
      <c r="AC57" s="14" t="s">
        <v>9148</v>
      </c>
      <c r="AD57" s="14" t="s">
        <v>9140</v>
      </c>
      <c r="AE57" s="14" t="s">
        <v>9140</v>
      </c>
      <c r="AF57" s="14" t="s">
        <v>123</v>
      </c>
      <c r="AG57" s="14" t="s">
        <v>54</v>
      </c>
      <c r="AH57" s="15" t="s">
        <v>9141</v>
      </c>
      <c r="AI57" s="15" t="s">
        <v>9187</v>
      </c>
      <c r="AJ57" s="15" t="s">
        <v>9143</v>
      </c>
      <c r="AK57" s="15" t="s">
        <v>9141</v>
      </c>
      <c r="AL57" s="15" t="s">
        <v>9144</v>
      </c>
      <c r="AM57" s="16" t="s">
        <v>9141</v>
      </c>
      <c r="AN57" s="16" t="s">
        <v>9145</v>
      </c>
    </row>
    <row r="58" spans="1:40" x14ac:dyDescent="0.25">
      <c r="A58" s="4" t="s">
        <v>9872</v>
      </c>
      <c r="B58" s="4"/>
      <c r="C58" s="4" t="s">
        <v>39</v>
      </c>
      <c r="D58" s="4" t="s">
        <v>1636</v>
      </c>
      <c r="E58" s="4" t="s">
        <v>1637</v>
      </c>
      <c r="F58" s="10">
        <v>45791</v>
      </c>
      <c r="G58" s="11">
        <v>0.64930555555555558</v>
      </c>
      <c r="H58" s="4" t="s">
        <v>1366</v>
      </c>
      <c r="I58" s="4">
        <v>6078</v>
      </c>
      <c r="J58" s="4" t="s">
        <v>1638</v>
      </c>
      <c r="K58" s="4" t="s">
        <v>9873</v>
      </c>
      <c r="L58" s="4" t="s">
        <v>9874</v>
      </c>
      <c r="M58" s="4" t="s">
        <v>46</v>
      </c>
      <c r="N58" s="4"/>
      <c r="O58" s="4" t="s">
        <v>47</v>
      </c>
      <c r="P58" s="4" t="s">
        <v>48</v>
      </c>
      <c r="Q58" s="4">
        <v>0</v>
      </c>
      <c r="R58" s="4" t="b">
        <v>0</v>
      </c>
      <c r="S58" s="4" t="s">
        <v>61</v>
      </c>
      <c r="T58" s="4" t="s">
        <v>70</v>
      </c>
      <c r="U58" s="4" t="s">
        <v>71</v>
      </c>
      <c r="V58" s="4" t="s">
        <v>72</v>
      </c>
      <c r="W58" s="4" t="s">
        <v>73</v>
      </c>
      <c r="X58" s="4" t="s">
        <v>54</v>
      </c>
      <c r="Y58" s="4"/>
      <c r="Z58" s="12">
        <v>0</v>
      </c>
      <c r="AA58" s="13" t="s">
        <v>9655</v>
      </c>
      <c r="AB58" s="13" t="s">
        <v>9138</v>
      </c>
      <c r="AC58" s="14" t="s">
        <v>9148</v>
      </c>
      <c r="AD58" s="14" t="s">
        <v>9140</v>
      </c>
      <c r="AE58" s="14" t="s">
        <v>9140</v>
      </c>
      <c r="AF58" s="14" t="s">
        <v>72</v>
      </c>
      <c r="AG58" s="14" t="s">
        <v>54</v>
      </c>
      <c r="AH58" s="15" t="s">
        <v>9141</v>
      </c>
      <c r="AI58" s="15" t="s">
        <v>9188</v>
      </c>
      <c r="AJ58" s="15" t="s">
        <v>9143</v>
      </c>
      <c r="AK58" s="15" t="s">
        <v>9141</v>
      </c>
      <c r="AL58" s="15" t="s">
        <v>9189</v>
      </c>
      <c r="AM58" s="16" t="s">
        <v>9141</v>
      </c>
      <c r="AN58" s="16" t="s">
        <v>9190</v>
      </c>
    </row>
    <row r="59" spans="1:40" x14ac:dyDescent="0.25">
      <c r="A59" s="4" t="s">
        <v>9875</v>
      </c>
      <c r="B59" s="4"/>
      <c r="C59" s="4" t="s">
        <v>39</v>
      </c>
      <c r="D59" s="4" t="s">
        <v>9876</v>
      </c>
      <c r="E59" s="4" t="s">
        <v>9877</v>
      </c>
      <c r="F59" s="10">
        <v>45791</v>
      </c>
      <c r="G59" s="11">
        <v>0.68819444444444444</v>
      </c>
      <c r="H59" s="4" t="s">
        <v>4910</v>
      </c>
      <c r="I59" s="4" t="s">
        <v>7611</v>
      </c>
      <c r="J59" s="4" t="s">
        <v>3335</v>
      </c>
      <c r="K59" s="4" t="s">
        <v>2312</v>
      </c>
      <c r="L59" s="4" t="s">
        <v>9878</v>
      </c>
      <c r="M59" s="4" t="s">
        <v>46</v>
      </c>
      <c r="N59" s="4"/>
      <c r="O59" s="4" t="s">
        <v>47</v>
      </c>
      <c r="P59" s="4" t="s">
        <v>48</v>
      </c>
      <c r="Q59" s="4">
        <v>0</v>
      </c>
      <c r="R59" s="4" t="b">
        <v>0</v>
      </c>
      <c r="S59" s="4" t="s">
        <v>61</v>
      </c>
      <c r="T59" s="4" t="s">
        <v>50</v>
      </c>
      <c r="U59" s="4" t="s">
        <v>90</v>
      </c>
      <c r="V59" s="4" t="s">
        <v>63</v>
      </c>
      <c r="W59" s="4" t="s">
        <v>108</v>
      </c>
      <c r="X59" s="4" t="s">
        <v>54</v>
      </c>
      <c r="Y59" s="4"/>
      <c r="Z59" s="12">
        <v>0</v>
      </c>
      <c r="AA59" s="13" t="s">
        <v>9655</v>
      </c>
      <c r="AB59" s="13" t="s">
        <v>9138</v>
      </c>
      <c r="AC59" s="14" t="s">
        <v>9148</v>
      </c>
      <c r="AD59" s="14" t="s">
        <v>9140</v>
      </c>
      <c r="AE59" s="14" t="s">
        <v>9140</v>
      </c>
      <c r="AF59" s="14" t="s">
        <v>63</v>
      </c>
      <c r="AG59" s="14" t="s">
        <v>54</v>
      </c>
      <c r="AH59" s="15" t="s">
        <v>9220</v>
      </c>
      <c r="AI59" s="15" t="s">
        <v>9191</v>
      </c>
      <c r="AJ59" s="15" t="s">
        <v>9143</v>
      </c>
      <c r="AK59" s="15" t="s">
        <v>9221</v>
      </c>
      <c r="AL59" s="15" t="s">
        <v>9226</v>
      </c>
      <c r="AM59" s="16" t="s">
        <v>9221</v>
      </c>
      <c r="AN59" s="16" t="s">
        <v>9227</v>
      </c>
    </row>
    <row r="60" spans="1:40" x14ac:dyDescent="0.25">
      <c r="A60" s="4" t="s">
        <v>9879</v>
      </c>
      <c r="B60" s="4"/>
      <c r="C60" s="4" t="s">
        <v>39</v>
      </c>
      <c r="D60" s="4" t="s">
        <v>9798</v>
      </c>
      <c r="E60" s="4" t="s">
        <v>9799</v>
      </c>
      <c r="F60" s="10">
        <v>45791</v>
      </c>
      <c r="G60" s="11">
        <v>0.66666666666666663</v>
      </c>
      <c r="H60" s="4" t="s">
        <v>4019</v>
      </c>
      <c r="I60" s="4" t="s">
        <v>8282</v>
      </c>
      <c r="J60" s="4" t="s">
        <v>8283</v>
      </c>
      <c r="K60" s="4" t="s">
        <v>9880</v>
      </c>
      <c r="L60" s="4" t="s">
        <v>9881</v>
      </c>
      <c r="M60" s="4" t="s">
        <v>46</v>
      </c>
      <c r="N60" s="4"/>
      <c r="O60" s="4" t="s">
        <v>47</v>
      </c>
      <c r="P60" s="4" t="s">
        <v>60</v>
      </c>
      <c r="Q60" s="4">
        <v>0</v>
      </c>
      <c r="R60" s="4" t="b">
        <v>0</v>
      </c>
      <c r="S60" s="4" t="s">
        <v>114</v>
      </c>
      <c r="T60" s="4" t="s">
        <v>115</v>
      </c>
      <c r="U60" s="4" t="s">
        <v>373</v>
      </c>
      <c r="V60" s="4" t="s">
        <v>52</v>
      </c>
      <c r="W60" s="4" t="s">
        <v>53</v>
      </c>
      <c r="X60" s="4" t="s">
        <v>54</v>
      </c>
      <c r="Y60" s="4"/>
      <c r="Z60" s="12">
        <v>0</v>
      </c>
      <c r="AA60" s="13" t="s">
        <v>9655</v>
      </c>
      <c r="AB60" s="13" t="s">
        <v>9138</v>
      </c>
      <c r="AC60" s="14" t="s">
        <v>9157</v>
      </c>
      <c r="AD60" s="14" t="s">
        <v>9140</v>
      </c>
      <c r="AE60" s="14" t="s">
        <v>9140</v>
      </c>
      <c r="AF60" s="14" t="s">
        <v>52</v>
      </c>
      <c r="AG60" s="14" t="s">
        <v>54</v>
      </c>
      <c r="AH60" s="15" t="s">
        <v>9220</v>
      </c>
      <c r="AI60" s="15" t="s">
        <v>9175</v>
      </c>
      <c r="AJ60" s="15" t="s">
        <v>9143</v>
      </c>
      <c r="AK60" s="15" t="s">
        <v>9221</v>
      </c>
      <c r="AL60" s="15" t="s">
        <v>9224</v>
      </c>
      <c r="AM60" s="16" t="s">
        <v>9221</v>
      </c>
      <c r="AN60" s="16" t="s">
        <v>9225</v>
      </c>
    </row>
    <row r="61" spans="1:40" x14ac:dyDescent="0.25">
      <c r="A61" s="4" t="s">
        <v>9882</v>
      </c>
      <c r="B61" s="4"/>
      <c r="C61" s="4" t="s">
        <v>39</v>
      </c>
      <c r="D61" s="4" t="s">
        <v>9883</v>
      </c>
      <c r="E61" s="4" t="s">
        <v>9884</v>
      </c>
      <c r="F61" s="10">
        <v>45790</v>
      </c>
      <c r="G61" s="11">
        <v>0.52777777777777779</v>
      </c>
      <c r="H61" s="4" t="s">
        <v>4019</v>
      </c>
      <c r="I61" s="4" t="s">
        <v>4285</v>
      </c>
      <c r="J61" s="4" t="s">
        <v>513</v>
      </c>
      <c r="K61" s="4" t="s">
        <v>7557</v>
      </c>
      <c r="L61" s="4" t="s">
        <v>9885</v>
      </c>
      <c r="M61" s="4" t="s">
        <v>46</v>
      </c>
      <c r="N61" s="4"/>
      <c r="O61" s="4" t="s">
        <v>47</v>
      </c>
      <c r="P61" s="4" t="s">
        <v>48</v>
      </c>
      <c r="Q61" s="4">
        <v>0</v>
      </c>
      <c r="R61" s="4" t="b">
        <v>0</v>
      </c>
      <c r="S61" s="4" t="s">
        <v>61</v>
      </c>
      <c r="T61" s="4" t="s">
        <v>115</v>
      </c>
      <c r="U61" s="4" t="s">
        <v>140</v>
      </c>
      <c r="V61" s="4" t="s">
        <v>63</v>
      </c>
      <c r="W61" s="4" t="s">
        <v>4353</v>
      </c>
      <c r="X61" s="4" t="s">
        <v>54</v>
      </c>
      <c r="Y61" s="4"/>
      <c r="Z61" s="12">
        <v>0</v>
      </c>
      <c r="AA61" s="13" t="s">
        <v>9655</v>
      </c>
      <c r="AB61" s="13" t="s">
        <v>9138</v>
      </c>
      <c r="AC61" s="14" t="s">
        <v>9148</v>
      </c>
      <c r="AD61" s="14" t="s">
        <v>9140</v>
      </c>
      <c r="AE61" s="14" t="s">
        <v>9140</v>
      </c>
      <c r="AF61" s="14" t="s">
        <v>63</v>
      </c>
      <c r="AG61" s="14" t="s">
        <v>54</v>
      </c>
      <c r="AH61" s="15" t="s">
        <v>9220</v>
      </c>
      <c r="AI61" s="15" t="s">
        <v>9175</v>
      </c>
      <c r="AJ61" s="15" t="s">
        <v>9143</v>
      </c>
      <c r="AK61" s="15" t="s">
        <v>9221</v>
      </c>
      <c r="AL61" s="15" t="s">
        <v>9224</v>
      </c>
      <c r="AM61" s="16" t="s">
        <v>9221</v>
      </c>
      <c r="AN61" s="16" t="s">
        <v>9225</v>
      </c>
    </row>
    <row r="62" spans="1:40" x14ac:dyDescent="0.25">
      <c r="A62" s="4" t="s">
        <v>9886</v>
      </c>
      <c r="B62" s="4"/>
      <c r="C62" s="4" t="s">
        <v>39</v>
      </c>
      <c r="D62" s="4" t="s">
        <v>9887</v>
      </c>
      <c r="E62" s="4" t="s">
        <v>9888</v>
      </c>
      <c r="F62" s="10">
        <v>45790</v>
      </c>
      <c r="G62" s="11">
        <v>0.77083333333333337</v>
      </c>
      <c r="H62" s="4" t="s">
        <v>4659</v>
      </c>
      <c r="I62" s="4" t="s">
        <v>7216</v>
      </c>
      <c r="J62" s="4" t="s">
        <v>7217</v>
      </c>
      <c r="K62" s="4" t="s">
        <v>9889</v>
      </c>
      <c r="L62" s="4" t="s">
        <v>9890</v>
      </c>
      <c r="M62" s="4" t="s">
        <v>46</v>
      </c>
      <c r="N62" s="4"/>
      <c r="O62" s="4" t="s">
        <v>47</v>
      </c>
      <c r="P62" s="4" t="s">
        <v>48</v>
      </c>
      <c r="Q62" s="4">
        <v>0</v>
      </c>
      <c r="R62" s="4" t="b">
        <v>0</v>
      </c>
      <c r="S62" s="4" t="s">
        <v>49</v>
      </c>
      <c r="T62" s="4" t="s">
        <v>70</v>
      </c>
      <c r="U62" s="4" t="s">
        <v>71</v>
      </c>
      <c r="V62" s="4" t="s">
        <v>72</v>
      </c>
      <c r="W62" s="4" t="s">
        <v>73</v>
      </c>
      <c r="X62" s="4" t="s">
        <v>54</v>
      </c>
      <c r="Y62" s="4"/>
      <c r="Z62" s="12">
        <v>0</v>
      </c>
      <c r="AA62" s="13" t="s">
        <v>9655</v>
      </c>
      <c r="AB62" s="13" t="s">
        <v>9138</v>
      </c>
      <c r="AC62" s="14" t="s">
        <v>9139</v>
      </c>
      <c r="AD62" s="14" t="s">
        <v>9140</v>
      </c>
      <c r="AE62" s="14" t="s">
        <v>9140</v>
      </c>
      <c r="AF62" s="14" t="s">
        <v>72</v>
      </c>
      <c r="AG62" s="14" t="s">
        <v>54</v>
      </c>
      <c r="AH62" s="15" t="s">
        <v>9220</v>
      </c>
      <c r="AI62" s="15" t="s">
        <v>9142</v>
      </c>
      <c r="AJ62" s="15" t="s">
        <v>9143</v>
      </c>
      <c r="AK62" s="15" t="s">
        <v>9221</v>
      </c>
      <c r="AL62" s="15" t="s">
        <v>9228</v>
      </c>
      <c r="AM62" s="16" t="s">
        <v>9221</v>
      </c>
      <c r="AN62" s="16" t="s">
        <v>9229</v>
      </c>
    </row>
    <row r="63" spans="1:40" x14ac:dyDescent="0.25">
      <c r="A63" s="4" t="s">
        <v>9891</v>
      </c>
      <c r="B63" s="4"/>
      <c r="C63" s="4" t="s">
        <v>39</v>
      </c>
      <c r="D63" s="4" t="s">
        <v>9892</v>
      </c>
      <c r="E63" s="4" t="s">
        <v>9893</v>
      </c>
      <c r="F63" s="10">
        <v>45790</v>
      </c>
      <c r="G63" s="11">
        <v>0.34513888888888888</v>
      </c>
      <c r="H63" s="4" t="s">
        <v>1366</v>
      </c>
      <c r="I63" s="4">
        <v>6078</v>
      </c>
      <c r="J63" s="4" t="s">
        <v>1638</v>
      </c>
      <c r="K63" s="4" t="s">
        <v>9894</v>
      </c>
      <c r="L63" s="4" t="s">
        <v>9895</v>
      </c>
      <c r="M63" s="4" t="s">
        <v>46</v>
      </c>
      <c r="N63" s="4"/>
      <c r="O63" s="4" t="s">
        <v>47</v>
      </c>
      <c r="P63" s="4" t="s">
        <v>48</v>
      </c>
      <c r="Q63" s="4">
        <v>0</v>
      </c>
      <c r="R63" s="4" t="b">
        <v>0</v>
      </c>
      <c r="S63" s="4" t="s">
        <v>61</v>
      </c>
      <c r="T63" s="4" t="s">
        <v>50</v>
      </c>
      <c r="U63" s="4" t="s">
        <v>71</v>
      </c>
      <c r="V63" s="4" t="s">
        <v>81</v>
      </c>
      <c r="W63" s="4" t="s">
        <v>2838</v>
      </c>
      <c r="X63" s="4" t="s">
        <v>54</v>
      </c>
      <c r="Y63" s="4"/>
      <c r="Z63" s="12">
        <v>0</v>
      </c>
      <c r="AA63" s="13" t="s">
        <v>9655</v>
      </c>
      <c r="AB63" s="13" t="s">
        <v>9138</v>
      </c>
      <c r="AC63" s="14" t="s">
        <v>9148</v>
      </c>
      <c r="AD63" s="14" t="s">
        <v>9140</v>
      </c>
      <c r="AE63" s="14" t="s">
        <v>9140</v>
      </c>
      <c r="AF63" s="14" t="s">
        <v>81</v>
      </c>
      <c r="AG63" s="14" t="s">
        <v>54</v>
      </c>
      <c r="AH63" s="15" t="s">
        <v>9141</v>
      </c>
      <c r="AI63" s="15" t="s">
        <v>9188</v>
      </c>
      <c r="AJ63" s="15" t="s">
        <v>9143</v>
      </c>
      <c r="AK63" s="15" t="s">
        <v>9141</v>
      </c>
      <c r="AL63" s="15" t="s">
        <v>9189</v>
      </c>
      <c r="AM63" s="16" t="s">
        <v>9141</v>
      </c>
      <c r="AN63" s="16" t="s">
        <v>9190</v>
      </c>
    </row>
    <row r="64" spans="1:40" x14ac:dyDescent="0.25">
      <c r="A64" s="4" t="s">
        <v>9896</v>
      </c>
      <c r="B64" s="4"/>
      <c r="C64" s="4" t="s">
        <v>39</v>
      </c>
      <c r="D64" s="4" t="s">
        <v>557</v>
      </c>
      <c r="E64" s="4" t="s">
        <v>558</v>
      </c>
      <c r="F64" s="10">
        <v>45789</v>
      </c>
      <c r="G64" s="11">
        <v>0.47916666666666669</v>
      </c>
      <c r="H64" s="4" t="s">
        <v>463</v>
      </c>
      <c r="I64" s="4">
        <v>2029</v>
      </c>
      <c r="J64" s="4" t="s">
        <v>845</v>
      </c>
      <c r="K64" s="4" t="s">
        <v>9897</v>
      </c>
      <c r="L64" s="4" t="s">
        <v>9898</v>
      </c>
      <c r="M64" s="4" t="s">
        <v>46</v>
      </c>
      <c r="N64" s="4"/>
      <c r="O64" s="4" t="s">
        <v>47</v>
      </c>
      <c r="P64" s="4" t="s">
        <v>48</v>
      </c>
      <c r="Q64" s="4">
        <v>0</v>
      </c>
      <c r="R64" s="4" t="b">
        <v>0</v>
      </c>
      <c r="S64" s="4" t="s">
        <v>49</v>
      </c>
      <c r="T64" s="4" t="s">
        <v>50</v>
      </c>
      <c r="U64" s="4" t="s">
        <v>71</v>
      </c>
      <c r="V64" s="4" t="s">
        <v>123</v>
      </c>
      <c r="W64" s="4" t="s">
        <v>124</v>
      </c>
      <c r="X64" s="4" t="s">
        <v>54</v>
      </c>
      <c r="Y64" s="4"/>
      <c r="Z64" s="12">
        <v>0</v>
      </c>
      <c r="AA64" s="13" t="s">
        <v>9655</v>
      </c>
      <c r="AB64" s="13" t="s">
        <v>9138</v>
      </c>
      <c r="AC64" s="14" t="s">
        <v>9139</v>
      </c>
      <c r="AD64" s="14" t="s">
        <v>9140</v>
      </c>
      <c r="AE64" s="14" t="s">
        <v>9140</v>
      </c>
      <c r="AF64" s="14" t="s">
        <v>123</v>
      </c>
      <c r="AG64" s="14" t="s">
        <v>54</v>
      </c>
      <c r="AH64" s="15" t="s">
        <v>9141</v>
      </c>
      <c r="AI64" s="15" t="s">
        <v>9175</v>
      </c>
      <c r="AJ64" s="15" t="s">
        <v>9143</v>
      </c>
      <c r="AK64" s="15" t="s">
        <v>9141</v>
      </c>
      <c r="AL64" s="15" t="s">
        <v>9177</v>
      </c>
      <c r="AM64" s="16" t="s">
        <v>9141</v>
      </c>
      <c r="AN64" s="16" t="s">
        <v>9178</v>
      </c>
    </row>
    <row r="65" spans="1:40" x14ac:dyDescent="0.25">
      <c r="A65" s="4" t="s">
        <v>9899</v>
      </c>
      <c r="B65" s="4"/>
      <c r="C65" s="4" t="s">
        <v>39</v>
      </c>
      <c r="D65" s="4" t="s">
        <v>9900</v>
      </c>
      <c r="E65" s="4" t="s">
        <v>9901</v>
      </c>
      <c r="F65" s="10">
        <v>45789</v>
      </c>
      <c r="G65" s="11">
        <v>0.45277777777777778</v>
      </c>
      <c r="H65" s="4" t="s">
        <v>4019</v>
      </c>
      <c r="I65" s="4" t="s">
        <v>7562</v>
      </c>
      <c r="J65" s="4" t="s">
        <v>7563</v>
      </c>
      <c r="K65" s="4" t="s">
        <v>9902</v>
      </c>
      <c r="L65" s="4" t="s">
        <v>9903</v>
      </c>
      <c r="M65" s="4" t="s">
        <v>46</v>
      </c>
      <c r="N65" s="4"/>
      <c r="O65" s="4" t="s">
        <v>47</v>
      </c>
      <c r="P65" s="4" t="s">
        <v>48</v>
      </c>
      <c r="Q65" s="4">
        <v>0</v>
      </c>
      <c r="R65" s="4" t="b">
        <v>0</v>
      </c>
      <c r="S65" s="4" t="s">
        <v>49</v>
      </c>
      <c r="T65" s="4" t="s">
        <v>50</v>
      </c>
      <c r="U65" s="4" t="s">
        <v>618</v>
      </c>
      <c r="V65" s="4" t="s">
        <v>63</v>
      </c>
      <c r="W65" s="4" t="s">
        <v>108</v>
      </c>
      <c r="X65" s="4" t="s">
        <v>54</v>
      </c>
      <c r="Y65" s="4"/>
      <c r="Z65" s="12">
        <v>0</v>
      </c>
      <c r="AA65" s="13" t="s">
        <v>9655</v>
      </c>
      <c r="AB65" s="13" t="s">
        <v>9138</v>
      </c>
      <c r="AC65" s="14" t="s">
        <v>9139</v>
      </c>
      <c r="AD65" s="14" t="s">
        <v>9140</v>
      </c>
      <c r="AE65" s="14" t="s">
        <v>9140</v>
      </c>
      <c r="AF65" s="14" t="s">
        <v>63</v>
      </c>
      <c r="AG65" s="14" t="s">
        <v>54</v>
      </c>
      <c r="AH65" s="15" t="s">
        <v>9220</v>
      </c>
      <c r="AI65" s="15" t="s">
        <v>9175</v>
      </c>
      <c r="AJ65" s="15" t="s">
        <v>9143</v>
      </c>
      <c r="AK65" s="15" t="s">
        <v>9221</v>
      </c>
      <c r="AL65" s="15" t="s">
        <v>9224</v>
      </c>
      <c r="AM65" s="16" t="s">
        <v>9221</v>
      </c>
      <c r="AN65" s="16" t="s">
        <v>9225</v>
      </c>
    </row>
    <row r="66" spans="1:40" x14ac:dyDescent="0.25">
      <c r="A66" s="4" t="s">
        <v>9904</v>
      </c>
      <c r="B66" s="4"/>
      <c r="C66" s="4" t="s">
        <v>39</v>
      </c>
      <c r="D66" s="4" t="s">
        <v>168</v>
      </c>
      <c r="E66" s="4" t="s">
        <v>169</v>
      </c>
      <c r="F66" s="10">
        <v>45788</v>
      </c>
      <c r="G66" s="11">
        <v>0.53472222222222221</v>
      </c>
      <c r="H66" s="4" t="s">
        <v>42</v>
      </c>
      <c r="I66" s="4">
        <v>1008</v>
      </c>
      <c r="J66" s="4" t="s">
        <v>170</v>
      </c>
      <c r="K66" s="4" t="s">
        <v>757</v>
      </c>
      <c r="L66" s="4" t="s">
        <v>9905</v>
      </c>
      <c r="M66" s="4" t="s">
        <v>46</v>
      </c>
      <c r="N66" s="4"/>
      <c r="O66" s="4" t="s">
        <v>47</v>
      </c>
      <c r="P66" s="4" t="s">
        <v>60</v>
      </c>
      <c r="Q66" s="4">
        <v>0</v>
      </c>
      <c r="R66" s="4" t="b">
        <v>0</v>
      </c>
      <c r="S66" s="4" t="s">
        <v>61</v>
      </c>
      <c r="T66" s="4" t="s">
        <v>115</v>
      </c>
      <c r="U66" s="4" t="s">
        <v>373</v>
      </c>
      <c r="V66" s="4" t="s">
        <v>52</v>
      </c>
      <c r="W66" s="4" t="s">
        <v>53</v>
      </c>
      <c r="X66" s="4" t="s">
        <v>54</v>
      </c>
      <c r="Y66" s="4"/>
      <c r="Z66" s="12">
        <v>0</v>
      </c>
      <c r="AA66" s="13" t="s">
        <v>9655</v>
      </c>
      <c r="AB66" s="13" t="s">
        <v>9138</v>
      </c>
      <c r="AC66" s="14" t="s">
        <v>9148</v>
      </c>
      <c r="AD66" s="14" t="s">
        <v>9140</v>
      </c>
      <c r="AE66" s="14" t="s">
        <v>9140</v>
      </c>
      <c r="AF66" s="14" t="s">
        <v>52</v>
      </c>
      <c r="AG66" s="14" t="s">
        <v>54</v>
      </c>
      <c r="AH66" s="15" t="s">
        <v>9141</v>
      </c>
      <c r="AI66" s="15" t="s">
        <v>9142</v>
      </c>
      <c r="AJ66" s="15" t="s">
        <v>9143</v>
      </c>
      <c r="AK66" s="15" t="s">
        <v>9141</v>
      </c>
      <c r="AL66" s="15" t="s">
        <v>9144</v>
      </c>
      <c r="AM66" s="16" t="s">
        <v>9141</v>
      </c>
      <c r="AN66" s="16" t="s">
        <v>9145</v>
      </c>
    </row>
    <row r="67" spans="1:40" x14ac:dyDescent="0.25">
      <c r="A67" s="4" t="s">
        <v>9906</v>
      </c>
      <c r="B67" s="4"/>
      <c r="C67" s="4" t="s">
        <v>39</v>
      </c>
      <c r="D67" s="4" t="s">
        <v>9907</v>
      </c>
      <c r="E67" s="4" t="s">
        <v>9908</v>
      </c>
      <c r="F67" s="10">
        <v>45787</v>
      </c>
      <c r="G67" s="11">
        <v>0.49305555555555558</v>
      </c>
      <c r="H67" s="4" t="s">
        <v>4019</v>
      </c>
      <c r="I67" s="4" t="s">
        <v>4713</v>
      </c>
      <c r="J67" s="4" t="s">
        <v>4714</v>
      </c>
      <c r="K67" s="4" t="s">
        <v>9909</v>
      </c>
      <c r="L67" s="4" t="s">
        <v>9910</v>
      </c>
      <c r="M67" s="4" t="s">
        <v>46</v>
      </c>
      <c r="N67" s="4"/>
      <c r="O67" s="4" t="s">
        <v>47</v>
      </c>
      <c r="P67" s="4" t="s">
        <v>48</v>
      </c>
      <c r="Q67" s="4">
        <v>0</v>
      </c>
      <c r="R67" s="4" t="b">
        <v>0</v>
      </c>
      <c r="S67" s="4" t="s">
        <v>61</v>
      </c>
      <c r="T67" s="4" t="s">
        <v>70</v>
      </c>
      <c r="U67" s="4" t="s">
        <v>71</v>
      </c>
      <c r="V67" s="4" t="s">
        <v>63</v>
      </c>
      <c r="W67" s="4" t="s">
        <v>312</v>
      </c>
      <c r="X67" s="4" t="s">
        <v>54</v>
      </c>
      <c r="Y67" s="4"/>
      <c r="Z67" s="12">
        <v>0</v>
      </c>
      <c r="AA67" s="13" t="s">
        <v>9655</v>
      </c>
      <c r="AB67" s="13" t="s">
        <v>9138</v>
      </c>
      <c r="AC67" s="14" t="s">
        <v>9148</v>
      </c>
      <c r="AD67" s="14" t="s">
        <v>9140</v>
      </c>
      <c r="AE67" s="14" t="s">
        <v>9140</v>
      </c>
      <c r="AF67" s="14" t="s">
        <v>63</v>
      </c>
      <c r="AG67" s="14" t="s">
        <v>54</v>
      </c>
      <c r="AH67" s="15" t="s">
        <v>9220</v>
      </c>
      <c r="AI67" s="15" t="s">
        <v>9175</v>
      </c>
      <c r="AJ67" s="15" t="s">
        <v>9143</v>
      </c>
      <c r="AK67" s="15" t="s">
        <v>9221</v>
      </c>
      <c r="AL67" s="15" t="s">
        <v>9224</v>
      </c>
      <c r="AM67" s="16" t="s">
        <v>9221</v>
      </c>
      <c r="AN67" s="16" t="s">
        <v>9225</v>
      </c>
    </row>
    <row r="68" spans="1:40" x14ac:dyDescent="0.25">
      <c r="A68" s="4" t="s">
        <v>9911</v>
      </c>
      <c r="B68" s="4"/>
      <c r="C68" s="4" t="s">
        <v>39</v>
      </c>
      <c r="D68" s="4" t="s">
        <v>9912</v>
      </c>
      <c r="E68" s="4" t="s">
        <v>9913</v>
      </c>
      <c r="F68" s="10">
        <v>45787</v>
      </c>
      <c r="G68" s="11">
        <v>0.47916666666666669</v>
      </c>
      <c r="H68" s="4" t="s">
        <v>4019</v>
      </c>
      <c r="I68" s="4" t="s">
        <v>4020</v>
      </c>
      <c r="J68" s="4" t="s">
        <v>3083</v>
      </c>
      <c r="K68" s="4" t="s">
        <v>9914</v>
      </c>
      <c r="L68" s="4" t="s">
        <v>9915</v>
      </c>
      <c r="M68" s="4" t="s">
        <v>46</v>
      </c>
      <c r="N68" s="4"/>
      <c r="O68" s="4" t="s">
        <v>47</v>
      </c>
      <c r="P68" s="4" t="s">
        <v>60</v>
      </c>
      <c r="Q68" s="4">
        <v>0</v>
      </c>
      <c r="R68" s="4" t="b">
        <v>0</v>
      </c>
      <c r="S68" s="4" t="s">
        <v>61</v>
      </c>
      <c r="T68" s="4" t="s">
        <v>115</v>
      </c>
      <c r="U68" s="4" t="s">
        <v>175</v>
      </c>
      <c r="V68" s="4" t="s">
        <v>52</v>
      </c>
      <c r="W68" s="4" t="s">
        <v>53</v>
      </c>
      <c r="X68" s="4" t="s">
        <v>54</v>
      </c>
      <c r="Y68" s="4"/>
      <c r="Z68" s="12">
        <v>0</v>
      </c>
      <c r="AA68" s="13" t="s">
        <v>9655</v>
      </c>
      <c r="AB68" s="13" t="s">
        <v>9138</v>
      </c>
      <c r="AC68" s="14" t="s">
        <v>9148</v>
      </c>
      <c r="AD68" s="14" t="s">
        <v>9140</v>
      </c>
      <c r="AE68" s="14" t="s">
        <v>9140</v>
      </c>
      <c r="AF68" s="14" t="s">
        <v>52</v>
      </c>
      <c r="AG68" s="14" t="s">
        <v>54</v>
      </c>
      <c r="AH68" s="15" t="s">
        <v>9220</v>
      </c>
      <c r="AI68" s="15" t="s">
        <v>9175</v>
      </c>
      <c r="AJ68" s="15" t="s">
        <v>9143</v>
      </c>
      <c r="AK68" s="15" t="s">
        <v>9221</v>
      </c>
      <c r="AL68" s="15" t="s">
        <v>9222</v>
      </c>
      <c r="AM68" s="16" t="s">
        <v>9221</v>
      </c>
      <c r="AN68" s="16" t="s">
        <v>9223</v>
      </c>
    </row>
    <row r="69" spans="1:40" x14ac:dyDescent="0.25">
      <c r="A69" s="4" t="s">
        <v>9916</v>
      </c>
      <c r="B69" s="4"/>
      <c r="C69" s="4" t="s">
        <v>39</v>
      </c>
      <c r="D69" s="4" t="s">
        <v>9917</v>
      </c>
      <c r="E69" s="4" t="s">
        <v>9918</v>
      </c>
      <c r="F69" s="10">
        <v>45786</v>
      </c>
      <c r="G69" s="11">
        <v>0.45833333333333331</v>
      </c>
      <c r="H69" s="4" t="s">
        <v>4659</v>
      </c>
      <c r="I69" s="4" t="s">
        <v>6441</v>
      </c>
      <c r="J69" s="4" t="s">
        <v>6442</v>
      </c>
      <c r="K69" s="4" t="s">
        <v>9919</v>
      </c>
      <c r="L69" s="4" t="s">
        <v>9920</v>
      </c>
      <c r="M69" s="4" t="s">
        <v>46</v>
      </c>
      <c r="N69" s="4"/>
      <c r="O69" s="4" t="s">
        <v>47</v>
      </c>
      <c r="P69" s="4" t="s">
        <v>48</v>
      </c>
      <c r="Q69" s="4">
        <v>0</v>
      </c>
      <c r="R69" s="4" t="b">
        <v>0</v>
      </c>
      <c r="S69" s="4" t="s">
        <v>61</v>
      </c>
      <c r="T69" s="4" t="s">
        <v>115</v>
      </c>
      <c r="U69" s="4" t="s">
        <v>148</v>
      </c>
      <c r="V69" s="4" t="s">
        <v>52</v>
      </c>
      <c r="W69" s="4" t="s">
        <v>53</v>
      </c>
      <c r="X69" s="4" t="s">
        <v>54</v>
      </c>
      <c r="Y69" s="4"/>
      <c r="Z69" s="12">
        <v>0</v>
      </c>
      <c r="AA69" s="13" t="s">
        <v>9655</v>
      </c>
      <c r="AB69" s="13" t="s">
        <v>9138</v>
      </c>
      <c r="AC69" s="14" t="s">
        <v>9148</v>
      </c>
      <c r="AD69" s="14" t="s">
        <v>9140</v>
      </c>
      <c r="AE69" s="14" t="s">
        <v>9140</v>
      </c>
      <c r="AF69" s="14" t="s">
        <v>52</v>
      </c>
      <c r="AG69" s="14" t="s">
        <v>54</v>
      </c>
      <c r="AH69" s="15" t="s">
        <v>9220</v>
      </c>
      <c r="AI69" s="15" t="s">
        <v>9142</v>
      </c>
      <c r="AJ69" s="15" t="s">
        <v>9143</v>
      </c>
      <c r="AK69" s="15" t="s">
        <v>9221</v>
      </c>
      <c r="AL69" s="15" t="s">
        <v>9228</v>
      </c>
      <c r="AM69" s="16" t="s">
        <v>9221</v>
      </c>
      <c r="AN69" s="16" t="s">
        <v>9229</v>
      </c>
    </row>
    <row r="70" spans="1:40" x14ac:dyDescent="0.25">
      <c r="A70" s="4" t="s">
        <v>9921</v>
      </c>
      <c r="B70" s="4"/>
      <c r="C70" s="4" t="s">
        <v>39</v>
      </c>
      <c r="D70" s="4" t="s">
        <v>6940</v>
      </c>
      <c r="E70" s="4" t="s">
        <v>6941</v>
      </c>
      <c r="F70" s="10">
        <v>45786</v>
      </c>
      <c r="G70" s="11">
        <v>0.66666666666666663</v>
      </c>
      <c r="H70" s="4" t="s">
        <v>4019</v>
      </c>
      <c r="I70" s="4" t="s">
        <v>6911</v>
      </c>
      <c r="J70" s="4" t="s">
        <v>6912</v>
      </c>
      <c r="K70" s="4" t="s">
        <v>9922</v>
      </c>
      <c r="L70" s="4" t="s">
        <v>9923</v>
      </c>
      <c r="M70" s="4" t="s">
        <v>46</v>
      </c>
      <c r="N70" s="4"/>
      <c r="O70" s="4" t="s">
        <v>47</v>
      </c>
      <c r="P70" s="4" t="s">
        <v>48</v>
      </c>
      <c r="Q70" s="4">
        <v>0</v>
      </c>
      <c r="R70" s="4" t="b">
        <v>0</v>
      </c>
      <c r="S70" s="4" t="s">
        <v>61</v>
      </c>
      <c r="T70" s="4" t="s">
        <v>115</v>
      </c>
      <c r="U70" s="4" t="s">
        <v>175</v>
      </c>
      <c r="V70" s="4" t="s">
        <v>52</v>
      </c>
      <c r="W70" s="4" t="s">
        <v>53</v>
      </c>
      <c r="X70" s="4" t="s">
        <v>54</v>
      </c>
      <c r="Y70" s="4"/>
      <c r="Z70" s="12">
        <v>0</v>
      </c>
      <c r="AA70" s="13" t="s">
        <v>9655</v>
      </c>
      <c r="AB70" s="13" t="s">
        <v>9138</v>
      </c>
      <c r="AC70" s="14" t="s">
        <v>9148</v>
      </c>
      <c r="AD70" s="14" t="s">
        <v>9140</v>
      </c>
      <c r="AE70" s="14" t="s">
        <v>9140</v>
      </c>
      <c r="AF70" s="14" t="s">
        <v>52</v>
      </c>
      <c r="AG70" s="14" t="s">
        <v>54</v>
      </c>
      <c r="AH70" s="15" t="s">
        <v>9220</v>
      </c>
      <c r="AI70" s="15" t="s">
        <v>9175</v>
      </c>
      <c r="AJ70" s="15" t="s">
        <v>9143</v>
      </c>
      <c r="AK70" s="15" t="s">
        <v>9221</v>
      </c>
      <c r="AL70" s="15" t="s">
        <v>9224</v>
      </c>
      <c r="AM70" s="16" t="s">
        <v>9221</v>
      </c>
      <c r="AN70" s="16" t="s">
        <v>9225</v>
      </c>
    </row>
    <row r="71" spans="1:40" x14ac:dyDescent="0.25">
      <c r="A71" s="4" t="s">
        <v>9924</v>
      </c>
      <c r="B71" s="4"/>
      <c r="C71" s="4" t="s">
        <v>39</v>
      </c>
      <c r="D71" s="4" t="s">
        <v>9925</v>
      </c>
      <c r="E71" s="4" t="s">
        <v>9926</v>
      </c>
      <c r="F71" s="10">
        <v>45786</v>
      </c>
      <c r="G71" s="11">
        <v>0.60416666666666663</v>
      </c>
      <c r="H71" s="4" t="s">
        <v>2227</v>
      </c>
      <c r="I71" s="4" t="s">
        <v>3825</v>
      </c>
      <c r="J71" s="4" t="s">
        <v>3826</v>
      </c>
      <c r="K71" s="4" t="s">
        <v>9927</v>
      </c>
      <c r="L71" s="4" t="s">
        <v>9928</v>
      </c>
      <c r="M71" s="4" t="s">
        <v>46</v>
      </c>
      <c r="N71" s="4"/>
      <c r="O71" s="4" t="s">
        <v>47</v>
      </c>
      <c r="P71" s="4" t="s">
        <v>48</v>
      </c>
      <c r="Q71" s="4">
        <v>0</v>
      </c>
      <c r="R71" s="4" t="b">
        <v>0</v>
      </c>
      <c r="S71" s="4" t="s">
        <v>61</v>
      </c>
      <c r="T71" s="4" t="s">
        <v>115</v>
      </c>
      <c r="U71" s="4" t="s">
        <v>148</v>
      </c>
      <c r="V71" s="4" t="s">
        <v>52</v>
      </c>
      <c r="W71" s="4" t="s">
        <v>53</v>
      </c>
      <c r="X71" s="4" t="s">
        <v>54</v>
      </c>
      <c r="Y71" s="4"/>
      <c r="Z71" s="12">
        <v>0</v>
      </c>
      <c r="AA71" s="13" t="s">
        <v>9655</v>
      </c>
      <c r="AB71" s="13" t="s">
        <v>9138</v>
      </c>
      <c r="AC71" s="14" t="s">
        <v>9148</v>
      </c>
      <c r="AD71" s="14" t="s">
        <v>9140</v>
      </c>
      <c r="AE71" s="14" t="s">
        <v>9140</v>
      </c>
      <c r="AF71" s="14" t="s">
        <v>52</v>
      </c>
      <c r="AG71" s="14" t="s">
        <v>54</v>
      </c>
      <c r="AH71" s="15" t="s">
        <v>9194</v>
      </c>
      <c r="AI71" s="15" t="s">
        <v>9187</v>
      </c>
      <c r="AJ71" s="15" t="s">
        <v>9143</v>
      </c>
      <c r="AK71" s="15" t="s">
        <v>9194</v>
      </c>
      <c r="AL71" s="15" t="s">
        <v>9209</v>
      </c>
      <c r="AM71" s="16" t="s">
        <v>9194</v>
      </c>
      <c r="AN71" s="16" t="s">
        <v>9210</v>
      </c>
    </row>
    <row r="72" spans="1:40" x14ac:dyDescent="0.25">
      <c r="A72" s="4" t="s">
        <v>9929</v>
      </c>
      <c r="B72" s="4"/>
      <c r="C72" s="4" t="s">
        <v>39</v>
      </c>
      <c r="D72" s="4" t="s">
        <v>9930</v>
      </c>
      <c r="E72" s="4" t="s">
        <v>9931</v>
      </c>
      <c r="F72" s="10">
        <v>45785</v>
      </c>
      <c r="G72" s="11">
        <v>0.54166666666666663</v>
      </c>
      <c r="H72" s="4" t="s">
        <v>1992</v>
      </c>
      <c r="I72" s="4" t="s">
        <v>3225</v>
      </c>
      <c r="J72" s="4" t="s">
        <v>3226</v>
      </c>
      <c r="K72" s="4" t="s">
        <v>9932</v>
      </c>
      <c r="L72" s="4" t="s">
        <v>9933</v>
      </c>
      <c r="M72" s="4" t="s">
        <v>46</v>
      </c>
      <c r="N72" s="4"/>
      <c r="O72" s="4" t="s">
        <v>47</v>
      </c>
      <c r="P72" s="4" t="s">
        <v>48</v>
      </c>
      <c r="Q72" s="4">
        <v>0</v>
      </c>
      <c r="R72" s="4" t="b">
        <v>0</v>
      </c>
      <c r="S72" s="4" t="s">
        <v>61</v>
      </c>
      <c r="T72" s="4" t="s">
        <v>70</v>
      </c>
      <c r="U72" s="4" t="s">
        <v>71</v>
      </c>
      <c r="V72" s="4" t="s">
        <v>63</v>
      </c>
      <c r="W72" s="4" t="s">
        <v>108</v>
      </c>
      <c r="X72" s="4" t="s">
        <v>54</v>
      </c>
      <c r="Y72" s="4"/>
      <c r="Z72" s="12">
        <v>0</v>
      </c>
      <c r="AA72" s="13" t="s">
        <v>9655</v>
      </c>
      <c r="AB72" s="13" t="s">
        <v>9138</v>
      </c>
      <c r="AC72" s="14" t="s">
        <v>9148</v>
      </c>
      <c r="AD72" s="14" t="s">
        <v>9140</v>
      </c>
      <c r="AE72" s="14" t="s">
        <v>9140</v>
      </c>
      <c r="AF72" s="14" t="s">
        <v>63</v>
      </c>
      <c r="AG72" s="14" t="s">
        <v>54</v>
      </c>
      <c r="AH72" s="15" t="s">
        <v>9194</v>
      </c>
      <c r="AI72" s="15" t="s">
        <v>9191</v>
      </c>
      <c r="AJ72" s="15" t="s">
        <v>9143</v>
      </c>
      <c r="AK72" s="15" t="s">
        <v>9194</v>
      </c>
      <c r="AL72" s="15" t="s">
        <v>9197</v>
      </c>
      <c r="AM72" s="16" t="s">
        <v>9194</v>
      </c>
      <c r="AN72" s="16" t="s">
        <v>9198</v>
      </c>
    </row>
    <row r="73" spans="1:40" x14ac:dyDescent="0.25">
      <c r="A73" s="4" t="s">
        <v>9934</v>
      </c>
      <c r="B73" s="4"/>
      <c r="C73" s="4" t="s">
        <v>39</v>
      </c>
      <c r="D73" s="4" t="s">
        <v>9935</v>
      </c>
      <c r="E73" s="4" t="s">
        <v>9936</v>
      </c>
      <c r="F73" s="10">
        <v>45785</v>
      </c>
      <c r="G73" s="11">
        <v>0.60416666666666663</v>
      </c>
      <c r="H73" s="4" t="s">
        <v>4019</v>
      </c>
      <c r="I73" s="4" t="s">
        <v>4713</v>
      </c>
      <c r="J73" s="4" t="s">
        <v>4714</v>
      </c>
      <c r="K73" s="4" t="s">
        <v>9937</v>
      </c>
      <c r="L73" s="4" t="s">
        <v>9938</v>
      </c>
      <c r="M73" s="4" t="s">
        <v>46</v>
      </c>
      <c r="N73" s="4"/>
      <c r="O73" s="4" t="s">
        <v>47</v>
      </c>
      <c r="P73" s="4" t="s">
        <v>48</v>
      </c>
      <c r="Q73" s="4">
        <v>0</v>
      </c>
      <c r="R73" s="4" t="b">
        <v>0</v>
      </c>
      <c r="S73" s="4" t="s">
        <v>49</v>
      </c>
      <c r="T73" s="4" t="s">
        <v>70</v>
      </c>
      <c r="U73" s="4" t="s">
        <v>165</v>
      </c>
      <c r="V73" s="4" t="s">
        <v>63</v>
      </c>
      <c r="W73" s="4" t="s">
        <v>108</v>
      </c>
      <c r="X73" s="4" t="s">
        <v>54</v>
      </c>
      <c r="Y73" s="4"/>
      <c r="Z73" s="12">
        <v>0</v>
      </c>
      <c r="AA73" s="13" t="s">
        <v>9655</v>
      </c>
      <c r="AB73" s="13" t="s">
        <v>9138</v>
      </c>
      <c r="AC73" s="14" t="s">
        <v>9139</v>
      </c>
      <c r="AD73" s="14" t="s">
        <v>9140</v>
      </c>
      <c r="AE73" s="14" t="s">
        <v>9140</v>
      </c>
      <c r="AF73" s="14" t="s">
        <v>63</v>
      </c>
      <c r="AG73" s="14" t="s">
        <v>54</v>
      </c>
      <c r="AH73" s="15" t="s">
        <v>9220</v>
      </c>
      <c r="AI73" s="15" t="s">
        <v>9175</v>
      </c>
      <c r="AJ73" s="15" t="s">
        <v>9143</v>
      </c>
      <c r="AK73" s="15" t="s">
        <v>9221</v>
      </c>
      <c r="AL73" s="15" t="s">
        <v>9224</v>
      </c>
      <c r="AM73" s="16" t="s">
        <v>9221</v>
      </c>
      <c r="AN73" s="16" t="s">
        <v>9225</v>
      </c>
    </row>
    <row r="74" spans="1:40" x14ac:dyDescent="0.25">
      <c r="A74" s="4" t="s">
        <v>9939</v>
      </c>
      <c r="B74" s="4"/>
      <c r="C74" s="4" t="s">
        <v>39</v>
      </c>
      <c r="D74" s="4" t="s">
        <v>9940</v>
      </c>
      <c r="E74" s="4" t="s">
        <v>9941</v>
      </c>
      <c r="F74" s="10">
        <v>45785</v>
      </c>
      <c r="G74" s="11">
        <v>0.48333333333333334</v>
      </c>
      <c r="H74" s="4" t="s">
        <v>4019</v>
      </c>
      <c r="I74" s="4" t="s">
        <v>4304</v>
      </c>
      <c r="J74" s="4" t="s">
        <v>1941</v>
      </c>
      <c r="K74" s="4" t="s">
        <v>4365</v>
      </c>
      <c r="L74" s="4" t="s">
        <v>9942</v>
      </c>
      <c r="M74" s="4" t="s">
        <v>46</v>
      </c>
      <c r="N74" s="4"/>
      <c r="O74" s="4" t="s">
        <v>47</v>
      </c>
      <c r="P74" s="4" t="s">
        <v>48</v>
      </c>
      <c r="Q74" s="4">
        <v>0</v>
      </c>
      <c r="R74" s="4" t="b">
        <v>0</v>
      </c>
      <c r="S74" s="4" t="s">
        <v>61</v>
      </c>
      <c r="T74" s="4" t="s">
        <v>115</v>
      </c>
      <c r="U74" s="4" t="s">
        <v>148</v>
      </c>
      <c r="V74" s="4" t="s">
        <v>52</v>
      </c>
      <c r="W74" s="4" t="s">
        <v>53</v>
      </c>
      <c r="X74" s="4" t="s">
        <v>54</v>
      </c>
      <c r="Y74" s="4"/>
      <c r="Z74" s="12">
        <v>0</v>
      </c>
      <c r="AA74" s="13" t="s">
        <v>9655</v>
      </c>
      <c r="AB74" s="13" t="s">
        <v>9138</v>
      </c>
      <c r="AC74" s="14" t="s">
        <v>9148</v>
      </c>
      <c r="AD74" s="14" t="s">
        <v>9140</v>
      </c>
      <c r="AE74" s="14" t="s">
        <v>9140</v>
      </c>
      <c r="AF74" s="14" t="s">
        <v>52</v>
      </c>
      <c r="AG74" s="14" t="s">
        <v>54</v>
      </c>
      <c r="AH74" s="15" t="s">
        <v>9220</v>
      </c>
      <c r="AI74" s="15" t="s">
        <v>9175</v>
      </c>
      <c r="AJ74" s="15" t="s">
        <v>9143</v>
      </c>
      <c r="AK74" s="15" t="s">
        <v>9221</v>
      </c>
      <c r="AL74" s="15" t="s">
        <v>9222</v>
      </c>
      <c r="AM74" s="16" t="s">
        <v>9221</v>
      </c>
      <c r="AN74" s="16" t="s">
        <v>9223</v>
      </c>
    </row>
    <row r="75" spans="1:40" x14ac:dyDescent="0.25">
      <c r="A75" s="4" t="s">
        <v>9943</v>
      </c>
      <c r="B75" s="4"/>
      <c r="C75" s="4" t="s">
        <v>39</v>
      </c>
      <c r="D75" s="4" t="s">
        <v>9944</v>
      </c>
      <c r="E75" s="4" t="s">
        <v>9945</v>
      </c>
      <c r="F75" s="10">
        <v>45785</v>
      </c>
      <c r="G75" s="11">
        <v>0.63541666666666663</v>
      </c>
      <c r="H75" s="4" t="s">
        <v>4019</v>
      </c>
      <c r="I75" s="4" t="s">
        <v>4193</v>
      </c>
      <c r="J75" s="4" t="s">
        <v>4194</v>
      </c>
      <c r="K75" s="4" t="s">
        <v>9946</v>
      </c>
      <c r="L75" s="4" t="s">
        <v>9947</v>
      </c>
      <c r="M75" s="4" t="s">
        <v>46</v>
      </c>
      <c r="N75" s="4"/>
      <c r="O75" s="4" t="s">
        <v>47</v>
      </c>
      <c r="P75" s="4" t="s">
        <v>48</v>
      </c>
      <c r="Q75" s="4">
        <v>0</v>
      </c>
      <c r="R75" s="4" t="b">
        <v>0</v>
      </c>
      <c r="S75" s="4" t="s">
        <v>49</v>
      </c>
      <c r="T75" s="4" t="s">
        <v>115</v>
      </c>
      <c r="U75" s="4" t="s">
        <v>51</v>
      </c>
      <c r="V75" s="4" t="s">
        <v>123</v>
      </c>
      <c r="W75" s="4" t="s">
        <v>124</v>
      </c>
      <c r="X75" s="4" t="s">
        <v>54</v>
      </c>
      <c r="Y75" s="4"/>
      <c r="Z75" s="12">
        <v>0</v>
      </c>
      <c r="AA75" s="13" t="s">
        <v>9655</v>
      </c>
      <c r="AB75" s="13" t="s">
        <v>9138</v>
      </c>
      <c r="AC75" s="14" t="s">
        <v>9139</v>
      </c>
      <c r="AD75" s="14" t="s">
        <v>9140</v>
      </c>
      <c r="AE75" s="14" t="s">
        <v>9140</v>
      </c>
      <c r="AF75" s="14" t="s">
        <v>123</v>
      </c>
      <c r="AG75" s="14" t="s">
        <v>54</v>
      </c>
      <c r="AH75" s="15" t="s">
        <v>9220</v>
      </c>
      <c r="AI75" s="15" t="s">
        <v>9175</v>
      </c>
      <c r="AJ75" s="15" t="s">
        <v>9143</v>
      </c>
      <c r="AK75" s="15" t="s">
        <v>9221</v>
      </c>
      <c r="AL75" s="15" t="s">
        <v>9224</v>
      </c>
      <c r="AM75" s="16" t="s">
        <v>9221</v>
      </c>
      <c r="AN75" s="16" t="s">
        <v>9225</v>
      </c>
    </row>
    <row r="76" spans="1:40" x14ac:dyDescent="0.25">
      <c r="A76" s="4" t="s">
        <v>9948</v>
      </c>
      <c r="B76" s="4"/>
      <c r="C76" s="4" t="s">
        <v>39</v>
      </c>
      <c r="D76" s="4" t="s">
        <v>8474</v>
      </c>
      <c r="E76" s="4" t="s">
        <v>8475</v>
      </c>
      <c r="F76" s="10">
        <v>45785</v>
      </c>
      <c r="G76" s="11">
        <v>0.4548611111111111</v>
      </c>
      <c r="H76" s="4" t="s">
        <v>8476</v>
      </c>
      <c r="I76" s="4" t="s">
        <v>8477</v>
      </c>
      <c r="J76" s="4" t="s">
        <v>8478</v>
      </c>
      <c r="K76" s="4" t="s">
        <v>9949</v>
      </c>
      <c r="L76" s="4" t="s">
        <v>9949</v>
      </c>
      <c r="M76" s="4" t="s">
        <v>46</v>
      </c>
      <c r="N76" s="4"/>
      <c r="O76" s="4" t="s">
        <v>47</v>
      </c>
      <c r="P76" s="4" t="s">
        <v>48</v>
      </c>
      <c r="Q76" s="4">
        <v>0</v>
      </c>
      <c r="R76" s="4" t="b">
        <v>0</v>
      </c>
      <c r="S76" s="4" t="s">
        <v>61</v>
      </c>
      <c r="T76" s="4" t="s">
        <v>115</v>
      </c>
      <c r="U76" s="4" t="s">
        <v>140</v>
      </c>
      <c r="V76" s="4" t="s">
        <v>52</v>
      </c>
      <c r="W76" s="4" t="s">
        <v>135</v>
      </c>
      <c r="X76" s="4" t="s">
        <v>54</v>
      </c>
      <c r="Y76" s="4"/>
      <c r="Z76" s="12">
        <v>0</v>
      </c>
      <c r="AA76" s="13" t="s">
        <v>9655</v>
      </c>
      <c r="AB76" s="13" t="s">
        <v>9138</v>
      </c>
      <c r="AC76" s="14" t="s">
        <v>9148</v>
      </c>
      <c r="AD76" s="14" t="s">
        <v>9140</v>
      </c>
      <c r="AE76" s="14" t="s">
        <v>9140</v>
      </c>
      <c r="AF76" s="14" t="s">
        <v>52</v>
      </c>
      <c r="AG76" s="14" t="s">
        <v>54</v>
      </c>
      <c r="AH76" s="15" t="s">
        <v>9220</v>
      </c>
      <c r="AI76" s="15" t="s">
        <v>9193</v>
      </c>
      <c r="AJ76" s="15" t="s">
        <v>9143</v>
      </c>
      <c r="AK76" s="15" t="s">
        <v>9221</v>
      </c>
      <c r="AL76" s="15" t="s">
        <v>9230</v>
      </c>
      <c r="AM76" s="16" t="s">
        <v>9221</v>
      </c>
      <c r="AN76" s="16" t="s">
        <v>9231</v>
      </c>
    </row>
    <row r="77" spans="1:40" x14ac:dyDescent="0.25">
      <c r="A77" s="4" t="s">
        <v>9950</v>
      </c>
      <c r="B77" s="4"/>
      <c r="C77" s="4" t="s">
        <v>39</v>
      </c>
      <c r="D77" s="4" t="s">
        <v>6983</v>
      </c>
      <c r="E77" s="4" t="s">
        <v>6984</v>
      </c>
      <c r="F77" s="10">
        <v>45784</v>
      </c>
      <c r="G77" s="11">
        <v>0.40694444444444444</v>
      </c>
      <c r="H77" s="4" t="s">
        <v>4516</v>
      </c>
      <c r="I77" s="4" t="s">
        <v>6985</v>
      </c>
      <c r="J77" s="4" t="s">
        <v>3890</v>
      </c>
      <c r="K77" s="4" t="s">
        <v>9951</v>
      </c>
      <c r="L77" s="4" t="s">
        <v>9952</v>
      </c>
      <c r="M77" s="4" t="s">
        <v>46</v>
      </c>
      <c r="N77" s="4"/>
      <c r="O77" s="4" t="s">
        <v>47</v>
      </c>
      <c r="P77" s="4" t="s">
        <v>48</v>
      </c>
      <c r="Q77" s="4">
        <v>0</v>
      </c>
      <c r="R77" s="4" t="b">
        <v>0</v>
      </c>
      <c r="S77" s="4" t="s">
        <v>49</v>
      </c>
      <c r="T77" s="4" t="s">
        <v>50</v>
      </c>
      <c r="U77" s="4" t="s">
        <v>51</v>
      </c>
      <c r="V77" s="4" t="s">
        <v>123</v>
      </c>
      <c r="W77" s="4" t="s">
        <v>124</v>
      </c>
      <c r="X77" s="4" t="s">
        <v>54</v>
      </c>
      <c r="Y77" s="4"/>
      <c r="Z77" s="12">
        <v>0</v>
      </c>
      <c r="AA77" s="13" t="s">
        <v>9655</v>
      </c>
      <c r="AB77" s="13" t="s">
        <v>9138</v>
      </c>
      <c r="AC77" s="14" t="s">
        <v>9139</v>
      </c>
      <c r="AD77" s="14" t="s">
        <v>9140</v>
      </c>
      <c r="AE77" s="14" t="s">
        <v>9140</v>
      </c>
      <c r="AF77" s="14" t="s">
        <v>123</v>
      </c>
      <c r="AG77" s="14" t="s">
        <v>54</v>
      </c>
      <c r="AH77" s="15" t="s">
        <v>9220</v>
      </c>
      <c r="AI77" s="15" t="s">
        <v>9188</v>
      </c>
      <c r="AJ77" s="15" t="s">
        <v>9143</v>
      </c>
      <c r="AK77" s="15" t="s">
        <v>9221</v>
      </c>
      <c r="AL77" s="15" t="s">
        <v>9230</v>
      </c>
      <c r="AM77" s="16" t="s">
        <v>9221</v>
      </c>
      <c r="AN77" s="16" t="s">
        <v>9231</v>
      </c>
    </row>
    <row r="78" spans="1:40" x14ac:dyDescent="0.25">
      <c r="A78" s="4" t="s">
        <v>9953</v>
      </c>
      <c r="B78" s="4"/>
      <c r="C78" s="4" t="s">
        <v>39</v>
      </c>
      <c r="D78" s="4" t="s">
        <v>9954</v>
      </c>
      <c r="E78" s="4" t="s">
        <v>9955</v>
      </c>
      <c r="F78" s="10">
        <v>45784</v>
      </c>
      <c r="G78" s="11">
        <v>0.47916666666666669</v>
      </c>
      <c r="H78" s="4" t="s">
        <v>4910</v>
      </c>
      <c r="I78" s="4" t="s">
        <v>4911</v>
      </c>
      <c r="J78" s="4" t="s">
        <v>2049</v>
      </c>
      <c r="K78" s="4" t="s">
        <v>9956</v>
      </c>
      <c r="L78" s="4" t="s">
        <v>9957</v>
      </c>
      <c r="M78" s="4" t="s">
        <v>46</v>
      </c>
      <c r="N78" s="4"/>
      <c r="O78" s="4" t="s">
        <v>47</v>
      </c>
      <c r="P78" s="4" t="s">
        <v>48</v>
      </c>
      <c r="Q78" s="4">
        <v>0</v>
      </c>
      <c r="R78" s="4" t="b">
        <v>0</v>
      </c>
      <c r="S78" s="4" t="s">
        <v>61</v>
      </c>
      <c r="T78" s="4" t="s">
        <v>115</v>
      </c>
      <c r="U78" s="4" t="s">
        <v>148</v>
      </c>
      <c r="V78" s="4" t="s">
        <v>52</v>
      </c>
      <c r="W78" s="4" t="s">
        <v>53</v>
      </c>
      <c r="X78" s="4" t="s">
        <v>54</v>
      </c>
      <c r="Y78" s="4"/>
      <c r="Z78" s="12">
        <v>0</v>
      </c>
      <c r="AA78" s="13" t="s">
        <v>9655</v>
      </c>
      <c r="AB78" s="13" t="s">
        <v>9138</v>
      </c>
      <c r="AC78" s="14" t="s">
        <v>9148</v>
      </c>
      <c r="AD78" s="14" t="s">
        <v>9140</v>
      </c>
      <c r="AE78" s="14" t="s">
        <v>9140</v>
      </c>
      <c r="AF78" s="14" t="s">
        <v>52</v>
      </c>
      <c r="AG78" s="14" t="s">
        <v>54</v>
      </c>
      <c r="AH78" s="15" t="s">
        <v>9220</v>
      </c>
      <c r="AI78" s="15" t="s">
        <v>9191</v>
      </c>
      <c r="AJ78" s="15" t="s">
        <v>9143</v>
      </c>
      <c r="AK78" s="15" t="s">
        <v>9221</v>
      </c>
      <c r="AL78" s="15" t="s">
        <v>9234</v>
      </c>
      <c r="AM78" s="16" t="s">
        <v>9221</v>
      </c>
      <c r="AN78" s="16" t="s">
        <v>9235</v>
      </c>
    </row>
    <row r="79" spans="1:40" x14ac:dyDescent="0.25">
      <c r="A79" s="4" t="s">
        <v>9958</v>
      </c>
      <c r="B79" s="4"/>
      <c r="C79" s="4" t="s">
        <v>39</v>
      </c>
      <c r="D79" s="4" t="s">
        <v>9935</v>
      </c>
      <c r="E79" s="4" t="s">
        <v>9936</v>
      </c>
      <c r="F79" s="10">
        <v>45783</v>
      </c>
      <c r="G79" s="11">
        <v>0.4375</v>
      </c>
      <c r="H79" s="4" t="s">
        <v>4019</v>
      </c>
      <c r="I79" s="4" t="s">
        <v>4713</v>
      </c>
      <c r="J79" s="4" t="s">
        <v>4714</v>
      </c>
      <c r="K79" s="4" t="s">
        <v>9959</v>
      </c>
      <c r="L79" s="4" t="s">
        <v>9960</v>
      </c>
      <c r="M79" s="4" t="s">
        <v>46</v>
      </c>
      <c r="N79" s="4"/>
      <c r="O79" s="4" t="s">
        <v>47</v>
      </c>
      <c r="P79" s="4" t="s">
        <v>48</v>
      </c>
      <c r="Q79" s="4">
        <v>0</v>
      </c>
      <c r="R79" s="4" t="b">
        <v>0</v>
      </c>
      <c r="S79" s="4" t="s">
        <v>61</v>
      </c>
      <c r="T79" s="4" t="s">
        <v>70</v>
      </c>
      <c r="U79" s="4" t="s">
        <v>140</v>
      </c>
      <c r="V79" s="4" t="s">
        <v>63</v>
      </c>
      <c r="W79" s="4" t="s">
        <v>198</v>
      </c>
      <c r="X79" s="4" t="s">
        <v>54</v>
      </c>
      <c r="Y79" s="4"/>
      <c r="Z79" s="12">
        <v>0</v>
      </c>
      <c r="AA79" s="13" t="s">
        <v>9655</v>
      </c>
      <c r="AB79" s="13" t="s">
        <v>9138</v>
      </c>
      <c r="AC79" s="14" t="s">
        <v>9148</v>
      </c>
      <c r="AD79" s="14" t="s">
        <v>9140</v>
      </c>
      <c r="AE79" s="14" t="s">
        <v>9140</v>
      </c>
      <c r="AF79" s="14" t="s">
        <v>63</v>
      </c>
      <c r="AG79" s="14" t="s">
        <v>54</v>
      </c>
      <c r="AH79" s="15" t="s">
        <v>9220</v>
      </c>
      <c r="AI79" s="15" t="s">
        <v>9175</v>
      </c>
      <c r="AJ79" s="15" t="s">
        <v>9143</v>
      </c>
      <c r="AK79" s="15" t="s">
        <v>9221</v>
      </c>
      <c r="AL79" s="15" t="s">
        <v>9224</v>
      </c>
      <c r="AM79" s="16" t="s">
        <v>9221</v>
      </c>
      <c r="AN79" s="16" t="s">
        <v>9225</v>
      </c>
    </row>
    <row r="80" spans="1:40" x14ac:dyDescent="0.25">
      <c r="A80" s="4" t="s">
        <v>9961</v>
      </c>
      <c r="B80" s="4"/>
      <c r="C80" s="4" t="s">
        <v>39</v>
      </c>
      <c r="D80" s="4" t="s">
        <v>9962</v>
      </c>
      <c r="E80" s="4" t="s">
        <v>9963</v>
      </c>
      <c r="F80" s="10">
        <v>45783</v>
      </c>
      <c r="G80" s="11">
        <v>0.625</v>
      </c>
      <c r="H80" s="4" t="s">
        <v>5666</v>
      </c>
      <c r="I80" s="4" t="s">
        <v>7600</v>
      </c>
      <c r="J80" s="4" t="s">
        <v>3806</v>
      </c>
      <c r="K80" s="4" t="s">
        <v>9964</v>
      </c>
      <c r="L80" s="4" t="s">
        <v>9965</v>
      </c>
      <c r="M80" s="4" t="s">
        <v>28</v>
      </c>
      <c r="N80" s="4" t="s">
        <v>478</v>
      </c>
      <c r="O80" s="4" t="s">
        <v>191</v>
      </c>
      <c r="P80" s="4" t="s">
        <v>60</v>
      </c>
      <c r="Q80" s="4">
        <v>0</v>
      </c>
      <c r="R80" s="4" t="b">
        <v>0</v>
      </c>
      <c r="S80" s="4" t="s">
        <v>114</v>
      </c>
      <c r="T80" s="4" t="s">
        <v>115</v>
      </c>
      <c r="U80" s="4" t="s">
        <v>71</v>
      </c>
      <c r="V80" s="4" t="s">
        <v>52</v>
      </c>
      <c r="W80" s="4" t="s">
        <v>374</v>
      </c>
      <c r="X80" s="4" t="s">
        <v>54</v>
      </c>
      <c r="Y80" s="4"/>
      <c r="Z80" s="12" t="s">
        <v>60</v>
      </c>
      <c r="AA80" s="13" t="s">
        <v>9655</v>
      </c>
      <c r="AB80" s="13" t="s">
        <v>9138</v>
      </c>
      <c r="AC80" s="14" t="s">
        <v>9157</v>
      </c>
      <c r="AD80" s="14" t="s">
        <v>28</v>
      </c>
      <c r="AE80" s="14" t="s">
        <v>478</v>
      </c>
      <c r="AF80" s="14" t="s">
        <v>52</v>
      </c>
      <c r="AG80" s="14" t="s">
        <v>54</v>
      </c>
      <c r="AH80" s="15" t="s">
        <v>9220</v>
      </c>
      <c r="AI80" s="15" t="s">
        <v>9199</v>
      </c>
      <c r="AJ80" s="15" t="s">
        <v>9143</v>
      </c>
      <c r="AK80" s="15" t="s">
        <v>9221</v>
      </c>
      <c r="AL80" s="15" t="s">
        <v>9199</v>
      </c>
      <c r="AM80" s="16" t="s">
        <v>9221</v>
      </c>
      <c r="AN80" s="16" t="s">
        <v>9238</v>
      </c>
    </row>
    <row r="81" spans="1:40" x14ac:dyDescent="0.25">
      <c r="A81" s="4" t="s">
        <v>9966</v>
      </c>
      <c r="B81" s="4"/>
      <c r="C81" s="4" t="s">
        <v>39</v>
      </c>
      <c r="D81" s="4" t="s">
        <v>9967</v>
      </c>
      <c r="E81" s="4" t="s">
        <v>9968</v>
      </c>
      <c r="F81" s="10">
        <v>45782</v>
      </c>
      <c r="G81" s="11">
        <v>0.3888888888888889</v>
      </c>
      <c r="H81" s="4" t="s">
        <v>4516</v>
      </c>
      <c r="I81" s="4" t="s">
        <v>5776</v>
      </c>
      <c r="J81" s="4" t="s">
        <v>1412</v>
      </c>
      <c r="K81" s="4" t="s">
        <v>9969</v>
      </c>
      <c r="L81" s="4" t="s">
        <v>9970</v>
      </c>
      <c r="M81" s="4" t="s">
        <v>46</v>
      </c>
      <c r="N81" s="4"/>
      <c r="O81" s="4" t="s">
        <v>47</v>
      </c>
      <c r="P81" s="4" t="s">
        <v>48</v>
      </c>
      <c r="Q81" s="4">
        <v>0</v>
      </c>
      <c r="R81" s="4" t="b">
        <v>0</v>
      </c>
      <c r="S81" s="4" t="s">
        <v>49</v>
      </c>
      <c r="T81" s="4" t="s">
        <v>50</v>
      </c>
      <c r="U81" s="4" t="s">
        <v>71</v>
      </c>
      <c r="V81" s="4" t="s">
        <v>72</v>
      </c>
      <c r="W81" s="4" t="s">
        <v>73</v>
      </c>
      <c r="X81" s="4" t="s">
        <v>54</v>
      </c>
      <c r="Y81" s="4"/>
      <c r="Z81" s="12">
        <v>0</v>
      </c>
      <c r="AA81" s="13" t="s">
        <v>9655</v>
      </c>
      <c r="AB81" s="13" t="s">
        <v>9138</v>
      </c>
      <c r="AC81" s="14" t="s">
        <v>9139</v>
      </c>
      <c r="AD81" s="14" t="s">
        <v>9140</v>
      </c>
      <c r="AE81" s="14" t="s">
        <v>9140</v>
      </c>
      <c r="AF81" s="14" t="s">
        <v>72</v>
      </c>
      <c r="AG81" s="14" t="s">
        <v>54</v>
      </c>
      <c r="AH81" s="15" t="s">
        <v>9220</v>
      </c>
      <c r="AI81" s="15" t="s">
        <v>9188</v>
      </c>
      <c r="AJ81" s="15" t="s">
        <v>9143</v>
      </c>
      <c r="AK81" s="15" t="s">
        <v>9221</v>
      </c>
      <c r="AL81" s="15" t="s">
        <v>9232</v>
      </c>
      <c r="AM81" s="16" t="s">
        <v>9221</v>
      </c>
      <c r="AN81" s="16" t="s">
        <v>9233</v>
      </c>
    </row>
    <row r="82" spans="1:40" x14ac:dyDescent="0.25">
      <c r="A82" s="4" t="s">
        <v>9971</v>
      </c>
      <c r="B82" s="4"/>
      <c r="C82" s="4" t="s">
        <v>39</v>
      </c>
      <c r="D82" s="4" t="s">
        <v>9651</v>
      </c>
      <c r="E82" s="4" t="s">
        <v>9652</v>
      </c>
      <c r="F82" s="10">
        <v>45782</v>
      </c>
      <c r="G82" s="11">
        <v>0.6875</v>
      </c>
      <c r="H82" s="4" t="s">
        <v>4516</v>
      </c>
      <c r="I82" s="4" t="s">
        <v>4869</v>
      </c>
      <c r="J82" s="4" t="s">
        <v>4870</v>
      </c>
      <c r="K82" s="4" t="s">
        <v>9972</v>
      </c>
      <c r="L82" s="4" t="s">
        <v>9973</v>
      </c>
      <c r="M82" s="4" t="s">
        <v>46</v>
      </c>
      <c r="N82" s="4"/>
      <c r="O82" s="4" t="s">
        <v>47</v>
      </c>
      <c r="P82" s="4" t="s">
        <v>48</v>
      </c>
      <c r="Q82" s="4">
        <v>0</v>
      </c>
      <c r="R82" s="4" t="b">
        <v>0</v>
      </c>
      <c r="S82" s="4" t="s">
        <v>61</v>
      </c>
      <c r="T82" s="4" t="s">
        <v>115</v>
      </c>
      <c r="U82" s="4" t="s">
        <v>148</v>
      </c>
      <c r="V82" s="4" t="s">
        <v>52</v>
      </c>
      <c r="W82" s="4" t="s">
        <v>53</v>
      </c>
      <c r="X82" s="4" t="s">
        <v>54</v>
      </c>
      <c r="Y82" s="4"/>
      <c r="Z82" s="12">
        <v>0</v>
      </c>
      <c r="AA82" s="13" t="s">
        <v>9655</v>
      </c>
      <c r="AB82" s="13" t="s">
        <v>9138</v>
      </c>
      <c r="AC82" s="14" t="s">
        <v>9148</v>
      </c>
      <c r="AD82" s="14" t="s">
        <v>9140</v>
      </c>
      <c r="AE82" s="14" t="s">
        <v>9140</v>
      </c>
      <c r="AF82" s="14" t="s">
        <v>52</v>
      </c>
      <c r="AG82" s="14" t="s">
        <v>54</v>
      </c>
      <c r="AH82" s="15" t="s">
        <v>9220</v>
      </c>
      <c r="AI82" s="15" t="s">
        <v>9188</v>
      </c>
      <c r="AJ82" s="15" t="s">
        <v>9143</v>
      </c>
      <c r="AK82" s="15" t="s">
        <v>9221</v>
      </c>
      <c r="AL82" s="15" t="s">
        <v>9232</v>
      </c>
      <c r="AM82" s="16" t="s">
        <v>9221</v>
      </c>
      <c r="AN82" s="16" t="s">
        <v>9233</v>
      </c>
    </row>
    <row r="83" spans="1:40" x14ac:dyDescent="0.25">
      <c r="A83" s="4" t="s">
        <v>9974</v>
      </c>
      <c r="B83" s="4"/>
      <c r="C83" s="4" t="s">
        <v>39</v>
      </c>
      <c r="D83" s="4" t="s">
        <v>4102</v>
      </c>
      <c r="E83" s="4" t="s">
        <v>4103</v>
      </c>
      <c r="F83" s="10">
        <v>45781</v>
      </c>
      <c r="G83" s="11">
        <v>0.46666666666666667</v>
      </c>
      <c r="H83" s="4" t="s">
        <v>4019</v>
      </c>
      <c r="I83" s="4" t="s">
        <v>4092</v>
      </c>
      <c r="J83" s="4" t="s">
        <v>4093</v>
      </c>
      <c r="K83" s="4" t="s">
        <v>3227</v>
      </c>
      <c r="L83" s="4" t="s">
        <v>9975</v>
      </c>
      <c r="M83" s="4" t="s">
        <v>46</v>
      </c>
      <c r="N83" s="4"/>
      <c r="O83" s="4" t="s">
        <v>47</v>
      </c>
      <c r="P83" s="4" t="s">
        <v>48</v>
      </c>
      <c r="Q83" s="4">
        <v>0</v>
      </c>
      <c r="R83" s="4" t="b">
        <v>0</v>
      </c>
      <c r="S83" s="4" t="s">
        <v>49</v>
      </c>
      <c r="T83" s="4" t="s">
        <v>50</v>
      </c>
      <c r="U83" s="4" t="s">
        <v>107</v>
      </c>
      <c r="V83" s="4" t="s">
        <v>63</v>
      </c>
      <c r="W83" s="4" t="s">
        <v>108</v>
      </c>
      <c r="X83" s="4" t="s">
        <v>54</v>
      </c>
      <c r="Y83" s="4"/>
      <c r="Z83" s="12">
        <v>0</v>
      </c>
      <c r="AA83" s="13" t="s">
        <v>9655</v>
      </c>
      <c r="AB83" s="13" t="s">
        <v>9138</v>
      </c>
      <c r="AC83" s="14" t="s">
        <v>9139</v>
      </c>
      <c r="AD83" s="14" t="s">
        <v>9140</v>
      </c>
      <c r="AE83" s="14" t="s">
        <v>9140</v>
      </c>
      <c r="AF83" s="14" t="s">
        <v>63</v>
      </c>
      <c r="AG83" s="14" t="s">
        <v>54</v>
      </c>
      <c r="AH83" s="15" t="s">
        <v>9220</v>
      </c>
      <c r="AI83" s="15" t="s">
        <v>9175</v>
      </c>
      <c r="AJ83" s="15" t="s">
        <v>9143</v>
      </c>
      <c r="AK83" s="15" t="s">
        <v>9221</v>
      </c>
      <c r="AL83" s="15" t="s">
        <v>9222</v>
      </c>
      <c r="AM83" s="16" t="s">
        <v>9221</v>
      </c>
      <c r="AN83" s="16" t="s">
        <v>9223</v>
      </c>
    </row>
    <row r="84" spans="1:40" x14ac:dyDescent="0.25">
      <c r="A84" s="4" t="s">
        <v>9976</v>
      </c>
      <c r="B84" s="4"/>
      <c r="C84" s="4" t="s">
        <v>39</v>
      </c>
      <c r="D84" s="4" t="s">
        <v>9977</v>
      </c>
      <c r="E84" s="4" t="s">
        <v>3468</v>
      </c>
      <c r="F84" s="10">
        <v>45781</v>
      </c>
      <c r="G84" s="11">
        <v>0.43055555555555558</v>
      </c>
      <c r="H84" s="4" t="s">
        <v>2095</v>
      </c>
      <c r="I84" s="4" t="s">
        <v>3452</v>
      </c>
      <c r="J84" s="4" t="s">
        <v>3453</v>
      </c>
      <c r="K84" s="4" t="s">
        <v>9978</v>
      </c>
      <c r="L84" s="4" t="s">
        <v>9979</v>
      </c>
      <c r="M84" s="4" t="s">
        <v>46</v>
      </c>
      <c r="N84" s="4"/>
      <c r="O84" s="4" t="s">
        <v>47</v>
      </c>
      <c r="P84" s="4" t="s">
        <v>48</v>
      </c>
      <c r="Q84" s="4">
        <v>0</v>
      </c>
      <c r="R84" s="4" t="b">
        <v>0</v>
      </c>
      <c r="S84" s="4" t="s">
        <v>61</v>
      </c>
      <c r="T84" s="4" t="s">
        <v>6309</v>
      </c>
      <c r="U84" s="4" t="s">
        <v>1546</v>
      </c>
      <c r="V84" s="4" t="s">
        <v>1547</v>
      </c>
      <c r="W84" s="4" t="s">
        <v>1548</v>
      </c>
      <c r="X84" s="4" t="s">
        <v>54</v>
      </c>
      <c r="Y84" s="4"/>
      <c r="Z84" s="12">
        <v>0</v>
      </c>
      <c r="AA84" s="13" t="s">
        <v>9655</v>
      </c>
      <c r="AB84" s="13" t="s">
        <v>9138</v>
      </c>
      <c r="AC84" s="14" t="s">
        <v>9148</v>
      </c>
      <c r="AD84" s="14" t="s">
        <v>9140</v>
      </c>
      <c r="AE84" s="14" t="s">
        <v>9140</v>
      </c>
      <c r="AF84" s="14" t="s">
        <v>1547</v>
      </c>
      <c r="AG84" s="14" t="s">
        <v>54</v>
      </c>
      <c r="AH84" s="15" t="s">
        <v>9194</v>
      </c>
      <c r="AI84" s="15" t="s">
        <v>9188</v>
      </c>
      <c r="AJ84" s="15" t="s">
        <v>9143</v>
      </c>
      <c r="AK84" s="15" t="s">
        <v>9194</v>
      </c>
      <c r="AL84" s="15" t="s">
        <v>9203</v>
      </c>
      <c r="AM84" s="16" t="s">
        <v>9194</v>
      </c>
      <c r="AN84" s="16" t="s">
        <v>9204</v>
      </c>
    </row>
    <row r="85" spans="1:40" x14ac:dyDescent="0.25">
      <c r="A85" s="4" t="s">
        <v>9980</v>
      </c>
      <c r="B85" s="4"/>
      <c r="C85" s="4" t="s">
        <v>39</v>
      </c>
      <c r="D85" s="4" t="s">
        <v>3458</v>
      </c>
      <c r="E85" s="4" t="s">
        <v>3459</v>
      </c>
      <c r="F85" s="10">
        <v>45781</v>
      </c>
      <c r="G85" s="11">
        <v>0.49583333333333335</v>
      </c>
      <c r="H85" s="4" t="s">
        <v>2095</v>
      </c>
      <c r="I85" s="4" t="s">
        <v>3452</v>
      </c>
      <c r="J85" s="4" t="s">
        <v>3453</v>
      </c>
      <c r="K85" s="4" t="s">
        <v>9981</v>
      </c>
      <c r="L85" s="4" t="s">
        <v>9982</v>
      </c>
      <c r="M85" s="4" t="s">
        <v>46</v>
      </c>
      <c r="N85" s="4"/>
      <c r="O85" s="4" t="s">
        <v>47</v>
      </c>
      <c r="P85" s="4" t="s">
        <v>48</v>
      </c>
      <c r="Q85" s="4">
        <v>0</v>
      </c>
      <c r="R85" s="4" t="b">
        <v>0</v>
      </c>
      <c r="S85" s="4" t="s">
        <v>61</v>
      </c>
      <c r="T85" s="4" t="s">
        <v>50</v>
      </c>
      <c r="U85" s="4" t="s">
        <v>148</v>
      </c>
      <c r="V85" s="4" t="s">
        <v>123</v>
      </c>
      <c r="W85" s="4" t="s">
        <v>124</v>
      </c>
      <c r="X85" s="4" t="s">
        <v>54</v>
      </c>
      <c r="Y85" s="4"/>
      <c r="Z85" s="12">
        <v>0</v>
      </c>
      <c r="AA85" s="13" t="s">
        <v>9655</v>
      </c>
      <c r="AB85" s="13" t="s">
        <v>9138</v>
      </c>
      <c r="AC85" s="14" t="s">
        <v>9148</v>
      </c>
      <c r="AD85" s="14" t="s">
        <v>9140</v>
      </c>
      <c r="AE85" s="14" t="s">
        <v>9140</v>
      </c>
      <c r="AF85" s="14" t="s">
        <v>123</v>
      </c>
      <c r="AG85" s="14" t="s">
        <v>54</v>
      </c>
      <c r="AH85" s="15" t="s">
        <v>9194</v>
      </c>
      <c r="AI85" s="15" t="s">
        <v>9188</v>
      </c>
      <c r="AJ85" s="15" t="s">
        <v>9143</v>
      </c>
      <c r="AK85" s="15" t="s">
        <v>9194</v>
      </c>
      <c r="AL85" s="15" t="s">
        <v>9203</v>
      </c>
      <c r="AM85" s="16" t="s">
        <v>9194</v>
      </c>
      <c r="AN85" s="16" t="s">
        <v>9204</v>
      </c>
    </row>
    <row r="86" spans="1:40" x14ac:dyDescent="0.25">
      <c r="A86" s="4" t="s">
        <v>9983</v>
      </c>
      <c r="B86" s="4" t="s">
        <v>9984</v>
      </c>
      <c r="C86" s="4" t="s">
        <v>39</v>
      </c>
      <c r="D86" s="4" t="s">
        <v>6798</v>
      </c>
      <c r="E86" s="4" t="s">
        <v>6799</v>
      </c>
      <c r="F86" s="10">
        <v>45780</v>
      </c>
      <c r="G86" s="11">
        <v>0.49583333333333335</v>
      </c>
      <c r="H86" s="4" t="s">
        <v>4910</v>
      </c>
      <c r="I86" s="4" t="s">
        <v>6800</v>
      </c>
      <c r="J86" s="4" t="s">
        <v>2914</v>
      </c>
      <c r="K86" s="4" t="s">
        <v>9985</v>
      </c>
      <c r="L86" s="4" t="s">
        <v>9986</v>
      </c>
      <c r="M86" s="4" t="s">
        <v>28</v>
      </c>
      <c r="N86" s="4" t="s">
        <v>183</v>
      </c>
      <c r="O86" s="4" t="s">
        <v>344</v>
      </c>
      <c r="P86" s="4" t="s">
        <v>60</v>
      </c>
      <c r="Q86" s="4">
        <v>23</v>
      </c>
      <c r="R86" s="4" t="b">
        <v>0</v>
      </c>
      <c r="S86" s="4" t="s">
        <v>184</v>
      </c>
      <c r="T86" s="4" t="s">
        <v>115</v>
      </c>
      <c r="U86" s="4" t="s">
        <v>175</v>
      </c>
      <c r="V86" s="4" t="s">
        <v>52</v>
      </c>
      <c r="W86" s="4" t="s">
        <v>53</v>
      </c>
      <c r="X86" s="4" t="s">
        <v>54</v>
      </c>
      <c r="Y86" s="4"/>
      <c r="Z86" s="12" t="s">
        <v>60</v>
      </c>
      <c r="AA86" s="13" t="s">
        <v>9655</v>
      </c>
      <c r="AB86" s="13" t="s">
        <v>9138</v>
      </c>
      <c r="AC86" s="14" t="s">
        <v>9166</v>
      </c>
      <c r="AD86" s="14" t="s">
        <v>28</v>
      </c>
      <c r="AE86" s="14" t="s">
        <v>183</v>
      </c>
      <c r="AF86" s="14" t="s">
        <v>52</v>
      </c>
      <c r="AG86" s="14" t="s">
        <v>54</v>
      </c>
      <c r="AH86" s="15" t="s">
        <v>9220</v>
      </c>
      <c r="AI86" s="15" t="s">
        <v>9191</v>
      </c>
      <c r="AJ86" s="15" t="s">
        <v>9143</v>
      </c>
      <c r="AK86" s="15" t="s">
        <v>9221</v>
      </c>
      <c r="AL86" s="15" t="s">
        <v>9234</v>
      </c>
      <c r="AM86" s="16" t="s">
        <v>9221</v>
      </c>
      <c r="AN86" s="16" t="s">
        <v>9235</v>
      </c>
    </row>
    <row r="87" spans="1:40" x14ac:dyDescent="0.25">
      <c r="A87" s="4" t="s">
        <v>9987</v>
      </c>
      <c r="B87" s="4" t="s">
        <v>9988</v>
      </c>
      <c r="C87" s="4" t="s">
        <v>39</v>
      </c>
      <c r="D87" s="4" t="s">
        <v>8232</v>
      </c>
      <c r="E87" s="4" t="s">
        <v>8233</v>
      </c>
      <c r="F87" s="10">
        <v>45779</v>
      </c>
      <c r="G87" s="11">
        <v>0.61805555555555558</v>
      </c>
      <c r="H87" s="4" t="s">
        <v>4910</v>
      </c>
      <c r="I87" s="4" t="s">
        <v>8223</v>
      </c>
      <c r="J87" s="4" t="s">
        <v>1844</v>
      </c>
      <c r="K87" s="4" t="s">
        <v>9989</v>
      </c>
      <c r="L87" s="4" t="s">
        <v>9990</v>
      </c>
      <c r="M87" s="4" t="s">
        <v>28</v>
      </c>
      <c r="N87" s="4" t="s">
        <v>183</v>
      </c>
      <c r="O87" s="4" t="s">
        <v>344</v>
      </c>
      <c r="P87" s="4" t="s">
        <v>60</v>
      </c>
      <c r="Q87" s="4">
        <v>21</v>
      </c>
      <c r="R87" s="4" t="b">
        <v>0</v>
      </c>
      <c r="S87" s="4" t="s">
        <v>114</v>
      </c>
      <c r="T87" s="4" t="s">
        <v>479</v>
      </c>
      <c r="U87" s="4" t="s">
        <v>148</v>
      </c>
      <c r="V87" s="4" t="s">
        <v>52</v>
      </c>
      <c r="W87" s="4" t="s">
        <v>255</v>
      </c>
      <c r="X87" s="4" t="s">
        <v>54</v>
      </c>
      <c r="Y87" s="4"/>
      <c r="Z87" s="12" t="s">
        <v>60</v>
      </c>
      <c r="AA87" s="13" t="s">
        <v>9655</v>
      </c>
      <c r="AB87" s="13" t="s">
        <v>9138</v>
      </c>
      <c r="AC87" s="14" t="s">
        <v>9157</v>
      </c>
      <c r="AD87" s="14" t="s">
        <v>28</v>
      </c>
      <c r="AE87" s="14" t="s">
        <v>183</v>
      </c>
      <c r="AF87" s="14" t="s">
        <v>52</v>
      </c>
      <c r="AG87" s="14" t="s">
        <v>54</v>
      </c>
      <c r="AH87" s="15" t="s">
        <v>9220</v>
      </c>
      <c r="AI87" s="15" t="s">
        <v>9191</v>
      </c>
      <c r="AJ87" s="15" t="s">
        <v>9143</v>
      </c>
      <c r="AK87" s="15" t="s">
        <v>9221</v>
      </c>
      <c r="AL87" s="15" t="s">
        <v>9226</v>
      </c>
      <c r="AM87" s="16" t="s">
        <v>9221</v>
      </c>
      <c r="AN87" s="16" t="s">
        <v>9227</v>
      </c>
    </row>
    <row r="88" spans="1:40" x14ac:dyDescent="0.25">
      <c r="A88" s="4" t="s">
        <v>9991</v>
      </c>
      <c r="B88" s="4"/>
      <c r="C88" s="4" t="s">
        <v>39</v>
      </c>
      <c r="D88" s="4" t="s">
        <v>9992</v>
      </c>
      <c r="E88" s="4" t="s">
        <v>9993</v>
      </c>
      <c r="F88" s="10">
        <v>45779</v>
      </c>
      <c r="G88" s="11">
        <v>0.43055555555555558</v>
      </c>
      <c r="H88" s="4" t="s">
        <v>1992</v>
      </c>
      <c r="I88" s="4" t="s">
        <v>2955</v>
      </c>
      <c r="J88" s="4" t="s">
        <v>2956</v>
      </c>
      <c r="K88" s="4" t="s">
        <v>5194</v>
      </c>
      <c r="L88" s="4" t="s">
        <v>9994</v>
      </c>
      <c r="M88" s="4" t="s">
        <v>46</v>
      </c>
      <c r="N88" s="4"/>
      <c r="O88" s="4" t="s">
        <v>47</v>
      </c>
      <c r="P88" s="4" t="s">
        <v>48</v>
      </c>
      <c r="Q88" s="4">
        <v>0</v>
      </c>
      <c r="R88" s="4" t="b">
        <v>0</v>
      </c>
      <c r="S88" s="4" t="s">
        <v>49</v>
      </c>
      <c r="T88" s="4" t="s">
        <v>50</v>
      </c>
      <c r="U88" s="4" t="s">
        <v>80</v>
      </c>
      <c r="V88" s="4" t="s">
        <v>63</v>
      </c>
      <c r="W88" s="4" t="s">
        <v>108</v>
      </c>
      <c r="X88" s="4" t="s">
        <v>54</v>
      </c>
      <c r="Y88" s="4"/>
      <c r="Z88" s="12">
        <v>0</v>
      </c>
      <c r="AA88" s="13" t="s">
        <v>9655</v>
      </c>
      <c r="AB88" s="13" t="s">
        <v>9138</v>
      </c>
      <c r="AC88" s="14" t="s">
        <v>9139</v>
      </c>
      <c r="AD88" s="14" t="s">
        <v>9140</v>
      </c>
      <c r="AE88" s="14" t="s">
        <v>9140</v>
      </c>
      <c r="AF88" s="14" t="s">
        <v>63</v>
      </c>
      <c r="AG88" s="14" t="s">
        <v>54</v>
      </c>
      <c r="AH88" s="15" t="s">
        <v>9194</v>
      </c>
      <c r="AI88" s="15" t="s">
        <v>9191</v>
      </c>
      <c r="AJ88" s="15" t="s">
        <v>9143</v>
      </c>
      <c r="AK88" s="15" t="s">
        <v>9194</v>
      </c>
      <c r="AL88" s="15" t="s">
        <v>9205</v>
      </c>
      <c r="AM88" s="16" t="s">
        <v>9194</v>
      </c>
      <c r="AN88" s="16" t="s">
        <v>9206</v>
      </c>
    </row>
    <row r="89" spans="1:40" x14ac:dyDescent="0.25">
      <c r="A89" s="4" t="s">
        <v>9995</v>
      </c>
      <c r="B89" s="4"/>
      <c r="C89" s="4" t="s">
        <v>39</v>
      </c>
      <c r="D89" s="4" t="s">
        <v>9996</v>
      </c>
      <c r="E89" s="4" t="s">
        <v>9997</v>
      </c>
      <c r="F89" s="10">
        <v>45779</v>
      </c>
      <c r="G89" s="11">
        <v>0.46250000000000002</v>
      </c>
      <c r="H89" s="4" t="s">
        <v>1155</v>
      </c>
      <c r="I89" s="4">
        <v>4044</v>
      </c>
      <c r="J89" s="4" t="s">
        <v>1285</v>
      </c>
      <c r="K89" s="4" t="s">
        <v>9998</v>
      </c>
      <c r="L89" s="4" t="s">
        <v>9999</v>
      </c>
      <c r="M89" s="4" t="s">
        <v>46</v>
      </c>
      <c r="N89" s="4"/>
      <c r="O89" s="4" t="s">
        <v>47</v>
      </c>
      <c r="P89" s="4" t="s">
        <v>48</v>
      </c>
      <c r="Q89" s="4">
        <v>0</v>
      </c>
      <c r="R89" s="4" t="b">
        <v>0</v>
      </c>
      <c r="S89" s="4" t="s">
        <v>61</v>
      </c>
      <c r="T89" s="4" t="s">
        <v>50</v>
      </c>
      <c r="U89" s="4" t="s">
        <v>80</v>
      </c>
      <c r="V89" s="4" t="s">
        <v>63</v>
      </c>
      <c r="W89" s="4" t="s">
        <v>108</v>
      </c>
      <c r="X89" s="4" t="s">
        <v>54</v>
      </c>
      <c r="Y89" s="4"/>
      <c r="Z89" s="12">
        <v>0</v>
      </c>
      <c r="AA89" s="13" t="s">
        <v>9655</v>
      </c>
      <c r="AB89" s="13" t="s">
        <v>9138</v>
      </c>
      <c r="AC89" s="14" t="s">
        <v>9148</v>
      </c>
      <c r="AD89" s="14" t="s">
        <v>9140</v>
      </c>
      <c r="AE89" s="14" t="s">
        <v>9140</v>
      </c>
      <c r="AF89" s="14" t="s">
        <v>63</v>
      </c>
      <c r="AG89" s="14" t="s">
        <v>54</v>
      </c>
      <c r="AH89" s="15" t="s">
        <v>9141</v>
      </c>
      <c r="AI89" s="15" t="s">
        <v>9187</v>
      </c>
      <c r="AJ89" s="15" t="s">
        <v>9143</v>
      </c>
      <c r="AK89" s="15" t="s">
        <v>9141</v>
      </c>
      <c r="AL89" s="15" t="s">
        <v>9144</v>
      </c>
      <c r="AM89" s="16" t="s">
        <v>9141</v>
      </c>
      <c r="AN89" s="16" t="s">
        <v>9145</v>
      </c>
    </row>
    <row r="90" spans="1:40" x14ac:dyDescent="0.25">
      <c r="A90" s="4" t="s">
        <v>10000</v>
      </c>
      <c r="B90" s="4"/>
      <c r="C90" s="4" t="s">
        <v>39</v>
      </c>
      <c r="D90" s="4" t="s">
        <v>10001</v>
      </c>
      <c r="E90" s="4" t="s">
        <v>10002</v>
      </c>
      <c r="F90" s="10">
        <v>45778</v>
      </c>
      <c r="G90" s="11">
        <v>0.50624999999999998</v>
      </c>
      <c r="H90" s="4" t="s">
        <v>463</v>
      </c>
      <c r="I90" s="4">
        <v>2045</v>
      </c>
      <c r="J90" s="4" t="s">
        <v>1037</v>
      </c>
      <c r="K90" s="4" t="s">
        <v>10003</v>
      </c>
      <c r="L90" s="4" t="s">
        <v>10004</v>
      </c>
      <c r="M90" s="4" t="s">
        <v>46</v>
      </c>
      <c r="N90" s="4"/>
      <c r="O90" s="4" t="s">
        <v>47</v>
      </c>
      <c r="P90" s="4" t="s">
        <v>48</v>
      </c>
      <c r="Q90" s="4">
        <v>0</v>
      </c>
      <c r="R90" s="4" t="b">
        <v>0</v>
      </c>
      <c r="S90" s="4" t="s">
        <v>49</v>
      </c>
      <c r="T90" s="4" t="s">
        <v>1058</v>
      </c>
      <c r="U90" s="4" t="s">
        <v>71</v>
      </c>
      <c r="V90" s="4" t="s">
        <v>405</v>
      </c>
      <c r="W90" s="4" t="s">
        <v>406</v>
      </c>
      <c r="X90" s="4" t="s">
        <v>54</v>
      </c>
      <c r="Y90" s="4"/>
      <c r="Z90" s="12">
        <v>0</v>
      </c>
      <c r="AA90" s="13" t="s">
        <v>9655</v>
      </c>
      <c r="AB90" s="13" t="s">
        <v>9138</v>
      </c>
      <c r="AC90" s="14" t="s">
        <v>9139</v>
      </c>
      <c r="AD90" s="14" t="s">
        <v>9140</v>
      </c>
      <c r="AE90" s="14" t="s">
        <v>9140</v>
      </c>
      <c r="AF90" s="14" t="s">
        <v>405</v>
      </c>
      <c r="AG90" s="14" t="s">
        <v>54</v>
      </c>
      <c r="AH90" s="15" t="s">
        <v>9141</v>
      </c>
      <c r="AI90" s="15" t="s">
        <v>9175</v>
      </c>
      <c r="AJ90" s="15" t="s">
        <v>9143</v>
      </c>
      <c r="AK90" s="15" t="s">
        <v>9141</v>
      </c>
      <c r="AL90" s="15" t="s">
        <v>9175</v>
      </c>
      <c r="AM90" s="16" t="s">
        <v>9141</v>
      </c>
      <c r="AN90" s="16" t="s">
        <v>9176</v>
      </c>
    </row>
    <row r="91" spans="1:40" x14ac:dyDescent="0.25">
      <c r="A91" s="4" t="s">
        <v>10005</v>
      </c>
      <c r="B91" s="4"/>
      <c r="C91" s="4" t="s">
        <v>39</v>
      </c>
      <c r="D91" s="4" t="s">
        <v>10006</v>
      </c>
      <c r="E91" s="4" t="s">
        <v>10007</v>
      </c>
      <c r="F91" s="10">
        <v>45778</v>
      </c>
      <c r="G91" s="11">
        <v>0.50277777777777777</v>
      </c>
      <c r="H91" s="4" t="s">
        <v>4516</v>
      </c>
      <c r="I91" s="4" t="s">
        <v>8740</v>
      </c>
      <c r="J91" s="4" t="s">
        <v>8741</v>
      </c>
      <c r="K91" s="4" t="s">
        <v>10008</v>
      </c>
      <c r="L91" s="4" t="s">
        <v>10009</v>
      </c>
      <c r="M91" s="4" t="s">
        <v>46</v>
      </c>
      <c r="N91" s="4"/>
      <c r="O91" s="4" t="s">
        <v>47</v>
      </c>
      <c r="P91" s="4" t="s">
        <v>48</v>
      </c>
      <c r="Q91" s="4">
        <v>0</v>
      </c>
      <c r="R91" s="4" t="b">
        <v>0</v>
      </c>
      <c r="S91" s="4" t="s">
        <v>61</v>
      </c>
      <c r="T91" s="4" t="s">
        <v>50</v>
      </c>
      <c r="U91" s="4" t="s">
        <v>71</v>
      </c>
      <c r="V91" s="4" t="s">
        <v>72</v>
      </c>
      <c r="W91" s="4" t="s">
        <v>73</v>
      </c>
      <c r="X91" s="4" t="s">
        <v>54</v>
      </c>
      <c r="Y91" s="4"/>
      <c r="Z91" s="12">
        <v>0</v>
      </c>
      <c r="AA91" s="13" t="s">
        <v>9655</v>
      </c>
      <c r="AB91" s="13" t="s">
        <v>9138</v>
      </c>
      <c r="AC91" s="14" t="s">
        <v>9148</v>
      </c>
      <c r="AD91" s="14" t="s">
        <v>9140</v>
      </c>
      <c r="AE91" s="14" t="s">
        <v>9140</v>
      </c>
      <c r="AF91" s="14" t="s">
        <v>72</v>
      </c>
      <c r="AG91" s="14" t="s">
        <v>54</v>
      </c>
      <c r="AH91" s="15" t="s">
        <v>9220</v>
      </c>
      <c r="AI91" s="15" t="s">
        <v>9188</v>
      </c>
      <c r="AJ91" s="15" t="s">
        <v>9143</v>
      </c>
      <c r="AK91" s="15" t="s">
        <v>9221</v>
      </c>
      <c r="AL91" s="15" t="s">
        <v>9232</v>
      </c>
      <c r="AM91" s="16" t="s">
        <v>9221</v>
      </c>
      <c r="AN91" s="16" t="s">
        <v>9233</v>
      </c>
    </row>
    <row r="92" spans="1:40" x14ac:dyDescent="0.25">
      <c r="A92" s="4" t="s">
        <v>10010</v>
      </c>
      <c r="B92" s="4"/>
      <c r="C92" s="4" t="s">
        <v>39</v>
      </c>
      <c r="D92" s="4" t="s">
        <v>5320</v>
      </c>
      <c r="E92" s="4" t="s">
        <v>5321</v>
      </c>
      <c r="F92" s="10">
        <v>45777</v>
      </c>
      <c r="G92" s="11">
        <v>0.72916666666666663</v>
      </c>
      <c r="H92" s="4" t="s">
        <v>4516</v>
      </c>
      <c r="I92" s="4" t="s">
        <v>5275</v>
      </c>
      <c r="J92" s="4" t="s">
        <v>5276</v>
      </c>
      <c r="K92" s="4" t="s">
        <v>836</v>
      </c>
      <c r="L92" s="4" t="s">
        <v>10011</v>
      </c>
      <c r="M92" s="4" t="s">
        <v>46</v>
      </c>
      <c r="N92" s="4"/>
      <c r="O92" s="4" t="s">
        <v>47</v>
      </c>
      <c r="P92" s="4" t="s">
        <v>48</v>
      </c>
      <c r="Q92" s="4">
        <v>0</v>
      </c>
      <c r="R92" s="4" t="b">
        <v>0</v>
      </c>
      <c r="S92" s="4" t="s">
        <v>61</v>
      </c>
      <c r="T92" s="4" t="s">
        <v>115</v>
      </c>
      <c r="U92" s="4" t="s">
        <v>71</v>
      </c>
      <c r="V92" s="4" t="s">
        <v>52</v>
      </c>
      <c r="W92" s="4" t="s">
        <v>255</v>
      </c>
      <c r="X92" s="4" t="s">
        <v>54</v>
      </c>
      <c r="Y92" s="4"/>
      <c r="Z92" s="12">
        <v>0</v>
      </c>
      <c r="AA92" s="13" t="s">
        <v>9655</v>
      </c>
      <c r="AB92" s="13" t="s">
        <v>9138</v>
      </c>
      <c r="AC92" s="14" t="s">
        <v>9148</v>
      </c>
      <c r="AD92" s="14" t="s">
        <v>9140</v>
      </c>
      <c r="AE92" s="14" t="s">
        <v>9140</v>
      </c>
      <c r="AF92" s="14" t="s">
        <v>52</v>
      </c>
      <c r="AG92" s="14" t="s">
        <v>54</v>
      </c>
      <c r="AH92" s="15" t="s">
        <v>9220</v>
      </c>
      <c r="AI92" s="15" t="s">
        <v>9188</v>
      </c>
      <c r="AJ92" s="15" t="s">
        <v>9143</v>
      </c>
      <c r="AK92" s="15" t="s">
        <v>9221</v>
      </c>
      <c r="AL92" s="15" t="s">
        <v>9230</v>
      </c>
      <c r="AM92" s="16" t="s">
        <v>9221</v>
      </c>
      <c r="AN92" s="16" t="s">
        <v>9231</v>
      </c>
    </row>
    <row r="93" spans="1:40" x14ac:dyDescent="0.25">
      <c r="A93" s="4" t="s">
        <v>10012</v>
      </c>
      <c r="B93" s="4"/>
      <c r="C93" s="4" t="s">
        <v>39</v>
      </c>
      <c r="D93" s="4" t="s">
        <v>10013</v>
      </c>
      <c r="E93" s="4" t="s">
        <v>10014</v>
      </c>
      <c r="F93" s="10">
        <v>45776</v>
      </c>
      <c r="G93" s="11">
        <v>0.70833333333333337</v>
      </c>
      <c r="H93" s="4" t="s">
        <v>4910</v>
      </c>
      <c r="I93" s="4" t="s">
        <v>7457</v>
      </c>
      <c r="J93" s="4" t="s">
        <v>2378</v>
      </c>
      <c r="K93" s="4" t="s">
        <v>5194</v>
      </c>
      <c r="L93" s="4" t="s">
        <v>10015</v>
      </c>
      <c r="M93" s="4" t="s">
        <v>46</v>
      </c>
      <c r="N93" s="4"/>
      <c r="O93" s="4" t="s">
        <v>47</v>
      </c>
      <c r="P93" s="4" t="s">
        <v>48</v>
      </c>
      <c r="Q93" s="4">
        <v>0</v>
      </c>
      <c r="R93" s="4" t="b">
        <v>0</v>
      </c>
      <c r="S93" s="4" t="s">
        <v>49</v>
      </c>
      <c r="T93" s="4" t="s">
        <v>50</v>
      </c>
      <c r="U93" s="4" t="s">
        <v>80</v>
      </c>
      <c r="V93" s="4" t="s">
        <v>81</v>
      </c>
      <c r="W93" s="4" t="s">
        <v>82</v>
      </c>
      <c r="X93" s="4" t="s">
        <v>54</v>
      </c>
      <c r="Y93" s="4"/>
      <c r="Z93" s="12">
        <v>0</v>
      </c>
      <c r="AA93" s="13" t="s">
        <v>9655</v>
      </c>
      <c r="AB93" s="13" t="s">
        <v>9138</v>
      </c>
      <c r="AC93" s="14" t="s">
        <v>9139</v>
      </c>
      <c r="AD93" s="14" t="s">
        <v>9140</v>
      </c>
      <c r="AE93" s="14" t="s">
        <v>9140</v>
      </c>
      <c r="AF93" s="14" t="s">
        <v>81</v>
      </c>
      <c r="AG93" s="14" t="s">
        <v>54</v>
      </c>
      <c r="AH93" s="15" t="s">
        <v>9220</v>
      </c>
      <c r="AI93" s="15" t="s">
        <v>9191</v>
      </c>
      <c r="AJ93" s="15" t="s">
        <v>9143</v>
      </c>
      <c r="AK93" s="15" t="s">
        <v>9221</v>
      </c>
      <c r="AL93" s="15" t="s">
        <v>9226</v>
      </c>
      <c r="AM93" s="16" t="s">
        <v>9221</v>
      </c>
      <c r="AN93" s="16" t="s">
        <v>9227</v>
      </c>
    </row>
    <row r="94" spans="1:40" x14ac:dyDescent="0.25">
      <c r="A94" s="4" t="s">
        <v>10016</v>
      </c>
      <c r="B94" s="4"/>
      <c r="C94" s="4" t="s">
        <v>39</v>
      </c>
      <c r="D94" s="4" t="s">
        <v>10017</v>
      </c>
      <c r="E94" s="4" t="s">
        <v>10018</v>
      </c>
      <c r="F94" s="10">
        <v>45776</v>
      </c>
      <c r="G94" s="11">
        <v>0.45833333333333331</v>
      </c>
      <c r="H94" s="4" t="s">
        <v>1939</v>
      </c>
      <c r="I94" s="4" t="s">
        <v>2322</v>
      </c>
      <c r="J94" s="4" t="s">
        <v>1037</v>
      </c>
      <c r="K94" s="4" t="s">
        <v>10019</v>
      </c>
      <c r="L94" s="4" t="s">
        <v>10020</v>
      </c>
      <c r="M94" s="4" t="s">
        <v>46</v>
      </c>
      <c r="N94" s="4"/>
      <c r="O94" s="4" t="s">
        <v>47</v>
      </c>
      <c r="P94" s="4" t="s">
        <v>48</v>
      </c>
      <c r="Q94" s="4">
        <v>0</v>
      </c>
      <c r="R94" s="4" t="b">
        <v>0</v>
      </c>
      <c r="S94" s="4" t="s">
        <v>184</v>
      </c>
      <c r="T94" s="4" t="s">
        <v>50</v>
      </c>
      <c r="U94" s="4" t="s">
        <v>480</v>
      </c>
      <c r="V94" s="4" t="s">
        <v>63</v>
      </c>
      <c r="W94" s="4" t="s">
        <v>108</v>
      </c>
      <c r="X94" s="4" t="s">
        <v>54</v>
      </c>
      <c r="Y94" s="4"/>
      <c r="Z94" s="12">
        <v>0</v>
      </c>
      <c r="AA94" s="13" t="s">
        <v>9655</v>
      </c>
      <c r="AB94" s="13" t="s">
        <v>9138</v>
      </c>
      <c r="AC94" s="14" t="s">
        <v>9166</v>
      </c>
      <c r="AD94" s="14" t="s">
        <v>9140</v>
      </c>
      <c r="AE94" s="14" t="s">
        <v>9140</v>
      </c>
      <c r="AF94" s="14" t="s">
        <v>63</v>
      </c>
      <c r="AG94" s="14" t="s">
        <v>54</v>
      </c>
      <c r="AH94" s="15" t="s">
        <v>9194</v>
      </c>
      <c r="AI94" s="15" t="s">
        <v>9175</v>
      </c>
      <c r="AJ94" s="15" t="s">
        <v>9143</v>
      </c>
      <c r="AK94" s="15" t="s">
        <v>9194</v>
      </c>
      <c r="AL94" s="15" t="s">
        <v>9195</v>
      </c>
      <c r="AM94" s="16" t="s">
        <v>9194</v>
      </c>
      <c r="AN94" s="16" t="s">
        <v>9196</v>
      </c>
    </row>
    <row r="95" spans="1:40" x14ac:dyDescent="0.25">
      <c r="A95" s="4" t="s">
        <v>10021</v>
      </c>
      <c r="B95" s="4"/>
      <c r="C95" s="4" t="s">
        <v>39</v>
      </c>
      <c r="D95" s="4" t="s">
        <v>10022</v>
      </c>
      <c r="E95" s="4" t="s">
        <v>10023</v>
      </c>
      <c r="F95" s="10">
        <v>45775</v>
      </c>
      <c r="G95" s="11">
        <v>0.52083333333333337</v>
      </c>
      <c r="H95" s="4" t="s">
        <v>463</v>
      </c>
      <c r="I95" s="4">
        <v>2039</v>
      </c>
      <c r="J95" s="4" t="s">
        <v>988</v>
      </c>
      <c r="K95" s="4" t="s">
        <v>10024</v>
      </c>
      <c r="L95" s="4" t="s">
        <v>10025</v>
      </c>
      <c r="M95" s="4" t="s">
        <v>46</v>
      </c>
      <c r="N95" s="4"/>
      <c r="O95" s="4" t="s">
        <v>47</v>
      </c>
      <c r="P95" s="4" t="s">
        <v>48</v>
      </c>
      <c r="Q95" s="4">
        <v>0</v>
      </c>
      <c r="R95" s="4" t="b">
        <v>0</v>
      </c>
      <c r="S95" s="4" t="s">
        <v>61</v>
      </c>
      <c r="T95" s="4" t="s">
        <v>50</v>
      </c>
      <c r="U95" s="4" t="s">
        <v>3093</v>
      </c>
      <c r="V95" s="4" t="s">
        <v>63</v>
      </c>
      <c r="W95" s="4" t="s">
        <v>108</v>
      </c>
      <c r="X95" s="4" t="s">
        <v>54</v>
      </c>
      <c r="Y95" s="4"/>
      <c r="Z95" s="12">
        <v>0</v>
      </c>
      <c r="AA95" s="13" t="s">
        <v>9655</v>
      </c>
      <c r="AB95" s="13" t="s">
        <v>9138</v>
      </c>
      <c r="AC95" s="14" t="s">
        <v>9148</v>
      </c>
      <c r="AD95" s="14" t="s">
        <v>9140</v>
      </c>
      <c r="AE95" s="14" t="s">
        <v>9140</v>
      </c>
      <c r="AF95" s="14" t="s">
        <v>63</v>
      </c>
      <c r="AG95" s="14" t="s">
        <v>54</v>
      </c>
      <c r="AH95" s="15" t="s">
        <v>9141</v>
      </c>
      <c r="AI95" s="15" t="s">
        <v>9175</v>
      </c>
      <c r="AJ95" s="15" t="s">
        <v>9143</v>
      </c>
      <c r="AK95" s="15" t="s">
        <v>9141</v>
      </c>
      <c r="AL95" s="15" t="s">
        <v>9175</v>
      </c>
      <c r="AM95" s="16" t="s">
        <v>9141</v>
      </c>
      <c r="AN95" s="16" t="s">
        <v>9176</v>
      </c>
    </row>
    <row r="96" spans="1:40" x14ac:dyDescent="0.25">
      <c r="A96" s="4" t="s">
        <v>10026</v>
      </c>
      <c r="B96" s="4" t="s">
        <v>10027</v>
      </c>
      <c r="C96" s="4" t="s">
        <v>39</v>
      </c>
      <c r="D96" s="4" t="s">
        <v>10028</v>
      </c>
      <c r="E96" s="4" t="s">
        <v>3380</v>
      </c>
      <c r="F96" s="10">
        <v>45775</v>
      </c>
      <c r="G96" s="11">
        <v>0.52083333333333337</v>
      </c>
      <c r="H96" s="4" t="s">
        <v>1155</v>
      </c>
      <c r="I96" s="4">
        <v>4045</v>
      </c>
      <c r="J96" s="4" t="s">
        <v>1329</v>
      </c>
      <c r="K96" s="4" t="s">
        <v>243</v>
      </c>
      <c r="L96" s="4" t="s">
        <v>10029</v>
      </c>
      <c r="M96" s="4" t="s">
        <v>28</v>
      </c>
      <c r="N96" s="4" t="s">
        <v>478</v>
      </c>
      <c r="O96" s="4" t="s">
        <v>191</v>
      </c>
      <c r="P96" s="4" t="s">
        <v>60</v>
      </c>
      <c r="Q96" s="4">
        <v>2</v>
      </c>
      <c r="R96" s="4" t="b">
        <v>0</v>
      </c>
      <c r="S96" s="4" t="s">
        <v>184</v>
      </c>
      <c r="T96" s="4" t="s">
        <v>115</v>
      </c>
      <c r="U96" s="4" t="s">
        <v>51</v>
      </c>
      <c r="V96" s="4" t="s">
        <v>52</v>
      </c>
      <c r="W96" s="4" t="s">
        <v>135</v>
      </c>
      <c r="X96" s="4" t="s">
        <v>54</v>
      </c>
      <c r="Y96" s="4"/>
      <c r="Z96" s="12" t="s">
        <v>60</v>
      </c>
      <c r="AA96" s="13" t="s">
        <v>9655</v>
      </c>
      <c r="AB96" s="13" t="s">
        <v>9138</v>
      </c>
      <c r="AC96" s="14" t="s">
        <v>9166</v>
      </c>
      <c r="AD96" s="14" t="s">
        <v>28</v>
      </c>
      <c r="AE96" s="14" t="s">
        <v>478</v>
      </c>
      <c r="AF96" s="14" t="s">
        <v>52</v>
      </c>
      <c r="AG96" s="14" t="s">
        <v>54</v>
      </c>
      <c r="AH96" s="15" t="s">
        <v>9141</v>
      </c>
      <c r="AI96" s="15" t="s">
        <v>9187</v>
      </c>
      <c r="AJ96" s="15" t="s">
        <v>9143</v>
      </c>
      <c r="AK96" s="15" t="s">
        <v>9141</v>
      </c>
      <c r="AL96" s="15" t="s">
        <v>9144</v>
      </c>
      <c r="AM96" s="16" t="s">
        <v>9141</v>
      </c>
      <c r="AN96" s="16" t="s">
        <v>9145</v>
      </c>
    </row>
    <row r="97" spans="1:40" x14ac:dyDescent="0.25">
      <c r="A97" s="4" t="s">
        <v>1739</v>
      </c>
      <c r="B97" s="4"/>
      <c r="C97" s="4" t="s">
        <v>39</v>
      </c>
      <c r="D97" s="4" t="s">
        <v>1740</v>
      </c>
      <c r="E97" s="4" t="s">
        <v>1741</v>
      </c>
      <c r="F97" s="10">
        <v>45774</v>
      </c>
      <c r="G97" s="11">
        <v>0.50555555555555554</v>
      </c>
      <c r="H97" s="4" t="s">
        <v>1654</v>
      </c>
      <c r="I97" s="4">
        <v>9095</v>
      </c>
      <c r="J97" s="4" t="s">
        <v>1742</v>
      </c>
      <c r="K97" s="4" t="s">
        <v>1743</v>
      </c>
      <c r="L97" s="4" t="s">
        <v>1744</v>
      </c>
      <c r="M97" s="4" t="s">
        <v>46</v>
      </c>
      <c r="N97" s="4"/>
      <c r="O97" s="4" t="s">
        <v>191</v>
      </c>
      <c r="P97" s="4" t="s">
        <v>48</v>
      </c>
      <c r="Q97" s="4">
        <v>0</v>
      </c>
      <c r="R97" s="4" t="b">
        <v>0</v>
      </c>
      <c r="S97" s="4" t="s">
        <v>114</v>
      </c>
      <c r="T97" s="4" t="s">
        <v>115</v>
      </c>
      <c r="U97" s="4" t="s">
        <v>140</v>
      </c>
      <c r="V97" s="4" t="s">
        <v>123</v>
      </c>
      <c r="W97" s="4" t="s">
        <v>124</v>
      </c>
      <c r="X97" s="4" t="s">
        <v>54</v>
      </c>
      <c r="Y97" s="4"/>
      <c r="Z97" s="12">
        <v>0</v>
      </c>
      <c r="AA97" s="13" t="s">
        <v>9137</v>
      </c>
      <c r="AB97" s="13" t="s">
        <v>9138</v>
      </c>
      <c r="AC97" s="14" t="s">
        <v>9157</v>
      </c>
      <c r="AD97" s="14" t="s">
        <v>9140</v>
      </c>
      <c r="AE97" s="14" t="s">
        <v>9140</v>
      </c>
      <c r="AF97" s="14" t="s">
        <v>123</v>
      </c>
      <c r="AG97" s="14" t="s">
        <v>54</v>
      </c>
      <c r="AH97" s="15" t="s">
        <v>9141</v>
      </c>
      <c r="AI97" s="15" t="s">
        <v>9191</v>
      </c>
      <c r="AJ97" s="15" t="s">
        <v>9143</v>
      </c>
      <c r="AK97" s="15" t="s">
        <v>9141</v>
      </c>
      <c r="AL97" s="15" t="s">
        <v>9191</v>
      </c>
      <c r="AM97" s="16" t="s">
        <v>9141</v>
      </c>
      <c r="AN97" s="16" t="s">
        <v>9192</v>
      </c>
    </row>
    <row r="98" spans="1:40" x14ac:dyDescent="0.25">
      <c r="A98" s="4" t="s">
        <v>1170</v>
      </c>
      <c r="B98" s="4"/>
      <c r="C98" s="4" t="s">
        <v>39</v>
      </c>
      <c r="D98" s="4" t="s">
        <v>1171</v>
      </c>
      <c r="E98" s="4" t="s">
        <v>1172</v>
      </c>
      <c r="F98" s="10">
        <v>45773</v>
      </c>
      <c r="G98" s="11">
        <v>0.33333333333333331</v>
      </c>
      <c r="H98" s="4" t="s">
        <v>1155</v>
      </c>
      <c r="I98" s="4">
        <v>4042</v>
      </c>
      <c r="J98" s="4" t="s">
        <v>1173</v>
      </c>
      <c r="K98" s="4" t="s">
        <v>1174</v>
      </c>
      <c r="L98" s="4" t="s">
        <v>1175</v>
      </c>
      <c r="M98" s="4" t="s">
        <v>28</v>
      </c>
      <c r="N98" s="4" t="s">
        <v>478</v>
      </c>
      <c r="O98" s="4" t="s">
        <v>344</v>
      </c>
      <c r="P98" s="4" t="s">
        <v>60</v>
      </c>
      <c r="Q98" s="4">
        <v>19</v>
      </c>
      <c r="R98" s="4" t="b">
        <v>0</v>
      </c>
      <c r="S98" s="4" t="s">
        <v>61</v>
      </c>
      <c r="T98" s="4" t="s">
        <v>115</v>
      </c>
      <c r="U98" s="4" t="s">
        <v>426</v>
      </c>
      <c r="V98" s="4" t="s">
        <v>225</v>
      </c>
      <c r="W98" s="4" t="s">
        <v>226</v>
      </c>
      <c r="X98" s="4" t="s">
        <v>54</v>
      </c>
      <c r="Y98" s="4"/>
      <c r="Z98" s="12" t="s">
        <v>60</v>
      </c>
      <c r="AA98" s="13" t="s">
        <v>9137</v>
      </c>
      <c r="AB98" s="13" t="s">
        <v>9138</v>
      </c>
      <c r="AC98" s="14" t="s">
        <v>9148</v>
      </c>
      <c r="AD98" s="14" t="s">
        <v>28</v>
      </c>
      <c r="AE98" s="14" t="s">
        <v>478</v>
      </c>
      <c r="AF98" s="14" t="s">
        <v>225</v>
      </c>
      <c r="AG98" s="14" t="s">
        <v>54</v>
      </c>
      <c r="AH98" s="15" t="s">
        <v>9141</v>
      </c>
      <c r="AI98" s="15" t="s">
        <v>9187</v>
      </c>
      <c r="AJ98" s="15" t="s">
        <v>9143</v>
      </c>
      <c r="AK98" s="15" t="s">
        <v>9141</v>
      </c>
      <c r="AL98" s="15" t="s">
        <v>9144</v>
      </c>
      <c r="AM98" s="16" t="s">
        <v>9141</v>
      </c>
      <c r="AN98" s="16" t="s">
        <v>9145</v>
      </c>
    </row>
    <row r="99" spans="1:40" x14ac:dyDescent="0.25">
      <c r="A99" s="4" t="s">
        <v>4239</v>
      </c>
      <c r="B99" s="4"/>
      <c r="C99" s="4" t="s">
        <v>39</v>
      </c>
      <c r="D99" s="4" t="s">
        <v>4240</v>
      </c>
      <c r="E99" s="4" t="s">
        <v>4241</v>
      </c>
      <c r="F99" s="10">
        <v>45773</v>
      </c>
      <c r="G99" s="11">
        <v>0.59027777777777779</v>
      </c>
      <c r="H99" s="4" t="s">
        <v>4242</v>
      </c>
      <c r="I99" s="4" t="s">
        <v>4243</v>
      </c>
      <c r="J99" s="4" t="s">
        <v>1200</v>
      </c>
      <c r="K99" s="4" t="s">
        <v>4244</v>
      </c>
      <c r="L99" s="4" t="s">
        <v>4245</v>
      </c>
      <c r="M99" s="4" t="s">
        <v>46</v>
      </c>
      <c r="N99" s="4"/>
      <c r="O99" s="4" t="s">
        <v>47</v>
      </c>
      <c r="P99" s="4" t="s">
        <v>48</v>
      </c>
      <c r="Q99" s="4">
        <v>0</v>
      </c>
      <c r="R99" s="4" t="b">
        <v>0</v>
      </c>
      <c r="S99" s="4" t="s">
        <v>49</v>
      </c>
      <c r="T99" s="4" t="s">
        <v>70</v>
      </c>
      <c r="U99" s="4" t="s">
        <v>71</v>
      </c>
      <c r="V99" s="4" t="s">
        <v>72</v>
      </c>
      <c r="W99" s="4" t="s">
        <v>73</v>
      </c>
      <c r="X99" s="4" t="s">
        <v>54</v>
      </c>
      <c r="Y99" s="4" t="s">
        <v>4246</v>
      </c>
      <c r="Z99" s="12">
        <v>0</v>
      </c>
      <c r="AA99" s="13" t="s">
        <v>9137</v>
      </c>
      <c r="AB99" s="13" t="s">
        <v>9138</v>
      </c>
      <c r="AC99" s="14" t="s">
        <v>9139</v>
      </c>
      <c r="AD99" s="14" t="s">
        <v>9140</v>
      </c>
      <c r="AE99" s="14" t="s">
        <v>9140</v>
      </c>
      <c r="AF99" s="14" t="s">
        <v>72</v>
      </c>
      <c r="AG99" s="14" t="s">
        <v>54</v>
      </c>
      <c r="AH99" s="15" t="s">
        <v>9220</v>
      </c>
      <c r="AI99" s="15" t="s">
        <v>9187</v>
      </c>
      <c r="AJ99" s="15" t="s">
        <v>9143</v>
      </c>
      <c r="AK99" s="15" t="s">
        <v>9221</v>
      </c>
      <c r="AL99" s="15" t="s">
        <v>9226</v>
      </c>
      <c r="AM99" s="16" t="s">
        <v>9221</v>
      </c>
      <c r="AN99" s="16" t="s">
        <v>9227</v>
      </c>
    </row>
    <row r="100" spans="1:40" x14ac:dyDescent="0.25">
      <c r="A100" s="4" t="s">
        <v>8220</v>
      </c>
      <c r="B100" s="4"/>
      <c r="C100" s="4" t="s">
        <v>39</v>
      </c>
      <c r="D100" s="4" t="s">
        <v>8221</v>
      </c>
      <c r="E100" s="4" t="s">
        <v>8222</v>
      </c>
      <c r="F100" s="10">
        <v>45771</v>
      </c>
      <c r="G100" s="11">
        <v>0.81458333333333333</v>
      </c>
      <c r="H100" s="4" t="s">
        <v>4910</v>
      </c>
      <c r="I100" s="4" t="s">
        <v>8223</v>
      </c>
      <c r="J100" s="4" t="s">
        <v>1844</v>
      </c>
      <c r="K100" s="4" t="s">
        <v>8224</v>
      </c>
      <c r="L100" s="4" t="s">
        <v>8225</v>
      </c>
      <c r="M100" s="4" t="s">
        <v>46</v>
      </c>
      <c r="N100" s="4"/>
      <c r="O100" s="4" t="s">
        <v>47</v>
      </c>
      <c r="P100" s="4" t="s">
        <v>48</v>
      </c>
      <c r="Q100" s="4">
        <v>0</v>
      </c>
      <c r="R100" s="4" t="b">
        <v>0</v>
      </c>
      <c r="S100" s="4" t="s">
        <v>61</v>
      </c>
      <c r="T100" s="4" t="s">
        <v>115</v>
      </c>
      <c r="U100" s="4" t="s">
        <v>480</v>
      </c>
      <c r="V100" s="4" t="s">
        <v>63</v>
      </c>
      <c r="W100" s="4" t="s">
        <v>108</v>
      </c>
      <c r="X100" s="4" t="s">
        <v>54</v>
      </c>
      <c r="Y100" s="4" t="s">
        <v>176</v>
      </c>
      <c r="Z100" s="12">
        <v>0</v>
      </c>
      <c r="AA100" s="13" t="s">
        <v>9137</v>
      </c>
      <c r="AB100" s="13" t="s">
        <v>9138</v>
      </c>
      <c r="AC100" s="14" t="s">
        <v>9148</v>
      </c>
      <c r="AD100" s="14" t="s">
        <v>9140</v>
      </c>
      <c r="AE100" s="14" t="s">
        <v>9140</v>
      </c>
      <c r="AF100" s="14" t="s">
        <v>63</v>
      </c>
      <c r="AG100" s="14" t="s">
        <v>54</v>
      </c>
      <c r="AH100" s="15" t="s">
        <v>9220</v>
      </c>
      <c r="AI100" s="15" t="s">
        <v>9191</v>
      </c>
      <c r="AJ100" s="15" t="s">
        <v>9143</v>
      </c>
      <c r="AK100" s="15" t="s">
        <v>9221</v>
      </c>
      <c r="AL100" s="15" t="s">
        <v>9226</v>
      </c>
      <c r="AM100" s="16" t="s">
        <v>9221</v>
      </c>
      <c r="AN100" s="16" t="s">
        <v>9227</v>
      </c>
    </row>
    <row r="101" spans="1:40" x14ac:dyDescent="0.25">
      <c r="A101" s="4" t="s">
        <v>535</v>
      </c>
      <c r="B101" s="4"/>
      <c r="C101" s="4" t="s">
        <v>39</v>
      </c>
      <c r="D101" s="4" t="s">
        <v>536</v>
      </c>
      <c r="E101" s="4" t="s">
        <v>537</v>
      </c>
      <c r="F101" s="10">
        <v>45771</v>
      </c>
      <c r="G101" s="11">
        <v>0.56597222222222221</v>
      </c>
      <c r="H101" s="4" t="s">
        <v>463</v>
      </c>
      <c r="I101" s="4">
        <v>2020</v>
      </c>
      <c r="J101" s="4" t="s">
        <v>538</v>
      </c>
      <c r="K101" s="4" t="s">
        <v>539</v>
      </c>
      <c r="L101" s="4" t="s">
        <v>540</v>
      </c>
      <c r="M101" s="4" t="s">
        <v>46</v>
      </c>
      <c r="N101" s="4"/>
      <c r="O101" s="4" t="s">
        <v>47</v>
      </c>
      <c r="P101" s="4" t="s">
        <v>48</v>
      </c>
      <c r="Q101" s="4">
        <v>0</v>
      </c>
      <c r="R101" s="4" t="b">
        <v>0</v>
      </c>
      <c r="S101" s="4" t="s">
        <v>61</v>
      </c>
      <c r="T101" s="4" t="s">
        <v>50</v>
      </c>
      <c r="U101" s="4" t="s">
        <v>480</v>
      </c>
      <c r="V101" s="4" t="s">
        <v>63</v>
      </c>
      <c r="W101" s="4" t="s">
        <v>64</v>
      </c>
      <c r="X101" s="4" t="s">
        <v>54</v>
      </c>
      <c r="Y101" s="4"/>
      <c r="Z101" s="12">
        <v>0</v>
      </c>
      <c r="AA101" s="13" t="s">
        <v>9137</v>
      </c>
      <c r="AB101" s="13" t="s">
        <v>9138</v>
      </c>
      <c r="AC101" s="14" t="s">
        <v>9148</v>
      </c>
      <c r="AD101" s="14" t="s">
        <v>9140</v>
      </c>
      <c r="AE101" s="14" t="s">
        <v>9140</v>
      </c>
      <c r="AF101" s="14" t="s">
        <v>63</v>
      </c>
      <c r="AG101" s="14" t="s">
        <v>54</v>
      </c>
      <c r="AH101" s="15" t="s">
        <v>9141</v>
      </c>
      <c r="AI101" s="15" t="s">
        <v>9175</v>
      </c>
      <c r="AJ101" s="15" t="s">
        <v>9143</v>
      </c>
      <c r="AK101" s="15" t="s">
        <v>9141</v>
      </c>
      <c r="AL101" s="15" t="s">
        <v>9175</v>
      </c>
      <c r="AM101" s="16" t="s">
        <v>9141</v>
      </c>
      <c r="AN101" s="16" t="s">
        <v>9176</v>
      </c>
    </row>
    <row r="102" spans="1:40" x14ac:dyDescent="0.25">
      <c r="A102" s="4" t="s">
        <v>6771</v>
      </c>
      <c r="B102" s="4"/>
      <c r="C102" s="4" t="s">
        <v>39</v>
      </c>
      <c r="D102" s="4" t="s">
        <v>6772</v>
      </c>
      <c r="E102" s="4" t="s">
        <v>6773</v>
      </c>
      <c r="F102" s="10">
        <v>45770</v>
      </c>
      <c r="G102" s="11">
        <v>0.53125</v>
      </c>
      <c r="H102" s="4" t="s">
        <v>4659</v>
      </c>
      <c r="I102" s="4" t="s">
        <v>6774</v>
      </c>
      <c r="J102" s="4" t="s">
        <v>208</v>
      </c>
      <c r="K102" s="4" t="s">
        <v>6775</v>
      </c>
      <c r="L102" s="4" t="s">
        <v>6776</v>
      </c>
      <c r="M102" s="4" t="s">
        <v>46</v>
      </c>
      <c r="N102" s="4"/>
      <c r="O102" s="4" t="s">
        <v>47</v>
      </c>
      <c r="P102" s="4" t="s">
        <v>60</v>
      </c>
      <c r="Q102" s="4">
        <v>0</v>
      </c>
      <c r="R102" s="4" t="b">
        <v>0</v>
      </c>
      <c r="S102" s="4" t="s">
        <v>49</v>
      </c>
      <c r="T102" s="4" t="s">
        <v>50</v>
      </c>
      <c r="U102" s="4" t="s">
        <v>650</v>
      </c>
      <c r="V102" s="4" t="s">
        <v>123</v>
      </c>
      <c r="W102" s="4" t="s">
        <v>192</v>
      </c>
      <c r="X102" s="4" t="s">
        <v>54</v>
      </c>
      <c r="Y102" s="4"/>
      <c r="Z102" s="12">
        <v>0</v>
      </c>
      <c r="AA102" s="13" t="s">
        <v>9137</v>
      </c>
      <c r="AB102" s="13" t="s">
        <v>9138</v>
      </c>
      <c r="AC102" s="14" t="s">
        <v>9139</v>
      </c>
      <c r="AD102" s="14" t="s">
        <v>9140</v>
      </c>
      <c r="AE102" s="14" t="s">
        <v>9140</v>
      </c>
      <c r="AF102" s="14" t="s">
        <v>123</v>
      </c>
      <c r="AG102" s="14" t="s">
        <v>54</v>
      </c>
      <c r="AH102" s="15" t="s">
        <v>9220</v>
      </c>
      <c r="AI102" s="15" t="s">
        <v>9142</v>
      </c>
      <c r="AJ102" s="15" t="s">
        <v>9143</v>
      </c>
      <c r="AK102" s="15" t="s">
        <v>9221</v>
      </c>
      <c r="AL102" s="15" t="s">
        <v>9228</v>
      </c>
      <c r="AM102" s="16" t="s">
        <v>9221</v>
      </c>
      <c r="AN102" s="16" t="s">
        <v>9229</v>
      </c>
    </row>
    <row r="103" spans="1:40" x14ac:dyDescent="0.25">
      <c r="A103" s="4" t="s">
        <v>4089</v>
      </c>
      <c r="B103" s="4"/>
      <c r="C103" s="4" t="s">
        <v>39</v>
      </c>
      <c r="D103" s="4" t="s">
        <v>4090</v>
      </c>
      <c r="E103" s="4" t="s">
        <v>4091</v>
      </c>
      <c r="F103" s="10">
        <v>45769</v>
      </c>
      <c r="G103" s="11">
        <v>0.79513888888888884</v>
      </c>
      <c r="H103" s="4" t="s">
        <v>4019</v>
      </c>
      <c r="I103" s="4" t="s">
        <v>4092</v>
      </c>
      <c r="J103" s="4" t="s">
        <v>4093</v>
      </c>
      <c r="K103" s="4" t="s">
        <v>4094</v>
      </c>
      <c r="L103" s="4" t="s">
        <v>4095</v>
      </c>
      <c r="M103" s="4" t="s">
        <v>46</v>
      </c>
      <c r="N103" s="4"/>
      <c r="O103" s="4" t="s">
        <v>47</v>
      </c>
      <c r="P103" s="4" t="s">
        <v>48</v>
      </c>
      <c r="Q103" s="4">
        <v>0</v>
      </c>
      <c r="R103" s="4" t="b">
        <v>0</v>
      </c>
      <c r="S103" s="4" t="s">
        <v>61</v>
      </c>
      <c r="T103" s="4" t="s">
        <v>115</v>
      </c>
      <c r="U103" s="4" t="s">
        <v>373</v>
      </c>
      <c r="V103" s="4" t="s">
        <v>52</v>
      </c>
      <c r="W103" s="4" t="s">
        <v>374</v>
      </c>
      <c r="X103" s="4" t="s">
        <v>54</v>
      </c>
      <c r="Y103" s="4"/>
      <c r="Z103" s="12">
        <v>0</v>
      </c>
      <c r="AA103" s="13" t="s">
        <v>9137</v>
      </c>
      <c r="AB103" s="13" t="s">
        <v>9138</v>
      </c>
      <c r="AC103" s="14" t="s">
        <v>9148</v>
      </c>
      <c r="AD103" s="14" t="s">
        <v>9140</v>
      </c>
      <c r="AE103" s="14" t="s">
        <v>9140</v>
      </c>
      <c r="AF103" s="14" t="s">
        <v>52</v>
      </c>
      <c r="AG103" s="14" t="s">
        <v>54</v>
      </c>
      <c r="AH103" s="15" t="s">
        <v>9220</v>
      </c>
      <c r="AI103" s="15" t="s">
        <v>9175</v>
      </c>
      <c r="AJ103" s="15" t="s">
        <v>9143</v>
      </c>
      <c r="AK103" s="15" t="s">
        <v>9221</v>
      </c>
      <c r="AL103" s="15" t="s">
        <v>9222</v>
      </c>
      <c r="AM103" s="16" t="s">
        <v>9221</v>
      </c>
      <c r="AN103" s="16" t="s">
        <v>9223</v>
      </c>
    </row>
    <row r="104" spans="1:40" x14ac:dyDescent="0.25">
      <c r="A104" s="4" t="s">
        <v>5118</v>
      </c>
      <c r="B104" s="4"/>
      <c r="C104" s="4" t="s">
        <v>39</v>
      </c>
      <c r="D104" s="4" t="s">
        <v>5119</v>
      </c>
      <c r="E104" s="4" t="s">
        <v>5120</v>
      </c>
      <c r="F104" s="10">
        <v>45769</v>
      </c>
      <c r="G104" s="11">
        <v>0.55277777777777781</v>
      </c>
      <c r="H104" s="4" t="s">
        <v>4910</v>
      </c>
      <c r="I104" s="4" t="s">
        <v>5121</v>
      </c>
      <c r="J104" s="4" t="s">
        <v>1994</v>
      </c>
      <c r="K104" s="4" t="s">
        <v>5122</v>
      </c>
      <c r="L104" s="4" t="s">
        <v>5123</v>
      </c>
      <c r="M104" s="4" t="s">
        <v>46</v>
      </c>
      <c r="N104" s="4"/>
      <c r="O104" s="4" t="s">
        <v>47</v>
      </c>
      <c r="P104" s="4" t="s">
        <v>48</v>
      </c>
      <c r="Q104" s="4">
        <v>0</v>
      </c>
      <c r="R104" s="4" t="b">
        <v>0</v>
      </c>
      <c r="S104" s="4" t="s">
        <v>49</v>
      </c>
      <c r="T104" s="4" t="s">
        <v>50</v>
      </c>
      <c r="U104" s="4" t="s">
        <v>71</v>
      </c>
      <c r="V104" s="4" t="s">
        <v>63</v>
      </c>
      <c r="W104" s="4" t="s">
        <v>108</v>
      </c>
      <c r="X104" s="4" t="s">
        <v>471</v>
      </c>
      <c r="Y104" s="4"/>
      <c r="Z104" s="12">
        <v>0</v>
      </c>
      <c r="AA104" s="13" t="s">
        <v>9137</v>
      </c>
      <c r="AB104" s="13" t="s">
        <v>9138</v>
      </c>
      <c r="AC104" s="14" t="s">
        <v>9139</v>
      </c>
      <c r="AD104" s="14" t="s">
        <v>9140</v>
      </c>
      <c r="AE104" s="14" t="s">
        <v>9140</v>
      </c>
      <c r="AF104" s="14" t="s">
        <v>63</v>
      </c>
      <c r="AG104" s="14" t="s">
        <v>471</v>
      </c>
      <c r="AH104" s="15" t="s">
        <v>9220</v>
      </c>
      <c r="AI104" s="15" t="s">
        <v>9191</v>
      </c>
      <c r="AJ104" s="15" t="s">
        <v>9143</v>
      </c>
      <c r="AK104" s="15" t="s">
        <v>9221</v>
      </c>
      <c r="AL104" s="15" t="s">
        <v>9236</v>
      </c>
      <c r="AM104" s="16" t="s">
        <v>9221</v>
      </c>
      <c r="AN104" s="16" t="s">
        <v>9237</v>
      </c>
    </row>
    <row r="105" spans="1:40" x14ac:dyDescent="0.25">
      <c r="A105" s="4" t="s">
        <v>5873</v>
      </c>
      <c r="B105" s="4"/>
      <c r="C105" s="4" t="s">
        <v>39</v>
      </c>
      <c r="D105" s="4" t="s">
        <v>5874</v>
      </c>
      <c r="E105" s="4" t="s">
        <v>5875</v>
      </c>
      <c r="F105" s="10">
        <v>45768</v>
      </c>
      <c r="G105" s="11">
        <v>0.59375</v>
      </c>
      <c r="H105" s="4" t="s">
        <v>5666</v>
      </c>
      <c r="I105" s="4" t="s">
        <v>5876</v>
      </c>
      <c r="J105" s="4" t="s">
        <v>3313</v>
      </c>
      <c r="K105" s="4" t="s">
        <v>5877</v>
      </c>
      <c r="L105" s="4" t="s">
        <v>5878</v>
      </c>
      <c r="M105" s="4" t="s">
        <v>46</v>
      </c>
      <c r="N105" s="4"/>
      <c r="O105" s="4" t="s">
        <v>47</v>
      </c>
      <c r="P105" s="4" t="s">
        <v>48</v>
      </c>
      <c r="Q105" s="4">
        <v>0</v>
      </c>
      <c r="R105" s="4" t="b">
        <v>0</v>
      </c>
      <c r="S105" s="4" t="s">
        <v>49</v>
      </c>
      <c r="T105" s="4" t="s">
        <v>50</v>
      </c>
      <c r="U105" s="4" t="s">
        <v>90</v>
      </c>
      <c r="V105" s="4" t="s">
        <v>72</v>
      </c>
      <c r="W105" s="4" t="s">
        <v>73</v>
      </c>
      <c r="X105" s="4" t="s">
        <v>54</v>
      </c>
      <c r="Y105" s="4"/>
      <c r="Z105" s="12">
        <v>0</v>
      </c>
      <c r="AA105" s="13" t="s">
        <v>9137</v>
      </c>
      <c r="AB105" s="13" t="s">
        <v>9138</v>
      </c>
      <c r="AC105" s="14" t="s">
        <v>9139</v>
      </c>
      <c r="AD105" s="14" t="s">
        <v>9140</v>
      </c>
      <c r="AE105" s="14" t="s">
        <v>9140</v>
      </c>
      <c r="AF105" s="14" t="s">
        <v>72</v>
      </c>
      <c r="AG105" s="14" t="s">
        <v>54</v>
      </c>
      <c r="AH105" s="15" t="s">
        <v>9220</v>
      </c>
      <c r="AI105" s="15" t="s">
        <v>9199</v>
      </c>
      <c r="AJ105" s="15" t="s">
        <v>9143</v>
      </c>
      <c r="AK105" s="15" t="s">
        <v>9221</v>
      </c>
      <c r="AL105" s="15" t="s">
        <v>9199</v>
      </c>
      <c r="AM105" s="16" t="s">
        <v>9221</v>
      </c>
      <c r="AN105" s="16" t="s">
        <v>9238</v>
      </c>
    </row>
    <row r="106" spans="1:40" x14ac:dyDescent="0.25">
      <c r="A106" s="4" t="s">
        <v>7608</v>
      </c>
      <c r="B106" s="4"/>
      <c r="C106" s="4" t="s">
        <v>39</v>
      </c>
      <c r="D106" s="4" t="s">
        <v>7609</v>
      </c>
      <c r="E106" s="4" t="s">
        <v>7610</v>
      </c>
      <c r="F106" s="10">
        <v>45767</v>
      </c>
      <c r="G106" s="11">
        <v>0.5</v>
      </c>
      <c r="H106" s="4" t="s">
        <v>4910</v>
      </c>
      <c r="I106" s="4" t="s">
        <v>7611</v>
      </c>
      <c r="J106" s="4" t="s">
        <v>3335</v>
      </c>
      <c r="K106" s="4" t="s">
        <v>7612</v>
      </c>
      <c r="L106" s="4" t="s">
        <v>7613</v>
      </c>
      <c r="M106" s="4" t="s">
        <v>46</v>
      </c>
      <c r="N106" s="4"/>
      <c r="O106" s="4" t="s">
        <v>47</v>
      </c>
      <c r="P106" s="4" t="s">
        <v>48</v>
      </c>
      <c r="Q106" s="4">
        <v>0</v>
      </c>
      <c r="R106" s="4" t="b">
        <v>0</v>
      </c>
      <c r="S106" s="4" t="s">
        <v>49</v>
      </c>
      <c r="T106" s="4" t="s">
        <v>70</v>
      </c>
      <c r="U106" s="4" t="s">
        <v>51</v>
      </c>
      <c r="V106" s="4" t="s">
        <v>72</v>
      </c>
      <c r="W106" s="4" t="s">
        <v>73</v>
      </c>
      <c r="X106" s="4" t="s">
        <v>54</v>
      </c>
      <c r="Y106" s="4"/>
      <c r="Z106" s="12">
        <v>0</v>
      </c>
      <c r="AA106" s="13" t="s">
        <v>9137</v>
      </c>
      <c r="AB106" s="13" t="s">
        <v>9138</v>
      </c>
      <c r="AC106" s="14" t="s">
        <v>9139</v>
      </c>
      <c r="AD106" s="14" t="s">
        <v>9140</v>
      </c>
      <c r="AE106" s="14" t="s">
        <v>9140</v>
      </c>
      <c r="AF106" s="14" t="s">
        <v>72</v>
      </c>
      <c r="AG106" s="14" t="s">
        <v>54</v>
      </c>
      <c r="AH106" s="15" t="s">
        <v>9220</v>
      </c>
      <c r="AI106" s="15" t="s">
        <v>9191</v>
      </c>
      <c r="AJ106" s="15" t="s">
        <v>9143</v>
      </c>
      <c r="AK106" s="15" t="s">
        <v>9221</v>
      </c>
      <c r="AL106" s="15" t="s">
        <v>9226</v>
      </c>
      <c r="AM106" s="16" t="s">
        <v>9221</v>
      </c>
      <c r="AN106" s="16" t="s">
        <v>9227</v>
      </c>
    </row>
    <row r="107" spans="1:40" x14ac:dyDescent="0.25">
      <c r="A107" s="4" t="s">
        <v>4247</v>
      </c>
      <c r="B107" s="4"/>
      <c r="C107" s="4" t="s">
        <v>39</v>
      </c>
      <c r="D107" s="4" t="s">
        <v>4248</v>
      </c>
      <c r="E107" s="4" t="s">
        <v>4249</v>
      </c>
      <c r="F107" s="10">
        <v>45767</v>
      </c>
      <c r="G107" s="11">
        <v>0.47916666666666669</v>
      </c>
      <c r="H107" s="4" t="s">
        <v>4242</v>
      </c>
      <c r="I107" s="4" t="s">
        <v>4243</v>
      </c>
      <c r="J107" s="4" t="s">
        <v>1200</v>
      </c>
      <c r="K107" s="4" t="s">
        <v>4250</v>
      </c>
      <c r="L107" s="4" t="s">
        <v>4251</v>
      </c>
      <c r="M107" s="4" t="s">
        <v>46</v>
      </c>
      <c r="N107" s="4"/>
      <c r="O107" s="4" t="s">
        <v>47</v>
      </c>
      <c r="P107" s="4" t="s">
        <v>48</v>
      </c>
      <c r="Q107" s="4">
        <v>0</v>
      </c>
      <c r="R107" s="4" t="b">
        <v>0</v>
      </c>
      <c r="S107" s="4" t="s">
        <v>49</v>
      </c>
      <c r="T107" s="4" t="s">
        <v>70</v>
      </c>
      <c r="U107" s="4" t="s">
        <v>71</v>
      </c>
      <c r="V107" s="4" t="s">
        <v>72</v>
      </c>
      <c r="W107" s="4" t="s">
        <v>97</v>
      </c>
      <c r="X107" s="4" t="s">
        <v>54</v>
      </c>
      <c r="Y107" s="4" t="s">
        <v>211</v>
      </c>
      <c r="Z107" s="12">
        <v>0</v>
      </c>
      <c r="AA107" s="13" t="s">
        <v>9137</v>
      </c>
      <c r="AB107" s="13" t="s">
        <v>9138</v>
      </c>
      <c r="AC107" s="14" t="s">
        <v>9139</v>
      </c>
      <c r="AD107" s="14" t="s">
        <v>9140</v>
      </c>
      <c r="AE107" s="14" t="s">
        <v>9140</v>
      </c>
      <c r="AF107" s="14" t="s">
        <v>72</v>
      </c>
      <c r="AG107" s="14" t="s">
        <v>54</v>
      </c>
      <c r="AH107" s="15" t="s">
        <v>9220</v>
      </c>
      <c r="AI107" s="15" t="s">
        <v>9187</v>
      </c>
      <c r="AJ107" s="15" t="s">
        <v>9143</v>
      </c>
      <c r="AK107" s="15" t="s">
        <v>9221</v>
      </c>
      <c r="AL107" s="15" t="s">
        <v>9226</v>
      </c>
      <c r="AM107" s="16" t="s">
        <v>9221</v>
      </c>
      <c r="AN107" s="16" t="s">
        <v>9227</v>
      </c>
    </row>
    <row r="108" spans="1:40" x14ac:dyDescent="0.25">
      <c r="A108" s="4" t="s">
        <v>7025</v>
      </c>
      <c r="B108" s="4"/>
      <c r="C108" s="4" t="s">
        <v>39</v>
      </c>
      <c r="D108" s="4" t="s">
        <v>7026</v>
      </c>
      <c r="E108" s="4" t="s">
        <v>7027</v>
      </c>
      <c r="F108" s="10">
        <v>45766</v>
      </c>
      <c r="G108" s="11">
        <v>0.67361111111111116</v>
      </c>
      <c r="H108" s="4" t="s">
        <v>4242</v>
      </c>
      <c r="I108" s="4" t="s">
        <v>7028</v>
      </c>
      <c r="J108" s="4" t="s">
        <v>7029</v>
      </c>
      <c r="K108" s="4" t="s">
        <v>7030</v>
      </c>
      <c r="L108" s="4" t="s">
        <v>7031</v>
      </c>
      <c r="M108" s="4" t="s">
        <v>46</v>
      </c>
      <c r="N108" s="4"/>
      <c r="O108" s="4" t="s">
        <v>47</v>
      </c>
      <c r="P108" s="4" t="s">
        <v>48</v>
      </c>
      <c r="Q108" s="4">
        <v>0</v>
      </c>
      <c r="R108" s="4" t="b">
        <v>0</v>
      </c>
      <c r="S108" s="4" t="s">
        <v>49</v>
      </c>
      <c r="T108" s="4" t="s">
        <v>50</v>
      </c>
      <c r="U108" s="4" t="s">
        <v>71</v>
      </c>
      <c r="V108" s="4" t="s">
        <v>63</v>
      </c>
      <c r="W108" s="4" t="s">
        <v>784</v>
      </c>
      <c r="X108" s="4" t="s">
        <v>54</v>
      </c>
      <c r="Y108" s="4"/>
      <c r="Z108" s="12">
        <v>0</v>
      </c>
      <c r="AA108" s="13" t="s">
        <v>9137</v>
      </c>
      <c r="AB108" s="13" t="s">
        <v>9138</v>
      </c>
      <c r="AC108" s="14" t="s">
        <v>9139</v>
      </c>
      <c r="AD108" s="14" t="s">
        <v>9140</v>
      </c>
      <c r="AE108" s="14" t="s">
        <v>9140</v>
      </c>
      <c r="AF108" s="14" t="s">
        <v>63</v>
      </c>
      <c r="AG108" s="14" t="s">
        <v>54</v>
      </c>
      <c r="AH108" s="15" t="s">
        <v>9220</v>
      </c>
      <c r="AI108" s="15" t="s">
        <v>9187</v>
      </c>
      <c r="AJ108" s="15" t="s">
        <v>9143</v>
      </c>
      <c r="AK108" s="15" t="s">
        <v>9221</v>
      </c>
      <c r="AL108" s="15" t="s">
        <v>9226</v>
      </c>
      <c r="AM108" s="16" t="s">
        <v>9221</v>
      </c>
      <c r="AN108" s="16" t="s">
        <v>9227</v>
      </c>
    </row>
    <row r="109" spans="1:40" x14ac:dyDescent="0.25">
      <c r="A109" s="4" t="s">
        <v>3378</v>
      </c>
      <c r="B109" s="4"/>
      <c r="C109" s="4" t="s">
        <v>39</v>
      </c>
      <c r="D109" s="4" t="s">
        <v>3379</v>
      </c>
      <c r="E109" s="4" t="s">
        <v>3380</v>
      </c>
      <c r="F109" s="10">
        <v>45764</v>
      </c>
      <c r="G109" s="11">
        <v>0.38263888888888886</v>
      </c>
      <c r="H109" s="4" t="s">
        <v>2227</v>
      </c>
      <c r="I109" s="4" t="s">
        <v>3381</v>
      </c>
      <c r="J109" s="4" t="s">
        <v>1285</v>
      </c>
      <c r="K109" s="4" t="s">
        <v>3382</v>
      </c>
      <c r="L109" s="4" t="s">
        <v>3383</v>
      </c>
      <c r="M109" s="4" t="s">
        <v>46</v>
      </c>
      <c r="N109" s="4"/>
      <c r="O109" s="4" t="s">
        <v>47</v>
      </c>
      <c r="P109" s="4" t="s">
        <v>48</v>
      </c>
      <c r="Q109" s="4">
        <v>0</v>
      </c>
      <c r="R109" s="4" t="b">
        <v>0</v>
      </c>
      <c r="S109" s="4" t="s">
        <v>49</v>
      </c>
      <c r="T109" s="4" t="s">
        <v>50</v>
      </c>
      <c r="U109" s="4" t="s">
        <v>107</v>
      </c>
      <c r="V109" s="4" t="s">
        <v>63</v>
      </c>
      <c r="W109" s="4" t="s">
        <v>198</v>
      </c>
      <c r="X109" s="4" t="s">
        <v>774</v>
      </c>
      <c r="Y109" s="4" t="s">
        <v>775</v>
      </c>
      <c r="Z109" s="12">
        <v>0</v>
      </c>
      <c r="AA109" s="13" t="s">
        <v>9137</v>
      </c>
      <c r="AB109" s="13" t="s">
        <v>9138</v>
      </c>
      <c r="AC109" s="14" t="s">
        <v>9139</v>
      </c>
      <c r="AD109" s="14" t="s">
        <v>9140</v>
      </c>
      <c r="AE109" s="14" t="s">
        <v>9140</v>
      </c>
      <c r="AF109" s="14" t="s">
        <v>63</v>
      </c>
      <c r="AG109" s="14" t="s">
        <v>774</v>
      </c>
      <c r="AH109" s="15" t="s">
        <v>9194</v>
      </c>
      <c r="AI109" s="15" t="s">
        <v>9187</v>
      </c>
      <c r="AJ109" s="15" t="s">
        <v>9143</v>
      </c>
      <c r="AK109" s="15" t="s">
        <v>9194</v>
      </c>
      <c r="AL109" s="15" t="s">
        <v>9209</v>
      </c>
      <c r="AM109" s="16" t="s">
        <v>9194</v>
      </c>
      <c r="AN109" s="16" t="s">
        <v>9210</v>
      </c>
    </row>
    <row r="110" spans="1:40" x14ac:dyDescent="0.25">
      <c r="A110" s="4" t="s">
        <v>3222</v>
      </c>
      <c r="B110" s="4"/>
      <c r="C110" s="4" t="s">
        <v>39</v>
      </c>
      <c r="D110" s="4" t="s">
        <v>3223</v>
      </c>
      <c r="E110" s="4" t="s">
        <v>3224</v>
      </c>
      <c r="F110" s="10">
        <v>45764</v>
      </c>
      <c r="G110" s="11">
        <v>0.54513888888888884</v>
      </c>
      <c r="H110" s="4" t="s">
        <v>1992</v>
      </c>
      <c r="I110" s="4" t="s">
        <v>3225</v>
      </c>
      <c r="J110" s="4" t="s">
        <v>3226</v>
      </c>
      <c r="K110" s="4" t="s">
        <v>3227</v>
      </c>
      <c r="L110" s="4" t="s">
        <v>3228</v>
      </c>
      <c r="M110" s="4" t="s">
        <v>46</v>
      </c>
      <c r="N110" s="4"/>
      <c r="O110" s="4" t="s">
        <v>47</v>
      </c>
      <c r="P110" s="4" t="s">
        <v>48</v>
      </c>
      <c r="Q110" s="4">
        <v>0</v>
      </c>
      <c r="R110" s="4" t="b">
        <v>0</v>
      </c>
      <c r="S110" s="4" t="s">
        <v>61</v>
      </c>
      <c r="T110" s="4" t="s">
        <v>50</v>
      </c>
      <c r="U110" s="4" t="s">
        <v>107</v>
      </c>
      <c r="V110" s="4" t="s">
        <v>63</v>
      </c>
      <c r="W110" s="4" t="s">
        <v>198</v>
      </c>
      <c r="X110" s="4" t="s">
        <v>54</v>
      </c>
      <c r="Y110" s="4" t="s">
        <v>775</v>
      </c>
      <c r="Z110" s="12">
        <v>0</v>
      </c>
      <c r="AA110" s="13" t="s">
        <v>9137</v>
      </c>
      <c r="AB110" s="13" t="s">
        <v>9138</v>
      </c>
      <c r="AC110" s="14" t="s">
        <v>9148</v>
      </c>
      <c r="AD110" s="14" t="s">
        <v>9140</v>
      </c>
      <c r="AE110" s="14" t="s">
        <v>9140</v>
      </c>
      <c r="AF110" s="14" t="s">
        <v>63</v>
      </c>
      <c r="AG110" s="14" t="s">
        <v>54</v>
      </c>
      <c r="AH110" s="15" t="s">
        <v>9194</v>
      </c>
      <c r="AI110" s="15" t="s">
        <v>9191</v>
      </c>
      <c r="AJ110" s="15" t="s">
        <v>9143</v>
      </c>
      <c r="AK110" s="15" t="s">
        <v>9194</v>
      </c>
      <c r="AL110" s="15" t="s">
        <v>9197</v>
      </c>
      <c r="AM110" s="16" t="s">
        <v>9194</v>
      </c>
      <c r="AN110" s="16" t="s">
        <v>9198</v>
      </c>
    </row>
    <row r="111" spans="1:40" x14ac:dyDescent="0.25">
      <c r="A111" s="4" t="s">
        <v>8844</v>
      </c>
      <c r="B111" s="4">
        <v>12240089360</v>
      </c>
      <c r="C111" s="4" t="s">
        <v>488</v>
      </c>
      <c r="D111" s="4" t="s">
        <v>8845</v>
      </c>
      <c r="E111" s="4" t="s">
        <v>8846</v>
      </c>
      <c r="F111" s="10">
        <v>45764</v>
      </c>
      <c r="G111" s="11">
        <v>0.40416666666666667</v>
      </c>
      <c r="H111" s="4" t="s">
        <v>4019</v>
      </c>
      <c r="I111" s="4" t="s">
        <v>8847</v>
      </c>
      <c r="J111" s="4" t="s">
        <v>8848</v>
      </c>
      <c r="K111" s="4" t="s">
        <v>8849</v>
      </c>
      <c r="L111" s="4" t="s">
        <v>8850</v>
      </c>
      <c r="M111" s="4" t="s">
        <v>28</v>
      </c>
      <c r="N111" s="4" t="s">
        <v>478</v>
      </c>
      <c r="O111" s="4" t="s">
        <v>344</v>
      </c>
      <c r="P111" s="4" t="s">
        <v>48</v>
      </c>
      <c r="Q111" s="4">
        <v>65</v>
      </c>
      <c r="R111" s="4" t="b">
        <v>0</v>
      </c>
      <c r="S111" s="4" t="s">
        <v>184</v>
      </c>
      <c r="T111" s="4" t="s">
        <v>1240</v>
      </c>
      <c r="U111" s="4" t="s">
        <v>330</v>
      </c>
      <c r="V111" s="4" t="s">
        <v>267</v>
      </c>
      <c r="W111" s="4" t="s">
        <v>268</v>
      </c>
      <c r="X111" s="4" t="s">
        <v>54</v>
      </c>
      <c r="Y111" s="4"/>
      <c r="Z111" s="12" t="s">
        <v>48</v>
      </c>
      <c r="AA111" s="13" t="s">
        <v>9137</v>
      </c>
      <c r="AB111" s="13" t="s">
        <v>9138</v>
      </c>
      <c r="AC111" s="14" t="s">
        <v>9166</v>
      </c>
      <c r="AD111" s="14" t="s">
        <v>28</v>
      </c>
      <c r="AE111" s="14" t="s">
        <v>478</v>
      </c>
      <c r="AF111" s="14" t="s">
        <v>267</v>
      </c>
      <c r="AG111" s="14" t="s">
        <v>54</v>
      </c>
      <c r="AH111" s="15" t="s">
        <v>9220</v>
      </c>
      <c r="AI111" s="15" t="s">
        <v>9175</v>
      </c>
      <c r="AJ111" s="15" t="s">
        <v>9181</v>
      </c>
      <c r="AK111" s="15" t="s">
        <v>9182</v>
      </c>
      <c r="AL111" s="15" t="s">
        <v>9182</v>
      </c>
      <c r="AM111" s="16" t="s">
        <v>9182</v>
      </c>
      <c r="AN111" s="16" t="s">
        <v>9182</v>
      </c>
    </row>
    <row r="112" spans="1:40" x14ac:dyDescent="0.25">
      <c r="A112" s="4" t="s">
        <v>1635</v>
      </c>
      <c r="B112" s="4"/>
      <c r="C112" s="4" t="s">
        <v>39</v>
      </c>
      <c r="D112" s="4" t="s">
        <v>1636</v>
      </c>
      <c r="E112" s="4" t="s">
        <v>1637</v>
      </c>
      <c r="F112" s="10">
        <v>45764</v>
      </c>
      <c r="G112" s="11">
        <v>0.41666666666666669</v>
      </c>
      <c r="H112" s="4" t="s">
        <v>1366</v>
      </c>
      <c r="I112" s="4">
        <v>6078</v>
      </c>
      <c r="J112" s="4" t="s">
        <v>1638</v>
      </c>
      <c r="K112" s="4" t="s">
        <v>1639</v>
      </c>
      <c r="L112" s="4" t="s">
        <v>1640</v>
      </c>
      <c r="M112" s="4" t="s">
        <v>46</v>
      </c>
      <c r="N112" s="4"/>
      <c r="O112" s="4" t="s">
        <v>47</v>
      </c>
      <c r="P112" s="4" t="s">
        <v>48</v>
      </c>
      <c r="Q112" s="4">
        <v>0</v>
      </c>
      <c r="R112" s="4" t="b">
        <v>0</v>
      </c>
      <c r="S112" s="4" t="s">
        <v>61</v>
      </c>
      <c r="T112" s="4" t="s">
        <v>50</v>
      </c>
      <c r="U112" s="4" t="s">
        <v>527</v>
      </c>
      <c r="V112" s="4" t="s">
        <v>72</v>
      </c>
      <c r="W112" s="4" t="s">
        <v>73</v>
      </c>
      <c r="X112" s="4" t="s">
        <v>54</v>
      </c>
      <c r="Y112" s="4"/>
      <c r="Z112" s="12">
        <v>0</v>
      </c>
      <c r="AA112" s="13" t="s">
        <v>9137</v>
      </c>
      <c r="AB112" s="13" t="s">
        <v>9138</v>
      </c>
      <c r="AC112" s="14" t="s">
        <v>9148</v>
      </c>
      <c r="AD112" s="14" t="s">
        <v>9140</v>
      </c>
      <c r="AE112" s="14" t="s">
        <v>9140</v>
      </c>
      <c r="AF112" s="14" t="s">
        <v>72</v>
      </c>
      <c r="AG112" s="14" t="s">
        <v>54</v>
      </c>
      <c r="AH112" s="15" t="s">
        <v>9141</v>
      </c>
      <c r="AI112" s="15" t="s">
        <v>9188</v>
      </c>
      <c r="AJ112" s="15" t="s">
        <v>9143</v>
      </c>
      <c r="AK112" s="15" t="s">
        <v>9141</v>
      </c>
      <c r="AL112" s="15" t="s">
        <v>9189</v>
      </c>
      <c r="AM112" s="16" t="s">
        <v>9141</v>
      </c>
      <c r="AN112" s="16" t="s">
        <v>9190</v>
      </c>
    </row>
    <row r="113" spans="1:40" x14ac:dyDescent="0.25">
      <c r="A113" s="4" t="s">
        <v>753</v>
      </c>
      <c r="B113" s="4">
        <v>12240088523</v>
      </c>
      <c r="C113" s="4" t="s">
        <v>39</v>
      </c>
      <c r="D113" s="4" t="s">
        <v>754</v>
      </c>
      <c r="E113" s="4" t="s">
        <v>755</v>
      </c>
      <c r="F113" s="10">
        <v>45763</v>
      </c>
      <c r="G113" s="11">
        <v>0.72569444444444442</v>
      </c>
      <c r="H113" s="4" t="s">
        <v>463</v>
      </c>
      <c r="I113" s="4">
        <v>2026</v>
      </c>
      <c r="J113" s="4" t="s">
        <v>756</v>
      </c>
      <c r="K113" s="4" t="s">
        <v>757</v>
      </c>
      <c r="L113" s="4" t="s">
        <v>758</v>
      </c>
      <c r="M113" s="4" t="s">
        <v>28</v>
      </c>
      <c r="N113" s="4" t="s">
        <v>183</v>
      </c>
      <c r="O113" s="4" t="s">
        <v>344</v>
      </c>
      <c r="P113" s="4" t="s">
        <v>60</v>
      </c>
      <c r="Q113" s="4">
        <v>41</v>
      </c>
      <c r="R113" s="4" t="b">
        <v>0</v>
      </c>
      <c r="S113" s="4" t="s">
        <v>114</v>
      </c>
      <c r="T113" s="4" t="s">
        <v>583</v>
      </c>
      <c r="U113" s="4" t="s">
        <v>373</v>
      </c>
      <c r="V113" s="4" t="s">
        <v>123</v>
      </c>
      <c r="W113" s="4" t="s">
        <v>124</v>
      </c>
      <c r="X113" s="4" t="s">
        <v>54</v>
      </c>
      <c r="Y113" s="4"/>
      <c r="Z113" s="12" t="s">
        <v>60</v>
      </c>
      <c r="AA113" s="13" t="s">
        <v>9137</v>
      </c>
      <c r="AB113" s="13" t="s">
        <v>9138</v>
      </c>
      <c r="AC113" s="14" t="s">
        <v>9157</v>
      </c>
      <c r="AD113" s="14" t="s">
        <v>28</v>
      </c>
      <c r="AE113" s="14" t="s">
        <v>183</v>
      </c>
      <c r="AF113" s="14" t="s">
        <v>123</v>
      </c>
      <c r="AG113" s="14" t="s">
        <v>54</v>
      </c>
      <c r="AH113" s="15" t="s">
        <v>9141</v>
      </c>
      <c r="AI113" s="15" t="s">
        <v>9175</v>
      </c>
      <c r="AJ113" s="15" t="s">
        <v>9143</v>
      </c>
      <c r="AK113" s="15" t="s">
        <v>9141</v>
      </c>
      <c r="AL113" s="15" t="s">
        <v>9177</v>
      </c>
      <c r="AM113" s="16" t="s">
        <v>9141</v>
      </c>
      <c r="AN113" s="16" t="s">
        <v>9178</v>
      </c>
    </row>
    <row r="114" spans="1:40" x14ac:dyDescent="0.25">
      <c r="A114" s="4" t="s">
        <v>2952</v>
      </c>
      <c r="B114" s="4"/>
      <c r="C114" s="4" t="s">
        <v>39</v>
      </c>
      <c r="D114" s="4" t="s">
        <v>2953</v>
      </c>
      <c r="E114" s="4" t="s">
        <v>2954</v>
      </c>
      <c r="F114" s="10">
        <v>45763</v>
      </c>
      <c r="G114" s="11">
        <v>0.48958333333333331</v>
      </c>
      <c r="H114" s="4" t="s">
        <v>1992</v>
      </c>
      <c r="I114" s="4" t="s">
        <v>2955</v>
      </c>
      <c r="J114" s="4" t="s">
        <v>2956</v>
      </c>
      <c r="K114" s="4" t="s">
        <v>2957</v>
      </c>
      <c r="L114" s="4" t="s">
        <v>2958</v>
      </c>
      <c r="M114" s="4" t="s">
        <v>46</v>
      </c>
      <c r="N114" s="4"/>
      <c r="O114" s="4" t="s">
        <v>47</v>
      </c>
      <c r="P114" s="4" t="s">
        <v>48</v>
      </c>
      <c r="Q114" s="4">
        <v>0</v>
      </c>
      <c r="R114" s="4" t="b">
        <v>0</v>
      </c>
      <c r="S114" s="4" t="s">
        <v>61</v>
      </c>
      <c r="T114" s="4" t="s">
        <v>50</v>
      </c>
      <c r="U114" s="4" t="s">
        <v>71</v>
      </c>
      <c r="V114" s="4" t="s">
        <v>63</v>
      </c>
      <c r="W114" s="4" t="s">
        <v>312</v>
      </c>
      <c r="X114" s="4" t="s">
        <v>54</v>
      </c>
      <c r="Y114" s="4"/>
      <c r="Z114" s="12">
        <v>0</v>
      </c>
      <c r="AA114" s="13" t="s">
        <v>9137</v>
      </c>
      <c r="AB114" s="13" t="s">
        <v>9138</v>
      </c>
      <c r="AC114" s="14" t="s">
        <v>9148</v>
      </c>
      <c r="AD114" s="14" t="s">
        <v>9140</v>
      </c>
      <c r="AE114" s="14" t="s">
        <v>9140</v>
      </c>
      <c r="AF114" s="14" t="s">
        <v>63</v>
      </c>
      <c r="AG114" s="14" t="s">
        <v>54</v>
      </c>
      <c r="AH114" s="15" t="s">
        <v>9194</v>
      </c>
      <c r="AI114" s="15" t="s">
        <v>9191</v>
      </c>
      <c r="AJ114" s="15" t="s">
        <v>9143</v>
      </c>
      <c r="AK114" s="15" t="s">
        <v>9194</v>
      </c>
      <c r="AL114" s="15" t="s">
        <v>9205</v>
      </c>
      <c r="AM114" s="16" t="s">
        <v>9194</v>
      </c>
      <c r="AN114" s="16" t="s">
        <v>9206</v>
      </c>
    </row>
    <row r="115" spans="1:40" x14ac:dyDescent="0.25">
      <c r="A115" s="4" t="s">
        <v>4016</v>
      </c>
      <c r="B115" s="4"/>
      <c r="C115" s="4" t="s">
        <v>39</v>
      </c>
      <c r="D115" s="4" t="s">
        <v>4017</v>
      </c>
      <c r="E115" s="4" t="s">
        <v>4018</v>
      </c>
      <c r="F115" s="10">
        <v>45763</v>
      </c>
      <c r="G115" s="11">
        <v>0.51388888888888884</v>
      </c>
      <c r="H115" s="4" t="s">
        <v>4019</v>
      </c>
      <c r="I115" s="4" t="s">
        <v>4020</v>
      </c>
      <c r="J115" s="4" t="s">
        <v>3083</v>
      </c>
      <c r="K115" s="4" t="s">
        <v>4021</v>
      </c>
      <c r="L115" s="4" t="s">
        <v>4022</v>
      </c>
      <c r="M115" s="4" t="s">
        <v>46</v>
      </c>
      <c r="N115" s="4"/>
      <c r="O115" s="4" t="s">
        <v>47</v>
      </c>
      <c r="P115" s="4" t="s">
        <v>48</v>
      </c>
      <c r="Q115" s="4">
        <v>0</v>
      </c>
      <c r="R115" s="4" t="b">
        <v>0</v>
      </c>
      <c r="S115" s="4" t="s">
        <v>61</v>
      </c>
      <c r="T115" s="4" t="s">
        <v>50</v>
      </c>
      <c r="U115" s="4" t="s">
        <v>224</v>
      </c>
      <c r="V115" s="4" t="s">
        <v>63</v>
      </c>
      <c r="W115" s="4" t="s">
        <v>108</v>
      </c>
      <c r="X115" s="4" t="s">
        <v>54</v>
      </c>
      <c r="Y115" s="4"/>
      <c r="Z115" s="12">
        <v>0</v>
      </c>
      <c r="AA115" s="13" t="s">
        <v>9137</v>
      </c>
      <c r="AB115" s="13" t="s">
        <v>9138</v>
      </c>
      <c r="AC115" s="14" t="s">
        <v>9148</v>
      </c>
      <c r="AD115" s="14" t="s">
        <v>9140</v>
      </c>
      <c r="AE115" s="14" t="s">
        <v>9140</v>
      </c>
      <c r="AF115" s="14" t="s">
        <v>63</v>
      </c>
      <c r="AG115" s="14" t="s">
        <v>54</v>
      </c>
      <c r="AH115" s="15" t="s">
        <v>9220</v>
      </c>
      <c r="AI115" s="15" t="s">
        <v>9175</v>
      </c>
      <c r="AJ115" s="15" t="s">
        <v>9143</v>
      </c>
      <c r="AK115" s="15" t="s">
        <v>9221</v>
      </c>
      <c r="AL115" s="15" t="s">
        <v>9222</v>
      </c>
      <c r="AM115" s="16" t="s">
        <v>9221</v>
      </c>
      <c r="AN115" s="16" t="s">
        <v>9223</v>
      </c>
    </row>
    <row r="116" spans="1:40" x14ac:dyDescent="0.25">
      <c r="A116" s="4" t="s">
        <v>5212</v>
      </c>
      <c r="B116" s="4">
        <v>7913825</v>
      </c>
      <c r="C116" s="4" t="s">
        <v>39</v>
      </c>
      <c r="D116" s="4" t="s">
        <v>5213</v>
      </c>
      <c r="E116" s="4" t="s">
        <v>5214</v>
      </c>
      <c r="F116" s="10">
        <v>45763</v>
      </c>
      <c r="G116" s="11">
        <v>0.63194444444444442</v>
      </c>
      <c r="H116" s="4" t="s">
        <v>4516</v>
      </c>
      <c r="I116" s="4" t="s">
        <v>5215</v>
      </c>
      <c r="J116" s="4" t="s">
        <v>5216</v>
      </c>
      <c r="K116" s="4" t="s">
        <v>1647</v>
      </c>
      <c r="L116" s="4" t="s">
        <v>5217</v>
      </c>
      <c r="M116" s="4" t="s">
        <v>28</v>
      </c>
      <c r="N116" s="4" t="s">
        <v>478</v>
      </c>
      <c r="O116" s="4" t="s">
        <v>47</v>
      </c>
      <c r="P116" s="4" t="s">
        <v>48</v>
      </c>
      <c r="Q116" s="4">
        <v>0</v>
      </c>
      <c r="R116" s="4" t="b">
        <v>0</v>
      </c>
      <c r="S116" s="4" t="s">
        <v>61</v>
      </c>
      <c r="T116" s="4" t="s">
        <v>115</v>
      </c>
      <c r="U116" s="4" t="s">
        <v>373</v>
      </c>
      <c r="V116" s="4" t="s">
        <v>123</v>
      </c>
      <c r="W116" s="4" t="s">
        <v>192</v>
      </c>
      <c r="X116" s="4" t="s">
        <v>54</v>
      </c>
      <c r="Y116" s="4" t="s">
        <v>302</v>
      </c>
      <c r="Z116" s="12" t="s">
        <v>48</v>
      </c>
      <c r="AA116" s="13" t="s">
        <v>9137</v>
      </c>
      <c r="AB116" s="13" t="s">
        <v>9138</v>
      </c>
      <c r="AC116" s="14" t="s">
        <v>9148</v>
      </c>
      <c r="AD116" s="14" t="s">
        <v>28</v>
      </c>
      <c r="AE116" s="14" t="s">
        <v>478</v>
      </c>
      <c r="AF116" s="14" t="s">
        <v>123</v>
      </c>
      <c r="AG116" s="14" t="s">
        <v>54</v>
      </c>
      <c r="AH116" s="15" t="s">
        <v>9220</v>
      </c>
      <c r="AI116" s="15" t="s">
        <v>9188</v>
      </c>
      <c r="AJ116" s="15" t="s">
        <v>9143</v>
      </c>
      <c r="AK116" s="15" t="s">
        <v>9221</v>
      </c>
      <c r="AL116" s="15" t="s">
        <v>9232</v>
      </c>
      <c r="AM116" s="16" t="s">
        <v>9221</v>
      </c>
      <c r="AN116" s="16" t="s">
        <v>9233</v>
      </c>
    </row>
    <row r="117" spans="1:40" x14ac:dyDescent="0.25">
      <c r="A117" s="4" t="s">
        <v>4096</v>
      </c>
      <c r="B117" s="4"/>
      <c r="C117" s="4" t="s">
        <v>39</v>
      </c>
      <c r="D117" s="4" t="s">
        <v>4097</v>
      </c>
      <c r="E117" s="4" t="s">
        <v>4098</v>
      </c>
      <c r="F117" s="10">
        <v>45762</v>
      </c>
      <c r="G117" s="11">
        <v>0.74097222222222225</v>
      </c>
      <c r="H117" s="4" t="s">
        <v>4019</v>
      </c>
      <c r="I117" s="4" t="s">
        <v>4092</v>
      </c>
      <c r="J117" s="4" t="s">
        <v>4093</v>
      </c>
      <c r="K117" s="4" t="s">
        <v>4099</v>
      </c>
      <c r="L117" s="4" t="s">
        <v>4100</v>
      </c>
      <c r="M117" s="4" t="s">
        <v>46</v>
      </c>
      <c r="N117" s="4"/>
      <c r="O117" s="4" t="s">
        <v>47</v>
      </c>
      <c r="P117" s="4" t="s">
        <v>48</v>
      </c>
      <c r="Q117" s="4">
        <v>0</v>
      </c>
      <c r="R117" s="4" t="b">
        <v>0</v>
      </c>
      <c r="S117" s="4" t="s">
        <v>61</v>
      </c>
      <c r="T117" s="4" t="s">
        <v>50</v>
      </c>
      <c r="U117" s="4" t="s">
        <v>51</v>
      </c>
      <c r="V117" s="4" t="s">
        <v>123</v>
      </c>
      <c r="W117" s="4" t="s">
        <v>124</v>
      </c>
      <c r="X117" s="4" t="s">
        <v>54</v>
      </c>
      <c r="Y117" s="4"/>
      <c r="Z117" s="12">
        <v>0</v>
      </c>
      <c r="AA117" s="13" t="s">
        <v>9137</v>
      </c>
      <c r="AB117" s="13" t="s">
        <v>9138</v>
      </c>
      <c r="AC117" s="14" t="s">
        <v>9148</v>
      </c>
      <c r="AD117" s="14" t="s">
        <v>9140</v>
      </c>
      <c r="AE117" s="14" t="s">
        <v>9140</v>
      </c>
      <c r="AF117" s="14" t="s">
        <v>123</v>
      </c>
      <c r="AG117" s="14" t="s">
        <v>54</v>
      </c>
      <c r="AH117" s="15" t="s">
        <v>9220</v>
      </c>
      <c r="AI117" s="15" t="s">
        <v>9175</v>
      </c>
      <c r="AJ117" s="15" t="s">
        <v>9143</v>
      </c>
      <c r="AK117" s="15" t="s">
        <v>9221</v>
      </c>
      <c r="AL117" s="15" t="s">
        <v>9222</v>
      </c>
      <c r="AM117" s="16" t="s">
        <v>9221</v>
      </c>
      <c r="AN117" s="16" t="s">
        <v>9223</v>
      </c>
    </row>
    <row r="118" spans="1:40" x14ac:dyDescent="0.25">
      <c r="A118" s="4" t="s">
        <v>6689</v>
      </c>
      <c r="B118" s="4"/>
      <c r="C118" s="4" t="s">
        <v>39</v>
      </c>
      <c r="D118" s="4" t="s">
        <v>6690</v>
      </c>
      <c r="E118" s="4" t="s">
        <v>6691</v>
      </c>
      <c r="F118" s="10">
        <v>45762</v>
      </c>
      <c r="G118" s="11">
        <v>0.4375</v>
      </c>
      <c r="H118" s="4" t="s">
        <v>5666</v>
      </c>
      <c r="I118" s="4" t="s">
        <v>6692</v>
      </c>
      <c r="J118" s="4" t="s">
        <v>3645</v>
      </c>
      <c r="K118" s="4" t="s">
        <v>6693</v>
      </c>
      <c r="L118" s="4" t="s">
        <v>6694</v>
      </c>
      <c r="M118" s="4" t="s">
        <v>46</v>
      </c>
      <c r="N118" s="4"/>
      <c r="O118" s="4" t="s">
        <v>47</v>
      </c>
      <c r="P118" s="4" t="s">
        <v>48</v>
      </c>
      <c r="Q118" s="4">
        <v>0</v>
      </c>
      <c r="R118" s="4" t="b">
        <v>0</v>
      </c>
      <c r="S118" s="4" t="s">
        <v>61</v>
      </c>
      <c r="T118" s="4" t="s">
        <v>50</v>
      </c>
      <c r="U118" s="4" t="s">
        <v>224</v>
      </c>
      <c r="V118" s="4" t="s">
        <v>123</v>
      </c>
      <c r="W118" s="4" t="s">
        <v>124</v>
      </c>
      <c r="X118" s="4" t="s">
        <v>54</v>
      </c>
      <c r="Y118" s="4"/>
      <c r="Z118" s="12">
        <v>0</v>
      </c>
      <c r="AA118" s="13" t="s">
        <v>9137</v>
      </c>
      <c r="AB118" s="13" t="s">
        <v>9138</v>
      </c>
      <c r="AC118" s="14" t="s">
        <v>9148</v>
      </c>
      <c r="AD118" s="14" t="s">
        <v>9140</v>
      </c>
      <c r="AE118" s="14" t="s">
        <v>9140</v>
      </c>
      <c r="AF118" s="14" t="s">
        <v>123</v>
      </c>
      <c r="AG118" s="14" t="s">
        <v>54</v>
      </c>
      <c r="AH118" s="15" t="s">
        <v>9220</v>
      </c>
      <c r="AI118" s="15" t="s">
        <v>9199</v>
      </c>
      <c r="AJ118" s="15" t="s">
        <v>9143</v>
      </c>
      <c r="AK118" s="15" t="s">
        <v>9221</v>
      </c>
      <c r="AL118" s="15" t="s">
        <v>9199</v>
      </c>
      <c r="AM118" s="16" t="s">
        <v>9221</v>
      </c>
      <c r="AN118" s="16" t="s">
        <v>9238</v>
      </c>
    </row>
    <row r="119" spans="1:40" x14ac:dyDescent="0.25">
      <c r="A119" s="4" t="s">
        <v>1663</v>
      </c>
      <c r="B119" s="4"/>
      <c r="C119" s="4" t="s">
        <v>39</v>
      </c>
      <c r="D119" s="4" t="s">
        <v>1664</v>
      </c>
      <c r="E119" s="4" t="s">
        <v>1665</v>
      </c>
      <c r="F119" s="10">
        <v>45761</v>
      </c>
      <c r="G119" s="11">
        <v>0.73750000000000004</v>
      </c>
      <c r="H119" s="4" t="s">
        <v>1654</v>
      </c>
      <c r="I119" s="4">
        <v>9087</v>
      </c>
      <c r="J119" s="4" t="s">
        <v>1666</v>
      </c>
      <c r="K119" s="4" t="s">
        <v>1667</v>
      </c>
      <c r="L119" s="4" t="s">
        <v>1668</v>
      </c>
      <c r="M119" s="4" t="s">
        <v>46</v>
      </c>
      <c r="N119" s="4"/>
      <c r="O119" s="4" t="s">
        <v>47</v>
      </c>
      <c r="P119" s="4" t="s">
        <v>48</v>
      </c>
      <c r="Q119" s="4">
        <v>2</v>
      </c>
      <c r="R119" s="4" t="b">
        <v>0</v>
      </c>
      <c r="S119" s="4" t="s">
        <v>184</v>
      </c>
      <c r="T119" s="4" t="s">
        <v>50</v>
      </c>
      <c r="U119" s="4" t="s">
        <v>122</v>
      </c>
      <c r="V119" s="4" t="s">
        <v>123</v>
      </c>
      <c r="W119" s="4" t="s">
        <v>124</v>
      </c>
      <c r="X119" s="4" t="s">
        <v>54</v>
      </c>
      <c r="Y119" s="4"/>
      <c r="Z119" s="12">
        <v>0</v>
      </c>
      <c r="AA119" s="13" t="s">
        <v>9137</v>
      </c>
      <c r="AB119" s="13" t="s">
        <v>9138</v>
      </c>
      <c r="AC119" s="14" t="s">
        <v>9166</v>
      </c>
      <c r="AD119" s="14" t="s">
        <v>9140</v>
      </c>
      <c r="AE119" s="14" t="s">
        <v>9140</v>
      </c>
      <c r="AF119" s="14" t="s">
        <v>123</v>
      </c>
      <c r="AG119" s="14" t="s">
        <v>54</v>
      </c>
      <c r="AH119" s="15" t="s">
        <v>9141</v>
      </c>
      <c r="AI119" s="15" t="s">
        <v>9191</v>
      </c>
      <c r="AJ119" s="15" t="s">
        <v>9143</v>
      </c>
      <c r="AK119" s="15" t="s">
        <v>9141</v>
      </c>
      <c r="AL119" s="15" t="s">
        <v>9191</v>
      </c>
      <c r="AM119" s="16" t="s">
        <v>9141</v>
      </c>
      <c r="AN119" s="16" t="s">
        <v>9192</v>
      </c>
    </row>
    <row r="120" spans="1:40" x14ac:dyDescent="0.25">
      <c r="A120" s="4" t="s">
        <v>4801</v>
      </c>
      <c r="B120" s="4"/>
      <c r="C120" s="4" t="s">
        <v>39</v>
      </c>
      <c r="D120" s="4" t="s">
        <v>4802</v>
      </c>
      <c r="E120" s="4" t="s">
        <v>4803</v>
      </c>
      <c r="F120" s="10">
        <v>45761</v>
      </c>
      <c r="G120" s="11">
        <v>0.46527777777777779</v>
      </c>
      <c r="H120" s="4" t="s">
        <v>4019</v>
      </c>
      <c r="I120" s="4" t="s">
        <v>4804</v>
      </c>
      <c r="J120" s="4" t="s">
        <v>756</v>
      </c>
      <c r="K120" s="4" t="s">
        <v>4805</v>
      </c>
      <c r="L120" s="4" t="s">
        <v>4806</v>
      </c>
      <c r="M120" s="4" t="s">
        <v>46</v>
      </c>
      <c r="N120" s="4"/>
      <c r="O120" s="4" t="s">
        <v>47</v>
      </c>
      <c r="P120" s="4" t="s">
        <v>48</v>
      </c>
      <c r="Q120" s="4">
        <v>0</v>
      </c>
      <c r="R120" s="4" t="b">
        <v>0</v>
      </c>
      <c r="S120" s="4" t="s">
        <v>114</v>
      </c>
      <c r="T120" s="4" t="s">
        <v>115</v>
      </c>
      <c r="U120" s="4" t="s">
        <v>71</v>
      </c>
      <c r="V120" s="4" t="s">
        <v>123</v>
      </c>
      <c r="W120" s="4" t="s">
        <v>192</v>
      </c>
      <c r="X120" s="4" t="s">
        <v>54</v>
      </c>
      <c r="Y120" s="4"/>
      <c r="Z120" s="12">
        <v>0</v>
      </c>
      <c r="AA120" s="13" t="s">
        <v>9137</v>
      </c>
      <c r="AB120" s="13" t="s">
        <v>9138</v>
      </c>
      <c r="AC120" s="14" t="s">
        <v>9157</v>
      </c>
      <c r="AD120" s="14" t="s">
        <v>9140</v>
      </c>
      <c r="AE120" s="14" t="s">
        <v>9140</v>
      </c>
      <c r="AF120" s="14" t="s">
        <v>123</v>
      </c>
      <c r="AG120" s="14" t="s">
        <v>54</v>
      </c>
      <c r="AH120" s="15" t="s">
        <v>9220</v>
      </c>
      <c r="AI120" s="15" t="s">
        <v>9175</v>
      </c>
      <c r="AJ120" s="15" t="s">
        <v>9143</v>
      </c>
      <c r="AK120" s="15" t="s">
        <v>9221</v>
      </c>
      <c r="AL120" s="15" t="s">
        <v>9222</v>
      </c>
      <c r="AM120" s="16" t="s">
        <v>9221</v>
      </c>
      <c r="AN120" s="16" t="s">
        <v>9223</v>
      </c>
    </row>
    <row r="121" spans="1:40" x14ac:dyDescent="0.25">
      <c r="A121" s="4" t="s">
        <v>4252</v>
      </c>
      <c r="B121" s="4" t="s">
        <v>4253</v>
      </c>
      <c r="C121" s="4" t="s">
        <v>39</v>
      </c>
      <c r="D121" s="4" t="s">
        <v>4254</v>
      </c>
      <c r="E121" s="4" t="s">
        <v>4255</v>
      </c>
      <c r="F121" s="10">
        <v>45759</v>
      </c>
      <c r="G121" s="11">
        <v>0.4861111111111111</v>
      </c>
      <c r="H121" s="4" t="s">
        <v>4242</v>
      </c>
      <c r="I121" s="4" t="s">
        <v>4243</v>
      </c>
      <c r="J121" s="4" t="s">
        <v>1200</v>
      </c>
      <c r="K121" s="4" t="s">
        <v>4256</v>
      </c>
      <c r="L121" s="4" t="s">
        <v>4257</v>
      </c>
      <c r="M121" s="4" t="s">
        <v>46</v>
      </c>
      <c r="N121" s="4"/>
      <c r="O121" s="4" t="s">
        <v>47</v>
      </c>
      <c r="P121" s="4" t="s">
        <v>48</v>
      </c>
      <c r="Q121" s="4">
        <v>0</v>
      </c>
      <c r="R121" s="4" t="b">
        <v>0</v>
      </c>
      <c r="S121" s="4" t="s">
        <v>61</v>
      </c>
      <c r="T121" s="4" t="s">
        <v>115</v>
      </c>
      <c r="U121" s="4" t="s">
        <v>175</v>
      </c>
      <c r="V121" s="4" t="s">
        <v>52</v>
      </c>
      <c r="W121" s="4" t="s">
        <v>53</v>
      </c>
      <c r="X121" s="4" t="s">
        <v>54</v>
      </c>
      <c r="Y121" s="4"/>
      <c r="Z121" s="12">
        <v>0</v>
      </c>
      <c r="AA121" s="13" t="s">
        <v>9137</v>
      </c>
      <c r="AB121" s="13" t="s">
        <v>9138</v>
      </c>
      <c r="AC121" s="14" t="s">
        <v>9148</v>
      </c>
      <c r="AD121" s="14" t="s">
        <v>9140</v>
      </c>
      <c r="AE121" s="14" t="s">
        <v>9140</v>
      </c>
      <c r="AF121" s="14" t="s">
        <v>52</v>
      </c>
      <c r="AG121" s="14" t="s">
        <v>54</v>
      </c>
      <c r="AH121" s="15" t="s">
        <v>9220</v>
      </c>
      <c r="AI121" s="15" t="s">
        <v>9187</v>
      </c>
      <c r="AJ121" s="15" t="s">
        <v>9143</v>
      </c>
      <c r="AK121" s="15" t="s">
        <v>9221</v>
      </c>
      <c r="AL121" s="15" t="s">
        <v>9226</v>
      </c>
      <c r="AM121" s="16" t="s">
        <v>9221</v>
      </c>
      <c r="AN121" s="16" t="s">
        <v>9227</v>
      </c>
    </row>
    <row r="122" spans="1:40" x14ac:dyDescent="0.25">
      <c r="A122" s="4" t="s">
        <v>38</v>
      </c>
      <c r="B122" s="4"/>
      <c r="C122" s="4" t="s">
        <v>39</v>
      </c>
      <c r="D122" s="4" t="s">
        <v>40</v>
      </c>
      <c r="E122" s="4" t="s">
        <v>41</v>
      </c>
      <c r="F122" s="10">
        <v>45759</v>
      </c>
      <c r="G122" s="11">
        <v>0.41319444444444442</v>
      </c>
      <c r="H122" s="4" t="s">
        <v>42</v>
      </c>
      <c r="I122" s="4">
        <v>1005</v>
      </c>
      <c r="J122" s="4" t="s">
        <v>43</v>
      </c>
      <c r="K122" s="4" t="s">
        <v>44</v>
      </c>
      <c r="L122" s="4" t="s">
        <v>45</v>
      </c>
      <c r="M122" s="4" t="s">
        <v>46</v>
      </c>
      <c r="N122" s="4"/>
      <c r="O122" s="4" t="s">
        <v>47</v>
      </c>
      <c r="P122" s="4" t="s">
        <v>48</v>
      </c>
      <c r="Q122" s="4">
        <v>0</v>
      </c>
      <c r="R122" s="4" t="b">
        <v>0</v>
      </c>
      <c r="S122" s="4" t="s">
        <v>49</v>
      </c>
      <c r="T122" s="4" t="s">
        <v>50</v>
      </c>
      <c r="U122" s="4" t="s">
        <v>51</v>
      </c>
      <c r="V122" s="4" t="s">
        <v>52</v>
      </c>
      <c r="W122" s="4" t="s">
        <v>53</v>
      </c>
      <c r="X122" s="4" t="s">
        <v>54</v>
      </c>
      <c r="Y122" s="4"/>
      <c r="Z122" s="12">
        <v>0</v>
      </c>
      <c r="AA122" s="13" t="s">
        <v>9137</v>
      </c>
      <c r="AB122" s="13" t="s">
        <v>9138</v>
      </c>
      <c r="AC122" s="14" t="s">
        <v>9139</v>
      </c>
      <c r="AD122" s="14" t="s">
        <v>9140</v>
      </c>
      <c r="AE122" s="14" t="s">
        <v>9140</v>
      </c>
      <c r="AF122" s="14" t="s">
        <v>52</v>
      </c>
      <c r="AG122" s="14" t="s">
        <v>54</v>
      </c>
      <c r="AH122" s="15" t="s">
        <v>9141</v>
      </c>
      <c r="AI122" s="15" t="s">
        <v>9142</v>
      </c>
      <c r="AJ122" s="15" t="s">
        <v>9143</v>
      </c>
      <c r="AK122" s="15" t="s">
        <v>9141</v>
      </c>
      <c r="AL122" s="15" t="s">
        <v>9144</v>
      </c>
      <c r="AM122" s="16" t="s">
        <v>9141</v>
      </c>
      <c r="AN122" s="16" t="s">
        <v>9145</v>
      </c>
    </row>
    <row r="123" spans="1:40" x14ac:dyDescent="0.25">
      <c r="A123" s="4" t="s">
        <v>2827</v>
      </c>
      <c r="B123" s="4"/>
      <c r="C123" s="4" t="s">
        <v>39</v>
      </c>
      <c r="D123" s="4" t="s">
        <v>2828</v>
      </c>
      <c r="E123" s="4" t="s">
        <v>2829</v>
      </c>
      <c r="F123" s="10">
        <v>45759</v>
      </c>
      <c r="G123" s="11">
        <v>0.53055555555555556</v>
      </c>
      <c r="H123" s="4" t="s">
        <v>1939</v>
      </c>
      <c r="I123" s="4" t="s">
        <v>2830</v>
      </c>
      <c r="J123" s="4" t="s">
        <v>2831</v>
      </c>
      <c r="K123" s="4" t="s">
        <v>2832</v>
      </c>
      <c r="L123" s="4" t="s">
        <v>2833</v>
      </c>
      <c r="M123" s="4" t="s">
        <v>46</v>
      </c>
      <c r="N123" s="4"/>
      <c r="O123" s="4" t="s">
        <v>47</v>
      </c>
      <c r="P123" s="4" t="s">
        <v>48</v>
      </c>
      <c r="Q123" s="4">
        <v>0</v>
      </c>
      <c r="R123" s="4" t="b">
        <v>0</v>
      </c>
      <c r="S123" s="4" t="s">
        <v>49</v>
      </c>
      <c r="T123" s="4" t="s">
        <v>50</v>
      </c>
      <c r="U123" s="4" t="s">
        <v>218</v>
      </c>
      <c r="V123" s="4" t="s">
        <v>72</v>
      </c>
      <c r="W123" s="4" t="s">
        <v>73</v>
      </c>
      <c r="X123" s="4" t="s">
        <v>54</v>
      </c>
      <c r="Y123" s="4"/>
      <c r="Z123" s="12">
        <v>0</v>
      </c>
      <c r="AA123" s="13" t="s">
        <v>9137</v>
      </c>
      <c r="AB123" s="13" t="s">
        <v>9138</v>
      </c>
      <c r="AC123" s="14" t="s">
        <v>9139</v>
      </c>
      <c r="AD123" s="14" t="s">
        <v>9140</v>
      </c>
      <c r="AE123" s="14" t="s">
        <v>9140</v>
      </c>
      <c r="AF123" s="14" t="s">
        <v>72</v>
      </c>
      <c r="AG123" s="14" t="s">
        <v>54</v>
      </c>
      <c r="AH123" s="15" t="s">
        <v>9194</v>
      </c>
      <c r="AI123" s="15" t="s">
        <v>9175</v>
      </c>
      <c r="AJ123" s="15" t="s">
        <v>9143</v>
      </c>
      <c r="AK123" s="15" t="s">
        <v>9194</v>
      </c>
      <c r="AL123" s="15" t="s">
        <v>9209</v>
      </c>
      <c r="AM123" s="16" t="s">
        <v>9194</v>
      </c>
      <c r="AN123" s="16" t="s">
        <v>9210</v>
      </c>
    </row>
    <row r="124" spans="1:40" x14ac:dyDescent="0.25">
      <c r="A124" s="4" t="s">
        <v>1363</v>
      </c>
      <c r="B124" s="4">
        <v>7902273</v>
      </c>
      <c r="C124" s="4" t="s">
        <v>39</v>
      </c>
      <c r="D124" s="4" t="s">
        <v>1364</v>
      </c>
      <c r="E124" s="4" t="s">
        <v>1365</v>
      </c>
      <c r="F124" s="10">
        <v>45758</v>
      </c>
      <c r="G124" s="11">
        <v>0.58333333333333337</v>
      </c>
      <c r="H124" s="4" t="s">
        <v>1366</v>
      </c>
      <c r="I124" s="4">
        <v>5053</v>
      </c>
      <c r="J124" s="4" t="s">
        <v>1367</v>
      </c>
      <c r="K124" s="4" t="s">
        <v>1123</v>
      </c>
      <c r="L124" s="4" t="s">
        <v>1368</v>
      </c>
      <c r="M124" s="4" t="s">
        <v>28</v>
      </c>
      <c r="N124" s="4" t="s">
        <v>478</v>
      </c>
      <c r="O124" s="4" t="s">
        <v>174</v>
      </c>
      <c r="P124" s="4" t="s">
        <v>60</v>
      </c>
      <c r="Q124" s="4">
        <v>0</v>
      </c>
      <c r="R124" s="4" t="b">
        <v>0</v>
      </c>
      <c r="S124" s="4" t="s">
        <v>114</v>
      </c>
      <c r="T124" s="4" t="s">
        <v>115</v>
      </c>
      <c r="U124" s="4" t="s">
        <v>51</v>
      </c>
      <c r="V124" s="4" t="s">
        <v>52</v>
      </c>
      <c r="W124" s="4" t="s">
        <v>53</v>
      </c>
      <c r="X124" s="4" t="s">
        <v>54</v>
      </c>
      <c r="Y124" s="4"/>
      <c r="Z124" s="12" t="s">
        <v>60</v>
      </c>
      <c r="AA124" s="13" t="s">
        <v>9137</v>
      </c>
      <c r="AB124" s="13" t="s">
        <v>9138</v>
      </c>
      <c r="AC124" s="14" t="s">
        <v>9157</v>
      </c>
      <c r="AD124" s="14" t="s">
        <v>28</v>
      </c>
      <c r="AE124" s="14" t="s">
        <v>478</v>
      </c>
      <c r="AF124" s="14" t="s">
        <v>52</v>
      </c>
      <c r="AG124" s="14" t="s">
        <v>54</v>
      </c>
      <c r="AH124" s="15" t="s">
        <v>9141</v>
      </c>
      <c r="AI124" s="15" t="s">
        <v>9188</v>
      </c>
      <c r="AJ124" s="15" t="s">
        <v>9143</v>
      </c>
      <c r="AK124" s="15" t="s">
        <v>9141</v>
      </c>
      <c r="AL124" s="15" t="s">
        <v>9189</v>
      </c>
      <c r="AM124" s="16" t="s">
        <v>9141</v>
      </c>
      <c r="AN124" s="16" t="s">
        <v>9190</v>
      </c>
    </row>
    <row r="125" spans="1:40" x14ac:dyDescent="0.25">
      <c r="A125" s="4" t="s">
        <v>3682</v>
      </c>
      <c r="B125" s="4"/>
      <c r="C125" s="4" t="s">
        <v>39</v>
      </c>
      <c r="D125" s="4" t="s">
        <v>3683</v>
      </c>
      <c r="E125" s="4" t="s">
        <v>3684</v>
      </c>
      <c r="F125" s="10">
        <v>45758</v>
      </c>
      <c r="G125" s="11">
        <v>0.52083333333333337</v>
      </c>
      <c r="H125" s="4" t="s">
        <v>2095</v>
      </c>
      <c r="I125" s="4" t="s">
        <v>3685</v>
      </c>
      <c r="J125" s="4" t="s">
        <v>3686</v>
      </c>
      <c r="K125" s="4" t="s">
        <v>3687</v>
      </c>
      <c r="L125" s="4" t="s">
        <v>3688</v>
      </c>
      <c r="M125" s="4" t="s">
        <v>46</v>
      </c>
      <c r="N125" s="4"/>
      <c r="O125" s="4" t="s">
        <v>174</v>
      </c>
      <c r="P125" s="4" t="s">
        <v>48</v>
      </c>
      <c r="Q125" s="4">
        <v>2</v>
      </c>
      <c r="R125" s="4" t="b">
        <v>0</v>
      </c>
      <c r="S125" s="4" t="s">
        <v>114</v>
      </c>
      <c r="T125" s="4" t="s">
        <v>115</v>
      </c>
      <c r="U125" s="4" t="s">
        <v>175</v>
      </c>
      <c r="V125" s="4" t="s">
        <v>63</v>
      </c>
      <c r="W125" s="4" t="s">
        <v>108</v>
      </c>
      <c r="X125" s="4" t="s">
        <v>54</v>
      </c>
      <c r="Y125" s="4"/>
      <c r="Z125" s="12">
        <v>0</v>
      </c>
      <c r="AA125" s="13" t="s">
        <v>9137</v>
      </c>
      <c r="AB125" s="13" t="s">
        <v>9138</v>
      </c>
      <c r="AC125" s="14" t="s">
        <v>9157</v>
      </c>
      <c r="AD125" s="14" t="s">
        <v>9140</v>
      </c>
      <c r="AE125" s="14" t="s">
        <v>9140</v>
      </c>
      <c r="AF125" s="14" t="s">
        <v>63</v>
      </c>
      <c r="AG125" s="14" t="s">
        <v>54</v>
      </c>
      <c r="AH125" s="15" t="s">
        <v>9194</v>
      </c>
      <c r="AI125" s="15" t="s">
        <v>9188</v>
      </c>
      <c r="AJ125" s="15" t="s">
        <v>9143</v>
      </c>
      <c r="AK125" s="15" t="s">
        <v>9194</v>
      </c>
      <c r="AL125" s="15" t="s">
        <v>9203</v>
      </c>
      <c r="AM125" s="16" t="s">
        <v>9194</v>
      </c>
      <c r="AN125" s="16" t="s">
        <v>9204</v>
      </c>
    </row>
    <row r="126" spans="1:40" x14ac:dyDescent="0.25">
      <c r="A126" s="4" t="s">
        <v>7177</v>
      </c>
      <c r="B126" s="4"/>
      <c r="C126" s="4" t="s">
        <v>39</v>
      </c>
      <c r="D126" s="4" t="s">
        <v>7178</v>
      </c>
      <c r="E126" s="4" t="s">
        <v>7179</v>
      </c>
      <c r="F126" s="10">
        <v>45758</v>
      </c>
      <c r="G126" s="11">
        <v>0.5</v>
      </c>
      <c r="H126" s="4" t="s">
        <v>4516</v>
      </c>
      <c r="I126" s="4" t="s">
        <v>7180</v>
      </c>
      <c r="J126" s="4" t="s">
        <v>7181</v>
      </c>
      <c r="K126" s="4" t="s">
        <v>7182</v>
      </c>
      <c r="L126" s="4" t="s">
        <v>7183</v>
      </c>
      <c r="M126" s="4" t="s">
        <v>46</v>
      </c>
      <c r="N126" s="4"/>
      <c r="O126" s="4" t="s">
        <v>47</v>
      </c>
      <c r="P126" s="4" t="s">
        <v>48</v>
      </c>
      <c r="Q126" s="4">
        <v>0</v>
      </c>
      <c r="R126" s="4" t="b">
        <v>0</v>
      </c>
      <c r="S126" s="4" t="s">
        <v>49</v>
      </c>
      <c r="T126" s="4" t="s">
        <v>70</v>
      </c>
      <c r="U126" s="4" t="s">
        <v>71</v>
      </c>
      <c r="V126" s="4" t="s">
        <v>63</v>
      </c>
      <c r="W126" s="4" t="s">
        <v>108</v>
      </c>
      <c r="X126" s="4" t="s">
        <v>54</v>
      </c>
      <c r="Y126" s="4"/>
      <c r="Z126" s="12">
        <v>0</v>
      </c>
      <c r="AA126" s="13" t="s">
        <v>9137</v>
      </c>
      <c r="AB126" s="13" t="s">
        <v>9138</v>
      </c>
      <c r="AC126" s="14" t="s">
        <v>9139</v>
      </c>
      <c r="AD126" s="14" t="s">
        <v>9140</v>
      </c>
      <c r="AE126" s="14" t="s">
        <v>9140</v>
      </c>
      <c r="AF126" s="14" t="s">
        <v>63</v>
      </c>
      <c r="AG126" s="14" t="s">
        <v>54</v>
      </c>
      <c r="AH126" s="15" t="s">
        <v>9220</v>
      </c>
      <c r="AI126" s="15" t="s">
        <v>9188</v>
      </c>
      <c r="AJ126" s="15" t="s">
        <v>9143</v>
      </c>
      <c r="AK126" s="15" t="s">
        <v>9221</v>
      </c>
      <c r="AL126" s="15" t="s">
        <v>9230</v>
      </c>
      <c r="AM126" s="16" t="s">
        <v>9221</v>
      </c>
      <c r="AN126" s="16" t="s">
        <v>9231</v>
      </c>
    </row>
    <row r="127" spans="1:40" x14ac:dyDescent="0.25">
      <c r="A127" s="4" t="s">
        <v>5074</v>
      </c>
      <c r="B127" s="4"/>
      <c r="C127" s="4" t="s">
        <v>39</v>
      </c>
      <c r="D127" s="4" t="s">
        <v>5075</v>
      </c>
      <c r="E127" s="4" t="s">
        <v>5076</v>
      </c>
      <c r="F127" s="10">
        <v>45758</v>
      </c>
      <c r="G127" s="11">
        <v>0.40972222222222221</v>
      </c>
      <c r="H127" s="4" t="s">
        <v>4910</v>
      </c>
      <c r="I127" s="4" t="s">
        <v>5077</v>
      </c>
      <c r="J127" s="4" t="s">
        <v>2140</v>
      </c>
      <c r="K127" s="4" t="s">
        <v>455</v>
      </c>
      <c r="L127" s="4" t="s">
        <v>5078</v>
      </c>
      <c r="M127" s="4" t="s">
        <v>46</v>
      </c>
      <c r="N127" s="4"/>
      <c r="O127" s="4" t="s">
        <v>47</v>
      </c>
      <c r="P127" s="4" t="s">
        <v>48</v>
      </c>
      <c r="Q127" s="4">
        <v>0</v>
      </c>
      <c r="R127" s="4" t="b">
        <v>0</v>
      </c>
      <c r="S127" s="4" t="s">
        <v>61</v>
      </c>
      <c r="T127" s="4" t="s">
        <v>115</v>
      </c>
      <c r="U127" s="4" t="s">
        <v>148</v>
      </c>
      <c r="V127" s="4" t="s">
        <v>123</v>
      </c>
      <c r="W127" s="4" t="s">
        <v>124</v>
      </c>
      <c r="X127" s="4" t="s">
        <v>54</v>
      </c>
      <c r="Y127" s="4"/>
      <c r="Z127" s="12">
        <v>0</v>
      </c>
      <c r="AA127" s="13" t="s">
        <v>9137</v>
      </c>
      <c r="AB127" s="13" t="s">
        <v>9138</v>
      </c>
      <c r="AC127" s="14" t="s">
        <v>9148</v>
      </c>
      <c r="AD127" s="14" t="s">
        <v>9140</v>
      </c>
      <c r="AE127" s="14" t="s">
        <v>9140</v>
      </c>
      <c r="AF127" s="14" t="s">
        <v>123</v>
      </c>
      <c r="AG127" s="14" t="s">
        <v>54</v>
      </c>
      <c r="AH127" s="15" t="s">
        <v>9220</v>
      </c>
      <c r="AI127" s="15" t="s">
        <v>9191</v>
      </c>
      <c r="AJ127" s="15" t="s">
        <v>9143</v>
      </c>
      <c r="AK127" s="15" t="s">
        <v>9221</v>
      </c>
      <c r="AL127" s="15" t="s">
        <v>9226</v>
      </c>
      <c r="AM127" s="16" t="s">
        <v>9221</v>
      </c>
      <c r="AN127" s="16" t="s">
        <v>9227</v>
      </c>
    </row>
    <row r="128" spans="1:40" x14ac:dyDescent="0.25">
      <c r="A128" s="4" t="s">
        <v>8176</v>
      </c>
      <c r="B128" s="4">
        <v>7913023</v>
      </c>
      <c r="C128" s="4" t="s">
        <v>39</v>
      </c>
      <c r="D128" s="4" t="s">
        <v>8177</v>
      </c>
      <c r="E128" s="4" t="s">
        <v>8178</v>
      </c>
      <c r="F128" s="10">
        <v>45758</v>
      </c>
      <c r="G128" s="11">
        <v>0.36319444444444443</v>
      </c>
      <c r="H128" s="4" t="s">
        <v>4516</v>
      </c>
      <c r="I128" s="4" t="s">
        <v>8179</v>
      </c>
      <c r="J128" s="4" t="s">
        <v>8180</v>
      </c>
      <c r="K128" s="4" t="s">
        <v>455</v>
      </c>
      <c r="L128" s="4" t="s">
        <v>8181</v>
      </c>
      <c r="M128" s="4" t="s">
        <v>28</v>
      </c>
      <c r="N128" s="4" t="s">
        <v>478</v>
      </c>
      <c r="O128" s="4" t="s">
        <v>863</v>
      </c>
      <c r="P128" s="4" t="s">
        <v>48</v>
      </c>
      <c r="Q128" s="4">
        <v>0</v>
      </c>
      <c r="R128" s="4" t="b">
        <v>0</v>
      </c>
      <c r="S128" s="4" t="s">
        <v>114</v>
      </c>
      <c r="T128" s="4" t="s">
        <v>50</v>
      </c>
      <c r="U128" s="4" t="s">
        <v>148</v>
      </c>
      <c r="V128" s="4" t="s">
        <v>52</v>
      </c>
      <c r="W128" s="4" t="s">
        <v>53</v>
      </c>
      <c r="X128" s="4" t="s">
        <v>54</v>
      </c>
      <c r="Y128" s="4"/>
      <c r="Z128" s="12" t="s">
        <v>48</v>
      </c>
      <c r="AA128" s="13" t="s">
        <v>9137</v>
      </c>
      <c r="AB128" s="13" t="s">
        <v>9138</v>
      </c>
      <c r="AC128" s="14" t="s">
        <v>9157</v>
      </c>
      <c r="AD128" s="14" t="s">
        <v>28</v>
      </c>
      <c r="AE128" s="14" t="s">
        <v>478</v>
      </c>
      <c r="AF128" s="14" t="s">
        <v>52</v>
      </c>
      <c r="AG128" s="14" t="s">
        <v>54</v>
      </c>
      <c r="AH128" s="15" t="s">
        <v>9220</v>
      </c>
      <c r="AI128" s="15" t="s">
        <v>9188</v>
      </c>
      <c r="AJ128" s="15" t="s">
        <v>9143</v>
      </c>
      <c r="AK128" s="15" t="s">
        <v>9221</v>
      </c>
      <c r="AL128" s="15" t="s">
        <v>9232</v>
      </c>
      <c r="AM128" s="16" t="s">
        <v>9221</v>
      </c>
      <c r="AN128" s="16" t="s">
        <v>9233</v>
      </c>
    </row>
    <row r="129" spans="1:40" x14ac:dyDescent="0.25">
      <c r="A129" s="4" t="s">
        <v>8014</v>
      </c>
      <c r="B129" s="4"/>
      <c r="C129" s="4" t="s">
        <v>39</v>
      </c>
      <c r="D129" s="4" t="s">
        <v>8015</v>
      </c>
      <c r="E129" s="4" t="s">
        <v>8016</v>
      </c>
      <c r="F129" s="10">
        <v>45757</v>
      </c>
      <c r="G129" s="11">
        <v>0.69722222222222219</v>
      </c>
      <c r="H129" s="4" t="s">
        <v>4910</v>
      </c>
      <c r="I129" s="4" t="s">
        <v>8017</v>
      </c>
      <c r="J129" s="4" t="s">
        <v>8018</v>
      </c>
      <c r="K129" s="4" t="s">
        <v>8019</v>
      </c>
      <c r="L129" s="4" t="s">
        <v>8020</v>
      </c>
      <c r="M129" s="4" t="s">
        <v>46</v>
      </c>
      <c r="N129" s="4"/>
      <c r="O129" s="4" t="s">
        <v>47</v>
      </c>
      <c r="P129" s="4" t="s">
        <v>48</v>
      </c>
      <c r="Q129" s="4">
        <v>0</v>
      </c>
      <c r="R129" s="4" t="b">
        <v>0</v>
      </c>
      <c r="S129" s="4" t="s">
        <v>61</v>
      </c>
      <c r="T129" s="4" t="s">
        <v>50</v>
      </c>
      <c r="U129" s="4" t="s">
        <v>71</v>
      </c>
      <c r="V129" s="4" t="s">
        <v>72</v>
      </c>
      <c r="W129" s="4" t="s">
        <v>73</v>
      </c>
      <c r="X129" s="4" t="s">
        <v>54</v>
      </c>
      <c r="Y129" s="4"/>
      <c r="Z129" s="12">
        <v>0</v>
      </c>
      <c r="AA129" s="13" t="s">
        <v>9137</v>
      </c>
      <c r="AB129" s="13" t="s">
        <v>9138</v>
      </c>
      <c r="AC129" s="14" t="s">
        <v>9148</v>
      </c>
      <c r="AD129" s="14" t="s">
        <v>9140</v>
      </c>
      <c r="AE129" s="14" t="s">
        <v>9140</v>
      </c>
      <c r="AF129" s="14" t="s">
        <v>72</v>
      </c>
      <c r="AG129" s="14" t="s">
        <v>54</v>
      </c>
      <c r="AH129" s="15" t="s">
        <v>9220</v>
      </c>
      <c r="AI129" s="15" t="s">
        <v>9191</v>
      </c>
      <c r="AJ129" s="15" t="s">
        <v>9143</v>
      </c>
      <c r="AK129" s="15" t="s">
        <v>9221</v>
      </c>
      <c r="AL129" s="15" t="s">
        <v>9234</v>
      </c>
      <c r="AM129" s="16" t="s">
        <v>9221</v>
      </c>
      <c r="AN129" s="16" t="s">
        <v>9235</v>
      </c>
    </row>
    <row r="130" spans="1:40" x14ac:dyDescent="0.25">
      <c r="A130" s="4" t="s">
        <v>5463</v>
      </c>
      <c r="B130" s="4"/>
      <c r="C130" s="4" t="s">
        <v>39</v>
      </c>
      <c r="D130" s="4" t="s">
        <v>5464</v>
      </c>
      <c r="E130" s="4" t="s">
        <v>5465</v>
      </c>
      <c r="F130" s="10">
        <v>45757</v>
      </c>
      <c r="G130" s="11">
        <v>0.60416666666666663</v>
      </c>
      <c r="H130" s="4" t="s">
        <v>4516</v>
      </c>
      <c r="I130" s="4" t="s">
        <v>5466</v>
      </c>
      <c r="J130" s="4" t="s">
        <v>5467</v>
      </c>
      <c r="K130" s="4" t="s">
        <v>5468</v>
      </c>
      <c r="L130" s="4" t="s">
        <v>5469</v>
      </c>
      <c r="M130" s="4" t="s">
        <v>46</v>
      </c>
      <c r="N130" s="4"/>
      <c r="O130" s="4" t="s">
        <v>47</v>
      </c>
      <c r="P130" s="4" t="s">
        <v>48</v>
      </c>
      <c r="Q130" s="4">
        <v>0</v>
      </c>
      <c r="R130" s="4" t="b">
        <v>0</v>
      </c>
      <c r="S130" s="4" t="s">
        <v>61</v>
      </c>
      <c r="T130" s="4" t="s">
        <v>115</v>
      </c>
      <c r="U130" s="4" t="s">
        <v>148</v>
      </c>
      <c r="V130" s="4" t="s">
        <v>123</v>
      </c>
      <c r="W130" s="4" t="s">
        <v>149</v>
      </c>
      <c r="X130" s="4" t="s">
        <v>54</v>
      </c>
      <c r="Y130" s="4"/>
      <c r="Z130" s="12">
        <v>0</v>
      </c>
      <c r="AA130" s="13" t="s">
        <v>9137</v>
      </c>
      <c r="AB130" s="13" t="s">
        <v>9138</v>
      </c>
      <c r="AC130" s="14" t="s">
        <v>9148</v>
      </c>
      <c r="AD130" s="14" t="s">
        <v>9140</v>
      </c>
      <c r="AE130" s="14" t="s">
        <v>9140</v>
      </c>
      <c r="AF130" s="14" t="s">
        <v>123</v>
      </c>
      <c r="AG130" s="14" t="s">
        <v>54</v>
      </c>
      <c r="AH130" s="15" t="s">
        <v>9220</v>
      </c>
      <c r="AI130" s="15" t="s">
        <v>9188</v>
      </c>
      <c r="AJ130" s="15" t="s">
        <v>9143</v>
      </c>
      <c r="AK130" s="15" t="s">
        <v>9221</v>
      </c>
      <c r="AL130" s="15" t="s">
        <v>9230</v>
      </c>
      <c r="AM130" s="16" t="s">
        <v>9221</v>
      </c>
      <c r="AN130" s="16" t="s">
        <v>9231</v>
      </c>
    </row>
    <row r="131" spans="1:40" x14ac:dyDescent="0.25">
      <c r="A131" s="4" t="s">
        <v>5272</v>
      </c>
      <c r="B131" s="4"/>
      <c r="C131" s="4" t="s">
        <v>39</v>
      </c>
      <c r="D131" s="4" t="s">
        <v>5273</v>
      </c>
      <c r="E131" s="4" t="s">
        <v>5274</v>
      </c>
      <c r="F131" s="10">
        <v>45757</v>
      </c>
      <c r="G131" s="11">
        <v>0.5</v>
      </c>
      <c r="H131" s="4" t="s">
        <v>4516</v>
      </c>
      <c r="I131" s="4" t="s">
        <v>5275</v>
      </c>
      <c r="J131" s="4" t="s">
        <v>5276</v>
      </c>
      <c r="K131" s="4" t="s">
        <v>5277</v>
      </c>
      <c r="L131" s="4" t="s">
        <v>5278</v>
      </c>
      <c r="M131" s="4" t="s">
        <v>46</v>
      </c>
      <c r="N131" s="4"/>
      <c r="O131" s="4" t="s">
        <v>47</v>
      </c>
      <c r="P131" s="4" t="s">
        <v>48</v>
      </c>
      <c r="Q131" s="4">
        <v>0</v>
      </c>
      <c r="R131" s="4" t="b">
        <v>0</v>
      </c>
      <c r="S131" s="4" t="s">
        <v>61</v>
      </c>
      <c r="T131" s="4" t="s">
        <v>50</v>
      </c>
      <c r="U131" s="4" t="s">
        <v>165</v>
      </c>
      <c r="V131" s="4" t="s">
        <v>123</v>
      </c>
      <c r="W131" s="4" t="s">
        <v>124</v>
      </c>
      <c r="X131" s="4" t="s">
        <v>54</v>
      </c>
      <c r="Y131" s="4"/>
      <c r="Z131" s="12">
        <v>0</v>
      </c>
      <c r="AA131" s="13" t="s">
        <v>9137</v>
      </c>
      <c r="AB131" s="13" t="s">
        <v>9138</v>
      </c>
      <c r="AC131" s="14" t="s">
        <v>9148</v>
      </c>
      <c r="AD131" s="14" t="s">
        <v>9140</v>
      </c>
      <c r="AE131" s="14" t="s">
        <v>9140</v>
      </c>
      <c r="AF131" s="14" t="s">
        <v>123</v>
      </c>
      <c r="AG131" s="14" t="s">
        <v>54</v>
      </c>
      <c r="AH131" s="15" t="s">
        <v>9220</v>
      </c>
      <c r="AI131" s="15" t="s">
        <v>9188</v>
      </c>
      <c r="AJ131" s="15" t="s">
        <v>9143</v>
      </c>
      <c r="AK131" s="15" t="s">
        <v>9221</v>
      </c>
      <c r="AL131" s="15" t="s">
        <v>9230</v>
      </c>
      <c r="AM131" s="16" t="s">
        <v>9221</v>
      </c>
      <c r="AN131" s="16" t="s">
        <v>9231</v>
      </c>
    </row>
    <row r="132" spans="1:40" x14ac:dyDescent="0.25">
      <c r="A132" s="4" t="s">
        <v>5279</v>
      </c>
      <c r="B132" s="4"/>
      <c r="C132" s="4" t="s">
        <v>39</v>
      </c>
      <c r="D132" s="4" t="s">
        <v>5280</v>
      </c>
      <c r="E132" s="4" t="s">
        <v>5281</v>
      </c>
      <c r="F132" s="10">
        <v>45757</v>
      </c>
      <c r="G132" s="11">
        <v>0.6166666666666667</v>
      </c>
      <c r="H132" s="4" t="s">
        <v>4516</v>
      </c>
      <c r="I132" s="4" t="s">
        <v>5275</v>
      </c>
      <c r="J132" s="4" t="s">
        <v>5276</v>
      </c>
      <c r="K132" s="4" t="s">
        <v>5282</v>
      </c>
      <c r="L132" s="4" t="s">
        <v>5283</v>
      </c>
      <c r="M132" s="4" t="s">
        <v>46</v>
      </c>
      <c r="N132" s="4"/>
      <c r="O132" s="4" t="s">
        <v>47</v>
      </c>
      <c r="P132" s="4" t="s">
        <v>48</v>
      </c>
      <c r="Q132" s="4">
        <v>0</v>
      </c>
      <c r="R132" s="4" t="b">
        <v>0</v>
      </c>
      <c r="S132" s="4" t="s">
        <v>61</v>
      </c>
      <c r="T132" s="4" t="s">
        <v>70</v>
      </c>
      <c r="U132" s="4" t="s">
        <v>71</v>
      </c>
      <c r="V132" s="4" t="s">
        <v>63</v>
      </c>
      <c r="W132" s="4" t="s">
        <v>312</v>
      </c>
      <c r="X132" s="4" t="s">
        <v>54</v>
      </c>
      <c r="Y132" s="4"/>
      <c r="Z132" s="12">
        <v>0</v>
      </c>
      <c r="AA132" s="13" t="s">
        <v>9137</v>
      </c>
      <c r="AB132" s="13" t="s">
        <v>9138</v>
      </c>
      <c r="AC132" s="14" t="s">
        <v>9148</v>
      </c>
      <c r="AD132" s="14" t="s">
        <v>9140</v>
      </c>
      <c r="AE132" s="14" t="s">
        <v>9140</v>
      </c>
      <c r="AF132" s="14" t="s">
        <v>63</v>
      </c>
      <c r="AG132" s="14" t="s">
        <v>54</v>
      </c>
      <c r="AH132" s="15" t="s">
        <v>9220</v>
      </c>
      <c r="AI132" s="15" t="s">
        <v>9188</v>
      </c>
      <c r="AJ132" s="15" t="s">
        <v>9143</v>
      </c>
      <c r="AK132" s="15" t="s">
        <v>9221</v>
      </c>
      <c r="AL132" s="15" t="s">
        <v>9230</v>
      </c>
      <c r="AM132" s="16" t="s">
        <v>9221</v>
      </c>
      <c r="AN132" s="16" t="s">
        <v>9231</v>
      </c>
    </row>
    <row r="133" spans="1:40" x14ac:dyDescent="0.25">
      <c r="A133" s="4" t="s">
        <v>8968</v>
      </c>
      <c r="B133" s="4"/>
      <c r="C133" s="4" t="s">
        <v>39</v>
      </c>
      <c r="D133" s="4" t="s">
        <v>8969</v>
      </c>
      <c r="E133" s="4" t="s">
        <v>8970</v>
      </c>
      <c r="F133" s="10">
        <v>45757</v>
      </c>
      <c r="G133" s="11">
        <v>0.80555555555555558</v>
      </c>
      <c r="H133" s="4" t="s">
        <v>4019</v>
      </c>
      <c r="I133" s="4" t="s">
        <v>8971</v>
      </c>
      <c r="J133" s="4" t="s">
        <v>8972</v>
      </c>
      <c r="K133" s="4" t="s">
        <v>8973</v>
      </c>
      <c r="L133" s="4" t="s">
        <v>8974</v>
      </c>
      <c r="M133" s="4" t="s">
        <v>46</v>
      </c>
      <c r="N133" s="4"/>
      <c r="O133" s="4" t="s">
        <v>47</v>
      </c>
      <c r="P133" s="4" t="s">
        <v>48</v>
      </c>
      <c r="Q133" s="4">
        <v>0</v>
      </c>
      <c r="R133" s="4" t="b">
        <v>0</v>
      </c>
      <c r="S133" s="4" t="s">
        <v>61</v>
      </c>
      <c r="T133" s="4" t="s">
        <v>115</v>
      </c>
      <c r="U133" s="4" t="s">
        <v>426</v>
      </c>
      <c r="V133" s="4" t="s">
        <v>52</v>
      </c>
      <c r="W133" s="4" t="s">
        <v>53</v>
      </c>
      <c r="X133" s="4" t="s">
        <v>54</v>
      </c>
      <c r="Y133" s="4"/>
      <c r="Z133" s="12">
        <v>0</v>
      </c>
      <c r="AA133" s="13" t="s">
        <v>9137</v>
      </c>
      <c r="AB133" s="13" t="s">
        <v>9138</v>
      </c>
      <c r="AC133" s="14" t="s">
        <v>9148</v>
      </c>
      <c r="AD133" s="14" t="s">
        <v>9140</v>
      </c>
      <c r="AE133" s="14" t="s">
        <v>9140</v>
      </c>
      <c r="AF133" s="14" t="s">
        <v>52</v>
      </c>
      <c r="AG133" s="14" t="s">
        <v>54</v>
      </c>
      <c r="AH133" s="15" t="s">
        <v>9220</v>
      </c>
      <c r="AI133" s="15" t="s">
        <v>9175</v>
      </c>
      <c r="AJ133" s="15" t="s">
        <v>9181</v>
      </c>
      <c r="AK133" s="15" t="s">
        <v>9182</v>
      </c>
      <c r="AL133" s="15" t="s">
        <v>9182</v>
      </c>
      <c r="AM133" s="16" t="s">
        <v>9182</v>
      </c>
      <c r="AN133" s="16" t="s">
        <v>9182</v>
      </c>
    </row>
    <row r="134" spans="1:40" x14ac:dyDescent="0.25">
      <c r="A134" s="4" t="s">
        <v>7590</v>
      </c>
      <c r="B134" s="4">
        <v>12240089548</v>
      </c>
      <c r="C134" s="4" t="s">
        <v>39</v>
      </c>
      <c r="D134" s="4" t="s">
        <v>7591</v>
      </c>
      <c r="E134" s="4" t="s">
        <v>7592</v>
      </c>
      <c r="F134" s="10">
        <v>45757</v>
      </c>
      <c r="G134" s="11">
        <v>0.63055555555555554</v>
      </c>
      <c r="H134" s="4" t="s">
        <v>4019</v>
      </c>
      <c r="I134" s="4" t="s">
        <v>7593</v>
      </c>
      <c r="J134" s="4" t="s">
        <v>7594</v>
      </c>
      <c r="K134" s="4" t="s">
        <v>7595</v>
      </c>
      <c r="L134" s="4" t="s">
        <v>7596</v>
      </c>
      <c r="M134" s="4" t="s">
        <v>28</v>
      </c>
      <c r="N134" s="4" t="s">
        <v>478</v>
      </c>
      <c r="O134" s="4" t="s">
        <v>344</v>
      </c>
      <c r="P134" s="4" t="s">
        <v>60</v>
      </c>
      <c r="Q134" s="4">
        <v>22</v>
      </c>
      <c r="R134" s="4" t="b">
        <v>0</v>
      </c>
      <c r="S134" s="4" t="s">
        <v>114</v>
      </c>
      <c r="T134" s="4" t="s">
        <v>204</v>
      </c>
      <c r="U134" s="4" t="s">
        <v>122</v>
      </c>
      <c r="V134" s="4" t="s">
        <v>52</v>
      </c>
      <c r="W134" s="4" t="s">
        <v>374</v>
      </c>
      <c r="X134" s="4" t="s">
        <v>54</v>
      </c>
      <c r="Y134" s="4"/>
      <c r="Z134" s="12" t="s">
        <v>60</v>
      </c>
      <c r="AA134" s="13" t="s">
        <v>9137</v>
      </c>
      <c r="AB134" s="13" t="s">
        <v>9138</v>
      </c>
      <c r="AC134" s="14" t="s">
        <v>9157</v>
      </c>
      <c r="AD134" s="14" t="s">
        <v>28</v>
      </c>
      <c r="AE134" s="14" t="s">
        <v>478</v>
      </c>
      <c r="AF134" s="14" t="s">
        <v>52</v>
      </c>
      <c r="AG134" s="14" t="s">
        <v>54</v>
      </c>
      <c r="AH134" s="15" t="s">
        <v>9220</v>
      </c>
      <c r="AI134" s="15" t="s">
        <v>9175</v>
      </c>
      <c r="AJ134" s="15" t="s">
        <v>9143</v>
      </c>
      <c r="AK134" s="15" t="s">
        <v>9221</v>
      </c>
      <c r="AL134" s="15" t="s">
        <v>9222</v>
      </c>
      <c r="AM134" s="16" t="s">
        <v>9221</v>
      </c>
      <c r="AN134" s="16" t="s">
        <v>9223</v>
      </c>
    </row>
    <row r="135" spans="1:40" x14ac:dyDescent="0.25">
      <c r="A135" s="4" t="s">
        <v>3147</v>
      </c>
      <c r="B135" s="4"/>
      <c r="C135" s="4" t="s">
        <v>39</v>
      </c>
      <c r="D135" s="4" t="s">
        <v>3148</v>
      </c>
      <c r="E135" s="4" t="s">
        <v>3149</v>
      </c>
      <c r="F135" s="10">
        <v>45757</v>
      </c>
      <c r="G135" s="11">
        <v>0.45833333333333331</v>
      </c>
      <c r="H135" s="4" t="s">
        <v>2095</v>
      </c>
      <c r="I135" s="4" t="s">
        <v>3150</v>
      </c>
      <c r="J135" s="4" t="s">
        <v>3151</v>
      </c>
      <c r="K135" s="4" t="s">
        <v>3152</v>
      </c>
      <c r="L135" s="4" t="s">
        <v>3153</v>
      </c>
      <c r="M135" s="4" t="s">
        <v>46</v>
      </c>
      <c r="N135" s="4"/>
      <c r="O135" s="4" t="s">
        <v>47</v>
      </c>
      <c r="P135" s="4" t="s">
        <v>48</v>
      </c>
      <c r="Q135" s="4">
        <v>0</v>
      </c>
      <c r="R135" s="4" t="b">
        <v>0</v>
      </c>
      <c r="S135" s="4" t="s">
        <v>61</v>
      </c>
      <c r="T135" s="4" t="s">
        <v>404</v>
      </c>
      <c r="U135" s="4" t="s">
        <v>218</v>
      </c>
      <c r="V135" s="4" t="s">
        <v>72</v>
      </c>
      <c r="W135" s="4" t="s">
        <v>97</v>
      </c>
      <c r="X135" s="4" t="s">
        <v>54</v>
      </c>
      <c r="Y135" s="4"/>
      <c r="Z135" s="12">
        <v>0</v>
      </c>
      <c r="AA135" s="13" t="s">
        <v>9137</v>
      </c>
      <c r="AB135" s="13" t="s">
        <v>9138</v>
      </c>
      <c r="AC135" s="14" t="s">
        <v>9148</v>
      </c>
      <c r="AD135" s="14" t="s">
        <v>9140</v>
      </c>
      <c r="AE135" s="14" t="s">
        <v>9140</v>
      </c>
      <c r="AF135" s="14" t="s">
        <v>72</v>
      </c>
      <c r="AG135" s="14" t="s">
        <v>54</v>
      </c>
      <c r="AH135" s="15" t="s">
        <v>9194</v>
      </c>
      <c r="AI135" s="15" t="s">
        <v>9188</v>
      </c>
      <c r="AJ135" s="15" t="s">
        <v>9143</v>
      </c>
      <c r="AK135" s="15" t="s">
        <v>9194</v>
      </c>
      <c r="AL135" s="15" t="s">
        <v>9211</v>
      </c>
      <c r="AM135" s="16" t="s">
        <v>9194</v>
      </c>
      <c r="AN135" s="16" t="s">
        <v>9212</v>
      </c>
    </row>
    <row r="136" spans="1:40" x14ac:dyDescent="0.25">
      <c r="A136" s="4" t="s">
        <v>3184</v>
      </c>
      <c r="B136" s="4"/>
      <c r="C136" s="4" t="s">
        <v>39</v>
      </c>
      <c r="D136" s="4" t="s">
        <v>3185</v>
      </c>
      <c r="E136" s="4" t="s">
        <v>3186</v>
      </c>
      <c r="F136" s="10">
        <v>45757</v>
      </c>
      <c r="G136" s="11">
        <v>0.86527777777777781</v>
      </c>
      <c r="H136" s="4" t="s">
        <v>1992</v>
      </c>
      <c r="I136" s="4" t="s">
        <v>3187</v>
      </c>
      <c r="J136" s="4" t="s">
        <v>3188</v>
      </c>
      <c r="K136" s="4" t="s">
        <v>3189</v>
      </c>
      <c r="L136" s="4" t="s">
        <v>3190</v>
      </c>
      <c r="M136" s="4" t="s">
        <v>46</v>
      </c>
      <c r="N136" s="4"/>
      <c r="O136" s="4" t="s">
        <v>47</v>
      </c>
      <c r="P136" s="4" t="s">
        <v>48</v>
      </c>
      <c r="Q136" s="4">
        <v>0</v>
      </c>
      <c r="R136" s="4" t="b">
        <v>0</v>
      </c>
      <c r="S136" s="4" t="s">
        <v>49</v>
      </c>
      <c r="T136" s="4" t="s">
        <v>3009</v>
      </c>
      <c r="U136" s="4" t="s">
        <v>650</v>
      </c>
      <c r="V136" s="4" t="s">
        <v>81</v>
      </c>
      <c r="W136" s="4" t="s">
        <v>82</v>
      </c>
      <c r="X136" s="4" t="s">
        <v>2811</v>
      </c>
      <c r="Y136" s="4"/>
      <c r="Z136" s="12">
        <v>0</v>
      </c>
      <c r="AA136" s="13" t="s">
        <v>9137</v>
      </c>
      <c r="AB136" s="13" t="s">
        <v>9138</v>
      </c>
      <c r="AC136" s="14" t="s">
        <v>9139</v>
      </c>
      <c r="AD136" s="14" t="s">
        <v>9140</v>
      </c>
      <c r="AE136" s="14" t="s">
        <v>9140</v>
      </c>
      <c r="AF136" s="14" t="s">
        <v>81</v>
      </c>
      <c r="AG136" s="14" t="s">
        <v>2811</v>
      </c>
      <c r="AH136" s="15" t="s">
        <v>9194</v>
      </c>
      <c r="AI136" s="15" t="s">
        <v>9191</v>
      </c>
      <c r="AJ136" s="15" t="s">
        <v>9143</v>
      </c>
      <c r="AK136" s="15" t="s">
        <v>9194</v>
      </c>
      <c r="AL136" s="15" t="s">
        <v>9197</v>
      </c>
      <c r="AM136" s="16" t="s">
        <v>9194</v>
      </c>
      <c r="AN136" s="16" t="s">
        <v>9198</v>
      </c>
    </row>
    <row r="137" spans="1:40" x14ac:dyDescent="0.25">
      <c r="A137" s="4" t="s">
        <v>3653</v>
      </c>
      <c r="B137" s="4"/>
      <c r="C137" s="4" t="s">
        <v>39</v>
      </c>
      <c r="D137" s="4" t="s">
        <v>3654</v>
      </c>
      <c r="E137" s="4" t="s">
        <v>3655</v>
      </c>
      <c r="F137" s="10">
        <v>45757</v>
      </c>
      <c r="G137" s="11">
        <v>0.58333333333333337</v>
      </c>
      <c r="H137" s="4" t="s">
        <v>1992</v>
      </c>
      <c r="I137" s="4" t="s">
        <v>3656</v>
      </c>
      <c r="J137" s="4" t="s">
        <v>3657</v>
      </c>
      <c r="K137" s="4" t="s">
        <v>3658</v>
      </c>
      <c r="L137" s="4" t="s">
        <v>3659</v>
      </c>
      <c r="M137" s="4" t="s">
        <v>46</v>
      </c>
      <c r="N137" s="4"/>
      <c r="O137" s="4" t="s">
        <v>47</v>
      </c>
      <c r="P137" s="4" t="s">
        <v>48</v>
      </c>
      <c r="Q137" s="4">
        <v>0</v>
      </c>
      <c r="R137" s="4" t="b">
        <v>0</v>
      </c>
      <c r="S137" s="4" t="s">
        <v>61</v>
      </c>
      <c r="T137" s="4" t="s">
        <v>115</v>
      </c>
      <c r="U137" s="4" t="s">
        <v>175</v>
      </c>
      <c r="V137" s="4" t="s">
        <v>52</v>
      </c>
      <c r="W137" s="4" t="s">
        <v>53</v>
      </c>
      <c r="X137" s="4" t="s">
        <v>54</v>
      </c>
      <c r="Y137" s="4"/>
      <c r="Z137" s="12">
        <v>0</v>
      </c>
      <c r="AA137" s="13" t="s">
        <v>9137</v>
      </c>
      <c r="AB137" s="13" t="s">
        <v>9138</v>
      </c>
      <c r="AC137" s="14" t="s">
        <v>9148</v>
      </c>
      <c r="AD137" s="14" t="s">
        <v>9140</v>
      </c>
      <c r="AE137" s="14" t="s">
        <v>9140</v>
      </c>
      <c r="AF137" s="14" t="s">
        <v>52</v>
      </c>
      <c r="AG137" s="14" t="s">
        <v>54</v>
      </c>
      <c r="AH137" s="15" t="s">
        <v>9194</v>
      </c>
      <c r="AI137" s="15" t="s">
        <v>9191</v>
      </c>
      <c r="AJ137" s="15" t="s">
        <v>9143</v>
      </c>
      <c r="AK137" s="15" t="s">
        <v>9194</v>
      </c>
      <c r="AL137" s="15" t="s">
        <v>9205</v>
      </c>
      <c r="AM137" s="16" t="s">
        <v>9194</v>
      </c>
      <c r="AN137" s="16" t="s">
        <v>9206</v>
      </c>
    </row>
    <row r="138" spans="1:40" x14ac:dyDescent="0.25">
      <c r="A138" s="4" t="s">
        <v>6695</v>
      </c>
      <c r="B138" s="4"/>
      <c r="C138" s="4" t="s">
        <v>39</v>
      </c>
      <c r="D138" s="4" t="s">
        <v>6696</v>
      </c>
      <c r="E138" s="4" t="s">
        <v>6697</v>
      </c>
      <c r="F138" s="10">
        <v>45756</v>
      </c>
      <c r="G138" s="11">
        <v>0.60833333333333328</v>
      </c>
      <c r="H138" s="4" t="s">
        <v>5666</v>
      </c>
      <c r="I138" s="4" t="s">
        <v>6692</v>
      </c>
      <c r="J138" s="4" t="s">
        <v>3645</v>
      </c>
      <c r="K138" s="4" t="s">
        <v>6698</v>
      </c>
      <c r="L138" s="4" t="s">
        <v>6699</v>
      </c>
      <c r="M138" s="4" t="s">
        <v>28</v>
      </c>
      <c r="N138" s="4" t="s">
        <v>478</v>
      </c>
      <c r="O138" s="4" t="s">
        <v>191</v>
      </c>
      <c r="P138" s="4" t="s">
        <v>60</v>
      </c>
      <c r="Q138" s="4">
        <v>0</v>
      </c>
      <c r="R138" s="4" t="b">
        <v>0</v>
      </c>
      <c r="S138" s="4" t="s">
        <v>61</v>
      </c>
      <c r="T138" s="4" t="s">
        <v>583</v>
      </c>
      <c r="U138" s="4" t="s">
        <v>373</v>
      </c>
      <c r="V138" s="4" t="s">
        <v>52</v>
      </c>
      <c r="W138" s="4" t="s">
        <v>53</v>
      </c>
      <c r="X138" s="4" t="s">
        <v>98</v>
      </c>
      <c r="Y138" s="4"/>
      <c r="Z138" s="12" t="s">
        <v>60</v>
      </c>
      <c r="AA138" s="13" t="s">
        <v>9137</v>
      </c>
      <c r="AB138" s="13" t="s">
        <v>9138</v>
      </c>
      <c r="AC138" s="14" t="s">
        <v>9148</v>
      </c>
      <c r="AD138" s="14" t="s">
        <v>28</v>
      </c>
      <c r="AE138" s="14" t="s">
        <v>478</v>
      </c>
      <c r="AF138" s="14" t="s">
        <v>52</v>
      </c>
      <c r="AG138" s="14" t="s">
        <v>98</v>
      </c>
      <c r="AH138" s="15" t="s">
        <v>9220</v>
      </c>
      <c r="AI138" s="15" t="s">
        <v>9199</v>
      </c>
      <c r="AJ138" s="15" t="s">
        <v>9143</v>
      </c>
      <c r="AK138" s="15" t="s">
        <v>9221</v>
      </c>
      <c r="AL138" s="15" t="s">
        <v>9199</v>
      </c>
      <c r="AM138" s="16" t="s">
        <v>9221</v>
      </c>
      <c r="AN138" s="16" t="s">
        <v>9238</v>
      </c>
    </row>
    <row r="139" spans="1:40" x14ac:dyDescent="0.25">
      <c r="A139" s="4" t="s">
        <v>3923</v>
      </c>
      <c r="B139" s="4"/>
      <c r="C139" s="4" t="s">
        <v>39</v>
      </c>
      <c r="D139" s="4" t="s">
        <v>3924</v>
      </c>
      <c r="E139" s="4" t="s">
        <v>3925</v>
      </c>
      <c r="F139" s="10">
        <v>45756</v>
      </c>
      <c r="G139" s="11">
        <v>0.54166666666666663</v>
      </c>
      <c r="H139" s="4" t="s">
        <v>1992</v>
      </c>
      <c r="I139" s="4" t="s">
        <v>3926</v>
      </c>
      <c r="J139" s="4" t="s">
        <v>3927</v>
      </c>
      <c r="K139" s="4" t="s">
        <v>3928</v>
      </c>
      <c r="L139" s="4" t="s">
        <v>3929</v>
      </c>
      <c r="M139" s="4" t="s">
        <v>46</v>
      </c>
      <c r="N139" s="4"/>
      <c r="O139" s="4" t="s">
        <v>47</v>
      </c>
      <c r="P139" s="4" t="s">
        <v>48</v>
      </c>
      <c r="Q139" s="4">
        <v>0</v>
      </c>
      <c r="R139" s="4" t="b">
        <v>0</v>
      </c>
      <c r="S139" s="4" t="s">
        <v>61</v>
      </c>
      <c r="T139" s="4" t="s">
        <v>115</v>
      </c>
      <c r="U139" s="4" t="s">
        <v>175</v>
      </c>
      <c r="V139" s="4" t="s">
        <v>52</v>
      </c>
      <c r="W139" s="4" t="s">
        <v>53</v>
      </c>
      <c r="X139" s="4" t="s">
        <v>98</v>
      </c>
      <c r="Y139" s="4"/>
      <c r="Z139" s="12">
        <v>0</v>
      </c>
      <c r="AA139" s="13" t="s">
        <v>9137</v>
      </c>
      <c r="AB139" s="13" t="s">
        <v>9138</v>
      </c>
      <c r="AC139" s="14" t="s">
        <v>9148</v>
      </c>
      <c r="AD139" s="14" t="s">
        <v>9140</v>
      </c>
      <c r="AE139" s="14" t="s">
        <v>9140</v>
      </c>
      <c r="AF139" s="14" t="s">
        <v>52</v>
      </c>
      <c r="AG139" s="14" t="s">
        <v>98</v>
      </c>
      <c r="AH139" s="15" t="s">
        <v>9194</v>
      </c>
      <c r="AI139" s="15" t="s">
        <v>9191</v>
      </c>
      <c r="AJ139" s="15" t="s">
        <v>9143</v>
      </c>
      <c r="AK139" s="15" t="s">
        <v>9194</v>
      </c>
      <c r="AL139" s="15" t="s">
        <v>9197</v>
      </c>
      <c r="AM139" s="16" t="s">
        <v>9194</v>
      </c>
      <c r="AN139" s="16" t="s">
        <v>9198</v>
      </c>
    </row>
    <row r="140" spans="1:40" x14ac:dyDescent="0.25">
      <c r="A140" s="4" t="s">
        <v>7454</v>
      </c>
      <c r="B140" s="4"/>
      <c r="C140" s="4" t="s">
        <v>39</v>
      </c>
      <c r="D140" s="4" t="s">
        <v>7455</v>
      </c>
      <c r="E140" s="4" t="s">
        <v>7456</v>
      </c>
      <c r="F140" s="10">
        <v>45756</v>
      </c>
      <c r="G140" s="11">
        <v>0.42291666666666666</v>
      </c>
      <c r="H140" s="4" t="s">
        <v>4910</v>
      </c>
      <c r="I140" s="4" t="s">
        <v>7457</v>
      </c>
      <c r="J140" s="4" t="s">
        <v>2378</v>
      </c>
      <c r="K140" s="4" t="s">
        <v>7458</v>
      </c>
      <c r="L140" s="4" t="s">
        <v>7459</v>
      </c>
      <c r="M140" s="4" t="s">
        <v>46</v>
      </c>
      <c r="N140" s="4"/>
      <c r="O140" s="4" t="s">
        <v>47</v>
      </c>
      <c r="P140" s="4" t="s">
        <v>48</v>
      </c>
      <c r="Q140" s="4">
        <v>0</v>
      </c>
      <c r="R140" s="4" t="b">
        <v>0</v>
      </c>
      <c r="S140" s="4" t="s">
        <v>49</v>
      </c>
      <c r="T140" s="4" t="s">
        <v>70</v>
      </c>
      <c r="U140" s="4" t="s">
        <v>71</v>
      </c>
      <c r="V140" s="4" t="s">
        <v>72</v>
      </c>
      <c r="W140" s="4" t="s">
        <v>73</v>
      </c>
      <c r="X140" s="4" t="s">
        <v>54</v>
      </c>
      <c r="Y140" s="4"/>
      <c r="Z140" s="12">
        <v>0</v>
      </c>
      <c r="AA140" s="13" t="s">
        <v>9137</v>
      </c>
      <c r="AB140" s="13" t="s">
        <v>9138</v>
      </c>
      <c r="AC140" s="14" t="s">
        <v>9139</v>
      </c>
      <c r="AD140" s="14" t="s">
        <v>9140</v>
      </c>
      <c r="AE140" s="14" t="s">
        <v>9140</v>
      </c>
      <c r="AF140" s="14" t="s">
        <v>72</v>
      </c>
      <c r="AG140" s="14" t="s">
        <v>54</v>
      </c>
      <c r="AH140" s="15" t="s">
        <v>9220</v>
      </c>
      <c r="AI140" s="15" t="s">
        <v>9191</v>
      </c>
      <c r="AJ140" s="15" t="s">
        <v>9143</v>
      </c>
      <c r="AK140" s="15" t="s">
        <v>9221</v>
      </c>
      <c r="AL140" s="15" t="s">
        <v>9226</v>
      </c>
      <c r="AM140" s="16" t="s">
        <v>9221</v>
      </c>
      <c r="AN140" s="16" t="s">
        <v>9227</v>
      </c>
    </row>
    <row r="141" spans="1:40" x14ac:dyDescent="0.25">
      <c r="A141" s="4" t="s">
        <v>7184</v>
      </c>
      <c r="B141" s="4"/>
      <c r="C141" s="4" t="s">
        <v>39</v>
      </c>
      <c r="D141" s="4" t="s">
        <v>7185</v>
      </c>
      <c r="E141" s="4" t="s">
        <v>7186</v>
      </c>
      <c r="F141" s="10">
        <v>45755</v>
      </c>
      <c r="G141" s="11">
        <v>0.54166666666666663</v>
      </c>
      <c r="H141" s="4" t="s">
        <v>4516</v>
      </c>
      <c r="I141" s="4" t="s">
        <v>7180</v>
      </c>
      <c r="J141" s="4" t="s">
        <v>7181</v>
      </c>
      <c r="K141" s="4" t="s">
        <v>7187</v>
      </c>
      <c r="L141" s="4" t="s">
        <v>7188</v>
      </c>
      <c r="M141" s="4" t="s">
        <v>46</v>
      </c>
      <c r="N141" s="4"/>
      <c r="O141" s="4" t="s">
        <v>47</v>
      </c>
      <c r="P141" s="4" t="s">
        <v>48</v>
      </c>
      <c r="Q141" s="4">
        <v>0</v>
      </c>
      <c r="R141" s="4" t="b">
        <v>0</v>
      </c>
      <c r="S141" s="4" t="s">
        <v>49</v>
      </c>
      <c r="T141" s="4" t="s">
        <v>70</v>
      </c>
      <c r="U141" s="4" t="s">
        <v>618</v>
      </c>
      <c r="V141" s="4" t="s">
        <v>72</v>
      </c>
      <c r="W141" s="4" t="s">
        <v>73</v>
      </c>
      <c r="X141" s="4" t="s">
        <v>54</v>
      </c>
      <c r="Y141" s="4"/>
      <c r="Z141" s="12">
        <v>0</v>
      </c>
      <c r="AA141" s="13" t="s">
        <v>9137</v>
      </c>
      <c r="AB141" s="13" t="s">
        <v>9138</v>
      </c>
      <c r="AC141" s="14" t="s">
        <v>9139</v>
      </c>
      <c r="AD141" s="14" t="s">
        <v>9140</v>
      </c>
      <c r="AE141" s="14" t="s">
        <v>9140</v>
      </c>
      <c r="AF141" s="14" t="s">
        <v>72</v>
      </c>
      <c r="AG141" s="14" t="s">
        <v>54</v>
      </c>
      <c r="AH141" s="15" t="s">
        <v>9220</v>
      </c>
      <c r="AI141" s="15" t="s">
        <v>9188</v>
      </c>
      <c r="AJ141" s="15" t="s">
        <v>9143</v>
      </c>
      <c r="AK141" s="15" t="s">
        <v>9221</v>
      </c>
      <c r="AL141" s="15" t="s">
        <v>9230</v>
      </c>
      <c r="AM141" s="16" t="s">
        <v>9221</v>
      </c>
      <c r="AN141" s="16" t="s">
        <v>9231</v>
      </c>
    </row>
    <row r="142" spans="1:40" x14ac:dyDescent="0.25">
      <c r="A142" s="4" t="s">
        <v>3412</v>
      </c>
      <c r="B142" s="4"/>
      <c r="C142" s="4" t="s">
        <v>39</v>
      </c>
      <c r="D142" s="4" t="s">
        <v>3413</v>
      </c>
      <c r="E142" s="4" t="s">
        <v>3414</v>
      </c>
      <c r="F142" s="10">
        <v>45755</v>
      </c>
      <c r="G142" s="11">
        <v>0.45833333333333331</v>
      </c>
      <c r="H142" s="4" t="s">
        <v>2095</v>
      </c>
      <c r="I142" s="4" t="s">
        <v>3415</v>
      </c>
      <c r="J142" s="4" t="s">
        <v>3416</v>
      </c>
      <c r="K142" s="4" t="s">
        <v>3417</v>
      </c>
      <c r="L142" s="4" t="s">
        <v>3418</v>
      </c>
      <c r="M142" s="4" t="s">
        <v>46</v>
      </c>
      <c r="N142" s="4"/>
      <c r="O142" s="4" t="s">
        <v>47</v>
      </c>
      <c r="P142" s="4" t="s">
        <v>48</v>
      </c>
      <c r="Q142" s="4">
        <v>0</v>
      </c>
      <c r="R142" s="4" t="b">
        <v>0</v>
      </c>
      <c r="S142" s="4" t="s">
        <v>49</v>
      </c>
      <c r="T142" s="4" t="s">
        <v>70</v>
      </c>
      <c r="U142" s="4" t="s">
        <v>71</v>
      </c>
      <c r="V142" s="4" t="s">
        <v>72</v>
      </c>
      <c r="W142" s="4" t="s">
        <v>73</v>
      </c>
      <c r="X142" s="4" t="s">
        <v>54</v>
      </c>
      <c r="Y142" s="4"/>
      <c r="Z142" s="12">
        <v>0</v>
      </c>
      <c r="AA142" s="13" t="s">
        <v>9137</v>
      </c>
      <c r="AB142" s="13" t="s">
        <v>9138</v>
      </c>
      <c r="AC142" s="14" t="s">
        <v>9139</v>
      </c>
      <c r="AD142" s="14" t="s">
        <v>9140</v>
      </c>
      <c r="AE142" s="14" t="s">
        <v>9140</v>
      </c>
      <c r="AF142" s="14" t="s">
        <v>72</v>
      </c>
      <c r="AG142" s="14" t="s">
        <v>54</v>
      </c>
      <c r="AH142" s="15" t="s">
        <v>9194</v>
      </c>
      <c r="AI142" s="15" t="s">
        <v>9188</v>
      </c>
      <c r="AJ142" s="15" t="s">
        <v>9143</v>
      </c>
      <c r="AK142" s="15" t="s">
        <v>9194</v>
      </c>
      <c r="AL142" s="15" t="s">
        <v>9211</v>
      </c>
      <c r="AM142" s="16" t="s">
        <v>9194</v>
      </c>
      <c r="AN142" s="16" t="s">
        <v>9212</v>
      </c>
    </row>
    <row r="143" spans="1:40" x14ac:dyDescent="0.25">
      <c r="A143" s="4" t="s">
        <v>3768</v>
      </c>
      <c r="B143" s="4" t="s">
        <v>3769</v>
      </c>
      <c r="C143" s="4" t="s">
        <v>39</v>
      </c>
      <c r="D143" s="4" t="s">
        <v>3770</v>
      </c>
      <c r="E143" s="4" t="s">
        <v>3771</v>
      </c>
      <c r="F143" s="10">
        <v>45755</v>
      </c>
      <c r="G143" s="11">
        <v>0.56180555555555556</v>
      </c>
      <c r="H143" s="4" t="s">
        <v>1992</v>
      </c>
      <c r="I143" s="4" t="s">
        <v>3772</v>
      </c>
      <c r="J143" s="4" t="s">
        <v>3773</v>
      </c>
      <c r="K143" s="4" t="s">
        <v>3774</v>
      </c>
      <c r="L143" s="4" t="s">
        <v>3775</v>
      </c>
      <c r="M143" s="4" t="s">
        <v>28</v>
      </c>
      <c r="N143" s="4" t="s">
        <v>478</v>
      </c>
      <c r="O143" s="4" t="s">
        <v>191</v>
      </c>
      <c r="P143" s="4" t="s">
        <v>60</v>
      </c>
      <c r="Q143" s="4">
        <v>8</v>
      </c>
      <c r="R143" s="4" t="b">
        <v>0</v>
      </c>
      <c r="S143" s="4" t="s">
        <v>184</v>
      </c>
      <c r="T143" s="4" t="s">
        <v>50</v>
      </c>
      <c r="U143" s="4" t="s">
        <v>107</v>
      </c>
      <c r="V143" s="4" t="s">
        <v>123</v>
      </c>
      <c r="W143" s="4" t="s">
        <v>124</v>
      </c>
      <c r="X143" s="4" t="s">
        <v>54</v>
      </c>
      <c r="Y143" s="4"/>
      <c r="Z143" s="12" t="s">
        <v>60</v>
      </c>
      <c r="AA143" s="13" t="s">
        <v>9137</v>
      </c>
      <c r="AB143" s="13" t="s">
        <v>9138</v>
      </c>
      <c r="AC143" s="14" t="s">
        <v>9166</v>
      </c>
      <c r="AD143" s="14" t="s">
        <v>28</v>
      </c>
      <c r="AE143" s="14" t="s">
        <v>478</v>
      </c>
      <c r="AF143" s="14" t="s">
        <v>123</v>
      </c>
      <c r="AG143" s="14" t="s">
        <v>54</v>
      </c>
      <c r="AH143" s="15" t="s">
        <v>9194</v>
      </c>
      <c r="AI143" s="15" t="s">
        <v>9191</v>
      </c>
      <c r="AJ143" s="15" t="s">
        <v>9143</v>
      </c>
      <c r="AK143" s="15" t="s">
        <v>9194</v>
      </c>
      <c r="AL143" s="15" t="s">
        <v>9201</v>
      </c>
      <c r="AM143" s="16" t="s">
        <v>9194</v>
      </c>
      <c r="AN143" s="16" t="s">
        <v>9202</v>
      </c>
    </row>
    <row r="144" spans="1:40" x14ac:dyDescent="0.25">
      <c r="A144" s="4" t="s">
        <v>2014</v>
      </c>
      <c r="B144" s="4"/>
      <c r="C144" s="4" t="s">
        <v>39</v>
      </c>
      <c r="D144" s="4" t="s">
        <v>2015</v>
      </c>
      <c r="E144" s="4" t="s">
        <v>2016</v>
      </c>
      <c r="F144" s="10">
        <v>45755</v>
      </c>
      <c r="G144" s="11">
        <v>0.5444444444444444</v>
      </c>
      <c r="H144" s="4" t="s">
        <v>2017</v>
      </c>
      <c r="I144" s="4" t="s">
        <v>2018</v>
      </c>
      <c r="J144" s="4" t="s">
        <v>2019</v>
      </c>
      <c r="K144" s="4" t="s">
        <v>2020</v>
      </c>
      <c r="L144" s="4" t="s">
        <v>2021</v>
      </c>
      <c r="M144" s="4" t="s">
        <v>46</v>
      </c>
      <c r="N144" s="4"/>
      <c r="O144" s="4" t="s">
        <v>47</v>
      </c>
      <c r="P144" s="4" t="s">
        <v>48</v>
      </c>
      <c r="Q144" s="4">
        <v>0</v>
      </c>
      <c r="R144" s="4" t="b">
        <v>0</v>
      </c>
      <c r="S144" s="4" t="s">
        <v>61</v>
      </c>
      <c r="T144" s="4" t="s">
        <v>115</v>
      </c>
      <c r="U144" s="4" t="s">
        <v>175</v>
      </c>
      <c r="V144" s="4" t="s">
        <v>52</v>
      </c>
      <c r="W144" s="4" t="s">
        <v>53</v>
      </c>
      <c r="X144" s="4" t="s">
        <v>54</v>
      </c>
      <c r="Y144" s="4"/>
      <c r="Z144" s="12">
        <v>0</v>
      </c>
      <c r="AA144" s="13" t="s">
        <v>9137</v>
      </c>
      <c r="AB144" s="13" t="s">
        <v>9138</v>
      </c>
      <c r="AC144" s="14" t="s">
        <v>9148</v>
      </c>
      <c r="AD144" s="14" t="s">
        <v>9140</v>
      </c>
      <c r="AE144" s="14" t="s">
        <v>9140</v>
      </c>
      <c r="AF144" s="14" t="s">
        <v>52</v>
      </c>
      <c r="AG144" s="14" t="s">
        <v>54</v>
      </c>
      <c r="AH144" s="15" t="s">
        <v>9194</v>
      </c>
      <c r="AI144" s="15" t="s">
        <v>9199</v>
      </c>
      <c r="AJ144" s="15" t="s">
        <v>9143</v>
      </c>
      <c r="AK144" s="15" t="s">
        <v>9194</v>
      </c>
      <c r="AL144" s="15" t="s">
        <v>9199</v>
      </c>
      <c r="AM144" s="16" t="s">
        <v>9194</v>
      </c>
      <c r="AN144" s="16" t="s">
        <v>9200</v>
      </c>
    </row>
    <row r="145" spans="1:40" x14ac:dyDescent="0.25">
      <c r="A145" s="4" t="s">
        <v>5630</v>
      </c>
      <c r="B145" s="4"/>
      <c r="C145" s="4" t="s">
        <v>39</v>
      </c>
      <c r="D145" s="4" t="s">
        <v>5631</v>
      </c>
      <c r="E145" s="4" t="s">
        <v>5632</v>
      </c>
      <c r="F145" s="10">
        <v>45754</v>
      </c>
      <c r="G145" s="11">
        <v>0.55555555555555558</v>
      </c>
      <c r="H145" s="4" t="s">
        <v>4516</v>
      </c>
      <c r="I145" s="4" t="s">
        <v>5633</v>
      </c>
      <c r="J145" s="4" t="s">
        <v>2661</v>
      </c>
      <c r="K145" s="4" t="s">
        <v>5634</v>
      </c>
      <c r="L145" s="4" t="s">
        <v>5635</v>
      </c>
      <c r="M145" s="4" t="s">
        <v>46</v>
      </c>
      <c r="N145" s="4"/>
      <c r="O145" s="4" t="s">
        <v>47</v>
      </c>
      <c r="P145" s="4" t="s">
        <v>48</v>
      </c>
      <c r="Q145" s="4">
        <v>0</v>
      </c>
      <c r="R145" s="4" t="b">
        <v>0</v>
      </c>
      <c r="S145" s="4" t="s">
        <v>49</v>
      </c>
      <c r="T145" s="4" t="s">
        <v>50</v>
      </c>
      <c r="U145" s="4" t="s">
        <v>165</v>
      </c>
      <c r="V145" s="4" t="s">
        <v>123</v>
      </c>
      <c r="W145" s="4" t="s">
        <v>124</v>
      </c>
      <c r="X145" s="4" t="s">
        <v>54</v>
      </c>
      <c r="Y145" s="4"/>
      <c r="Z145" s="12">
        <v>0</v>
      </c>
      <c r="AA145" s="13" t="s">
        <v>9137</v>
      </c>
      <c r="AB145" s="13" t="s">
        <v>9138</v>
      </c>
      <c r="AC145" s="14" t="s">
        <v>9139</v>
      </c>
      <c r="AD145" s="14" t="s">
        <v>9140</v>
      </c>
      <c r="AE145" s="14" t="s">
        <v>9140</v>
      </c>
      <c r="AF145" s="14" t="s">
        <v>123</v>
      </c>
      <c r="AG145" s="14" t="s">
        <v>54</v>
      </c>
      <c r="AH145" s="15" t="s">
        <v>9220</v>
      </c>
      <c r="AI145" s="15" t="s">
        <v>9188</v>
      </c>
      <c r="AJ145" s="15" t="s">
        <v>9143</v>
      </c>
      <c r="AK145" s="15" t="s">
        <v>9221</v>
      </c>
      <c r="AL145" s="15" t="s">
        <v>9232</v>
      </c>
      <c r="AM145" s="16" t="s">
        <v>9221</v>
      </c>
      <c r="AN145" s="16" t="s">
        <v>9233</v>
      </c>
    </row>
    <row r="146" spans="1:40" x14ac:dyDescent="0.25">
      <c r="A146" s="4" t="s">
        <v>7312</v>
      </c>
      <c r="B146" s="4"/>
      <c r="C146" s="4" t="s">
        <v>488</v>
      </c>
      <c r="D146" s="4" t="s">
        <v>7313</v>
      </c>
      <c r="E146" s="4" t="s">
        <v>7314</v>
      </c>
      <c r="F146" s="10">
        <v>45753</v>
      </c>
      <c r="G146" s="11">
        <v>0.625</v>
      </c>
      <c r="H146" s="4" t="s">
        <v>4019</v>
      </c>
      <c r="I146" s="4" t="s">
        <v>7315</v>
      </c>
      <c r="J146" s="4" t="s">
        <v>1037</v>
      </c>
      <c r="K146" s="4" t="s">
        <v>7316</v>
      </c>
      <c r="L146" s="4" t="s">
        <v>7317</v>
      </c>
      <c r="M146" s="4" t="s">
        <v>46</v>
      </c>
      <c r="N146" s="4"/>
      <c r="O146" s="4" t="s">
        <v>47</v>
      </c>
      <c r="P146" s="4" t="s">
        <v>48</v>
      </c>
      <c r="Q146" s="4">
        <v>0</v>
      </c>
      <c r="R146" s="4" t="b">
        <v>0</v>
      </c>
      <c r="S146" s="4" t="s">
        <v>61</v>
      </c>
      <c r="T146" s="4" t="s">
        <v>266</v>
      </c>
      <c r="U146" s="4" t="s">
        <v>330</v>
      </c>
      <c r="V146" s="4" t="s">
        <v>267</v>
      </c>
      <c r="W146" s="4" t="s">
        <v>2330</v>
      </c>
      <c r="X146" s="4" t="s">
        <v>54</v>
      </c>
      <c r="Y146" s="4"/>
      <c r="Z146" s="12">
        <v>0</v>
      </c>
      <c r="AA146" s="13" t="s">
        <v>9137</v>
      </c>
      <c r="AB146" s="13" t="s">
        <v>9138</v>
      </c>
      <c r="AC146" s="14" t="s">
        <v>9148</v>
      </c>
      <c r="AD146" s="14" t="s">
        <v>9140</v>
      </c>
      <c r="AE146" s="14" t="s">
        <v>9140</v>
      </c>
      <c r="AF146" s="14" t="s">
        <v>267</v>
      </c>
      <c r="AG146" s="14" t="s">
        <v>54</v>
      </c>
      <c r="AH146" s="15" t="s">
        <v>9220</v>
      </c>
      <c r="AI146" s="15" t="s">
        <v>9175</v>
      </c>
      <c r="AJ146" s="15" t="s">
        <v>9143</v>
      </c>
      <c r="AK146" s="15" t="s">
        <v>9221</v>
      </c>
      <c r="AL146" s="15" t="s">
        <v>9222</v>
      </c>
      <c r="AM146" s="16" t="s">
        <v>9221</v>
      </c>
      <c r="AN146" s="16" t="s">
        <v>9223</v>
      </c>
    </row>
    <row r="147" spans="1:40" x14ac:dyDescent="0.25">
      <c r="A147" s="4" t="s">
        <v>7660</v>
      </c>
      <c r="B147" s="4"/>
      <c r="C147" s="4" t="s">
        <v>39</v>
      </c>
      <c r="D147" s="4" t="s">
        <v>7661</v>
      </c>
      <c r="E147" s="4" t="s">
        <v>7662</v>
      </c>
      <c r="F147" s="10">
        <v>45751</v>
      </c>
      <c r="G147" s="11">
        <v>0.63888888888888884</v>
      </c>
      <c r="H147" s="4" t="s">
        <v>4659</v>
      </c>
      <c r="I147" s="4" t="s">
        <v>7663</v>
      </c>
      <c r="J147" s="4" t="s">
        <v>2886</v>
      </c>
      <c r="K147" s="4" t="s">
        <v>7664</v>
      </c>
      <c r="L147" s="4" t="s">
        <v>7665</v>
      </c>
      <c r="M147" s="4" t="s">
        <v>46</v>
      </c>
      <c r="N147" s="4"/>
      <c r="O147" s="4" t="s">
        <v>47</v>
      </c>
      <c r="P147" s="4" t="s">
        <v>48</v>
      </c>
      <c r="Q147" s="4">
        <v>0</v>
      </c>
      <c r="R147" s="4" t="b">
        <v>0</v>
      </c>
      <c r="S147" s="4" t="s">
        <v>61</v>
      </c>
      <c r="T147" s="4" t="s">
        <v>50</v>
      </c>
      <c r="U147" s="4" t="s">
        <v>51</v>
      </c>
      <c r="V147" s="4" t="s">
        <v>123</v>
      </c>
      <c r="W147" s="4" t="s">
        <v>124</v>
      </c>
      <c r="X147" s="4" t="s">
        <v>54</v>
      </c>
      <c r="Y147" s="4"/>
      <c r="Z147" s="12">
        <v>0</v>
      </c>
      <c r="AA147" s="13" t="s">
        <v>9137</v>
      </c>
      <c r="AB147" s="13" t="s">
        <v>9138</v>
      </c>
      <c r="AC147" s="14" t="s">
        <v>9148</v>
      </c>
      <c r="AD147" s="14" t="s">
        <v>9140</v>
      </c>
      <c r="AE147" s="14" t="s">
        <v>9140</v>
      </c>
      <c r="AF147" s="14" t="s">
        <v>123</v>
      </c>
      <c r="AG147" s="14" t="s">
        <v>54</v>
      </c>
      <c r="AH147" s="15" t="s">
        <v>9220</v>
      </c>
      <c r="AI147" s="15" t="s">
        <v>9142</v>
      </c>
      <c r="AJ147" s="15" t="s">
        <v>9143</v>
      </c>
      <c r="AK147" s="15" t="s">
        <v>9221</v>
      </c>
      <c r="AL147" s="15" t="s">
        <v>9228</v>
      </c>
      <c r="AM147" s="16" t="s">
        <v>9221</v>
      </c>
      <c r="AN147" s="16" t="s">
        <v>9229</v>
      </c>
    </row>
    <row r="148" spans="1:40" x14ac:dyDescent="0.25">
      <c r="A148" s="4" t="s">
        <v>5218</v>
      </c>
      <c r="B148" s="4">
        <v>7873490</v>
      </c>
      <c r="C148" s="4" t="s">
        <v>39</v>
      </c>
      <c r="D148" s="4" t="s">
        <v>5219</v>
      </c>
      <c r="E148" s="4" t="s">
        <v>5220</v>
      </c>
      <c r="F148" s="10">
        <v>45751</v>
      </c>
      <c r="G148" s="11">
        <v>0.5625</v>
      </c>
      <c r="H148" s="4" t="s">
        <v>4516</v>
      </c>
      <c r="I148" s="4" t="s">
        <v>5215</v>
      </c>
      <c r="J148" s="4" t="s">
        <v>5216</v>
      </c>
      <c r="K148" s="4" t="s">
        <v>3361</v>
      </c>
      <c r="L148" s="4" t="s">
        <v>5221</v>
      </c>
      <c r="M148" s="4" t="s">
        <v>28</v>
      </c>
      <c r="N148" s="4" t="s">
        <v>478</v>
      </c>
      <c r="O148" s="4" t="s">
        <v>191</v>
      </c>
      <c r="P148" s="4" t="s">
        <v>60</v>
      </c>
      <c r="Q148" s="4">
        <v>21</v>
      </c>
      <c r="R148" s="4" t="b">
        <v>0</v>
      </c>
      <c r="S148" s="4" t="s">
        <v>184</v>
      </c>
      <c r="T148" s="4" t="s">
        <v>115</v>
      </c>
      <c r="U148" s="4" t="s">
        <v>148</v>
      </c>
      <c r="V148" s="4" t="s">
        <v>52</v>
      </c>
      <c r="W148" s="4" t="s">
        <v>53</v>
      </c>
      <c r="X148" s="4" t="s">
        <v>54</v>
      </c>
      <c r="Y148" s="4"/>
      <c r="Z148" s="12" t="s">
        <v>60</v>
      </c>
      <c r="AA148" s="13" t="s">
        <v>9137</v>
      </c>
      <c r="AB148" s="13" t="s">
        <v>9138</v>
      </c>
      <c r="AC148" s="14" t="s">
        <v>9166</v>
      </c>
      <c r="AD148" s="14" t="s">
        <v>28</v>
      </c>
      <c r="AE148" s="14" t="s">
        <v>478</v>
      </c>
      <c r="AF148" s="14" t="s">
        <v>52</v>
      </c>
      <c r="AG148" s="14" t="s">
        <v>54</v>
      </c>
      <c r="AH148" s="15" t="s">
        <v>9220</v>
      </c>
      <c r="AI148" s="15" t="s">
        <v>9188</v>
      </c>
      <c r="AJ148" s="15" t="s">
        <v>9143</v>
      </c>
      <c r="AK148" s="15" t="s">
        <v>9221</v>
      </c>
      <c r="AL148" s="15" t="s">
        <v>9232</v>
      </c>
      <c r="AM148" s="16" t="s">
        <v>9221</v>
      </c>
      <c r="AN148" s="16" t="s">
        <v>9233</v>
      </c>
    </row>
    <row r="149" spans="1:40" x14ac:dyDescent="0.25">
      <c r="A149" s="4" t="s">
        <v>7460</v>
      </c>
      <c r="B149" s="4"/>
      <c r="C149" s="4" t="s">
        <v>39</v>
      </c>
      <c r="D149" s="4" t="s">
        <v>7461</v>
      </c>
      <c r="E149" s="4" t="s">
        <v>7462</v>
      </c>
      <c r="F149" s="10">
        <v>45751</v>
      </c>
      <c r="G149" s="11">
        <v>0.46944444444444444</v>
      </c>
      <c r="H149" s="4" t="s">
        <v>4910</v>
      </c>
      <c r="I149" s="4" t="s">
        <v>7457</v>
      </c>
      <c r="J149" s="4" t="s">
        <v>2378</v>
      </c>
      <c r="K149" s="4" t="s">
        <v>7463</v>
      </c>
      <c r="L149" s="4" t="s">
        <v>7464</v>
      </c>
      <c r="M149" s="4" t="s">
        <v>46</v>
      </c>
      <c r="N149" s="4"/>
      <c r="O149" s="4" t="s">
        <v>47</v>
      </c>
      <c r="P149" s="4" t="s">
        <v>48</v>
      </c>
      <c r="Q149" s="4">
        <v>0</v>
      </c>
      <c r="R149" s="4" t="b">
        <v>0</v>
      </c>
      <c r="S149" s="4" t="s">
        <v>61</v>
      </c>
      <c r="T149" s="4" t="s">
        <v>70</v>
      </c>
      <c r="U149" s="4" t="s">
        <v>90</v>
      </c>
      <c r="V149" s="4" t="s">
        <v>72</v>
      </c>
      <c r="W149" s="4" t="s">
        <v>73</v>
      </c>
      <c r="X149" s="4" t="s">
        <v>54</v>
      </c>
      <c r="Y149" s="4"/>
      <c r="Z149" s="12">
        <v>0</v>
      </c>
      <c r="AA149" s="13" t="s">
        <v>9137</v>
      </c>
      <c r="AB149" s="13" t="s">
        <v>9138</v>
      </c>
      <c r="AC149" s="14" t="s">
        <v>9148</v>
      </c>
      <c r="AD149" s="14" t="s">
        <v>9140</v>
      </c>
      <c r="AE149" s="14" t="s">
        <v>9140</v>
      </c>
      <c r="AF149" s="14" t="s">
        <v>72</v>
      </c>
      <c r="AG149" s="14" t="s">
        <v>54</v>
      </c>
      <c r="AH149" s="15" t="s">
        <v>9220</v>
      </c>
      <c r="AI149" s="15" t="s">
        <v>9191</v>
      </c>
      <c r="AJ149" s="15" t="s">
        <v>9143</v>
      </c>
      <c r="AK149" s="15" t="s">
        <v>9221</v>
      </c>
      <c r="AL149" s="15" t="s">
        <v>9226</v>
      </c>
      <c r="AM149" s="16" t="s">
        <v>9221</v>
      </c>
      <c r="AN149" s="16" t="s">
        <v>9227</v>
      </c>
    </row>
    <row r="150" spans="1:40" x14ac:dyDescent="0.25">
      <c r="A150" s="4" t="s">
        <v>8353</v>
      </c>
      <c r="B150" s="4"/>
      <c r="C150" s="4" t="s">
        <v>39</v>
      </c>
      <c r="D150" s="4" t="s">
        <v>8354</v>
      </c>
      <c r="E150" s="4" t="s">
        <v>8355</v>
      </c>
      <c r="F150" s="10">
        <v>45751</v>
      </c>
      <c r="G150" s="11">
        <v>0.48958333333333331</v>
      </c>
      <c r="H150" s="4" t="s">
        <v>4516</v>
      </c>
      <c r="I150" s="4" t="s">
        <v>8356</v>
      </c>
      <c r="J150" s="4" t="s">
        <v>8357</v>
      </c>
      <c r="K150" s="4" t="s">
        <v>8358</v>
      </c>
      <c r="L150" s="4" t="s">
        <v>8359</v>
      </c>
      <c r="M150" s="4" t="s">
        <v>46</v>
      </c>
      <c r="N150" s="4"/>
      <c r="O150" s="4" t="s">
        <v>47</v>
      </c>
      <c r="P150" s="4" t="s">
        <v>48</v>
      </c>
      <c r="Q150" s="4">
        <v>0</v>
      </c>
      <c r="R150" s="4" t="b">
        <v>0</v>
      </c>
      <c r="S150" s="4" t="s">
        <v>61</v>
      </c>
      <c r="T150" s="4" t="s">
        <v>50</v>
      </c>
      <c r="U150" s="4" t="s">
        <v>373</v>
      </c>
      <c r="V150" s="4" t="s">
        <v>123</v>
      </c>
      <c r="W150" s="4" t="s">
        <v>124</v>
      </c>
      <c r="X150" s="4" t="s">
        <v>54</v>
      </c>
      <c r="Y150" s="4"/>
      <c r="Z150" s="12">
        <v>0</v>
      </c>
      <c r="AA150" s="13" t="s">
        <v>9137</v>
      </c>
      <c r="AB150" s="13" t="s">
        <v>9138</v>
      </c>
      <c r="AC150" s="14" t="s">
        <v>9148</v>
      </c>
      <c r="AD150" s="14" t="s">
        <v>9140</v>
      </c>
      <c r="AE150" s="14" t="s">
        <v>9140</v>
      </c>
      <c r="AF150" s="14" t="s">
        <v>123</v>
      </c>
      <c r="AG150" s="14" t="s">
        <v>54</v>
      </c>
      <c r="AH150" s="15" t="s">
        <v>9220</v>
      </c>
      <c r="AI150" s="15" t="s">
        <v>9188</v>
      </c>
      <c r="AJ150" s="15" t="s">
        <v>9143</v>
      </c>
      <c r="AK150" s="15" t="s">
        <v>9221</v>
      </c>
      <c r="AL150" s="15" t="s">
        <v>9236</v>
      </c>
      <c r="AM150" s="16" t="s">
        <v>9221</v>
      </c>
      <c r="AN150" s="16" t="s">
        <v>9237</v>
      </c>
    </row>
    <row r="151" spans="1:40" x14ac:dyDescent="0.25">
      <c r="A151" s="4" t="s">
        <v>3309</v>
      </c>
      <c r="B151" s="4"/>
      <c r="C151" s="4" t="s">
        <v>39</v>
      </c>
      <c r="D151" s="4" t="s">
        <v>3310</v>
      </c>
      <c r="E151" s="4" t="s">
        <v>3311</v>
      </c>
      <c r="F151" s="10">
        <v>45751</v>
      </c>
      <c r="G151" s="11">
        <v>0.625</v>
      </c>
      <c r="H151" s="4" t="s">
        <v>2017</v>
      </c>
      <c r="I151" s="4" t="s">
        <v>3312</v>
      </c>
      <c r="J151" s="4" t="s">
        <v>3313</v>
      </c>
      <c r="K151" s="4" t="s">
        <v>851</v>
      </c>
      <c r="L151" s="4" t="s">
        <v>3314</v>
      </c>
      <c r="M151" s="4" t="s">
        <v>46</v>
      </c>
      <c r="N151" s="4"/>
      <c r="O151" s="4" t="s">
        <v>191</v>
      </c>
      <c r="P151" s="4" t="s">
        <v>60</v>
      </c>
      <c r="Q151" s="4">
        <v>0</v>
      </c>
      <c r="R151" s="4" t="b">
        <v>0</v>
      </c>
      <c r="S151" s="4" t="s">
        <v>114</v>
      </c>
      <c r="T151" s="4" t="s">
        <v>115</v>
      </c>
      <c r="U151" s="4" t="s">
        <v>51</v>
      </c>
      <c r="V151" s="4" t="s">
        <v>123</v>
      </c>
      <c r="W151" s="4" t="s">
        <v>124</v>
      </c>
      <c r="X151" s="4" t="s">
        <v>54</v>
      </c>
      <c r="Y151" s="4"/>
      <c r="Z151" s="12">
        <v>0</v>
      </c>
      <c r="AA151" s="13" t="s">
        <v>9137</v>
      </c>
      <c r="AB151" s="13" t="s">
        <v>9138</v>
      </c>
      <c r="AC151" s="14" t="s">
        <v>9157</v>
      </c>
      <c r="AD151" s="14" t="s">
        <v>9140</v>
      </c>
      <c r="AE151" s="14" t="s">
        <v>9140</v>
      </c>
      <c r="AF151" s="14" t="s">
        <v>123</v>
      </c>
      <c r="AG151" s="14" t="s">
        <v>54</v>
      </c>
      <c r="AH151" s="15" t="s">
        <v>9194</v>
      </c>
      <c r="AI151" s="15" t="s">
        <v>9199</v>
      </c>
      <c r="AJ151" s="15" t="s">
        <v>9143</v>
      </c>
      <c r="AK151" s="15" t="s">
        <v>9194</v>
      </c>
      <c r="AL151" s="15" t="s">
        <v>9199</v>
      </c>
      <c r="AM151" s="16" t="s">
        <v>9194</v>
      </c>
      <c r="AN151" s="16" t="s">
        <v>9200</v>
      </c>
    </row>
    <row r="152" spans="1:40" x14ac:dyDescent="0.25">
      <c r="A152" s="4" t="s">
        <v>3024</v>
      </c>
      <c r="B152" s="4"/>
      <c r="C152" s="4" t="s">
        <v>39</v>
      </c>
      <c r="D152" s="4" t="s">
        <v>3025</v>
      </c>
      <c r="E152" s="4" t="s">
        <v>3026</v>
      </c>
      <c r="F152" s="10">
        <v>45750</v>
      </c>
      <c r="G152" s="11">
        <v>0.41111111111111109</v>
      </c>
      <c r="H152" s="4" t="s">
        <v>1939</v>
      </c>
      <c r="I152" s="4" t="s">
        <v>3027</v>
      </c>
      <c r="J152" s="4" t="s">
        <v>3028</v>
      </c>
      <c r="K152" s="4" t="s">
        <v>3029</v>
      </c>
      <c r="L152" s="4" t="s">
        <v>3030</v>
      </c>
      <c r="M152" s="4" t="s">
        <v>46</v>
      </c>
      <c r="N152" s="4"/>
      <c r="O152" s="4" t="s">
        <v>47</v>
      </c>
      <c r="P152" s="4" t="s">
        <v>48</v>
      </c>
      <c r="Q152" s="4">
        <v>0</v>
      </c>
      <c r="R152" s="4" t="b">
        <v>0</v>
      </c>
      <c r="S152" s="4" t="s">
        <v>61</v>
      </c>
      <c r="T152" s="4" t="s">
        <v>115</v>
      </c>
      <c r="U152" s="4" t="s">
        <v>600</v>
      </c>
      <c r="V152" s="4" t="s">
        <v>52</v>
      </c>
      <c r="W152" s="4" t="s">
        <v>374</v>
      </c>
      <c r="X152" s="4" t="s">
        <v>54</v>
      </c>
      <c r="Y152" s="4"/>
      <c r="Z152" s="12">
        <v>0</v>
      </c>
      <c r="AA152" s="13" t="s">
        <v>9137</v>
      </c>
      <c r="AB152" s="13" t="s">
        <v>9138</v>
      </c>
      <c r="AC152" s="14" t="s">
        <v>9148</v>
      </c>
      <c r="AD152" s="14" t="s">
        <v>9140</v>
      </c>
      <c r="AE152" s="14" t="s">
        <v>9140</v>
      </c>
      <c r="AF152" s="14" t="s">
        <v>52</v>
      </c>
      <c r="AG152" s="14" t="s">
        <v>54</v>
      </c>
      <c r="AH152" s="15" t="s">
        <v>9194</v>
      </c>
      <c r="AI152" s="15" t="s">
        <v>9175</v>
      </c>
      <c r="AJ152" s="15" t="s">
        <v>9143</v>
      </c>
      <c r="AK152" s="15" t="s">
        <v>9194</v>
      </c>
      <c r="AL152" s="15" t="s">
        <v>9195</v>
      </c>
      <c r="AM152" s="16" t="s">
        <v>9194</v>
      </c>
      <c r="AN152" s="16" t="s">
        <v>9196</v>
      </c>
    </row>
    <row r="153" spans="1:40" x14ac:dyDescent="0.25">
      <c r="A153" s="4" t="s">
        <v>4807</v>
      </c>
      <c r="B153" s="4"/>
      <c r="C153" s="4" t="s">
        <v>39</v>
      </c>
      <c r="D153" s="4" t="s">
        <v>4808</v>
      </c>
      <c r="E153" s="4" t="s">
        <v>4809</v>
      </c>
      <c r="F153" s="10">
        <v>45750</v>
      </c>
      <c r="G153" s="11">
        <v>0.59027777777777779</v>
      </c>
      <c r="H153" s="4" t="s">
        <v>4019</v>
      </c>
      <c r="I153" s="4" t="s">
        <v>4804</v>
      </c>
      <c r="J153" s="4" t="s">
        <v>756</v>
      </c>
      <c r="K153" s="4" t="s">
        <v>4810</v>
      </c>
      <c r="L153" s="4" t="s">
        <v>4811</v>
      </c>
      <c r="M153" s="4" t="s">
        <v>46</v>
      </c>
      <c r="N153" s="4"/>
      <c r="O153" s="4" t="s">
        <v>47</v>
      </c>
      <c r="P153" s="4" t="s">
        <v>48</v>
      </c>
      <c r="Q153" s="4">
        <v>0</v>
      </c>
      <c r="R153" s="4" t="b">
        <v>0</v>
      </c>
      <c r="S153" s="4" t="s">
        <v>49</v>
      </c>
      <c r="T153" s="4" t="s">
        <v>70</v>
      </c>
      <c r="U153" s="4" t="s">
        <v>71</v>
      </c>
      <c r="V153" s="4" t="s">
        <v>63</v>
      </c>
      <c r="W153" s="4" t="s">
        <v>312</v>
      </c>
      <c r="X153" s="4" t="s">
        <v>54</v>
      </c>
      <c r="Y153" s="4"/>
      <c r="Z153" s="12">
        <v>0</v>
      </c>
      <c r="AA153" s="13" t="s">
        <v>9137</v>
      </c>
      <c r="AB153" s="13" t="s">
        <v>9138</v>
      </c>
      <c r="AC153" s="14" t="s">
        <v>9139</v>
      </c>
      <c r="AD153" s="14" t="s">
        <v>9140</v>
      </c>
      <c r="AE153" s="14" t="s">
        <v>9140</v>
      </c>
      <c r="AF153" s="14" t="s">
        <v>63</v>
      </c>
      <c r="AG153" s="14" t="s">
        <v>54</v>
      </c>
      <c r="AH153" s="15" t="s">
        <v>9220</v>
      </c>
      <c r="AI153" s="15" t="s">
        <v>9175</v>
      </c>
      <c r="AJ153" s="15" t="s">
        <v>9143</v>
      </c>
      <c r="AK153" s="15" t="s">
        <v>9221</v>
      </c>
      <c r="AL153" s="15" t="s">
        <v>9222</v>
      </c>
      <c r="AM153" s="16" t="s">
        <v>9221</v>
      </c>
      <c r="AN153" s="16" t="s">
        <v>9223</v>
      </c>
    </row>
    <row r="154" spans="1:40" x14ac:dyDescent="0.25">
      <c r="A154" s="4" t="s">
        <v>3031</v>
      </c>
      <c r="B154" s="4"/>
      <c r="C154" s="4" t="s">
        <v>39</v>
      </c>
      <c r="D154" s="4" t="s">
        <v>3032</v>
      </c>
      <c r="E154" s="4" t="s">
        <v>3033</v>
      </c>
      <c r="F154" s="10">
        <v>45749</v>
      </c>
      <c r="G154" s="11">
        <v>0.52152777777777781</v>
      </c>
      <c r="H154" s="4" t="s">
        <v>1939</v>
      </c>
      <c r="I154" s="4" t="s">
        <v>3027</v>
      </c>
      <c r="J154" s="4" t="s">
        <v>3028</v>
      </c>
      <c r="K154" s="4" t="s">
        <v>3034</v>
      </c>
      <c r="L154" s="4" t="s">
        <v>3035</v>
      </c>
      <c r="M154" s="4" t="s">
        <v>46</v>
      </c>
      <c r="N154" s="4"/>
      <c r="O154" s="4" t="s">
        <v>47</v>
      </c>
      <c r="P154" s="4" t="s">
        <v>48</v>
      </c>
      <c r="Q154" s="4">
        <v>0</v>
      </c>
      <c r="R154" s="4" t="b">
        <v>0</v>
      </c>
      <c r="S154" s="4" t="s">
        <v>49</v>
      </c>
      <c r="T154" s="4" t="s">
        <v>50</v>
      </c>
      <c r="U154" s="4" t="s">
        <v>71</v>
      </c>
      <c r="V154" s="4" t="s">
        <v>72</v>
      </c>
      <c r="W154" s="4" t="s">
        <v>73</v>
      </c>
      <c r="X154" s="4" t="s">
        <v>54</v>
      </c>
      <c r="Y154" s="4"/>
      <c r="Z154" s="12">
        <v>0</v>
      </c>
      <c r="AA154" s="13" t="s">
        <v>9137</v>
      </c>
      <c r="AB154" s="13" t="s">
        <v>9138</v>
      </c>
      <c r="AC154" s="14" t="s">
        <v>9139</v>
      </c>
      <c r="AD154" s="14" t="s">
        <v>9140</v>
      </c>
      <c r="AE154" s="14" t="s">
        <v>9140</v>
      </c>
      <c r="AF154" s="14" t="s">
        <v>72</v>
      </c>
      <c r="AG154" s="14" t="s">
        <v>54</v>
      </c>
      <c r="AH154" s="15" t="s">
        <v>9194</v>
      </c>
      <c r="AI154" s="15" t="s">
        <v>9175</v>
      </c>
      <c r="AJ154" s="15" t="s">
        <v>9143</v>
      </c>
      <c r="AK154" s="15" t="s">
        <v>9194</v>
      </c>
      <c r="AL154" s="15" t="s">
        <v>9195</v>
      </c>
      <c r="AM154" s="16" t="s">
        <v>9194</v>
      </c>
      <c r="AN154" s="16" t="s">
        <v>9196</v>
      </c>
    </row>
    <row r="155" spans="1:40" x14ac:dyDescent="0.25">
      <c r="A155" s="4" t="s">
        <v>3604</v>
      </c>
      <c r="B155" s="4"/>
      <c r="C155" s="4" t="s">
        <v>39</v>
      </c>
      <c r="D155" s="4" t="s">
        <v>3605</v>
      </c>
      <c r="E155" s="4" t="s">
        <v>3606</v>
      </c>
      <c r="F155" s="10">
        <v>45748</v>
      </c>
      <c r="G155" s="11">
        <v>0.77083333333333337</v>
      </c>
      <c r="H155" s="4" t="s">
        <v>2017</v>
      </c>
      <c r="I155" s="4" t="s">
        <v>3607</v>
      </c>
      <c r="J155" s="4" t="s">
        <v>3608</v>
      </c>
      <c r="K155" s="4" t="s">
        <v>3609</v>
      </c>
      <c r="L155" s="4" t="s">
        <v>3610</v>
      </c>
      <c r="M155" s="4" t="s">
        <v>46</v>
      </c>
      <c r="N155" s="4"/>
      <c r="O155" s="4" t="s">
        <v>47</v>
      </c>
      <c r="P155" s="4" t="s">
        <v>48</v>
      </c>
      <c r="Q155" s="4">
        <v>0</v>
      </c>
      <c r="R155" s="4" t="b">
        <v>0</v>
      </c>
      <c r="S155" s="4" t="s">
        <v>49</v>
      </c>
      <c r="T155" s="4" t="s">
        <v>50</v>
      </c>
      <c r="U155" s="4" t="s">
        <v>107</v>
      </c>
      <c r="V155" s="4" t="s">
        <v>63</v>
      </c>
      <c r="W155" s="4" t="s">
        <v>108</v>
      </c>
      <c r="X155" s="4" t="s">
        <v>54</v>
      </c>
      <c r="Y155" s="4"/>
      <c r="Z155" s="12">
        <v>0</v>
      </c>
      <c r="AA155" s="13" t="s">
        <v>9137</v>
      </c>
      <c r="AB155" s="13" t="s">
        <v>9138</v>
      </c>
      <c r="AC155" s="14" t="s">
        <v>9139</v>
      </c>
      <c r="AD155" s="14" t="s">
        <v>9140</v>
      </c>
      <c r="AE155" s="14" t="s">
        <v>9140</v>
      </c>
      <c r="AF155" s="14" t="s">
        <v>63</v>
      </c>
      <c r="AG155" s="14" t="s">
        <v>54</v>
      </c>
      <c r="AH155" s="15" t="s">
        <v>9194</v>
      </c>
      <c r="AI155" s="15" t="s">
        <v>9199</v>
      </c>
      <c r="AJ155" s="15" t="s">
        <v>9143</v>
      </c>
      <c r="AK155" s="15" t="s">
        <v>9194</v>
      </c>
      <c r="AL155" s="15" t="s">
        <v>9199</v>
      </c>
      <c r="AM155" s="16" t="s">
        <v>9194</v>
      </c>
      <c r="AN155" s="16" t="s">
        <v>9200</v>
      </c>
    </row>
    <row r="156" spans="1:40" x14ac:dyDescent="0.25">
      <c r="A156" s="4" t="s">
        <v>3535</v>
      </c>
      <c r="B156" s="4" t="s">
        <v>3536</v>
      </c>
      <c r="C156" s="4" t="s">
        <v>39</v>
      </c>
      <c r="D156" s="4" t="s">
        <v>3537</v>
      </c>
      <c r="E156" s="4" t="s">
        <v>3538</v>
      </c>
      <c r="F156" s="10">
        <v>45748</v>
      </c>
      <c r="G156" s="11">
        <v>0.37708333333333333</v>
      </c>
      <c r="H156" s="4" t="s">
        <v>1992</v>
      </c>
      <c r="I156" s="4" t="s">
        <v>3539</v>
      </c>
      <c r="J156" s="4" t="s">
        <v>3540</v>
      </c>
      <c r="K156" s="4" t="s">
        <v>3541</v>
      </c>
      <c r="L156" s="4" t="s">
        <v>3542</v>
      </c>
      <c r="M156" s="4" t="s">
        <v>28</v>
      </c>
      <c r="N156" s="4" t="s">
        <v>183</v>
      </c>
      <c r="O156" s="4" t="s">
        <v>191</v>
      </c>
      <c r="P156" s="4" t="s">
        <v>60</v>
      </c>
      <c r="Q156" s="4">
        <v>25</v>
      </c>
      <c r="R156" s="4" t="b">
        <v>0</v>
      </c>
      <c r="S156" s="4" t="s">
        <v>184</v>
      </c>
      <c r="T156" s="4" t="s">
        <v>115</v>
      </c>
      <c r="U156" s="4" t="s">
        <v>148</v>
      </c>
      <c r="V156" s="4" t="s">
        <v>52</v>
      </c>
      <c r="W156" s="4" t="s">
        <v>53</v>
      </c>
      <c r="X156" s="4" t="s">
        <v>54</v>
      </c>
      <c r="Y156" s="4"/>
      <c r="Z156" s="12" t="s">
        <v>60</v>
      </c>
      <c r="AA156" s="13" t="s">
        <v>9137</v>
      </c>
      <c r="AB156" s="13" t="s">
        <v>9138</v>
      </c>
      <c r="AC156" s="14" t="s">
        <v>9166</v>
      </c>
      <c r="AD156" s="14" t="s">
        <v>28</v>
      </c>
      <c r="AE156" s="14" t="s">
        <v>183</v>
      </c>
      <c r="AF156" s="14" t="s">
        <v>52</v>
      </c>
      <c r="AG156" s="14" t="s">
        <v>54</v>
      </c>
      <c r="AH156" s="15" t="s">
        <v>9194</v>
      </c>
      <c r="AI156" s="15" t="s">
        <v>9191</v>
      </c>
      <c r="AJ156" s="15" t="s">
        <v>9143</v>
      </c>
      <c r="AK156" s="15" t="s">
        <v>9194</v>
      </c>
      <c r="AL156" s="15" t="s">
        <v>9205</v>
      </c>
      <c r="AM156" s="16" t="s">
        <v>9194</v>
      </c>
      <c r="AN156" s="16" t="s">
        <v>9206</v>
      </c>
    </row>
    <row r="157" spans="1:40" x14ac:dyDescent="0.25">
      <c r="A157" s="4" t="s">
        <v>842</v>
      </c>
      <c r="B157" s="4">
        <v>12240083557</v>
      </c>
      <c r="C157" s="4" t="s">
        <v>39</v>
      </c>
      <c r="D157" s="4" t="s">
        <v>843</v>
      </c>
      <c r="E157" s="4" t="s">
        <v>844</v>
      </c>
      <c r="F157" s="10">
        <v>45748</v>
      </c>
      <c r="G157" s="11">
        <v>0.55138888888888893</v>
      </c>
      <c r="H157" s="4" t="s">
        <v>463</v>
      </c>
      <c r="I157" s="4">
        <v>2029</v>
      </c>
      <c r="J157" s="4" t="s">
        <v>845</v>
      </c>
      <c r="K157" s="4" t="s">
        <v>846</v>
      </c>
      <c r="L157" s="4" t="s">
        <v>847</v>
      </c>
      <c r="M157" s="4" t="s">
        <v>28</v>
      </c>
      <c r="N157" s="4" t="s">
        <v>478</v>
      </c>
      <c r="O157" s="4" t="s">
        <v>191</v>
      </c>
      <c r="P157" s="4" t="s">
        <v>60</v>
      </c>
      <c r="Q157" s="4">
        <v>20</v>
      </c>
      <c r="R157" s="4" t="b">
        <v>0</v>
      </c>
      <c r="S157" s="4" t="s">
        <v>114</v>
      </c>
      <c r="T157" s="4" t="s">
        <v>115</v>
      </c>
      <c r="U157" s="4" t="s">
        <v>71</v>
      </c>
      <c r="V157" s="4" t="s">
        <v>52</v>
      </c>
      <c r="W157" s="4" t="s">
        <v>53</v>
      </c>
      <c r="X157" s="4" t="s">
        <v>54</v>
      </c>
      <c r="Y157" s="4" t="s">
        <v>176</v>
      </c>
      <c r="Z157" s="12" t="s">
        <v>60</v>
      </c>
      <c r="AA157" s="13" t="s">
        <v>9137</v>
      </c>
      <c r="AB157" s="13" t="s">
        <v>9138</v>
      </c>
      <c r="AC157" s="14" t="s">
        <v>9157</v>
      </c>
      <c r="AD157" s="14" t="s">
        <v>28</v>
      </c>
      <c r="AE157" s="14" t="s">
        <v>478</v>
      </c>
      <c r="AF157" s="14" t="s">
        <v>52</v>
      </c>
      <c r="AG157" s="14" t="s">
        <v>54</v>
      </c>
      <c r="AH157" s="15" t="s">
        <v>9141</v>
      </c>
      <c r="AI157" s="15" t="s">
        <v>9175</v>
      </c>
      <c r="AJ157" s="15" t="s">
        <v>9143</v>
      </c>
      <c r="AK157" s="15" t="s">
        <v>9141</v>
      </c>
      <c r="AL157" s="15" t="s">
        <v>9177</v>
      </c>
      <c r="AM157" s="16" t="s">
        <v>9141</v>
      </c>
      <c r="AN157" s="16" t="s">
        <v>9178</v>
      </c>
    </row>
    <row r="158" spans="1:40" x14ac:dyDescent="0.25">
      <c r="A158" s="4" t="s">
        <v>7318</v>
      </c>
      <c r="B158" s="4"/>
      <c r="C158" s="4" t="s">
        <v>39</v>
      </c>
      <c r="D158" s="4" t="s">
        <v>7319</v>
      </c>
      <c r="E158" s="4" t="s">
        <v>7320</v>
      </c>
      <c r="F158" s="10">
        <v>45748</v>
      </c>
      <c r="G158" s="11">
        <v>0.63472222222222219</v>
      </c>
      <c r="H158" s="4" t="s">
        <v>4019</v>
      </c>
      <c r="I158" s="4" t="s">
        <v>7315</v>
      </c>
      <c r="J158" s="4" t="s">
        <v>1037</v>
      </c>
      <c r="K158" s="4" t="s">
        <v>1217</v>
      </c>
      <c r="L158" s="4" t="s">
        <v>7321</v>
      </c>
      <c r="M158" s="4" t="s">
        <v>46</v>
      </c>
      <c r="N158" s="4"/>
      <c r="O158" s="4" t="s">
        <v>47</v>
      </c>
      <c r="P158" s="4" t="s">
        <v>48</v>
      </c>
      <c r="Q158" s="4">
        <v>0</v>
      </c>
      <c r="R158" s="4" t="b">
        <v>0</v>
      </c>
      <c r="S158" s="4" t="s">
        <v>49</v>
      </c>
      <c r="T158" s="4" t="s">
        <v>50</v>
      </c>
      <c r="U158" s="4" t="s">
        <v>80</v>
      </c>
      <c r="V158" s="4" t="s">
        <v>72</v>
      </c>
      <c r="W158" s="4" t="s">
        <v>73</v>
      </c>
      <c r="X158" s="4" t="s">
        <v>54</v>
      </c>
      <c r="Y158" s="4"/>
      <c r="Z158" s="12">
        <v>0</v>
      </c>
      <c r="AA158" s="13" t="s">
        <v>9137</v>
      </c>
      <c r="AB158" s="13" t="s">
        <v>9138</v>
      </c>
      <c r="AC158" s="14" t="s">
        <v>9139</v>
      </c>
      <c r="AD158" s="14" t="s">
        <v>9140</v>
      </c>
      <c r="AE158" s="14" t="s">
        <v>9140</v>
      </c>
      <c r="AF158" s="14" t="s">
        <v>72</v>
      </c>
      <c r="AG158" s="14" t="s">
        <v>54</v>
      </c>
      <c r="AH158" s="15" t="s">
        <v>9220</v>
      </c>
      <c r="AI158" s="15" t="s">
        <v>9175</v>
      </c>
      <c r="AJ158" s="15" t="s">
        <v>9143</v>
      </c>
      <c r="AK158" s="15" t="s">
        <v>9221</v>
      </c>
      <c r="AL158" s="15" t="s">
        <v>9222</v>
      </c>
      <c r="AM158" s="16" t="s">
        <v>9221</v>
      </c>
      <c r="AN158" s="16" t="s">
        <v>9223</v>
      </c>
    </row>
    <row r="159" spans="1:40" x14ac:dyDescent="0.25">
      <c r="A159" s="4" t="s">
        <v>4057</v>
      </c>
      <c r="B159" s="4"/>
      <c r="C159" s="4" t="s">
        <v>39</v>
      </c>
      <c r="D159" s="4" t="s">
        <v>4058</v>
      </c>
      <c r="E159" s="4" t="s">
        <v>4059</v>
      </c>
      <c r="F159" s="10">
        <v>45747</v>
      </c>
      <c r="G159" s="11">
        <v>0.5</v>
      </c>
      <c r="H159" s="4" t="s">
        <v>4019</v>
      </c>
      <c r="I159" s="4" t="s">
        <v>4060</v>
      </c>
      <c r="J159" s="4" t="s">
        <v>4061</v>
      </c>
      <c r="K159" s="4" t="s">
        <v>2108</v>
      </c>
      <c r="L159" s="4" t="s">
        <v>4062</v>
      </c>
      <c r="M159" s="4" t="s">
        <v>46</v>
      </c>
      <c r="N159" s="4"/>
      <c r="O159" s="4" t="s">
        <v>47</v>
      </c>
      <c r="P159" s="4" t="s">
        <v>48</v>
      </c>
      <c r="Q159" s="4">
        <v>0</v>
      </c>
      <c r="R159" s="4" t="b">
        <v>0</v>
      </c>
      <c r="S159" s="4" t="s">
        <v>61</v>
      </c>
      <c r="T159" s="4" t="s">
        <v>115</v>
      </c>
      <c r="U159" s="4" t="s">
        <v>51</v>
      </c>
      <c r="V159" s="4" t="s">
        <v>52</v>
      </c>
      <c r="W159" s="4" t="s">
        <v>374</v>
      </c>
      <c r="X159" s="4" t="s">
        <v>54</v>
      </c>
      <c r="Y159" s="4"/>
      <c r="Z159" s="12">
        <v>0</v>
      </c>
      <c r="AA159" s="13" t="s">
        <v>9137</v>
      </c>
      <c r="AB159" s="13" t="s">
        <v>9138</v>
      </c>
      <c r="AC159" s="14" t="s">
        <v>9148</v>
      </c>
      <c r="AD159" s="14" t="s">
        <v>9140</v>
      </c>
      <c r="AE159" s="14" t="s">
        <v>9140</v>
      </c>
      <c r="AF159" s="14" t="s">
        <v>52</v>
      </c>
      <c r="AG159" s="14" t="s">
        <v>54</v>
      </c>
      <c r="AH159" s="15" t="s">
        <v>9220</v>
      </c>
      <c r="AI159" s="15" t="s">
        <v>9175</v>
      </c>
      <c r="AJ159" s="15" t="s">
        <v>9143</v>
      </c>
      <c r="AK159" s="15" t="s">
        <v>9221</v>
      </c>
      <c r="AL159" s="15" t="s">
        <v>9222</v>
      </c>
      <c r="AM159" s="16" t="s">
        <v>9221</v>
      </c>
      <c r="AN159" s="16" t="s">
        <v>9223</v>
      </c>
    </row>
    <row r="160" spans="1:40" x14ac:dyDescent="0.25">
      <c r="A160" s="4" t="s">
        <v>8636</v>
      </c>
      <c r="B160" s="4"/>
      <c r="C160" s="4" t="s">
        <v>39</v>
      </c>
      <c r="D160" s="4" t="s">
        <v>8637</v>
      </c>
      <c r="E160" s="4" t="s">
        <v>8638</v>
      </c>
      <c r="F160" s="10">
        <v>45747</v>
      </c>
      <c r="G160" s="11">
        <v>0.5625</v>
      </c>
      <c r="H160" s="4" t="s">
        <v>4516</v>
      </c>
      <c r="I160" s="4" t="s">
        <v>8639</v>
      </c>
      <c r="J160" s="4" t="s">
        <v>1406</v>
      </c>
      <c r="K160" s="4" t="s">
        <v>8640</v>
      </c>
      <c r="L160" s="4" t="s">
        <v>8641</v>
      </c>
      <c r="M160" s="4" t="s">
        <v>46</v>
      </c>
      <c r="N160" s="4"/>
      <c r="O160" s="4" t="s">
        <v>47</v>
      </c>
      <c r="P160" s="4" t="s">
        <v>48</v>
      </c>
      <c r="Q160" s="4">
        <v>0</v>
      </c>
      <c r="R160" s="4" t="b">
        <v>0</v>
      </c>
      <c r="S160" s="4" t="s">
        <v>61</v>
      </c>
      <c r="T160" s="4" t="s">
        <v>50</v>
      </c>
      <c r="U160" s="4" t="s">
        <v>224</v>
      </c>
      <c r="V160" s="4" t="s">
        <v>123</v>
      </c>
      <c r="W160" s="4" t="s">
        <v>124</v>
      </c>
      <c r="X160" s="4" t="s">
        <v>54</v>
      </c>
      <c r="Y160" s="4"/>
      <c r="Z160" s="12">
        <v>0</v>
      </c>
      <c r="AA160" s="13" t="s">
        <v>9137</v>
      </c>
      <c r="AB160" s="13" t="s">
        <v>9138</v>
      </c>
      <c r="AC160" s="14" t="s">
        <v>9148</v>
      </c>
      <c r="AD160" s="14" t="s">
        <v>9140</v>
      </c>
      <c r="AE160" s="14" t="s">
        <v>9140</v>
      </c>
      <c r="AF160" s="14" t="s">
        <v>123</v>
      </c>
      <c r="AG160" s="14" t="s">
        <v>54</v>
      </c>
      <c r="AH160" s="15" t="s">
        <v>9220</v>
      </c>
      <c r="AI160" s="15" t="s">
        <v>9188</v>
      </c>
      <c r="AJ160" s="15" t="s">
        <v>9143</v>
      </c>
      <c r="AK160" s="15" t="s">
        <v>9221</v>
      </c>
      <c r="AL160" s="15" t="s">
        <v>9236</v>
      </c>
      <c r="AM160" s="16" t="s">
        <v>9221</v>
      </c>
      <c r="AN160" s="16" t="s">
        <v>9237</v>
      </c>
    </row>
    <row r="161" spans="1:40" x14ac:dyDescent="0.25">
      <c r="A161" s="4" t="s">
        <v>1325</v>
      </c>
      <c r="B161" s="4" t="s">
        <v>1326</v>
      </c>
      <c r="C161" s="4" t="s">
        <v>39</v>
      </c>
      <c r="D161" s="4" t="s">
        <v>1327</v>
      </c>
      <c r="E161" s="4" t="s">
        <v>1328</v>
      </c>
      <c r="F161" s="10">
        <v>45747</v>
      </c>
      <c r="G161" s="11">
        <v>0.5625</v>
      </c>
      <c r="H161" s="4" t="s">
        <v>1155</v>
      </c>
      <c r="I161" s="4">
        <v>4045</v>
      </c>
      <c r="J161" s="4" t="s">
        <v>1329</v>
      </c>
      <c r="K161" s="4" t="s">
        <v>1330</v>
      </c>
      <c r="L161" s="4" t="s">
        <v>1331</v>
      </c>
      <c r="M161" s="4" t="s">
        <v>46</v>
      </c>
      <c r="N161" s="4"/>
      <c r="O161" s="4" t="s">
        <v>47</v>
      </c>
      <c r="P161" s="4" t="s">
        <v>48</v>
      </c>
      <c r="Q161" s="4">
        <v>0</v>
      </c>
      <c r="R161" s="4" t="b">
        <v>0</v>
      </c>
      <c r="S161" s="4" t="s">
        <v>61</v>
      </c>
      <c r="T161" s="4" t="s">
        <v>115</v>
      </c>
      <c r="U161" s="4" t="s">
        <v>175</v>
      </c>
      <c r="V161" s="4" t="s">
        <v>52</v>
      </c>
      <c r="W161" s="4" t="s">
        <v>53</v>
      </c>
      <c r="X161" s="4" t="s">
        <v>54</v>
      </c>
      <c r="Y161" s="4"/>
      <c r="Z161" s="12">
        <v>0</v>
      </c>
      <c r="AA161" s="13" t="s">
        <v>9137</v>
      </c>
      <c r="AB161" s="13" t="s">
        <v>9138</v>
      </c>
      <c r="AC161" s="14" t="s">
        <v>9148</v>
      </c>
      <c r="AD161" s="14" t="s">
        <v>9140</v>
      </c>
      <c r="AE161" s="14" t="s">
        <v>9140</v>
      </c>
      <c r="AF161" s="14" t="s">
        <v>52</v>
      </c>
      <c r="AG161" s="14" t="s">
        <v>54</v>
      </c>
      <c r="AH161" s="15" t="s">
        <v>9141</v>
      </c>
      <c r="AI161" s="15" t="s">
        <v>9187</v>
      </c>
      <c r="AJ161" s="15" t="s">
        <v>9143</v>
      </c>
      <c r="AK161" s="15" t="s">
        <v>9141</v>
      </c>
      <c r="AL161" s="15" t="s">
        <v>9144</v>
      </c>
      <c r="AM161" s="16" t="s">
        <v>9141</v>
      </c>
      <c r="AN161" s="16" t="s">
        <v>9145</v>
      </c>
    </row>
    <row r="162" spans="1:40" x14ac:dyDescent="0.25">
      <c r="A162" s="4" t="s">
        <v>949</v>
      </c>
      <c r="B162" s="4"/>
      <c r="C162" s="4" t="s">
        <v>39</v>
      </c>
      <c r="D162" s="4" t="s">
        <v>950</v>
      </c>
      <c r="E162" s="4" t="s">
        <v>951</v>
      </c>
      <c r="F162" s="10">
        <v>45746</v>
      </c>
      <c r="G162" s="11">
        <v>0.60416666666666663</v>
      </c>
      <c r="H162" s="4" t="s">
        <v>463</v>
      </c>
      <c r="I162" s="4">
        <v>2033</v>
      </c>
      <c r="J162" s="4" t="s">
        <v>952</v>
      </c>
      <c r="K162" s="4" t="s">
        <v>953</v>
      </c>
      <c r="L162" s="4" t="s">
        <v>954</v>
      </c>
      <c r="M162" s="4" t="s">
        <v>46</v>
      </c>
      <c r="N162" s="4"/>
      <c r="O162" s="4" t="s">
        <v>47</v>
      </c>
      <c r="P162" s="4" t="s">
        <v>48</v>
      </c>
      <c r="Q162" s="4">
        <v>0</v>
      </c>
      <c r="R162" s="4" t="b">
        <v>0</v>
      </c>
      <c r="S162" s="4" t="s">
        <v>49</v>
      </c>
      <c r="T162" s="4" t="s">
        <v>50</v>
      </c>
      <c r="U162" s="4" t="s">
        <v>165</v>
      </c>
      <c r="V162" s="4" t="s">
        <v>63</v>
      </c>
      <c r="W162" s="4" t="s">
        <v>108</v>
      </c>
      <c r="X162" s="4" t="s">
        <v>54</v>
      </c>
      <c r="Y162" s="4"/>
      <c r="Z162" s="12">
        <v>0</v>
      </c>
      <c r="AA162" s="13" t="s">
        <v>9146</v>
      </c>
      <c r="AB162" s="13" t="s">
        <v>9147</v>
      </c>
      <c r="AC162" s="14" t="s">
        <v>9139</v>
      </c>
      <c r="AD162" s="14" t="s">
        <v>9140</v>
      </c>
      <c r="AE162" s="14" t="s">
        <v>9140</v>
      </c>
      <c r="AF162" s="14" t="s">
        <v>63</v>
      </c>
      <c r="AG162" s="14" t="s">
        <v>54</v>
      </c>
      <c r="AH162" s="15" t="s">
        <v>9141</v>
      </c>
      <c r="AI162" s="15" t="s">
        <v>9175</v>
      </c>
      <c r="AJ162" s="15" t="s">
        <v>9143</v>
      </c>
      <c r="AK162" s="15" t="s">
        <v>9141</v>
      </c>
      <c r="AL162" s="15" t="s">
        <v>9175</v>
      </c>
      <c r="AM162" s="16" t="s">
        <v>9141</v>
      </c>
      <c r="AN162" s="16" t="s">
        <v>9176</v>
      </c>
    </row>
    <row r="163" spans="1:40" x14ac:dyDescent="0.25">
      <c r="A163" s="4" t="s">
        <v>6777</v>
      </c>
      <c r="B163" s="4"/>
      <c r="C163" s="4" t="s">
        <v>39</v>
      </c>
      <c r="D163" s="4" t="s">
        <v>6778</v>
      </c>
      <c r="E163" s="4" t="s">
        <v>6779</v>
      </c>
      <c r="F163" s="10">
        <v>45746</v>
      </c>
      <c r="G163" s="11">
        <v>0.70138888888888884</v>
      </c>
      <c r="H163" s="4" t="s">
        <v>4659</v>
      </c>
      <c r="I163" s="4" t="s">
        <v>6774</v>
      </c>
      <c r="J163" s="4" t="s">
        <v>208</v>
      </c>
      <c r="K163" s="4" t="s">
        <v>3361</v>
      </c>
      <c r="L163" s="4" t="s">
        <v>6780</v>
      </c>
      <c r="M163" s="4" t="s">
        <v>46</v>
      </c>
      <c r="N163" s="4"/>
      <c r="O163" s="4" t="s">
        <v>47</v>
      </c>
      <c r="P163" s="4" t="s">
        <v>48</v>
      </c>
      <c r="Q163" s="4">
        <v>0</v>
      </c>
      <c r="R163" s="4" t="b">
        <v>0</v>
      </c>
      <c r="S163" s="4" t="s">
        <v>61</v>
      </c>
      <c r="T163" s="4" t="s">
        <v>115</v>
      </c>
      <c r="U163" s="4" t="s">
        <v>148</v>
      </c>
      <c r="V163" s="4" t="s">
        <v>52</v>
      </c>
      <c r="W163" s="4" t="s">
        <v>53</v>
      </c>
      <c r="X163" s="4" t="s">
        <v>54</v>
      </c>
      <c r="Y163" s="4"/>
      <c r="Z163" s="12">
        <v>0</v>
      </c>
      <c r="AA163" s="13" t="s">
        <v>9146</v>
      </c>
      <c r="AB163" s="13" t="s">
        <v>9147</v>
      </c>
      <c r="AC163" s="14" t="s">
        <v>9148</v>
      </c>
      <c r="AD163" s="14" t="s">
        <v>9140</v>
      </c>
      <c r="AE163" s="14" t="s">
        <v>9140</v>
      </c>
      <c r="AF163" s="14" t="s">
        <v>52</v>
      </c>
      <c r="AG163" s="14" t="s">
        <v>54</v>
      </c>
      <c r="AH163" s="15" t="s">
        <v>9220</v>
      </c>
      <c r="AI163" s="15" t="s">
        <v>9142</v>
      </c>
      <c r="AJ163" s="15" t="s">
        <v>9143</v>
      </c>
      <c r="AK163" s="15" t="s">
        <v>9221</v>
      </c>
      <c r="AL163" s="15" t="s">
        <v>9228</v>
      </c>
      <c r="AM163" s="16" t="s">
        <v>9221</v>
      </c>
      <c r="AN163" s="16" t="s">
        <v>9229</v>
      </c>
    </row>
    <row r="164" spans="1:40" x14ac:dyDescent="0.25">
      <c r="A164" s="4" t="s">
        <v>3050</v>
      </c>
      <c r="B164" s="4"/>
      <c r="C164" s="4" t="s">
        <v>39</v>
      </c>
      <c r="D164" s="4" t="s">
        <v>3051</v>
      </c>
      <c r="E164" s="4" t="s">
        <v>3052</v>
      </c>
      <c r="F164" s="10">
        <v>45746</v>
      </c>
      <c r="G164" s="11">
        <v>0.59791666666666665</v>
      </c>
      <c r="H164" s="4" t="s">
        <v>1939</v>
      </c>
      <c r="I164" s="4" t="s">
        <v>3053</v>
      </c>
      <c r="J164" s="4" t="s">
        <v>3054</v>
      </c>
      <c r="K164" s="4" t="s">
        <v>243</v>
      </c>
      <c r="L164" s="4" t="s">
        <v>3055</v>
      </c>
      <c r="M164" s="4" t="s">
        <v>46</v>
      </c>
      <c r="N164" s="4"/>
      <c r="O164" s="4" t="s">
        <v>47</v>
      </c>
      <c r="P164" s="4" t="s">
        <v>48</v>
      </c>
      <c r="Q164" s="4">
        <v>0</v>
      </c>
      <c r="R164" s="4" t="b">
        <v>0</v>
      </c>
      <c r="S164" s="4" t="s">
        <v>61</v>
      </c>
      <c r="T164" s="4" t="s">
        <v>115</v>
      </c>
      <c r="U164" s="4" t="s">
        <v>51</v>
      </c>
      <c r="V164" s="4" t="s">
        <v>63</v>
      </c>
      <c r="W164" s="4" t="s">
        <v>108</v>
      </c>
      <c r="X164" s="4" t="s">
        <v>54</v>
      </c>
      <c r="Y164" s="4"/>
      <c r="Z164" s="12">
        <v>0</v>
      </c>
      <c r="AA164" s="13" t="s">
        <v>9146</v>
      </c>
      <c r="AB164" s="13" t="s">
        <v>9147</v>
      </c>
      <c r="AC164" s="14" t="s">
        <v>9148</v>
      </c>
      <c r="AD164" s="14" t="s">
        <v>9140</v>
      </c>
      <c r="AE164" s="14" t="s">
        <v>9140</v>
      </c>
      <c r="AF164" s="14" t="s">
        <v>63</v>
      </c>
      <c r="AG164" s="14" t="s">
        <v>54</v>
      </c>
      <c r="AH164" s="15" t="s">
        <v>9194</v>
      </c>
      <c r="AI164" s="15" t="s">
        <v>9175</v>
      </c>
      <c r="AJ164" s="15" t="s">
        <v>9143</v>
      </c>
      <c r="AK164" s="15" t="s">
        <v>9194</v>
      </c>
      <c r="AL164" s="15" t="s">
        <v>9209</v>
      </c>
      <c r="AM164" s="16" t="s">
        <v>9194</v>
      </c>
      <c r="AN164" s="16" t="s">
        <v>9210</v>
      </c>
    </row>
    <row r="165" spans="1:40" x14ac:dyDescent="0.25">
      <c r="A165" s="4" t="s">
        <v>2674</v>
      </c>
      <c r="B165" s="4"/>
      <c r="C165" s="4" t="s">
        <v>39</v>
      </c>
      <c r="D165" s="4" t="s">
        <v>2675</v>
      </c>
      <c r="E165" s="4" t="s">
        <v>2676</v>
      </c>
      <c r="F165" s="10">
        <v>45746</v>
      </c>
      <c r="G165" s="11">
        <v>0.65138888888888891</v>
      </c>
      <c r="H165" s="4" t="s">
        <v>1939</v>
      </c>
      <c r="I165" s="4" t="s">
        <v>2677</v>
      </c>
      <c r="J165" s="4" t="s">
        <v>2678</v>
      </c>
      <c r="K165" s="4" t="s">
        <v>2679</v>
      </c>
      <c r="L165" s="4" t="s">
        <v>2680</v>
      </c>
      <c r="M165" s="4" t="s">
        <v>46</v>
      </c>
      <c r="N165" s="4"/>
      <c r="O165" s="4" t="s">
        <v>47</v>
      </c>
      <c r="P165" s="4" t="s">
        <v>48</v>
      </c>
      <c r="Q165" s="4">
        <v>0</v>
      </c>
      <c r="R165" s="4" t="b">
        <v>0</v>
      </c>
      <c r="S165" s="4" t="s">
        <v>61</v>
      </c>
      <c r="T165" s="4" t="s">
        <v>50</v>
      </c>
      <c r="U165" s="4" t="s">
        <v>107</v>
      </c>
      <c r="V165" s="4" t="s">
        <v>63</v>
      </c>
      <c r="W165" s="4" t="s">
        <v>108</v>
      </c>
      <c r="X165" s="4" t="s">
        <v>54</v>
      </c>
      <c r="Y165" s="4"/>
      <c r="Z165" s="12">
        <v>0</v>
      </c>
      <c r="AA165" s="13" t="s">
        <v>9146</v>
      </c>
      <c r="AB165" s="13" t="s">
        <v>9147</v>
      </c>
      <c r="AC165" s="14" t="s">
        <v>9148</v>
      </c>
      <c r="AD165" s="14" t="s">
        <v>9140</v>
      </c>
      <c r="AE165" s="14" t="s">
        <v>9140</v>
      </c>
      <c r="AF165" s="14" t="s">
        <v>63</v>
      </c>
      <c r="AG165" s="14" t="s">
        <v>54</v>
      </c>
      <c r="AH165" s="15" t="s">
        <v>9194</v>
      </c>
      <c r="AI165" s="15" t="s">
        <v>9175</v>
      </c>
      <c r="AJ165" s="15" t="s">
        <v>9143</v>
      </c>
      <c r="AK165" s="15" t="s">
        <v>9194</v>
      </c>
      <c r="AL165" s="15" t="s">
        <v>9195</v>
      </c>
      <c r="AM165" s="16" t="s">
        <v>9194</v>
      </c>
      <c r="AN165" s="16" t="s">
        <v>9196</v>
      </c>
    </row>
    <row r="166" spans="1:40" x14ac:dyDescent="0.25">
      <c r="A166" s="4" t="s">
        <v>5422</v>
      </c>
      <c r="B166" s="4"/>
      <c r="C166" s="4" t="s">
        <v>39</v>
      </c>
      <c r="D166" s="4" t="s">
        <v>5423</v>
      </c>
      <c r="E166" s="4" t="s">
        <v>5424</v>
      </c>
      <c r="F166" s="10">
        <v>45746</v>
      </c>
      <c r="G166" s="11">
        <v>0.54374999999999996</v>
      </c>
      <c r="H166" s="4" t="s">
        <v>4659</v>
      </c>
      <c r="I166" s="4" t="s">
        <v>5425</v>
      </c>
      <c r="J166" s="4" t="s">
        <v>3736</v>
      </c>
      <c r="K166" s="4" t="s">
        <v>5426</v>
      </c>
      <c r="L166" s="4" t="s">
        <v>5427</v>
      </c>
      <c r="M166" s="4" t="s">
        <v>46</v>
      </c>
      <c r="N166" s="4"/>
      <c r="O166" s="4" t="s">
        <v>47</v>
      </c>
      <c r="P166" s="4" t="s">
        <v>48</v>
      </c>
      <c r="Q166" s="4">
        <v>0</v>
      </c>
      <c r="R166" s="4" t="b">
        <v>0</v>
      </c>
      <c r="S166" s="4" t="s">
        <v>61</v>
      </c>
      <c r="T166" s="4" t="s">
        <v>115</v>
      </c>
      <c r="U166" s="4" t="s">
        <v>140</v>
      </c>
      <c r="V166" s="4" t="s">
        <v>123</v>
      </c>
      <c r="W166" s="4" t="s">
        <v>124</v>
      </c>
      <c r="X166" s="4" t="s">
        <v>54</v>
      </c>
      <c r="Y166" s="4"/>
      <c r="Z166" s="12">
        <v>0</v>
      </c>
      <c r="AA166" s="13" t="s">
        <v>9146</v>
      </c>
      <c r="AB166" s="13" t="s">
        <v>9147</v>
      </c>
      <c r="AC166" s="14" t="s">
        <v>9148</v>
      </c>
      <c r="AD166" s="14" t="s">
        <v>9140</v>
      </c>
      <c r="AE166" s="14" t="s">
        <v>9140</v>
      </c>
      <c r="AF166" s="14" t="s">
        <v>123</v>
      </c>
      <c r="AG166" s="14" t="s">
        <v>54</v>
      </c>
      <c r="AH166" s="15" t="s">
        <v>9220</v>
      </c>
      <c r="AI166" s="15" t="s">
        <v>9142</v>
      </c>
      <c r="AJ166" s="15" t="s">
        <v>9143</v>
      </c>
      <c r="AK166" s="15" t="s">
        <v>9221</v>
      </c>
      <c r="AL166" s="15" t="s">
        <v>9228</v>
      </c>
      <c r="AM166" s="16" t="s">
        <v>9221</v>
      </c>
      <c r="AN166" s="16" t="s">
        <v>9229</v>
      </c>
    </row>
    <row r="167" spans="1:40" x14ac:dyDescent="0.25">
      <c r="A167" s="4" t="s">
        <v>7678</v>
      </c>
      <c r="B167" s="4"/>
      <c r="C167" s="4" t="s">
        <v>39</v>
      </c>
      <c r="D167" s="4" t="s">
        <v>7679</v>
      </c>
      <c r="E167" s="4" t="s">
        <v>7680</v>
      </c>
      <c r="F167" s="10">
        <v>45745</v>
      </c>
      <c r="G167" s="11">
        <v>0.70486111111111116</v>
      </c>
      <c r="H167" s="4" t="s">
        <v>4910</v>
      </c>
      <c r="I167" s="4" t="s">
        <v>7681</v>
      </c>
      <c r="J167" s="4" t="s">
        <v>2956</v>
      </c>
      <c r="K167" s="4" t="s">
        <v>1775</v>
      </c>
      <c r="L167" s="4" t="s">
        <v>7682</v>
      </c>
      <c r="M167" s="4" t="s">
        <v>46</v>
      </c>
      <c r="N167" s="4"/>
      <c r="O167" s="4" t="s">
        <v>47</v>
      </c>
      <c r="P167" s="4" t="s">
        <v>48</v>
      </c>
      <c r="Q167" s="4">
        <v>0</v>
      </c>
      <c r="R167" s="4" t="b">
        <v>0</v>
      </c>
      <c r="S167" s="4" t="s">
        <v>49</v>
      </c>
      <c r="T167" s="4" t="s">
        <v>70</v>
      </c>
      <c r="U167" s="4" t="s">
        <v>71</v>
      </c>
      <c r="V167" s="4" t="s">
        <v>72</v>
      </c>
      <c r="W167" s="4" t="s">
        <v>73</v>
      </c>
      <c r="X167" s="4" t="s">
        <v>54</v>
      </c>
      <c r="Y167" s="4"/>
      <c r="Z167" s="12">
        <v>0</v>
      </c>
      <c r="AA167" s="13" t="s">
        <v>9146</v>
      </c>
      <c r="AB167" s="13" t="s">
        <v>9147</v>
      </c>
      <c r="AC167" s="14" t="s">
        <v>9139</v>
      </c>
      <c r="AD167" s="14" t="s">
        <v>9140</v>
      </c>
      <c r="AE167" s="14" t="s">
        <v>9140</v>
      </c>
      <c r="AF167" s="14" t="s">
        <v>72</v>
      </c>
      <c r="AG167" s="14" t="s">
        <v>54</v>
      </c>
      <c r="AH167" s="15" t="s">
        <v>9220</v>
      </c>
      <c r="AI167" s="15" t="s">
        <v>9191</v>
      </c>
      <c r="AJ167" s="15" t="s">
        <v>9143</v>
      </c>
      <c r="AK167" s="15" t="s">
        <v>9221</v>
      </c>
      <c r="AL167" s="15" t="s">
        <v>9234</v>
      </c>
      <c r="AM167" s="16" t="s">
        <v>9221</v>
      </c>
      <c r="AN167" s="16" t="s">
        <v>9235</v>
      </c>
    </row>
    <row r="168" spans="1:40" x14ac:dyDescent="0.25">
      <c r="A168" s="4" t="s">
        <v>6596</v>
      </c>
      <c r="B168" s="4"/>
      <c r="C168" s="4" t="s">
        <v>39</v>
      </c>
      <c r="D168" s="4" t="s">
        <v>6597</v>
      </c>
      <c r="E168" s="4" t="s">
        <v>6598</v>
      </c>
      <c r="F168" s="10">
        <v>45745</v>
      </c>
      <c r="G168" s="11">
        <v>0.53819444444444442</v>
      </c>
      <c r="H168" s="4" t="s">
        <v>4516</v>
      </c>
      <c r="I168" s="4" t="s">
        <v>6599</v>
      </c>
      <c r="J168" s="4" t="s">
        <v>6600</v>
      </c>
      <c r="K168" s="4" t="s">
        <v>6601</v>
      </c>
      <c r="L168" s="4" t="s">
        <v>6602</v>
      </c>
      <c r="M168" s="4" t="s">
        <v>46</v>
      </c>
      <c r="N168" s="4"/>
      <c r="O168" s="4" t="s">
        <v>47</v>
      </c>
      <c r="P168" s="4" t="s">
        <v>48</v>
      </c>
      <c r="Q168" s="4">
        <v>0</v>
      </c>
      <c r="R168" s="4" t="b">
        <v>0</v>
      </c>
      <c r="S168" s="4" t="s">
        <v>49</v>
      </c>
      <c r="T168" s="4" t="s">
        <v>50</v>
      </c>
      <c r="U168" s="4" t="s">
        <v>618</v>
      </c>
      <c r="V168" s="4" t="s">
        <v>72</v>
      </c>
      <c r="W168" s="4" t="s">
        <v>73</v>
      </c>
      <c r="X168" s="4" t="s">
        <v>54</v>
      </c>
      <c r="Y168" s="4"/>
      <c r="Z168" s="12">
        <v>0</v>
      </c>
      <c r="AA168" s="13" t="s">
        <v>9146</v>
      </c>
      <c r="AB168" s="13" t="s">
        <v>9147</v>
      </c>
      <c r="AC168" s="14" t="s">
        <v>9139</v>
      </c>
      <c r="AD168" s="14" t="s">
        <v>9140</v>
      </c>
      <c r="AE168" s="14" t="s">
        <v>9140</v>
      </c>
      <c r="AF168" s="14" t="s">
        <v>72</v>
      </c>
      <c r="AG168" s="14" t="s">
        <v>54</v>
      </c>
      <c r="AH168" s="15" t="s">
        <v>9220</v>
      </c>
      <c r="AI168" s="15" t="s">
        <v>9188</v>
      </c>
      <c r="AJ168" s="15" t="s">
        <v>9143</v>
      </c>
      <c r="AK168" s="15" t="s">
        <v>9221</v>
      </c>
      <c r="AL168" s="15" t="s">
        <v>9232</v>
      </c>
      <c r="AM168" s="16" t="s">
        <v>9221</v>
      </c>
      <c r="AN168" s="16" t="s">
        <v>9233</v>
      </c>
    </row>
    <row r="169" spans="1:40" x14ac:dyDescent="0.25">
      <c r="A169" s="4" t="s">
        <v>801</v>
      </c>
      <c r="B169" s="4"/>
      <c r="C169" s="4" t="s">
        <v>39</v>
      </c>
      <c r="D169" s="4" t="s">
        <v>802</v>
      </c>
      <c r="E169" s="4" t="s">
        <v>803</v>
      </c>
      <c r="F169" s="10">
        <v>45745</v>
      </c>
      <c r="G169" s="11">
        <v>0.64930555555555558</v>
      </c>
      <c r="H169" s="4" t="s">
        <v>463</v>
      </c>
      <c r="I169" s="4">
        <v>2028</v>
      </c>
      <c r="J169" s="4" t="s">
        <v>804</v>
      </c>
      <c r="K169" s="4" t="s">
        <v>805</v>
      </c>
      <c r="L169" s="4" t="s">
        <v>806</v>
      </c>
      <c r="M169" s="4" t="s">
        <v>46</v>
      </c>
      <c r="N169" s="4"/>
      <c r="O169" s="4" t="s">
        <v>47</v>
      </c>
      <c r="P169" s="4" t="s">
        <v>48</v>
      </c>
      <c r="Q169" s="4">
        <v>0</v>
      </c>
      <c r="R169" s="4" t="b">
        <v>0</v>
      </c>
      <c r="S169" s="4" t="s">
        <v>61</v>
      </c>
      <c r="T169" s="4" t="s">
        <v>50</v>
      </c>
      <c r="U169" s="4" t="s">
        <v>90</v>
      </c>
      <c r="V169" s="4" t="s">
        <v>72</v>
      </c>
      <c r="W169" s="4" t="s">
        <v>73</v>
      </c>
      <c r="X169" s="4" t="s">
        <v>54</v>
      </c>
      <c r="Y169" s="4"/>
      <c r="Z169" s="12">
        <v>0</v>
      </c>
      <c r="AA169" s="13" t="s">
        <v>9146</v>
      </c>
      <c r="AB169" s="13" t="s">
        <v>9147</v>
      </c>
      <c r="AC169" s="14" t="s">
        <v>9148</v>
      </c>
      <c r="AD169" s="14" t="s">
        <v>9140</v>
      </c>
      <c r="AE169" s="14" t="s">
        <v>9140</v>
      </c>
      <c r="AF169" s="14" t="s">
        <v>72</v>
      </c>
      <c r="AG169" s="14" t="s">
        <v>54</v>
      </c>
      <c r="AH169" s="15" t="s">
        <v>9141</v>
      </c>
      <c r="AI169" s="15" t="s">
        <v>9175</v>
      </c>
      <c r="AJ169" s="15" t="s">
        <v>9143</v>
      </c>
      <c r="AK169" s="15" t="s">
        <v>9141</v>
      </c>
      <c r="AL169" s="15" t="s">
        <v>9175</v>
      </c>
      <c r="AM169" s="16" t="s">
        <v>9141</v>
      </c>
      <c r="AN169" s="16" t="s">
        <v>9176</v>
      </c>
    </row>
    <row r="170" spans="1:40" x14ac:dyDescent="0.25">
      <c r="A170" s="4" t="s">
        <v>55</v>
      </c>
      <c r="B170" s="4"/>
      <c r="C170" s="4" t="s">
        <v>39</v>
      </c>
      <c r="D170" s="4" t="s">
        <v>56</v>
      </c>
      <c r="E170" s="4" t="s">
        <v>57</v>
      </c>
      <c r="F170" s="10">
        <v>45745</v>
      </c>
      <c r="G170" s="11">
        <v>0.42916666666666664</v>
      </c>
      <c r="H170" s="4" t="s">
        <v>42</v>
      </c>
      <c r="I170" s="4">
        <v>1005</v>
      </c>
      <c r="J170" s="4" t="s">
        <v>43</v>
      </c>
      <c r="K170" s="4" t="s">
        <v>58</v>
      </c>
      <c r="L170" s="4" t="s">
        <v>59</v>
      </c>
      <c r="M170" s="4" t="s">
        <v>46</v>
      </c>
      <c r="N170" s="4"/>
      <c r="O170" s="4" t="s">
        <v>47</v>
      </c>
      <c r="P170" s="4" t="s">
        <v>60</v>
      </c>
      <c r="Q170" s="4">
        <v>0</v>
      </c>
      <c r="R170" s="4" t="b">
        <v>0</v>
      </c>
      <c r="S170" s="4" t="s">
        <v>61</v>
      </c>
      <c r="T170" s="4" t="s">
        <v>50</v>
      </c>
      <c r="U170" s="4" t="s">
        <v>62</v>
      </c>
      <c r="V170" s="4" t="s">
        <v>63</v>
      </c>
      <c r="W170" s="4" t="s">
        <v>64</v>
      </c>
      <c r="X170" s="4" t="s">
        <v>54</v>
      </c>
      <c r="Y170" s="4"/>
      <c r="Z170" s="12">
        <v>0</v>
      </c>
      <c r="AA170" s="13" t="s">
        <v>9146</v>
      </c>
      <c r="AB170" s="13" t="s">
        <v>9147</v>
      </c>
      <c r="AC170" s="14" t="s">
        <v>9148</v>
      </c>
      <c r="AD170" s="14" t="s">
        <v>9140</v>
      </c>
      <c r="AE170" s="14" t="s">
        <v>9140</v>
      </c>
      <c r="AF170" s="14" t="s">
        <v>63</v>
      </c>
      <c r="AG170" s="14" t="s">
        <v>54</v>
      </c>
      <c r="AH170" s="15" t="s">
        <v>9141</v>
      </c>
      <c r="AI170" s="15" t="s">
        <v>9142</v>
      </c>
      <c r="AJ170" s="15" t="s">
        <v>9143</v>
      </c>
      <c r="AK170" s="15" t="s">
        <v>9141</v>
      </c>
      <c r="AL170" s="15" t="s">
        <v>9144</v>
      </c>
      <c r="AM170" s="16" t="s">
        <v>9141</v>
      </c>
      <c r="AN170" s="16" t="s">
        <v>9145</v>
      </c>
    </row>
    <row r="171" spans="1:40" x14ac:dyDescent="0.25">
      <c r="A171" s="4" t="s">
        <v>807</v>
      </c>
      <c r="B171" s="4"/>
      <c r="C171" s="4" t="s">
        <v>39</v>
      </c>
      <c r="D171" s="4" t="s">
        <v>808</v>
      </c>
      <c r="E171" s="4" t="s">
        <v>809</v>
      </c>
      <c r="F171" s="10">
        <v>45744</v>
      </c>
      <c r="G171" s="11">
        <v>0.48958333333333331</v>
      </c>
      <c r="H171" s="4" t="s">
        <v>463</v>
      </c>
      <c r="I171" s="4">
        <v>2028</v>
      </c>
      <c r="J171" s="4" t="s">
        <v>804</v>
      </c>
      <c r="K171" s="4" t="s">
        <v>810</v>
      </c>
      <c r="L171" s="4" t="s">
        <v>811</v>
      </c>
      <c r="M171" s="4" t="s">
        <v>46</v>
      </c>
      <c r="N171" s="4"/>
      <c r="O171" s="4" t="s">
        <v>47</v>
      </c>
      <c r="P171" s="4" t="s">
        <v>60</v>
      </c>
      <c r="Q171" s="4">
        <v>0</v>
      </c>
      <c r="R171" s="4" t="b">
        <v>0</v>
      </c>
      <c r="S171" s="4" t="s">
        <v>61</v>
      </c>
      <c r="T171" s="4" t="s">
        <v>70</v>
      </c>
      <c r="U171" s="4" t="s">
        <v>71</v>
      </c>
      <c r="V171" s="4" t="s">
        <v>72</v>
      </c>
      <c r="W171" s="4" t="s">
        <v>73</v>
      </c>
      <c r="X171" s="4" t="s">
        <v>54</v>
      </c>
      <c r="Y171" s="4"/>
      <c r="Z171" s="12">
        <v>0</v>
      </c>
      <c r="AA171" s="13" t="s">
        <v>9146</v>
      </c>
      <c r="AB171" s="13" t="s">
        <v>9147</v>
      </c>
      <c r="AC171" s="14" t="s">
        <v>9148</v>
      </c>
      <c r="AD171" s="14" t="s">
        <v>9140</v>
      </c>
      <c r="AE171" s="14" t="s">
        <v>9140</v>
      </c>
      <c r="AF171" s="14" t="s">
        <v>72</v>
      </c>
      <c r="AG171" s="14" t="s">
        <v>54</v>
      </c>
      <c r="AH171" s="15" t="s">
        <v>9141</v>
      </c>
      <c r="AI171" s="15" t="s">
        <v>9175</v>
      </c>
      <c r="AJ171" s="15" t="s">
        <v>9143</v>
      </c>
      <c r="AK171" s="15" t="s">
        <v>9141</v>
      </c>
      <c r="AL171" s="15" t="s">
        <v>9175</v>
      </c>
      <c r="AM171" s="16" t="s">
        <v>9141</v>
      </c>
      <c r="AN171" s="16" t="s">
        <v>9176</v>
      </c>
    </row>
    <row r="172" spans="1:40" x14ac:dyDescent="0.25">
      <c r="A172" s="4" t="s">
        <v>4583</v>
      </c>
      <c r="B172" s="4"/>
      <c r="C172" s="4" t="s">
        <v>39</v>
      </c>
      <c r="D172" s="4" t="s">
        <v>4584</v>
      </c>
      <c r="E172" s="4" t="s">
        <v>4585</v>
      </c>
      <c r="F172" s="10">
        <v>45744</v>
      </c>
      <c r="G172" s="11">
        <v>0.65277777777777779</v>
      </c>
      <c r="H172" s="4" t="s">
        <v>4516</v>
      </c>
      <c r="I172" s="4" t="s">
        <v>4586</v>
      </c>
      <c r="J172" s="4" t="s">
        <v>2630</v>
      </c>
      <c r="K172" s="4" t="s">
        <v>4587</v>
      </c>
      <c r="L172" s="4" t="s">
        <v>4588</v>
      </c>
      <c r="M172" s="4" t="s">
        <v>46</v>
      </c>
      <c r="N172" s="4"/>
      <c r="O172" s="4" t="s">
        <v>47</v>
      </c>
      <c r="P172" s="4" t="s">
        <v>48</v>
      </c>
      <c r="Q172" s="4">
        <v>0</v>
      </c>
      <c r="R172" s="4" t="b">
        <v>0</v>
      </c>
      <c r="S172" s="4" t="s">
        <v>61</v>
      </c>
      <c r="T172" s="4" t="s">
        <v>50</v>
      </c>
      <c r="U172" s="4" t="s">
        <v>71</v>
      </c>
      <c r="V172" s="4" t="s">
        <v>63</v>
      </c>
      <c r="W172" s="4" t="s">
        <v>312</v>
      </c>
      <c r="X172" s="4" t="s">
        <v>54</v>
      </c>
      <c r="Y172" s="4"/>
      <c r="Z172" s="12">
        <v>0</v>
      </c>
      <c r="AA172" s="13" t="s">
        <v>9146</v>
      </c>
      <c r="AB172" s="13" t="s">
        <v>9147</v>
      </c>
      <c r="AC172" s="14" t="s">
        <v>9148</v>
      </c>
      <c r="AD172" s="14" t="s">
        <v>9140</v>
      </c>
      <c r="AE172" s="14" t="s">
        <v>9140</v>
      </c>
      <c r="AF172" s="14" t="s">
        <v>63</v>
      </c>
      <c r="AG172" s="14" t="s">
        <v>54</v>
      </c>
      <c r="AH172" s="15" t="s">
        <v>9220</v>
      </c>
      <c r="AI172" s="15" t="s">
        <v>9188</v>
      </c>
      <c r="AJ172" s="15" t="s">
        <v>9143</v>
      </c>
      <c r="AK172" s="15" t="s">
        <v>9221</v>
      </c>
      <c r="AL172" s="15" t="s">
        <v>9232</v>
      </c>
      <c r="AM172" s="16" t="s">
        <v>9221</v>
      </c>
      <c r="AN172" s="16" t="s">
        <v>9233</v>
      </c>
    </row>
    <row r="173" spans="1:40" x14ac:dyDescent="0.25">
      <c r="A173" s="4" t="s">
        <v>6499</v>
      </c>
      <c r="B173" s="4"/>
      <c r="C173" s="4" t="s">
        <v>39</v>
      </c>
      <c r="D173" s="4" t="s">
        <v>6500</v>
      </c>
      <c r="E173" s="4" t="s">
        <v>6501</v>
      </c>
      <c r="F173" s="10">
        <v>45743</v>
      </c>
      <c r="G173" s="11">
        <v>0.34722222222222221</v>
      </c>
      <c r="H173" s="4" t="s">
        <v>4910</v>
      </c>
      <c r="I173" s="4" t="s">
        <v>6502</v>
      </c>
      <c r="J173" s="4" t="s">
        <v>6503</v>
      </c>
      <c r="K173" s="4" t="s">
        <v>6504</v>
      </c>
      <c r="L173" s="4" t="s">
        <v>6505</v>
      </c>
      <c r="M173" s="4" t="s">
        <v>46</v>
      </c>
      <c r="N173" s="4"/>
      <c r="O173" s="4" t="s">
        <v>47</v>
      </c>
      <c r="P173" s="4" t="s">
        <v>48</v>
      </c>
      <c r="Q173" s="4">
        <v>0</v>
      </c>
      <c r="R173" s="4" t="b">
        <v>0</v>
      </c>
      <c r="S173" s="4" t="s">
        <v>61</v>
      </c>
      <c r="T173" s="4" t="s">
        <v>50</v>
      </c>
      <c r="U173" s="4" t="s">
        <v>90</v>
      </c>
      <c r="V173" s="4" t="s">
        <v>63</v>
      </c>
      <c r="W173" s="4" t="s">
        <v>108</v>
      </c>
      <c r="X173" s="4" t="s">
        <v>54</v>
      </c>
      <c r="Y173" s="4"/>
      <c r="Z173" s="12">
        <v>0</v>
      </c>
      <c r="AA173" s="13" t="s">
        <v>9146</v>
      </c>
      <c r="AB173" s="13" t="s">
        <v>9147</v>
      </c>
      <c r="AC173" s="14" t="s">
        <v>9148</v>
      </c>
      <c r="AD173" s="14" t="s">
        <v>9140</v>
      </c>
      <c r="AE173" s="14" t="s">
        <v>9140</v>
      </c>
      <c r="AF173" s="14" t="s">
        <v>63</v>
      </c>
      <c r="AG173" s="14" t="s">
        <v>54</v>
      </c>
      <c r="AH173" s="15" t="s">
        <v>9220</v>
      </c>
      <c r="AI173" s="15" t="s">
        <v>9191</v>
      </c>
      <c r="AJ173" s="15" t="s">
        <v>9143</v>
      </c>
      <c r="AK173" s="15" t="s">
        <v>9221</v>
      </c>
      <c r="AL173" s="15" t="s">
        <v>9236</v>
      </c>
      <c r="AM173" s="16" t="s">
        <v>9221</v>
      </c>
      <c r="AN173" s="16" t="s">
        <v>9237</v>
      </c>
    </row>
    <row r="174" spans="1:40" x14ac:dyDescent="0.25">
      <c r="A174" s="4" t="s">
        <v>5835</v>
      </c>
      <c r="B174" s="4"/>
      <c r="C174" s="4" t="s">
        <v>39</v>
      </c>
      <c r="D174" s="4" t="s">
        <v>5836</v>
      </c>
      <c r="E174" s="4" t="s">
        <v>5837</v>
      </c>
      <c r="F174" s="10">
        <v>45743</v>
      </c>
      <c r="G174" s="11">
        <v>0.77083333333333337</v>
      </c>
      <c r="H174" s="4" t="s">
        <v>5838</v>
      </c>
      <c r="I174" s="4" t="s">
        <v>5839</v>
      </c>
      <c r="J174" s="4" t="s">
        <v>3121</v>
      </c>
      <c r="K174" s="4" t="s">
        <v>5840</v>
      </c>
      <c r="L174" s="4" t="s">
        <v>5841</v>
      </c>
      <c r="M174" s="4" t="s">
        <v>46</v>
      </c>
      <c r="N174" s="4"/>
      <c r="O174" s="4" t="s">
        <v>47</v>
      </c>
      <c r="P174" s="4" t="s">
        <v>48</v>
      </c>
      <c r="Q174" s="4">
        <v>0</v>
      </c>
      <c r="R174" s="4" t="b">
        <v>0</v>
      </c>
      <c r="S174" s="4" t="s">
        <v>61</v>
      </c>
      <c r="T174" s="4" t="s">
        <v>115</v>
      </c>
      <c r="U174" s="4" t="s">
        <v>148</v>
      </c>
      <c r="V174" s="4" t="s">
        <v>52</v>
      </c>
      <c r="W174" s="4" t="s">
        <v>53</v>
      </c>
      <c r="X174" s="4" t="s">
        <v>54</v>
      </c>
      <c r="Y174" s="4"/>
      <c r="Z174" s="12">
        <v>0</v>
      </c>
      <c r="AA174" s="13" t="s">
        <v>9146</v>
      </c>
      <c r="AB174" s="13" t="s">
        <v>9147</v>
      </c>
      <c r="AC174" s="14" t="s">
        <v>9148</v>
      </c>
      <c r="AD174" s="14" t="s">
        <v>9140</v>
      </c>
      <c r="AE174" s="14" t="s">
        <v>9140</v>
      </c>
      <c r="AF174" s="14" t="s">
        <v>52</v>
      </c>
      <c r="AG174" s="14" t="s">
        <v>54</v>
      </c>
      <c r="AH174" s="15" t="s">
        <v>9220</v>
      </c>
      <c r="AI174" s="15" t="s">
        <v>9213</v>
      </c>
      <c r="AJ174" s="15" t="s">
        <v>9143</v>
      </c>
      <c r="AK174" s="15" t="s">
        <v>9221</v>
      </c>
      <c r="AL174" s="15" t="s">
        <v>9228</v>
      </c>
      <c r="AM174" s="16" t="s">
        <v>9221</v>
      </c>
      <c r="AN174" s="16" t="s">
        <v>9229</v>
      </c>
    </row>
    <row r="175" spans="1:40" x14ac:dyDescent="0.25">
      <c r="A175" s="4" t="s">
        <v>4023</v>
      </c>
      <c r="B175" s="4"/>
      <c r="C175" s="4" t="s">
        <v>39</v>
      </c>
      <c r="D175" s="4" t="s">
        <v>4024</v>
      </c>
      <c r="E175" s="4" t="s">
        <v>4025</v>
      </c>
      <c r="F175" s="10">
        <v>45743</v>
      </c>
      <c r="G175" s="11">
        <v>0.65972222222222221</v>
      </c>
      <c r="H175" s="4" t="s">
        <v>4019</v>
      </c>
      <c r="I175" s="4" t="s">
        <v>4020</v>
      </c>
      <c r="J175" s="4" t="s">
        <v>3083</v>
      </c>
      <c r="K175" s="4" t="s">
        <v>4026</v>
      </c>
      <c r="L175" s="4" t="s">
        <v>4027</v>
      </c>
      <c r="M175" s="4" t="s">
        <v>46</v>
      </c>
      <c r="N175" s="4"/>
      <c r="O175" s="4" t="s">
        <v>47</v>
      </c>
      <c r="P175" s="4" t="s">
        <v>48</v>
      </c>
      <c r="Q175" s="4">
        <v>0</v>
      </c>
      <c r="R175" s="4" t="b">
        <v>0</v>
      </c>
      <c r="S175" s="4" t="s">
        <v>61</v>
      </c>
      <c r="T175" s="4" t="s">
        <v>50</v>
      </c>
      <c r="U175" s="4" t="s">
        <v>90</v>
      </c>
      <c r="V175" s="4" t="s">
        <v>63</v>
      </c>
      <c r="W175" s="4" t="s">
        <v>108</v>
      </c>
      <c r="X175" s="4" t="s">
        <v>54</v>
      </c>
      <c r="Y175" s="4"/>
      <c r="Z175" s="12">
        <v>0</v>
      </c>
      <c r="AA175" s="13" t="s">
        <v>9146</v>
      </c>
      <c r="AB175" s="13" t="s">
        <v>9147</v>
      </c>
      <c r="AC175" s="14" t="s">
        <v>9148</v>
      </c>
      <c r="AD175" s="14" t="s">
        <v>9140</v>
      </c>
      <c r="AE175" s="14" t="s">
        <v>9140</v>
      </c>
      <c r="AF175" s="14" t="s">
        <v>63</v>
      </c>
      <c r="AG175" s="14" t="s">
        <v>54</v>
      </c>
      <c r="AH175" s="15" t="s">
        <v>9220</v>
      </c>
      <c r="AI175" s="15" t="s">
        <v>9175</v>
      </c>
      <c r="AJ175" s="15" t="s">
        <v>9143</v>
      </c>
      <c r="AK175" s="15" t="s">
        <v>9221</v>
      </c>
      <c r="AL175" s="15" t="s">
        <v>9222</v>
      </c>
      <c r="AM175" s="16" t="s">
        <v>9221</v>
      </c>
      <c r="AN175" s="16" t="s">
        <v>9223</v>
      </c>
    </row>
    <row r="176" spans="1:40" x14ac:dyDescent="0.25">
      <c r="A176" s="4" t="s">
        <v>1332</v>
      </c>
      <c r="B176" s="4" t="s">
        <v>1333</v>
      </c>
      <c r="C176" s="4" t="s">
        <v>39</v>
      </c>
      <c r="D176" s="4" t="s">
        <v>1334</v>
      </c>
      <c r="E176" s="4" t="s">
        <v>1335</v>
      </c>
      <c r="F176" s="10">
        <v>45743</v>
      </c>
      <c r="G176" s="11">
        <v>0.4861111111111111</v>
      </c>
      <c r="H176" s="4" t="s">
        <v>1155</v>
      </c>
      <c r="I176" s="4">
        <v>4045</v>
      </c>
      <c r="J176" s="4" t="s">
        <v>1329</v>
      </c>
      <c r="K176" s="4" t="s">
        <v>1336</v>
      </c>
      <c r="L176" s="4" t="s">
        <v>1337</v>
      </c>
      <c r="M176" s="4" t="s">
        <v>46</v>
      </c>
      <c r="N176" s="4"/>
      <c r="O176" s="4" t="s">
        <v>47</v>
      </c>
      <c r="P176" s="4" t="s">
        <v>48</v>
      </c>
      <c r="Q176" s="4">
        <v>0</v>
      </c>
      <c r="R176" s="4" t="b">
        <v>0</v>
      </c>
      <c r="S176" s="4" t="s">
        <v>49</v>
      </c>
      <c r="T176" s="4" t="s">
        <v>50</v>
      </c>
      <c r="U176" s="4" t="s">
        <v>345</v>
      </c>
      <c r="V176" s="4" t="s">
        <v>123</v>
      </c>
      <c r="W176" s="4" t="s">
        <v>124</v>
      </c>
      <c r="X176" s="4" t="s">
        <v>54</v>
      </c>
      <c r="Y176" s="4"/>
      <c r="Z176" s="12">
        <v>0</v>
      </c>
      <c r="AA176" s="13" t="s">
        <v>9146</v>
      </c>
      <c r="AB176" s="13" t="s">
        <v>9147</v>
      </c>
      <c r="AC176" s="14" t="s">
        <v>9139</v>
      </c>
      <c r="AD176" s="14" t="s">
        <v>9140</v>
      </c>
      <c r="AE176" s="14" t="s">
        <v>9140</v>
      </c>
      <c r="AF176" s="14" t="s">
        <v>123</v>
      </c>
      <c r="AG176" s="14" t="s">
        <v>54</v>
      </c>
      <c r="AH176" s="15" t="s">
        <v>9141</v>
      </c>
      <c r="AI176" s="15" t="s">
        <v>9187</v>
      </c>
      <c r="AJ176" s="15" t="s">
        <v>9143</v>
      </c>
      <c r="AK176" s="15" t="s">
        <v>9141</v>
      </c>
      <c r="AL176" s="15" t="s">
        <v>9144</v>
      </c>
      <c r="AM176" s="16" t="s">
        <v>9141</v>
      </c>
      <c r="AN176" s="16" t="s">
        <v>9145</v>
      </c>
    </row>
    <row r="177" spans="1:40" x14ac:dyDescent="0.25">
      <c r="A177" s="4" t="s">
        <v>7213</v>
      </c>
      <c r="B177" s="4"/>
      <c r="C177" s="4" t="s">
        <v>39</v>
      </c>
      <c r="D177" s="4" t="s">
        <v>7214</v>
      </c>
      <c r="E177" s="4" t="s">
        <v>7215</v>
      </c>
      <c r="F177" s="10">
        <v>45742</v>
      </c>
      <c r="G177" s="11">
        <v>0.52083333333333337</v>
      </c>
      <c r="H177" s="4" t="s">
        <v>4659</v>
      </c>
      <c r="I177" s="4" t="s">
        <v>7216</v>
      </c>
      <c r="J177" s="4" t="s">
        <v>7217</v>
      </c>
      <c r="K177" s="4" t="s">
        <v>7218</v>
      </c>
      <c r="L177" s="4" t="s">
        <v>7219</v>
      </c>
      <c r="M177" s="4" t="s">
        <v>46</v>
      </c>
      <c r="N177" s="4"/>
      <c r="O177" s="4" t="s">
        <v>47</v>
      </c>
      <c r="P177" s="4" t="s">
        <v>48</v>
      </c>
      <c r="Q177" s="4">
        <v>0</v>
      </c>
      <c r="R177" s="4" t="b">
        <v>0</v>
      </c>
      <c r="S177" s="4" t="s">
        <v>49</v>
      </c>
      <c r="T177" s="4" t="s">
        <v>50</v>
      </c>
      <c r="U177" s="4" t="s">
        <v>600</v>
      </c>
      <c r="V177" s="4" t="s">
        <v>63</v>
      </c>
      <c r="W177" s="4" t="s">
        <v>312</v>
      </c>
      <c r="X177" s="4" t="s">
        <v>54</v>
      </c>
      <c r="Y177" s="4"/>
      <c r="Z177" s="12">
        <v>0</v>
      </c>
      <c r="AA177" s="13" t="s">
        <v>9146</v>
      </c>
      <c r="AB177" s="13" t="s">
        <v>9147</v>
      </c>
      <c r="AC177" s="14" t="s">
        <v>9139</v>
      </c>
      <c r="AD177" s="14" t="s">
        <v>9140</v>
      </c>
      <c r="AE177" s="14" t="s">
        <v>9140</v>
      </c>
      <c r="AF177" s="14" t="s">
        <v>63</v>
      </c>
      <c r="AG177" s="14" t="s">
        <v>54</v>
      </c>
      <c r="AH177" s="15" t="s">
        <v>9220</v>
      </c>
      <c r="AI177" s="15" t="s">
        <v>9142</v>
      </c>
      <c r="AJ177" s="15" t="s">
        <v>9143</v>
      </c>
      <c r="AK177" s="15" t="s">
        <v>9221</v>
      </c>
      <c r="AL177" s="15" t="s">
        <v>9228</v>
      </c>
      <c r="AM177" s="16" t="s">
        <v>9221</v>
      </c>
      <c r="AN177" s="16" t="s">
        <v>9229</v>
      </c>
    </row>
    <row r="178" spans="1:40" x14ac:dyDescent="0.25">
      <c r="A178" s="4" t="s">
        <v>5284</v>
      </c>
      <c r="B178" s="4">
        <v>7864234</v>
      </c>
      <c r="C178" s="4" t="s">
        <v>39</v>
      </c>
      <c r="D178" s="4" t="s">
        <v>5285</v>
      </c>
      <c r="E178" s="4" t="s">
        <v>5286</v>
      </c>
      <c r="F178" s="10">
        <v>45742</v>
      </c>
      <c r="G178" s="11">
        <v>0.5</v>
      </c>
      <c r="H178" s="4" t="s">
        <v>4516</v>
      </c>
      <c r="I178" s="4" t="s">
        <v>5275</v>
      </c>
      <c r="J178" s="4" t="s">
        <v>5276</v>
      </c>
      <c r="K178" s="4" t="s">
        <v>5287</v>
      </c>
      <c r="L178" s="4" t="s">
        <v>5288</v>
      </c>
      <c r="M178" s="4" t="s">
        <v>28</v>
      </c>
      <c r="N178" s="4" t="s">
        <v>478</v>
      </c>
      <c r="O178" s="4" t="s">
        <v>191</v>
      </c>
      <c r="P178" s="4" t="s">
        <v>60</v>
      </c>
      <c r="Q178" s="4">
        <v>9</v>
      </c>
      <c r="R178" s="4" t="b">
        <v>0</v>
      </c>
      <c r="S178" s="4" t="s">
        <v>114</v>
      </c>
      <c r="T178" s="4" t="s">
        <v>115</v>
      </c>
      <c r="U178" s="4" t="s">
        <v>148</v>
      </c>
      <c r="V178" s="4" t="s">
        <v>52</v>
      </c>
      <c r="W178" s="4" t="s">
        <v>53</v>
      </c>
      <c r="X178" s="4" t="s">
        <v>54</v>
      </c>
      <c r="Y178" s="4"/>
      <c r="Z178" s="12" t="s">
        <v>60</v>
      </c>
      <c r="AA178" s="13" t="s">
        <v>9146</v>
      </c>
      <c r="AB178" s="13" t="s">
        <v>9147</v>
      </c>
      <c r="AC178" s="14" t="s">
        <v>9157</v>
      </c>
      <c r="AD178" s="14" t="s">
        <v>28</v>
      </c>
      <c r="AE178" s="14" t="s">
        <v>478</v>
      </c>
      <c r="AF178" s="14" t="s">
        <v>52</v>
      </c>
      <c r="AG178" s="14" t="s">
        <v>54</v>
      </c>
      <c r="AH178" s="15" t="s">
        <v>9220</v>
      </c>
      <c r="AI178" s="15" t="s">
        <v>9188</v>
      </c>
      <c r="AJ178" s="15" t="s">
        <v>9143</v>
      </c>
      <c r="AK178" s="15" t="s">
        <v>9221</v>
      </c>
      <c r="AL178" s="15" t="s">
        <v>9230</v>
      </c>
      <c r="AM178" s="16" t="s">
        <v>9221</v>
      </c>
      <c r="AN178" s="16" t="s">
        <v>9231</v>
      </c>
    </row>
    <row r="179" spans="1:40" x14ac:dyDescent="0.25">
      <c r="A179" s="4" t="s">
        <v>4966</v>
      </c>
      <c r="B179" s="4"/>
      <c r="C179" s="4" t="s">
        <v>39</v>
      </c>
      <c r="D179" s="4" t="s">
        <v>4967</v>
      </c>
      <c r="E179" s="4" t="s">
        <v>4968</v>
      </c>
      <c r="F179" s="10">
        <v>45741</v>
      </c>
      <c r="G179" s="11">
        <v>0.68958333333333333</v>
      </c>
      <c r="H179" s="4" t="s">
        <v>4516</v>
      </c>
      <c r="I179" s="4" t="s">
        <v>4969</v>
      </c>
      <c r="J179" s="4" t="s">
        <v>3453</v>
      </c>
      <c r="K179" s="4" t="s">
        <v>4970</v>
      </c>
      <c r="L179" s="4" t="s">
        <v>4971</v>
      </c>
      <c r="M179" s="4" t="s">
        <v>46</v>
      </c>
      <c r="N179" s="4"/>
      <c r="O179" s="4" t="s">
        <v>47</v>
      </c>
      <c r="P179" s="4" t="s">
        <v>48</v>
      </c>
      <c r="Q179" s="4">
        <v>0</v>
      </c>
      <c r="R179" s="4" t="b">
        <v>0</v>
      </c>
      <c r="S179" s="4" t="s">
        <v>49</v>
      </c>
      <c r="T179" s="4" t="s">
        <v>50</v>
      </c>
      <c r="U179" s="4" t="s">
        <v>2767</v>
      </c>
      <c r="V179" s="4" t="s">
        <v>123</v>
      </c>
      <c r="W179" s="4" t="s">
        <v>124</v>
      </c>
      <c r="X179" s="4" t="s">
        <v>54</v>
      </c>
      <c r="Y179" s="4"/>
      <c r="Z179" s="12">
        <v>0</v>
      </c>
      <c r="AA179" s="13" t="s">
        <v>9146</v>
      </c>
      <c r="AB179" s="13" t="s">
        <v>9147</v>
      </c>
      <c r="AC179" s="14" t="s">
        <v>9139</v>
      </c>
      <c r="AD179" s="14" t="s">
        <v>9140</v>
      </c>
      <c r="AE179" s="14" t="s">
        <v>9140</v>
      </c>
      <c r="AF179" s="14" t="s">
        <v>123</v>
      </c>
      <c r="AG179" s="14" t="s">
        <v>54</v>
      </c>
      <c r="AH179" s="15" t="s">
        <v>9220</v>
      </c>
      <c r="AI179" s="15" t="s">
        <v>9188</v>
      </c>
      <c r="AJ179" s="15" t="s">
        <v>9143</v>
      </c>
      <c r="AK179" s="15" t="s">
        <v>9221</v>
      </c>
      <c r="AL179" s="15" t="s">
        <v>9230</v>
      </c>
      <c r="AM179" s="16" t="s">
        <v>9221</v>
      </c>
      <c r="AN179" s="16" t="s">
        <v>9231</v>
      </c>
    </row>
    <row r="180" spans="1:40" x14ac:dyDescent="0.25">
      <c r="A180" s="4" t="s">
        <v>4589</v>
      </c>
      <c r="B180" s="4"/>
      <c r="C180" s="4" t="s">
        <v>39</v>
      </c>
      <c r="D180" s="4" t="s">
        <v>4590</v>
      </c>
      <c r="E180" s="4" t="s">
        <v>4591</v>
      </c>
      <c r="F180" s="10">
        <v>45741</v>
      </c>
      <c r="G180" s="11">
        <v>0.45833333333333331</v>
      </c>
      <c r="H180" s="4" t="s">
        <v>4516</v>
      </c>
      <c r="I180" s="4" t="s">
        <v>4586</v>
      </c>
      <c r="J180" s="4" t="s">
        <v>2630</v>
      </c>
      <c r="K180" s="4" t="s">
        <v>4592</v>
      </c>
      <c r="L180" s="4" t="s">
        <v>4593</v>
      </c>
      <c r="M180" s="4" t="s">
        <v>46</v>
      </c>
      <c r="N180" s="4"/>
      <c r="O180" s="4" t="s">
        <v>47</v>
      </c>
      <c r="P180" s="4" t="s">
        <v>48</v>
      </c>
      <c r="Q180" s="4">
        <v>0</v>
      </c>
      <c r="R180" s="4" t="b">
        <v>0</v>
      </c>
      <c r="S180" s="4" t="s">
        <v>61</v>
      </c>
      <c r="T180" s="4" t="s">
        <v>50</v>
      </c>
      <c r="U180" s="4" t="s">
        <v>2767</v>
      </c>
      <c r="V180" s="4" t="s">
        <v>123</v>
      </c>
      <c r="W180" s="4" t="s">
        <v>124</v>
      </c>
      <c r="X180" s="4" t="s">
        <v>54</v>
      </c>
      <c r="Y180" s="4"/>
      <c r="Z180" s="12">
        <v>0</v>
      </c>
      <c r="AA180" s="13" t="s">
        <v>9146</v>
      </c>
      <c r="AB180" s="13" t="s">
        <v>9147</v>
      </c>
      <c r="AC180" s="14" t="s">
        <v>9148</v>
      </c>
      <c r="AD180" s="14" t="s">
        <v>9140</v>
      </c>
      <c r="AE180" s="14" t="s">
        <v>9140</v>
      </c>
      <c r="AF180" s="14" t="s">
        <v>123</v>
      </c>
      <c r="AG180" s="14" t="s">
        <v>54</v>
      </c>
      <c r="AH180" s="15" t="s">
        <v>9220</v>
      </c>
      <c r="AI180" s="15" t="s">
        <v>9188</v>
      </c>
      <c r="AJ180" s="15" t="s">
        <v>9143</v>
      </c>
      <c r="AK180" s="15" t="s">
        <v>9221</v>
      </c>
      <c r="AL180" s="15" t="s">
        <v>9232</v>
      </c>
      <c r="AM180" s="16" t="s">
        <v>9221</v>
      </c>
      <c r="AN180" s="16" t="s">
        <v>9233</v>
      </c>
    </row>
    <row r="181" spans="1:40" x14ac:dyDescent="0.25">
      <c r="A181" s="4" t="s">
        <v>5842</v>
      </c>
      <c r="B181" s="4"/>
      <c r="C181" s="4" t="s">
        <v>39</v>
      </c>
      <c r="D181" s="4" t="s">
        <v>5843</v>
      </c>
      <c r="E181" s="4" t="s">
        <v>5844</v>
      </c>
      <c r="F181" s="10">
        <v>45741</v>
      </c>
      <c r="G181" s="11">
        <v>0.71180555555555558</v>
      </c>
      <c r="H181" s="4" t="s">
        <v>5838</v>
      </c>
      <c r="I181" s="4" t="s">
        <v>5839</v>
      </c>
      <c r="J181" s="4" t="s">
        <v>3121</v>
      </c>
      <c r="K181" s="4" t="s">
        <v>5845</v>
      </c>
      <c r="L181" s="4" t="s">
        <v>5846</v>
      </c>
      <c r="M181" s="4" t="s">
        <v>46</v>
      </c>
      <c r="N181" s="4"/>
      <c r="O181" s="4" t="s">
        <v>47</v>
      </c>
      <c r="P181" s="4" t="s">
        <v>48</v>
      </c>
      <c r="Q181" s="4">
        <v>0</v>
      </c>
      <c r="R181" s="4" t="b">
        <v>0</v>
      </c>
      <c r="S181" s="4" t="s">
        <v>61</v>
      </c>
      <c r="T181" s="4" t="s">
        <v>50</v>
      </c>
      <c r="U181" s="4" t="s">
        <v>71</v>
      </c>
      <c r="V181" s="4" t="s">
        <v>63</v>
      </c>
      <c r="W181" s="4" t="s">
        <v>108</v>
      </c>
      <c r="X181" s="4" t="s">
        <v>54</v>
      </c>
      <c r="Y181" s="4"/>
      <c r="Z181" s="12">
        <v>0</v>
      </c>
      <c r="AA181" s="13" t="s">
        <v>9146</v>
      </c>
      <c r="AB181" s="13" t="s">
        <v>9147</v>
      </c>
      <c r="AC181" s="14" t="s">
        <v>9148</v>
      </c>
      <c r="AD181" s="14" t="s">
        <v>9140</v>
      </c>
      <c r="AE181" s="14" t="s">
        <v>9140</v>
      </c>
      <c r="AF181" s="14" t="s">
        <v>63</v>
      </c>
      <c r="AG181" s="14" t="s">
        <v>54</v>
      </c>
      <c r="AH181" s="15" t="s">
        <v>9220</v>
      </c>
      <c r="AI181" s="15" t="s">
        <v>9213</v>
      </c>
      <c r="AJ181" s="15" t="s">
        <v>9143</v>
      </c>
      <c r="AK181" s="15" t="s">
        <v>9221</v>
      </c>
      <c r="AL181" s="15" t="s">
        <v>9228</v>
      </c>
      <c r="AM181" s="16" t="s">
        <v>9221</v>
      </c>
      <c r="AN181" s="16" t="s">
        <v>9229</v>
      </c>
    </row>
    <row r="182" spans="1:40" x14ac:dyDescent="0.25">
      <c r="A182" s="4" t="s">
        <v>5499</v>
      </c>
      <c r="B182" s="4"/>
      <c r="C182" s="4" t="s">
        <v>39</v>
      </c>
      <c r="D182" s="4" t="s">
        <v>5500</v>
      </c>
      <c r="E182" s="4" t="s">
        <v>5501</v>
      </c>
      <c r="F182" s="10">
        <v>45741</v>
      </c>
      <c r="G182" s="11">
        <v>0.35416666666666669</v>
      </c>
      <c r="H182" s="4" t="s">
        <v>4910</v>
      </c>
      <c r="I182" s="4" t="s">
        <v>5502</v>
      </c>
      <c r="J182" s="4" t="s">
        <v>3354</v>
      </c>
      <c r="K182" s="4" t="s">
        <v>5503</v>
      </c>
      <c r="L182" s="4" t="s">
        <v>5504</v>
      </c>
      <c r="M182" s="4" t="s">
        <v>46</v>
      </c>
      <c r="N182" s="4"/>
      <c r="O182" s="4" t="s">
        <v>47</v>
      </c>
      <c r="P182" s="4" t="s">
        <v>48</v>
      </c>
      <c r="Q182" s="4">
        <v>0</v>
      </c>
      <c r="R182" s="4" t="b">
        <v>0</v>
      </c>
      <c r="S182" s="4" t="s">
        <v>61</v>
      </c>
      <c r="T182" s="4" t="s">
        <v>115</v>
      </c>
      <c r="U182" s="4" t="s">
        <v>224</v>
      </c>
      <c r="V182" s="4" t="s">
        <v>123</v>
      </c>
      <c r="W182" s="4" t="s">
        <v>124</v>
      </c>
      <c r="X182" s="4" t="s">
        <v>54</v>
      </c>
      <c r="Y182" s="4"/>
      <c r="Z182" s="12">
        <v>0</v>
      </c>
      <c r="AA182" s="13" t="s">
        <v>9146</v>
      </c>
      <c r="AB182" s="13" t="s">
        <v>9147</v>
      </c>
      <c r="AC182" s="14" t="s">
        <v>9148</v>
      </c>
      <c r="AD182" s="14" t="s">
        <v>9140</v>
      </c>
      <c r="AE182" s="14" t="s">
        <v>9140</v>
      </c>
      <c r="AF182" s="14" t="s">
        <v>123</v>
      </c>
      <c r="AG182" s="14" t="s">
        <v>54</v>
      </c>
      <c r="AH182" s="15" t="s">
        <v>9220</v>
      </c>
      <c r="AI182" s="15" t="s">
        <v>9191</v>
      </c>
      <c r="AJ182" s="15" t="s">
        <v>9143</v>
      </c>
      <c r="AK182" s="15" t="s">
        <v>9221</v>
      </c>
      <c r="AL182" s="15" t="s">
        <v>9234</v>
      </c>
      <c r="AM182" s="16" t="s">
        <v>9221</v>
      </c>
      <c r="AN182" s="16" t="s">
        <v>9235</v>
      </c>
    </row>
    <row r="183" spans="1:40" x14ac:dyDescent="0.25">
      <c r="A183" s="4" t="s">
        <v>6438</v>
      </c>
      <c r="B183" s="4"/>
      <c r="C183" s="4" t="s">
        <v>39</v>
      </c>
      <c r="D183" s="4" t="s">
        <v>6439</v>
      </c>
      <c r="E183" s="4" t="s">
        <v>6440</v>
      </c>
      <c r="F183" s="10">
        <v>45741</v>
      </c>
      <c r="G183" s="11">
        <v>0.60416666666666663</v>
      </c>
      <c r="H183" s="4" t="s">
        <v>4659</v>
      </c>
      <c r="I183" s="4" t="s">
        <v>6441</v>
      </c>
      <c r="J183" s="4" t="s">
        <v>6442</v>
      </c>
      <c r="K183" s="4" t="s">
        <v>6443</v>
      </c>
      <c r="L183" s="4" t="s">
        <v>6444</v>
      </c>
      <c r="M183" s="4" t="s">
        <v>46</v>
      </c>
      <c r="N183" s="4"/>
      <c r="O183" s="4" t="s">
        <v>47</v>
      </c>
      <c r="P183" s="4" t="s">
        <v>48</v>
      </c>
      <c r="Q183" s="4">
        <v>0</v>
      </c>
      <c r="R183" s="4" t="b">
        <v>0</v>
      </c>
      <c r="S183" s="4" t="s">
        <v>49</v>
      </c>
      <c r="T183" s="4" t="s">
        <v>50</v>
      </c>
      <c r="U183" s="4" t="s">
        <v>80</v>
      </c>
      <c r="V183" s="4" t="s">
        <v>63</v>
      </c>
      <c r="W183" s="4" t="s">
        <v>108</v>
      </c>
      <c r="X183" s="4" t="s">
        <v>54</v>
      </c>
      <c r="Y183" s="4"/>
      <c r="Z183" s="12">
        <v>0</v>
      </c>
      <c r="AA183" s="13" t="s">
        <v>9146</v>
      </c>
      <c r="AB183" s="13" t="s">
        <v>9147</v>
      </c>
      <c r="AC183" s="14" t="s">
        <v>9139</v>
      </c>
      <c r="AD183" s="14" t="s">
        <v>9140</v>
      </c>
      <c r="AE183" s="14" t="s">
        <v>9140</v>
      </c>
      <c r="AF183" s="14" t="s">
        <v>63</v>
      </c>
      <c r="AG183" s="14" t="s">
        <v>54</v>
      </c>
      <c r="AH183" s="15" t="s">
        <v>9220</v>
      </c>
      <c r="AI183" s="15" t="s">
        <v>9142</v>
      </c>
      <c r="AJ183" s="15" t="s">
        <v>9143</v>
      </c>
      <c r="AK183" s="15" t="s">
        <v>9221</v>
      </c>
      <c r="AL183" s="15" t="s">
        <v>9228</v>
      </c>
      <c r="AM183" s="16" t="s">
        <v>9221</v>
      </c>
      <c r="AN183" s="16" t="s">
        <v>9229</v>
      </c>
    </row>
    <row r="184" spans="1:40" x14ac:dyDescent="0.25">
      <c r="A184" s="4" t="s">
        <v>4812</v>
      </c>
      <c r="B184" s="4"/>
      <c r="C184" s="4" t="s">
        <v>39</v>
      </c>
      <c r="D184" s="4" t="s">
        <v>4813</v>
      </c>
      <c r="E184" s="4" t="s">
        <v>4814</v>
      </c>
      <c r="F184" s="10">
        <v>45741</v>
      </c>
      <c r="G184" s="11">
        <v>0.57638888888888884</v>
      </c>
      <c r="H184" s="4" t="s">
        <v>4019</v>
      </c>
      <c r="I184" s="4" t="s">
        <v>4804</v>
      </c>
      <c r="J184" s="4" t="s">
        <v>756</v>
      </c>
      <c r="K184" s="4" t="s">
        <v>4815</v>
      </c>
      <c r="L184" s="4" t="s">
        <v>4816</v>
      </c>
      <c r="M184" s="4" t="s">
        <v>46</v>
      </c>
      <c r="N184" s="4"/>
      <c r="O184" s="4" t="s">
        <v>47</v>
      </c>
      <c r="P184" s="4" t="s">
        <v>48</v>
      </c>
      <c r="Q184" s="4">
        <v>0</v>
      </c>
      <c r="R184" s="4" t="b">
        <v>0</v>
      </c>
      <c r="S184" s="4" t="s">
        <v>49</v>
      </c>
      <c r="T184" s="4" t="s">
        <v>70</v>
      </c>
      <c r="U184" s="4" t="s">
        <v>71</v>
      </c>
      <c r="V184" s="4" t="s">
        <v>63</v>
      </c>
      <c r="W184" s="4" t="s">
        <v>312</v>
      </c>
      <c r="X184" s="4" t="s">
        <v>54</v>
      </c>
      <c r="Y184" s="4"/>
      <c r="Z184" s="12">
        <v>0</v>
      </c>
      <c r="AA184" s="13" t="s">
        <v>9146</v>
      </c>
      <c r="AB184" s="13" t="s">
        <v>9147</v>
      </c>
      <c r="AC184" s="14" t="s">
        <v>9139</v>
      </c>
      <c r="AD184" s="14" t="s">
        <v>9140</v>
      </c>
      <c r="AE184" s="14" t="s">
        <v>9140</v>
      </c>
      <c r="AF184" s="14" t="s">
        <v>63</v>
      </c>
      <c r="AG184" s="14" t="s">
        <v>54</v>
      </c>
      <c r="AH184" s="15" t="s">
        <v>9220</v>
      </c>
      <c r="AI184" s="15" t="s">
        <v>9175</v>
      </c>
      <c r="AJ184" s="15" t="s">
        <v>9143</v>
      </c>
      <c r="AK184" s="15" t="s">
        <v>9221</v>
      </c>
      <c r="AL184" s="15" t="s">
        <v>9222</v>
      </c>
      <c r="AM184" s="16" t="s">
        <v>9221</v>
      </c>
      <c r="AN184" s="16" t="s">
        <v>9223</v>
      </c>
    </row>
    <row r="185" spans="1:40" x14ac:dyDescent="0.25">
      <c r="A185" s="4" t="s">
        <v>848</v>
      </c>
      <c r="B185" s="4"/>
      <c r="C185" s="4" t="s">
        <v>39</v>
      </c>
      <c r="D185" s="4" t="s">
        <v>849</v>
      </c>
      <c r="E185" s="4" t="s">
        <v>850</v>
      </c>
      <c r="F185" s="10">
        <v>45741</v>
      </c>
      <c r="G185" s="11">
        <v>0.48958333333333331</v>
      </c>
      <c r="H185" s="4" t="s">
        <v>463</v>
      </c>
      <c r="I185" s="4">
        <v>2029</v>
      </c>
      <c r="J185" s="4" t="s">
        <v>845</v>
      </c>
      <c r="K185" s="4" t="s">
        <v>851</v>
      </c>
      <c r="L185" s="4" t="s">
        <v>852</v>
      </c>
      <c r="M185" s="4" t="s">
        <v>46</v>
      </c>
      <c r="N185" s="4"/>
      <c r="O185" s="4" t="s">
        <v>47</v>
      </c>
      <c r="P185" s="4" t="s">
        <v>48</v>
      </c>
      <c r="Q185" s="4">
        <v>0</v>
      </c>
      <c r="R185" s="4" t="b">
        <v>0</v>
      </c>
      <c r="S185" s="4" t="s">
        <v>61</v>
      </c>
      <c r="T185" s="4" t="s">
        <v>50</v>
      </c>
      <c r="U185" s="4" t="s">
        <v>51</v>
      </c>
      <c r="V185" s="4" t="s">
        <v>63</v>
      </c>
      <c r="W185" s="4" t="s">
        <v>108</v>
      </c>
      <c r="X185" s="4" t="s">
        <v>54</v>
      </c>
      <c r="Y185" s="4"/>
      <c r="Z185" s="12">
        <v>0</v>
      </c>
      <c r="AA185" s="13" t="s">
        <v>9146</v>
      </c>
      <c r="AB185" s="13" t="s">
        <v>9147</v>
      </c>
      <c r="AC185" s="14" t="s">
        <v>9148</v>
      </c>
      <c r="AD185" s="14" t="s">
        <v>9140</v>
      </c>
      <c r="AE185" s="14" t="s">
        <v>9140</v>
      </c>
      <c r="AF185" s="14" t="s">
        <v>63</v>
      </c>
      <c r="AG185" s="14" t="s">
        <v>54</v>
      </c>
      <c r="AH185" s="15" t="s">
        <v>9141</v>
      </c>
      <c r="AI185" s="15" t="s">
        <v>9175</v>
      </c>
      <c r="AJ185" s="15" t="s">
        <v>9143</v>
      </c>
      <c r="AK185" s="15" t="s">
        <v>9141</v>
      </c>
      <c r="AL185" s="15" t="s">
        <v>9177</v>
      </c>
      <c r="AM185" s="16" t="s">
        <v>9141</v>
      </c>
      <c r="AN185" s="16" t="s">
        <v>9178</v>
      </c>
    </row>
    <row r="186" spans="1:40" x14ac:dyDescent="0.25">
      <c r="A186" s="4" t="s">
        <v>1281</v>
      </c>
      <c r="B186" s="4" t="s">
        <v>1282</v>
      </c>
      <c r="C186" s="4" t="s">
        <v>39</v>
      </c>
      <c r="D186" s="4" t="s">
        <v>1283</v>
      </c>
      <c r="E186" s="4" t="s">
        <v>1284</v>
      </c>
      <c r="F186" s="10">
        <v>45740</v>
      </c>
      <c r="G186" s="11">
        <v>0.51041666666666663</v>
      </c>
      <c r="H186" s="4" t="s">
        <v>1155</v>
      </c>
      <c r="I186" s="4">
        <v>4044</v>
      </c>
      <c r="J186" s="4" t="s">
        <v>1285</v>
      </c>
      <c r="K186" s="4" t="s">
        <v>455</v>
      </c>
      <c r="L186" s="4" t="s">
        <v>1286</v>
      </c>
      <c r="M186" s="4" t="s">
        <v>46</v>
      </c>
      <c r="N186" s="4"/>
      <c r="O186" s="4" t="s">
        <v>47</v>
      </c>
      <c r="P186" s="4" t="s">
        <v>48</v>
      </c>
      <c r="Q186" s="4">
        <v>0</v>
      </c>
      <c r="R186" s="4" t="b">
        <v>0</v>
      </c>
      <c r="S186" s="4" t="s">
        <v>61</v>
      </c>
      <c r="T186" s="4" t="s">
        <v>115</v>
      </c>
      <c r="U186" s="4" t="s">
        <v>148</v>
      </c>
      <c r="V186" s="4" t="s">
        <v>52</v>
      </c>
      <c r="W186" s="4" t="s">
        <v>53</v>
      </c>
      <c r="X186" s="4" t="s">
        <v>54</v>
      </c>
      <c r="Y186" s="4"/>
      <c r="Z186" s="12">
        <v>0</v>
      </c>
      <c r="AA186" s="13" t="s">
        <v>9146</v>
      </c>
      <c r="AB186" s="13" t="s">
        <v>9147</v>
      </c>
      <c r="AC186" s="14" t="s">
        <v>9148</v>
      </c>
      <c r="AD186" s="14" t="s">
        <v>9140</v>
      </c>
      <c r="AE186" s="14" t="s">
        <v>9140</v>
      </c>
      <c r="AF186" s="14" t="s">
        <v>52</v>
      </c>
      <c r="AG186" s="14" t="s">
        <v>54</v>
      </c>
      <c r="AH186" s="15" t="s">
        <v>9141</v>
      </c>
      <c r="AI186" s="15" t="s">
        <v>9187</v>
      </c>
      <c r="AJ186" s="15" t="s">
        <v>9143</v>
      </c>
      <c r="AK186" s="15" t="s">
        <v>9141</v>
      </c>
      <c r="AL186" s="15" t="s">
        <v>9144</v>
      </c>
      <c r="AM186" s="16" t="s">
        <v>9141</v>
      </c>
      <c r="AN186" s="16" t="s">
        <v>9145</v>
      </c>
    </row>
    <row r="187" spans="1:40" x14ac:dyDescent="0.25">
      <c r="A187" s="4" t="s">
        <v>6070</v>
      </c>
      <c r="B187" s="4"/>
      <c r="C187" s="4" t="s">
        <v>39</v>
      </c>
      <c r="D187" s="4" t="s">
        <v>6071</v>
      </c>
      <c r="E187" s="4" t="s">
        <v>6072</v>
      </c>
      <c r="F187" s="10">
        <v>45740</v>
      </c>
      <c r="G187" s="11">
        <v>0.82361111111111107</v>
      </c>
      <c r="H187" s="4" t="s">
        <v>5666</v>
      </c>
      <c r="I187" s="4" t="s">
        <v>6073</v>
      </c>
      <c r="J187" s="4" t="s">
        <v>3608</v>
      </c>
      <c r="K187" s="4" t="s">
        <v>6074</v>
      </c>
      <c r="L187" s="4" t="s">
        <v>6075</v>
      </c>
      <c r="M187" s="4" t="s">
        <v>46</v>
      </c>
      <c r="N187" s="4"/>
      <c r="O187" s="4" t="s">
        <v>47</v>
      </c>
      <c r="P187" s="4" t="s">
        <v>60</v>
      </c>
      <c r="Q187" s="4">
        <v>1</v>
      </c>
      <c r="R187" s="4" t="b">
        <v>0</v>
      </c>
      <c r="S187" s="4" t="s">
        <v>61</v>
      </c>
      <c r="T187" s="4" t="s">
        <v>50</v>
      </c>
      <c r="U187" s="4" t="s">
        <v>90</v>
      </c>
      <c r="V187" s="4" t="s">
        <v>63</v>
      </c>
      <c r="W187" s="4" t="s">
        <v>108</v>
      </c>
      <c r="X187" s="4" t="s">
        <v>54</v>
      </c>
      <c r="Y187" s="4"/>
      <c r="Z187" s="12">
        <v>0</v>
      </c>
      <c r="AA187" s="13" t="s">
        <v>9146</v>
      </c>
      <c r="AB187" s="13" t="s">
        <v>9147</v>
      </c>
      <c r="AC187" s="14" t="s">
        <v>9148</v>
      </c>
      <c r="AD187" s="14" t="s">
        <v>9140</v>
      </c>
      <c r="AE187" s="14" t="s">
        <v>9140</v>
      </c>
      <c r="AF187" s="14" t="s">
        <v>63</v>
      </c>
      <c r="AG187" s="14" t="s">
        <v>54</v>
      </c>
      <c r="AH187" s="15" t="s">
        <v>9220</v>
      </c>
      <c r="AI187" s="15" t="s">
        <v>9199</v>
      </c>
      <c r="AJ187" s="15" t="s">
        <v>9143</v>
      </c>
      <c r="AK187" s="15" t="s">
        <v>9221</v>
      </c>
      <c r="AL187" s="15" t="s">
        <v>9199</v>
      </c>
      <c r="AM187" s="16" t="s">
        <v>9221</v>
      </c>
      <c r="AN187" s="16" t="s">
        <v>9238</v>
      </c>
    </row>
    <row r="188" spans="1:40" x14ac:dyDescent="0.25">
      <c r="A188" s="4" t="s">
        <v>8851</v>
      </c>
      <c r="B188" s="4"/>
      <c r="C188" s="4" t="s">
        <v>39</v>
      </c>
      <c r="D188" s="4" t="s">
        <v>8852</v>
      </c>
      <c r="E188" s="4" t="s">
        <v>8853</v>
      </c>
      <c r="F188" s="10">
        <v>45740</v>
      </c>
      <c r="G188" s="11">
        <v>0.34513888888888888</v>
      </c>
      <c r="H188" s="4" t="s">
        <v>4019</v>
      </c>
      <c r="I188" s="4" t="s">
        <v>8854</v>
      </c>
      <c r="J188" s="4" t="s">
        <v>8855</v>
      </c>
      <c r="K188" s="4" t="s">
        <v>8856</v>
      </c>
      <c r="L188" s="4" t="s">
        <v>8857</v>
      </c>
      <c r="M188" s="4" t="s">
        <v>46</v>
      </c>
      <c r="N188" s="4"/>
      <c r="O188" s="4" t="s">
        <v>47</v>
      </c>
      <c r="P188" s="4" t="s">
        <v>48</v>
      </c>
      <c r="Q188" s="4">
        <v>0</v>
      </c>
      <c r="R188" s="4" t="b">
        <v>0</v>
      </c>
      <c r="S188" s="4" t="s">
        <v>61</v>
      </c>
      <c r="T188" s="4" t="s">
        <v>50</v>
      </c>
      <c r="U188" s="4" t="s">
        <v>90</v>
      </c>
      <c r="V188" s="4" t="s">
        <v>63</v>
      </c>
      <c r="W188" s="4" t="s">
        <v>784</v>
      </c>
      <c r="X188" s="4" t="s">
        <v>54</v>
      </c>
      <c r="Y188" s="4"/>
      <c r="Z188" s="12">
        <v>0</v>
      </c>
      <c r="AA188" s="13" t="s">
        <v>9146</v>
      </c>
      <c r="AB188" s="13" t="s">
        <v>9147</v>
      </c>
      <c r="AC188" s="14" t="s">
        <v>9148</v>
      </c>
      <c r="AD188" s="14" t="s">
        <v>9140</v>
      </c>
      <c r="AE188" s="14" t="s">
        <v>9140</v>
      </c>
      <c r="AF188" s="14" t="s">
        <v>63</v>
      </c>
      <c r="AG188" s="14" t="s">
        <v>54</v>
      </c>
      <c r="AH188" s="15" t="s">
        <v>9220</v>
      </c>
      <c r="AI188" s="15" t="s">
        <v>9175</v>
      </c>
      <c r="AJ188" s="15" t="s">
        <v>9183</v>
      </c>
      <c r="AK188" s="15" t="s">
        <v>9239</v>
      </c>
      <c r="AL188" s="15" t="s">
        <v>9240</v>
      </c>
      <c r="AM188" s="16" t="s">
        <v>9186</v>
      </c>
      <c r="AN188" s="16" t="s">
        <v>9186</v>
      </c>
    </row>
    <row r="189" spans="1:40" x14ac:dyDescent="0.25">
      <c r="A189" s="4" t="s">
        <v>8021</v>
      </c>
      <c r="B189" s="4"/>
      <c r="C189" s="4" t="s">
        <v>39</v>
      </c>
      <c r="D189" s="4" t="s">
        <v>8022</v>
      </c>
      <c r="E189" s="4" t="s">
        <v>8023</v>
      </c>
      <c r="F189" s="10">
        <v>45740</v>
      </c>
      <c r="G189" s="11">
        <v>0.64236111111111116</v>
      </c>
      <c r="H189" s="4" t="s">
        <v>4910</v>
      </c>
      <c r="I189" s="4" t="s">
        <v>8017</v>
      </c>
      <c r="J189" s="4" t="s">
        <v>8018</v>
      </c>
      <c r="K189" s="4" t="s">
        <v>8024</v>
      </c>
      <c r="L189" s="4" t="s">
        <v>8025</v>
      </c>
      <c r="M189" s="4" t="s">
        <v>46</v>
      </c>
      <c r="N189" s="4"/>
      <c r="O189" s="4" t="s">
        <v>47</v>
      </c>
      <c r="P189" s="4" t="s">
        <v>48</v>
      </c>
      <c r="Q189" s="4">
        <v>0</v>
      </c>
      <c r="R189" s="4" t="b">
        <v>0</v>
      </c>
      <c r="S189" s="4" t="s">
        <v>61</v>
      </c>
      <c r="T189" s="4" t="s">
        <v>115</v>
      </c>
      <c r="U189" s="4" t="s">
        <v>71</v>
      </c>
      <c r="V189" s="4" t="s">
        <v>52</v>
      </c>
      <c r="W189" s="4" t="s">
        <v>53</v>
      </c>
      <c r="X189" s="4" t="s">
        <v>54</v>
      </c>
      <c r="Y189" s="4" t="s">
        <v>176</v>
      </c>
      <c r="Z189" s="12">
        <v>0</v>
      </c>
      <c r="AA189" s="13" t="s">
        <v>9146</v>
      </c>
      <c r="AB189" s="13" t="s">
        <v>9147</v>
      </c>
      <c r="AC189" s="14" t="s">
        <v>9148</v>
      </c>
      <c r="AD189" s="14" t="s">
        <v>9140</v>
      </c>
      <c r="AE189" s="14" t="s">
        <v>9140</v>
      </c>
      <c r="AF189" s="14" t="s">
        <v>52</v>
      </c>
      <c r="AG189" s="14" t="s">
        <v>54</v>
      </c>
      <c r="AH189" s="15" t="s">
        <v>9220</v>
      </c>
      <c r="AI189" s="15" t="s">
        <v>9191</v>
      </c>
      <c r="AJ189" s="15" t="s">
        <v>9143</v>
      </c>
      <c r="AK189" s="15" t="s">
        <v>9221</v>
      </c>
      <c r="AL189" s="15" t="s">
        <v>9234</v>
      </c>
      <c r="AM189" s="16" t="s">
        <v>9221</v>
      </c>
      <c r="AN189" s="16" t="s">
        <v>9235</v>
      </c>
    </row>
    <row r="190" spans="1:40" x14ac:dyDescent="0.25">
      <c r="A190" s="4" t="s">
        <v>3209</v>
      </c>
      <c r="B190" s="4" t="s">
        <v>3210</v>
      </c>
      <c r="C190" s="4" t="s">
        <v>39</v>
      </c>
      <c r="D190" s="4" t="s">
        <v>3211</v>
      </c>
      <c r="E190" s="4" t="s">
        <v>3212</v>
      </c>
      <c r="F190" s="10">
        <v>45739</v>
      </c>
      <c r="G190" s="11">
        <v>0.29166666666666669</v>
      </c>
      <c r="H190" s="4" t="s">
        <v>1992</v>
      </c>
      <c r="I190" s="4" t="s">
        <v>3213</v>
      </c>
      <c r="J190" s="4" t="s">
        <v>1742</v>
      </c>
      <c r="K190" s="4" t="s">
        <v>175</v>
      </c>
      <c r="L190" s="4" t="s">
        <v>3214</v>
      </c>
      <c r="M190" s="4" t="s">
        <v>28</v>
      </c>
      <c r="N190" s="4" t="s">
        <v>183</v>
      </c>
      <c r="O190" s="4" t="s">
        <v>191</v>
      </c>
      <c r="P190" s="4" t="s">
        <v>60</v>
      </c>
      <c r="Q190" s="4">
        <v>0</v>
      </c>
      <c r="R190" s="4" t="b">
        <v>0</v>
      </c>
      <c r="S190" s="4" t="s">
        <v>114</v>
      </c>
      <c r="T190" s="4" t="s">
        <v>115</v>
      </c>
      <c r="U190" s="4" t="s">
        <v>175</v>
      </c>
      <c r="V190" s="4" t="s">
        <v>52</v>
      </c>
      <c r="W190" s="4" t="s">
        <v>53</v>
      </c>
      <c r="X190" s="4" t="s">
        <v>54</v>
      </c>
      <c r="Y190" s="4" t="s">
        <v>176</v>
      </c>
      <c r="Z190" s="12" t="s">
        <v>60</v>
      </c>
      <c r="AA190" s="13" t="s">
        <v>9146</v>
      </c>
      <c r="AB190" s="13" t="s">
        <v>9147</v>
      </c>
      <c r="AC190" s="14" t="s">
        <v>9157</v>
      </c>
      <c r="AD190" s="14" t="s">
        <v>28</v>
      </c>
      <c r="AE190" s="14" t="s">
        <v>183</v>
      </c>
      <c r="AF190" s="14" t="s">
        <v>52</v>
      </c>
      <c r="AG190" s="14" t="s">
        <v>54</v>
      </c>
      <c r="AH190" s="15" t="s">
        <v>9194</v>
      </c>
      <c r="AI190" s="15" t="s">
        <v>9191</v>
      </c>
      <c r="AJ190" s="15" t="s">
        <v>9143</v>
      </c>
      <c r="AK190" s="15" t="s">
        <v>9194</v>
      </c>
      <c r="AL190" s="15" t="s">
        <v>9201</v>
      </c>
      <c r="AM190" s="16" t="s">
        <v>9194</v>
      </c>
      <c r="AN190" s="16" t="s">
        <v>9202</v>
      </c>
    </row>
    <row r="191" spans="1:40" x14ac:dyDescent="0.25">
      <c r="A191" s="4" t="s">
        <v>3215</v>
      </c>
      <c r="B191" s="4"/>
      <c r="C191" s="4" t="s">
        <v>39</v>
      </c>
      <c r="D191" s="4" t="s">
        <v>3211</v>
      </c>
      <c r="E191" s="4" t="s">
        <v>3212</v>
      </c>
      <c r="F191" s="10">
        <v>45738</v>
      </c>
      <c r="G191" s="11">
        <v>0.57499999999999996</v>
      </c>
      <c r="H191" s="4" t="s">
        <v>1992</v>
      </c>
      <c r="I191" s="4" t="s">
        <v>3213</v>
      </c>
      <c r="J191" s="4" t="s">
        <v>1742</v>
      </c>
      <c r="K191" s="4" t="s">
        <v>3216</v>
      </c>
      <c r="L191" s="4" t="s">
        <v>3217</v>
      </c>
      <c r="M191" s="4" t="s">
        <v>46</v>
      </c>
      <c r="N191" s="4"/>
      <c r="O191" s="4" t="s">
        <v>47</v>
      </c>
      <c r="P191" s="4" t="s">
        <v>48</v>
      </c>
      <c r="Q191" s="4">
        <v>0</v>
      </c>
      <c r="R191" s="4" t="b">
        <v>0</v>
      </c>
      <c r="S191" s="4" t="s">
        <v>61</v>
      </c>
      <c r="T191" s="4" t="s">
        <v>50</v>
      </c>
      <c r="U191" s="4" t="s">
        <v>71</v>
      </c>
      <c r="V191" s="4" t="s">
        <v>63</v>
      </c>
      <c r="W191" s="4" t="s">
        <v>108</v>
      </c>
      <c r="X191" s="4" t="s">
        <v>54</v>
      </c>
      <c r="Y191" s="4"/>
      <c r="Z191" s="12">
        <v>0</v>
      </c>
      <c r="AA191" s="13" t="s">
        <v>9146</v>
      </c>
      <c r="AB191" s="13" t="s">
        <v>9147</v>
      </c>
      <c r="AC191" s="14" t="s">
        <v>9148</v>
      </c>
      <c r="AD191" s="14" t="s">
        <v>9140</v>
      </c>
      <c r="AE191" s="14" t="s">
        <v>9140</v>
      </c>
      <c r="AF191" s="14" t="s">
        <v>63</v>
      </c>
      <c r="AG191" s="14" t="s">
        <v>54</v>
      </c>
      <c r="AH191" s="15" t="s">
        <v>9194</v>
      </c>
      <c r="AI191" s="15" t="s">
        <v>9191</v>
      </c>
      <c r="AJ191" s="15" t="s">
        <v>9143</v>
      </c>
      <c r="AK191" s="15" t="s">
        <v>9194</v>
      </c>
      <c r="AL191" s="15" t="s">
        <v>9201</v>
      </c>
      <c r="AM191" s="16" t="s">
        <v>9194</v>
      </c>
      <c r="AN191" s="16" t="s">
        <v>9202</v>
      </c>
    </row>
    <row r="192" spans="1:40" x14ac:dyDescent="0.25">
      <c r="A192" s="4" t="s">
        <v>8688</v>
      </c>
      <c r="B192" s="4">
        <v>7836604</v>
      </c>
      <c r="C192" s="4" t="s">
        <v>39</v>
      </c>
      <c r="D192" s="4" t="s">
        <v>8689</v>
      </c>
      <c r="E192" s="4" t="s">
        <v>8690</v>
      </c>
      <c r="F192" s="10">
        <v>45738</v>
      </c>
      <c r="G192" s="11">
        <v>0.68055555555555558</v>
      </c>
      <c r="H192" s="4" t="s">
        <v>4516</v>
      </c>
      <c r="I192" s="4" t="s">
        <v>8691</v>
      </c>
      <c r="J192" s="4" t="s">
        <v>3943</v>
      </c>
      <c r="K192" s="4" t="s">
        <v>8692</v>
      </c>
      <c r="L192" s="4" t="s">
        <v>8693</v>
      </c>
      <c r="M192" s="4" t="s">
        <v>28</v>
      </c>
      <c r="N192" s="4" t="s">
        <v>183</v>
      </c>
      <c r="O192" s="4" t="s">
        <v>191</v>
      </c>
      <c r="P192" s="4" t="s">
        <v>48</v>
      </c>
      <c r="Q192" s="4">
        <v>0</v>
      </c>
      <c r="R192" s="4" t="b">
        <v>0</v>
      </c>
      <c r="S192" s="4" t="s">
        <v>184</v>
      </c>
      <c r="T192" s="4" t="s">
        <v>70</v>
      </c>
      <c r="U192" s="4" t="s">
        <v>71</v>
      </c>
      <c r="V192" s="4" t="s">
        <v>63</v>
      </c>
      <c r="W192" s="4" t="s">
        <v>312</v>
      </c>
      <c r="X192" s="4" t="s">
        <v>54</v>
      </c>
      <c r="Y192" s="4"/>
      <c r="Z192" s="12" t="s">
        <v>48</v>
      </c>
      <c r="AA192" s="13" t="s">
        <v>9146</v>
      </c>
      <c r="AB192" s="13" t="s">
        <v>9147</v>
      </c>
      <c r="AC192" s="14" t="s">
        <v>9166</v>
      </c>
      <c r="AD192" s="14" t="s">
        <v>28</v>
      </c>
      <c r="AE192" s="14" t="s">
        <v>183</v>
      </c>
      <c r="AF192" s="14" t="s">
        <v>63</v>
      </c>
      <c r="AG192" s="14" t="s">
        <v>54</v>
      </c>
      <c r="AH192" s="15" t="s">
        <v>9220</v>
      </c>
      <c r="AI192" s="15" t="s">
        <v>9188</v>
      </c>
      <c r="AJ192" s="15" t="s">
        <v>9143</v>
      </c>
      <c r="AK192" s="15" t="s">
        <v>9221</v>
      </c>
      <c r="AL192" s="15" t="s">
        <v>9230</v>
      </c>
      <c r="AM192" s="16" t="s">
        <v>9221</v>
      </c>
      <c r="AN192" s="16" t="s">
        <v>9231</v>
      </c>
    </row>
    <row r="193" spans="1:40" x14ac:dyDescent="0.25">
      <c r="A193" s="4" t="s">
        <v>8182</v>
      </c>
      <c r="B193" s="4"/>
      <c r="C193" s="4" t="s">
        <v>39</v>
      </c>
      <c r="D193" s="4" t="s">
        <v>8183</v>
      </c>
      <c r="E193" s="4" t="s">
        <v>8184</v>
      </c>
      <c r="F193" s="10">
        <v>45738</v>
      </c>
      <c r="G193" s="11">
        <v>0.58680555555555558</v>
      </c>
      <c r="H193" s="4" t="s">
        <v>4516</v>
      </c>
      <c r="I193" s="4" t="s">
        <v>8179</v>
      </c>
      <c r="J193" s="4" t="s">
        <v>8180</v>
      </c>
      <c r="K193" s="4" t="s">
        <v>8185</v>
      </c>
      <c r="L193" s="4" t="s">
        <v>8186</v>
      </c>
      <c r="M193" s="4" t="s">
        <v>46</v>
      </c>
      <c r="N193" s="4"/>
      <c r="O193" s="4" t="s">
        <v>47</v>
      </c>
      <c r="P193" s="4" t="s">
        <v>48</v>
      </c>
      <c r="Q193" s="4">
        <v>0</v>
      </c>
      <c r="R193" s="4" t="b">
        <v>0</v>
      </c>
      <c r="S193" s="4" t="s">
        <v>49</v>
      </c>
      <c r="T193" s="4" t="s">
        <v>50</v>
      </c>
      <c r="U193" s="4" t="s">
        <v>600</v>
      </c>
      <c r="V193" s="4" t="s">
        <v>63</v>
      </c>
      <c r="W193" s="4" t="s">
        <v>108</v>
      </c>
      <c r="X193" s="4" t="s">
        <v>54</v>
      </c>
      <c r="Y193" s="4"/>
      <c r="Z193" s="12">
        <v>0</v>
      </c>
      <c r="AA193" s="13" t="s">
        <v>9146</v>
      </c>
      <c r="AB193" s="13" t="s">
        <v>9147</v>
      </c>
      <c r="AC193" s="14" t="s">
        <v>9139</v>
      </c>
      <c r="AD193" s="14" t="s">
        <v>9140</v>
      </c>
      <c r="AE193" s="14" t="s">
        <v>9140</v>
      </c>
      <c r="AF193" s="14" t="s">
        <v>63</v>
      </c>
      <c r="AG193" s="14" t="s">
        <v>54</v>
      </c>
      <c r="AH193" s="15" t="s">
        <v>9220</v>
      </c>
      <c r="AI193" s="15" t="s">
        <v>9188</v>
      </c>
      <c r="AJ193" s="15" t="s">
        <v>9143</v>
      </c>
      <c r="AK193" s="15" t="s">
        <v>9221</v>
      </c>
      <c r="AL193" s="15" t="s">
        <v>9232</v>
      </c>
      <c r="AM193" s="16" t="s">
        <v>9221</v>
      </c>
      <c r="AN193" s="16" t="s">
        <v>9233</v>
      </c>
    </row>
    <row r="194" spans="1:40" x14ac:dyDescent="0.25">
      <c r="A194" s="4" t="s">
        <v>5916</v>
      </c>
      <c r="B194" s="4" t="s">
        <v>5917</v>
      </c>
      <c r="C194" s="4" t="s">
        <v>39</v>
      </c>
      <c r="D194" s="4" t="s">
        <v>3823</v>
      </c>
      <c r="E194" s="4" t="s">
        <v>3824</v>
      </c>
      <c r="F194" s="10">
        <v>45737</v>
      </c>
      <c r="G194" s="11">
        <v>0.54166666666666663</v>
      </c>
      <c r="H194" s="4" t="s">
        <v>4242</v>
      </c>
      <c r="I194" s="4" t="s">
        <v>5918</v>
      </c>
      <c r="J194" s="4" t="s">
        <v>5919</v>
      </c>
      <c r="K194" s="4" t="s">
        <v>5920</v>
      </c>
      <c r="L194" s="4" t="s">
        <v>5921</v>
      </c>
      <c r="M194" s="4" t="s">
        <v>46</v>
      </c>
      <c r="N194" s="4"/>
      <c r="O194" s="4" t="s">
        <v>344</v>
      </c>
      <c r="P194" s="4" t="s">
        <v>60</v>
      </c>
      <c r="Q194" s="4">
        <v>2</v>
      </c>
      <c r="R194" s="4" t="b">
        <v>0</v>
      </c>
      <c r="S194" s="4" t="s">
        <v>49</v>
      </c>
      <c r="T194" s="4" t="s">
        <v>50</v>
      </c>
      <c r="U194" s="4" t="s">
        <v>71</v>
      </c>
      <c r="V194" s="4" t="s">
        <v>63</v>
      </c>
      <c r="W194" s="4" t="s">
        <v>312</v>
      </c>
      <c r="X194" s="4" t="s">
        <v>54</v>
      </c>
      <c r="Y194" s="4"/>
      <c r="Z194" s="12">
        <v>0</v>
      </c>
      <c r="AA194" s="13" t="s">
        <v>9146</v>
      </c>
      <c r="AB194" s="13" t="s">
        <v>9147</v>
      </c>
      <c r="AC194" s="14" t="s">
        <v>9139</v>
      </c>
      <c r="AD194" s="14" t="s">
        <v>9140</v>
      </c>
      <c r="AE194" s="14" t="s">
        <v>9140</v>
      </c>
      <c r="AF194" s="14" t="s">
        <v>63</v>
      </c>
      <c r="AG194" s="14" t="s">
        <v>54</v>
      </c>
      <c r="AH194" s="15" t="s">
        <v>9220</v>
      </c>
      <c r="AI194" s="15" t="s">
        <v>9187</v>
      </c>
      <c r="AJ194" s="15" t="s">
        <v>9143</v>
      </c>
      <c r="AK194" s="15" t="s">
        <v>9221</v>
      </c>
      <c r="AL194" s="15" t="s">
        <v>9226</v>
      </c>
      <c r="AM194" s="16" t="s">
        <v>9221</v>
      </c>
      <c r="AN194" s="16" t="s">
        <v>9227</v>
      </c>
    </row>
    <row r="195" spans="1:40" x14ac:dyDescent="0.25">
      <c r="A195" s="4" t="s">
        <v>4146</v>
      </c>
      <c r="B195" s="4"/>
      <c r="C195" s="4" t="s">
        <v>39</v>
      </c>
      <c r="D195" s="4" t="s">
        <v>4147</v>
      </c>
      <c r="E195" s="4" t="s">
        <v>4148</v>
      </c>
      <c r="F195" s="10">
        <v>45737</v>
      </c>
      <c r="G195" s="11">
        <v>0.52777777777777779</v>
      </c>
      <c r="H195" s="4" t="s">
        <v>4019</v>
      </c>
      <c r="I195" s="4" t="s">
        <v>4149</v>
      </c>
      <c r="J195" s="4" t="s">
        <v>559</v>
      </c>
      <c r="K195" s="4" t="s">
        <v>4150</v>
      </c>
      <c r="L195" s="4" t="s">
        <v>4151</v>
      </c>
      <c r="M195" s="4" t="s">
        <v>46</v>
      </c>
      <c r="N195" s="4"/>
      <c r="O195" s="4" t="s">
        <v>47</v>
      </c>
      <c r="P195" s="4" t="s">
        <v>48</v>
      </c>
      <c r="Q195" s="4">
        <v>0</v>
      </c>
      <c r="R195" s="4" t="b">
        <v>0</v>
      </c>
      <c r="S195" s="4" t="s">
        <v>61</v>
      </c>
      <c r="T195" s="4" t="s">
        <v>50</v>
      </c>
      <c r="U195" s="4" t="s">
        <v>116</v>
      </c>
      <c r="V195" s="4" t="s">
        <v>63</v>
      </c>
      <c r="W195" s="4" t="s">
        <v>198</v>
      </c>
      <c r="X195" s="4" t="s">
        <v>54</v>
      </c>
      <c r="Y195" s="4"/>
      <c r="Z195" s="12">
        <v>0</v>
      </c>
      <c r="AA195" s="13" t="s">
        <v>9146</v>
      </c>
      <c r="AB195" s="13" t="s">
        <v>9147</v>
      </c>
      <c r="AC195" s="14" t="s">
        <v>9148</v>
      </c>
      <c r="AD195" s="14" t="s">
        <v>9140</v>
      </c>
      <c r="AE195" s="14" t="s">
        <v>9140</v>
      </c>
      <c r="AF195" s="14" t="s">
        <v>63</v>
      </c>
      <c r="AG195" s="14" t="s">
        <v>54</v>
      </c>
      <c r="AH195" s="15" t="s">
        <v>9220</v>
      </c>
      <c r="AI195" s="15" t="s">
        <v>9175</v>
      </c>
      <c r="AJ195" s="15" t="s">
        <v>9143</v>
      </c>
      <c r="AK195" s="15" t="s">
        <v>9221</v>
      </c>
      <c r="AL195" s="15" t="s">
        <v>9224</v>
      </c>
      <c r="AM195" s="16" t="s">
        <v>9221</v>
      </c>
      <c r="AN195" s="16" t="s">
        <v>9225</v>
      </c>
    </row>
    <row r="196" spans="1:40" x14ac:dyDescent="0.25">
      <c r="A196" s="4" t="s">
        <v>8279</v>
      </c>
      <c r="B196" s="4"/>
      <c r="C196" s="4" t="s">
        <v>39</v>
      </c>
      <c r="D196" s="4" t="s">
        <v>8280</v>
      </c>
      <c r="E196" s="4" t="s">
        <v>8281</v>
      </c>
      <c r="F196" s="10">
        <v>45736</v>
      </c>
      <c r="G196" s="11">
        <v>0.47708333333333336</v>
      </c>
      <c r="H196" s="4" t="s">
        <v>4019</v>
      </c>
      <c r="I196" s="4" t="s">
        <v>8282</v>
      </c>
      <c r="J196" s="4" t="s">
        <v>8283</v>
      </c>
      <c r="K196" s="4" t="s">
        <v>8284</v>
      </c>
      <c r="L196" s="4" t="s">
        <v>8285</v>
      </c>
      <c r="M196" s="4" t="s">
        <v>46</v>
      </c>
      <c r="N196" s="4"/>
      <c r="O196" s="4" t="s">
        <v>191</v>
      </c>
      <c r="P196" s="4" t="s">
        <v>60</v>
      </c>
      <c r="Q196" s="4">
        <v>0</v>
      </c>
      <c r="R196" s="4" t="b">
        <v>0</v>
      </c>
      <c r="S196" s="4" t="s">
        <v>114</v>
      </c>
      <c r="T196" s="4" t="s">
        <v>115</v>
      </c>
      <c r="U196" s="4" t="s">
        <v>148</v>
      </c>
      <c r="V196" s="4" t="s">
        <v>52</v>
      </c>
      <c r="W196" s="4" t="s">
        <v>53</v>
      </c>
      <c r="X196" s="4" t="s">
        <v>54</v>
      </c>
      <c r="Y196" s="4"/>
      <c r="Z196" s="12">
        <v>0</v>
      </c>
      <c r="AA196" s="13" t="s">
        <v>9146</v>
      </c>
      <c r="AB196" s="13" t="s">
        <v>9147</v>
      </c>
      <c r="AC196" s="14" t="s">
        <v>9157</v>
      </c>
      <c r="AD196" s="14" t="s">
        <v>9140</v>
      </c>
      <c r="AE196" s="14" t="s">
        <v>9140</v>
      </c>
      <c r="AF196" s="14" t="s">
        <v>52</v>
      </c>
      <c r="AG196" s="14" t="s">
        <v>54</v>
      </c>
      <c r="AH196" s="15" t="s">
        <v>9220</v>
      </c>
      <c r="AI196" s="15" t="s">
        <v>9175</v>
      </c>
      <c r="AJ196" s="15" t="s">
        <v>9143</v>
      </c>
      <c r="AK196" s="15" t="s">
        <v>9221</v>
      </c>
      <c r="AL196" s="15" t="s">
        <v>9224</v>
      </c>
      <c r="AM196" s="16" t="s">
        <v>9221</v>
      </c>
      <c r="AN196" s="16" t="s">
        <v>9225</v>
      </c>
    </row>
    <row r="197" spans="1:40" x14ac:dyDescent="0.25">
      <c r="A197" s="4" t="s">
        <v>5124</v>
      </c>
      <c r="B197" s="4" t="s">
        <v>5125</v>
      </c>
      <c r="C197" s="4" t="s">
        <v>39</v>
      </c>
      <c r="D197" s="4" t="s">
        <v>5126</v>
      </c>
      <c r="E197" s="4" t="s">
        <v>5127</v>
      </c>
      <c r="F197" s="10">
        <v>45736</v>
      </c>
      <c r="G197" s="11">
        <v>0.55486111111111114</v>
      </c>
      <c r="H197" s="4" t="s">
        <v>4910</v>
      </c>
      <c r="I197" s="4" t="s">
        <v>5121</v>
      </c>
      <c r="J197" s="4" t="s">
        <v>1994</v>
      </c>
      <c r="K197" s="4" t="s">
        <v>5128</v>
      </c>
      <c r="L197" s="4" t="s">
        <v>5129</v>
      </c>
      <c r="M197" s="4" t="s">
        <v>28</v>
      </c>
      <c r="N197" s="4" t="s">
        <v>478</v>
      </c>
      <c r="O197" s="4" t="s">
        <v>344</v>
      </c>
      <c r="P197" s="4" t="s">
        <v>60</v>
      </c>
      <c r="Q197" s="4">
        <v>123</v>
      </c>
      <c r="R197" s="4" t="b">
        <v>0</v>
      </c>
      <c r="S197" s="4" t="s">
        <v>184</v>
      </c>
      <c r="T197" s="4" t="s">
        <v>4463</v>
      </c>
      <c r="U197" s="4" t="s">
        <v>175</v>
      </c>
      <c r="V197" s="4" t="s">
        <v>123</v>
      </c>
      <c r="W197" s="4" t="s">
        <v>124</v>
      </c>
      <c r="X197" s="4" t="s">
        <v>54</v>
      </c>
      <c r="Y197" s="4"/>
      <c r="Z197" s="12" t="s">
        <v>60</v>
      </c>
      <c r="AA197" s="13" t="s">
        <v>9146</v>
      </c>
      <c r="AB197" s="13" t="s">
        <v>9147</v>
      </c>
      <c r="AC197" s="14" t="s">
        <v>9166</v>
      </c>
      <c r="AD197" s="14" t="s">
        <v>28</v>
      </c>
      <c r="AE197" s="14" t="s">
        <v>478</v>
      </c>
      <c r="AF197" s="14" t="s">
        <v>123</v>
      </c>
      <c r="AG197" s="14" t="s">
        <v>54</v>
      </c>
      <c r="AH197" s="15" t="s">
        <v>9220</v>
      </c>
      <c r="AI197" s="15" t="s">
        <v>9191</v>
      </c>
      <c r="AJ197" s="15" t="s">
        <v>9143</v>
      </c>
      <c r="AK197" s="15" t="s">
        <v>9221</v>
      </c>
      <c r="AL197" s="15" t="s">
        <v>9236</v>
      </c>
      <c r="AM197" s="16" t="s">
        <v>9221</v>
      </c>
      <c r="AN197" s="16" t="s">
        <v>9237</v>
      </c>
    </row>
    <row r="198" spans="1:40" x14ac:dyDescent="0.25">
      <c r="A198" s="4" t="s">
        <v>5470</v>
      </c>
      <c r="B198" s="4">
        <v>7817802</v>
      </c>
      <c r="C198" s="4" t="s">
        <v>39</v>
      </c>
      <c r="D198" s="4" t="s">
        <v>5471</v>
      </c>
      <c r="E198" s="4" t="s">
        <v>5472</v>
      </c>
      <c r="F198" s="10">
        <v>45736</v>
      </c>
      <c r="G198" s="11">
        <v>0.47569444444444442</v>
      </c>
      <c r="H198" s="4" t="s">
        <v>4516</v>
      </c>
      <c r="I198" s="4" t="s">
        <v>5466</v>
      </c>
      <c r="J198" s="4" t="s">
        <v>5467</v>
      </c>
      <c r="K198" s="4" t="s">
        <v>5473</v>
      </c>
      <c r="L198" s="4" t="s">
        <v>5474</v>
      </c>
      <c r="M198" s="4" t="s">
        <v>28</v>
      </c>
      <c r="N198" s="4" t="s">
        <v>183</v>
      </c>
      <c r="O198" s="4" t="s">
        <v>191</v>
      </c>
      <c r="P198" s="4" t="s">
        <v>60</v>
      </c>
      <c r="Q198" s="4">
        <v>15</v>
      </c>
      <c r="R198" s="4" t="b">
        <v>0</v>
      </c>
      <c r="S198" s="4" t="s">
        <v>184</v>
      </c>
      <c r="T198" s="4" t="s">
        <v>115</v>
      </c>
      <c r="U198" s="4" t="s">
        <v>140</v>
      </c>
      <c r="V198" s="4" t="s">
        <v>123</v>
      </c>
      <c r="W198" s="4" t="s">
        <v>149</v>
      </c>
      <c r="X198" s="4" t="s">
        <v>54</v>
      </c>
      <c r="Y198" s="4"/>
      <c r="Z198" s="12" t="s">
        <v>60</v>
      </c>
      <c r="AA198" s="13" t="s">
        <v>9146</v>
      </c>
      <c r="AB198" s="13" t="s">
        <v>9147</v>
      </c>
      <c r="AC198" s="14" t="s">
        <v>9166</v>
      </c>
      <c r="AD198" s="14" t="s">
        <v>28</v>
      </c>
      <c r="AE198" s="14" t="s">
        <v>183</v>
      </c>
      <c r="AF198" s="14" t="s">
        <v>123</v>
      </c>
      <c r="AG198" s="14" t="s">
        <v>54</v>
      </c>
      <c r="AH198" s="15" t="s">
        <v>9220</v>
      </c>
      <c r="AI198" s="15" t="s">
        <v>9188</v>
      </c>
      <c r="AJ198" s="15" t="s">
        <v>9143</v>
      </c>
      <c r="AK198" s="15" t="s">
        <v>9221</v>
      </c>
      <c r="AL198" s="15" t="s">
        <v>9230</v>
      </c>
      <c r="AM198" s="16" t="s">
        <v>9221</v>
      </c>
      <c r="AN198" s="16" t="s">
        <v>9231</v>
      </c>
    </row>
    <row r="199" spans="1:40" x14ac:dyDescent="0.25">
      <c r="A199" s="4" t="s">
        <v>2173</v>
      </c>
      <c r="B199" s="4"/>
      <c r="C199" s="4" t="s">
        <v>39</v>
      </c>
      <c r="D199" s="4" t="s">
        <v>2174</v>
      </c>
      <c r="E199" s="4" t="s">
        <v>2175</v>
      </c>
      <c r="F199" s="10">
        <v>45736</v>
      </c>
      <c r="G199" s="11">
        <v>0.59236111111111112</v>
      </c>
      <c r="H199" s="4" t="s">
        <v>1939</v>
      </c>
      <c r="I199" s="4" t="s">
        <v>2176</v>
      </c>
      <c r="J199" s="4" t="s">
        <v>559</v>
      </c>
      <c r="K199" s="4" t="s">
        <v>2177</v>
      </c>
      <c r="L199" s="4" t="s">
        <v>2178</v>
      </c>
      <c r="M199" s="4" t="s">
        <v>46</v>
      </c>
      <c r="N199" s="4"/>
      <c r="O199" s="4" t="s">
        <v>47</v>
      </c>
      <c r="P199" s="4" t="s">
        <v>48</v>
      </c>
      <c r="Q199" s="4">
        <v>0</v>
      </c>
      <c r="R199" s="4" t="b">
        <v>0</v>
      </c>
      <c r="S199" s="4" t="s">
        <v>61</v>
      </c>
      <c r="T199" s="4" t="s">
        <v>50</v>
      </c>
      <c r="U199" s="4" t="s">
        <v>224</v>
      </c>
      <c r="V199" s="4" t="s">
        <v>72</v>
      </c>
      <c r="W199" s="4" t="s">
        <v>73</v>
      </c>
      <c r="X199" s="4" t="s">
        <v>54</v>
      </c>
      <c r="Y199" s="4"/>
      <c r="Z199" s="12">
        <v>0</v>
      </c>
      <c r="AA199" s="13" t="s">
        <v>9146</v>
      </c>
      <c r="AB199" s="13" t="s">
        <v>9147</v>
      </c>
      <c r="AC199" s="14" t="s">
        <v>9148</v>
      </c>
      <c r="AD199" s="14" t="s">
        <v>9140</v>
      </c>
      <c r="AE199" s="14" t="s">
        <v>9140</v>
      </c>
      <c r="AF199" s="14" t="s">
        <v>72</v>
      </c>
      <c r="AG199" s="14" t="s">
        <v>54</v>
      </c>
      <c r="AH199" s="15" t="s">
        <v>9194</v>
      </c>
      <c r="AI199" s="15" t="s">
        <v>9175</v>
      </c>
      <c r="AJ199" s="15" t="s">
        <v>9143</v>
      </c>
      <c r="AK199" s="15" t="s">
        <v>9194</v>
      </c>
      <c r="AL199" s="15" t="s">
        <v>9195</v>
      </c>
      <c r="AM199" s="16" t="s">
        <v>9194</v>
      </c>
      <c r="AN199" s="16" t="s">
        <v>9196</v>
      </c>
    </row>
    <row r="200" spans="1:40" x14ac:dyDescent="0.25">
      <c r="A200" s="4" t="s">
        <v>3419</v>
      </c>
      <c r="B200" s="4">
        <v>7815509</v>
      </c>
      <c r="C200" s="4" t="s">
        <v>39</v>
      </c>
      <c r="D200" s="4" t="s">
        <v>3420</v>
      </c>
      <c r="E200" s="4" t="s">
        <v>3421</v>
      </c>
      <c r="F200" s="10">
        <v>45735</v>
      </c>
      <c r="G200" s="11">
        <v>0.69791666666666663</v>
      </c>
      <c r="H200" s="4" t="s">
        <v>2095</v>
      </c>
      <c r="I200" s="4" t="s">
        <v>3415</v>
      </c>
      <c r="J200" s="4" t="s">
        <v>3416</v>
      </c>
      <c r="K200" s="4" t="s">
        <v>3422</v>
      </c>
      <c r="L200" s="4" t="s">
        <v>3423</v>
      </c>
      <c r="M200" s="4" t="s">
        <v>28</v>
      </c>
      <c r="N200" s="4" t="s">
        <v>478</v>
      </c>
      <c r="O200" s="4" t="s">
        <v>174</v>
      </c>
      <c r="P200" s="4" t="s">
        <v>48</v>
      </c>
      <c r="Q200" s="4">
        <v>9</v>
      </c>
      <c r="R200" s="4" t="b">
        <v>0</v>
      </c>
      <c r="S200" s="4" t="s">
        <v>49</v>
      </c>
      <c r="T200" s="4" t="s">
        <v>50</v>
      </c>
      <c r="U200" s="4" t="s">
        <v>51</v>
      </c>
      <c r="V200" s="4" t="s">
        <v>63</v>
      </c>
      <c r="W200" s="4" t="s">
        <v>108</v>
      </c>
      <c r="X200" s="4" t="s">
        <v>54</v>
      </c>
      <c r="Y200" s="4"/>
      <c r="Z200" s="12" t="s">
        <v>48</v>
      </c>
      <c r="AA200" s="13" t="s">
        <v>9146</v>
      </c>
      <c r="AB200" s="13" t="s">
        <v>9147</v>
      </c>
      <c r="AC200" s="14" t="s">
        <v>9139</v>
      </c>
      <c r="AD200" s="14" t="s">
        <v>28</v>
      </c>
      <c r="AE200" s="14" t="s">
        <v>478</v>
      </c>
      <c r="AF200" s="14" t="s">
        <v>63</v>
      </c>
      <c r="AG200" s="14" t="s">
        <v>54</v>
      </c>
      <c r="AH200" s="15" t="s">
        <v>9194</v>
      </c>
      <c r="AI200" s="15" t="s">
        <v>9188</v>
      </c>
      <c r="AJ200" s="15" t="s">
        <v>9143</v>
      </c>
      <c r="AK200" s="15" t="s">
        <v>9194</v>
      </c>
      <c r="AL200" s="15" t="s">
        <v>9211</v>
      </c>
      <c r="AM200" s="16" t="s">
        <v>9194</v>
      </c>
      <c r="AN200" s="16" t="s">
        <v>9212</v>
      </c>
    </row>
    <row r="201" spans="1:40" x14ac:dyDescent="0.25">
      <c r="A201" s="4" t="s">
        <v>612</v>
      </c>
      <c r="B201" s="4"/>
      <c r="C201" s="4" t="s">
        <v>39</v>
      </c>
      <c r="D201" s="4" t="s">
        <v>613</v>
      </c>
      <c r="E201" s="4" t="s">
        <v>614</v>
      </c>
      <c r="F201" s="10">
        <v>45735</v>
      </c>
      <c r="G201" s="11">
        <v>0.47916666666666669</v>
      </c>
      <c r="H201" s="4" t="s">
        <v>463</v>
      </c>
      <c r="I201" s="4">
        <v>2023</v>
      </c>
      <c r="J201" s="4" t="s">
        <v>615</v>
      </c>
      <c r="K201" s="4" t="s">
        <v>616</v>
      </c>
      <c r="L201" s="4" t="s">
        <v>617</v>
      </c>
      <c r="M201" s="4" t="s">
        <v>46</v>
      </c>
      <c r="N201" s="4"/>
      <c r="O201" s="4" t="s">
        <v>47</v>
      </c>
      <c r="P201" s="4" t="s">
        <v>48</v>
      </c>
      <c r="Q201" s="4">
        <v>0</v>
      </c>
      <c r="R201" s="4" t="b">
        <v>0</v>
      </c>
      <c r="S201" s="4" t="s">
        <v>49</v>
      </c>
      <c r="T201" s="4" t="s">
        <v>50</v>
      </c>
      <c r="U201" s="4" t="s">
        <v>618</v>
      </c>
      <c r="V201" s="4" t="s">
        <v>72</v>
      </c>
      <c r="W201" s="4" t="s">
        <v>73</v>
      </c>
      <c r="X201" s="4" t="s">
        <v>54</v>
      </c>
      <c r="Y201" s="4"/>
      <c r="Z201" s="12">
        <v>0</v>
      </c>
      <c r="AA201" s="13" t="s">
        <v>9146</v>
      </c>
      <c r="AB201" s="13" t="s">
        <v>9147</v>
      </c>
      <c r="AC201" s="14" t="s">
        <v>9139</v>
      </c>
      <c r="AD201" s="14" t="s">
        <v>9140</v>
      </c>
      <c r="AE201" s="14" t="s">
        <v>9140</v>
      </c>
      <c r="AF201" s="14" t="s">
        <v>72</v>
      </c>
      <c r="AG201" s="14" t="s">
        <v>54</v>
      </c>
      <c r="AH201" s="15" t="s">
        <v>9141</v>
      </c>
      <c r="AI201" s="15" t="s">
        <v>9175</v>
      </c>
      <c r="AJ201" s="15" t="s">
        <v>9143</v>
      </c>
      <c r="AK201" s="15" t="s">
        <v>9141</v>
      </c>
      <c r="AL201" s="15" t="s">
        <v>9177</v>
      </c>
      <c r="AM201" s="16" t="s">
        <v>9141</v>
      </c>
      <c r="AN201" s="16" t="s">
        <v>9178</v>
      </c>
    </row>
    <row r="202" spans="1:40" x14ac:dyDescent="0.25">
      <c r="A202" s="4" t="s">
        <v>5807</v>
      </c>
      <c r="B202" s="4" t="s">
        <v>5808</v>
      </c>
      <c r="C202" s="4" t="s">
        <v>39</v>
      </c>
      <c r="D202" s="4" t="s">
        <v>5809</v>
      </c>
      <c r="E202" s="4" t="s">
        <v>5810</v>
      </c>
      <c r="F202" s="10">
        <v>45735</v>
      </c>
      <c r="G202" s="11">
        <v>0.45069444444444445</v>
      </c>
      <c r="H202" s="4" t="s">
        <v>4910</v>
      </c>
      <c r="I202" s="4" t="s">
        <v>5811</v>
      </c>
      <c r="J202" s="4" t="s">
        <v>5812</v>
      </c>
      <c r="K202" s="4" t="s">
        <v>2108</v>
      </c>
      <c r="L202" s="4" t="s">
        <v>5813</v>
      </c>
      <c r="M202" s="4" t="s">
        <v>28</v>
      </c>
      <c r="N202" s="4" t="s">
        <v>478</v>
      </c>
      <c r="O202" s="4" t="s">
        <v>344</v>
      </c>
      <c r="P202" s="4" t="s">
        <v>60</v>
      </c>
      <c r="Q202" s="4">
        <v>64</v>
      </c>
      <c r="R202" s="4" t="b">
        <v>0</v>
      </c>
      <c r="S202" s="4" t="s">
        <v>184</v>
      </c>
      <c r="T202" s="4" t="s">
        <v>4463</v>
      </c>
      <c r="U202" s="4" t="s">
        <v>51</v>
      </c>
      <c r="V202" s="4" t="s">
        <v>123</v>
      </c>
      <c r="W202" s="4" t="s">
        <v>124</v>
      </c>
      <c r="X202" s="4" t="s">
        <v>54</v>
      </c>
      <c r="Y202" s="4"/>
      <c r="Z202" s="12" t="s">
        <v>60</v>
      </c>
      <c r="AA202" s="13" t="s">
        <v>9146</v>
      </c>
      <c r="AB202" s="13" t="s">
        <v>9147</v>
      </c>
      <c r="AC202" s="14" t="s">
        <v>9166</v>
      </c>
      <c r="AD202" s="14" t="s">
        <v>28</v>
      </c>
      <c r="AE202" s="14" t="s">
        <v>478</v>
      </c>
      <c r="AF202" s="14" t="s">
        <v>123</v>
      </c>
      <c r="AG202" s="14" t="s">
        <v>54</v>
      </c>
      <c r="AH202" s="15" t="s">
        <v>9220</v>
      </c>
      <c r="AI202" s="15" t="s">
        <v>9191</v>
      </c>
      <c r="AJ202" s="15" t="s">
        <v>9143</v>
      </c>
      <c r="AK202" s="15" t="s">
        <v>9221</v>
      </c>
      <c r="AL202" s="15" t="s">
        <v>9226</v>
      </c>
      <c r="AM202" s="16" t="s">
        <v>9221</v>
      </c>
      <c r="AN202" s="16" t="s">
        <v>9227</v>
      </c>
    </row>
    <row r="203" spans="1:40" x14ac:dyDescent="0.25">
      <c r="A203" s="4" t="s">
        <v>4817</v>
      </c>
      <c r="B203" s="4"/>
      <c r="C203" s="4" t="s">
        <v>39</v>
      </c>
      <c r="D203" s="4" t="s">
        <v>4802</v>
      </c>
      <c r="E203" s="4" t="s">
        <v>4803</v>
      </c>
      <c r="F203" s="10">
        <v>45734</v>
      </c>
      <c r="G203" s="11">
        <v>0.64375000000000004</v>
      </c>
      <c r="H203" s="4" t="s">
        <v>4019</v>
      </c>
      <c r="I203" s="4" t="s">
        <v>4804</v>
      </c>
      <c r="J203" s="4" t="s">
        <v>756</v>
      </c>
      <c r="K203" s="4" t="s">
        <v>4818</v>
      </c>
      <c r="L203" s="4" t="s">
        <v>4819</v>
      </c>
      <c r="M203" s="4" t="s">
        <v>46</v>
      </c>
      <c r="N203" s="4"/>
      <c r="O203" s="4" t="s">
        <v>47</v>
      </c>
      <c r="P203" s="4" t="s">
        <v>48</v>
      </c>
      <c r="Q203" s="4">
        <v>0</v>
      </c>
      <c r="R203" s="4" t="b">
        <v>0</v>
      </c>
      <c r="S203" s="4" t="s">
        <v>61</v>
      </c>
      <c r="T203" s="4" t="s">
        <v>425</v>
      </c>
      <c r="U203" s="4" t="s">
        <v>71</v>
      </c>
      <c r="V203" s="4" t="s">
        <v>63</v>
      </c>
      <c r="W203" s="4" t="s">
        <v>312</v>
      </c>
      <c r="X203" s="4" t="s">
        <v>54</v>
      </c>
      <c r="Y203" s="4"/>
      <c r="Z203" s="12">
        <v>0</v>
      </c>
      <c r="AA203" s="13" t="s">
        <v>9146</v>
      </c>
      <c r="AB203" s="13" t="s">
        <v>9147</v>
      </c>
      <c r="AC203" s="14" t="s">
        <v>9148</v>
      </c>
      <c r="AD203" s="14" t="s">
        <v>9140</v>
      </c>
      <c r="AE203" s="14" t="s">
        <v>9140</v>
      </c>
      <c r="AF203" s="14" t="s">
        <v>63</v>
      </c>
      <c r="AG203" s="14" t="s">
        <v>54</v>
      </c>
      <c r="AH203" s="15" t="s">
        <v>9220</v>
      </c>
      <c r="AI203" s="15" t="s">
        <v>9175</v>
      </c>
      <c r="AJ203" s="15" t="s">
        <v>9143</v>
      </c>
      <c r="AK203" s="15" t="s">
        <v>9221</v>
      </c>
      <c r="AL203" s="15" t="s">
        <v>9222</v>
      </c>
      <c r="AM203" s="16" t="s">
        <v>9221</v>
      </c>
      <c r="AN203" s="16" t="s">
        <v>9223</v>
      </c>
    </row>
    <row r="204" spans="1:40" x14ac:dyDescent="0.25">
      <c r="A204" s="4" t="s">
        <v>6908</v>
      </c>
      <c r="B204" s="4"/>
      <c r="C204" s="4" t="s">
        <v>39</v>
      </c>
      <c r="D204" s="4" t="s">
        <v>6909</v>
      </c>
      <c r="E204" s="4" t="s">
        <v>6910</v>
      </c>
      <c r="F204" s="10">
        <v>45733</v>
      </c>
      <c r="G204" s="11">
        <v>0.69444444444444442</v>
      </c>
      <c r="H204" s="4" t="s">
        <v>4019</v>
      </c>
      <c r="I204" s="4" t="s">
        <v>6911</v>
      </c>
      <c r="J204" s="4" t="s">
        <v>6912</v>
      </c>
      <c r="K204" s="4" t="s">
        <v>6913</v>
      </c>
      <c r="L204" s="4" t="s">
        <v>6914</v>
      </c>
      <c r="M204" s="4" t="s">
        <v>46</v>
      </c>
      <c r="N204" s="4"/>
      <c r="O204" s="4" t="s">
        <v>47</v>
      </c>
      <c r="P204" s="4" t="s">
        <v>48</v>
      </c>
      <c r="Q204" s="4">
        <v>0</v>
      </c>
      <c r="R204" s="4" t="b">
        <v>0</v>
      </c>
      <c r="S204" s="4" t="s">
        <v>61</v>
      </c>
      <c r="T204" s="4" t="s">
        <v>115</v>
      </c>
      <c r="U204" s="4" t="s">
        <v>224</v>
      </c>
      <c r="V204" s="4" t="s">
        <v>123</v>
      </c>
      <c r="W204" s="4" t="s">
        <v>149</v>
      </c>
      <c r="X204" s="4" t="s">
        <v>54</v>
      </c>
      <c r="Y204" s="4" t="s">
        <v>302</v>
      </c>
      <c r="Z204" s="12">
        <v>0</v>
      </c>
      <c r="AA204" s="13" t="s">
        <v>9146</v>
      </c>
      <c r="AB204" s="13" t="s">
        <v>9147</v>
      </c>
      <c r="AC204" s="14" t="s">
        <v>9148</v>
      </c>
      <c r="AD204" s="14" t="s">
        <v>9140</v>
      </c>
      <c r="AE204" s="14" t="s">
        <v>9140</v>
      </c>
      <c r="AF204" s="14" t="s">
        <v>123</v>
      </c>
      <c r="AG204" s="14" t="s">
        <v>54</v>
      </c>
      <c r="AH204" s="15" t="s">
        <v>9220</v>
      </c>
      <c r="AI204" s="15" t="s">
        <v>9175</v>
      </c>
      <c r="AJ204" s="15" t="s">
        <v>9143</v>
      </c>
      <c r="AK204" s="15" t="s">
        <v>9221</v>
      </c>
      <c r="AL204" s="15" t="s">
        <v>9224</v>
      </c>
      <c r="AM204" s="16" t="s">
        <v>9221</v>
      </c>
      <c r="AN204" s="16" t="s">
        <v>9225</v>
      </c>
    </row>
    <row r="205" spans="1:40" x14ac:dyDescent="0.25">
      <c r="A205" s="4" t="s">
        <v>2834</v>
      </c>
      <c r="B205" s="4"/>
      <c r="C205" s="4" t="s">
        <v>39</v>
      </c>
      <c r="D205" s="4" t="s">
        <v>2835</v>
      </c>
      <c r="E205" s="4" t="s">
        <v>2836</v>
      </c>
      <c r="F205" s="10">
        <v>45733</v>
      </c>
      <c r="G205" s="11">
        <v>0.55902777777777779</v>
      </c>
      <c r="H205" s="4" t="s">
        <v>1939</v>
      </c>
      <c r="I205" s="4" t="s">
        <v>2830</v>
      </c>
      <c r="J205" s="4" t="s">
        <v>2831</v>
      </c>
      <c r="K205" s="4" t="s">
        <v>1775</v>
      </c>
      <c r="L205" s="4" t="s">
        <v>2837</v>
      </c>
      <c r="M205" s="4" t="s">
        <v>46</v>
      </c>
      <c r="N205" s="4"/>
      <c r="O205" s="4" t="s">
        <v>47</v>
      </c>
      <c r="P205" s="4" t="s">
        <v>48</v>
      </c>
      <c r="Q205" s="4">
        <v>0</v>
      </c>
      <c r="R205" s="4" t="b">
        <v>0</v>
      </c>
      <c r="S205" s="4" t="s">
        <v>61</v>
      </c>
      <c r="T205" s="4" t="s">
        <v>433</v>
      </c>
      <c r="U205" s="4" t="s">
        <v>71</v>
      </c>
      <c r="V205" s="4" t="s">
        <v>81</v>
      </c>
      <c r="W205" s="4" t="s">
        <v>2838</v>
      </c>
      <c r="X205" s="4" t="s">
        <v>2372</v>
      </c>
      <c r="Y205" s="4"/>
      <c r="Z205" s="12">
        <v>0</v>
      </c>
      <c r="AA205" s="13" t="s">
        <v>9146</v>
      </c>
      <c r="AB205" s="13" t="s">
        <v>9147</v>
      </c>
      <c r="AC205" s="14" t="s">
        <v>9148</v>
      </c>
      <c r="AD205" s="14" t="s">
        <v>9140</v>
      </c>
      <c r="AE205" s="14" t="s">
        <v>9140</v>
      </c>
      <c r="AF205" s="14" t="s">
        <v>81</v>
      </c>
      <c r="AG205" s="14" t="s">
        <v>2372</v>
      </c>
      <c r="AH205" s="15" t="s">
        <v>9194</v>
      </c>
      <c r="AI205" s="15" t="s">
        <v>9175</v>
      </c>
      <c r="AJ205" s="15" t="s">
        <v>9143</v>
      </c>
      <c r="AK205" s="15" t="s">
        <v>9194</v>
      </c>
      <c r="AL205" s="15" t="s">
        <v>9209</v>
      </c>
      <c r="AM205" s="16" t="s">
        <v>9194</v>
      </c>
      <c r="AN205" s="16" t="s">
        <v>9210</v>
      </c>
    </row>
    <row r="206" spans="1:40" x14ac:dyDescent="0.25">
      <c r="A206" s="4" t="s">
        <v>7032</v>
      </c>
      <c r="B206" s="4"/>
      <c r="C206" s="4" t="s">
        <v>39</v>
      </c>
      <c r="D206" s="4" t="s">
        <v>7033</v>
      </c>
      <c r="E206" s="4" t="s">
        <v>7034</v>
      </c>
      <c r="F206" s="10">
        <v>45732</v>
      </c>
      <c r="G206" s="11">
        <v>0.5625</v>
      </c>
      <c r="H206" s="4" t="s">
        <v>4242</v>
      </c>
      <c r="I206" s="4" t="s">
        <v>7028</v>
      </c>
      <c r="J206" s="4" t="s">
        <v>7029</v>
      </c>
      <c r="K206" s="4" t="s">
        <v>7035</v>
      </c>
      <c r="L206" s="4" t="s">
        <v>7036</v>
      </c>
      <c r="M206" s="4" t="s">
        <v>46</v>
      </c>
      <c r="N206" s="4"/>
      <c r="O206" s="4" t="s">
        <v>47</v>
      </c>
      <c r="P206" s="4" t="s">
        <v>48</v>
      </c>
      <c r="Q206" s="4">
        <v>0</v>
      </c>
      <c r="R206" s="4" t="b">
        <v>0</v>
      </c>
      <c r="S206" s="4" t="s">
        <v>61</v>
      </c>
      <c r="T206" s="4" t="s">
        <v>115</v>
      </c>
      <c r="U206" s="4" t="s">
        <v>116</v>
      </c>
      <c r="V206" s="4" t="s">
        <v>52</v>
      </c>
      <c r="W206" s="4" t="s">
        <v>53</v>
      </c>
      <c r="X206" s="4" t="s">
        <v>54</v>
      </c>
      <c r="Y206" s="4" t="s">
        <v>176</v>
      </c>
      <c r="Z206" s="12">
        <v>0</v>
      </c>
      <c r="AA206" s="13" t="s">
        <v>9146</v>
      </c>
      <c r="AB206" s="13" t="s">
        <v>9147</v>
      </c>
      <c r="AC206" s="14" t="s">
        <v>9148</v>
      </c>
      <c r="AD206" s="14" t="s">
        <v>9140</v>
      </c>
      <c r="AE206" s="14" t="s">
        <v>9140</v>
      </c>
      <c r="AF206" s="14" t="s">
        <v>52</v>
      </c>
      <c r="AG206" s="14" t="s">
        <v>54</v>
      </c>
      <c r="AH206" s="15" t="s">
        <v>9220</v>
      </c>
      <c r="AI206" s="15" t="s">
        <v>9187</v>
      </c>
      <c r="AJ206" s="15" t="s">
        <v>9143</v>
      </c>
      <c r="AK206" s="15" t="s">
        <v>9221</v>
      </c>
      <c r="AL206" s="15" t="s">
        <v>9226</v>
      </c>
      <c r="AM206" s="16" t="s">
        <v>9221</v>
      </c>
      <c r="AN206" s="16" t="s">
        <v>9227</v>
      </c>
    </row>
    <row r="207" spans="1:40" x14ac:dyDescent="0.25">
      <c r="A207" s="4" t="s">
        <v>8026</v>
      </c>
      <c r="B207" s="4"/>
      <c r="C207" s="4" t="s">
        <v>39</v>
      </c>
      <c r="D207" s="4" t="s">
        <v>8015</v>
      </c>
      <c r="E207" s="4" t="s">
        <v>8016</v>
      </c>
      <c r="F207" s="10">
        <v>45732</v>
      </c>
      <c r="G207" s="11">
        <v>0.41388888888888886</v>
      </c>
      <c r="H207" s="4" t="s">
        <v>4910</v>
      </c>
      <c r="I207" s="4" t="s">
        <v>8017</v>
      </c>
      <c r="J207" s="4" t="s">
        <v>8018</v>
      </c>
      <c r="K207" s="4" t="s">
        <v>8027</v>
      </c>
      <c r="L207" s="4" t="s">
        <v>8028</v>
      </c>
      <c r="M207" s="4" t="s">
        <v>46</v>
      </c>
      <c r="N207" s="4"/>
      <c r="O207" s="4" t="s">
        <v>47</v>
      </c>
      <c r="P207" s="4" t="s">
        <v>48</v>
      </c>
      <c r="Q207" s="4">
        <v>0</v>
      </c>
      <c r="R207" s="4" t="b">
        <v>0</v>
      </c>
      <c r="S207" s="4" t="s">
        <v>49</v>
      </c>
      <c r="T207" s="4" t="s">
        <v>115</v>
      </c>
      <c r="U207" s="4" t="s">
        <v>51</v>
      </c>
      <c r="V207" s="4" t="s">
        <v>123</v>
      </c>
      <c r="W207" s="4" t="s">
        <v>149</v>
      </c>
      <c r="X207" s="4" t="s">
        <v>54</v>
      </c>
      <c r="Y207" s="4"/>
      <c r="Z207" s="12">
        <v>0</v>
      </c>
      <c r="AA207" s="13" t="s">
        <v>9146</v>
      </c>
      <c r="AB207" s="13" t="s">
        <v>9147</v>
      </c>
      <c r="AC207" s="14" t="s">
        <v>9139</v>
      </c>
      <c r="AD207" s="14" t="s">
        <v>9140</v>
      </c>
      <c r="AE207" s="14" t="s">
        <v>9140</v>
      </c>
      <c r="AF207" s="14" t="s">
        <v>123</v>
      </c>
      <c r="AG207" s="14" t="s">
        <v>54</v>
      </c>
      <c r="AH207" s="15" t="s">
        <v>9220</v>
      </c>
      <c r="AI207" s="15" t="s">
        <v>9191</v>
      </c>
      <c r="AJ207" s="15" t="s">
        <v>9143</v>
      </c>
      <c r="AK207" s="15" t="s">
        <v>9221</v>
      </c>
      <c r="AL207" s="15" t="s">
        <v>9234</v>
      </c>
      <c r="AM207" s="16" t="s">
        <v>9221</v>
      </c>
      <c r="AN207" s="16" t="s">
        <v>9235</v>
      </c>
    </row>
    <row r="208" spans="1:40" x14ac:dyDescent="0.25">
      <c r="A208" s="4" t="s">
        <v>4972</v>
      </c>
      <c r="B208" s="4"/>
      <c r="C208" s="4" t="s">
        <v>39</v>
      </c>
      <c r="D208" s="4" t="s">
        <v>4973</v>
      </c>
      <c r="E208" s="4" t="s">
        <v>4974</v>
      </c>
      <c r="F208" s="10">
        <v>45731</v>
      </c>
      <c r="G208" s="11">
        <v>0.59166666666666667</v>
      </c>
      <c r="H208" s="4" t="s">
        <v>4516</v>
      </c>
      <c r="I208" s="4" t="s">
        <v>4969</v>
      </c>
      <c r="J208" s="4" t="s">
        <v>3453</v>
      </c>
      <c r="K208" s="4" t="s">
        <v>4975</v>
      </c>
      <c r="L208" s="4" t="s">
        <v>4976</v>
      </c>
      <c r="M208" s="4" t="s">
        <v>46</v>
      </c>
      <c r="N208" s="4"/>
      <c r="O208" s="4" t="s">
        <v>47</v>
      </c>
      <c r="P208" s="4" t="s">
        <v>48</v>
      </c>
      <c r="Q208" s="4">
        <v>0</v>
      </c>
      <c r="R208" s="4" t="b">
        <v>0</v>
      </c>
      <c r="S208" s="4" t="s">
        <v>49</v>
      </c>
      <c r="T208" s="4" t="s">
        <v>115</v>
      </c>
      <c r="U208" s="4" t="s">
        <v>140</v>
      </c>
      <c r="V208" s="4" t="s">
        <v>123</v>
      </c>
      <c r="W208" s="4" t="s">
        <v>124</v>
      </c>
      <c r="X208" s="4" t="s">
        <v>54</v>
      </c>
      <c r="Y208" s="4"/>
      <c r="Z208" s="12">
        <v>0</v>
      </c>
      <c r="AA208" s="13" t="s">
        <v>9146</v>
      </c>
      <c r="AB208" s="13" t="s">
        <v>9147</v>
      </c>
      <c r="AC208" s="14" t="s">
        <v>9139</v>
      </c>
      <c r="AD208" s="14" t="s">
        <v>9140</v>
      </c>
      <c r="AE208" s="14" t="s">
        <v>9140</v>
      </c>
      <c r="AF208" s="14" t="s">
        <v>123</v>
      </c>
      <c r="AG208" s="14" t="s">
        <v>54</v>
      </c>
      <c r="AH208" s="15" t="s">
        <v>9220</v>
      </c>
      <c r="AI208" s="15" t="s">
        <v>9188</v>
      </c>
      <c r="AJ208" s="15" t="s">
        <v>9143</v>
      </c>
      <c r="AK208" s="15" t="s">
        <v>9221</v>
      </c>
      <c r="AL208" s="15" t="s">
        <v>9230</v>
      </c>
      <c r="AM208" s="16" t="s">
        <v>9221</v>
      </c>
      <c r="AN208" s="16" t="s">
        <v>9231</v>
      </c>
    </row>
    <row r="209" spans="1:40" x14ac:dyDescent="0.25">
      <c r="A209" s="4" t="s">
        <v>4977</v>
      </c>
      <c r="B209" s="4"/>
      <c r="C209" s="4" t="s">
        <v>39</v>
      </c>
      <c r="D209" s="4" t="s">
        <v>4978</v>
      </c>
      <c r="E209" s="4" t="s">
        <v>4979</v>
      </c>
      <c r="F209" s="10">
        <v>45731</v>
      </c>
      <c r="G209" s="11">
        <v>0.52083333333333337</v>
      </c>
      <c r="H209" s="4" t="s">
        <v>4516</v>
      </c>
      <c r="I209" s="4" t="s">
        <v>4969</v>
      </c>
      <c r="J209" s="4" t="s">
        <v>3453</v>
      </c>
      <c r="K209" s="4" t="s">
        <v>4980</v>
      </c>
      <c r="L209" s="4" t="s">
        <v>4981</v>
      </c>
      <c r="M209" s="4" t="s">
        <v>46</v>
      </c>
      <c r="N209" s="4"/>
      <c r="O209" s="4" t="s">
        <v>47</v>
      </c>
      <c r="P209" s="4" t="s">
        <v>48</v>
      </c>
      <c r="Q209" s="4">
        <v>0</v>
      </c>
      <c r="R209" s="4" t="b">
        <v>0</v>
      </c>
      <c r="S209" s="4" t="s">
        <v>49</v>
      </c>
      <c r="T209" s="4" t="s">
        <v>50</v>
      </c>
      <c r="U209" s="4" t="s">
        <v>140</v>
      </c>
      <c r="V209" s="4" t="s">
        <v>63</v>
      </c>
      <c r="W209" s="4" t="s">
        <v>312</v>
      </c>
      <c r="X209" s="4" t="s">
        <v>54</v>
      </c>
      <c r="Y209" s="4"/>
      <c r="Z209" s="12">
        <v>0</v>
      </c>
      <c r="AA209" s="13" t="s">
        <v>9146</v>
      </c>
      <c r="AB209" s="13" t="s">
        <v>9147</v>
      </c>
      <c r="AC209" s="14" t="s">
        <v>9139</v>
      </c>
      <c r="AD209" s="14" t="s">
        <v>9140</v>
      </c>
      <c r="AE209" s="14" t="s">
        <v>9140</v>
      </c>
      <c r="AF209" s="14" t="s">
        <v>63</v>
      </c>
      <c r="AG209" s="14" t="s">
        <v>54</v>
      </c>
      <c r="AH209" s="15" t="s">
        <v>9220</v>
      </c>
      <c r="AI209" s="15" t="s">
        <v>9188</v>
      </c>
      <c r="AJ209" s="15" t="s">
        <v>9143</v>
      </c>
      <c r="AK209" s="15" t="s">
        <v>9221</v>
      </c>
      <c r="AL209" s="15" t="s">
        <v>9230</v>
      </c>
      <c r="AM209" s="16" t="s">
        <v>9221</v>
      </c>
      <c r="AN209" s="16" t="s">
        <v>9231</v>
      </c>
    </row>
    <row r="210" spans="1:40" x14ac:dyDescent="0.25">
      <c r="A210" s="4" t="s">
        <v>5773</v>
      </c>
      <c r="B210" s="4"/>
      <c r="C210" s="4" t="s">
        <v>39</v>
      </c>
      <c r="D210" s="4" t="s">
        <v>5774</v>
      </c>
      <c r="E210" s="4" t="s">
        <v>5775</v>
      </c>
      <c r="F210" s="10">
        <v>45731</v>
      </c>
      <c r="G210" s="11">
        <v>0.60069444444444442</v>
      </c>
      <c r="H210" s="4" t="s">
        <v>4516</v>
      </c>
      <c r="I210" s="4" t="s">
        <v>5776</v>
      </c>
      <c r="J210" s="4" t="s">
        <v>1412</v>
      </c>
      <c r="K210" s="4" t="s">
        <v>2989</v>
      </c>
      <c r="L210" s="4" t="s">
        <v>5777</v>
      </c>
      <c r="M210" s="4" t="s">
        <v>46</v>
      </c>
      <c r="N210" s="4"/>
      <c r="O210" s="4" t="s">
        <v>47</v>
      </c>
      <c r="P210" s="4" t="s">
        <v>48</v>
      </c>
      <c r="Q210" s="4">
        <v>0</v>
      </c>
      <c r="R210" s="4" t="b">
        <v>0</v>
      </c>
      <c r="S210" s="4" t="s">
        <v>49</v>
      </c>
      <c r="T210" s="4" t="s">
        <v>1058</v>
      </c>
      <c r="U210" s="4" t="s">
        <v>71</v>
      </c>
      <c r="V210" s="4" t="s">
        <v>405</v>
      </c>
      <c r="W210" s="4" t="s">
        <v>406</v>
      </c>
      <c r="X210" s="4" t="s">
        <v>54</v>
      </c>
      <c r="Y210" s="4"/>
      <c r="Z210" s="12">
        <v>0</v>
      </c>
      <c r="AA210" s="13" t="s">
        <v>9146</v>
      </c>
      <c r="AB210" s="13" t="s">
        <v>9147</v>
      </c>
      <c r="AC210" s="14" t="s">
        <v>9139</v>
      </c>
      <c r="AD210" s="14" t="s">
        <v>9140</v>
      </c>
      <c r="AE210" s="14" t="s">
        <v>9140</v>
      </c>
      <c r="AF210" s="14" t="s">
        <v>405</v>
      </c>
      <c r="AG210" s="14" t="s">
        <v>54</v>
      </c>
      <c r="AH210" s="15" t="s">
        <v>9220</v>
      </c>
      <c r="AI210" s="15" t="s">
        <v>9188</v>
      </c>
      <c r="AJ210" s="15" t="s">
        <v>9143</v>
      </c>
      <c r="AK210" s="15" t="s">
        <v>9221</v>
      </c>
      <c r="AL210" s="15" t="s">
        <v>9232</v>
      </c>
      <c r="AM210" s="16" t="s">
        <v>9221</v>
      </c>
      <c r="AN210" s="16" t="s">
        <v>9233</v>
      </c>
    </row>
    <row r="211" spans="1:40" x14ac:dyDescent="0.25">
      <c r="A211" s="4" t="s">
        <v>2959</v>
      </c>
      <c r="B211" s="4"/>
      <c r="C211" s="4" t="s">
        <v>39</v>
      </c>
      <c r="D211" s="4" t="s">
        <v>2953</v>
      </c>
      <c r="E211" s="4" t="s">
        <v>2954</v>
      </c>
      <c r="F211" s="10">
        <v>45731</v>
      </c>
      <c r="G211" s="11">
        <v>0.57638888888888884</v>
      </c>
      <c r="H211" s="4" t="s">
        <v>1992</v>
      </c>
      <c r="I211" s="4" t="s">
        <v>2955</v>
      </c>
      <c r="J211" s="4" t="s">
        <v>2956</v>
      </c>
      <c r="K211" s="4" t="s">
        <v>2960</v>
      </c>
      <c r="L211" s="4" t="s">
        <v>2961</v>
      </c>
      <c r="M211" s="4" t="s">
        <v>46</v>
      </c>
      <c r="N211" s="4"/>
      <c r="O211" s="4" t="s">
        <v>47</v>
      </c>
      <c r="P211" s="4" t="s">
        <v>48</v>
      </c>
      <c r="Q211" s="4">
        <v>0</v>
      </c>
      <c r="R211" s="4" t="b">
        <v>0</v>
      </c>
      <c r="S211" s="4" t="s">
        <v>61</v>
      </c>
      <c r="T211" s="4" t="s">
        <v>50</v>
      </c>
      <c r="U211" s="4" t="s">
        <v>107</v>
      </c>
      <c r="V211" s="4" t="s">
        <v>63</v>
      </c>
      <c r="W211" s="4" t="s">
        <v>108</v>
      </c>
      <c r="X211" s="4" t="s">
        <v>54</v>
      </c>
      <c r="Y211" s="4"/>
      <c r="Z211" s="12">
        <v>0</v>
      </c>
      <c r="AA211" s="13" t="s">
        <v>9146</v>
      </c>
      <c r="AB211" s="13" t="s">
        <v>9147</v>
      </c>
      <c r="AC211" s="14" t="s">
        <v>9148</v>
      </c>
      <c r="AD211" s="14" t="s">
        <v>9140</v>
      </c>
      <c r="AE211" s="14" t="s">
        <v>9140</v>
      </c>
      <c r="AF211" s="14" t="s">
        <v>63</v>
      </c>
      <c r="AG211" s="14" t="s">
        <v>54</v>
      </c>
      <c r="AH211" s="15" t="s">
        <v>9194</v>
      </c>
      <c r="AI211" s="15" t="s">
        <v>9191</v>
      </c>
      <c r="AJ211" s="15" t="s">
        <v>9143</v>
      </c>
      <c r="AK211" s="15" t="s">
        <v>9194</v>
      </c>
      <c r="AL211" s="15" t="s">
        <v>9205</v>
      </c>
      <c r="AM211" s="16" t="s">
        <v>9194</v>
      </c>
      <c r="AN211" s="16" t="s">
        <v>9206</v>
      </c>
    </row>
    <row r="212" spans="1:40" x14ac:dyDescent="0.25">
      <c r="A212" s="4" t="s">
        <v>2359</v>
      </c>
      <c r="B212" s="4"/>
      <c r="C212" s="4" t="s">
        <v>39</v>
      </c>
      <c r="D212" s="4" t="s">
        <v>2360</v>
      </c>
      <c r="E212" s="4" t="s">
        <v>2361</v>
      </c>
      <c r="F212" s="10">
        <v>45730</v>
      </c>
      <c r="G212" s="11">
        <v>0.58333333333333337</v>
      </c>
      <c r="H212" s="4" t="s">
        <v>2095</v>
      </c>
      <c r="I212" s="4" t="s">
        <v>2362</v>
      </c>
      <c r="J212" s="4" t="s">
        <v>2363</v>
      </c>
      <c r="K212" s="4" t="s">
        <v>2364</v>
      </c>
      <c r="L212" s="4" t="s">
        <v>2365</v>
      </c>
      <c r="M212" s="4" t="s">
        <v>46</v>
      </c>
      <c r="N212" s="4"/>
      <c r="O212" s="4" t="s">
        <v>47</v>
      </c>
      <c r="P212" s="4" t="s">
        <v>48</v>
      </c>
      <c r="Q212" s="4">
        <v>0</v>
      </c>
      <c r="R212" s="4" t="b">
        <v>0</v>
      </c>
      <c r="S212" s="4" t="s">
        <v>49</v>
      </c>
      <c r="T212" s="4" t="s">
        <v>1058</v>
      </c>
      <c r="U212" s="4" t="s">
        <v>71</v>
      </c>
      <c r="V212" s="4" t="s">
        <v>405</v>
      </c>
      <c r="W212" s="4" t="s">
        <v>406</v>
      </c>
      <c r="X212" s="4" t="s">
        <v>54</v>
      </c>
      <c r="Y212" s="4"/>
      <c r="Z212" s="12">
        <v>0</v>
      </c>
      <c r="AA212" s="13" t="s">
        <v>9146</v>
      </c>
      <c r="AB212" s="13" t="s">
        <v>9147</v>
      </c>
      <c r="AC212" s="14" t="s">
        <v>9139</v>
      </c>
      <c r="AD212" s="14" t="s">
        <v>9140</v>
      </c>
      <c r="AE212" s="14" t="s">
        <v>9140</v>
      </c>
      <c r="AF212" s="14" t="s">
        <v>405</v>
      </c>
      <c r="AG212" s="14" t="s">
        <v>54</v>
      </c>
      <c r="AH212" s="15" t="s">
        <v>9194</v>
      </c>
      <c r="AI212" s="15" t="s">
        <v>9188</v>
      </c>
      <c r="AJ212" s="15" t="s">
        <v>9143</v>
      </c>
      <c r="AK212" s="15" t="s">
        <v>9194</v>
      </c>
      <c r="AL212" s="15" t="s">
        <v>9203</v>
      </c>
      <c r="AM212" s="16" t="s">
        <v>9194</v>
      </c>
      <c r="AN212" s="16" t="s">
        <v>9204</v>
      </c>
    </row>
    <row r="213" spans="1:40" x14ac:dyDescent="0.25">
      <c r="A213" s="4" t="s">
        <v>7037</v>
      </c>
      <c r="B213" s="4"/>
      <c r="C213" s="4" t="s">
        <v>39</v>
      </c>
      <c r="D213" s="4" t="s">
        <v>7038</v>
      </c>
      <c r="E213" s="4" t="s">
        <v>7039</v>
      </c>
      <c r="F213" s="10">
        <v>45730</v>
      </c>
      <c r="G213" s="11">
        <v>0.39583333333333331</v>
      </c>
      <c r="H213" s="4" t="s">
        <v>4242</v>
      </c>
      <c r="I213" s="4" t="s">
        <v>7028</v>
      </c>
      <c r="J213" s="4" t="s">
        <v>7029</v>
      </c>
      <c r="K213" s="4" t="s">
        <v>7040</v>
      </c>
      <c r="L213" s="4" t="s">
        <v>7041</v>
      </c>
      <c r="M213" s="4" t="s">
        <v>46</v>
      </c>
      <c r="N213" s="4"/>
      <c r="O213" s="4" t="s">
        <v>47</v>
      </c>
      <c r="P213" s="4" t="s">
        <v>48</v>
      </c>
      <c r="Q213" s="4">
        <v>0</v>
      </c>
      <c r="R213" s="4" t="b">
        <v>0</v>
      </c>
      <c r="S213" s="4" t="s">
        <v>49</v>
      </c>
      <c r="T213" s="4" t="s">
        <v>70</v>
      </c>
      <c r="U213" s="4" t="s">
        <v>71</v>
      </c>
      <c r="V213" s="4" t="s">
        <v>123</v>
      </c>
      <c r="W213" s="4" t="s">
        <v>124</v>
      </c>
      <c r="X213" s="4" t="s">
        <v>54</v>
      </c>
      <c r="Y213" s="4" t="s">
        <v>176</v>
      </c>
      <c r="Z213" s="12">
        <v>0</v>
      </c>
      <c r="AA213" s="13" t="s">
        <v>9146</v>
      </c>
      <c r="AB213" s="13" t="s">
        <v>9147</v>
      </c>
      <c r="AC213" s="14" t="s">
        <v>9139</v>
      </c>
      <c r="AD213" s="14" t="s">
        <v>9140</v>
      </c>
      <c r="AE213" s="14" t="s">
        <v>9140</v>
      </c>
      <c r="AF213" s="14" t="s">
        <v>123</v>
      </c>
      <c r="AG213" s="14" t="s">
        <v>54</v>
      </c>
      <c r="AH213" s="15" t="s">
        <v>9220</v>
      </c>
      <c r="AI213" s="15" t="s">
        <v>9187</v>
      </c>
      <c r="AJ213" s="15" t="s">
        <v>9143</v>
      </c>
      <c r="AK213" s="15" t="s">
        <v>9221</v>
      </c>
      <c r="AL213" s="15" t="s">
        <v>9226</v>
      </c>
      <c r="AM213" s="16" t="s">
        <v>9221</v>
      </c>
      <c r="AN213" s="16" t="s">
        <v>9227</v>
      </c>
    </row>
    <row r="214" spans="1:40" x14ac:dyDescent="0.25">
      <c r="A214" s="4" t="s">
        <v>8317</v>
      </c>
      <c r="B214" s="4"/>
      <c r="C214" s="4" t="s">
        <v>39</v>
      </c>
      <c r="D214" s="4" t="s">
        <v>8318</v>
      </c>
      <c r="E214" s="4" t="s">
        <v>8319</v>
      </c>
      <c r="F214" s="10">
        <v>45728</v>
      </c>
      <c r="G214" s="11">
        <v>0.4375</v>
      </c>
      <c r="H214" s="4" t="s">
        <v>4910</v>
      </c>
      <c r="I214" s="4" t="s">
        <v>8320</v>
      </c>
      <c r="J214" s="4" t="s">
        <v>8321</v>
      </c>
      <c r="K214" s="4" t="s">
        <v>8322</v>
      </c>
      <c r="L214" s="4" t="s">
        <v>8323</v>
      </c>
      <c r="M214" s="4" t="s">
        <v>46</v>
      </c>
      <c r="N214" s="4"/>
      <c r="O214" s="4" t="s">
        <v>47</v>
      </c>
      <c r="P214" s="4" t="s">
        <v>48</v>
      </c>
      <c r="Q214" s="4">
        <v>0</v>
      </c>
      <c r="R214" s="4" t="b">
        <v>0</v>
      </c>
      <c r="S214" s="4" t="s">
        <v>49</v>
      </c>
      <c r="T214" s="4" t="s">
        <v>50</v>
      </c>
      <c r="U214" s="4" t="s">
        <v>107</v>
      </c>
      <c r="V214" s="4" t="s">
        <v>63</v>
      </c>
      <c r="W214" s="4" t="s">
        <v>108</v>
      </c>
      <c r="X214" s="4" t="s">
        <v>54</v>
      </c>
      <c r="Y214" s="4"/>
      <c r="Z214" s="12">
        <v>0</v>
      </c>
      <c r="AA214" s="13" t="s">
        <v>9146</v>
      </c>
      <c r="AB214" s="13" t="s">
        <v>9147</v>
      </c>
      <c r="AC214" s="14" t="s">
        <v>9139</v>
      </c>
      <c r="AD214" s="14" t="s">
        <v>9140</v>
      </c>
      <c r="AE214" s="14" t="s">
        <v>9140</v>
      </c>
      <c r="AF214" s="14" t="s">
        <v>63</v>
      </c>
      <c r="AG214" s="14" t="s">
        <v>54</v>
      </c>
      <c r="AH214" s="15" t="s">
        <v>9220</v>
      </c>
      <c r="AI214" s="15" t="s">
        <v>9191</v>
      </c>
      <c r="AJ214" s="15" t="s">
        <v>9143</v>
      </c>
      <c r="AK214" s="15" t="s">
        <v>9221</v>
      </c>
      <c r="AL214" s="15" t="s">
        <v>9234</v>
      </c>
      <c r="AM214" s="16" t="s">
        <v>9221</v>
      </c>
      <c r="AN214" s="16" t="s">
        <v>9235</v>
      </c>
    </row>
    <row r="215" spans="1:40" x14ac:dyDescent="0.25">
      <c r="A215" s="4" t="s">
        <v>4896</v>
      </c>
      <c r="B215" s="4"/>
      <c r="C215" s="4" t="s">
        <v>39</v>
      </c>
      <c r="D215" s="4" t="s">
        <v>4897</v>
      </c>
      <c r="E215" s="4" t="s">
        <v>4898</v>
      </c>
      <c r="F215" s="10">
        <v>45728</v>
      </c>
      <c r="G215" s="11">
        <v>0.52083333333333337</v>
      </c>
      <c r="H215" s="4" t="s">
        <v>4019</v>
      </c>
      <c r="I215" s="4" t="s">
        <v>4899</v>
      </c>
      <c r="J215" s="4" t="s">
        <v>2831</v>
      </c>
      <c r="K215" s="4" t="s">
        <v>4900</v>
      </c>
      <c r="L215" s="4" t="s">
        <v>4901</v>
      </c>
      <c r="M215" s="4" t="s">
        <v>46</v>
      </c>
      <c r="N215" s="4"/>
      <c r="O215" s="4" t="s">
        <v>47</v>
      </c>
      <c r="P215" s="4" t="s">
        <v>48</v>
      </c>
      <c r="Q215" s="4">
        <v>0</v>
      </c>
      <c r="R215" s="4" t="b">
        <v>0</v>
      </c>
      <c r="S215" s="4" t="s">
        <v>49</v>
      </c>
      <c r="T215" s="4" t="s">
        <v>115</v>
      </c>
      <c r="U215" s="4" t="s">
        <v>373</v>
      </c>
      <c r="V215" s="4" t="s">
        <v>52</v>
      </c>
      <c r="W215" s="4" t="s">
        <v>53</v>
      </c>
      <c r="X215" s="4" t="s">
        <v>54</v>
      </c>
      <c r="Y215" s="4" t="s">
        <v>323</v>
      </c>
      <c r="Z215" s="12">
        <v>0</v>
      </c>
      <c r="AA215" s="13" t="s">
        <v>9146</v>
      </c>
      <c r="AB215" s="13" t="s">
        <v>9147</v>
      </c>
      <c r="AC215" s="14" t="s">
        <v>9139</v>
      </c>
      <c r="AD215" s="14" t="s">
        <v>9140</v>
      </c>
      <c r="AE215" s="14" t="s">
        <v>9140</v>
      </c>
      <c r="AF215" s="14" t="s">
        <v>52</v>
      </c>
      <c r="AG215" s="14" t="s">
        <v>54</v>
      </c>
      <c r="AH215" s="15" t="s">
        <v>9220</v>
      </c>
      <c r="AI215" s="15" t="s">
        <v>9175</v>
      </c>
      <c r="AJ215" s="15" t="s">
        <v>9143</v>
      </c>
      <c r="AK215" s="15" t="s">
        <v>9221</v>
      </c>
      <c r="AL215" s="15" t="s">
        <v>9224</v>
      </c>
      <c r="AM215" s="16" t="s">
        <v>9221</v>
      </c>
      <c r="AN215" s="16" t="s">
        <v>9225</v>
      </c>
    </row>
    <row r="216" spans="1:40" x14ac:dyDescent="0.25">
      <c r="A216" s="4" t="s">
        <v>4907</v>
      </c>
      <c r="B216" s="4"/>
      <c r="C216" s="4" t="s">
        <v>39</v>
      </c>
      <c r="D216" s="4" t="s">
        <v>4908</v>
      </c>
      <c r="E216" s="4" t="s">
        <v>4909</v>
      </c>
      <c r="F216" s="10">
        <v>45728</v>
      </c>
      <c r="G216" s="11">
        <v>0.72569444444444442</v>
      </c>
      <c r="H216" s="4" t="s">
        <v>4910</v>
      </c>
      <c r="I216" s="4" t="s">
        <v>4911</v>
      </c>
      <c r="J216" s="4" t="s">
        <v>2049</v>
      </c>
      <c r="K216" s="4" t="s">
        <v>4912</v>
      </c>
      <c r="L216" s="4" t="s">
        <v>4913</v>
      </c>
      <c r="M216" s="4" t="s">
        <v>46</v>
      </c>
      <c r="N216" s="4"/>
      <c r="O216" s="4" t="s">
        <v>47</v>
      </c>
      <c r="P216" s="4" t="s">
        <v>48</v>
      </c>
      <c r="Q216" s="4">
        <v>0</v>
      </c>
      <c r="R216" s="4" t="b">
        <v>0</v>
      </c>
      <c r="S216" s="4" t="s">
        <v>49</v>
      </c>
      <c r="T216" s="4" t="s">
        <v>50</v>
      </c>
      <c r="U216" s="4" t="s">
        <v>71</v>
      </c>
      <c r="V216" s="4" t="s">
        <v>63</v>
      </c>
      <c r="W216" s="4" t="s">
        <v>108</v>
      </c>
      <c r="X216" s="4" t="s">
        <v>54</v>
      </c>
      <c r="Y216" s="4"/>
      <c r="Z216" s="12">
        <v>0</v>
      </c>
      <c r="AA216" s="13" t="s">
        <v>9146</v>
      </c>
      <c r="AB216" s="13" t="s">
        <v>9147</v>
      </c>
      <c r="AC216" s="14" t="s">
        <v>9139</v>
      </c>
      <c r="AD216" s="14" t="s">
        <v>9140</v>
      </c>
      <c r="AE216" s="14" t="s">
        <v>9140</v>
      </c>
      <c r="AF216" s="14" t="s">
        <v>63</v>
      </c>
      <c r="AG216" s="14" t="s">
        <v>54</v>
      </c>
      <c r="AH216" s="15" t="s">
        <v>9220</v>
      </c>
      <c r="AI216" s="15" t="s">
        <v>9191</v>
      </c>
      <c r="AJ216" s="15" t="s">
        <v>9143</v>
      </c>
      <c r="AK216" s="15" t="s">
        <v>9221</v>
      </c>
      <c r="AL216" s="15" t="s">
        <v>9234</v>
      </c>
      <c r="AM216" s="16" t="s">
        <v>9221</v>
      </c>
      <c r="AN216" s="16" t="s">
        <v>9235</v>
      </c>
    </row>
    <row r="217" spans="1:40" x14ac:dyDescent="0.25">
      <c r="A217" s="4" t="s">
        <v>5636</v>
      </c>
      <c r="B217" s="4"/>
      <c r="C217" s="4" t="s">
        <v>39</v>
      </c>
      <c r="D217" s="4" t="s">
        <v>5637</v>
      </c>
      <c r="E217" s="4" t="s">
        <v>5638</v>
      </c>
      <c r="F217" s="10">
        <v>45727</v>
      </c>
      <c r="G217" s="11">
        <v>0.64652777777777781</v>
      </c>
      <c r="H217" s="4" t="s">
        <v>4516</v>
      </c>
      <c r="I217" s="4" t="s">
        <v>5633</v>
      </c>
      <c r="J217" s="4" t="s">
        <v>2661</v>
      </c>
      <c r="K217" s="4" t="s">
        <v>5639</v>
      </c>
      <c r="L217" s="4" t="s">
        <v>5640</v>
      </c>
      <c r="M217" s="4" t="s">
        <v>46</v>
      </c>
      <c r="N217" s="4"/>
      <c r="O217" s="4" t="s">
        <v>47</v>
      </c>
      <c r="P217" s="4" t="s">
        <v>48</v>
      </c>
      <c r="Q217" s="4">
        <v>0</v>
      </c>
      <c r="R217" s="4" t="b">
        <v>0</v>
      </c>
      <c r="S217" s="4" t="s">
        <v>49</v>
      </c>
      <c r="T217" s="4" t="s">
        <v>70</v>
      </c>
      <c r="U217" s="4" t="s">
        <v>71</v>
      </c>
      <c r="V217" s="4" t="s">
        <v>63</v>
      </c>
      <c r="W217" s="4" t="s">
        <v>312</v>
      </c>
      <c r="X217" s="4" t="s">
        <v>54</v>
      </c>
      <c r="Y217" s="4" t="s">
        <v>211</v>
      </c>
      <c r="Z217" s="12">
        <v>0</v>
      </c>
      <c r="AA217" s="13" t="s">
        <v>9146</v>
      </c>
      <c r="AB217" s="13" t="s">
        <v>9147</v>
      </c>
      <c r="AC217" s="14" t="s">
        <v>9139</v>
      </c>
      <c r="AD217" s="14" t="s">
        <v>9140</v>
      </c>
      <c r="AE217" s="14" t="s">
        <v>9140</v>
      </c>
      <c r="AF217" s="14" t="s">
        <v>63</v>
      </c>
      <c r="AG217" s="14" t="s">
        <v>54</v>
      </c>
      <c r="AH217" s="15" t="s">
        <v>9220</v>
      </c>
      <c r="AI217" s="15" t="s">
        <v>9188</v>
      </c>
      <c r="AJ217" s="15" t="s">
        <v>9143</v>
      </c>
      <c r="AK217" s="15" t="s">
        <v>9221</v>
      </c>
      <c r="AL217" s="15" t="s">
        <v>9232</v>
      </c>
      <c r="AM217" s="16" t="s">
        <v>9221</v>
      </c>
      <c r="AN217" s="16" t="s">
        <v>9233</v>
      </c>
    </row>
    <row r="218" spans="1:40" x14ac:dyDescent="0.25">
      <c r="A218" s="4" t="s">
        <v>8187</v>
      </c>
      <c r="B218" s="4"/>
      <c r="C218" s="4" t="s">
        <v>39</v>
      </c>
      <c r="D218" s="4" t="s">
        <v>8177</v>
      </c>
      <c r="E218" s="4" t="s">
        <v>8178</v>
      </c>
      <c r="F218" s="10">
        <v>45727</v>
      </c>
      <c r="G218" s="11">
        <v>0.50347222222222221</v>
      </c>
      <c r="H218" s="4" t="s">
        <v>4516</v>
      </c>
      <c r="I218" s="4" t="s">
        <v>8179</v>
      </c>
      <c r="J218" s="4" t="s">
        <v>8180</v>
      </c>
      <c r="K218" s="4" t="s">
        <v>8188</v>
      </c>
      <c r="L218" s="4" t="s">
        <v>8189</v>
      </c>
      <c r="M218" s="4" t="s">
        <v>46</v>
      </c>
      <c r="N218" s="4"/>
      <c r="O218" s="4" t="s">
        <v>47</v>
      </c>
      <c r="P218" s="4" t="s">
        <v>48</v>
      </c>
      <c r="Q218" s="4">
        <v>0</v>
      </c>
      <c r="R218" s="4" t="b">
        <v>0</v>
      </c>
      <c r="S218" s="4" t="s">
        <v>49</v>
      </c>
      <c r="T218" s="4" t="s">
        <v>50</v>
      </c>
      <c r="U218" s="4" t="s">
        <v>71</v>
      </c>
      <c r="V218" s="4" t="s">
        <v>63</v>
      </c>
      <c r="W218" s="4" t="s">
        <v>312</v>
      </c>
      <c r="X218" s="4" t="s">
        <v>54</v>
      </c>
      <c r="Y218" s="4"/>
      <c r="Z218" s="12">
        <v>0</v>
      </c>
      <c r="AA218" s="13" t="s">
        <v>9146</v>
      </c>
      <c r="AB218" s="13" t="s">
        <v>9147</v>
      </c>
      <c r="AC218" s="14" t="s">
        <v>9139</v>
      </c>
      <c r="AD218" s="14" t="s">
        <v>9140</v>
      </c>
      <c r="AE218" s="14" t="s">
        <v>9140</v>
      </c>
      <c r="AF218" s="14" t="s">
        <v>63</v>
      </c>
      <c r="AG218" s="14" t="s">
        <v>54</v>
      </c>
      <c r="AH218" s="15" t="s">
        <v>9220</v>
      </c>
      <c r="AI218" s="15" t="s">
        <v>9188</v>
      </c>
      <c r="AJ218" s="15" t="s">
        <v>9143</v>
      </c>
      <c r="AK218" s="15" t="s">
        <v>9221</v>
      </c>
      <c r="AL218" s="15" t="s">
        <v>9232</v>
      </c>
      <c r="AM218" s="16" t="s">
        <v>9221</v>
      </c>
      <c r="AN218" s="16" t="s">
        <v>9233</v>
      </c>
    </row>
    <row r="219" spans="1:40" x14ac:dyDescent="0.25">
      <c r="A219" s="4" t="s">
        <v>5289</v>
      </c>
      <c r="B219" s="4"/>
      <c r="C219" s="4" t="s">
        <v>39</v>
      </c>
      <c r="D219" s="4" t="s">
        <v>5290</v>
      </c>
      <c r="E219" s="4" t="s">
        <v>5291</v>
      </c>
      <c r="F219" s="10">
        <v>45727</v>
      </c>
      <c r="G219" s="11">
        <v>0.50694444444444442</v>
      </c>
      <c r="H219" s="4" t="s">
        <v>4516</v>
      </c>
      <c r="I219" s="4" t="s">
        <v>5275</v>
      </c>
      <c r="J219" s="4" t="s">
        <v>5276</v>
      </c>
      <c r="K219" s="4" t="s">
        <v>5292</v>
      </c>
      <c r="L219" s="4" t="s">
        <v>5293</v>
      </c>
      <c r="M219" s="4" t="s">
        <v>46</v>
      </c>
      <c r="N219" s="4"/>
      <c r="O219" s="4" t="s">
        <v>47</v>
      </c>
      <c r="P219" s="4" t="s">
        <v>48</v>
      </c>
      <c r="Q219" s="4">
        <v>0</v>
      </c>
      <c r="R219" s="4" t="b">
        <v>0</v>
      </c>
      <c r="S219" s="4" t="s">
        <v>61</v>
      </c>
      <c r="T219" s="4" t="s">
        <v>50</v>
      </c>
      <c r="U219" s="4" t="s">
        <v>71</v>
      </c>
      <c r="V219" s="4" t="s">
        <v>63</v>
      </c>
      <c r="W219" s="4" t="s">
        <v>108</v>
      </c>
      <c r="X219" s="4" t="s">
        <v>54</v>
      </c>
      <c r="Y219" s="4"/>
      <c r="Z219" s="12">
        <v>0</v>
      </c>
      <c r="AA219" s="13" t="s">
        <v>9146</v>
      </c>
      <c r="AB219" s="13" t="s">
        <v>9147</v>
      </c>
      <c r="AC219" s="14" t="s">
        <v>9148</v>
      </c>
      <c r="AD219" s="14" t="s">
        <v>9140</v>
      </c>
      <c r="AE219" s="14" t="s">
        <v>9140</v>
      </c>
      <c r="AF219" s="14" t="s">
        <v>63</v>
      </c>
      <c r="AG219" s="14" t="s">
        <v>54</v>
      </c>
      <c r="AH219" s="15" t="s">
        <v>9220</v>
      </c>
      <c r="AI219" s="15" t="s">
        <v>9188</v>
      </c>
      <c r="AJ219" s="15" t="s">
        <v>9143</v>
      </c>
      <c r="AK219" s="15" t="s">
        <v>9221</v>
      </c>
      <c r="AL219" s="15" t="s">
        <v>9230</v>
      </c>
      <c r="AM219" s="16" t="s">
        <v>9221</v>
      </c>
      <c r="AN219" s="16" t="s">
        <v>9231</v>
      </c>
    </row>
    <row r="220" spans="1:40" x14ac:dyDescent="0.25">
      <c r="A220" s="4" t="s">
        <v>4594</v>
      </c>
      <c r="B220" s="4"/>
      <c r="C220" s="4" t="s">
        <v>39</v>
      </c>
      <c r="D220" s="4" t="s">
        <v>4595</v>
      </c>
      <c r="E220" s="4" t="s">
        <v>4596</v>
      </c>
      <c r="F220" s="10">
        <v>45727</v>
      </c>
      <c r="G220" s="11">
        <v>0.40277777777777779</v>
      </c>
      <c r="H220" s="4" t="s">
        <v>4516</v>
      </c>
      <c r="I220" s="4" t="s">
        <v>4586</v>
      </c>
      <c r="J220" s="4" t="s">
        <v>2630</v>
      </c>
      <c r="K220" s="4" t="s">
        <v>4597</v>
      </c>
      <c r="L220" s="4" t="s">
        <v>4598</v>
      </c>
      <c r="M220" s="4" t="s">
        <v>46</v>
      </c>
      <c r="N220" s="4"/>
      <c r="O220" s="4" t="s">
        <v>47</v>
      </c>
      <c r="P220" s="4" t="s">
        <v>48</v>
      </c>
      <c r="Q220" s="4">
        <v>0</v>
      </c>
      <c r="R220" s="4" t="b">
        <v>0</v>
      </c>
      <c r="S220" s="4" t="s">
        <v>49</v>
      </c>
      <c r="T220" s="4" t="s">
        <v>70</v>
      </c>
      <c r="U220" s="4" t="s">
        <v>71</v>
      </c>
      <c r="V220" s="4" t="s">
        <v>63</v>
      </c>
      <c r="W220" s="4" t="s">
        <v>784</v>
      </c>
      <c r="X220" s="4" t="s">
        <v>54</v>
      </c>
      <c r="Y220" s="4" t="s">
        <v>176</v>
      </c>
      <c r="Z220" s="12">
        <v>0</v>
      </c>
      <c r="AA220" s="13" t="s">
        <v>9146</v>
      </c>
      <c r="AB220" s="13" t="s">
        <v>9147</v>
      </c>
      <c r="AC220" s="14" t="s">
        <v>9139</v>
      </c>
      <c r="AD220" s="14" t="s">
        <v>9140</v>
      </c>
      <c r="AE220" s="14" t="s">
        <v>9140</v>
      </c>
      <c r="AF220" s="14" t="s">
        <v>63</v>
      </c>
      <c r="AG220" s="14" t="s">
        <v>54</v>
      </c>
      <c r="AH220" s="15" t="s">
        <v>9220</v>
      </c>
      <c r="AI220" s="15" t="s">
        <v>9188</v>
      </c>
      <c r="AJ220" s="15" t="s">
        <v>9143</v>
      </c>
      <c r="AK220" s="15" t="s">
        <v>9221</v>
      </c>
      <c r="AL220" s="15" t="s">
        <v>9232</v>
      </c>
      <c r="AM220" s="16" t="s">
        <v>9221</v>
      </c>
      <c r="AN220" s="16" t="s">
        <v>9233</v>
      </c>
    </row>
    <row r="221" spans="1:40" x14ac:dyDescent="0.25">
      <c r="A221" s="4" t="s">
        <v>541</v>
      </c>
      <c r="B221" s="4"/>
      <c r="C221" s="4" t="s">
        <v>39</v>
      </c>
      <c r="D221" s="4" t="s">
        <v>542</v>
      </c>
      <c r="E221" s="4" t="s">
        <v>543</v>
      </c>
      <c r="F221" s="10">
        <v>45727</v>
      </c>
      <c r="G221" s="11">
        <v>0.72222222222222221</v>
      </c>
      <c r="H221" s="4" t="s">
        <v>463</v>
      </c>
      <c r="I221" s="4">
        <v>2020</v>
      </c>
      <c r="J221" s="4" t="s">
        <v>538</v>
      </c>
      <c r="K221" s="4" t="s">
        <v>544</v>
      </c>
      <c r="L221" s="4" t="s">
        <v>545</v>
      </c>
      <c r="M221" s="4" t="s">
        <v>46</v>
      </c>
      <c r="N221" s="4"/>
      <c r="O221" s="4" t="s">
        <v>47</v>
      </c>
      <c r="P221" s="4" t="s">
        <v>48</v>
      </c>
      <c r="Q221" s="4">
        <v>0</v>
      </c>
      <c r="R221" s="4" t="b">
        <v>0</v>
      </c>
      <c r="S221" s="4" t="s">
        <v>61</v>
      </c>
      <c r="T221" s="4" t="s">
        <v>115</v>
      </c>
      <c r="U221" s="4" t="s">
        <v>140</v>
      </c>
      <c r="V221" s="4" t="s">
        <v>123</v>
      </c>
      <c r="W221" s="4" t="s">
        <v>124</v>
      </c>
      <c r="X221" s="4" t="s">
        <v>54</v>
      </c>
      <c r="Y221" s="4"/>
      <c r="Z221" s="12">
        <v>0</v>
      </c>
      <c r="AA221" s="13" t="s">
        <v>9146</v>
      </c>
      <c r="AB221" s="13" t="s">
        <v>9147</v>
      </c>
      <c r="AC221" s="14" t="s">
        <v>9148</v>
      </c>
      <c r="AD221" s="14" t="s">
        <v>9140</v>
      </c>
      <c r="AE221" s="14" t="s">
        <v>9140</v>
      </c>
      <c r="AF221" s="14" t="s">
        <v>123</v>
      </c>
      <c r="AG221" s="14" t="s">
        <v>54</v>
      </c>
      <c r="AH221" s="15" t="s">
        <v>9141</v>
      </c>
      <c r="AI221" s="15" t="s">
        <v>9175</v>
      </c>
      <c r="AJ221" s="15" t="s">
        <v>9143</v>
      </c>
      <c r="AK221" s="15" t="s">
        <v>9141</v>
      </c>
      <c r="AL221" s="15" t="s">
        <v>9175</v>
      </c>
      <c r="AM221" s="16" t="s">
        <v>9141</v>
      </c>
      <c r="AN221" s="16" t="s">
        <v>9176</v>
      </c>
    </row>
    <row r="222" spans="1:40" x14ac:dyDescent="0.25">
      <c r="A222" s="4" t="s">
        <v>1052</v>
      </c>
      <c r="B222" s="4"/>
      <c r="C222" s="4" t="s">
        <v>39</v>
      </c>
      <c r="D222" s="4" t="s">
        <v>1053</v>
      </c>
      <c r="E222" s="4" t="s">
        <v>1054</v>
      </c>
      <c r="F222" s="10">
        <v>45727</v>
      </c>
      <c r="G222" s="11">
        <v>0.4513888888888889</v>
      </c>
      <c r="H222" s="4" t="s">
        <v>463</v>
      </c>
      <c r="I222" s="4">
        <v>2048</v>
      </c>
      <c r="J222" s="4" t="s">
        <v>1055</v>
      </c>
      <c r="K222" s="4" t="s">
        <v>1056</v>
      </c>
      <c r="L222" s="4" t="s">
        <v>1057</v>
      </c>
      <c r="M222" s="4" t="s">
        <v>46</v>
      </c>
      <c r="N222" s="4"/>
      <c r="O222" s="4" t="s">
        <v>47</v>
      </c>
      <c r="P222" s="4" t="s">
        <v>48</v>
      </c>
      <c r="Q222" s="4">
        <v>0</v>
      </c>
      <c r="R222" s="4" t="b">
        <v>0</v>
      </c>
      <c r="S222" s="4" t="s">
        <v>49</v>
      </c>
      <c r="T222" s="4" t="s">
        <v>1058</v>
      </c>
      <c r="U222" s="4" t="s">
        <v>71</v>
      </c>
      <c r="V222" s="4" t="s">
        <v>405</v>
      </c>
      <c r="W222" s="4" t="s">
        <v>406</v>
      </c>
      <c r="X222" s="4" t="s">
        <v>54</v>
      </c>
      <c r="Y222" s="4"/>
      <c r="Z222" s="12">
        <v>0</v>
      </c>
      <c r="AA222" s="13" t="s">
        <v>9146</v>
      </c>
      <c r="AB222" s="13" t="s">
        <v>9147</v>
      </c>
      <c r="AC222" s="14" t="s">
        <v>9139</v>
      </c>
      <c r="AD222" s="14" t="s">
        <v>9140</v>
      </c>
      <c r="AE222" s="14" t="s">
        <v>9140</v>
      </c>
      <c r="AF222" s="14" t="s">
        <v>405</v>
      </c>
      <c r="AG222" s="14" t="s">
        <v>54</v>
      </c>
      <c r="AH222" s="15" t="s">
        <v>9141</v>
      </c>
      <c r="AI222" s="15" t="s">
        <v>9175</v>
      </c>
      <c r="AJ222" s="15" t="s">
        <v>9143</v>
      </c>
      <c r="AK222" s="15" t="s">
        <v>9141</v>
      </c>
      <c r="AL222" s="15" t="s">
        <v>9177</v>
      </c>
      <c r="AM222" s="16" t="s">
        <v>9141</v>
      </c>
      <c r="AN222" s="16" t="s">
        <v>9178</v>
      </c>
    </row>
    <row r="223" spans="1:40" x14ac:dyDescent="0.25">
      <c r="A223" s="4" t="s">
        <v>4982</v>
      </c>
      <c r="B223" s="4"/>
      <c r="C223" s="4" t="s">
        <v>39</v>
      </c>
      <c r="D223" s="4" t="s">
        <v>4983</v>
      </c>
      <c r="E223" s="4" t="s">
        <v>4984</v>
      </c>
      <c r="F223" s="10">
        <v>45726</v>
      </c>
      <c r="G223" s="11">
        <v>0.68888888888888888</v>
      </c>
      <c r="H223" s="4" t="s">
        <v>4516</v>
      </c>
      <c r="I223" s="4" t="s">
        <v>4969</v>
      </c>
      <c r="J223" s="4" t="s">
        <v>3453</v>
      </c>
      <c r="K223" s="4" t="s">
        <v>4985</v>
      </c>
      <c r="L223" s="4" t="s">
        <v>4986</v>
      </c>
      <c r="M223" s="4" t="s">
        <v>46</v>
      </c>
      <c r="N223" s="4"/>
      <c r="O223" s="4" t="s">
        <v>47</v>
      </c>
      <c r="P223" s="4" t="s">
        <v>48</v>
      </c>
      <c r="Q223" s="4">
        <v>0</v>
      </c>
      <c r="R223" s="4" t="b">
        <v>0</v>
      </c>
      <c r="S223" s="4" t="s">
        <v>49</v>
      </c>
      <c r="T223" s="4" t="s">
        <v>50</v>
      </c>
      <c r="U223" s="4" t="s">
        <v>600</v>
      </c>
      <c r="V223" s="4" t="s">
        <v>123</v>
      </c>
      <c r="W223" s="4" t="s">
        <v>124</v>
      </c>
      <c r="X223" s="4" t="s">
        <v>54</v>
      </c>
      <c r="Y223" s="4"/>
      <c r="Z223" s="12">
        <v>0</v>
      </c>
      <c r="AA223" s="13" t="s">
        <v>9146</v>
      </c>
      <c r="AB223" s="13" t="s">
        <v>9147</v>
      </c>
      <c r="AC223" s="14" t="s">
        <v>9139</v>
      </c>
      <c r="AD223" s="14" t="s">
        <v>9140</v>
      </c>
      <c r="AE223" s="14" t="s">
        <v>9140</v>
      </c>
      <c r="AF223" s="14" t="s">
        <v>123</v>
      </c>
      <c r="AG223" s="14" t="s">
        <v>54</v>
      </c>
      <c r="AH223" s="15" t="s">
        <v>9220</v>
      </c>
      <c r="AI223" s="15" t="s">
        <v>9188</v>
      </c>
      <c r="AJ223" s="15" t="s">
        <v>9143</v>
      </c>
      <c r="AK223" s="15" t="s">
        <v>9221</v>
      </c>
      <c r="AL223" s="15" t="s">
        <v>9230</v>
      </c>
      <c r="AM223" s="16" t="s">
        <v>9221</v>
      </c>
      <c r="AN223" s="16" t="s">
        <v>9231</v>
      </c>
    </row>
    <row r="224" spans="1:40" x14ac:dyDescent="0.25">
      <c r="A224" s="4" t="s">
        <v>1287</v>
      </c>
      <c r="B224" s="4" t="s">
        <v>1288</v>
      </c>
      <c r="C224" s="4" t="s">
        <v>39</v>
      </c>
      <c r="D224" s="4" t="s">
        <v>1289</v>
      </c>
      <c r="E224" s="4" t="s">
        <v>1290</v>
      </c>
      <c r="F224" s="10">
        <v>45725</v>
      </c>
      <c r="G224" s="11">
        <v>0.60416666666666663</v>
      </c>
      <c r="H224" s="4" t="s">
        <v>1155</v>
      </c>
      <c r="I224" s="4">
        <v>4044</v>
      </c>
      <c r="J224" s="4" t="s">
        <v>1285</v>
      </c>
      <c r="K224" s="4" t="s">
        <v>1291</v>
      </c>
      <c r="L224" s="4" t="s">
        <v>1292</v>
      </c>
      <c r="M224" s="4" t="s">
        <v>46</v>
      </c>
      <c r="N224" s="4"/>
      <c r="O224" s="4" t="s">
        <v>47</v>
      </c>
      <c r="P224" s="4" t="s">
        <v>48</v>
      </c>
      <c r="Q224" s="4">
        <v>0</v>
      </c>
      <c r="R224" s="4" t="b">
        <v>0</v>
      </c>
      <c r="S224" s="4" t="s">
        <v>61</v>
      </c>
      <c r="T224" s="4" t="s">
        <v>50</v>
      </c>
      <c r="U224" s="4" t="s">
        <v>71</v>
      </c>
      <c r="V224" s="4" t="s">
        <v>63</v>
      </c>
      <c r="W224" s="4" t="s">
        <v>312</v>
      </c>
      <c r="X224" s="4" t="s">
        <v>54</v>
      </c>
      <c r="Y224" s="4" t="s">
        <v>176</v>
      </c>
      <c r="Z224" s="12">
        <v>0</v>
      </c>
      <c r="AA224" s="13" t="s">
        <v>9146</v>
      </c>
      <c r="AB224" s="13" t="s">
        <v>9147</v>
      </c>
      <c r="AC224" s="14" t="s">
        <v>9148</v>
      </c>
      <c r="AD224" s="14" t="s">
        <v>9140</v>
      </c>
      <c r="AE224" s="14" t="s">
        <v>9140</v>
      </c>
      <c r="AF224" s="14" t="s">
        <v>63</v>
      </c>
      <c r="AG224" s="14" t="s">
        <v>54</v>
      </c>
      <c r="AH224" s="15" t="s">
        <v>9141</v>
      </c>
      <c r="AI224" s="15" t="s">
        <v>9187</v>
      </c>
      <c r="AJ224" s="15" t="s">
        <v>9143</v>
      </c>
      <c r="AK224" s="15" t="s">
        <v>9141</v>
      </c>
      <c r="AL224" s="15" t="s">
        <v>9144</v>
      </c>
      <c r="AM224" s="16" t="s">
        <v>9141</v>
      </c>
      <c r="AN224" s="16" t="s">
        <v>9145</v>
      </c>
    </row>
    <row r="225" spans="1:40" x14ac:dyDescent="0.25">
      <c r="A225" s="4" t="s">
        <v>418</v>
      </c>
      <c r="B225" s="4" t="s">
        <v>419</v>
      </c>
      <c r="C225" s="4" t="s">
        <v>39</v>
      </c>
      <c r="D225" s="4" t="s">
        <v>420</v>
      </c>
      <c r="E225" s="4" t="s">
        <v>421</v>
      </c>
      <c r="F225" s="10">
        <v>45725</v>
      </c>
      <c r="G225" s="11">
        <v>0.71180555555555558</v>
      </c>
      <c r="H225" s="4" t="s">
        <v>42</v>
      </c>
      <c r="I225" s="4">
        <v>1013</v>
      </c>
      <c r="J225" s="4" t="s">
        <v>422</v>
      </c>
      <c r="K225" s="4" t="s">
        <v>423</v>
      </c>
      <c r="L225" s="4" t="s">
        <v>424</v>
      </c>
      <c r="M225" s="4" t="s">
        <v>28</v>
      </c>
      <c r="N225" s="4" t="s">
        <v>183</v>
      </c>
      <c r="O225" s="4" t="s">
        <v>344</v>
      </c>
      <c r="P225" s="4" t="s">
        <v>60</v>
      </c>
      <c r="Q225" s="4">
        <v>93</v>
      </c>
      <c r="R225" s="4" t="b">
        <v>0</v>
      </c>
      <c r="S225" s="4" t="s">
        <v>184</v>
      </c>
      <c r="T225" s="4" t="s">
        <v>425</v>
      </c>
      <c r="U225" s="4" t="s">
        <v>426</v>
      </c>
      <c r="V225" s="4" t="s">
        <v>123</v>
      </c>
      <c r="W225" s="4" t="s">
        <v>124</v>
      </c>
      <c r="X225" s="4" t="s">
        <v>54</v>
      </c>
      <c r="Y225" s="4"/>
      <c r="Z225" s="12" t="s">
        <v>60</v>
      </c>
      <c r="AA225" s="13" t="s">
        <v>9146</v>
      </c>
      <c r="AB225" s="13" t="s">
        <v>9147</v>
      </c>
      <c r="AC225" s="14" t="s">
        <v>9166</v>
      </c>
      <c r="AD225" s="14" t="s">
        <v>28</v>
      </c>
      <c r="AE225" s="14" t="s">
        <v>183</v>
      </c>
      <c r="AF225" s="14" t="s">
        <v>123</v>
      </c>
      <c r="AG225" s="14" t="s">
        <v>54</v>
      </c>
      <c r="AH225" s="15" t="s">
        <v>9141</v>
      </c>
      <c r="AI225" s="15" t="s">
        <v>9142</v>
      </c>
      <c r="AJ225" s="15" t="s">
        <v>9143</v>
      </c>
      <c r="AK225" s="15" t="s">
        <v>9141</v>
      </c>
      <c r="AL225" s="15" t="s">
        <v>9144</v>
      </c>
      <c r="AM225" s="16" t="s">
        <v>9141</v>
      </c>
      <c r="AN225" s="16" t="s">
        <v>9145</v>
      </c>
    </row>
    <row r="226" spans="1:40" x14ac:dyDescent="0.25">
      <c r="A226" s="4" t="s">
        <v>472</v>
      </c>
      <c r="B226" s="4">
        <v>12240080152</v>
      </c>
      <c r="C226" s="4" t="s">
        <v>39</v>
      </c>
      <c r="D226" s="4" t="s">
        <v>473</v>
      </c>
      <c r="E226" s="4" t="s">
        <v>474</v>
      </c>
      <c r="F226" s="10">
        <v>45723</v>
      </c>
      <c r="G226" s="11">
        <v>0.63194444444444442</v>
      </c>
      <c r="H226" s="4" t="s">
        <v>463</v>
      </c>
      <c r="I226" s="4">
        <v>2016</v>
      </c>
      <c r="J226" s="4" t="s">
        <v>475</v>
      </c>
      <c r="K226" s="4" t="s">
        <v>476</v>
      </c>
      <c r="L226" s="4" t="s">
        <v>477</v>
      </c>
      <c r="M226" s="4" t="s">
        <v>28</v>
      </c>
      <c r="N226" s="4" t="s">
        <v>478</v>
      </c>
      <c r="O226" s="4" t="s">
        <v>191</v>
      </c>
      <c r="P226" s="4" t="s">
        <v>60</v>
      </c>
      <c r="Q226" s="4">
        <v>27</v>
      </c>
      <c r="R226" s="4" t="b">
        <v>0</v>
      </c>
      <c r="S226" s="4" t="s">
        <v>49</v>
      </c>
      <c r="T226" s="4" t="s">
        <v>479</v>
      </c>
      <c r="U226" s="4" t="s">
        <v>480</v>
      </c>
      <c r="V226" s="4" t="s">
        <v>52</v>
      </c>
      <c r="W226" s="4" t="s">
        <v>374</v>
      </c>
      <c r="X226" s="4" t="s">
        <v>54</v>
      </c>
      <c r="Y226" s="4"/>
      <c r="Z226" s="12" t="s">
        <v>60</v>
      </c>
      <c r="AA226" s="13" t="s">
        <v>9146</v>
      </c>
      <c r="AB226" s="13" t="s">
        <v>9147</v>
      </c>
      <c r="AC226" s="14" t="s">
        <v>9139</v>
      </c>
      <c r="AD226" s="14" t="s">
        <v>28</v>
      </c>
      <c r="AE226" s="14" t="s">
        <v>478</v>
      </c>
      <c r="AF226" s="14" t="s">
        <v>52</v>
      </c>
      <c r="AG226" s="14" t="s">
        <v>54</v>
      </c>
      <c r="AH226" s="15" t="s">
        <v>9141</v>
      </c>
      <c r="AI226" s="15" t="s">
        <v>9175</v>
      </c>
      <c r="AJ226" s="15" t="s">
        <v>9143</v>
      </c>
      <c r="AK226" s="15" t="s">
        <v>9141</v>
      </c>
      <c r="AL226" s="15" t="s">
        <v>9177</v>
      </c>
      <c r="AM226" s="16" t="s">
        <v>9141</v>
      </c>
      <c r="AN226" s="16" t="s">
        <v>9178</v>
      </c>
    </row>
    <row r="227" spans="1:40" x14ac:dyDescent="0.25">
      <c r="A227" s="4" t="s">
        <v>7789</v>
      </c>
      <c r="B227" s="4" t="s">
        <v>7790</v>
      </c>
      <c r="C227" s="4" t="s">
        <v>39</v>
      </c>
      <c r="D227" s="4" t="s">
        <v>7791</v>
      </c>
      <c r="E227" s="4" t="s">
        <v>7792</v>
      </c>
      <c r="F227" s="10">
        <v>45723</v>
      </c>
      <c r="G227" s="11">
        <v>0.51736111111111116</v>
      </c>
      <c r="H227" s="4" t="s">
        <v>5666</v>
      </c>
      <c r="I227" s="4" t="s">
        <v>7793</v>
      </c>
      <c r="J227" s="4" t="s">
        <v>7794</v>
      </c>
      <c r="K227" s="4" t="s">
        <v>7795</v>
      </c>
      <c r="L227" s="4" t="s">
        <v>7796</v>
      </c>
      <c r="M227" s="4" t="s">
        <v>28</v>
      </c>
      <c r="N227" s="4" t="s">
        <v>183</v>
      </c>
      <c r="O227" s="4" t="s">
        <v>344</v>
      </c>
      <c r="P227" s="4" t="s">
        <v>60</v>
      </c>
      <c r="Q227" s="4">
        <v>93</v>
      </c>
      <c r="R227" s="4" t="b">
        <v>0</v>
      </c>
      <c r="S227" s="4" t="s">
        <v>114</v>
      </c>
      <c r="T227" s="4" t="s">
        <v>115</v>
      </c>
      <c r="U227" s="4" t="s">
        <v>175</v>
      </c>
      <c r="V227" s="4" t="s">
        <v>52</v>
      </c>
      <c r="W227" s="4" t="s">
        <v>53</v>
      </c>
      <c r="X227" s="4" t="s">
        <v>54</v>
      </c>
      <c r="Y227" s="4" t="s">
        <v>176</v>
      </c>
      <c r="Z227" s="12" t="s">
        <v>60</v>
      </c>
      <c r="AA227" s="13" t="s">
        <v>9146</v>
      </c>
      <c r="AB227" s="13" t="s">
        <v>9147</v>
      </c>
      <c r="AC227" s="14" t="s">
        <v>9157</v>
      </c>
      <c r="AD227" s="14" t="s">
        <v>28</v>
      </c>
      <c r="AE227" s="14" t="s">
        <v>183</v>
      </c>
      <c r="AF227" s="14" t="s">
        <v>52</v>
      </c>
      <c r="AG227" s="14" t="s">
        <v>54</v>
      </c>
      <c r="AH227" s="15" t="s">
        <v>9220</v>
      </c>
      <c r="AI227" s="15" t="s">
        <v>9199</v>
      </c>
      <c r="AJ227" s="15" t="s">
        <v>9143</v>
      </c>
      <c r="AK227" s="15" t="s">
        <v>9221</v>
      </c>
      <c r="AL227" s="15" t="s">
        <v>9199</v>
      </c>
      <c r="AM227" s="16" t="s">
        <v>9221</v>
      </c>
      <c r="AN227" s="16" t="s">
        <v>9238</v>
      </c>
    </row>
    <row r="228" spans="1:40" x14ac:dyDescent="0.25">
      <c r="A228" s="4" t="s">
        <v>5552</v>
      </c>
      <c r="B228" s="4"/>
      <c r="C228" s="4" t="s">
        <v>39</v>
      </c>
      <c r="D228" s="4" t="s">
        <v>5553</v>
      </c>
      <c r="E228" s="4" t="s">
        <v>5554</v>
      </c>
      <c r="F228" s="10">
        <v>45723</v>
      </c>
      <c r="G228" s="11">
        <v>0.625</v>
      </c>
      <c r="H228" s="4" t="s">
        <v>4910</v>
      </c>
      <c r="I228" s="4" t="s">
        <v>5555</v>
      </c>
      <c r="J228" s="4" t="s">
        <v>3170</v>
      </c>
      <c r="K228" s="4" t="s">
        <v>5556</v>
      </c>
      <c r="L228" s="4" t="s">
        <v>5557</v>
      </c>
      <c r="M228" s="4" t="s">
        <v>46</v>
      </c>
      <c r="N228" s="4"/>
      <c r="O228" s="4" t="s">
        <v>47</v>
      </c>
      <c r="P228" s="4" t="s">
        <v>48</v>
      </c>
      <c r="Q228" s="4">
        <v>0</v>
      </c>
      <c r="R228" s="4" t="b">
        <v>0</v>
      </c>
      <c r="S228" s="4" t="s">
        <v>61</v>
      </c>
      <c r="T228" s="4" t="s">
        <v>115</v>
      </c>
      <c r="U228" s="4" t="s">
        <v>116</v>
      </c>
      <c r="V228" s="4" t="s">
        <v>52</v>
      </c>
      <c r="W228" s="4" t="s">
        <v>255</v>
      </c>
      <c r="X228" s="4" t="s">
        <v>54</v>
      </c>
      <c r="Y228" s="4"/>
      <c r="Z228" s="12">
        <v>0</v>
      </c>
      <c r="AA228" s="13" t="s">
        <v>9146</v>
      </c>
      <c r="AB228" s="13" t="s">
        <v>9147</v>
      </c>
      <c r="AC228" s="14" t="s">
        <v>9148</v>
      </c>
      <c r="AD228" s="14" t="s">
        <v>9140</v>
      </c>
      <c r="AE228" s="14" t="s">
        <v>9140</v>
      </c>
      <c r="AF228" s="14" t="s">
        <v>52</v>
      </c>
      <c r="AG228" s="14" t="s">
        <v>54</v>
      </c>
      <c r="AH228" s="15" t="s">
        <v>9220</v>
      </c>
      <c r="AI228" s="15" t="s">
        <v>9191</v>
      </c>
      <c r="AJ228" s="15" t="s">
        <v>9143</v>
      </c>
      <c r="AK228" s="15" t="s">
        <v>9221</v>
      </c>
      <c r="AL228" s="15" t="s">
        <v>9234</v>
      </c>
      <c r="AM228" s="16" t="s">
        <v>9221</v>
      </c>
      <c r="AN228" s="16" t="s">
        <v>9235</v>
      </c>
    </row>
    <row r="229" spans="1:40" x14ac:dyDescent="0.25">
      <c r="A229" s="4" t="s">
        <v>7189</v>
      </c>
      <c r="B229" s="4"/>
      <c r="C229" s="4" t="s">
        <v>39</v>
      </c>
      <c r="D229" s="4" t="s">
        <v>7190</v>
      </c>
      <c r="E229" s="4" t="s">
        <v>7191</v>
      </c>
      <c r="F229" s="10">
        <v>45722</v>
      </c>
      <c r="G229" s="11">
        <v>0.5</v>
      </c>
      <c r="H229" s="4" t="s">
        <v>4516</v>
      </c>
      <c r="I229" s="4" t="s">
        <v>7180</v>
      </c>
      <c r="J229" s="4" t="s">
        <v>7181</v>
      </c>
      <c r="K229" s="4" t="s">
        <v>7192</v>
      </c>
      <c r="L229" s="4" t="s">
        <v>7193</v>
      </c>
      <c r="M229" s="4" t="s">
        <v>46</v>
      </c>
      <c r="N229" s="4"/>
      <c r="O229" s="4" t="s">
        <v>174</v>
      </c>
      <c r="P229" s="4" t="s">
        <v>48</v>
      </c>
      <c r="Q229" s="4">
        <v>4</v>
      </c>
      <c r="R229" s="4" t="b">
        <v>0</v>
      </c>
      <c r="S229" s="4" t="s">
        <v>184</v>
      </c>
      <c r="T229" s="4" t="s">
        <v>433</v>
      </c>
      <c r="U229" s="4" t="s">
        <v>1546</v>
      </c>
      <c r="V229" s="4" t="s">
        <v>81</v>
      </c>
      <c r="W229" s="4" t="s">
        <v>2838</v>
      </c>
      <c r="X229" s="4" t="s">
        <v>2372</v>
      </c>
      <c r="Y229" s="4"/>
      <c r="Z229" s="12">
        <v>0</v>
      </c>
      <c r="AA229" s="13" t="s">
        <v>9146</v>
      </c>
      <c r="AB229" s="13" t="s">
        <v>9147</v>
      </c>
      <c r="AC229" s="14" t="s">
        <v>9166</v>
      </c>
      <c r="AD229" s="14" t="s">
        <v>9140</v>
      </c>
      <c r="AE229" s="14" t="s">
        <v>9140</v>
      </c>
      <c r="AF229" s="14" t="s">
        <v>81</v>
      </c>
      <c r="AG229" s="14" t="s">
        <v>2372</v>
      </c>
      <c r="AH229" s="15" t="s">
        <v>9220</v>
      </c>
      <c r="AI229" s="15" t="s">
        <v>9188</v>
      </c>
      <c r="AJ229" s="15" t="s">
        <v>9143</v>
      </c>
      <c r="AK229" s="15" t="s">
        <v>9221</v>
      </c>
      <c r="AL229" s="15" t="s">
        <v>9230</v>
      </c>
      <c r="AM229" s="16" t="s">
        <v>9221</v>
      </c>
      <c r="AN229" s="16" t="s">
        <v>9231</v>
      </c>
    </row>
    <row r="230" spans="1:40" x14ac:dyDescent="0.25">
      <c r="A230" s="4" t="s">
        <v>5879</v>
      </c>
      <c r="B230" s="4"/>
      <c r="C230" s="4" t="s">
        <v>39</v>
      </c>
      <c r="D230" s="4" t="s">
        <v>5880</v>
      </c>
      <c r="E230" s="4" t="s">
        <v>5881</v>
      </c>
      <c r="F230" s="10">
        <v>45722</v>
      </c>
      <c r="G230" s="11">
        <v>0.58333333333333337</v>
      </c>
      <c r="H230" s="4" t="s">
        <v>5666</v>
      </c>
      <c r="I230" s="4" t="s">
        <v>5876</v>
      </c>
      <c r="J230" s="4" t="s">
        <v>3313</v>
      </c>
      <c r="K230" s="4" t="s">
        <v>3093</v>
      </c>
      <c r="L230" s="4" t="s">
        <v>5882</v>
      </c>
      <c r="M230" s="4" t="s">
        <v>46</v>
      </c>
      <c r="N230" s="4"/>
      <c r="O230" s="4" t="s">
        <v>47</v>
      </c>
      <c r="P230" s="4" t="s">
        <v>48</v>
      </c>
      <c r="Q230" s="4">
        <v>0</v>
      </c>
      <c r="R230" s="4" t="b">
        <v>0</v>
      </c>
      <c r="S230" s="4" t="s">
        <v>61</v>
      </c>
      <c r="T230" s="4" t="s">
        <v>70</v>
      </c>
      <c r="U230" s="4" t="s">
        <v>3093</v>
      </c>
      <c r="V230" s="4" t="s">
        <v>63</v>
      </c>
      <c r="W230" s="4" t="s">
        <v>108</v>
      </c>
      <c r="X230" s="4" t="s">
        <v>54</v>
      </c>
      <c r="Y230" s="4"/>
      <c r="Z230" s="12">
        <v>0</v>
      </c>
      <c r="AA230" s="13" t="s">
        <v>9146</v>
      </c>
      <c r="AB230" s="13" t="s">
        <v>9147</v>
      </c>
      <c r="AC230" s="14" t="s">
        <v>9148</v>
      </c>
      <c r="AD230" s="14" t="s">
        <v>9140</v>
      </c>
      <c r="AE230" s="14" t="s">
        <v>9140</v>
      </c>
      <c r="AF230" s="14" t="s">
        <v>63</v>
      </c>
      <c r="AG230" s="14" t="s">
        <v>54</v>
      </c>
      <c r="AH230" s="15" t="s">
        <v>9220</v>
      </c>
      <c r="AI230" s="15" t="s">
        <v>9199</v>
      </c>
      <c r="AJ230" s="15" t="s">
        <v>9143</v>
      </c>
      <c r="AK230" s="15" t="s">
        <v>9221</v>
      </c>
      <c r="AL230" s="15" t="s">
        <v>9199</v>
      </c>
      <c r="AM230" s="16" t="s">
        <v>9221</v>
      </c>
      <c r="AN230" s="16" t="s">
        <v>9238</v>
      </c>
    </row>
    <row r="231" spans="1:40" x14ac:dyDescent="0.25">
      <c r="A231" s="4" t="s">
        <v>1196</v>
      </c>
      <c r="B231" s="4" t="s">
        <v>1197</v>
      </c>
      <c r="C231" s="4" t="s">
        <v>39</v>
      </c>
      <c r="D231" s="4" t="s">
        <v>1198</v>
      </c>
      <c r="E231" s="4" t="s">
        <v>1199</v>
      </c>
      <c r="F231" s="10">
        <v>45722</v>
      </c>
      <c r="G231" s="11">
        <v>0.4826388888888889</v>
      </c>
      <c r="H231" s="4" t="s">
        <v>1155</v>
      </c>
      <c r="I231" s="4">
        <v>4043</v>
      </c>
      <c r="J231" s="4" t="s">
        <v>1200</v>
      </c>
      <c r="K231" s="4" t="s">
        <v>1201</v>
      </c>
      <c r="L231" s="4" t="s">
        <v>1202</v>
      </c>
      <c r="M231" s="4" t="s">
        <v>28</v>
      </c>
      <c r="N231" s="4" t="s">
        <v>183</v>
      </c>
      <c r="O231" s="4" t="s">
        <v>174</v>
      </c>
      <c r="P231" s="4" t="s">
        <v>48</v>
      </c>
      <c r="Q231" s="4">
        <v>0</v>
      </c>
      <c r="R231" s="4" t="b">
        <v>0</v>
      </c>
      <c r="S231" s="4" t="s">
        <v>184</v>
      </c>
      <c r="T231" s="4" t="s">
        <v>115</v>
      </c>
      <c r="U231" s="4" t="s">
        <v>140</v>
      </c>
      <c r="V231" s="4" t="s">
        <v>123</v>
      </c>
      <c r="W231" s="4" t="s">
        <v>124</v>
      </c>
      <c r="X231" s="4" t="s">
        <v>54</v>
      </c>
      <c r="Y231" s="4"/>
      <c r="Z231" s="12" t="s">
        <v>48</v>
      </c>
      <c r="AA231" s="13" t="s">
        <v>9146</v>
      </c>
      <c r="AB231" s="13" t="s">
        <v>9147</v>
      </c>
      <c r="AC231" s="14" t="s">
        <v>9166</v>
      </c>
      <c r="AD231" s="14" t="s">
        <v>28</v>
      </c>
      <c r="AE231" s="14" t="s">
        <v>183</v>
      </c>
      <c r="AF231" s="14" t="s">
        <v>123</v>
      </c>
      <c r="AG231" s="14" t="s">
        <v>54</v>
      </c>
      <c r="AH231" s="15" t="s">
        <v>9141</v>
      </c>
      <c r="AI231" s="15" t="s">
        <v>9187</v>
      </c>
      <c r="AJ231" s="15" t="s">
        <v>9143</v>
      </c>
      <c r="AK231" s="15" t="s">
        <v>9141</v>
      </c>
      <c r="AL231" s="15" t="s">
        <v>9144</v>
      </c>
      <c r="AM231" s="16" t="s">
        <v>9141</v>
      </c>
      <c r="AN231" s="16" t="s">
        <v>9145</v>
      </c>
    </row>
    <row r="232" spans="1:40" x14ac:dyDescent="0.25">
      <c r="A232" s="4" t="s">
        <v>212</v>
      </c>
      <c r="B232" s="4"/>
      <c r="C232" s="4" t="s">
        <v>39</v>
      </c>
      <c r="D232" s="4" t="s">
        <v>213</v>
      </c>
      <c r="E232" s="4" t="s">
        <v>214</v>
      </c>
      <c r="F232" s="10">
        <v>45722</v>
      </c>
      <c r="G232" s="11">
        <v>0.58333333333333337</v>
      </c>
      <c r="H232" s="4" t="s">
        <v>42</v>
      </c>
      <c r="I232" s="4">
        <v>1011</v>
      </c>
      <c r="J232" s="4" t="s">
        <v>215</v>
      </c>
      <c r="K232" s="4" t="s">
        <v>216</v>
      </c>
      <c r="L232" s="4" t="s">
        <v>217</v>
      </c>
      <c r="M232" s="4" t="s">
        <v>46</v>
      </c>
      <c r="N232" s="4"/>
      <c r="O232" s="4" t="s">
        <v>47</v>
      </c>
      <c r="P232" s="4" t="s">
        <v>48</v>
      </c>
      <c r="Q232" s="4">
        <v>0</v>
      </c>
      <c r="R232" s="4" t="b">
        <v>0</v>
      </c>
      <c r="S232" s="4" t="s">
        <v>61</v>
      </c>
      <c r="T232" s="4" t="s">
        <v>70</v>
      </c>
      <c r="U232" s="4" t="s">
        <v>218</v>
      </c>
      <c r="V232" s="4" t="s">
        <v>63</v>
      </c>
      <c r="W232" s="4" t="s">
        <v>108</v>
      </c>
      <c r="X232" s="4" t="s">
        <v>54</v>
      </c>
      <c r="Y232" s="4"/>
      <c r="Z232" s="12">
        <v>0</v>
      </c>
      <c r="AA232" s="13" t="s">
        <v>9146</v>
      </c>
      <c r="AB232" s="13" t="s">
        <v>9147</v>
      </c>
      <c r="AC232" s="14" t="s">
        <v>9148</v>
      </c>
      <c r="AD232" s="14" t="s">
        <v>9140</v>
      </c>
      <c r="AE232" s="14" t="s">
        <v>9140</v>
      </c>
      <c r="AF232" s="14" t="s">
        <v>63</v>
      </c>
      <c r="AG232" s="14" t="s">
        <v>54</v>
      </c>
      <c r="AH232" s="15" t="s">
        <v>9141</v>
      </c>
      <c r="AI232" s="15" t="s">
        <v>9142</v>
      </c>
      <c r="AJ232" s="15" t="s">
        <v>9143</v>
      </c>
      <c r="AK232" s="15" t="s">
        <v>9141</v>
      </c>
      <c r="AL232" s="15" t="s">
        <v>9144</v>
      </c>
      <c r="AM232" s="16" t="s">
        <v>9141</v>
      </c>
      <c r="AN232" s="16" t="s">
        <v>9145</v>
      </c>
    </row>
    <row r="233" spans="1:40" x14ac:dyDescent="0.25">
      <c r="A233" s="4" t="s">
        <v>853</v>
      </c>
      <c r="B233" s="4"/>
      <c r="C233" s="4" t="s">
        <v>39</v>
      </c>
      <c r="D233" s="4" t="s">
        <v>854</v>
      </c>
      <c r="E233" s="4" t="s">
        <v>855</v>
      </c>
      <c r="F233" s="10">
        <v>45721</v>
      </c>
      <c r="G233" s="11">
        <v>0.53125</v>
      </c>
      <c r="H233" s="4" t="s">
        <v>463</v>
      </c>
      <c r="I233" s="4">
        <v>2029</v>
      </c>
      <c r="J233" s="4" t="s">
        <v>845</v>
      </c>
      <c r="K233" s="4" t="s">
        <v>856</v>
      </c>
      <c r="L233" s="4" t="s">
        <v>857</v>
      </c>
      <c r="M233" s="4" t="s">
        <v>46</v>
      </c>
      <c r="N233" s="4"/>
      <c r="O233" s="4" t="s">
        <v>47</v>
      </c>
      <c r="P233" s="4" t="s">
        <v>48</v>
      </c>
      <c r="Q233" s="4">
        <v>0</v>
      </c>
      <c r="R233" s="4" t="b">
        <v>0</v>
      </c>
      <c r="S233" s="4" t="s">
        <v>49</v>
      </c>
      <c r="T233" s="4" t="s">
        <v>70</v>
      </c>
      <c r="U233" s="4" t="s">
        <v>71</v>
      </c>
      <c r="V233" s="4" t="s">
        <v>63</v>
      </c>
      <c r="W233" s="4" t="s">
        <v>312</v>
      </c>
      <c r="X233" s="4" t="s">
        <v>54</v>
      </c>
      <c r="Y233" s="4"/>
      <c r="Z233" s="12">
        <v>0</v>
      </c>
      <c r="AA233" s="13" t="s">
        <v>9146</v>
      </c>
      <c r="AB233" s="13" t="s">
        <v>9147</v>
      </c>
      <c r="AC233" s="14" t="s">
        <v>9139</v>
      </c>
      <c r="AD233" s="14" t="s">
        <v>9140</v>
      </c>
      <c r="AE233" s="14" t="s">
        <v>9140</v>
      </c>
      <c r="AF233" s="14" t="s">
        <v>63</v>
      </c>
      <c r="AG233" s="14" t="s">
        <v>54</v>
      </c>
      <c r="AH233" s="15" t="s">
        <v>9141</v>
      </c>
      <c r="AI233" s="15" t="s">
        <v>9175</v>
      </c>
      <c r="AJ233" s="15" t="s">
        <v>9143</v>
      </c>
      <c r="AK233" s="15" t="s">
        <v>9141</v>
      </c>
      <c r="AL233" s="15" t="s">
        <v>9177</v>
      </c>
      <c r="AM233" s="16" t="s">
        <v>9141</v>
      </c>
      <c r="AN233" s="16" t="s">
        <v>9178</v>
      </c>
    </row>
    <row r="234" spans="1:40" x14ac:dyDescent="0.25">
      <c r="A234" s="4" t="s">
        <v>1098</v>
      </c>
      <c r="B234" s="4"/>
      <c r="C234" s="4" t="s">
        <v>39</v>
      </c>
      <c r="D234" s="4" t="s">
        <v>1099</v>
      </c>
      <c r="E234" s="4" t="s">
        <v>1100</v>
      </c>
      <c r="F234" s="10">
        <v>45721</v>
      </c>
      <c r="G234" s="11">
        <v>0.50347222222222221</v>
      </c>
      <c r="H234" s="4" t="s">
        <v>463</v>
      </c>
      <c r="I234" s="4">
        <v>2059</v>
      </c>
      <c r="J234" s="4" t="s">
        <v>1101</v>
      </c>
      <c r="K234" s="4" t="s">
        <v>1102</v>
      </c>
      <c r="L234" s="4" t="s">
        <v>1103</v>
      </c>
      <c r="M234" s="4" t="s">
        <v>46</v>
      </c>
      <c r="N234" s="4"/>
      <c r="O234" s="4" t="s">
        <v>47</v>
      </c>
      <c r="P234" s="4" t="s">
        <v>48</v>
      </c>
      <c r="Q234" s="4">
        <v>0</v>
      </c>
      <c r="R234" s="4" t="b">
        <v>0</v>
      </c>
      <c r="S234" s="4" t="s">
        <v>49</v>
      </c>
      <c r="T234" s="4" t="s">
        <v>50</v>
      </c>
      <c r="U234" s="4" t="s">
        <v>218</v>
      </c>
      <c r="V234" s="4" t="s">
        <v>63</v>
      </c>
      <c r="W234" s="4" t="s">
        <v>108</v>
      </c>
      <c r="X234" s="4" t="s">
        <v>54</v>
      </c>
      <c r="Y234" s="4"/>
      <c r="Z234" s="12">
        <v>0</v>
      </c>
      <c r="AA234" s="13" t="s">
        <v>9146</v>
      </c>
      <c r="AB234" s="13" t="s">
        <v>9147</v>
      </c>
      <c r="AC234" s="14" t="s">
        <v>9139</v>
      </c>
      <c r="AD234" s="14" t="s">
        <v>9140</v>
      </c>
      <c r="AE234" s="14" t="s">
        <v>9140</v>
      </c>
      <c r="AF234" s="14" t="s">
        <v>63</v>
      </c>
      <c r="AG234" s="14" t="s">
        <v>54</v>
      </c>
      <c r="AH234" s="15" t="s">
        <v>9141</v>
      </c>
      <c r="AI234" s="15" t="s">
        <v>9175</v>
      </c>
      <c r="AJ234" s="15" t="s">
        <v>9143</v>
      </c>
      <c r="AK234" s="15" t="s">
        <v>9141</v>
      </c>
      <c r="AL234" s="15" t="s">
        <v>9175</v>
      </c>
      <c r="AM234" s="16" t="s">
        <v>9141</v>
      </c>
      <c r="AN234" s="16" t="s">
        <v>9176</v>
      </c>
    </row>
    <row r="235" spans="1:40" x14ac:dyDescent="0.25">
      <c r="A235" s="4" t="s">
        <v>6411</v>
      </c>
      <c r="B235" s="4"/>
      <c r="C235" s="4" t="s">
        <v>39</v>
      </c>
      <c r="D235" s="4" t="s">
        <v>6412</v>
      </c>
      <c r="E235" s="4" t="s">
        <v>6413</v>
      </c>
      <c r="F235" s="10">
        <v>45721</v>
      </c>
      <c r="G235" s="11">
        <v>0.85416666666666663</v>
      </c>
      <c r="H235" s="4" t="s">
        <v>5666</v>
      </c>
      <c r="I235" s="4" t="s">
        <v>6414</v>
      </c>
      <c r="J235" s="4" t="s">
        <v>2019</v>
      </c>
      <c r="K235" s="4" t="s">
        <v>6044</v>
      </c>
      <c r="L235" s="4" t="s">
        <v>6415</v>
      </c>
      <c r="M235" s="4" t="s">
        <v>46</v>
      </c>
      <c r="N235" s="4"/>
      <c r="O235" s="4" t="s">
        <v>47</v>
      </c>
      <c r="P235" s="4" t="s">
        <v>48</v>
      </c>
      <c r="Q235" s="4">
        <v>0</v>
      </c>
      <c r="R235" s="4" t="b">
        <v>0</v>
      </c>
      <c r="S235" s="4" t="s">
        <v>61</v>
      </c>
      <c r="T235" s="4" t="s">
        <v>50</v>
      </c>
      <c r="U235" s="4" t="s">
        <v>373</v>
      </c>
      <c r="V235" s="4" t="s">
        <v>63</v>
      </c>
      <c r="W235" s="4" t="s">
        <v>312</v>
      </c>
      <c r="X235" s="4" t="s">
        <v>54</v>
      </c>
      <c r="Y235" s="4"/>
      <c r="Z235" s="12">
        <v>0</v>
      </c>
      <c r="AA235" s="13" t="s">
        <v>9146</v>
      </c>
      <c r="AB235" s="13" t="s">
        <v>9147</v>
      </c>
      <c r="AC235" s="14" t="s">
        <v>9148</v>
      </c>
      <c r="AD235" s="14" t="s">
        <v>9140</v>
      </c>
      <c r="AE235" s="14" t="s">
        <v>9140</v>
      </c>
      <c r="AF235" s="14" t="s">
        <v>63</v>
      </c>
      <c r="AG235" s="14" t="s">
        <v>54</v>
      </c>
      <c r="AH235" s="15" t="s">
        <v>9220</v>
      </c>
      <c r="AI235" s="15" t="s">
        <v>9199</v>
      </c>
      <c r="AJ235" s="15" t="s">
        <v>9143</v>
      </c>
      <c r="AK235" s="15" t="s">
        <v>9221</v>
      </c>
      <c r="AL235" s="15" t="s">
        <v>9199</v>
      </c>
      <c r="AM235" s="16" t="s">
        <v>9221</v>
      </c>
      <c r="AN235" s="16" t="s">
        <v>9238</v>
      </c>
    </row>
    <row r="236" spans="1:40" x14ac:dyDescent="0.25">
      <c r="A236" s="4" t="s">
        <v>4513</v>
      </c>
      <c r="B236" s="4"/>
      <c r="C236" s="4" t="s">
        <v>39</v>
      </c>
      <c r="D236" s="4" t="s">
        <v>4514</v>
      </c>
      <c r="E236" s="4" t="s">
        <v>4515</v>
      </c>
      <c r="F236" s="10">
        <v>45721</v>
      </c>
      <c r="G236" s="11">
        <v>0.61458333333333337</v>
      </c>
      <c r="H236" s="4" t="s">
        <v>4516</v>
      </c>
      <c r="I236" s="4" t="s">
        <v>4517</v>
      </c>
      <c r="J236" s="4" t="s">
        <v>2272</v>
      </c>
      <c r="K236" s="4" t="s">
        <v>4518</v>
      </c>
      <c r="L236" s="4" t="s">
        <v>4519</v>
      </c>
      <c r="M236" s="4" t="s">
        <v>46</v>
      </c>
      <c r="N236" s="4"/>
      <c r="O236" s="4" t="s">
        <v>47</v>
      </c>
      <c r="P236" s="4" t="s">
        <v>48</v>
      </c>
      <c r="Q236" s="4">
        <v>0</v>
      </c>
      <c r="R236" s="4" t="b">
        <v>0</v>
      </c>
      <c r="S236" s="4" t="s">
        <v>61</v>
      </c>
      <c r="T236" s="4" t="s">
        <v>115</v>
      </c>
      <c r="U236" s="4" t="s">
        <v>426</v>
      </c>
      <c r="V236" s="4" t="s">
        <v>63</v>
      </c>
      <c r="W236" s="4" t="s">
        <v>108</v>
      </c>
      <c r="X236" s="4" t="s">
        <v>54</v>
      </c>
      <c r="Y236" s="4"/>
      <c r="Z236" s="12">
        <v>0</v>
      </c>
      <c r="AA236" s="13" t="s">
        <v>9146</v>
      </c>
      <c r="AB236" s="13" t="s">
        <v>9147</v>
      </c>
      <c r="AC236" s="14" t="s">
        <v>9148</v>
      </c>
      <c r="AD236" s="14" t="s">
        <v>9140</v>
      </c>
      <c r="AE236" s="14" t="s">
        <v>9140</v>
      </c>
      <c r="AF236" s="14" t="s">
        <v>63</v>
      </c>
      <c r="AG236" s="14" t="s">
        <v>54</v>
      </c>
      <c r="AH236" s="15" t="s">
        <v>9220</v>
      </c>
      <c r="AI236" s="15" t="s">
        <v>9188</v>
      </c>
      <c r="AJ236" s="15" t="s">
        <v>9143</v>
      </c>
      <c r="AK236" s="15" t="s">
        <v>9221</v>
      </c>
      <c r="AL236" s="15" t="s">
        <v>9230</v>
      </c>
      <c r="AM236" s="16" t="s">
        <v>9221</v>
      </c>
      <c r="AN236" s="16" t="s">
        <v>9231</v>
      </c>
    </row>
    <row r="237" spans="1:40" x14ac:dyDescent="0.25">
      <c r="A237" s="4" t="s">
        <v>8416</v>
      </c>
      <c r="B237" s="4"/>
      <c r="C237" s="4" t="s">
        <v>39</v>
      </c>
      <c r="D237" s="4" t="s">
        <v>8417</v>
      </c>
      <c r="E237" s="4" t="s">
        <v>8418</v>
      </c>
      <c r="F237" s="10">
        <v>45721</v>
      </c>
      <c r="G237" s="11">
        <v>0.46875</v>
      </c>
      <c r="H237" s="4" t="s">
        <v>4516</v>
      </c>
      <c r="I237" s="4" t="s">
        <v>8419</v>
      </c>
      <c r="J237" s="4" t="s">
        <v>8420</v>
      </c>
      <c r="K237" s="4" t="s">
        <v>8421</v>
      </c>
      <c r="L237" s="4" t="s">
        <v>8422</v>
      </c>
      <c r="M237" s="4" t="s">
        <v>46</v>
      </c>
      <c r="N237" s="4"/>
      <c r="O237" s="4" t="s">
        <v>47</v>
      </c>
      <c r="P237" s="4" t="s">
        <v>48</v>
      </c>
      <c r="Q237" s="4">
        <v>0</v>
      </c>
      <c r="R237" s="4" t="b">
        <v>0</v>
      </c>
      <c r="S237" s="4" t="s">
        <v>49</v>
      </c>
      <c r="T237" s="4" t="s">
        <v>70</v>
      </c>
      <c r="U237" s="4" t="s">
        <v>71</v>
      </c>
      <c r="V237" s="4" t="s">
        <v>63</v>
      </c>
      <c r="W237" s="4" t="s">
        <v>312</v>
      </c>
      <c r="X237" s="4" t="s">
        <v>54</v>
      </c>
      <c r="Y237" s="4" t="s">
        <v>4246</v>
      </c>
      <c r="Z237" s="12">
        <v>0</v>
      </c>
      <c r="AA237" s="13" t="s">
        <v>9146</v>
      </c>
      <c r="AB237" s="13" t="s">
        <v>9147</v>
      </c>
      <c r="AC237" s="14" t="s">
        <v>9139</v>
      </c>
      <c r="AD237" s="14" t="s">
        <v>9140</v>
      </c>
      <c r="AE237" s="14" t="s">
        <v>9140</v>
      </c>
      <c r="AF237" s="14" t="s">
        <v>63</v>
      </c>
      <c r="AG237" s="14" t="s">
        <v>54</v>
      </c>
      <c r="AH237" s="15" t="s">
        <v>9220</v>
      </c>
      <c r="AI237" s="15" t="s">
        <v>9188</v>
      </c>
      <c r="AJ237" s="15" t="s">
        <v>9143</v>
      </c>
      <c r="AK237" s="15" t="s">
        <v>9221</v>
      </c>
      <c r="AL237" s="15" t="s">
        <v>9232</v>
      </c>
      <c r="AM237" s="16" t="s">
        <v>9221</v>
      </c>
      <c r="AN237" s="16" t="s">
        <v>9233</v>
      </c>
    </row>
    <row r="238" spans="1:40" x14ac:dyDescent="0.25">
      <c r="A238" s="4" t="s">
        <v>4101</v>
      </c>
      <c r="B238" s="4"/>
      <c r="C238" s="4" t="s">
        <v>39</v>
      </c>
      <c r="D238" s="4" t="s">
        <v>4102</v>
      </c>
      <c r="E238" s="4" t="s">
        <v>4103</v>
      </c>
      <c r="F238" s="10">
        <v>45720</v>
      </c>
      <c r="G238" s="11">
        <v>0.52083333333333337</v>
      </c>
      <c r="H238" s="4" t="s">
        <v>4019</v>
      </c>
      <c r="I238" s="4" t="s">
        <v>4092</v>
      </c>
      <c r="J238" s="4" t="s">
        <v>4093</v>
      </c>
      <c r="K238" s="4" t="s">
        <v>4104</v>
      </c>
      <c r="L238" s="4" t="s">
        <v>4105</v>
      </c>
      <c r="M238" s="4" t="s">
        <v>46</v>
      </c>
      <c r="N238" s="4"/>
      <c r="O238" s="4" t="s">
        <v>47</v>
      </c>
      <c r="P238" s="4" t="s">
        <v>48</v>
      </c>
      <c r="Q238" s="4">
        <v>5</v>
      </c>
      <c r="R238" s="4" t="b">
        <v>0</v>
      </c>
      <c r="S238" s="4" t="s">
        <v>184</v>
      </c>
      <c r="T238" s="4" t="s">
        <v>50</v>
      </c>
      <c r="U238" s="4" t="s">
        <v>345</v>
      </c>
      <c r="V238" s="4" t="s">
        <v>123</v>
      </c>
      <c r="W238" s="4" t="s">
        <v>124</v>
      </c>
      <c r="X238" s="4" t="s">
        <v>54</v>
      </c>
      <c r="Y238" s="4"/>
      <c r="Z238" s="12">
        <v>0</v>
      </c>
      <c r="AA238" s="13" t="s">
        <v>9146</v>
      </c>
      <c r="AB238" s="13" t="s">
        <v>9147</v>
      </c>
      <c r="AC238" s="14" t="s">
        <v>9166</v>
      </c>
      <c r="AD238" s="14" t="s">
        <v>9140</v>
      </c>
      <c r="AE238" s="14" t="s">
        <v>9140</v>
      </c>
      <c r="AF238" s="14" t="s">
        <v>123</v>
      </c>
      <c r="AG238" s="14" t="s">
        <v>54</v>
      </c>
      <c r="AH238" s="15" t="s">
        <v>9220</v>
      </c>
      <c r="AI238" s="15" t="s">
        <v>9175</v>
      </c>
      <c r="AJ238" s="15" t="s">
        <v>9143</v>
      </c>
      <c r="AK238" s="15" t="s">
        <v>9221</v>
      </c>
      <c r="AL238" s="15" t="s">
        <v>9222</v>
      </c>
      <c r="AM238" s="16" t="s">
        <v>9221</v>
      </c>
      <c r="AN238" s="16" t="s">
        <v>9223</v>
      </c>
    </row>
    <row r="239" spans="1:40" x14ac:dyDescent="0.25">
      <c r="A239" s="4" t="s">
        <v>698</v>
      </c>
      <c r="B239" s="4"/>
      <c r="C239" s="4" t="s">
        <v>39</v>
      </c>
      <c r="D239" s="4" t="s">
        <v>699</v>
      </c>
      <c r="E239" s="4" t="s">
        <v>700</v>
      </c>
      <c r="F239" s="10">
        <v>45720</v>
      </c>
      <c r="G239" s="11">
        <v>0.53472222222222221</v>
      </c>
      <c r="H239" s="4" t="s">
        <v>463</v>
      </c>
      <c r="I239" s="4">
        <v>2025</v>
      </c>
      <c r="J239" s="4" t="s">
        <v>701</v>
      </c>
      <c r="K239" s="4" t="s">
        <v>702</v>
      </c>
      <c r="L239" s="4" t="s">
        <v>703</v>
      </c>
      <c r="M239" s="4" t="s">
        <v>46</v>
      </c>
      <c r="N239" s="4"/>
      <c r="O239" s="4" t="s">
        <v>47</v>
      </c>
      <c r="P239" s="4" t="s">
        <v>48</v>
      </c>
      <c r="Q239" s="4">
        <v>0</v>
      </c>
      <c r="R239" s="4" t="b">
        <v>0</v>
      </c>
      <c r="S239" s="4" t="s">
        <v>49</v>
      </c>
      <c r="T239" s="4" t="s">
        <v>50</v>
      </c>
      <c r="U239" s="4" t="s">
        <v>71</v>
      </c>
      <c r="V239" s="4" t="s">
        <v>63</v>
      </c>
      <c r="W239" s="4" t="s">
        <v>312</v>
      </c>
      <c r="X239" s="4" t="s">
        <v>54</v>
      </c>
      <c r="Y239" s="4"/>
      <c r="Z239" s="12">
        <v>0</v>
      </c>
      <c r="AA239" s="13" t="s">
        <v>9146</v>
      </c>
      <c r="AB239" s="13" t="s">
        <v>9147</v>
      </c>
      <c r="AC239" s="14" t="s">
        <v>9139</v>
      </c>
      <c r="AD239" s="14" t="s">
        <v>9140</v>
      </c>
      <c r="AE239" s="14" t="s">
        <v>9140</v>
      </c>
      <c r="AF239" s="14" t="s">
        <v>63</v>
      </c>
      <c r="AG239" s="14" t="s">
        <v>54</v>
      </c>
      <c r="AH239" s="15" t="s">
        <v>9141</v>
      </c>
      <c r="AI239" s="15" t="s">
        <v>9175</v>
      </c>
      <c r="AJ239" s="15" t="s">
        <v>9143</v>
      </c>
      <c r="AK239" s="15" t="s">
        <v>9141</v>
      </c>
      <c r="AL239" s="15" t="s">
        <v>9175</v>
      </c>
      <c r="AM239" s="16" t="s">
        <v>9141</v>
      </c>
      <c r="AN239" s="16" t="s">
        <v>9176</v>
      </c>
    </row>
    <row r="240" spans="1:40" x14ac:dyDescent="0.25">
      <c r="A240" s="4" t="s">
        <v>1338</v>
      </c>
      <c r="B240" s="4" t="s">
        <v>1339</v>
      </c>
      <c r="C240" s="4" t="s">
        <v>39</v>
      </c>
      <c r="D240" s="4" t="s">
        <v>1340</v>
      </c>
      <c r="E240" s="4" t="s">
        <v>1341</v>
      </c>
      <c r="F240" s="10">
        <v>45719</v>
      </c>
      <c r="G240" s="11">
        <v>0.56041666666666667</v>
      </c>
      <c r="H240" s="4" t="s">
        <v>1155</v>
      </c>
      <c r="I240" s="4">
        <v>4045</v>
      </c>
      <c r="J240" s="4" t="s">
        <v>1329</v>
      </c>
      <c r="K240" s="4" t="s">
        <v>1342</v>
      </c>
      <c r="L240" s="4" t="s">
        <v>1343</v>
      </c>
      <c r="M240" s="4" t="s">
        <v>46</v>
      </c>
      <c r="N240" s="4"/>
      <c r="O240" s="4" t="s">
        <v>47</v>
      </c>
      <c r="P240" s="4" t="s">
        <v>48</v>
      </c>
      <c r="Q240" s="4">
        <v>0</v>
      </c>
      <c r="R240" s="4" t="b">
        <v>0</v>
      </c>
      <c r="S240" s="4" t="s">
        <v>49</v>
      </c>
      <c r="T240" s="4" t="s">
        <v>70</v>
      </c>
      <c r="U240" s="4" t="s">
        <v>71</v>
      </c>
      <c r="V240" s="4" t="s">
        <v>63</v>
      </c>
      <c r="W240" s="4" t="s">
        <v>784</v>
      </c>
      <c r="X240" s="4" t="s">
        <v>54</v>
      </c>
      <c r="Y240" s="4"/>
      <c r="Z240" s="12">
        <v>0</v>
      </c>
      <c r="AA240" s="13" t="s">
        <v>9146</v>
      </c>
      <c r="AB240" s="13" t="s">
        <v>9147</v>
      </c>
      <c r="AC240" s="14" t="s">
        <v>9139</v>
      </c>
      <c r="AD240" s="14" t="s">
        <v>9140</v>
      </c>
      <c r="AE240" s="14" t="s">
        <v>9140</v>
      </c>
      <c r="AF240" s="14" t="s">
        <v>63</v>
      </c>
      <c r="AG240" s="14" t="s">
        <v>54</v>
      </c>
      <c r="AH240" s="15" t="s">
        <v>9141</v>
      </c>
      <c r="AI240" s="15" t="s">
        <v>9187</v>
      </c>
      <c r="AJ240" s="15" t="s">
        <v>9143</v>
      </c>
      <c r="AK240" s="15" t="s">
        <v>9141</v>
      </c>
      <c r="AL240" s="15" t="s">
        <v>9144</v>
      </c>
      <c r="AM240" s="16" t="s">
        <v>9141</v>
      </c>
      <c r="AN240" s="16" t="s">
        <v>9145</v>
      </c>
    </row>
    <row r="241" spans="1:40" x14ac:dyDescent="0.25">
      <c r="A241" s="4" t="s">
        <v>5922</v>
      </c>
      <c r="B241" s="4" t="s">
        <v>5923</v>
      </c>
      <c r="C241" s="4" t="s">
        <v>39</v>
      </c>
      <c r="D241" s="4" t="s">
        <v>5924</v>
      </c>
      <c r="E241" s="4" t="s">
        <v>5925</v>
      </c>
      <c r="F241" s="10">
        <v>45719</v>
      </c>
      <c r="G241" s="11">
        <v>0.45833333333333331</v>
      </c>
      <c r="H241" s="4" t="s">
        <v>4242</v>
      </c>
      <c r="I241" s="4" t="s">
        <v>5918</v>
      </c>
      <c r="J241" s="4" t="s">
        <v>5919</v>
      </c>
      <c r="K241" s="4" t="s">
        <v>5926</v>
      </c>
      <c r="L241" s="4" t="s">
        <v>5927</v>
      </c>
      <c r="M241" s="4" t="s">
        <v>46</v>
      </c>
      <c r="N241" s="4"/>
      <c r="O241" s="4" t="s">
        <v>47</v>
      </c>
      <c r="P241" s="4" t="s">
        <v>48</v>
      </c>
      <c r="Q241" s="4">
        <v>0</v>
      </c>
      <c r="R241" s="4" t="b">
        <v>0</v>
      </c>
      <c r="S241" s="4" t="s">
        <v>61</v>
      </c>
      <c r="T241" s="4" t="s">
        <v>50</v>
      </c>
      <c r="U241" s="4" t="s">
        <v>480</v>
      </c>
      <c r="V241" s="4" t="s">
        <v>63</v>
      </c>
      <c r="W241" s="4" t="s">
        <v>108</v>
      </c>
      <c r="X241" s="4" t="s">
        <v>54</v>
      </c>
      <c r="Y241" s="4"/>
      <c r="Z241" s="12">
        <v>0</v>
      </c>
      <c r="AA241" s="13" t="s">
        <v>9146</v>
      </c>
      <c r="AB241" s="13" t="s">
        <v>9147</v>
      </c>
      <c r="AC241" s="14" t="s">
        <v>9148</v>
      </c>
      <c r="AD241" s="14" t="s">
        <v>9140</v>
      </c>
      <c r="AE241" s="14" t="s">
        <v>9140</v>
      </c>
      <c r="AF241" s="14" t="s">
        <v>63</v>
      </c>
      <c r="AG241" s="14" t="s">
        <v>54</v>
      </c>
      <c r="AH241" s="15" t="s">
        <v>9220</v>
      </c>
      <c r="AI241" s="15" t="s">
        <v>9187</v>
      </c>
      <c r="AJ241" s="15" t="s">
        <v>9143</v>
      </c>
      <c r="AK241" s="15" t="s">
        <v>9221</v>
      </c>
      <c r="AL241" s="15" t="s">
        <v>9226</v>
      </c>
      <c r="AM241" s="16" t="s">
        <v>9221</v>
      </c>
      <c r="AN241" s="16" t="s">
        <v>9227</v>
      </c>
    </row>
    <row r="242" spans="1:40" x14ac:dyDescent="0.25">
      <c r="A242" s="4" t="s">
        <v>7614</v>
      </c>
      <c r="B242" s="4"/>
      <c r="C242" s="4" t="s">
        <v>39</v>
      </c>
      <c r="D242" s="4" t="s">
        <v>7615</v>
      </c>
      <c r="E242" s="4" t="s">
        <v>7616</v>
      </c>
      <c r="F242" s="10">
        <v>45719</v>
      </c>
      <c r="G242" s="11">
        <v>0.65902777777777777</v>
      </c>
      <c r="H242" s="4" t="s">
        <v>4910</v>
      </c>
      <c r="I242" s="4" t="s">
        <v>7611</v>
      </c>
      <c r="J242" s="4" t="s">
        <v>3335</v>
      </c>
      <c r="K242" s="4" t="s">
        <v>7617</v>
      </c>
      <c r="L242" s="4" t="s">
        <v>7618</v>
      </c>
      <c r="M242" s="4" t="s">
        <v>46</v>
      </c>
      <c r="N242" s="4"/>
      <c r="O242" s="4" t="s">
        <v>47</v>
      </c>
      <c r="P242" s="4" t="s">
        <v>48</v>
      </c>
      <c r="Q242" s="4">
        <v>0</v>
      </c>
      <c r="R242" s="4" t="b">
        <v>0</v>
      </c>
      <c r="S242" s="4" t="s">
        <v>49</v>
      </c>
      <c r="T242" s="4" t="s">
        <v>70</v>
      </c>
      <c r="U242" s="4" t="s">
        <v>71</v>
      </c>
      <c r="V242" s="4" t="s">
        <v>63</v>
      </c>
      <c r="W242" s="4" t="s">
        <v>312</v>
      </c>
      <c r="X242" s="4" t="s">
        <v>54</v>
      </c>
      <c r="Y242" s="4"/>
      <c r="Z242" s="12">
        <v>0</v>
      </c>
      <c r="AA242" s="13" t="s">
        <v>9146</v>
      </c>
      <c r="AB242" s="13" t="s">
        <v>9147</v>
      </c>
      <c r="AC242" s="14" t="s">
        <v>9139</v>
      </c>
      <c r="AD242" s="14" t="s">
        <v>9140</v>
      </c>
      <c r="AE242" s="14" t="s">
        <v>9140</v>
      </c>
      <c r="AF242" s="14" t="s">
        <v>63</v>
      </c>
      <c r="AG242" s="14" t="s">
        <v>54</v>
      </c>
      <c r="AH242" s="15" t="s">
        <v>9220</v>
      </c>
      <c r="AI242" s="15" t="s">
        <v>9191</v>
      </c>
      <c r="AJ242" s="15" t="s">
        <v>9143</v>
      </c>
      <c r="AK242" s="15" t="s">
        <v>9221</v>
      </c>
      <c r="AL242" s="15" t="s">
        <v>9226</v>
      </c>
      <c r="AM242" s="16" t="s">
        <v>9221</v>
      </c>
      <c r="AN242" s="16" t="s">
        <v>9227</v>
      </c>
    </row>
    <row r="243" spans="1:40" x14ac:dyDescent="0.25">
      <c r="A243" s="4" t="s">
        <v>3611</v>
      </c>
      <c r="B243" s="4"/>
      <c r="C243" s="4" t="s">
        <v>39</v>
      </c>
      <c r="D243" s="4" t="s">
        <v>3612</v>
      </c>
      <c r="E243" s="4" t="s">
        <v>3613</v>
      </c>
      <c r="F243" s="10">
        <v>45717</v>
      </c>
      <c r="G243" s="11">
        <v>0.46111111111111114</v>
      </c>
      <c r="H243" s="4" t="s">
        <v>2017</v>
      </c>
      <c r="I243" s="4" t="s">
        <v>3607</v>
      </c>
      <c r="J243" s="4" t="s">
        <v>3608</v>
      </c>
      <c r="K243" s="4" t="s">
        <v>3614</v>
      </c>
      <c r="L243" s="4" t="s">
        <v>3615</v>
      </c>
      <c r="M243" s="4" t="s">
        <v>46</v>
      </c>
      <c r="N243" s="4"/>
      <c r="O243" s="4" t="s">
        <v>47</v>
      </c>
      <c r="P243" s="4" t="s">
        <v>48</v>
      </c>
      <c r="Q243" s="4">
        <v>0</v>
      </c>
      <c r="R243" s="4" t="b">
        <v>0</v>
      </c>
      <c r="S243" s="4" t="s">
        <v>61</v>
      </c>
      <c r="T243" s="4" t="s">
        <v>115</v>
      </c>
      <c r="U243" s="4" t="s">
        <v>148</v>
      </c>
      <c r="V243" s="4" t="s">
        <v>52</v>
      </c>
      <c r="W243" s="4" t="s">
        <v>53</v>
      </c>
      <c r="X243" s="4" t="s">
        <v>54</v>
      </c>
      <c r="Y243" s="4"/>
      <c r="Z243" s="12">
        <v>0</v>
      </c>
      <c r="AA243" s="13" t="s">
        <v>9171</v>
      </c>
      <c r="AB243" s="13" t="s">
        <v>9147</v>
      </c>
      <c r="AC243" s="14" t="s">
        <v>9148</v>
      </c>
      <c r="AD243" s="14" t="s">
        <v>9140</v>
      </c>
      <c r="AE243" s="14" t="s">
        <v>9140</v>
      </c>
      <c r="AF243" s="14" t="s">
        <v>52</v>
      </c>
      <c r="AG243" s="14" t="s">
        <v>54</v>
      </c>
      <c r="AH243" s="15" t="s">
        <v>9194</v>
      </c>
      <c r="AI243" s="15" t="s">
        <v>9199</v>
      </c>
      <c r="AJ243" s="15" t="s">
        <v>9143</v>
      </c>
      <c r="AK243" s="15" t="s">
        <v>9194</v>
      </c>
      <c r="AL243" s="15" t="s">
        <v>9199</v>
      </c>
      <c r="AM243" s="16" t="s">
        <v>9194</v>
      </c>
      <c r="AN243" s="16" t="s">
        <v>9200</v>
      </c>
    </row>
    <row r="244" spans="1:40" x14ac:dyDescent="0.25">
      <c r="A244" s="4" t="s">
        <v>3731</v>
      </c>
      <c r="B244" s="4" t="s">
        <v>3732</v>
      </c>
      <c r="C244" s="4" t="s">
        <v>488</v>
      </c>
      <c r="D244" s="4" t="s">
        <v>3733</v>
      </c>
      <c r="E244" s="4" t="s">
        <v>3734</v>
      </c>
      <c r="F244" s="10">
        <v>45715</v>
      </c>
      <c r="G244" s="11">
        <v>0.5</v>
      </c>
      <c r="H244" s="4" t="s">
        <v>2168</v>
      </c>
      <c r="I244" s="4" t="s">
        <v>3735</v>
      </c>
      <c r="J244" s="4" t="s">
        <v>3736</v>
      </c>
      <c r="K244" s="4" t="s">
        <v>3737</v>
      </c>
      <c r="L244" s="4" t="s">
        <v>3738</v>
      </c>
      <c r="M244" s="4" t="s">
        <v>28</v>
      </c>
      <c r="N244" s="4" t="s">
        <v>372</v>
      </c>
      <c r="O244" s="4" t="s">
        <v>344</v>
      </c>
      <c r="P244" s="4" t="s">
        <v>60</v>
      </c>
      <c r="Q244" s="4">
        <v>15</v>
      </c>
      <c r="R244" s="4" t="b">
        <v>0</v>
      </c>
      <c r="S244" s="4" t="s">
        <v>184</v>
      </c>
      <c r="T244" s="4" t="s">
        <v>266</v>
      </c>
      <c r="U244" s="4" t="s">
        <v>330</v>
      </c>
      <c r="V244" s="4" t="s">
        <v>267</v>
      </c>
      <c r="W244" s="4" t="s">
        <v>268</v>
      </c>
      <c r="X244" s="4" t="s">
        <v>2826</v>
      </c>
      <c r="Y244" s="4"/>
      <c r="Z244" s="12" t="s">
        <v>60</v>
      </c>
      <c r="AA244" s="13" t="s">
        <v>9171</v>
      </c>
      <c r="AB244" s="13" t="s">
        <v>9147</v>
      </c>
      <c r="AC244" s="14" t="s">
        <v>9166</v>
      </c>
      <c r="AD244" s="14" t="s">
        <v>28</v>
      </c>
      <c r="AE244" s="14" t="s">
        <v>372</v>
      </c>
      <c r="AF244" s="14" t="s">
        <v>267</v>
      </c>
      <c r="AG244" s="14" t="s">
        <v>2826</v>
      </c>
      <c r="AH244" s="15" t="s">
        <v>9194</v>
      </c>
      <c r="AI244" s="15" t="s">
        <v>9142</v>
      </c>
      <c r="AJ244" s="15" t="s">
        <v>9143</v>
      </c>
      <c r="AK244" s="15" t="s">
        <v>9194</v>
      </c>
      <c r="AL244" s="15" t="s">
        <v>9207</v>
      </c>
      <c r="AM244" s="16" t="s">
        <v>9194</v>
      </c>
      <c r="AN244" s="16" t="s">
        <v>9208</v>
      </c>
    </row>
    <row r="245" spans="1:40" x14ac:dyDescent="0.25">
      <c r="A245" s="4" t="s">
        <v>7619</v>
      </c>
      <c r="B245" s="4"/>
      <c r="C245" s="4" t="s">
        <v>39</v>
      </c>
      <c r="D245" s="4" t="s">
        <v>7620</v>
      </c>
      <c r="E245" s="4" t="s">
        <v>7621</v>
      </c>
      <c r="F245" s="10">
        <v>45715</v>
      </c>
      <c r="G245" s="11">
        <v>0.37847222222222221</v>
      </c>
      <c r="H245" s="4" t="s">
        <v>4910</v>
      </c>
      <c r="I245" s="4" t="s">
        <v>7611</v>
      </c>
      <c r="J245" s="4" t="s">
        <v>3335</v>
      </c>
      <c r="K245" s="4" t="s">
        <v>7622</v>
      </c>
      <c r="L245" s="4" t="s">
        <v>7623</v>
      </c>
      <c r="M245" s="4" t="s">
        <v>46</v>
      </c>
      <c r="N245" s="4"/>
      <c r="O245" s="4" t="s">
        <v>47</v>
      </c>
      <c r="P245" s="4" t="s">
        <v>48</v>
      </c>
      <c r="Q245" s="4">
        <v>0</v>
      </c>
      <c r="R245" s="4" t="b">
        <v>0</v>
      </c>
      <c r="S245" s="4" t="s">
        <v>49</v>
      </c>
      <c r="T245" s="4" t="s">
        <v>50</v>
      </c>
      <c r="U245" s="4" t="s">
        <v>71</v>
      </c>
      <c r="V245" s="4" t="s">
        <v>63</v>
      </c>
      <c r="W245" s="4" t="s">
        <v>312</v>
      </c>
      <c r="X245" s="4" t="s">
        <v>54</v>
      </c>
      <c r="Y245" s="4"/>
      <c r="Z245" s="12">
        <v>0</v>
      </c>
      <c r="AA245" s="13" t="s">
        <v>9171</v>
      </c>
      <c r="AB245" s="13" t="s">
        <v>9147</v>
      </c>
      <c r="AC245" s="14" t="s">
        <v>9139</v>
      </c>
      <c r="AD245" s="14" t="s">
        <v>9140</v>
      </c>
      <c r="AE245" s="14" t="s">
        <v>9140</v>
      </c>
      <c r="AF245" s="14" t="s">
        <v>63</v>
      </c>
      <c r="AG245" s="14" t="s">
        <v>54</v>
      </c>
      <c r="AH245" s="15" t="s">
        <v>9220</v>
      </c>
      <c r="AI245" s="15" t="s">
        <v>9191</v>
      </c>
      <c r="AJ245" s="15" t="s">
        <v>9143</v>
      </c>
      <c r="AK245" s="15" t="s">
        <v>9221</v>
      </c>
      <c r="AL245" s="15" t="s">
        <v>9226</v>
      </c>
      <c r="AM245" s="16" t="s">
        <v>9221</v>
      </c>
      <c r="AN245" s="16" t="s">
        <v>9227</v>
      </c>
    </row>
    <row r="246" spans="1:40" x14ac:dyDescent="0.25">
      <c r="A246" s="4" t="s">
        <v>5558</v>
      </c>
      <c r="B246" s="4" t="s">
        <v>5559</v>
      </c>
      <c r="C246" s="4" t="s">
        <v>39</v>
      </c>
      <c r="D246" s="4" t="s">
        <v>5560</v>
      </c>
      <c r="E246" s="4" t="s">
        <v>5561</v>
      </c>
      <c r="F246" s="10">
        <v>45715</v>
      </c>
      <c r="G246" s="11">
        <v>0.42708333333333331</v>
      </c>
      <c r="H246" s="4" t="s">
        <v>4910</v>
      </c>
      <c r="I246" s="4" t="s">
        <v>5555</v>
      </c>
      <c r="J246" s="4" t="s">
        <v>3170</v>
      </c>
      <c r="K246" s="4" t="s">
        <v>5562</v>
      </c>
      <c r="L246" s="4" t="s">
        <v>5563</v>
      </c>
      <c r="M246" s="4" t="s">
        <v>28</v>
      </c>
      <c r="N246" s="4" t="s">
        <v>147</v>
      </c>
      <c r="O246" s="4" t="s">
        <v>174</v>
      </c>
      <c r="P246" s="4" t="s">
        <v>48</v>
      </c>
      <c r="Q246" s="4">
        <v>0</v>
      </c>
      <c r="R246" s="4" t="b">
        <v>0</v>
      </c>
      <c r="S246" s="4" t="s">
        <v>61</v>
      </c>
      <c r="T246" s="4" t="s">
        <v>115</v>
      </c>
      <c r="U246" s="4" t="s">
        <v>1253</v>
      </c>
      <c r="V246" s="4" t="s">
        <v>52</v>
      </c>
      <c r="W246" s="4" t="s">
        <v>53</v>
      </c>
      <c r="X246" s="4" t="s">
        <v>54</v>
      </c>
      <c r="Y246" s="4"/>
      <c r="Z246" s="12" t="s">
        <v>48</v>
      </c>
      <c r="AA246" s="13" t="s">
        <v>9171</v>
      </c>
      <c r="AB246" s="13" t="s">
        <v>9147</v>
      </c>
      <c r="AC246" s="14" t="s">
        <v>9148</v>
      </c>
      <c r="AD246" s="14" t="s">
        <v>28</v>
      </c>
      <c r="AE246" s="14" t="s">
        <v>9140</v>
      </c>
      <c r="AF246" s="14" t="s">
        <v>52</v>
      </c>
      <c r="AG246" s="14" t="s">
        <v>54</v>
      </c>
      <c r="AH246" s="15" t="s">
        <v>9220</v>
      </c>
      <c r="AI246" s="15" t="s">
        <v>9191</v>
      </c>
      <c r="AJ246" s="15" t="s">
        <v>9143</v>
      </c>
      <c r="AK246" s="15" t="s">
        <v>9221</v>
      </c>
      <c r="AL246" s="15" t="s">
        <v>9234</v>
      </c>
      <c r="AM246" s="16" t="s">
        <v>9221</v>
      </c>
      <c r="AN246" s="16" t="s">
        <v>9235</v>
      </c>
    </row>
    <row r="247" spans="1:40" x14ac:dyDescent="0.25">
      <c r="A247" s="4" t="s">
        <v>4520</v>
      </c>
      <c r="B247" s="4"/>
      <c r="C247" s="4" t="s">
        <v>39</v>
      </c>
      <c r="D247" s="4" t="s">
        <v>4514</v>
      </c>
      <c r="E247" s="4" t="s">
        <v>4521</v>
      </c>
      <c r="F247" s="10">
        <v>45715</v>
      </c>
      <c r="G247" s="11">
        <v>0.71875</v>
      </c>
      <c r="H247" s="4" t="s">
        <v>4516</v>
      </c>
      <c r="I247" s="4" t="s">
        <v>4517</v>
      </c>
      <c r="J247" s="4" t="s">
        <v>2272</v>
      </c>
      <c r="K247" s="4" t="s">
        <v>4522</v>
      </c>
      <c r="L247" s="4" t="s">
        <v>4523</v>
      </c>
      <c r="M247" s="4" t="s">
        <v>46</v>
      </c>
      <c r="N247" s="4"/>
      <c r="O247" s="4" t="s">
        <v>47</v>
      </c>
      <c r="P247" s="4" t="s">
        <v>48</v>
      </c>
      <c r="Q247" s="4">
        <v>0</v>
      </c>
      <c r="R247" s="4" t="b">
        <v>0</v>
      </c>
      <c r="S247" s="4" t="s">
        <v>61</v>
      </c>
      <c r="T247" s="4" t="s">
        <v>115</v>
      </c>
      <c r="U247" s="4" t="s">
        <v>148</v>
      </c>
      <c r="V247" s="4" t="s">
        <v>52</v>
      </c>
      <c r="W247" s="4" t="s">
        <v>53</v>
      </c>
      <c r="X247" s="4" t="s">
        <v>54</v>
      </c>
      <c r="Y247" s="4" t="s">
        <v>1944</v>
      </c>
      <c r="Z247" s="12">
        <v>0</v>
      </c>
      <c r="AA247" s="13" t="s">
        <v>9171</v>
      </c>
      <c r="AB247" s="13" t="s">
        <v>9147</v>
      </c>
      <c r="AC247" s="14" t="s">
        <v>9148</v>
      </c>
      <c r="AD247" s="14" t="s">
        <v>9140</v>
      </c>
      <c r="AE247" s="14" t="s">
        <v>9140</v>
      </c>
      <c r="AF247" s="14" t="s">
        <v>52</v>
      </c>
      <c r="AG247" s="14" t="s">
        <v>54</v>
      </c>
      <c r="AH247" s="15" t="s">
        <v>9220</v>
      </c>
      <c r="AI247" s="15" t="s">
        <v>9188</v>
      </c>
      <c r="AJ247" s="15" t="s">
        <v>9143</v>
      </c>
      <c r="AK247" s="15" t="s">
        <v>9221</v>
      </c>
      <c r="AL247" s="15" t="s">
        <v>9230</v>
      </c>
      <c r="AM247" s="16" t="s">
        <v>9221</v>
      </c>
      <c r="AN247" s="16" t="s">
        <v>9231</v>
      </c>
    </row>
    <row r="248" spans="1:40" x14ac:dyDescent="0.25">
      <c r="A248" s="4" t="s">
        <v>4771</v>
      </c>
      <c r="B248" s="4"/>
      <c r="C248" s="4" t="s">
        <v>39</v>
      </c>
      <c r="D248" s="4" t="s">
        <v>4772</v>
      </c>
      <c r="E248" s="4" t="s">
        <v>4773</v>
      </c>
      <c r="F248" s="10">
        <v>45714</v>
      </c>
      <c r="G248" s="11">
        <v>0.66666666666666663</v>
      </c>
      <c r="H248" s="4" t="s">
        <v>4516</v>
      </c>
      <c r="I248" s="4" t="s">
        <v>4774</v>
      </c>
      <c r="J248" s="4" t="s">
        <v>4775</v>
      </c>
      <c r="K248" s="4" t="s">
        <v>4776</v>
      </c>
      <c r="L248" s="4" t="s">
        <v>4777</v>
      </c>
      <c r="M248" s="4" t="s">
        <v>46</v>
      </c>
      <c r="N248" s="4"/>
      <c r="O248" s="4" t="s">
        <v>47</v>
      </c>
      <c r="P248" s="4" t="s">
        <v>48</v>
      </c>
      <c r="Q248" s="4">
        <v>0</v>
      </c>
      <c r="R248" s="4" t="b">
        <v>0</v>
      </c>
      <c r="S248" s="4" t="s">
        <v>61</v>
      </c>
      <c r="T248" s="4" t="s">
        <v>50</v>
      </c>
      <c r="U248" s="4" t="s">
        <v>2432</v>
      </c>
      <c r="V248" s="4" t="s">
        <v>123</v>
      </c>
      <c r="W248" s="4" t="s">
        <v>124</v>
      </c>
      <c r="X248" s="4" t="s">
        <v>54</v>
      </c>
      <c r="Y248" s="4"/>
      <c r="Z248" s="12">
        <v>0</v>
      </c>
      <c r="AA248" s="13" t="s">
        <v>9171</v>
      </c>
      <c r="AB248" s="13" t="s">
        <v>9147</v>
      </c>
      <c r="AC248" s="14" t="s">
        <v>9148</v>
      </c>
      <c r="AD248" s="14" t="s">
        <v>9140</v>
      </c>
      <c r="AE248" s="14" t="s">
        <v>9140</v>
      </c>
      <c r="AF248" s="14" t="s">
        <v>123</v>
      </c>
      <c r="AG248" s="14" t="s">
        <v>54</v>
      </c>
      <c r="AH248" s="15" t="s">
        <v>9220</v>
      </c>
      <c r="AI248" s="15" t="s">
        <v>9188</v>
      </c>
      <c r="AJ248" s="15" t="s">
        <v>9143</v>
      </c>
      <c r="AK248" s="15" t="s">
        <v>9221</v>
      </c>
      <c r="AL248" s="15" t="s">
        <v>9232</v>
      </c>
      <c r="AM248" s="16" t="s">
        <v>9221</v>
      </c>
      <c r="AN248" s="16" t="s">
        <v>9233</v>
      </c>
    </row>
    <row r="249" spans="1:40" x14ac:dyDescent="0.25">
      <c r="A249" s="4" t="s">
        <v>7042</v>
      </c>
      <c r="B249" s="4" t="s">
        <v>7043</v>
      </c>
      <c r="C249" s="4" t="s">
        <v>39</v>
      </c>
      <c r="D249" s="4" t="s">
        <v>7044</v>
      </c>
      <c r="E249" s="4" t="s">
        <v>7045</v>
      </c>
      <c r="F249" s="10">
        <v>45714</v>
      </c>
      <c r="G249" s="11">
        <v>0.54166666666666663</v>
      </c>
      <c r="H249" s="4" t="s">
        <v>4242</v>
      </c>
      <c r="I249" s="4" t="s">
        <v>7028</v>
      </c>
      <c r="J249" s="4" t="s">
        <v>7029</v>
      </c>
      <c r="K249" s="4" t="s">
        <v>7046</v>
      </c>
      <c r="L249" s="4" t="s">
        <v>7047</v>
      </c>
      <c r="M249" s="4" t="s">
        <v>46</v>
      </c>
      <c r="N249" s="4"/>
      <c r="O249" s="4" t="s">
        <v>47</v>
      </c>
      <c r="P249" s="4" t="s">
        <v>48</v>
      </c>
      <c r="Q249" s="4">
        <v>0</v>
      </c>
      <c r="R249" s="4" t="b">
        <v>0</v>
      </c>
      <c r="S249" s="4" t="s">
        <v>61</v>
      </c>
      <c r="T249" s="4" t="s">
        <v>50</v>
      </c>
      <c r="U249" s="4" t="s">
        <v>90</v>
      </c>
      <c r="V249" s="4" t="s">
        <v>63</v>
      </c>
      <c r="W249" s="4" t="s">
        <v>108</v>
      </c>
      <c r="X249" s="4" t="s">
        <v>54</v>
      </c>
      <c r="Y249" s="4"/>
      <c r="Z249" s="12">
        <v>0</v>
      </c>
      <c r="AA249" s="13" t="s">
        <v>9171</v>
      </c>
      <c r="AB249" s="13" t="s">
        <v>9147</v>
      </c>
      <c r="AC249" s="14" t="s">
        <v>9148</v>
      </c>
      <c r="AD249" s="14" t="s">
        <v>9140</v>
      </c>
      <c r="AE249" s="14" t="s">
        <v>9140</v>
      </c>
      <c r="AF249" s="14" t="s">
        <v>63</v>
      </c>
      <c r="AG249" s="14" t="s">
        <v>54</v>
      </c>
      <c r="AH249" s="15" t="s">
        <v>9220</v>
      </c>
      <c r="AI249" s="15" t="s">
        <v>9187</v>
      </c>
      <c r="AJ249" s="15" t="s">
        <v>9143</v>
      </c>
      <c r="AK249" s="15" t="s">
        <v>9221</v>
      </c>
      <c r="AL249" s="15" t="s">
        <v>9226</v>
      </c>
      <c r="AM249" s="16" t="s">
        <v>9221</v>
      </c>
      <c r="AN249" s="16" t="s">
        <v>9227</v>
      </c>
    </row>
    <row r="250" spans="1:40" x14ac:dyDescent="0.25">
      <c r="A250" s="4" t="s">
        <v>8679</v>
      </c>
      <c r="B250" s="4"/>
      <c r="C250" s="4" t="s">
        <v>39</v>
      </c>
      <c r="D250" s="4" t="s">
        <v>4054</v>
      </c>
      <c r="E250" s="4" t="s">
        <v>4055</v>
      </c>
      <c r="F250" s="10">
        <v>45714</v>
      </c>
      <c r="G250" s="11">
        <v>0.10416666666666667</v>
      </c>
      <c r="H250" s="4" t="s">
        <v>4910</v>
      </c>
      <c r="I250" s="4" t="s">
        <v>8680</v>
      </c>
      <c r="J250" s="4" t="s">
        <v>8681</v>
      </c>
      <c r="K250" s="4" t="s">
        <v>2795</v>
      </c>
      <c r="L250" s="4" t="s">
        <v>8682</v>
      </c>
      <c r="M250" s="4" t="s">
        <v>46</v>
      </c>
      <c r="N250" s="4"/>
      <c r="O250" s="4" t="s">
        <v>47</v>
      </c>
      <c r="P250" s="4" t="s">
        <v>48</v>
      </c>
      <c r="Q250" s="4">
        <v>0</v>
      </c>
      <c r="R250" s="4" t="b">
        <v>0</v>
      </c>
      <c r="S250" s="4" t="s">
        <v>61</v>
      </c>
      <c r="T250" s="4" t="s">
        <v>50</v>
      </c>
      <c r="U250" s="4" t="s">
        <v>90</v>
      </c>
      <c r="V250" s="4" t="s">
        <v>63</v>
      </c>
      <c r="W250" s="4" t="s">
        <v>108</v>
      </c>
      <c r="X250" s="4" t="s">
        <v>54</v>
      </c>
      <c r="Y250" s="4"/>
      <c r="Z250" s="12">
        <v>0</v>
      </c>
      <c r="AA250" s="13" t="s">
        <v>9171</v>
      </c>
      <c r="AB250" s="13" t="s">
        <v>9147</v>
      </c>
      <c r="AC250" s="14" t="s">
        <v>9148</v>
      </c>
      <c r="AD250" s="14" t="s">
        <v>9140</v>
      </c>
      <c r="AE250" s="14" t="s">
        <v>9140</v>
      </c>
      <c r="AF250" s="14" t="s">
        <v>63</v>
      </c>
      <c r="AG250" s="14" t="s">
        <v>54</v>
      </c>
      <c r="AH250" s="15" t="s">
        <v>9220</v>
      </c>
      <c r="AI250" s="15" t="s">
        <v>9191</v>
      </c>
      <c r="AJ250" s="15" t="s">
        <v>9143</v>
      </c>
      <c r="AK250" s="15" t="s">
        <v>9221</v>
      </c>
      <c r="AL250" s="15" t="s">
        <v>9234</v>
      </c>
      <c r="AM250" s="16" t="s">
        <v>9221</v>
      </c>
      <c r="AN250" s="16" t="s">
        <v>9235</v>
      </c>
    </row>
    <row r="251" spans="1:40" x14ac:dyDescent="0.25">
      <c r="A251" s="4" t="s">
        <v>4190</v>
      </c>
      <c r="B251" s="4"/>
      <c r="C251" s="4" t="s">
        <v>39</v>
      </c>
      <c r="D251" s="4" t="s">
        <v>4191</v>
      </c>
      <c r="E251" s="4" t="s">
        <v>4192</v>
      </c>
      <c r="F251" s="10">
        <v>45714</v>
      </c>
      <c r="G251" s="11">
        <v>0.61458333333333337</v>
      </c>
      <c r="H251" s="4" t="s">
        <v>4019</v>
      </c>
      <c r="I251" s="4" t="s">
        <v>4193</v>
      </c>
      <c r="J251" s="4" t="s">
        <v>4194</v>
      </c>
      <c r="K251" s="4" t="s">
        <v>4195</v>
      </c>
      <c r="L251" s="4" t="s">
        <v>4196</v>
      </c>
      <c r="M251" s="4" t="s">
        <v>46</v>
      </c>
      <c r="N251" s="4"/>
      <c r="O251" s="4" t="s">
        <v>174</v>
      </c>
      <c r="P251" s="4" t="s">
        <v>48</v>
      </c>
      <c r="Q251" s="4">
        <v>30</v>
      </c>
      <c r="R251" s="4" t="b">
        <v>0</v>
      </c>
      <c r="S251" s="4" t="s">
        <v>184</v>
      </c>
      <c r="T251" s="4" t="s">
        <v>70</v>
      </c>
      <c r="U251" s="4" t="s">
        <v>71</v>
      </c>
      <c r="V251" s="4" t="s">
        <v>63</v>
      </c>
      <c r="W251" s="4" t="s">
        <v>108</v>
      </c>
      <c r="X251" s="4" t="s">
        <v>54</v>
      </c>
      <c r="Y251" s="4"/>
      <c r="Z251" s="12">
        <v>0</v>
      </c>
      <c r="AA251" s="13" t="s">
        <v>9171</v>
      </c>
      <c r="AB251" s="13" t="s">
        <v>9147</v>
      </c>
      <c r="AC251" s="14" t="s">
        <v>9166</v>
      </c>
      <c r="AD251" s="14" t="s">
        <v>9140</v>
      </c>
      <c r="AE251" s="14" t="s">
        <v>9140</v>
      </c>
      <c r="AF251" s="14" t="s">
        <v>63</v>
      </c>
      <c r="AG251" s="14" t="s">
        <v>54</v>
      </c>
      <c r="AH251" s="15" t="s">
        <v>9220</v>
      </c>
      <c r="AI251" s="15" t="s">
        <v>9175</v>
      </c>
      <c r="AJ251" s="15" t="s">
        <v>9143</v>
      </c>
      <c r="AK251" s="15" t="s">
        <v>9221</v>
      </c>
      <c r="AL251" s="15" t="s">
        <v>9224</v>
      </c>
      <c r="AM251" s="16" t="s">
        <v>9221</v>
      </c>
      <c r="AN251" s="16" t="s">
        <v>9225</v>
      </c>
    </row>
    <row r="252" spans="1:40" x14ac:dyDescent="0.25">
      <c r="A252" s="4" t="s">
        <v>5663</v>
      </c>
      <c r="B252" s="4"/>
      <c r="C252" s="4" t="s">
        <v>39</v>
      </c>
      <c r="D252" s="4" t="s">
        <v>5664</v>
      </c>
      <c r="E252" s="4" t="s">
        <v>5665</v>
      </c>
      <c r="F252" s="10">
        <v>45714</v>
      </c>
      <c r="G252" s="11">
        <v>0.58333333333333337</v>
      </c>
      <c r="H252" s="4" t="s">
        <v>5666</v>
      </c>
      <c r="I252" s="4" t="s">
        <v>5667</v>
      </c>
      <c r="J252" s="4" t="s">
        <v>2192</v>
      </c>
      <c r="K252" s="4" t="s">
        <v>711</v>
      </c>
      <c r="L252" s="4" t="s">
        <v>5668</v>
      </c>
      <c r="M252" s="4" t="s">
        <v>46</v>
      </c>
      <c r="N252" s="4"/>
      <c r="O252" s="4" t="s">
        <v>47</v>
      </c>
      <c r="P252" s="4" t="s">
        <v>48</v>
      </c>
      <c r="Q252" s="4">
        <v>0</v>
      </c>
      <c r="R252" s="4" t="b">
        <v>0</v>
      </c>
      <c r="S252" s="4" t="s">
        <v>61</v>
      </c>
      <c r="T252" s="4" t="s">
        <v>50</v>
      </c>
      <c r="U252" s="4" t="s">
        <v>90</v>
      </c>
      <c r="V252" s="4" t="s">
        <v>63</v>
      </c>
      <c r="W252" s="4" t="s">
        <v>108</v>
      </c>
      <c r="X252" s="4" t="s">
        <v>54</v>
      </c>
      <c r="Y252" s="4"/>
      <c r="Z252" s="12">
        <v>0</v>
      </c>
      <c r="AA252" s="13" t="s">
        <v>9171</v>
      </c>
      <c r="AB252" s="13" t="s">
        <v>9147</v>
      </c>
      <c r="AC252" s="14" t="s">
        <v>9148</v>
      </c>
      <c r="AD252" s="14" t="s">
        <v>9140</v>
      </c>
      <c r="AE252" s="14" t="s">
        <v>9140</v>
      </c>
      <c r="AF252" s="14" t="s">
        <v>63</v>
      </c>
      <c r="AG252" s="14" t="s">
        <v>54</v>
      </c>
      <c r="AH252" s="15" t="s">
        <v>9220</v>
      </c>
      <c r="AI252" s="15" t="s">
        <v>9199</v>
      </c>
      <c r="AJ252" s="15" t="s">
        <v>9143</v>
      </c>
      <c r="AK252" s="15" t="s">
        <v>9221</v>
      </c>
      <c r="AL252" s="15" t="s">
        <v>9199</v>
      </c>
      <c r="AM252" s="16" t="s">
        <v>9221</v>
      </c>
      <c r="AN252" s="16" t="s">
        <v>9238</v>
      </c>
    </row>
    <row r="253" spans="1:40" x14ac:dyDescent="0.25">
      <c r="A253" s="4" t="s">
        <v>1745</v>
      </c>
      <c r="B253" s="4"/>
      <c r="C253" s="4" t="s">
        <v>39</v>
      </c>
      <c r="D253" s="4" t="s">
        <v>1746</v>
      </c>
      <c r="E253" s="4" t="s">
        <v>1747</v>
      </c>
      <c r="F253" s="10">
        <v>45713</v>
      </c>
      <c r="G253" s="11">
        <v>0.52083333333333337</v>
      </c>
      <c r="H253" s="4" t="s">
        <v>1654</v>
      </c>
      <c r="I253" s="4">
        <v>9095</v>
      </c>
      <c r="J253" s="4" t="s">
        <v>1742</v>
      </c>
      <c r="K253" s="4" t="s">
        <v>1748</v>
      </c>
      <c r="L253" s="4" t="s">
        <v>1749</v>
      </c>
      <c r="M253" s="4" t="s">
        <v>46</v>
      </c>
      <c r="N253" s="4"/>
      <c r="O253" s="4" t="s">
        <v>47</v>
      </c>
      <c r="P253" s="4" t="s">
        <v>48</v>
      </c>
      <c r="Q253" s="4">
        <v>0</v>
      </c>
      <c r="R253" s="4" t="b">
        <v>0</v>
      </c>
      <c r="S253" s="4" t="s">
        <v>49</v>
      </c>
      <c r="T253" s="4" t="s">
        <v>50</v>
      </c>
      <c r="U253" s="4" t="s">
        <v>80</v>
      </c>
      <c r="V253" s="4" t="s">
        <v>63</v>
      </c>
      <c r="W253" s="4" t="s">
        <v>108</v>
      </c>
      <c r="X253" s="4" t="s">
        <v>54</v>
      </c>
      <c r="Y253" s="4"/>
      <c r="Z253" s="12">
        <v>0</v>
      </c>
      <c r="AA253" s="13" t="s">
        <v>9171</v>
      </c>
      <c r="AB253" s="13" t="s">
        <v>9147</v>
      </c>
      <c r="AC253" s="14" t="s">
        <v>9139</v>
      </c>
      <c r="AD253" s="14" t="s">
        <v>9140</v>
      </c>
      <c r="AE253" s="14" t="s">
        <v>9140</v>
      </c>
      <c r="AF253" s="14" t="s">
        <v>63</v>
      </c>
      <c r="AG253" s="14" t="s">
        <v>54</v>
      </c>
      <c r="AH253" s="15" t="s">
        <v>9141</v>
      </c>
      <c r="AI253" s="15" t="s">
        <v>9191</v>
      </c>
      <c r="AJ253" s="15" t="s">
        <v>9143</v>
      </c>
      <c r="AK253" s="15" t="s">
        <v>9141</v>
      </c>
      <c r="AL253" s="15" t="s">
        <v>9191</v>
      </c>
      <c r="AM253" s="16" t="s">
        <v>9141</v>
      </c>
      <c r="AN253" s="16" t="s">
        <v>9192</v>
      </c>
    </row>
    <row r="254" spans="1:40" x14ac:dyDescent="0.25">
      <c r="A254" s="4" t="s">
        <v>7220</v>
      </c>
      <c r="B254" s="4"/>
      <c r="C254" s="4" t="s">
        <v>39</v>
      </c>
      <c r="D254" s="4" t="s">
        <v>7214</v>
      </c>
      <c r="E254" s="4" t="s">
        <v>7215</v>
      </c>
      <c r="F254" s="10">
        <v>45713</v>
      </c>
      <c r="G254" s="11">
        <v>0.63541666666666663</v>
      </c>
      <c r="H254" s="4" t="s">
        <v>4659</v>
      </c>
      <c r="I254" s="4" t="s">
        <v>7216</v>
      </c>
      <c r="J254" s="4" t="s">
        <v>7217</v>
      </c>
      <c r="K254" s="4" t="s">
        <v>447</v>
      </c>
      <c r="L254" s="4" t="s">
        <v>7221</v>
      </c>
      <c r="M254" s="4" t="s">
        <v>46</v>
      </c>
      <c r="N254" s="4"/>
      <c r="O254" s="4" t="s">
        <v>47</v>
      </c>
      <c r="P254" s="4" t="s">
        <v>48</v>
      </c>
      <c r="Q254" s="4">
        <v>0</v>
      </c>
      <c r="R254" s="4" t="b">
        <v>0</v>
      </c>
      <c r="S254" s="4" t="s">
        <v>61</v>
      </c>
      <c r="T254" s="4" t="s">
        <v>50</v>
      </c>
      <c r="U254" s="4" t="s">
        <v>90</v>
      </c>
      <c r="V254" s="4" t="s">
        <v>63</v>
      </c>
      <c r="W254" s="4" t="s">
        <v>108</v>
      </c>
      <c r="X254" s="4" t="s">
        <v>54</v>
      </c>
      <c r="Y254" s="4"/>
      <c r="Z254" s="12">
        <v>0</v>
      </c>
      <c r="AA254" s="13" t="s">
        <v>9171</v>
      </c>
      <c r="AB254" s="13" t="s">
        <v>9147</v>
      </c>
      <c r="AC254" s="14" t="s">
        <v>9148</v>
      </c>
      <c r="AD254" s="14" t="s">
        <v>9140</v>
      </c>
      <c r="AE254" s="14" t="s">
        <v>9140</v>
      </c>
      <c r="AF254" s="14" t="s">
        <v>63</v>
      </c>
      <c r="AG254" s="14" t="s">
        <v>54</v>
      </c>
      <c r="AH254" s="15" t="s">
        <v>9220</v>
      </c>
      <c r="AI254" s="15" t="s">
        <v>9142</v>
      </c>
      <c r="AJ254" s="15" t="s">
        <v>9143</v>
      </c>
      <c r="AK254" s="15" t="s">
        <v>9221</v>
      </c>
      <c r="AL254" s="15" t="s">
        <v>9228</v>
      </c>
      <c r="AM254" s="16" t="s">
        <v>9221</v>
      </c>
      <c r="AN254" s="16" t="s">
        <v>9229</v>
      </c>
    </row>
    <row r="255" spans="1:40" x14ac:dyDescent="0.25">
      <c r="A255" s="4" t="s">
        <v>7048</v>
      </c>
      <c r="B255" s="4" t="s">
        <v>7049</v>
      </c>
      <c r="C255" s="4" t="s">
        <v>39</v>
      </c>
      <c r="D255" s="4" t="s">
        <v>7050</v>
      </c>
      <c r="E255" s="4" t="s">
        <v>7051</v>
      </c>
      <c r="F255" s="10">
        <v>45713</v>
      </c>
      <c r="G255" s="11">
        <v>0.41666666666666669</v>
      </c>
      <c r="H255" s="4" t="s">
        <v>4242</v>
      </c>
      <c r="I255" s="4" t="s">
        <v>7028</v>
      </c>
      <c r="J255" s="4" t="s">
        <v>7029</v>
      </c>
      <c r="K255" s="4" t="s">
        <v>7052</v>
      </c>
      <c r="L255" s="4" t="s">
        <v>7053</v>
      </c>
      <c r="M255" s="4" t="s">
        <v>46</v>
      </c>
      <c r="N255" s="4"/>
      <c r="O255" s="4" t="s">
        <v>47</v>
      </c>
      <c r="P255" s="4" t="s">
        <v>48</v>
      </c>
      <c r="Q255" s="4">
        <v>0</v>
      </c>
      <c r="R255" s="4" t="b">
        <v>0</v>
      </c>
      <c r="S255" s="4" t="s">
        <v>61</v>
      </c>
      <c r="T255" s="4" t="s">
        <v>50</v>
      </c>
      <c r="U255" s="4" t="s">
        <v>1253</v>
      </c>
      <c r="V255" s="4" t="s">
        <v>63</v>
      </c>
      <c r="W255" s="4" t="s">
        <v>108</v>
      </c>
      <c r="X255" s="4" t="s">
        <v>54</v>
      </c>
      <c r="Y255" s="4"/>
      <c r="Z255" s="12">
        <v>0</v>
      </c>
      <c r="AA255" s="13" t="s">
        <v>9171</v>
      </c>
      <c r="AB255" s="13" t="s">
        <v>9147</v>
      </c>
      <c r="AC255" s="14" t="s">
        <v>9148</v>
      </c>
      <c r="AD255" s="14" t="s">
        <v>9140</v>
      </c>
      <c r="AE255" s="14" t="s">
        <v>9140</v>
      </c>
      <c r="AF255" s="14" t="s">
        <v>63</v>
      </c>
      <c r="AG255" s="14" t="s">
        <v>54</v>
      </c>
      <c r="AH255" s="15" t="s">
        <v>9220</v>
      </c>
      <c r="AI255" s="15" t="s">
        <v>9187</v>
      </c>
      <c r="AJ255" s="15" t="s">
        <v>9143</v>
      </c>
      <c r="AK255" s="15" t="s">
        <v>9221</v>
      </c>
      <c r="AL255" s="15" t="s">
        <v>9226</v>
      </c>
      <c r="AM255" s="16" t="s">
        <v>9221</v>
      </c>
      <c r="AN255" s="16" t="s">
        <v>9227</v>
      </c>
    </row>
    <row r="256" spans="1:40" x14ac:dyDescent="0.25">
      <c r="A256" s="4" t="s">
        <v>7054</v>
      </c>
      <c r="B256" s="4" t="s">
        <v>7055</v>
      </c>
      <c r="C256" s="4" t="s">
        <v>39</v>
      </c>
      <c r="D256" s="4" t="s">
        <v>7056</v>
      </c>
      <c r="E256" s="4" t="s">
        <v>7057</v>
      </c>
      <c r="F256" s="10">
        <v>45712</v>
      </c>
      <c r="G256" s="11">
        <v>0.70486111111111116</v>
      </c>
      <c r="H256" s="4" t="s">
        <v>4242</v>
      </c>
      <c r="I256" s="4" t="s">
        <v>7028</v>
      </c>
      <c r="J256" s="4" t="s">
        <v>7029</v>
      </c>
      <c r="K256" s="4" t="s">
        <v>7058</v>
      </c>
      <c r="L256" s="4" t="s">
        <v>7059</v>
      </c>
      <c r="M256" s="4" t="s">
        <v>46</v>
      </c>
      <c r="N256" s="4"/>
      <c r="O256" s="4" t="s">
        <v>47</v>
      </c>
      <c r="P256" s="4" t="s">
        <v>48</v>
      </c>
      <c r="Q256" s="4">
        <v>0</v>
      </c>
      <c r="R256" s="4" t="b">
        <v>0</v>
      </c>
      <c r="S256" s="4" t="s">
        <v>49</v>
      </c>
      <c r="T256" s="4" t="s">
        <v>70</v>
      </c>
      <c r="U256" s="4" t="s">
        <v>71</v>
      </c>
      <c r="V256" s="4" t="s">
        <v>63</v>
      </c>
      <c r="W256" s="4" t="s">
        <v>312</v>
      </c>
      <c r="X256" s="4" t="s">
        <v>54</v>
      </c>
      <c r="Y256" s="4"/>
      <c r="Z256" s="12">
        <v>0</v>
      </c>
      <c r="AA256" s="13" t="s">
        <v>9171</v>
      </c>
      <c r="AB256" s="13" t="s">
        <v>9147</v>
      </c>
      <c r="AC256" s="14" t="s">
        <v>9139</v>
      </c>
      <c r="AD256" s="14" t="s">
        <v>9140</v>
      </c>
      <c r="AE256" s="14" t="s">
        <v>9140</v>
      </c>
      <c r="AF256" s="14" t="s">
        <v>63</v>
      </c>
      <c r="AG256" s="14" t="s">
        <v>54</v>
      </c>
      <c r="AH256" s="15" t="s">
        <v>9220</v>
      </c>
      <c r="AI256" s="15" t="s">
        <v>9187</v>
      </c>
      <c r="AJ256" s="15" t="s">
        <v>9143</v>
      </c>
      <c r="AK256" s="15" t="s">
        <v>9221</v>
      </c>
      <c r="AL256" s="15" t="s">
        <v>9226</v>
      </c>
      <c r="AM256" s="16" t="s">
        <v>9221</v>
      </c>
      <c r="AN256" s="16" t="s">
        <v>9227</v>
      </c>
    </row>
    <row r="257" spans="1:40" x14ac:dyDescent="0.25">
      <c r="A257" s="4" t="s">
        <v>8549</v>
      </c>
      <c r="B257" s="4"/>
      <c r="C257" s="4" t="s">
        <v>39</v>
      </c>
      <c r="D257" s="4" t="s">
        <v>8550</v>
      </c>
      <c r="E257" s="4" t="s">
        <v>8551</v>
      </c>
      <c r="F257" s="10">
        <v>45712</v>
      </c>
      <c r="G257" s="11">
        <v>0.45</v>
      </c>
      <c r="H257" s="4" t="s">
        <v>4019</v>
      </c>
      <c r="I257" s="4" t="s">
        <v>8552</v>
      </c>
      <c r="J257" s="4" t="s">
        <v>8553</v>
      </c>
      <c r="K257" s="4" t="s">
        <v>8554</v>
      </c>
      <c r="L257" s="4" t="s">
        <v>8555</v>
      </c>
      <c r="M257" s="4" t="s">
        <v>46</v>
      </c>
      <c r="N257" s="4"/>
      <c r="O257" s="4" t="s">
        <v>47</v>
      </c>
      <c r="P257" s="4" t="s">
        <v>48</v>
      </c>
      <c r="Q257" s="4">
        <v>0</v>
      </c>
      <c r="R257" s="4" t="b">
        <v>0</v>
      </c>
      <c r="S257" s="4" t="s">
        <v>49</v>
      </c>
      <c r="T257" s="4" t="s">
        <v>50</v>
      </c>
      <c r="U257" s="4" t="s">
        <v>107</v>
      </c>
      <c r="V257" s="4" t="s">
        <v>63</v>
      </c>
      <c r="W257" s="4" t="s">
        <v>108</v>
      </c>
      <c r="X257" s="4" t="s">
        <v>54</v>
      </c>
      <c r="Y257" s="4"/>
      <c r="Z257" s="12">
        <v>0</v>
      </c>
      <c r="AA257" s="13" t="s">
        <v>9171</v>
      </c>
      <c r="AB257" s="13" t="s">
        <v>9147</v>
      </c>
      <c r="AC257" s="14" t="s">
        <v>9139</v>
      </c>
      <c r="AD257" s="14" t="s">
        <v>9140</v>
      </c>
      <c r="AE257" s="14" t="s">
        <v>9140</v>
      </c>
      <c r="AF257" s="14" t="s">
        <v>63</v>
      </c>
      <c r="AG257" s="14" t="s">
        <v>54</v>
      </c>
      <c r="AH257" s="15" t="s">
        <v>9220</v>
      </c>
      <c r="AI257" s="15" t="s">
        <v>9175</v>
      </c>
      <c r="AJ257" s="15" t="s">
        <v>9143</v>
      </c>
      <c r="AK257" s="15" t="s">
        <v>9221</v>
      </c>
      <c r="AL257" s="15" t="s">
        <v>9222</v>
      </c>
      <c r="AM257" s="16" t="s">
        <v>9221</v>
      </c>
      <c r="AN257" s="16" t="s">
        <v>9223</v>
      </c>
    </row>
    <row r="258" spans="1:40" x14ac:dyDescent="0.25">
      <c r="A258" s="4" t="s">
        <v>6274</v>
      </c>
      <c r="B258" s="4"/>
      <c r="C258" s="4" t="s">
        <v>39</v>
      </c>
      <c r="D258" s="4" t="s">
        <v>6275</v>
      </c>
      <c r="E258" s="4" t="s">
        <v>6276</v>
      </c>
      <c r="F258" s="10">
        <v>45711</v>
      </c>
      <c r="G258" s="11">
        <v>0.55208333333333337</v>
      </c>
      <c r="H258" s="4" t="s">
        <v>4019</v>
      </c>
      <c r="I258" s="4" t="s">
        <v>6277</v>
      </c>
      <c r="J258" s="4" t="s">
        <v>988</v>
      </c>
      <c r="K258" s="4" t="s">
        <v>6278</v>
      </c>
      <c r="L258" s="4" t="s">
        <v>6279</v>
      </c>
      <c r="M258" s="4" t="s">
        <v>46</v>
      </c>
      <c r="N258" s="4"/>
      <c r="O258" s="4" t="s">
        <v>47</v>
      </c>
      <c r="P258" s="4" t="s">
        <v>60</v>
      </c>
      <c r="Q258" s="4">
        <v>0</v>
      </c>
      <c r="R258" s="4" t="b">
        <v>0</v>
      </c>
      <c r="S258" s="4" t="s">
        <v>49</v>
      </c>
      <c r="T258" s="4" t="s">
        <v>50</v>
      </c>
      <c r="U258" s="4" t="s">
        <v>345</v>
      </c>
      <c r="V258" s="4" t="s">
        <v>123</v>
      </c>
      <c r="W258" s="4" t="s">
        <v>149</v>
      </c>
      <c r="X258" s="4" t="s">
        <v>54</v>
      </c>
      <c r="Y258" s="4"/>
      <c r="Z258" s="12">
        <v>0</v>
      </c>
      <c r="AA258" s="13" t="s">
        <v>9171</v>
      </c>
      <c r="AB258" s="13" t="s">
        <v>9147</v>
      </c>
      <c r="AC258" s="14" t="s">
        <v>9139</v>
      </c>
      <c r="AD258" s="14" t="s">
        <v>9140</v>
      </c>
      <c r="AE258" s="14" t="s">
        <v>9140</v>
      </c>
      <c r="AF258" s="14" t="s">
        <v>123</v>
      </c>
      <c r="AG258" s="14" t="s">
        <v>54</v>
      </c>
      <c r="AH258" s="15" t="s">
        <v>9220</v>
      </c>
      <c r="AI258" s="15" t="s">
        <v>9175</v>
      </c>
      <c r="AJ258" s="15" t="s">
        <v>9143</v>
      </c>
      <c r="AK258" s="15" t="s">
        <v>9221</v>
      </c>
      <c r="AL258" s="15" t="s">
        <v>9222</v>
      </c>
      <c r="AM258" s="16" t="s">
        <v>9221</v>
      </c>
      <c r="AN258" s="16" t="s">
        <v>9223</v>
      </c>
    </row>
    <row r="259" spans="1:40" x14ac:dyDescent="0.25">
      <c r="A259" s="4" t="s">
        <v>7757</v>
      </c>
      <c r="B259" s="4">
        <v>7735475</v>
      </c>
      <c r="C259" s="4" t="s">
        <v>39</v>
      </c>
      <c r="D259" s="4" t="s">
        <v>7758</v>
      </c>
      <c r="E259" s="4" t="s">
        <v>7759</v>
      </c>
      <c r="F259" s="10">
        <v>45711</v>
      </c>
      <c r="G259" s="11">
        <v>0.6875</v>
      </c>
      <c r="H259" s="4" t="s">
        <v>4516</v>
      </c>
      <c r="I259" s="4" t="s">
        <v>7760</v>
      </c>
      <c r="J259" s="4" t="s">
        <v>7761</v>
      </c>
      <c r="K259" s="4" t="s">
        <v>7762</v>
      </c>
      <c r="L259" s="4" t="s">
        <v>7763</v>
      </c>
      <c r="M259" s="4" t="s">
        <v>46</v>
      </c>
      <c r="N259" s="4"/>
      <c r="O259" s="4" t="s">
        <v>47</v>
      </c>
      <c r="P259" s="4" t="s">
        <v>48</v>
      </c>
      <c r="Q259" s="4">
        <v>0</v>
      </c>
      <c r="R259" s="4" t="b">
        <v>0</v>
      </c>
      <c r="S259" s="4" t="s">
        <v>49</v>
      </c>
      <c r="T259" s="4" t="s">
        <v>115</v>
      </c>
      <c r="U259" s="4" t="s">
        <v>2817</v>
      </c>
      <c r="V259" s="4" t="s">
        <v>123</v>
      </c>
      <c r="W259" s="4" t="s">
        <v>124</v>
      </c>
      <c r="X259" s="4" t="s">
        <v>54</v>
      </c>
      <c r="Y259" s="4"/>
      <c r="Z259" s="12">
        <v>0</v>
      </c>
      <c r="AA259" s="13" t="s">
        <v>9171</v>
      </c>
      <c r="AB259" s="13" t="s">
        <v>9147</v>
      </c>
      <c r="AC259" s="14" t="s">
        <v>9139</v>
      </c>
      <c r="AD259" s="14" t="s">
        <v>9140</v>
      </c>
      <c r="AE259" s="14" t="s">
        <v>9140</v>
      </c>
      <c r="AF259" s="14" t="s">
        <v>123</v>
      </c>
      <c r="AG259" s="14" t="s">
        <v>54</v>
      </c>
      <c r="AH259" s="15" t="s">
        <v>9220</v>
      </c>
      <c r="AI259" s="15" t="s">
        <v>9188</v>
      </c>
      <c r="AJ259" s="15" t="s">
        <v>9143</v>
      </c>
      <c r="AK259" s="15" t="s">
        <v>9221</v>
      </c>
      <c r="AL259" s="15" t="s">
        <v>9230</v>
      </c>
      <c r="AM259" s="16" t="s">
        <v>9221</v>
      </c>
      <c r="AN259" s="16" t="s">
        <v>9231</v>
      </c>
    </row>
    <row r="260" spans="1:40" x14ac:dyDescent="0.25">
      <c r="A260" s="4" t="s">
        <v>4258</v>
      </c>
      <c r="B260" s="4"/>
      <c r="C260" s="4" t="s">
        <v>39</v>
      </c>
      <c r="D260" s="4" t="s">
        <v>4259</v>
      </c>
      <c r="E260" s="4" t="s">
        <v>4260</v>
      </c>
      <c r="F260" s="10">
        <v>45710</v>
      </c>
      <c r="G260" s="11">
        <v>0.67361111111111116</v>
      </c>
      <c r="H260" s="4" t="s">
        <v>4242</v>
      </c>
      <c r="I260" s="4" t="s">
        <v>4243</v>
      </c>
      <c r="J260" s="4" t="s">
        <v>1200</v>
      </c>
      <c r="K260" s="4" t="s">
        <v>4261</v>
      </c>
      <c r="L260" s="4" t="s">
        <v>4262</v>
      </c>
      <c r="M260" s="4" t="s">
        <v>46</v>
      </c>
      <c r="N260" s="4"/>
      <c r="O260" s="4" t="s">
        <v>47</v>
      </c>
      <c r="P260" s="4" t="s">
        <v>48</v>
      </c>
      <c r="Q260" s="4">
        <v>0</v>
      </c>
      <c r="R260" s="4" t="b">
        <v>0</v>
      </c>
      <c r="S260" s="4" t="s">
        <v>49</v>
      </c>
      <c r="T260" s="4" t="s">
        <v>50</v>
      </c>
      <c r="U260" s="4" t="s">
        <v>600</v>
      </c>
      <c r="V260" s="4" t="s">
        <v>81</v>
      </c>
      <c r="W260" s="4" t="s">
        <v>82</v>
      </c>
      <c r="X260" s="4" t="s">
        <v>54</v>
      </c>
      <c r="Y260" s="4"/>
      <c r="Z260" s="12">
        <v>0</v>
      </c>
      <c r="AA260" s="13" t="s">
        <v>9171</v>
      </c>
      <c r="AB260" s="13" t="s">
        <v>9147</v>
      </c>
      <c r="AC260" s="14" t="s">
        <v>9139</v>
      </c>
      <c r="AD260" s="14" t="s">
        <v>9140</v>
      </c>
      <c r="AE260" s="14" t="s">
        <v>9140</v>
      </c>
      <c r="AF260" s="14" t="s">
        <v>81</v>
      </c>
      <c r="AG260" s="14" t="s">
        <v>54</v>
      </c>
      <c r="AH260" s="15" t="s">
        <v>9220</v>
      </c>
      <c r="AI260" s="15" t="s">
        <v>9187</v>
      </c>
      <c r="AJ260" s="15" t="s">
        <v>9143</v>
      </c>
      <c r="AK260" s="15" t="s">
        <v>9221</v>
      </c>
      <c r="AL260" s="15" t="s">
        <v>9226</v>
      </c>
      <c r="AM260" s="16" t="s">
        <v>9221</v>
      </c>
      <c r="AN260" s="16" t="s">
        <v>9227</v>
      </c>
    </row>
    <row r="261" spans="1:40" x14ac:dyDescent="0.25">
      <c r="A261" s="4" t="s">
        <v>8226</v>
      </c>
      <c r="B261" s="4"/>
      <c r="C261" s="4" t="s">
        <v>39</v>
      </c>
      <c r="D261" s="4" t="s">
        <v>8227</v>
      </c>
      <c r="E261" s="4" t="s">
        <v>8228</v>
      </c>
      <c r="F261" s="10">
        <v>45710</v>
      </c>
      <c r="G261" s="11">
        <v>0.41666666666666669</v>
      </c>
      <c r="H261" s="4" t="s">
        <v>4910</v>
      </c>
      <c r="I261" s="4" t="s">
        <v>8223</v>
      </c>
      <c r="J261" s="4" t="s">
        <v>1844</v>
      </c>
      <c r="K261" s="4" t="s">
        <v>8229</v>
      </c>
      <c r="L261" s="4" t="s">
        <v>8230</v>
      </c>
      <c r="M261" s="4" t="s">
        <v>46</v>
      </c>
      <c r="N261" s="4"/>
      <c r="O261" s="4" t="s">
        <v>47</v>
      </c>
      <c r="P261" s="4" t="s">
        <v>48</v>
      </c>
      <c r="Q261" s="4">
        <v>0</v>
      </c>
      <c r="R261" s="4" t="b">
        <v>0</v>
      </c>
      <c r="S261" s="4" t="s">
        <v>49</v>
      </c>
      <c r="T261" s="4" t="s">
        <v>70</v>
      </c>
      <c r="U261" s="4" t="s">
        <v>71</v>
      </c>
      <c r="V261" s="4" t="s">
        <v>72</v>
      </c>
      <c r="W261" s="4" t="s">
        <v>73</v>
      </c>
      <c r="X261" s="4" t="s">
        <v>54</v>
      </c>
      <c r="Y261" s="4"/>
      <c r="Z261" s="12">
        <v>0</v>
      </c>
      <c r="AA261" s="13" t="s">
        <v>9171</v>
      </c>
      <c r="AB261" s="13" t="s">
        <v>9147</v>
      </c>
      <c r="AC261" s="14" t="s">
        <v>9139</v>
      </c>
      <c r="AD261" s="14" t="s">
        <v>9140</v>
      </c>
      <c r="AE261" s="14" t="s">
        <v>9140</v>
      </c>
      <c r="AF261" s="14" t="s">
        <v>72</v>
      </c>
      <c r="AG261" s="14" t="s">
        <v>54</v>
      </c>
      <c r="AH261" s="15" t="s">
        <v>9220</v>
      </c>
      <c r="AI261" s="15" t="s">
        <v>9191</v>
      </c>
      <c r="AJ261" s="15" t="s">
        <v>9143</v>
      </c>
      <c r="AK261" s="15" t="s">
        <v>9221</v>
      </c>
      <c r="AL261" s="15" t="s">
        <v>9226</v>
      </c>
      <c r="AM261" s="16" t="s">
        <v>9221</v>
      </c>
      <c r="AN261" s="16" t="s">
        <v>9227</v>
      </c>
    </row>
    <row r="262" spans="1:40" x14ac:dyDescent="0.25">
      <c r="A262" s="4" t="s">
        <v>562</v>
      </c>
      <c r="B262" s="4"/>
      <c r="C262" s="4" t="s">
        <v>39</v>
      </c>
      <c r="D262" s="4" t="s">
        <v>563</v>
      </c>
      <c r="E262" s="4" t="s">
        <v>564</v>
      </c>
      <c r="F262" s="10">
        <v>45710</v>
      </c>
      <c r="G262" s="11">
        <v>0.52083333333333337</v>
      </c>
      <c r="H262" s="4" t="s">
        <v>463</v>
      </c>
      <c r="I262" s="4">
        <v>2022</v>
      </c>
      <c r="J262" s="4" t="s">
        <v>565</v>
      </c>
      <c r="K262" s="4" t="s">
        <v>566</v>
      </c>
      <c r="L262" s="4" t="s">
        <v>567</v>
      </c>
      <c r="M262" s="4" t="s">
        <v>46</v>
      </c>
      <c r="N262" s="4"/>
      <c r="O262" s="4" t="s">
        <v>47</v>
      </c>
      <c r="P262" s="4" t="s">
        <v>48</v>
      </c>
      <c r="Q262" s="4">
        <v>0</v>
      </c>
      <c r="R262" s="4" t="b">
        <v>0</v>
      </c>
      <c r="S262" s="4" t="s">
        <v>114</v>
      </c>
      <c r="T262" s="4" t="s">
        <v>115</v>
      </c>
      <c r="U262" s="4" t="s">
        <v>373</v>
      </c>
      <c r="V262" s="4" t="s">
        <v>52</v>
      </c>
      <c r="W262" s="4" t="s">
        <v>374</v>
      </c>
      <c r="X262" s="4" t="s">
        <v>54</v>
      </c>
      <c r="Y262" s="4"/>
      <c r="Z262" s="12">
        <v>0</v>
      </c>
      <c r="AA262" s="13" t="s">
        <v>9171</v>
      </c>
      <c r="AB262" s="13" t="s">
        <v>9147</v>
      </c>
      <c r="AC262" s="14" t="s">
        <v>9157</v>
      </c>
      <c r="AD262" s="14" t="s">
        <v>9140</v>
      </c>
      <c r="AE262" s="14" t="s">
        <v>9140</v>
      </c>
      <c r="AF262" s="14" t="s">
        <v>52</v>
      </c>
      <c r="AG262" s="14" t="s">
        <v>54</v>
      </c>
      <c r="AH262" s="15" t="s">
        <v>9141</v>
      </c>
      <c r="AI262" s="15" t="s">
        <v>9175</v>
      </c>
      <c r="AJ262" s="15" t="s">
        <v>9143</v>
      </c>
      <c r="AK262" s="15" t="s">
        <v>9141</v>
      </c>
      <c r="AL262" s="15" t="s">
        <v>9175</v>
      </c>
      <c r="AM262" s="16" t="s">
        <v>9141</v>
      </c>
      <c r="AN262" s="16" t="s">
        <v>9176</v>
      </c>
    </row>
    <row r="263" spans="1:40" x14ac:dyDescent="0.25">
      <c r="A263" s="4" t="s">
        <v>8815</v>
      </c>
      <c r="B263" s="4">
        <v>7730757</v>
      </c>
      <c r="C263" s="4" t="s">
        <v>39</v>
      </c>
      <c r="D263" s="4" t="s">
        <v>8816</v>
      </c>
      <c r="E263" s="4" t="s">
        <v>8817</v>
      </c>
      <c r="F263" s="10">
        <v>45710</v>
      </c>
      <c r="G263" s="11">
        <v>0.57013888888888886</v>
      </c>
      <c r="H263" s="4" t="s">
        <v>4516</v>
      </c>
      <c r="I263" s="4" t="s">
        <v>8818</v>
      </c>
      <c r="J263" s="4" t="s">
        <v>8819</v>
      </c>
      <c r="K263" s="4" t="s">
        <v>8820</v>
      </c>
      <c r="L263" s="4" t="s">
        <v>8821</v>
      </c>
      <c r="M263" s="4" t="s">
        <v>28</v>
      </c>
      <c r="N263" s="4" t="s">
        <v>183</v>
      </c>
      <c r="O263" s="4" t="s">
        <v>174</v>
      </c>
      <c r="P263" s="4" t="s">
        <v>48</v>
      </c>
      <c r="Q263" s="4">
        <v>39</v>
      </c>
      <c r="R263" s="4" t="b">
        <v>0</v>
      </c>
      <c r="S263" s="4" t="s">
        <v>184</v>
      </c>
      <c r="T263" s="4" t="s">
        <v>115</v>
      </c>
      <c r="U263" s="4" t="s">
        <v>373</v>
      </c>
      <c r="V263" s="4" t="s">
        <v>52</v>
      </c>
      <c r="W263" s="4" t="s">
        <v>53</v>
      </c>
      <c r="X263" s="4" t="s">
        <v>54</v>
      </c>
      <c r="Y263" s="4" t="s">
        <v>323</v>
      </c>
      <c r="Z263" s="12" t="s">
        <v>48</v>
      </c>
      <c r="AA263" s="13" t="s">
        <v>9171</v>
      </c>
      <c r="AB263" s="13" t="s">
        <v>9147</v>
      </c>
      <c r="AC263" s="14" t="s">
        <v>9166</v>
      </c>
      <c r="AD263" s="14" t="s">
        <v>28</v>
      </c>
      <c r="AE263" s="14" t="s">
        <v>183</v>
      </c>
      <c r="AF263" s="14" t="s">
        <v>52</v>
      </c>
      <c r="AG263" s="14" t="s">
        <v>54</v>
      </c>
      <c r="AH263" s="15" t="s">
        <v>9220</v>
      </c>
      <c r="AI263" s="15" t="s">
        <v>9188</v>
      </c>
      <c r="AJ263" s="15" t="s">
        <v>9143</v>
      </c>
      <c r="AK263" s="15" t="s">
        <v>9221</v>
      </c>
      <c r="AL263" s="15" t="s">
        <v>9236</v>
      </c>
      <c r="AM263" s="16" t="s">
        <v>9221</v>
      </c>
      <c r="AN263" s="16" t="s">
        <v>9237</v>
      </c>
    </row>
    <row r="264" spans="1:40" x14ac:dyDescent="0.25">
      <c r="A264" s="4" t="s">
        <v>3963</v>
      </c>
      <c r="B264" s="4"/>
      <c r="C264" s="4" t="s">
        <v>39</v>
      </c>
      <c r="D264" s="4" t="s">
        <v>3964</v>
      </c>
      <c r="E264" s="4" t="s">
        <v>3965</v>
      </c>
      <c r="F264" s="10">
        <v>45710</v>
      </c>
      <c r="G264" s="11">
        <v>0.60763888888888884</v>
      </c>
      <c r="H264" s="4" t="s">
        <v>2017</v>
      </c>
      <c r="I264" s="4" t="s">
        <v>3966</v>
      </c>
      <c r="J264" s="4" t="s">
        <v>3967</v>
      </c>
      <c r="K264" s="4" t="s">
        <v>3968</v>
      </c>
      <c r="L264" s="4" t="s">
        <v>3969</v>
      </c>
      <c r="M264" s="4" t="s">
        <v>46</v>
      </c>
      <c r="N264" s="4"/>
      <c r="O264" s="4" t="s">
        <v>47</v>
      </c>
      <c r="P264" s="4" t="s">
        <v>48</v>
      </c>
      <c r="Q264" s="4">
        <v>0</v>
      </c>
      <c r="R264" s="4" t="b">
        <v>0</v>
      </c>
      <c r="S264" s="4" t="s">
        <v>49</v>
      </c>
      <c r="T264" s="4" t="s">
        <v>70</v>
      </c>
      <c r="U264" s="4" t="s">
        <v>71</v>
      </c>
      <c r="V264" s="4" t="s">
        <v>63</v>
      </c>
      <c r="W264" s="4" t="s">
        <v>312</v>
      </c>
      <c r="X264" s="4" t="s">
        <v>54</v>
      </c>
      <c r="Y264" s="4" t="s">
        <v>176</v>
      </c>
      <c r="Z264" s="12">
        <v>0</v>
      </c>
      <c r="AA264" s="13" t="s">
        <v>9171</v>
      </c>
      <c r="AB264" s="13" t="s">
        <v>9147</v>
      </c>
      <c r="AC264" s="14" t="s">
        <v>9139</v>
      </c>
      <c r="AD264" s="14" t="s">
        <v>9140</v>
      </c>
      <c r="AE264" s="14" t="s">
        <v>9140</v>
      </c>
      <c r="AF264" s="14" t="s">
        <v>63</v>
      </c>
      <c r="AG264" s="14" t="s">
        <v>54</v>
      </c>
      <c r="AH264" s="15" t="s">
        <v>9194</v>
      </c>
      <c r="AI264" s="15" t="s">
        <v>9199</v>
      </c>
      <c r="AJ264" s="15" t="s">
        <v>9143</v>
      </c>
      <c r="AK264" s="15" t="s">
        <v>9194</v>
      </c>
      <c r="AL264" s="15" t="s">
        <v>9199</v>
      </c>
      <c r="AM264" s="16" t="s">
        <v>9194</v>
      </c>
      <c r="AN264" s="16" t="s">
        <v>9200</v>
      </c>
    </row>
    <row r="265" spans="1:40" x14ac:dyDescent="0.25">
      <c r="A265" s="4" t="s">
        <v>5294</v>
      </c>
      <c r="B265" s="4">
        <v>7719149</v>
      </c>
      <c r="C265" s="4" t="s">
        <v>39</v>
      </c>
      <c r="D265" s="4" t="s">
        <v>5295</v>
      </c>
      <c r="E265" s="4" t="s">
        <v>5296</v>
      </c>
      <c r="F265" s="10">
        <v>45708</v>
      </c>
      <c r="G265" s="11">
        <v>0.42708333333333331</v>
      </c>
      <c r="H265" s="4" t="s">
        <v>4516</v>
      </c>
      <c r="I265" s="4" t="s">
        <v>5275</v>
      </c>
      <c r="J265" s="4" t="s">
        <v>5276</v>
      </c>
      <c r="K265" s="4" t="s">
        <v>5297</v>
      </c>
      <c r="L265" s="4" t="s">
        <v>5298</v>
      </c>
      <c r="M265" s="4" t="s">
        <v>46</v>
      </c>
      <c r="N265" s="4"/>
      <c r="O265" s="4" t="s">
        <v>47</v>
      </c>
      <c r="P265" s="4" t="s">
        <v>48</v>
      </c>
      <c r="Q265" s="4">
        <v>0</v>
      </c>
      <c r="R265" s="4" t="b">
        <v>0</v>
      </c>
      <c r="S265" s="4" t="s">
        <v>49</v>
      </c>
      <c r="T265" s="4" t="s">
        <v>70</v>
      </c>
      <c r="U265" s="4" t="s">
        <v>71</v>
      </c>
      <c r="V265" s="4" t="s">
        <v>63</v>
      </c>
      <c r="W265" s="4" t="s">
        <v>108</v>
      </c>
      <c r="X265" s="4" t="s">
        <v>54</v>
      </c>
      <c r="Y265" s="4"/>
      <c r="Z265" s="12">
        <v>0</v>
      </c>
      <c r="AA265" s="13" t="s">
        <v>9171</v>
      </c>
      <c r="AB265" s="13" t="s">
        <v>9147</v>
      </c>
      <c r="AC265" s="14" t="s">
        <v>9139</v>
      </c>
      <c r="AD265" s="14" t="s">
        <v>9140</v>
      </c>
      <c r="AE265" s="14" t="s">
        <v>9140</v>
      </c>
      <c r="AF265" s="14" t="s">
        <v>63</v>
      </c>
      <c r="AG265" s="14" t="s">
        <v>54</v>
      </c>
      <c r="AH265" s="15" t="s">
        <v>9220</v>
      </c>
      <c r="AI265" s="15" t="s">
        <v>9188</v>
      </c>
      <c r="AJ265" s="15" t="s">
        <v>9143</v>
      </c>
      <c r="AK265" s="15" t="s">
        <v>9221</v>
      </c>
      <c r="AL265" s="15" t="s">
        <v>9230</v>
      </c>
      <c r="AM265" s="16" t="s">
        <v>9221</v>
      </c>
      <c r="AN265" s="16" t="s">
        <v>9231</v>
      </c>
    </row>
    <row r="266" spans="1:40" x14ac:dyDescent="0.25">
      <c r="A266" s="4" t="s">
        <v>5505</v>
      </c>
      <c r="B266" s="4"/>
      <c r="C266" s="4" t="s">
        <v>39</v>
      </c>
      <c r="D266" s="4" t="s">
        <v>5506</v>
      </c>
      <c r="E266" s="4" t="s">
        <v>5507</v>
      </c>
      <c r="F266" s="10">
        <v>45708</v>
      </c>
      <c r="G266" s="11">
        <v>0.54166666666666663</v>
      </c>
      <c r="H266" s="4" t="s">
        <v>4910</v>
      </c>
      <c r="I266" s="4" t="s">
        <v>5502</v>
      </c>
      <c r="J266" s="4" t="s">
        <v>3354</v>
      </c>
      <c r="K266" s="4" t="s">
        <v>5508</v>
      </c>
      <c r="L266" s="4" t="s">
        <v>5509</v>
      </c>
      <c r="M266" s="4" t="s">
        <v>46</v>
      </c>
      <c r="N266" s="4"/>
      <c r="O266" s="4" t="s">
        <v>47</v>
      </c>
      <c r="P266" s="4" t="s">
        <v>48</v>
      </c>
      <c r="Q266" s="4">
        <v>0</v>
      </c>
      <c r="R266" s="4" t="b">
        <v>0</v>
      </c>
      <c r="S266" s="4" t="s">
        <v>49</v>
      </c>
      <c r="T266" s="4" t="s">
        <v>70</v>
      </c>
      <c r="U266" s="4" t="s">
        <v>71</v>
      </c>
      <c r="V266" s="4" t="s">
        <v>63</v>
      </c>
      <c r="W266" s="4" t="s">
        <v>312</v>
      </c>
      <c r="X266" s="4" t="s">
        <v>54</v>
      </c>
      <c r="Y266" s="4" t="s">
        <v>211</v>
      </c>
      <c r="Z266" s="12">
        <v>0</v>
      </c>
      <c r="AA266" s="13" t="s">
        <v>9171</v>
      </c>
      <c r="AB266" s="13" t="s">
        <v>9147</v>
      </c>
      <c r="AC266" s="14" t="s">
        <v>9139</v>
      </c>
      <c r="AD266" s="14" t="s">
        <v>9140</v>
      </c>
      <c r="AE266" s="14" t="s">
        <v>9140</v>
      </c>
      <c r="AF266" s="14" t="s">
        <v>63</v>
      </c>
      <c r="AG266" s="14" t="s">
        <v>54</v>
      </c>
      <c r="AH266" s="15" t="s">
        <v>9220</v>
      </c>
      <c r="AI266" s="15" t="s">
        <v>9191</v>
      </c>
      <c r="AJ266" s="15" t="s">
        <v>9143</v>
      </c>
      <c r="AK266" s="15" t="s">
        <v>9221</v>
      </c>
      <c r="AL266" s="15" t="s">
        <v>9234</v>
      </c>
      <c r="AM266" s="16" t="s">
        <v>9221</v>
      </c>
      <c r="AN266" s="16" t="s">
        <v>9235</v>
      </c>
    </row>
    <row r="267" spans="1:40" x14ac:dyDescent="0.25">
      <c r="A267" s="4" t="s">
        <v>6252</v>
      </c>
      <c r="B267" s="4" t="s">
        <v>6253</v>
      </c>
      <c r="C267" s="4" t="s">
        <v>39</v>
      </c>
      <c r="D267" s="4" t="s">
        <v>6254</v>
      </c>
      <c r="E267" s="4" t="s">
        <v>6255</v>
      </c>
      <c r="F267" s="10">
        <v>45708</v>
      </c>
      <c r="G267" s="11">
        <v>0.74861111111111112</v>
      </c>
      <c r="H267" s="4" t="s">
        <v>4910</v>
      </c>
      <c r="I267" s="4" t="s">
        <v>6256</v>
      </c>
      <c r="J267" s="4" t="s">
        <v>3927</v>
      </c>
      <c r="K267" s="4" t="s">
        <v>1270</v>
      </c>
      <c r="L267" s="4" t="s">
        <v>6257</v>
      </c>
      <c r="M267" s="4" t="s">
        <v>28</v>
      </c>
      <c r="N267" s="4" t="s">
        <v>478</v>
      </c>
      <c r="O267" s="4" t="s">
        <v>174</v>
      </c>
      <c r="P267" s="4" t="s">
        <v>48</v>
      </c>
      <c r="Q267" s="4">
        <v>9</v>
      </c>
      <c r="R267" s="4" t="b">
        <v>0</v>
      </c>
      <c r="S267" s="4" t="s">
        <v>114</v>
      </c>
      <c r="T267" s="4" t="s">
        <v>70</v>
      </c>
      <c r="U267" s="4" t="s">
        <v>71</v>
      </c>
      <c r="V267" s="4" t="s">
        <v>123</v>
      </c>
      <c r="W267" s="4" t="s">
        <v>124</v>
      </c>
      <c r="X267" s="4" t="s">
        <v>54</v>
      </c>
      <c r="Y267" s="4" t="s">
        <v>486</v>
      </c>
      <c r="Z267" s="12" t="s">
        <v>48</v>
      </c>
      <c r="AA267" s="13" t="s">
        <v>9171</v>
      </c>
      <c r="AB267" s="13" t="s">
        <v>9147</v>
      </c>
      <c r="AC267" s="14" t="s">
        <v>9157</v>
      </c>
      <c r="AD267" s="14" t="s">
        <v>28</v>
      </c>
      <c r="AE267" s="14" t="s">
        <v>478</v>
      </c>
      <c r="AF267" s="14" t="s">
        <v>123</v>
      </c>
      <c r="AG267" s="14" t="s">
        <v>54</v>
      </c>
      <c r="AH267" s="15" t="s">
        <v>9220</v>
      </c>
      <c r="AI267" s="15" t="s">
        <v>9191</v>
      </c>
      <c r="AJ267" s="15" t="s">
        <v>9143</v>
      </c>
      <c r="AK267" s="15" t="s">
        <v>9221</v>
      </c>
      <c r="AL267" s="15" t="s">
        <v>9226</v>
      </c>
      <c r="AM267" s="16" t="s">
        <v>9221</v>
      </c>
      <c r="AN267" s="16" t="s">
        <v>9227</v>
      </c>
    </row>
    <row r="268" spans="1:40" x14ac:dyDescent="0.25">
      <c r="A268" s="4" t="s">
        <v>6603</v>
      </c>
      <c r="B268" s="4">
        <v>7854896</v>
      </c>
      <c r="C268" s="4" t="s">
        <v>39</v>
      </c>
      <c r="D268" s="4" t="s">
        <v>6604</v>
      </c>
      <c r="E268" s="4" t="s">
        <v>6605</v>
      </c>
      <c r="F268" s="10">
        <v>45707</v>
      </c>
      <c r="G268" s="11">
        <v>0.5</v>
      </c>
      <c r="H268" s="4" t="s">
        <v>4516</v>
      </c>
      <c r="I268" s="4" t="s">
        <v>6599</v>
      </c>
      <c r="J268" s="4" t="s">
        <v>6600</v>
      </c>
      <c r="K268" s="4" t="s">
        <v>6606</v>
      </c>
      <c r="L268" s="4" t="s">
        <v>6607</v>
      </c>
      <c r="M268" s="4" t="s">
        <v>28</v>
      </c>
      <c r="N268" s="4" t="s">
        <v>183</v>
      </c>
      <c r="O268" s="4" t="s">
        <v>863</v>
      </c>
      <c r="P268" s="4" t="s">
        <v>60</v>
      </c>
      <c r="Q268" s="4">
        <v>0</v>
      </c>
      <c r="R268" s="4" t="b">
        <v>0</v>
      </c>
      <c r="S268" s="4" t="s">
        <v>114</v>
      </c>
      <c r="T268" s="4" t="s">
        <v>115</v>
      </c>
      <c r="U268" s="4" t="s">
        <v>71</v>
      </c>
      <c r="V268" s="4" t="s">
        <v>52</v>
      </c>
      <c r="W268" s="4" t="s">
        <v>374</v>
      </c>
      <c r="X268" s="4" t="s">
        <v>54</v>
      </c>
      <c r="Y268" s="4"/>
      <c r="Z268" s="12" t="s">
        <v>60</v>
      </c>
      <c r="AA268" s="13" t="s">
        <v>9171</v>
      </c>
      <c r="AB268" s="13" t="s">
        <v>9147</v>
      </c>
      <c r="AC268" s="14" t="s">
        <v>9157</v>
      </c>
      <c r="AD268" s="14" t="s">
        <v>28</v>
      </c>
      <c r="AE268" s="14" t="s">
        <v>183</v>
      </c>
      <c r="AF268" s="14" t="s">
        <v>52</v>
      </c>
      <c r="AG268" s="14" t="s">
        <v>54</v>
      </c>
      <c r="AH268" s="15" t="s">
        <v>9220</v>
      </c>
      <c r="AI268" s="15" t="s">
        <v>9188</v>
      </c>
      <c r="AJ268" s="15" t="s">
        <v>9143</v>
      </c>
      <c r="AK268" s="15" t="s">
        <v>9221</v>
      </c>
      <c r="AL268" s="15" t="s">
        <v>9232</v>
      </c>
      <c r="AM268" s="16" t="s">
        <v>9221</v>
      </c>
      <c r="AN268" s="16" t="s">
        <v>9233</v>
      </c>
    </row>
    <row r="269" spans="1:40" x14ac:dyDescent="0.25">
      <c r="A269" s="4" t="s">
        <v>6608</v>
      </c>
      <c r="B269" s="4">
        <v>7877087</v>
      </c>
      <c r="C269" s="4" t="s">
        <v>488</v>
      </c>
      <c r="D269" s="4" t="s">
        <v>6604</v>
      </c>
      <c r="E269" s="4" t="s">
        <v>6605</v>
      </c>
      <c r="F269" s="10">
        <v>45707</v>
      </c>
      <c r="G269" s="11">
        <v>0.5</v>
      </c>
      <c r="H269" s="4" t="s">
        <v>4516</v>
      </c>
      <c r="I269" s="4" t="s">
        <v>6599</v>
      </c>
      <c r="J269" s="4" t="s">
        <v>6600</v>
      </c>
      <c r="K269" s="4" t="s">
        <v>6609</v>
      </c>
      <c r="L269" s="4" t="s">
        <v>6610</v>
      </c>
      <c r="M269" s="4" t="s">
        <v>28</v>
      </c>
      <c r="N269" s="4" t="s">
        <v>183</v>
      </c>
      <c r="O269" s="4" t="s">
        <v>344</v>
      </c>
      <c r="P269" s="4" t="s">
        <v>60</v>
      </c>
      <c r="Q269" s="4">
        <v>14</v>
      </c>
      <c r="R269" s="4" t="b">
        <v>0</v>
      </c>
      <c r="S269" s="4" t="s">
        <v>114</v>
      </c>
      <c r="T269" s="4" t="s">
        <v>1240</v>
      </c>
      <c r="U269" s="4" t="s">
        <v>90</v>
      </c>
      <c r="V269" s="4" t="s">
        <v>267</v>
      </c>
      <c r="W269" s="4" t="s">
        <v>495</v>
      </c>
      <c r="X269" s="4" t="s">
        <v>54</v>
      </c>
      <c r="Y269" s="4"/>
      <c r="Z269" s="12" t="s">
        <v>60</v>
      </c>
      <c r="AA269" s="13" t="s">
        <v>9171</v>
      </c>
      <c r="AB269" s="13" t="s">
        <v>9147</v>
      </c>
      <c r="AC269" s="14" t="s">
        <v>9157</v>
      </c>
      <c r="AD269" s="14" t="s">
        <v>28</v>
      </c>
      <c r="AE269" s="14" t="s">
        <v>183</v>
      </c>
      <c r="AF269" s="14" t="s">
        <v>267</v>
      </c>
      <c r="AG269" s="14" t="s">
        <v>54</v>
      </c>
      <c r="AH269" s="15" t="s">
        <v>9220</v>
      </c>
      <c r="AI269" s="15" t="s">
        <v>9188</v>
      </c>
      <c r="AJ269" s="15" t="s">
        <v>9143</v>
      </c>
      <c r="AK269" s="15" t="s">
        <v>9221</v>
      </c>
      <c r="AL269" s="15" t="s">
        <v>9232</v>
      </c>
      <c r="AM269" s="16" t="s">
        <v>9221</v>
      </c>
      <c r="AN269" s="16" t="s">
        <v>9233</v>
      </c>
    </row>
    <row r="270" spans="1:40" x14ac:dyDescent="0.25">
      <c r="A270" s="4" t="s">
        <v>6970</v>
      </c>
      <c r="B270" s="4"/>
      <c r="C270" s="4" t="s">
        <v>39</v>
      </c>
      <c r="D270" s="4" t="s">
        <v>6971</v>
      </c>
      <c r="E270" s="4" t="s">
        <v>6972</v>
      </c>
      <c r="F270" s="10">
        <v>45707</v>
      </c>
      <c r="G270" s="11">
        <v>0.60416666666666663</v>
      </c>
      <c r="H270" s="4" t="s">
        <v>4516</v>
      </c>
      <c r="I270" s="4" t="s">
        <v>6973</v>
      </c>
      <c r="J270" s="4" t="s">
        <v>6974</v>
      </c>
      <c r="K270" s="4" t="s">
        <v>6975</v>
      </c>
      <c r="L270" s="4" t="s">
        <v>6976</v>
      </c>
      <c r="M270" s="4" t="s">
        <v>46</v>
      </c>
      <c r="N270" s="4"/>
      <c r="O270" s="4" t="s">
        <v>47</v>
      </c>
      <c r="P270" s="4" t="s">
        <v>48</v>
      </c>
      <c r="Q270" s="4">
        <v>0</v>
      </c>
      <c r="R270" s="4" t="b">
        <v>0</v>
      </c>
      <c r="S270" s="4" t="s">
        <v>61</v>
      </c>
      <c r="T270" s="4" t="s">
        <v>115</v>
      </c>
      <c r="U270" s="4" t="s">
        <v>148</v>
      </c>
      <c r="V270" s="4" t="s">
        <v>52</v>
      </c>
      <c r="W270" s="4" t="s">
        <v>53</v>
      </c>
      <c r="X270" s="4" t="s">
        <v>54</v>
      </c>
      <c r="Y270" s="4"/>
      <c r="Z270" s="12">
        <v>0</v>
      </c>
      <c r="AA270" s="13" t="s">
        <v>9171</v>
      </c>
      <c r="AB270" s="13" t="s">
        <v>9147</v>
      </c>
      <c r="AC270" s="14" t="s">
        <v>9148</v>
      </c>
      <c r="AD270" s="14" t="s">
        <v>9140</v>
      </c>
      <c r="AE270" s="14" t="s">
        <v>9140</v>
      </c>
      <c r="AF270" s="14" t="s">
        <v>52</v>
      </c>
      <c r="AG270" s="14" t="s">
        <v>54</v>
      </c>
      <c r="AH270" s="15" t="s">
        <v>9220</v>
      </c>
      <c r="AI270" s="15" t="s">
        <v>9188</v>
      </c>
      <c r="AJ270" s="15" t="s">
        <v>9143</v>
      </c>
      <c r="AK270" s="15" t="s">
        <v>9221</v>
      </c>
      <c r="AL270" s="15" t="s">
        <v>9236</v>
      </c>
      <c r="AM270" s="16" t="s">
        <v>9221</v>
      </c>
      <c r="AN270" s="16" t="s">
        <v>9237</v>
      </c>
    </row>
    <row r="271" spans="1:40" x14ac:dyDescent="0.25">
      <c r="A271" s="4" t="s">
        <v>7060</v>
      </c>
      <c r="B271" s="4" t="s">
        <v>7061</v>
      </c>
      <c r="C271" s="4" t="s">
        <v>39</v>
      </c>
      <c r="D271" s="4" t="s">
        <v>7038</v>
      </c>
      <c r="E271" s="4" t="s">
        <v>7039</v>
      </c>
      <c r="F271" s="10">
        <v>45707</v>
      </c>
      <c r="G271" s="11">
        <v>0.67708333333333337</v>
      </c>
      <c r="H271" s="4" t="s">
        <v>4242</v>
      </c>
      <c r="I271" s="4" t="s">
        <v>7028</v>
      </c>
      <c r="J271" s="4" t="s">
        <v>7029</v>
      </c>
      <c r="K271" s="4" t="s">
        <v>7062</v>
      </c>
      <c r="L271" s="4" t="s">
        <v>7063</v>
      </c>
      <c r="M271" s="4" t="s">
        <v>46</v>
      </c>
      <c r="N271" s="4"/>
      <c r="O271" s="4" t="s">
        <v>47</v>
      </c>
      <c r="P271" s="4" t="s">
        <v>48</v>
      </c>
      <c r="Q271" s="4">
        <v>0</v>
      </c>
      <c r="R271" s="4" t="b">
        <v>0</v>
      </c>
      <c r="S271" s="4" t="s">
        <v>49</v>
      </c>
      <c r="T271" s="4" t="s">
        <v>115</v>
      </c>
      <c r="U271" s="4" t="s">
        <v>218</v>
      </c>
      <c r="V271" s="4" t="s">
        <v>63</v>
      </c>
      <c r="W271" s="4" t="s">
        <v>108</v>
      </c>
      <c r="X271" s="4" t="s">
        <v>54</v>
      </c>
      <c r="Y271" s="4"/>
      <c r="Z271" s="12">
        <v>0</v>
      </c>
      <c r="AA271" s="13" t="s">
        <v>9171</v>
      </c>
      <c r="AB271" s="13" t="s">
        <v>9147</v>
      </c>
      <c r="AC271" s="14" t="s">
        <v>9139</v>
      </c>
      <c r="AD271" s="14" t="s">
        <v>9140</v>
      </c>
      <c r="AE271" s="14" t="s">
        <v>9140</v>
      </c>
      <c r="AF271" s="14" t="s">
        <v>63</v>
      </c>
      <c r="AG271" s="14" t="s">
        <v>54</v>
      </c>
      <c r="AH271" s="15" t="s">
        <v>9220</v>
      </c>
      <c r="AI271" s="15" t="s">
        <v>9187</v>
      </c>
      <c r="AJ271" s="15" t="s">
        <v>9143</v>
      </c>
      <c r="AK271" s="15" t="s">
        <v>9221</v>
      </c>
      <c r="AL271" s="15" t="s">
        <v>9226</v>
      </c>
      <c r="AM271" s="16" t="s">
        <v>9221</v>
      </c>
      <c r="AN271" s="16" t="s">
        <v>9227</v>
      </c>
    </row>
    <row r="272" spans="1:40" x14ac:dyDescent="0.25">
      <c r="A272" s="4" t="s">
        <v>1669</v>
      </c>
      <c r="B272" s="4"/>
      <c r="C272" s="4" t="s">
        <v>39</v>
      </c>
      <c r="D272" s="4" t="s">
        <v>1664</v>
      </c>
      <c r="E272" s="4" t="s">
        <v>1665</v>
      </c>
      <c r="F272" s="10">
        <v>45707</v>
      </c>
      <c r="G272" s="11">
        <v>0.63541666666666663</v>
      </c>
      <c r="H272" s="4" t="s">
        <v>1654</v>
      </c>
      <c r="I272" s="4">
        <v>9087</v>
      </c>
      <c r="J272" s="4" t="s">
        <v>1666</v>
      </c>
      <c r="K272" s="4" t="s">
        <v>1670</v>
      </c>
      <c r="L272" s="4" t="s">
        <v>1671</v>
      </c>
      <c r="M272" s="4" t="s">
        <v>46</v>
      </c>
      <c r="N272" s="4"/>
      <c r="O272" s="4" t="s">
        <v>47</v>
      </c>
      <c r="P272" s="4" t="s">
        <v>48</v>
      </c>
      <c r="Q272" s="4">
        <v>0</v>
      </c>
      <c r="R272" s="4" t="b">
        <v>0</v>
      </c>
      <c r="S272" s="4" t="s">
        <v>49</v>
      </c>
      <c r="T272" s="4" t="s">
        <v>115</v>
      </c>
      <c r="U272" s="4" t="s">
        <v>51</v>
      </c>
      <c r="V272" s="4" t="s">
        <v>123</v>
      </c>
      <c r="W272" s="4" t="s">
        <v>124</v>
      </c>
      <c r="X272" s="4" t="s">
        <v>54</v>
      </c>
      <c r="Y272" s="4" t="s">
        <v>302</v>
      </c>
      <c r="Z272" s="12">
        <v>0</v>
      </c>
      <c r="AA272" s="13" t="s">
        <v>9171</v>
      </c>
      <c r="AB272" s="13" t="s">
        <v>9147</v>
      </c>
      <c r="AC272" s="14" t="s">
        <v>9139</v>
      </c>
      <c r="AD272" s="14" t="s">
        <v>9140</v>
      </c>
      <c r="AE272" s="14" t="s">
        <v>9140</v>
      </c>
      <c r="AF272" s="14" t="s">
        <v>123</v>
      </c>
      <c r="AG272" s="14" t="s">
        <v>54</v>
      </c>
      <c r="AH272" s="15" t="s">
        <v>9141</v>
      </c>
      <c r="AI272" s="15" t="s">
        <v>9191</v>
      </c>
      <c r="AJ272" s="15" t="s">
        <v>9143</v>
      </c>
      <c r="AK272" s="15" t="s">
        <v>9141</v>
      </c>
      <c r="AL272" s="15" t="s">
        <v>9191</v>
      </c>
      <c r="AM272" s="16" t="s">
        <v>9141</v>
      </c>
      <c r="AN272" s="16" t="s">
        <v>9192</v>
      </c>
    </row>
    <row r="273" spans="1:40" x14ac:dyDescent="0.25">
      <c r="A273" s="4" t="s">
        <v>4003</v>
      </c>
      <c r="B273" s="4"/>
      <c r="C273" s="4" t="s">
        <v>39</v>
      </c>
      <c r="D273" s="4" t="s">
        <v>4004</v>
      </c>
      <c r="E273" s="4" t="s">
        <v>4005</v>
      </c>
      <c r="F273" s="10">
        <v>45706</v>
      </c>
      <c r="G273" s="11">
        <v>0.375</v>
      </c>
      <c r="H273" s="4" t="s">
        <v>4006</v>
      </c>
      <c r="I273" s="4" t="s">
        <v>4007</v>
      </c>
      <c r="J273" s="4" t="s">
        <v>4008</v>
      </c>
      <c r="K273" s="4" t="s">
        <v>4009</v>
      </c>
      <c r="L273" s="4" t="s">
        <v>4010</v>
      </c>
      <c r="M273" s="4" t="s">
        <v>46</v>
      </c>
      <c r="N273" s="4"/>
      <c r="O273" s="4" t="s">
        <v>47</v>
      </c>
      <c r="P273" s="4" t="s">
        <v>48</v>
      </c>
      <c r="Q273" s="4">
        <v>0</v>
      </c>
      <c r="R273" s="4" t="b">
        <v>0</v>
      </c>
      <c r="S273" s="4" t="s">
        <v>61</v>
      </c>
      <c r="T273" s="4" t="s">
        <v>50</v>
      </c>
      <c r="U273" s="4" t="s">
        <v>122</v>
      </c>
      <c r="V273" s="4" t="s">
        <v>123</v>
      </c>
      <c r="W273" s="4" t="s">
        <v>124</v>
      </c>
      <c r="X273" s="4" t="s">
        <v>1131</v>
      </c>
      <c r="Y273" s="4"/>
      <c r="Z273" s="12">
        <v>0</v>
      </c>
      <c r="AA273" s="13" t="s">
        <v>9171</v>
      </c>
      <c r="AB273" s="13" t="s">
        <v>9147</v>
      </c>
      <c r="AC273" s="14" t="s">
        <v>9148</v>
      </c>
      <c r="AD273" s="14" t="s">
        <v>9140</v>
      </c>
      <c r="AE273" s="14" t="s">
        <v>9140</v>
      </c>
      <c r="AF273" s="14" t="s">
        <v>123</v>
      </c>
      <c r="AG273" s="14" t="s">
        <v>1131</v>
      </c>
      <c r="AH273" s="15" t="s">
        <v>9218</v>
      </c>
      <c r="AI273" s="15" t="s">
        <v>9175</v>
      </c>
      <c r="AJ273" s="15" t="s">
        <v>9183</v>
      </c>
      <c r="AK273" s="15" t="s">
        <v>9217</v>
      </c>
      <c r="AL273" s="15" t="s">
        <v>9219</v>
      </c>
      <c r="AM273" s="16" t="s">
        <v>9186</v>
      </c>
      <c r="AN273" s="16" t="s">
        <v>9186</v>
      </c>
    </row>
    <row r="274" spans="1:40" x14ac:dyDescent="0.25">
      <c r="A274" s="4" t="s">
        <v>3261</v>
      </c>
      <c r="B274" s="4">
        <v>7708050</v>
      </c>
      <c r="C274" s="4" t="s">
        <v>39</v>
      </c>
      <c r="D274" s="4" t="s">
        <v>3262</v>
      </c>
      <c r="E274" s="4" t="s">
        <v>3263</v>
      </c>
      <c r="F274" s="10">
        <v>45706</v>
      </c>
      <c r="G274" s="11">
        <v>0.39583333333333331</v>
      </c>
      <c r="H274" s="4" t="s">
        <v>2095</v>
      </c>
      <c r="I274" s="4" t="s">
        <v>3264</v>
      </c>
      <c r="J274" s="4" t="s">
        <v>3265</v>
      </c>
      <c r="K274" s="4" t="s">
        <v>3266</v>
      </c>
      <c r="L274" s="4" t="s">
        <v>3267</v>
      </c>
      <c r="M274" s="4" t="s">
        <v>28</v>
      </c>
      <c r="N274" s="4" t="s">
        <v>183</v>
      </c>
      <c r="O274" s="4" t="s">
        <v>174</v>
      </c>
      <c r="P274" s="4" t="s">
        <v>60</v>
      </c>
      <c r="Q274" s="4">
        <v>11</v>
      </c>
      <c r="R274" s="4" t="b">
        <v>0</v>
      </c>
      <c r="S274" s="4" t="s">
        <v>61</v>
      </c>
      <c r="T274" s="4" t="s">
        <v>115</v>
      </c>
      <c r="U274" s="4" t="s">
        <v>426</v>
      </c>
      <c r="V274" s="4" t="s">
        <v>123</v>
      </c>
      <c r="W274" s="4" t="s">
        <v>149</v>
      </c>
      <c r="X274" s="4" t="s">
        <v>54</v>
      </c>
      <c r="Y274" s="4"/>
      <c r="Z274" s="12" t="s">
        <v>60</v>
      </c>
      <c r="AA274" s="13" t="s">
        <v>9171</v>
      </c>
      <c r="AB274" s="13" t="s">
        <v>9147</v>
      </c>
      <c r="AC274" s="14" t="s">
        <v>9148</v>
      </c>
      <c r="AD274" s="14" t="s">
        <v>28</v>
      </c>
      <c r="AE274" s="14" t="s">
        <v>183</v>
      </c>
      <c r="AF274" s="14" t="s">
        <v>123</v>
      </c>
      <c r="AG274" s="14" t="s">
        <v>54</v>
      </c>
      <c r="AH274" s="15" t="s">
        <v>9194</v>
      </c>
      <c r="AI274" s="15" t="s">
        <v>9188</v>
      </c>
      <c r="AJ274" s="15" t="s">
        <v>9143</v>
      </c>
      <c r="AK274" s="15" t="s">
        <v>9194</v>
      </c>
      <c r="AL274" s="15" t="s">
        <v>9211</v>
      </c>
      <c r="AM274" s="16" t="s">
        <v>9194</v>
      </c>
      <c r="AN274" s="16" t="s">
        <v>9212</v>
      </c>
    </row>
    <row r="275" spans="1:40" x14ac:dyDescent="0.25">
      <c r="A275" s="4" t="s">
        <v>4152</v>
      </c>
      <c r="B275" s="4"/>
      <c r="C275" s="4" t="s">
        <v>39</v>
      </c>
      <c r="D275" s="4" t="s">
        <v>4153</v>
      </c>
      <c r="E275" s="4" t="s">
        <v>4154</v>
      </c>
      <c r="F275" s="10">
        <v>45706</v>
      </c>
      <c r="G275" s="11">
        <v>0.50694444444444442</v>
      </c>
      <c r="H275" s="4" t="s">
        <v>4019</v>
      </c>
      <c r="I275" s="4" t="s">
        <v>4149</v>
      </c>
      <c r="J275" s="4" t="s">
        <v>559</v>
      </c>
      <c r="K275" s="4" t="s">
        <v>4155</v>
      </c>
      <c r="L275" s="4" t="s">
        <v>4156</v>
      </c>
      <c r="M275" s="4" t="s">
        <v>46</v>
      </c>
      <c r="N275" s="4"/>
      <c r="O275" s="4" t="s">
        <v>47</v>
      </c>
      <c r="P275" s="4" t="s">
        <v>48</v>
      </c>
      <c r="Q275" s="4">
        <v>0</v>
      </c>
      <c r="R275" s="4" t="b">
        <v>0</v>
      </c>
      <c r="S275" s="4" t="s">
        <v>61</v>
      </c>
      <c r="T275" s="4" t="s">
        <v>115</v>
      </c>
      <c r="U275" s="4" t="s">
        <v>51</v>
      </c>
      <c r="V275" s="4" t="s">
        <v>123</v>
      </c>
      <c r="W275" s="4" t="s">
        <v>124</v>
      </c>
      <c r="X275" s="4" t="s">
        <v>54</v>
      </c>
      <c r="Y275" s="4"/>
      <c r="Z275" s="12">
        <v>0</v>
      </c>
      <c r="AA275" s="13" t="s">
        <v>9171</v>
      </c>
      <c r="AB275" s="13" t="s">
        <v>9147</v>
      </c>
      <c r="AC275" s="14" t="s">
        <v>9148</v>
      </c>
      <c r="AD275" s="14" t="s">
        <v>9140</v>
      </c>
      <c r="AE275" s="14" t="s">
        <v>9140</v>
      </c>
      <c r="AF275" s="14" t="s">
        <v>123</v>
      </c>
      <c r="AG275" s="14" t="s">
        <v>54</v>
      </c>
      <c r="AH275" s="15" t="s">
        <v>9220</v>
      </c>
      <c r="AI275" s="15" t="s">
        <v>9175</v>
      </c>
      <c r="AJ275" s="15" t="s">
        <v>9143</v>
      </c>
      <c r="AK275" s="15" t="s">
        <v>9221</v>
      </c>
      <c r="AL275" s="15" t="s">
        <v>9224</v>
      </c>
      <c r="AM275" s="16" t="s">
        <v>9221</v>
      </c>
      <c r="AN275" s="16" t="s">
        <v>9225</v>
      </c>
    </row>
    <row r="276" spans="1:40" x14ac:dyDescent="0.25">
      <c r="A276" s="4" t="s">
        <v>5669</v>
      </c>
      <c r="B276" s="4"/>
      <c r="C276" s="4" t="s">
        <v>39</v>
      </c>
      <c r="D276" s="4" t="s">
        <v>5670</v>
      </c>
      <c r="E276" s="4" t="s">
        <v>5671</v>
      </c>
      <c r="F276" s="10">
        <v>45705</v>
      </c>
      <c r="G276" s="11">
        <v>0.46180555555555558</v>
      </c>
      <c r="H276" s="4" t="s">
        <v>5666</v>
      </c>
      <c r="I276" s="4" t="s">
        <v>5667</v>
      </c>
      <c r="J276" s="4" t="s">
        <v>2192</v>
      </c>
      <c r="K276" s="4" t="s">
        <v>5672</v>
      </c>
      <c r="L276" s="4" t="s">
        <v>5673</v>
      </c>
      <c r="M276" s="4" t="s">
        <v>46</v>
      </c>
      <c r="N276" s="4"/>
      <c r="O276" s="4" t="s">
        <v>47</v>
      </c>
      <c r="P276" s="4" t="s">
        <v>48</v>
      </c>
      <c r="Q276" s="4">
        <v>2</v>
      </c>
      <c r="R276" s="4" t="b">
        <v>0</v>
      </c>
      <c r="S276" s="4" t="s">
        <v>61</v>
      </c>
      <c r="T276" s="4" t="s">
        <v>115</v>
      </c>
      <c r="U276" s="4" t="s">
        <v>480</v>
      </c>
      <c r="V276" s="4" t="s">
        <v>52</v>
      </c>
      <c r="W276" s="4" t="s">
        <v>53</v>
      </c>
      <c r="X276" s="4" t="s">
        <v>54</v>
      </c>
      <c r="Y276" s="4"/>
      <c r="Z276" s="12">
        <v>0</v>
      </c>
      <c r="AA276" s="13" t="s">
        <v>9171</v>
      </c>
      <c r="AB276" s="13" t="s">
        <v>9147</v>
      </c>
      <c r="AC276" s="14" t="s">
        <v>9148</v>
      </c>
      <c r="AD276" s="14" t="s">
        <v>9140</v>
      </c>
      <c r="AE276" s="14" t="s">
        <v>9140</v>
      </c>
      <c r="AF276" s="14" t="s">
        <v>52</v>
      </c>
      <c r="AG276" s="14" t="s">
        <v>54</v>
      </c>
      <c r="AH276" s="15" t="s">
        <v>9220</v>
      </c>
      <c r="AI276" s="15" t="s">
        <v>9199</v>
      </c>
      <c r="AJ276" s="15" t="s">
        <v>9143</v>
      </c>
      <c r="AK276" s="15" t="s">
        <v>9221</v>
      </c>
      <c r="AL276" s="15" t="s">
        <v>9199</v>
      </c>
      <c r="AM276" s="16" t="s">
        <v>9221</v>
      </c>
      <c r="AN276" s="16" t="s">
        <v>9238</v>
      </c>
    </row>
    <row r="277" spans="1:40" x14ac:dyDescent="0.25">
      <c r="A277" s="4" t="s">
        <v>4656</v>
      </c>
      <c r="B277" s="4"/>
      <c r="C277" s="4" t="s">
        <v>39</v>
      </c>
      <c r="D277" s="4" t="s">
        <v>4657</v>
      </c>
      <c r="E277" s="4" t="s">
        <v>4658</v>
      </c>
      <c r="F277" s="10">
        <v>45705</v>
      </c>
      <c r="G277" s="11">
        <v>0.65625</v>
      </c>
      <c r="H277" s="4" t="s">
        <v>4659</v>
      </c>
      <c r="I277" s="4" t="s">
        <v>4660</v>
      </c>
      <c r="J277" s="4" t="s">
        <v>4661</v>
      </c>
      <c r="K277" s="4" t="s">
        <v>4662</v>
      </c>
      <c r="L277" s="4" t="s">
        <v>4663</v>
      </c>
      <c r="M277" s="4" t="s">
        <v>46</v>
      </c>
      <c r="N277" s="4" t="s">
        <v>2718</v>
      </c>
      <c r="O277" s="4" t="s">
        <v>174</v>
      </c>
      <c r="P277" s="4" t="s">
        <v>48</v>
      </c>
      <c r="Q277" s="4">
        <v>4</v>
      </c>
      <c r="R277" s="4" t="b">
        <v>0</v>
      </c>
      <c r="S277" s="4" t="s">
        <v>184</v>
      </c>
      <c r="T277" s="4" t="s">
        <v>89</v>
      </c>
      <c r="U277" s="4" t="s">
        <v>584</v>
      </c>
      <c r="V277" s="4" t="s">
        <v>52</v>
      </c>
      <c r="W277" s="4" t="s">
        <v>135</v>
      </c>
      <c r="X277" s="4" t="s">
        <v>54</v>
      </c>
      <c r="Y277" s="4"/>
      <c r="Z277" s="12">
        <v>0</v>
      </c>
      <c r="AA277" s="13" t="s">
        <v>9171</v>
      </c>
      <c r="AB277" s="13" t="s">
        <v>9147</v>
      </c>
      <c r="AC277" s="14" t="s">
        <v>9166</v>
      </c>
      <c r="AD277" s="14" t="s">
        <v>9140</v>
      </c>
      <c r="AE277" s="14" t="s">
        <v>9140</v>
      </c>
      <c r="AF277" s="14" t="s">
        <v>52</v>
      </c>
      <c r="AG277" s="14" t="s">
        <v>54</v>
      </c>
      <c r="AH277" s="15" t="s">
        <v>9220</v>
      </c>
      <c r="AI277" s="15" t="s">
        <v>9142</v>
      </c>
      <c r="AJ277" s="15" t="s">
        <v>9143</v>
      </c>
      <c r="AK277" s="15" t="s">
        <v>9221</v>
      </c>
      <c r="AL277" s="15" t="s">
        <v>9228</v>
      </c>
      <c r="AM277" s="16" t="s">
        <v>9221</v>
      </c>
      <c r="AN277" s="16" t="s">
        <v>9229</v>
      </c>
    </row>
    <row r="278" spans="1:40" x14ac:dyDescent="0.25">
      <c r="A278" s="4" t="s">
        <v>5299</v>
      </c>
      <c r="B278" s="4">
        <v>7707029</v>
      </c>
      <c r="C278" s="4" t="s">
        <v>39</v>
      </c>
      <c r="D278" s="4" t="s">
        <v>5300</v>
      </c>
      <c r="E278" s="4" t="s">
        <v>5301</v>
      </c>
      <c r="F278" s="10">
        <v>45705</v>
      </c>
      <c r="G278" s="11">
        <v>0.65625</v>
      </c>
      <c r="H278" s="4" t="s">
        <v>4516</v>
      </c>
      <c r="I278" s="4" t="s">
        <v>5275</v>
      </c>
      <c r="J278" s="4" t="s">
        <v>5276</v>
      </c>
      <c r="K278" s="4" t="s">
        <v>5302</v>
      </c>
      <c r="L278" s="4" t="s">
        <v>5303</v>
      </c>
      <c r="M278" s="4" t="s">
        <v>46</v>
      </c>
      <c r="N278" s="4"/>
      <c r="O278" s="4" t="s">
        <v>47</v>
      </c>
      <c r="P278" s="4" t="s">
        <v>48</v>
      </c>
      <c r="Q278" s="4">
        <v>0</v>
      </c>
      <c r="R278" s="4" t="b">
        <v>0</v>
      </c>
      <c r="S278" s="4" t="s">
        <v>49</v>
      </c>
      <c r="T278" s="4" t="s">
        <v>70</v>
      </c>
      <c r="U278" s="4" t="s">
        <v>80</v>
      </c>
      <c r="V278" s="4" t="s">
        <v>63</v>
      </c>
      <c r="W278" s="4" t="s">
        <v>312</v>
      </c>
      <c r="X278" s="4" t="s">
        <v>54</v>
      </c>
      <c r="Y278" s="4"/>
      <c r="Z278" s="12">
        <v>0</v>
      </c>
      <c r="AA278" s="13" t="s">
        <v>9171</v>
      </c>
      <c r="AB278" s="13" t="s">
        <v>9147</v>
      </c>
      <c r="AC278" s="14" t="s">
        <v>9139</v>
      </c>
      <c r="AD278" s="14" t="s">
        <v>9140</v>
      </c>
      <c r="AE278" s="14" t="s">
        <v>9140</v>
      </c>
      <c r="AF278" s="14" t="s">
        <v>63</v>
      </c>
      <c r="AG278" s="14" t="s">
        <v>54</v>
      </c>
      <c r="AH278" s="15" t="s">
        <v>9220</v>
      </c>
      <c r="AI278" s="15" t="s">
        <v>9188</v>
      </c>
      <c r="AJ278" s="15" t="s">
        <v>9143</v>
      </c>
      <c r="AK278" s="15" t="s">
        <v>9221</v>
      </c>
      <c r="AL278" s="15" t="s">
        <v>9230</v>
      </c>
      <c r="AM278" s="16" t="s">
        <v>9221</v>
      </c>
      <c r="AN278" s="16" t="s">
        <v>9231</v>
      </c>
    </row>
    <row r="279" spans="1:40" x14ac:dyDescent="0.25">
      <c r="A279" s="4" t="s">
        <v>3978</v>
      </c>
      <c r="B279" s="4"/>
      <c r="C279" s="4" t="s">
        <v>39</v>
      </c>
      <c r="D279" s="4" t="s">
        <v>3979</v>
      </c>
      <c r="E279" s="4" t="s">
        <v>3980</v>
      </c>
      <c r="F279" s="10">
        <v>45705</v>
      </c>
      <c r="G279" s="11">
        <v>0.5</v>
      </c>
      <c r="H279" s="4" t="s">
        <v>1939</v>
      </c>
      <c r="I279" s="4" t="s">
        <v>3981</v>
      </c>
      <c r="J279" s="4" t="s">
        <v>3982</v>
      </c>
      <c r="K279" s="4" t="s">
        <v>175</v>
      </c>
      <c r="L279" s="4" t="s">
        <v>3983</v>
      </c>
      <c r="M279" s="4" t="s">
        <v>46</v>
      </c>
      <c r="N279" s="4"/>
      <c r="O279" s="4" t="s">
        <v>191</v>
      </c>
      <c r="P279" s="4" t="s">
        <v>48</v>
      </c>
      <c r="Q279" s="4">
        <v>0</v>
      </c>
      <c r="R279" s="4" t="b">
        <v>0</v>
      </c>
      <c r="S279" s="4" t="s">
        <v>114</v>
      </c>
      <c r="T279" s="4" t="s">
        <v>115</v>
      </c>
      <c r="U279" s="4" t="s">
        <v>175</v>
      </c>
      <c r="V279" s="4" t="s">
        <v>52</v>
      </c>
      <c r="W279" s="4" t="s">
        <v>53</v>
      </c>
      <c r="X279" s="4" t="s">
        <v>54</v>
      </c>
      <c r="Y279" s="4"/>
      <c r="Z279" s="12">
        <v>0</v>
      </c>
      <c r="AA279" s="13" t="s">
        <v>9171</v>
      </c>
      <c r="AB279" s="13" t="s">
        <v>9147</v>
      </c>
      <c r="AC279" s="14" t="s">
        <v>9157</v>
      </c>
      <c r="AD279" s="14" t="s">
        <v>9140</v>
      </c>
      <c r="AE279" s="14" t="s">
        <v>9140</v>
      </c>
      <c r="AF279" s="14" t="s">
        <v>52</v>
      </c>
      <c r="AG279" s="14" t="s">
        <v>54</v>
      </c>
      <c r="AH279" s="15" t="s">
        <v>9194</v>
      </c>
      <c r="AI279" s="15" t="s">
        <v>9175</v>
      </c>
      <c r="AJ279" s="15" t="s">
        <v>9183</v>
      </c>
      <c r="AK279" s="15" t="s">
        <v>9214</v>
      </c>
      <c r="AL279" s="15" t="s">
        <v>9215</v>
      </c>
      <c r="AM279" s="16" t="s">
        <v>9186</v>
      </c>
      <c r="AN279" s="16" t="s">
        <v>9186</v>
      </c>
    </row>
    <row r="280" spans="1:40" x14ac:dyDescent="0.25">
      <c r="A280" s="4" t="s">
        <v>955</v>
      </c>
      <c r="B280" s="4"/>
      <c r="C280" s="4" t="s">
        <v>39</v>
      </c>
      <c r="D280" s="4" t="s">
        <v>956</v>
      </c>
      <c r="E280" s="4" t="s">
        <v>957</v>
      </c>
      <c r="F280" s="10">
        <v>45705</v>
      </c>
      <c r="G280" s="11">
        <v>0.45694444444444443</v>
      </c>
      <c r="H280" s="4" t="s">
        <v>463</v>
      </c>
      <c r="I280" s="4">
        <v>2033</v>
      </c>
      <c r="J280" s="4" t="s">
        <v>952</v>
      </c>
      <c r="K280" s="4" t="s">
        <v>958</v>
      </c>
      <c r="L280" s="4" t="s">
        <v>959</v>
      </c>
      <c r="M280" s="4" t="s">
        <v>46</v>
      </c>
      <c r="N280" s="4"/>
      <c r="O280" s="4" t="s">
        <v>191</v>
      </c>
      <c r="P280" s="4" t="s">
        <v>60</v>
      </c>
      <c r="Q280" s="4">
        <v>0</v>
      </c>
      <c r="R280" s="4" t="b">
        <v>0</v>
      </c>
      <c r="S280" s="4" t="s">
        <v>184</v>
      </c>
      <c r="T280" s="4" t="s">
        <v>115</v>
      </c>
      <c r="U280" s="4" t="s">
        <v>373</v>
      </c>
      <c r="V280" s="4" t="s">
        <v>52</v>
      </c>
      <c r="W280" s="4" t="s">
        <v>255</v>
      </c>
      <c r="X280" s="4" t="s">
        <v>54</v>
      </c>
      <c r="Y280" s="4"/>
      <c r="Z280" s="12">
        <v>0</v>
      </c>
      <c r="AA280" s="13" t="s">
        <v>9171</v>
      </c>
      <c r="AB280" s="13" t="s">
        <v>9147</v>
      </c>
      <c r="AC280" s="14" t="s">
        <v>9166</v>
      </c>
      <c r="AD280" s="14" t="s">
        <v>9140</v>
      </c>
      <c r="AE280" s="14" t="s">
        <v>9140</v>
      </c>
      <c r="AF280" s="14" t="s">
        <v>52</v>
      </c>
      <c r="AG280" s="14" t="s">
        <v>54</v>
      </c>
      <c r="AH280" s="15" t="s">
        <v>9141</v>
      </c>
      <c r="AI280" s="15" t="s">
        <v>9175</v>
      </c>
      <c r="AJ280" s="15" t="s">
        <v>9143</v>
      </c>
      <c r="AK280" s="15" t="s">
        <v>9141</v>
      </c>
      <c r="AL280" s="15" t="s">
        <v>9175</v>
      </c>
      <c r="AM280" s="16" t="s">
        <v>9141</v>
      </c>
      <c r="AN280" s="16" t="s">
        <v>9176</v>
      </c>
    </row>
    <row r="281" spans="1:40" x14ac:dyDescent="0.25">
      <c r="A281" s="4" t="s">
        <v>7912</v>
      </c>
      <c r="B281" s="4">
        <v>7708043</v>
      </c>
      <c r="C281" s="4" t="s">
        <v>39</v>
      </c>
      <c r="D281" s="4" t="s">
        <v>7913</v>
      </c>
      <c r="E281" s="4" t="s">
        <v>7914</v>
      </c>
      <c r="F281" s="10">
        <v>45703</v>
      </c>
      <c r="G281" s="11">
        <v>0.44097222222222221</v>
      </c>
      <c r="H281" s="4" t="s">
        <v>4516</v>
      </c>
      <c r="I281" s="4" t="s">
        <v>7915</v>
      </c>
      <c r="J281" s="4" t="s">
        <v>7916</v>
      </c>
      <c r="K281" s="4" t="s">
        <v>7917</v>
      </c>
      <c r="L281" s="4" t="s">
        <v>7918</v>
      </c>
      <c r="M281" s="4" t="s">
        <v>46</v>
      </c>
      <c r="N281" s="4"/>
      <c r="O281" s="4" t="s">
        <v>47</v>
      </c>
      <c r="P281" s="4" t="s">
        <v>48</v>
      </c>
      <c r="Q281" s="4">
        <v>0</v>
      </c>
      <c r="R281" s="4" t="b">
        <v>0</v>
      </c>
      <c r="S281" s="4" t="s">
        <v>61</v>
      </c>
      <c r="T281" s="4" t="s">
        <v>50</v>
      </c>
      <c r="U281" s="4" t="s">
        <v>2767</v>
      </c>
      <c r="V281" s="4" t="s">
        <v>72</v>
      </c>
      <c r="W281" s="4" t="s">
        <v>97</v>
      </c>
      <c r="X281" s="4" t="s">
        <v>54</v>
      </c>
      <c r="Y281" s="4" t="s">
        <v>486</v>
      </c>
      <c r="Z281" s="12">
        <v>0</v>
      </c>
      <c r="AA281" s="13" t="s">
        <v>9171</v>
      </c>
      <c r="AB281" s="13" t="s">
        <v>9147</v>
      </c>
      <c r="AC281" s="14" t="s">
        <v>9148</v>
      </c>
      <c r="AD281" s="14" t="s">
        <v>9140</v>
      </c>
      <c r="AE281" s="14" t="s">
        <v>9140</v>
      </c>
      <c r="AF281" s="14" t="s">
        <v>72</v>
      </c>
      <c r="AG281" s="14" t="s">
        <v>54</v>
      </c>
      <c r="AH281" s="15" t="s">
        <v>9220</v>
      </c>
      <c r="AI281" s="15" t="s">
        <v>9188</v>
      </c>
      <c r="AJ281" s="15" t="s">
        <v>9143</v>
      </c>
      <c r="AK281" s="15" t="s">
        <v>9221</v>
      </c>
      <c r="AL281" s="15" t="s">
        <v>9230</v>
      </c>
      <c r="AM281" s="16" t="s">
        <v>9221</v>
      </c>
      <c r="AN281" s="16" t="s">
        <v>9231</v>
      </c>
    </row>
    <row r="282" spans="1:40" x14ac:dyDescent="0.25">
      <c r="A282" s="4" t="s">
        <v>6875</v>
      </c>
      <c r="B282" s="4"/>
      <c r="C282" s="4" t="s">
        <v>39</v>
      </c>
      <c r="D282" s="4" t="s">
        <v>6876</v>
      </c>
      <c r="E282" s="4" t="s">
        <v>6877</v>
      </c>
      <c r="F282" s="10">
        <v>45703</v>
      </c>
      <c r="G282" s="11">
        <v>0.5625</v>
      </c>
      <c r="H282" s="4" t="s">
        <v>4910</v>
      </c>
      <c r="I282" s="4" t="s">
        <v>6878</v>
      </c>
      <c r="J282" s="4" t="s">
        <v>3657</v>
      </c>
      <c r="K282" s="4" t="s">
        <v>6879</v>
      </c>
      <c r="L282" s="4" t="s">
        <v>6880</v>
      </c>
      <c r="M282" s="4" t="s">
        <v>46</v>
      </c>
      <c r="N282" s="4"/>
      <c r="O282" s="4" t="s">
        <v>47</v>
      </c>
      <c r="P282" s="4" t="s">
        <v>48</v>
      </c>
      <c r="Q282" s="4">
        <v>0</v>
      </c>
      <c r="R282" s="4" t="b">
        <v>0</v>
      </c>
      <c r="S282" s="4" t="s">
        <v>61</v>
      </c>
      <c r="T282" s="4" t="s">
        <v>479</v>
      </c>
      <c r="U282" s="4" t="s">
        <v>148</v>
      </c>
      <c r="V282" s="4" t="s">
        <v>52</v>
      </c>
      <c r="W282" s="4" t="s">
        <v>135</v>
      </c>
      <c r="X282" s="4" t="s">
        <v>54</v>
      </c>
      <c r="Y282" s="4" t="s">
        <v>302</v>
      </c>
      <c r="Z282" s="12">
        <v>0</v>
      </c>
      <c r="AA282" s="13" t="s">
        <v>9171</v>
      </c>
      <c r="AB282" s="13" t="s">
        <v>9147</v>
      </c>
      <c r="AC282" s="14" t="s">
        <v>9148</v>
      </c>
      <c r="AD282" s="14" t="s">
        <v>9140</v>
      </c>
      <c r="AE282" s="14" t="s">
        <v>9140</v>
      </c>
      <c r="AF282" s="14" t="s">
        <v>52</v>
      </c>
      <c r="AG282" s="14" t="s">
        <v>54</v>
      </c>
      <c r="AH282" s="15" t="s">
        <v>9220</v>
      </c>
      <c r="AI282" s="15" t="s">
        <v>9191</v>
      </c>
      <c r="AJ282" s="15" t="s">
        <v>9143</v>
      </c>
      <c r="AK282" s="15" t="s">
        <v>9221</v>
      </c>
      <c r="AL282" s="15" t="s">
        <v>9234</v>
      </c>
      <c r="AM282" s="16" t="s">
        <v>9221</v>
      </c>
      <c r="AN282" s="16" t="s">
        <v>9235</v>
      </c>
    </row>
    <row r="283" spans="1:40" x14ac:dyDescent="0.25">
      <c r="A283" s="4" t="s">
        <v>7624</v>
      </c>
      <c r="B283" s="4"/>
      <c r="C283" s="4" t="s">
        <v>39</v>
      </c>
      <c r="D283" s="4" t="s">
        <v>7625</v>
      </c>
      <c r="E283" s="4" t="s">
        <v>7626</v>
      </c>
      <c r="F283" s="10">
        <v>45703</v>
      </c>
      <c r="G283" s="11">
        <v>0.58333333333333337</v>
      </c>
      <c r="H283" s="4" t="s">
        <v>4910</v>
      </c>
      <c r="I283" s="4" t="s">
        <v>7611</v>
      </c>
      <c r="J283" s="4" t="s">
        <v>3335</v>
      </c>
      <c r="K283" s="4" t="s">
        <v>7627</v>
      </c>
      <c r="L283" s="4" t="s">
        <v>7628</v>
      </c>
      <c r="M283" s="4" t="s">
        <v>46</v>
      </c>
      <c r="N283" s="4"/>
      <c r="O283" s="4" t="s">
        <v>47</v>
      </c>
      <c r="P283" s="4" t="s">
        <v>48</v>
      </c>
      <c r="Q283" s="4">
        <v>0</v>
      </c>
      <c r="R283" s="4" t="b">
        <v>0</v>
      </c>
      <c r="S283" s="4" t="s">
        <v>49</v>
      </c>
      <c r="T283" s="4" t="s">
        <v>70</v>
      </c>
      <c r="U283" s="4" t="s">
        <v>71</v>
      </c>
      <c r="V283" s="4" t="s">
        <v>72</v>
      </c>
      <c r="W283" s="4" t="s">
        <v>73</v>
      </c>
      <c r="X283" s="4" t="s">
        <v>54</v>
      </c>
      <c r="Y283" s="4" t="s">
        <v>4246</v>
      </c>
      <c r="Z283" s="12">
        <v>0</v>
      </c>
      <c r="AA283" s="13" t="s">
        <v>9171</v>
      </c>
      <c r="AB283" s="13" t="s">
        <v>9147</v>
      </c>
      <c r="AC283" s="14" t="s">
        <v>9139</v>
      </c>
      <c r="AD283" s="14" t="s">
        <v>9140</v>
      </c>
      <c r="AE283" s="14" t="s">
        <v>9140</v>
      </c>
      <c r="AF283" s="14" t="s">
        <v>72</v>
      </c>
      <c r="AG283" s="14" t="s">
        <v>54</v>
      </c>
      <c r="AH283" s="15" t="s">
        <v>9220</v>
      </c>
      <c r="AI283" s="15" t="s">
        <v>9191</v>
      </c>
      <c r="AJ283" s="15" t="s">
        <v>9143</v>
      </c>
      <c r="AK283" s="15" t="s">
        <v>9221</v>
      </c>
      <c r="AL283" s="15" t="s">
        <v>9226</v>
      </c>
      <c r="AM283" s="16" t="s">
        <v>9221</v>
      </c>
      <c r="AN283" s="16" t="s">
        <v>9227</v>
      </c>
    </row>
    <row r="284" spans="1:40" x14ac:dyDescent="0.25">
      <c r="A284" s="4" t="s">
        <v>6611</v>
      </c>
      <c r="B284" s="4">
        <v>7708035</v>
      </c>
      <c r="C284" s="4" t="s">
        <v>39</v>
      </c>
      <c r="D284" s="4" t="s">
        <v>6612</v>
      </c>
      <c r="E284" s="4" t="s">
        <v>6613</v>
      </c>
      <c r="F284" s="10">
        <v>45702</v>
      </c>
      <c r="G284" s="11">
        <v>0.6166666666666667</v>
      </c>
      <c r="H284" s="4" t="s">
        <v>4516</v>
      </c>
      <c r="I284" s="4" t="s">
        <v>6599</v>
      </c>
      <c r="J284" s="4" t="s">
        <v>6600</v>
      </c>
      <c r="K284" s="4" t="s">
        <v>6614</v>
      </c>
      <c r="L284" s="4" t="s">
        <v>6615</v>
      </c>
      <c r="M284" s="4" t="s">
        <v>46</v>
      </c>
      <c r="N284" s="4"/>
      <c r="O284" s="4" t="s">
        <v>47</v>
      </c>
      <c r="P284" s="4" t="s">
        <v>48</v>
      </c>
      <c r="Q284" s="4">
        <v>0</v>
      </c>
      <c r="R284" s="4" t="b">
        <v>0</v>
      </c>
      <c r="S284" s="4" t="s">
        <v>49</v>
      </c>
      <c r="T284" s="4" t="s">
        <v>70</v>
      </c>
      <c r="U284" s="4" t="s">
        <v>71</v>
      </c>
      <c r="V284" s="4" t="s">
        <v>63</v>
      </c>
      <c r="W284" s="4" t="s">
        <v>312</v>
      </c>
      <c r="X284" s="4" t="s">
        <v>54</v>
      </c>
      <c r="Y284" s="4" t="s">
        <v>211</v>
      </c>
      <c r="Z284" s="12">
        <v>0</v>
      </c>
      <c r="AA284" s="13" t="s">
        <v>9171</v>
      </c>
      <c r="AB284" s="13" t="s">
        <v>9147</v>
      </c>
      <c r="AC284" s="14" t="s">
        <v>9139</v>
      </c>
      <c r="AD284" s="14" t="s">
        <v>9140</v>
      </c>
      <c r="AE284" s="14" t="s">
        <v>9140</v>
      </c>
      <c r="AF284" s="14" t="s">
        <v>63</v>
      </c>
      <c r="AG284" s="14" t="s">
        <v>54</v>
      </c>
      <c r="AH284" s="15" t="s">
        <v>9220</v>
      </c>
      <c r="AI284" s="15" t="s">
        <v>9188</v>
      </c>
      <c r="AJ284" s="15" t="s">
        <v>9143</v>
      </c>
      <c r="AK284" s="15" t="s">
        <v>9221</v>
      </c>
      <c r="AL284" s="15" t="s">
        <v>9232</v>
      </c>
      <c r="AM284" s="16" t="s">
        <v>9221</v>
      </c>
      <c r="AN284" s="16" t="s">
        <v>9233</v>
      </c>
    </row>
    <row r="285" spans="1:40" x14ac:dyDescent="0.25">
      <c r="A285" s="4" t="s">
        <v>5222</v>
      </c>
      <c r="B285" s="4"/>
      <c r="C285" s="4" t="s">
        <v>39</v>
      </c>
      <c r="D285" s="4" t="s">
        <v>5223</v>
      </c>
      <c r="E285" s="4" t="s">
        <v>5224</v>
      </c>
      <c r="F285" s="10">
        <v>45702</v>
      </c>
      <c r="G285" s="11">
        <v>0.43680555555555556</v>
      </c>
      <c r="H285" s="4" t="s">
        <v>4516</v>
      </c>
      <c r="I285" s="4" t="s">
        <v>5215</v>
      </c>
      <c r="J285" s="4" t="s">
        <v>5216</v>
      </c>
      <c r="K285" s="4" t="s">
        <v>5225</v>
      </c>
      <c r="L285" s="4" t="s">
        <v>5226</v>
      </c>
      <c r="M285" s="4" t="s">
        <v>46</v>
      </c>
      <c r="N285" s="4"/>
      <c r="O285" s="4" t="s">
        <v>47</v>
      </c>
      <c r="P285" s="4" t="s">
        <v>48</v>
      </c>
      <c r="Q285" s="4">
        <v>0</v>
      </c>
      <c r="R285" s="4" t="b">
        <v>0</v>
      </c>
      <c r="S285" s="4" t="s">
        <v>61</v>
      </c>
      <c r="T285" s="4" t="s">
        <v>115</v>
      </c>
      <c r="U285" s="4" t="s">
        <v>71</v>
      </c>
      <c r="V285" s="4" t="s">
        <v>72</v>
      </c>
      <c r="W285" s="4" t="s">
        <v>73</v>
      </c>
      <c r="X285" s="4" t="s">
        <v>54</v>
      </c>
      <c r="Y285" s="4"/>
      <c r="Z285" s="12">
        <v>0</v>
      </c>
      <c r="AA285" s="13" t="s">
        <v>9171</v>
      </c>
      <c r="AB285" s="13" t="s">
        <v>9147</v>
      </c>
      <c r="AC285" s="14" t="s">
        <v>9148</v>
      </c>
      <c r="AD285" s="14" t="s">
        <v>9140</v>
      </c>
      <c r="AE285" s="14" t="s">
        <v>9140</v>
      </c>
      <c r="AF285" s="14" t="s">
        <v>72</v>
      </c>
      <c r="AG285" s="14" t="s">
        <v>54</v>
      </c>
      <c r="AH285" s="15" t="s">
        <v>9220</v>
      </c>
      <c r="AI285" s="15" t="s">
        <v>9188</v>
      </c>
      <c r="AJ285" s="15" t="s">
        <v>9143</v>
      </c>
      <c r="AK285" s="15" t="s">
        <v>9221</v>
      </c>
      <c r="AL285" s="15" t="s">
        <v>9232</v>
      </c>
      <c r="AM285" s="16" t="s">
        <v>9221</v>
      </c>
      <c r="AN285" s="16" t="s">
        <v>9233</v>
      </c>
    </row>
    <row r="286" spans="1:40" x14ac:dyDescent="0.25">
      <c r="A286" s="4" t="s">
        <v>8324</v>
      </c>
      <c r="B286" s="4"/>
      <c r="C286" s="4" t="s">
        <v>39</v>
      </c>
      <c r="D286" s="4" t="s">
        <v>8325</v>
      </c>
      <c r="E286" s="4" t="s">
        <v>8326</v>
      </c>
      <c r="F286" s="10">
        <v>45702</v>
      </c>
      <c r="G286" s="11">
        <v>0.73263888888888884</v>
      </c>
      <c r="H286" s="4" t="s">
        <v>4910</v>
      </c>
      <c r="I286" s="4" t="s">
        <v>8320</v>
      </c>
      <c r="J286" s="4" t="s">
        <v>8321</v>
      </c>
      <c r="K286" s="4" t="s">
        <v>1391</v>
      </c>
      <c r="L286" s="4" t="s">
        <v>8327</v>
      </c>
      <c r="M286" s="4" t="s">
        <v>46</v>
      </c>
      <c r="N286" s="4"/>
      <c r="O286" s="4" t="s">
        <v>47</v>
      </c>
      <c r="P286" s="4" t="s">
        <v>48</v>
      </c>
      <c r="Q286" s="4">
        <v>0</v>
      </c>
      <c r="R286" s="4" t="b">
        <v>0</v>
      </c>
      <c r="S286" s="4" t="s">
        <v>49</v>
      </c>
      <c r="T286" s="4" t="s">
        <v>115</v>
      </c>
      <c r="U286" s="4" t="s">
        <v>148</v>
      </c>
      <c r="V286" s="4" t="s">
        <v>52</v>
      </c>
      <c r="W286" s="4" t="s">
        <v>255</v>
      </c>
      <c r="X286" s="4" t="s">
        <v>54</v>
      </c>
      <c r="Y286" s="4" t="s">
        <v>323</v>
      </c>
      <c r="Z286" s="12">
        <v>0</v>
      </c>
      <c r="AA286" s="13" t="s">
        <v>9171</v>
      </c>
      <c r="AB286" s="13" t="s">
        <v>9147</v>
      </c>
      <c r="AC286" s="14" t="s">
        <v>9139</v>
      </c>
      <c r="AD286" s="14" t="s">
        <v>9140</v>
      </c>
      <c r="AE286" s="14" t="s">
        <v>9140</v>
      </c>
      <c r="AF286" s="14" t="s">
        <v>52</v>
      </c>
      <c r="AG286" s="14" t="s">
        <v>54</v>
      </c>
      <c r="AH286" s="15" t="s">
        <v>9220</v>
      </c>
      <c r="AI286" s="15" t="s">
        <v>9191</v>
      </c>
      <c r="AJ286" s="15" t="s">
        <v>9143</v>
      </c>
      <c r="AK286" s="15" t="s">
        <v>9221</v>
      </c>
      <c r="AL286" s="15" t="s">
        <v>9234</v>
      </c>
      <c r="AM286" s="16" t="s">
        <v>9221</v>
      </c>
      <c r="AN286" s="16" t="s">
        <v>9235</v>
      </c>
    </row>
    <row r="287" spans="1:40" x14ac:dyDescent="0.25">
      <c r="A287" s="4" t="s">
        <v>7064</v>
      </c>
      <c r="B287" s="4"/>
      <c r="C287" s="4" t="s">
        <v>39</v>
      </c>
      <c r="D287" s="4" t="s">
        <v>7038</v>
      </c>
      <c r="E287" s="4" t="s">
        <v>7039</v>
      </c>
      <c r="F287" s="10">
        <v>45702</v>
      </c>
      <c r="G287" s="11">
        <v>0.67291666666666672</v>
      </c>
      <c r="H287" s="4" t="s">
        <v>4242</v>
      </c>
      <c r="I287" s="4" t="s">
        <v>7028</v>
      </c>
      <c r="J287" s="4" t="s">
        <v>7029</v>
      </c>
      <c r="K287" s="4" t="s">
        <v>7065</v>
      </c>
      <c r="L287" s="4" t="s">
        <v>7066</v>
      </c>
      <c r="M287" s="4" t="s">
        <v>46</v>
      </c>
      <c r="N287" s="4"/>
      <c r="O287" s="4" t="s">
        <v>47</v>
      </c>
      <c r="P287" s="4" t="s">
        <v>48</v>
      </c>
      <c r="Q287" s="4">
        <v>0</v>
      </c>
      <c r="R287" s="4" t="b">
        <v>0</v>
      </c>
      <c r="S287" s="4" t="s">
        <v>61</v>
      </c>
      <c r="T287" s="4" t="s">
        <v>479</v>
      </c>
      <c r="U287" s="4" t="s">
        <v>175</v>
      </c>
      <c r="V287" s="4" t="s">
        <v>72</v>
      </c>
      <c r="W287" s="4" t="s">
        <v>73</v>
      </c>
      <c r="X287" s="4" t="s">
        <v>54</v>
      </c>
      <c r="Y287" s="4"/>
      <c r="Z287" s="12">
        <v>0</v>
      </c>
      <c r="AA287" s="13" t="s">
        <v>9171</v>
      </c>
      <c r="AB287" s="13" t="s">
        <v>9147</v>
      </c>
      <c r="AC287" s="14" t="s">
        <v>9148</v>
      </c>
      <c r="AD287" s="14" t="s">
        <v>9140</v>
      </c>
      <c r="AE287" s="14" t="s">
        <v>9140</v>
      </c>
      <c r="AF287" s="14" t="s">
        <v>72</v>
      </c>
      <c r="AG287" s="14" t="s">
        <v>54</v>
      </c>
      <c r="AH287" s="15" t="s">
        <v>9220</v>
      </c>
      <c r="AI287" s="15" t="s">
        <v>9187</v>
      </c>
      <c r="AJ287" s="15" t="s">
        <v>9143</v>
      </c>
      <c r="AK287" s="15" t="s">
        <v>9221</v>
      </c>
      <c r="AL287" s="15" t="s">
        <v>9226</v>
      </c>
      <c r="AM287" s="16" t="s">
        <v>9221</v>
      </c>
      <c r="AN287" s="16" t="s">
        <v>9227</v>
      </c>
    </row>
    <row r="288" spans="1:40" x14ac:dyDescent="0.25">
      <c r="A288" s="4" t="s">
        <v>3424</v>
      </c>
      <c r="B288" s="4"/>
      <c r="C288" s="4" t="s">
        <v>39</v>
      </c>
      <c r="D288" s="4" t="s">
        <v>3425</v>
      </c>
      <c r="E288" s="4" t="s">
        <v>3426</v>
      </c>
      <c r="F288" s="10">
        <v>45702</v>
      </c>
      <c r="G288" s="11">
        <v>0.64583333333333337</v>
      </c>
      <c r="H288" s="4" t="s">
        <v>2095</v>
      </c>
      <c r="I288" s="4" t="s">
        <v>3415</v>
      </c>
      <c r="J288" s="4" t="s">
        <v>3416</v>
      </c>
      <c r="K288" s="4" t="s">
        <v>3427</v>
      </c>
      <c r="L288" s="4" t="s">
        <v>3428</v>
      </c>
      <c r="M288" s="4" t="s">
        <v>46</v>
      </c>
      <c r="N288" s="4"/>
      <c r="O288" s="4" t="s">
        <v>47</v>
      </c>
      <c r="P288" s="4" t="s">
        <v>48</v>
      </c>
      <c r="Q288" s="4">
        <v>0</v>
      </c>
      <c r="R288" s="4" t="b">
        <v>0</v>
      </c>
      <c r="S288" s="4" t="s">
        <v>61</v>
      </c>
      <c r="T288" s="4" t="s">
        <v>50</v>
      </c>
      <c r="U288" s="4" t="s">
        <v>51</v>
      </c>
      <c r="V288" s="4" t="s">
        <v>123</v>
      </c>
      <c r="W288" s="4" t="s">
        <v>149</v>
      </c>
      <c r="X288" s="4" t="s">
        <v>54</v>
      </c>
      <c r="Y288" s="4" t="s">
        <v>176</v>
      </c>
      <c r="Z288" s="12">
        <v>0</v>
      </c>
      <c r="AA288" s="13" t="s">
        <v>9171</v>
      </c>
      <c r="AB288" s="13" t="s">
        <v>9147</v>
      </c>
      <c r="AC288" s="14" t="s">
        <v>9148</v>
      </c>
      <c r="AD288" s="14" t="s">
        <v>9140</v>
      </c>
      <c r="AE288" s="14" t="s">
        <v>9140</v>
      </c>
      <c r="AF288" s="14" t="s">
        <v>123</v>
      </c>
      <c r="AG288" s="14" t="s">
        <v>54</v>
      </c>
      <c r="AH288" s="15" t="s">
        <v>9194</v>
      </c>
      <c r="AI288" s="15" t="s">
        <v>9188</v>
      </c>
      <c r="AJ288" s="15" t="s">
        <v>9143</v>
      </c>
      <c r="AK288" s="15" t="s">
        <v>9194</v>
      </c>
      <c r="AL288" s="15" t="s">
        <v>9211</v>
      </c>
      <c r="AM288" s="16" t="s">
        <v>9194</v>
      </c>
      <c r="AN288" s="16" t="s">
        <v>9212</v>
      </c>
    </row>
    <row r="289" spans="1:40" x14ac:dyDescent="0.25">
      <c r="A289" s="4" t="s">
        <v>2373</v>
      </c>
      <c r="B289" s="4" t="s">
        <v>2374</v>
      </c>
      <c r="C289" s="4" t="s">
        <v>39</v>
      </c>
      <c r="D289" s="4" t="s">
        <v>2375</v>
      </c>
      <c r="E289" s="4" t="s">
        <v>2376</v>
      </c>
      <c r="F289" s="10">
        <v>45701</v>
      </c>
      <c r="G289" s="11">
        <v>0.62847222222222221</v>
      </c>
      <c r="H289" s="4" t="s">
        <v>1992</v>
      </c>
      <c r="I289" s="4" t="s">
        <v>2377</v>
      </c>
      <c r="J289" s="4" t="s">
        <v>2378</v>
      </c>
      <c r="K289" s="4" t="s">
        <v>2379</v>
      </c>
      <c r="L289" s="4" t="s">
        <v>2380</v>
      </c>
      <c r="M289" s="4" t="s">
        <v>28</v>
      </c>
      <c r="N289" s="4" t="s">
        <v>183</v>
      </c>
      <c r="O289" s="4" t="s">
        <v>174</v>
      </c>
      <c r="P289" s="4" t="s">
        <v>48</v>
      </c>
      <c r="Q289" s="4">
        <v>18</v>
      </c>
      <c r="R289" s="4" t="b">
        <v>0</v>
      </c>
      <c r="S289" s="4" t="s">
        <v>114</v>
      </c>
      <c r="T289" s="4" t="s">
        <v>70</v>
      </c>
      <c r="U289" s="4" t="s">
        <v>71</v>
      </c>
      <c r="V289" s="4" t="s">
        <v>63</v>
      </c>
      <c r="W289" s="4" t="s">
        <v>784</v>
      </c>
      <c r="X289" s="4" t="s">
        <v>54</v>
      </c>
      <c r="Y289" s="4"/>
      <c r="Z289" s="12" t="s">
        <v>48</v>
      </c>
      <c r="AA289" s="13" t="s">
        <v>9171</v>
      </c>
      <c r="AB289" s="13" t="s">
        <v>9147</v>
      </c>
      <c r="AC289" s="14" t="s">
        <v>9157</v>
      </c>
      <c r="AD289" s="14" t="s">
        <v>28</v>
      </c>
      <c r="AE289" s="14" t="s">
        <v>183</v>
      </c>
      <c r="AF289" s="14" t="s">
        <v>63</v>
      </c>
      <c r="AG289" s="14" t="s">
        <v>54</v>
      </c>
      <c r="AH289" s="15" t="s">
        <v>9194</v>
      </c>
      <c r="AI289" s="15" t="s">
        <v>9191</v>
      </c>
      <c r="AJ289" s="15" t="s">
        <v>9143</v>
      </c>
      <c r="AK289" s="15" t="s">
        <v>9194</v>
      </c>
      <c r="AL289" s="15" t="s">
        <v>9197</v>
      </c>
      <c r="AM289" s="16" t="s">
        <v>9194</v>
      </c>
      <c r="AN289" s="16" t="s">
        <v>9198</v>
      </c>
    </row>
    <row r="290" spans="1:40" x14ac:dyDescent="0.25">
      <c r="A290" s="4" t="s">
        <v>3384</v>
      </c>
      <c r="B290" s="4" t="s">
        <v>3385</v>
      </c>
      <c r="C290" s="4" t="s">
        <v>39</v>
      </c>
      <c r="D290" s="4" t="s">
        <v>3386</v>
      </c>
      <c r="E290" s="4" t="s">
        <v>3387</v>
      </c>
      <c r="F290" s="10">
        <v>45700</v>
      </c>
      <c r="G290" s="11">
        <v>0.41666666666666669</v>
      </c>
      <c r="H290" s="4" t="s">
        <v>2227</v>
      </c>
      <c r="I290" s="4" t="s">
        <v>3381</v>
      </c>
      <c r="J290" s="4" t="s">
        <v>1285</v>
      </c>
      <c r="K290" s="4" t="s">
        <v>3388</v>
      </c>
      <c r="L290" s="4" t="s">
        <v>3389</v>
      </c>
      <c r="M290" s="4" t="s">
        <v>46</v>
      </c>
      <c r="N290" s="4"/>
      <c r="O290" s="4" t="s">
        <v>174</v>
      </c>
      <c r="P290" s="4" t="s">
        <v>48</v>
      </c>
      <c r="Q290" s="4">
        <v>8</v>
      </c>
      <c r="R290" s="4" t="b">
        <v>0</v>
      </c>
      <c r="S290" s="4" t="s">
        <v>184</v>
      </c>
      <c r="T290" s="4" t="s">
        <v>115</v>
      </c>
      <c r="U290" s="4" t="s">
        <v>148</v>
      </c>
      <c r="V290" s="4" t="s">
        <v>52</v>
      </c>
      <c r="W290" s="4" t="s">
        <v>53</v>
      </c>
      <c r="X290" s="4" t="s">
        <v>54</v>
      </c>
      <c r="Y290" s="4" t="s">
        <v>323</v>
      </c>
      <c r="Z290" s="12">
        <v>0</v>
      </c>
      <c r="AA290" s="13" t="s">
        <v>9171</v>
      </c>
      <c r="AB290" s="13" t="s">
        <v>9147</v>
      </c>
      <c r="AC290" s="14" t="s">
        <v>9166</v>
      </c>
      <c r="AD290" s="14" t="s">
        <v>9140</v>
      </c>
      <c r="AE290" s="14" t="s">
        <v>9140</v>
      </c>
      <c r="AF290" s="14" t="s">
        <v>52</v>
      </c>
      <c r="AG290" s="14" t="s">
        <v>54</v>
      </c>
      <c r="AH290" s="15" t="s">
        <v>9194</v>
      </c>
      <c r="AI290" s="15" t="s">
        <v>9187</v>
      </c>
      <c r="AJ290" s="15" t="s">
        <v>9143</v>
      </c>
      <c r="AK290" s="15" t="s">
        <v>9194</v>
      </c>
      <c r="AL290" s="15" t="s">
        <v>9209</v>
      </c>
      <c r="AM290" s="16" t="s">
        <v>9194</v>
      </c>
      <c r="AN290" s="16" t="s">
        <v>9210</v>
      </c>
    </row>
    <row r="291" spans="1:40" x14ac:dyDescent="0.25">
      <c r="A291" s="4" t="s">
        <v>1534</v>
      </c>
      <c r="B291" s="4"/>
      <c r="C291" s="4" t="s">
        <v>39</v>
      </c>
      <c r="D291" s="4" t="s">
        <v>1535</v>
      </c>
      <c r="E291" s="4" t="s">
        <v>1536</v>
      </c>
      <c r="F291" s="10">
        <v>45699</v>
      </c>
      <c r="G291" s="11">
        <v>0.52916666666666667</v>
      </c>
      <c r="H291" s="4" t="s">
        <v>1366</v>
      </c>
      <c r="I291" s="4">
        <v>6068</v>
      </c>
      <c r="J291" s="4" t="s">
        <v>1537</v>
      </c>
      <c r="K291" s="4" t="s">
        <v>1538</v>
      </c>
      <c r="L291" s="4" t="s">
        <v>1539</v>
      </c>
      <c r="M291" s="4" t="s">
        <v>46</v>
      </c>
      <c r="N291" s="4"/>
      <c r="O291" s="4" t="s">
        <v>47</v>
      </c>
      <c r="P291" s="4" t="s">
        <v>48</v>
      </c>
      <c r="Q291" s="4">
        <v>0</v>
      </c>
      <c r="R291" s="4" t="b">
        <v>0</v>
      </c>
      <c r="S291" s="4" t="s">
        <v>61</v>
      </c>
      <c r="T291" s="4" t="s">
        <v>50</v>
      </c>
      <c r="U291" s="4" t="s">
        <v>1081</v>
      </c>
      <c r="V291" s="4" t="s">
        <v>63</v>
      </c>
      <c r="W291" s="4" t="s">
        <v>108</v>
      </c>
      <c r="X291" s="4" t="s">
        <v>54</v>
      </c>
      <c r="Y291" s="4"/>
      <c r="Z291" s="12">
        <v>0</v>
      </c>
      <c r="AA291" s="13" t="s">
        <v>9171</v>
      </c>
      <c r="AB291" s="13" t="s">
        <v>9147</v>
      </c>
      <c r="AC291" s="14" t="s">
        <v>9148</v>
      </c>
      <c r="AD291" s="14" t="s">
        <v>9140</v>
      </c>
      <c r="AE291" s="14" t="s">
        <v>9140</v>
      </c>
      <c r="AF291" s="14" t="s">
        <v>63</v>
      </c>
      <c r="AG291" s="14" t="s">
        <v>54</v>
      </c>
      <c r="AH291" s="15" t="s">
        <v>9141</v>
      </c>
      <c r="AI291" s="15" t="s">
        <v>9188</v>
      </c>
      <c r="AJ291" s="15" t="s">
        <v>9143</v>
      </c>
      <c r="AK291" s="15" t="s">
        <v>9141</v>
      </c>
      <c r="AL291" s="15" t="s">
        <v>9189</v>
      </c>
      <c r="AM291" s="16" t="s">
        <v>9141</v>
      </c>
      <c r="AN291" s="16" t="s">
        <v>9190</v>
      </c>
    </row>
    <row r="292" spans="1:40" x14ac:dyDescent="0.25">
      <c r="A292" s="4" t="s">
        <v>1540</v>
      </c>
      <c r="B292" s="4">
        <v>7687882</v>
      </c>
      <c r="C292" s="4" t="s">
        <v>39</v>
      </c>
      <c r="D292" s="4" t="s">
        <v>1541</v>
      </c>
      <c r="E292" s="4" t="s">
        <v>1542</v>
      </c>
      <c r="F292" s="10">
        <v>45699</v>
      </c>
      <c r="G292" s="11">
        <v>0.7055555555555556</v>
      </c>
      <c r="H292" s="4" t="s">
        <v>1366</v>
      </c>
      <c r="I292" s="4">
        <v>6068</v>
      </c>
      <c r="J292" s="4" t="s">
        <v>1537</v>
      </c>
      <c r="K292" s="4" t="s">
        <v>1543</v>
      </c>
      <c r="L292" s="4" t="s">
        <v>1544</v>
      </c>
      <c r="M292" s="4" t="s">
        <v>46</v>
      </c>
      <c r="N292" s="4"/>
      <c r="O292" s="4" t="s">
        <v>47</v>
      </c>
      <c r="P292" s="4" t="s">
        <v>48</v>
      </c>
      <c r="Q292" s="4">
        <v>0</v>
      </c>
      <c r="R292" s="4" t="b">
        <v>0</v>
      </c>
      <c r="S292" s="4" t="s">
        <v>114</v>
      </c>
      <c r="T292" s="4" t="s">
        <v>1545</v>
      </c>
      <c r="U292" s="4" t="s">
        <v>1546</v>
      </c>
      <c r="V292" s="4" t="s">
        <v>1547</v>
      </c>
      <c r="W292" s="4" t="s">
        <v>1548</v>
      </c>
      <c r="X292" s="4" t="s">
        <v>774</v>
      </c>
      <c r="Y292" s="4"/>
      <c r="Z292" s="12">
        <v>0</v>
      </c>
      <c r="AA292" s="13" t="s">
        <v>9171</v>
      </c>
      <c r="AB292" s="13" t="s">
        <v>9147</v>
      </c>
      <c r="AC292" s="14" t="s">
        <v>9157</v>
      </c>
      <c r="AD292" s="14" t="s">
        <v>9140</v>
      </c>
      <c r="AE292" s="14" t="s">
        <v>9140</v>
      </c>
      <c r="AF292" s="14" t="s">
        <v>1547</v>
      </c>
      <c r="AG292" s="14" t="s">
        <v>774</v>
      </c>
      <c r="AH292" s="15" t="s">
        <v>9141</v>
      </c>
      <c r="AI292" s="15" t="s">
        <v>9188</v>
      </c>
      <c r="AJ292" s="15" t="s">
        <v>9143</v>
      </c>
      <c r="AK292" s="15" t="s">
        <v>9141</v>
      </c>
      <c r="AL292" s="15" t="s">
        <v>9189</v>
      </c>
      <c r="AM292" s="16" t="s">
        <v>9141</v>
      </c>
      <c r="AN292" s="16" t="s">
        <v>9190</v>
      </c>
    </row>
    <row r="293" spans="1:40" x14ac:dyDescent="0.25">
      <c r="A293" s="4" t="s">
        <v>5510</v>
      </c>
      <c r="B293" s="4"/>
      <c r="C293" s="4" t="s">
        <v>39</v>
      </c>
      <c r="D293" s="4" t="s">
        <v>5511</v>
      </c>
      <c r="E293" s="4" t="s">
        <v>5512</v>
      </c>
      <c r="F293" s="10">
        <v>45699</v>
      </c>
      <c r="G293" s="11">
        <v>0.53611111111111109</v>
      </c>
      <c r="H293" s="4" t="s">
        <v>4910</v>
      </c>
      <c r="I293" s="4" t="s">
        <v>5502</v>
      </c>
      <c r="J293" s="4" t="s">
        <v>3354</v>
      </c>
      <c r="K293" s="4" t="s">
        <v>5513</v>
      </c>
      <c r="L293" s="4" t="s">
        <v>5514</v>
      </c>
      <c r="M293" s="4" t="s">
        <v>46</v>
      </c>
      <c r="N293" s="4"/>
      <c r="O293" s="4" t="s">
        <v>47</v>
      </c>
      <c r="P293" s="4" t="s">
        <v>48</v>
      </c>
      <c r="Q293" s="4">
        <v>0</v>
      </c>
      <c r="R293" s="4" t="b">
        <v>0</v>
      </c>
      <c r="S293" s="4" t="s">
        <v>61</v>
      </c>
      <c r="T293" s="4" t="s">
        <v>583</v>
      </c>
      <c r="U293" s="4" t="s">
        <v>140</v>
      </c>
      <c r="V293" s="4" t="s">
        <v>123</v>
      </c>
      <c r="W293" s="4" t="s">
        <v>124</v>
      </c>
      <c r="X293" s="4" t="s">
        <v>54</v>
      </c>
      <c r="Y293" s="4" t="s">
        <v>302</v>
      </c>
      <c r="Z293" s="12">
        <v>0</v>
      </c>
      <c r="AA293" s="13" t="s">
        <v>9171</v>
      </c>
      <c r="AB293" s="13" t="s">
        <v>9147</v>
      </c>
      <c r="AC293" s="14" t="s">
        <v>9148</v>
      </c>
      <c r="AD293" s="14" t="s">
        <v>9140</v>
      </c>
      <c r="AE293" s="14" t="s">
        <v>9140</v>
      </c>
      <c r="AF293" s="14" t="s">
        <v>123</v>
      </c>
      <c r="AG293" s="14" t="s">
        <v>54</v>
      </c>
      <c r="AH293" s="15" t="s">
        <v>9220</v>
      </c>
      <c r="AI293" s="15" t="s">
        <v>9191</v>
      </c>
      <c r="AJ293" s="15" t="s">
        <v>9143</v>
      </c>
      <c r="AK293" s="15" t="s">
        <v>9221</v>
      </c>
      <c r="AL293" s="15" t="s">
        <v>9234</v>
      </c>
      <c r="AM293" s="16" t="s">
        <v>9221</v>
      </c>
      <c r="AN293" s="16" t="s">
        <v>9235</v>
      </c>
    </row>
    <row r="294" spans="1:40" x14ac:dyDescent="0.25">
      <c r="A294" s="4" t="s">
        <v>6133</v>
      </c>
      <c r="B294" s="4"/>
      <c r="C294" s="4" t="s">
        <v>39</v>
      </c>
      <c r="D294" s="4" t="s">
        <v>6134</v>
      </c>
      <c r="E294" s="4" t="s">
        <v>6135</v>
      </c>
      <c r="F294" s="10">
        <v>45698</v>
      </c>
      <c r="G294" s="11">
        <v>0.41666666666666669</v>
      </c>
      <c r="H294" s="4" t="s">
        <v>5666</v>
      </c>
      <c r="I294" s="4" t="s">
        <v>6136</v>
      </c>
      <c r="J294" s="4" t="s">
        <v>2598</v>
      </c>
      <c r="K294" s="4" t="s">
        <v>6137</v>
      </c>
      <c r="L294" s="4" t="s">
        <v>6138</v>
      </c>
      <c r="M294" s="4" t="s">
        <v>46</v>
      </c>
      <c r="N294" s="4"/>
      <c r="O294" s="4" t="s">
        <v>47</v>
      </c>
      <c r="P294" s="4" t="s">
        <v>48</v>
      </c>
      <c r="Q294" s="4">
        <v>0</v>
      </c>
      <c r="R294" s="4" t="b">
        <v>0</v>
      </c>
      <c r="S294" s="4" t="s">
        <v>61</v>
      </c>
      <c r="T294" s="4" t="s">
        <v>115</v>
      </c>
      <c r="U294" s="4" t="s">
        <v>51</v>
      </c>
      <c r="V294" s="4" t="s">
        <v>52</v>
      </c>
      <c r="W294" s="4" t="s">
        <v>255</v>
      </c>
      <c r="X294" s="4" t="s">
        <v>54</v>
      </c>
      <c r="Y294" s="4" t="s">
        <v>323</v>
      </c>
      <c r="Z294" s="12">
        <v>0</v>
      </c>
      <c r="AA294" s="13" t="s">
        <v>9171</v>
      </c>
      <c r="AB294" s="13" t="s">
        <v>9147</v>
      </c>
      <c r="AC294" s="14" t="s">
        <v>9148</v>
      </c>
      <c r="AD294" s="14" t="s">
        <v>9140</v>
      </c>
      <c r="AE294" s="14" t="s">
        <v>9140</v>
      </c>
      <c r="AF294" s="14" t="s">
        <v>52</v>
      </c>
      <c r="AG294" s="14" t="s">
        <v>54</v>
      </c>
      <c r="AH294" s="15" t="s">
        <v>9220</v>
      </c>
      <c r="AI294" s="15" t="s">
        <v>9199</v>
      </c>
      <c r="AJ294" s="15" t="s">
        <v>9143</v>
      </c>
      <c r="AK294" s="15" t="s">
        <v>9221</v>
      </c>
      <c r="AL294" s="15" t="s">
        <v>9199</v>
      </c>
      <c r="AM294" s="16" t="s">
        <v>9221</v>
      </c>
      <c r="AN294" s="16" t="s">
        <v>9238</v>
      </c>
    </row>
    <row r="295" spans="1:40" x14ac:dyDescent="0.25">
      <c r="A295" s="4" t="s">
        <v>6881</v>
      </c>
      <c r="B295" s="4"/>
      <c r="C295" s="4" t="s">
        <v>39</v>
      </c>
      <c r="D295" s="4" t="s">
        <v>6882</v>
      </c>
      <c r="E295" s="4" t="s">
        <v>6883</v>
      </c>
      <c r="F295" s="10">
        <v>45697</v>
      </c>
      <c r="G295" s="11">
        <v>0.625</v>
      </c>
      <c r="H295" s="4" t="s">
        <v>4910</v>
      </c>
      <c r="I295" s="4" t="s">
        <v>6878</v>
      </c>
      <c r="J295" s="4" t="s">
        <v>3657</v>
      </c>
      <c r="K295" s="4" t="s">
        <v>321</v>
      </c>
      <c r="L295" s="4" t="s">
        <v>6884</v>
      </c>
      <c r="M295" s="4" t="s">
        <v>46</v>
      </c>
      <c r="N295" s="4"/>
      <c r="O295" s="4" t="s">
        <v>47</v>
      </c>
      <c r="P295" s="4" t="s">
        <v>48</v>
      </c>
      <c r="Q295" s="4">
        <v>0</v>
      </c>
      <c r="R295" s="4" t="b">
        <v>0</v>
      </c>
      <c r="S295" s="4" t="s">
        <v>114</v>
      </c>
      <c r="T295" s="4" t="s">
        <v>115</v>
      </c>
      <c r="U295" s="4" t="s">
        <v>148</v>
      </c>
      <c r="V295" s="4" t="s">
        <v>52</v>
      </c>
      <c r="W295" s="4" t="s">
        <v>255</v>
      </c>
      <c r="X295" s="4" t="s">
        <v>54</v>
      </c>
      <c r="Y295" s="4"/>
      <c r="Z295" s="12">
        <v>0</v>
      </c>
      <c r="AA295" s="13" t="s">
        <v>9171</v>
      </c>
      <c r="AB295" s="13" t="s">
        <v>9147</v>
      </c>
      <c r="AC295" s="14" t="s">
        <v>9157</v>
      </c>
      <c r="AD295" s="14" t="s">
        <v>9140</v>
      </c>
      <c r="AE295" s="14" t="s">
        <v>9140</v>
      </c>
      <c r="AF295" s="14" t="s">
        <v>52</v>
      </c>
      <c r="AG295" s="14" t="s">
        <v>54</v>
      </c>
      <c r="AH295" s="15" t="s">
        <v>9220</v>
      </c>
      <c r="AI295" s="15" t="s">
        <v>9191</v>
      </c>
      <c r="AJ295" s="15" t="s">
        <v>9143</v>
      </c>
      <c r="AK295" s="15" t="s">
        <v>9221</v>
      </c>
      <c r="AL295" s="15" t="s">
        <v>9234</v>
      </c>
      <c r="AM295" s="16" t="s">
        <v>9221</v>
      </c>
      <c r="AN295" s="16" t="s">
        <v>9235</v>
      </c>
    </row>
    <row r="296" spans="1:40" x14ac:dyDescent="0.25">
      <c r="A296" s="4" t="s">
        <v>4301</v>
      </c>
      <c r="B296" s="4"/>
      <c r="C296" s="4" t="s">
        <v>39</v>
      </c>
      <c r="D296" s="4" t="s">
        <v>4302</v>
      </c>
      <c r="E296" s="4" t="s">
        <v>4303</v>
      </c>
      <c r="F296" s="10">
        <v>45697</v>
      </c>
      <c r="G296" s="11">
        <v>0.47638888888888886</v>
      </c>
      <c r="H296" s="4" t="s">
        <v>4019</v>
      </c>
      <c r="I296" s="4" t="s">
        <v>4304</v>
      </c>
      <c r="J296" s="4" t="s">
        <v>1941</v>
      </c>
      <c r="K296" s="4" t="s">
        <v>4305</v>
      </c>
      <c r="L296" s="4" t="s">
        <v>4306</v>
      </c>
      <c r="M296" s="4" t="s">
        <v>46</v>
      </c>
      <c r="N296" s="4"/>
      <c r="O296" s="4" t="s">
        <v>47</v>
      </c>
      <c r="P296" s="4" t="s">
        <v>48</v>
      </c>
      <c r="Q296" s="4">
        <v>0</v>
      </c>
      <c r="R296" s="4" t="b">
        <v>0</v>
      </c>
      <c r="S296" s="4" t="s">
        <v>61</v>
      </c>
      <c r="T296" s="4" t="s">
        <v>50</v>
      </c>
      <c r="U296" s="4" t="s">
        <v>107</v>
      </c>
      <c r="V296" s="4" t="s">
        <v>63</v>
      </c>
      <c r="W296" s="4" t="s">
        <v>108</v>
      </c>
      <c r="X296" s="4" t="s">
        <v>54</v>
      </c>
      <c r="Y296" s="4"/>
      <c r="Z296" s="12">
        <v>0</v>
      </c>
      <c r="AA296" s="13" t="s">
        <v>9171</v>
      </c>
      <c r="AB296" s="13" t="s">
        <v>9147</v>
      </c>
      <c r="AC296" s="14" t="s">
        <v>9148</v>
      </c>
      <c r="AD296" s="14" t="s">
        <v>9140</v>
      </c>
      <c r="AE296" s="14" t="s">
        <v>9140</v>
      </c>
      <c r="AF296" s="14" t="s">
        <v>63</v>
      </c>
      <c r="AG296" s="14" t="s">
        <v>54</v>
      </c>
      <c r="AH296" s="15" t="s">
        <v>9220</v>
      </c>
      <c r="AI296" s="15" t="s">
        <v>9175</v>
      </c>
      <c r="AJ296" s="15" t="s">
        <v>9143</v>
      </c>
      <c r="AK296" s="15" t="s">
        <v>9221</v>
      </c>
      <c r="AL296" s="15" t="s">
        <v>9222</v>
      </c>
      <c r="AM296" s="16" t="s">
        <v>9221</v>
      </c>
      <c r="AN296" s="16" t="s">
        <v>9223</v>
      </c>
    </row>
    <row r="297" spans="1:40" x14ac:dyDescent="0.25">
      <c r="A297" s="4" t="s">
        <v>3560</v>
      </c>
      <c r="B297" s="4"/>
      <c r="C297" s="4" t="s">
        <v>39</v>
      </c>
      <c r="D297" s="4" t="s">
        <v>3561</v>
      </c>
      <c r="E297" s="4" t="s">
        <v>3562</v>
      </c>
      <c r="F297" s="10">
        <v>45696</v>
      </c>
      <c r="G297" s="11">
        <v>0.49236111111111114</v>
      </c>
      <c r="H297" s="4" t="s">
        <v>2095</v>
      </c>
      <c r="I297" s="4" t="s">
        <v>3563</v>
      </c>
      <c r="J297" s="4" t="s">
        <v>3564</v>
      </c>
      <c r="K297" s="4" t="s">
        <v>3565</v>
      </c>
      <c r="L297" s="4" t="s">
        <v>3566</v>
      </c>
      <c r="M297" s="4" t="s">
        <v>46</v>
      </c>
      <c r="N297" s="4"/>
      <c r="O297" s="4" t="s">
        <v>47</v>
      </c>
      <c r="P297" s="4" t="s">
        <v>48</v>
      </c>
      <c r="Q297" s="4">
        <v>0</v>
      </c>
      <c r="R297" s="4" t="b">
        <v>0</v>
      </c>
      <c r="S297" s="4" t="s">
        <v>61</v>
      </c>
      <c r="T297" s="4" t="s">
        <v>70</v>
      </c>
      <c r="U297" s="4" t="s">
        <v>71</v>
      </c>
      <c r="V297" s="4" t="s">
        <v>63</v>
      </c>
      <c r="W297" s="4" t="s">
        <v>312</v>
      </c>
      <c r="X297" s="4" t="s">
        <v>54</v>
      </c>
      <c r="Y297" s="4"/>
      <c r="Z297" s="12">
        <v>0</v>
      </c>
      <c r="AA297" s="13" t="s">
        <v>9171</v>
      </c>
      <c r="AB297" s="13" t="s">
        <v>9147</v>
      </c>
      <c r="AC297" s="14" t="s">
        <v>9148</v>
      </c>
      <c r="AD297" s="14" t="s">
        <v>9140</v>
      </c>
      <c r="AE297" s="14" t="s">
        <v>9140</v>
      </c>
      <c r="AF297" s="14" t="s">
        <v>63</v>
      </c>
      <c r="AG297" s="14" t="s">
        <v>54</v>
      </c>
      <c r="AH297" s="15" t="s">
        <v>9194</v>
      </c>
      <c r="AI297" s="15" t="s">
        <v>9188</v>
      </c>
      <c r="AJ297" s="15" t="s">
        <v>9143</v>
      </c>
      <c r="AK297" s="15" t="s">
        <v>9194</v>
      </c>
      <c r="AL297" s="15" t="s">
        <v>9201</v>
      </c>
      <c r="AM297" s="16" t="s">
        <v>9194</v>
      </c>
      <c r="AN297" s="16" t="s">
        <v>9202</v>
      </c>
    </row>
    <row r="298" spans="1:40" x14ac:dyDescent="0.25">
      <c r="A298" s="4" t="s">
        <v>3239</v>
      </c>
      <c r="B298" s="4"/>
      <c r="C298" s="4" t="s">
        <v>39</v>
      </c>
      <c r="D298" s="4" t="s">
        <v>3240</v>
      </c>
      <c r="E298" s="4" t="s">
        <v>3241</v>
      </c>
      <c r="F298" s="10">
        <v>45696</v>
      </c>
      <c r="G298" s="11">
        <v>0.46527777777777779</v>
      </c>
      <c r="H298" s="4" t="s">
        <v>2095</v>
      </c>
      <c r="I298" s="4" t="s">
        <v>3242</v>
      </c>
      <c r="J298" s="4" t="s">
        <v>3243</v>
      </c>
      <c r="K298" s="4" t="s">
        <v>3244</v>
      </c>
      <c r="L298" s="4" t="s">
        <v>3245</v>
      </c>
      <c r="M298" s="4" t="s">
        <v>46</v>
      </c>
      <c r="N298" s="4"/>
      <c r="O298" s="4" t="s">
        <v>47</v>
      </c>
      <c r="P298" s="4" t="s">
        <v>48</v>
      </c>
      <c r="Q298" s="4">
        <v>0</v>
      </c>
      <c r="R298" s="4" t="b">
        <v>0</v>
      </c>
      <c r="S298" s="4" t="s">
        <v>114</v>
      </c>
      <c r="T298" s="4" t="s">
        <v>50</v>
      </c>
      <c r="U298" s="4" t="s">
        <v>51</v>
      </c>
      <c r="V298" s="4" t="s">
        <v>123</v>
      </c>
      <c r="W298" s="4" t="s">
        <v>124</v>
      </c>
      <c r="X298" s="4" t="s">
        <v>54</v>
      </c>
      <c r="Y298" s="4"/>
      <c r="Z298" s="12">
        <v>0</v>
      </c>
      <c r="AA298" s="13" t="s">
        <v>9171</v>
      </c>
      <c r="AB298" s="13" t="s">
        <v>9147</v>
      </c>
      <c r="AC298" s="14" t="s">
        <v>9157</v>
      </c>
      <c r="AD298" s="14" t="s">
        <v>9140</v>
      </c>
      <c r="AE298" s="14" t="s">
        <v>9140</v>
      </c>
      <c r="AF298" s="14" t="s">
        <v>123</v>
      </c>
      <c r="AG298" s="14" t="s">
        <v>54</v>
      </c>
      <c r="AH298" s="15" t="s">
        <v>9194</v>
      </c>
      <c r="AI298" s="15" t="s">
        <v>9188</v>
      </c>
      <c r="AJ298" s="15" t="s">
        <v>9143</v>
      </c>
      <c r="AK298" s="15" t="s">
        <v>9194</v>
      </c>
      <c r="AL298" s="15" t="s">
        <v>9203</v>
      </c>
      <c r="AM298" s="16" t="s">
        <v>9194</v>
      </c>
      <c r="AN298" s="16" t="s">
        <v>9204</v>
      </c>
    </row>
    <row r="299" spans="1:40" x14ac:dyDescent="0.25">
      <c r="A299" s="4" t="s">
        <v>1203</v>
      </c>
      <c r="B299" s="4" t="s">
        <v>1204</v>
      </c>
      <c r="C299" s="4" t="s">
        <v>39</v>
      </c>
      <c r="D299" s="4" t="s">
        <v>1205</v>
      </c>
      <c r="E299" s="4" t="s">
        <v>1206</v>
      </c>
      <c r="F299" s="10">
        <v>45695</v>
      </c>
      <c r="G299" s="11">
        <v>0.33333333333333331</v>
      </c>
      <c r="H299" s="4" t="s">
        <v>1155</v>
      </c>
      <c r="I299" s="4">
        <v>4043</v>
      </c>
      <c r="J299" s="4" t="s">
        <v>1200</v>
      </c>
      <c r="K299" s="4" t="s">
        <v>1207</v>
      </c>
      <c r="L299" s="4" t="s">
        <v>1208</v>
      </c>
      <c r="M299" s="4" t="s">
        <v>28</v>
      </c>
      <c r="N299" s="4" t="s">
        <v>478</v>
      </c>
      <c r="O299" s="4" t="s">
        <v>344</v>
      </c>
      <c r="P299" s="4" t="s">
        <v>60</v>
      </c>
      <c r="Q299" s="4">
        <v>83</v>
      </c>
      <c r="R299" s="4" t="b">
        <v>0</v>
      </c>
      <c r="S299" s="4" t="s">
        <v>61</v>
      </c>
      <c r="T299" s="4" t="s">
        <v>115</v>
      </c>
      <c r="U299" s="4" t="s">
        <v>224</v>
      </c>
      <c r="V299" s="4" t="s">
        <v>52</v>
      </c>
      <c r="W299" s="4" t="s">
        <v>53</v>
      </c>
      <c r="X299" s="4" t="s">
        <v>54</v>
      </c>
      <c r="Y299" s="4" t="s">
        <v>775</v>
      </c>
      <c r="Z299" s="12" t="s">
        <v>60</v>
      </c>
      <c r="AA299" s="13" t="s">
        <v>9171</v>
      </c>
      <c r="AB299" s="13" t="s">
        <v>9147</v>
      </c>
      <c r="AC299" s="14" t="s">
        <v>9148</v>
      </c>
      <c r="AD299" s="14" t="s">
        <v>28</v>
      </c>
      <c r="AE299" s="14" t="s">
        <v>478</v>
      </c>
      <c r="AF299" s="14" t="s">
        <v>52</v>
      </c>
      <c r="AG299" s="14" t="s">
        <v>54</v>
      </c>
      <c r="AH299" s="15" t="s">
        <v>9141</v>
      </c>
      <c r="AI299" s="15" t="s">
        <v>9187</v>
      </c>
      <c r="AJ299" s="15" t="s">
        <v>9143</v>
      </c>
      <c r="AK299" s="15" t="s">
        <v>9141</v>
      </c>
      <c r="AL299" s="15" t="s">
        <v>9144</v>
      </c>
      <c r="AM299" s="16" t="s">
        <v>9141</v>
      </c>
      <c r="AN299" s="16" t="s">
        <v>9145</v>
      </c>
    </row>
    <row r="300" spans="1:40" x14ac:dyDescent="0.25">
      <c r="A300" s="4" t="s">
        <v>8103</v>
      </c>
      <c r="B300" s="4"/>
      <c r="C300" s="4" t="s">
        <v>39</v>
      </c>
      <c r="D300" s="4" t="s">
        <v>8104</v>
      </c>
      <c r="E300" s="4" t="s">
        <v>8105</v>
      </c>
      <c r="F300" s="10">
        <v>45695</v>
      </c>
      <c r="G300" s="11">
        <v>0.38541666666666669</v>
      </c>
      <c r="H300" s="4" t="s">
        <v>4019</v>
      </c>
      <c r="I300" s="4" t="s">
        <v>8106</v>
      </c>
      <c r="J300" s="4" t="s">
        <v>8107</v>
      </c>
      <c r="K300" s="4" t="s">
        <v>711</v>
      </c>
      <c r="L300" s="4" t="s">
        <v>8108</v>
      </c>
      <c r="M300" s="4" t="s">
        <v>46</v>
      </c>
      <c r="N300" s="4"/>
      <c r="O300" s="4" t="s">
        <v>47</v>
      </c>
      <c r="P300" s="4" t="s">
        <v>48</v>
      </c>
      <c r="Q300" s="4">
        <v>0</v>
      </c>
      <c r="R300" s="4" t="b">
        <v>0</v>
      </c>
      <c r="S300" s="4" t="s">
        <v>61</v>
      </c>
      <c r="T300" s="4" t="s">
        <v>50</v>
      </c>
      <c r="U300" s="4" t="s">
        <v>90</v>
      </c>
      <c r="V300" s="4" t="s">
        <v>63</v>
      </c>
      <c r="W300" s="4" t="s">
        <v>108</v>
      </c>
      <c r="X300" s="4" t="s">
        <v>54</v>
      </c>
      <c r="Y300" s="4"/>
      <c r="Z300" s="12">
        <v>0</v>
      </c>
      <c r="AA300" s="13" t="s">
        <v>9171</v>
      </c>
      <c r="AB300" s="13" t="s">
        <v>9147</v>
      </c>
      <c r="AC300" s="14" t="s">
        <v>9148</v>
      </c>
      <c r="AD300" s="14" t="s">
        <v>9140</v>
      </c>
      <c r="AE300" s="14" t="s">
        <v>9140</v>
      </c>
      <c r="AF300" s="14" t="s">
        <v>63</v>
      </c>
      <c r="AG300" s="14" t="s">
        <v>54</v>
      </c>
      <c r="AH300" s="15" t="s">
        <v>9220</v>
      </c>
      <c r="AI300" s="15" t="s">
        <v>9175</v>
      </c>
      <c r="AJ300" s="15" t="s">
        <v>9143</v>
      </c>
      <c r="AK300" s="15" t="s">
        <v>9221</v>
      </c>
      <c r="AL300" s="15" t="s">
        <v>9222</v>
      </c>
      <c r="AM300" s="16" t="s">
        <v>9221</v>
      </c>
      <c r="AN300" s="16" t="s">
        <v>9223</v>
      </c>
    </row>
    <row r="301" spans="1:40" x14ac:dyDescent="0.25">
      <c r="A301" s="4" t="s">
        <v>6376</v>
      </c>
      <c r="B301" s="4"/>
      <c r="C301" s="4" t="s">
        <v>39</v>
      </c>
      <c r="D301" s="4" t="s">
        <v>6377</v>
      </c>
      <c r="E301" s="4" t="s">
        <v>6378</v>
      </c>
      <c r="F301" s="10">
        <v>45694</v>
      </c>
      <c r="G301" s="11">
        <v>0.8125</v>
      </c>
      <c r="H301" s="4" t="s">
        <v>4659</v>
      </c>
      <c r="I301" s="4" t="s">
        <v>6379</v>
      </c>
      <c r="J301" s="4" t="s">
        <v>6380</v>
      </c>
      <c r="K301" s="4" t="s">
        <v>6381</v>
      </c>
      <c r="L301" s="4" t="s">
        <v>6382</v>
      </c>
      <c r="M301" s="4" t="s">
        <v>46</v>
      </c>
      <c r="N301" s="4"/>
      <c r="O301" s="4" t="s">
        <v>191</v>
      </c>
      <c r="P301" s="4" t="s">
        <v>60</v>
      </c>
      <c r="Q301" s="4">
        <v>0</v>
      </c>
      <c r="R301" s="4" t="b">
        <v>0</v>
      </c>
      <c r="S301" s="4" t="s">
        <v>114</v>
      </c>
      <c r="T301" s="4" t="s">
        <v>50</v>
      </c>
      <c r="U301" s="4" t="s">
        <v>107</v>
      </c>
      <c r="V301" s="4" t="s">
        <v>63</v>
      </c>
      <c r="W301" s="4" t="s">
        <v>108</v>
      </c>
      <c r="X301" s="4" t="s">
        <v>54</v>
      </c>
      <c r="Y301" s="4"/>
      <c r="Z301" s="12">
        <v>0</v>
      </c>
      <c r="AA301" s="13" t="s">
        <v>9171</v>
      </c>
      <c r="AB301" s="13" t="s">
        <v>9147</v>
      </c>
      <c r="AC301" s="14" t="s">
        <v>9157</v>
      </c>
      <c r="AD301" s="14" t="s">
        <v>9140</v>
      </c>
      <c r="AE301" s="14" t="s">
        <v>9140</v>
      </c>
      <c r="AF301" s="14" t="s">
        <v>63</v>
      </c>
      <c r="AG301" s="14" t="s">
        <v>54</v>
      </c>
      <c r="AH301" s="15" t="s">
        <v>9220</v>
      </c>
      <c r="AI301" s="15" t="s">
        <v>9142</v>
      </c>
      <c r="AJ301" s="15" t="s">
        <v>9143</v>
      </c>
      <c r="AK301" s="15" t="s">
        <v>9221</v>
      </c>
      <c r="AL301" s="15" t="s">
        <v>9228</v>
      </c>
      <c r="AM301" s="16" t="s">
        <v>9221</v>
      </c>
      <c r="AN301" s="16" t="s">
        <v>9229</v>
      </c>
    </row>
    <row r="302" spans="1:40" x14ac:dyDescent="0.25">
      <c r="A302" s="4" t="s">
        <v>6506</v>
      </c>
      <c r="B302" s="4"/>
      <c r="C302" s="4" t="s">
        <v>39</v>
      </c>
      <c r="D302" s="4" t="s">
        <v>6500</v>
      </c>
      <c r="E302" s="4" t="s">
        <v>6501</v>
      </c>
      <c r="F302" s="10">
        <v>45694</v>
      </c>
      <c r="G302" s="11">
        <v>0.32916666666666666</v>
      </c>
      <c r="H302" s="4" t="s">
        <v>4910</v>
      </c>
      <c r="I302" s="4" t="s">
        <v>6502</v>
      </c>
      <c r="J302" s="4" t="s">
        <v>6503</v>
      </c>
      <c r="K302" s="4" t="s">
        <v>6507</v>
      </c>
      <c r="L302" s="4" t="s">
        <v>6508</v>
      </c>
      <c r="M302" s="4" t="s">
        <v>46</v>
      </c>
      <c r="N302" s="4"/>
      <c r="O302" s="4" t="s">
        <v>47</v>
      </c>
      <c r="P302" s="4" t="s">
        <v>48</v>
      </c>
      <c r="Q302" s="4">
        <v>0</v>
      </c>
      <c r="R302" s="4" t="b">
        <v>0</v>
      </c>
      <c r="S302" s="4" t="s">
        <v>49</v>
      </c>
      <c r="T302" s="4" t="s">
        <v>479</v>
      </c>
      <c r="U302" s="4" t="s">
        <v>175</v>
      </c>
      <c r="V302" s="4" t="s">
        <v>52</v>
      </c>
      <c r="W302" s="4" t="s">
        <v>53</v>
      </c>
      <c r="X302" s="4" t="s">
        <v>136</v>
      </c>
      <c r="Y302" s="4"/>
      <c r="Z302" s="12">
        <v>0</v>
      </c>
      <c r="AA302" s="13" t="s">
        <v>9171</v>
      </c>
      <c r="AB302" s="13" t="s">
        <v>9147</v>
      </c>
      <c r="AC302" s="14" t="s">
        <v>9139</v>
      </c>
      <c r="AD302" s="14" t="s">
        <v>9140</v>
      </c>
      <c r="AE302" s="14" t="s">
        <v>9140</v>
      </c>
      <c r="AF302" s="14" t="s">
        <v>52</v>
      </c>
      <c r="AG302" s="14" t="s">
        <v>136</v>
      </c>
      <c r="AH302" s="15" t="s">
        <v>9220</v>
      </c>
      <c r="AI302" s="15" t="s">
        <v>9191</v>
      </c>
      <c r="AJ302" s="15" t="s">
        <v>9143</v>
      </c>
      <c r="AK302" s="15" t="s">
        <v>9221</v>
      </c>
      <c r="AL302" s="15" t="s">
        <v>9236</v>
      </c>
      <c r="AM302" s="16" t="s">
        <v>9221</v>
      </c>
      <c r="AN302" s="16" t="s">
        <v>9237</v>
      </c>
    </row>
    <row r="303" spans="1:40" x14ac:dyDescent="0.25">
      <c r="A303" s="4" t="s">
        <v>1125</v>
      </c>
      <c r="B303" s="4"/>
      <c r="C303" s="4" t="s">
        <v>39</v>
      </c>
      <c r="D303" s="4" t="s">
        <v>1126</v>
      </c>
      <c r="E303" s="4" t="s">
        <v>1127</v>
      </c>
      <c r="F303" s="10">
        <v>45694</v>
      </c>
      <c r="G303" s="11">
        <v>0.58333333333333337</v>
      </c>
      <c r="H303" s="4" t="s">
        <v>463</v>
      </c>
      <c r="I303" s="4">
        <v>2900</v>
      </c>
      <c r="J303" s="4" t="s">
        <v>1128</v>
      </c>
      <c r="K303" s="4" t="s">
        <v>1129</v>
      </c>
      <c r="L303" s="4" t="s">
        <v>1130</v>
      </c>
      <c r="M303" s="4" t="s">
        <v>46</v>
      </c>
      <c r="N303" s="4"/>
      <c r="O303" s="4" t="s">
        <v>47</v>
      </c>
      <c r="P303" s="4" t="s">
        <v>48</v>
      </c>
      <c r="Q303" s="4">
        <v>0</v>
      </c>
      <c r="R303" s="4" t="b">
        <v>0</v>
      </c>
      <c r="S303" s="4" t="s">
        <v>49</v>
      </c>
      <c r="T303" s="4" t="s">
        <v>70</v>
      </c>
      <c r="U303" s="4" t="s">
        <v>51</v>
      </c>
      <c r="V303" s="4" t="s">
        <v>123</v>
      </c>
      <c r="W303" s="4" t="s">
        <v>124</v>
      </c>
      <c r="X303" s="4" t="s">
        <v>1131</v>
      </c>
      <c r="Y303" s="4"/>
      <c r="Z303" s="12">
        <v>0</v>
      </c>
      <c r="AA303" s="13" t="s">
        <v>9171</v>
      </c>
      <c r="AB303" s="13" t="s">
        <v>9147</v>
      </c>
      <c r="AC303" s="14" t="s">
        <v>9139</v>
      </c>
      <c r="AD303" s="14" t="s">
        <v>9140</v>
      </c>
      <c r="AE303" s="14" t="s">
        <v>9140</v>
      </c>
      <c r="AF303" s="14" t="s">
        <v>123</v>
      </c>
      <c r="AG303" s="14" t="s">
        <v>1131</v>
      </c>
      <c r="AH303" s="15" t="s">
        <v>9141</v>
      </c>
      <c r="AI303" s="15" t="s">
        <v>9175</v>
      </c>
      <c r="AJ303" s="15" t="s">
        <v>9183</v>
      </c>
      <c r="AK303" s="15" t="s">
        <v>9184</v>
      </c>
      <c r="AL303" s="15" t="s">
        <v>9185</v>
      </c>
      <c r="AM303" s="16" t="s">
        <v>9186</v>
      </c>
      <c r="AN303" s="16" t="s">
        <v>9186</v>
      </c>
    </row>
    <row r="304" spans="1:40" x14ac:dyDescent="0.25">
      <c r="A304" s="4" t="s">
        <v>2882</v>
      </c>
      <c r="B304" s="4"/>
      <c r="C304" s="4" t="s">
        <v>39</v>
      </c>
      <c r="D304" s="4" t="s">
        <v>2883</v>
      </c>
      <c r="E304" s="4" t="s">
        <v>2884</v>
      </c>
      <c r="F304" s="10">
        <v>45693</v>
      </c>
      <c r="G304" s="11">
        <v>0.52083333333333337</v>
      </c>
      <c r="H304" s="4" t="s">
        <v>2168</v>
      </c>
      <c r="I304" s="4" t="s">
        <v>2885</v>
      </c>
      <c r="J304" s="4" t="s">
        <v>2886</v>
      </c>
      <c r="K304" s="4" t="s">
        <v>2887</v>
      </c>
      <c r="L304" s="4" t="s">
        <v>2888</v>
      </c>
      <c r="M304" s="4" t="s">
        <v>46</v>
      </c>
      <c r="N304" s="4"/>
      <c r="O304" s="4" t="s">
        <v>47</v>
      </c>
      <c r="P304" s="4" t="s">
        <v>48</v>
      </c>
      <c r="Q304" s="4">
        <v>0</v>
      </c>
      <c r="R304" s="4" t="b">
        <v>0</v>
      </c>
      <c r="S304" s="4" t="s">
        <v>61</v>
      </c>
      <c r="T304" s="4" t="s">
        <v>70</v>
      </c>
      <c r="U304" s="4" t="s">
        <v>224</v>
      </c>
      <c r="V304" s="4" t="s">
        <v>63</v>
      </c>
      <c r="W304" s="4" t="s">
        <v>108</v>
      </c>
      <c r="X304" s="4" t="s">
        <v>98</v>
      </c>
      <c r="Y304" s="4"/>
      <c r="Z304" s="12">
        <v>0</v>
      </c>
      <c r="AA304" s="13" t="s">
        <v>9171</v>
      </c>
      <c r="AB304" s="13" t="s">
        <v>9147</v>
      </c>
      <c r="AC304" s="14" t="s">
        <v>9148</v>
      </c>
      <c r="AD304" s="14" t="s">
        <v>9140</v>
      </c>
      <c r="AE304" s="14" t="s">
        <v>9140</v>
      </c>
      <c r="AF304" s="14" t="s">
        <v>63</v>
      </c>
      <c r="AG304" s="14" t="s">
        <v>98</v>
      </c>
      <c r="AH304" s="15" t="s">
        <v>9194</v>
      </c>
      <c r="AI304" s="15" t="s">
        <v>9142</v>
      </c>
      <c r="AJ304" s="15" t="s">
        <v>9143</v>
      </c>
      <c r="AK304" s="15" t="s">
        <v>9194</v>
      </c>
      <c r="AL304" s="15" t="s">
        <v>9207</v>
      </c>
      <c r="AM304" s="16" t="s">
        <v>9194</v>
      </c>
      <c r="AN304" s="16" t="s">
        <v>9208</v>
      </c>
    </row>
    <row r="305" spans="1:40" x14ac:dyDescent="0.25">
      <c r="A305" s="4" t="s">
        <v>6445</v>
      </c>
      <c r="B305" s="4"/>
      <c r="C305" s="4" t="s">
        <v>39</v>
      </c>
      <c r="D305" s="4" t="s">
        <v>6446</v>
      </c>
      <c r="E305" s="4" t="s">
        <v>6447</v>
      </c>
      <c r="F305" s="10">
        <v>45693</v>
      </c>
      <c r="G305" s="11">
        <v>0.83333333333333337</v>
      </c>
      <c r="H305" s="4" t="s">
        <v>4659</v>
      </c>
      <c r="I305" s="4" t="s">
        <v>6441</v>
      </c>
      <c r="J305" s="4" t="s">
        <v>6442</v>
      </c>
      <c r="K305" s="4" t="s">
        <v>6448</v>
      </c>
      <c r="L305" s="4" t="s">
        <v>6449</v>
      </c>
      <c r="M305" s="4" t="s">
        <v>46</v>
      </c>
      <c r="N305" s="4"/>
      <c r="O305" s="4" t="s">
        <v>47</v>
      </c>
      <c r="P305" s="4" t="s">
        <v>48</v>
      </c>
      <c r="Q305" s="4">
        <v>0</v>
      </c>
      <c r="R305" s="4" t="b">
        <v>0</v>
      </c>
      <c r="S305" s="4" t="s">
        <v>49</v>
      </c>
      <c r="T305" s="4" t="s">
        <v>70</v>
      </c>
      <c r="U305" s="4" t="s">
        <v>71</v>
      </c>
      <c r="V305" s="4" t="s">
        <v>63</v>
      </c>
      <c r="W305" s="4" t="s">
        <v>198</v>
      </c>
      <c r="X305" s="4" t="s">
        <v>54</v>
      </c>
      <c r="Y305" s="4" t="s">
        <v>211</v>
      </c>
      <c r="Z305" s="12">
        <v>0</v>
      </c>
      <c r="AA305" s="13" t="s">
        <v>9171</v>
      </c>
      <c r="AB305" s="13" t="s">
        <v>9147</v>
      </c>
      <c r="AC305" s="14" t="s">
        <v>9139</v>
      </c>
      <c r="AD305" s="14" t="s">
        <v>9140</v>
      </c>
      <c r="AE305" s="14" t="s">
        <v>9140</v>
      </c>
      <c r="AF305" s="14" t="s">
        <v>63</v>
      </c>
      <c r="AG305" s="14" t="s">
        <v>54</v>
      </c>
      <c r="AH305" s="15" t="s">
        <v>9220</v>
      </c>
      <c r="AI305" s="15" t="s">
        <v>9142</v>
      </c>
      <c r="AJ305" s="15" t="s">
        <v>9143</v>
      </c>
      <c r="AK305" s="15" t="s">
        <v>9221</v>
      </c>
      <c r="AL305" s="15" t="s">
        <v>9228</v>
      </c>
      <c r="AM305" s="16" t="s">
        <v>9221</v>
      </c>
      <c r="AN305" s="16" t="s">
        <v>9229</v>
      </c>
    </row>
    <row r="306" spans="1:40" x14ac:dyDescent="0.25">
      <c r="A306" s="4" t="s">
        <v>7849</v>
      </c>
      <c r="B306" s="4"/>
      <c r="C306" s="4" t="s">
        <v>39</v>
      </c>
      <c r="D306" s="4" t="s">
        <v>7850</v>
      </c>
      <c r="E306" s="4" t="s">
        <v>7851</v>
      </c>
      <c r="F306" s="10">
        <v>45692</v>
      </c>
      <c r="G306" s="11">
        <v>0.48333333333333334</v>
      </c>
      <c r="H306" s="4" t="s">
        <v>4516</v>
      </c>
      <c r="I306" s="4" t="s">
        <v>7852</v>
      </c>
      <c r="J306" s="4" t="s">
        <v>1537</v>
      </c>
      <c r="K306" s="4" t="s">
        <v>7853</v>
      </c>
      <c r="L306" s="4" t="s">
        <v>7854</v>
      </c>
      <c r="M306" s="4" t="s">
        <v>46</v>
      </c>
      <c r="N306" s="4"/>
      <c r="O306" s="4" t="s">
        <v>47</v>
      </c>
      <c r="P306" s="4" t="s">
        <v>48</v>
      </c>
      <c r="Q306" s="4">
        <v>0</v>
      </c>
      <c r="R306" s="4" t="b">
        <v>0</v>
      </c>
      <c r="S306" s="4" t="s">
        <v>49</v>
      </c>
      <c r="T306" s="4" t="s">
        <v>70</v>
      </c>
      <c r="U306" s="4" t="s">
        <v>527</v>
      </c>
      <c r="V306" s="4" t="s">
        <v>72</v>
      </c>
      <c r="W306" s="4" t="s">
        <v>73</v>
      </c>
      <c r="X306" s="4" t="s">
        <v>54</v>
      </c>
      <c r="Y306" s="4" t="s">
        <v>302</v>
      </c>
      <c r="Z306" s="12">
        <v>0</v>
      </c>
      <c r="AA306" s="13" t="s">
        <v>9171</v>
      </c>
      <c r="AB306" s="13" t="s">
        <v>9147</v>
      </c>
      <c r="AC306" s="14" t="s">
        <v>9139</v>
      </c>
      <c r="AD306" s="14" t="s">
        <v>9140</v>
      </c>
      <c r="AE306" s="14" t="s">
        <v>9140</v>
      </c>
      <c r="AF306" s="14" t="s">
        <v>72</v>
      </c>
      <c r="AG306" s="14" t="s">
        <v>54</v>
      </c>
      <c r="AH306" s="15" t="s">
        <v>9220</v>
      </c>
      <c r="AI306" s="15" t="s">
        <v>9188</v>
      </c>
      <c r="AJ306" s="15" t="s">
        <v>9143</v>
      </c>
      <c r="AK306" s="15" t="s">
        <v>9221</v>
      </c>
      <c r="AL306" s="15" t="s">
        <v>9230</v>
      </c>
      <c r="AM306" s="16" t="s">
        <v>9221</v>
      </c>
      <c r="AN306" s="16" t="s">
        <v>9231</v>
      </c>
    </row>
    <row r="307" spans="1:40" x14ac:dyDescent="0.25">
      <c r="A307" s="4" t="s">
        <v>5847</v>
      </c>
      <c r="B307" s="4"/>
      <c r="C307" s="4" t="s">
        <v>39</v>
      </c>
      <c r="D307" s="4" t="s">
        <v>5848</v>
      </c>
      <c r="E307" s="4" t="s">
        <v>5849</v>
      </c>
      <c r="F307" s="10">
        <v>45691</v>
      </c>
      <c r="G307" s="11">
        <v>0.58680555555555558</v>
      </c>
      <c r="H307" s="4" t="s">
        <v>5838</v>
      </c>
      <c r="I307" s="4" t="s">
        <v>5839</v>
      </c>
      <c r="J307" s="4" t="s">
        <v>3121</v>
      </c>
      <c r="K307" s="4" t="s">
        <v>5850</v>
      </c>
      <c r="L307" s="4" t="s">
        <v>5851</v>
      </c>
      <c r="M307" s="4" t="s">
        <v>46</v>
      </c>
      <c r="N307" s="4" t="s">
        <v>478</v>
      </c>
      <c r="O307" s="4" t="s">
        <v>47</v>
      </c>
      <c r="P307" s="4" t="s">
        <v>48</v>
      </c>
      <c r="Q307" s="4">
        <v>0</v>
      </c>
      <c r="R307" s="4" t="b">
        <v>0</v>
      </c>
      <c r="S307" s="4" t="s">
        <v>114</v>
      </c>
      <c r="T307" s="4" t="s">
        <v>115</v>
      </c>
      <c r="U307" s="4" t="s">
        <v>122</v>
      </c>
      <c r="V307" s="4" t="s">
        <v>123</v>
      </c>
      <c r="W307" s="4" t="s">
        <v>192</v>
      </c>
      <c r="X307" s="4" t="s">
        <v>54</v>
      </c>
      <c r="Y307" s="4"/>
      <c r="Z307" s="12">
        <v>0</v>
      </c>
      <c r="AA307" s="13" t="s">
        <v>9171</v>
      </c>
      <c r="AB307" s="13" t="s">
        <v>9147</v>
      </c>
      <c r="AC307" s="14" t="s">
        <v>9157</v>
      </c>
      <c r="AD307" s="14" t="s">
        <v>9140</v>
      </c>
      <c r="AE307" s="14" t="s">
        <v>9140</v>
      </c>
      <c r="AF307" s="14" t="s">
        <v>123</v>
      </c>
      <c r="AG307" s="14" t="s">
        <v>54</v>
      </c>
      <c r="AH307" s="15" t="s">
        <v>9220</v>
      </c>
      <c r="AI307" s="15" t="s">
        <v>9213</v>
      </c>
      <c r="AJ307" s="15" t="s">
        <v>9143</v>
      </c>
      <c r="AK307" s="15" t="s">
        <v>9221</v>
      </c>
      <c r="AL307" s="15" t="s">
        <v>9228</v>
      </c>
      <c r="AM307" s="16" t="s">
        <v>9221</v>
      </c>
      <c r="AN307" s="16" t="s">
        <v>9229</v>
      </c>
    </row>
    <row r="308" spans="1:40" x14ac:dyDescent="0.25">
      <c r="A308" s="4" t="s">
        <v>8858</v>
      </c>
      <c r="B308" s="4"/>
      <c r="C308" s="4" t="s">
        <v>39</v>
      </c>
      <c r="D308" s="4" t="s">
        <v>8859</v>
      </c>
      <c r="E308" s="4" t="s">
        <v>8860</v>
      </c>
      <c r="F308" s="10">
        <v>45691</v>
      </c>
      <c r="G308" s="11">
        <v>0.35416666666666669</v>
      </c>
      <c r="H308" s="4" t="s">
        <v>4019</v>
      </c>
      <c r="I308" s="4" t="s">
        <v>8854</v>
      </c>
      <c r="J308" s="4" t="s">
        <v>8855</v>
      </c>
      <c r="K308" s="4" t="s">
        <v>8861</v>
      </c>
      <c r="L308" s="4" t="s">
        <v>8862</v>
      </c>
      <c r="M308" s="4" t="s">
        <v>46</v>
      </c>
      <c r="N308" s="4"/>
      <c r="O308" s="4" t="s">
        <v>47</v>
      </c>
      <c r="P308" s="4" t="s">
        <v>48</v>
      </c>
      <c r="Q308" s="4">
        <v>0</v>
      </c>
      <c r="R308" s="4" t="b">
        <v>0</v>
      </c>
      <c r="S308" s="4" t="s">
        <v>61</v>
      </c>
      <c r="T308" s="4" t="s">
        <v>115</v>
      </c>
      <c r="U308" s="4" t="s">
        <v>175</v>
      </c>
      <c r="V308" s="4" t="s">
        <v>52</v>
      </c>
      <c r="W308" s="4" t="s">
        <v>53</v>
      </c>
      <c r="X308" s="4" t="s">
        <v>54</v>
      </c>
      <c r="Y308" s="4"/>
      <c r="Z308" s="12">
        <v>0</v>
      </c>
      <c r="AA308" s="13" t="s">
        <v>9171</v>
      </c>
      <c r="AB308" s="13" t="s">
        <v>9147</v>
      </c>
      <c r="AC308" s="14" t="s">
        <v>9148</v>
      </c>
      <c r="AD308" s="14" t="s">
        <v>9140</v>
      </c>
      <c r="AE308" s="14" t="s">
        <v>9140</v>
      </c>
      <c r="AF308" s="14" t="s">
        <v>52</v>
      </c>
      <c r="AG308" s="14" t="s">
        <v>54</v>
      </c>
      <c r="AH308" s="15" t="s">
        <v>9220</v>
      </c>
      <c r="AI308" s="15" t="s">
        <v>9175</v>
      </c>
      <c r="AJ308" s="15" t="s">
        <v>9183</v>
      </c>
      <c r="AK308" s="15" t="s">
        <v>9239</v>
      </c>
      <c r="AL308" s="15" t="s">
        <v>9240</v>
      </c>
      <c r="AM308" s="16" t="s">
        <v>9186</v>
      </c>
      <c r="AN308" s="16" t="s">
        <v>9186</v>
      </c>
    </row>
    <row r="309" spans="1:40" x14ac:dyDescent="0.25">
      <c r="A309" s="4" t="s">
        <v>7540</v>
      </c>
      <c r="B309" s="4"/>
      <c r="C309" s="4" t="s">
        <v>39</v>
      </c>
      <c r="D309" s="4" t="s">
        <v>7541</v>
      </c>
      <c r="E309" s="4" t="s">
        <v>7542</v>
      </c>
      <c r="F309" s="10">
        <v>45691</v>
      </c>
      <c r="G309" s="11">
        <v>0.53472222222222221</v>
      </c>
      <c r="H309" s="4" t="s">
        <v>4019</v>
      </c>
      <c r="I309" s="4" t="s">
        <v>7543</v>
      </c>
      <c r="J309" s="4" t="s">
        <v>876</v>
      </c>
      <c r="K309" s="4" t="s">
        <v>7544</v>
      </c>
      <c r="L309" s="4" t="s">
        <v>7545</v>
      </c>
      <c r="M309" s="4" t="s">
        <v>46</v>
      </c>
      <c r="N309" s="4"/>
      <c r="O309" s="4" t="s">
        <v>47</v>
      </c>
      <c r="P309" s="4" t="s">
        <v>48</v>
      </c>
      <c r="Q309" s="4">
        <v>0</v>
      </c>
      <c r="R309" s="4" t="b">
        <v>0</v>
      </c>
      <c r="S309" s="4" t="s">
        <v>49</v>
      </c>
      <c r="T309" s="4" t="s">
        <v>89</v>
      </c>
      <c r="U309" s="4" t="s">
        <v>140</v>
      </c>
      <c r="V309" s="4" t="s">
        <v>123</v>
      </c>
      <c r="W309" s="4" t="s">
        <v>149</v>
      </c>
      <c r="X309" s="4" t="s">
        <v>54</v>
      </c>
      <c r="Y309" s="4"/>
      <c r="Z309" s="12">
        <v>0</v>
      </c>
      <c r="AA309" s="13" t="s">
        <v>9171</v>
      </c>
      <c r="AB309" s="13" t="s">
        <v>9147</v>
      </c>
      <c r="AC309" s="14" t="s">
        <v>9139</v>
      </c>
      <c r="AD309" s="14" t="s">
        <v>9140</v>
      </c>
      <c r="AE309" s="14" t="s">
        <v>9140</v>
      </c>
      <c r="AF309" s="14" t="s">
        <v>123</v>
      </c>
      <c r="AG309" s="14" t="s">
        <v>54</v>
      </c>
      <c r="AH309" s="15" t="s">
        <v>9220</v>
      </c>
      <c r="AI309" s="15" t="s">
        <v>9175</v>
      </c>
      <c r="AJ309" s="15" t="s">
        <v>9143</v>
      </c>
      <c r="AK309" s="15" t="s">
        <v>9221</v>
      </c>
      <c r="AL309" s="15" t="s">
        <v>9224</v>
      </c>
      <c r="AM309" s="16" t="s">
        <v>9221</v>
      </c>
      <c r="AN309" s="16" t="s">
        <v>9225</v>
      </c>
    </row>
    <row r="310" spans="1:40" x14ac:dyDescent="0.25">
      <c r="A310" s="4" t="s">
        <v>2711</v>
      </c>
      <c r="B310" s="4" t="s">
        <v>2712</v>
      </c>
      <c r="C310" s="4" t="s">
        <v>39</v>
      </c>
      <c r="D310" s="4" t="s">
        <v>2713</v>
      </c>
      <c r="E310" s="4" t="s">
        <v>2714</v>
      </c>
      <c r="F310" s="10">
        <v>45691</v>
      </c>
      <c r="G310" s="11">
        <v>0.46527777777777779</v>
      </c>
      <c r="H310" s="4" t="s">
        <v>2227</v>
      </c>
      <c r="I310" s="4" t="s">
        <v>2715</v>
      </c>
      <c r="J310" s="4" t="s">
        <v>1200</v>
      </c>
      <c r="K310" s="4" t="s">
        <v>2716</v>
      </c>
      <c r="L310" s="4" t="s">
        <v>2717</v>
      </c>
      <c r="M310" s="4" t="s">
        <v>46</v>
      </c>
      <c r="N310" s="4" t="s">
        <v>2718</v>
      </c>
      <c r="O310" s="4" t="s">
        <v>47</v>
      </c>
      <c r="P310" s="4" t="s">
        <v>48</v>
      </c>
      <c r="Q310" s="4">
        <v>0</v>
      </c>
      <c r="R310" s="4" t="b">
        <v>0</v>
      </c>
      <c r="S310" s="4" t="s">
        <v>61</v>
      </c>
      <c r="T310" s="4" t="s">
        <v>89</v>
      </c>
      <c r="U310" s="4" t="s">
        <v>224</v>
      </c>
      <c r="V310" s="4" t="s">
        <v>52</v>
      </c>
      <c r="W310" s="4" t="s">
        <v>135</v>
      </c>
      <c r="X310" s="4" t="s">
        <v>54</v>
      </c>
      <c r="Y310" s="4"/>
      <c r="Z310" s="12">
        <v>0</v>
      </c>
      <c r="AA310" s="13" t="s">
        <v>9171</v>
      </c>
      <c r="AB310" s="13" t="s">
        <v>9147</v>
      </c>
      <c r="AC310" s="14" t="s">
        <v>9148</v>
      </c>
      <c r="AD310" s="14" t="s">
        <v>9140</v>
      </c>
      <c r="AE310" s="14" t="s">
        <v>9140</v>
      </c>
      <c r="AF310" s="14" t="s">
        <v>52</v>
      </c>
      <c r="AG310" s="14" t="s">
        <v>54</v>
      </c>
      <c r="AH310" s="15" t="s">
        <v>9194</v>
      </c>
      <c r="AI310" s="15" t="s">
        <v>9187</v>
      </c>
      <c r="AJ310" s="15" t="s">
        <v>9143</v>
      </c>
      <c r="AK310" s="15" t="s">
        <v>9194</v>
      </c>
      <c r="AL310" s="15" t="s">
        <v>9209</v>
      </c>
      <c r="AM310" s="16" t="s">
        <v>9194</v>
      </c>
      <c r="AN310" s="16" t="s">
        <v>9210</v>
      </c>
    </row>
    <row r="311" spans="1:40" x14ac:dyDescent="0.25">
      <c r="A311" s="4" t="s">
        <v>6558</v>
      </c>
      <c r="B311" s="4"/>
      <c r="C311" s="4" t="s">
        <v>39</v>
      </c>
      <c r="D311" s="4" t="s">
        <v>6559</v>
      </c>
      <c r="E311" s="4" t="s">
        <v>6560</v>
      </c>
      <c r="F311" s="10">
        <v>45690</v>
      </c>
      <c r="G311" s="11">
        <v>0.65833333333333333</v>
      </c>
      <c r="H311" s="4" t="s">
        <v>4910</v>
      </c>
      <c r="I311" s="4" t="s">
        <v>6561</v>
      </c>
      <c r="J311" s="4" t="s">
        <v>1719</v>
      </c>
      <c r="K311" s="4" t="s">
        <v>6562</v>
      </c>
      <c r="L311" s="4" t="s">
        <v>6563</v>
      </c>
      <c r="M311" s="4" t="s">
        <v>46</v>
      </c>
      <c r="N311" s="4"/>
      <c r="O311" s="4" t="s">
        <v>47</v>
      </c>
      <c r="P311" s="4" t="s">
        <v>48</v>
      </c>
      <c r="Q311" s="4">
        <v>0</v>
      </c>
      <c r="R311" s="4" t="b">
        <v>0</v>
      </c>
      <c r="S311" s="4" t="s">
        <v>61</v>
      </c>
      <c r="T311" s="4" t="s">
        <v>583</v>
      </c>
      <c r="U311" s="4" t="s">
        <v>71</v>
      </c>
      <c r="V311" s="4" t="s">
        <v>63</v>
      </c>
      <c r="W311" s="4" t="s">
        <v>108</v>
      </c>
      <c r="X311" s="4" t="s">
        <v>54</v>
      </c>
      <c r="Y311" s="4"/>
      <c r="Z311" s="12">
        <v>0</v>
      </c>
      <c r="AA311" s="13" t="s">
        <v>9171</v>
      </c>
      <c r="AB311" s="13" t="s">
        <v>9147</v>
      </c>
      <c r="AC311" s="14" t="s">
        <v>9148</v>
      </c>
      <c r="AD311" s="14" t="s">
        <v>9140</v>
      </c>
      <c r="AE311" s="14" t="s">
        <v>9140</v>
      </c>
      <c r="AF311" s="14" t="s">
        <v>63</v>
      </c>
      <c r="AG311" s="14" t="s">
        <v>54</v>
      </c>
      <c r="AH311" s="15" t="s">
        <v>9220</v>
      </c>
      <c r="AI311" s="15" t="s">
        <v>9191</v>
      </c>
      <c r="AJ311" s="15" t="s">
        <v>9143</v>
      </c>
      <c r="AK311" s="15" t="s">
        <v>9221</v>
      </c>
      <c r="AL311" s="15" t="s">
        <v>9226</v>
      </c>
      <c r="AM311" s="16" t="s">
        <v>9221</v>
      </c>
      <c r="AN311" s="16" t="s">
        <v>9227</v>
      </c>
    </row>
    <row r="312" spans="1:40" x14ac:dyDescent="0.25">
      <c r="A312" s="4" t="s">
        <v>5751</v>
      </c>
      <c r="B312" s="4"/>
      <c r="C312" s="4" t="s">
        <v>39</v>
      </c>
      <c r="D312" s="4" t="s">
        <v>5752</v>
      </c>
      <c r="E312" s="4" t="s">
        <v>5753</v>
      </c>
      <c r="F312" s="10">
        <v>45689</v>
      </c>
      <c r="G312" s="11">
        <v>0.69444444444444442</v>
      </c>
      <c r="H312" s="4" t="s">
        <v>4516</v>
      </c>
      <c r="I312" s="4" t="s">
        <v>5754</v>
      </c>
      <c r="J312" s="4" t="s">
        <v>1445</v>
      </c>
      <c r="K312" s="4" t="s">
        <v>447</v>
      </c>
      <c r="L312" s="4" t="s">
        <v>5755</v>
      </c>
      <c r="M312" s="4" t="s">
        <v>46</v>
      </c>
      <c r="N312" s="4"/>
      <c r="O312" s="4" t="s">
        <v>47</v>
      </c>
      <c r="P312" s="4" t="s">
        <v>48</v>
      </c>
      <c r="Q312" s="4">
        <v>0</v>
      </c>
      <c r="R312" s="4" t="b">
        <v>0</v>
      </c>
      <c r="S312" s="4" t="s">
        <v>49</v>
      </c>
      <c r="T312" s="4" t="s">
        <v>115</v>
      </c>
      <c r="U312" s="4" t="s">
        <v>527</v>
      </c>
      <c r="V312" s="4" t="s">
        <v>63</v>
      </c>
      <c r="W312" s="4" t="s">
        <v>198</v>
      </c>
      <c r="X312" s="4" t="s">
        <v>54</v>
      </c>
      <c r="Y312" s="4"/>
      <c r="Z312" s="12">
        <v>0</v>
      </c>
      <c r="AA312" s="13" t="s">
        <v>9171</v>
      </c>
      <c r="AB312" s="13" t="s">
        <v>9147</v>
      </c>
      <c r="AC312" s="14" t="s">
        <v>9139</v>
      </c>
      <c r="AD312" s="14" t="s">
        <v>9140</v>
      </c>
      <c r="AE312" s="14" t="s">
        <v>9140</v>
      </c>
      <c r="AF312" s="14" t="s">
        <v>63</v>
      </c>
      <c r="AG312" s="14" t="s">
        <v>54</v>
      </c>
      <c r="AH312" s="15" t="s">
        <v>9220</v>
      </c>
      <c r="AI312" s="15" t="s">
        <v>9188</v>
      </c>
      <c r="AJ312" s="15" t="s">
        <v>9143</v>
      </c>
      <c r="AK312" s="15" t="s">
        <v>9221</v>
      </c>
      <c r="AL312" s="15" t="s">
        <v>9232</v>
      </c>
      <c r="AM312" s="16" t="s">
        <v>9221</v>
      </c>
      <c r="AN312" s="16" t="s">
        <v>9233</v>
      </c>
    </row>
    <row r="313" spans="1:40" x14ac:dyDescent="0.25">
      <c r="A313" s="4" t="s">
        <v>4469</v>
      </c>
      <c r="B313" s="4"/>
      <c r="C313" s="4" t="s">
        <v>39</v>
      </c>
      <c r="D313" s="4" t="s">
        <v>4470</v>
      </c>
      <c r="E313" s="4" t="s">
        <v>4471</v>
      </c>
      <c r="F313" s="10">
        <v>45689</v>
      </c>
      <c r="G313" s="11">
        <v>0.72152777777777777</v>
      </c>
      <c r="H313" s="4" t="s">
        <v>4019</v>
      </c>
      <c r="I313" s="4" t="s">
        <v>4472</v>
      </c>
      <c r="J313" s="4" t="s">
        <v>3707</v>
      </c>
      <c r="K313" s="4" t="s">
        <v>4473</v>
      </c>
      <c r="L313" s="4" t="s">
        <v>4474</v>
      </c>
      <c r="M313" s="4" t="s">
        <v>46</v>
      </c>
      <c r="N313" s="4"/>
      <c r="O313" s="4" t="s">
        <v>47</v>
      </c>
      <c r="P313" s="4" t="s">
        <v>60</v>
      </c>
      <c r="Q313" s="4">
        <v>0</v>
      </c>
      <c r="R313" s="4" t="b">
        <v>0</v>
      </c>
      <c r="S313" s="4" t="s">
        <v>61</v>
      </c>
      <c r="T313" s="4" t="s">
        <v>50</v>
      </c>
      <c r="U313" s="4" t="s">
        <v>90</v>
      </c>
      <c r="V313" s="4" t="s">
        <v>63</v>
      </c>
      <c r="W313" s="4" t="s">
        <v>108</v>
      </c>
      <c r="X313" s="4" t="s">
        <v>98</v>
      </c>
      <c r="Y313" s="4" t="s">
        <v>486</v>
      </c>
      <c r="Z313" s="12">
        <v>0</v>
      </c>
      <c r="AA313" s="13" t="s">
        <v>9171</v>
      </c>
      <c r="AB313" s="13" t="s">
        <v>9147</v>
      </c>
      <c r="AC313" s="14" t="s">
        <v>9148</v>
      </c>
      <c r="AD313" s="14" t="s">
        <v>9140</v>
      </c>
      <c r="AE313" s="14" t="s">
        <v>9140</v>
      </c>
      <c r="AF313" s="14" t="s">
        <v>63</v>
      </c>
      <c r="AG313" s="14" t="s">
        <v>98</v>
      </c>
      <c r="AH313" s="15" t="s">
        <v>9220</v>
      </c>
      <c r="AI313" s="15" t="s">
        <v>9175</v>
      </c>
      <c r="AJ313" s="15" t="s">
        <v>9143</v>
      </c>
      <c r="AK313" s="15" t="s">
        <v>9221</v>
      </c>
      <c r="AL313" s="15" t="s">
        <v>9228</v>
      </c>
      <c r="AM313" s="16" t="s">
        <v>9221</v>
      </c>
      <c r="AN313" s="16" t="s">
        <v>9229</v>
      </c>
    </row>
    <row r="314" spans="1:40" x14ac:dyDescent="0.25">
      <c r="A314" s="4" t="s">
        <v>1988</v>
      </c>
      <c r="B314" s="4" t="s">
        <v>1989</v>
      </c>
      <c r="C314" s="4" t="s">
        <v>39</v>
      </c>
      <c r="D314" s="4" t="s">
        <v>1990</v>
      </c>
      <c r="E314" s="4" t="s">
        <v>1991</v>
      </c>
      <c r="F314" s="10">
        <v>45688</v>
      </c>
      <c r="G314" s="11">
        <v>0.4513888888888889</v>
      </c>
      <c r="H314" s="4" t="s">
        <v>1992</v>
      </c>
      <c r="I314" s="4" t="s">
        <v>1993</v>
      </c>
      <c r="J314" s="4" t="s">
        <v>1994</v>
      </c>
      <c r="K314" s="4" t="s">
        <v>1995</v>
      </c>
      <c r="L314" s="4" t="s">
        <v>1996</v>
      </c>
      <c r="M314" s="4" t="s">
        <v>28</v>
      </c>
      <c r="N314" s="4" t="s">
        <v>183</v>
      </c>
      <c r="O314" s="4" t="s">
        <v>174</v>
      </c>
      <c r="P314" s="4" t="s">
        <v>60</v>
      </c>
      <c r="Q314" s="4">
        <v>11</v>
      </c>
      <c r="R314" s="4" t="b">
        <v>0</v>
      </c>
      <c r="S314" s="4" t="s">
        <v>114</v>
      </c>
      <c r="T314" s="4" t="s">
        <v>115</v>
      </c>
      <c r="U314" s="4" t="s">
        <v>175</v>
      </c>
      <c r="V314" s="4" t="s">
        <v>52</v>
      </c>
      <c r="W314" s="4" t="s">
        <v>53</v>
      </c>
      <c r="X314" s="4" t="s">
        <v>54</v>
      </c>
      <c r="Y314" s="4"/>
      <c r="Z314" s="12" t="s">
        <v>60</v>
      </c>
      <c r="AA314" s="13" t="s">
        <v>9171</v>
      </c>
      <c r="AB314" s="13" t="s">
        <v>9147</v>
      </c>
      <c r="AC314" s="14" t="s">
        <v>9157</v>
      </c>
      <c r="AD314" s="14" t="s">
        <v>28</v>
      </c>
      <c r="AE314" s="14" t="s">
        <v>183</v>
      </c>
      <c r="AF314" s="14" t="s">
        <v>52</v>
      </c>
      <c r="AG314" s="14" t="s">
        <v>54</v>
      </c>
      <c r="AH314" s="15" t="s">
        <v>9194</v>
      </c>
      <c r="AI314" s="15" t="s">
        <v>9191</v>
      </c>
      <c r="AJ314" s="15" t="s">
        <v>9143</v>
      </c>
      <c r="AK314" s="15" t="s">
        <v>9194</v>
      </c>
      <c r="AL314" s="15" t="s">
        <v>9197</v>
      </c>
      <c r="AM314" s="16" t="s">
        <v>9194</v>
      </c>
      <c r="AN314" s="16" t="s">
        <v>9198</v>
      </c>
    </row>
    <row r="315" spans="1:40" x14ac:dyDescent="0.25">
      <c r="A315" s="4" t="s">
        <v>759</v>
      </c>
      <c r="B315" s="4">
        <v>12240070256</v>
      </c>
      <c r="C315" s="4" t="s">
        <v>39</v>
      </c>
      <c r="D315" s="4" t="s">
        <v>760</v>
      </c>
      <c r="E315" s="4" t="s">
        <v>761</v>
      </c>
      <c r="F315" s="10">
        <v>45688</v>
      </c>
      <c r="G315" s="11">
        <v>0.56597222222222221</v>
      </c>
      <c r="H315" s="4" t="s">
        <v>463</v>
      </c>
      <c r="I315" s="4">
        <v>2026</v>
      </c>
      <c r="J315" s="4" t="s">
        <v>756</v>
      </c>
      <c r="K315" s="4" t="s">
        <v>762</v>
      </c>
      <c r="L315" s="4" t="s">
        <v>763</v>
      </c>
      <c r="M315" s="4" t="s">
        <v>28</v>
      </c>
      <c r="N315" s="4" t="s">
        <v>478</v>
      </c>
      <c r="O315" s="4" t="s">
        <v>191</v>
      </c>
      <c r="P315" s="4" t="s">
        <v>60</v>
      </c>
      <c r="Q315" s="4">
        <v>0</v>
      </c>
      <c r="R315" s="4" t="b">
        <v>0</v>
      </c>
      <c r="S315" s="4" t="s">
        <v>114</v>
      </c>
      <c r="T315" s="4" t="s">
        <v>583</v>
      </c>
      <c r="U315" s="4" t="s">
        <v>175</v>
      </c>
      <c r="V315" s="4" t="s">
        <v>52</v>
      </c>
      <c r="W315" s="4" t="s">
        <v>53</v>
      </c>
      <c r="X315" s="4" t="s">
        <v>54</v>
      </c>
      <c r="Y315" s="4"/>
      <c r="Z315" s="12" t="s">
        <v>60</v>
      </c>
      <c r="AA315" s="13" t="s">
        <v>9171</v>
      </c>
      <c r="AB315" s="13" t="s">
        <v>9147</v>
      </c>
      <c r="AC315" s="14" t="s">
        <v>9157</v>
      </c>
      <c r="AD315" s="14" t="s">
        <v>28</v>
      </c>
      <c r="AE315" s="14" t="s">
        <v>478</v>
      </c>
      <c r="AF315" s="14" t="s">
        <v>52</v>
      </c>
      <c r="AG315" s="14" t="s">
        <v>54</v>
      </c>
      <c r="AH315" s="15" t="s">
        <v>9141</v>
      </c>
      <c r="AI315" s="15" t="s">
        <v>9175</v>
      </c>
      <c r="AJ315" s="15" t="s">
        <v>9143</v>
      </c>
      <c r="AK315" s="15" t="s">
        <v>9141</v>
      </c>
      <c r="AL315" s="15" t="s">
        <v>9177</v>
      </c>
      <c r="AM315" s="16" t="s">
        <v>9141</v>
      </c>
      <c r="AN315" s="16" t="s">
        <v>9178</v>
      </c>
    </row>
    <row r="316" spans="1:40" x14ac:dyDescent="0.25">
      <c r="A316" s="4" t="s">
        <v>2681</v>
      </c>
      <c r="B316" s="4"/>
      <c r="C316" s="4" t="s">
        <v>39</v>
      </c>
      <c r="D316" s="4" t="s">
        <v>2682</v>
      </c>
      <c r="E316" s="4" t="s">
        <v>2683</v>
      </c>
      <c r="F316" s="10">
        <v>45687</v>
      </c>
      <c r="G316" s="11">
        <v>0.39027777777777778</v>
      </c>
      <c r="H316" s="4" t="s">
        <v>1939</v>
      </c>
      <c r="I316" s="4" t="s">
        <v>2677</v>
      </c>
      <c r="J316" s="4" t="s">
        <v>2678</v>
      </c>
      <c r="K316" s="4" t="s">
        <v>2684</v>
      </c>
      <c r="L316" s="4" t="s">
        <v>2685</v>
      </c>
      <c r="M316" s="4" t="s">
        <v>46</v>
      </c>
      <c r="N316" s="4"/>
      <c r="O316" s="4" t="s">
        <v>47</v>
      </c>
      <c r="P316" s="4" t="s">
        <v>60</v>
      </c>
      <c r="Q316" s="4">
        <v>0</v>
      </c>
      <c r="R316" s="4" t="b">
        <v>0</v>
      </c>
      <c r="S316" s="4" t="s">
        <v>114</v>
      </c>
      <c r="T316" s="4" t="s">
        <v>2686</v>
      </c>
      <c r="U316" s="4" t="s">
        <v>148</v>
      </c>
      <c r="V316" s="4" t="s">
        <v>52</v>
      </c>
      <c r="W316" s="4" t="s">
        <v>374</v>
      </c>
      <c r="X316" s="4" t="s">
        <v>98</v>
      </c>
      <c r="Y316" s="4"/>
      <c r="Z316" s="12">
        <v>0</v>
      </c>
      <c r="AA316" s="13" t="s">
        <v>9171</v>
      </c>
      <c r="AB316" s="13" t="s">
        <v>9147</v>
      </c>
      <c r="AC316" s="14" t="s">
        <v>9157</v>
      </c>
      <c r="AD316" s="14" t="s">
        <v>9140</v>
      </c>
      <c r="AE316" s="14" t="s">
        <v>9140</v>
      </c>
      <c r="AF316" s="14" t="s">
        <v>52</v>
      </c>
      <c r="AG316" s="14" t="s">
        <v>98</v>
      </c>
      <c r="AH316" s="15" t="s">
        <v>9194</v>
      </c>
      <c r="AI316" s="15" t="s">
        <v>9175</v>
      </c>
      <c r="AJ316" s="15" t="s">
        <v>9143</v>
      </c>
      <c r="AK316" s="15" t="s">
        <v>9194</v>
      </c>
      <c r="AL316" s="15" t="s">
        <v>9195</v>
      </c>
      <c r="AM316" s="16" t="s">
        <v>9194</v>
      </c>
      <c r="AN316" s="16" t="s">
        <v>9196</v>
      </c>
    </row>
    <row r="317" spans="1:40" x14ac:dyDescent="0.25">
      <c r="A317" s="4" t="s">
        <v>6280</v>
      </c>
      <c r="B317" s="4"/>
      <c r="C317" s="4" t="s">
        <v>39</v>
      </c>
      <c r="D317" s="4" t="s">
        <v>6281</v>
      </c>
      <c r="E317" s="4" t="s">
        <v>6282</v>
      </c>
      <c r="F317" s="10">
        <v>45687</v>
      </c>
      <c r="G317" s="11">
        <v>0.2951388888888889</v>
      </c>
      <c r="H317" s="4" t="s">
        <v>4019</v>
      </c>
      <c r="I317" s="4" t="s">
        <v>6277</v>
      </c>
      <c r="J317" s="4" t="s">
        <v>988</v>
      </c>
      <c r="K317" s="4" t="s">
        <v>6283</v>
      </c>
      <c r="L317" s="4" t="s">
        <v>6284</v>
      </c>
      <c r="M317" s="4" t="s">
        <v>46</v>
      </c>
      <c r="N317" s="4"/>
      <c r="O317" s="4" t="s">
        <v>47</v>
      </c>
      <c r="P317" s="4" t="s">
        <v>48</v>
      </c>
      <c r="Q317" s="4">
        <v>0</v>
      </c>
      <c r="R317" s="4" t="b">
        <v>0</v>
      </c>
      <c r="S317" s="4" t="s">
        <v>61</v>
      </c>
      <c r="T317" s="4" t="s">
        <v>50</v>
      </c>
      <c r="U317" s="4" t="s">
        <v>90</v>
      </c>
      <c r="V317" s="4" t="s">
        <v>72</v>
      </c>
      <c r="W317" s="4" t="s">
        <v>73</v>
      </c>
      <c r="X317" s="4" t="s">
        <v>978</v>
      </c>
      <c r="Y317" s="4"/>
      <c r="Z317" s="12">
        <v>0</v>
      </c>
      <c r="AA317" s="13" t="s">
        <v>9171</v>
      </c>
      <c r="AB317" s="13" t="s">
        <v>9147</v>
      </c>
      <c r="AC317" s="14" t="s">
        <v>9148</v>
      </c>
      <c r="AD317" s="14" t="s">
        <v>9140</v>
      </c>
      <c r="AE317" s="14" t="s">
        <v>9140</v>
      </c>
      <c r="AF317" s="14" t="s">
        <v>72</v>
      </c>
      <c r="AG317" s="14" t="s">
        <v>978</v>
      </c>
      <c r="AH317" s="15" t="s">
        <v>9220</v>
      </c>
      <c r="AI317" s="15" t="s">
        <v>9175</v>
      </c>
      <c r="AJ317" s="15" t="s">
        <v>9143</v>
      </c>
      <c r="AK317" s="15" t="s">
        <v>9221</v>
      </c>
      <c r="AL317" s="15" t="s">
        <v>9222</v>
      </c>
      <c r="AM317" s="16" t="s">
        <v>9221</v>
      </c>
      <c r="AN317" s="16" t="s">
        <v>9223</v>
      </c>
    </row>
    <row r="318" spans="1:40" x14ac:dyDescent="0.25">
      <c r="A318" s="4" t="s">
        <v>8863</v>
      </c>
      <c r="B318" s="4"/>
      <c r="C318" s="4" t="s">
        <v>39</v>
      </c>
      <c r="D318" s="4" t="s">
        <v>8864</v>
      </c>
      <c r="E318" s="4" t="s">
        <v>8865</v>
      </c>
      <c r="F318" s="10">
        <v>45687</v>
      </c>
      <c r="G318" s="11">
        <v>0.5625</v>
      </c>
      <c r="H318" s="4" t="s">
        <v>4019</v>
      </c>
      <c r="I318" s="4" t="s">
        <v>8854</v>
      </c>
      <c r="J318" s="4" t="s">
        <v>8855</v>
      </c>
      <c r="K318" s="4" t="s">
        <v>8866</v>
      </c>
      <c r="L318" s="4" t="s">
        <v>8867</v>
      </c>
      <c r="M318" s="4" t="s">
        <v>46</v>
      </c>
      <c r="N318" s="4"/>
      <c r="O318" s="4" t="s">
        <v>47</v>
      </c>
      <c r="P318" s="4" t="s">
        <v>48</v>
      </c>
      <c r="Q318" s="4">
        <v>0</v>
      </c>
      <c r="R318" s="4" t="b">
        <v>0</v>
      </c>
      <c r="S318" s="4" t="s">
        <v>49</v>
      </c>
      <c r="T318" s="4" t="s">
        <v>89</v>
      </c>
      <c r="U318" s="4" t="s">
        <v>140</v>
      </c>
      <c r="V318" s="4" t="s">
        <v>52</v>
      </c>
      <c r="W318" s="4" t="s">
        <v>135</v>
      </c>
      <c r="X318" s="4" t="s">
        <v>54</v>
      </c>
      <c r="Y318" s="4"/>
      <c r="Z318" s="12">
        <v>0</v>
      </c>
      <c r="AA318" s="13" t="s">
        <v>9171</v>
      </c>
      <c r="AB318" s="13" t="s">
        <v>9147</v>
      </c>
      <c r="AC318" s="14" t="s">
        <v>9139</v>
      </c>
      <c r="AD318" s="14" t="s">
        <v>9140</v>
      </c>
      <c r="AE318" s="14" t="s">
        <v>9140</v>
      </c>
      <c r="AF318" s="14" t="s">
        <v>52</v>
      </c>
      <c r="AG318" s="14" t="s">
        <v>54</v>
      </c>
      <c r="AH318" s="15" t="s">
        <v>9220</v>
      </c>
      <c r="AI318" s="15" t="s">
        <v>9175</v>
      </c>
      <c r="AJ318" s="15" t="s">
        <v>9183</v>
      </c>
      <c r="AK318" s="15" t="s">
        <v>9239</v>
      </c>
      <c r="AL318" s="15" t="s">
        <v>9240</v>
      </c>
      <c r="AM318" s="16" t="s">
        <v>9186</v>
      </c>
      <c r="AN318" s="16" t="s">
        <v>9186</v>
      </c>
    </row>
    <row r="319" spans="1:40" x14ac:dyDescent="0.25">
      <c r="A319" s="4" t="s">
        <v>5304</v>
      </c>
      <c r="B319" s="4"/>
      <c r="C319" s="4" t="s">
        <v>39</v>
      </c>
      <c r="D319" s="4" t="s">
        <v>5280</v>
      </c>
      <c r="E319" s="4" t="s">
        <v>5281</v>
      </c>
      <c r="F319" s="10">
        <v>45687</v>
      </c>
      <c r="G319" s="11">
        <v>0.77430555555555558</v>
      </c>
      <c r="H319" s="4" t="s">
        <v>4516</v>
      </c>
      <c r="I319" s="4" t="s">
        <v>5275</v>
      </c>
      <c r="J319" s="4" t="s">
        <v>5276</v>
      </c>
      <c r="K319" s="4" t="s">
        <v>5305</v>
      </c>
      <c r="L319" s="4" t="s">
        <v>5306</v>
      </c>
      <c r="M319" s="4" t="s">
        <v>46</v>
      </c>
      <c r="N319" s="4"/>
      <c r="O319" s="4" t="s">
        <v>47</v>
      </c>
      <c r="P319" s="4" t="s">
        <v>48</v>
      </c>
      <c r="Q319" s="4">
        <v>0</v>
      </c>
      <c r="R319" s="4" t="b">
        <v>0</v>
      </c>
      <c r="S319" s="4" t="s">
        <v>49</v>
      </c>
      <c r="T319" s="4" t="s">
        <v>583</v>
      </c>
      <c r="U319" s="4" t="s">
        <v>107</v>
      </c>
      <c r="V319" s="4" t="s">
        <v>63</v>
      </c>
      <c r="W319" s="4" t="s">
        <v>108</v>
      </c>
      <c r="X319" s="4" t="s">
        <v>54</v>
      </c>
      <c r="Y319" s="4"/>
      <c r="Z319" s="12">
        <v>0</v>
      </c>
      <c r="AA319" s="13" t="s">
        <v>9171</v>
      </c>
      <c r="AB319" s="13" t="s">
        <v>9147</v>
      </c>
      <c r="AC319" s="14" t="s">
        <v>9139</v>
      </c>
      <c r="AD319" s="14" t="s">
        <v>9140</v>
      </c>
      <c r="AE319" s="14" t="s">
        <v>9140</v>
      </c>
      <c r="AF319" s="14" t="s">
        <v>63</v>
      </c>
      <c r="AG319" s="14" t="s">
        <v>54</v>
      </c>
      <c r="AH319" s="15" t="s">
        <v>9220</v>
      </c>
      <c r="AI319" s="15" t="s">
        <v>9188</v>
      </c>
      <c r="AJ319" s="15" t="s">
        <v>9143</v>
      </c>
      <c r="AK319" s="15" t="s">
        <v>9221</v>
      </c>
      <c r="AL319" s="15" t="s">
        <v>9230</v>
      </c>
      <c r="AM319" s="16" t="s">
        <v>9221</v>
      </c>
      <c r="AN319" s="16" t="s">
        <v>9231</v>
      </c>
    </row>
    <row r="320" spans="1:40" x14ac:dyDescent="0.25">
      <c r="A320" s="4" t="s">
        <v>5252</v>
      </c>
      <c r="B320" s="4">
        <v>7642259</v>
      </c>
      <c r="C320" s="4" t="s">
        <v>39</v>
      </c>
      <c r="D320" s="4" t="s">
        <v>5253</v>
      </c>
      <c r="E320" s="4" t="s">
        <v>5254</v>
      </c>
      <c r="F320" s="10">
        <v>45686</v>
      </c>
      <c r="G320" s="11">
        <v>0.58333333333333337</v>
      </c>
      <c r="H320" s="4" t="s">
        <v>4516</v>
      </c>
      <c r="I320" s="4" t="s">
        <v>5255</v>
      </c>
      <c r="J320" s="4" t="s">
        <v>3865</v>
      </c>
      <c r="K320" s="4" t="s">
        <v>140</v>
      </c>
      <c r="L320" s="4" t="s">
        <v>5256</v>
      </c>
      <c r="M320" s="4" t="s">
        <v>28</v>
      </c>
      <c r="N320" s="4" t="s">
        <v>183</v>
      </c>
      <c r="O320" s="4" t="s">
        <v>344</v>
      </c>
      <c r="P320" s="4" t="s">
        <v>60</v>
      </c>
      <c r="Q320" s="4">
        <v>133</v>
      </c>
      <c r="R320" s="4" t="b">
        <v>0</v>
      </c>
      <c r="S320" s="4" t="s">
        <v>184</v>
      </c>
      <c r="T320" s="4" t="s">
        <v>583</v>
      </c>
      <c r="U320" s="4" t="s">
        <v>140</v>
      </c>
      <c r="V320" s="4" t="s">
        <v>123</v>
      </c>
      <c r="W320" s="4" t="s">
        <v>192</v>
      </c>
      <c r="X320" s="4" t="s">
        <v>54</v>
      </c>
      <c r="Y320" s="4" t="s">
        <v>302</v>
      </c>
      <c r="Z320" s="12" t="s">
        <v>60</v>
      </c>
      <c r="AA320" s="13" t="s">
        <v>9171</v>
      </c>
      <c r="AB320" s="13" t="s">
        <v>9147</v>
      </c>
      <c r="AC320" s="14" t="s">
        <v>9166</v>
      </c>
      <c r="AD320" s="14" t="s">
        <v>28</v>
      </c>
      <c r="AE320" s="14" t="s">
        <v>183</v>
      </c>
      <c r="AF320" s="14" t="s">
        <v>123</v>
      </c>
      <c r="AG320" s="14" t="s">
        <v>54</v>
      </c>
      <c r="AH320" s="15" t="s">
        <v>9220</v>
      </c>
      <c r="AI320" s="15" t="s">
        <v>9188</v>
      </c>
      <c r="AJ320" s="15" t="s">
        <v>9143</v>
      </c>
      <c r="AK320" s="15" t="s">
        <v>9221</v>
      </c>
      <c r="AL320" s="15" t="s">
        <v>9232</v>
      </c>
      <c r="AM320" s="16" t="s">
        <v>9221</v>
      </c>
      <c r="AN320" s="16" t="s">
        <v>9233</v>
      </c>
    </row>
    <row r="321" spans="1:40" x14ac:dyDescent="0.25">
      <c r="A321" s="4" t="s">
        <v>5778</v>
      </c>
      <c r="B321" s="4">
        <v>7664683</v>
      </c>
      <c r="C321" s="4" t="s">
        <v>39</v>
      </c>
      <c r="D321" s="4" t="s">
        <v>5779</v>
      </c>
      <c r="E321" s="4" t="s">
        <v>5780</v>
      </c>
      <c r="F321" s="10">
        <v>45686</v>
      </c>
      <c r="G321" s="11">
        <v>0.41666666666666669</v>
      </c>
      <c r="H321" s="4" t="s">
        <v>4516</v>
      </c>
      <c r="I321" s="4" t="s">
        <v>5776</v>
      </c>
      <c r="J321" s="4" t="s">
        <v>1412</v>
      </c>
      <c r="K321" s="4" t="s">
        <v>5781</v>
      </c>
      <c r="L321" s="4" t="s">
        <v>5782</v>
      </c>
      <c r="M321" s="4" t="s">
        <v>28</v>
      </c>
      <c r="N321" s="4" t="s">
        <v>478</v>
      </c>
      <c r="O321" s="4" t="s">
        <v>47</v>
      </c>
      <c r="P321" s="4" t="s">
        <v>48</v>
      </c>
      <c r="Q321" s="4">
        <v>0</v>
      </c>
      <c r="R321" s="4" t="b">
        <v>0</v>
      </c>
      <c r="S321" s="4" t="s">
        <v>61</v>
      </c>
      <c r="T321" s="4" t="s">
        <v>115</v>
      </c>
      <c r="U321" s="4" t="s">
        <v>1918</v>
      </c>
      <c r="V321" s="4" t="s">
        <v>52</v>
      </c>
      <c r="W321" s="4" t="s">
        <v>53</v>
      </c>
      <c r="X321" s="4" t="s">
        <v>54</v>
      </c>
      <c r="Y321" s="4" t="s">
        <v>302</v>
      </c>
      <c r="Z321" s="12" t="s">
        <v>48</v>
      </c>
      <c r="AA321" s="13" t="s">
        <v>9171</v>
      </c>
      <c r="AB321" s="13" t="s">
        <v>9147</v>
      </c>
      <c r="AC321" s="14" t="s">
        <v>9148</v>
      </c>
      <c r="AD321" s="14" t="s">
        <v>28</v>
      </c>
      <c r="AE321" s="14" t="s">
        <v>478</v>
      </c>
      <c r="AF321" s="14" t="s">
        <v>52</v>
      </c>
      <c r="AG321" s="14" t="s">
        <v>54</v>
      </c>
      <c r="AH321" s="15" t="s">
        <v>9220</v>
      </c>
      <c r="AI321" s="15" t="s">
        <v>9188</v>
      </c>
      <c r="AJ321" s="15" t="s">
        <v>9143</v>
      </c>
      <c r="AK321" s="15" t="s">
        <v>9221</v>
      </c>
      <c r="AL321" s="15" t="s">
        <v>9232</v>
      </c>
      <c r="AM321" s="16" t="s">
        <v>9221</v>
      </c>
      <c r="AN321" s="16" t="s">
        <v>9233</v>
      </c>
    </row>
    <row r="322" spans="1:40" x14ac:dyDescent="0.25">
      <c r="A322" s="4" t="s">
        <v>7194</v>
      </c>
      <c r="B322" s="4"/>
      <c r="C322" s="4" t="s">
        <v>39</v>
      </c>
      <c r="D322" s="4" t="s">
        <v>7195</v>
      </c>
      <c r="E322" s="4" t="s">
        <v>7196</v>
      </c>
      <c r="F322" s="10">
        <v>45686</v>
      </c>
      <c r="G322" s="11">
        <v>0.38124999999999998</v>
      </c>
      <c r="H322" s="4" t="s">
        <v>4516</v>
      </c>
      <c r="I322" s="4" t="s">
        <v>7180</v>
      </c>
      <c r="J322" s="4" t="s">
        <v>7181</v>
      </c>
      <c r="K322" s="4" t="s">
        <v>7197</v>
      </c>
      <c r="L322" s="4" t="s">
        <v>7198</v>
      </c>
      <c r="M322" s="4" t="s">
        <v>46</v>
      </c>
      <c r="N322" s="4"/>
      <c r="O322" s="4" t="s">
        <v>47</v>
      </c>
      <c r="P322" s="4" t="s">
        <v>48</v>
      </c>
      <c r="Q322" s="4">
        <v>0</v>
      </c>
      <c r="R322" s="4" t="b">
        <v>0</v>
      </c>
      <c r="S322" s="4" t="s">
        <v>49</v>
      </c>
      <c r="T322" s="4" t="s">
        <v>70</v>
      </c>
      <c r="U322" s="4" t="s">
        <v>71</v>
      </c>
      <c r="V322" s="4" t="s">
        <v>72</v>
      </c>
      <c r="W322" s="4" t="s">
        <v>97</v>
      </c>
      <c r="X322" s="4" t="s">
        <v>54</v>
      </c>
      <c r="Y322" s="4" t="s">
        <v>211</v>
      </c>
      <c r="Z322" s="12">
        <v>0</v>
      </c>
      <c r="AA322" s="13" t="s">
        <v>9171</v>
      </c>
      <c r="AB322" s="13" t="s">
        <v>9147</v>
      </c>
      <c r="AC322" s="14" t="s">
        <v>9139</v>
      </c>
      <c r="AD322" s="14" t="s">
        <v>9140</v>
      </c>
      <c r="AE322" s="14" t="s">
        <v>9140</v>
      </c>
      <c r="AF322" s="14" t="s">
        <v>72</v>
      </c>
      <c r="AG322" s="14" t="s">
        <v>54</v>
      </c>
      <c r="AH322" s="15" t="s">
        <v>9220</v>
      </c>
      <c r="AI322" s="15" t="s">
        <v>9188</v>
      </c>
      <c r="AJ322" s="15" t="s">
        <v>9143</v>
      </c>
      <c r="AK322" s="15" t="s">
        <v>9221</v>
      </c>
      <c r="AL322" s="15" t="s">
        <v>9230</v>
      </c>
      <c r="AM322" s="16" t="s">
        <v>9221</v>
      </c>
      <c r="AN322" s="16" t="s">
        <v>9231</v>
      </c>
    </row>
    <row r="323" spans="1:40" x14ac:dyDescent="0.25">
      <c r="A323" s="4" t="s">
        <v>8423</v>
      </c>
      <c r="B323" s="4"/>
      <c r="C323" s="4" t="s">
        <v>39</v>
      </c>
      <c r="D323" s="4" t="s">
        <v>8424</v>
      </c>
      <c r="E323" s="4" t="s">
        <v>8425</v>
      </c>
      <c r="F323" s="10">
        <v>45686</v>
      </c>
      <c r="G323" s="11">
        <v>0.55902777777777779</v>
      </c>
      <c r="H323" s="4" t="s">
        <v>4516</v>
      </c>
      <c r="I323" s="4" t="s">
        <v>8419</v>
      </c>
      <c r="J323" s="4" t="s">
        <v>8420</v>
      </c>
      <c r="K323" s="4" t="s">
        <v>8426</v>
      </c>
      <c r="L323" s="4" t="s">
        <v>8427</v>
      </c>
      <c r="M323" s="4" t="s">
        <v>46</v>
      </c>
      <c r="N323" s="4"/>
      <c r="O323" s="4" t="s">
        <v>47</v>
      </c>
      <c r="P323" s="4" t="s">
        <v>48</v>
      </c>
      <c r="Q323" s="4">
        <v>0</v>
      </c>
      <c r="R323" s="4" t="b">
        <v>0</v>
      </c>
      <c r="S323" s="4" t="s">
        <v>49</v>
      </c>
      <c r="T323" s="4" t="s">
        <v>50</v>
      </c>
      <c r="U323" s="4" t="s">
        <v>90</v>
      </c>
      <c r="V323" s="4" t="s">
        <v>63</v>
      </c>
      <c r="W323" s="4" t="s">
        <v>198</v>
      </c>
      <c r="X323" s="4" t="s">
        <v>54</v>
      </c>
      <c r="Y323" s="4"/>
      <c r="Z323" s="12">
        <v>0</v>
      </c>
      <c r="AA323" s="13" t="s">
        <v>9171</v>
      </c>
      <c r="AB323" s="13" t="s">
        <v>9147</v>
      </c>
      <c r="AC323" s="14" t="s">
        <v>9139</v>
      </c>
      <c r="AD323" s="14" t="s">
        <v>9140</v>
      </c>
      <c r="AE323" s="14" t="s">
        <v>9140</v>
      </c>
      <c r="AF323" s="14" t="s">
        <v>63</v>
      </c>
      <c r="AG323" s="14" t="s">
        <v>54</v>
      </c>
      <c r="AH323" s="15" t="s">
        <v>9220</v>
      </c>
      <c r="AI323" s="15" t="s">
        <v>9188</v>
      </c>
      <c r="AJ323" s="15" t="s">
        <v>9143</v>
      </c>
      <c r="AK323" s="15" t="s">
        <v>9221</v>
      </c>
      <c r="AL323" s="15" t="s">
        <v>9232</v>
      </c>
      <c r="AM323" s="16" t="s">
        <v>9221</v>
      </c>
      <c r="AN323" s="16" t="s">
        <v>9233</v>
      </c>
    </row>
    <row r="324" spans="1:40" x14ac:dyDescent="0.25">
      <c r="A324" s="4" t="s">
        <v>6634</v>
      </c>
      <c r="B324" s="4"/>
      <c r="C324" s="4" t="s">
        <v>39</v>
      </c>
      <c r="D324" s="4" t="s">
        <v>6635</v>
      </c>
      <c r="E324" s="4" t="s">
        <v>6636</v>
      </c>
      <c r="F324" s="10">
        <v>45685</v>
      </c>
      <c r="G324" s="11">
        <v>0.34375</v>
      </c>
      <c r="H324" s="4" t="s">
        <v>4516</v>
      </c>
      <c r="I324" s="4" t="s">
        <v>6637</v>
      </c>
      <c r="J324" s="4" t="s">
        <v>3564</v>
      </c>
      <c r="K324" s="4" t="s">
        <v>6638</v>
      </c>
      <c r="L324" s="4" t="s">
        <v>6639</v>
      </c>
      <c r="M324" s="4" t="s">
        <v>46</v>
      </c>
      <c r="N324" s="4"/>
      <c r="O324" s="4" t="s">
        <v>47</v>
      </c>
      <c r="P324" s="4" t="s">
        <v>48</v>
      </c>
      <c r="Q324" s="4">
        <v>0</v>
      </c>
      <c r="R324" s="4" t="b">
        <v>0</v>
      </c>
      <c r="S324" s="4" t="s">
        <v>49</v>
      </c>
      <c r="T324" s="4" t="s">
        <v>583</v>
      </c>
      <c r="U324" s="4" t="s">
        <v>650</v>
      </c>
      <c r="V324" s="4" t="s">
        <v>123</v>
      </c>
      <c r="W324" s="4" t="s">
        <v>124</v>
      </c>
      <c r="X324" s="4" t="s">
        <v>54</v>
      </c>
      <c r="Y324" s="4"/>
      <c r="Z324" s="12">
        <v>0</v>
      </c>
      <c r="AA324" s="13" t="s">
        <v>9171</v>
      </c>
      <c r="AB324" s="13" t="s">
        <v>9147</v>
      </c>
      <c r="AC324" s="14" t="s">
        <v>9139</v>
      </c>
      <c r="AD324" s="14" t="s">
        <v>9140</v>
      </c>
      <c r="AE324" s="14" t="s">
        <v>9140</v>
      </c>
      <c r="AF324" s="14" t="s">
        <v>123</v>
      </c>
      <c r="AG324" s="14" t="s">
        <v>54</v>
      </c>
      <c r="AH324" s="15" t="s">
        <v>9220</v>
      </c>
      <c r="AI324" s="15" t="s">
        <v>9188</v>
      </c>
      <c r="AJ324" s="15" t="s">
        <v>9143</v>
      </c>
      <c r="AK324" s="15" t="s">
        <v>9221</v>
      </c>
      <c r="AL324" s="15" t="s">
        <v>9236</v>
      </c>
      <c r="AM324" s="16" t="s">
        <v>9221</v>
      </c>
      <c r="AN324" s="16" t="s">
        <v>9237</v>
      </c>
    </row>
    <row r="325" spans="1:40" x14ac:dyDescent="0.25">
      <c r="A325" s="4" t="s">
        <v>219</v>
      </c>
      <c r="B325" s="4"/>
      <c r="C325" s="4" t="s">
        <v>39</v>
      </c>
      <c r="D325" s="4" t="s">
        <v>220</v>
      </c>
      <c r="E325" s="4" t="s">
        <v>221</v>
      </c>
      <c r="F325" s="10">
        <v>45685</v>
      </c>
      <c r="G325" s="11">
        <v>0.4375</v>
      </c>
      <c r="H325" s="4" t="s">
        <v>42</v>
      </c>
      <c r="I325" s="4">
        <v>1011</v>
      </c>
      <c r="J325" s="4" t="s">
        <v>215</v>
      </c>
      <c r="K325" s="4" t="s">
        <v>222</v>
      </c>
      <c r="L325" s="4" t="s">
        <v>223</v>
      </c>
      <c r="M325" s="4" t="s">
        <v>46</v>
      </c>
      <c r="N325" s="4"/>
      <c r="O325" s="4" t="s">
        <v>47</v>
      </c>
      <c r="P325" s="4" t="s">
        <v>48</v>
      </c>
      <c r="Q325" s="4">
        <v>0</v>
      </c>
      <c r="R325" s="4" t="b">
        <v>0</v>
      </c>
      <c r="S325" s="4" t="s">
        <v>49</v>
      </c>
      <c r="T325" s="4" t="s">
        <v>134</v>
      </c>
      <c r="U325" s="4" t="s">
        <v>224</v>
      </c>
      <c r="V325" s="4" t="s">
        <v>225</v>
      </c>
      <c r="W325" s="4" t="s">
        <v>226</v>
      </c>
      <c r="X325" s="4" t="s">
        <v>136</v>
      </c>
      <c r="Y325" s="4"/>
      <c r="Z325" s="12">
        <v>0</v>
      </c>
      <c r="AA325" s="13" t="s">
        <v>9171</v>
      </c>
      <c r="AB325" s="13" t="s">
        <v>9147</v>
      </c>
      <c r="AC325" s="14" t="s">
        <v>9139</v>
      </c>
      <c r="AD325" s="14" t="s">
        <v>9140</v>
      </c>
      <c r="AE325" s="14" t="s">
        <v>9140</v>
      </c>
      <c r="AF325" s="14" t="s">
        <v>225</v>
      </c>
      <c r="AG325" s="14" t="s">
        <v>136</v>
      </c>
      <c r="AH325" s="15" t="s">
        <v>9141</v>
      </c>
      <c r="AI325" s="15" t="s">
        <v>9142</v>
      </c>
      <c r="AJ325" s="15" t="s">
        <v>9143</v>
      </c>
      <c r="AK325" s="15" t="s">
        <v>9141</v>
      </c>
      <c r="AL325" s="15" t="s">
        <v>9144</v>
      </c>
      <c r="AM325" s="16" t="s">
        <v>9141</v>
      </c>
      <c r="AN325" s="16" t="s">
        <v>9145</v>
      </c>
    </row>
    <row r="326" spans="1:40" x14ac:dyDescent="0.25">
      <c r="A326" s="4" t="s">
        <v>7199</v>
      </c>
      <c r="B326" s="4"/>
      <c r="C326" s="4" t="s">
        <v>39</v>
      </c>
      <c r="D326" s="4" t="s">
        <v>7190</v>
      </c>
      <c r="E326" s="4" t="s">
        <v>7191</v>
      </c>
      <c r="F326" s="10">
        <v>45684</v>
      </c>
      <c r="G326" s="11">
        <v>0.41666666666666669</v>
      </c>
      <c r="H326" s="4" t="s">
        <v>4516</v>
      </c>
      <c r="I326" s="4" t="s">
        <v>7180</v>
      </c>
      <c r="J326" s="4" t="s">
        <v>7181</v>
      </c>
      <c r="K326" s="4" t="s">
        <v>7200</v>
      </c>
      <c r="L326" s="4" t="s">
        <v>7201</v>
      </c>
      <c r="M326" s="4" t="s">
        <v>46</v>
      </c>
      <c r="N326" s="4"/>
      <c r="O326" s="4" t="s">
        <v>47</v>
      </c>
      <c r="P326" s="4" t="s">
        <v>48</v>
      </c>
      <c r="Q326" s="4">
        <v>0</v>
      </c>
      <c r="R326" s="4" t="b">
        <v>0</v>
      </c>
      <c r="S326" s="4" t="s">
        <v>49</v>
      </c>
      <c r="T326" s="4" t="s">
        <v>50</v>
      </c>
      <c r="U326" s="4" t="s">
        <v>71</v>
      </c>
      <c r="V326" s="4" t="s">
        <v>63</v>
      </c>
      <c r="W326" s="4" t="s">
        <v>312</v>
      </c>
      <c r="X326" s="4" t="s">
        <v>54</v>
      </c>
      <c r="Y326" s="4"/>
      <c r="Z326" s="12">
        <v>0</v>
      </c>
      <c r="AA326" s="13" t="s">
        <v>9171</v>
      </c>
      <c r="AB326" s="13" t="s">
        <v>9147</v>
      </c>
      <c r="AC326" s="14" t="s">
        <v>9139</v>
      </c>
      <c r="AD326" s="14" t="s">
        <v>9140</v>
      </c>
      <c r="AE326" s="14" t="s">
        <v>9140</v>
      </c>
      <c r="AF326" s="14" t="s">
        <v>63</v>
      </c>
      <c r="AG326" s="14" t="s">
        <v>54</v>
      </c>
      <c r="AH326" s="15" t="s">
        <v>9220</v>
      </c>
      <c r="AI326" s="15" t="s">
        <v>9188</v>
      </c>
      <c r="AJ326" s="15" t="s">
        <v>9143</v>
      </c>
      <c r="AK326" s="15" t="s">
        <v>9221</v>
      </c>
      <c r="AL326" s="15" t="s">
        <v>9230</v>
      </c>
      <c r="AM326" s="16" t="s">
        <v>9221</v>
      </c>
      <c r="AN326" s="16" t="s">
        <v>9231</v>
      </c>
    </row>
    <row r="327" spans="1:40" x14ac:dyDescent="0.25">
      <c r="A327" s="4" t="s">
        <v>7465</v>
      </c>
      <c r="B327" s="4"/>
      <c r="C327" s="4" t="s">
        <v>39</v>
      </c>
      <c r="D327" s="4" t="s">
        <v>7461</v>
      </c>
      <c r="E327" s="4" t="s">
        <v>7462</v>
      </c>
      <c r="F327" s="10">
        <v>45684</v>
      </c>
      <c r="G327" s="11">
        <v>0.5625</v>
      </c>
      <c r="H327" s="4" t="s">
        <v>4910</v>
      </c>
      <c r="I327" s="4" t="s">
        <v>7457</v>
      </c>
      <c r="J327" s="4" t="s">
        <v>2378</v>
      </c>
      <c r="K327" s="4" t="s">
        <v>836</v>
      </c>
      <c r="L327" s="4" t="s">
        <v>7466</v>
      </c>
      <c r="M327" s="4" t="s">
        <v>46</v>
      </c>
      <c r="N327" s="4"/>
      <c r="O327" s="4" t="s">
        <v>47</v>
      </c>
      <c r="P327" s="4" t="s">
        <v>48</v>
      </c>
      <c r="Q327" s="4">
        <v>0</v>
      </c>
      <c r="R327" s="4" t="b">
        <v>0</v>
      </c>
      <c r="S327" s="4" t="s">
        <v>61</v>
      </c>
      <c r="T327" s="4" t="s">
        <v>583</v>
      </c>
      <c r="U327" s="4" t="s">
        <v>373</v>
      </c>
      <c r="V327" s="4" t="s">
        <v>52</v>
      </c>
      <c r="W327" s="4" t="s">
        <v>53</v>
      </c>
      <c r="X327" s="4" t="s">
        <v>54</v>
      </c>
      <c r="Y327" s="4"/>
      <c r="Z327" s="12">
        <v>0</v>
      </c>
      <c r="AA327" s="13" t="s">
        <v>9171</v>
      </c>
      <c r="AB327" s="13" t="s">
        <v>9147</v>
      </c>
      <c r="AC327" s="14" t="s">
        <v>9148</v>
      </c>
      <c r="AD327" s="14" t="s">
        <v>9140</v>
      </c>
      <c r="AE327" s="14" t="s">
        <v>9140</v>
      </c>
      <c r="AF327" s="14" t="s">
        <v>52</v>
      </c>
      <c r="AG327" s="14" t="s">
        <v>54</v>
      </c>
      <c r="AH327" s="15" t="s">
        <v>9220</v>
      </c>
      <c r="AI327" s="15" t="s">
        <v>9191</v>
      </c>
      <c r="AJ327" s="15" t="s">
        <v>9143</v>
      </c>
      <c r="AK327" s="15" t="s">
        <v>9221</v>
      </c>
      <c r="AL327" s="15" t="s">
        <v>9226</v>
      </c>
      <c r="AM327" s="16" t="s">
        <v>9221</v>
      </c>
      <c r="AN327" s="16" t="s">
        <v>9227</v>
      </c>
    </row>
    <row r="328" spans="1:40" x14ac:dyDescent="0.25">
      <c r="A328" s="4" t="s">
        <v>5227</v>
      </c>
      <c r="B328" s="4"/>
      <c r="C328" s="4" t="s">
        <v>39</v>
      </c>
      <c r="D328" s="4" t="s">
        <v>5228</v>
      </c>
      <c r="E328" s="4" t="s">
        <v>5229</v>
      </c>
      <c r="F328" s="10">
        <v>45681</v>
      </c>
      <c r="G328" s="11">
        <v>0.39444444444444443</v>
      </c>
      <c r="H328" s="4" t="s">
        <v>4516</v>
      </c>
      <c r="I328" s="4" t="s">
        <v>5215</v>
      </c>
      <c r="J328" s="4" t="s">
        <v>5216</v>
      </c>
      <c r="K328" s="4" t="s">
        <v>5230</v>
      </c>
      <c r="L328" s="4" t="s">
        <v>5231</v>
      </c>
      <c r="M328" s="4" t="s">
        <v>46</v>
      </c>
      <c r="N328" s="4"/>
      <c r="O328" s="4" t="s">
        <v>47</v>
      </c>
      <c r="P328" s="4" t="s">
        <v>48</v>
      </c>
      <c r="Q328" s="4">
        <v>0</v>
      </c>
      <c r="R328" s="4" t="b">
        <v>0</v>
      </c>
      <c r="S328" s="4" t="s">
        <v>49</v>
      </c>
      <c r="T328" s="4" t="s">
        <v>70</v>
      </c>
      <c r="U328" s="4" t="s">
        <v>71</v>
      </c>
      <c r="V328" s="4" t="s">
        <v>63</v>
      </c>
      <c r="W328" s="4" t="s">
        <v>198</v>
      </c>
      <c r="X328" s="4" t="s">
        <v>54</v>
      </c>
      <c r="Y328" s="4"/>
      <c r="Z328" s="12">
        <v>0</v>
      </c>
      <c r="AA328" s="13" t="s">
        <v>9180</v>
      </c>
      <c r="AB328" s="13" t="s">
        <v>9147</v>
      </c>
      <c r="AC328" s="14" t="s">
        <v>9139</v>
      </c>
      <c r="AD328" s="14" t="s">
        <v>9140</v>
      </c>
      <c r="AE328" s="14" t="s">
        <v>9140</v>
      </c>
      <c r="AF328" s="14" t="s">
        <v>63</v>
      </c>
      <c r="AG328" s="14" t="s">
        <v>54</v>
      </c>
      <c r="AH328" s="15" t="s">
        <v>9220</v>
      </c>
      <c r="AI328" s="15" t="s">
        <v>9188</v>
      </c>
      <c r="AJ328" s="15" t="s">
        <v>9143</v>
      </c>
      <c r="AK328" s="15" t="s">
        <v>9221</v>
      </c>
      <c r="AL328" s="15" t="s">
        <v>9232</v>
      </c>
      <c r="AM328" s="16" t="s">
        <v>9221</v>
      </c>
      <c r="AN328" s="16" t="s">
        <v>9233</v>
      </c>
    </row>
    <row r="329" spans="1:40" x14ac:dyDescent="0.25">
      <c r="A329" s="4" t="s">
        <v>2910</v>
      </c>
      <c r="B329" s="4"/>
      <c r="C329" s="4" t="s">
        <v>39</v>
      </c>
      <c r="D329" s="4" t="s">
        <v>2911</v>
      </c>
      <c r="E329" s="4" t="s">
        <v>2912</v>
      </c>
      <c r="F329" s="10">
        <v>45680</v>
      </c>
      <c r="G329" s="11">
        <v>0.72916666666666663</v>
      </c>
      <c r="H329" s="4" t="s">
        <v>1992</v>
      </c>
      <c r="I329" s="4" t="s">
        <v>2913</v>
      </c>
      <c r="J329" s="4" t="s">
        <v>2914</v>
      </c>
      <c r="K329" s="4" t="s">
        <v>2915</v>
      </c>
      <c r="L329" s="4" t="s">
        <v>2916</v>
      </c>
      <c r="M329" s="4" t="s">
        <v>46</v>
      </c>
      <c r="N329" s="4"/>
      <c r="O329" s="4" t="s">
        <v>47</v>
      </c>
      <c r="P329" s="4" t="s">
        <v>48</v>
      </c>
      <c r="Q329" s="4">
        <v>0</v>
      </c>
      <c r="R329" s="4" t="b">
        <v>0</v>
      </c>
      <c r="S329" s="4" t="s">
        <v>114</v>
      </c>
      <c r="T329" s="4" t="s">
        <v>70</v>
      </c>
      <c r="U329" s="4" t="s">
        <v>80</v>
      </c>
      <c r="V329" s="4" t="s">
        <v>63</v>
      </c>
      <c r="W329" s="4" t="s">
        <v>108</v>
      </c>
      <c r="X329" s="4" t="s">
        <v>54</v>
      </c>
      <c r="Y329" s="4"/>
      <c r="Z329" s="12">
        <v>0</v>
      </c>
      <c r="AA329" s="13" t="s">
        <v>9180</v>
      </c>
      <c r="AB329" s="13" t="s">
        <v>9147</v>
      </c>
      <c r="AC329" s="14" t="s">
        <v>9157</v>
      </c>
      <c r="AD329" s="14" t="s">
        <v>9140</v>
      </c>
      <c r="AE329" s="14" t="s">
        <v>9140</v>
      </c>
      <c r="AF329" s="14" t="s">
        <v>63</v>
      </c>
      <c r="AG329" s="14" t="s">
        <v>54</v>
      </c>
      <c r="AH329" s="15" t="s">
        <v>9194</v>
      </c>
      <c r="AI329" s="15" t="s">
        <v>9191</v>
      </c>
      <c r="AJ329" s="15" t="s">
        <v>9143</v>
      </c>
      <c r="AK329" s="15" t="s">
        <v>9194</v>
      </c>
      <c r="AL329" s="15" t="s">
        <v>9201</v>
      </c>
      <c r="AM329" s="16" t="s">
        <v>9194</v>
      </c>
      <c r="AN329" s="16" t="s">
        <v>9202</v>
      </c>
    </row>
    <row r="330" spans="1:40" x14ac:dyDescent="0.25">
      <c r="A330" s="4" t="s">
        <v>2268</v>
      </c>
      <c r="B330" s="4">
        <v>7631070</v>
      </c>
      <c r="C330" s="4" t="s">
        <v>39</v>
      </c>
      <c r="D330" s="4" t="s">
        <v>2269</v>
      </c>
      <c r="E330" s="4" t="s">
        <v>2270</v>
      </c>
      <c r="F330" s="10">
        <v>45680</v>
      </c>
      <c r="G330" s="11">
        <v>0.54722222222222228</v>
      </c>
      <c r="H330" s="4" t="s">
        <v>2095</v>
      </c>
      <c r="I330" s="4" t="s">
        <v>2271</v>
      </c>
      <c r="J330" s="4" t="s">
        <v>2272</v>
      </c>
      <c r="K330" s="4" t="s">
        <v>2273</v>
      </c>
      <c r="L330" s="4" t="s">
        <v>2274</v>
      </c>
      <c r="M330" s="4" t="s">
        <v>28</v>
      </c>
      <c r="N330" s="4" t="s">
        <v>478</v>
      </c>
      <c r="O330" s="4" t="s">
        <v>863</v>
      </c>
      <c r="P330" s="4" t="s">
        <v>60</v>
      </c>
      <c r="Q330" s="4">
        <v>17</v>
      </c>
      <c r="R330" s="4" t="b">
        <v>0</v>
      </c>
      <c r="S330" s="4" t="s">
        <v>114</v>
      </c>
      <c r="T330" s="4" t="s">
        <v>583</v>
      </c>
      <c r="U330" s="4" t="s">
        <v>175</v>
      </c>
      <c r="V330" s="4" t="s">
        <v>52</v>
      </c>
      <c r="W330" s="4" t="s">
        <v>53</v>
      </c>
      <c r="X330" s="4" t="s">
        <v>54</v>
      </c>
      <c r="Y330" s="4"/>
      <c r="Z330" s="12" t="s">
        <v>60</v>
      </c>
      <c r="AA330" s="13" t="s">
        <v>9180</v>
      </c>
      <c r="AB330" s="13" t="s">
        <v>9147</v>
      </c>
      <c r="AC330" s="14" t="s">
        <v>9157</v>
      </c>
      <c r="AD330" s="14" t="s">
        <v>28</v>
      </c>
      <c r="AE330" s="14" t="s">
        <v>478</v>
      </c>
      <c r="AF330" s="14" t="s">
        <v>52</v>
      </c>
      <c r="AG330" s="14" t="s">
        <v>54</v>
      </c>
      <c r="AH330" s="15" t="s">
        <v>9194</v>
      </c>
      <c r="AI330" s="15" t="s">
        <v>9188</v>
      </c>
      <c r="AJ330" s="15" t="s">
        <v>9143</v>
      </c>
      <c r="AK330" s="15" t="s">
        <v>9194</v>
      </c>
      <c r="AL330" s="15" t="s">
        <v>9203</v>
      </c>
      <c r="AM330" s="16" t="s">
        <v>9194</v>
      </c>
      <c r="AN330" s="16" t="s">
        <v>9204</v>
      </c>
    </row>
    <row r="331" spans="1:40" x14ac:dyDescent="0.25">
      <c r="A331" s="4" t="s">
        <v>7261</v>
      </c>
      <c r="B331" s="4"/>
      <c r="C331" s="4" t="s">
        <v>39</v>
      </c>
      <c r="D331" s="4" t="s">
        <v>7262</v>
      </c>
      <c r="E331" s="4" t="s">
        <v>7263</v>
      </c>
      <c r="F331" s="10">
        <v>45679</v>
      </c>
      <c r="G331" s="11">
        <v>0.42638888888888887</v>
      </c>
      <c r="H331" s="4" t="s">
        <v>5666</v>
      </c>
      <c r="I331" s="4" t="s">
        <v>7264</v>
      </c>
      <c r="J331" s="4" t="s">
        <v>7265</v>
      </c>
      <c r="K331" s="4" t="s">
        <v>7266</v>
      </c>
      <c r="L331" s="4" t="s">
        <v>7267</v>
      </c>
      <c r="M331" s="4" t="s">
        <v>46</v>
      </c>
      <c r="N331" s="4"/>
      <c r="O331" s="4" t="s">
        <v>191</v>
      </c>
      <c r="P331" s="4" t="s">
        <v>60</v>
      </c>
      <c r="Q331" s="4">
        <v>0</v>
      </c>
      <c r="R331" s="4" t="b">
        <v>0</v>
      </c>
      <c r="S331" s="4" t="s">
        <v>49</v>
      </c>
      <c r="T331" s="4" t="s">
        <v>115</v>
      </c>
      <c r="U331" s="4" t="s">
        <v>224</v>
      </c>
      <c r="V331" s="4" t="s">
        <v>52</v>
      </c>
      <c r="W331" s="4" t="s">
        <v>135</v>
      </c>
      <c r="X331" s="4" t="s">
        <v>54</v>
      </c>
      <c r="Y331" s="4"/>
      <c r="Z331" s="12">
        <v>0</v>
      </c>
      <c r="AA331" s="13" t="s">
        <v>9180</v>
      </c>
      <c r="AB331" s="13" t="s">
        <v>9147</v>
      </c>
      <c r="AC331" s="14" t="s">
        <v>9139</v>
      </c>
      <c r="AD331" s="14" t="s">
        <v>9140</v>
      </c>
      <c r="AE331" s="14" t="s">
        <v>9140</v>
      </c>
      <c r="AF331" s="14" t="s">
        <v>52</v>
      </c>
      <c r="AG331" s="14" t="s">
        <v>54</v>
      </c>
      <c r="AH331" s="15" t="s">
        <v>9220</v>
      </c>
      <c r="AI331" s="15" t="s">
        <v>9199</v>
      </c>
      <c r="AJ331" s="15" t="s">
        <v>9143</v>
      </c>
      <c r="AK331" s="15" t="s">
        <v>9221</v>
      </c>
      <c r="AL331" s="15" t="s">
        <v>9199</v>
      </c>
      <c r="AM331" s="16" t="s">
        <v>9221</v>
      </c>
      <c r="AN331" s="16" t="s">
        <v>9238</v>
      </c>
    </row>
    <row r="332" spans="1:40" x14ac:dyDescent="0.25">
      <c r="A332" s="4" t="s">
        <v>2839</v>
      </c>
      <c r="B332" s="4"/>
      <c r="C332" s="4" t="s">
        <v>39</v>
      </c>
      <c r="D332" s="4" t="s">
        <v>2840</v>
      </c>
      <c r="E332" s="4" t="s">
        <v>2841</v>
      </c>
      <c r="F332" s="10">
        <v>45679</v>
      </c>
      <c r="G332" s="11">
        <v>0.68055555555555558</v>
      </c>
      <c r="H332" s="4" t="s">
        <v>1939</v>
      </c>
      <c r="I332" s="4" t="s">
        <v>2830</v>
      </c>
      <c r="J332" s="4" t="s">
        <v>2831</v>
      </c>
      <c r="K332" s="4" t="s">
        <v>2842</v>
      </c>
      <c r="L332" s="4" t="s">
        <v>2843</v>
      </c>
      <c r="M332" s="4" t="s">
        <v>46</v>
      </c>
      <c r="N332" s="4"/>
      <c r="O332" s="4" t="s">
        <v>47</v>
      </c>
      <c r="P332" s="4" t="s">
        <v>48</v>
      </c>
      <c r="Q332" s="4">
        <v>0</v>
      </c>
      <c r="R332" s="4" t="b">
        <v>0</v>
      </c>
      <c r="S332" s="4" t="s">
        <v>61</v>
      </c>
      <c r="T332" s="4" t="s">
        <v>433</v>
      </c>
      <c r="U332" s="4" t="s">
        <v>71</v>
      </c>
      <c r="V332" s="4" t="s">
        <v>72</v>
      </c>
      <c r="W332" s="4" t="s">
        <v>73</v>
      </c>
      <c r="X332" s="4" t="s">
        <v>54</v>
      </c>
      <c r="Y332" s="4"/>
      <c r="Z332" s="12">
        <v>0</v>
      </c>
      <c r="AA332" s="13" t="s">
        <v>9180</v>
      </c>
      <c r="AB332" s="13" t="s">
        <v>9147</v>
      </c>
      <c r="AC332" s="14" t="s">
        <v>9148</v>
      </c>
      <c r="AD332" s="14" t="s">
        <v>9140</v>
      </c>
      <c r="AE332" s="14" t="s">
        <v>9140</v>
      </c>
      <c r="AF332" s="14" t="s">
        <v>72</v>
      </c>
      <c r="AG332" s="14" t="s">
        <v>54</v>
      </c>
      <c r="AH332" s="15" t="s">
        <v>9194</v>
      </c>
      <c r="AI332" s="15" t="s">
        <v>9175</v>
      </c>
      <c r="AJ332" s="15" t="s">
        <v>9143</v>
      </c>
      <c r="AK332" s="15" t="s">
        <v>9194</v>
      </c>
      <c r="AL332" s="15" t="s">
        <v>9209</v>
      </c>
      <c r="AM332" s="16" t="s">
        <v>9194</v>
      </c>
      <c r="AN332" s="16" t="s">
        <v>9210</v>
      </c>
    </row>
    <row r="333" spans="1:40" x14ac:dyDescent="0.25">
      <c r="A333" s="4" t="s">
        <v>8375</v>
      </c>
      <c r="B333" s="4"/>
      <c r="C333" s="4" t="s">
        <v>39</v>
      </c>
      <c r="D333" s="4" t="s">
        <v>8376</v>
      </c>
      <c r="E333" s="4" t="s">
        <v>8377</v>
      </c>
      <c r="F333" s="10">
        <v>45679</v>
      </c>
      <c r="G333" s="11">
        <v>0.70138888888888884</v>
      </c>
      <c r="H333" s="4" t="s">
        <v>4910</v>
      </c>
      <c r="I333" s="4" t="s">
        <v>8378</v>
      </c>
      <c r="J333" s="4" t="s">
        <v>3188</v>
      </c>
      <c r="K333" s="4" t="s">
        <v>8379</v>
      </c>
      <c r="L333" s="4" t="s">
        <v>8380</v>
      </c>
      <c r="M333" s="4" t="s">
        <v>46</v>
      </c>
      <c r="N333" s="4"/>
      <c r="O333" s="4" t="s">
        <v>47</v>
      </c>
      <c r="P333" s="4" t="s">
        <v>48</v>
      </c>
      <c r="Q333" s="4">
        <v>0</v>
      </c>
      <c r="R333" s="4" t="b">
        <v>0</v>
      </c>
      <c r="S333" s="4" t="s">
        <v>61</v>
      </c>
      <c r="T333" s="4" t="s">
        <v>70</v>
      </c>
      <c r="U333" s="4" t="s">
        <v>107</v>
      </c>
      <c r="V333" s="4" t="s">
        <v>63</v>
      </c>
      <c r="W333" s="4" t="s">
        <v>198</v>
      </c>
      <c r="X333" s="4" t="s">
        <v>54</v>
      </c>
      <c r="Y333" s="4" t="s">
        <v>486</v>
      </c>
      <c r="Z333" s="12">
        <v>0</v>
      </c>
      <c r="AA333" s="13" t="s">
        <v>9180</v>
      </c>
      <c r="AB333" s="13" t="s">
        <v>9147</v>
      </c>
      <c r="AC333" s="14" t="s">
        <v>9148</v>
      </c>
      <c r="AD333" s="14" t="s">
        <v>9140</v>
      </c>
      <c r="AE333" s="14" t="s">
        <v>9140</v>
      </c>
      <c r="AF333" s="14" t="s">
        <v>63</v>
      </c>
      <c r="AG333" s="14" t="s">
        <v>54</v>
      </c>
      <c r="AH333" s="15" t="s">
        <v>9220</v>
      </c>
      <c r="AI333" s="15" t="s">
        <v>9191</v>
      </c>
      <c r="AJ333" s="15" t="s">
        <v>9143</v>
      </c>
      <c r="AK333" s="15" t="s">
        <v>9221</v>
      </c>
      <c r="AL333" s="15" t="s">
        <v>9226</v>
      </c>
      <c r="AM333" s="16" t="s">
        <v>9221</v>
      </c>
      <c r="AN333" s="16" t="s">
        <v>9227</v>
      </c>
    </row>
    <row r="334" spans="1:40" x14ac:dyDescent="0.25">
      <c r="A334" s="4" t="s">
        <v>7797</v>
      </c>
      <c r="B334" s="4"/>
      <c r="C334" s="4" t="s">
        <v>39</v>
      </c>
      <c r="D334" s="4" t="s">
        <v>7798</v>
      </c>
      <c r="E334" s="4" t="s">
        <v>7799</v>
      </c>
      <c r="F334" s="10">
        <v>45678</v>
      </c>
      <c r="G334" s="11">
        <v>0.64583333333333337</v>
      </c>
      <c r="H334" s="4" t="s">
        <v>5666</v>
      </c>
      <c r="I334" s="4" t="s">
        <v>7793</v>
      </c>
      <c r="J334" s="4" t="s">
        <v>7794</v>
      </c>
      <c r="K334" s="4" t="s">
        <v>7800</v>
      </c>
      <c r="L334" s="4" t="s">
        <v>7801</v>
      </c>
      <c r="M334" s="4" t="s">
        <v>46</v>
      </c>
      <c r="N334" s="4"/>
      <c r="O334" s="4" t="s">
        <v>47</v>
      </c>
      <c r="P334" s="4" t="s">
        <v>48</v>
      </c>
      <c r="Q334" s="4">
        <v>0</v>
      </c>
      <c r="R334" s="4" t="b">
        <v>0</v>
      </c>
      <c r="S334" s="4" t="s">
        <v>61</v>
      </c>
      <c r="T334" s="4" t="s">
        <v>50</v>
      </c>
      <c r="U334" s="4" t="s">
        <v>71</v>
      </c>
      <c r="V334" s="4" t="s">
        <v>63</v>
      </c>
      <c r="W334" s="4" t="s">
        <v>312</v>
      </c>
      <c r="X334" s="4" t="s">
        <v>774</v>
      </c>
      <c r="Y334" s="4" t="s">
        <v>486</v>
      </c>
      <c r="Z334" s="12">
        <v>0</v>
      </c>
      <c r="AA334" s="13" t="s">
        <v>9180</v>
      </c>
      <c r="AB334" s="13" t="s">
        <v>9147</v>
      </c>
      <c r="AC334" s="14" t="s">
        <v>9148</v>
      </c>
      <c r="AD334" s="14" t="s">
        <v>9140</v>
      </c>
      <c r="AE334" s="14" t="s">
        <v>9140</v>
      </c>
      <c r="AF334" s="14" t="s">
        <v>63</v>
      </c>
      <c r="AG334" s="14" t="s">
        <v>774</v>
      </c>
      <c r="AH334" s="15" t="s">
        <v>9220</v>
      </c>
      <c r="AI334" s="15" t="s">
        <v>9199</v>
      </c>
      <c r="AJ334" s="15" t="s">
        <v>9143</v>
      </c>
      <c r="AK334" s="15" t="s">
        <v>9221</v>
      </c>
      <c r="AL334" s="15" t="s">
        <v>9199</v>
      </c>
      <c r="AM334" s="16" t="s">
        <v>9221</v>
      </c>
      <c r="AN334" s="16" t="s">
        <v>9238</v>
      </c>
    </row>
    <row r="335" spans="1:40" x14ac:dyDescent="0.25">
      <c r="A335" s="4" t="s">
        <v>3946</v>
      </c>
      <c r="B335" s="4"/>
      <c r="C335" s="4" t="s">
        <v>39</v>
      </c>
      <c r="D335" s="4" t="s">
        <v>3947</v>
      </c>
      <c r="E335" s="4" t="s">
        <v>3948</v>
      </c>
      <c r="F335" s="10">
        <v>45678</v>
      </c>
      <c r="G335" s="11">
        <v>0.50347222222222221</v>
      </c>
      <c r="H335" s="4" t="s">
        <v>2095</v>
      </c>
      <c r="I335" s="4" t="s">
        <v>3949</v>
      </c>
      <c r="J335" s="4" t="s">
        <v>1412</v>
      </c>
      <c r="K335" s="4" t="s">
        <v>3950</v>
      </c>
      <c r="L335" s="4" t="s">
        <v>3951</v>
      </c>
      <c r="M335" s="4" t="s">
        <v>46</v>
      </c>
      <c r="N335" s="4"/>
      <c r="O335" s="4" t="s">
        <v>47</v>
      </c>
      <c r="P335" s="4" t="s">
        <v>48</v>
      </c>
      <c r="Q335" s="4">
        <v>0</v>
      </c>
      <c r="R335" s="4" t="b">
        <v>0</v>
      </c>
      <c r="S335" s="4" t="s">
        <v>49</v>
      </c>
      <c r="T335" s="4" t="s">
        <v>433</v>
      </c>
      <c r="U335" s="4" t="s">
        <v>1081</v>
      </c>
      <c r="V335" s="4" t="s">
        <v>63</v>
      </c>
      <c r="W335" s="4" t="s">
        <v>3952</v>
      </c>
      <c r="X335" s="4" t="s">
        <v>2372</v>
      </c>
      <c r="Y335" s="4"/>
      <c r="Z335" s="12">
        <v>0</v>
      </c>
      <c r="AA335" s="13" t="s">
        <v>9180</v>
      </c>
      <c r="AB335" s="13" t="s">
        <v>9147</v>
      </c>
      <c r="AC335" s="14" t="s">
        <v>9139</v>
      </c>
      <c r="AD335" s="14" t="s">
        <v>9140</v>
      </c>
      <c r="AE335" s="14" t="s">
        <v>9140</v>
      </c>
      <c r="AF335" s="14" t="s">
        <v>63</v>
      </c>
      <c r="AG335" s="14" t="s">
        <v>2372</v>
      </c>
      <c r="AH335" s="15" t="s">
        <v>9194</v>
      </c>
      <c r="AI335" s="15" t="s">
        <v>9188</v>
      </c>
      <c r="AJ335" s="15" t="s">
        <v>9143</v>
      </c>
      <c r="AK335" s="15" t="s">
        <v>9194</v>
      </c>
      <c r="AL335" s="15" t="s">
        <v>9211</v>
      </c>
      <c r="AM335" s="16" t="s">
        <v>9194</v>
      </c>
      <c r="AN335" s="16" t="s">
        <v>9212</v>
      </c>
    </row>
    <row r="336" spans="1:40" x14ac:dyDescent="0.25">
      <c r="A336" s="4" t="s">
        <v>5674</v>
      </c>
      <c r="B336" s="4"/>
      <c r="C336" s="4" t="s">
        <v>39</v>
      </c>
      <c r="D336" s="4" t="s">
        <v>5675</v>
      </c>
      <c r="E336" s="4" t="s">
        <v>5676</v>
      </c>
      <c r="F336" s="10">
        <v>45676</v>
      </c>
      <c r="G336" s="11">
        <v>0.65277777777777779</v>
      </c>
      <c r="H336" s="4" t="s">
        <v>5666</v>
      </c>
      <c r="I336" s="4" t="s">
        <v>5667</v>
      </c>
      <c r="J336" s="4" t="s">
        <v>2192</v>
      </c>
      <c r="K336" s="4" t="s">
        <v>5677</v>
      </c>
      <c r="L336" s="4" t="s">
        <v>5678</v>
      </c>
      <c r="M336" s="4" t="s">
        <v>46</v>
      </c>
      <c r="N336" s="4"/>
      <c r="O336" s="4" t="s">
        <v>47</v>
      </c>
      <c r="P336" s="4" t="s">
        <v>48</v>
      </c>
      <c r="Q336" s="4">
        <v>0</v>
      </c>
      <c r="R336" s="4" t="b">
        <v>0</v>
      </c>
      <c r="S336" s="4" t="s">
        <v>49</v>
      </c>
      <c r="T336" s="4" t="s">
        <v>583</v>
      </c>
      <c r="U336" s="4" t="s">
        <v>175</v>
      </c>
      <c r="V336" s="4" t="s">
        <v>52</v>
      </c>
      <c r="W336" s="4" t="s">
        <v>255</v>
      </c>
      <c r="X336" s="4" t="s">
        <v>471</v>
      </c>
      <c r="Y336" s="4"/>
      <c r="Z336" s="12">
        <v>0</v>
      </c>
      <c r="AA336" s="13" t="s">
        <v>9180</v>
      </c>
      <c r="AB336" s="13" t="s">
        <v>9147</v>
      </c>
      <c r="AC336" s="14" t="s">
        <v>9139</v>
      </c>
      <c r="AD336" s="14" t="s">
        <v>9140</v>
      </c>
      <c r="AE336" s="14" t="s">
        <v>9140</v>
      </c>
      <c r="AF336" s="14" t="s">
        <v>52</v>
      </c>
      <c r="AG336" s="14" t="s">
        <v>471</v>
      </c>
      <c r="AH336" s="15" t="s">
        <v>9220</v>
      </c>
      <c r="AI336" s="15" t="s">
        <v>9199</v>
      </c>
      <c r="AJ336" s="15" t="s">
        <v>9143</v>
      </c>
      <c r="AK336" s="15" t="s">
        <v>9221</v>
      </c>
      <c r="AL336" s="15" t="s">
        <v>9199</v>
      </c>
      <c r="AM336" s="16" t="s">
        <v>9221</v>
      </c>
      <c r="AN336" s="16" t="s">
        <v>9238</v>
      </c>
    </row>
    <row r="337" spans="1:40" x14ac:dyDescent="0.25">
      <c r="A337" s="4" t="s">
        <v>4599</v>
      </c>
      <c r="B337" s="4"/>
      <c r="C337" s="4" t="s">
        <v>39</v>
      </c>
      <c r="D337" s="4" t="s">
        <v>4600</v>
      </c>
      <c r="E337" s="4" t="s">
        <v>4601</v>
      </c>
      <c r="F337" s="10">
        <v>45675</v>
      </c>
      <c r="G337" s="11">
        <v>0.50694444444444442</v>
      </c>
      <c r="H337" s="4" t="s">
        <v>4516</v>
      </c>
      <c r="I337" s="4" t="s">
        <v>4586</v>
      </c>
      <c r="J337" s="4" t="s">
        <v>2630</v>
      </c>
      <c r="K337" s="4" t="s">
        <v>321</v>
      </c>
      <c r="L337" s="4" t="s">
        <v>4602</v>
      </c>
      <c r="M337" s="4" t="s">
        <v>46</v>
      </c>
      <c r="N337" s="4"/>
      <c r="O337" s="4" t="s">
        <v>47</v>
      </c>
      <c r="P337" s="4" t="s">
        <v>48</v>
      </c>
      <c r="Q337" s="4">
        <v>0</v>
      </c>
      <c r="R337" s="4" t="b">
        <v>0</v>
      </c>
      <c r="S337" s="4" t="s">
        <v>61</v>
      </c>
      <c r="T337" s="4" t="s">
        <v>115</v>
      </c>
      <c r="U337" s="4" t="s">
        <v>148</v>
      </c>
      <c r="V337" s="4" t="s">
        <v>52</v>
      </c>
      <c r="W337" s="4" t="s">
        <v>53</v>
      </c>
      <c r="X337" s="4" t="s">
        <v>54</v>
      </c>
      <c r="Y337" s="4"/>
      <c r="Z337" s="12">
        <v>0</v>
      </c>
      <c r="AA337" s="13" t="s">
        <v>9180</v>
      </c>
      <c r="AB337" s="13" t="s">
        <v>9147</v>
      </c>
      <c r="AC337" s="14" t="s">
        <v>9148</v>
      </c>
      <c r="AD337" s="14" t="s">
        <v>9140</v>
      </c>
      <c r="AE337" s="14" t="s">
        <v>9140</v>
      </c>
      <c r="AF337" s="14" t="s">
        <v>52</v>
      </c>
      <c r="AG337" s="14" t="s">
        <v>54</v>
      </c>
      <c r="AH337" s="15" t="s">
        <v>9220</v>
      </c>
      <c r="AI337" s="15" t="s">
        <v>9188</v>
      </c>
      <c r="AJ337" s="15" t="s">
        <v>9143</v>
      </c>
      <c r="AK337" s="15" t="s">
        <v>9221</v>
      </c>
      <c r="AL337" s="15" t="s">
        <v>9232</v>
      </c>
      <c r="AM337" s="16" t="s">
        <v>9221</v>
      </c>
      <c r="AN337" s="16" t="s">
        <v>9233</v>
      </c>
    </row>
    <row r="338" spans="1:40" x14ac:dyDescent="0.25">
      <c r="A338" s="4" t="s">
        <v>6616</v>
      </c>
      <c r="B338" s="4"/>
      <c r="C338" s="4" t="s">
        <v>39</v>
      </c>
      <c r="D338" s="4" t="s">
        <v>6617</v>
      </c>
      <c r="E338" s="4" t="s">
        <v>6618</v>
      </c>
      <c r="F338" s="10">
        <v>45675</v>
      </c>
      <c r="G338" s="11">
        <v>0.3125</v>
      </c>
      <c r="H338" s="4" t="s">
        <v>4516</v>
      </c>
      <c r="I338" s="4" t="s">
        <v>6599</v>
      </c>
      <c r="J338" s="4" t="s">
        <v>6600</v>
      </c>
      <c r="K338" s="4" t="s">
        <v>6619</v>
      </c>
      <c r="L338" s="4" t="s">
        <v>6620</v>
      </c>
      <c r="M338" s="4" t="s">
        <v>46</v>
      </c>
      <c r="N338" s="4"/>
      <c r="O338" s="4" t="s">
        <v>47</v>
      </c>
      <c r="P338" s="4" t="s">
        <v>48</v>
      </c>
      <c r="Q338" s="4">
        <v>0</v>
      </c>
      <c r="R338" s="4" t="b">
        <v>0</v>
      </c>
      <c r="S338" s="4" t="s">
        <v>61</v>
      </c>
      <c r="T338" s="4" t="s">
        <v>583</v>
      </c>
      <c r="U338" s="4" t="s">
        <v>140</v>
      </c>
      <c r="V338" s="4" t="s">
        <v>123</v>
      </c>
      <c r="W338" s="4" t="s">
        <v>124</v>
      </c>
      <c r="X338" s="4" t="s">
        <v>54</v>
      </c>
      <c r="Y338" s="4"/>
      <c r="Z338" s="12">
        <v>0</v>
      </c>
      <c r="AA338" s="13" t="s">
        <v>9180</v>
      </c>
      <c r="AB338" s="13" t="s">
        <v>9147</v>
      </c>
      <c r="AC338" s="14" t="s">
        <v>9148</v>
      </c>
      <c r="AD338" s="14" t="s">
        <v>9140</v>
      </c>
      <c r="AE338" s="14" t="s">
        <v>9140</v>
      </c>
      <c r="AF338" s="14" t="s">
        <v>123</v>
      </c>
      <c r="AG338" s="14" t="s">
        <v>54</v>
      </c>
      <c r="AH338" s="15" t="s">
        <v>9220</v>
      </c>
      <c r="AI338" s="15" t="s">
        <v>9188</v>
      </c>
      <c r="AJ338" s="15" t="s">
        <v>9143</v>
      </c>
      <c r="AK338" s="15" t="s">
        <v>9221</v>
      </c>
      <c r="AL338" s="15" t="s">
        <v>9232</v>
      </c>
      <c r="AM338" s="16" t="s">
        <v>9221</v>
      </c>
      <c r="AN338" s="16" t="s">
        <v>9233</v>
      </c>
    </row>
    <row r="339" spans="1:40" x14ac:dyDescent="0.25">
      <c r="A339" s="4" t="s">
        <v>8231</v>
      </c>
      <c r="B339" s="4"/>
      <c r="C339" s="4" t="s">
        <v>39</v>
      </c>
      <c r="D339" s="4" t="s">
        <v>8232</v>
      </c>
      <c r="E339" s="4" t="s">
        <v>8233</v>
      </c>
      <c r="F339" s="10">
        <v>45674</v>
      </c>
      <c r="G339" s="11">
        <v>0.5</v>
      </c>
      <c r="H339" s="4" t="s">
        <v>4910</v>
      </c>
      <c r="I339" s="4" t="s">
        <v>8223</v>
      </c>
      <c r="J339" s="4" t="s">
        <v>1844</v>
      </c>
      <c r="K339" s="4" t="s">
        <v>8224</v>
      </c>
      <c r="L339" s="4" t="s">
        <v>8234</v>
      </c>
      <c r="M339" s="4" t="s">
        <v>46</v>
      </c>
      <c r="N339" s="4"/>
      <c r="O339" s="4" t="s">
        <v>47</v>
      </c>
      <c r="P339" s="4" t="s">
        <v>48</v>
      </c>
      <c r="Q339" s="4">
        <v>0</v>
      </c>
      <c r="R339" s="4" t="b">
        <v>0</v>
      </c>
      <c r="S339" s="4" t="s">
        <v>61</v>
      </c>
      <c r="T339" s="4" t="s">
        <v>583</v>
      </c>
      <c r="U339" s="4" t="s">
        <v>618</v>
      </c>
      <c r="V339" s="4" t="s">
        <v>63</v>
      </c>
      <c r="W339" s="4" t="s">
        <v>312</v>
      </c>
      <c r="X339" s="4" t="s">
        <v>54</v>
      </c>
      <c r="Y339" s="4"/>
      <c r="Z339" s="12">
        <v>0</v>
      </c>
      <c r="AA339" s="13" t="s">
        <v>9180</v>
      </c>
      <c r="AB339" s="13" t="s">
        <v>9147</v>
      </c>
      <c r="AC339" s="14" t="s">
        <v>9148</v>
      </c>
      <c r="AD339" s="14" t="s">
        <v>9140</v>
      </c>
      <c r="AE339" s="14" t="s">
        <v>9140</v>
      </c>
      <c r="AF339" s="14" t="s">
        <v>63</v>
      </c>
      <c r="AG339" s="14" t="s">
        <v>54</v>
      </c>
      <c r="AH339" s="15" t="s">
        <v>9220</v>
      </c>
      <c r="AI339" s="15" t="s">
        <v>9191</v>
      </c>
      <c r="AJ339" s="15" t="s">
        <v>9143</v>
      </c>
      <c r="AK339" s="15" t="s">
        <v>9221</v>
      </c>
      <c r="AL339" s="15" t="s">
        <v>9226</v>
      </c>
      <c r="AM339" s="16" t="s">
        <v>9221</v>
      </c>
      <c r="AN339" s="16" t="s">
        <v>9227</v>
      </c>
    </row>
    <row r="340" spans="1:40" x14ac:dyDescent="0.25">
      <c r="A340" s="4" t="s">
        <v>4197</v>
      </c>
      <c r="B340" s="4"/>
      <c r="C340" s="4" t="s">
        <v>39</v>
      </c>
      <c r="D340" s="4" t="s">
        <v>4198</v>
      </c>
      <c r="E340" s="4" t="s">
        <v>4199</v>
      </c>
      <c r="F340" s="10">
        <v>45674</v>
      </c>
      <c r="G340" s="11">
        <v>0.85416666666666663</v>
      </c>
      <c r="H340" s="4" t="s">
        <v>4019</v>
      </c>
      <c r="I340" s="4" t="s">
        <v>4193</v>
      </c>
      <c r="J340" s="4" t="s">
        <v>4194</v>
      </c>
      <c r="K340" s="4" t="s">
        <v>4200</v>
      </c>
      <c r="L340" s="4" t="s">
        <v>4201</v>
      </c>
      <c r="M340" s="4" t="s">
        <v>46</v>
      </c>
      <c r="N340" s="4"/>
      <c r="O340" s="4" t="s">
        <v>47</v>
      </c>
      <c r="P340" s="4" t="s">
        <v>48</v>
      </c>
      <c r="Q340" s="4">
        <v>0</v>
      </c>
      <c r="R340" s="4" t="b">
        <v>0</v>
      </c>
      <c r="S340" s="4" t="s">
        <v>61</v>
      </c>
      <c r="T340" s="4" t="s">
        <v>50</v>
      </c>
      <c r="U340" s="4" t="s">
        <v>107</v>
      </c>
      <c r="V340" s="4" t="s">
        <v>63</v>
      </c>
      <c r="W340" s="4" t="s">
        <v>108</v>
      </c>
      <c r="X340" s="4" t="s">
        <v>54</v>
      </c>
      <c r="Y340" s="4"/>
      <c r="Z340" s="12">
        <v>0</v>
      </c>
      <c r="AA340" s="13" t="s">
        <v>9180</v>
      </c>
      <c r="AB340" s="13" t="s">
        <v>9147</v>
      </c>
      <c r="AC340" s="14" t="s">
        <v>9148</v>
      </c>
      <c r="AD340" s="14" t="s">
        <v>9140</v>
      </c>
      <c r="AE340" s="14" t="s">
        <v>9140</v>
      </c>
      <c r="AF340" s="14" t="s">
        <v>63</v>
      </c>
      <c r="AG340" s="14" t="s">
        <v>54</v>
      </c>
      <c r="AH340" s="15" t="s">
        <v>9220</v>
      </c>
      <c r="AI340" s="15" t="s">
        <v>9175</v>
      </c>
      <c r="AJ340" s="15" t="s">
        <v>9143</v>
      </c>
      <c r="AK340" s="15" t="s">
        <v>9221</v>
      </c>
      <c r="AL340" s="15" t="s">
        <v>9224</v>
      </c>
      <c r="AM340" s="16" t="s">
        <v>9221</v>
      </c>
      <c r="AN340" s="16" t="s">
        <v>9225</v>
      </c>
    </row>
    <row r="341" spans="1:40" x14ac:dyDescent="0.25">
      <c r="A341" s="4" t="s">
        <v>1997</v>
      </c>
      <c r="B341" s="4" t="s">
        <v>1998</v>
      </c>
      <c r="C341" s="4" t="s">
        <v>39</v>
      </c>
      <c r="D341" s="4" t="s">
        <v>1999</v>
      </c>
      <c r="E341" s="4" t="s">
        <v>2000</v>
      </c>
      <c r="F341" s="10">
        <v>45674</v>
      </c>
      <c r="G341" s="11">
        <v>0.62638888888888888</v>
      </c>
      <c r="H341" s="4" t="s">
        <v>1992</v>
      </c>
      <c r="I341" s="4" t="s">
        <v>1993</v>
      </c>
      <c r="J341" s="4" t="s">
        <v>1994</v>
      </c>
      <c r="K341" s="4" t="s">
        <v>2001</v>
      </c>
      <c r="L341" s="4" t="s">
        <v>2002</v>
      </c>
      <c r="M341" s="4" t="s">
        <v>28</v>
      </c>
      <c r="N341" s="4" t="s">
        <v>183</v>
      </c>
      <c r="O341" s="4" t="s">
        <v>191</v>
      </c>
      <c r="P341" s="4" t="s">
        <v>48</v>
      </c>
      <c r="Q341" s="4">
        <v>0</v>
      </c>
      <c r="R341" s="4" t="b">
        <v>0</v>
      </c>
      <c r="S341" s="4" t="s">
        <v>114</v>
      </c>
      <c r="T341" s="4" t="s">
        <v>115</v>
      </c>
      <c r="U341" s="4" t="s">
        <v>148</v>
      </c>
      <c r="V341" s="4" t="s">
        <v>52</v>
      </c>
      <c r="W341" s="4" t="s">
        <v>53</v>
      </c>
      <c r="X341" s="4" t="s">
        <v>54</v>
      </c>
      <c r="Y341" s="4"/>
      <c r="Z341" s="12" t="s">
        <v>48</v>
      </c>
      <c r="AA341" s="13" t="s">
        <v>9180</v>
      </c>
      <c r="AB341" s="13" t="s">
        <v>9147</v>
      </c>
      <c r="AC341" s="14" t="s">
        <v>9157</v>
      </c>
      <c r="AD341" s="14" t="s">
        <v>28</v>
      </c>
      <c r="AE341" s="14" t="s">
        <v>183</v>
      </c>
      <c r="AF341" s="14" t="s">
        <v>52</v>
      </c>
      <c r="AG341" s="14" t="s">
        <v>54</v>
      </c>
      <c r="AH341" s="15" t="s">
        <v>9194</v>
      </c>
      <c r="AI341" s="15" t="s">
        <v>9191</v>
      </c>
      <c r="AJ341" s="15" t="s">
        <v>9143</v>
      </c>
      <c r="AK341" s="15" t="s">
        <v>9194</v>
      </c>
      <c r="AL341" s="15" t="s">
        <v>9197</v>
      </c>
      <c r="AM341" s="16" t="s">
        <v>9194</v>
      </c>
      <c r="AN341" s="16" t="s">
        <v>9198</v>
      </c>
    </row>
    <row r="342" spans="1:40" x14ac:dyDescent="0.25">
      <c r="A342" s="4" t="s">
        <v>6076</v>
      </c>
      <c r="B342" s="4" t="s">
        <v>6077</v>
      </c>
      <c r="C342" s="4" t="s">
        <v>39</v>
      </c>
      <c r="D342" s="4" t="s">
        <v>6078</v>
      </c>
      <c r="E342" s="4" t="s">
        <v>6079</v>
      </c>
      <c r="F342" s="10">
        <v>45673</v>
      </c>
      <c r="G342" s="11">
        <v>0.4284722222222222</v>
      </c>
      <c r="H342" s="4" t="s">
        <v>5666</v>
      </c>
      <c r="I342" s="4" t="s">
        <v>6073</v>
      </c>
      <c r="J342" s="4" t="s">
        <v>3608</v>
      </c>
      <c r="K342" s="4" t="s">
        <v>6080</v>
      </c>
      <c r="L342" s="4" t="s">
        <v>6081</v>
      </c>
      <c r="M342" s="4" t="s">
        <v>28</v>
      </c>
      <c r="N342" s="4" t="s">
        <v>183</v>
      </c>
      <c r="O342" s="4" t="s">
        <v>191</v>
      </c>
      <c r="P342" s="4" t="s">
        <v>60</v>
      </c>
      <c r="Q342" s="4">
        <v>53</v>
      </c>
      <c r="R342" s="4" t="b">
        <v>0</v>
      </c>
      <c r="S342" s="4" t="s">
        <v>184</v>
      </c>
      <c r="T342" s="4" t="s">
        <v>50</v>
      </c>
      <c r="U342" s="4" t="s">
        <v>71</v>
      </c>
      <c r="V342" s="4" t="s">
        <v>63</v>
      </c>
      <c r="W342" s="4" t="s">
        <v>312</v>
      </c>
      <c r="X342" s="4" t="s">
        <v>98</v>
      </c>
      <c r="Y342" s="4" t="s">
        <v>486</v>
      </c>
      <c r="Z342" s="12" t="s">
        <v>60</v>
      </c>
      <c r="AA342" s="13" t="s">
        <v>9180</v>
      </c>
      <c r="AB342" s="13" t="s">
        <v>9147</v>
      </c>
      <c r="AC342" s="14" t="s">
        <v>9166</v>
      </c>
      <c r="AD342" s="14" t="s">
        <v>28</v>
      </c>
      <c r="AE342" s="14" t="s">
        <v>183</v>
      </c>
      <c r="AF342" s="14" t="s">
        <v>63</v>
      </c>
      <c r="AG342" s="14" t="s">
        <v>98</v>
      </c>
      <c r="AH342" s="15" t="s">
        <v>9220</v>
      </c>
      <c r="AI342" s="15" t="s">
        <v>9199</v>
      </c>
      <c r="AJ342" s="15" t="s">
        <v>9143</v>
      </c>
      <c r="AK342" s="15" t="s">
        <v>9221</v>
      </c>
      <c r="AL342" s="15" t="s">
        <v>9199</v>
      </c>
      <c r="AM342" s="16" t="s">
        <v>9221</v>
      </c>
      <c r="AN342" s="16" t="s">
        <v>9238</v>
      </c>
    </row>
    <row r="343" spans="1:40" x14ac:dyDescent="0.25">
      <c r="A343" s="4" t="s">
        <v>1209</v>
      </c>
      <c r="B343" s="4"/>
      <c r="C343" s="4" t="s">
        <v>39</v>
      </c>
      <c r="D343" s="4" t="s">
        <v>1198</v>
      </c>
      <c r="E343" s="4" t="s">
        <v>1199</v>
      </c>
      <c r="F343" s="10">
        <v>45673</v>
      </c>
      <c r="G343" s="11">
        <v>0.4201388888888889</v>
      </c>
      <c r="H343" s="4" t="s">
        <v>1155</v>
      </c>
      <c r="I343" s="4">
        <v>4043</v>
      </c>
      <c r="J343" s="4" t="s">
        <v>1200</v>
      </c>
      <c r="K343" s="4" t="s">
        <v>1210</v>
      </c>
      <c r="L343" s="4" t="s">
        <v>1211</v>
      </c>
      <c r="M343" s="4" t="s">
        <v>46</v>
      </c>
      <c r="N343" s="4"/>
      <c r="O343" s="4" t="s">
        <v>47</v>
      </c>
      <c r="P343" s="4" t="s">
        <v>48</v>
      </c>
      <c r="Q343" s="4">
        <v>0</v>
      </c>
      <c r="R343" s="4" t="b">
        <v>0</v>
      </c>
      <c r="S343" s="4" t="s">
        <v>49</v>
      </c>
      <c r="T343" s="4" t="s">
        <v>50</v>
      </c>
      <c r="U343" s="4" t="s">
        <v>71</v>
      </c>
      <c r="V343" s="4" t="s">
        <v>63</v>
      </c>
      <c r="W343" s="4" t="s">
        <v>312</v>
      </c>
      <c r="X343" s="4" t="s">
        <v>54</v>
      </c>
      <c r="Y343" s="4" t="s">
        <v>323</v>
      </c>
      <c r="Z343" s="12">
        <v>0</v>
      </c>
      <c r="AA343" s="13" t="s">
        <v>9180</v>
      </c>
      <c r="AB343" s="13" t="s">
        <v>9147</v>
      </c>
      <c r="AC343" s="14" t="s">
        <v>9139</v>
      </c>
      <c r="AD343" s="14" t="s">
        <v>9140</v>
      </c>
      <c r="AE343" s="14" t="s">
        <v>9140</v>
      </c>
      <c r="AF343" s="14" t="s">
        <v>63</v>
      </c>
      <c r="AG343" s="14" t="s">
        <v>54</v>
      </c>
      <c r="AH343" s="15" t="s">
        <v>9141</v>
      </c>
      <c r="AI343" s="15" t="s">
        <v>9187</v>
      </c>
      <c r="AJ343" s="15" t="s">
        <v>9143</v>
      </c>
      <c r="AK343" s="15" t="s">
        <v>9141</v>
      </c>
      <c r="AL343" s="15" t="s">
        <v>9144</v>
      </c>
      <c r="AM343" s="16" t="s">
        <v>9141</v>
      </c>
      <c r="AN343" s="16" t="s">
        <v>9145</v>
      </c>
    </row>
    <row r="344" spans="1:40" x14ac:dyDescent="0.25">
      <c r="A344" s="4" t="s">
        <v>510</v>
      </c>
      <c r="B344" s="4"/>
      <c r="C344" s="4" t="s">
        <v>39</v>
      </c>
      <c r="D344" s="4" t="s">
        <v>511</v>
      </c>
      <c r="E344" s="4" t="s">
        <v>512</v>
      </c>
      <c r="F344" s="10">
        <v>45673</v>
      </c>
      <c r="G344" s="11">
        <v>0.49305555555555558</v>
      </c>
      <c r="H344" s="4" t="s">
        <v>463</v>
      </c>
      <c r="I344" s="4">
        <v>2019</v>
      </c>
      <c r="J344" s="4" t="s">
        <v>513</v>
      </c>
      <c r="K344" s="4" t="s">
        <v>514</v>
      </c>
      <c r="L344" s="4" t="s">
        <v>515</v>
      </c>
      <c r="M344" s="4" t="s">
        <v>46</v>
      </c>
      <c r="N344" s="4"/>
      <c r="O344" s="4" t="s">
        <v>47</v>
      </c>
      <c r="P344" s="4" t="s">
        <v>48</v>
      </c>
      <c r="Q344" s="4">
        <v>0</v>
      </c>
      <c r="R344" s="4" t="b">
        <v>0</v>
      </c>
      <c r="S344" s="4" t="s">
        <v>114</v>
      </c>
      <c r="T344" s="4" t="s">
        <v>89</v>
      </c>
      <c r="U344" s="4" t="s">
        <v>148</v>
      </c>
      <c r="V344" s="4" t="s">
        <v>52</v>
      </c>
      <c r="W344" s="4" t="s">
        <v>53</v>
      </c>
      <c r="X344" s="4" t="s">
        <v>54</v>
      </c>
      <c r="Y344" s="4"/>
      <c r="Z344" s="12">
        <v>0</v>
      </c>
      <c r="AA344" s="13" t="s">
        <v>9180</v>
      </c>
      <c r="AB344" s="13" t="s">
        <v>9147</v>
      </c>
      <c r="AC344" s="14" t="s">
        <v>9157</v>
      </c>
      <c r="AD344" s="14" t="s">
        <v>9140</v>
      </c>
      <c r="AE344" s="14" t="s">
        <v>9140</v>
      </c>
      <c r="AF344" s="14" t="s">
        <v>52</v>
      </c>
      <c r="AG344" s="14" t="s">
        <v>54</v>
      </c>
      <c r="AH344" s="15" t="s">
        <v>9141</v>
      </c>
      <c r="AI344" s="15" t="s">
        <v>9175</v>
      </c>
      <c r="AJ344" s="15" t="s">
        <v>9143</v>
      </c>
      <c r="AK344" s="15" t="s">
        <v>9141</v>
      </c>
      <c r="AL344" s="15" t="s">
        <v>9177</v>
      </c>
      <c r="AM344" s="16" t="s">
        <v>9141</v>
      </c>
      <c r="AN344" s="16" t="s">
        <v>9178</v>
      </c>
    </row>
    <row r="345" spans="1:40" x14ac:dyDescent="0.25">
      <c r="A345" s="4" t="s">
        <v>8868</v>
      </c>
      <c r="B345" s="4"/>
      <c r="C345" s="4" t="s">
        <v>39</v>
      </c>
      <c r="D345" s="4" t="s">
        <v>8869</v>
      </c>
      <c r="E345" s="4" t="s">
        <v>8870</v>
      </c>
      <c r="F345" s="10">
        <v>45673</v>
      </c>
      <c r="G345" s="11">
        <v>0.58333333333333337</v>
      </c>
      <c r="H345" s="4" t="s">
        <v>4019</v>
      </c>
      <c r="I345" s="4" t="s">
        <v>8854</v>
      </c>
      <c r="J345" s="4" t="s">
        <v>8855</v>
      </c>
      <c r="K345" s="4" t="s">
        <v>181</v>
      </c>
      <c r="L345" s="4" t="s">
        <v>8871</v>
      </c>
      <c r="M345" s="4" t="s">
        <v>46</v>
      </c>
      <c r="N345" s="4"/>
      <c r="O345" s="4" t="s">
        <v>47</v>
      </c>
      <c r="P345" s="4" t="s">
        <v>60</v>
      </c>
      <c r="Q345" s="4">
        <v>0</v>
      </c>
      <c r="R345" s="4" t="b">
        <v>0</v>
      </c>
      <c r="S345" s="4" t="s">
        <v>114</v>
      </c>
      <c r="T345" s="4" t="s">
        <v>115</v>
      </c>
      <c r="U345" s="4" t="s">
        <v>175</v>
      </c>
      <c r="V345" s="4" t="s">
        <v>123</v>
      </c>
      <c r="W345" s="4" t="s">
        <v>124</v>
      </c>
      <c r="X345" s="4" t="s">
        <v>54</v>
      </c>
      <c r="Y345" s="4"/>
      <c r="Z345" s="12">
        <v>0</v>
      </c>
      <c r="AA345" s="13" t="s">
        <v>9180</v>
      </c>
      <c r="AB345" s="13" t="s">
        <v>9147</v>
      </c>
      <c r="AC345" s="14" t="s">
        <v>9157</v>
      </c>
      <c r="AD345" s="14" t="s">
        <v>9140</v>
      </c>
      <c r="AE345" s="14" t="s">
        <v>9140</v>
      </c>
      <c r="AF345" s="14" t="s">
        <v>123</v>
      </c>
      <c r="AG345" s="14" t="s">
        <v>54</v>
      </c>
      <c r="AH345" s="15" t="s">
        <v>9220</v>
      </c>
      <c r="AI345" s="15" t="s">
        <v>9175</v>
      </c>
      <c r="AJ345" s="15" t="s">
        <v>9183</v>
      </c>
      <c r="AK345" s="15" t="s">
        <v>9239</v>
      </c>
      <c r="AL345" s="15" t="s">
        <v>9240</v>
      </c>
      <c r="AM345" s="16" t="s">
        <v>9186</v>
      </c>
      <c r="AN345" s="16" t="s">
        <v>9186</v>
      </c>
    </row>
    <row r="346" spans="1:40" x14ac:dyDescent="0.25">
      <c r="A346" s="4" t="s">
        <v>6915</v>
      </c>
      <c r="B346" s="4"/>
      <c r="C346" s="4" t="s">
        <v>39</v>
      </c>
      <c r="D346" s="4" t="s">
        <v>6916</v>
      </c>
      <c r="E346" s="4" t="s">
        <v>6917</v>
      </c>
      <c r="F346" s="10">
        <v>45672</v>
      </c>
      <c r="G346" s="11">
        <v>0.6479166666666667</v>
      </c>
      <c r="H346" s="4" t="s">
        <v>4019</v>
      </c>
      <c r="I346" s="4" t="s">
        <v>6911</v>
      </c>
      <c r="J346" s="4" t="s">
        <v>6912</v>
      </c>
      <c r="K346" s="4" t="s">
        <v>6918</v>
      </c>
      <c r="L346" s="4" t="s">
        <v>6919</v>
      </c>
      <c r="M346" s="4" t="s">
        <v>46</v>
      </c>
      <c r="N346" s="4"/>
      <c r="O346" s="4" t="s">
        <v>47</v>
      </c>
      <c r="P346" s="4" t="s">
        <v>48</v>
      </c>
      <c r="Q346" s="4">
        <v>0</v>
      </c>
      <c r="R346" s="4" t="b">
        <v>0</v>
      </c>
      <c r="S346" s="4" t="s">
        <v>61</v>
      </c>
      <c r="T346" s="4" t="s">
        <v>89</v>
      </c>
      <c r="U346" s="4" t="s">
        <v>175</v>
      </c>
      <c r="V346" s="4" t="s">
        <v>52</v>
      </c>
      <c r="W346" s="4" t="s">
        <v>53</v>
      </c>
      <c r="X346" s="4" t="s">
        <v>98</v>
      </c>
      <c r="Y346" s="4"/>
      <c r="Z346" s="12">
        <v>0</v>
      </c>
      <c r="AA346" s="13" t="s">
        <v>9180</v>
      </c>
      <c r="AB346" s="13" t="s">
        <v>9147</v>
      </c>
      <c r="AC346" s="14" t="s">
        <v>9148</v>
      </c>
      <c r="AD346" s="14" t="s">
        <v>9140</v>
      </c>
      <c r="AE346" s="14" t="s">
        <v>9140</v>
      </c>
      <c r="AF346" s="14" t="s">
        <v>52</v>
      </c>
      <c r="AG346" s="14" t="s">
        <v>98</v>
      </c>
      <c r="AH346" s="15" t="s">
        <v>9220</v>
      </c>
      <c r="AI346" s="15" t="s">
        <v>9175</v>
      </c>
      <c r="AJ346" s="15" t="s">
        <v>9143</v>
      </c>
      <c r="AK346" s="15" t="s">
        <v>9221</v>
      </c>
      <c r="AL346" s="15" t="s">
        <v>9224</v>
      </c>
      <c r="AM346" s="16" t="s">
        <v>9221</v>
      </c>
      <c r="AN346" s="16" t="s">
        <v>9225</v>
      </c>
    </row>
    <row r="347" spans="1:40" x14ac:dyDescent="0.25">
      <c r="A347" s="4" t="s">
        <v>8235</v>
      </c>
      <c r="B347" s="4"/>
      <c r="C347" s="4" t="s">
        <v>39</v>
      </c>
      <c r="D347" s="4" t="s">
        <v>8236</v>
      </c>
      <c r="E347" s="4" t="s">
        <v>8237</v>
      </c>
      <c r="F347" s="10">
        <v>45672</v>
      </c>
      <c r="G347" s="11">
        <v>0.41666666666666669</v>
      </c>
      <c r="H347" s="4" t="s">
        <v>4910</v>
      </c>
      <c r="I347" s="4" t="s">
        <v>8223</v>
      </c>
      <c r="J347" s="4" t="s">
        <v>1844</v>
      </c>
      <c r="K347" s="4" t="s">
        <v>4985</v>
      </c>
      <c r="L347" s="4" t="s">
        <v>8238</v>
      </c>
      <c r="M347" s="4" t="s">
        <v>46</v>
      </c>
      <c r="N347" s="4"/>
      <c r="O347" s="4" t="s">
        <v>47</v>
      </c>
      <c r="P347" s="4" t="s">
        <v>48</v>
      </c>
      <c r="Q347" s="4">
        <v>0</v>
      </c>
      <c r="R347" s="4" t="b">
        <v>0</v>
      </c>
      <c r="S347" s="4" t="s">
        <v>49</v>
      </c>
      <c r="T347" s="4" t="s">
        <v>5206</v>
      </c>
      <c r="U347" s="4" t="s">
        <v>618</v>
      </c>
      <c r="V347" s="4" t="s">
        <v>63</v>
      </c>
      <c r="W347" s="4" t="s">
        <v>312</v>
      </c>
      <c r="X347" s="4" t="s">
        <v>54</v>
      </c>
      <c r="Y347" s="4"/>
      <c r="Z347" s="12">
        <v>0</v>
      </c>
      <c r="AA347" s="13" t="s">
        <v>9180</v>
      </c>
      <c r="AB347" s="13" t="s">
        <v>9147</v>
      </c>
      <c r="AC347" s="14" t="s">
        <v>9139</v>
      </c>
      <c r="AD347" s="14" t="s">
        <v>9140</v>
      </c>
      <c r="AE347" s="14" t="s">
        <v>9140</v>
      </c>
      <c r="AF347" s="14" t="s">
        <v>63</v>
      </c>
      <c r="AG347" s="14" t="s">
        <v>54</v>
      </c>
      <c r="AH347" s="15" t="s">
        <v>9220</v>
      </c>
      <c r="AI347" s="15" t="s">
        <v>9191</v>
      </c>
      <c r="AJ347" s="15" t="s">
        <v>9143</v>
      </c>
      <c r="AK347" s="15" t="s">
        <v>9221</v>
      </c>
      <c r="AL347" s="15" t="s">
        <v>9226</v>
      </c>
      <c r="AM347" s="16" t="s">
        <v>9221</v>
      </c>
      <c r="AN347" s="16" t="s">
        <v>9227</v>
      </c>
    </row>
    <row r="348" spans="1:40" x14ac:dyDescent="0.25">
      <c r="A348" s="4" t="s">
        <v>5586</v>
      </c>
      <c r="B348" s="4">
        <v>7745177</v>
      </c>
      <c r="C348" s="4" t="s">
        <v>39</v>
      </c>
      <c r="D348" s="4" t="s">
        <v>5587</v>
      </c>
      <c r="E348" s="4" t="s">
        <v>5588</v>
      </c>
      <c r="F348" s="10">
        <v>45672</v>
      </c>
      <c r="G348" s="11">
        <v>0.375</v>
      </c>
      <c r="H348" s="4" t="s">
        <v>4516</v>
      </c>
      <c r="I348" s="4" t="s">
        <v>5589</v>
      </c>
      <c r="J348" s="4" t="s">
        <v>5590</v>
      </c>
      <c r="K348" s="4" t="s">
        <v>492</v>
      </c>
      <c r="L348" s="4" t="s">
        <v>5591</v>
      </c>
      <c r="M348" s="4" t="s">
        <v>28</v>
      </c>
      <c r="N348" s="4" t="s">
        <v>478</v>
      </c>
      <c r="O348" s="4" t="s">
        <v>344</v>
      </c>
      <c r="P348" s="4" t="s">
        <v>48</v>
      </c>
      <c r="Q348" s="4">
        <v>32</v>
      </c>
      <c r="R348" s="4" t="b">
        <v>0</v>
      </c>
      <c r="S348" s="4" t="s">
        <v>114</v>
      </c>
      <c r="T348" s="4" t="s">
        <v>494</v>
      </c>
      <c r="U348" s="4" t="s">
        <v>90</v>
      </c>
      <c r="V348" s="4" t="s">
        <v>267</v>
      </c>
      <c r="W348" s="4" t="s">
        <v>495</v>
      </c>
      <c r="X348" s="4" t="s">
        <v>54</v>
      </c>
      <c r="Y348" s="4"/>
      <c r="Z348" s="12" t="s">
        <v>48</v>
      </c>
      <c r="AA348" s="13" t="s">
        <v>9180</v>
      </c>
      <c r="AB348" s="13" t="s">
        <v>9147</v>
      </c>
      <c r="AC348" s="14" t="s">
        <v>9157</v>
      </c>
      <c r="AD348" s="14" t="s">
        <v>28</v>
      </c>
      <c r="AE348" s="14" t="s">
        <v>478</v>
      </c>
      <c r="AF348" s="14" t="s">
        <v>267</v>
      </c>
      <c r="AG348" s="14" t="s">
        <v>54</v>
      </c>
      <c r="AH348" s="15" t="s">
        <v>9220</v>
      </c>
      <c r="AI348" s="15" t="s">
        <v>9188</v>
      </c>
      <c r="AJ348" s="15" t="s">
        <v>9143</v>
      </c>
      <c r="AK348" s="15" t="s">
        <v>9221</v>
      </c>
      <c r="AL348" s="15" t="s">
        <v>9236</v>
      </c>
      <c r="AM348" s="16" t="s">
        <v>9221</v>
      </c>
      <c r="AN348" s="16" t="s">
        <v>9237</v>
      </c>
    </row>
    <row r="349" spans="1:40" x14ac:dyDescent="0.25">
      <c r="A349" s="4" t="s">
        <v>3588</v>
      </c>
      <c r="B349" s="4"/>
      <c r="C349" s="4" t="s">
        <v>39</v>
      </c>
      <c r="D349" s="4" t="s">
        <v>3589</v>
      </c>
      <c r="E349" s="4" t="s">
        <v>3590</v>
      </c>
      <c r="F349" s="10">
        <v>45672</v>
      </c>
      <c r="G349" s="11">
        <v>0.5</v>
      </c>
      <c r="H349" s="4" t="s">
        <v>2168</v>
      </c>
      <c r="I349" s="4" t="s">
        <v>3591</v>
      </c>
      <c r="J349" s="4" t="s">
        <v>3592</v>
      </c>
      <c r="K349" s="4" t="s">
        <v>3593</v>
      </c>
      <c r="L349" s="4" t="s">
        <v>3594</v>
      </c>
      <c r="M349" s="4" t="s">
        <v>46</v>
      </c>
      <c r="N349" s="4"/>
      <c r="O349" s="4" t="s">
        <v>47</v>
      </c>
      <c r="P349" s="4" t="s">
        <v>48</v>
      </c>
      <c r="Q349" s="4">
        <v>0</v>
      </c>
      <c r="R349" s="4" t="b">
        <v>0</v>
      </c>
      <c r="S349" s="4" t="s">
        <v>49</v>
      </c>
      <c r="T349" s="4" t="s">
        <v>50</v>
      </c>
      <c r="U349" s="4" t="s">
        <v>140</v>
      </c>
      <c r="V349" s="4" t="s">
        <v>63</v>
      </c>
      <c r="W349" s="4" t="s">
        <v>108</v>
      </c>
      <c r="X349" s="4" t="s">
        <v>54</v>
      </c>
      <c r="Y349" s="4"/>
      <c r="Z349" s="12">
        <v>0</v>
      </c>
      <c r="AA349" s="13" t="s">
        <v>9180</v>
      </c>
      <c r="AB349" s="13" t="s">
        <v>9147</v>
      </c>
      <c r="AC349" s="14" t="s">
        <v>9139</v>
      </c>
      <c r="AD349" s="14" t="s">
        <v>9140</v>
      </c>
      <c r="AE349" s="14" t="s">
        <v>9140</v>
      </c>
      <c r="AF349" s="14" t="s">
        <v>63</v>
      </c>
      <c r="AG349" s="14" t="s">
        <v>54</v>
      </c>
      <c r="AH349" s="15" t="s">
        <v>9194</v>
      </c>
      <c r="AI349" s="15" t="s">
        <v>9142</v>
      </c>
      <c r="AJ349" s="15" t="s">
        <v>9143</v>
      </c>
      <c r="AK349" s="15" t="s">
        <v>9194</v>
      </c>
      <c r="AL349" s="15" t="s">
        <v>9207</v>
      </c>
      <c r="AM349" s="16" t="s">
        <v>9194</v>
      </c>
      <c r="AN349" s="16" t="s">
        <v>9208</v>
      </c>
    </row>
    <row r="350" spans="1:40" x14ac:dyDescent="0.25">
      <c r="A350" s="4" t="s">
        <v>3970</v>
      </c>
      <c r="B350" s="4"/>
      <c r="C350" s="4" t="s">
        <v>39</v>
      </c>
      <c r="D350" s="4" t="s">
        <v>3971</v>
      </c>
      <c r="E350" s="4" t="s">
        <v>3972</v>
      </c>
      <c r="F350" s="10">
        <v>45671</v>
      </c>
      <c r="G350" s="11">
        <v>0.38541666666666669</v>
      </c>
      <c r="H350" s="4" t="s">
        <v>2017</v>
      </c>
      <c r="I350" s="4" t="s">
        <v>3966</v>
      </c>
      <c r="J350" s="4" t="s">
        <v>3967</v>
      </c>
      <c r="K350" s="4" t="s">
        <v>3973</v>
      </c>
      <c r="L350" s="4" t="s">
        <v>3974</v>
      </c>
      <c r="M350" s="4" t="s">
        <v>46</v>
      </c>
      <c r="N350" s="4"/>
      <c r="O350" s="4" t="s">
        <v>47</v>
      </c>
      <c r="P350" s="4" t="s">
        <v>48</v>
      </c>
      <c r="Q350" s="4">
        <v>0</v>
      </c>
      <c r="R350" s="4" t="b">
        <v>0</v>
      </c>
      <c r="S350" s="4" t="s">
        <v>49</v>
      </c>
      <c r="T350" s="4" t="s">
        <v>433</v>
      </c>
      <c r="U350" s="4" t="s">
        <v>80</v>
      </c>
      <c r="V350" s="4" t="s">
        <v>225</v>
      </c>
      <c r="W350" s="4" t="s">
        <v>226</v>
      </c>
      <c r="X350" s="4" t="s">
        <v>1131</v>
      </c>
      <c r="Y350" s="4"/>
      <c r="Z350" s="12">
        <v>0</v>
      </c>
      <c r="AA350" s="13" t="s">
        <v>9180</v>
      </c>
      <c r="AB350" s="13" t="s">
        <v>9147</v>
      </c>
      <c r="AC350" s="14" t="s">
        <v>9139</v>
      </c>
      <c r="AD350" s="14" t="s">
        <v>9140</v>
      </c>
      <c r="AE350" s="14" t="s">
        <v>9140</v>
      </c>
      <c r="AF350" s="14" t="s">
        <v>225</v>
      </c>
      <c r="AG350" s="14" t="s">
        <v>1131</v>
      </c>
      <c r="AH350" s="15" t="s">
        <v>9194</v>
      </c>
      <c r="AI350" s="15" t="s">
        <v>9199</v>
      </c>
      <c r="AJ350" s="15" t="s">
        <v>9143</v>
      </c>
      <c r="AK350" s="15" t="s">
        <v>9194</v>
      </c>
      <c r="AL350" s="15" t="s">
        <v>9199</v>
      </c>
      <c r="AM350" s="16" t="s">
        <v>9194</v>
      </c>
      <c r="AN350" s="16" t="s">
        <v>9200</v>
      </c>
    </row>
    <row r="351" spans="1:40" x14ac:dyDescent="0.25">
      <c r="A351" s="4" t="s">
        <v>4307</v>
      </c>
      <c r="B351" s="4"/>
      <c r="C351" s="4" t="s">
        <v>39</v>
      </c>
      <c r="D351" s="4" t="s">
        <v>4308</v>
      </c>
      <c r="E351" s="4" t="s">
        <v>4309</v>
      </c>
      <c r="F351" s="10">
        <v>45671</v>
      </c>
      <c r="G351" s="11">
        <v>0.66666666666666663</v>
      </c>
      <c r="H351" s="4" t="s">
        <v>4019</v>
      </c>
      <c r="I351" s="4" t="s">
        <v>4304</v>
      </c>
      <c r="J351" s="4" t="s">
        <v>1941</v>
      </c>
      <c r="K351" s="4" t="s">
        <v>4310</v>
      </c>
      <c r="L351" s="4" t="s">
        <v>4311</v>
      </c>
      <c r="M351" s="4" t="s">
        <v>46</v>
      </c>
      <c r="N351" s="4"/>
      <c r="O351" s="4" t="s">
        <v>47</v>
      </c>
      <c r="P351" s="4" t="s">
        <v>60</v>
      </c>
      <c r="Q351" s="4">
        <v>0</v>
      </c>
      <c r="R351" s="4" t="b">
        <v>0</v>
      </c>
      <c r="S351" s="4" t="s">
        <v>49</v>
      </c>
      <c r="T351" s="4" t="s">
        <v>89</v>
      </c>
      <c r="U351" s="4" t="s">
        <v>301</v>
      </c>
      <c r="V351" s="4" t="s">
        <v>52</v>
      </c>
      <c r="W351" s="4" t="s">
        <v>255</v>
      </c>
      <c r="X351" s="4" t="s">
        <v>54</v>
      </c>
      <c r="Y351" s="4"/>
      <c r="Z351" s="12">
        <v>0</v>
      </c>
      <c r="AA351" s="13" t="s">
        <v>9180</v>
      </c>
      <c r="AB351" s="13" t="s">
        <v>9147</v>
      </c>
      <c r="AC351" s="14" t="s">
        <v>9139</v>
      </c>
      <c r="AD351" s="14" t="s">
        <v>9140</v>
      </c>
      <c r="AE351" s="14" t="s">
        <v>9140</v>
      </c>
      <c r="AF351" s="14" t="s">
        <v>52</v>
      </c>
      <c r="AG351" s="14" t="s">
        <v>54</v>
      </c>
      <c r="AH351" s="15" t="s">
        <v>9220</v>
      </c>
      <c r="AI351" s="15" t="s">
        <v>9175</v>
      </c>
      <c r="AJ351" s="15" t="s">
        <v>9143</v>
      </c>
      <c r="AK351" s="15" t="s">
        <v>9221</v>
      </c>
      <c r="AL351" s="15" t="s">
        <v>9222</v>
      </c>
      <c r="AM351" s="16" t="s">
        <v>9221</v>
      </c>
      <c r="AN351" s="16" t="s">
        <v>9223</v>
      </c>
    </row>
    <row r="352" spans="1:40" x14ac:dyDescent="0.25">
      <c r="A352" s="4" t="s">
        <v>4282</v>
      </c>
      <c r="B352" s="4"/>
      <c r="C352" s="4" t="s">
        <v>39</v>
      </c>
      <c r="D352" s="4" t="s">
        <v>4283</v>
      </c>
      <c r="E352" s="4" t="s">
        <v>4284</v>
      </c>
      <c r="F352" s="10">
        <v>45670</v>
      </c>
      <c r="G352" s="11">
        <v>0.60486111111111107</v>
      </c>
      <c r="H352" s="4" t="s">
        <v>4019</v>
      </c>
      <c r="I352" s="4" t="s">
        <v>4285</v>
      </c>
      <c r="J352" s="4" t="s">
        <v>513</v>
      </c>
      <c r="K352" s="4" t="s">
        <v>1922</v>
      </c>
      <c r="L352" s="4" t="s">
        <v>4286</v>
      </c>
      <c r="M352" s="4" t="s">
        <v>46</v>
      </c>
      <c r="N352" s="4"/>
      <c r="O352" s="4" t="s">
        <v>47</v>
      </c>
      <c r="P352" s="4" t="s">
        <v>48</v>
      </c>
      <c r="Q352" s="4">
        <v>0</v>
      </c>
      <c r="R352" s="4" t="b">
        <v>0</v>
      </c>
      <c r="S352" s="4" t="s">
        <v>61</v>
      </c>
      <c r="T352" s="4" t="s">
        <v>50</v>
      </c>
      <c r="U352" s="4" t="s">
        <v>90</v>
      </c>
      <c r="V352" s="4" t="s">
        <v>72</v>
      </c>
      <c r="W352" s="4" t="s">
        <v>73</v>
      </c>
      <c r="X352" s="4" t="s">
        <v>54</v>
      </c>
      <c r="Y352" s="4"/>
      <c r="Z352" s="12">
        <v>0</v>
      </c>
      <c r="AA352" s="13" t="s">
        <v>9180</v>
      </c>
      <c r="AB352" s="13" t="s">
        <v>9147</v>
      </c>
      <c r="AC352" s="14" t="s">
        <v>9148</v>
      </c>
      <c r="AD352" s="14" t="s">
        <v>9140</v>
      </c>
      <c r="AE352" s="14" t="s">
        <v>9140</v>
      </c>
      <c r="AF352" s="14" t="s">
        <v>72</v>
      </c>
      <c r="AG352" s="14" t="s">
        <v>54</v>
      </c>
      <c r="AH352" s="15" t="s">
        <v>9220</v>
      </c>
      <c r="AI352" s="15" t="s">
        <v>9175</v>
      </c>
      <c r="AJ352" s="15" t="s">
        <v>9143</v>
      </c>
      <c r="AK352" s="15" t="s">
        <v>9221</v>
      </c>
      <c r="AL352" s="15" t="s">
        <v>9224</v>
      </c>
      <c r="AM352" s="16" t="s">
        <v>9221</v>
      </c>
      <c r="AN352" s="16" t="s">
        <v>9225</v>
      </c>
    </row>
    <row r="353" spans="1:40" x14ac:dyDescent="0.25">
      <c r="A353" s="4" t="s">
        <v>8975</v>
      </c>
      <c r="B353" s="4"/>
      <c r="C353" s="4" t="s">
        <v>39</v>
      </c>
      <c r="D353" s="4" t="s">
        <v>8976</v>
      </c>
      <c r="E353" s="4" t="s">
        <v>8977</v>
      </c>
      <c r="F353" s="10">
        <v>45670</v>
      </c>
      <c r="G353" s="11">
        <v>0.47222222222222221</v>
      </c>
      <c r="H353" s="4" t="s">
        <v>4019</v>
      </c>
      <c r="I353" s="4" t="s">
        <v>8971</v>
      </c>
      <c r="J353" s="4" t="s">
        <v>8972</v>
      </c>
      <c r="K353" s="4" t="s">
        <v>8978</v>
      </c>
      <c r="L353" s="4" t="s">
        <v>8979</v>
      </c>
      <c r="M353" s="4" t="s">
        <v>46</v>
      </c>
      <c r="N353" s="4"/>
      <c r="O353" s="4" t="s">
        <v>174</v>
      </c>
      <c r="P353" s="4" t="s">
        <v>48</v>
      </c>
      <c r="Q353" s="4">
        <v>0</v>
      </c>
      <c r="R353" s="4" t="b">
        <v>0</v>
      </c>
      <c r="S353" s="4" t="s">
        <v>61</v>
      </c>
      <c r="T353" s="4" t="s">
        <v>89</v>
      </c>
      <c r="U353" s="4" t="s">
        <v>1918</v>
      </c>
      <c r="V353" s="4" t="s">
        <v>63</v>
      </c>
      <c r="W353" s="4" t="s">
        <v>108</v>
      </c>
      <c r="X353" s="4" t="s">
        <v>98</v>
      </c>
      <c r="Y353" s="4"/>
      <c r="Z353" s="12">
        <v>0</v>
      </c>
      <c r="AA353" s="13" t="s">
        <v>9180</v>
      </c>
      <c r="AB353" s="13" t="s">
        <v>9147</v>
      </c>
      <c r="AC353" s="14" t="s">
        <v>9148</v>
      </c>
      <c r="AD353" s="14" t="s">
        <v>9140</v>
      </c>
      <c r="AE353" s="14" t="s">
        <v>9140</v>
      </c>
      <c r="AF353" s="14" t="s">
        <v>63</v>
      </c>
      <c r="AG353" s="14" t="s">
        <v>98</v>
      </c>
      <c r="AH353" s="15" t="s">
        <v>9220</v>
      </c>
      <c r="AI353" s="15" t="s">
        <v>9175</v>
      </c>
      <c r="AJ353" s="15" t="s">
        <v>9181</v>
      </c>
      <c r="AK353" s="15" t="s">
        <v>9182</v>
      </c>
      <c r="AL353" s="15" t="s">
        <v>9182</v>
      </c>
      <c r="AM353" s="16" t="s">
        <v>9182</v>
      </c>
      <c r="AN353" s="16" t="s">
        <v>9182</v>
      </c>
    </row>
    <row r="354" spans="1:40" x14ac:dyDescent="0.25">
      <c r="A354" s="4" t="s">
        <v>7764</v>
      </c>
      <c r="B354" s="4"/>
      <c r="C354" s="4" t="s">
        <v>39</v>
      </c>
      <c r="D354" s="4" t="s">
        <v>7765</v>
      </c>
      <c r="E354" s="4" t="s">
        <v>7766</v>
      </c>
      <c r="F354" s="10">
        <v>45670</v>
      </c>
      <c r="G354" s="11">
        <v>0.69236111111111109</v>
      </c>
      <c r="H354" s="4" t="s">
        <v>4516</v>
      </c>
      <c r="I354" s="4" t="s">
        <v>7760</v>
      </c>
      <c r="J354" s="4" t="s">
        <v>7761</v>
      </c>
      <c r="K354" s="4" t="s">
        <v>7767</v>
      </c>
      <c r="L354" s="4" t="s">
        <v>7768</v>
      </c>
      <c r="M354" s="4" t="s">
        <v>46</v>
      </c>
      <c r="N354" s="4"/>
      <c r="O354" s="4" t="s">
        <v>47</v>
      </c>
      <c r="P354" s="4" t="s">
        <v>48</v>
      </c>
      <c r="Q354" s="4">
        <v>0</v>
      </c>
      <c r="R354" s="4" t="b">
        <v>0</v>
      </c>
      <c r="S354" s="4" t="s">
        <v>49</v>
      </c>
      <c r="T354" s="4" t="s">
        <v>115</v>
      </c>
      <c r="U354" s="4" t="s">
        <v>2065</v>
      </c>
      <c r="V354" s="4" t="s">
        <v>52</v>
      </c>
      <c r="W354" s="4" t="s">
        <v>53</v>
      </c>
      <c r="X354" s="4" t="s">
        <v>54</v>
      </c>
      <c r="Y354" s="4"/>
      <c r="Z354" s="12">
        <v>0</v>
      </c>
      <c r="AA354" s="13" t="s">
        <v>9180</v>
      </c>
      <c r="AB354" s="13" t="s">
        <v>9147</v>
      </c>
      <c r="AC354" s="14" t="s">
        <v>9139</v>
      </c>
      <c r="AD354" s="14" t="s">
        <v>9140</v>
      </c>
      <c r="AE354" s="14" t="s">
        <v>9140</v>
      </c>
      <c r="AF354" s="14" t="s">
        <v>52</v>
      </c>
      <c r="AG354" s="14" t="s">
        <v>54</v>
      </c>
      <c r="AH354" s="15" t="s">
        <v>9220</v>
      </c>
      <c r="AI354" s="15" t="s">
        <v>9188</v>
      </c>
      <c r="AJ354" s="15" t="s">
        <v>9143</v>
      </c>
      <c r="AK354" s="15" t="s">
        <v>9221</v>
      </c>
      <c r="AL354" s="15" t="s">
        <v>9230</v>
      </c>
      <c r="AM354" s="16" t="s">
        <v>9221</v>
      </c>
      <c r="AN354" s="16" t="s">
        <v>9231</v>
      </c>
    </row>
    <row r="355" spans="1:40" x14ac:dyDescent="0.25">
      <c r="A355" s="4" t="s">
        <v>8737</v>
      </c>
      <c r="B355" s="4"/>
      <c r="C355" s="4" t="s">
        <v>39</v>
      </c>
      <c r="D355" s="4" t="s">
        <v>8738</v>
      </c>
      <c r="E355" s="4" t="s">
        <v>8739</v>
      </c>
      <c r="F355" s="10">
        <v>45670</v>
      </c>
      <c r="G355" s="11">
        <v>0.33333333333333331</v>
      </c>
      <c r="H355" s="4" t="s">
        <v>4516</v>
      </c>
      <c r="I355" s="4" t="s">
        <v>8740</v>
      </c>
      <c r="J355" s="4" t="s">
        <v>8741</v>
      </c>
      <c r="K355" s="4" t="s">
        <v>531</v>
      </c>
      <c r="L355" s="4" t="s">
        <v>8742</v>
      </c>
      <c r="M355" s="4" t="s">
        <v>46</v>
      </c>
      <c r="N355" s="4"/>
      <c r="O355" s="4" t="s">
        <v>47</v>
      </c>
      <c r="P355" s="4" t="s">
        <v>48</v>
      </c>
      <c r="Q355" s="4">
        <v>0</v>
      </c>
      <c r="R355" s="4" t="b">
        <v>0</v>
      </c>
      <c r="S355" s="4" t="s">
        <v>49</v>
      </c>
      <c r="T355" s="4" t="s">
        <v>583</v>
      </c>
      <c r="U355" s="4" t="s">
        <v>51</v>
      </c>
      <c r="V355" s="4" t="s">
        <v>123</v>
      </c>
      <c r="W355" s="4" t="s">
        <v>124</v>
      </c>
      <c r="X355" s="4" t="s">
        <v>54</v>
      </c>
      <c r="Y355" s="4"/>
      <c r="Z355" s="12">
        <v>0</v>
      </c>
      <c r="AA355" s="13" t="s">
        <v>9180</v>
      </c>
      <c r="AB355" s="13" t="s">
        <v>9147</v>
      </c>
      <c r="AC355" s="14" t="s">
        <v>9139</v>
      </c>
      <c r="AD355" s="14" t="s">
        <v>9140</v>
      </c>
      <c r="AE355" s="14" t="s">
        <v>9140</v>
      </c>
      <c r="AF355" s="14" t="s">
        <v>123</v>
      </c>
      <c r="AG355" s="14" t="s">
        <v>54</v>
      </c>
      <c r="AH355" s="15" t="s">
        <v>9220</v>
      </c>
      <c r="AI355" s="15" t="s">
        <v>9188</v>
      </c>
      <c r="AJ355" s="15" t="s">
        <v>9143</v>
      </c>
      <c r="AK355" s="15" t="s">
        <v>9221</v>
      </c>
      <c r="AL355" s="15" t="s">
        <v>9232</v>
      </c>
      <c r="AM355" s="16" t="s">
        <v>9221</v>
      </c>
      <c r="AN355" s="16" t="s">
        <v>9233</v>
      </c>
    </row>
    <row r="356" spans="1:40" x14ac:dyDescent="0.25">
      <c r="A356" s="4" t="s">
        <v>2390</v>
      </c>
      <c r="B356" s="4"/>
      <c r="C356" s="4" t="s">
        <v>39</v>
      </c>
      <c r="D356" s="4" t="s">
        <v>2391</v>
      </c>
      <c r="E356" s="4" t="s">
        <v>2392</v>
      </c>
      <c r="F356" s="10">
        <v>45670</v>
      </c>
      <c r="G356" s="11">
        <v>0.62847222222222221</v>
      </c>
      <c r="H356" s="4" t="s">
        <v>1939</v>
      </c>
      <c r="I356" s="4" t="s">
        <v>2393</v>
      </c>
      <c r="J356" s="4" t="s">
        <v>2394</v>
      </c>
      <c r="K356" s="4" t="s">
        <v>2395</v>
      </c>
      <c r="L356" s="4" t="s">
        <v>2396</v>
      </c>
      <c r="M356" s="4" t="s">
        <v>46</v>
      </c>
      <c r="N356" s="4"/>
      <c r="O356" s="4" t="s">
        <v>47</v>
      </c>
      <c r="P356" s="4" t="s">
        <v>48</v>
      </c>
      <c r="Q356" s="4">
        <v>0</v>
      </c>
      <c r="R356" s="4" t="b">
        <v>0</v>
      </c>
      <c r="S356" s="4" t="s">
        <v>61</v>
      </c>
      <c r="T356" s="4" t="s">
        <v>50</v>
      </c>
      <c r="U356" s="4" t="s">
        <v>140</v>
      </c>
      <c r="V356" s="4" t="s">
        <v>72</v>
      </c>
      <c r="W356" s="4" t="s">
        <v>73</v>
      </c>
      <c r="X356" s="4" t="s">
        <v>54</v>
      </c>
      <c r="Y356" s="4"/>
      <c r="Z356" s="12">
        <v>0</v>
      </c>
      <c r="AA356" s="13" t="s">
        <v>9180</v>
      </c>
      <c r="AB356" s="13" t="s">
        <v>9147</v>
      </c>
      <c r="AC356" s="14" t="s">
        <v>9148</v>
      </c>
      <c r="AD356" s="14" t="s">
        <v>9140</v>
      </c>
      <c r="AE356" s="14" t="s">
        <v>9140</v>
      </c>
      <c r="AF356" s="14" t="s">
        <v>72</v>
      </c>
      <c r="AG356" s="14" t="s">
        <v>54</v>
      </c>
      <c r="AH356" s="15" t="s">
        <v>9194</v>
      </c>
      <c r="AI356" s="15" t="s">
        <v>9175</v>
      </c>
      <c r="AJ356" s="15" t="s">
        <v>9143</v>
      </c>
      <c r="AK356" s="15" t="s">
        <v>9194</v>
      </c>
      <c r="AL356" s="15" t="s">
        <v>9195</v>
      </c>
      <c r="AM356" s="16" t="s">
        <v>9194</v>
      </c>
      <c r="AN356" s="16" t="s">
        <v>9196</v>
      </c>
    </row>
    <row r="357" spans="1:40" x14ac:dyDescent="0.25">
      <c r="A357" s="4" t="s">
        <v>3086</v>
      </c>
      <c r="B357" s="4"/>
      <c r="C357" s="4" t="s">
        <v>39</v>
      </c>
      <c r="D357" s="4" t="s">
        <v>3087</v>
      </c>
      <c r="E357" s="4" t="s">
        <v>3088</v>
      </c>
      <c r="F357" s="10">
        <v>45668</v>
      </c>
      <c r="G357" s="11">
        <v>0.33680555555555558</v>
      </c>
      <c r="H357" s="4" t="s">
        <v>1939</v>
      </c>
      <c r="I357" s="4" t="s">
        <v>3089</v>
      </c>
      <c r="J357" s="4" t="s">
        <v>3090</v>
      </c>
      <c r="K357" s="4" t="s">
        <v>3091</v>
      </c>
      <c r="L357" s="4" t="s">
        <v>3092</v>
      </c>
      <c r="M357" s="4" t="s">
        <v>46</v>
      </c>
      <c r="N357" s="4"/>
      <c r="O357" s="4" t="s">
        <v>174</v>
      </c>
      <c r="P357" s="4" t="s">
        <v>60</v>
      </c>
      <c r="Q357" s="4">
        <v>2</v>
      </c>
      <c r="R357" s="4" t="b">
        <v>0</v>
      </c>
      <c r="S357" s="4" t="s">
        <v>184</v>
      </c>
      <c r="T357" s="4" t="s">
        <v>115</v>
      </c>
      <c r="U357" s="4" t="s">
        <v>3093</v>
      </c>
      <c r="V357" s="4" t="s">
        <v>63</v>
      </c>
      <c r="W357" s="4" t="s">
        <v>108</v>
      </c>
      <c r="X357" s="4" t="s">
        <v>54</v>
      </c>
      <c r="Y357" s="4"/>
      <c r="Z357" s="12">
        <v>0</v>
      </c>
      <c r="AA357" s="13" t="s">
        <v>9180</v>
      </c>
      <c r="AB357" s="13" t="s">
        <v>9147</v>
      </c>
      <c r="AC357" s="14" t="s">
        <v>9166</v>
      </c>
      <c r="AD357" s="14" t="s">
        <v>9140</v>
      </c>
      <c r="AE357" s="14" t="s">
        <v>9140</v>
      </c>
      <c r="AF357" s="14" t="s">
        <v>63</v>
      </c>
      <c r="AG357" s="14" t="s">
        <v>54</v>
      </c>
      <c r="AH357" s="15" t="s">
        <v>9194</v>
      </c>
      <c r="AI357" s="15" t="s">
        <v>9175</v>
      </c>
      <c r="AJ357" s="15" t="s">
        <v>9143</v>
      </c>
      <c r="AK357" s="15" t="s">
        <v>9194</v>
      </c>
      <c r="AL357" s="15" t="s">
        <v>9209</v>
      </c>
      <c r="AM357" s="16" t="s">
        <v>9194</v>
      </c>
      <c r="AN357" s="16" t="s">
        <v>9210</v>
      </c>
    </row>
    <row r="358" spans="1:40" x14ac:dyDescent="0.25">
      <c r="A358" s="4" t="s">
        <v>5679</v>
      </c>
      <c r="B358" s="4"/>
      <c r="C358" s="4" t="s">
        <v>488</v>
      </c>
      <c r="D358" s="4" t="s">
        <v>5680</v>
      </c>
      <c r="E358" s="4" t="s">
        <v>5681</v>
      </c>
      <c r="F358" s="10">
        <v>45668</v>
      </c>
      <c r="G358" s="11">
        <v>0.45833333333333331</v>
      </c>
      <c r="H358" s="4" t="s">
        <v>5666</v>
      </c>
      <c r="I358" s="4" t="s">
        <v>5667</v>
      </c>
      <c r="J358" s="4" t="s">
        <v>2192</v>
      </c>
      <c r="K358" s="4" t="s">
        <v>5682</v>
      </c>
      <c r="L358" s="4" t="s">
        <v>5683</v>
      </c>
      <c r="M358" s="4" t="s">
        <v>46</v>
      </c>
      <c r="N358" s="4"/>
      <c r="O358" s="4" t="s">
        <v>47</v>
      </c>
      <c r="P358" s="4" t="s">
        <v>48</v>
      </c>
      <c r="Q358" s="4">
        <v>0</v>
      </c>
      <c r="R358" s="4" t="b">
        <v>0</v>
      </c>
      <c r="S358" s="4" t="s">
        <v>61</v>
      </c>
      <c r="T358" s="4" t="s">
        <v>1357</v>
      </c>
      <c r="U358" s="4" t="s">
        <v>330</v>
      </c>
      <c r="V358" s="4" t="s">
        <v>267</v>
      </c>
      <c r="W358" s="4" t="s">
        <v>5684</v>
      </c>
      <c r="X358" s="4" t="s">
        <v>54</v>
      </c>
      <c r="Y358" s="4"/>
      <c r="Z358" s="12">
        <v>0</v>
      </c>
      <c r="AA358" s="13" t="s">
        <v>9180</v>
      </c>
      <c r="AB358" s="13" t="s">
        <v>9147</v>
      </c>
      <c r="AC358" s="14" t="s">
        <v>9148</v>
      </c>
      <c r="AD358" s="14" t="s">
        <v>9140</v>
      </c>
      <c r="AE358" s="14" t="s">
        <v>9140</v>
      </c>
      <c r="AF358" s="14" t="s">
        <v>267</v>
      </c>
      <c r="AG358" s="14" t="s">
        <v>54</v>
      </c>
      <c r="AH358" s="15" t="s">
        <v>9220</v>
      </c>
      <c r="AI358" s="15" t="s">
        <v>9199</v>
      </c>
      <c r="AJ358" s="15" t="s">
        <v>9143</v>
      </c>
      <c r="AK358" s="15" t="s">
        <v>9221</v>
      </c>
      <c r="AL358" s="15" t="s">
        <v>9199</v>
      </c>
      <c r="AM358" s="16" t="s">
        <v>9221</v>
      </c>
      <c r="AN358" s="16" t="s">
        <v>9238</v>
      </c>
    </row>
    <row r="359" spans="1:40" x14ac:dyDescent="0.25">
      <c r="A359" s="4" t="s">
        <v>4312</v>
      </c>
      <c r="B359" s="4"/>
      <c r="C359" s="4" t="s">
        <v>39</v>
      </c>
      <c r="D359" s="4" t="s">
        <v>4313</v>
      </c>
      <c r="E359" s="4" t="s">
        <v>4314</v>
      </c>
      <c r="F359" s="10">
        <v>45667</v>
      </c>
      <c r="G359" s="11">
        <v>0.54166666666666663</v>
      </c>
      <c r="H359" s="4" t="s">
        <v>4019</v>
      </c>
      <c r="I359" s="4" t="s">
        <v>4304</v>
      </c>
      <c r="J359" s="4" t="s">
        <v>1941</v>
      </c>
      <c r="K359" s="4" t="s">
        <v>4315</v>
      </c>
      <c r="L359" s="4" t="s">
        <v>4316</v>
      </c>
      <c r="M359" s="4" t="s">
        <v>46</v>
      </c>
      <c r="N359" s="4"/>
      <c r="O359" s="4" t="s">
        <v>47</v>
      </c>
      <c r="P359" s="4" t="s">
        <v>48</v>
      </c>
      <c r="Q359" s="4">
        <v>0</v>
      </c>
      <c r="R359" s="4" t="b">
        <v>0</v>
      </c>
      <c r="S359" s="4" t="s">
        <v>61</v>
      </c>
      <c r="T359" s="4" t="s">
        <v>89</v>
      </c>
      <c r="U359" s="4" t="s">
        <v>148</v>
      </c>
      <c r="V359" s="4" t="s">
        <v>52</v>
      </c>
      <c r="W359" s="4" t="s">
        <v>255</v>
      </c>
      <c r="X359" s="4" t="s">
        <v>54</v>
      </c>
      <c r="Y359" s="4"/>
      <c r="Z359" s="12">
        <v>0</v>
      </c>
      <c r="AA359" s="13" t="s">
        <v>9180</v>
      </c>
      <c r="AB359" s="13" t="s">
        <v>9147</v>
      </c>
      <c r="AC359" s="14" t="s">
        <v>9148</v>
      </c>
      <c r="AD359" s="14" t="s">
        <v>9140</v>
      </c>
      <c r="AE359" s="14" t="s">
        <v>9140</v>
      </c>
      <c r="AF359" s="14" t="s">
        <v>52</v>
      </c>
      <c r="AG359" s="14" t="s">
        <v>54</v>
      </c>
      <c r="AH359" s="15" t="s">
        <v>9220</v>
      </c>
      <c r="AI359" s="15" t="s">
        <v>9175</v>
      </c>
      <c r="AJ359" s="15" t="s">
        <v>9143</v>
      </c>
      <c r="AK359" s="15" t="s">
        <v>9221</v>
      </c>
      <c r="AL359" s="15" t="s">
        <v>9222</v>
      </c>
      <c r="AM359" s="16" t="s">
        <v>9221</v>
      </c>
      <c r="AN359" s="16" t="s">
        <v>9223</v>
      </c>
    </row>
    <row r="360" spans="1:40" x14ac:dyDescent="0.25">
      <c r="A360" s="4" t="s">
        <v>3739</v>
      </c>
      <c r="B360" s="4"/>
      <c r="C360" s="4" t="s">
        <v>39</v>
      </c>
      <c r="D360" s="4" t="s">
        <v>3740</v>
      </c>
      <c r="E360" s="4" t="s">
        <v>3741</v>
      </c>
      <c r="F360" s="10">
        <v>45667</v>
      </c>
      <c r="G360" s="11">
        <v>0.4513888888888889</v>
      </c>
      <c r="H360" s="4" t="s">
        <v>2168</v>
      </c>
      <c r="I360" s="4" t="s">
        <v>3735</v>
      </c>
      <c r="J360" s="4" t="s">
        <v>3736</v>
      </c>
      <c r="K360" s="4" t="s">
        <v>3742</v>
      </c>
      <c r="L360" s="4" t="s">
        <v>3743</v>
      </c>
      <c r="M360" s="4" t="s">
        <v>46</v>
      </c>
      <c r="N360" s="4"/>
      <c r="O360" s="4" t="s">
        <v>47</v>
      </c>
      <c r="P360" s="4" t="s">
        <v>48</v>
      </c>
      <c r="Q360" s="4">
        <v>0</v>
      </c>
      <c r="R360" s="4" t="b">
        <v>0</v>
      </c>
      <c r="S360" s="4" t="s">
        <v>114</v>
      </c>
      <c r="T360" s="4" t="s">
        <v>70</v>
      </c>
      <c r="U360" s="4" t="s">
        <v>71</v>
      </c>
      <c r="V360" s="4" t="s">
        <v>72</v>
      </c>
      <c r="W360" s="4" t="s">
        <v>73</v>
      </c>
      <c r="X360" s="4" t="s">
        <v>2037</v>
      </c>
      <c r="Y360" s="4" t="s">
        <v>211</v>
      </c>
      <c r="Z360" s="12">
        <v>0</v>
      </c>
      <c r="AA360" s="13" t="s">
        <v>9180</v>
      </c>
      <c r="AB360" s="13" t="s">
        <v>9147</v>
      </c>
      <c r="AC360" s="14" t="s">
        <v>9157</v>
      </c>
      <c r="AD360" s="14" t="s">
        <v>9140</v>
      </c>
      <c r="AE360" s="14" t="s">
        <v>9140</v>
      </c>
      <c r="AF360" s="14" t="s">
        <v>72</v>
      </c>
      <c r="AG360" s="14" t="s">
        <v>2037</v>
      </c>
      <c r="AH360" s="15" t="s">
        <v>9194</v>
      </c>
      <c r="AI360" s="15" t="s">
        <v>9142</v>
      </c>
      <c r="AJ360" s="15" t="s">
        <v>9143</v>
      </c>
      <c r="AK360" s="15" t="s">
        <v>9194</v>
      </c>
      <c r="AL360" s="15" t="s">
        <v>9207</v>
      </c>
      <c r="AM360" s="16" t="s">
        <v>9194</v>
      </c>
      <c r="AN360" s="16" t="s">
        <v>9208</v>
      </c>
    </row>
    <row r="361" spans="1:40" x14ac:dyDescent="0.25">
      <c r="A361" s="4" t="s">
        <v>3483</v>
      </c>
      <c r="B361" s="4"/>
      <c r="C361" s="4" t="s">
        <v>39</v>
      </c>
      <c r="D361" s="4" t="s">
        <v>3484</v>
      </c>
      <c r="E361" s="4" t="s">
        <v>3485</v>
      </c>
      <c r="F361" s="10">
        <v>45667</v>
      </c>
      <c r="G361" s="11">
        <v>0.375</v>
      </c>
      <c r="H361" s="4" t="s">
        <v>1992</v>
      </c>
      <c r="I361" s="4" t="s">
        <v>3486</v>
      </c>
      <c r="J361" s="4" t="s">
        <v>1719</v>
      </c>
      <c r="K361" s="4" t="s">
        <v>3487</v>
      </c>
      <c r="L361" s="4" t="s">
        <v>3488</v>
      </c>
      <c r="M361" s="4" t="s">
        <v>46</v>
      </c>
      <c r="N361" s="4"/>
      <c r="O361" s="4" t="s">
        <v>47</v>
      </c>
      <c r="P361" s="4" t="s">
        <v>48</v>
      </c>
      <c r="Q361" s="4">
        <v>0</v>
      </c>
      <c r="R361" s="4" t="b">
        <v>0</v>
      </c>
      <c r="S361" s="4" t="s">
        <v>61</v>
      </c>
      <c r="T361" s="4" t="s">
        <v>266</v>
      </c>
      <c r="U361" s="4" t="s">
        <v>527</v>
      </c>
      <c r="V361" s="4" t="s">
        <v>267</v>
      </c>
      <c r="W361" s="4" t="s">
        <v>2330</v>
      </c>
      <c r="X361" s="4" t="s">
        <v>54</v>
      </c>
      <c r="Y361" s="4"/>
      <c r="Z361" s="12">
        <v>0</v>
      </c>
      <c r="AA361" s="13" t="s">
        <v>9180</v>
      </c>
      <c r="AB361" s="13" t="s">
        <v>9147</v>
      </c>
      <c r="AC361" s="14" t="s">
        <v>9148</v>
      </c>
      <c r="AD361" s="14" t="s">
        <v>9140</v>
      </c>
      <c r="AE361" s="14" t="s">
        <v>9140</v>
      </c>
      <c r="AF361" s="14" t="s">
        <v>267</v>
      </c>
      <c r="AG361" s="14" t="s">
        <v>54</v>
      </c>
      <c r="AH361" s="15" t="s">
        <v>9194</v>
      </c>
      <c r="AI361" s="15" t="s">
        <v>9191</v>
      </c>
      <c r="AJ361" s="15" t="s">
        <v>9143</v>
      </c>
      <c r="AK361" s="15" t="s">
        <v>9194</v>
      </c>
      <c r="AL361" s="15" t="s">
        <v>9201</v>
      </c>
      <c r="AM361" s="16" t="s">
        <v>9194</v>
      </c>
      <c r="AN361" s="16" t="s">
        <v>9202</v>
      </c>
    </row>
    <row r="362" spans="1:40" x14ac:dyDescent="0.25">
      <c r="A362" s="4" t="s">
        <v>2858</v>
      </c>
      <c r="B362" s="4"/>
      <c r="C362" s="4" t="s">
        <v>39</v>
      </c>
      <c r="D362" s="4" t="s">
        <v>2859</v>
      </c>
      <c r="E362" s="4" t="s">
        <v>2860</v>
      </c>
      <c r="F362" s="10">
        <v>45666</v>
      </c>
      <c r="G362" s="11">
        <v>0.57986111111111116</v>
      </c>
      <c r="H362" s="4" t="s">
        <v>2168</v>
      </c>
      <c r="I362" s="4" t="s">
        <v>2861</v>
      </c>
      <c r="J362" s="4" t="s">
        <v>2862</v>
      </c>
      <c r="K362" s="4" t="s">
        <v>665</v>
      </c>
      <c r="L362" s="4" t="s">
        <v>2863</v>
      </c>
      <c r="M362" s="4" t="s">
        <v>46</v>
      </c>
      <c r="N362" s="4"/>
      <c r="O362" s="4" t="s">
        <v>47</v>
      </c>
      <c r="P362" s="4" t="s">
        <v>48</v>
      </c>
      <c r="Q362" s="4">
        <v>0</v>
      </c>
      <c r="R362" s="4" t="b">
        <v>0</v>
      </c>
      <c r="S362" s="4" t="s">
        <v>61</v>
      </c>
      <c r="T362" s="4" t="s">
        <v>50</v>
      </c>
      <c r="U362" s="4" t="s">
        <v>107</v>
      </c>
      <c r="V362" s="4" t="s">
        <v>63</v>
      </c>
      <c r="W362" s="4" t="s">
        <v>108</v>
      </c>
      <c r="X362" s="4" t="s">
        <v>98</v>
      </c>
      <c r="Y362" s="4"/>
      <c r="Z362" s="12">
        <v>0</v>
      </c>
      <c r="AA362" s="13" t="s">
        <v>9180</v>
      </c>
      <c r="AB362" s="13" t="s">
        <v>9147</v>
      </c>
      <c r="AC362" s="14" t="s">
        <v>9148</v>
      </c>
      <c r="AD362" s="14" t="s">
        <v>9140</v>
      </c>
      <c r="AE362" s="14" t="s">
        <v>9140</v>
      </c>
      <c r="AF362" s="14" t="s">
        <v>63</v>
      </c>
      <c r="AG362" s="14" t="s">
        <v>98</v>
      </c>
      <c r="AH362" s="15" t="s">
        <v>9194</v>
      </c>
      <c r="AI362" s="15" t="s">
        <v>9142</v>
      </c>
      <c r="AJ362" s="15" t="s">
        <v>9143</v>
      </c>
      <c r="AK362" s="15" t="s">
        <v>9194</v>
      </c>
      <c r="AL362" s="15" t="s">
        <v>9207</v>
      </c>
      <c r="AM362" s="16" t="s">
        <v>9194</v>
      </c>
      <c r="AN362" s="16" t="s">
        <v>9208</v>
      </c>
    </row>
    <row r="363" spans="1:40" x14ac:dyDescent="0.25">
      <c r="A363" s="4" t="s">
        <v>1841</v>
      </c>
      <c r="B363" s="4"/>
      <c r="C363" s="4" t="s">
        <v>39</v>
      </c>
      <c r="D363" s="4" t="s">
        <v>1842</v>
      </c>
      <c r="E363" s="4" t="s">
        <v>1843</v>
      </c>
      <c r="F363" s="10">
        <v>45666</v>
      </c>
      <c r="G363" s="11">
        <v>0.375</v>
      </c>
      <c r="H363" s="4" t="s">
        <v>1654</v>
      </c>
      <c r="I363" s="4">
        <v>9097</v>
      </c>
      <c r="J363" s="4" t="s">
        <v>1844</v>
      </c>
      <c r="K363" s="4" t="s">
        <v>1845</v>
      </c>
      <c r="L363" s="4" t="s">
        <v>1846</v>
      </c>
      <c r="M363" s="4" t="s">
        <v>46</v>
      </c>
      <c r="N363" s="4"/>
      <c r="O363" s="4" t="s">
        <v>47</v>
      </c>
      <c r="P363" s="4" t="s">
        <v>48</v>
      </c>
      <c r="Q363" s="4">
        <v>0</v>
      </c>
      <c r="R363" s="4" t="b">
        <v>0</v>
      </c>
      <c r="S363" s="4" t="s">
        <v>49</v>
      </c>
      <c r="T363" s="4" t="s">
        <v>70</v>
      </c>
      <c r="U363" s="4" t="s">
        <v>71</v>
      </c>
      <c r="V363" s="4" t="s">
        <v>63</v>
      </c>
      <c r="W363" s="4" t="s">
        <v>312</v>
      </c>
      <c r="X363" s="4" t="s">
        <v>54</v>
      </c>
      <c r="Y363" s="4"/>
      <c r="Z363" s="12">
        <v>0</v>
      </c>
      <c r="AA363" s="13" t="s">
        <v>9180</v>
      </c>
      <c r="AB363" s="13" t="s">
        <v>9147</v>
      </c>
      <c r="AC363" s="14" t="s">
        <v>9139</v>
      </c>
      <c r="AD363" s="14" t="s">
        <v>9140</v>
      </c>
      <c r="AE363" s="14" t="s">
        <v>9140</v>
      </c>
      <c r="AF363" s="14" t="s">
        <v>63</v>
      </c>
      <c r="AG363" s="14" t="s">
        <v>54</v>
      </c>
      <c r="AH363" s="15" t="s">
        <v>9141</v>
      </c>
      <c r="AI363" s="15" t="s">
        <v>9191</v>
      </c>
      <c r="AJ363" s="15" t="s">
        <v>9143</v>
      </c>
      <c r="AK363" s="15" t="s">
        <v>9141</v>
      </c>
      <c r="AL363" s="15" t="s">
        <v>9191</v>
      </c>
      <c r="AM363" s="16" t="s">
        <v>9141</v>
      </c>
      <c r="AN363" s="16" t="s">
        <v>9192</v>
      </c>
    </row>
    <row r="364" spans="1:40" x14ac:dyDescent="0.25">
      <c r="A364" s="4" t="s">
        <v>1716</v>
      </c>
      <c r="B364" s="4"/>
      <c r="C364" s="4" t="s">
        <v>39</v>
      </c>
      <c r="D364" s="4" t="s">
        <v>1717</v>
      </c>
      <c r="E364" s="4" t="s">
        <v>1718</v>
      </c>
      <c r="F364" s="10">
        <v>45665</v>
      </c>
      <c r="G364" s="11">
        <v>0.66666666666666663</v>
      </c>
      <c r="H364" s="4" t="s">
        <v>1654</v>
      </c>
      <c r="I364" s="4">
        <v>9090</v>
      </c>
      <c r="J364" s="4" t="s">
        <v>1719</v>
      </c>
      <c r="K364" s="4" t="s">
        <v>1720</v>
      </c>
      <c r="L364" s="4" t="s">
        <v>1721</v>
      </c>
      <c r="M364" s="4" t="s">
        <v>46</v>
      </c>
      <c r="N364" s="4"/>
      <c r="O364" s="4" t="s">
        <v>47</v>
      </c>
      <c r="P364" s="4" t="s">
        <v>48</v>
      </c>
      <c r="Q364" s="4">
        <v>0</v>
      </c>
      <c r="R364" s="4" t="b">
        <v>0</v>
      </c>
      <c r="S364" s="4" t="s">
        <v>61</v>
      </c>
      <c r="T364" s="4" t="s">
        <v>1722</v>
      </c>
      <c r="U364" s="4" t="s">
        <v>122</v>
      </c>
      <c r="V364" s="4" t="s">
        <v>672</v>
      </c>
      <c r="W364" s="4" t="s">
        <v>1121</v>
      </c>
      <c r="X364" s="4" t="s">
        <v>1131</v>
      </c>
      <c r="Y364" s="4"/>
      <c r="Z364" s="12">
        <v>0</v>
      </c>
      <c r="AA364" s="13" t="s">
        <v>9180</v>
      </c>
      <c r="AB364" s="13" t="s">
        <v>9147</v>
      </c>
      <c r="AC364" s="14" t="s">
        <v>9148</v>
      </c>
      <c r="AD364" s="14" t="s">
        <v>9140</v>
      </c>
      <c r="AE364" s="14" t="s">
        <v>9140</v>
      </c>
      <c r="AF364" s="14" t="s">
        <v>672</v>
      </c>
      <c r="AG364" s="14" t="s">
        <v>1131</v>
      </c>
      <c r="AH364" s="15" t="s">
        <v>9141</v>
      </c>
      <c r="AI364" s="15" t="s">
        <v>9191</v>
      </c>
      <c r="AJ364" s="15" t="s">
        <v>9143</v>
      </c>
      <c r="AK364" s="15" t="s">
        <v>9141</v>
      </c>
      <c r="AL364" s="15" t="s">
        <v>9191</v>
      </c>
      <c r="AM364" s="16" t="s">
        <v>9141</v>
      </c>
      <c r="AN364" s="16" t="s">
        <v>9192</v>
      </c>
    </row>
    <row r="365" spans="1:40" x14ac:dyDescent="0.25">
      <c r="A365" s="4" t="s">
        <v>3449</v>
      </c>
      <c r="B365" s="4">
        <v>7622178</v>
      </c>
      <c r="C365" s="4" t="s">
        <v>488</v>
      </c>
      <c r="D365" s="4" t="s">
        <v>3450</v>
      </c>
      <c r="E365" s="4" t="s">
        <v>3451</v>
      </c>
      <c r="F365" s="10">
        <v>45665</v>
      </c>
      <c r="G365" s="11">
        <v>0.5</v>
      </c>
      <c r="H365" s="4" t="s">
        <v>2095</v>
      </c>
      <c r="I365" s="4" t="s">
        <v>3452</v>
      </c>
      <c r="J365" s="4" t="s">
        <v>3453</v>
      </c>
      <c r="K365" s="4" t="s">
        <v>3454</v>
      </c>
      <c r="L365" s="4" t="s">
        <v>3455</v>
      </c>
      <c r="M365" s="4" t="s">
        <v>28</v>
      </c>
      <c r="N365" s="4" t="s">
        <v>478</v>
      </c>
      <c r="O365" s="4" t="s">
        <v>174</v>
      </c>
      <c r="P365" s="4" t="s">
        <v>48</v>
      </c>
      <c r="Q365" s="4">
        <v>72</v>
      </c>
      <c r="R365" s="4" t="b">
        <v>0</v>
      </c>
      <c r="S365" s="4" t="s">
        <v>114</v>
      </c>
      <c r="T365" s="4" t="s">
        <v>494</v>
      </c>
      <c r="U365" s="4" t="s">
        <v>527</v>
      </c>
      <c r="V365" s="4" t="s">
        <v>267</v>
      </c>
      <c r="W365" s="4" t="s">
        <v>2730</v>
      </c>
      <c r="X365" s="4" t="s">
        <v>3456</v>
      </c>
      <c r="Y365" s="4"/>
      <c r="Z365" s="12" t="s">
        <v>48</v>
      </c>
      <c r="AA365" s="13" t="s">
        <v>9180</v>
      </c>
      <c r="AB365" s="13" t="s">
        <v>9147</v>
      </c>
      <c r="AC365" s="14" t="s">
        <v>9157</v>
      </c>
      <c r="AD365" s="14" t="s">
        <v>28</v>
      </c>
      <c r="AE365" s="14" t="s">
        <v>478</v>
      </c>
      <c r="AF365" s="14" t="s">
        <v>267</v>
      </c>
      <c r="AG365" s="14" t="s">
        <v>3456</v>
      </c>
      <c r="AH365" s="15" t="s">
        <v>9194</v>
      </c>
      <c r="AI365" s="15" t="s">
        <v>9188</v>
      </c>
      <c r="AJ365" s="15" t="s">
        <v>9143</v>
      </c>
      <c r="AK365" s="15" t="s">
        <v>9194</v>
      </c>
      <c r="AL365" s="15" t="s">
        <v>9203</v>
      </c>
      <c r="AM365" s="16" t="s">
        <v>9194</v>
      </c>
      <c r="AN365" s="16" t="s">
        <v>9204</v>
      </c>
    </row>
    <row r="366" spans="1:40" x14ac:dyDescent="0.25">
      <c r="A366" s="4" t="s">
        <v>8683</v>
      </c>
      <c r="B366" s="4" t="s">
        <v>8684</v>
      </c>
      <c r="C366" s="4" t="s">
        <v>39</v>
      </c>
      <c r="D366" s="4" t="s">
        <v>8685</v>
      </c>
      <c r="E366" s="4" t="s">
        <v>8686</v>
      </c>
      <c r="F366" s="10">
        <v>45665</v>
      </c>
      <c r="G366" s="11">
        <v>0.72916666666666663</v>
      </c>
      <c r="H366" s="4" t="s">
        <v>4910</v>
      </c>
      <c r="I366" s="4" t="s">
        <v>8680</v>
      </c>
      <c r="J366" s="4" t="s">
        <v>8681</v>
      </c>
      <c r="K366" s="4" t="s">
        <v>1245</v>
      </c>
      <c r="L366" s="4" t="s">
        <v>8687</v>
      </c>
      <c r="M366" s="4" t="s">
        <v>28</v>
      </c>
      <c r="N366" s="4" t="s">
        <v>183</v>
      </c>
      <c r="O366" s="4" t="s">
        <v>344</v>
      </c>
      <c r="P366" s="4" t="s">
        <v>60</v>
      </c>
      <c r="Q366" s="4">
        <v>147</v>
      </c>
      <c r="R366" s="4" t="b">
        <v>0</v>
      </c>
      <c r="S366" s="4" t="s">
        <v>114</v>
      </c>
      <c r="T366" s="4" t="s">
        <v>115</v>
      </c>
      <c r="U366" s="4" t="s">
        <v>148</v>
      </c>
      <c r="V366" s="4" t="s">
        <v>52</v>
      </c>
      <c r="W366" s="4" t="s">
        <v>53</v>
      </c>
      <c r="X366" s="4" t="s">
        <v>54</v>
      </c>
      <c r="Y366" s="4" t="s">
        <v>176</v>
      </c>
      <c r="Z366" s="12" t="s">
        <v>60</v>
      </c>
      <c r="AA366" s="13" t="s">
        <v>9180</v>
      </c>
      <c r="AB366" s="13" t="s">
        <v>9147</v>
      </c>
      <c r="AC366" s="14" t="s">
        <v>9157</v>
      </c>
      <c r="AD366" s="14" t="s">
        <v>28</v>
      </c>
      <c r="AE366" s="14" t="s">
        <v>183</v>
      </c>
      <c r="AF366" s="14" t="s">
        <v>52</v>
      </c>
      <c r="AG366" s="14" t="s">
        <v>54</v>
      </c>
      <c r="AH366" s="15" t="s">
        <v>9220</v>
      </c>
      <c r="AI366" s="15" t="s">
        <v>9191</v>
      </c>
      <c r="AJ366" s="15" t="s">
        <v>9143</v>
      </c>
      <c r="AK366" s="15" t="s">
        <v>9221</v>
      </c>
      <c r="AL366" s="15" t="s">
        <v>9234</v>
      </c>
      <c r="AM366" s="16" t="s">
        <v>9221</v>
      </c>
      <c r="AN366" s="16" t="s">
        <v>9235</v>
      </c>
    </row>
    <row r="367" spans="1:40" x14ac:dyDescent="0.25">
      <c r="A367" s="4" t="s">
        <v>7683</v>
      </c>
      <c r="B367" s="4"/>
      <c r="C367" s="4" t="s">
        <v>39</v>
      </c>
      <c r="D367" s="4" t="s">
        <v>4924</v>
      </c>
      <c r="E367" s="4" t="s">
        <v>4925</v>
      </c>
      <c r="F367" s="10">
        <v>45665</v>
      </c>
      <c r="G367" s="11">
        <v>0.5625</v>
      </c>
      <c r="H367" s="4" t="s">
        <v>4910</v>
      </c>
      <c r="I367" s="4" t="s">
        <v>7681</v>
      </c>
      <c r="J367" s="4" t="s">
        <v>2956</v>
      </c>
      <c r="K367" s="4" t="s">
        <v>7684</v>
      </c>
      <c r="L367" s="4" t="s">
        <v>7685</v>
      </c>
      <c r="M367" s="4" t="s">
        <v>46</v>
      </c>
      <c r="N367" s="4"/>
      <c r="O367" s="4" t="s">
        <v>47</v>
      </c>
      <c r="P367" s="4" t="s">
        <v>48</v>
      </c>
      <c r="Q367" s="4">
        <v>0</v>
      </c>
      <c r="R367" s="4" t="b">
        <v>0</v>
      </c>
      <c r="S367" s="4" t="s">
        <v>49</v>
      </c>
      <c r="T367" s="4" t="s">
        <v>70</v>
      </c>
      <c r="U367" s="4" t="s">
        <v>71</v>
      </c>
      <c r="V367" s="4" t="s">
        <v>63</v>
      </c>
      <c r="W367" s="4" t="s">
        <v>198</v>
      </c>
      <c r="X367" s="4" t="s">
        <v>54</v>
      </c>
      <c r="Y367" s="4" t="s">
        <v>211</v>
      </c>
      <c r="Z367" s="12">
        <v>0</v>
      </c>
      <c r="AA367" s="13" t="s">
        <v>9180</v>
      </c>
      <c r="AB367" s="13" t="s">
        <v>9147</v>
      </c>
      <c r="AC367" s="14" t="s">
        <v>9139</v>
      </c>
      <c r="AD367" s="14" t="s">
        <v>9140</v>
      </c>
      <c r="AE367" s="14" t="s">
        <v>9140</v>
      </c>
      <c r="AF367" s="14" t="s">
        <v>63</v>
      </c>
      <c r="AG367" s="14" t="s">
        <v>54</v>
      </c>
      <c r="AH367" s="15" t="s">
        <v>9220</v>
      </c>
      <c r="AI367" s="15" t="s">
        <v>9191</v>
      </c>
      <c r="AJ367" s="15" t="s">
        <v>9143</v>
      </c>
      <c r="AK367" s="15" t="s">
        <v>9221</v>
      </c>
      <c r="AL367" s="15" t="s">
        <v>9234</v>
      </c>
      <c r="AM367" s="16" t="s">
        <v>9221</v>
      </c>
      <c r="AN367" s="16" t="s">
        <v>9235</v>
      </c>
    </row>
    <row r="368" spans="1:40" x14ac:dyDescent="0.25">
      <c r="A368" s="4" t="s">
        <v>5783</v>
      </c>
      <c r="B368" s="4">
        <v>7577000</v>
      </c>
      <c r="C368" s="4" t="s">
        <v>39</v>
      </c>
      <c r="D368" s="4" t="s">
        <v>5784</v>
      </c>
      <c r="E368" s="4" t="s">
        <v>5785</v>
      </c>
      <c r="F368" s="10">
        <v>45665</v>
      </c>
      <c r="G368" s="11">
        <v>0.58333333333333337</v>
      </c>
      <c r="H368" s="4" t="s">
        <v>4516</v>
      </c>
      <c r="I368" s="4" t="s">
        <v>5776</v>
      </c>
      <c r="J368" s="4" t="s">
        <v>1412</v>
      </c>
      <c r="K368" s="4" t="s">
        <v>5786</v>
      </c>
      <c r="L368" s="4" t="s">
        <v>5787</v>
      </c>
      <c r="M368" s="4" t="s">
        <v>28</v>
      </c>
      <c r="N368" s="4" t="s">
        <v>478</v>
      </c>
      <c r="O368" s="4" t="s">
        <v>174</v>
      </c>
      <c r="P368" s="4" t="s">
        <v>48</v>
      </c>
      <c r="Q368" s="4">
        <v>0</v>
      </c>
      <c r="R368" s="4" t="b">
        <v>0</v>
      </c>
      <c r="S368" s="4" t="s">
        <v>49</v>
      </c>
      <c r="T368" s="4" t="s">
        <v>115</v>
      </c>
      <c r="U368" s="4" t="s">
        <v>71</v>
      </c>
      <c r="V368" s="4" t="s">
        <v>63</v>
      </c>
      <c r="W368" s="4" t="s">
        <v>108</v>
      </c>
      <c r="X368" s="4" t="s">
        <v>54</v>
      </c>
      <c r="Y368" s="4" t="s">
        <v>486</v>
      </c>
      <c r="Z368" s="12" t="s">
        <v>48</v>
      </c>
      <c r="AA368" s="13" t="s">
        <v>9180</v>
      </c>
      <c r="AB368" s="13" t="s">
        <v>9147</v>
      </c>
      <c r="AC368" s="14" t="s">
        <v>9139</v>
      </c>
      <c r="AD368" s="14" t="s">
        <v>28</v>
      </c>
      <c r="AE368" s="14" t="s">
        <v>478</v>
      </c>
      <c r="AF368" s="14" t="s">
        <v>63</v>
      </c>
      <c r="AG368" s="14" t="s">
        <v>54</v>
      </c>
      <c r="AH368" s="15" t="s">
        <v>9220</v>
      </c>
      <c r="AI368" s="15" t="s">
        <v>9188</v>
      </c>
      <c r="AJ368" s="15" t="s">
        <v>9143</v>
      </c>
      <c r="AK368" s="15" t="s">
        <v>9221</v>
      </c>
      <c r="AL368" s="15" t="s">
        <v>9232</v>
      </c>
      <c r="AM368" s="16" t="s">
        <v>9221</v>
      </c>
      <c r="AN368" s="16" t="s">
        <v>9233</v>
      </c>
    </row>
    <row r="369" spans="1:40" x14ac:dyDescent="0.25">
      <c r="A369" s="4" t="s">
        <v>4543</v>
      </c>
      <c r="B369" s="4"/>
      <c r="C369" s="4" t="s">
        <v>39</v>
      </c>
      <c r="D369" s="4" t="s">
        <v>4544</v>
      </c>
      <c r="E369" s="4" t="s">
        <v>4545</v>
      </c>
      <c r="F369" s="10">
        <v>45664</v>
      </c>
      <c r="G369" s="11">
        <v>0.42708333333333331</v>
      </c>
      <c r="H369" s="4" t="s">
        <v>4516</v>
      </c>
      <c r="I369" s="4" t="s">
        <v>4546</v>
      </c>
      <c r="J369" s="4" t="s">
        <v>3163</v>
      </c>
      <c r="K369" s="4" t="s">
        <v>4547</v>
      </c>
      <c r="L369" s="4" t="s">
        <v>4548</v>
      </c>
      <c r="M369" s="4" t="s">
        <v>46</v>
      </c>
      <c r="N369" s="4"/>
      <c r="O369" s="4" t="s">
        <v>47</v>
      </c>
      <c r="P369" s="4" t="s">
        <v>48</v>
      </c>
      <c r="Q369" s="4">
        <v>0</v>
      </c>
      <c r="R369" s="4" t="b">
        <v>0</v>
      </c>
      <c r="S369" s="4" t="s">
        <v>49</v>
      </c>
      <c r="T369" s="4" t="s">
        <v>50</v>
      </c>
      <c r="U369" s="4" t="s">
        <v>650</v>
      </c>
      <c r="V369" s="4" t="s">
        <v>123</v>
      </c>
      <c r="W369" s="4" t="s">
        <v>192</v>
      </c>
      <c r="X369" s="4" t="s">
        <v>1091</v>
      </c>
      <c r="Y369" s="4" t="s">
        <v>302</v>
      </c>
      <c r="Z369" s="12">
        <v>0</v>
      </c>
      <c r="AA369" s="13" t="s">
        <v>9180</v>
      </c>
      <c r="AB369" s="13" t="s">
        <v>9147</v>
      </c>
      <c r="AC369" s="14" t="s">
        <v>9139</v>
      </c>
      <c r="AD369" s="14" t="s">
        <v>9140</v>
      </c>
      <c r="AE369" s="14" t="s">
        <v>9140</v>
      </c>
      <c r="AF369" s="14" t="s">
        <v>123</v>
      </c>
      <c r="AG369" s="14" t="s">
        <v>1091</v>
      </c>
      <c r="AH369" s="15" t="s">
        <v>9220</v>
      </c>
      <c r="AI369" s="15" t="s">
        <v>9188</v>
      </c>
      <c r="AJ369" s="15" t="s">
        <v>9143</v>
      </c>
      <c r="AK369" s="15" t="s">
        <v>9221</v>
      </c>
      <c r="AL369" s="15" t="s">
        <v>9230</v>
      </c>
      <c r="AM369" s="16" t="s">
        <v>9221</v>
      </c>
      <c r="AN369" s="16" t="s">
        <v>9231</v>
      </c>
    </row>
    <row r="370" spans="1:40" x14ac:dyDescent="0.25">
      <c r="A370" s="4" t="s">
        <v>5257</v>
      </c>
      <c r="B370" s="4"/>
      <c r="C370" s="4" t="s">
        <v>39</v>
      </c>
      <c r="D370" s="4" t="s">
        <v>5258</v>
      </c>
      <c r="E370" s="4" t="s">
        <v>5259</v>
      </c>
      <c r="F370" s="10">
        <v>45664</v>
      </c>
      <c r="G370" s="11">
        <v>0.61458333333333337</v>
      </c>
      <c r="H370" s="4" t="s">
        <v>4516</v>
      </c>
      <c r="I370" s="4" t="s">
        <v>5255</v>
      </c>
      <c r="J370" s="4" t="s">
        <v>3865</v>
      </c>
      <c r="K370" s="4" t="s">
        <v>5260</v>
      </c>
      <c r="L370" s="4" t="s">
        <v>5261</v>
      </c>
      <c r="M370" s="4" t="s">
        <v>46</v>
      </c>
      <c r="N370" s="4"/>
      <c r="O370" s="4" t="s">
        <v>47</v>
      </c>
      <c r="P370" s="4" t="s">
        <v>48</v>
      </c>
      <c r="Q370" s="4">
        <v>0</v>
      </c>
      <c r="R370" s="4" t="b">
        <v>0</v>
      </c>
      <c r="S370" s="4" t="s">
        <v>49</v>
      </c>
      <c r="T370" s="4" t="s">
        <v>50</v>
      </c>
      <c r="U370" s="4" t="s">
        <v>618</v>
      </c>
      <c r="V370" s="4" t="s">
        <v>63</v>
      </c>
      <c r="W370" s="4" t="s">
        <v>108</v>
      </c>
      <c r="X370" s="4" t="s">
        <v>774</v>
      </c>
      <c r="Y370" s="4"/>
      <c r="Z370" s="12">
        <v>0</v>
      </c>
      <c r="AA370" s="13" t="s">
        <v>9180</v>
      </c>
      <c r="AB370" s="13" t="s">
        <v>9147</v>
      </c>
      <c r="AC370" s="14" t="s">
        <v>9139</v>
      </c>
      <c r="AD370" s="14" t="s">
        <v>9140</v>
      </c>
      <c r="AE370" s="14" t="s">
        <v>9140</v>
      </c>
      <c r="AF370" s="14" t="s">
        <v>63</v>
      </c>
      <c r="AG370" s="14" t="s">
        <v>774</v>
      </c>
      <c r="AH370" s="15" t="s">
        <v>9220</v>
      </c>
      <c r="AI370" s="15" t="s">
        <v>9188</v>
      </c>
      <c r="AJ370" s="15" t="s">
        <v>9143</v>
      </c>
      <c r="AK370" s="15" t="s">
        <v>9221</v>
      </c>
      <c r="AL370" s="15" t="s">
        <v>9232</v>
      </c>
      <c r="AM370" s="16" t="s">
        <v>9221</v>
      </c>
      <c r="AN370" s="16" t="s">
        <v>9233</v>
      </c>
    </row>
    <row r="371" spans="1:40" x14ac:dyDescent="0.25">
      <c r="A371" s="4" t="s">
        <v>8642</v>
      </c>
      <c r="B371" s="4"/>
      <c r="C371" s="4" t="s">
        <v>39</v>
      </c>
      <c r="D371" s="4" t="s">
        <v>8643</v>
      </c>
      <c r="E371" s="4" t="s">
        <v>8644</v>
      </c>
      <c r="F371" s="10">
        <v>45664</v>
      </c>
      <c r="G371" s="11">
        <v>0.5625</v>
      </c>
      <c r="H371" s="4" t="s">
        <v>4516</v>
      </c>
      <c r="I371" s="4" t="s">
        <v>8639</v>
      </c>
      <c r="J371" s="4" t="s">
        <v>1406</v>
      </c>
      <c r="K371" s="4" t="s">
        <v>4527</v>
      </c>
      <c r="L371" s="4" t="s">
        <v>8645</v>
      </c>
      <c r="M371" s="4" t="s">
        <v>46</v>
      </c>
      <c r="N371" s="4"/>
      <c r="O371" s="4" t="s">
        <v>47</v>
      </c>
      <c r="P371" s="4" t="s">
        <v>48</v>
      </c>
      <c r="Q371" s="4">
        <v>0</v>
      </c>
      <c r="R371" s="4" t="b">
        <v>0</v>
      </c>
      <c r="S371" s="4" t="s">
        <v>61</v>
      </c>
      <c r="T371" s="4" t="s">
        <v>89</v>
      </c>
      <c r="U371" s="4" t="s">
        <v>600</v>
      </c>
      <c r="V371" s="4" t="s">
        <v>52</v>
      </c>
      <c r="W371" s="4" t="s">
        <v>53</v>
      </c>
      <c r="X371" s="4" t="s">
        <v>54</v>
      </c>
      <c r="Y371" s="4"/>
      <c r="Z371" s="12">
        <v>0</v>
      </c>
      <c r="AA371" s="13" t="s">
        <v>9180</v>
      </c>
      <c r="AB371" s="13" t="s">
        <v>9147</v>
      </c>
      <c r="AC371" s="14" t="s">
        <v>9148</v>
      </c>
      <c r="AD371" s="14" t="s">
        <v>9140</v>
      </c>
      <c r="AE371" s="14" t="s">
        <v>9140</v>
      </c>
      <c r="AF371" s="14" t="s">
        <v>52</v>
      </c>
      <c r="AG371" s="14" t="s">
        <v>54</v>
      </c>
      <c r="AH371" s="15" t="s">
        <v>9220</v>
      </c>
      <c r="AI371" s="15" t="s">
        <v>9188</v>
      </c>
      <c r="AJ371" s="15" t="s">
        <v>9143</v>
      </c>
      <c r="AK371" s="15" t="s">
        <v>9221</v>
      </c>
      <c r="AL371" s="15" t="s">
        <v>9236</v>
      </c>
      <c r="AM371" s="16" t="s">
        <v>9221</v>
      </c>
      <c r="AN371" s="16" t="s">
        <v>9237</v>
      </c>
    </row>
    <row r="372" spans="1:40" x14ac:dyDescent="0.25">
      <c r="A372" s="4" t="s">
        <v>7067</v>
      </c>
      <c r="B372" s="4"/>
      <c r="C372" s="4" t="s">
        <v>39</v>
      </c>
      <c r="D372" s="4" t="s">
        <v>7068</v>
      </c>
      <c r="E372" s="4" t="s">
        <v>7069</v>
      </c>
      <c r="F372" s="10">
        <v>45664</v>
      </c>
      <c r="G372" s="11">
        <v>0.65277777777777779</v>
      </c>
      <c r="H372" s="4" t="s">
        <v>4242</v>
      </c>
      <c r="I372" s="4" t="s">
        <v>7028</v>
      </c>
      <c r="J372" s="4" t="s">
        <v>7029</v>
      </c>
      <c r="K372" s="4" t="s">
        <v>7070</v>
      </c>
      <c r="L372" s="4" t="s">
        <v>7071</v>
      </c>
      <c r="M372" s="4" t="s">
        <v>46</v>
      </c>
      <c r="N372" s="4"/>
      <c r="O372" s="4" t="s">
        <v>47</v>
      </c>
      <c r="P372" s="4" t="s">
        <v>48</v>
      </c>
      <c r="Q372" s="4">
        <v>0</v>
      </c>
      <c r="R372" s="4" t="b">
        <v>0</v>
      </c>
      <c r="S372" s="4" t="s">
        <v>61</v>
      </c>
      <c r="T372" s="4" t="s">
        <v>50</v>
      </c>
      <c r="U372" s="4" t="s">
        <v>71</v>
      </c>
      <c r="V372" s="4" t="s">
        <v>63</v>
      </c>
      <c r="W372" s="4" t="s">
        <v>312</v>
      </c>
      <c r="X372" s="4" t="s">
        <v>54</v>
      </c>
      <c r="Y372" s="4"/>
      <c r="Z372" s="12">
        <v>0</v>
      </c>
      <c r="AA372" s="13" t="s">
        <v>9180</v>
      </c>
      <c r="AB372" s="13" t="s">
        <v>9147</v>
      </c>
      <c r="AC372" s="14" t="s">
        <v>9148</v>
      </c>
      <c r="AD372" s="14" t="s">
        <v>9140</v>
      </c>
      <c r="AE372" s="14" t="s">
        <v>9140</v>
      </c>
      <c r="AF372" s="14" t="s">
        <v>63</v>
      </c>
      <c r="AG372" s="14" t="s">
        <v>54</v>
      </c>
      <c r="AH372" s="15" t="s">
        <v>9220</v>
      </c>
      <c r="AI372" s="15" t="s">
        <v>9187</v>
      </c>
      <c r="AJ372" s="15" t="s">
        <v>9143</v>
      </c>
      <c r="AK372" s="15" t="s">
        <v>9221</v>
      </c>
      <c r="AL372" s="15" t="s">
        <v>9226</v>
      </c>
      <c r="AM372" s="16" t="s">
        <v>9221</v>
      </c>
      <c r="AN372" s="16" t="s">
        <v>9227</v>
      </c>
    </row>
    <row r="373" spans="1:40" x14ac:dyDescent="0.25">
      <c r="A373" s="4" t="s">
        <v>1104</v>
      </c>
      <c r="B373" s="4"/>
      <c r="C373" s="4" t="s">
        <v>39</v>
      </c>
      <c r="D373" s="4" t="s">
        <v>1105</v>
      </c>
      <c r="E373" s="4" t="s">
        <v>1106</v>
      </c>
      <c r="F373" s="10">
        <v>45664</v>
      </c>
      <c r="G373" s="11">
        <v>0.48958333333333331</v>
      </c>
      <c r="H373" s="4" t="s">
        <v>463</v>
      </c>
      <c r="I373" s="4">
        <v>2059</v>
      </c>
      <c r="J373" s="4" t="s">
        <v>1101</v>
      </c>
      <c r="K373" s="4" t="s">
        <v>1107</v>
      </c>
      <c r="L373" s="4" t="s">
        <v>1108</v>
      </c>
      <c r="M373" s="4" t="s">
        <v>28</v>
      </c>
      <c r="N373" s="4" t="s">
        <v>478</v>
      </c>
      <c r="O373" s="4" t="s">
        <v>47</v>
      </c>
      <c r="P373" s="4" t="s">
        <v>60</v>
      </c>
      <c r="Q373" s="4">
        <v>0</v>
      </c>
      <c r="R373" s="4" t="b">
        <v>0</v>
      </c>
      <c r="S373" s="4" t="s">
        <v>49</v>
      </c>
      <c r="T373" s="4" t="s">
        <v>89</v>
      </c>
      <c r="U373" s="4" t="s">
        <v>140</v>
      </c>
      <c r="V373" s="4" t="s">
        <v>63</v>
      </c>
      <c r="W373" s="4" t="s">
        <v>198</v>
      </c>
      <c r="X373" s="4" t="s">
        <v>54</v>
      </c>
      <c r="Y373" s="4"/>
      <c r="Z373" s="12" t="s">
        <v>60</v>
      </c>
      <c r="AA373" s="13" t="s">
        <v>9180</v>
      </c>
      <c r="AB373" s="13" t="s">
        <v>9147</v>
      </c>
      <c r="AC373" s="14" t="s">
        <v>9139</v>
      </c>
      <c r="AD373" s="14" t="s">
        <v>28</v>
      </c>
      <c r="AE373" s="14" t="s">
        <v>478</v>
      </c>
      <c r="AF373" s="14" t="s">
        <v>63</v>
      </c>
      <c r="AG373" s="14" t="s">
        <v>54</v>
      </c>
      <c r="AH373" s="15" t="s">
        <v>9141</v>
      </c>
      <c r="AI373" s="15" t="s">
        <v>9175</v>
      </c>
      <c r="AJ373" s="15" t="s">
        <v>9143</v>
      </c>
      <c r="AK373" s="15" t="s">
        <v>9141</v>
      </c>
      <c r="AL373" s="15" t="s">
        <v>9175</v>
      </c>
      <c r="AM373" s="16" t="s">
        <v>9141</v>
      </c>
      <c r="AN373" s="16" t="s">
        <v>9176</v>
      </c>
    </row>
    <row r="374" spans="1:40" x14ac:dyDescent="0.25">
      <c r="A374" s="4" t="s">
        <v>873</v>
      </c>
      <c r="B374" s="4"/>
      <c r="C374" s="4" t="s">
        <v>39</v>
      </c>
      <c r="D374" s="4" t="s">
        <v>874</v>
      </c>
      <c r="E374" s="4" t="s">
        <v>875</v>
      </c>
      <c r="F374" s="10">
        <v>45663</v>
      </c>
      <c r="G374" s="11">
        <v>0.61458333333333337</v>
      </c>
      <c r="H374" s="4" t="s">
        <v>463</v>
      </c>
      <c r="I374" s="4">
        <v>2030</v>
      </c>
      <c r="J374" s="4" t="s">
        <v>876</v>
      </c>
      <c r="K374" s="4" t="s">
        <v>877</v>
      </c>
      <c r="L374" s="4" t="s">
        <v>878</v>
      </c>
      <c r="M374" s="4" t="s">
        <v>28</v>
      </c>
      <c r="N374" s="4" t="s">
        <v>478</v>
      </c>
      <c r="O374" s="4" t="s">
        <v>174</v>
      </c>
      <c r="P374" s="4" t="s">
        <v>60</v>
      </c>
      <c r="Q374" s="4">
        <v>15</v>
      </c>
      <c r="R374" s="4" t="b">
        <v>0</v>
      </c>
      <c r="S374" s="4" t="s">
        <v>184</v>
      </c>
      <c r="T374" s="4" t="s">
        <v>89</v>
      </c>
      <c r="U374" s="4" t="s">
        <v>140</v>
      </c>
      <c r="V374" s="4" t="s">
        <v>123</v>
      </c>
      <c r="W374" s="4" t="s">
        <v>124</v>
      </c>
      <c r="X374" s="4" t="s">
        <v>98</v>
      </c>
      <c r="Y374" s="4"/>
      <c r="Z374" s="12" t="s">
        <v>60</v>
      </c>
      <c r="AA374" s="13" t="s">
        <v>9180</v>
      </c>
      <c r="AB374" s="13" t="s">
        <v>9147</v>
      </c>
      <c r="AC374" s="14" t="s">
        <v>9166</v>
      </c>
      <c r="AD374" s="14" t="s">
        <v>28</v>
      </c>
      <c r="AE374" s="14" t="s">
        <v>478</v>
      </c>
      <c r="AF374" s="14" t="s">
        <v>123</v>
      </c>
      <c r="AG374" s="14" t="s">
        <v>98</v>
      </c>
      <c r="AH374" s="15" t="s">
        <v>9141</v>
      </c>
      <c r="AI374" s="15" t="s">
        <v>9175</v>
      </c>
      <c r="AJ374" s="15" t="s">
        <v>9143</v>
      </c>
      <c r="AK374" s="15" t="s">
        <v>9141</v>
      </c>
      <c r="AL374" s="15" t="s">
        <v>9177</v>
      </c>
      <c r="AM374" s="16" t="s">
        <v>9141</v>
      </c>
      <c r="AN374" s="16" t="s">
        <v>9178</v>
      </c>
    </row>
    <row r="375" spans="1:40" x14ac:dyDescent="0.25">
      <c r="A375" s="4" t="s">
        <v>6082</v>
      </c>
      <c r="B375" s="4" t="s">
        <v>6083</v>
      </c>
      <c r="C375" s="4" t="s">
        <v>39</v>
      </c>
      <c r="D375" s="4" t="s">
        <v>6084</v>
      </c>
      <c r="E375" s="4" t="s">
        <v>6085</v>
      </c>
      <c r="F375" s="10">
        <v>45663</v>
      </c>
      <c r="G375" s="11">
        <v>0.74027777777777781</v>
      </c>
      <c r="H375" s="4" t="s">
        <v>5666</v>
      </c>
      <c r="I375" s="4" t="s">
        <v>6073</v>
      </c>
      <c r="J375" s="4" t="s">
        <v>3608</v>
      </c>
      <c r="K375" s="4" t="s">
        <v>6086</v>
      </c>
      <c r="L375" s="4" t="s">
        <v>6087</v>
      </c>
      <c r="M375" s="4" t="s">
        <v>28</v>
      </c>
      <c r="N375" s="4" t="s">
        <v>183</v>
      </c>
      <c r="O375" s="4" t="s">
        <v>174</v>
      </c>
      <c r="P375" s="4" t="s">
        <v>60</v>
      </c>
      <c r="Q375" s="4">
        <v>28</v>
      </c>
      <c r="R375" s="4" t="b">
        <v>0</v>
      </c>
      <c r="S375" s="4" t="s">
        <v>184</v>
      </c>
      <c r="T375" s="4" t="s">
        <v>425</v>
      </c>
      <c r="U375" s="4" t="s">
        <v>373</v>
      </c>
      <c r="V375" s="4" t="s">
        <v>123</v>
      </c>
      <c r="W375" s="4" t="s">
        <v>124</v>
      </c>
      <c r="X375" s="4" t="s">
        <v>978</v>
      </c>
      <c r="Y375" s="4"/>
      <c r="Z375" s="12" t="s">
        <v>60</v>
      </c>
      <c r="AA375" s="13" t="s">
        <v>9180</v>
      </c>
      <c r="AB375" s="13" t="s">
        <v>9147</v>
      </c>
      <c r="AC375" s="14" t="s">
        <v>9166</v>
      </c>
      <c r="AD375" s="14" t="s">
        <v>28</v>
      </c>
      <c r="AE375" s="14" t="s">
        <v>183</v>
      </c>
      <c r="AF375" s="14" t="s">
        <v>123</v>
      </c>
      <c r="AG375" s="14" t="s">
        <v>978</v>
      </c>
      <c r="AH375" s="15" t="s">
        <v>9220</v>
      </c>
      <c r="AI375" s="15" t="s">
        <v>9199</v>
      </c>
      <c r="AJ375" s="15" t="s">
        <v>9143</v>
      </c>
      <c r="AK375" s="15" t="s">
        <v>9221</v>
      </c>
      <c r="AL375" s="15" t="s">
        <v>9199</v>
      </c>
      <c r="AM375" s="16" t="s">
        <v>9221</v>
      </c>
      <c r="AN375" s="16" t="s">
        <v>9238</v>
      </c>
    </row>
    <row r="376" spans="1:40" x14ac:dyDescent="0.25">
      <c r="A376" s="4" t="s">
        <v>2092</v>
      </c>
      <c r="B376" s="4"/>
      <c r="C376" s="4" t="s">
        <v>39</v>
      </c>
      <c r="D376" s="4" t="s">
        <v>2093</v>
      </c>
      <c r="E376" s="4" t="s">
        <v>2094</v>
      </c>
      <c r="F376" s="10">
        <v>45663</v>
      </c>
      <c r="G376" s="11">
        <v>0.65902777777777777</v>
      </c>
      <c r="H376" s="4" t="s">
        <v>2095</v>
      </c>
      <c r="I376" s="4" t="s">
        <v>2096</v>
      </c>
      <c r="J376" s="4" t="s">
        <v>2097</v>
      </c>
      <c r="K376" s="4" t="s">
        <v>2098</v>
      </c>
      <c r="L376" s="4" t="s">
        <v>2099</v>
      </c>
      <c r="M376" s="4" t="s">
        <v>46</v>
      </c>
      <c r="N376" s="4"/>
      <c r="O376" s="4" t="s">
        <v>47</v>
      </c>
      <c r="P376" s="4" t="s">
        <v>48</v>
      </c>
      <c r="Q376" s="4">
        <v>0</v>
      </c>
      <c r="R376" s="4" t="b">
        <v>0</v>
      </c>
      <c r="S376" s="4" t="s">
        <v>61</v>
      </c>
      <c r="T376" s="4" t="s">
        <v>115</v>
      </c>
      <c r="U376" s="4" t="s">
        <v>165</v>
      </c>
      <c r="V376" s="4" t="s">
        <v>63</v>
      </c>
      <c r="W376" s="4" t="s">
        <v>108</v>
      </c>
      <c r="X376" s="4" t="s">
        <v>54</v>
      </c>
      <c r="Y376" s="4" t="s">
        <v>323</v>
      </c>
      <c r="Z376" s="12">
        <v>0</v>
      </c>
      <c r="AA376" s="13" t="s">
        <v>9180</v>
      </c>
      <c r="AB376" s="13" t="s">
        <v>9147</v>
      </c>
      <c r="AC376" s="14" t="s">
        <v>9148</v>
      </c>
      <c r="AD376" s="14" t="s">
        <v>9140</v>
      </c>
      <c r="AE376" s="14" t="s">
        <v>9140</v>
      </c>
      <c r="AF376" s="14" t="s">
        <v>63</v>
      </c>
      <c r="AG376" s="14" t="s">
        <v>54</v>
      </c>
      <c r="AH376" s="15" t="s">
        <v>9194</v>
      </c>
      <c r="AI376" s="15" t="s">
        <v>9188</v>
      </c>
      <c r="AJ376" s="15" t="s">
        <v>9143</v>
      </c>
      <c r="AK376" s="15" t="s">
        <v>9194</v>
      </c>
      <c r="AL376" s="15" t="s">
        <v>9203</v>
      </c>
      <c r="AM376" s="16" t="s">
        <v>9194</v>
      </c>
      <c r="AN376" s="16" t="s">
        <v>9204</v>
      </c>
    </row>
    <row r="377" spans="1:40" x14ac:dyDescent="0.25">
      <c r="A377" s="4" t="s">
        <v>4063</v>
      </c>
      <c r="B377" s="4"/>
      <c r="C377" s="4" t="s">
        <v>39</v>
      </c>
      <c r="D377" s="4" t="s">
        <v>4064</v>
      </c>
      <c r="E377" s="4" t="s">
        <v>4065</v>
      </c>
      <c r="F377" s="10">
        <v>45662</v>
      </c>
      <c r="G377" s="11">
        <v>0.47916666666666669</v>
      </c>
      <c r="H377" s="4" t="s">
        <v>4019</v>
      </c>
      <c r="I377" s="4" t="s">
        <v>4060</v>
      </c>
      <c r="J377" s="4" t="s">
        <v>4061</v>
      </c>
      <c r="K377" s="4" t="s">
        <v>4066</v>
      </c>
      <c r="L377" s="4" t="s">
        <v>4067</v>
      </c>
      <c r="M377" s="4" t="s">
        <v>46</v>
      </c>
      <c r="N377" s="4"/>
      <c r="O377" s="4" t="s">
        <v>47</v>
      </c>
      <c r="P377" s="4" t="s">
        <v>48</v>
      </c>
      <c r="Q377" s="4">
        <v>0</v>
      </c>
      <c r="R377" s="4" t="b">
        <v>0</v>
      </c>
      <c r="S377" s="4" t="s">
        <v>61</v>
      </c>
      <c r="T377" s="4" t="s">
        <v>50</v>
      </c>
      <c r="U377" s="4" t="s">
        <v>107</v>
      </c>
      <c r="V377" s="4" t="s">
        <v>63</v>
      </c>
      <c r="W377" s="4" t="s">
        <v>108</v>
      </c>
      <c r="X377" s="4" t="s">
        <v>838</v>
      </c>
      <c r="Y377" s="4"/>
      <c r="Z377" s="12">
        <v>0</v>
      </c>
      <c r="AA377" s="13" t="s">
        <v>9180</v>
      </c>
      <c r="AB377" s="13" t="s">
        <v>9147</v>
      </c>
      <c r="AC377" s="14" t="s">
        <v>9148</v>
      </c>
      <c r="AD377" s="14" t="s">
        <v>9140</v>
      </c>
      <c r="AE377" s="14" t="s">
        <v>9140</v>
      </c>
      <c r="AF377" s="14" t="s">
        <v>63</v>
      </c>
      <c r="AG377" s="14" t="s">
        <v>838</v>
      </c>
      <c r="AH377" s="15" t="s">
        <v>9220</v>
      </c>
      <c r="AI377" s="15" t="s">
        <v>9175</v>
      </c>
      <c r="AJ377" s="15" t="s">
        <v>9143</v>
      </c>
      <c r="AK377" s="15" t="s">
        <v>9221</v>
      </c>
      <c r="AL377" s="15" t="s">
        <v>9222</v>
      </c>
      <c r="AM377" s="16" t="s">
        <v>9221</v>
      </c>
      <c r="AN377" s="16" t="s">
        <v>9223</v>
      </c>
    </row>
    <row r="378" spans="1:40" x14ac:dyDescent="0.25">
      <c r="A378" s="4" t="s">
        <v>7769</v>
      </c>
      <c r="B378" s="4">
        <v>7609902</v>
      </c>
      <c r="C378" s="4" t="s">
        <v>39</v>
      </c>
      <c r="D378" s="4" t="s">
        <v>7770</v>
      </c>
      <c r="E378" s="4" t="s">
        <v>7771</v>
      </c>
      <c r="F378" s="10">
        <v>45661</v>
      </c>
      <c r="G378" s="11">
        <v>0.43055555555555558</v>
      </c>
      <c r="H378" s="4" t="s">
        <v>4516</v>
      </c>
      <c r="I378" s="4" t="s">
        <v>7760</v>
      </c>
      <c r="J378" s="4" t="s">
        <v>7761</v>
      </c>
      <c r="K378" s="4" t="s">
        <v>7772</v>
      </c>
      <c r="L378" s="4" t="s">
        <v>7773</v>
      </c>
      <c r="M378" s="4" t="s">
        <v>28</v>
      </c>
      <c r="N378" s="4" t="s">
        <v>478</v>
      </c>
      <c r="O378" s="4" t="s">
        <v>191</v>
      </c>
      <c r="P378" s="4" t="s">
        <v>60</v>
      </c>
      <c r="Q378" s="4">
        <v>0</v>
      </c>
      <c r="R378" s="4" t="b">
        <v>0</v>
      </c>
      <c r="S378" s="4" t="s">
        <v>114</v>
      </c>
      <c r="T378" s="4" t="s">
        <v>115</v>
      </c>
      <c r="U378" s="4" t="s">
        <v>887</v>
      </c>
      <c r="V378" s="4" t="s">
        <v>52</v>
      </c>
      <c r="W378" s="4" t="s">
        <v>374</v>
      </c>
      <c r="X378" s="4" t="s">
        <v>54</v>
      </c>
      <c r="Y378" s="4"/>
      <c r="Z378" s="12" t="s">
        <v>60</v>
      </c>
      <c r="AA378" s="13" t="s">
        <v>9180</v>
      </c>
      <c r="AB378" s="13" t="s">
        <v>9147</v>
      </c>
      <c r="AC378" s="14" t="s">
        <v>9157</v>
      </c>
      <c r="AD378" s="14" t="s">
        <v>28</v>
      </c>
      <c r="AE378" s="14" t="s">
        <v>478</v>
      </c>
      <c r="AF378" s="14" t="s">
        <v>52</v>
      </c>
      <c r="AG378" s="14" t="s">
        <v>54</v>
      </c>
      <c r="AH378" s="15" t="s">
        <v>9220</v>
      </c>
      <c r="AI378" s="15" t="s">
        <v>9188</v>
      </c>
      <c r="AJ378" s="15" t="s">
        <v>9143</v>
      </c>
      <c r="AK378" s="15" t="s">
        <v>9221</v>
      </c>
      <c r="AL378" s="15" t="s">
        <v>9230</v>
      </c>
      <c r="AM378" s="16" t="s">
        <v>9221</v>
      </c>
      <c r="AN378" s="16" t="s">
        <v>9231</v>
      </c>
    </row>
    <row r="379" spans="1:40" x14ac:dyDescent="0.25">
      <c r="A379" s="4" t="s">
        <v>2136</v>
      </c>
      <c r="B379" s="4"/>
      <c r="C379" s="4" t="s">
        <v>39</v>
      </c>
      <c r="D379" s="4" t="s">
        <v>2137</v>
      </c>
      <c r="E379" s="4" t="s">
        <v>2138</v>
      </c>
      <c r="F379" s="10">
        <v>45661</v>
      </c>
      <c r="G379" s="11">
        <v>0.62777777777777777</v>
      </c>
      <c r="H379" s="4" t="s">
        <v>1992</v>
      </c>
      <c r="I379" s="4" t="s">
        <v>2139</v>
      </c>
      <c r="J379" s="4" t="s">
        <v>2140</v>
      </c>
      <c r="K379" s="4" t="s">
        <v>2141</v>
      </c>
      <c r="L379" s="4" t="s">
        <v>2142</v>
      </c>
      <c r="M379" s="4" t="s">
        <v>46</v>
      </c>
      <c r="N379" s="4"/>
      <c r="O379" s="4" t="s">
        <v>47</v>
      </c>
      <c r="P379" s="4" t="s">
        <v>48</v>
      </c>
      <c r="Q379" s="4">
        <v>0</v>
      </c>
      <c r="R379" s="4" t="b">
        <v>0</v>
      </c>
      <c r="S379" s="4" t="s">
        <v>49</v>
      </c>
      <c r="T379" s="4" t="s">
        <v>115</v>
      </c>
      <c r="U379" s="4" t="s">
        <v>165</v>
      </c>
      <c r="V379" s="4" t="s">
        <v>63</v>
      </c>
      <c r="W379" s="4" t="s">
        <v>198</v>
      </c>
      <c r="X379" s="4" t="s">
        <v>54</v>
      </c>
      <c r="Y379" s="4" t="s">
        <v>486</v>
      </c>
      <c r="Z379" s="12">
        <v>0</v>
      </c>
      <c r="AA379" s="13" t="s">
        <v>9180</v>
      </c>
      <c r="AB379" s="13" t="s">
        <v>9147</v>
      </c>
      <c r="AC379" s="14" t="s">
        <v>9139</v>
      </c>
      <c r="AD379" s="14" t="s">
        <v>9140</v>
      </c>
      <c r="AE379" s="14" t="s">
        <v>9140</v>
      </c>
      <c r="AF379" s="14" t="s">
        <v>63</v>
      </c>
      <c r="AG379" s="14" t="s">
        <v>54</v>
      </c>
      <c r="AH379" s="15" t="s">
        <v>9194</v>
      </c>
      <c r="AI379" s="15" t="s">
        <v>9191</v>
      </c>
      <c r="AJ379" s="15" t="s">
        <v>9143</v>
      </c>
      <c r="AK379" s="15" t="s">
        <v>9194</v>
      </c>
      <c r="AL379" s="15" t="s">
        <v>9205</v>
      </c>
      <c r="AM379" s="16" t="s">
        <v>9194</v>
      </c>
      <c r="AN379" s="16" t="s">
        <v>9206</v>
      </c>
    </row>
    <row r="380" spans="1:40" x14ac:dyDescent="0.25">
      <c r="A380" s="4" t="s">
        <v>1212</v>
      </c>
      <c r="B380" s="4"/>
      <c r="C380" s="4" t="s">
        <v>39</v>
      </c>
      <c r="D380" s="4" t="s">
        <v>1198</v>
      </c>
      <c r="E380" s="4" t="s">
        <v>1199</v>
      </c>
      <c r="F380" s="10">
        <v>45661</v>
      </c>
      <c r="G380" s="11">
        <v>0.3840277777777778</v>
      </c>
      <c r="H380" s="4" t="s">
        <v>1155</v>
      </c>
      <c r="I380" s="4">
        <v>4043</v>
      </c>
      <c r="J380" s="4" t="s">
        <v>1200</v>
      </c>
      <c r="K380" s="4" t="s">
        <v>604</v>
      </c>
      <c r="L380" s="4" t="s">
        <v>1213</v>
      </c>
      <c r="M380" s="4" t="s">
        <v>46</v>
      </c>
      <c r="N380" s="4"/>
      <c r="O380" s="4" t="s">
        <v>47</v>
      </c>
      <c r="P380" s="4" t="s">
        <v>48</v>
      </c>
      <c r="Q380" s="4">
        <v>0</v>
      </c>
      <c r="R380" s="4" t="b">
        <v>0</v>
      </c>
      <c r="S380" s="4" t="s">
        <v>61</v>
      </c>
      <c r="T380" s="4" t="s">
        <v>89</v>
      </c>
      <c r="U380" s="4" t="s">
        <v>107</v>
      </c>
      <c r="V380" s="4" t="s">
        <v>63</v>
      </c>
      <c r="W380" s="4" t="s">
        <v>108</v>
      </c>
      <c r="X380" s="4" t="s">
        <v>98</v>
      </c>
      <c r="Y380" s="4"/>
      <c r="Z380" s="12">
        <v>0</v>
      </c>
      <c r="AA380" s="13" t="s">
        <v>9180</v>
      </c>
      <c r="AB380" s="13" t="s">
        <v>9147</v>
      </c>
      <c r="AC380" s="14" t="s">
        <v>9148</v>
      </c>
      <c r="AD380" s="14" t="s">
        <v>9140</v>
      </c>
      <c r="AE380" s="14" t="s">
        <v>9140</v>
      </c>
      <c r="AF380" s="14" t="s">
        <v>63</v>
      </c>
      <c r="AG380" s="14" t="s">
        <v>98</v>
      </c>
      <c r="AH380" s="15" t="s">
        <v>9141</v>
      </c>
      <c r="AI380" s="15" t="s">
        <v>9187</v>
      </c>
      <c r="AJ380" s="15" t="s">
        <v>9143</v>
      </c>
      <c r="AK380" s="15" t="s">
        <v>9141</v>
      </c>
      <c r="AL380" s="15" t="s">
        <v>9144</v>
      </c>
      <c r="AM380" s="16" t="s">
        <v>9141</v>
      </c>
      <c r="AN380" s="16" t="s">
        <v>9145</v>
      </c>
    </row>
    <row r="381" spans="1:40" x14ac:dyDescent="0.25">
      <c r="A381" s="4" t="s">
        <v>1176</v>
      </c>
      <c r="B381" s="4"/>
      <c r="C381" s="4" t="s">
        <v>39</v>
      </c>
      <c r="D381" s="4" t="s">
        <v>1171</v>
      </c>
      <c r="E381" s="4" t="s">
        <v>1172</v>
      </c>
      <c r="F381" s="10">
        <v>45661</v>
      </c>
      <c r="G381" s="11">
        <v>0.44791666666666669</v>
      </c>
      <c r="H381" s="4" t="s">
        <v>1155</v>
      </c>
      <c r="I381" s="4">
        <v>4042</v>
      </c>
      <c r="J381" s="4" t="s">
        <v>1173</v>
      </c>
      <c r="K381" s="4" t="s">
        <v>1177</v>
      </c>
      <c r="L381" s="4" t="s">
        <v>1178</v>
      </c>
      <c r="M381" s="4" t="s">
        <v>46</v>
      </c>
      <c r="N381" s="4"/>
      <c r="O381" s="4" t="s">
        <v>47</v>
      </c>
      <c r="P381" s="4" t="s">
        <v>48</v>
      </c>
      <c r="Q381" s="4">
        <v>0</v>
      </c>
      <c r="R381" s="4" t="b">
        <v>0</v>
      </c>
      <c r="S381" s="4" t="s">
        <v>61</v>
      </c>
      <c r="T381" s="4" t="s">
        <v>89</v>
      </c>
      <c r="U381" s="4" t="s">
        <v>426</v>
      </c>
      <c r="V381" s="4" t="s">
        <v>52</v>
      </c>
      <c r="W381" s="4" t="s">
        <v>53</v>
      </c>
      <c r="X381" s="4" t="s">
        <v>54</v>
      </c>
      <c r="Y381" s="4"/>
      <c r="Z381" s="12">
        <v>0</v>
      </c>
      <c r="AA381" s="13" t="s">
        <v>9180</v>
      </c>
      <c r="AB381" s="13" t="s">
        <v>9147</v>
      </c>
      <c r="AC381" s="14" t="s">
        <v>9148</v>
      </c>
      <c r="AD381" s="14" t="s">
        <v>9140</v>
      </c>
      <c r="AE381" s="14" t="s">
        <v>9140</v>
      </c>
      <c r="AF381" s="14" t="s">
        <v>52</v>
      </c>
      <c r="AG381" s="14" t="s">
        <v>54</v>
      </c>
      <c r="AH381" s="15" t="s">
        <v>9141</v>
      </c>
      <c r="AI381" s="15" t="s">
        <v>9187</v>
      </c>
      <c r="AJ381" s="15" t="s">
        <v>9143</v>
      </c>
      <c r="AK381" s="15" t="s">
        <v>9141</v>
      </c>
      <c r="AL381" s="15" t="s">
        <v>9144</v>
      </c>
      <c r="AM381" s="16" t="s">
        <v>9141</v>
      </c>
      <c r="AN381" s="16" t="s">
        <v>9145</v>
      </c>
    </row>
    <row r="382" spans="1:40" x14ac:dyDescent="0.25">
      <c r="A382" s="4" t="s">
        <v>2044</v>
      </c>
      <c r="B382" s="4" t="s">
        <v>2045</v>
      </c>
      <c r="C382" s="4" t="s">
        <v>39</v>
      </c>
      <c r="D382" s="4" t="s">
        <v>2046</v>
      </c>
      <c r="E382" s="4" t="s">
        <v>2047</v>
      </c>
      <c r="F382" s="10">
        <v>45660</v>
      </c>
      <c r="G382" s="11">
        <v>0.39583333333333331</v>
      </c>
      <c r="H382" s="4" t="s">
        <v>1992</v>
      </c>
      <c r="I382" s="4" t="s">
        <v>2048</v>
      </c>
      <c r="J382" s="4" t="s">
        <v>2049</v>
      </c>
      <c r="K382" s="4" t="s">
        <v>2050</v>
      </c>
      <c r="L382" s="4" t="s">
        <v>2051</v>
      </c>
      <c r="M382" s="4" t="s">
        <v>28</v>
      </c>
      <c r="N382" s="4" t="s">
        <v>183</v>
      </c>
      <c r="O382" s="4" t="s">
        <v>174</v>
      </c>
      <c r="P382" s="4" t="s">
        <v>48</v>
      </c>
      <c r="Q382" s="4">
        <v>2</v>
      </c>
      <c r="R382" s="4" t="b">
        <v>0</v>
      </c>
      <c r="S382" s="4" t="s">
        <v>184</v>
      </c>
      <c r="T382" s="4" t="s">
        <v>479</v>
      </c>
      <c r="U382" s="4" t="s">
        <v>148</v>
      </c>
      <c r="V382" s="4" t="s">
        <v>52</v>
      </c>
      <c r="W382" s="4" t="s">
        <v>255</v>
      </c>
      <c r="X382" s="4" t="s">
        <v>838</v>
      </c>
      <c r="Y382" s="4" t="s">
        <v>2052</v>
      </c>
      <c r="Z382" s="12" t="s">
        <v>48</v>
      </c>
      <c r="AA382" s="13" t="s">
        <v>9180</v>
      </c>
      <c r="AB382" s="13" t="s">
        <v>9147</v>
      </c>
      <c r="AC382" s="14" t="s">
        <v>9166</v>
      </c>
      <c r="AD382" s="14" t="s">
        <v>28</v>
      </c>
      <c r="AE382" s="14" t="s">
        <v>183</v>
      </c>
      <c r="AF382" s="14" t="s">
        <v>52</v>
      </c>
      <c r="AG382" s="14" t="s">
        <v>838</v>
      </c>
      <c r="AH382" s="15" t="s">
        <v>9194</v>
      </c>
      <c r="AI382" s="15" t="s">
        <v>9191</v>
      </c>
      <c r="AJ382" s="15" t="s">
        <v>9143</v>
      </c>
      <c r="AK382" s="15" t="s">
        <v>9194</v>
      </c>
      <c r="AL382" s="15" t="s">
        <v>9201</v>
      </c>
      <c r="AM382" s="16" t="s">
        <v>9194</v>
      </c>
      <c r="AN382" s="16" t="s">
        <v>9202</v>
      </c>
    </row>
    <row r="383" spans="1:40" x14ac:dyDescent="0.25">
      <c r="A383" s="4" t="s">
        <v>3543</v>
      </c>
      <c r="B383" s="4"/>
      <c r="C383" s="4" t="s">
        <v>39</v>
      </c>
      <c r="D383" s="4" t="s">
        <v>3544</v>
      </c>
      <c r="E383" s="4" t="s">
        <v>3545</v>
      </c>
      <c r="F383" s="10">
        <v>45659</v>
      </c>
      <c r="G383" s="11">
        <v>0.72569444444444442</v>
      </c>
      <c r="H383" s="4" t="s">
        <v>1992</v>
      </c>
      <c r="I383" s="4" t="s">
        <v>3539</v>
      </c>
      <c r="J383" s="4" t="s">
        <v>3540</v>
      </c>
      <c r="K383" s="4" t="s">
        <v>3546</v>
      </c>
      <c r="L383" s="4" t="s">
        <v>3547</v>
      </c>
      <c r="M383" s="4" t="s">
        <v>46</v>
      </c>
      <c r="N383" s="4"/>
      <c r="O383" s="4" t="s">
        <v>47</v>
      </c>
      <c r="P383" s="4" t="s">
        <v>48</v>
      </c>
      <c r="Q383" s="4">
        <v>0</v>
      </c>
      <c r="R383" s="4" t="b">
        <v>0</v>
      </c>
      <c r="S383" s="4" t="s">
        <v>114</v>
      </c>
      <c r="T383" s="4" t="s">
        <v>583</v>
      </c>
      <c r="U383" s="4" t="s">
        <v>175</v>
      </c>
      <c r="V383" s="4" t="s">
        <v>52</v>
      </c>
      <c r="W383" s="4" t="s">
        <v>53</v>
      </c>
      <c r="X383" s="4" t="s">
        <v>136</v>
      </c>
      <c r="Y383" s="4" t="s">
        <v>176</v>
      </c>
      <c r="Z383" s="12">
        <v>0</v>
      </c>
      <c r="AA383" s="13" t="s">
        <v>9180</v>
      </c>
      <c r="AB383" s="13" t="s">
        <v>9147</v>
      </c>
      <c r="AC383" s="14" t="s">
        <v>9157</v>
      </c>
      <c r="AD383" s="14" t="s">
        <v>9140</v>
      </c>
      <c r="AE383" s="14" t="s">
        <v>9140</v>
      </c>
      <c r="AF383" s="14" t="s">
        <v>52</v>
      </c>
      <c r="AG383" s="14" t="s">
        <v>136</v>
      </c>
      <c r="AH383" s="15" t="s">
        <v>9194</v>
      </c>
      <c r="AI383" s="15" t="s">
        <v>9191</v>
      </c>
      <c r="AJ383" s="15" t="s">
        <v>9143</v>
      </c>
      <c r="AK383" s="15" t="s">
        <v>9194</v>
      </c>
      <c r="AL383" s="15" t="s">
        <v>9205</v>
      </c>
      <c r="AM383" s="16" t="s">
        <v>9194</v>
      </c>
      <c r="AN383" s="16" t="s">
        <v>9206</v>
      </c>
    </row>
    <row r="384" spans="1:40" x14ac:dyDescent="0.25">
      <c r="A384" s="4" t="s">
        <v>3350</v>
      </c>
      <c r="B384" s="4"/>
      <c r="C384" s="4" t="s">
        <v>39</v>
      </c>
      <c r="D384" s="4" t="s">
        <v>3351</v>
      </c>
      <c r="E384" s="4" t="s">
        <v>3352</v>
      </c>
      <c r="F384" s="10">
        <v>45659</v>
      </c>
      <c r="G384" s="11">
        <v>0.71527777777777779</v>
      </c>
      <c r="H384" s="4" t="s">
        <v>1992</v>
      </c>
      <c r="I384" s="4" t="s">
        <v>3353</v>
      </c>
      <c r="J384" s="4" t="s">
        <v>3354</v>
      </c>
      <c r="K384" s="4" t="s">
        <v>3355</v>
      </c>
      <c r="L384" s="4" t="s">
        <v>3356</v>
      </c>
      <c r="M384" s="4" t="s">
        <v>46</v>
      </c>
      <c r="N384" s="4"/>
      <c r="O384" s="4" t="s">
        <v>47</v>
      </c>
      <c r="P384" s="4" t="s">
        <v>48</v>
      </c>
      <c r="Q384" s="4">
        <v>0</v>
      </c>
      <c r="R384" s="4" t="b">
        <v>0</v>
      </c>
      <c r="S384" s="4" t="s">
        <v>49</v>
      </c>
      <c r="T384" s="4" t="s">
        <v>1058</v>
      </c>
      <c r="U384" s="4" t="s">
        <v>71</v>
      </c>
      <c r="V384" s="4" t="s">
        <v>405</v>
      </c>
      <c r="W384" s="4" t="s">
        <v>406</v>
      </c>
      <c r="X384" s="4" t="s">
        <v>3357</v>
      </c>
      <c r="Y384" s="4"/>
      <c r="Z384" s="12">
        <v>0</v>
      </c>
      <c r="AA384" s="13" t="s">
        <v>9180</v>
      </c>
      <c r="AB384" s="13" t="s">
        <v>9147</v>
      </c>
      <c r="AC384" s="14" t="s">
        <v>9139</v>
      </c>
      <c r="AD384" s="14" t="s">
        <v>9140</v>
      </c>
      <c r="AE384" s="14" t="s">
        <v>9140</v>
      </c>
      <c r="AF384" s="14" t="s">
        <v>405</v>
      </c>
      <c r="AG384" s="14" t="s">
        <v>3357</v>
      </c>
      <c r="AH384" s="15" t="s">
        <v>9194</v>
      </c>
      <c r="AI384" s="15" t="s">
        <v>9191</v>
      </c>
      <c r="AJ384" s="15" t="s">
        <v>9143</v>
      </c>
      <c r="AK384" s="15" t="s">
        <v>9194</v>
      </c>
      <c r="AL384" s="15" t="s">
        <v>9205</v>
      </c>
      <c r="AM384" s="16" t="s">
        <v>9194</v>
      </c>
      <c r="AN384" s="16" t="s">
        <v>9206</v>
      </c>
    </row>
    <row r="385" spans="1:40" x14ac:dyDescent="0.25">
      <c r="A385" s="4" t="s">
        <v>4914</v>
      </c>
      <c r="B385" s="4"/>
      <c r="C385" s="4" t="s">
        <v>39</v>
      </c>
      <c r="D385" s="4" t="s">
        <v>4915</v>
      </c>
      <c r="E385" s="4" t="s">
        <v>4916</v>
      </c>
      <c r="F385" s="10">
        <v>45659</v>
      </c>
      <c r="G385" s="11">
        <v>0.58333333333333337</v>
      </c>
      <c r="H385" s="4" t="s">
        <v>4910</v>
      </c>
      <c r="I385" s="4" t="s">
        <v>4911</v>
      </c>
      <c r="J385" s="4" t="s">
        <v>2049</v>
      </c>
      <c r="K385" s="4" t="s">
        <v>4917</v>
      </c>
      <c r="L385" s="4" t="s">
        <v>4918</v>
      </c>
      <c r="M385" s="4" t="s">
        <v>46</v>
      </c>
      <c r="N385" s="4"/>
      <c r="O385" s="4" t="s">
        <v>47</v>
      </c>
      <c r="P385" s="4" t="s">
        <v>48</v>
      </c>
      <c r="Q385" s="4">
        <v>0</v>
      </c>
      <c r="R385" s="4" t="b">
        <v>0</v>
      </c>
      <c r="S385" s="4" t="s">
        <v>61</v>
      </c>
      <c r="T385" s="4" t="s">
        <v>50</v>
      </c>
      <c r="U385" s="4" t="s">
        <v>426</v>
      </c>
      <c r="V385" s="4" t="s">
        <v>63</v>
      </c>
      <c r="W385" s="4" t="s">
        <v>108</v>
      </c>
      <c r="X385" s="4" t="s">
        <v>136</v>
      </c>
      <c r="Y385" s="4"/>
      <c r="Z385" s="12">
        <v>0</v>
      </c>
      <c r="AA385" s="13" t="s">
        <v>9180</v>
      </c>
      <c r="AB385" s="13" t="s">
        <v>9147</v>
      </c>
      <c r="AC385" s="14" t="s">
        <v>9148</v>
      </c>
      <c r="AD385" s="14" t="s">
        <v>9140</v>
      </c>
      <c r="AE385" s="14" t="s">
        <v>9140</v>
      </c>
      <c r="AF385" s="14" t="s">
        <v>63</v>
      </c>
      <c r="AG385" s="14" t="s">
        <v>136</v>
      </c>
      <c r="AH385" s="15" t="s">
        <v>9220</v>
      </c>
      <c r="AI385" s="15" t="s">
        <v>9191</v>
      </c>
      <c r="AJ385" s="15" t="s">
        <v>9143</v>
      </c>
      <c r="AK385" s="15" t="s">
        <v>9221</v>
      </c>
      <c r="AL385" s="15" t="s">
        <v>9234</v>
      </c>
      <c r="AM385" s="16" t="s">
        <v>9221</v>
      </c>
      <c r="AN385" s="16" t="s">
        <v>9235</v>
      </c>
    </row>
    <row r="386" spans="1:40" x14ac:dyDescent="0.25">
      <c r="A386" s="4" t="s">
        <v>4475</v>
      </c>
      <c r="B386" s="4"/>
      <c r="C386" s="4" t="s">
        <v>39</v>
      </c>
      <c r="D386" s="4" t="s">
        <v>4476</v>
      </c>
      <c r="E386" s="4" t="s">
        <v>4477</v>
      </c>
      <c r="F386" s="10">
        <v>45659</v>
      </c>
      <c r="G386" s="11">
        <v>0.19652777777777777</v>
      </c>
      <c r="H386" s="4" t="s">
        <v>4019</v>
      </c>
      <c r="I386" s="4" t="s">
        <v>4472</v>
      </c>
      <c r="J386" s="4" t="s">
        <v>3707</v>
      </c>
      <c r="K386" s="4" t="s">
        <v>4478</v>
      </c>
      <c r="L386" s="4" t="s">
        <v>4479</v>
      </c>
      <c r="M386" s="4" t="s">
        <v>46</v>
      </c>
      <c r="N386" s="4"/>
      <c r="O386" s="4" t="s">
        <v>47</v>
      </c>
      <c r="P386" s="4" t="s">
        <v>60</v>
      </c>
      <c r="Q386" s="4">
        <v>0</v>
      </c>
      <c r="R386" s="4" t="b">
        <v>0</v>
      </c>
      <c r="S386" s="4" t="s">
        <v>114</v>
      </c>
      <c r="T386" s="4" t="s">
        <v>134</v>
      </c>
      <c r="U386" s="4" t="s">
        <v>527</v>
      </c>
      <c r="V386" s="4" t="s">
        <v>225</v>
      </c>
      <c r="W386" s="4" t="s">
        <v>226</v>
      </c>
      <c r="X386" s="4" t="s">
        <v>2826</v>
      </c>
      <c r="Y386" s="4"/>
      <c r="Z386" s="12">
        <v>0</v>
      </c>
      <c r="AA386" s="13" t="s">
        <v>9180</v>
      </c>
      <c r="AB386" s="13" t="s">
        <v>9147</v>
      </c>
      <c r="AC386" s="14" t="s">
        <v>9157</v>
      </c>
      <c r="AD386" s="14" t="s">
        <v>9140</v>
      </c>
      <c r="AE386" s="14" t="s">
        <v>9140</v>
      </c>
      <c r="AF386" s="14" t="s">
        <v>225</v>
      </c>
      <c r="AG386" s="14" t="s">
        <v>2826</v>
      </c>
      <c r="AH386" s="15" t="s">
        <v>9220</v>
      </c>
      <c r="AI386" s="15" t="s">
        <v>9175</v>
      </c>
      <c r="AJ386" s="15" t="s">
        <v>9143</v>
      </c>
      <c r="AK386" s="15" t="s">
        <v>9221</v>
      </c>
      <c r="AL386" s="15" t="s">
        <v>9228</v>
      </c>
      <c r="AM386" s="16" t="s">
        <v>9221</v>
      </c>
      <c r="AN386" s="16" t="s">
        <v>9229</v>
      </c>
    </row>
    <row r="387" spans="1:40" x14ac:dyDescent="0.25">
      <c r="A387" s="4" t="s">
        <v>4919</v>
      </c>
      <c r="B387" s="4"/>
      <c r="C387" s="4" t="s">
        <v>39</v>
      </c>
      <c r="D387" s="4" t="s">
        <v>4915</v>
      </c>
      <c r="E387" s="4" t="s">
        <v>4916</v>
      </c>
      <c r="F387" s="10">
        <v>45658</v>
      </c>
      <c r="G387" s="11">
        <v>0.66666666666666663</v>
      </c>
      <c r="H387" s="4" t="s">
        <v>4910</v>
      </c>
      <c r="I387" s="4" t="s">
        <v>4911</v>
      </c>
      <c r="J387" s="4" t="s">
        <v>2049</v>
      </c>
      <c r="K387" s="4" t="s">
        <v>4920</v>
      </c>
      <c r="L387" s="4" t="s">
        <v>4921</v>
      </c>
      <c r="M387" s="4" t="s">
        <v>432</v>
      </c>
      <c r="N387" s="4"/>
      <c r="O387" s="4" t="s">
        <v>47</v>
      </c>
      <c r="P387" s="4" t="s">
        <v>48</v>
      </c>
      <c r="Q387" s="4">
        <v>0</v>
      </c>
      <c r="R387" s="4" t="b">
        <v>0</v>
      </c>
      <c r="S387" s="4" t="s">
        <v>61</v>
      </c>
      <c r="T387" s="4" t="s">
        <v>50</v>
      </c>
      <c r="U387" s="4" t="s">
        <v>140</v>
      </c>
      <c r="V387" s="4" t="s">
        <v>72</v>
      </c>
      <c r="W387" s="4" t="s">
        <v>73</v>
      </c>
      <c r="X387" s="4" t="s">
        <v>4922</v>
      </c>
      <c r="Y387" s="4" t="s">
        <v>1944</v>
      </c>
      <c r="Z387" s="12">
        <v>0</v>
      </c>
      <c r="AA387" s="13" t="s">
        <v>9180</v>
      </c>
      <c r="AB387" s="13" t="s">
        <v>9147</v>
      </c>
      <c r="AC387" s="14" t="s">
        <v>9148</v>
      </c>
      <c r="AD387" s="14" t="s">
        <v>9140</v>
      </c>
      <c r="AE387" s="14" t="s">
        <v>9140</v>
      </c>
      <c r="AF387" s="14" t="s">
        <v>72</v>
      </c>
      <c r="AG387" s="14" t="s">
        <v>4922</v>
      </c>
      <c r="AH387" s="15" t="s">
        <v>9220</v>
      </c>
      <c r="AI387" s="15" t="s">
        <v>9191</v>
      </c>
      <c r="AJ387" s="15" t="s">
        <v>9143</v>
      </c>
      <c r="AK387" s="15" t="s">
        <v>9221</v>
      </c>
      <c r="AL387" s="15" t="s">
        <v>9234</v>
      </c>
      <c r="AM387" s="16" t="s">
        <v>9221</v>
      </c>
      <c r="AN387" s="16" t="s">
        <v>9235</v>
      </c>
    </row>
    <row r="388" spans="1:40" x14ac:dyDescent="0.25">
      <c r="A388" s="4" t="s">
        <v>5307</v>
      </c>
      <c r="B388" s="4"/>
      <c r="C388" s="4" t="s">
        <v>39</v>
      </c>
      <c r="D388" s="4" t="s">
        <v>5308</v>
      </c>
      <c r="E388" s="4" t="s">
        <v>5309</v>
      </c>
      <c r="F388" s="10">
        <v>45657</v>
      </c>
      <c r="G388" s="11">
        <v>0.43402777777777779</v>
      </c>
      <c r="H388" s="4" t="s">
        <v>4516</v>
      </c>
      <c r="I388" s="4" t="s">
        <v>5275</v>
      </c>
      <c r="J388" s="4" t="s">
        <v>5276</v>
      </c>
      <c r="K388" s="4" t="s">
        <v>5310</v>
      </c>
      <c r="L388" s="4" t="s">
        <v>5311</v>
      </c>
      <c r="M388" s="4" t="s">
        <v>46</v>
      </c>
      <c r="N388" s="4"/>
      <c r="O388" s="4" t="s">
        <v>47</v>
      </c>
      <c r="P388" s="4" t="s">
        <v>48</v>
      </c>
      <c r="Q388" s="4">
        <v>0</v>
      </c>
      <c r="R388" s="4" t="b">
        <v>0</v>
      </c>
      <c r="S388" s="4" t="s">
        <v>61</v>
      </c>
      <c r="T388" s="4" t="s">
        <v>479</v>
      </c>
      <c r="U388" s="4" t="s">
        <v>175</v>
      </c>
      <c r="V388" s="4" t="s">
        <v>52</v>
      </c>
      <c r="W388" s="4" t="s">
        <v>255</v>
      </c>
      <c r="X388" s="4" t="s">
        <v>1091</v>
      </c>
      <c r="Y388" s="4" t="s">
        <v>302</v>
      </c>
      <c r="Z388" s="12">
        <v>0</v>
      </c>
      <c r="AA388" s="13" t="s">
        <v>9180</v>
      </c>
      <c r="AB388" s="13" t="s">
        <v>9147</v>
      </c>
      <c r="AC388" s="14" t="s">
        <v>9148</v>
      </c>
      <c r="AD388" s="14" t="s">
        <v>9140</v>
      </c>
      <c r="AE388" s="14" t="s">
        <v>9140</v>
      </c>
      <c r="AF388" s="14" t="s">
        <v>52</v>
      </c>
      <c r="AG388" s="14" t="s">
        <v>1091</v>
      </c>
      <c r="AH388" s="15" t="s">
        <v>9220</v>
      </c>
      <c r="AI388" s="15" t="s">
        <v>9188</v>
      </c>
      <c r="AJ388" s="15" t="s">
        <v>9143</v>
      </c>
      <c r="AK388" s="15" t="s">
        <v>9221</v>
      </c>
      <c r="AL388" s="15" t="s">
        <v>9230</v>
      </c>
      <c r="AM388" s="16" t="s">
        <v>9221</v>
      </c>
      <c r="AN388" s="16" t="s">
        <v>9231</v>
      </c>
    </row>
    <row r="389" spans="1:40" x14ac:dyDescent="0.25">
      <c r="A389" s="4" t="s">
        <v>5928</v>
      </c>
      <c r="B389" s="4"/>
      <c r="C389" s="4" t="s">
        <v>39</v>
      </c>
      <c r="D389" s="4" t="s">
        <v>5929</v>
      </c>
      <c r="E389" s="4" t="s">
        <v>5930</v>
      </c>
      <c r="F389" s="10">
        <v>45657</v>
      </c>
      <c r="G389" s="11">
        <v>0.42708333333333331</v>
      </c>
      <c r="H389" s="4" t="s">
        <v>4242</v>
      </c>
      <c r="I389" s="4" t="s">
        <v>5918</v>
      </c>
      <c r="J389" s="4" t="s">
        <v>5919</v>
      </c>
      <c r="K389" s="4" t="s">
        <v>711</v>
      </c>
      <c r="L389" s="4" t="s">
        <v>5931</v>
      </c>
      <c r="M389" s="4" t="s">
        <v>46</v>
      </c>
      <c r="N389" s="4"/>
      <c r="O389" s="4" t="s">
        <v>47</v>
      </c>
      <c r="P389" s="4" t="s">
        <v>48</v>
      </c>
      <c r="Q389" s="4">
        <v>0</v>
      </c>
      <c r="R389" s="4" t="b">
        <v>0</v>
      </c>
      <c r="S389" s="4" t="s">
        <v>61</v>
      </c>
      <c r="T389" s="4" t="s">
        <v>4296</v>
      </c>
      <c r="U389" s="4" t="s">
        <v>90</v>
      </c>
      <c r="V389" s="4" t="s">
        <v>63</v>
      </c>
      <c r="W389" s="4" t="s">
        <v>108</v>
      </c>
      <c r="X389" s="4" t="s">
        <v>98</v>
      </c>
      <c r="Y389" s="4" t="s">
        <v>176</v>
      </c>
      <c r="Z389" s="12">
        <v>0</v>
      </c>
      <c r="AA389" s="13" t="s">
        <v>9180</v>
      </c>
      <c r="AB389" s="13" t="s">
        <v>9147</v>
      </c>
      <c r="AC389" s="14" t="s">
        <v>9148</v>
      </c>
      <c r="AD389" s="14" t="s">
        <v>9140</v>
      </c>
      <c r="AE389" s="14" t="s">
        <v>9140</v>
      </c>
      <c r="AF389" s="14" t="s">
        <v>63</v>
      </c>
      <c r="AG389" s="14" t="s">
        <v>98</v>
      </c>
      <c r="AH389" s="15" t="s">
        <v>9220</v>
      </c>
      <c r="AI389" s="15" t="s">
        <v>9187</v>
      </c>
      <c r="AJ389" s="15" t="s">
        <v>9143</v>
      </c>
      <c r="AK389" s="15" t="s">
        <v>9221</v>
      </c>
      <c r="AL389" s="15" t="s">
        <v>9226</v>
      </c>
      <c r="AM389" s="16" t="s">
        <v>9221</v>
      </c>
      <c r="AN389" s="16" t="s">
        <v>9227</v>
      </c>
    </row>
    <row r="390" spans="1:40" x14ac:dyDescent="0.25">
      <c r="A390" s="4" t="s">
        <v>3191</v>
      </c>
      <c r="B390" s="4"/>
      <c r="C390" s="4" t="s">
        <v>39</v>
      </c>
      <c r="D390" s="4" t="s">
        <v>3192</v>
      </c>
      <c r="E390" s="4" t="s">
        <v>3193</v>
      </c>
      <c r="F390" s="10">
        <v>45657</v>
      </c>
      <c r="G390" s="11">
        <v>0.52083333333333337</v>
      </c>
      <c r="H390" s="4" t="s">
        <v>1992</v>
      </c>
      <c r="I390" s="4" t="s">
        <v>3187</v>
      </c>
      <c r="J390" s="4" t="s">
        <v>3188</v>
      </c>
      <c r="K390" s="4" t="s">
        <v>3194</v>
      </c>
      <c r="L390" s="4" t="s">
        <v>3195</v>
      </c>
      <c r="M390" s="4" t="s">
        <v>46</v>
      </c>
      <c r="N390" s="4"/>
      <c r="O390" s="4" t="s">
        <v>47</v>
      </c>
      <c r="P390" s="4" t="s">
        <v>48</v>
      </c>
      <c r="Q390" s="4">
        <v>0</v>
      </c>
      <c r="R390" s="4" t="b">
        <v>0</v>
      </c>
      <c r="S390" s="4" t="s">
        <v>61</v>
      </c>
      <c r="T390" s="4" t="s">
        <v>50</v>
      </c>
      <c r="U390" s="4" t="s">
        <v>165</v>
      </c>
      <c r="V390" s="4" t="s">
        <v>63</v>
      </c>
      <c r="W390" s="4" t="s">
        <v>198</v>
      </c>
      <c r="X390" s="4" t="s">
        <v>136</v>
      </c>
      <c r="Y390" s="4"/>
      <c r="Z390" s="12">
        <v>0</v>
      </c>
      <c r="AA390" s="13" t="s">
        <v>9180</v>
      </c>
      <c r="AB390" s="13" t="s">
        <v>9147</v>
      </c>
      <c r="AC390" s="14" t="s">
        <v>9148</v>
      </c>
      <c r="AD390" s="14" t="s">
        <v>9140</v>
      </c>
      <c r="AE390" s="14" t="s">
        <v>9140</v>
      </c>
      <c r="AF390" s="14" t="s">
        <v>63</v>
      </c>
      <c r="AG390" s="14" t="s">
        <v>136</v>
      </c>
      <c r="AH390" s="15" t="s">
        <v>9194</v>
      </c>
      <c r="AI390" s="15" t="s">
        <v>9191</v>
      </c>
      <c r="AJ390" s="15" t="s">
        <v>9143</v>
      </c>
      <c r="AK390" s="15" t="s">
        <v>9194</v>
      </c>
      <c r="AL390" s="15" t="s">
        <v>9197</v>
      </c>
      <c r="AM390" s="16" t="s">
        <v>9194</v>
      </c>
      <c r="AN390" s="16" t="s">
        <v>9198</v>
      </c>
    </row>
    <row r="391" spans="1:40" x14ac:dyDescent="0.25">
      <c r="A391" s="4" t="s">
        <v>2143</v>
      </c>
      <c r="B391" s="4"/>
      <c r="C391" s="4" t="s">
        <v>39</v>
      </c>
      <c r="D391" s="4" t="s">
        <v>2144</v>
      </c>
      <c r="E391" s="4" t="s">
        <v>2145</v>
      </c>
      <c r="F391" s="10">
        <v>45657</v>
      </c>
      <c r="G391" s="11">
        <v>0.39583333333333331</v>
      </c>
      <c r="H391" s="4" t="s">
        <v>1992</v>
      </c>
      <c r="I391" s="4" t="s">
        <v>2139</v>
      </c>
      <c r="J391" s="4" t="s">
        <v>2140</v>
      </c>
      <c r="K391" s="4" t="s">
        <v>2146</v>
      </c>
      <c r="L391" s="4" t="s">
        <v>2147</v>
      </c>
      <c r="M391" s="4" t="s">
        <v>46</v>
      </c>
      <c r="N391" s="4"/>
      <c r="O391" s="4" t="s">
        <v>47</v>
      </c>
      <c r="P391" s="4" t="s">
        <v>48</v>
      </c>
      <c r="Q391" s="4">
        <v>0</v>
      </c>
      <c r="R391" s="4" t="b">
        <v>0</v>
      </c>
      <c r="S391" s="4" t="s">
        <v>114</v>
      </c>
      <c r="T391" s="4" t="s">
        <v>479</v>
      </c>
      <c r="U391" s="4" t="s">
        <v>373</v>
      </c>
      <c r="V391" s="4" t="s">
        <v>52</v>
      </c>
      <c r="W391" s="4" t="s">
        <v>255</v>
      </c>
      <c r="X391" s="4" t="s">
        <v>774</v>
      </c>
      <c r="Y391" s="4" t="s">
        <v>775</v>
      </c>
      <c r="Z391" s="12">
        <v>0</v>
      </c>
      <c r="AA391" s="13" t="s">
        <v>9180</v>
      </c>
      <c r="AB391" s="13" t="s">
        <v>9147</v>
      </c>
      <c r="AC391" s="14" t="s">
        <v>9157</v>
      </c>
      <c r="AD391" s="14" t="s">
        <v>9140</v>
      </c>
      <c r="AE391" s="14" t="s">
        <v>9140</v>
      </c>
      <c r="AF391" s="14" t="s">
        <v>52</v>
      </c>
      <c r="AG391" s="14" t="s">
        <v>774</v>
      </c>
      <c r="AH391" s="15" t="s">
        <v>9194</v>
      </c>
      <c r="AI391" s="15" t="s">
        <v>9191</v>
      </c>
      <c r="AJ391" s="15" t="s">
        <v>9143</v>
      </c>
      <c r="AK391" s="15" t="s">
        <v>9194</v>
      </c>
      <c r="AL391" s="15" t="s">
        <v>9205</v>
      </c>
      <c r="AM391" s="16" t="s">
        <v>9194</v>
      </c>
      <c r="AN391" s="16" t="s">
        <v>9206</v>
      </c>
    </row>
    <row r="392" spans="1:40" x14ac:dyDescent="0.25">
      <c r="A392" s="4" t="s">
        <v>2626</v>
      </c>
      <c r="B392" s="4">
        <v>7563281</v>
      </c>
      <c r="C392" s="4" t="s">
        <v>39</v>
      </c>
      <c r="D392" s="4" t="s">
        <v>2627</v>
      </c>
      <c r="E392" s="4" t="s">
        <v>2628</v>
      </c>
      <c r="F392" s="10">
        <v>45657</v>
      </c>
      <c r="G392" s="11">
        <v>0.625</v>
      </c>
      <c r="H392" s="4" t="s">
        <v>2095</v>
      </c>
      <c r="I392" s="4" t="s">
        <v>2629</v>
      </c>
      <c r="J392" s="4" t="s">
        <v>2630</v>
      </c>
      <c r="K392" s="4" t="s">
        <v>2631</v>
      </c>
      <c r="L392" s="4" t="s">
        <v>2632</v>
      </c>
      <c r="M392" s="4" t="s">
        <v>28</v>
      </c>
      <c r="N392" s="4" t="s">
        <v>478</v>
      </c>
      <c r="O392" s="4" t="s">
        <v>174</v>
      </c>
      <c r="P392" s="4" t="s">
        <v>48</v>
      </c>
      <c r="Q392" s="4">
        <v>14</v>
      </c>
      <c r="R392" s="4" t="b">
        <v>0</v>
      </c>
      <c r="S392" s="4" t="s">
        <v>184</v>
      </c>
      <c r="T392" s="4" t="s">
        <v>479</v>
      </c>
      <c r="U392" s="4" t="s">
        <v>148</v>
      </c>
      <c r="V392" s="4" t="s">
        <v>52</v>
      </c>
      <c r="W392" s="4" t="s">
        <v>374</v>
      </c>
      <c r="X392" s="4" t="s">
        <v>54</v>
      </c>
      <c r="Y392" s="4" t="s">
        <v>2052</v>
      </c>
      <c r="Z392" s="12" t="s">
        <v>48</v>
      </c>
      <c r="AA392" s="13" t="s">
        <v>9180</v>
      </c>
      <c r="AB392" s="13" t="s">
        <v>9147</v>
      </c>
      <c r="AC392" s="14" t="s">
        <v>9166</v>
      </c>
      <c r="AD392" s="14" t="s">
        <v>28</v>
      </c>
      <c r="AE392" s="14" t="s">
        <v>478</v>
      </c>
      <c r="AF392" s="14" t="s">
        <v>52</v>
      </c>
      <c r="AG392" s="14" t="s">
        <v>54</v>
      </c>
      <c r="AH392" s="15" t="s">
        <v>9194</v>
      </c>
      <c r="AI392" s="15" t="s">
        <v>9188</v>
      </c>
      <c r="AJ392" s="15" t="s">
        <v>9143</v>
      </c>
      <c r="AK392" s="15" t="s">
        <v>9194</v>
      </c>
      <c r="AL392" s="15" t="s">
        <v>9211</v>
      </c>
      <c r="AM392" s="16" t="s">
        <v>9194</v>
      </c>
      <c r="AN392" s="16" t="s">
        <v>9212</v>
      </c>
    </row>
    <row r="393" spans="1:40" x14ac:dyDescent="0.25">
      <c r="A393" s="4" t="s">
        <v>4106</v>
      </c>
      <c r="B393" s="4"/>
      <c r="C393" s="4" t="s">
        <v>39</v>
      </c>
      <c r="D393" s="4" t="s">
        <v>4107</v>
      </c>
      <c r="E393" s="4" t="s">
        <v>4108</v>
      </c>
      <c r="F393" s="10">
        <v>45656</v>
      </c>
      <c r="G393" s="11">
        <v>0.72916666666666663</v>
      </c>
      <c r="H393" s="4" t="s">
        <v>4019</v>
      </c>
      <c r="I393" s="4" t="s">
        <v>4092</v>
      </c>
      <c r="J393" s="4" t="s">
        <v>4093</v>
      </c>
      <c r="K393" s="4" t="s">
        <v>1775</v>
      </c>
      <c r="L393" s="4" t="s">
        <v>4109</v>
      </c>
      <c r="M393" s="4" t="s">
        <v>46</v>
      </c>
      <c r="N393" s="4"/>
      <c r="O393" s="4" t="s">
        <v>47</v>
      </c>
      <c r="P393" s="4" t="s">
        <v>48</v>
      </c>
      <c r="Q393" s="4">
        <v>0</v>
      </c>
      <c r="R393" s="4" t="b">
        <v>0</v>
      </c>
      <c r="S393" s="4" t="s">
        <v>49</v>
      </c>
      <c r="T393" s="4" t="s">
        <v>70</v>
      </c>
      <c r="U393" s="4" t="s">
        <v>71</v>
      </c>
      <c r="V393" s="4" t="s">
        <v>63</v>
      </c>
      <c r="W393" s="4" t="s">
        <v>108</v>
      </c>
      <c r="X393" s="4" t="s">
        <v>98</v>
      </c>
      <c r="Y393" s="4"/>
      <c r="Z393" s="12">
        <v>0</v>
      </c>
      <c r="AA393" s="13" t="s">
        <v>9180</v>
      </c>
      <c r="AB393" s="13" t="s">
        <v>9147</v>
      </c>
      <c r="AC393" s="14" t="s">
        <v>9139</v>
      </c>
      <c r="AD393" s="14" t="s">
        <v>9140</v>
      </c>
      <c r="AE393" s="14" t="s">
        <v>9140</v>
      </c>
      <c r="AF393" s="14" t="s">
        <v>63</v>
      </c>
      <c r="AG393" s="14" t="s">
        <v>98</v>
      </c>
      <c r="AH393" s="15" t="s">
        <v>9220</v>
      </c>
      <c r="AI393" s="15" t="s">
        <v>9175</v>
      </c>
      <c r="AJ393" s="15" t="s">
        <v>9143</v>
      </c>
      <c r="AK393" s="15" t="s">
        <v>9221</v>
      </c>
      <c r="AL393" s="15" t="s">
        <v>9222</v>
      </c>
      <c r="AM393" s="16" t="s">
        <v>9221</v>
      </c>
      <c r="AN393" s="16" t="s">
        <v>9223</v>
      </c>
    </row>
    <row r="394" spans="1:40" x14ac:dyDescent="0.25">
      <c r="A394" s="4" t="s">
        <v>4287</v>
      </c>
      <c r="B394" s="4"/>
      <c r="C394" s="4" t="s">
        <v>39</v>
      </c>
      <c r="D394" s="4" t="s">
        <v>4288</v>
      </c>
      <c r="E394" s="4" t="s">
        <v>4289</v>
      </c>
      <c r="F394" s="10">
        <v>45655</v>
      </c>
      <c r="G394" s="11">
        <v>0.51736111111111116</v>
      </c>
      <c r="H394" s="4" t="s">
        <v>4019</v>
      </c>
      <c r="I394" s="4" t="s">
        <v>4285</v>
      </c>
      <c r="J394" s="4" t="s">
        <v>513</v>
      </c>
      <c r="K394" s="4" t="s">
        <v>4290</v>
      </c>
      <c r="L394" s="4" t="s">
        <v>4291</v>
      </c>
      <c r="M394" s="4" t="s">
        <v>46</v>
      </c>
      <c r="N394" s="4"/>
      <c r="O394" s="4" t="s">
        <v>47</v>
      </c>
      <c r="P394" s="4" t="s">
        <v>60</v>
      </c>
      <c r="Q394" s="4">
        <v>0</v>
      </c>
      <c r="R394" s="4" t="b">
        <v>0</v>
      </c>
      <c r="S394" s="4" t="s">
        <v>61</v>
      </c>
      <c r="T394" s="4" t="s">
        <v>2468</v>
      </c>
      <c r="U394" s="4" t="s">
        <v>122</v>
      </c>
      <c r="V394" s="4" t="s">
        <v>405</v>
      </c>
      <c r="W394" s="4" t="s">
        <v>2469</v>
      </c>
      <c r="X394" s="4" t="s">
        <v>978</v>
      </c>
      <c r="Y394" s="4"/>
      <c r="Z394" s="12">
        <v>0</v>
      </c>
      <c r="AA394" s="13" t="s">
        <v>9174</v>
      </c>
      <c r="AB394" s="13" t="s">
        <v>9153</v>
      </c>
      <c r="AC394" s="14" t="s">
        <v>9148</v>
      </c>
      <c r="AD394" s="14" t="s">
        <v>9140</v>
      </c>
      <c r="AE394" s="14" t="s">
        <v>9140</v>
      </c>
      <c r="AF394" s="14" t="s">
        <v>405</v>
      </c>
      <c r="AG394" s="14" t="s">
        <v>978</v>
      </c>
      <c r="AH394" s="15" t="s">
        <v>9220</v>
      </c>
      <c r="AI394" s="15" t="s">
        <v>9175</v>
      </c>
      <c r="AJ394" s="15" t="s">
        <v>9143</v>
      </c>
      <c r="AK394" s="15" t="s">
        <v>9221</v>
      </c>
      <c r="AL394" s="15" t="s">
        <v>9224</v>
      </c>
      <c r="AM394" s="16" t="s">
        <v>9221</v>
      </c>
      <c r="AN394" s="16" t="s">
        <v>9225</v>
      </c>
    </row>
    <row r="395" spans="1:40" x14ac:dyDescent="0.25">
      <c r="A395" s="4" t="s">
        <v>8755</v>
      </c>
      <c r="B395" s="4"/>
      <c r="C395" s="4" t="s">
        <v>39</v>
      </c>
      <c r="D395" s="4" t="s">
        <v>8756</v>
      </c>
      <c r="E395" s="4" t="s">
        <v>8757</v>
      </c>
      <c r="F395" s="10">
        <v>45655</v>
      </c>
      <c r="G395" s="11">
        <v>0.46250000000000002</v>
      </c>
      <c r="H395" s="4" t="s">
        <v>4910</v>
      </c>
      <c r="I395" s="4" t="s">
        <v>8758</v>
      </c>
      <c r="J395" s="4" t="s">
        <v>8759</v>
      </c>
      <c r="K395" s="4" t="s">
        <v>8760</v>
      </c>
      <c r="L395" s="4" t="s">
        <v>8761</v>
      </c>
      <c r="M395" s="4" t="s">
        <v>46</v>
      </c>
      <c r="N395" s="4"/>
      <c r="O395" s="4" t="s">
        <v>47</v>
      </c>
      <c r="P395" s="4" t="s">
        <v>48</v>
      </c>
      <c r="Q395" s="4">
        <v>0</v>
      </c>
      <c r="R395" s="4" t="b">
        <v>0</v>
      </c>
      <c r="S395" s="4" t="s">
        <v>49</v>
      </c>
      <c r="T395" s="4" t="s">
        <v>70</v>
      </c>
      <c r="U395" s="4" t="s">
        <v>71</v>
      </c>
      <c r="V395" s="4" t="s">
        <v>63</v>
      </c>
      <c r="W395" s="4" t="s">
        <v>198</v>
      </c>
      <c r="X395" s="4" t="s">
        <v>774</v>
      </c>
      <c r="Y395" s="4" t="s">
        <v>211</v>
      </c>
      <c r="Z395" s="12">
        <v>0</v>
      </c>
      <c r="AA395" s="13" t="s">
        <v>9174</v>
      </c>
      <c r="AB395" s="13" t="s">
        <v>9153</v>
      </c>
      <c r="AC395" s="14" t="s">
        <v>9139</v>
      </c>
      <c r="AD395" s="14" t="s">
        <v>9140</v>
      </c>
      <c r="AE395" s="14" t="s">
        <v>9140</v>
      </c>
      <c r="AF395" s="14" t="s">
        <v>63</v>
      </c>
      <c r="AG395" s="14" t="s">
        <v>774</v>
      </c>
      <c r="AH395" s="15" t="s">
        <v>9220</v>
      </c>
      <c r="AI395" s="15" t="s">
        <v>9191</v>
      </c>
      <c r="AJ395" s="15" t="s">
        <v>9143</v>
      </c>
      <c r="AK395" s="15" t="s">
        <v>9221</v>
      </c>
      <c r="AL395" s="15" t="s">
        <v>9236</v>
      </c>
      <c r="AM395" s="16" t="s">
        <v>9221</v>
      </c>
      <c r="AN395" s="16" t="s">
        <v>9237</v>
      </c>
    </row>
    <row r="396" spans="1:40" x14ac:dyDescent="0.25">
      <c r="A396" s="4" t="s">
        <v>5357</v>
      </c>
      <c r="B396" s="4"/>
      <c r="C396" s="4" t="s">
        <v>39</v>
      </c>
      <c r="D396" s="4" t="s">
        <v>5358</v>
      </c>
      <c r="E396" s="4" t="s">
        <v>5359</v>
      </c>
      <c r="F396" s="10">
        <v>45655</v>
      </c>
      <c r="G396" s="11">
        <v>0.53888888888888886</v>
      </c>
      <c r="H396" s="4" t="s">
        <v>4910</v>
      </c>
      <c r="I396" s="4" t="s">
        <v>5360</v>
      </c>
      <c r="J396" s="4" t="s">
        <v>2062</v>
      </c>
      <c r="K396" s="4" t="s">
        <v>5361</v>
      </c>
      <c r="L396" s="4" t="s">
        <v>5362</v>
      </c>
      <c r="M396" s="4" t="s">
        <v>46</v>
      </c>
      <c r="N396" s="4"/>
      <c r="O396" s="4" t="s">
        <v>47</v>
      </c>
      <c r="P396" s="4" t="s">
        <v>48</v>
      </c>
      <c r="Q396" s="4">
        <v>0</v>
      </c>
      <c r="R396" s="4" t="b">
        <v>0</v>
      </c>
      <c r="S396" s="4" t="s">
        <v>49</v>
      </c>
      <c r="T396" s="4" t="s">
        <v>70</v>
      </c>
      <c r="U396" s="4" t="s">
        <v>2065</v>
      </c>
      <c r="V396" s="4" t="s">
        <v>72</v>
      </c>
      <c r="W396" s="4" t="s">
        <v>73</v>
      </c>
      <c r="X396" s="4" t="s">
        <v>471</v>
      </c>
      <c r="Y396" s="4"/>
      <c r="Z396" s="12">
        <v>0</v>
      </c>
      <c r="AA396" s="13" t="s">
        <v>9174</v>
      </c>
      <c r="AB396" s="13" t="s">
        <v>9153</v>
      </c>
      <c r="AC396" s="14" t="s">
        <v>9139</v>
      </c>
      <c r="AD396" s="14" t="s">
        <v>9140</v>
      </c>
      <c r="AE396" s="14" t="s">
        <v>9140</v>
      </c>
      <c r="AF396" s="14" t="s">
        <v>72</v>
      </c>
      <c r="AG396" s="14" t="s">
        <v>471</v>
      </c>
      <c r="AH396" s="15" t="s">
        <v>9220</v>
      </c>
      <c r="AI396" s="15" t="s">
        <v>9191</v>
      </c>
      <c r="AJ396" s="15" t="s">
        <v>9143</v>
      </c>
      <c r="AK396" s="15" t="s">
        <v>9221</v>
      </c>
      <c r="AL396" s="15" t="s">
        <v>9234</v>
      </c>
      <c r="AM396" s="16" t="s">
        <v>9221</v>
      </c>
      <c r="AN396" s="16" t="s">
        <v>9235</v>
      </c>
    </row>
    <row r="397" spans="1:40" x14ac:dyDescent="0.25">
      <c r="A397" s="4" t="s">
        <v>2917</v>
      </c>
      <c r="B397" s="4"/>
      <c r="C397" s="4" t="s">
        <v>39</v>
      </c>
      <c r="D397" s="4" t="s">
        <v>2918</v>
      </c>
      <c r="E397" s="4" t="s">
        <v>2919</v>
      </c>
      <c r="F397" s="10">
        <v>45655</v>
      </c>
      <c r="G397" s="11">
        <v>0.41666666666666669</v>
      </c>
      <c r="H397" s="4" t="s">
        <v>1992</v>
      </c>
      <c r="I397" s="4" t="s">
        <v>2913</v>
      </c>
      <c r="J397" s="4" t="s">
        <v>2914</v>
      </c>
      <c r="K397" s="4" t="s">
        <v>2920</v>
      </c>
      <c r="L397" s="4" t="s">
        <v>2921</v>
      </c>
      <c r="M397" s="4" t="s">
        <v>46</v>
      </c>
      <c r="N397" s="4"/>
      <c r="O397" s="4" t="s">
        <v>47</v>
      </c>
      <c r="P397" s="4" t="s">
        <v>48</v>
      </c>
      <c r="Q397" s="4">
        <v>0</v>
      </c>
      <c r="R397" s="4" t="b">
        <v>0</v>
      </c>
      <c r="S397" s="4" t="s">
        <v>49</v>
      </c>
      <c r="T397" s="4" t="s">
        <v>50</v>
      </c>
      <c r="U397" s="4" t="s">
        <v>527</v>
      </c>
      <c r="V397" s="4" t="s">
        <v>63</v>
      </c>
      <c r="W397" s="4" t="s">
        <v>108</v>
      </c>
      <c r="X397" s="4" t="s">
        <v>978</v>
      </c>
      <c r="Y397" s="4" t="s">
        <v>176</v>
      </c>
      <c r="Z397" s="12">
        <v>0</v>
      </c>
      <c r="AA397" s="13" t="s">
        <v>9174</v>
      </c>
      <c r="AB397" s="13" t="s">
        <v>9153</v>
      </c>
      <c r="AC397" s="14" t="s">
        <v>9139</v>
      </c>
      <c r="AD397" s="14" t="s">
        <v>9140</v>
      </c>
      <c r="AE397" s="14" t="s">
        <v>9140</v>
      </c>
      <c r="AF397" s="14" t="s">
        <v>63</v>
      </c>
      <c r="AG397" s="14" t="s">
        <v>978</v>
      </c>
      <c r="AH397" s="15" t="s">
        <v>9194</v>
      </c>
      <c r="AI397" s="15" t="s">
        <v>9191</v>
      </c>
      <c r="AJ397" s="15" t="s">
        <v>9143</v>
      </c>
      <c r="AK397" s="15" t="s">
        <v>9194</v>
      </c>
      <c r="AL397" s="15" t="s">
        <v>9201</v>
      </c>
      <c r="AM397" s="16" t="s">
        <v>9194</v>
      </c>
      <c r="AN397" s="16" t="s">
        <v>9202</v>
      </c>
    </row>
    <row r="398" spans="1:40" x14ac:dyDescent="0.25">
      <c r="A398" s="4" t="s">
        <v>2962</v>
      </c>
      <c r="B398" s="4"/>
      <c r="C398" s="4" t="s">
        <v>39</v>
      </c>
      <c r="D398" s="4" t="s">
        <v>2963</v>
      </c>
      <c r="E398" s="4" t="s">
        <v>2964</v>
      </c>
      <c r="F398" s="10">
        <v>45655</v>
      </c>
      <c r="G398" s="11">
        <v>0.63541666666666663</v>
      </c>
      <c r="H398" s="4" t="s">
        <v>1992</v>
      </c>
      <c r="I398" s="4" t="s">
        <v>2955</v>
      </c>
      <c r="J398" s="4" t="s">
        <v>2956</v>
      </c>
      <c r="K398" s="4" t="s">
        <v>2965</v>
      </c>
      <c r="L398" s="4" t="s">
        <v>2966</v>
      </c>
      <c r="M398" s="4" t="s">
        <v>46</v>
      </c>
      <c r="N398" s="4"/>
      <c r="O398" s="4" t="s">
        <v>47</v>
      </c>
      <c r="P398" s="4" t="s">
        <v>48</v>
      </c>
      <c r="Q398" s="4">
        <v>0</v>
      </c>
      <c r="R398" s="4" t="b">
        <v>0</v>
      </c>
      <c r="S398" s="4" t="s">
        <v>49</v>
      </c>
      <c r="T398" s="4" t="s">
        <v>2967</v>
      </c>
      <c r="U398" s="4" t="s">
        <v>71</v>
      </c>
      <c r="V398" s="4" t="s">
        <v>81</v>
      </c>
      <c r="W398" s="4" t="s">
        <v>82</v>
      </c>
      <c r="X398" s="4" t="s">
        <v>2811</v>
      </c>
      <c r="Y398" s="4"/>
      <c r="Z398" s="12">
        <v>0</v>
      </c>
      <c r="AA398" s="13" t="s">
        <v>9174</v>
      </c>
      <c r="AB398" s="13" t="s">
        <v>9153</v>
      </c>
      <c r="AC398" s="14" t="s">
        <v>9139</v>
      </c>
      <c r="AD398" s="14" t="s">
        <v>9140</v>
      </c>
      <c r="AE398" s="14" t="s">
        <v>9140</v>
      </c>
      <c r="AF398" s="14" t="s">
        <v>81</v>
      </c>
      <c r="AG398" s="14" t="s">
        <v>2811</v>
      </c>
      <c r="AH398" s="15" t="s">
        <v>9194</v>
      </c>
      <c r="AI398" s="15" t="s">
        <v>9191</v>
      </c>
      <c r="AJ398" s="15" t="s">
        <v>9143</v>
      </c>
      <c r="AK398" s="15" t="s">
        <v>9194</v>
      </c>
      <c r="AL398" s="15" t="s">
        <v>9205</v>
      </c>
      <c r="AM398" s="16" t="s">
        <v>9194</v>
      </c>
      <c r="AN398" s="16" t="s">
        <v>9206</v>
      </c>
    </row>
    <row r="399" spans="1:40" x14ac:dyDescent="0.25">
      <c r="A399" s="4" t="s">
        <v>2633</v>
      </c>
      <c r="B399" s="4"/>
      <c r="C399" s="4" t="s">
        <v>39</v>
      </c>
      <c r="D399" s="4" t="s">
        <v>2634</v>
      </c>
      <c r="E399" s="4" t="s">
        <v>2635</v>
      </c>
      <c r="F399" s="10">
        <v>45654</v>
      </c>
      <c r="G399" s="11">
        <v>0.57152777777777775</v>
      </c>
      <c r="H399" s="4" t="s">
        <v>2095</v>
      </c>
      <c r="I399" s="4" t="s">
        <v>2629</v>
      </c>
      <c r="J399" s="4" t="s">
        <v>2630</v>
      </c>
      <c r="K399" s="4" t="s">
        <v>2636</v>
      </c>
      <c r="L399" s="4" t="s">
        <v>2637</v>
      </c>
      <c r="M399" s="4" t="s">
        <v>46</v>
      </c>
      <c r="N399" s="4"/>
      <c r="O399" s="4" t="s">
        <v>47</v>
      </c>
      <c r="P399" s="4" t="s">
        <v>48</v>
      </c>
      <c r="Q399" s="4">
        <v>0</v>
      </c>
      <c r="R399" s="4" t="b">
        <v>0</v>
      </c>
      <c r="S399" s="4" t="s">
        <v>61</v>
      </c>
      <c r="T399" s="4" t="s">
        <v>50</v>
      </c>
      <c r="U399" s="4" t="s">
        <v>650</v>
      </c>
      <c r="V399" s="4" t="s">
        <v>52</v>
      </c>
      <c r="W399" s="4" t="s">
        <v>255</v>
      </c>
      <c r="X399" s="4" t="s">
        <v>54</v>
      </c>
      <c r="Y399" s="4"/>
      <c r="Z399" s="12">
        <v>0</v>
      </c>
      <c r="AA399" s="13" t="s">
        <v>9174</v>
      </c>
      <c r="AB399" s="13" t="s">
        <v>9153</v>
      </c>
      <c r="AC399" s="14" t="s">
        <v>9148</v>
      </c>
      <c r="AD399" s="14" t="s">
        <v>9140</v>
      </c>
      <c r="AE399" s="14" t="s">
        <v>9140</v>
      </c>
      <c r="AF399" s="14" t="s">
        <v>52</v>
      </c>
      <c r="AG399" s="14" t="s">
        <v>54</v>
      </c>
      <c r="AH399" s="15" t="s">
        <v>9194</v>
      </c>
      <c r="AI399" s="15" t="s">
        <v>9188</v>
      </c>
      <c r="AJ399" s="15" t="s">
        <v>9143</v>
      </c>
      <c r="AK399" s="15" t="s">
        <v>9194</v>
      </c>
      <c r="AL399" s="15" t="s">
        <v>9211</v>
      </c>
      <c r="AM399" s="16" t="s">
        <v>9194</v>
      </c>
      <c r="AN399" s="16" t="s">
        <v>9212</v>
      </c>
    </row>
    <row r="400" spans="1:40" x14ac:dyDescent="0.25">
      <c r="A400" s="4" t="s">
        <v>2638</v>
      </c>
      <c r="B400" s="4"/>
      <c r="C400" s="4" t="s">
        <v>39</v>
      </c>
      <c r="D400" s="4" t="s">
        <v>2639</v>
      </c>
      <c r="E400" s="4" t="s">
        <v>2640</v>
      </c>
      <c r="F400" s="10">
        <v>45654</v>
      </c>
      <c r="G400" s="11">
        <v>0.57152777777777775</v>
      </c>
      <c r="H400" s="4" t="s">
        <v>2095</v>
      </c>
      <c r="I400" s="4" t="s">
        <v>2629</v>
      </c>
      <c r="J400" s="4" t="s">
        <v>2630</v>
      </c>
      <c r="K400" s="4" t="s">
        <v>2641</v>
      </c>
      <c r="L400" s="4" t="s">
        <v>2642</v>
      </c>
      <c r="M400" s="4" t="s">
        <v>46</v>
      </c>
      <c r="N400" s="4"/>
      <c r="O400" s="4" t="s">
        <v>47</v>
      </c>
      <c r="P400" s="4" t="s">
        <v>48</v>
      </c>
      <c r="Q400" s="4">
        <v>0</v>
      </c>
      <c r="R400" s="4" t="b">
        <v>0</v>
      </c>
      <c r="S400" s="4" t="s">
        <v>49</v>
      </c>
      <c r="T400" s="4" t="s">
        <v>50</v>
      </c>
      <c r="U400" s="4" t="s">
        <v>650</v>
      </c>
      <c r="V400" s="4" t="s">
        <v>52</v>
      </c>
      <c r="W400" s="4" t="s">
        <v>255</v>
      </c>
      <c r="X400" s="4" t="s">
        <v>54</v>
      </c>
      <c r="Y400" s="4"/>
      <c r="Z400" s="12">
        <v>0</v>
      </c>
      <c r="AA400" s="13" t="s">
        <v>9174</v>
      </c>
      <c r="AB400" s="13" t="s">
        <v>9153</v>
      </c>
      <c r="AC400" s="14" t="s">
        <v>9139</v>
      </c>
      <c r="AD400" s="14" t="s">
        <v>9140</v>
      </c>
      <c r="AE400" s="14" t="s">
        <v>9140</v>
      </c>
      <c r="AF400" s="14" t="s">
        <v>52</v>
      </c>
      <c r="AG400" s="14" t="s">
        <v>54</v>
      </c>
      <c r="AH400" s="15" t="s">
        <v>9194</v>
      </c>
      <c r="AI400" s="15" t="s">
        <v>9188</v>
      </c>
      <c r="AJ400" s="15" t="s">
        <v>9143</v>
      </c>
      <c r="AK400" s="15" t="s">
        <v>9194</v>
      </c>
      <c r="AL400" s="15" t="s">
        <v>9211</v>
      </c>
      <c r="AM400" s="16" t="s">
        <v>9194</v>
      </c>
      <c r="AN400" s="16" t="s">
        <v>9212</v>
      </c>
    </row>
    <row r="401" spans="1:40" x14ac:dyDescent="0.25">
      <c r="A401" s="4" t="s">
        <v>985</v>
      </c>
      <c r="B401" s="4">
        <v>12240057088</v>
      </c>
      <c r="C401" s="4" t="s">
        <v>39</v>
      </c>
      <c r="D401" s="4" t="s">
        <v>986</v>
      </c>
      <c r="E401" s="4" t="s">
        <v>987</v>
      </c>
      <c r="F401" s="10">
        <v>45654</v>
      </c>
      <c r="G401" s="11">
        <v>0.42638888888888887</v>
      </c>
      <c r="H401" s="4" t="s">
        <v>463</v>
      </c>
      <c r="I401" s="4">
        <v>2039</v>
      </c>
      <c r="J401" s="4" t="s">
        <v>988</v>
      </c>
      <c r="K401" s="4" t="s">
        <v>989</v>
      </c>
      <c r="L401" s="4" t="s">
        <v>990</v>
      </c>
      <c r="M401" s="4" t="s">
        <v>28</v>
      </c>
      <c r="N401" s="4" t="s">
        <v>183</v>
      </c>
      <c r="O401" s="4" t="s">
        <v>174</v>
      </c>
      <c r="P401" s="4" t="s">
        <v>60</v>
      </c>
      <c r="Q401" s="4">
        <v>7</v>
      </c>
      <c r="R401" s="4" t="b">
        <v>0</v>
      </c>
      <c r="S401" s="4" t="s">
        <v>184</v>
      </c>
      <c r="T401" s="4" t="s">
        <v>50</v>
      </c>
      <c r="U401" s="4" t="s">
        <v>107</v>
      </c>
      <c r="V401" s="4" t="s">
        <v>63</v>
      </c>
      <c r="W401" s="4" t="s">
        <v>198</v>
      </c>
      <c r="X401" s="4" t="s">
        <v>350</v>
      </c>
      <c r="Y401" s="4" t="s">
        <v>991</v>
      </c>
      <c r="Z401" s="12" t="s">
        <v>60</v>
      </c>
      <c r="AA401" s="13" t="s">
        <v>9174</v>
      </c>
      <c r="AB401" s="13" t="s">
        <v>9153</v>
      </c>
      <c r="AC401" s="14" t="s">
        <v>9166</v>
      </c>
      <c r="AD401" s="14" t="s">
        <v>28</v>
      </c>
      <c r="AE401" s="14" t="s">
        <v>183</v>
      </c>
      <c r="AF401" s="14" t="s">
        <v>63</v>
      </c>
      <c r="AG401" s="14" t="s">
        <v>350</v>
      </c>
      <c r="AH401" s="15" t="s">
        <v>9141</v>
      </c>
      <c r="AI401" s="15" t="s">
        <v>9175</v>
      </c>
      <c r="AJ401" s="15" t="s">
        <v>9143</v>
      </c>
      <c r="AK401" s="15" t="s">
        <v>9141</v>
      </c>
      <c r="AL401" s="15" t="s">
        <v>9175</v>
      </c>
      <c r="AM401" s="16" t="s">
        <v>9141</v>
      </c>
      <c r="AN401" s="16" t="s">
        <v>9176</v>
      </c>
    </row>
    <row r="402" spans="1:40" x14ac:dyDescent="0.25">
      <c r="A402" s="4" t="s">
        <v>427</v>
      </c>
      <c r="B402" s="4"/>
      <c r="C402" s="4" t="s">
        <v>39</v>
      </c>
      <c r="D402" s="4" t="s">
        <v>428</v>
      </c>
      <c r="E402" s="4" t="s">
        <v>429</v>
      </c>
      <c r="F402" s="10">
        <v>45653</v>
      </c>
      <c r="G402" s="11">
        <v>0.6118055555555556</v>
      </c>
      <c r="H402" s="4" t="s">
        <v>42</v>
      </c>
      <c r="I402" s="4">
        <v>1013</v>
      </c>
      <c r="J402" s="4" t="s">
        <v>422</v>
      </c>
      <c r="K402" s="4" t="s">
        <v>430</v>
      </c>
      <c r="L402" s="4" t="s">
        <v>431</v>
      </c>
      <c r="M402" s="4" t="s">
        <v>432</v>
      </c>
      <c r="N402" s="4"/>
      <c r="O402" s="4" t="s">
        <v>47</v>
      </c>
      <c r="P402" s="4" t="s">
        <v>60</v>
      </c>
      <c r="Q402" s="4">
        <v>0</v>
      </c>
      <c r="R402" s="4" t="b">
        <v>0</v>
      </c>
      <c r="S402" s="4" t="s">
        <v>61</v>
      </c>
      <c r="T402" s="4" t="s">
        <v>433</v>
      </c>
      <c r="U402" s="4" t="s">
        <v>165</v>
      </c>
      <c r="V402" s="4" t="s">
        <v>63</v>
      </c>
      <c r="W402" s="4" t="s">
        <v>108</v>
      </c>
      <c r="X402" s="4" t="s">
        <v>54</v>
      </c>
      <c r="Y402" s="4" t="s">
        <v>176</v>
      </c>
      <c r="Z402" s="12">
        <v>0</v>
      </c>
      <c r="AA402" s="13" t="s">
        <v>9174</v>
      </c>
      <c r="AB402" s="13" t="s">
        <v>9153</v>
      </c>
      <c r="AC402" s="14" t="s">
        <v>9148</v>
      </c>
      <c r="AD402" s="14" t="s">
        <v>9140</v>
      </c>
      <c r="AE402" s="14" t="s">
        <v>9140</v>
      </c>
      <c r="AF402" s="14" t="s">
        <v>63</v>
      </c>
      <c r="AG402" s="14" t="s">
        <v>54</v>
      </c>
      <c r="AH402" s="15" t="s">
        <v>9141</v>
      </c>
      <c r="AI402" s="15" t="s">
        <v>9142</v>
      </c>
      <c r="AJ402" s="15" t="s">
        <v>9143</v>
      </c>
      <c r="AK402" s="15" t="s">
        <v>9141</v>
      </c>
      <c r="AL402" s="15" t="s">
        <v>9144</v>
      </c>
      <c r="AM402" s="16" t="s">
        <v>9141</v>
      </c>
      <c r="AN402" s="16" t="s">
        <v>9145</v>
      </c>
    </row>
    <row r="403" spans="1:40" x14ac:dyDescent="0.25">
      <c r="A403" s="4" t="s">
        <v>3036</v>
      </c>
      <c r="B403" s="4"/>
      <c r="C403" s="4" t="s">
        <v>39</v>
      </c>
      <c r="D403" s="4" t="s">
        <v>3037</v>
      </c>
      <c r="E403" s="4" t="s">
        <v>3038</v>
      </c>
      <c r="F403" s="10">
        <v>45653</v>
      </c>
      <c r="G403" s="11">
        <v>0.64930555555555558</v>
      </c>
      <c r="H403" s="4" t="s">
        <v>1939</v>
      </c>
      <c r="I403" s="4" t="s">
        <v>3027</v>
      </c>
      <c r="J403" s="4" t="s">
        <v>3028</v>
      </c>
      <c r="K403" s="4" t="s">
        <v>3039</v>
      </c>
      <c r="L403" s="4" t="s">
        <v>3040</v>
      </c>
      <c r="M403" s="4" t="s">
        <v>46</v>
      </c>
      <c r="N403" s="4"/>
      <c r="O403" s="4" t="s">
        <v>47</v>
      </c>
      <c r="P403" s="4" t="s">
        <v>60</v>
      </c>
      <c r="Q403" s="4">
        <v>0</v>
      </c>
      <c r="R403" s="4" t="b">
        <v>0</v>
      </c>
      <c r="S403" s="4" t="s">
        <v>49</v>
      </c>
      <c r="T403" s="4" t="s">
        <v>70</v>
      </c>
      <c r="U403" s="4" t="s">
        <v>600</v>
      </c>
      <c r="V403" s="4" t="s">
        <v>72</v>
      </c>
      <c r="W403" s="4" t="s">
        <v>97</v>
      </c>
      <c r="X403" s="4" t="s">
        <v>978</v>
      </c>
      <c r="Y403" s="4"/>
      <c r="Z403" s="12">
        <v>0</v>
      </c>
      <c r="AA403" s="13" t="s">
        <v>9174</v>
      </c>
      <c r="AB403" s="13" t="s">
        <v>9153</v>
      </c>
      <c r="AC403" s="14" t="s">
        <v>9139</v>
      </c>
      <c r="AD403" s="14" t="s">
        <v>9140</v>
      </c>
      <c r="AE403" s="14" t="s">
        <v>9140</v>
      </c>
      <c r="AF403" s="14" t="s">
        <v>72</v>
      </c>
      <c r="AG403" s="14" t="s">
        <v>978</v>
      </c>
      <c r="AH403" s="15" t="s">
        <v>9194</v>
      </c>
      <c r="AI403" s="15" t="s">
        <v>9175</v>
      </c>
      <c r="AJ403" s="15" t="s">
        <v>9143</v>
      </c>
      <c r="AK403" s="15" t="s">
        <v>9194</v>
      </c>
      <c r="AL403" s="15" t="s">
        <v>9195</v>
      </c>
      <c r="AM403" s="16" t="s">
        <v>9194</v>
      </c>
      <c r="AN403" s="16" t="s">
        <v>9196</v>
      </c>
    </row>
    <row r="404" spans="1:40" x14ac:dyDescent="0.25">
      <c r="A404" s="4" t="s">
        <v>1473</v>
      </c>
      <c r="B404" s="4"/>
      <c r="C404" s="4" t="s">
        <v>39</v>
      </c>
      <c r="D404" s="4" t="s">
        <v>1474</v>
      </c>
      <c r="E404" s="4" t="s">
        <v>1475</v>
      </c>
      <c r="F404" s="10">
        <v>45653</v>
      </c>
      <c r="G404" s="11">
        <v>0.45833333333333331</v>
      </c>
      <c r="H404" s="4" t="s">
        <v>1476</v>
      </c>
      <c r="I404" s="4">
        <v>6059</v>
      </c>
      <c r="J404" s="4" t="s">
        <v>1477</v>
      </c>
      <c r="K404" s="4" t="s">
        <v>1478</v>
      </c>
      <c r="L404" s="4" t="s">
        <v>1479</v>
      </c>
      <c r="M404" s="4" t="s">
        <v>46</v>
      </c>
      <c r="N404" s="4"/>
      <c r="O404" s="4" t="s">
        <v>47</v>
      </c>
      <c r="P404" s="4" t="s">
        <v>48</v>
      </c>
      <c r="Q404" s="4">
        <v>0</v>
      </c>
      <c r="R404" s="4" t="b">
        <v>0</v>
      </c>
      <c r="S404" s="4" t="s">
        <v>49</v>
      </c>
      <c r="T404" s="4" t="s">
        <v>50</v>
      </c>
      <c r="U404" s="4" t="s">
        <v>71</v>
      </c>
      <c r="V404" s="4" t="s">
        <v>63</v>
      </c>
      <c r="W404" s="4" t="s">
        <v>108</v>
      </c>
      <c r="X404" s="4" t="s">
        <v>136</v>
      </c>
      <c r="Y404" s="4"/>
      <c r="Z404" s="12">
        <v>0</v>
      </c>
      <c r="AA404" s="13" t="s">
        <v>9174</v>
      </c>
      <c r="AB404" s="13" t="s">
        <v>9153</v>
      </c>
      <c r="AC404" s="14" t="s">
        <v>9139</v>
      </c>
      <c r="AD404" s="14" t="s">
        <v>9140</v>
      </c>
      <c r="AE404" s="14" t="s">
        <v>9140</v>
      </c>
      <c r="AF404" s="14" t="s">
        <v>63</v>
      </c>
      <c r="AG404" s="14" t="s">
        <v>136</v>
      </c>
      <c r="AH404" s="15" t="s">
        <v>9141</v>
      </c>
      <c r="AI404" s="15" t="s">
        <v>9193</v>
      </c>
      <c r="AJ404" s="15" t="s">
        <v>9143</v>
      </c>
      <c r="AK404" s="15" t="s">
        <v>9141</v>
      </c>
      <c r="AL404" s="15" t="s">
        <v>9189</v>
      </c>
      <c r="AM404" s="16" t="s">
        <v>9141</v>
      </c>
      <c r="AN404" s="16" t="s">
        <v>9190</v>
      </c>
    </row>
    <row r="405" spans="1:40" x14ac:dyDescent="0.25">
      <c r="A405" s="4" t="s">
        <v>4028</v>
      </c>
      <c r="B405" s="4"/>
      <c r="C405" s="4" t="s">
        <v>39</v>
      </c>
      <c r="D405" s="4" t="s">
        <v>4029</v>
      </c>
      <c r="E405" s="4" t="s">
        <v>4030</v>
      </c>
      <c r="F405" s="10">
        <v>45653</v>
      </c>
      <c r="G405" s="11">
        <v>0.42708333333333331</v>
      </c>
      <c r="H405" s="4" t="s">
        <v>4019</v>
      </c>
      <c r="I405" s="4" t="s">
        <v>4020</v>
      </c>
      <c r="J405" s="4" t="s">
        <v>3083</v>
      </c>
      <c r="K405" s="4" t="s">
        <v>4031</v>
      </c>
      <c r="L405" s="4" t="s">
        <v>4032</v>
      </c>
      <c r="M405" s="4" t="s">
        <v>46</v>
      </c>
      <c r="N405" s="4"/>
      <c r="O405" s="4" t="s">
        <v>47</v>
      </c>
      <c r="P405" s="4" t="s">
        <v>60</v>
      </c>
      <c r="Q405" s="4">
        <v>0</v>
      </c>
      <c r="R405" s="4" t="b">
        <v>0</v>
      </c>
      <c r="S405" s="4" t="s">
        <v>49</v>
      </c>
      <c r="T405" s="4" t="s">
        <v>50</v>
      </c>
      <c r="U405" s="4" t="s">
        <v>165</v>
      </c>
      <c r="V405" s="4" t="s">
        <v>63</v>
      </c>
      <c r="W405" s="4" t="s">
        <v>108</v>
      </c>
      <c r="X405" s="4" t="s">
        <v>978</v>
      </c>
      <c r="Y405" s="4"/>
      <c r="Z405" s="12">
        <v>0</v>
      </c>
      <c r="AA405" s="13" t="s">
        <v>9174</v>
      </c>
      <c r="AB405" s="13" t="s">
        <v>9153</v>
      </c>
      <c r="AC405" s="14" t="s">
        <v>9139</v>
      </c>
      <c r="AD405" s="14" t="s">
        <v>9140</v>
      </c>
      <c r="AE405" s="14" t="s">
        <v>9140</v>
      </c>
      <c r="AF405" s="14" t="s">
        <v>63</v>
      </c>
      <c r="AG405" s="14" t="s">
        <v>978</v>
      </c>
      <c r="AH405" s="15" t="s">
        <v>9220</v>
      </c>
      <c r="AI405" s="15" t="s">
        <v>9175</v>
      </c>
      <c r="AJ405" s="15" t="s">
        <v>9143</v>
      </c>
      <c r="AK405" s="15" t="s">
        <v>9221</v>
      </c>
      <c r="AL405" s="15" t="s">
        <v>9222</v>
      </c>
      <c r="AM405" s="16" t="s">
        <v>9221</v>
      </c>
      <c r="AN405" s="16" t="s">
        <v>9223</v>
      </c>
    </row>
    <row r="406" spans="1:40" x14ac:dyDescent="0.25">
      <c r="A406" s="4" t="s">
        <v>6416</v>
      </c>
      <c r="B406" s="4"/>
      <c r="C406" s="4" t="s">
        <v>39</v>
      </c>
      <c r="D406" s="4" t="s">
        <v>6417</v>
      </c>
      <c r="E406" s="4" t="s">
        <v>6418</v>
      </c>
      <c r="F406" s="10">
        <v>45652</v>
      </c>
      <c r="G406" s="11">
        <v>0.54166666666666663</v>
      </c>
      <c r="H406" s="4" t="s">
        <v>5666</v>
      </c>
      <c r="I406" s="4" t="s">
        <v>6414</v>
      </c>
      <c r="J406" s="4" t="s">
        <v>2019</v>
      </c>
      <c r="K406" s="4" t="s">
        <v>6007</v>
      </c>
      <c r="L406" s="4" t="s">
        <v>6419</v>
      </c>
      <c r="M406" s="4" t="s">
        <v>46</v>
      </c>
      <c r="N406" s="4"/>
      <c r="O406" s="4" t="s">
        <v>47</v>
      </c>
      <c r="P406" s="4" t="s">
        <v>48</v>
      </c>
      <c r="Q406" s="4">
        <v>0</v>
      </c>
      <c r="R406" s="4" t="b">
        <v>0</v>
      </c>
      <c r="S406" s="4" t="s">
        <v>49</v>
      </c>
      <c r="T406" s="4" t="s">
        <v>50</v>
      </c>
      <c r="U406" s="4" t="s">
        <v>71</v>
      </c>
      <c r="V406" s="4" t="s">
        <v>72</v>
      </c>
      <c r="W406" s="4" t="s">
        <v>73</v>
      </c>
      <c r="X406" s="4" t="s">
        <v>774</v>
      </c>
      <c r="Y406" s="4" t="s">
        <v>775</v>
      </c>
      <c r="Z406" s="12">
        <v>0</v>
      </c>
      <c r="AA406" s="13" t="s">
        <v>9174</v>
      </c>
      <c r="AB406" s="13" t="s">
        <v>9153</v>
      </c>
      <c r="AC406" s="14" t="s">
        <v>9139</v>
      </c>
      <c r="AD406" s="14" t="s">
        <v>9140</v>
      </c>
      <c r="AE406" s="14" t="s">
        <v>9140</v>
      </c>
      <c r="AF406" s="14" t="s">
        <v>72</v>
      </c>
      <c r="AG406" s="14" t="s">
        <v>774</v>
      </c>
      <c r="AH406" s="15" t="s">
        <v>9220</v>
      </c>
      <c r="AI406" s="15" t="s">
        <v>9199</v>
      </c>
      <c r="AJ406" s="15" t="s">
        <v>9143</v>
      </c>
      <c r="AK406" s="15" t="s">
        <v>9221</v>
      </c>
      <c r="AL406" s="15" t="s">
        <v>9199</v>
      </c>
      <c r="AM406" s="16" t="s">
        <v>9221</v>
      </c>
      <c r="AN406" s="16" t="s">
        <v>9238</v>
      </c>
    </row>
    <row r="407" spans="1:40" x14ac:dyDescent="0.25">
      <c r="A407" s="4" t="s">
        <v>7870</v>
      </c>
      <c r="B407" s="4"/>
      <c r="C407" s="4" t="s">
        <v>39</v>
      </c>
      <c r="D407" s="4" t="s">
        <v>7871</v>
      </c>
      <c r="E407" s="4" t="s">
        <v>7872</v>
      </c>
      <c r="F407" s="10">
        <v>45650</v>
      </c>
      <c r="G407" s="11">
        <v>0.55208333333333337</v>
      </c>
      <c r="H407" s="4" t="s">
        <v>4659</v>
      </c>
      <c r="I407" s="4" t="s">
        <v>7873</v>
      </c>
      <c r="J407" s="4" t="s">
        <v>7874</v>
      </c>
      <c r="K407" s="4" t="s">
        <v>7875</v>
      </c>
      <c r="L407" s="4" t="s">
        <v>7876</v>
      </c>
      <c r="M407" s="4" t="s">
        <v>46</v>
      </c>
      <c r="N407" s="4"/>
      <c r="O407" s="4" t="s">
        <v>47</v>
      </c>
      <c r="P407" s="4" t="s">
        <v>60</v>
      </c>
      <c r="Q407" s="4">
        <v>0</v>
      </c>
      <c r="R407" s="4" t="b">
        <v>0</v>
      </c>
      <c r="S407" s="4" t="s">
        <v>49</v>
      </c>
      <c r="T407" s="4" t="s">
        <v>50</v>
      </c>
      <c r="U407" s="4" t="s">
        <v>527</v>
      </c>
      <c r="V407" s="4" t="s">
        <v>63</v>
      </c>
      <c r="W407" s="4" t="s">
        <v>108</v>
      </c>
      <c r="X407" s="4" t="s">
        <v>471</v>
      </c>
      <c r="Y407" s="4"/>
      <c r="Z407" s="12">
        <v>0</v>
      </c>
      <c r="AA407" s="13" t="s">
        <v>9174</v>
      </c>
      <c r="AB407" s="13" t="s">
        <v>9153</v>
      </c>
      <c r="AC407" s="14" t="s">
        <v>9139</v>
      </c>
      <c r="AD407" s="14" t="s">
        <v>9140</v>
      </c>
      <c r="AE407" s="14" t="s">
        <v>9140</v>
      </c>
      <c r="AF407" s="14" t="s">
        <v>63</v>
      </c>
      <c r="AG407" s="14" t="s">
        <v>471</v>
      </c>
      <c r="AH407" s="15" t="s">
        <v>9220</v>
      </c>
      <c r="AI407" s="15" t="s">
        <v>9142</v>
      </c>
      <c r="AJ407" s="15" t="s">
        <v>9143</v>
      </c>
      <c r="AK407" s="15" t="s">
        <v>9221</v>
      </c>
      <c r="AL407" s="15" t="s">
        <v>9228</v>
      </c>
      <c r="AM407" s="16" t="s">
        <v>9221</v>
      </c>
      <c r="AN407" s="16" t="s">
        <v>9229</v>
      </c>
    </row>
    <row r="408" spans="1:40" x14ac:dyDescent="0.25">
      <c r="A408" s="4" t="s">
        <v>5685</v>
      </c>
      <c r="B408" s="4"/>
      <c r="C408" s="4" t="s">
        <v>39</v>
      </c>
      <c r="D408" s="4" t="s">
        <v>5686</v>
      </c>
      <c r="E408" s="4" t="s">
        <v>5687</v>
      </c>
      <c r="F408" s="10">
        <v>45650</v>
      </c>
      <c r="G408" s="11">
        <v>0.65625</v>
      </c>
      <c r="H408" s="4" t="s">
        <v>5666</v>
      </c>
      <c r="I408" s="4" t="s">
        <v>5667</v>
      </c>
      <c r="J408" s="4" t="s">
        <v>2192</v>
      </c>
      <c r="K408" s="4" t="s">
        <v>5688</v>
      </c>
      <c r="L408" s="4" t="s">
        <v>5689</v>
      </c>
      <c r="M408" s="4" t="s">
        <v>46</v>
      </c>
      <c r="N408" s="4"/>
      <c r="O408" s="4" t="s">
        <v>47</v>
      </c>
      <c r="P408" s="4" t="s">
        <v>60</v>
      </c>
      <c r="Q408" s="4">
        <v>0</v>
      </c>
      <c r="R408" s="4" t="b">
        <v>0</v>
      </c>
      <c r="S408" s="4" t="s">
        <v>49</v>
      </c>
      <c r="T408" s="4" t="s">
        <v>50</v>
      </c>
      <c r="U408" s="4" t="s">
        <v>107</v>
      </c>
      <c r="V408" s="4" t="s">
        <v>63</v>
      </c>
      <c r="W408" s="4" t="s">
        <v>198</v>
      </c>
      <c r="X408" s="4" t="s">
        <v>774</v>
      </c>
      <c r="Y408" s="4"/>
      <c r="Z408" s="12">
        <v>0</v>
      </c>
      <c r="AA408" s="13" t="s">
        <v>9174</v>
      </c>
      <c r="AB408" s="13" t="s">
        <v>9153</v>
      </c>
      <c r="AC408" s="14" t="s">
        <v>9139</v>
      </c>
      <c r="AD408" s="14" t="s">
        <v>9140</v>
      </c>
      <c r="AE408" s="14" t="s">
        <v>9140</v>
      </c>
      <c r="AF408" s="14" t="s">
        <v>63</v>
      </c>
      <c r="AG408" s="14" t="s">
        <v>774</v>
      </c>
      <c r="AH408" s="15" t="s">
        <v>9220</v>
      </c>
      <c r="AI408" s="15" t="s">
        <v>9199</v>
      </c>
      <c r="AJ408" s="15" t="s">
        <v>9143</v>
      </c>
      <c r="AK408" s="15" t="s">
        <v>9221</v>
      </c>
      <c r="AL408" s="15" t="s">
        <v>9199</v>
      </c>
      <c r="AM408" s="16" t="s">
        <v>9221</v>
      </c>
      <c r="AN408" s="16" t="s">
        <v>9238</v>
      </c>
    </row>
    <row r="409" spans="1:40" x14ac:dyDescent="0.25">
      <c r="A409" s="4" t="s">
        <v>8360</v>
      </c>
      <c r="B409" s="4"/>
      <c r="C409" s="4" t="s">
        <v>39</v>
      </c>
      <c r="D409" s="4" t="s">
        <v>8361</v>
      </c>
      <c r="E409" s="4" t="s">
        <v>8362</v>
      </c>
      <c r="F409" s="10">
        <v>45650</v>
      </c>
      <c r="G409" s="11">
        <v>0.5</v>
      </c>
      <c r="H409" s="4" t="s">
        <v>4516</v>
      </c>
      <c r="I409" s="4" t="s">
        <v>8356</v>
      </c>
      <c r="J409" s="4" t="s">
        <v>8357</v>
      </c>
      <c r="K409" s="4" t="s">
        <v>8363</v>
      </c>
      <c r="L409" s="4" t="s">
        <v>8364</v>
      </c>
      <c r="M409" s="4" t="s">
        <v>46</v>
      </c>
      <c r="N409" s="4"/>
      <c r="O409" s="4" t="s">
        <v>47</v>
      </c>
      <c r="P409" s="4" t="s">
        <v>48</v>
      </c>
      <c r="Q409" s="4">
        <v>0</v>
      </c>
      <c r="R409" s="4" t="b">
        <v>0</v>
      </c>
      <c r="S409" s="4" t="s">
        <v>61</v>
      </c>
      <c r="T409" s="4" t="s">
        <v>1303</v>
      </c>
      <c r="U409" s="4" t="s">
        <v>71</v>
      </c>
      <c r="V409" s="4" t="s">
        <v>52</v>
      </c>
      <c r="W409" s="4" t="s">
        <v>53</v>
      </c>
      <c r="X409" s="4" t="s">
        <v>136</v>
      </c>
      <c r="Y409" s="4"/>
      <c r="Z409" s="12">
        <v>0</v>
      </c>
      <c r="AA409" s="13" t="s">
        <v>9174</v>
      </c>
      <c r="AB409" s="13" t="s">
        <v>9153</v>
      </c>
      <c r="AC409" s="14" t="s">
        <v>9148</v>
      </c>
      <c r="AD409" s="14" t="s">
        <v>9140</v>
      </c>
      <c r="AE409" s="14" t="s">
        <v>9140</v>
      </c>
      <c r="AF409" s="14" t="s">
        <v>52</v>
      </c>
      <c r="AG409" s="14" t="s">
        <v>136</v>
      </c>
      <c r="AH409" s="15" t="s">
        <v>9220</v>
      </c>
      <c r="AI409" s="15" t="s">
        <v>9188</v>
      </c>
      <c r="AJ409" s="15" t="s">
        <v>9143</v>
      </c>
      <c r="AK409" s="15" t="s">
        <v>9221</v>
      </c>
      <c r="AL409" s="15" t="s">
        <v>9236</v>
      </c>
      <c r="AM409" s="16" t="s">
        <v>9221</v>
      </c>
      <c r="AN409" s="16" t="s">
        <v>9237</v>
      </c>
    </row>
    <row r="410" spans="1:40" x14ac:dyDescent="0.25">
      <c r="A410" s="4" t="s">
        <v>5312</v>
      </c>
      <c r="B410" s="4"/>
      <c r="C410" s="4" t="s">
        <v>39</v>
      </c>
      <c r="D410" s="4" t="s">
        <v>5313</v>
      </c>
      <c r="E410" s="4" t="s">
        <v>5314</v>
      </c>
      <c r="F410" s="10">
        <v>45650</v>
      </c>
      <c r="G410" s="11">
        <v>0.44791666666666669</v>
      </c>
      <c r="H410" s="4" t="s">
        <v>4516</v>
      </c>
      <c r="I410" s="4" t="s">
        <v>5275</v>
      </c>
      <c r="J410" s="4" t="s">
        <v>5276</v>
      </c>
      <c r="K410" s="4" t="s">
        <v>525</v>
      </c>
      <c r="L410" s="4" t="s">
        <v>5315</v>
      </c>
      <c r="M410" s="4" t="s">
        <v>46</v>
      </c>
      <c r="N410" s="4"/>
      <c r="O410" s="4" t="s">
        <v>47</v>
      </c>
      <c r="P410" s="4" t="s">
        <v>48</v>
      </c>
      <c r="Q410" s="4">
        <v>0</v>
      </c>
      <c r="R410" s="4" t="b">
        <v>0</v>
      </c>
      <c r="S410" s="4" t="s">
        <v>49</v>
      </c>
      <c r="T410" s="4" t="s">
        <v>50</v>
      </c>
      <c r="U410" s="4" t="s">
        <v>165</v>
      </c>
      <c r="V410" s="4" t="s">
        <v>63</v>
      </c>
      <c r="W410" s="4" t="s">
        <v>108</v>
      </c>
      <c r="X410" s="4" t="s">
        <v>54</v>
      </c>
      <c r="Y410" s="4"/>
      <c r="Z410" s="12">
        <v>0</v>
      </c>
      <c r="AA410" s="13" t="s">
        <v>9174</v>
      </c>
      <c r="AB410" s="13" t="s">
        <v>9153</v>
      </c>
      <c r="AC410" s="14" t="s">
        <v>9139</v>
      </c>
      <c r="AD410" s="14" t="s">
        <v>9140</v>
      </c>
      <c r="AE410" s="14" t="s">
        <v>9140</v>
      </c>
      <c r="AF410" s="14" t="s">
        <v>63</v>
      </c>
      <c r="AG410" s="14" t="s">
        <v>54</v>
      </c>
      <c r="AH410" s="15" t="s">
        <v>9220</v>
      </c>
      <c r="AI410" s="15" t="s">
        <v>9188</v>
      </c>
      <c r="AJ410" s="15" t="s">
        <v>9143</v>
      </c>
      <c r="AK410" s="15" t="s">
        <v>9221</v>
      </c>
      <c r="AL410" s="15" t="s">
        <v>9230</v>
      </c>
      <c r="AM410" s="16" t="s">
        <v>9221</v>
      </c>
      <c r="AN410" s="16" t="s">
        <v>9231</v>
      </c>
    </row>
    <row r="411" spans="1:40" x14ac:dyDescent="0.25">
      <c r="A411" s="4" t="s">
        <v>4524</v>
      </c>
      <c r="B411" s="4"/>
      <c r="C411" s="4" t="s">
        <v>39</v>
      </c>
      <c r="D411" s="4" t="s">
        <v>4525</v>
      </c>
      <c r="E411" s="4" t="s">
        <v>4526</v>
      </c>
      <c r="F411" s="10">
        <v>45649</v>
      </c>
      <c r="G411" s="11">
        <v>0.84305555555555556</v>
      </c>
      <c r="H411" s="4" t="s">
        <v>4516</v>
      </c>
      <c r="I411" s="4" t="s">
        <v>4517</v>
      </c>
      <c r="J411" s="4" t="s">
        <v>2272</v>
      </c>
      <c r="K411" s="4" t="s">
        <v>4527</v>
      </c>
      <c r="L411" s="4" t="s">
        <v>4528</v>
      </c>
      <c r="M411" s="4" t="s">
        <v>46</v>
      </c>
      <c r="N411" s="4"/>
      <c r="O411" s="4" t="s">
        <v>47</v>
      </c>
      <c r="P411" s="4" t="s">
        <v>48</v>
      </c>
      <c r="Q411" s="4">
        <v>0</v>
      </c>
      <c r="R411" s="4" t="b">
        <v>0</v>
      </c>
      <c r="S411" s="4" t="s">
        <v>61</v>
      </c>
      <c r="T411" s="4" t="s">
        <v>479</v>
      </c>
      <c r="U411" s="4" t="s">
        <v>600</v>
      </c>
      <c r="V411" s="4" t="s">
        <v>52</v>
      </c>
      <c r="W411" s="4" t="s">
        <v>374</v>
      </c>
      <c r="X411" s="4" t="s">
        <v>774</v>
      </c>
      <c r="Y411" s="4" t="s">
        <v>775</v>
      </c>
      <c r="Z411" s="12">
        <v>0</v>
      </c>
      <c r="AA411" s="13" t="s">
        <v>9174</v>
      </c>
      <c r="AB411" s="13" t="s">
        <v>9153</v>
      </c>
      <c r="AC411" s="14" t="s">
        <v>9148</v>
      </c>
      <c r="AD411" s="14" t="s">
        <v>9140</v>
      </c>
      <c r="AE411" s="14" t="s">
        <v>9140</v>
      </c>
      <c r="AF411" s="14" t="s">
        <v>52</v>
      </c>
      <c r="AG411" s="14" t="s">
        <v>774</v>
      </c>
      <c r="AH411" s="15" t="s">
        <v>9220</v>
      </c>
      <c r="AI411" s="15" t="s">
        <v>9188</v>
      </c>
      <c r="AJ411" s="15" t="s">
        <v>9143</v>
      </c>
      <c r="AK411" s="15" t="s">
        <v>9221</v>
      </c>
      <c r="AL411" s="15" t="s">
        <v>9230</v>
      </c>
      <c r="AM411" s="16" t="s">
        <v>9221</v>
      </c>
      <c r="AN411" s="16" t="s">
        <v>9231</v>
      </c>
    </row>
    <row r="412" spans="1:40" x14ac:dyDescent="0.25">
      <c r="A412" s="4" t="s">
        <v>8239</v>
      </c>
      <c r="B412" s="4"/>
      <c r="C412" s="4" t="s">
        <v>39</v>
      </c>
      <c r="D412" s="4" t="s">
        <v>8240</v>
      </c>
      <c r="E412" s="4" t="s">
        <v>8241</v>
      </c>
      <c r="F412" s="10">
        <v>45649</v>
      </c>
      <c r="G412" s="11">
        <v>0.48333333333333334</v>
      </c>
      <c r="H412" s="4" t="s">
        <v>4910</v>
      </c>
      <c r="I412" s="4" t="s">
        <v>8223</v>
      </c>
      <c r="J412" s="4" t="s">
        <v>1844</v>
      </c>
      <c r="K412" s="4" t="s">
        <v>8242</v>
      </c>
      <c r="L412" s="4" t="s">
        <v>8243</v>
      </c>
      <c r="M412" s="4" t="s">
        <v>46</v>
      </c>
      <c r="N412" s="4"/>
      <c r="O412" s="4" t="s">
        <v>47</v>
      </c>
      <c r="P412" s="4" t="s">
        <v>48</v>
      </c>
      <c r="Q412" s="4">
        <v>0</v>
      </c>
      <c r="R412" s="4" t="b">
        <v>0</v>
      </c>
      <c r="S412" s="4" t="s">
        <v>49</v>
      </c>
      <c r="T412" s="4" t="s">
        <v>50</v>
      </c>
      <c r="U412" s="4" t="s">
        <v>71</v>
      </c>
      <c r="V412" s="4" t="s">
        <v>72</v>
      </c>
      <c r="W412" s="4" t="s">
        <v>73</v>
      </c>
      <c r="X412" s="4" t="s">
        <v>774</v>
      </c>
      <c r="Y412" s="4" t="s">
        <v>486</v>
      </c>
      <c r="Z412" s="12">
        <v>0</v>
      </c>
      <c r="AA412" s="13" t="s">
        <v>9174</v>
      </c>
      <c r="AB412" s="13" t="s">
        <v>9153</v>
      </c>
      <c r="AC412" s="14" t="s">
        <v>9139</v>
      </c>
      <c r="AD412" s="14" t="s">
        <v>9140</v>
      </c>
      <c r="AE412" s="14" t="s">
        <v>9140</v>
      </c>
      <c r="AF412" s="14" t="s">
        <v>72</v>
      </c>
      <c r="AG412" s="14" t="s">
        <v>774</v>
      </c>
      <c r="AH412" s="15" t="s">
        <v>9220</v>
      </c>
      <c r="AI412" s="15" t="s">
        <v>9191</v>
      </c>
      <c r="AJ412" s="15" t="s">
        <v>9143</v>
      </c>
      <c r="AK412" s="15" t="s">
        <v>9221</v>
      </c>
      <c r="AL412" s="15" t="s">
        <v>9226</v>
      </c>
      <c r="AM412" s="16" t="s">
        <v>9221</v>
      </c>
      <c r="AN412" s="16" t="s">
        <v>9227</v>
      </c>
    </row>
    <row r="413" spans="1:40" x14ac:dyDescent="0.25">
      <c r="A413" s="4" t="s">
        <v>4110</v>
      </c>
      <c r="B413" s="4"/>
      <c r="C413" s="4" t="s">
        <v>39</v>
      </c>
      <c r="D413" s="4" t="s">
        <v>4111</v>
      </c>
      <c r="E413" s="4" t="s">
        <v>4112</v>
      </c>
      <c r="F413" s="10">
        <v>45649</v>
      </c>
      <c r="G413" s="11">
        <v>0.85416666666666663</v>
      </c>
      <c r="H413" s="4" t="s">
        <v>4019</v>
      </c>
      <c r="I413" s="4" t="s">
        <v>4092</v>
      </c>
      <c r="J413" s="4" t="s">
        <v>4093</v>
      </c>
      <c r="K413" s="4" t="s">
        <v>455</v>
      </c>
      <c r="L413" s="4" t="s">
        <v>4113</v>
      </c>
      <c r="M413" s="4" t="s">
        <v>46</v>
      </c>
      <c r="N413" s="4"/>
      <c r="O413" s="4" t="s">
        <v>47</v>
      </c>
      <c r="P413" s="4" t="s">
        <v>60</v>
      </c>
      <c r="Q413" s="4">
        <v>0</v>
      </c>
      <c r="R413" s="4" t="b">
        <v>0</v>
      </c>
      <c r="S413" s="4" t="s">
        <v>61</v>
      </c>
      <c r="T413" s="4" t="s">
        <v>1303</v>
      </c>
      <c r="U413" s="4" t="s">
        <v>148</v>
      </c>
      <c r="V413" s="4" t="s">
        <v>52</v>
      </c>
      <c r="W413" s="4" t="s">
        <v>53</v>
      </c>
      <c r="X413" s="4" t="s">
        <v>54</v>
      </c>
      <c r="Y413" s="4" t="s">
        <v>176</v>
      </c>
      <c r="Z413" s="12">
        <v>0</v>
      </c>
      <c r="AA413" s="13" t="s">
        <v>9174</v>
      </c>
      <c r="AB413" s="13" t="s">
        <v>9153</v>
      </c>
      <c r="AC413" s="14" t="s">
        <v>9148</v>
      </c>
      <c r="AD413" s="14" t="s">
        <v>9140</v>
      </c>
      <c r="AE413" s="14" t="s">
        <v>9140</v>
      </c>
      <c r="AF413" s="14" t="s">
        <v>52</v>
      </c>
      <c r="AG413" s="14" t="s">
        <v>54</v>
      </c>
      <c r="AH413" s="15" t="s">
        <v>9220</v>
      </c>
      <c r="AI413" s="15" t="s">
        <v>9175</v>
      </c>
      <c r="AJ413" s="15" t="s">
        <v>9143</v>
      </c>
      <c r="AK413" s="15" t="s">
        <v>9221</v>
      </c>
      <c r="AL413" s="15" t="s">
        <v>9222</v>
      </c>
      <c r="AM413" s="16" t="s">
        <v>9221</v>
      </c>
      <c r="AN413" s="16" t="s">
        <v>9223</v>
      </c>
    </row>
    <row r="414" spans="1:40" x14ac:dyDescent="0.25">
      <c r="A414" s="4" t="s">
        <v>1214</v>
      </c>
      <c r="B414" s="4"/>
      <c r="C414" s="4" t="s">
        <v>39</v>
      </c>
      <c r="D414" s="4" t="s">
        <v>1215</v>
      </c>
      <c r="E414" s="4" t="s">
        <v>1216</v>
      </c>
      <c r="F414" s="10">
        <v>45649</v>
      </c>
      <c r="G414" s="11">
        <v>0.63541666666666663</v>
      </c>
      <c r="H414" s="4" t="s">
        <v>1155</v>
      </c>
      <c r="I414" s="4">
        <v>4043</v>
      </c>
      <c r="J414" s="4" t="s">
        <v>1200</v>
      </c>
      <c r="K414" s="4" t="s">
        <v>1217</v>
      </c>
      <c r="L414" s="4" t="s">
        <v>1218</v>
      </c>
      <c r="M414" s="4" t="s">
        <v>46</v>
      </c>
      <c r="N414" s="4"/>
      <c r="O414" s="4" t="s">
        <v>47</v>
      </c>
      <c r="P414" s="4" t="s">
        <v>48</v>
      </c>
      <c r="Q414" s="4">
        <v>0</v>
      </c>
      <c r="R414" s="4" t="b">
        <v>0</v>
      </c>
      <c r="S414" s="4" t="s">
        <v>61</v>
      </c>
      <c r="T414" s="4" t="s">
        <v>433</v>
      </c>
      <c r="U414" s="4" t="s">
        <v>80</v>
      </c>
      <c r="V414" s="4" t="s">
        <v>63</v>
      </c>
      <c r="W414" s="4" t="s">
        <v>198</v>
      </c>
      <c r="X414" s="4" t="s">
        <v>838</v>
      </c>
      <c r="Y414" s="4" t="s">
        <v>176</v>
      </c>
      <c r="Z414" s="12">
        <v>0</v>
      </c>
      <c r="AA414" s="13" t="s">
        <v>9174</v>
      </c>
      <c r="AB414" s="13" t="s">
        <v>9153</v>
      </c>
      <c r="AC414" s="14" t="s">
        <v>9148</v>
      </c>
      <c r="AD414" s="14" t="s">
        <v>9140</v>
      </c>
      <c r="AE414" s="14" t="s">
        <v>9140</v>
      </c>
      <c r="AF414" s="14" t="s">
        <v>63</v>
      </c>
      <c r="AG414" s="14" t="s">
        <v>838</v>
      </c>
      <c r="AH414" s="15" t="s">
        <v>9141</v>
      </c>
      <c r="AI414" s="15" t="s">
        <v>9187</v>
      </c>
      <c r="AJ414" s="15" t="s">
        <v>9143</v>
      </c>
      <c r="AK414" s="15" t="s">
        <v>9141</v>
      </c>
      <c r="AL414" s="15" t="s">
        <v>9144</v>
      </c>
      <c r="AM414" s="16" t="s">
        <v>9141</v>
      </c>
      <c r="AN414" s="16" t="s">
        <v>9145</v>
      </c>
    </row>
    <row r="415" spans="1:40" x14ac:dyDescent="0.25">
      <c r="A415" s="4" t="s">
        <v>3886</v>
      </c>
      <c r="B415" s="4"/>
      <c r="C415" s="4" t="s">
        <v>39</v>
      </c>
      <c r="D415" s="4" t="s">
        <v>3887</v>
      </c>
      <c r="E415" s="4" t="s">
        <v>3888</v>
      </c>
      <c r="F415" s="10">
        <v>45649</v>
      </c>
      <c r="G415" s="11">
        <v>0.55347222222222225</v>
      </c>
      <c r="H415" s="4" t="s">
        <v>2095</v>
      </c>
      <c r="I415" s="4" t="s">
        <v>3889</v>
      </c>
      <c r="J415" s="4" t="s">
        <v>3890</v>
      </c>
      <c r="K415" s="4" t="s">
        <v>3891</v>
      </c>
      <c r="L415" s="4" t="s">
        <v>3892</v>
      </c>
      <c r="M415" s="4" t="s">
        <v>46</v>
      </c>
      <c r="N415" s="4"/>
      <c r="O415" s="4" t="s">
        <v>47</v>
      </c>
      <c r="P415" s="4" t="s">
        <v>48</v>
      </c>
      <c r="Q415" s="4">
        <v>0</v>
      </c>
      <c r="R415" s="4" t="b">
        <v>0</v>
      </c>
      <c r="S415" s="4" t="s">
        <v>49</v>
      </c>
      <c r="T415" s="4" t="s">
        <v>50</v>
      </c>
      <c r="U415" s="4" t="s">
        <v>71</v>
      </c>
      <c r="V415" s="4" t="s">
        <v>63</v>
      </c>
      <c r="W415" s="4" t="s">
        <v>108</v>
      </c>
      <c r="X415" s="4" t="s">
        <v>54</v>
      </c>
      <c r="Y415" s="4" t="s">
        <v>176</v>
      </c>
      <c r="Z415" s="12">
        <v>0</v>
      </c>
      <c r="AA415" s="13" t="s">
        <v>9174</v>
      </c>
      <c r="AB415" s="13" t="s">
        <v>9153</v>
      </c>
      <c r="AC415" s="14" t="s">
        <v>9139</v>
      </c>
      <c r="AD415" s="14" t="s">
        <v>9140</v>
      </c>
      <c r="AE415" s="14" t="s">
        <v>9140</v>
      </c>
      <c r="AF415" s="14" t="s">
        <v>63</v>
      </c>
      <c r="AG415" s="14" t="s">
        <v>54</v>
      </c>
      <c r="AH415" s="15" t="s">
        <v>9194</v>
      </c>
      <c r="AI415" s="15" t="s">
        <v>9188</v>
      </c>
      <c r="AJ415" s="15" t="s">
        <v>9143</v>
      </c>
      <c r="AK415" s="15" t="s">
        <v>9194</v>
      </c>
      <c r="AL415" s="15" t="s">
        <v>9203</v>
      </c>
      <c r="AM415" s="16" t="s">
        <v>9194</v>
      </c>
      <c r="AN415" s="16" t="s">
        <v>9204</v>
      </c>
    </row>
    <row r="416" spans="1:40" x14ac:dyDescent="0.25">
      <c r="A416" s="4" t="s">
        <v>4664</v>
      </c>
      <c r="B416" s="4"/>
      <c r="C416" s="4" t="s">
        <v>39</v>
      </c>
      <c r="D416" s="4" t="s">
        <v>4665</v>
      </c>
      <c r="E416" s="4" t="s">
        <v>4666</v>
      </c>
      <c r="F416" s="10">
        <v>45648</v>
      </c>
      <c r="G416" s="11">
        <v>0.69791666666666663</v>
      </c>
      <c r="H416" s="4" t="s">
        <v>4659</v>
      </c>
      <c r="I416" s="4" t="s">
        <v>4660</v>
      </c>
      <c r="J416" s="4" t="s">
        <v>4661</v>
      </c>
      <c r="K416" s="4" t="s">
        <v>4667</v>
      </c>
      <c r="L416" s="4" t="s">
        <v>4668</v>
      </c>
      <c r="M416" s="4" t="s">
        <v>46</v>
      </c>
      <c r="N416" s="4"/>
      <c r="O416" s="4" t="s">
        <v>47</v>
      </c>
      <c r="P416" s="4" t="s">
        <v>48</v>
      </c>
      <c r="Q416" s="4">
        <v>0</v>
      </c>
      <c r="R416" s="4" t="b">
        <v>0</v>
      </c>
      <c r="S416" s="4" t="s">
        <v>49</v>
      </c>
      <c r="T416" s="4" t="s">
        <v>50</v>
      </c>
      <c r="U416" s="4" t="s">
        <v>224</v>
      </c>
      <c r="V416" s="4" t="s">
        <v>63</v>
      </c>
      <c r="W416" s="4" t="s">
        <v>108</v>
      </c>
      <c r="X416" s="4" t="s">
        <v>136</v>
      </c>
      <c r="Y416" s="4"/>
      <c r="Z416" s="12">
        <v>0</v>
      </c>
      <c r="AA416" s="13" t="s">
        <v>9174</v>
      </c>
      <c r="AB416" s="13" t="s">
        <v>9153</v>
      </c>
      <c r="AC416" s="14" t="s">
        <v>9139</v>
      </c>
      <c r="AD416" s="14" t="s">
        <v>9140</v>
      </c>
      <c r="AE416" s="14" t="s">
        <v>9140</v>
      </c>
      <c r="AF416" s="14" t="s">
        <v>63</v>
      </c>
      <c r="AG416" s="14" t="s">
        <v>136</v>
      </c>
      <c r="AH416" s="15" t="s">
        <v>9220</v>
      </c>
      <c r="AI416" s="15" t="s">
        <v>9142</v>
      </c>
      <c r="AJ416" s="15" t="s">
        <v>9143</v>
      </c>
      <c r="AK416" s="15" t="s">
        <v>9221</v>
      </c>
      <c r="AL416" s="15" t="s">
        <v>9228</v>
      </c>
      <c r="AM416" s="16" t="s">
        <v>9221</v>
      </c>
      <c r="AN416" s="16" t="s">
        <v>9229</v>
      </c>
    </row>
    <row r="417" spans="1:40" x14ac:dyDescent="0.25">
      <c r="A417" s="4" t="s">
        <v>5932</v>
      </c>
      <c r="B417" s="4"/>
      <c r="C417" s="4" t="s">
        <v>39</v>
      </c>
      <c r="D417" s="4" t="s">
        <v>5933</v>
      </c>
      <c r="E417" s="4" t="s">
        <v>5934</v>
      </c>
      <c r="F417" s="10">
        <v>45648</v>
      </c>
      <c r="G417" s="11">
        <v>0.54166666666666663</v>
      </c>
      <c r="H417" s="4" t="s">
        <v>4242</v>
      </c>
      <c r="I417" s="4" t="s">
        <v>5918</v>
      </c>
      <c r="J417" s="4" t="s">
        <v>5919</v>
      </c>
      <c r="K417" s="4" t="s">
        <v>5935</v>
      </c>
      <c r="L417" s="4" t="s">
        <v>5936</v>
      </c>
      <c r="M417" s="4" t="s">
        <v>46</v>
      </c>
      <c r="N417" s="4"/>
      <c r="O417" s="4" t="s">
        <v>47</v>
      </c>
      <c r="P417" s="4" t="s">
        <v>48</v>
      </c>
      <c r="Q417" s="4">
        <v>0</v>
      </c>
      <c r="R417" s="4" t="b">
        <v>0</v>
      </c>
      <c r="S417" s="4" t="s">
        <v>61</v>
      </c>
      <c r="T417" s="4" t="s">
        <v>134</v>
      </c>
      <c r="U417" s="4" t="s">
        <v>107</v>
      </c>
      <c r="V417" s="4" t="s">
        <v>63</v>
      </c>
      <c r="W417" s="4" t="s">
        <v>108</v>
      </c>
      <c r="X417" s="4" t="s">
        <v>774</v>
      </c>
      <c r="Y417" s="4"/>
      <c r="Z417" s="12">
        <v>0</v>
      </c>
      <c r="AA417" s="13" t="s">
        <v>9174</v>
      </c>
      <c r="AB417" s="13" t="s">
        <v>9153</v>
      </c>
      <c r="AC417" s="14" t="s">
        <v>9148</v>
      </c>
      <c r="AD417" s="14" t="s">
        <v>9140</v>
      </c>
      <c r="AE417" s="14" t="s">
        <v>9140</v>
      </c>
      <c r="AF417" s="14" t="s">
        <v>63</v>
      </c>
      <c r="AG417" s="14" t="s">
        <v>774</v>
      </c>
      <c r="AH417" s="15" t="s">
        <v>9220</v>
      </c>
      <c r="AI417" s="15" t="s">
        <v>9187</v>
      </c>
      <c r="AJ417" s="15" t="s">
        <v>9143</v>
      </c>
      <c r="AK417" s="15" t="s">
        <v>9221</v>
      </c>
      <c r="AL417" s="15" t="s">
        <v>9226</v>
      </c>
      <c r="AM417" s="16" t="s">
        <v>9221</v>
      </c>
      <c r="AN417" s="16" t="s">
        <v>9227</v>
      </c>
    </row>
    <row r="418" spans="1:40" x14ac:dyDescent="0.25">
      <c r="A418" s="4" t="s">
        <v>6285</v>
      </c>
      <c r="B418" s="4"/>
      <c r="C418" s="4" t="s">
        <v>39</v>
      </c>
      <c r="D418" s="4" t="s">
        <v>3605</v>
      </c>
      <c r="E418" s="4" t="s">
        <v>3606</v>
      </c>
      <c r="F418" s="10">
        <v>45647</v>
      </c>
      <c r="G418" s="11">
        <v>0.45833333333333331</v>
      </c>
      <c r="H418" s="4" t="s">
        <v>4019</v>
      </c>
      <c r="I418" s="4" t="s">
        <v>6277</v>
      </c>
      <c r="J418" s="4" t="s">
        <v>988</v>
      </c>
      <c r="K418" s="4" t="s">
        <v>6286</v>
      </c>
      <c r="L418" s="4" t="s">
        <v>6287</v>
      </c>
      <c r="M418" s="4" t="s">
        <v>46</v>
      </c>
      <c r="N418" s="4"/>
      <c r="O418" s="4" t="s">
        <v>47</v>
      </c>
      <c r="P418" s="4" t="s">
        <v>48</v>
      </c>
      <c r="Q418" s="4">
        <v>0</v>
      </c>
      <c r="R418" s="4" t="b">
        <v>0</v>
      </c>
      <c r="S418" s="4" t="s">
        <v>61</v>
      </c>
      <c r="T418" s="4" t="s">
        <v>50</v>
      </c>
      <c r="U418" s="4" t="s">
        <v>600</v>
      </c>
      <c r="V418" s="4" t="s">
        <v>72</v>
      </c>
      <c r="W418" s="4" t="s">
        <v>73</v>
      </c>
      <c r="X418" s="4" t="s">
        <v>4922</v>
      </c>
      <c r="Y418" s="4" t="s">
        <v>1944</v>
      </c>
      <c r="Z418" s="12">
        <v>0</v>
      </c>
      <c r="AA418" s="13" t="s">
        <v>9174</v>
      </c>
      <c r="AB418" s="13" t="s">
        <v>9153</v>
      </c>
      <c r="AC418" s="14" t="s">
        <v>9148</v>
      </c>
      <c r="AD418" s="14" t="s">
        <v>9140</v>
      </c>
      <c r="AE418" s="14" t="s">
        <v>9140</v>
      </c>
      <c r="AF418" s="14" t="s">
        <v>72</v>
      </c>
      <c r="AG418" s="14" t="s">
        <v>4922</v>
      </c>
      <c r="AH418" s="15" t="s">
        <v>9220</v>
      </c>
      <c r="AI418" s="15" t="s">
        <v>9175</v>
      </c>
      <c r="AJ418" s="15" t="s">
        <v>9143</v>
      </c>
      <c r="AK418" s="15" t="s">
        <v>9221</v>
      </c>
      <c r="AL418" s="15" t="s">
        <v>9222</v>
      </c>
      <c r="AM418" s="16" t="s">
        <v>9221</v>
      </c>
      <c r="AN418" s="16" t="s">
        <v>9223</v>
      </c>
    </row>
    <row r="419" spans="1:40" x14ac:dyDescent="0.25">
      <c r="A419" s="4" t="s">
        <v>4987</v>
      </c>
      <c r="B419" s="4"/>
      <c r="C419" s="4" t="s">
        <v>39</v>
      </c>
      <c r="D419" s="4" t="s">
        <v>4988</v>
      </c>
      <c r="E419" s="4" t="s">
        <v>4989</v>
      </c>
      <c r="F419" s="10">
        <v>45647</v>
      </c>
      <c r="G419" s="11">
        <v>0.55347222222222225</v>
      </c>
      <c r="H419" s="4" t="s">
        <v>4516</v>
      </c>
      <c r="I419" s="4" t="s">
        <v>4969</v>
      </c>
      <c r="J419" s="4" t="s">
        <v>3453</v>
      </c>
      <c r="K419" s="4" t="s">
        <v>4990</v>
      </c>
      <c r="L419" s="4" t="s">
        <v>4991</v>
      </c>
      <c r="M419" s="4" t="s">
        <v>46</v>
      </c>
      <c r="N419" s="4"/>
      <c r="O419" s="4" t="s">
        <v>47</v>
      </c>
      <c r="P419" s="4" t="s">
        <v>48</v>
      </c>
      <c r="Q419" s="4">
        <v>0</v>
      </c>
      <c r="R419" s="4" t="b">
        <v>0</v>
      </c>
      <c r="S419" s="4" t="s">
        <v>49</v>
      </c>
      <c r="T419" s="4" t="s">
        <v>50</v>
      </c>
      <c r="U419" s="4" t="s">
        <v>71</v>
      </c>
      <c r="V419" s="4" t="s">
        <v>72</v>
      </c>
      <c r="W419" s="4" t="s">
        <v>73</v>
      </c>
      <c r="X419" s="4" t="s">
        <v>774</v>
      </c>
      <c r="Y419" s="4" t="s">
        <v>486</v>
      </c>
      <c r="Z419" s="12">
        <v>0</v>
      </c>
      <c r="AA419" s="13" t="s">
        <v>9174</v>
      </c>
      <c r="AB419" s="13" t="s">
        <v>9153</v>
      </c>
      <c r="AC419" s="14" t="s">
        <v>9139</v>
      </c>
      <c r="AD419" s="14" t="s">
        <v>9140</v>
      </c>
      <c r="AE419" s="14" t="s">
        <v>9140</v>
      </c>
      <c r="AF419" s="14" t="s">
        <v>72</v>
      </c>
      <c r="AG419" s="14" t="s">
        <v>774</v>
      </c>
      <c r="AH419" s="15" t="s">
        <v>9220</v>
      </c>
      <c r="AI419" s="15" t="s">
        <v>9188</v>
      </c>
      <c r="AJ419" s="15" t="s">
        <v>9143</v>
      </c>
      <c r="AK419" s="15" t="s">
        <v>9221</v>
      </c>
      <c r="AL419" s="15" t="s">
        <v>9230</v>
      </c>
      <c r="AM419" s="16" t="s">
        <v>9221</v>
      </c>
      <c r="AN419" s="16" t="s">
        <v>9231</v>
      </c>
    </row>
    <row r="420" spans="1:40" x14ac:dyDescent="0.25">
      <c r="A420" s="4" t="s">
        <v>7322</v>
      </c>
      <c r="B420" s="4"/>
      <c r="C420" s="4" t="s">
        <v>39</v>
      </c>
      <c r="D420" s="4" t="s">
        <v>7313</v>
      </c>
      <c r="E420" s="4" t="s">
        <v>7314</v>
      </c>
      <c r="F420" s="10">
        <v>45646</v>
      </c>
      <c r="G420" s="11">
        <v>0.54652777777777772</v>
      </c>
      <c r="H420" s="4" t="s">
        <v>4019</v>
      </c>
      <c r="I420" s="4" t="s">
        <v>7315</v>
      </c>
      <c r="J420" s="4" t="s">
        <v>1037</v>
      </c>
      <c r="K420" s="4" t="s">
        <v>7323</v>
      </c>
      <c r="L420" s="4" t="s">
        <v>7324</v>
      </c>
      <c r="M420" s="4" t="s">
        <v>46</v>
      </c>
      <c r="N420" s="4"/>
      <c r="O420" s="4" t="s">
        <v>47</v>
      </c>
      <c r="P420" s="4" t="s">
        <v>48</v>
      </c>
      <c r="Q420" s="4">
        <v>0</v>
      </c>
      <c r="R420" s="4" t="b">
        <v>0</v>
      </c>
      <c r="S420" s="4" t="s">
        <v>49</v>
      </c>
      <c r="T420" s="4" t="s">
        <v>50</v>
      </c>
      <c r="U420" s="4" t="s">
        <v>165</v>
      </c>
      <c r="V420" s="4" t="s">
        <v>63</v>
      </c>
      <c r="W420" s="4" t="s">
        <v>108</v>
      </c>
      <c r="X420" s="4" t="s">
        <v>54</v>
      </c>
      <c r="Y420" s="4"/>
      <c r="Z420" s="12">
        <v>0</v>
      </c>
      <c r="AA420" s="13" t="s">
        <v>9174</v>
      </c>
      <c r="AB420" s="13" t="s">
        <v>9153</v>
      </c>
      <c r="AC420" s="14" t="s">
        <v>9139</v>
      </c>
      <c r="AD420" s="14" t="s">
        <v>9140</v>
      </c>
      <c r="AE420" s="14" t="s">
        <v>9140</v>
      </c>
      <c r="AF420" s="14" t="s">
        <v>63</v>
      </c>
      <c r="AG420" s="14" t="s">
        <v>54</v>
      </c>
      <c r="AH420" s="15" t="s">
        <v>9220</v>
      </c>
      <c r="AI420" s="15" t="s">
        <v>9175</v>
      </c>
      <c r="AJ420" s="15" t="s">
        <v>9143</v>
      </c>
      <c r="AK420" s="15" t="s">
        <v>9221</v>
      </c>
      <c r="AL420" s="15" t="s">
        <v>9222</v>
      </c>
      <c r="AM420" s="16" t="s">
        <v>9221</v>
      </c>
      <c r="AN420" s="16" t="s">
        <v>9223</v>
      </c>
    </row>
    <row r="421" spans="1:40" x14ac:dyDescent="0.25">
      <c r="A421" s="4" t="s">
        <v>1893</v>
      </c>
      <c r="B421" s="4"/>
      <c r="C421" s="4" t="s">
        <v>39</v>
      </c>
      <c r="D421" s="4" t="s">
        <v>1894</v>
      </c>
      <c r="E421" s="4" t="s">
        <v>1895</v>
      </c>
      <c r="F421" s="10">
        <v>45646</v>
      </c>
      <c r="G421" s="11">
        <v>0.40625</v>
      </c>
      <c r="H421" s="4" t="s">
        <v>1654</v>
      </c>
      <c r="I421" s="4">
        <v>9098</v>
      </c>
      <c r="J421" s="4" t="s">
        <v>1896</v>
      </c>
      <c r="K421" s="4" t="s">
        <v>1897</v>
      </c>
      <c r="L421" s="4" t="s">
        <v>1898</v>
      </c>
      <c r="M421" s="4" t="s">
        <v>46</v>
      </c>
      <c r="N421" s="4"/>
      <c r="O421" s="4" t="s">
        <v>47</v>
      </c>
      <c r="P421" s="4" t="s">
        <v>48</v>
      </c>
      <c r="Q421" s="4">
        <v>0</v>
      </c>
      <c r="R421" s="4" t="b">
        <v>0</v>
      </c>
      <c r="S421" s="4" t="s">
        <v>49</v>
      </c>
      <c r="T421" s="4" t="s">
        <v>50</v>
      </c>
      <c r="U421" s="4" t="s">
        <v>71</v>
      </c>
      <c r="V421" s="4" t="s">
        <v>63</v>
      </c>
      <c r="W421" s="4" t="s">
        <v>108</v>
      </c>
      <c r="X421" s="4" t="s">
        <v>774</v>
      </c>
      <c r="Y421" s="4" t="s">
        <v>486</v>
      </c>
      <c r="Z421" s="12">
        <v>0</v>
      </c>
      <c r="AA421" s="13" t="s">
        <v>9174</v>
      </c>
      <c r="AB421" s="13" t="s">
        <v>9153</v>
      </c>
      <c r="AC421" s="14" t="s">
        <v>9139</v>
      </c>
      <c r="AD421" s="14" t="s">
        <v>9140</v>
      </c>
      <c r="AE421" s="14" t="s">
        <v>9140</v>
      </c>
      <c r="AF421" s="14" t="s">
        <v>63</v>
      </c>
      <c r="AG421" s="14" t="s">
        <v>774</v>
      </c>
      <c r="AH421" s="15" t="s">
        <v>9141</v>
      </c>
      <c r="AI421" s="15" t="s">
        <v>9191</v>
      </c>
      <c r="AJ421" s="15" t="s">
        <v>9143</v>
      </c>
      <c r="AK421" s="15" t="s">
        <v>9141</v>
      </c>
      <c r="AL421" s="15" t="s">
        <v>9191</v>
      </c>
      <c r="AM421" s="16" t="s">
        <v>9141</v>
      </c>
      <c r="AN421" s="16" t="s">
        <v>9192</v>
      </c>
    </row>
    <row r="422" spans="1:40" x14ac:dyDescent="0.25">
      <c r="A422" s="4" t="s">
        <v>812</v>
      </c>
      <c r="B422" s="4"/>
      <c r="C422" s="4" t="s">
        <v>39</v>
      </c>
      <c r="D422" s="4" t="s">
        <v>813</v>
      </c>
      <c r="E422" s="4" t="s">
        <v>814</v>
      </c>
      <c r="F422" s="10">
        <v>45645</v>
      </c>
      <c r="G422" s="11">
        <v>0.44791666666666669</v>
      </c>
      <c r="H422" s="4" t="s">
        <v>463</v>
      </c>
      <c r="I422" s="4">
        <v>2028</v>
      </c>
      <c r="J422" s="4" t="s">
        <v>804</v>
      </c>
      <c r="K422" s="4" t="s">
        <v>815</v>
      </c>
      <c r="L422" s="4" t="s">
        <v>816</v>
      </c>
      <c r="M422" s="4" t="s">
        <v>46</v>
      </c>
      <c r="N422" s="4"/>
      <c r="O422" s="4" t="s">
        <v>47</v>
      </c>
      <c r="P422" s="4" t="s">
        <v>48</v>
      </c>
      <c r="Q422" s="4">
        <v>0</v>
      </c>
      <c r="R422" s="4" t="b">
        <v>0</v>
      </c>
      <c r="S422" s="4" t="s">
        <v>49</v>
      </c>
      <c r="T422" s="4" t="s">
        <v>70</v>
      </c>
      <c r="U422" s="4" t="s">
        <v>71</v>
      </c>
      <c r="V422" s="4" t="s">
        <v>72</v>
      </c>
      <c r="W422" s="4" t="s">
        <v>73</v>
      </c>
      <c r="X422" s="4" t="s">
        <v>817</v>
      </c>
      <c r="Y422" s="4"/>
      <c r="Z422" s="12">
        <v>0</v>
      </c>
      <c r="AA422" s="13" t="s">
        <v>9174</v>
      </c>
      <c r="AB422" s="13" t="s">
        <v>9153</v>
      </c>
      <c r="AC422" s="14" t="s">
        <v>9139</v>
      </c>
      <c r="AD422" s="14" t="s">
        <v>9140</v>
      </c>
      <c r="AE422" s="14" t="s">
        <v>9140</v>
      </c>
      <c r="AF422" s="14" t="s">
        <v>72</v>
      </c>
      <c r="AG422" s="14" t="s">
        <v>817</v>
      </c>
      <c r="AH422" s="15" t="s">
        <v>9141</v>
      </c>
      <c r="AI422" s="15" t="s">
        <v>9175</v>
      </c>
      <c r="AJ422" s="15" t="s">
        <v>9143</v>
      </c>
      <c r="AK422" s="15" t="s">
        <v>9141</v>
      </c>
      <c r="AL422" s="15" t="s">
        <v>9175</v>
      </c>
      <c r="AM422" s="16" t="s">
        <v>9141</v>
      </c>
      <c r="AN422" s="16" t="s">
        <v>9176</v>
      </c>
    </row>
    <row r="423" spans="1:40" x14ac:dyDescent="0.25">
      <c r="A423" s="4" t="s">
        <v>1382</v>
      </c>
      <c r="B423" s="4"/>
      <c r="C423" s="4" t="s">
        <v>39</v>
      </c>
      <c r="D423" s="4" t="s">
        <v>1383</v>
      </c>
      <c r="E423" s="4" t="s">
        <v>1384</v>
      </c>
      <c r="F423" s="10">
        <v>45645</v>
      </c>
      <c r="G423" s="11">
        <v>0.48958333333333331</v>
      </c>
      <c r="H423" s="4" t="s">
        <v>1366</v>
      </c>
      <c r="I423" s="4">
        <v>5054</v>
      </c>
      <c r="J423" s="4" t="s">
        <v>1385</v>
      </c>
      <c r="K423" s="4" t="s">
        <v>1386</v>
      </c>
      <c r="L423" s="4" t="s">
        <v>1387</v>
      </c>
      <c r="M423" s="4" t="s">
        <v>46</v>
      </c>
      <c r="N423" s="4"/>
      <c r="O423" s="4" t="s">
        <v>47</v>
      </c>
      <c r="P423" s="4" t="s">
        <v>48</v>
      </c>
      <c r="Q423" s="4">
        <v>0</v>
      </c>
      <c r="R423" s="4" t="b">
        <v>0</v>
      </c>
      <c r="S423" s="4" t="s">
        <v>114</v>
      </c>
      <c r="T423" s="4" t="s">
        <v>70</v>
      </c>
      <c r="U423" s="4" t="s">
        <v>71</v>
      </c>
      <c r="V423" s="4" t="s">
        <v>72</v>
      </c>
      <c r="W423" s="4" t="s">
        <v>73</v>
      </c>
      <c r="X423" s="4" t="s">
        <v>54</v>
      </c>
      <c r="Y423" s="4"/>
      <c r="Z423" s="12">
        <v>0</v>
      </c>
      <c r="AA423" s="13" t="s">
        <v>9174</v>
      </c>
      <c r="AB423" s="13" t="s">
        <v>9153</v>
      </c>
      <c r="AC423" s="14" t="s">
        <v>9157</v>
      </c>
      <c r="AD423" s="14" t="s">
        <v>9140</v>
      </c>
      <c r="AE423" s="14" t="s">
        <v>9140</v>
      </c>
      <c r="AF423" s="14" t="s">
        <v>72</v>
      </c>
      <c r="AG423" s="14" t="s">
        <v>54</v>
      </c>
      <c r="AH423" s="15" t="s">
        <v>9141</v>
      </c>
      <c r="AI423" s="15" t="s">
        <v>9188</v>
      </c>
      <c r="AJ423" s="15" t="s">
        <v>9143</v>
      </c>
      <c r="AK423" s="15" t="s">
        <v>9141</v>
      </c>
      <c r="AL423" s="15" t="s">
        <v>9189</v>
      </c>
      <c r="AM423" s="16" t="s">
        <v>9141</v>
      </c>
      <c r="AN423" s="16" t="s">
        <v>9190</v>
      </c>
    </row>
    <row r="424" spans="1:40" x14ac:dyDescent="0.25">
      <c r="A424" s="4" t="s">
        <v>5883</v>
      </c>
      <c r="B424" s="4"/>
      <c r="C424" s="4" t="s">
        <v>39</v>
      </c>
      <c r="D424" s="4" t="s">
        <v>5884</v>
      </c>
      <c r="E424" s="4" t="s">
        <v>5885</v>
      </c>
      <c r="F424" s="10">
        <v>45645</v>
      </c>
      <c r="G424" s="11">
        <v>0.46597222222222223</v>
      </c>
      <c r="H424" s="4" t="s">
        <v>5666</v>
      </c>
      <c r="I424" s="4" t="s">
        <v>5876</v>
      </c>
      <c r="J424" s="4" t="s">
        <v>3313</v>
      </c>
      <c r="K424" s="4" t="s">
        <v>5886</v>
      </c>
      <c r="L424" s="4" t="s">
        <v>5887</v>
      </c>
      <c r="M424" s="4" t="s">
        <v>46</v>
      </c>
      <c r="N424" s="4"/>
      <c r="O424" s="4" t="s">
        <v>47</v>
      </c>
      <c r="P424" s="4" t="s">
        <v>60</v>
      </c>
      <c r="Q424" s="4">
        <v>0</v>
      </c>
      <c r="R424" s="4" t="b">
        <v>0</v>
      </c>
      <c r="S424" s="4" t="s">
        <v>61</v>
      </c>
      <c r="T424" s="4" t="s">
        <v>479</v>
      </c>
      <c r="U424" s="4" t="s">
        <v>618</v>
      </c>
      <c r="V424" s="4" t="s">
        <v>63</v>
      </c>
      <c r="W424" s="4" t="s">
        <v>198</v>
      </c>
      <c r="X424" s="4" t="s">
        <v>774</v>
      </c>
      <c r="Y424" s="4" t="s">
        <v>775</v>
      </c>
      <c r="Z424" s="12">
        <v>0</v>
      </c>
      <c r="AA424" s="13" t="s">
        <v>9174</v>
      </c>
      <c r="AB424" s="13" t="s">
        <v>9153</v>
      </c>
      <c r="AC424" s="14" t="s">
        <v>9148</v>
      </c>
      <c r="AD424" s="14" t="s">
        <v>9140</v>
      </c>
      <c r="AE424" s="14" t="s">
        <v>9140</v>
      </c>
      <c r="AF424" s="14" t="s">
        <v>63</v>
      </c>
      <c r="AG424" s="14" t="s">
        <v>774</v>
      </c>
      <c r="AH424" s="15" t="s">
        <v>9220</v>
      </c>
      <c r="AI424" s="15" t="s">
        <v>9199</v>
      </c>
      <c r="AJ424" s="15" t="s">
        <v>9143</v>
      </c>
      <c r="AK424" s="15" t="s">
        <v>9221</v>
      </c>
      <c r="AL424" s="15" t="s">
        <v>9199</v>
      </c>
      <c r="AM424" s="16" t="s">
        <v>9221</v>
      </c>
      <c r="AN424" s="16" t="s">
        <v>9238</v>
      </c>
    </row>
    <row r="425" spans="1:40" x14ac:dyDescent="0.25">
      <c r="A425" s="4" t="s">
        <v>7802</v>
      </c>
      <c r="B425" s="4"/>
      <c r="C425" s="4" t="s">
        <v>39</v>
      </c>
      <c r="D425" s="4" t="s">
        <v>7803</v>
      </c>
      <c r="E425" s="4" t="s">
        <v>7804</v>
      </c>
      <c r="F425" s="10">
        <v>45645</v>
      </c>
      <c r="G425" s="11">
        <v>0.38333333333333336</v>
      </c>
      <c r="H425" s="4" t="s">
        <v>5666</v>
      </c>
      <c r="I425" s="4" t="s">
        <v>7793</v>
      </c>
      <c r="J425" s="4" t="s">
        <v>7794</v>
      </c>
      <c r="K425" s="4" t="s">
        <v>7805</v>
      </c>
      <c r="L425" s="4" t="s">
        <v>7806</v>
      </c>
      <c r="M425" s="4" t="s">
        <v>46</v>
      </c>
      <c r="N425" s="4"/>
      <c r="O425" s="4" t="s">
        <v>47</v>
      </c>
      <c r="P425" s="4" t="s">
        <v>60</v>
      </c>
      <c r="Q425" s="4">
        <v>0</v>
      </c>
      <c r="R425" s="4" t="b">
        <v>0</v>
      </c>
      <c r="S425" s="4" t="s">
        <v>49</v>
      </c>
      <c r="T425" s="4" t="s">
        <v>70</v>
      </c>
      <c r="U425" s="4" t="s">
        <v>618</v>
      </c>
      <c r="V425" s="4" t="s">
        <v>63</v>
      </c>
      <c r="W425" s="4" t="s">
        <v>108</v>
      </c>
      <c r="X425" s="4" t="s">
        <v>471</v>
      </c>
      <c r="Y425" s="4"/>
      <c r="Z425" s="12">
        <v>0</v>
      </c>
      <c r="AA425" s="13" t="s">
        <v>9174</v>
      </c>
      <c r="AB425" s="13" t="s">
        <v>9153</v>
      </c>
      <c r="AC425" s="14" t="s">
        <v>9139</v>
      </c>
      <c r="AD425" s="14" t="s">
        <v>9140</v>
      </c>
      <c r="AE425" s="14" t="s">
        <v>9140</v>
      </c>
      <c r="AF425" s="14" t="s">
        <v>63</v>
      </c>
      <c r="AG425" s="14" t="s">
        <v>471</v>
      </c>
      <c r="AH425" s="15" t="s">
        <v>9220</v>
      </c>
      <c r="AI425" s="15" t="s">
        <v>9199</v>
      </c>
      <c r="AJ425" s="15" t="s">
        <v>9143</v>
      </c>
      <c r="AK425" s="15" t="s">
        <v>9221</v>
      </c>
      <c r="AL425" s="15" t="s">
        <v>9199</v>
      </c>
      <c r="AM425" s="16" t="s">
        <v>9221</v>
      </c>
      <c r="AN425" s="16" t="s">
        <v>9238</v>
      </c>
    </row>
    <row r="426" spans="1:40" x14ac:dyDescent="0.25">
      <c r="A426" s="4" t="s">
        <v>2774</v>
      </c>
      <c r="B426" s="4"/>
      <c r="C426" s="4" t="s">
        <v>39</v>
      </c>
      <c r="D426" s="4" t="s">
        <v>2775</v>
      </c>
      <c r="E426" s="4" t="s">
        <v>2776</v>
      </c>
      <c r="F426" s="10">
        <v>45645</v>
      </c>
      <c r="G426" s="11">
        <v>0.82291666666666663</v>
      </c>
      <c r="H426" s="4" t="s">
        <v>2095</v>
      </c>
      <c r="I426" s="4" t="s">
        <v>2777</v>
      </c>
      <c r="J426" s="4" t="s">
        <v>1406</v>
      </c>
      <c r="K426" s="4" t="s">
        <v>2778</v>
      </c>
      <c r="L426" s="4" t="s">
        <v>2779</v>
      </c>
      <c r="M426" s="4" t="s">
        <v>46</v>
      </c>
      <c r="N426" s="4"/>
      <c r="O426" s="4" t="s">
        <v>47</v>
      </c>
      <c r="P426" s="4" t="s">
        <v>48</v>
      </c>
      <c r="Q426" s="4">
        <v>0</v>
      </c>
      <c r="R426" s="4" t="b">
        <v>0</v>
      </c>
      <c r="S426" s="4" t="s">
        <v>49</v>
      </c>
      <c r="T426" s="4" t="s">
        <v>433</v>
      </c>
      <c r="U426" s="4" t="s">
        <v>224</v>
      </c>
      <c r="V426" s="4" t="s">
        <v>72</v>
      </c>
      <c r="W426" s="4" t="s">
        <v>73</v>
      </c>
      <c r="X426" s="4" t="s">
        <v>54</v>
      </c>
      <c r="Y426" s="4" t="s">
        <v>176</v>
      </c>
      <c r="Z426" s="12">
        <v>0</v>
      </c>
      <c r="AA426" s="13" t="s">
        <v>9174</v>
      </c>
      <c r="AB426" s="13" t="s">
        <v>9153</v>
      </c>
      <c r="AC426" s="14" t="s">
        <v>9139</v>
      </c>
      <c r="AD426" s="14" t="s">
        <v>9140</v>
      </c>
      <c r="AE426" s="14" t="s">
        <v>9140</v>
      </c>
      <c r="AF426" s="14" t="s">
        <v>72</v>
      </c>
      <c r="AG426" s="14" t="s">
        <v>54</v>
      </c>
      <c r="AH426" s="15" t="s">
        <v>9194</v>
      </c>
      <c r="AI426" s="15" t="s">
        <v>9188</v>
      </c>
      <c r="AJ426" s="15" t="s">
        <v>9143</v>
      </c>
      <c r="AK426" s="15" t="s">
        <v>9194</v>
      </c>
      <c r="AL426" s="15" t="s">
        <v>9211</v>
      </c>
      <c r="AM426" s="16" t="s">
        <v>9194</v>
      </c>
      <c r="AN426" s="16" t="s">
        <v>9212</v>
      </c>
    </row>
    <row r="427" spans="1:40" x14ac:dyDescent="0.25">
      <c r="A427" s="4" t="s">
        <v>4866</v>
      </c>
      <c r="B427" s="4">
        <v>7553944</v>
      </c>
      <c r="C427" s="4" t="s">
        <v>39</v>
      </c>
      <c r="D427" s="4" t="s">
        <v>4867</v>
      </c>
      <c r="E427" s="4" t="s">
        <v>4868</v>
      </c>
      <c r="F427" s="10">
        <v>45645</v>
      </c>
      <c r="G427" s="11">
        <v>0.64583333333333337</v>
      </c>
      <c r="H427" s="4" t="s">
        <v>4516</v>
      </c>
      <c r="I427" s="4" t="s">
        <v>4869</v>
      </c>
      <c r="J427" s="4" t="s">
        <v>4870</v>
      </c>
      <c r="K427" s="4" t="s">
        <v>4871</v>
      </c>
      <c r="L427" s="4" t="s">
        <v>4872</v>
      </c>
      <c r="M427" s="4" t="s">
        <v>28</v>
      </c>
      <c r="N427" s="4" t="s">
        <v>183</v>
      </c>
      <c r="O427" s="4" t="s">
        <v>191</v>
      </c>
      <c r="P427" s="4" t="s">
        <v>60</v>
      </c>
      <c r="Q427" s="4">
        <v>0</v>
      </c>
      <c r="R427" s="4" t="b">
        <v>0</v>
      </c>
      <c r="S427" s="4" t="s">
        <v>61</v>
      </c>
      <c r="T427" s="4" t="s">
        <v>89</v>
      </c>
      <c r="U427" s="4" t="s">
        <v>175</v>
      </c>
      <c r="V427" s="4" t="s">
        <v>52</v>
      </c>
      <c r="W427" s="4" t="s">
        <v>53</v>
      </c>
      <c r="X427" s="4" t="s">
        <v>54</v>
      </c>
      <c r="Y427" s="4"/>
      <c r="Z427" s="12" t="s">
        <v>60</v>
      </c>
      <c r="AA427" s="13" t="s">
        <v>9174</v>
      </c>
      <c r="AB427" s="13" t="s">
        <v>9153</v>
      </c>
      <c r="AC427" s="14" t="s">
        <v>9148</v>
      </c>
      <c r="AD427" s="14" t="s">
        <v>28</v>
      </c>
      <c r="AE427" s="14" t="s">
        <v>183</v>
      </c>
      <c r="AF427" s="14" t="s">
        <v>52</v>
      </c>
      <c r="AG427" s="14" t="s">
        <v>54</v>
      </c>
      <c r="AH427" s="15" t="s">
        <v>9220</v>
      </c>
      <c r="AI427" s="15" t="s">
        <v>9188</v>
      </c>
      <c r="AJ427" s="15" t="s">
        <v>9143</v>
      </c>
      <c r="AK427" s="15" t="s">
        <v>9221</v>
      </c>
      <c r="AL427" s="15" t="s">
        <v>9232</v>
      </c>
      <c r="AM427" s="16" t="s">
        <v>9221</v>
      </c>
      <c r="AN427" s="16" t="s">
        <v>9233</v>
      </c>
    </row>
    <row r="428" spans="1:40" x14ac:dyDescent="0.25">
      <c r="A428" s="4" t="s">
        <v>7919</v>
      </c>
      <c r="B428" s="4"/>
      <c r="C428" s="4" t="s">
        <v>39</v>
      </c>
      <c r="D428" s="4" t="s">
        <v>7920</v>
      </c>
      <c r="E428" s="4" t="s">
        <v>7921</v>
      </c>
      <c r="F428" s="10">
        <v>45645</v>
      </c>
      <c r="G428" s="11">
        <v>0.4375</v>
      </c>
      <c r="H428" s="4" t="s">
        <v>4516</v>
      </c>
      <c r="I428" s="4" t="s">
        <v>7915</v>
      </c>
      <c r="J428" s="4" t="s">
        <v>7916</v>
      </c>
      <c r="K428" s="4" t="s">
        <v>7922</v>
      </c>
      <c r="L428" s="4" t="s">
        <v>7923</v>
      </c>
      <c r="M428" s="4" t="s">
        <v>46</v>
      </c>
      <c r="N428" s="4"/>
      <c r="O428" s="4" t="s">
        <v>47</v>
      </c>
      <c r="P428" s="4" t="s">
        <v>48</v>
      </c>
      <c r="Q428" s="4">
        <v>0</v>
      </c>
      <c r="R428" s="4" t="b">
        <v>0</v>
      </c>
      <c r="S428" s="4" t="s">
        <v>49</v>
      </c>
      <c r="T428" s="4" t="s">
        <v>50</v>
      </c>
      <c r="U428" s="4" t="s">
        <v>122</v>
      </c>
      <c r="V428" s="4" t="s">
        <v>123</v>
      </c>
      <c r="W428" s="4" t="s">
        <v>192</v>
      </c>
      <c r="X428" s="4" t="s">
        <v>1091</v>
      </c>
      <c r="Y428" s="4" t="s">
        <v>302</v>
      </c>
      <c r="Z428" s="12">
        <v>0</v>
      </c>
      <c r="AA428" s="13" t="s">
        <v>9174</v>
      </c>
      <c r="AB428" s="13" t="s">
        <v>9153</v>
      </c>
      <c r="AC428" s="14" t="s">
        <v>9139</v>
      </c>
      <c r="AD428" s="14" t="s">
        <v>9140</v>
      </c>
      <c r="AE428" s="14" t="s">
        <v>9140</v>
      </c>
      <c r="AF428" s="14" t="s">
        <v>123</v>
      </c>
      <c r="AG428" s="14" t="s">
        <v>1091</v>
      </c>
      <c r="AH428" s="15" t="s">
        <v>9220</v>
      </c>
      <c r="AI428" s="15" t="s">
        <v>9188</v>
      </c>
      <c r="AJ428" s="15" t="s">
        <v>9143</v>
      </c>
      <c r="AK428" s="15" t="s">
        <v>9221</v>
      </c>
      <c r="AL428" s="15" t="s">
        <v>9230</v>
      </c>
      <c r="AM428" s="16" t="s">
        <v>9221</v>
      </c>
      <c r="AN428" s="16" t="s">
        <v>9231</v>
      </c>
    </row>
    <row r="429" spans="1:40" x14ac:dyDescent="0.25">
      <c r="A429" s="4" t="s">
        <v>8244</v>
      </c>
      <c r="B429" s="4"/>
      <c r="C429" s="4" t="s">
        <v>39</v>
      </c>
      <c r="D429" s="4" t="s">
        <v>8245</v>
      </c>
      <c r="E429" s="4" t="s">
        <v>8246</v>
      </c>
      <c r="F429" s="10">
        <v>45645</v>
      </c>
      <c r="G429" s="11">
        <v>0.44722222222222224</v>
      </c>
      <c r="H429" s="4" t="s">
        <v>4910</v>
      </c>
      <c r="I429" s="4" t="s">
        <v>8223</v>
      </c>
      <c r="J429" s="4" t="s">
        <v>1844</v>
      </c>
      <c r="K429" s="4" t="s">
        <v>8247</v>
      </c>
      <c r="L429" s="4" t="s">
        <v>8248</v>
      </c>
      <c r="M429" s="4" t="s">
        <v>46</v>
      </c>
      <c r="N429" s="4"/>
      <c r="O429" s="4" t="s">
        <v>47</v>
      </c>
      <c r="P429" s="4" t="s">
        <v>48</v>
      </c>
      <c r="Q429" s="4">
        <v>0</v>
      </c>
      <c r="R429" s="4" t="b">
        <v>0</v>
      </c>
      <c r="S429" s="4" t="s">
        <v>49</v>
      </c>
      <c r="T429" s="4" t="s">
        <v>70</v>
      </c>
      <c r="U429" s="4" t="s">
        <v>618</v>
      </c>
      <c r="V429" s="4" t="s">
        <v>63</v>
      </c>
      <c r="W429" s="4" t="s">
        <v>312</v>
      </c>
      <c r="X429" s="4" t="s">
        <v>54</v>
      </c>
      <c r="Y429" s="4" t="s">
        <v>211</v>
      </c>
      <c r="Z429" s="12">
        <v>0</v>
      </c>
      <c r="AA429" s="13" t="s">
        <v>9174</v>
      </c>
      <c r="AB429" s="13" t="s">
        <v>9153</v>
      </c>
      <c r="AC429" s="14" t="s">
        <v>9139</v>
      </c>
      <c r="AD429" s="14" t="s">
        <v>9140</v>
      </c>
      <c r="AE429" s="14" t="s">
        <v>9140</v>
      </c>
      <c r="AF429" s="14" t="s">
        <v>63</v>
      </c>
      <c r="AG429" s="14" t="s">
        <v>54</v>
      </c>
      <c r="AH429" s="15" t="s">
        <v>9220</v>
      </c>
      <c r="AI429" s="15" t="s">
        <v>9191</v>
      </c>
      <c r="AJ429" s="15" t="s">
        <v>9143</v>
      </c>
      <c r="AK429" s="15" t="s">
        <v>9221</v>
      </c>
      <c r="AL429" s="15" t="s">
        <v>9226</v>
      </c>
      <c r="AM429" s="16" t="s">
        <v>9221</v>
      </c>
      <c r="AN429" s="16" t="s">
        <v>9227</v>
      </c>
    </row>
    <row r="430" spans="1:40" x14ac:dyDescent="0.25">
      <c r="A430" s="4" t="s">
        <v>5788</v>
      </c>
      <c r="B430" s="4"/>
      <c r="C430" s="4" t="s">
        <v>39</v>
      </c>
      <c r="D430" s="4" t="s">
        <v>5789</v>
      </c>
      <c r="E430" s="4" t="s">
        <v>5790</v>
      </c>
      <c r="F430" s="10">
        <v>45644</v>
      </c>
      <c r="G430" s="11">
        <v>0.41666666666666669</v>
      </c>
      <c r="H430" s="4" t="s">
        <v>4516</v>
      </c>
      <c r="I430" s="4" t="s">
        <v>5776</v>
      </c>
      <c r="J430" s="4" t="s">
        <v>1412</v>
      </c>
      <c r="K430" s="4" t="s">
        <v>5791</v>
      </c>
      <c r="L430" s="4" t="s">
        <v>5792</v>
      </c>
      <c r="M430" s="4" t="s">
        <v>46</v>
      </c>
      <c r="N430" s="4"/>
      <c r="O430" s="4" t="s">
        <v>47</v>
      </c>
      <c r="P430" s="4" t="s">
        <v>48</v>
      </c>
      <c r="Q430" s="4">
        <v>0</v>
      </c>
      <c r="R430" s="4" t="b">
        <v>0</v>
      </c>
      <c r="S430" s="4" t="s">
        <v>61</v>
      </c>
      <c r="T430" s="4" t="s">
        <v>115</v>
      </c>
      <c r="U430" s="4" t="s">
        <v>175</v>
      </c>
      <c r="V430" s="4" t="s">
        <v>52</v>
      </c>
      <c r="W430" s="4" t="s">
        <v>255</v>
      </c>
      <c r="X430" s="4" t="s">
        <v>54</v>
      </c>
      <c r="Y430" s="4"/>
      <c r="Z430" s="12">
        <v>0</v>
      </c>
      <c r="AA430" s="13" t="s">
        <v>9174</v>
      </c>
      <c r="AB430" s="13" t="s">
        <v>9153</v>
      </c>
      <c r="AC430" s="14" t="s">
        <v>9148</v>
      </c>
      <c r="AD430" s="14" t="s">
        <v>9140</v>
      </c>
      <c r="AE430" s="14" t="s">
        <v>9140</v>
      </c>
      <c r="AF430" s="14" t="s">
        <v>52</v>
      </c>
      <c r="AG430" s="14" t="s">
        <v>54</v>
      </c>
      <c r="AH430" s="15" t="s">
        <v>9220</v>
      </c>
      <c r="AI430" s="15" t="s">
        <v>9188</v>
      </c>
      <c r="AJ430" s="15" t="s">
        <v>9143</v>
      </c>
      <c r="AK430" s="15" t="s">
        <v>9221</v>
      </c>
      <c r="AL430" s="15" t="s">
        <v>9232</v>
      </c>
      <c r="AM430" s="16" t="s">
        <v>9221</v>
      </c>
      <c r="AN430" s="16" t="s">
        <v>9233</v>
      </c>
    </row>
    <row r="431" spans="1:40" x14ac:dyDescent="0.25">
      <c r="A431" s="4" t="s">
        <v>4992</v>
      </c>
      <c r="B431" s="4"/>
      <c r="C431" s="4" t="s">
        <v>39</v>
      </c>
      <c r="D431" s="4" t="s">
        <v>4993</v>
      </c>
      <c r="E431" s="4" t="s">
        <v>4994</v>
      </c>
      <c r="F431" s="10">
        <v>45644</v>
      </c>
      <c r="G431" s="11">
        <v>0.50972222222222219</v>
      </c>
      <c r="H431" s="4" t="s">
        <v>4516</v>
      </c>
      <c r="I431" s="4" t="s">
        <v>4969</v>
      </c>
      <c r="J431" s="4" t="s">
        <v>3453</v>
      </c>
      <c r="K431" s="4" t="s">
        <v>4995</v>
      </c>
      <c r="L431" s="4" t="s">
        <v>4996</v>
      </c>
      <c r="M431" s="4" t="s">
        <v>46</v>
      </c>
      <c r="N431" s="4"/>
      <c r="O431" s="4" t="s">
        <v>47</v>
      </c>
      <c r="P431" s="4" t="s">
        <v>48</v>
      </c>
      <c r="Q431" s="4">
        <v>0</v>
      </c>
      <c r="R431" s="4" t="b">
        <v>0</v>
      </c>
      <c r="S431" s="4" t="s">
        <v>61</v>
      </c>
      <c r="T431" s="4" t="s">
        <v>583</v>
      </c>
      <c r="U431" s="4" t="s">
        <v>148</v>
      </c>
      <c r="V431" s="4" t="s">
        <v>52</v>
      </c>
      <c r="W431" s="4" t="s">
        <v>53</v>
      </c>
      <c r="X431" s="4" t="s">
        <v>54</v>
      </c>
      <c r="Y431" s="4"/>
      <c r="Z431" s="12">
        <v>0</v>
      </c>
      <c r="AA431" s="13" t="s">
        <v>9174</v>
      </c>
      <c r="AB431" s="13" t="s">
        <v>9153</v>
      </c>
      <c r="AC431" s="14" t="s">
        <v>9148</v>
      </c>
      <c r="AD431" s="14" t="s">
        <v>9140</v>
      </c>
      <c r="AE431" s="14" t="s">
        <v>9140</v>
      </c>
      <c r="AF431" s="14" t="s">
        <v>52</v>
      </c>
      <c r="AG431" s="14" t="s">
        <v>54</v>
      </c>
      <c r="AH431" s="15" t="s">
        <v>9220</v>
      </c>
      <c r="AI431" s="15" t="s">
        <v>9188</v>
      </c>
      <c r="AJ431" s="15" t="s">
        <v>9143</v>
      </c>
      <c r="AK431" s="15" t="s">
        <v>9221</v>
      </c>
      <c r="AL431" s="15" t="s">
        <v>9230</v>
      </c>
      <c r="AM431" s="16" t="s">
        <v>9221</v>
      </c>
      <c r="AN431" s="16" t="s">
        <v>9231</v>
      </c>
    </row>
    <row r="432" spans="1:40" x14ac:dyDescent="0.25">
      <c r="A432" s="4" t="s">
        <v>4820</v>
      </c>
      <c r="B432" s="4"/>
      <c r="C432" s="4" t="s">
        <v>39</v>
      </c>
      <c r="D432" s="4" t="s">
        <v>4821</v>
      </c>
      <c r="E432" s="4" t="s">
        <v>4822</v>
      </c>
      <c r="F432" s="10">
        <v>45644</v>
      </c>
      <c r="G432" s="11">
        <v>0.42986111111111114</v>
      </c>
      <c r="H432" s="4" t="s">
        <v>4019</v>
      </c>
      <c r="I432" s="4" t="s">
        <v>4804</v>
      </c>
      <c r="J432" s="4" t="s">
        <v>756</v>
      </c>
      <c r="K432" s="4" t="s">
        <v>4823</v>
      </c>
      <c r="L432" s="4" t="s">
        <v>4824</v>
      </c>
      <c r="M432" s="4" t="s">
        <v>46</v>
      </c>
      <c r="N432" s="4"/>
      <c r="O432" s="4" t="s">
        <v>47</v>
      </c>
      <c r="P432" s="4" t="s">
        <v>60</v>
      </c>
      <c r="Q432" s="4">
        <v>0</v>
      </c>
      <c r="R432" s="4" t="b">
        <v>0</v>
      </c>
      <c r="S432" s="4" t="s">
        <v>61</v>
      </c>
      <c r="T432" s="4" t="s">
        <v>89</v>
      </c>
      <c r="U432" s="4" t="s">
        <v>140</v>
      </c>
      <c r="V432" s="4" t="s">
        <v>123</v>
      </c>
      <c r="W432" s="4" t="s">
        <v>149</v>
      </c>
      <c r="X432" s="4" t="s">
        <v>978</v>
      </c>
      <c r="Y432" s="4"/>
      <c r="Z432" s="12">
        <v>0</v>
      </c>
      <c r="AA432" s="13" t="s">
        <v>9174</v>
      </c>
      <c r="AB432" s="13" t="s">
        <v>9153</v>
      </c>
      <c r="AC432" s="14" t="s">
        <v>9148</v>
      </c>
      <c r="AD432" s="14" t="s">
        <v>9140</v>
      </c>
      <c r="AE432" s="14" t="s">
        <v>9140</v>
      </c>
      <c r="AF432" s="14" t="s">
        <v>123</v>
      </c>
      <c r="AG432" s="14" t="s">
        <v>978</v>
      </c>
      <c r="AH432" s="15" t="s">
        <v>9220</v>
      </c>
      <c r="AI432" s="15" t="s">
        <v>9175</v>
      </c>
      <c r="AJ432" s="15" t="s">
        <v>9143</v>
      </c>
      <c r="AK432" s="15" t="s">
        <v>9221</v>
      </c>
      <c r="AL432" s="15" t="s">
        <v>9222</v>
      </c>
      <c r="AM432" s="16" t="s">
        <v>9221</v>
      </c>
      <c r="AN432" s="16" t="s">
        <v>9223</v>
      </c>
    </row>
    <row r="433" spans="1:40" x14ac:dyDescent="0.25">
      <c r="A433" s="4" t="s">
        <v>4669</v>
      </c>
      <c r="B433" s="4"/>
      <c r="C433" s="4" t="s">
        <v>39</v>
      </c>
      <c r="D433" s="4" t="s">
        <v>4670</v>
      </c>
      <c r="E433" s="4" t="s">
        <v>4671</v>
      </c>
      <c r="F433" s="10">
        <v>45644</v>
      </c>
      <c r="G433" s="11">
        <v>0.44444444444444442</v>
      </c>
      <c r="H433" s="4" t="s">
        <v>4659</v>
      </c>
      <c r="I433" s="4" t="s">
        <v>4660</v>
      </c>
      <c r="J433" s="4" t="s">
        <v>4661</v>
      </c>
      <c r="K433" s="4" t="s">
        <v>4672</v>
      </c>
      <c r="L433" s="4" t="s">
        <v>4673</v>
      </c>
      <c r="M433" s="4" t="s">
        <v>46</v>
      </c>
      <c r="N433" s="4"/>
      <c r="O433" s="4" t="s">
        <v>47</v>
      </c>
      <c r="P433" s="4" t="s">
        <v>48</v>
      </c>
      <c r="Q433" s="4">
        <v>0</v>
      </c>
      <c r="R433" s="4" t="b">
        <v>0</v>
      </c>
      <c r="S433" s="4" t="s">
        <v>49</v>
      </c>
      <c r="T433" s="4" t="s">
        <v>50</v>
      </c>
      <c r="U433" s="4" t="s">
        <v>887</v>
      </c>
      <c r="V433" s="4" t="s">
        <v>123</v>
      </c>
      <c r="W433" s="4" t="s">
        <v>124</v>
      </c>
      <c r="X433" s="4" t="s">
        <v>978</v>
      </c>
      <c r="Y433" s="4"/>
      <c r="Z433" s="12">
        <v>0</v>
      </c>
      <c r="AA433" s="13" t="s">
        <v>9174</v>
      </c>
      <c r="AB433" s="13" t="s">
        <v>9153</v>
      </c>
      <c r="AC433" s="14" t="s">
        <v>9139</v>
      </c>
      <c r="AD433" s="14" t="s">
        <v>9140</v>
      </c>
      <c r="AE433" s="14" t="s">
        <v>9140</v>
      </c>
      <c r="AF433" s="14" t="s">
        <v>123</v>
      </c>
      <c r="AG433" s="14" t="s">
        <v>978</v>
      </c>
      <c r="AH433" s="15" t="s">
        <v>9220</v>
      </c>
      <c r="AI433" s="15" t="s">
        <v>9142</v>
      </c>
      <c r="AJ433" s="15" t="s">
        <v>9143</v>
      </c>
      <c r="AK433" s="15" t="s">
        <v>9221</v>
      </c>
      <c r="AL433" s="15" t="s">
        <v>9228</v>
      </c>
      <c r="AM433" s="16" t="s">
        <v>9221</v>
      </c>
      <c r="AN433" s="16" t="s">
        <v>9229</v>
      </c>
    </row>
    <row r="434" spans="1:40" x14ac:dyDescent="0.25">
      <c r="A434" s="4" t="s">
        <v>3893</v>
      </c>
      <c r="B434" s="4"/>
      <c r="C434" s="4" t="s">
        <v>39</v>
      </c>
      <c r="D434" s="4" t="s">
        <v>3894</v>
      </c>
      <c r="E434" s="4" t="s">
        <v>3895</v>
      </c>
      <c r="F434" s="10">
        <v>45644</v>
      </c>
      <c r="G434" s="11">
        <v>0.72916666666666663</v>
      </c>
      <c r="H434" s="4" t="s">
        <v>2095</v>
      </c>
      <c r="I434" s="4" t="s">
        <v>3889</v>
      </c>
      <c r="J434" s="4" t="s">
        <v>3890</v>
      </c>
      <c r="K434" s="4" t="s">
        <v>3896</v>
      </c>
      <c r="L434" s="4" t="s">
        <v>3897</v>
      </c>
      <c r="M434" s="4" t="s">
        <v>46</v>
      </c>
      <c r="N434" s="4"/>
      <c r="O434" s="4" t="s">
        <v>47</v>
      </c>
      <c r="P434" s="4" t="s">
        <v>48</v>
      </c>
      <c r="Q434" s="4">
        <v>0</v>
      </c>
      <c r="R434" s="4" t="b">
        <v>0</v>
      </c>
      <c r="S434" s="4" t="s">
        <v>61</v>
      </c>
      <c r="T434" s="4" t="s">
        <v>50</v>
      </c>
      <c r="U434" s="4" t="s">
        <v>618</v>
      </c>
      <c r="V434" s="4" t="s">
        <v>63</v>
      </c>
      <c r="W434" s="4" t="s">
        <v>108</v>
      </c>
      <c r="X434" s="4" t="s">
        <v>136</v>
      </c>
      <c r="Y434" s="4" t="s">
        <v>176</v>
      </c>
      <c r="Z434" s="12">
        <v>0</v>
      </c>
      <c r="AA434" s="13" t="s">
        <v>9174</v>
      </c>
      <c r="AB434" s="13" t="s">
        <v>9153</v>
      </c>
      <c r="AC434" s="14" t="s">
        <v>9148</v>
      </c>
      <c r="AD434" s="14" t="s">
        <v>9140</v>
      </c>
      <c r="AE434" s="14" t="s">
        <v>9140</v>
      </c>
      <c r="AF434" s="14" t="s">
        <v>63</v>
      </c>
      <c r="AG434" s="14" t="s">
        <v>136</v>
      </c>
      <c r="AH434" s="15" t="s">
        <v>9194</v>
      </c>
      <c r="AI434" s="15" t="s">
        <v>9188</v>
      </c>
      <c r="AJ434" s="15" t="s">
        <v>9143</v>
      </c>
      <c r="AK434" s="15" t="s">
        <v>9194</v>
      </c>
      <c r="AL434" s="15" t="s">
        <v>9203</v>
      </c>
      <c r="AM434" s="16" t="s">
        <v>9194</v>
      </c>
      <c r="AN434" s="16" t="s">
        <v>9204</v>
      </c>
    </row>
    <row r="435" spans="1:40" x14ac:dyDescent="0.25">
      <c r="A435" s="4" t="s">
        <v>1219</v>
      </c>
      <c r="B435" s="4"/>
      <c r="C435" s="4" t="s">
        <v>39</v>
      </c>
      <c r="D435" s="4" t="s">
        <v>1220</v>
      </c>
      <c r="E435" s="4" t="s">
        <v>1221</v>
      </c>
      <c r="F435" s="10">
        <v>45643</v>
      </c>
      <c r="G435" s="11">
        <v>0.4861111111111111</v>
      </c>
      <c r="H435" s="4" t="s">
        <v>1155</v>
      </c>
      <c r="I435" s="4">
        <v>4043</v>
      </c>
      <c r="J435" s="4" t="s">
        <v>1200</v>
      </c>
      <c r="K435" s="4" t="s">
        <v>1222</v>
      </c>
      <c r="L435" s="4" t="s">
        <v>1223</v>
      </c>
      <c r="M435" s="4" t="s">
        <v>46</v>
      </c>
      <c r="N435" s="4"/>
      <c r="O435" s="4" t="s">
        <v>47</v>
      </c>
      <c r="P435" s="4" t="s">
        <v>48</v>
      </c>
      <c r="Q435" s="4">
        <v>0</v>
      </c>
      <c r="R435" s="4" t="b">
        <v>0</v>
      </c>
      <c r="S435" s="4" t="s">
        <v>49</v>
      </c>
      <c r="T435" s="4" t="s">
        <v>70</v>
      </c>
      <c r="U435" s="4" t="s">
        <v>71</v>
      </c>
      <c r="V435" s="4" t="s">
        <v>72</v>
      </c>
      <c r="W435" s="4" t="s">
        <v>73</v>
      </c>
      <c r="X435" s="4" t="s">
        <v>98</v>
      </c>
      <c r="Y435" s="4"/>
      <c r="Z435" s="12">
        <v>0</v>
      </c>
      <c r="AA435" s="13" t="s">
        <v>9174</v>
      </c>
      <c r="AB435" s="13" t="s">
        <v>9153</v>
      </c>
      <c r="AC435" s="14" t="s">
        <v>9139</v>
      </c>
      <c r="AD435" s="14" t="s">
        <v>9140</v>
      </c>
      <c r="AE435" s="14" t="s">
        <v>9140</v>
      </c>
      <c r="AF435" s="14" t="s">
        <v>72</v>
      </c>
      <c r="AG435" s="14" t="s">
        <v>98</v>
      </c>
      <c r="AH435" s="15" t="s">
        <v>9141</v>
      </c>
      <c r="AI435" s="15" t="s">
        <v>9187</v>
      </c>
      <c r="AJ435" s="15" t="s">
        <v>9143</v>
      </c>
      <c r="AK435" s="15" t="s">
        <v>9141</v>
      </c>
      <c r="AL435" s="15" t="s">
        <v>9144</v>
      </c>
      <c r="AM435" s="16" t="s">
        <v>9141</v>
      </c>
      <c r="AN435" s="16" t="s">
        <v>9145</v>
      </c>
    </row>
    <row r="436" spans="1:40" x14ac:dyDescent="0.25">
      <c r="A436" s="4" t="s">
        <v>2275</v>
      </c>
      <c r="B436" s="4"/>
      <c r="C436" s="4" t="s">
        <v>39</v>
      </c>
      <c r="D436" s="4" t="s">
        <v>2269</v>
      </c>
      <c r="E436" s="4" t="s">
        <v>2270</v>
      </c>
      <c r="F436" s="10">
        <v>45643</v>
      </c>
      <c r="G436" s="11">
        <v>0.84375</v>
      </c>
      <c r="H436" s="4" t="s">
        <v>2095</v>
      </c>
      <c r="I436" s="4" t="s">
        <v>2271</v>
      </c>
      <c r="J436" s="4" t="s">
        <v>2272</v>
      </c>
      <c r="K436" s="4" t="s">
        <v>2276</v>
      </c>
      <c r="L436" s="4" t="s">
        <v>2277</v>
      </c>
      <c r="M436" s="4" t="s">
        <v>46</v>
      </c>
      <c r="N436" s="4"/>
      <c r="O436" s="4" t="s">
        <v>47</v>
      </c>
      <c r="P436" s="4" t="s">
        <v>48</v>
      </c>
      <c r="Q436" s="4">
        <v>0</v>
      </c>
      <c r="R436" s="4" t="b">
        <v>0</v>
      </c>
      <c r="S436" s="4" t="s">
        <v>49</v>
      </c>
      <c r="T436" s="4" t="s">
        <v>70</v>
      </c>
      <c r="U436" s="4" t="s">
        <v>71</v>
      </c>
      <c r="V436" s="4" t="s">
        <v>63</v>
      </c>
      <c r="W436" s="4" t="s">
        <v>312</v>
      </c>
      <c r="X436" s="4" t="s">
        <v>54</v>
      </c>
      <c r="Y436" s="4"/>
      <c r="Z436" s="12">
        <v>0</v>
      </c>
      <c r="AA436" s="13" t="s">
        <v>9174</v>
      </c>
      <c r="AB436" s="13" t="s">
        <v>9153</v>
      </c>
      <c r="AC436" s="14" t="s">
        <v>9139</v>
      </c>
      <c r="AD436" s="14" t="s">
        <v>9140</v>
      </c>
      <c r="AE436" s="14" t="s">
        <v>9140</v>
      </c>
      <c r="AF436" s="14" t="s">
        <v>63</v>
      </c>
      <c r="AG436" s="14" t="s">
        <v>54</v>
      </c>
      <c r="AH436" s="15" t="s">
        <v>9194</v>
      </c>
      <c r="AI436" s="15" t="s">
        <v>9188</v>
      </c>
      <c r="AJ436" s="15" t="s">
        <v>9143</v>
      </c>
      <c r="AK436" s="15" t="s">
        <v>9194</v>
      </c>
      <c r="AL436" s="15" t="s">
        <v>9203</v>
      </c>
      <c r="AM436" s="16" t="s">
        <v>9194</v>
      </c>
      <c r="AN436" s="16" t="s">
        <v>9204</v>
      </c>
    </row>
    <row r="437" spans="1:40" x14ac:dyDescent="0.25">
      <c r="A437" s="4" t="s">
        <v>6139</v>
      </c>
      <c r="B437" s="4"/>
      <c r="C437" s="4" t="s">
        <v>39</v>
      </c>
      <c r="D437" s="4" t="s">
        <v>6140</v>
      </c>
      <c r="E437" s="4" t="s">
        <v>6141</v>
      </c>
      <c r="F437" s="10">
        <v>45643</v>
      </c>
      <c r="G437" s="11">
        <v>0.75694444444444442</v>
      </c>
      <c r="H437" s="4" t="s">
        <v>5666</v>
      </c>
      <c r="I437" s="4" t="s">
        <v>6136</v>
      </c>
      <c r="J437" s="4" t="s">
        <v>2598</v>
      </c>
      <c r="K437" s="4" t="s">
        <v>2856</v>
      </c>
      <c r="L437" s="4" t="s">
        <v>6142</v>
      </c>
      <c r="M437" s="4" t="s">
        <v>46</v>
      </c>
      <c r="N437" s="4"/>
      <c r="O437" s="4" t="s">
        <v>47</v>
      </c>
      <c r="P437" s="4" t="s">
        <v>60</v>
      </c>
      <c r="Q437" s="4">
        <v>0</v>
      </c>
      <c r="R437" s="4" t="b">
        <v>0</v>
      </c>
      <c r="S437" s="4" t="s">
        <v>49</v>
      </c>
      <c r="T437" s="4" t="s">
        <v>70</v>
      </c>
      <c r="U437" s="4" t="s">
        <v>71</v>
      </c>
      <c r="V437" s="4" t="s">
        <v>72</v>
      </c>
      <c r="W437" s="4" t="s">
        <v>97</v>
      </c>
      <c r="X437" s="4" t="s">
        <v>54</v>
      </c>
      <c r="Y437" s="4" t="s">
        <v>211</v>
      </c>
      <c r="Z437" s="12">
        <v>0</v>
      </c>
      <c r="AA437" s="13" t="s">
        <v>9174</v>
      </c>
      <c r="AB437" s="13" t="s">
        <v>9153</v>
      </c>
      <c r="AC437" s="14" t="s">
        <v>9139</v>
      </c>
      <c r="AD437" s="14" t="s">
        <v>9140</v>
      </c>
      <c r="AE437" s="14" t="s">
        <v>9140</v>
      </c>
      <c r="AF437" s="14" t="s">
        <v>72</v>
      </c>
      <c r="AG437" s="14" t="s">
        <v>54</v>
      </c>
      <c r="AH437" s="15" t="s">
        <v>9220</v>
      </c>
      <c r="AI437" s="15" t="s">
        <v>9199</v>
      </c>
      <c r="AJ437" s="15" t="s">
        <v>9143</v>
      </c>
      <c r="AK437" s="15" t="s">
        <v>9221</v>
      </c>
      <c r="AL437" s="15" t="s">
        <v>9199</v>
      </c>
      <c r="AM437" s="16" t="s">
        <v>9221</v>
      </c>
      <c r="AN437" s="16" t="s">
        <v>9238</v>
      </c>
    </row>
    <row r="438" spans="1:40" x14ac:dyDescent="0.25">
      <c r="A438" s="4" t="s">
        <v>4674</v>
      </c>
      <c r="B438" s="4" t="s">
        <v>4675</v>
      </c>
      <c r="C438" s="4" t="s">
        <v>39</v>
      </c>
      <c r="D438" s="4" t="s">
        <v>4676</v>
      </c>
      <c r="E438" s="4" t="s">
        <v>4677</v>
      </c>
      <c r="F438" s="10">
        <v>45643</v>
      </c>
      <c r="G438" s="11">
        <v>0.60416666666666663</v>
      </c>
      <c r="H438" s="4" t="s">
        <v>4659</v>
      </c>
      <c r="I438" s="4" t="s">
        <v>4660</v>
      </c>
      <c r="J438" s="4" t="s">
        <v>4661</v>
      </c>
      <c r="K438" s="4" t="s">
        <v>4678</v>
      </c>
      <c r="L438" s="4" t="s">
        <v>4679</v>
      </c>
      <c r="M438" s="4" t="s">
        <v>28</v>
      </c>
      <c r="N438" s="4" t="s">
        <v>478</v>
      </c>
      <c r="O438" s="4" t="s">
        <v>863</v>
      </c>
      <c r="P438" s="4" t="s">
        <v>60</v>
      </c>
      <c r="Q438" s="4">
        <v>88</v>
      </c>
      <c r="R438" s="4" t="b">
        <v>0</v>
      </c>
      <c r="S438" s="4" t="s">
        <v>184</v>
      </c>
      <c r="T438" s="4" t="s">
        <v>2195</v>
      </c>
      <c r="U438" s="4" t="s">
        <v>140</v>
      </c>
      <c r="V438" s="4" t="s">
        <v>123</v>
      </c>
      <c r="W438" s="4" t="s">
        <v>124</v>
      </c>
      <c r="X438" s="4" t="s">
        <v>978</v>
      </c>
      <c r="Y438" s="4"/>
      <c r="Z438" s="12" t="s">
        <v>60</v>
      </c>
      <c r="AA438" s="13" t="s">
        <v>9174</v>
      </c>
      <c r="AB438" s="13" t="s">
        <v>9153</v>
      </c>
      <c r="AC438" s="14" t="s">
        <v>9166</v>
      </c>
      <c r="AD438" s="14" t="s">
        <v>28</v>
      </c>
      <c r="AE438" s="14" t="s">
        <v>478</v>
      </c>
      <c r="AF438" s="14" t="s">
        <v>123</v>
      </c>
      <c r="AG438" s="14" t="s">
        <v>978</v>
      </c>
      <c r="AH438" s="15" t="s">
        <v>9220</v>
      </c>
      <c r="AI438" s="15" t="s">
        <v>9142</v>
      </c>
      <c r="AJ438" s="15" t="s">
        <v>9143</v>
      </c>
      <c r="AK438" s="15" t="s">
        <v>9221</v>
      </c>
      <c r="AL438" s="15" t="s">
        <v>9228</v>
      </c>
      <c r="AM438" s="16" t="s">
        <v>9221</v>
      </c>
      <c r="AN438" s="16" t="s">
        <v>9229</v>
      </c>
    </row>
    <row r="439" spans="1:40" x14ac:dyDescent="0.25">
      <c r="A439" s="4" t="s">
        <v>8980</v>
      </c>
      <c r="B439" s="4"/>
      <c r="C439" s="4" t="s">
        <v>39</v>
      </c>
      <c r="D439" s="4" t="s">
        <v>8981</v>
      </c>
      <c r="E439" s="4" t="s">
        <v>8982</v>
      </c>
      <c r="F439" s="10">
        <v>45643</v>
      </c>
      <c r="G439" s="11">
        <v>0.35416666666666669</v>
      </c>
      <c r="H439" s="4" t="s">
        <v>4019</v>
      </c>
      <c r="I439" s="4" t="s">
        <v>8971</v>
      </c>
      <c r="J439" s="4" t="s">
        <v>8972</v>
      </c>
      <c r="K439" s="4" t="s">
        <v>8983</v>
      </c>
      <c r="L439" s="4" t="s">
        <v>8984</v>
      </c>
      <c r="M439" s="4" t="s">
        <v>46</v>
      </c>
      <c r="N439" s="4"/>
      <c r="O439" s="4" t="s">
        <v>47</v>
      </c>
      <c r="P439" s="4" t="s">
        <v>48</v>
      </c>
      <c r="Q439" s="4">
        <v>0</v>
      </c>
      <c r="R439" s="4" t="b">
        <v>0</v>
      </c>
      <c r="S439" s="4" t="s">
        <v>49</v>
      </c>
      <c r="T439" s="4" t="s">
        <v>50</v>
      </c>
      <c r="U439" s="4" t="s">
        <v>140</v>
      </c>
      <c r="V439" s="4" t="s">
        <v>63</v>
      </c>
      <c r="W439" s="4" t="s">
        <v>312</v>
      </c>
      <c r="X439" s="4" t="s">
        <v>98</v>
      </c>
      <c r="Y439" s="4"/>
      <c r="Z439" s="12">
        <v>0</v>
      </c>
      <c r="AA439" s="13" t="s">
        <v>9174</v>
      </c>
      <c r="AB439" s="13" t="s">
        <v>9153</v>
      </c>
      <c r="AC439" s="14" t="s">
        <v>9139</v>
      </c>
      <c r="AD439" s="14" t="s">
        <v>9140</v>
      </c>
      <c r="AE439" s="14" t="s">
        <v>9140</v>
      </c>
      <c r="AF439" s="14" t="s">
        <v>63</v>
      </c>
      <c r="AG439" s="14" t="s">
        <v>98</v>
      </c>
      <c r="AH439" s="15" t="s">
        <v>9220</v>
      </c>
      <c r="AI439" s="15" t="s">
        <v>9175</v>
      </c>
      <c r="AJ439" s="15" t="s">
        <v>9181</v>
      </c>
      <c r="AK439" s="15" t="s">
        <v>9182</v>
      </c>
      <c r="AL439" s="15" t="s">
        <v>9182</v>
      </c>
      <c r="AM439" s="16" t="s">
        <v>9182</v>
      </c>
      <c r="AN439" s="16" t="s">
        <v>9182</v>
      </c>
    </row>
    <row r="440" spans="1:40" x14ac:dyDescent="0.25">
      <c r="A440" s="4" t="s">
        <v>5592</v>
      </c>
      <c r="B440" s="4">
        <v>7534316</v>
      </c>
      <c r="C440" s="4" t="s">
        <v>39</v>
      </c>
      <c r="D440" s="4" t="s">
        <v>5587</v>
      </c>
      <c r="E440" s="4" t="s">
        <v>5588</v>
      </c>
      <c r="F440" s="10">
        <v>45643</v>
      </c>
      <c r="G440" s="11">
        <v>0.47013888888888888</v>
      </c>
      <c r="H440" s="4" t="s">
        <v>4516</v>
      </c>
      <c r="I440" s="4" t="s">
        <v>5589</v>
      </c>
      <c r="J440" s="4" t="s">
        <v>5590</v>
      </c>
      <c r="K440" s="4" t="s">
        <v>5593</v>
      </c>
      <c r="L440" s="4" t="s">
        <v>5594</v>
      </c>
      <c r="M440" s="4" t="s">
        <v>28</v>
      </c>
      <c r="N440" s="4" t="s">
        <v>478</v>
      </c>
      <c r="O440" s="4" t="s">
        <v>174</v>
      </c>
      <c r="P440" s="4" t="s">
        <v>48</v>
      </c>
      <c r="Q440" s="4">
        <v>84</v>
      </c>
      <c r="R440" s="4" t="b">
        <v>0</v>
      </c>
      <c r="S440" s="4" t="s">
        <v>49</v>
      </c>
      <c r="T440" s="4" t="s">
        <v>2987</v>
      </c>
      <c r="U440" s="4" t="s">
        <v>80</v>
      </c>
      <c r="V440" s="4" t="s">
        <v>81</v>
      </c>
      <c r="W440" s="4" t="s">
        <v>82</v>
      </c>
      <c r="X440" s="4" t="s">
        <v>2811</v>
      </c>
      <c r="Y440" s="4"/>
      <c r="Z440" s="12" t="s">
        <v>48</v>
      </c>
      <c r="AA440" s="13" t="s">
        <v>9174</v>
      </c>
      <c r="AB440" s="13" t="s">
        <v>9153</v>
      </c>
      <c r="AC440" s="14" t="s">
        <v>9139</v>
      </c>
      <c r="AD440" s="14" t="s">
        <v>28</v>
      </c>
      <c r="AE440" s="14" t="s">
        <v>478</v>
      </c>
      <c r="AF440" s="14" t="s">
        <v>81</v>
      </c>
      <c r="AG440" s="14" t="s">
        <v>2811</v>
      </c>
      <c r="AH440" s="15" t="s">
        <v>9220</v>
      </c>
      <c r="AI440" s="15" t="s">
        <v>9188</v>
      </c>
      <c r="AJ440" s="15" t="s">
        <v>9143</v>
      </c>
      <c r="AK440" s="15" t="s">
        <v>9221</v>
      </c>
      <c r="AL440" s="15" t="s">
        <v>9236</v>
      </c>
      <c r="AM440" s="16" t="s">
        <v>9221</v>
      </c>
      <c r="AN440" s="16" t="s">
        <v>9237</v>
      </c>
    </row>
    <row r="441" spans="1:40" x14ac:dyDescent="0.25">
      <c r="A441" s="4" t="s">
        <v>8646</v>
      </c>
      <c r="B441" s="4"/>
      <c r="C441" s="4" t="s">
        <v>39</v>
      </c>
      <c r="D441" s="4" t="s">
        <v>8647</v>
      </c>
      <c r="E441" s="4" t="s">
        <v>8648</v>
      </c>
      <c r="F441" s="10">
        <v>45643</v>
      </c>
      <c r="G441" s="11">
        <v>0.41666666666666669</v>
      </c>
      <c r="H441" s="4" t="s">
        <v>4516</v>
      </c>
      <c r="I441" s="4" t="s">
        <v>8639</v>
      </c>
      <c r="J441" s="4" t="s">
        <v>1406</v>
      </c>
      <c r="K441" s="4" t="s">
        <v>51</v>
      </c>
      <c r="L441" s="4" t="s">
        <v>8649</v>
      </c>
      <c r="M441" s="4" t="s">
        <v>46</v>
      </c>
      <c r="N441" s="4"/>
      <c r="O441" s="4" t="s">
        <v>47</v>
      </c>
      <c r="P441" s="4" t="s">
        <v>48</v>
      </c>
      <c r="Q441" s="4">
        <v>0</v>
      </c>
      <c r="R441" s="4" t="b">
        <v>0</v>
      </c>
      <c r="S441" s="4" t="s">
        <v>61</v>
      </c>
      <c r="T441" s="4" t="s">
        <v>583</v>
      </c>
      <c r="U441" s="4" t="s">
        <v>51</v>
      </c>
      <c r="V441" s="4" t="s">
        <v>52</v>
      </c>
      <c r="W441" s="4" t="s">
        <v>135</v>
      </c>
      <c r="X441" s="4" t="s">
        <v>54</v>
      </c>
      <c r="Y441" s="4"/>
      <c r="Z441" s="12">
        <v>0</v>
      </c>
      <c r="AA441" s="13" t="s">
        <v>9174</v>
      </c>
      <c r="AB441" s="13" t="s">
        <v>9153</v>
      </c>
      <c r="AC441" s="14" t="s">
        <v>9148</v>
      </c>
      <c r="AD441" s="14" t="s">
        <v>9140</v>
      </c>
      <c r="AE441" s="14" t="s">
        <v>9140</v>
      </c>
      <c r="AF441" s="14" t="s">
        <v>52</v>
      </c>
      <c r="AG441" s="14" t="s">
        <v>54</v>
      </c>
      <c r="AH441" s="15" t="s">
        <v>9220</v>
      </c>
      <c r="AI441" s="15" t="s">
        <v>9188</v>
      </c>
      <c r="AJ441" s="15" t="s">
        <v>9143</v>
      </c>
      <c r="AK441" s="15" t="s">
        <v>9221</v>
      </c>
      <c r="AL441" s="15" t="s">
        <v>9236</v>
      </c>
      <c r="AM441" s="16" t="s">
        <v>9221</v>
      </c>
      <c r="AN441" s="16" t="s">
        <v>9237</v>
      </c>
    </row>
    <row r="442" spans="1:40" x14ac:dyDescent="0.25">
      <c r="A442" s="4" t="s">
        <v>6640</v>
      </c>
      <c r="B442" s="4">
        <v>7533896</v>
      </c>
      <c r="C442" s="4" t="s">
        <v>39</v>
      </c>
      <c r="D442" s="4" t="s">
        <v>6641</v>
      </c>
      <c r="E442" s="4" t="s">
        <v>6642</v>
      </c>
      <c r="F442" s="10">
        <v>45642</v>
      </c>
      <c r="G442" s="11">
        <v>0.59027777777777779</v>
      </c>
      <c r="H442" s="4" t="s">
        <v>4516</v>
      </c>
      <c r="I442" s="4" t="s">
        <v>6637</v>
      </c>
      <c r="J442" s="4" t="s">
        <v>3564</v>
      </c>
      <c r="K442" s="4" t="s">
        <v>6643</v>
      </c>
      <c r="L442" s="4" t="s">
        <v>6644</v>
      </c>
      <c r="M442" s="4" t="s">
        <v>28</v>
      </c>
      <c r="N442" s="4" t="s">
        <v>478</v>
      </c>
      <c r="O442" s="4" t="s">
        <v>174</v>
      </c>
      <c r="P442" s="4" t="s">
        <v>48</v>
      </c>
      <c r="Q442" s="4">
        <v>0</v>
      </c>
      <c r="R442" s="4" t="b">
        <v>0</v>
      </c>
      <c r="S442" s="4" t="s">
        <v>61</v>
      </c>
      <c r="T442" s="4" t="s">
        <v>115</v>
      </c>
      <c r="U442" s="4" t="s">
        <v>148</v>
      </c>
      <c r="V442" s="4" t="s">
        <v>52</v>
      </c>
      <c r="W442" s="4" t="s">
        <v>135</v>
      </c>
      <c r="X442" s="4" t="s">
        <v>54</v>
      </c>
      <c r="Y442" s="4"/>
      <c r="Z442" s="12" t="s">
        <v>48</v>
      </c>
      <c r="AA442" s="13" t="s">
        <v>9174</v>
      </c>
      <c r="AB442" s="13" t="s">
        <v>9153</v>
      </c>
      <c r="AC442" s="14" t="s">
        <v>9148</v>
      </c>
      <c r="AD442" s="14" t="s">
        <v>28</v>
      </c>
      <c r="AE442" s="14" t="s">
        <v>478</v>
      </c>
      <c r="AF442" s="14" t="s">
        <v>52</v>
      </c>
      <c r="AG442" s="14" t="s">
        <v>54</v>
      </c>
      <c r="AH442" s="15" t="s">
        <v>9220</v>
      </c>
      <c r="AI442" s="15" t="s">
        <v>9188</v>
      </c>
      <c r="AJ442" s="15" t="s">
        <v>9143</v>
      </c>
      <c r="AK442" s="15" t="s">
        <v>9221</v>
      </c>
      <c r="AL442" s="15" t="s">
        <v>9236</v>
      </c>
      <c r="AM442" s="16" t="s">
        <v>9221</v>
      </c>
      <c r="AN442" s="16" t="s">
        <v>9237</v>
      </c>
    </row>
    <row r="443" spans="1:40" x14ac:dyDescent="0.25">
      <c r="A443" s="4" t="s">
        <v>398</v>
      </c>
      <c r="B443" s="4"/>
      <c r="C443" s="4" t="s">
        <v>39</v>
      </c>
      <c r="D443" s="4" t="s">
        <v>399</v>
      </c>
      <c r="E443" s="4" t="s">
        <v>400</v>
      </c>
      <c r="F443" s="10">
        <v>45642</v>
      </c>
      <c r="G443" s="11">
        <v>0.70833333333333337</v>
      </c>
      <c r="H443" s="4" t="s">
        <v>42</v>
      </c>
      <c r="I443" s="4">
        <v>1012</v>
      </c>
      <c r="J443" s="4" t="s">
        <v>401</v>
      </c>
      <c r="K443" s="4" t="s">
        <v>402</v>
      </c>
      <c r="L443" s="4" t="s">
        <v>403</v>
      </c>
      <c r="M443" s="4" t="s">
        <v>46</v>
      </c>
      <c r="N443" s="4"/>
      <c r="O443" s="4" t="s">
        <v>47</v>
      </c>
      <c r="P443" s="4" t="s">
        <v>48</v>
      </c>
      <c r="Q443" s="4">
        <v>0</v>
      </c>
      <c r="R443" s="4" t="b">
        <v>0</v>
      </c>
      <c r="S443" s="4" t="s">
        <v>49</v>
      </c>
      <c r="T443" s="4" t="s">
        <v>404</v>
      </c>
      <c r="U443" s="4" t="s">
        <v>71</v>
      </c>
      <c r="V443" s="4" t="s">
        <v>405</v>
      </c>
      <c r="W443" s="4" t="s">
        <v>406</v>
      </c>
      <c r="X443" s="4" t="s">
        <v>98</v>
      </c>
      <c r="Y443" s="4"/>
      <c r="Z443" s="12">
        <v>0</v>
      </c>
      <c r="AA443" s="13" t="s">
        <v>9174</v>
      </c>
      <c r="AB443" s="13" t="s">
        <v>9153</v>
      </c>
      <c r="AC443" s="14" t="s">
        <v>9139</v>
      </c>
      <c r="AD443" s="14" t="s">
        <v>9140</v>
      </c>
      <c r="AE443" s="14" t="s">
        <v>9140</v>
      </c>
      <c r="AF443" s="14" t="s">
        <v>405</v>
      </c>
      <c r="AG443" s="14" t="s">
        <v>98</v>
      </c>
      <c r="AH443" s="15" t="s">
        <v>9141</v>
      </c>
      <c r="AI443" s="15" t="s">
        <v>9142</v>
      </c>
      <c r="AJ443" s="15" t="s">
        <v>9143</v>
      </c>
      <c r="AK443" s="15" t="s">
        <v>9141</v>
      </c>
      <c r="AL443" s="15" t="s">
        <v>9144</v>
      </c>
      <c r="AM443" s="16" t="s">
        <v>9141</v>
      </c>
      <c r="AN443" s="16" t="s">
        <v>9145</v>
      </c>
    </row>
    <row r="444" spans="1:40" x14ac:dyDescent="0.25">
      <c r="A444" s="4" t="s">
        <v>8779</v>
      </c>
      <c r="B444" s="4"/>
      <c r="C444" s="4" t="s">
        <v>39</v>
      </c>
      <c r="D444" s="4" t="s">
        <v>8780</v>
      </c>
      <c r="E444" s="4" t="s">
        <v>8781</v>
      </c>
      <c r="F444" s="10">
        <v>45639</v>
      </c>
      <c r="G444" s="11">
        <v>0.68888888888888888</v>
      </c>
      <c r="H444" s="4" t="s">
        <v>5666</v>
      </c>
      <c r="I444" s="4" t="s">
        <v>8782</v>
      </c>
      <c r="J444" s="4" t="s">
        <v>8783</v>
      </c>
      <c r="K444" s="4" t="s">
        <v>8784</v>
      </c>
      <c r="L444" s="4" t="s">
        <v>8785</v>
      </c>
      <c r="M444" s="4" t="s">
        <v>46</v>
      </c>
      <c r="N444" s="4"/>
      <c r="O444" s="4" t="s">
        <v>47</v>
      </c>
      <c r="P444" s="4" t="s">
        <v>48</v>
      </c>
      <c r="Q444" s="4">
        <v>0</v>
      </c>
      <c r="R444" s="4" t="b">
        <v>0</v>
      </c>
      <c r="S444" s="4" t="s">
        <v>61</v>
      </c>
      <c r="T444" s="4" t="s">
        <v>50</v>
      </c>
      <c r="U444" s="4" t="s">
        <v>373</v>
      </c>
      <c r="V444" s="4" t="s">
        <v>123</v>
      </c>
      <c r="W444" s="4" t="s">
        <v>124</v>
      </c>
      <c r="X444" s="4" t="s">
        <v>978</v>
      </c>
      <c r="Y444" s="4"/>
      <c r="Z444" s="12">
        <v>0</v>
      </c>
      <c r="AA444" s="13" t="s">
        <v>9174</v>
      </c>
      <c r="AB444" s="13" t="s">
        <v>9153</v>
      </c>
      <c r="AC444" s="14" t="s">
        <v>9148</v>
      </c>
      <c r="AD444" s="14" t="s">
        <v>9140</v>
      </c>
      <c r="AE444" s="14" t="s">
        <v>9140</v>
      </c>
      <c r="AF444" s="14" t="s">
        <v>123</v>
      </c>
      <c r="AG444" s="14" t="s">
        <v>978</v>
      </c>
      <c r="AH444" s="15" t="s">
        <v>9220</v>
      </c>
      <c r="AI444" s="15" t="s">
        <v>9199</v>
      </c>
      <c r="AJ444" s="15" t="s">
        <v>9143</v>
      </c>
      <c r="AK444" s="15" t="s">
        <v>9221</v>
      </c>
      <c r="AL444" s="15" t="s">
        <v>9199</v>
      </c>
      <c r="AM444" s="16" t="s">
        <v>9221</v>
      </c>
      <c r="AN444" s="16" t="s">
        <v>9238</v>
      </c>
    </row>
    <row r="445" spans="1:40" x14ac:dyDescent="0.25">
      <c r="A445" s="4" t="s">
        <v>879</v>
      </c>
      <c r="B445" s="4"/>
      <c r="C445" s="4" t="s">
        <v>39</v>
      </c>
      <c r="D445" s="4" t="s">
        <v>880</v>
      </c>
      <c r="E445" s="4" t="s">
        <v>881</v>
      </c>
      <c r="F445" s="10">
        <v>45639</v>
      </c>
      <c r="G445" s="11">
        <v>0.59375</v>
      </c>
      <c r="H445" s="4" t="s">
        <v>463</v>
      </c>
      <c r="I445" s="4">
        <v>2030</v>
      </c>
      <c r="J445" s="4" t="s">
        <v>876</v>
      </c>
      <c r="K445" s="4" t="s">
        <v>882</v>
      </c>
      <c r="L445" s="4" t="s">
        <v>883</v>
      </c>
      <c r="M445" s="4" t="s">
        <v>46</v>
      </c>
      <c r="N445" s="4"/>
      <c r="O445" s="4" t="s">
        <v>47</v>
      </c>
      <c r="P445" s="4" t="s">
        <v>48</v>
      </c>
      <c r="Q445" s="4">
        <v>0</v>
      </c>
      <c r="R445" s="4" t="b">
        <v>0</v>
      </c>
      <c r="S445" s="4" t="s">
        <v>49</v>
      </c>
      <c r="T445" s="4" t="s">
        <v>89</v>
      </c>
      <c r="U445" s="4" t="s">
        <v>584</v>
      </c>
      <c r="V445" s="4" t="s">
        <v>63</v>
      </c>
      <c r="W445" s="4" t="s">
        <v>108</v>
      </c>
      <c r="X445" s="4" t="s">
        <v>98</v>
      </c>
      <c r="Y445" s="4" t="s">
        <v>176</v>
      </c>
      <c r="Z445" s="12">
        <v>0</v>
      </c>
      <c r="AA445" s="13" t="s">
        <v>9174</v>
      </c>
      <c r="AB445" s="13" t="s">
        <v>9153</v>
      </c>
      <c r="AC445" s="14" t="s">
        <v>9139</v>
      </c>
      <c r="AD445" s="14" t="s">
        <v>9140</v>
      </c>
      <c r="AE445" s="14" t="s">
        <v>9140</v>
      </c>
      <c r="AF445" s="14" t="s">
        <v>63</v>
      </c>
      <c r="AG445" s="14" t="s">
        <v>98</v>
      </c>
      <c r="AH445" s="15" t="s">
        <v>9141</v>
      </c>
      <c r="AI445" s="15" t="s">
        <v>9175</v>
      </c>
      <c r="AJ445" s="15" t="s">
        <v>9143</v>
      </c>
      <c r="AK445" s="15" t="s">
        <v>9141</v>
      </c>
      <c r="AL445" s="15" t="s">
        <v>9177</v>
      </c>
      <c r="AM445" s="16" t="s">
        <v>9141</v>
      </c>
      <c r="AN445" s="16" t="s">
        <v>9178</v>
      </c>
    </row>
    <row r="446" spans="1:40" x14ac:dyDescent="0.25">
      <c r="A446" s="4" t="s">
        <v>2687</v>
      </c>
      <c r="B446" s="4"/>
      <c r="C446" s="4" t="s">
        <v>39</v>
      </c>
      <c r="D446" s="4" t="s">
        <v>2688</v>
      </c>
      <c r="E446" s="4" t="s">
        <v>2689</v>
      </c>
      <c r="F446" s="10">
        <v>45639</v>
      </c>
      <c r="G446" s="11">
        <v>0.40138888888888891</v>
      </c>
      <c r="H446" s="4" t="s">
        <v>1939</v>
      </c>
      <c r="I446" s="4" t="s">
        <v>2677</v>
      </c>
      <c r="J446" s="4" t="s">
        <v>2678</v>
      </c>
      <c r="K446" s="4" t="s">
        <v>2690</v>
      </c>
      <c r="L446" s="4" t="s">
        <v>2691</v>
      </c>
      <c r="M446" s="4" t="s">
        <v>46</v>
      </c>
      <c r="N446" s="4"/>
      <c r="O446" s="4" t="s">
        <v>47</v>
      </c>
      <c r="P446" s="4" t="s">
        <v>48</v>
      </c>
      <c r="Q446" s="4">
        <v>0</v>
      </c>
      <c r="R446" s="4" t="b">
        <v>0</v>
      </c>
      <c r="S446" s="4" t="s">
        <v>61</v>
      </c>
      <c r="T446" s="4" t="s">
        <v>433</v>
      </c>
      <c r="U446" s="4" t="s">
        <v>1918</v>
      </c>
      <c r="V446" s="4" t="s">
        <v>72</v>
      </c>
      <c r="W446" s="4" t="s">
        <v>97</v>
      </c>
      <c r="X446" s="4" t="s">
        <v>54</v>
      </c>
      <c r="Y446" s="4"/>
      <c r="Z446" s="12">
        <v>0</v>
      </c>
      <c r="AA446" s="13" t="s">
        <v>9174</v>
      </c>
      <c r="AB446" s="13" t="s">
        <v>9153</v>
      </c>
      <c r="AC446" s="14" t="s">
        <v>9148</v>
      </c>
      <c r="AD446" s="14" t="s">
        <v>9140</v>
      </c>
      <c r="AE446" s="14" t="s">
        <v>9140</v>
      </c>
      <c r="AF446" s="14" t="s">
        <v>72</v>
      </c>
      <c r="AG446" s="14" t="s">
        <v>54</v>
      </c>
      <c r="AH446" s="15" t="s">
        <v>9194</v>
      </c>
      <c r="AI446" s="15" t="s">
        <v>9175</v>
      </c>
      <c r="AJ446" s="15" t="s">
        <v>9143</v>
      </c>
      <c r="AK446" s="15" t="s">
        <v>9194</v>
      </c>
      <c r="AL446" s="15" t="s">
        <v>9195</v>
      </c>
      <c r="AM446" s="16" t="s">
        <v>9194</v>
      </c>
      <c r="AN446" s="16" t="s">
        <v>9196</v>
      </c>
    </row>
    <row r="447" spans="1:40" x14ac:dyDescent="0.25">
      <c r="A447" s="4" t="s">
        <v>5564</v>
      </c>
      <c r="B447" s="4"/>
      <c r="C447" s="4" t="s">
        <v>39</v>
      </c>
      <c r="D447" s="4" t="s">
        <v>5565</v>
      </c>
      <c r="E447" s="4" t="s">
        <v>5566</v>
      </c>
      <c r="F447" s="10">
        <v>45639</v>
      </c>
      <c r="G447" s="11">
        <v>0.40138888888888891</v>
      </c>
      <c r="H447" s="4" t="s">
        <v>4910</v>
      </c>
      <c r="I447" s="4" t="s">
        <v>5555</v>
      </c>
      <c r="J447" s="4" t="s">
        <v>3170</v>
      </c>
      <c r="K447" s="4" t="s">
        <v>905</v>
      </c>
      <c r="L447" s="4" t="s">
        <v>5567</v>
      </c>
      <c r="M447" s="4" t="s">
        <v>46</v>
      </c>
      <c r="N447" s="4"/>
      <c r="O447" s="4" t="s">
        <v>47</v>
      </c>
      <c r="P447" s="4" t="s">
        <v>48</v>
      </c>
      <c r="Q447" s="4">
        <v>0</v>
      </c>
      <c r="R447" s="4" t="b">
        <v>0</v>
      </c>
      <c r="S447" s="4" t="s">
        <v>61</v>
      </c>
      <c r="T447" s="4" t="s">
        <v>115</v>
      </c>
      <c r="U447" s="4" t="s">
        <v>175</v>
      </c>
      <c r="V447" s="4" t="s">
        <v>52</v>
      </c>
      <c r="W447" s="4" t="s">
        <v>255</v>
      </c>
      <c r="X447" s="4" t="s">
        <v>54</v>
      </c>
      <c r="Y447" s="4"/>
      <c r="Z447" s="12">
        <v>0</v>
      </c>
      <c r="AA447" s="13" t="s">
        <v>9174</v>
      </c>
      <c r="AB447" s="13" t="s">
        <v>9153</v>
      </c>
      <c r="AC447" s="14" t="s">
        <v>9148</v>
      </c>
      <c r="AD447" s="14" t="s">
        <v>9140</v>
      </c>
      <c r="AE447" s="14" t="s">
        <v>9140</v>
      </c>
      <c r="AF447" s="14" t="s">
        <v>52</v>
      </c>
      <c r="AG447" s="14" t="s">
        <v>54</v>
      </c>
      <c r="AH447" s="15" t="s">
        <v>9220</v>
      </c>
      <c r="AI447" s="15" t="s">
        <v>9191</v>
      </c>
      <c r="AJ447" s="15" t="s">
        <v>9143</v>
      </c>
      <c r="AK447" s="15" t="s">
        <v>9221</v>
      </c>
      <c r="AL447" s="15" t="s">
        <v>9234</v>
      </c>
      <c r="AM447" s="16" t="s">
        <v>9221</v>
      </c>
      <c r="AN447" s="16" t="s">
        <v>9235</v>
      </c>
    </row>
    <row r="448" spans="1:40" x14ac:dyDescent="0.25">
      <c r="A448" s="4" t="s">
        <v>5937</v>
      </c>
      <c r="B448" s="4"/>
      <c r="C448" s="4" t="s">
        <v>39</v>
      </c>
      <c r="D448" s="4" t="s">
        <v>5938</v>
      </c>
      <c r="E448" s="4" t="s">
        <v>5939</v>
      </c>
      <c r="F448" s="10">
        <v>45639</v>
      </c>
      <c r="G448" s="11">
        <v>0.70833333333333337</v>
      </c>
      <c r="H448" s="4" t="s">
        <v>4242</v>
      </c>
      <c r="I448" s="4" t="s">
        <v>5918</v>
      </c>
      <c r="J448" s="4" t="s">
        <v>5919</v>
      </c>
      <c r="K448" s="4" t="s">
        <v>5940</v>
      </c>
      <c r="L448" s="4" t="s">
        <v>5941</v>
      </c>
      <c r="M448" s="4" t="s">
        <v>46</v>
      </c>
      <c r="N448" s="4"/>
      <c r="O448" s="4" t="s">
        <v>47</v>
      </c>
      <c r="P448" s="4" t="s">
        <v>48</v>
      </c>
      <c r="Q448" s="4">
        <v>0</v>
      </c>
      <c r="R448" s="4" t="b">
        <v>0</v>
      </c>
      <c r="S448" s="4" t="s">
        <v>61</v>
      </c>
      <c r="T448" s="4" t="s">
        <v>115</v>
      </c>
      <c r="U448" s="4" t="s">
        <v>140</v>
      </c>
      <c r="V448" s="4" t="s">
        <v>123</v>
      </c>
      <c r="W448" s="4" t="s">
        <v>149</v>
      </c>
      <c r="X448" s="4" t="s">
        <v>54</v>
      </c>
      <c r="Y448" s="4"/>
      <c r="Z448" s="12">
        <v>0</v>
      </c>
      <c r="AA448" s="13" t="s">
        <v>9174</v>
      </c>
      <c r="AB448" s="13" t="s">
        <v>9153</v>
      </c>
      <c r="AC448" s="14" t="s">
        <v>9148</v>
      </c>
      <c r="AD448" s="14" t="s">
        <v>9140</v>
      </c>
      <c r="AE448" s="14" t="s">
        <v>9140</v>
      </c>
      <c r="AF448" s="14" t="s">
        <v>123</v>
      </c>
      <c r="AG448" s="14" t="s">
        <v>54</v>
      </c>
      <c r="AH448" s="15" t="s">
        <v>9220</v>
      </c>
      <c r="AI448" s="15" t="s">
        <v>9187</v>
      </c>
      <c r="AJ448" s="15" t="s">
        <v>9143</v>
      </c>
      <c r="AK448" s="15" t="s">
        <v>9221</v>
      </c>
      <c r="AL448" s="15" t="s">
        <v>9226</v>
      </c>
      <c r="AM448" s="16" t="s">
        <v>9221</v>
      </c>
      <c r="AN448" s="16" t="s">
        <v>9227</v>
      </c>
    </row>
    <row r="449" spans="1:40" x14ac:dyDescent="0.25">
      <c r="A449" s="4" t="s">
        <v>7559</v>
      </c>
      <c r="B449" s="4"/>
      <c r="C449" s="4" t="s">
        <v>39</v>
      </c>
      <c r="D449" s="4" t="s">
        <v>7560</v>
      </c>
      <c r="E449" s="4" t="s">
        <v>7561</v>
      </c>
      <c r="F449" s="10">
        <v>45639</v>
      </c>
      <c r="G449" s="11">
        <v>0.55277777777777781</v>
      </c>
      <c r="H449" s="4" t="s">
        <v>4019</v>
      </c>
      <c r="I449" s="4" t="s">
        <v>7562</v>
      </c>
      <c r="J449" s="4" t="s">
        <v>7563</v>
      </c>
      <c r="K449" s="4" t="s">
        <v>7564</v>
      </c>
      <c r="L449" s="4" t="s">
        <v>7565</v>
      </c>
      <c r="M449" s="4" t="s">
        <v>46</v>
      </c>
      <c r="N449" s="4"/>
      <c r="O449" s="4" t="s">
        <v>47</v>
      </c>
      <c r="P449" s="4" t="s">
        <v>48</v>
      </c>
      <c r="Q449" s="4">
        <v>0</v>
      </c>
      <c r="R449" s="4" t="b">
        <v>0</v>
      </c>
      <c r="S449" s="4" t="s">
        <v>49</v>
      </c>
      <c r="T449" s="4" t="s">
        <v>50</v>
      </c>
      <c r="U449" s="4" t="s">
        <v>650</v>
      </c>
      <c r="V449" s="4" t="s">
        <v>123</v>
      </c>
      <c r="W449" s="4" t="s">
        <v>124</v>
      </c>
      <c r="X449" s="4" t="s">
        <v>54</v>
      </c>
      <c r="Y449" s="4"/>
      <c r="Z449" s="12">
        <v>0</v>
      </c>
      <c r="AA449" s="13" t="s">
        <v>9174</v>
      </c>
      <c r="AB449" s="13" t="s">
        <v>9153</v>
      </c>
      <c r="AC449" s="14" t="s">
        <v>9139</v>
      </c>
      <c r="AD449" s="14" t="s">
        <v>9140</v>
      </c>
      <c r="AE449" s="14" t="s">
        <v>9140</v>
      </c>
      <c r="AF449" s="14" t="s">
        <v>123</v>
      </c>
      <c r="AG449" s="14" t="s">
        <v>54</v>
      </c>
      <c r="AH449" s="15" t="s">
        <v>9220</v>
      </c>
      <c r="AI449" s="15" t="s">
        <v>9175</v>
      </c>
      <c r="AJ449" s="15" t="s">
        <v>9143</v>
      </c>
      <c r="AK449" s="15" t="s">
        <v>9221</v>
      </c>
      <c r="AL449" s="15" t="s">
        <v>9224</v>
      </c>
      <c r="AM449" s="16" t="s">
        <v>9221</v>
      </c>
      <c r="AN449" s="16" t="s">
        <v>9225</v>
      </c>
    </row>
    <row r="450" spans="1:40" x14ac:dyDescent="0.25">
      <c r="A450" s="4" t="s">
        <v>7325</v>
      </c>
      <c r="B450" s="4"/>
      <c r="C450" s="4" t="s">
        <v>39</v>
      </c>
      <c r="D450" s="4" t="s">
        <v>7326</v>
      </c>
      <c r="E450" s="4" t="s">
        <v>7327</v>
      </c>
      <c r="F450" s="10">
        <v>45638</v>
      </c>
      <c r="G450" s="11">
        <v>0.52777777777777779</v>
      </c>
      <c r="H450" s="4" t="s">
        <v>4019</v>
      </c>
      <c r="I450" s="4" t="s">
        <v>7315</v>
      </c>
      <c r="J450" s="4" t="s">
        <v>1037</v>
      </c>
      <c r="K450" s="4" t="s">
        <v>7328</v>
      </c>
      <c r="L450" s="4" t="s">
        <v>7329</v>
      </c>
      <c r="M450" s="4" t="s">
        <v>46</v>
      </c>
      <c r="N450" s="4"/>
      <c r="O450" s="4" t="s">
        <v>47</v>
      </c>
      <c r="P450" s="4" t="s">
        <v>48</v>
      </c>
      <c r="Q450" s="4">
        <v>0</v>
      </c>
      <c r="R450" s="4" t="b">
        <v>0</v>
      </c>
      <c r="S450" s="4" t="s">
        <v>49</v>
      </c>
      <c r="T450" s="4" t="s">
        <v>50</v>
      </c>
      <c r="U450" s="4" t="s">
        <v>618</v>
      </c>
      <c r="V450" s="4" t="s">
        <v>63</v>
      </c>
      <c r="W450" s="4" t="s">
        <v>198</v>
      </c>
      <c r="X450" s="4" t="s">
        <v>98</v>
      </c>
      <c r="Y450" s="4"/>
      <c r="Z450" s="12">
        <v>0</v>
      </c>
      <c r="AA450" s="13" t="s">
        <v>9174</v>
      </c>
      <c r="AB450" s="13" t="s">
        <v>9153</v>
      </c>
      <c r="AC450" s="14" t="s">
        <v>9139</v>
      </c>
      <c r="AD450" s="14" t="s">
        <v>9140</v>
      </c>
      <c r="AE450" s="14" t="s">
        <v>9140</v>
      </c>
      <c r="AF450" s="14" t="s">
        <v>63</v>
      </c>
      <c r="AG450" s="14" t="s">
        <v>98</v>
      </c>
      <c r="AH450" s="15" t="s">
        <v>9220</v>
      </c>
      <c r="AI450" s="15" t="s">
        <v>9175</v>
      </c>
      <c r="AJ450" s="15" t="s">
        <v>9143</v>
      </c>
      <c r="AK450" s="15" t="s">
        <v>9221</v>
      </c>
      <c r="AL450" s="15" t="s">
        <v>9222</v>
      </c>
      <c r="AM450" s="16" t="s">
        <v>9221</v>
      </c>
      <c r="AN450" s="16" t="s">
        <v>9223</v>
      </c>
    </row>
    <row r="451" spans="1:40" x14ac:dyDescent="0.25">
      <c r="A451" s="4" t="s">
        <v>3390</v>
      </c>
      <c r="B451" s="4"/>
      <c r="C451" s="4" t="s">
        <v>39</v>
      </c>
      <c r="D451" s="4" t="s">
        <v>3391</v>
      </c>
      <c r="E451" s="4" t="s">
        <v>3392</v>
      </c>
      <c r="F451" s="10">
        <v>45638</v>
      </c>
      <c r="G451" s="11">
        <v>0.42222222222222222</v>
      </c>
      <c r="H451" s="4" t="s">
        <v>2227</v>
      </c>
      <c r="I451" s="4" t="s">
        <v>3381</v>
      </c>
      <c r="J451" s="4" t="s">
        <v>1285</v>
      </c>
      <c r="K451" s="4" t="s">
        <v>3393</v>
      </c>
      <c r="L451" s="4" t="s">
        <v>3394</v>
      </c>
      <c r="M451" s="4" t="s">
        <v>46</v>
      </c>
      <c r="N451" s="4"/>
      <c r="O451" s="4" t="s">
        <v>47</v>
      </c>
      <c r="P451" s="4" t="s">
        <v>48</v>
      </c>
      <c r="Q451" s="4">
        <v>0</v>
      </c>
      <c r="R451" s="4" t="b">
        <v>0</v>
      </c>
      <c r="S451" s="4" t="s">
        <v>61</v>
      </c>
      <c r="T451" s="4" t="s">
        <v>89</v>
      </c>
      <c r="U451" s="4" t="s">
        <v>373</v>
      </c>
      <c r="V451" s="4" t="s">
        <v>52</v>
      </c>
      <c r="W451" s="4" t="s">
        <v>255</v>
      </c>
      <c r="X451" s="4" t="s">
        <v>98</v>
      </c>
      <c r="Y451" s="4"/>
      <c r="Z451" s="12">
        <v>0</v>
      </c>
      <c r="AA451" s="13" t="s">
        <v>9174</v>
      </c>
      <c r="AB451" s="13" t="s">
        <v>9153</v>
      </c>
      <c r="AC451" s="14" t="s">
        <v>9148</v>
      </c>
      <c r="AD451" s="14" t="s">
        <v>9140</v>
      </c>
      <c r="AE451" s="14" t="s">
        <v>9140</v>
      </c>
      <c r="AF451" s="14" t="s">
        <v>52</v>
      </c>
      <c r="AG451" s="14" t="s">
        <v>98</v>
      </c>
      <c r="AH451" s="15" t="s">
        <v>9194</v>
      </c>
      <c r="AI451" s="15" t="s">
        <v>9187</v>
      </c>
      <c r="AJ451" s="15" t="s">
        <v>9143</v>
      </c>
      <c r="AK451" s="15" t="s">
        <v>9194</v>
      </c>
      <c r="AL451" s="15" t="s">
        <v>9209</v>
      </c>
      <c r="AM451" s="16" t="s">
        <v>9194</v>
      </c>
      <c r="AN451" s="16" t="s">
        <v>9210</v>
      </c>
    </row>
    <row r="452" spans="1:40" x14ac:dyDescent="0.25">
      <c r="A452" s="4" t="s">
        <v>8786</v>
      </c>
      <c r="B452" s="4"/>
      <c r="C452" s="4" t="s">
        <v>39</v>
      </c>
      <c r="D452" s="4" t="s">
        <v>8787</v>
      </c>
      <c r="E452" s="4" t="s">
        <v>8788</v>
      </c>
      <c r="F452" s="10">
        <v>45638</v>
      </c>
      <c r="G452" s="11">
        <v>0.43194444444444446</v>
      </c>
      <c r="H452" s="4" t="s">
        <v>5666</v>
      </c>
      <c r="I452" s="4" t="s">
        <v>8782</v>
      </c>
      <c r="J452" s="4" t="s">
        <v>8783</v>
      </c>
      <c r="K452" s="4" t="s">
        <v>8789</v>
      </c>
      <c r="L452" s="4" t="s">
        <v>8790</v>
      </c>
      <c r="M452" s="4" t="s">
        <v>46</v>
      </c>
      <c r="N452" s="4"/>
      <c r="O452" s="4" t="s">
        <v>47</v>
      </c>
      <c r="P452" s="4" t="s">
        <v>48</v>
      </c>
      <c r="Q452" s="4">
        <v>0</v>
      </c>
      <c r="R452" s="4" t="b">
        <v>0</v>
      </c>
      <c r="S452" s="4" t="s">
        <v>61</v>
      </c>
      <c r="T452" s="4" t="s">
        <v>50</v>
      </c>
      <c r="U452" s="4" t="s">
        <v>71</v>
      </c>
      <c r="V452" s="4" t="s">
        <v>72</v>
      </c>
      <c r="W452" s="4" t="s">
        <v>73</v>
      </c>
      <c r="X452" s="4" t="s">
        <v>54</v>
      </c>
      <c r="Y452" s="4"/>
      <c r="Z452" s="12">
        <v>0</v>
      </c>
      <c r="AA452" s="13" t="s">
        <v>9174</v>
      </c>
      <c r="AB452" s="13" t="s">
        <v>9153</v>
      </c>
      <c r="AC452" s="14" t="s">
        <v>9148</v>
      </c>
      <c r="AD452" s="14" t="s">
        <v>9140</v>
      </c>
      <c r="AE452" s="14" t="s">
        <v>9140</v>
      </c>
      <c r="AF452" s="14" t="s">
        <v>72</v>
      </c>
      <c r="AG452" s="14" t="s">
        <v>54</v>
      </c>
      <c r="AH452" s="15" t="s">
        <v>9220</v>
      </c>
      <c r="AI452" s="15" t="s">
        <v>9199</v>
      </c>
      <c r="AJ452" s="15" t="s">
        <v>9143</v>
      </c>
      <c r="AK452" s="15" t="s">
        <v>9221</v>
      </c>
      <c r="AL452" s="15" t="s">
        <v>9199</v>
      </c>
      <c r="AM452" s="16" t="s">
        <v>9221</v>
      </c>
      <c r="AN452" s="16" t="s">
        <v>9238</v>
      </c>
    </row>
    <row r="453" spans="1:40" x14ac:dyDescent="0.25">
      <c r="A453" s="4" t="s">
        <v>1936</v>
      </c>
      <c r="B453" s="4"/>
      <c r="C453" s="4" t="s">
        <v>39</v>
      </c>
      <c r="D453" s="4" t="s">
        <v>1937</v>
      </c>
      <c r="E453" s="4" t="s">
        <v>1938</v>
      </c>
      <c r="F453" s="10">
        <v>45637</v>
      </c>
      <c r="G453" s="11">
        <v>0.66666666666666663</v>
      </c>
      <c r="H453" s="4" t="s">
        <v>1939</v>
      </c>
      <c r="I453" s="4" t="s">
        <v>1940</v>
      </c>
      <c r="J453" s="4" t="s">
        <v>1941</v>
      </c>
      <c r="K453" s="4" t="s">
        <v>1942</v>
      </c>
      <c r="L453" s="4" t="s">
        <v>1943</v>
      </c>
      <c r="M453" s="4" t="s">
        <v>46</v>
      </c>
      <c r="N453" s="4"/>
      <c r="O453" s="4" t="s">
        <v>47</v>
      </c>
      <c r="P453" s="4" t="s">
        <v>48</v>
      </c>
      <c r="Q453" s="4">
        <v>0</v>
      </c>
      <c r="R453" s="4" t="b">
        <v>0</v>
      </c>
      <c r="S453" s="4" t="s">
        <v>61</v>
      </c>
      <c r="T453" s="4" t="s">
        <v>50</v>
      </c>
      <c r="U453" s="4" t="s">
        <v>600</v>
      </c>
      <c r="V453" s="4" t="s">
        <v>72</v>
      </c>
      <c r="W453" s="4" t="s">
        <v>97</v>
      </c>
      <c r="X453" s="4" t="s">
        <v>54</v>
      </c>
      <c r="Y453" s="4" t="s">
        <v>1944</v>
      </c>
      <c r="Z453" s="12">
        <v>0</v>
      </c>
      <c r="AA453" s="13" t="s">
        <v>9174</v>
      </c>
      <c r="AB453" s="13" t="s">
        <v>9153</v>
      </c>
      <c r="AC453" s="14" t="s">
        <v>9148</v>
      </c>
      <c r="AD453" s="14" t="s">
        <v>9140</v>
      </c>
      <c r="AE453" s="14" t="s">
        <v>9140</v>
      </c>
      <c r="AF453" s="14" t="s">
        <v>72</v>
      </c>
      <c r="AG453" s="14" t="s">
        <v>54</v>
      </c>
      <c r="AH453" s="15" t="s">
        <v>9194</v>
      </c>
      <c r="AI453" s="15" t="s">
        <v>9175</v>
      </c>
      <c r="AJ453" s="15" t="s">
        <v>9143</v>
      </c>
      <c r="AK453" s="15" t="s">
        <v>9194</v>
      </c>
      <c r="AL453" s="15" t="s">
        <v>9195</v>
      </c>
      <c r="AM453" s="16" t="s">
        <v>9194</v>
      </c>
      <c r="AN453" s="16" t="s">
        <v>9196</v>
      </c>
    </row>
    <row r="454" spans="1:40" x14ac:dyDescent="0.25">
      <c r="A454" s="4" t="s">
        <v>7072</v>
      </c>
      <c r="B454" s="4"/>
      <c r="C454" s="4" t="s">
        <v>39</v>
      </c>
      <c r="D454" s="4" t="s">
        <v>7038</v>
      </c>
      <c r="E454" s="4" t="s">
        <v>7039</v>
      </c>
      <c r="F454" s="10">
        <v>45637</v>
      </c>
      <c r="G454" s="11">
        <v>0.49652777777777779</v>
      </c>
      <c r="H454" s="4" t="s">
        <v>4242</v>
      </c>
      <c r="I454" s="4" t="s">
        <v>7028</v>
      </c>
      <c r="J454" s="4" t="s">
        <v>7029</v>
      </c>
      <c r="K454" s="4" t="s">
        <v>7073</v>
      </c>
      <c r="L454" s="4" t="s">
        <v>7074</v>
      </c>
      <c r="M454" s="4" t="s">
        <v>46</v>
      </c>
      <c r="N454" s="4"/>
      <c r="O454" s="4" t="s">
        <v>47</v>
      </c>
      <c r="P454" s="4" t="s">
        <v>48</v>
      </c>
      <c r="Q454" s="4">
        <v>0</v>
      </c>
      <c r="R454" s="4" t="b">
        <v>0</v>
      </c>
      <c r="S454" s="4" t="s">
        <v>49</v>
      </c>
      <c r="T454" s="4" t="s">
        <v>50</v>
      </c>
      <c r="U454" s="4" t="s">
        <v>51</v>
      </c>
      <c r="V454" s="4" t="s">
        <v>63</v>
      </c>
      <c r="W454" s="4" t="s">
        <v>198</v>
      </c>
      <c r="X454" s="4" t="s">
        <v>54</v>
      </c>
      <c r="Y454" s="4"/>
      <c r="Z454" s="12">
        <v>0</v>
      </c>
      <c r="AA454" s="13" t="s">
        <v>9174</v>
      </c>
      <c r="AB454" s="13" t="s">
        <v>9153</v>
      </c>
      <c r="AC454" s="14" t="s">
        <v>9139</v>
      </c>
      <c r="AD454" s="14" t="s">
        <v>9140</v>
      </c>
      <c r="AE454" s="14" t="s">
        <v>9140</v>
      </c>
      <c r="AF454" s="14" t="s">
        <v>63</v>
      </c>
      <c r="AG454" s="14" t="s">
        <v>54</v>
      </c>
      <c r="AH454" s="15" t="s">
        <v>9220</v>
      </c>
      <c r="AI454" s="15" t="s">
        <v>9187</v>
      </c>
      <c r="AJ454" s="15" t="s">
        <v>9143</v>
      </c>
      <c r="AK454" s="15" t="s">
        <v>9221</v>
      </c>
      <c r="AL454" s="15" t="s">
        <v>9226</v>
      </c>
      <c r="AM454" s="16" t="s">
        <v>9221</v>
      </c>
      <c r="AN454" s="16" t="s">
        <v>9227</v>
      </c>
    </row>
    <row r="455" spans="1:40" x14ac:dyDescent="0.25">
      <c r="A455" s="4" t="s">
        <v>7202</v>
      </c>
      <c r="B455" s="4">
        <v>7573447</v>
      </c>
      <c r="C455" s="4" t="s">
        <v>39</v>
      </c>
      <c r="D455" s="4" t="s">
        <v>7203</v>
      </c>
      <c r="E455" s="4" t="s">
        <v>7204</v>
      </c>
      <c r="F455" s="10">
        <v>45637</v>
      </c>
      <c r="G455" s="11">
        <v>0.47916666666666669</v>
      </c>
      <c r="H455" s="4" t="s">
        <v>4516</v>
      </c>
      <c r="I455" s="4" t="s">
        <v>7180</v>
      </c>
      <c r="J455" s="4" t="s">
        <v>7181</v>
      </c>
      <c r="K455" s="4" t="s">
        <v>7200</v>
      </c>
      <c r="L455" s="4" t="s">
        <v>7205</v>
      </c>
      <c r="M455" s="4" t="s">
        <v>28</v>
      </c>
      <c r="N455" s="4" t="s">
        <v>478</v>
      </c>
      <c r="O455" s="4" t="s">
        <v>174</v>
      </c>
      <c r="P455" s="4" t="s">
        <v>48</v>
      </c>
      <c r="Q455" s="4">
        <v>46</v>
      </c>
      <c r="R455" s="4" t="b">
        <v>0</v>
      </c>
      <c r="S455" s="4" t="s">
        <v>114</v>
      </c>
      <c r="T455" s="4" t="s">
        <v>70</v>
      </c>
      <c r="U455" s="4" t="s">
        <v>71</v>
      </c>
      <c r="V455" s="4" t="s">
        <v>72</v>
      </c>
      <c r="W455" s="4" t="s">
        <v>73</v>
      </c>
      <c r="X455" s="4" t="s">
        <v>54</v>
      </c>
      <c r="Y455" s="4"/>
      <c r="Z455" s="12" t="s">
        <v>48</v>
      </c>
      <c r="AA455" s="13" t="s">
        <v>9174</v>
      </c>
      <c r="AB455" s="13" t="s">
        <v>9153</v>
      </c>
      <c r="AC455" s="14" t="s">
        <v>9157</v>
      </c>
      <c r="AD455" s="14" t="s">
        <v>28</v>
      </c>
      <c r="AE455" s="14" t="s">
        <v>478</v>
      </c>
      <c r="AF455" s="14" t="s">
        <v>72</v>
      </c>
      <c r="AG455" s="14" t="s">
        <v>54</v>
      </c>
      <c r="AH455" s="15" t="s">
        <v>9220</v>
      </c>
      <c r="AI455" s="15" t="s">
        <v>9188</v>
      </c>
      <c r="AJ455" s="15" t="s">
        <v>9143</v>
      </c>
      <c r="AK455" s="15" t="s">
        <v>9221</v>
      </c>
      <c r="AL455" s="15" t="s">
        <v>9230</v>
      </c>
      <c r="AM455" s="16" t="s">
        <v>9221</v>
      </c>
      <c r="AN455" s="16" t="s">
        <v>9231</v>
      </c>
    </row>
    <row r="456" spans="1:40" x14ac:dyDescent="0.25">
      <c r="A456" s="4" t="s">
        <v>2100</v>
      </c>
      <c r="B456" s="4"/>
      <c r="C456" s="4" t="s">
        <v>39</v>
      </c>
      <c r="D456" s="4" t="s">
        <v>2101</v>
      </c>
      <c r="E456" s="4" t="s">
        <v>2102</v>
      </c>
      <c r="F456" s="10">
        <v>45636</v>
      </c>
      <c r="G456" s="11">
        <v>0.68402777777777779</v>
      </c>
      <c r="H456" s="4" t="s">
        <v>2095</v>
      </c>
      <c r="I456" s="4" t="s">
        <v>2096</v>
      </c>
      <c r="J456" s="4" t="s">
        <v>2097</v>
      </c>
      <c r="K456" s="4" t="s">
        <v>2103</v>
      </c>
      <c r="L456" s="4" t="s">
        <v>2104</v>
      </c>
      <c r="M456" s="4" t="s">
        <v>46</v>
      </c>
      <c r="N456" s="4"/>
      <c r="O456" s="4" t="s">
        <v>47</v>
      </c>
      <c r="P456" s="4" t="s">
        <v>48</v>
      </c>
      <c r="Q456" s="4">
        <v>0</v>
      </c>
      <c r="R456" s="4" t="b">
        <v>0</v>
      </c>
      <c r="S456" s="4" t="s">
        <v>49</v>
      </c>
      <c r="T456" s="4" t="s">
        <v>70</v>
      </c>
      <c r="U456" s="4" t="s">
        <v>80</v>
      </c>
      <c r="V456" s="4" t="s">
        <v>63</v>
      </c>
      <c r="W456" s="4" t="s">
        <v>198</v>
      </c>
      <c r="X456" s="4" t="s">
        <v>54</v>
      </c>
      <c r="Y456" s="4"/>
      <c r="Z456" s="12">
        <v>0</v>
      </c>
      <c r="AA456" s="13" t="s">
        <v>9174</v>
      </c>
      <c r="AB456" s="13" t="s">
        <v>9153</v>
      </c>
      <c r="AC456" s="14" t="s">
        <v>9139</v>
      </c>
      <c r="AD456" s="14" t="s">
        <v>9140</v>
      </c>
      <c r="AE456" s="14" t="s">
        <v>9140</v>
      </c>
      <c r="AF456" s="14" t="s">
        <v>63</v>
      </c>
      <c r="AG456" s="14" t="s">
        <v>54</v>
      </c>
      <c r="AH456" s="15" t="s">
        <v>9194</v>
      </c>
      <c r="AI456" s="15" t="s">
        <v>9188</v>
      </c>
      <c r="AJ456" s="15" t="s">
        <v>9143</v>
      </c>
      <c r="AK456" s="15" t="s">
        <v>9194</v>
      </c>
      <c r="AL456" s="15" t="s">
        <v>9203</v>
      </c>
      <c r="AM456" s="16" t="s">
        <v>9194</v>
      </c>
      <c r="AN456" s="16" t="s">
        <v>9204</v>
      </c>
    </row>
    <row r="457" spans="1:40" x14ac:dyDescent="0.25">
      <c r="A457" s="4" t="s">
        <v>4710</v>
      </c>
      <c r="B457" s="4"/>
      <c r="C457" s="4" t="s">
        <v>39</v>
      </c>
      <c r="D457" s="4" t="s">
        <v>4711</v>
      </c>
      <c r="E457" s="4" t="s">
        <v>4712</v>
      </c>
      <c r="F457" s="10">
        <v>45634</v>
      </c>
      <c r="G457" s="11">
        <v>0.66666666666666663</v>
      </c>
      <c r="H457" s="4" t="s">
        <v>4019</v>
      </c>
      <c r="I457" s="4" t="s">
        <v>4713</v>
      </c>
      <c r="J457" s="4" t="s">
        <v>4714</v>
      </c>
      <c r="K457" s="4" t="s">
        <v>4715</v>
      </c>
      <c r="L457" s="4" t="s">
        <v>4716</v>
      </c>
      <c r="M457" s="4" t="s">
        <v>46</v>
      </c>
      <c r="N457" s="4"/>
      <c r="O457" s="4" t="s">
        <v>47</v>
      </c>
      <c r="P457" s="4" t="s">
        <v>48</v>
      </c>
      <c r="Q457" s="4">
        <v>0</v>
      </c>
      <c r="R457" s="4" t="b">
        <v>0</v>
      </c>
      <c r="S457" s="4" t="s">
        <v>49</v>
      </c>
      <c r="T457" s="4" t="s">
        <v>433</v>
      </c>
      <c r="U457" s="4" t="s">
        <v>90</v>
      </c>
      <c r="V457" s="4" t="s">
        <v>63</v>
      </c>
      <c r="W457" s="4" t="s">
        <v>108</v>
      </c>
      <c r="X457" s="4" t="s">
        <v>54</v>
      </c>
      <c r="Y457" s="4"/>
      <c r="Z457" s="12">
        <v>0</v>
      </c>
      <c r="AA457" s="13" t="s">
        <v>9174</v>
      </c>
      <c r="AB457" s="13" t="s">
        <v>9153</v>
      </c>
      <c r="AC457" s="14" t="s">
        <v>9139</v>
      </c>
      <c r="AD457" s="14" t="s">
        <v>9140</v>
      </c>
      <c r="AE457" s="14" t="s">
        <v>9140</v>
      </c>
      <c r="AF457" s="14" t="s">
        <v>63</v>
      </c>
      <c r="AG457" s="14" t="s">
        <v>54</v>
      </c>
      <c r="AH457" s="15" t="s">
        <v>9220</v>
      </c>
      <c r="AI457" s="15" t="s">
        <v>9175</v>
      </c>
      <c r="AJ457" s="15" t="s">
        <v>9143</v>
      </c>
      <c r="AK457" s="15" t="s">
        <v>9221</v>
      </c>
      <c r="AL457" s="15" t="s">
        <v>9224</v>
      </c>
      <c r="AM457" s="16" t="s">
        <v>9221</v>
      </c>
      <c r="AN457" s="16" t="s">
        <v>9225</v>
      </c>
    </row>
    <row r="458" spans="1:40" x14ac:dyDescent="0.25">
      <c r="A458" s="4" t="s">
        <v>2889</v>
      </c>
      <c r="B458" s="4"/>
      <c r="C458" s="4" t="s">
        <v>39</v>
      </c>
      <c r="D458" s="4" t="s">
        <v>2890</v>
      </c>
      <c r="E458" s="4" t="s">
        <v>2891</v>
      </c>
      <c r="F458" s="10">
        <v>45633</v>
      </c>
      <c r="G458" s="11">
        <v>0.51041666666666663</v>
      </c>
      <c r="H458" s="4" t="s">
        <v>2168</v>
      </c>
      <c r="I458" s="4" t="s">
        <v>2885</v>
      </c>
      <c r="J458" s="4" t="s">
        <v>2886</v>
      </c>
      <c r="K458" s="4" t="s">
        <v>1775</v>
      </c>
      <c r="L458" s="4" t="s">
        <v>2892</v>
      </c>
      <c r="M458" s="4" t="s">
        <v>46</v>
      </c>
      <c r="N458" s="4"/>
      <c r="O458" s="4" t="s">
        <v>47</v>
      </c>
      <c r="P458" s="4" t="s">
        <v>60</v>
      </c>
      <c r="Q458" s="4">
        <v>0</v>
      </c>
      <c r="R458" s="4" t="b">
        <v>0</v>
      </c>
      <c r="S458" s="4" t="s">
        <v>49</v>
      </c>
      <c r="T458" s="4" t="s">
        <v>70</v>
      </c>
      <c r="U458" s="4" t="s">
        <v>71</v>
      </c>
      <c r="V458" s="4" t="s">
        <v>72</v>
      </c>
      <c r="W458" s="4" t="s">
        <v>2410</v>
      </c>
      <c r="X458" s="4" t="s">
        <v>54</v>
      </c>
      <c r="Y458" s="4" t="s">
        <v>211</v>
      </c>
      <c r="Z458" s="12">
        <v>0</v>
      </c>
      <c r="AA458" s="13" t="s">
        <v>9174</v>
      </c>
      <c r="AB458" s="13" t="s">
        <v>9153</v>
      </c>
      <c r="AC458" s="14" t="s">
        <v>9139</v>
      </c>
      <c r="AD458" s="14" t="s">
        <v>9140</v>
      </c>
      <c r="AE458" s="14" t="s">
        <v>9140</v>
      </c>
      <c r="AF458" s="14" t="s">
        <v>72</v>
      </c>
      <c r="AG458" s="14" t="s">
        <v>54</v>
      </c>
      <c r="AH458" s="15" t="s">
        <v>9194</v>
      </c>
      <c r="AI458" s="15" t="s">
        <v>9142</v>
      </c>
      <c r="AJ458" s="15" t="s">
        <v>9143</v>
      </c>
      <c r="AK458" s="15" t="s">
        <v>9194</v>
      </c>
      <c r="AL458" s="15" t="s">
        <v>9207</v>
      </c>
      <c r="AM458" s="16" t="s">
        <v>9194</v>
      </c>
      <c r="AN458" s="16" t="s">
        <v>9208</v>
      </c>
    </row>
    <row r="459" spans="1:40" x14ac:dyDescent="0.25">
      <c r="A459" s="4" t="s">
        <v>7222</v>
      </c>
      <c r="B459" s="4"/>
      <c r="C459" s="4" t="s">
        <v>39</v>
      </c>
      <c r="D459" s="4" t="s">
        <v>7214</v>
      </c>
      <c r="E459" s="4" t="s">
        <v>7215</v>
      </c>
      <c r="F459" s="10">
        <v>45632</v>
      </c>
      <c r="G459" s="11">
        <v>0.5</v>
      </c>
      <c r="H459" s="4" t="s">
        <v>4659</v>
      </c>
      <c r="I459" s="4" t="s">
        <v>7216</v>
      </c>
      <c r="J459" s="4" t="s">
        <v>7217</v>
      </c>
      <c r="K459" s="4" t="s">
        <v>7223</v>
      </c>
      <c r="L459" s="4" t="s">
        <v>7224</v>
      </c>
      <c r="M459" s="4" t="s">
        <v>46</v>
      </c>
      <c r="N459" s="4"/>
      <c r="O459" s="4" t="s">
        <v>47</v>
      </c>
      <c r="P459" s="4" t="s">
        <v>48</v>
      </c>
      <c r="Q459" s="4">
        <v>0</v>
      </c>
      <c r="R459" s="4" t="b">
        <v>0</v>
      </c>
      <c r="S459" s="4" t="s">
        <v>61</v>
      </c>
      <c r="T459" s="4" t="s">
        <v>50</v>
      </c>
      <c r="U459" s="4" t="s">
        <v>51</v>
      </c>
      <c r="V459" s="4" t="s">
        <v>123</v>
      </c>
      <c r="W459" s="4" t="s">
        <v>124</v>
      </c>
      <c r="X459" s="4" t="s">
        <v>978</v>
      </c>
      <c r="Y459" s="4"/>
      <c r="Z459" s="12">
        <v>0</v>
      </c>
      <c r="AA459" s="13" t="s">
        <v>9174</v>
      </c>
      <c r="AB459" s="13" t="s">
        <v>9153</v>
      </c>
      <c r="AC459" s="14" t="s">
        <v>9148</v>
      </c>
      <c r="AD459" s="14" t="s">
        <v>9140</v>
      </c>
      <c r="AE459" s="14" t="s">
        <v>9140</v>
      </c>
      <c r="AF459" s="14" t="s">
        <v>123</v>
      </c>
      <c r="AG459" s="14" t="s">
        <v>978</v>
      </c>
      <c r="AH459" s="15" t="s">
        <v>9220</v>
      </c>
      <c r="AI459" s="15" t="s">
        <v>9142</v>
      </c>
      <c r="AJ459" s="15" t="s">
        <v>9143</v>
      </c>
      <c r="AK459" s="15" t="s">
        <v>9221</v>
      </c>
      <c r="AL459" s="15" t="s">
        <v>9228</v>
      </c>
      <c r="AM459" s="16" t="s">
        <v>9221</v>
      </c>
      <c r="AN459" s="16" t="s">
        <v>9229</v>
      </c>
    </row>
    <row r="460" spans="1:40" x14ac:dyDescent="0.25">
      <c r="A460" s="4" t="s">
        <v>5942</v>
      </c>
      <c r="B460" s="4"/>
      <c r="C460" s="4" t="s">
        <v>39</v>
      </c>
      <c r="D460" s="4" t="s">
        <v>5943</v>
      </c>
      <c r="E460" s="4" t="s">
        <v>5944</v>
      </c>
      <c r="F460" s="10">
        <v>45631</v>
      </c>
      <c r="G460" s="11">
        <v>0.3923611111111111</v>
      </c>
      <c r="H460" s="4" t="s">
        <v>4242</v>
      </c>
      <c r="I460" s="4" t="s">
        <v>5918</v>
      </c>
      <c r="J460" s="4" t="s">
        <v>5919</v>
      </c>
      <c r="K460" s="4" t="s">
        <v>3254</v>
      </c>
      <c r="L460" s="4" t="s">
        <v>5945</v>
      </c>
      <c r="M460" s="4" t="s">
        <v>46</v>
      </c>
      <c r="N460" s="4"/>
      <c r="O460" s="4" t="s">
        <v>47</v>
      </c>
      <c r="P460" s="4" t="s">
        <v>48</v>
      </c>
      <c r="Q460" s="4">
        <v>0</v>
      </c>
      <c r="R460" s="4" t="b">
        <v>0</v>
      </c>
      <c r="S460" s="4" t="s">
        <v>61</v>
      </c>
      <c r="T460" s="4" t="s">
        <v>50</v>
      </c>
      <c r="U460" s="4" t="s">
        <v>71</v>
      </c>
      <c r="V460" s="4" t="s">
        <v>123</v>
      </c>
      <c r="W460" s="4" t="s">
        <v>149</v>
      </c>
      <c r="X460" s="4" t="s">
        <v>978</v>
      </c>
      <c r="Y460" s="4"/>
      <c r="Z460" s="12">
        <v>0</v>
      </c>
      <c r="AA460" s="13" t="s">
        <v>9174</v>
      </c>
      <c r="AB460" s="13" t="s">
        <v>9153</v>
      </c>
      <c r="AC460" s="14" t="s">
        <v>9148</v>
      </c>
      <c r="AD460" s="14" t="s">
        <v>9140</v>
      </c>
      <c r="AE460" s="14" t="s">
        <v>9140</v>
      </c>
      <c r="AF460" s="14" t="s">
        <v>123</v>
      </c>
      <c r="AG460" s="14" t="s">
        <v>978</v>
      </c>
      <c r="AH460" s="15" t="s">
        <v>9220</v>
      </c>
      <c r="AI460" s="15" t="s">
        <v>9187</v>
      </c>
      <c r="AJ460" s="15" t="s">
        <v>9143</v>
      </c>
      <c r="AK460" s="15" t="s">
        <v>9221</v>
      </c>
      <c r="AL460" s="15" t="s">
        <v>9226</v>
      </c>
      <c r="AM460" s="16" t="s">
        <v>9221</v>
      </c>
      <c r="AN460" s="16" t="s">
        <v>9227</v>
      </c>
    </row>
    <row r="461" spans="1:40" x14ac:dyDescent="0.25">
      <c r="A461" s="4" t="s">
        <v>6700</v>
      </c>
      <c r="B461" s="4" t="s">
        <v>6701</v>
      </c>
      <c r="C461" s="4" t="s">
        <v>39</v>
      </c>
      <c r="D461" s="4" t="s">
        <v>6702</v>
      </c>
      <c r="E461" s="4" t="s">
        <v>6703</v>
      </c>
      <c r="F461" s="10">
        <v>45631</v>
      </c>
      <c r="G461" s="11">
        <v>0.39583333333333331</v>
      </c>
      <c r="H461" s="4" t="s">
        <v>5666</v>
      </c>
      <c r="I461" s="4" t="s">
        <v>6692</v>
      </c>
      <c r="J461" s="4" t="s">
        <v>3645</v>
      </c>
      <c r="K461" s="4" t="s">
        <v>6704</v>
      </c>
      <c r="L461" s="4" t="s">
        <v>6705</v>
      </c>
      <c r="M461" s="4" t="s">
        <v>28</v>
      </c>
      <c r="N461" s="4" t="s">
        <v>183</v>
      </c>
      <c r="O461" s="4" t="s">
        <v>863</v>
      </c>
      <c r="P461" s="4" t="s">
        <v>60</v>
      </c>
      <c r="Q461" s="4">
        <v>15</v>
      </c>
      <c r="R461" s="4" t="b">
        <v>0</v>
      </c>
      <c r="S461" s="4" t="s">
        <v>184</v>
      </c>
      <c r="T461" s="4" t="s">
        <v>425</v>
      </c>
      <c r="U461" s="4" t="s">
        <v>51</v>
      </c>
      <c r="V461" s="4" t="s">
        <v>123</v>
      </c>
      <c r="W461" s="4" t="s">
        <v>149</v>
      </c>
      <c r="X461" s="4" t="s">
        <v>54</v>
      </c>
      <c r="Y461" s="4"/>
      <c r="Z461" s="12" t="s">
        <v>60</v>
      </c>
      <c r="AA461" s="13" t="s">
        <v>9174</v>
      </c>
      <c r="AB461" s="13" t="s">
        <v>9153</v>
      </c>
      <c r="AC461" s="14" t="s">
        <v>9166</v>
      </c>
      <c r="AD461" s="14" t="s">
        <v>28</v>
      </c>
      <c r="AE461" s="14" t="s">
        <v>183</v>
      </c>
      <c r="AF461" s="14" t="s">
        <v>123</v>
      </c>
      <c r="AG461" s="14" t="s">
        <v>54</v>
      </c>
      <c r="AH461" s="15" t="s">
        <v>9220</v>
      </c>
      <c r="AI461" s="15" t="s">
        <v>9199</v>
      </c>
      <c r="AJ461" s="15" t="s">
        <v>9143</v>
      </c>
      <c r="AK461" s="15" t="s">
        <v>9221</v>
      </c>
      <c r="AL461" s="15" t="s">
        <v>9199</v>
      </c>
      <c r="AM461" s="16" t="s">
        <v>9221</v>
      </c>
      <c r="AN461" s="16" t="s">
        <v>9238</v>
      </c>
    </row>
    <row r="462" spans="1:40" x14ac:dyDescent="0.25">
      <c r="A462" s="4" t="s">
        <v>764</v>
      </c>
      <c r="B462" s="4">
        <v>12240055404</v>
      </c>
      <c r="C462" s="4" t="s">
        <v>39</v>
      </c>
      <c r="D462" s="4" t="s">
        <v>765</v>
      </c>
      <c r="E462" s="4" t="s">
        <v>766</v>
      </c>
      <c r="F462" s="10">
        <v>45631</v>
      </c>
      <c r="G462" s="11">
        <v>0.65277777777777779</v>
      </c>
      <c r="H462" s="4" t="s">
        <v>463</v>
      </c>
      <c r="I462" s="4">
        <v>2026</v>
      </c>
      <c r="J462" s="4" t="s">
        <v>756</v>
      </c>
      <c r="K462" s="4" t="s">
        <v>767</v>
      </c>
      <c r="L462" s="4" t="s">
        <v>768</v>
      </c>
      <c r="M462" s="4" t="s">
        <v>28</v>
      </c>
      <c r="N462" s="4" t="s">
        <v>183</v>
      </c>
      <c r="O462" s="4" t="s">
        <v>191</v>
      </c>
      <c r="P462" s="4" t="s">
        <v>60</v>
      </c>
      <c r="Q462" s="4">
        <v>13</v>
      </c>
      <c r="R462" s="4" t="b">
        <v>0</v>
      </c>
      <c r="S462" s="4" t="s">
        <v>114</v>
      </c>
      <c r="T462" s="4" t="s">
        <v>89</v>
      </c>
      <c r="U462" s="4" t="s">
        <v>140</v>
      </c>
      <c r="V462" s="4" t="s">
        <v>52</v>
      </c>
      <c r="W462" s="4" t="s">
        <v>135</v>
      </c>
      <c r="X462" s="4" t="s">
        <v>54</v>
      </c>
      <c r="Y462" s="4"/>
      <c r="Z462" s="12" t="s">
        <v>60</v>
      </c>
      <c r="AA462" s="13" t="s">
        <v>9174</v>
      </c>
      <c r="AB462" s="13" t="s">
        <v>9153</v>
      </c>
      <c r="AC462" s="14" t="s">
        <v>9157</v>
      </c>
      <c r="AD462" s="14" t="s">
        <v>28</v>
      </c>
      <c r="AE462" s="14" t="s">
        <v>183</v>
      </c>
      <c r="AF462" s="14" t="s">
        <v>52</v>
      </c>
      <c r="AG462" s="14" t="s">
        <v>54</v>
      </c>
      <c r="AH462" s="15" t="s">
        <v>9141</v>
      </c>
      <c r="AI462" s="15" t="s">
        <v>9175</v>
      </c>
      <c r="AJ462" s="15" t="s">
        <v>9143</v>
      </c>
      <c r="AK462" s="15" t="s">
        <v>9141</v>
      </c>
      <c r="AL462" s="15" t="s">
        <v>9177</v>
      </c>
      <c r="AM462" s="16" t="s">
        <v>9141</v>
      </c>
      <c r="AN462" s="16" t="s">
        <v>9178</v>
      </c>
    </row>
    <row r="463" spans="1:40" x14ac:dyDescent="0.25">
      <c r="A463" s="4" t="s">
        <v>704</v>
      </c>
      <c r="B463" s="4">
        <v>12240052180</v>
      </c>
      <c r="C463" s="4" t="s">
        <v>39</v>
      </c>
      <c r="D463" s="4" t="s">
        <v>705</v>
      </c>
      <c r="E463" s="4" t="s">
        <v>706</v>
      </c>
      <c r="F463" s="10">
        <v>45630</v>
      </c>
      <c r="G463" s="11">
        <v>0.33333333333333331</v>
      </c>
      <c r="H463" s="4" t="s">
        <v>463</v>
      </c>
      <c r="I463" s="4">
        <v>2025</v>
      </c>
      <c r="J463" s="4" t="s">
        <v>701</v>
      </c>
      <c r="K463" s="4" t="s">
        <v>455</v>
      </c>
      <c r="L463" s="4" t="s">
        <v>707</v>
      </c>
      <c r="M463" s="4" t="s">
        <v>28</v>
      </c>
      <c r="N463" s="4" t="s">
        <v>183</v>
      </c>
      <c r="O463" s="4" t="s">
        <v>344</v>
      </c>
      <c r="P463" s="4" t="s">
        <v>60</v>
      </c>
      <c r="Q463" s="4">
        <v>34</v>
      </c>
      <c r="R463" s="4" t="b">
        <v>0</v>
      </c>
      <c r="S463" s="4" t="s">
        <v>184</v>
      </c>
      <c r="T463" s="4" t="s">
        <v>89</v>
      </c>
      <c r="U463" s="4" t="s">
        <v>148</v>
      </c>
      <c r="V463" s="4" t="s">
        <v>52</v>
      </c>
      <c r="W463" s="4" t="s">
        <v>255</v>
      </c>
      <c r="X463" s="4" t="s">
        <v>54</v>
      </c>
      <c r="Y463" s="4"/>
      <c r="Z463" s="12" t="s">
        <v>60</v>
      </c>
      <c r="AA463" s="13" t="s">
        <v>9174</v>
      </c>
      <c r="AB463" s="13" t="s">
        <v>9153</v>
      </c>
      <c r="AC463" s="14" t="s">
        <v>9166</v>
      </c>
      <c r="AD463" s="14" t="s">
        <v>28</v>
      </c>
      <c r="AE463" s="14" t="s">
        <v>183</v>
      </c>
      <c r="AF463" s="14" t="s">
        <v>52</v>
      </c>
      <c r="AG463" s="14" t="s">
        <v>54</v>
      </c>
      <c r="AH463" s="15" t="s">
        <v>9141</v>
      </c>
      <c r="AI463" s="15" t="s">
        <v>9175</v>
      </c>
      <c r="AJ463" s="15" t="s">
        <v>9143</v>
      </c>
      <c r="AK463" s="15" t="s">
        <v>9141</v>
      </c>
      <c r="AL463" s="15" t="s">
        <v>9175</v>
      </c>
      <c r="AM463" s="16" t="s">
        <v>9141</v>
      </c>
      <c r="AN463" s="16" t="s">
        <v>9176</v>
      </c>
    </row>
    <row r="464" spans="1:40" x14ac:dyDescent="0.25">
      <c r="A464" s="4" t="s">
        <v>5946</v>
      </c>
      <c r="B464" s="4"/>
      <c r="C464" s="4" t="s">
        <v>39</v>
      </c>
      <c r="D464" s="4" t="s">
        <v>3823</v>
      </c>
      <c r="E464" s="4" t="s">
        <v>3824</v>
      </c>
      <c r="F464" s="10">
        <v>45630</v>
      </c>
      <c r="G464" s="11">
        <v>0.44027777777777777</v>
      </c>
      <c r="H464" s="4" t="s">
        <v>4242</v>
      </c>
      <c r="I464" s="4" t="s">
        <v>5918</v>
      </c>
      <c r="J464" s="4" t="s">
        <v>5919</v>
      </c>
      <c r="K464" s="4" t="s">
        <v>5947</v>
      </c>
      <c r="L464" s="4" t="s">
        <v>5948</v>
      </c>
      <c r="M464" s="4" t="s">
        <v>46</v>
      </c>
      <c r="N464" s="4"/>
      <c r="O464" s="4" t="s">
        <v>47</v>
      </c>
      <c r="P464" s="4" t="s">
        <v>48</v>
      </c>
      <c r="Q464" s="4">
        <v>0</v>
      </c>
      <c r="R464" s="4" t="b">
        <v>0</v>
      </c>
      <c r="S464" s="4" t="s">
        <v>61</v>
      </c>
      <c r="T464" s="4" t="s">
        <v>50</v>
      </c>
      <c r="U464" s="4" t="s">
        <v>1546</v>
      </c>
      <c r="V464" s="4" t="s">
        <v>63</v>
      </c>
      <c r="W464" s="4" t="s">
        <v>108</v>
      </c>
      <c r="X464" s="4" t="s">
        <v>98</v>
      </c>
      <c r="Y464" s="4"/>
      <c r="Z464" s="12">
        <v>0</v>
      </c>
      <c r="AA464" s="13" t="s">
        <v>9174</v>
      </c>
      <c r="AB464" s="13" t="s">
        <v>9153</v>
      </c>
      <c r="AC464" s="14" t="s">
        <v>9148</v>
      </c>
      <c r="AD464" s="14" t="s">
        <v>9140</v>
      </c>
      <c r="AE464" s="14" t="s">
        <v>9140</v>
      </c>
      <c r="AF464" s="14" t="s">
        <v>63</v>
      </c>
      <c r="AG464" s="14" t="s">
        <v>98</v>
      </c>
      <c r="AH464" s="15" t="s">
        <v>9220</v>
      </c>
      <c r="AI464" s="15" t="s">
        <v>9187</v>
      </c>
      <c r="AJ464" s="15" t="s">
        <v>9143</v>
      </c>
      <c r="AK464" s="15" t="s">
        <v>9221</v>
      </c>
      <c r="AL464" s="15" t="s">
        <v>9226</v>
      </c>
      <c r="AM464" s="16" t="s">
        <v>9221</v>
      </c>
      <c r="AN464" s="16" t="s">
        <v>9227</v>
      </c>
    </row>
    <row r="465" spans="1:40" x14ac:dyDescent="0.25">
      <c r="A465" s="4" t="s">
        <v>8029</v>
      </c>
      <c r="B465" s="4"/>
      <c r="C465" s="4" t="s">
        <v>39</v>
      </c>
      <c r="D465" s="4" t="s">
        <v>8030</v>
      </c>
      <c r="E465" s="4" t="s">
        <v>8031</v>
      </c>
      <c r="F465" s="10">
        <v>45629</v>
      </c>
      <c r="G465" s="11">
        <v>0.36805555555555558</v>
      </c>
      <c r="H465" s="4" t="s">
        <v>4910</v>
      </c>
      <c r="I465" s="4" t="s">
        <v>8017</v>
      </c>
      <c r="J465" s="4" t="s">
        <v>8018</v>
      </c>
      <c r="K465" s="4" t="s">
        <v>8032</v>
      </c>
      <c r="L465" s="4" t="s">
        <v>8033</v>
      </c>
      <c r="M465" s="4" t="s">
        <v>46</v>
      </c>
      <c r="N465" s="4"/>
      <c r="O465" s="4" t="s">
        <v>191</v>
      </c>
      <c r="P465" s="4" t="s">
        <v>48</v>
      </c>
      <c r="Q465" s="4">
        <v>5</v>
      </c>
      <c r="R465" s="4" t="b">
        <v>0</v>
      </c>
      <c r="S465" s="4" t="s">
        <v>49</v>
      </c>
      <c r="T465" s="4" t="s">
        <v>583</v>
      </c>
      <c r="U465" s="4" t="s">
        <v>140</v>
      </c>
      <c r="V465" s="4" t="s">
        <v>52</v>
      </c>
      <c r="W465" s="4" t="s">
        <v>255</v>
      </c>
      <c r="X465" s="4" t="s">
        <v>54</v>
      </c>
      <c r="Y465" s="4"/>
      <c r="Z465" s="12">
        <v>0</v>
      </c>
      <c r="AA465" s="13" t="s">
        <v>9174</v>
      </c>
      <c r="AB465" s="13" t="s">
        <v>9153</v>
      </c>
      <c r="AC465" s="14" t="s">
        <v>9139</v>
      </c>
      <c r="AD465" s="14" t="s">
        <v>9140</v>
      </c>
      <c r="AE465" s="14" t="s">
        <v>9140</v>
      </c>
      <c r="AF465" s="14" t="s">
        <v>52</v>
      </c>
      <c r="AG465" s="14" t="s">
        <v>54</v>
      </c>
      <c r="AH465" s="15" t="s">
        <v>9220</v>
      </c>
      <c r="AI465" s="15" t="s">
        <v>9191</v>
      </c>
      <c r="AJ465" s="15" t="s">
        <v>9143</v>
      </c>
      <c r="AK465" s="15" t="s">
        <v>9221</v>
      </c>
      <c r="AL465" s="15" t="s">
        <v>9234</v>
      </c>
      <c r="AM465" s="16" t="s">
        <v>9221</v>
      </c>
      <c r="AN465" s="16" t="s">
        <v>9235</v>
      </c>
    </row>
    <row r="466" spans="1:40" x14ac:dyDescent="0.25">
      <c r="A466" s="4" t="s">
        <v>7686</v>
      </c>
      <c r="B466" s="4"/>
      <c r="C466" s="4" t="s">
        <v>39</v>
      </c>
      <c r="D466" s="4" t="s">
        <v>7687</v>
      </c>
      <c r="E466" s="4" t="s">
        <v>7688</v>
      </c>
      <c r="F466" s="10">
        <v>45629</v>
      </c>
      <c r="G466" s="11">
        <v>0.69791666666666663</v>
      </c>
      <c r="H466" s="4" t="s">
        <v>4910</v>
      </c>
      <c r="I466" s="4" t="s">
        <v>7681</v>
      </c>
      <c r="J466" s="4" t="s">
        <v>2956</v>
      </c>
      <c r="K466" s="4" t="s">
        <v>3227</v>
      </c>
      <c r="L466" s="4" t="s">
        <v>7689</v>
      </c>
      <c r="M466" s="4" t="s">
        <v>46</v>
      </c>
      <c r="N466" s="4"/>
      <c r="O466" s="4" t="s">
        <v>47</v>
      </c>
      <c r="P466" s="4" t="s">
        <v>48</v>
      </c>
      <c r="Q466" s="4">
        <v>0</v>
      </c>
      <c r="R466" s="4" t="b">
        <v>0</v>
      </c>
      <c r="S466" s="4" t="s">
        <v>61</v>
      </c>
      <c r="T466" s="4" t="s">
        <v>115</v>
      </c>
      <c r="U466" s="4" t="s">
        <v>107</v>
      </c>
      <c r="V466" s="4" t="s">
        <v>52</v>
      </c>
      <c r="W466" s="4" t="s">
        <v>255</v>
      </c>
      <c r="X466" s="4" t="s">
        <v>54</v>
      </c>
      <c r="Y466" s="4" t="s">
        <v>775</v>
      </c>
      <c r="Z466" s="12">
        <v>0</v>
      </c>
      <c r="AA466" s="13" t="s">
        <v>9174</v>
      </c>
      <c r="AB466" s="13" t="s">
        <v>9153</v>
      </c>
      <c r="AC466" s="14" t="s">
        <v>9148</v>
      </c>
      <c r="AD466" s="14" t="s">
        <v>9140</v>
      </c>
      <c r="AE466" s="14" t="s">
        <v>9140</v>
      </c>
      <c r="AF466" s="14" t="s">
        <v>52</v>
      </c>
      <c r="AG466" s="14" t="s">
        <v>54</v>
      </c>
      <c r="AH466" s="15" t="s">
        <v>9220</v>
      </c>
      <c r="AI466" s="15" t="s">
        <v>9191</v>
      </c>
      <c r="AJ466" s="15" t="s">
        <v>9143</v>
      </c>
      <c r="AK466" s="15" t="s">
        <v>9221</v>
      </c>
      <c r="AL466" s="15" t="s">
        <v>9234</v>
      </c>
      <c r="AM466" s="16" t="s">
        <v>9221</v>
      </c>
      <c r="AN466" s="16" t="s">
        <v>9235</v>
      </c>
    </row>
    <row r="467" spans="1:40" x14ac:dyDescent="0.25">
      <c r="A467" s="4" t="s">
        <v>568</v>
      </c>
      <c r="B467" s="4"/>
      <c r="C467" s="4" t="s">
        <v>39</v>
      </c>
      <c r="D467" s="4" t="s">
        <v>569</v>
      </c>
      <c r="E467" s="4" t="s">
        <v>570</v>
      </c>
      <c r="F467" s="10">
        <v>45629</v>
      </c>
      <c r="G467" s="11">
        <v>0.41736111111111113</v>
      </c>
      <c r="H467" s="4" t="s">
        <v>463</v>
      </c>
      <c r="I467" s="4">
        <v>2022</v>
      </c>
      <c r="J467" s="4" t="s">
        <v>565</v>
      </c>
      <c r="K467" s="4" t="s">
        <v>571</v>
      </c>
      <c r="L467" s="4" t="s">
        <v>572</v>
      </c>
      <c r="M467" s="4" t="s">
        <v>46</v>
      </c>
      <c r="N467" s="4"/>
      <c r="O467" s="4" t="s">
        <v>47</v>
      </c>
      <c r="P467" s="4" t="s">
        <v>48</v>
      </c>
      <c r="Q467" s="4">
        <v>0</v>
      </c>
      <c r="R467" s="4" t="b">
        <v>0</v>
      </c>
      <c r="S467" s="4" t="s">
        <v>61</v>
      </c>
      <c r="T467" s="4" t="s">
        <v>50</v>
      </c>
      <c r="U467" s="4" t="s">
        <v>122</v>
      </c>
      <c r="V467" s="4" t="s">
        <v>123</v>
      </c>
      <c r="W467" s="4" t="s">
        <v>192</v>
      </c>
      <c r="X467" s="4" t="s">
        <v>54</v>
      </c>
      <c r="Y467" s="4"/>
      <c r="Z467" s="12">
        <v>0</v>
      </c>
      <c r="AA467" s="13" t="s">
        <v>9174</v>
      </c>
      <c r="AB467" s="13" t="s">
        <v>9153</v>
      </c>
      <c r="AC467" s="14" t="s">
        <v>9148</v>
      </c>
      <c r="AD467" s="14" t="s">
        <v>9140</v>
      </c>
      <c r="AE467" s="14" t="s">
        <v>9140</v>
      </c>
      <c r="AF467" s="14" t="s">
        <v>123</v>
      </c>
      <c r="AG467" s="14" t="s">
        <v>54</v>
      </c>
      <c r="AH467" s="15" t="s">
        <v>9141</v>
      </c>
      <c r="AI467" s="15" t="s">
        <v>9175</v>
      </c>
      <c r="AJ467" s="15" t="s">
        <v>9143</v>
      </c>
      <c r="AK467" s="15" t="s">
        <v>9141</v>
      </c>
      <c r="AL467" s="15" t="s">
        <v>9175</v>
      </c>
      <c r="AM467" s="16" t="s">
        <v>9141</v>
      </c>
      <c r="AN467" s="16" t="s">
        <v>9176</v>
      </c>
    </row>
    <row r="468" spans="1:40" x14ac:dyDescent="0.25">
      <c r="A468" s="4" t="s">
        <v>5888</v>
      </c>
      <c r="B468" s="4" t="s">
        <v>5889</v>
      </c>
      <c r="C468" s="4" t="s">
        <v>39</v>
      </c>
      <c r="D468" s="4" t="s">
        <v>5890</v>
      </c>
      <c r="E468" s="4" t="s">
        <v>5891</v>
      </c>
      <c r="F468" s="10">
        <v>45629</v>
      </c>
      <c r="G468" s="11">
        <v>0.83333333333333337</v>
      </c>
      <c r="H468" s="4" t="s">
        <v>5666</v>
      </c>
      <c r="I468" s="4" t="s">
        <v>5876</v>
      </c>
      <c r="J468" s="4" t="s">
        <v>3313</v>
      </c>
      <c r="K468" s="4" t="s">
        <v>5892</v>
      </c>
      <c r="L468" s="4" t="s">
        <v>5893</v>
      </c>
      <c r="M468" s="4" t="s">
        <v>28</v>
      </c>
      <c r="N468" s="4" t="s">
        <v>478</v>
      </c>
      <c r="O468" s="4" t="s">
        <v>863</v>
      </c>
      <c r="P468" s="4" t="s">
        <v>60</v>
      </c>
      <c r="Q468" s="4">
        <v>71</v>
      </c>
      <c r="R468" s="4" t="b">
        <v>0</v>
      </c>
      <c r="S468" s="4" t="s">
        <v>61</v>
      </c>
      <c r="T468" s="4" t="s">
        <v>50</v>
      </c>
      <c r="U468" s="4" t="s">
        <v>116</v>
      </c>
      <c r="V468" s="4" t="s">
        <v>72</v>
      </c>
      <c r="W468" s="4" t="s">
        <v>97</v>
      </c>
      <c r="X468" s="4" t="s">
        <v>774</v>
      </c>
      <c r="Y468" s="4"/>
      <c r="Z468" s="12" t="s">
        <v>60</v>
      </c>
      <c r="AA468" s="13" t="s">
        <v>9174</v>
      </c>
      <c r="AB468" s="13" t="s">
        <v>9153</v>
      </c>
      <c r="AC468" s="14" t="s">
        <v>9148</v>
      </c>
      <c r="AD468" s="14" t="s">
        <v>28</v>
      </c>
      <c r="AE468" s="14" t="s">
        <v>478</v>
      </c>
      <c r="AF468" s="14" t="s">
        <v>72</v>
      </c>
      <c r="AG468" s="14" t="s">
        <v>774</v>
      </c>
      <c r="AH468" s="15" t="s">
        <v>9220</v>
      </c>
      <c r="AI468" s="15" t="s">
        <v>9199</v>
      </c>
      <c r="AJ468" s="15" t="s">
        <v>9143</v>
      </c>
      <c r="AK468" s="15" t="s">
        <v>9221</v>
      </c>
      <c r="AL468" s="15" t="s">
        <v>9199</v>
      </c>
      <c r="AM468" s="16" t="s">
        <v>9221</v>
      </c>
      <c r="AN468" s="16" t="s">
        <v>9238</v>
      </c>
    </row>
    <row r="469" spans="1:40" x14ac:dyDescent="0.25">
      <c r="A469" s="4" t="s">
        <v>1505</v>
      </c>
      <c r="B469" s="4"/>
      <c r="C469" s="4" t="s">
        <v>39</v>
      </c>
      <c r="D469" s="4" t="s">
        <v>1506</v>
      </c>
      <c r="E469" s="4" t="s">
        <v>1507</v>
      </c>
      <c r="F469" s="10">
        <v>45629</v>
      </c>
      <c r="G469" s="11">
        <v>0.46736111111111112</v>
      </c>
      <c r="H469" s="4" t="s">
        <v>1476</v>
      </c>
      <c r="I469" s="4">
        <v>6065</v>
      </c>
      <c r="J469" s="4" t="s">
        <v>1508</v>
      </c>
      <c r="K469" s="4" t="s">
        <v>1509</v>
      </c>
      <c r="L469" s="4" t="s">
        <v>1510</v>
      </c>
      <c r="M469" s="4" t="s">
        <v>46</v>
      </c>
      <c r="N469" s="4"/>
      <c r="O469" s="4" t="s">
        <v>47</v>
      </c>
      <c r="P469" s="4" t="s">
        <v>48</v>
      </c>
      <c r="Q469" s="4">
        <v>0</v>
      </c>
      <c r="R469" s="4" t="b">
        <v>0</v>
      </c>
      <c r="S469" s="4" t="s">
        <v>49</v>
      </c>
      <c r="T469" s="4" t="s">
        <v>89</v>
      </c>
      <c r="U469" s="4" t="s">
        <v>51</v>
      </c>
      <c r="V469" s="4" t="s">
        <v>123</v>
      </c>
      <c r="W469" s="4" t="s">
        <v>124</v>
      </c>
      <c r="X469" s="4"/>
      <c r="Y469" s="4"/>
      <c r="Z469" s="12">
        <v>0</v>
      </c>
      <c r="AA469" s="13" t="s">
        <v>9174</v>
      </c>
      <c r="AB469" s="13" t="s">
        <v>9153</v>
      </c>
      <c r="AC469" s="14" t="s">
        <v>9139</v>
      </c>
      <c r="AD469" s="14" t="s">
        <v>9140</v>
      </c>
      <c r="AE469" s="14" t="s">
        <v>9140</v>
      </c>
      <c r="AF469" s="14" t="s">
        <v>123</v>
      </c>
      <c r="AG469" s="14">
        <v>0</v>
      </c>
      <c r="AH469" s="15" t="s">
        <v>9141</v>
      </c>
      <c r="AI469" s="15" t="s">
        <v>9193</v>
      </c>
      <c r="AJ469" s="15" t="s">
        <v>9143</v>
      </c>
      <c r="AK469" s="15" t="s">
        <v>9141</v>
      </c>
      <c r="AL469" s="15" t="s">
        <v>9189</v>
      </c>
      <c r="AM469" s="16" t="s">
        <v>9141</v>
      </c>
      <c r="AN469" s="16" t="s">
        <v>9190</v>
      </c>
    </row>
    <row r="470" spans="1:40" x14ac:dyDescent="0.25">
      <c r="A470" s="4" t="s">
        <v>407</v>
      </c>
      <c r="B470" s="4"/>
      <c r="C470" s="4" t="s">
        <v>39</v>
      </c>
      <c r="D470" s="4" t="s">
        <v>408</v>
      </c>
      <c r="E470" s="4" t="s">
        <v>409</v>
      </c>
      <c r="F470" s="10">
        <v>45628</v>
      </c>
      <c r="G470" s="11">
        <v>0.5</v>
      </c>
      <c r="H470" s="4" t="s">
        <v>42</v>
      </c>
      <c r="I470" s="4">
        <v>1012</v>
      </c>
      <c r="J470" s="4" t="s">
        <v>401</v>
      </c>
      <c r="K470" s="4" t="s">
        <v>410</v>
      </c>
      <c r="L470" s="4" t="s">
        <v>411</v>
      </c>
      <c r="M470" s="4" t="s">
        <v>46</v>
      </c>
      <c r="N470" s="4"/>
      <c r="O470" s="4" t="s">
        <v>47</v>
      </c>
      <c r="P470" s="4" t="s">
        <v>48</v>
      </c>
      <c r="Q470" s="4">
        <v>0</v>
      </c>
      <c r="R470" s="4" t="b">
        <v>0</v>
      </c>
      <c r="S470" s="4" t="s">
        <v>61</v>
      </c>
      <c r="T470" s="4" t="s">
        <v>89</v>
      </c>
      <c r="U470" s="4" t="s">
        <v>51</v>
      </c>
      <c r="V470" s="4" t="s">
        <v>123</v>
      </c>
      <c r="W470" s="4" t="s">
        <v>192</v>
      </c>
      <c r="X470" s="4" t="s">
        <v>98</v>
      </c>
      <c r="Y470" s="4"/>
      <c r="Z470" s="12">
        <v>0</v>
      </c>
      <c r="AA470" s="13" t="s">
        <v>9174</v>
      </c>
      <c r="AB470" s="13" t="s">
        <v>9153</v>
      </c>
      <c r="AC470" s="14" t="s">
        <v>9148</v>
      </c>
      <c r="AD470" s="14" t="s">
        <v>9140</v>
      </c>
      <c r="AE470" s="14" t="s">
        <v>9140</v>
      </c>
      <c r="AF470" s="14" t="s">
        <v>123</v>
      </c>
      <c r="AG470" s="14" t="s">
        <v>98</v>
      </c>
      <c r="AH470" s="15" t="s">
        <v>9141</v>
      </c>
      <c r="AI470" s="15" t="s">
        <v>9142</v>
      </c>
      <c r="AJ470" s="15" t="s">
        <v>9143</v>
      </c>
      <c r="AK470" s="15" t="s">
        <v>9141</v>
      </c>
      <c r="AL470" s="15" t="s">
        <v>9144</v>
      </c>
      <c r="AM470" s="16" t="s">
        <v>9141</v>
      </c>
      <c r="AN470" s="16" t="s">
        <v>9145</v>
      </c>
    </row>
    <row r="471" spans="1:40" x14ac:dyDescent="0.25">
      <c r="A471" s="4" t="s">
        <v>1723</v>
      </c>
      <c r="B471" s="4"/>
      <c r="C471" s="4" t="s">
        <v>39</v>
      </c>
      <c r="D471" s="4" t="s">
        <v>1724</v>
      </c>
      <c r="E471" s="4" t="s">
        <v>1725</v>
      </c>
      <c r="F471" s="10">
        <v>45628</v>
      </c>
      <c r="G471" s="11">
        <v>0.37152777777777779</v>
      </c>
      <c r="H471" s="4" t="s">
        <v>1654</v>
      </c>
      <c r="I471" s="4">
        <v>9090</v>
      </c>
      <c r="J471" s="4" t="s">
        <v>1719</v>
      </c>
      <c r="K471" s="4" t="s">
        <v>851</v>
      </c>
      <c r="L471" s="4" t="s">
        <v>1726</v>
      </c>
      <c r="M471" s="4" t="s">
        <v>46</v>
      </c>
      <c r="N471" s="4"/>
      <c r="O471" s="4" t="s">
        <v>47</v>
      </c>
      <c r="P471" s="4" t="s">
        <v>48</v>
      </c>
      <c r="Q471" s="4">
        <v>0</v>
      </c>
      <c r="R471" s="4" t="b">
        <v>0</v>
      </c>
      <c r="S471" s="4" t="s">
        <v>49</v>
      </c>
      <c r="T471" s="4" t="s">
        <v>89</v>
      </c>
      <c r="U471" s="4" t="s">
        <v>51</v>
      </c>
      <c r="V471" s="4" t="s">
        <v>52</v>
      </c>
      <c r="W471" s="4" t="s">
        <v>53</v>
      </c>
      <c r="X471" s="4" t="s">
        <v>54</v>
      </c>
      <c r="Y471" s="4"/>
      <c r="Z471" s="12">
        <v>0</v>
      </c>
      <c r="AA471" s="13" t="s">
        <v>9174</v>
      </c>
      <c r="AB471" s="13" t="s">
        <v>9153</v>
      </c>
      <c r="AC471" s="14" t="s">
        <v>9139</v>
      </c>
      <c r="AD471" s="14" t="s">
        <v>9140</v>
      </c>
      <c r="AE471" s="14" t="s">
        <v>9140</v>
      </c>
      <c r="AF471" s="14" t="s">
        <v>52</v>
      </c>
      <c r="AG471" s="14" t="s">
        <v>54</v>
      </c>
      <c r="AH471" s="15" t="s">
        <v>9141</v>
      </c>
      <c r="AI471" s="15" t="s">
        <v>9191</v>
      </c>
      <c r="AJ471" s="15" t="s">
        <v>9143</v>
      </c>
      <c r="AK471" s="15" t="s">
        <v>9141</v>
      </c>
      <c r="AL471" s="15" t="s">
        <v>9191</v>
      </c>
      <c r="AM471" s="16" t="s">
        <v>9141</v>
      </c>
      <c r="AN471" s="16" t="s">
        <v>9192</v>
      </c>
    </row>
    <row r="472" spans="1:40" x14ac:dyDescent="0.25">
      <c r="A472" s="4" t="s">
        <v>1549</v>
      </c>
      <c r="B472" s="4"/>
      <c r="C472" s="4" t="s">
        <v>39</v>
      </c>
      <c r="D472" s="4" t="s">
        <v>1550</v>
      </c>
      <c r="E472" s="4" t="s">
        <v>1551</v>
      </c>
      <c r="F472" s="10">
        <v>45628</v>
      </c>
      <c r="G472" s="11">
        <v>0.6875</v>
      </c>
      <c r="H472" s="4" t="s">
        <v>1366</v>
      </c>
      <c r="I472" s="4">
        <v>6068</v>
      </c>
      <c r="J472" s="4" t="s">
        <v>1537</v>
      </c>
      <c r="K472" s="4" t="s">
        <v>1552</v>
      </c>
      <c r="L472" s="4" t="s">
        <v>1553</v>
      </c>
      <c r="M472" s="4" t="s">
        <v>46</v>
      </c>
      <c r="N472" s="4"/>
      <c r="O472" s="4" t="s">
        <v>47</v>
      </c>
      <c r="P472" s="4" t="s">
        <v>48</v>
      </c>
      <c r="Q472" s="4">
        <v>0</v>
      </c>
      <c r="R472" s="4" t="b">
        <v>0</v>
      </c>
      <c r="S472" s="4" t="s">
        <v>61</v>
      </c>
      <c r="T472" s="4" t="s">
        <v>70</v>
      </c>
      <c r="U472" s="4" t="s">
        <v>90</v>
      </c>
      <c r="V472" s="4" t="s">
        <v>72</v>
      </c>
      <c r="W472" s="4" t="s">
        <v>73</v>
      </c>
      <c r="X472" s="4" t="s">
        <v>54</v>
      </c>
      <c r="Y472" s="4"/>
      <c r="Z472" s="12">
        <v>0</v>
      </c>
      <c r="AA472" s="13" t="s">
        <v>9174</v>
      </c>
      <c r="AB472" s="13" t="s">
        <v>9153</v>
      </c>
      <c r="AC472" s="14" t="s">
        <v>9148</v>
      </c>
      <c r="AD472" s="14" t="s">
        <v>9140</v>
      </c>
      <c r="AE472" s="14" t="s">
        <v>9140</v>
      </c>
      <c r="AF472" s="14" t="s">
        <v>72</v>
      </c>
      <c r="AG472" s="14" t="s">
        <v>54</v>
      </c>
      <c r="AH472" s="15" t="s">
        <v>9141</v>
      </c>
      <c r="AI472" s="15" t="s">
        <v>9188</v>
      </c>
      <c r="AJ472" s="15" t="s">
        <v>9143</v>
      </c>
      <c r="AK472" s="15" t="s">
        <v>9141</v>
      </c>
      <c r="AL472" s="15" t="s">
        <v>9189</v>
      </c>
      <c r="AM472" s="16" t="s">
        <v>9141</v>
      </c>
      <c r="AN472" s="16" t="s">
        <v>9190</v>
      </c>
    </row>
    <row r="473" spans="1:40" x14ac:dyDescent="0.25">
      <c r="A473" s="4" t="s">
        <v>4317</v>
      </c>
      <c r="B473" s="4"/>
      <c r="C473" s="4" t="s">
        <v>39</v>
      </c>
      <c r="D473" s="4" t="s">
        <v>4318</v>
      </c>
      <c r="E473" s="4" t="s">
        <v>4319</v>
      </c>
      <c r="F473" s="10">
        <v>45628</v>
      </c>
      <c r="G473" s="11">
        <v>0.56527777777777777</v>
      </c>
      <c r="H473" s="4" t="s">
        <v>4019</v>
      </c>
      <c r="I473" s="4" t="s">
        <v>4304</v>
      </c>
      <c r="J473" s="4" t="s">
        <v>1941</v>
      </c>
      <c r="K473" s="4" t="s">
        <v>711</v>
      </c>
      <c r="L473" s="4" t="s">
        <v>4320</v>
      </c>
      <c r="M473" s="4" t="s">
        <v>46</v>
      </c>
      <c r="N473" s="4"/>
      <c r="O473" s="4" t="s">
        <v>47</v>
      </c>
      <c r="P473" s="4" t="s">
        <v>48</v>
      </c>
      <c r="Q473" s="4">
        <v>0</v>
      </c>
      <c r="R473" s="4" t="b">
        <v>0</v>
      </c>
      <c r="S473" s="4" t="s">
        <v>49</v>
      </c>
      <c r="T473" s="4" t="s">
        <v>50</v>
      </c>
      <c r="U473" s="4" t="s">
        <v>527</v>
      </c>
      <c r="V473" s="4" t="s">
        <v>72</v>
      </c>
      <c r="W473" s="4" t="s">
        <v>73</v>
      </c>
      <c r="X473" s="4" t="s">
        <v>54</v>
      </c>
      <c r="Y473" s="4"/>
      <c r="Z473" s="12">
        <v>0</v>
      </c>
      <c r="AA473" s="13" t="s">
        <v>9174</v>
      </c>
      <c r="AB473" s="13" t="s">
        <v>9153</v>
      </c>
      <c r="AC473" s="14" t="s">
        <v>9139</v>
      </c>
      <c r="AD473" s="14" t="s">
        <v>9140</v>
      </c>
      <c r="AE473" s="14" t="s">
        <v>9140</v>
      </c>
      <c r="AF473" s="14" t="s">
        <v>72</v>
      </c>
      <c r="AG473" s="14" t="s">
        <v>54</v>
      </c>
      <c r="AH473" s="15" t="s">
        <v>9220</v>
      </c>
      <c r="AI473" s="15" t="s">
        <v>9175</v>
      </c>
      <c r="AJ473" s="15" t="s">
        <v>9143</v>
      </c>
      <c r="AK473" s="15" t="s">
        <v>9221</v>
      </c>
      <c r="AL473" s="15" t="s">
        <v>9222</v>
      </c>
      <c r="AM473" s="16" t="s">
        <v>9221</v>
      </c>
      <c r="AN473" s="16" t="s">
        <v>9223</v>
      </c>
    </row>
    <row r="474" spans="1:40" x14ac:dyDescent="0.25">
      <c r="A474" s="4" t="s">
        <v>4321</v>
      </c>
      <c r="B474" s="4"/>
      <c r="C474" s="4" t="s">
        <v>39</v>
      </c>
      <c r="D474" s="4" t="s">
        <v>4322</v>
      </c>
      <c r="E474" s="4" t="s">
        <v>4323</v>
      </c>
      <c r="F474" s="10">
        <v>45628</v>
      </c>
      <c r="G474" s="11">
        <v>0.55000000000000004</v>
      </c>
      <c r="H474" s="4" t="s">
        <v>4019</v>
      </c>
      <c r="I474" s="4" t="s">
        <v>4304</v>
      </c>
      <c r="J474" s="4" t="s">
        <v>1941</v>
      </c>
      <c r="K474" s="4" t="s">
        <v>4324</v>
      </c>
      <c r="L474" s="4" t="s">
        <v>4325</v>
      </c>
      <c r="M474" s="4" t="s">
        <v>46</v>
      </c>
      <c r="N474" s="4"/>
      <c r="O474" s="4" t="s">
        <v>47</v>
      </c>
      <c r="P474" s="4" t="s">
        <v>60</v>
      </c>
      <c r="Q474" s="4">
        <v>0</v>
      </c>
      <c r="R474" s="4" t="b">
        <v>0</v>
      </c>
      <c r="S474" s="4" t="s">
        <v>49</v>
      </c>
      <c r="T474" s="4" t="s">
        <v>115</v>
      </c>
      <c r="U474" s="4" t="s">
        <v>148</v>
      </c>
      <c r="V474" s="4" t="s">
        <v>52</v>
      </c>
      <c r="W474" s="4" t="s">
        <v>374</v>
      </c>
      <c r="X474" s="4" t="s">
        <v>98</v>
      </c>
      <c r="Y474" s="4"/>
      <c r="Z474" s="12">
        <v>0</v>
      </c>
      <c r="AA474" s="13" t="s">
        <v>9174</v>
      </c>
      <c r="AB474" s="13" t="s">
        <v>9153</v>
      </c>
      <c r="AC474" s="14" t="s">
        <v>9139</v>
      </c>
      <c r="AD474" s="14" t="s">
        <v>9140</v>
      </c>
      <c r="AE474" s="14" t="s">
        <v>9140</v>
      </c>
      <c r="AF474" s="14" t="s">
        <v>52</v>
      </c>
      <c r="AG474" s="14" t="s">
        <v>98</v>
      </c>
      <c r="AH474" s="15" t="s">
        <v>9220</v>
      </c>
      <c r="AI474" s="15" t="s">
        <v>9175</v>
      </c>
      <c r="AJ474" s="15" t="s">
        <v>9143</v>
      </c>
      <c r="AK474" s="15" t="s">
        <v>9221</v>
      </c>
      <c r="AL474" s="15" t="s">
        <v>9222</v>
      </c>
      <c r="AM474" s="16" t="s">
        <v>9221</v>
      </c>
      <c r="AN474" s="16" t="s">
        <v>9223</v>
      </c>
    </row>
    <row r="475" spans="1:40" x14ac:dyDescent="0.25">
      <c r="A475" s="4" t="s">
        <v>4326</v>
      </c>
      <c r="B475" s="4"/>
      <c r="C475" s="4" t="s">
        <v>39</v>
      </c>
      <c r="D475" s="4" t="s">
        <v>4327</v>
      </c>
      <c r="E475" s="4" t="s">
        <v>4328</v>
      </c>
      <c r="F475" s="10">
        <v>45627</v>
      </c>
      <c r="G475" s="11">
        <v>0.68055555555555558</v>
      </c>
      <c r="H475" s="4" t="s">
        <v>4019</v>
      </c>
      <c r="I475" s="4" t="s">
        <v>4304</v>
      </c>
      <c r="J475" s="4" t="s">
        <v>1941</v>
      </c>
      <c r="K475" s="4" t="s">
        <v>4329</v>
      </c>
      <c r="L475" s="4" t="s">
        <v>4330</v>
      </c>
      <c r="M475" s="4" t="s">
        <v>46</v>
      </c>
      <c r="N475" s="4"/>
      <c r="O475" s="4" t="s">
        <v>47</v>
      </c>
      <c r="P475" s="4" t="s">
        <v>48</v>
      </c>
      <c r="Q475" s="4">
        <v>0</v>
      </c>
      <c r="R475" s="4" t="b">
        <v>0</v>
      </c>
      <c r="S475" s="4" t="s">
        <v>61</v>
      </c>
      <c r="T475" s="4" t="s">
        <v>479</v>
      </c>
      <c r="U475" s="4" t="s">
        <v>71</v>
      </c>
      <c r="V475" s="4" t="s">
        <v>225</v>
      </c>
      <c r="W475" s="4" t="s">
        <v>226</v>
      </c>
      <c r="X475" s="4" t="s">
        <v>136</v>
      </c>
      <c r="Y475" s="4"/>
      <c r="Z475" s="12">
        <v>0</v>
      </c>
      <c r="AA475" s="13" t="s">
        <v>9179</v>
      </c>
      <c r="AB475" s="13" t="s">
        <v>9153</v>
      </c>
      <c r="AC475" s="14" t="s">
        <v>9148</v>
      </c>
      <c r="AD475" s="14" t="s">
        <v>9140</v>
      </c>
      <c r="AE475" s="14" t="s">
        <v>9140</v>
      </c>
      <c r="AF475" s="14" t="s">
        <v>225</v>
      </c>
      <c r="AG475" s="14" t="s">
        <v>136</v>
      </c>
      <c r="AH475" s="15" t="s">
        <v>9220</v>
      </c>
      <c r="AI475" s="15" t="s">
        <v>9175</v>
      </c>
      <c r="AJ475" s="15" t="s">
        <v>9143</v>
      </c>
      <c r="AK475" s="15" t="s">
        <v>9221</v>
      </c>
      <c r="AL475" s="15" t="s">
        <v>9222</v>
      </c>
      <c r="AM475" s="16" t="s">
        <v>9221</v>
      </c>
      <c r="AN475" s="16" t="s">
        <v>9223</v>
      </c>
    </row>
    <row r="476" spans="1:40" x14ac:dyDescent="0.25">
      <c r="A476" s="4" t="s">
        <v>4717</v>
      </c>
      <c r="B476" s="4"/>
      <c r="C476" s="4" t="s">
        <v>39</v>
      </c>
      <c r="D476" s="4" t="s">
        <v>4718</v>
      </c>
      <c r="E476" s="4" t="s">
        <v>4719</v>
      </c>
      <c r="F476" s="10">
        <v>45627</v>
      </c>
      <c r="G476" s="11">
        <v>0.45833333333333331</v>
      </c>
      <c r="H476" s="4" t="s">
        <v>4019</v>
      </c>
      <c r="I476" s="4" t="s">
        <v>4713</v>
      </c>
      <c r="J476" s="4" t="s">
        <v>4714</v>
      </c>
      <c r="K476" s="4" t="s">
        <v>4720</v>
      </c>
      <c r="L476" s="4" t="s">
        <v>4721</v>
      </c>
      <c r="M476" s="4" t="s">
        <v>46</v>
      </c>
      <c r="N476" s="4"/>
      <c r="O476" s="4" t="s">
        <v>47</v>
      </c>
      <c r="P476" s="4" t="s">
        <v>48</v>
      </c>
      <c r="Q476" s="4">
        <v>0</v>
      </c>
      <c r="R476" s="4" t="b">
        <v>0</v>
      </c>
      <c r="S476" s="4" t="s">
        <v>61</v>
      </c>
      <c r="T476" s="4" t="s">
        <v>70</v>
      </c>
      <c r="U476" s="4" t="s">
        <v>618</v>
      </c>
      <c r="V476" s="4" t="s">
        <v>63</v>
      </c>
      <c r="W476" s="4" t="s">
        <v>198</v>
      </c>
      <c r="X476" s="4" t="s">
        <v>54</v>
      </c>
      <c r="Y476" s="4"/>
      <c r="Z476" s="12">
        <v>0</v>
      </c>
      <c r="AA476" s="13" t="s">
        <v>9179</v>
      </c>
      <c r="AB476" s="13" t="s">
        <v>9153</v>
      </c>
      <c r="AC476" s="14" t="s">
        <v>9148</v>
      </c>
      <c r="AD476" s="14" t="s">
        <v>9140</v>
      </c>
      <c r="AE476" s="14" t="s">
        <v>9140</v>
      </c>
      <c r="AF476" s="14" t="s">
        <v>63</v>
      </c>
      <c r="AG476" s="14" t="s">
        <v>54</v>
      </c>
      <c r="AH476" s="15" t="s">
        <v>9220</v>
      </c>
      <c r="AI476" s="15" t="s">
        <v>9175</v>
      </c>
      <c r="AJ476" s="15" t="s">
        <v>9143</v>
      </c>
      <c r="AK476" s="15" t="s">
        <v>9221</v>
      </c>
      <c r="AL476" s="15" t="s">
        <v>9224</v>
      </c>
      <c r="AM476" s="16" t="s">
        <v>9221</v>
      </c>
      <c r="AN476" s="16" t="s">
        <v>9225</v>
      </c>
    </row>
    <row r="477" spans="1:40" x14ac:dyDescent="0.25">
      <c r="A477" s="4" t="s">
        <v>8762</v>
      </c>
      <c r="B477" s="4"/>
      <c r="C477" s="4" t="s">
        <v>39</v>
      </c>
      <c r="D477" s="4" t="s">
        <v>8763</v>
      </c>
      <c r="E477" s="4" t="s">
        <v>8764</v>
      </c>
      <c r="F477" s="10">
        <v>45627</v>
      </c>
      <c r="G477" s="11">
        <v>0.79166666666666663</v>
      </c>
      <c r="H477" s="4" t="s">
        <v>4910</v>
      </c>
      <c r="I477" s="4" t="s">
        <v>8758</v>
      </c>
      <c r="J477" s="4" t="s">
        <v>8759</v>
      </c>
      <c r="K477" s="4" t="s">
        <v>8765</v>
      </c>
      <c r="L477" s="4" t="s">
        <v>8766</v>
      </c>
      <c r="M477" s="4" t="s">
        <v>46</v>
      </c>
      <c r="N477" s="4"/>
      <c r="O477" s="4" t="s">
        <v>47</v>
      </c>
      <c r="P477" s="4" t="s">
        <v>48</v>
      </c>
      <c r="Q477" s="4">
        <v>0</v>
      </c>
      <c r="R477" s="4" t="b">
        <v>0</v>
      </c>
      <c r="S477" s="4" t="s">
        <v>114</v>
      </c>
      <c r="T477" s="4" t="s">
        <v>583</v>
      </c>
      <c r="U477" s="4" t="s">
        <v>887</v>
      </c>
      <c r="V477" s="4" t="s">
        <v>225</v>
      </c>
      <c r="W477" s="4" t="s">
        <v>1714</v>
      </c>
      <c r="X477" s="4" t="s">
        <v>54</v>
      </c>
      <c r="Y477" s="4"/>
      <c r="Z477" s="12">
        <v>0</v>
      </c>
      <c r="AA477" s="13" t="s">
        <v>9179</v>
      </c>
      <c r="AB477" s="13" t="s">
        <v>9153</v>
      </c>
      <c r="AC477" s="14" t="s">
        <v>9157</v>
      </c>
      <c r="AD477" s="14" t="s">
        <v>9140</v>
      </c>
      <c r="AE477" s="14" t="s">
        <v>9140</v>
      </c>
      <c r="AF477" s="14" t="s">
        <v>225</v>
      </c>
      <c r="AG477" s="14" t="s">
        <v>54</v>
      </c>
      <c r="AH477" s="15" t="s">
        <v>9220</v>
      </c>
      <c r="AI477" s="15" t="s">
        <v>9191</v>
      </c>
      <c r="AJ477" s="15" t="s">
        <v>9143</v>
      </c>
      <c r="AK477" s="15" t="s">
        <v>9221</v>
      </c>
      <c r="AL477" s="15" t="s">
        <v>9236</v>
      </c>
      <c r="AM477" s="16" t="s">
        <v>9221</v>
      </c>
      <c r="AN477" s="16" t="s">
        <v>9237</v>
      </c>
    </row>
    <row r="478" spans="1:40" x14ac:dyDescent="0.25">
      <c r="A478" s="4" t="s">
        <v>1750</v>
      </c>
      <c r="B478" s="4" t="s">
        <v>1751</v>
      </c>
      <c r="C478" s="4" t="s">
        <v>39</v>
      </c>
      <c r="D478" s="4" t="s">
        <v>1752</v>
      </c>
      <c r="E478" s="4" t="s">
        <v>1753</v>
      </c>
      <c r="F478" s="10">
        <v>45627</v>
      </c>
      <c r="G478" s="11">
        <v>0.5</v>
      </c>
      <c r="H478" s="4" t="s">
        <v>1654</v>
      </c>
      <c r="I478" s="4">
        <v>9095</v>
      </c>
      <c r="J478" s="4" t="s">
        <v>1742</v>
      </c>
      <c r="K478" s="4" t="s">
        <v>1754</v>
      </c>
      <c r="L478" s="4" t="s">
        <v>1755</v>
      </c>
      <c r="M478" s="4" t="s">
        <v>28</v>
      </c>
      <c r="N478" s="4" t="s">
        <v>183</v>
      </c>
      <c r="O478" s="4" t="s">
        <v>191</v>
      </c>
      <c r="P478" s="4" t="s">
        <v>48</v>
      </c>
      <c r="Q478" s="4">
        <v>0</v>
      </c>
      <c r="R478" s="4" t="b">
        <v>0</v>
      </c>
      <c r="S478" s="4" t="s">
        <v>49</v>
      </c>
      <c r="T478" s="4" t="s">
        <v>89</v>
      </c>
      <c r="U478" s="4" t="s">
        <v>71</v>
      </c>
      <c r="V478" s="4" t="s">
        <v>63</v>
      </c>
      <c r="W478" s="4" t="s">
        <v>312</v>
      </c>
      <c r="X478" s="4" t="s">
        <v>98</v>
      </c>
      <c r="Y478" s="4"/>
      <c r="Z478" s="12" t="s">
        <v>48</v>
      </c>
      <c r="AA478" s="13" t="s">
        <v>9179</v>
      </c>
      <c r="AB478" s="13" t="s">
        <v>9153</v>
      </c>
      <c r="AC478" s="14" t="s">
        <v>9139</v>
      </c>
      <c r="AD478" s="14" t="s">
        <v>28</v>
      </c>
      <c r="AE478" s="14" t="s">
        <v>183</v>
      </c>
      <c r="AF478" s="14" t="s">
        <v>63</v>
      </c>
      <c r="AG478" s="14" t="s">
        <v>98</v>
      </c>
      <c r="AH478" s="15" t="s">
        <v>9141</v>
      </c>
      <c r="AI478" s="15" t="s">
        <v>9191</v>
      </c>
      <c r="AJ478" s="15" t="s">
        <v>9143</v>
      </c>
      <c r="AK478" s="15" t="s">
        <v>9141</v>
      </c>
      <c r="AL478" s="15" t="s">
        <v>9191</v>
      </c>
      <c r="AM478" s="16" t="s">
        <v>9141</v>
      </c>
      <c r="AN478" s="16" t="s">
        <v>9192</v>
      </c>
    </row>
    <row r="479" spans="1:40" x14ac:dyDescent="0.25">
      <c r="A479" s="4" t="s">
        <v>3660</v>
      </c>
      <c r="B479" s="4"/>
      <c r="C479" s="4" t="s">
        <v>39</v>
      </c>
      <c r="D479" s="4" t="s">
        <v>3661</v>
      </c>
      <c r="E479" s="4" t="s">
        <v>3662</v>
      </c>
      <c r="F479" s="10">
        <v>45627</v>
      </c>
      <c r="G479" s="11">
        <v>0.47222222222222221</v>
      </c>
      <c r="H479" s="4" t="s">
        <v>1992</v>
      </c>
      <c r="I479" s="4" t="s">
        <v>3656</v>
      </c>
      <c r="J479" s="4" t="s">
        <v>3657</v>
      </c>
      <c r="K479" s="4" t="s">
        <v>3663</v>
      </c>
      <c r="L479" s="4" t="s">
        <v>3664</v>
      </c>
      <c r="M479" s="4" t="s">
        <v>46</v>
      </c>
      <c r="N479" s="4"/>
      <c r="O479" s="4" t="s">
        <v>47</v>
      </c>
      <c r="P479" s="4" t="s">
        <v>48</v>
      </c>
      <c r="Q479" s="4">
        <v>0</v>
      </c>
      <c r="R479" s="4" t="b">
        <v>0</v>
      </c>
      <c r="S479" s="4" t="s">
        <v>114</v>
      </c>
      <c r="T479" s="4" t="s">
        <v>115</v>
      </c>
      <c r="U479" s="4" t="s">
        <v>148</v>
      </c>
      <c r="V479" s="4" t="s">
        <v>52</v>
      </c>
      <c r="W479" s="4" t="s">
        <v>374</v>
      </c>
      <c r="X479" s="4" t="s">
        <v>54</v>
      </c>
      <c r="Y479" s="4"/>
      <c r="Z479" s="12">
        <v>0</v>
      </c>
      <c r="AA479" s="13" t="s">
        <v>9179</v>
      </c>
      <c r="AB479" s="13" t="s">
        <v>9153</v>
      </c>
      <c r="AC479" s="14" t="s">
        <v>9157</v>
      </c>
      <c r="AD479" s="14" t="s">
        <v>9140</v>
      </c>
      <c r="AE479" s="14" t="s">
        <v>9140</v>
      </c>
      <c r="AF479" s="14" t="s">
        <v>52</v>
      </c>
      <c r="AG479" s="14" t="s">
        <v>54</v>
      </c>
      <c r="AH479" s="15" t="s">
        <v>9194</v>
      </c>
      <c r="AI479" s="15" t="s">
        <v>9191</v>
      </c>
      <c r="AJ479" s="15" t="s">
        <v>9143</v>
      </c>
      <c r="AK479" s="15" t="s">
        <v>9194</v>
      </c>
      <c r="AL479" s="15" t="s">
        <v>9205</v>
      </c>
      <c r="AM479" s="16" t="s">
        <v>9194</v>
      </c>
      <c r="AN479" s="16" t="s">
        <v>9206</v>
      </c>
    </row>
    <row r="480" spans="1:40" x14ac:dyDescent="0.25">
      <c r="A480" s="4" t="s">
        <v>858</v>
      </c>
      <c r="B480" s="4"/>
      <c r="C480" s="4" t="s">
        <v>39</v>
      </c>
      <c r="D480" s="4" t="s">
        <v>854</v>
      </c>
      <c r="E480" s="4" t="s">
        <v>855</v>
      </c>
      <c r="F480" s="10">
        <v>45626</v>
      </c>
      <c r="G480" s="11">
        <v>0.5</v>
      </c>
      <c r="H480" s="4" t="s">
        <v>463</v>
      </c>
      <c r="I480" s="4">
        <v>2029</v>
      </c>
      <c r="J480" s="4" t="s">
        <v>845</v>
      </c>
      <c r="K480" s="4" t="s">
        <v>859</v>
      </c>
      <c r="L480" s="4" t="s">
        <v>860</v>
      </c>
      <c r="M480" s="4" t="s">
        <v>46</v>
      </c>
      <c r="N480" s="4"/>
      <c r="O480" s="4" t="s">
        <v>344</v>
      </c>
      <c r="P480" s="4" t="s">
        <v>48</v>
      </c>
      <c r="Q480" s="4">
        <v>23</v>
      </c>
      <c r="R480" s="4" t="b">
        <v>0</v>
      </c>
      <c r="S480" s="4" t="s">
        <v>49</v>
      </c>
      <c r="T480" s="4" t="s">
        <v>89</v>
      </c>
      <c r="U480" s="4" t="s">
        <v>373</v>
      </c>
      <c r="V480" s="4" t="s">
        <v>52</v>
      </c>
      <c r="W480" s="4" t="s">
        <v>53</v>
      </c>
      <c r="X480" s="4" t="s">
        <v>54</v>
      </c>
      <c r="Y480" s="4"/>
      <c r="Z480" s="12">
        <v>0</v>
      </c>
      <c r="AA480" s="13" t="s">
        <v>9179</v>
      </c>
      <c r="AB480" s="13" t="s">
        <v>9153</v>
      </c>
      <c r="AC480" s="14" t="s">
        <v>9139</v>
      </c>
      <c r="AD480" s="14" t="s">
        <v>9140</v>
      </c>
      <c r="AE480" s="14" t="s">
        <v>9140</v>
      </c>
      <c r="AF480" s="14" t="s">
        <v>52</v>
      </c>
      <c r="AG480" s="14" t="s">
        <v>54</v>
      </c>
      <c r="AH480" s="15" t="s">
        <v>9141</v>
      </c>
      <c r="AI480" s="15" t="s">
        <v>9175</v>
      </c>
      <c r="AJ480" s="15" t="s">
        <v>9143</v>
      </c>
      <c r="AK480" s="15" t="s">
        <v>9141</v>
      </c>
      <c r="AL480" s="15" t="s">
        <v>9177</v>
      </c>
      <c r="AM480" s="16" t="s">
        <v>9141</v>
      </c>
      <c r="AN480" s="16" t="s">
        <v>9178</v>
      </c>
    </row>
    <row r="481" spans="1:40" x14ac:dyDescent="0.25">
      <c r="A481" s="4" t="s">
        <v>1583</v>
      </c>
      <c r="B481" s="4">
        <v>7477664</v>
      </c>
      <c r="C481" s="4" t="s">
        <v>39</v>
      </c>
      <c r="D481" s="4" t="s">
        <v>1584</v>
      </c>
      <c r="E481" s="4" t="s">
        <v>1585</v>
      </c>
      <c r="F481" s="10">
        <v>45626</v>
      </c>
      <c r="G481" s="11">
        <v>0.3125</v>
      </c>
      <c r="H481" s="4" t="s">
        <v>1366</v>
      </c>
      <c r="I481" s="4">
        <v>6071</v>
      </c>
      <c r="J481" s="4" t="s">
        <v>1586</v>
      </c>
      <c r="K481" s="4" t="s">
        <v>1587</v>
      </c>
      <c r="L481" s="4" t="s">
        <v>1588</v>
      </c>
      <c r="M481" s="4" t="s">
        <v>28</v>
      </c>
      <c r="N481" s="4" t="s">
        <v>173</v>
      </c>
      <c r="O481" s="4" t="s">
        <v>47</v>
      </c>
      <c r="P481" s="4" t="s">
        <v>48</v>
      </c>
      <c r="Q481" s="4">
        <v>0</v>
      </c>
      <c r="R481" s="4" t="b">
        <v>0</v>
      </c>
      <c r="S481" s="4" t="s">
        <v>49</v>
      </c>
      <c r="T481" s="4" t="s">
        <v>70</v>
      </c>
      <c r="U481" s="4" t="s">
        <v>71</v>
      </c>
      <c r="V481" s="4" t="s">
        <v>63</v>
      </c>
      <c r="W481" s="4" t="s">
        <v>312</v>
      </c>
      <c r="X481" s="4" t="s">
        <v>54</v>
      </c>
      <c r="Y481" s="4"/>
      <c r="Z481" s="12" t="s">
        <v>48</v>
      </c>
      <c r="AA481" s="13" t="s">
        <v>9179</v>
      </c>
      <c r="AB481" s="13" t="s">
        <v>9153</v>
      </c>
      <c r="AC481" s="14" t="s">
        <v>9139</v>
      </c>
      <c r="AD481" s="14" t="s">
        <v>28</v>
      </c>
      <c r="AE481" s="14" t="s">
        <v>9140</v>
      </c>
      <c r="AF481" s="14" t="s">
        <v>63</v>
      </c>
      <c r="AG481" s="14" t="s">
        <v>54</v>
      </c>
      <c r="AH481" s="15" t="s">
        <v>9141</v>
      </c>
      <c r="AI481" s="15" t="s">
        <v>9188</v>
      </c>
      <c r="AJ481" s="15" t="s">
        <v>9143</v>
      </c>
      <c r="AK481" s="15" t="s">
        <v>9141</v>
      </c>
      <c r="AL481" s="15" t="s">
        <v>9191</v>
      </c>
      <c r="AM481" s="16" t="s">
        <v>9141</v>
      </c>
      <c r="AN481" s="16" t="s">
        <v>9192</v>
      </c>
    </row>
    <row r="482" spans="1:40" x14ac:dyDescent="0.25">
      <c r="A482" s="4" t="s">
        <v>4935</v>
      </c>
      <c r="B482" s="4" t="s">
        <v>4936</v>
      </c>
      <c r="C482" s="4" t="s">
        <v>39</v>
      </c>
      <c r="D482" s="4" t="s">
        <v>4937</v>
      </c>
      <c r="E482" s="4" t="s">
        <v>4938</v>
      </c>
      <c r="F482" s="10">
        <v>45626</v>
      </c>
      <c r="G482" s="11">
        <v>0.5</v>
      </c>
      <c r="H482" s="4" t="s">
        <v>4910</v>
      </c>
      <c r="I482" s="4" t="s">
        <v>4939</v>
      </c>
      <c r="J482" s="4" t="s">
        <v>4940</v>
      </c>
      <c r="K482" s="4" t="s">
        <v>4941</v>
      </c>
      <c r="L482" s="4" t="s">
        <v>4942</v>
      </c>
      <c r="M482" s="4" t="s">
        <v>28</v>
      </c>
      <c r="N482" s="4" t="s">
        <v>478</v>
      </c>
      <c r="O482" s="4" t="s">
        <v>174</v>
      </c>
      <c r="P482" s="4" t="s">
        <v>48</v>
      </c>
      <c r="Q482" s="4">
        <v>0</v>
      </c>
      <c r="R482" s="4" t="b">
        <v>0</v>
      </c>
      <c r="S482" s="4" t="s">
        <v>184</v>
      </c>
      <c r="T482" s="4" t="s">
        <v>115</v>
      </c>
      <c r="U482" s="4" t="s">
        <v>148</v>
      </c>
      <c r="V482" s="4" t="s">
        <v>52</v>
      </c>
      <c r="W482" s="4" t="s">
        <v>255</v>
      </c>
      <c r="X482" s="4" t="s">
        <v>54</v>
      </c>
      <c r="Y482" s="4"/>
      <c r="Z482" s="12" t="s">
        <v>48</v>
      </c>
      <c r="AA482" s="13" t="s">
        <v>9179</v>
      </c>
      <c r="AB482" s="13" t="s">
        <v>9153</v>
      </c>
      <c r="AC482" s="14" t="s">
        <v>9166</v>
      </c>
      <c r="AD482" s="14" t="s">
        <v>28</v>
      </c>
      <c r="AE482" s="14" t="s">
        <v>478</v>
      </c>
      <c r="AF482" s="14" t="s">
        <v>52</v>
      </c>
      <c r="AG482" s="14" t="s">
        <v>54</v>
      </c>
      <c r="AH482" s="15" t="s">
        <v>9220</v>
      </c>
      <c r="AI482" s="15" t="s">
        <v>9191</v>
      </c>
      <c r="AJ482" s="15" t="s">
        <v>9143</v>
      </c>
      <c r="AK482" s="15" t="s">
        <v>9221</v>
      </c>
      <c r="AL482" s="15" t="s">
        <v>9234</v>
      </c>
      <c r="AM482" s="16" t="s">
        <v>9221</v>
      </c>
      <c r="AN482" s="16" t="s">
        <v>9235</v>
      </c>
    </row>
    <row r="483" spans="1:40" x14ac:dyDescent="0.25">
      <c r="A483" s="4" t="s">
        <v>7924</v>
      </c>
      <c r="B483" s="4"/>
      <c r="C483" s="4" t="s">
        <v>39</v>
      </c>
      <c r="D483" s="4" t="s">
        <v>7925</v>
      </c>
      <c r="E483" s="4" t="s">
        <v>7926</v>
      </c>
      <c r="F483" s="10">
        <v>45625</v>
      </c>
      <c r="G483" s="11">
        <v>0.60138888888888886</v>
      </c>
      <c r="H483" s="4" t="s">
        <v>4516</v>
      </c>
      <c r="I483" s="4" t="s">
        <v>7915</v>
      </c>
      <c r="J483" s="4" t="s">
        <v>7916</v>
      </c>
      <c r="K483" s="4" t="s">
        <v>1232</v>
      </c>
      <c r="L483" s="4" t="s">
        <v>7927</v>
      </c>
      <c r="M483" s="4" t="s">
        <v>46</v>
      </c>
      <c r="N483" s="4"/>
      <c r="O483" s="4" t="s">
        <v>47</v>
      </c>
      <c r="P483" s="4" t="s">
        <v>48</v>
      </c>
      <c r="Q483" s="4">
        <v>0</v>
      </c>
      <c r="R483" s="4" t="b">
        <v>0</v>
      </c>
      <c r="S483" s="4" t="s">
        <v>114</v>
      </c>
      <c r="T483" s="4" t="s">
        <v>115</v>
      </c>
      <c r="U483" s="4" t="s">
        <v>71</v>
      </c>
      <c r="V483" s="4" t="s">
        <v>123</v>
      </c>
      <c r="W483" s="4" t="s">
        <v>124</v>
      </c>
      <c r="X483" s="4" t="s">
        <v>54</v>
      </c>
      <c r="Y483" s="4"/>
      <c r="Z483" s="12">
        <v>0</v>
      </c>
      <c r="AA483" s="13" t="s">
        <v>9179</v>
      </c>
      <c r="AB483" s="13" t="s">
        <v>9153</v>
      </c>
      <c r="AC483" s="14" t="s">
        <v>9157</v>
      </c>
      <c r="AD483" s="14" t="s">
        <v>9140</v>
      </c>
      <c r="AE483" s="14" t="s">
        <v>9140</v>
      </c>
      <c r="AF483" s="14" t="s">
        <v>123</v>
      </c>
      <c r="AG483" s="14" t="s">
        <v>54</v>
      </c>
      <c r="AH483" s="15" t="s">
        <v>9220</v>
      </c>
      <c r="AI483" s="15" t="s">
        <v>9188</v>
      </c>
      <c r="AJ483" s="15" t="s">
        <v>9143</v>
      </c>
      <c r="AK483" s="15" t="s">
        <v>9221</v>
      </c>
      <c r="AL483" s="15" t="s">
        <v>9230</v>
      </c>
      <c r="AM483" s="16" t="s">
        <v>9221</v>
      </c>
      <c r="AN483" s="16" t="s">
        <v>9231</v>
      </c>
    </row>
    <row r="484" spans="1:40" x14ac:dyDescent="0.25">
      <c r="A484" s="4" t="s">
        <v>1109</v>
      </c>
      <c r="B484" s="4"/>
      <c r="C484" s="4" t="s">
        <v>39</v>
      </c>
      <c r="D484" s="4" t="s">
        <v>1105</v>
      </c>
      <c r="E484" s="4" t="s">
        <v>1106</v>
      </c>
      <c r="F484" s="10">
        <v>45625</v>
      </c>
      <c r="G484" s="11">
        <v>0.71527777777777779</v>
      </c>
      <c r="H484" s="4" t="s">
        <v>463</v>
      </c>
      <c r="I484" s="4">
        <v>2059</v>
      </c>
      <c r="J484" s="4" t="s">
        <v>1101</v>
      </c>
      <c r="K484" s="4" t="s">
        <v>1110</v>
      </c>
      <c r="L484" s="4" t="s">
        <v>1111</v>
      </c>
      <c r="M484" s="4" t="s">
        <v>46</v>
      </c>
      <c r="N484" s="4"/>
      <c r="O484" s="4" t="s">
        <v>47</v>
      </c>
      <c r="P484" s="4" t="s">
        <v>48</v>
      </c>
      <c r="Q484" s="4">
        <v>0</v>
      </c>
      <c r="R484" s="4" t="b">
        <v>0</v>
      </c>
      <c r="S484" s="4" t="s">
        <v>61</v>
      </c>
      <c r="T484" s="4" t="s">
        <v>70</v>
      </c>
      <c r="U484" s="4" t="s">
        <v>71</v>
      </c>
      <c r="V484" s="4" t="s">
        <v>63</v>
      </c>
      <c r="W484" s="4" t="s">
        <v>312</v>
      </c>
      <c r="X484" s="4"/>
      <c r="Y484" s="4" t="s">
        <v>689</v>
      </c>
      <c r="Z484" s="12">
        <v>0</v>
      </c>
      <c r="AA484" s="13" t="s">
        <v>9179</v>
      </c>
      <c r="AB484" s="13" t="s">
        <v>9153</v>
      </c>
      <c r="AC484" s="14" t="s">
        <v>9148</v>
      </c>
      <c r="AD484" s="14" t="s">
        <v>9140</v>
      </c>
      <c r="AE484" s="14" t="s">
        <v>9140</v>
      </c>
      <c r="AF484" s="14" t="s">
        <v>63</v>
      </c>
      <c r="AG484" s="14">
        <v>0</v>
      </c>
      <c r="AH484" s="15" t="s">
        <v>9141</v>
      </c>
      <c r="AI484" s="15" t="s">
        <v>9175</v>
      </c>
      <c r="AJ484" s="15" t="s">
        <v>9143</v>
      </c>
      <c r="AK484" s="15" t="s">
        <v>9141</v>
      </c>
      <c r="AL484" s="15" t="s">
        <v>9175</v>
      </c>
      <c r="AM484" s="16" t="s">
        <v>9141</v>
      </c>
      <c r="AN484" s="16" t="s">
        <v>9176</v>
      </c>
    </row>
    <row r="485" spans="1:40" x14ac:dyDescent="0.25">
      <c r="A485" s="4" t="s">
        <v>487</v>
      </c>
      <c r="B485" s="4">
        <v>12240081274</v>
      </c>
      <c r="C485" s="4" t="s">
        <v>488</v>
      </c>
      <c r="D485" s="4" t="s">
        <v>489</v>
      </c>
      <c r="E485" s="4" t="s">
        <v>490</v>
      </c>
      <c r="F485" s="10">
        <v>45624</v>
      </c>
      <c r="G485" s="11">
        <v>0.4375</v>
      </c>
      <c r="H485" s="4" t="s">
        <v>463</v>
      </c>
      <c r="I485" s="4">
        <v>2017</v>
      </c>
      <c r="J485" s="4" t="s">
        <v>491</v>
      </c>
      <c r="K485" s="4" t="s">
        <v>492</v>
      </c>
      <c r="L485" s="4" t="s">
        <v>493</v>
      </c>
      <c r="M485" s="4" t="s">
        <v>28</v>
      </c>
      <c r="N485" s="4" t="s">
        <v>478</v>
      </c>
      <c r="O485" s="4" t="s">
        <v>344</v>
      </c>
      <c r="P485" s="4" t="s">
        <v>48</v>
      </c>
      <c r="Q485" s="4">
        <v>74</v>
      </c>
      <c r="R485" s="4" t="b">
        <v>0</v>
      </c>
      <c r="S485" s="4" t="s">
        <v>114</v>
      </c>
      <c r="T485" s="4" t="s">
        <v>494</v>
      </c>
      <c r="U485" s="4" t="s">
        <v>90</v>
      </c>
      <c r="V485" s="4" t="s">
        <v>267</v>
      </c>
      <c r="W485" s="4" t="s">
        <v>495</v>
      </c>
      <c r="X485" s="4" t="s">
        <v>54</v>
      </c>
      <c r="Y485" s="4"/>
      <c r="Z485" s="12" t="s">
        <v>48</v>
      </c>
      <c r="AA485" s="13" t="s">
        <v>9179</v>
      </c>
      <c r="AB485" s="13" t="s">
        <v>9153</v>
      </c>
      <c r="AC485" s="14" t="s">
        <v>9157</v>
      </c>
      <c r="AD485" s="14" t="s">
        <v>28</v>
      </c>
      <c r="AE485" s="14" t="s">
        <v>478</v>
      </c>
      <c r="AF485" s="14" t="s">
        <v>267</v>
      </c>
      <c r="AG485" s="14" t="s">
        <v>54</v>
      </c>
      <c r="AH485" s="15" t="s">
        <v>9141</v>
      </c>
      <c r="AI485" s="15" t="s">
        <v>9175</v>
      </c>
      <c r="AJ485" s="15" t="s">
        <v>9143</v>
      </c>
      <c r="AK485" s="15" t="s">
        <v>9141</v>
      </c>
      <c r="AL485" s="15" t="s">
        <v>9177</v>
      </c>
      <c r="AM485" s="16" t="s">
        <v>9141</v>
      </c>
      <c r="AN485" s="16" t="s">
        <v>9178</v>
      </c>
    </row>
    <row r="486" spans="1:40" x14ac:dyDescent="0.25">
      <c r="A486" s="4" t="s">
        <v>619</v>
      </c>
      <c r="B486" s="4"/>
      <c r="C486" s="4" t="s">
        <v>39</v>
      </c>
      <c r="D486" s="4" t="s">
        <v>620</v>
      </c>
      <c r="E486" s="4" t="s">
        <v>621</v>
      </c>
      <c r="F486" s="10">
        <v>45624</v>
      </c>
      <c r="G486" s="11">
        <v>0.5625</v>
      </c>
      <c r="H486" s="4" t="s">
        <v>463</v>
      </c>
      <c r="I486" s="4">
        <v>2023</v>
      </c>
      <c r="J486" s="4" t="s">
        <v>615</v>
      </c>
      <c r="K486" s="4" t="s">
        <v>622</v>
      </c>
      <c r="L486" s="4" t="s">
        <v>623</v>
      </c>
      <c r="M486" s="4" t="s">
        <v>46</v>
      </c>
      <c r="N486" s="4"/>
      <c r="O486" s="4" t="s">
        <v>47</v>
      </c>
      <c r="P486" s="4" t="s">
        <v>48</v>
      </c>
      <c r="Q486" s="4">
        <v>0</v>
      </c>
      <c r="R486" s="4" t="b">
        <v>0</v>
      </c>
      <c r="S486" s="4" t="s">
        <v>61</v>
      </c>
      <c r="T486" s="4" t="s">
        <v>89</v>
      </c>
      <c r="U486" s="4" t="s">
        <v>122</v>
      </c>
      <c r="V486" s="4" t="s">
        <v>123</v>
      </c>
      <c r="W486" s="4" t="s">
        <v>124</v>
      </c>
      <c r="X486" s="4" t="s">
        <v>54</v>
      </c>
      <c r="Y486" s="4"/>
      <c r="Z486" s="12">
        <v>0</v>
      </c>
      <c r="AA486" s="13" t="s">
        <v>9179</v>
      </c>
      <c r="AB486" s="13" t="s">
        <v>9153</v>
      </c>
      <c r="AC486" s="14" t="s">
        <v>9148</v>
      </c>
      <c r="AD486" s="14" t="s">
        <v>9140</v>
      </c>
      <c r="AE486" s="14" t="s">
        <v>9140</v>
      </c>
      <c r="AF486" s="14" t="s">
        <v>123</v>
      </c>
      <c r="AG486" s="14" t="s">
        <v>54</v>
      </c>
      <c r="AH486" s="15" t="s">
        <v>9141</v>
      </c>
      <c r="AI486" s="15" t="s">
        <v>9175</v>
      </c>
      <c r="AJ486" s="15" t="s">
        <v>9143</v>
      </c>
      <c r="AK486" s="15" t="s">
        <v>9141</v>
      </c>
      <c r="AL486" s="15" t="s">
        <v>9177</v>
      </c>
      <c r="AM486" s="16" t="s">
        <v>9141</v>
      </c>
      <c r="AN486" s="16" t="s">
        <v>9178</v>
      </c>
    </row>
    <row r="487" spans="1:40" x14ac:dyDescent="0.25">
      <c r="A487" s="4" t="s">
        <v>2278</v>
      </c>
      <c r="B487" s="4"/>
      <c r="C487" s="4" t="s">
        <v>39</v>
      </c>
      <c r="D487" s="4" t="s">
        <v>2279</v>
      </c>
      <c r="E487" s="4" t="s">
        <v>2280</v>
      </c>
      <c r="F487" s="10">
        <v>45624</v>
      </c>
      <c r="G487" s="11">
        <v>0.63541666666666663</v>
      </c>
      <c r="H487" s="4" t="s">
        <v>2095</v>
      </c>
      <c r="I487" s="4" t="s">
        <v>2271</v>
      </c>
      <c r="J487" s="4" t="s">
        <v>2272</v>
      </c>
      <c r="K487" s="4" t="s">
        <v>2281</v>
      </c>
      <c r="L487" s="4" t="s">
        <v>2282</v>
      </c>
      <c r="M487" s="4" t="s">
        <v>46</v>
      </c>
      <c r="N487" s="4"/>
      <c r="O487" s="4" t="s">
        <v>47</v>
      </c>
      <c r="P487" s="4" t="s">
        <v>48</v>
      </c>
      <c r="Q487" s="4">
        <v>0</v>
      </c>
      <c r="R487" s="4" t="b">
        <v>0</v>
      </c>
      <c r="S487" s="4" t="s">
        <v>61</v>
      </c>
      <c r="T487" s="4" t="s">
        <v>115</v>
      </c>
      <c r="U487" s="4" t="s">
        <v>175</v>
      </c>
      <c r="V487" s="4" t="s">
        <v>52</v>
      </c>
      <c r="W487" s="4" t="s">
        <v>53</v>
      </c>
      <c r="X487" s="4" t="s">
        <v>54</v>
      </c>
      <c r="Y487" s="4"/>
      <c r="Z487" s="12">
        <v>0</v>
      </c>
      <c r="AA487" s="13" t="s">
        <v>9179</v>
      </c>
      <c r="AB487" s="13" t="s">
        <v>9153</v>
      </c>
      <c r="AC487" s="14" t="s">
        <v>9148</v>
      </c>
      <c r="AD487" s="14" t="s">
        <v>9140</v>
      </c>
      <c r="AE487" s="14" t="s">
        <v>9140</v>
      </c>
      <c r="AF487" s="14" t="s">
        <v>52</v>
      </c>
      <c r="AG487" s="14" t="s">
        <v>54</v>
      </c>
      <c r="AH487" s="15" t="s">
        <v>9194</v>
      </c>
      <c r="AI487" s="15" t="s">
        <v>9188</v>
      </c>
      <c r="AJ487" s="15" t="s">
        <v>9143</v>
      </c>
      <c r="AK487" s="15" t="s">
        <v>9194</v>
      </c>
      <c r="AL487" s="15" t="s">
        <v>9203</v>
      </c>
      <c r="AM487" s="16" t="s">
        <v>9194</v>
      </c>
      <c r="AN487" s="16" t="s">
        <v>9204</v>
      </c>
    </row>
    <row r="488" spans="1:40" x14ac:dyDescent="0.25">
      <c r="A488" s="4" t="s">
        <v>2780</v>
      </c>
      <c r="B488" s="4"/>
      <c r="C488" s="4" t="s">
        <v>39</v>
      </c>
      <c r="D488" s="4" t="s">
        <v>2781</v>
      </c>
      <c r="E488" s="4" t="s">
        <v>2782</v>
      </c>
      <c r="F488" s="10">
        <v>45624</v>
      </c>
      <c r="G488" s="11">
        <v>0.70625000000000004</v>
      </c>
      <c r="H488" s="4" t="s">
        <v>2095</v>
      </c>
      <c r="I488" s="4" t="s">
        <v>2777</v>
      </c>
      <c r="J488" s="4" t="s">
        <v>1406</v>
      </c>
      <c r="K488" s="4" t="s">
        <v>2783</v>
      </c>
      <c r="L488" s="4" t="s">
        <v>2784</v>
      </c>
      <c r="M488" s="4" t="s">
        <v>46</v>
      </c>
      <c r="N488" s="4"/>
      <c r="O488" s="4" t="s">
        <v>47</v>
      </c>
      <c r="P488" s="4" t="s">
        <v>48</v>
      </c>
      <c r="Q488" s="4">
        <v>0</v>
      </c>
      <c r="R488" s="4" t="b">
        <v>0</v>
      </c>
      <c r="S488" s="4" t="s">
        <v>61</v>
      </c>
      <c r="T488" s="4" t="s">
        <v>115</v>
      </c>
      <c r="U488" s="4" t="s">
        <v>51</v>
      </c>
      <c r="V488" s="4" t="s">
        <v>267</v>
      </c>
      <c r="W488" s="4" t="s">
        <v>268</v>
      </c>
      <c r="X488" s="4" t="s">
        <v>54</v>
      </c>
      <c r="Y488" s="4"/>
      <c r="Z488" s="12">
        <v>0</v>
      </c>
      <c r="AA488" s="13" t="s">
        <v>9179</v>
      </c>
      <c r="AB488" s="13" t="s">
        <v>9153</v>
      </c>
      <c r="AC488" s="14" t="s">
        <v>9148</v>
      </c>
      <c r="AD488" s="14" t="s">
        <v>9140</v>
      </c>
      <c r="AE488" s="14" t="s">
        <v>9140</v>
      </c>
      <c r="AF488" s="14" t="s">
        <v>267</v>
      </c>
      <c r="AG488" s="14" t="s">
        <v>54</v>
      </c>
      <c r="AH488" s="15" t="s">
        <v>9194</v>
      </c>
      <c r="AI488" s="15" t="s">
        <v>9188</v>
      </c>
      <c r="AJ488" s="15" t="s">
        <v>9143</v>
      </c>
      <c r="AK488" s="15" t="s">
        <v>9194</v>
      </c>
      <c r="AL488" s="15" t="s">
        <v>9211</v>
      </c>
      <c r="AM488" s="16" t="s">
        <v>9194</v>
      </c>
      <c r="AN488" s="16" t="s">
        <v>9212</v>
      </c>
    </row>
    <row r="489" spans="1:40" x14ac:dyDescent="0.25">
      <c r="A489" s="4" t="s">
        <v>4873</v>
      </c>
      <c r="B489" s="4"/>
      <c r="C489" s="4" t="s">
        <v>39</v>
      </c>
      <c r="D489" s="4" t="s">
        <v>4874</v>
      </c>
      <c r="E489" s="4" t="s">
        <v>4875</v>
      </c>
      <c r="F489" s="10">
        <v>45624</v>
      </c>
      <c r="G489" s="11">
        <v>0.8125</v>
      </c>
      <c r="H489" s="4" t="s">
        <v>4516</v>
      </c>
      <c r="I489" s="4" t="s">
        <v>4869</v>
      </c>
      <c r="J489" s="4" t="s">
        <v>4870</v>
      </c>
      <c r="K489" s="4" t="s">
        <v>3361</v>
      </c>
      <c r="L489" s="4" t="s">
        <v>4876</v>
      </c>
      <c r="M489" s="4" t="s">
        <v>46</v>
      </c>
      <c r="N489" s="4"/>
      <c r="O489" s="4" t="s">
        <v>47</v>
      </c>
      <c r="P489" s="4" t="s">
        <v>48</v>
      </c>
      <c r="Q489" s="4">
        <v>0</v>
      </c>
      <c r="R489" s="4" t="b">
        <v>0</v>
      </c>
      <c r="S489" s="4" t="s">
        <v>61</v>
      </c>
      <c r="T489" s="4" t="s">
        <v>115</v>
      </c>
      <c r="U489" s="4" t="s">
        <v>148</v>
      </c>
      <c r="V489" s="4" t="s">
        <v>52</v>
      </c>
      <c r="W489" s="4" t="s">
        <v>135</v>
      </c>
      <c r="X489" s="4" t="s">
        <v>54</v>
      </c>
      <c r="Y489" s="4"/>
      <c r="Z489" s="12">
        <v>0</v>
      </c>
      <c r="AA489" s="13" t="s">
        <v>9179</v>
      </c>
      <c r="AB489" s="13" t="s">
        <v>9153</v>
      </c>
      <c r="AC489" s="14" t="s">
        <v>9148</v>
      </c>
      <c r="AD489" s="14" t="s">
        <v>9140</v>
      </c>
      <c r="AE489" s="14" t="s">
        <v>9140</v>
      </c>
      <c r="AF489" s="14" t="s">
        <v>52</v>
      </c>
      <c r="AG489" s="14" t="s">
        <v>54</v>
      </c>
      <c r="AH489" s="15" t="s">
        <v>9220</v>
      </c>
      <c r="AI489" s="15" t="s">
        <v>9188</v>
      </c>
      <c r="AJ489" s="15" t="s">
        <v>9143</v>
      </c>
      <c r="AK489" s="15" t="s">
        <v>9221</v>
      </c>
      <c r="AL489" s="15" t="s">
        <v>9232</v>
      </c>
      <c r="AM489" s="16" t="s">
        <v>9221</v>
      </c>
      <c r="AN489" s="16" t="s">
        <v>9233</v>
      </c>
    </row>
    <row r="490" spans="1:40" x14ac:dyDescent="0.25">
      <c r="A490" s="4" t="s">
        <v>8771</v>
      </c>
      <c r="B490" s="4" t="s">
        <v>8772</v>
      </c>
      <c r="C490" s="4" t="s">
        <v>39</v>
      </c>
      <c r="D490" s="4" t="s">
        <v>8773</v>
      </c>
      <c r="E490" s="4" t="s">
        <v>8774</v>
      </c>
      <c r="F490" s="10">
        <v>45624</v>
      </c>
      <c r="G490" s="11">
        <v>0.66666666666666663</v>
      </c>
      <c r="H490" s="4" t="s">
        <v>4910</v>
      </c>
      <c r="I490" s="4" t="s">
        <v>8775</v>
      </c>
      <c r="J490" s="4" t="s">
        <v>8776</v>
      </c>
      <c r="K490" s="4" t="s">
        <v>8777</v>
      </c>
      <c r="L490" s="4" t="s">
        <v>8778</v>
      </c>
      <c r="M490" s="4" t="s">
        <v>28</v>
      </c>
      <c r="N490" s="4" t="s">
        <v>147</v>
      </c>
      <c r="O490" s="4" t="s">
        <v>344</v>
      </c>
      <c r="P490" s="4" t="s">
        <v>48</v>
      </c>
      <c r="Q490" s="4">
        <v>0</v>
      </c>
      <c r="R490" s="4" t="b">
        <v>0</v>
      </c>
      <c r="S490" s="4" t="s">
        <v>61</v>
      </c>
      <c r="T490" s="4" t="s">
        <v>70</v>
      </c>
      <c r="U490" s="4" t="s">
        <v>527</v>
      </c>
      <c r="V490" s="4" t="s">
        <v>123</v>
      </c>
      <c r="W490" s="4" t="s">
        <v>192</v>
      </c>
      <c r="X490" s="4" t="s">
        <v>3456</v>
      </c>
      <c r="Y490" s="4"/>
      <c r="Z490" s="12" t="s">
        <v>48</v>
      </c>
      <c r="AA490" s="13" t="s">
        <v>9179</v>
      </c>
      <c r="AB490" s="13" t="s">
        <v>9153</v>
      </c>
      <c r="AC490" s="14" t="s">
        <v>9148</v>
      </c>
      <c r="AD490" s="14" t="s">
        <v>28</v>
      </c>
      <c r="AE490" s="14" t="s">
        <v>9140</v>
      </c>
      <c r="AF490" s="14" t="s">
        <v>123</v>
      </c>
      <c r="AG490" s="14" t="s">
        <v>3456</v>
      </c>
      <c r="AH490" s="15" t="s">
        <v>9220</v>
      </c>
      <c r="AI490" s="15" t="s">
        <v>9191</v>
      </c>
      <c r="AJ490" s="15" t="s">
        <v>9143</v>
      </c>
      <c r="AK490" s="15" t="s">
        <v>9221</v>
      </c>
      <c r="AL490" s="15" t="s">
        <v>9226</v>
      </c>
      <c r="AM490" s="16" t="s">
        <v>9221</v>
      </c>
      <c r="AN490" s="16" t="s">
        <v>9227</v>
      </c>
    </row>
    <row r="491" spans="1:40" x14ac:dyDescent="0.25">
      <c r="A491" s="4" t="s">
        <v>4480</v>
      </c>
      <c r="B491" s="4">
        <v>12240055307</v>
      </c>
      <c r="C491" s="4" t="s">
        <v>39</v>
      </c>
      <c r="D491" s="4" t="s">
        <v>4481</v>
      </c>
      <c r="E491" s="4" t="s">
        <v>4482</v>
      </c>
      <c r="F491" s="10">
        <v>45623</v>
      </c>
      <c r="G491" s="11">
        <v>0.56527777777777777</v>
      </c>
      <c r="H491" s="4" t="s">
        <v>4019</v>
      </c>
      <c r="I491" s="4" t="s">
        <v>4472</v>
      </c>
      <c r="J491" s="4" t="s">
        <v>3707</v>
      </c>
      <c r="K491" s="4" t="s">
        <v>4483</v>
      </c>
      <c r="L491" s="4" t="s">
        <v>4484</v>
      </c>
      <c r="M491" s="4" t="s">
        <v>28</v>
      </c>
      <c r="N491" s="4" t="s">
        <v>183</v>
      </c>
      <c r="O491" s="4" t="s">
        <v>191</v>
      </c>
      <c r="P491" s="4" t="s">
        <v>60</v>
      </c>
      <c r="Q491" s="4">
        <v>0</v>
      </c>
      <c r="R491" s="4" t="b">
        <v>0</v>
      </c>
      <c r="S491" s="4" t="s">
        <v>114</v>
      </c>
      <c r="T491" s="4" t="s">
        <v>70</v>
      </c>
      <c r="U491" s="4" t="s">
        <v>71</v>
      </c>
      <c r="V491" s="4" t="s">
        <v>63</v>
      </c>
      <c r="W491" s="4" t="s">
        <v>312</v>
      </c>
      <c r="X491" s="4" t="s">
        <v>3554</v>
      </c>
      <c r="Y491" s="4"/>
      <c r="Z491" s="12" t="s">
        <v>60</v>
      </c>
      <c r="AA491" s="13" t="s">
        <v>9179</v>
      </c>
      <c r="AB491" s="13" t="s">
        <v>9153</v>
      </c>
      <c r="AC491" s="14" t="s">
        <v>9157</v>
      </c>
      <c r="AD491" s="14" t="s">
        <v>28</v>
      </c>
      <c r="AE491" s="14" t="s">
        <v>183</v>
      </c>
      <c r="AF491" s="14" t="s">
        <v>63</v>
      </c>
      <c r="AG491" s="14" t="s">
        <v>3554</v>
      </c>
      <c r="AH491" s="15" t="s">
        <v>9220</v>
      </c>
      <c r="AI491" s="15" t="s">
        <v>9175</v>
      </c>
      <c r="AJ491" s="15" t="s">
        <v>9143</v>
      </c>
      <c r="AK491" s="15" t="s">
        <v>9221</v>
      </c>
      <c r="AL491" s="15" t="s">
        <v>9228</v>
      </c>
      <c r="AM491" s="16" t="s">
        <v>9221</v>
      </c>
      <c r="AN491" s="16" t="s">
        <v>9229</v>
      </c>
    </row>
    <row r="492" spans="1:40" x14ac:dyDescent="0.25">
      <c r="A492" s="4" t="s">
        <v>6509</v>
      </c>
      <c r="B492" s="4" t="s">
        <v>6510</v>
      </c>
      <c r="C492" s="4" t="s">
        <v>39</v>
      </c>
      <c r="D492" s="4" t="s">
        <v>6511</v>
      </c>
      <c r="E492" s="4" t="s">
        <v>6512</v>
      </c>
      <c r="F492" s="10">
        <v>45623</v>
      </c>
      <c r="G492" s="11">
        <v>0.36458333333333331</v>
      </c>
      <c r="H492" s="4" t="s">
        <v>4910</v>
      </c>
      <c r="I492" s="4" t="s">
        <v>6502</v>
      </c>
      <c r="J492" s="4" t="s">
        <v>6503</v>
      </c>
      <c r="K492" s="4" t="s">
        <v>851</v>
      </c>
      <c r="L492" s="4" t="s">
        <v>6513</v>
      </c>
      <c r="M492" s="4" t="s">
        <v>28</v>
      </c>
      <c r="N492" s="4" t="s">
        <v>478</v>
      </c>
      <c r="O492" s="4" t="s">
        <v>191</v>
      </c>
      <c r="P492" s="4" t="s">
        <v>60</v>
      </c>
      <c r="Q492" s="4">
        <v>0</v>
      </c>
      <c r="R492" s="4" t="b">
        <v>0</v>
      </c>
      <c r="S492" s="4" t="s">
        <v>61</v>
      </c>
      <c r="T492" s="4" t="s">
        <v>115</v>
      </c>
      <c r="U492" s="4" t="s">
        <v>51</v>
      </c>
      <c r="V492" s="4" t="s">
        <v>52</v>
      </c>
      <c r="W492" s="4" t="s">
        <v>53</v>
      </c>
      <c r="X492" s="4" t="s">
        <v>54</v>
      </c>
      <c r="Y492" s="4"/>
      <c r="Z492" s="12" t="s">
        <v>60</v>
      </c>
      <c r="AA492" s="13" t="s">
        <v>9179</v>
      </c>
      <c r="AB492" s="13" t="s">
        <v>9153</v>
      </c>
      <c r="AC492" s="14" t="s">
        <v>9148</v>
      </c>
      <c r="AD492" s="14" t="s">
        <v>28</v>
      </c>
      <c r="AE492" s="14" t="s">
        <v>478</v>
      </c>
      <c r="AF492" s="14" t="s">
        <v>52</v>
      </c>
      <c r="AG492" s="14" t="s">
        <v>54</v>
      </c>
      <c r="AH492" s="15" t="s">
        <v>9220</v>
      </c>
      <c r="AI492" s="15" t="s">
        <v>9191</v>
      </c>
      <c r="AJ492" s="15" t="s">
        <v>9143</v>
      </c>
      <c r="AK492" s="15" t="s">
        <v>9221</v>
      </c>
      <c r="AL492" s="15" t="s">
        <v>9236</v>
      </c>
      <c r="AM492" s="16" t="s">
        <v>9221</v>
      </c>
      <c r="AN492" s="16" t="s">
        <v>9237</v>
      </c>
    </row>
    <row r="493" spans="1:40" x14ac:dyDescent="0.25">
      <c r="A493" s="4" t="s">
        <v>7268</v>
      </c>
      <c r="B493" s="4"/>
      <c r="C493" s="4" t="s">
        <v>39</v>
      </c>
      <c r="D493" s="4" t="s">
        <v>7269</v>
      </c>
      <c r="E493" s="4" t="s">
        <v>7270</v>
      </c>
      <c r="F493" s="10">
        <v>45623</v>
      </c>
      <c r="G493" s="11">
        <v>0.58333333333333337</v>
      </c>
      <c r="H493" s="4" t="s">
        <v>5666</v>
      </c>
      <c r="I493" s="4" t="s">
        <v>7264</v>
      </c>
      <c r="J493" s="4" t="s">
        <v>7265</v>
      </c>
      <c r="K493" s="4" t="s">
        <v>7271</v>
      </c>
      <c r="L493" s="4" t="s">
        <v>7272</v>
      </c>
      <c r="M493" s="4" t="s">
        <v>46</v>
      </c>
      <c r="N493" s="4"/>
      <c r="O493" s="4" t="s">
        <v>47</v>
      </c>
      <c r="P493" s="4" t="s">
        <v>48</v>
      </c>
      <c r="Q493" s="4">
        <v>0</v>
      </c>
      <c r="R493" s="4" t="b">
        <v>0</v>
      </c>
      <c r="S493" s="4" t="s">
        <v>61</v>
      </c>
      <c r="T493" s="4" t="s">
        <v>115</v>
      </c>
      <c r="U493" s="4" t="s">
        <v>373</v>
      </c>
      <c r="V493" s="4" t="s">
        <v>123</v>
      </c>
      <c r="W493" s="4" t="s">
        <v>149</v>
      </c>
      <c r="X493" s="4" t="s">
        <v>54</v>
      </c>
      <c r="Y493" s="4"/>
      <c r="Z493" s="12">
        <v>0</v>
      </c>
      <c r="AA493" s="13" t="s">
        <v>9179</v>
      </c>
      <c r="AB493" s="13" t="s">
        <v>9153</v>
      </c>
      <c r="AC493" s="14" t="s">
        <v>9148</v>
      </c>
      <c r="AD493" s="14" t="s">
        <v>9140</v>
      </c>
      <c r="AE493" s="14" t="s">
        <v>9140</v>
      </c>
      <c r="AF493" s="14" t="s">
        <v>123</v>
      </c>
      <c r="AG493" s="14" t="s">
        <v>54</v>
      </c>
      <c r="AH493" s="15" t="s">
        <v>9220</v>
      </c>
      <c r="AI493" s="15" t="s">
        <v>9199</v>
      </c>
      <c r="AJ493" s="15" t="s">
        <v>9143</v>
      </c>
      <c r="AK493" s="15" t="s">
        <v>9221</v>
      </c>
      <c r="AL493" s="15" t="s">
        <v>9199</v>
      </c>
      <c r="AM493" s="16" t="s">
        <v>9221</v>
      </c>
      <c r="AN493" s="16" t="s">
        <v>9238</v>
      </c>
    </row>
    <row r="494" spans="1:40" x14ac:dyDescent="0.25">
      <c r="A494" s="4" t="s">
        <v>1756</v>
      </c>
      <c r="B494" s="4"/>
      <c r="C494" s="4" t="s">
        <v>39</v>
      </c>
      <c r="D494" s="4" t="s">
        <v>1752</v>
      </c>
      <c r="E494" s="4" t="s">
        <v>1753</v>
      </c>
      <c r="F494" s="10">
        <v>45623</v>
      </c>
      <c r="G494" s="11">
        <v>0.7006944444444444</v>
      </c>
      <c r="H494" s="4" t="s">
        <v>1654</v>
      </c>
      <c r="I494" s="4">
        <v>9095</v>
      </c>
      <c r="J494" s="4" t="s">
        <v>1742</v>
      </c>
      <c r="K494" s="4" t="s">
        <v>1757</v>
      </c>
      <c r="L494" s="4" t="s">
        <v>1758</v>
      </c>
      <c r="M494" s="4" t="s">
        <v>432</v>
      </c>
      <c r="N494" s="4" t="s">
        <v>478</v>
      </c>
      <c r="O494" s="4" t="s">
        <v>191</v>
      </c>
      <c r="P494" s="4" t="s">
        <v>48</v>
      </c>
      <c r="Q494" s="4">
        <v>0</v>
      </c>
      <c r="R494" s="4" t="b">
        <v>0</v>
      </c>
      <c r="S494" s="4" t="s">
        <v>61</v>
      </c>
      <c r="T494" s="4" t="s">
        <v>89</v>
      </c>
      <c r="U494" s="4" t="s">
        <v>373</v>
      </c>
      <c r="V494" s="4" t="s">
        <v>52</v>
      </c>
      <c r="W494" s="4" t="s">
        <v>53</v>
      </c>
      <c r="X494" s="4"/>
      <c r="Y494" s="4"/>
      <c r="Z494" s="12">
        <v>0</v>
      </c>
      <c r="AA494" s="13" t="s">
        <v>9179</v>
      </c>
      <c r="AB494" s="13" t="s">
        <v>9153</v>
      </c>
      <c r="AC494" s="14" t="s">
        <v>9148</v>
      </c>
      <c r="AD494" s="14" t="s">
        <v>9140</v>
      </c>
      <c r="AE494" s="14" t="s">
        <v>9140</v>
      </c>
      <c r="AF494" s="14" t="s">
        <v>52</v>
      </c>
      <c r="AG494" s="14">
        <v>0</v>
      </c>
      <c r="AH494" s="15" t="s">
        <v>9141</v>
      </c>
      <c r="AI494" s="15" t="s">
        <v>9191</v>
      </c>
      <c r="AJ494" s="15" t="s">
        <v>9143</v>
      </c>
      <c r="AK494" s="15" t="s">
        <v>9141</v>
      </c>
      <c r="AL494" s="15" t="s">
        <v>9191</v>
      </c>
      <c r="AM494" s="16" t="s">
        <v>9141</v>
      </c>
      <c r="AN494" s="16" t="s">
        <v>9192</v>
      </c>
    </row>
    <row r="495" spans="1:40" x14ac:dyDescent="0.25">
      <c r="A495" s="4" t="s">
        <v>3196</v>
      </c>
      <c r="B495" s="4"/>
      <c r="C495" s="4" t="s">
        <v>39</v>
      </c>
      <c r="D495" s="4" t="s">
        <v>3197</v>
      </c>
      <c r="E495" s="4" t="s">
        <v>3198</v>
      </c>
      <c r="F495" s="10">
        <v>45622</v>
      </c>
      <c r="G495" s="11">
        <v>0.77083333333333337</v>
      </c>
      <c r="H495" s="4" t="s">
        <v>1992</v>
      </c>
      <c r="I495" s="4" t="s">
        <v>3187</v>
      </c>
      <c r="J495" s="4" t="s">
        <v>3188</v>
      </c>
      <c r="K495" s="4" t="s">
        <v>3199</v>
      </c>
      <c r="L495" s="4" t="s">
        <v>3200</v>
      </c>
      <c r="M495" s="4" t="s">
        <v>46</v>
      </c>
      <c r="N495" s="4"/>
      <c r="O495" s="4" t="s">
        <v>47</v>
      </c>
      <c r="P495" s="4" t="s">
        <v>48</v>
      </c>
      <c r="Q495" s="4">
        <v>0</v>
      </c>
      <c r="R495" s="4" t="b">
        <v>0</v>
      </c>
      <c r="S495" s="4" t="s">
        <v>49</v>
      </c>
      <c r="T495" s="4" t="s">
        <v>70</v>
      </c>
      <c r="U495" s="4" t="s">
        <v>51</v>
      </c>
      <c r="V495" s="4" t="s">
        <v>72</v>
      </c>
      <c r="W495" s="4" t="s">
        <v>73</v>
      </c>
      <c r="X495" s="4" t="s">
        <v>54</v>
      </c>
      <c r="Y495" s="4"/>
      <c r="Z495" s="12">
        <v>0</v>
      </c>
      <c r="AA495" s="13" t="s">
        <v>9179</v>
      </c>
      <c r="AB495" s="13" t="s">
        <v>9153</v>
      </c>
      <c r="AC495" s="14" t="s">
        <v>9139</v>
      </c>
      <c r="AD495" s="14" t="s">
        <v>9140</v>
      </c>
      <c r="AE495" s="14" t="s">
        <v>9140</v>
      </c>
      <c r="AF495" s="14" t="s">
        <v>72</v>
      </c>
      <c r="AG495" s="14" t="s">
        <v>54</v>
      </c>
      <c r="AH495" s="15" t="s">
        <v>9194</v>
      </c>
      <c r="AI495" s="15" t="s">
        <v>9191</v>
      </c>
      <c r="AJ495" s="15" t="s">
        <v>9143</v>
      </c>
      <c r="AK495" s="15" t="s">
        <v>9194</v>
      </c>
      <c r="AL495" s="15" t="s">
        <v>9197</v>
      </c>
      <c r="AM495" s="16" t="s">
        <v>9194</v>
      </c>
      <c r="AN495" s="16" t="s">
        <v>9198</v>
      </c>
    </row>
    <row r="496" spans="1:40" x14ac:dyDescent="0.25">
      <c r="A496" s="4" t="s">
        <v>4603</v>
      </c>
      <c r="B496" s="4"/>
      <c r="C496" s="4" t="s">
        <v>39</v>
      </c>
      <c r="D496" s="4" t="s">
        <v>4604</v>
      </c>
      <c r="E496" s="4" t="s">
        <v>4605</v>
      </c>
      <c r="F496" s="10">
        <v>45622</v>
      </c>
      <c r="G496" s="11">
        <v>0.59166666666666667</v>
      </c>
      <c r="H496" s="4" t="s">
        <v>4516</v>
      </c>
      <c r="I496" s="4" t="s">
        <v>4586</v>
      </c>
      <c r="J496" s="4" t="s">
        <v>2630</v>
      </c>
      <c r="K496" s="4" t="s">
        <v>321</v>
      </c>
      <c r="L496" s="4" t="s">
        <v>4606</v>
      </c>
      <c r="M496" s="4" t="s">
        <v>46</v>
      </c>
      <c r="N496" s="4"/>
      <c r="O496" s="4" t="s">
        <v>47</v>
      </c>
      <c r="P496" s="4" t="s">
        <v>48</v>
      </c>
      <c r="Q496" s="4">
        <v>0</v>
      </c>
      <c r="R496" s="4" t="b">
        <v>0</v>
      </c>
      <c r="S496" s="4" t="s">
        <v>61</v>
      </c>
      <c r="T496" s="4" t="s">
        <v>115</v>
      </c>
      <c r="U496" s="4" t="s">
        <v>148</v>
      </c>
      <c r="V496" s="4" t="s">
        <v>52</v>
      </c>
      <c r="W496" s="4" t="s">
        <v>53</v>
      </c>
      <c r="X496" s="4" t="s">
        <v>54</v>
      </c>
      <c r="Y496" s="4"/>
      <c r="Z496" s="12">
        <v>0</v>
      </c>
      <c r="AA496" s="13" t="s">
        <v>9179</v>
      </c>
      <c r="AB496" s="13" t="s">
        <v>9153</v>
      </c>
      <c r="AC496" s="14" t="s">
        <v>9148</v>
      </c>
      <c r="AD496" s="14" t="s">
        <v>9140</v>
      </c>
      <c r="AE496" s="14" t="s">
        <v>9140</v>
      </c>
      <c r="AF496" s="14" t="s">
        <v>52</v>
      </c>
      <c r="AG496" s="14" t="s">
        <v>54</v>
      </c>
      <c r="AH496" s="15" t="s">
        <v>9220</v>
      </c>
      <c r="AI496" s="15" t="s">
        <v>9188</v>
      </c>
      <c r="AJ496" s="15" t="s">
        <v>9143</v>
      </c>
      <c r="AK496" s="15" t="s">
        <v>9221</v>
      </c>
      <c r="AL496" s="15" t="s">
        <v>9232</v>
      </c>
      <c r="AM496" s="16" t="s">
        <v>9221</v>
      </c>
      <c r="AN496" s="16" t="s">
        <v>9233</v>
      </c>
    </row>
    <row r="497" spans="1:40" x14ac:dyDescent="0.25">
      <c r="A497" s="4" t="s">
        <v>4778</v>
      </c>
      <c r="B497" s="4"/>
      <c r="C497" s="4" t="s">
        <v>39</v>
      </c>
      <c r="D497" s="4" t="s">
        <v>4772</v>
      </c>
      <c r="E497" s="4" t="s">
        <v>4773</v>
      </c>
      <c r="F497" s="10">
        <v>45621</v>
      </c>
      <c r="G497" s="11">
        <v>0.6</v>
      </c>
      <c r="H497" s="4" t="s">
        <v>4516</v>
      </c>
      <c r="I497" s="4" t="s">
        <v>4774</v>
      </c>
      <c r="J497" s="4" t="s">
        <v>4775</v>
      </c>
      <c r="K497" s="4" t="s">
        <v>1232</v>
      </c>
      <c r="L497" s="4" t="s">
        <v>4779</v>
      </c>
      <c r="M497" s="4" t="s">
        <v>46</v>
      </c>
      <c r="N497" s="4"/>
      <c r="O497" s="4" t="s">
        <v>47</v>
      </c>
      <c r="P497" s="4" t="s">
        <v>48</v>
      </c>
      <c r="Q497" s="4">
        <v>0</v>
      </c>
      <c r="R497" s="4" t="b">
        <v>0</v>
      </c>
      <c r="S497" s="4" t="s">
        <v>114</v>
      </c>
      <c r="T497" s="4" t="s">
        <v>583</v>
      </c>
      <c r="U497" s="4" t="s">
        <v>71</v>
      </c>
      <c r="V497" s="4" t="s">
        <v>123</v>
      </c>
      <c r="W497" s="4" t="s">
        <v>192</v>
      </c>
      <c r="X497" s="4" t="s">
        <v>54</v>
      </c>
      <c r="Y497" s="4" t="s">
        <v>302</v>
      </c>
      <c r="Z497" s="12">
        <v>0</v>
      </c>
      <c r="AA497" s="13" t="s">
        <v>9179</v>
      </c>
      <c r="AB497" s="13" t="s">
        <v>9153</v>
      </c>
      <c r="AC497" s="14" t="s">
        <v>9157</v>
      </c>
      <c r="AD497" s="14" t="s">
        <v>9140</v>
      </c>
      <c r="AE497" s="14" t="s">
        <v>9140</v>
      </c>
      <c r="AF497" s="14" t="s">
        <v>123</v>
      </c>
      <c r="AG497" s="14" t="s">
        <v>54</v>
      </c>
      <c r="AH497" s="15" t="s">
        <v>9220</v>
      </c>
      <c r="AI497" s="15" t="s">
        <v>9188</v>
      </c>
      <c r="AJ497" s="15" t="s">
        <v>9143</v>
      </c>
      <c r="AK497" s="15" t="s">
        <v>9221</v>
      </c>
      <c r="AL497" s="15" t="s">
        <v>9232</v>
      </c>
      <c r="AM497" s="16" t="s">
        <v>9221</v>
      </c>
      <c r="AN497" s="16" t="s">
        <v>9233</v>
      </c>
    </row>
    <row r="498" spans="1:40" x14ac:dyDescent="0.25">
      <c r="A498" s="4" t="s">
        <v>624</v>
      </c>
      <c r="B498" s="4"/>
      <c r="C498" s="4" t="s">
        <v>39</v>
      </c>
      <c r="D498" s="4" t="s">
        <v>625</v>
      </c>
      <c r="E498" s="4" t="s">
        <v>626</v>
      </c>
      <c r="F498" s="10">
        <v>45621</v>
      </c>
      <c r="G498" s="11">
        <v>0.59722222222222221</v>
      </c>
      <c r="H498" s="4" t="s">
        <v>463</v>
      </c>
      <c r="I498" s="4">
        <v>2023</v>
      </c>
      <c r="J498" s="4" t="s">
        <v>615</v>
      </c>
      <c r="K498" s="4" t="s">
        <v>627</v>
      </c>
      <c r="L498" s="4" t="s">
        <v>628</v>
      </c>
      <c r="M498" s="4" t="s">
        <v>46</v>
      </c>
      <c r="N498" s="4"/>
      <c r="O498" s="4" t="s">
        <v>47</v>
      </c>
      <c r="P498" s="4" t="s">
        <v>48</v>
      </c>
      <c r="Q498" s="4">
        <v>0</v>
      </c>
      <c r="R498" s="4" t="b">
        <v>0</v>
      </c>
      <c r="S498" s="4" t="s">
        <v>61</v>
      </c>
      <c r="T498" s="4" t="s">
        <v>89</v>
      </c>
      <c r="U498" s="4" t="s">
        <v>90</v>
      </c>
      <c r="V498" s="4" t="s">
        <v>72</v>
      </c>
      <c r="W498" s="4" t="s">
        <v>73</v>
      </c>
      <c r="X498" s="4" t="s">
        <v>54</v>
      </c>
      <c r="Y498" s="4"/>
      <c r="Z498" s="12">
        <v>0</v>
      </c>
      <c r="AA498" s="13" t="s">
        <v>9179</v>
      </c>
      <c r="AB498" s="13" t="s">
        <v>9153</v>
      </c>
      <c r="AC498" s="14" t="s">
        <v>9148</v>
      </c>
      <c r="AD498" s="14" t="s">
        <v>9140</v>
      </c>
      <c r="AE498" s="14" t="s">
        <v>9140</v>
      </c>
      <c r="AF498" s="14" t="s">
        <v>72</v>
      </c>
      <c r="AG498" s="14" t="s">
        <v>54</v>
      </c>
      <c r="AH498" s="15" t="s">
        <v>9141</v>
      </c>
      <c r="AI498" s="15" t="s">
        <v>9175</v>
      </c>
      <c r="AJ498" s="15" t="s">
        <v>9143</v>
      </c>
      <c r="AK498" s="15" t="s">
        <v>9141</v>
      </c>
      <c r="AL498" s="15" t="s">
        <v>9177</v>
      </c>
      <c r="AM498" s="16" t="s">
        <v>9141</v>
      </c>
      <c r="AN498" s="16" t="s">
        <v>9178</v>
      </c>
    </row>
    <row r="499" spans="1:40" x14ac:dyDescent="0.25">
      <c r="A499" s="4" t="s">
        <v>4780</v>
      </c>
      <c r="B499" s="4"/>
      <c r="C499" s="4" t="s">
        <v>39</v>
      </c>
      <c r="D499" s="4" t="s">
        <v>4781</v>
      </c>
      <c r="E499" s="4" t="s">
        <v>4782</v>
      </c>
      <c r="F499" s="10">
        <v>45619</v>
      </c>
      <c r="G499" s="11">
        <v>0.72916666666666663</v>
      </c>
      <c r="H499" s="4" t="s">
        <v>4516</v>
      </c>
      <c r="I499" s="4" t="s">
        <v>4774</v>
      </c>
      <c r="J499" s="4" t="s">
        <v>4775</v>
      </c>
      <c r="K499" s="4" t="s">
        <v>4783</v>
      </c>
      <c r="L499" s="4" t="s">
        <v>4784</v>
      </c>
      <c r="M499" s="4" t="s">
        <v>46</v>
      </c>
      <c r="N499" s="4"/>
      <c r="O499" s="4" t="s">
        <v>47</v>
      </c>
      <c r="P499" s="4" t="s">
        <v>48</v>
      </c>
      <c r="Q499" s="4">
        <v>0</v>
      </c>
      <c r="R499" s="4" t="b">
        <v>0</v>
      </c>
      <c r="S499" s="4" t="s">
        <v>49</v>
      </c>
      <c r="T499" s="4" t="s">
        <v>583</v>
      </c>
      <c r="U499" s="4" t="s">
        <v>51</v>
      </c>
      <c r="V499" s="4" t="s">
        <v>123</v>
      </c>
      <c r="W499" s="4" t="s">
        <v>124</v>
      </c>
      <c r="X499" s="4" t="s">
        <v>54</v>
      </c>
      <c r="Y499" s="4"/>
      <c r="Z499" s="12">
        <v>0</v>
      </c>
      <c r="AA499" s="13" t="s">
        <v>9179</v>
      </c>
      <c r="AB499" s="13" t="s">
        <v>9153</v>
      </c>
      <c r="AC499" s="14" t="s">
        <v>9139</v>
      </c>
      <c r="AD499" s="14" t="s">
        <v>9140</v>
      </c>
      <c r="AE499" s="14" t="s">
        <v>9140</v>
      </c>
      <c r="AF499" s="14" t="s">
        <v>123</v>
      </c>
      <c r="AG499" s="14" t="s">
        <v>54</v>
      </c>
      <c r="AH499" s="15" t="s">
        <v>9220</v>
      </c>
      <c r="AI499" s="15" t="s">
        <v>9188</v>
      </c>
      <c r="AJ499" s="15" t="s">
        <v>9143</v>
      </c>
      <c r="AK499" s="15" t="s">
        <v>9221</v>
      </c>
      <c r="AL499" s="15" t="s">
        <v>9232</v>
      </c>
      <c r="AM499" s="16" t="s">
        <v>9221</v>
      </c>
      <c r="AN499" s="16" t="s">
        <v>9233</v>
      </c>
    </row>
    <row r="500" spans="1:40" x14ac:dyDescent="0.25">
      <c r="A500" s="4" t="s">
        <v>8034</v>
      </c>
      <c r="B500" s="4"/>
      <c r="C500" s="4" t="s">
        <v>39</v>
      </c>
      <c r="D500" s="4" t="s">
        <v>8035</v>
      </c>
      <c r="E500" s="4" t="s">
        <v>8036</v>
      </c>
      <c r="F500" s="10">
        <v>45619</v>
      </c>
      <c r="G500" s="11">
        <v>0.85416666666666663</v>
      </c>
      <c r="H500" s="4" t="s">
        <v>4910</v>
      </c>
      <c r="I500" s="4" t="s">
        <v>8017</v>
      </c>
      <c r="J500" s="4" t="s">
        <v>8018</v>
      </c>
      <c r="K500" s="4" t="s">
        <v>851</v>
      </c>
      <c r="L500" s="4" t="s">
        <v>8037</v>
      </c>
      <c r="M500" s="4" t="s">
        <v>46</v>
      </c>
      <c r="N500" s="4"/>
      <c r="O500" s="4" t="s">
        <v>47</v>
      </c>
      <c r="P500" s="4" t="s">
        <v>48</v>
      </c>
      <c r="Q500" s="4">
        <v>0</v>
      </c>
      <c r="R500" s="4" t="b">
        <v>0</v>
      </c>
      <c r="S500" s="4" t="s">
        <v>49</v>
      </c>
      <c r="T500" s="4" t="s">
        <v>583</v>
      </c>
      <c r="U500" s="4" t="s">
        <v>51</v>
      </c>
      <c r="V500" s="4" t="s">
        <v>123</v>
      </c>
      <c r="W500" s="4" t="s">
        <v>124</v>
      </c>
      <c r="X500" s="4" t="s">
        <v>54</v>
      </c>
      <c r="Y500" s="4"/>
      <c r="Z500" s="12">
        <v>0</v>
      </c>
      <c r="AA500" s="13" t="s">
        <v>9179</v>
      </c>
      <c r="AB500" s="13" t="s">
        <v>9153</v>
      </c>
      <c r="AC500" s="14" t="s">
        <v>9139</v>
      </c>
      <c r="AD500" s="14" t="s">
        <v>9140</v>
      </c>
      <c r="AE500" s="14" t="s">
        <v>9140</v>
      </c>
      <c r="AF500" s="14" t="s">
        <v>123</v>
      </c>
      <c r="AG500" s="14" t="s">
        <v>54</v>
      </c>
      <c r="AH500" s="15" t="s">
        <v>9220</v>
      </c>
      <c r="AI500" s="15" t="s">
        <v>9191</v>
      </c>
      <c r="AJ500" s="15" t="s">
        <v>9143</v>
      </c>
      <c r="AK500" s="15" t="s">
        <v>9221</v>
      </c>
      <c r="AL500" s="15" t="s">
        <v>9234</v>
      </c>
      <c r="AM500" s="16" t="s">
        <v>9221</v>
      </c>
      <c r="AN500" s="16" t="s">
        <v>9235</v>
      </c>
    </row>
    <row r="501" spans="1:40" x14ac:dyDescent="0.25">
      <c r="A501" s="4" t="s">
        <v>6450</v>
      </c>
      <c r="B501" s="4"/>
      <c r="C501" s="4" t="s">
        <v>39</v>
      </c>
      <c r="D501" s="4" t="s">
        <v>6451</v>
      </c>
      <c r="E501" s="4" t="s">
        <v>6452</v>
      </c>
      <c r="F501" s="10">
        <v>45618</v>
      </c>
      <c r="G501" s="11">
        <v>0.45833333333333331</v>
      </c>
      <c r="H501" s="4" t="s">
        <v>4659</v>
      </c>
      <c r="I501" s="4" t="s">
        <v>6441</v>
      </c>
      <c r="J501" s="4" t="s">
        <v>6442</v>
      </c>
      <c r="K501" s="4" t="s">
        <v>1391</v>
      </c>
      <c r="L501" s="4" t="s">
        <v>6453</v>
      </c>
      <c r="M501" s="4" t="s">
        <v>46</v>
      </c>
      <c r="N501" s="4"/>
      <c r="O501" s="4" t="s">
        <v>47</v>
      </c>
      <c r="P501" s="4" t="s">
        <v>48</v>
      </c>
      <c r="Q501" s="4">
        <v>0</v>
      </c>
      <c r="R501" s="4" t="b">
        <v>0</v>
      </c>
      <c r="S501" s="4" t="s">
        <v>61</v>
      </c>
      <c r="T501" s="4" t="s">
        <v>89</v>
      </c>
      <c r="U501" s="4" t="s">
        <v>148</v>
      </c>
      <c r="V501" s="4" t="s">
        <v>123</v>
      </c>
      <c r="W501" s="4" t="s">
        <v>149</v>
      </c>
      <c r="X501" s="4" t="s">
        <v>54</v>
      </c>
      <c r="Y501" s="4"/>
      <c r="Z501" s="12">
        <v>0</v>
      </c>
      <c r="AA501" s="13" t="s">
        <v>9179</v>
      </c>
      <c r="AB501" s="13" t="s">
        <v>9153</v>
      </c>
      <c r="AC501" s="14" t="s">
        <v>9148</v>
      </c>
      <c r="AD501" s="14" t="s">
        <v>9140</v>
      </c>
      <c r="AE501" s="14" t="s">
        <v>9140</v>
      </c>
      <c r="AF501" s="14" t="s">
        <v>123</v>
      </c>
      <c r="AG501" s="14" t="s">
        <v>54</v>
      </c>
      <c r="AH501" s="15" t="s">
        <v>9220</v>
      </c>
      <c r="AI501" s="15" t="s">
        <v>9142</v>
      </c>
      <c r="AJ501" s="15" t="s">
        <v>9143</v>
      </c>
      <c r="AK501" s="15" t="s">
        <v>9221</v>
      </c>
      <c r="AL501" s="15" t="s">
        <v>9228</v>
      </c>
      <c r="AM501" s="16" t="s">
        <v>9221</v>
      </c>
      <c r="AN501" s="16" t="s">
        <v>9229</v>
      </c>
    </row>
    <row r="502" spans="1:40" x14ac:dyDescent="0.25">
      <c r="A502" s="4" t="s">
        <v>8822</v>
      </c>
      <c r="B502" s="4"/>
      <c r="C502" s="4" t="s">
        <v>39</v>
      </c>
      <c r="D502" s="4" t="s">
        <v>8823</v>
      </c>
      <c r="E502" s="4" t="s">
        <v>8824</v>
      </c>
      <c r="F502" s="10">
        <v>45617</v>
      </c>
      <c r="G502" s="11">
        <v>0.3923611111111111</v>
      </c>
      <c r="H502" s="4" t="s">
        <v>4516</v>
      </c>
      <c r="I502" s="4" t="s">
        <v>8818</v>
      </c>
      <c r="J502" s="4" t="s">
        <v>8819</v>
      </c>
      <c r="K502" s="4" t="s">
        <v>8825</v>
      </c>
      <c r="L502" s="4" t="s">
        <v>8826</v>
      </c>
      <c r="M502" s="4" t="s">
        <v>46</v>
      </c>
      <c r="N502" s="4"/>
      <c r="O502" s="4" t="s">
        <v>47</v>
      </c>
      <c r="P502" s="4" t="s">
        <v>48</v>
      </c>
      <c r="Q502" s="4">
        <v>0</v>
      </c>
      <c r="R502" s="4" t="b">
        <v>0</v>
      </c>
      <c r="S502" s="4" t="s">
        <v>114</v>
      </c>
      <c r="T502" s="4" t="s">
        <v>583</v>
      </c>
      <c r="U502" s="4" t="s">
        <v>887</v>
      </c>
      <c r="V502" s="4" t="s">
        <v>52</v>
      </c>
      <c r="W502" s="4" t="s">
        <v>53</v>
      </c>
      <c r="X502" s="4" t="s">
        <v>54</v>
      </c>
      <c r="Y502" s="4" t="s">
        <v>176</v>
      </c>
      <c r="Z502" s="12">
        <v>0</v>
      </c>
      <c r="AA502" s="13" t="s">
        <v>9179</v>
      </c>
      <c r="AB502" s="13" t="s">
        <v>9153</v>
      </c>
      <c r="AC502" s="14" t="s">
        <v>9157</v>
      </c>
      <c r="AD502" s="14" t="s">
        <v>9140</v>
      </c>
      <c r="AE502" s="14" t="s">
        <v>9140</v>
      </c>
      <c r="AF502" s="14" t="s">
        <v>52</v>
      </c>
      <c r="AG502" s="14" t="s">
        <v>54</v>
      </c>
      <c r="AH502" s="15" t="s">
        <v>9220</v>
      </c>
      <c r="AI502" s="15" t="s">
        <v>9188</v>
      </c>
      <c r="AJ502" s="15" t="s">
        <v>9143</v>
      </c>
      <c r="AK502" s="15" t="s">
        <v>9221</v>
      </c>
      <c r="AL502" s="15" t="s">
        <v>9236</v>
      </c>
      <c r="AM502" s="16" t="s">
        <v>9221</v>
      </c>
      <c r="AN502" s="16" t="s">
        <v>9237</v>
      </c>
    </row>
    <row r="503" spans="1:40" x14ac:dyDescent="0.25">
      <c r="A503" s="4" t="s">
        <v>2224</v>
      </c>
      <c r="B503" s="4"/>
      <c r="C503" s="4" t="s">
        <v>39</v>
      </c>
      <c r="D503" s="4" t="s">
        <v>2225</v>
      </c>
      <c r="E503" s="4" t="s">
        <v>2226</v>
      </c>
      <c r="F503" s="10">
        <v>45616</v>
      </c>
      <c r="G503" s="11">
        <v>0.63888888888888884</v>
      </c>
      <c r="H503" s="4" t="s">
        <v>2227</v>
      </c>
      <c r="I503" s="4" t="s">
        <v>2228</v>
      </c>
      <c r="J503" s="4" t="s">
        <v>1173</v>
      </c>
      <c r="K503" s="4" t="s">
        <v>2229</v>
      </c>
      <c r="L503" s="4" t="s">
        <v>2230</v>
      </c>
      <c r="M503" s="4" t="s">
        <v>46</v>
      </c>
      <c r="N503" s="4"/>
      <c r="O503" s="4" t="s">
        <v>47</v>
      </c>
      <c r="P503" s="4" t="s">
        <v>48</v>
      </c>
      <c r="Q503" s="4">
        <v>0</v>
      </c>
      <c r="R503" s="4" t="b">
        <v>0</v>
      </c>
      <c r="S503" s="4" t="s">
        <v>61</v>
      </c>
      <c r="T503" s="4" t="s">
        <v>89</v>
      </c>
      <c r="U503" s="4" t="s">
        <v>140</v>
      </c>
      <c r="V503" s="4" t="s">
        <v>123</v>
      </c>
      <c r="W503" s="4" t="s">
        <v>149</v>
      </c>
      <c r="X503" s="4" t="s">
        <v>1131</v>
      </c>
      <c r="Y503" s="4"/>
      <c r="Z503" s="12">
        <v>0</v>
      </c>
      <c r="AA503" s="13" t="s">
        <v>9179</v>
      </c>
      <c r="AB503" s="13" t="s">
        <v>9153</v>
      </c>
      <c r="AC503" s="14" t="s">
        <v>9148</v>
      </c>
      <c r="AD503" s="14" t="s">
        <v>9140</v>
      </c>
      <c r="AE503" s="14" t="s">
        <v>9140</v>
      </c>
      <c r="AF503" s="14" t="s">
        <v>123</v>
      </c>
      <c r="AG503" s="14" t="s">
        <v>1131</v>
      </c>
      <c r="AH503" s="15" t="s">
        <v>9194</v>
      </c>
      <c r="AI503" s="15" t="s">
        <v>9187</v>
      </c>
      <c r="AJ503" s="15" t="s">
        <v>9143</v>
      </c>
      <c r="AK503" s="15" t="s">
        <v>9194</v>
      </c>
      <c r="AL503" s="15" t="s">
        <v>9209</v>
      </c>
      <c r="AM503" s="16" t="s">
        <v>9194</v>
      </c>
      <c r="AN503" s="16" t="s">
        <v>9210</v>
      </c>
    </row>
    <row r="504" spans="1:40" x14ac:dyDescent="0.25">
      <c r="A504" s="4" t="s">
        <v>7330</v>
      </c>
      <c r="B504" s="4">
        <v>12240056762</v>
      </c>
      <c r="C504" s="4" t="s">
        <v>39</v>
      </c>
      <c r="D504" s="4" t="s">
        <v>7331</v>
      </c>
      <c r="E504" s="4" t="s">
        <v>7332</v>
      </c>
      <c r="F504" s="10">
        <v>45616</v>
      </c>
      <c r="G504" s="11">
        <v>0.5625</v>
      </c>
      <c r="H504" s="4" t="s">
        <v>4019</v>
      </c>
      <c r="I504" s="4" t="s">
        <v>7315</v>
      </c>
      <c r="J504" s="4" t="s">
        <v>1037</v>
      </c>
      <c r="K504" s="4" t="s">
        <v>7333</v>
      </c>
      <c r="L504" s="4" t="s">
        <v>7334</v>
      </c>
      <c r="M504" s="4" t="s">
        <v>28</v>
      </c>
      <c r="N504" s="4" t="s">
        <v>372</v>
      </c>
      <c r="O504" s="4" t="s">
        <v>191</v>
      </c>
      <c r="P504" s="4" t="s">
        <v>60</v>
      </c>
      <c r="Q504" s="4">
        <v>0</v>
      </c>
      <c r="R504" s="4" t="b">
        <v>0</v>
      </c>
      <c r="S504" s="4" t="s">
        <v>114</v>
      </c>
      <c r="T504" s="4" t="s">
        <v>2686</v>
      </c>
      <c r="U504" s="4" t="s">
        <v>148</v>
      </c>
      <c r="V504" s="4" t="s">
        <v>52</v>
      </c>
      <c r="W504" s="4" t="s">
        <v>374</v>
      </c>
      <c r="X504" s="4" t="s">
        <v>54</v>
      </c>
      <c r="Y504" s="4"/>
      <c r="Z504" s="12" t="s">
        <v>60</v>
      </c>
      <c r="AA504" s="13" t="s">
        <v>9179</v>
      </c>
      <c r="AB504" s="13" t="s">
        <v>9153</v>
      </c>
      <c r="AC504" s="14" t="s">
        <v>9157</v>
      </c>
      <c r="AD504" s="14" t="s">
        <v>28</v>
      </c>
      <c r="AE504" s="14" t="s">
        <v>372</v>
      </c>
      <c r="AF504" s="14" t="s">
        <v>52</v>
      </c>
      <c r="AG504" s="14" t="s">
        <v>54</v>
      </c>
      <c r="AH504" s="15" t="s">
        <v>9220</v>
      </c>
      <c r="AI504" s="15" t="s">
        <v>9175</v>
      </c>
      <c r="AJ504" s="15" t="s">
        <v>9143</v>
      </c>
      <c r="AK504" s="15" t="s">
        <v>9221</v>
      </c>
      <c r="AL504" s="15" t="s">
        <v>9222</v>
      </c>
      <c r="AM504" s="16" t="s">
        <v>9221</v>
      </c>
      <c r="AN504" s="16" t="s">
        <v>9223</v>
      </c>
    </row>
    <row r="505" spans="1:40" x14ac:dyDescent="0.25">
      <c r="A505" s="4" t="s">
        <v>7467</v>
      </c>
      <c r="B505" s="4"/>
      <c r="C505" s="4" t="s">
        <v>39</v>
      </c>
      <c r="D505" s="4" t="s">
        <v>7455</v>
      </c>
      <c r="E505" s="4" t="s">
        <v>7456</v>
      </c>
      <c r="F505" s="10">
        <v>45616</v>
      </c>
      <c r="G505" s="11">
        <v>0.625</v>
      </c>
      <c r="H505" s="4" t="s">
        <v>4910</v>
      </c>
      <c r="I505" s="4" t="s">
        <v>7457</v>
      </c>
      <c r="J505" s="4" t="s">
        <v>2378</v>
      </c>
      <c r="K505" s="4" t="s">
        <v>7468</v>
      </c>
      <c r="L505" s="4" t="s">
        <v>7469</v>
      </c>
      <c r="M505" s="4" t="s">
        <v>46</v>
      </c>
      <c r="N505" s="4"/>
      <c r="O505" s="4" t="s">
        <v>174</v>
      </c>
      <c r="P505" s="4" t="s">
        <v>48</v>
      </c>
      <c r="Q505" s="4">
        <v>31</v>
      </c>
      <c r="R505" s="4" t="b">
        <v>0</v>
      </c>
      <c r="S505" s="4" t="s">
        <v>114</v>
      </c>
      <c r="T505" s="4" t="s">
        <v>583</v>
      </c>
      <c r="U505" s="4" t="s">
        <v>2065</v>
      </c>
      <c r="V505" s="4" t="s">
        <v>52</v>
      </c>
      <c r="W505" s="4" t="s">
        <v>53</v>
      </c>
      <c r="X505" s="4" t="s">
        <v>54</v>
      </c>
      <c r="Y505" s="4"/>
      <c r="Z505" s="12">
        <v>0</v>
      </c>
      <c r="AA505" s="13" t="s">
        <v>9179</v>
      </c>
      <c r="AB505" s="13" t="s">
        <v>9153</v>
      </c>
      <c r="AC505" s="14" t="s">
        <v>9157</v>
      </c>
      <c r="AD505" s="14" t="s">
        <v>9140</v>
      </c>
      <c r="AE505" s="14" t="s">
        <v>9140</v>
      </c>
      <c r="AF505" s="14" t="s">
        <v>52</v>
      </c>
      <c r="AG505" s="14" t="s">
        <v>54</v>
      </c>
      <c r="AH505" s="15" t="s">
        <v>9220</v>
      </c>
      <c r="AI505" s="15" t="s">
        <v>9191</v>
      </c>
      <c r="AJ505" s="15" t="s">
        <v>9143</v>
      </c>
      <c r="AK505" s="15" t="s">
        <v>9221</v>
      </c>
      <c r="AL505" s="15" t="s">
        <v>9226</v>
      </c>
      <c r="AM505" s="16" t="s">
        <v>9221</v>
      </c>
      <c r="AN505" s="16" t="s">
        <v>9227</v>
      </c>
    </row>
    <row r="506" spans="1:40" x14ac:dyDescent="0.25">
      <c r="A506" s="4" t="s">
        <v>5316</v>
      </c>
      <c r="B506" s="4">
        <v>7443286</v>
      </c>
      <c r="C506" s="4" t="s">
        <v>39</v>
      </c>
      <c r="D506" s="4" t="s">
        <v>5280</v>
      </c>
      <c r="E506" s="4" t="s">
        <v>5281</v>
      </c>
      <c r="F506" s="10">
        <v>45616</v>
      </c>
      <c r="G506" s="11">
        <v>0.63194444444444442</v>
      </c>
      <c r="H506" s="4" t="s">
        <v>4516</v>
      </c>
      <c r="I506" s="4" t="s">
        <v>5275</v>
      </c>
      <c r="J506" s="4" t="s">
        <v>5276</v>
      </c>
      <c r="K506" s="4" t="s">
        <v>5317</v>
      </c>
      <c r="L506" s="4" t="s">
        <v>5318</v>
      </c>
      <c r="M506" s="4" t="s">
        <v>28</v>
      </c>
      <c r="N506" s="4" t="s">
        <v>478</v>
      </c>
      <c r="O506" s="4" t="s">
        <v>174</v>
      </c>
      <c r="P506" s="4" t="s">
        <v>48</v>
      </c>
      <c r="Q506" s="4">
        <v>0</v>
      </c>
      <c r="R506" s="4" t="b">
        <v>0</v>
      </c>
      <c r="S506" s="4" t="s">
        <v>114</v>
      </c>
      <c r="T506" s="4" t="s">
        <v>115</v>
      </c>
      <c r="U506" s="4" t="s">
        <v>527</v>
      </c>
      <c r="V506" s="4" t="s">
        <v>63</v>
      </c>
      <c r="W506" s="4" t="s">
        <v>108</v>
      </c>
      <c r="X506" s="4" t="s">
        <v>54</v>
      </c>
      <c r="Y506" s="4" t="s">
        <v>176</v>
      </c>
      <c r="Z506" s="12" t="s">
        <v>48</v>
      </c>
      <c r="AA506" s="13" t="s">
        <v>9179</v>
      </c>
      <c r="AB506" s="13" t="s">
        <v>9153</v>
      </c>
      <c r="AC506" s="14" t="s">
        <v>9157</v>
      </c>
      <c r="AD506" s="14" t="s">
        <v>28</v>
      </c>
      <c r="AE506" s="14" t="s">
        <v>478</v>
      </c>
      <c r="AF506" s="14" t="s">
        <v>63</v>
      </c>
      <c r="AG506" s="14" t="s">
        <v>54</v>
      </c>
      <c r="AH506" s="15" t="s">
        <v>9220</v>
      </c>
      <c r="AI506" s="15" t="s">
        <v>9188</v>
      </c>
      <c r="AJ506" s="15" t="s">
        <v>9143</v>
      </c>
      <c r="AK506" s="15" t="s">
        <v>9221</v>
      </c>
      <c r="AL506" s="15" t="s">
        <v>9230</v>
      </c>
      <c r="AM506" s="16" t="s">
        <v>9221</v>
      </c>
      <c r="AN506" s="16" t="s">
        <v>9231</v>
      </c>
    </row>
    <row r="507" spans="1:40" x14ac:dyDescent="0.25">
      <c r="A507" s="4" t="s">
        <v>5428</v>
      </c>
      <c r="B507" s="4" t="s">
        <v>5429</v>
      </c>
      <c r="C507" s="4" t="s">
        <v>39</v>
      </c>
      <c r="D507" s="4" t="s">
        <v>5430</v>
      </c>
      <c r="E507" s="4" t="s">
        <v>5431</v>
      </c>
      <c r="F507" s="10">
        <v>45615</v>
      </c>
      <c r="G507" s="11">
        <v>0.72916666666666663</v>
      </c>
      <c r="H507" s="4" t="s">
        <v>4659</v>
      </c>
      <c r="I507" s="4" t="s">
        <v>5425</v>
      </c>
      <c r="J507" s="4" t="s">
        <v>3736</v>
      </c>
      <c r="K507" s="4" t="s">
        <v>5432</v>
      </c>
      <c r="L507" s="4" t="s">
        <v>5433</v>
      </c>
      <c r="M507" s="4" t="s">
        <v>28</v>
      </c>
      <c r="N507" s="4" t="s">
        <v>183</v>
      </c>
      <c r="O507" s="4" t="s">
        <v>191</v>
      </c>
      <c r="P507" s="4" t="s">
        <v>60</v>
      </c>
      <c r="Q507" s="4">
        <v>19</v>
      </c>
      <c r="R507" s="4" t="b">
        <v>0</v>
      </c>
      <c r="S507" s="4" t="s">
        <v>61</v>
      </c>
      <c r="T507" s="4" t="s">
        <v>433</v>
      </c>
      <c r="U507" s="4" t="s">
        <v>224</v>
      </c>
      <c r="V507" s="4" t="s">
        <v>72</v>
      </c>
      <c r="W507" s="4" t="s">
        <v>73</v>
      </c>
      <c r="X507" s="4" t="s">
        <v>98</v>
      </c>
      <c r="Y507" s="4"/>
      <c r="Z507" s="12" t="s">
        <v>60</v>
      </c>
      <c r="AA507" s="13" t="s">
        <v>9179</v>
      </c>
      <c r="AB507" s="13" t="s">
        <v>9153</v>
      </c>
      <c r="AC507" s="14" t="s">
        <v>9148</v>
      </c>
      <c r="AD507" s="14" t="s">
        <v>28</v>
      </c>
      <c r="AE507" s="14" t="s">
        <v>183</v>
      </c>
      <c r="AF507" s="14" t="s">
        <v>72</v>
      </c>
      <c r="AG507" s="14" t="s">
        <v>98</v>
      </c>
      <c r="AH507" s="15" t="s">
        <v>9220</v>
      </c>
      <c r="AI507" s="15" t="s">
        <v>9142</v>
      </c>
      <c r="AJ507" s="15" t="s">
        <v>9143</v>
      </c>
      <c r="AK507" s="15" t="s">
        <v>9221</v>
      </c>
      <c r="AL507" s="15" t="s">
        <v>9228</v>
      </c>
      <c r="AM507" s="16" t="s">
        <v>9221</v>
      </c>
      <c r="AN507" s="16" t="s">
        <v>9229</v>
      </c>
    </row>
    <row r="508" spans="1:40" x14ac:dyDescent="0.25">
      <c r="A508" s="4" t="s">
        <v>8381</v>
      </c>
      <c r="B508" s="4"/>
      <c r="C508" s="4" t="s">
        <v>39</v>
      </c>
      <c r="D508" s="4" t="s">
        <v>8382</v>
      </c>
      <c r="E508" s="4" t="s">
        <v>8383</v>
      </c>
      <c r="F508" s="10">
        <v>45615</v>
      </c>
      <c r="G508" s="11">
        <v>0.5</v>
      </c>
      <c r="H508" s="4" t="s">
        <v>4910</v>
      </c>
      <c r="I508" s="4" t="s">
        <v>8378</v>
      </c>
      <c r="J508" s="4" t="s">
        <v>3188</v>
      </c>
      <c r="K508" s="4" t="s">
        <v>8384</v>
      </c>
      <c r="L508" s="4" t="s">
        <v>8385</v>
      </c>
      <c r="M508" s="4" t="s">
        <v>46</v>
      </c>
      <c r="N508" s="4"/>
      <c r="O508" s="4" t="s">
        <v>47</v>
      </c>
      <c r="P508" s="4" t="s">
        <v>48</v>
      </c>
      <c r="Q508" s="4">
        <v>0</v>
      </c>
      <c r="R508" s="4" t="b">
        <v>0</v>
      </c>
      <c r="S508" s="4" t="s">
        <v>114</v>
      </c>
      <c r="T508" s="4" t="s">
        <v>70</v>
      </c>
      <c r="U508" s="4" t="s">
        <v>527</v>
      </c>
      <c r="V508" s="4" t="s">
        <v>123</v>
      </c>
      <c r="W508" s="4" t="s">
        <v>124</v>
      </c>
      <c r="X508" s="4" t="s">
        <v>54</v>
      </c>
      <c r="Y508" s="4"/>
      <c r="Z508" s="12">
        <v>0</v>
      </c>
      <c r="AA508" s="13" t="s">
        <v>9179</v>
      </c>
      <c r="AB508" s="13" t="s">
        <v>9153</v>
      </c>
      <c r="AC508" s="14" t="s">
        <v>9157</v>
      </c>
      <c r="AD508" s="14" t="s">
        <v>9140</v>
      </c>
      <c r="AE508" s="14" t="s">
        <v>9140</v>
      </c>
      <c r="AF508" s="14" t="s">
        <v>123</v>
      </c>
      <c r="AG508" s="14" t="s">
        <v>54</v>
      </c>
      <c r="AH508" s="15" t="s">
        <v>9220</v>
      </c>
      <c r="AI508" s="15" t="s">
        <v>9191</v>
      </c>
      <c r="AJ508" s="15" t="s">
        <v>9143</v>
      </c>
      <c r="AK508" s="15" t="s">
        <v>9221</v>
      </c>
      <c r="AL508" s="15" t="s">
        <v>9226</v>
      </c>
      <c r="AM508" s="16" t="s">
        <v>9221</v>
      </c>
      <c r="AN508" s="16" t="s">
        <v>9227</v>
      </c>
    </row>
    <row r="509" spans="1:40" x14ac:dyDescent="0.25">
      <c r="A509" s="4" t="s">
        <v>3154</v>
      </c>
      <c r="B509" s="4"/>
      <c r="C509" s="4" t="s">
        <v>39</v>
      </c>
      <c r="D509" s="4" t="s">
        <v>3155</v>
      </c>
      <c r="E509" s="4" t="s">
        <v>3156</v>
      </c>
      <c r="F509" s="10">
        <v>45615</v>
      </c>
      <c r="G509" s="11">
        <v>0.60833333333333328</v>
      </c>
      <c r="H509" s="4" t="s">
        <v>2095</v>
      </c>
      <c r="I509" s="4" t="s">
        <v>3150</v>
      </c>
      <c r="J509" s="4" t="s">
        <v>3151</v>
      </c>
      <c r="K509" s="4" t="s">
        <v>3157</v>
      </c>
      <c r="L509" s="4" t="s">
        <v>3158</v>
      </c>
      <c r="M509" s="4" t="s">
        <v>46</v>
      </c>
      <c r="N509" s="4"/>
      <c r="O509" s="4" t="s">
        <v>47</v>
      </c>
      <c r="P509" s="4" t="s">
        <v>48</v>
      </c>
      <c r="Q509" s="4">
        <v>0</v>
      </c>
      <c r="R509" s="4" t="b">
        <v>0</v>
      </c>
      <c r="S509" s="4" t="s">
        <v>49</v>
      </c>
      <c r="T509" s="4" t="s">
        <v>70</v>
      </c>
      <c r="U509" s="4" t="s">
        <v>71</v>
      </c>
      <c r="V509" s="4" t="s">
        <v>63</v>
      </c>
      <c r="W509" s="4" t="s">
        <v>108</v>
      </c>
      <c r="X509" s="4" t="s">
        <v>54</v>
      </c>
      <c r="Y509" s="4"/>
      <c r="Z509" s="12">
        <v>0</v>
      </c>
      <c r="AA509" s="13" t="s">
        <v>9179</v>
      </c>
      <c r="AB509" s="13" t="s">
        <v>9153</v>
      </c>
      <c r="AC509" s="14" t="s">
        <v>9139</v>
      </c>
      <c r="AD509" s="14" t="s">
        <v>9140</v>
      </c>
      <c r="AE509" s="14" t="s">
        <v>9140</v>
      </c>
      <c r="AF509" s="14" t="s">
        <v>63</v>
      </c>
      <c r="AG509" s="14" t="s">
        <v>54</v>
      </c>
      <c r="AH509" s="15" t="s">
        <v>9194</v>
      </c>
      <c r="AI509" s="15" t="s">
        <v>9188</v>
      </c>
      <c r="AJ509" s="15" t="s">
        <v>9143</v>
      </c>
      <c r="AK509" s="15" t="s">
        <v>9194</v>
      </c>
      <c r="AL509" s="15" t="s">
        <v>9211</v>
      </c>
      <c r="AM509" s="16" t="s">
        <v>9194</v>
      </c>
      <c r="AN509" s="16" t="s">
        <v>9212</v>
      </c>
    </row>
    <row r="510" spans="1:40" x14ac:dyDescent="0.25">
      <c r="A510" s="4" t="s">
        <v>481</v>
      </c>
      <c r="B510" s="4"/>
      <c r="C510" s="4" t="s">
        <v>39</v>
      </c>
      <c r="D510" s="4" t="s">
        <v>482</v>
      </c>
      <c r="E510" s="4" t="s">
        <v>483</v>
      </c>
      <c r="F510" s="10">
        <v>45615</v>
      </c>
      <c r="G510" s="11">
        <v>0.2986111111111111</v>
      </c>
      <c r="H510" s="4" t="s">
        <v>463</v>
      </c>
      <c r="I510" s="4">
        <v>2016</v>
      </c>
      <c r="J510" s="4" t="s">
        <v>475</v>
      </c>
      <c r="K510" s="4" t="s">
        <v>484</v>
      </c>
      <c r="L510" s="4" t="s">
        <v>485</v>
      </c>
      <c r="M510" s="4" t="s">
        <v>46</v>
      </c>
      <c r="N510" s="4"/>
      <c r="O510" s="4" t="s">
        <v>47</v>
      </c>
      <c r="P510" s="4" t="s">
        <v>48</v>
      </c>
      <c r="Q510" s="4">
        <v>0</v>
      </c>
      <c r="R510" s="4" t="b">
        <v>0</v>
      </c>
      <c r="S510" s="4" t="s">
        <v>61</v>
      </c>
      <c r="T510" s="4" t="s">
        <v>89</v>
      </c>
      <c r="U510" s="4" t="s">
        <v>107</v>
      </c>
      <c r="V510" s="4" t="s">
        <v>63</v>
      </c>
      <c r="W510" s="4" t="s">
        <v>108</v>
      </c>
      <c r="X510" s="4" t="s">
        <v>98</v>
      </c>
      <c r="Y510" s="4" t="s">
        <v>486</v>
      </c>
      <c r="Z510" s="12">
        <v>0</v>
      </c>
      <c r="AA510" s="13" t="s">
        <v>9179</v>
      </c>
      <c r="AB510" s="13" t="s">
        <v>9153</v>
      </c>
      <c r="AC510" s="14" t="s">
        <v>9148</v>
      </c>
      <c r="AD510" s="14" t="s">
        <v>9140</v>
      </c>
      <c r="AE510" s="14" t="s">
        <v>9140</v>
      </c>
      <c r="AF510" s="14" t="s">
        <v>63</v>
      </c>
      <c r="AG510" s="14" t="s">
        <v>98</v>
      </c>
      <c r="AH510" s="15" t="s">
        <v>9141</v>
      </c>
      <c r="AI510" s="15" t="s">
        <v>9175</v>
      </c>
      <c r="AJ510" s="15" t="s">
        <v>9143</v>
      </c>
      <c r="AK510" s="15" t="s">
        <v>9141</v>
      </c>
      <c r="AL510" s="15" t="s">
        <v>9177</v>
      </c>
      <c r="AM510" s="16" t="s">
        <v>9141</v>
      </c>
      <c r="AN510" s="16" t="s">
        <v>9178</v>
      </c>
    </row>
    <row r="511" spans="1:40" x14ac:dyDescent="0.25">
      <c r="A511" s="4" t="s">
        <v>861</v>
      </c>
      <c r="B511" s="4">
        <v>12240047739</v>
      </c>
      <c r="C511" s="4" t="s">
        <v>39</v>
      </c>
      <c r="D511" s="4" t="s">
        <v>854</v>
      </c>
      <c r="E511" s="4" t="s">
        <v>855</v>
      </c>
      <c r="F511" s="10">
        <v>45614</v>
      </c>
      <c r="G511" s="11">
        <v>0.33402777777777776</v>
      </c>
      <c r="H511" s="4" t="s">
        <v>463</v>
      </c>
      <c r="I511" s="4">
        <v>2029</v>
      </c>
      <c r="J511" s="4" t="s">
        <v>845</v>
      </c>
      <c r="K511" s="4" t="s">
        <v>859</v>
      </c>
      <c r="L511" s="4" t="s">
        <v>862</v>
      </c>
      <c r="M511" s="4" t="s">
        <v>28</v>
      </c>
      <c r="N511" s="4" t="s">
        <v>478</v>
      </c>
      <c r="O511" s="4" t="s">
        <v>863</v>
      </c>
      <c r="P511" s="4" t="s">
        <v>60</v>
      </c>
      <c r="Q511" s="4">
        <v>98</v>
      </c>
      <c r="R511" s="4" t="b">
        <v>0</v>
      </c>
      <c r="S511" s="4" t="s">
        <v>114</v>
      </c>
      <c r="T511" s="4" t="s">
        <v>89</v>
      </c>
      <c r="U511" s="4" t="s">
        <v>373</v>
      </c>
      <c r="V511" s="4" t="s">
        <v>52</v>
      </c>
      <c r="W511" s="4" t="s">
        <v>53</v>
      </c>
      <c r="X511" s="4" t="s">
        <v>54</v>
      </c>
      <c r="Y511" s="4"/>
      <c r="Z511" s="12" t="s">
        <v>60</v>
      </c>
      <c r="AA511" s="13" t="s">
        <v>9179</v>
      </c>
      <c r="AB511" s="13" t="s">
        <v>9153</v>
      </c>
      <c r="AC511" s="14" t="s">
        <v>9157</v>
      </c>
      <c r="AD511" s="14" t="s">
        <v>28</v>
      </c>
      <c r="AE511" s="14" t="s">
        <v>478</v>
      </c>
      <c r="AF511" s="14" t="s">
        <v>52</v>
      </c>
      <c r="AG511" s="14" t="s">
        <v>54</v>
      </c>
      <c r="AH511" s="15" t="s">
        <v>9141</v>
      </c>
      <c r="AI511" s="15" t="s">
        <v>9175</v>
      </c>
      <c r="AJ511" s="15" t="s">
        <v>9143</v>
      </c>
      <c r="AK511" s="15" t="s">
        <v>9141</v>
      </c>
      <c r="AL511" s="15" t="s">
        <v>9177</v>
      </c>
      <c r="AM511" s="16" t="s">
        <v>9141</v>
      </c>
      <c r="AN511" s="16" t="s">
        <v>9178</v>
      </c>
    </row>
    <row r="512" spans="1:40" x14ac:dyDescent="0.25">
      <c r="A512" s="4" t="s">
        <v>2968</v>
      </c>
      <c r="B512" s="4"/>
      <c r="C512" s="4" t="s">
        <v>39</v>
      </c>
      <c r="D512" s="4" t="s">
        <v>2969</v>
      </c>
      <c r="E512" s="4" t="s">
        <v>2970</v>
      </c>
      <c r="F512" s="10">
        <v>45614</v>
      </c>
      <c r="G512" s="11">
        <v>0.63888888888888884</v>
      </c>
      <c r="H512" s="4" t="s">
        <v>1992</v>
      </c>
      <c r="I512" s="4" t="s">
        <v>2955</v>
      </c>
      <c r="J512" s="4" t="s">
        <v>2956</v>
      </c>
      <c r="K512" s="4" t="s">
        <v>2971</v>
      </c>
      <c r="L512" s="4" t="s">
        <v>2972</v>
      </c>
      <c r="M512" s="4" t="s">
        <v>46</v>
      </c>
      <c r="N512" s="4"/>
      <c r="O512" s="4" t="s">
        <v>47</v>
      </c>
      <c r="P512" s="4" t="s">
        <v>48</v>
      </c>
      <c r="Q512" s="4">
        <v>0</v>
      </c>
      <c r="R512" s="4" t="b">
        <v>0</v>
      </c>
      <c r="S512" s="4" t="s">
        <v>61</v>
      </c>
      <c r="T512" s="4" t="s">
        <v>583</v>
      </c>
      <c r="U512" s="4" t="s">
        <v>71</v>
      </c>
      <c r="V512" s="4" t="s">
        <v>52</v>
      </c>
      <c r="W512" s="4" t="s">
        <v>255</v>
      </c>
      <c r="X512" s="4" t="s">
        <v>54</v>
      </c>
      <c r="Y512" s="4"/>
      <c r="Z512" s="12">
        <v>0</v>
      </c>
      <c r="AA512" s="13" t="s">
        <v>9179</v>
      </c>
      <c r="AB512" s="13" t="s">
        <v>9153</v>
      </c>
      <c r="AC512" s="14" t="s">
        <v>9148</v>
      </c>
      <c r="AD512" s="14" t="s">
        <v>9140</v>
      </c>
      <c r="AE512" s="14" t="s">
        <v>9140</v>
      </c>
      <c r="AF512" s="14" t="s">
        <v>52</v>
      </c>
      <c r="AG512" s="14" t="s">
        <v>54</v>
      </c>
      <c r="AH512" s="15" t="s">
        <v>9194</v>
      </c>
      <c r="AI512" s="15" t="s">
        <v>9191</v>
      </c>
      <c r="AJ512" s="15" t="s">
        <v>9143</v>
      </c>
      <c r="AK512" s="15" t="s">
        <v>9194</v>
      </c>
      <c r="AL512" s="15" t="s">
        <v>9205</v>
      </c>
      <c r="AM512" s="16" t="s">
        <v>9194</v>
      </c>
      <c r="AN512" s="16" t="s">
        <v>9206</v>
      </c>
    </row>
    <row r="513" spans="1:40" x14ac:dyDescent="0.25">
      <c r="A513" s="4" t="s">
        <v>2922</v>
      </c>
      <c r="B513" s="4"/>
      <c r="C513" s="4" t="s">
        <v>39</v>
      </c>
      <c r="D513" s="4" t="s">
        <v>2923</v>
      </c>
      <c r="E513" s="4" t="s">
        <v>2924</v>
      </c>
      <c r="F513" s="10">
        <v>45614</v>
      </c>
      <c r="G513" s="11">
        <v>0.66319444444444442</v>
      </c>
      <c r="H513" s="4" t="s">
        <v>1992</v>
      </c>
      <c r="I513" s="4" t="s">
        <v>2913</v>
      </c>
      <c r="J513" s="4" t="s">
        <v>2914</v>
      </c>
      <c r="K513" s="4" t="s">
        <v>2925</v>
      </c>
      <c r="L513" s="4" t="s">
        <v>2926</v>
      </c>
      <c r="M513" s="4" t="s">
        <v>46</v>
      </c>
      <c r="N513" s="4"/>
      <c r="O513" s="4" t="s">
        <v>47</v>
      </c>
      <c r="P513" s="4" t="s">
        <v>48</v>
      </c>
      <c r="Q513" s="4">
        <v>0</v>
      </c>
      <c r="R513" s="4" t="b">
        <v>0</v>
      </c>
      <c r="S513" s="4" t="s">
        <v>49</v>
      </c>
      <c r="T513" s="4" t="s">
        <v>70</v>
      </c>
      <c r="U513" s="4" t="s">
        <v>1081</v>
      </c>
      <c r="V513" s="4" t="s">
        <v>72</v>
      </c>
      <c r="W513" s="4" t="s">
        <v>73</v>
      </c>
      <c r="X513" s="4" t="s">
        <v>54</v>
      </c>
      <c r="Y513" s="4"/>
      <c r="Z513" s="12">
        <v>0</v>
      </c>
      <c r="AA513" s="13" t="s">
        <v>9179</v>
      </c>
      <c r="AB513" s="13" t="s">
        <v>9153</v>
      </c>
      <c r="AC513" s="14" t="s">
        <v>9139</v>
      </c>
      <c r="AD513" s="14" t="s">
        <v>9140</v>
      </c>
      <c r="AE513" s="14" t="s">
        <v>9140</v>
      </c>
      <c r="AF513" s="14" t="s">
        <v>72</v>
      </c>
      <c r="AG513" s="14" t="s">
        <v>54</v>
      </c>
      <c r="AH513" s="15" t="s">
        <v>9194</v>
      </c>
      <c r="AI513" s="15" t="s">
        <v>9191</v>
      </c>
      <c r="AJ513" s="15" t="s">
        <v>9143</v>
      </c>
      <c r="AK513" s="15" t="s">
        <v>9194</v>
      </c>
      <c r="AL513" s="15" t="s">
        <v>9201</v>
      </c>
      <c r="AM513" s="16" t="s">
        <v>9194</v>
      </c>
      <c r="AN513" s="16" t="s">
        <v>9202</v>
      </c>
    </row>
    <row r="514" spans="1:40" x14ac:dyDescent="0.25">
      <c r="A514" s="4" t="s">
        <v>2283</v>
      </c>
      <c r="B514" s="4"/>
      <c r="C514" s="4" t="s">
        <v>39</v>
      </c>
      <c r="D514" s="4" t="s">
        <v>2284</v>
      </c>
      <c r="E514" s="4" t="s">
        <v>2285</v>
      </c>
      <c r="F514" s="10">
        <v>45614</v>
      </c>
      <c r="G514" s="11">
        <v>0.375</v>
      </c>
      <c r="H514" s="4" t="s">
        <v>2095</v>
      </c>
      <c r="I514" s="4" t="s">
        <v>2271</v>
      </c>
      <c r="J514" s="4" t="s">
        <v>2272</v>
      </c>
      <c r="K514" s="4" t="s">
        <v>2286</v>
      </c>
      <c r="L514" s="4" t="s">
        <v>2287</v>
      </c>
      <c r="M514" s="4" t="s">
        <v>46</v>
      </c>
      <c r="N514" s="4"/>
      <c r="O514" s="4" t="s">
        <v>47</v>
      </c>
      <c r="P514" s="4" t="s">
        <v>48</v>
      </c>
      <c r="Q514" s="4">
        <v>0</v>
      </c>
      <c r="R514" s="4" t="b">
        <v>0</v>
      </c>
      <c r="S514" s="4" t="s">
        <v>61</v>
      </c>
      <c r="T514" s="4" t="s">
        <v>583</v>
      </c>
      <c r="U514" s="4" t="s">
        <v>51</v>
      </c>
      <c r="V514" s="4" t="s">
        <v>63</v>
      </c>
      <c r="W514" s="4" t="s">
        <v>108</v>
      </c>
      <c r="X514" s="4" t="s">
        <v>54</v>
      </c>
      <c r="Y514" s="4"/>
      <c r="Z514" s="12">
        <v>0</v>
      </c>
      <c r="AA514" s="13" t="s">
        <v>9179</v>
      </c>
      <c r="AB514" s="13" t="s">
        <v>9153</v>
      </c>
      <c r="AC514" s="14" t="s">
        <v>9148</v>
      </c>
      <c r="AD514" s="14" t="s">
        <v>9140</v>
      </c>
      <c r="AE514" s="14" t="s">
        <v>9140</v>
      </c>
      <c r="AF514" s="14" t="s">
        <v>63</v>
      </c>
      <c r="AG514" s="14" t="s">
        <v>54</v>
      </c>
      <c r="AH514" s="15" t="s">
        <v>9194</v>
      </c>
      <c r="AI514" s="15" t="s">
        <v>9188</v>
      </c>
      <c r="AJ514" s="15" t="s">
        <v>9143</v>
      </c>
      <c r="AK514" s="15" t="s">
        <v>9194</v>
      </c>
      <c r="AL514" s="15" t="s">
        <v>9203</v>
      </c>
      <c r="AM514" s="16" t="s">
        <v>9194</v>
      </c>
      <c r="AN514" s="16" t="s">
        <v>9204</v>
      </c>
    </row>
    <row r="515" spans="1:40" x14ac:dyDescent="0.25">
      <c r="A515" s="4" t="s">
        <v>2719</v>
      </c>
      <c r="B515" s="4"/>
      <c r="C515" s="4" t="s">
        <v>39</v>
      </c>
      <c r="D515" s="4" t="s">
        <v>2720</v>
      </c>
      <c r="E515" s="4" t="s">
        <v>2721</v>
      </c>
      <c r="F515" s="10">
        <v>45614</v>
      </c>
      <c r="G515" s="11">
        <v>0.47013888888888888</v>
      </c>
      <c r="H515" s="4" t="s">
        <v>2227</v>
      </c>
      <c r="I515" s="4" t="s">
        <v>2715</v>
      </c>
      <c r="J515" s="4" t="s">
        <v>1200</v>
      </c>
      <c r="K515" s="4" t="s">
        <v>2722</v>
      </c>
      <c r="L515" s="4" t="s">
        <v>2723</v>
      </c>
      <c r="M515" s="4" t="s">
        <v>46</v>
      </c>
      <c r="N515" s="4"/>
      <c r="O515" s="4" t="s">
        <v>47</v>
      </c>
      <c r="P515" s="4" t="s">
        <v>48</v>
      </c>
      <c r="Q515" s="4">
        <v>0</v>
      </c>
      <c r="R515" s="4" t="b">
        <v>0</v>
      </c>
      <c r="S515" s="4" t="s">
        <v>61</v>
      </c>
      <c r="T515" s="4" t="s">
        <v>2195</v>
      </c>
      <c r="U515" s="4" t="s">
        <v>148</v>
      </c>
      <c r="V515" s="4" t="s">
        <v>52</v>
      </c>
      <c r="W515" s="4" t="s">
        <v>53</v>
      </c>
      <c r="X515" s="4" t="s">
        <v>54</v>
      </c>
      <c r="Y515" s="4"/>
      <c r="Z515" s="12">
        <v>0</v>
      </c>
      <c r="AA515" s="13" t="s">
        <v>9179</v>
      </c>
      <c r="AB515" s="13" t="s">
        <v>9153</v>
      </c>
      <c r="AC515" s="14" t="s">
        <v>9148</v>
      </c>
      <c r="AD515" s="14" t="s">
        <v>9140</v>
      </c>
      <c r="AE515" s="14" t="s">
        <v>9140</v>
      </c>
      <c r="AF515" s="14" t="s">
        <v>52</v>
      </c>
      <c r="AG515" s="14" t="s">
        <v>54</v>
      </c>
      <c r="AH515" s="15" t="s">
        <v>9194</v>
      </c>
      <c r="AI515" s="15" t="s">
        <v>9187</v>
      </c>
      <c r="AJ515" s="15" t="s">
        <v>9143</v>
      </c>
      <c r="AK515" s="15" t="s">
        <v>9194</v>
      </c>
      <c r="AL515" s="15" t="s">
        <v>9209</v>
      </c>
      <c r="AM515" s="16" t="s">
        <v>9194</v>
      </c>
      <c r="AN515" s="16" t="s">
        <v>9210</v>
      </c>
    </row>
    <row r="516" spans="1:40" x14ac:dyDescent="0.25">
      <c r="A516" s="4" t="s">
        <v>3094</v>
      </c>
      <c r="B516" s="4">
        <v>12240047807</v>
      </c>
      <c r="C516" s="4" t="s">
        <v>39</v>
      </c>
      <c r="D516" s="4" t="s">
        <v>3095</v>
      </c>
      <c r="E516" s="4" t="s">
        <v>3096</v>
      </c>
      <c r="F516" s="10">
        <v>45613</v>
      </c>
      <c r="G516" s="11">
        <v>0.59722222222222221</v>
      </c>
      <c r="H516" s="4" t="s">
        <v>1939</v>
      </c>
      <c r="I516" s="4" t="s">
        <v>3089</v>
      </c>
      <c r="J516" s="4" t="s">
        <v>3090</v>
      </c>
      <c r="K516" s="4" t="s">
        <v>3097</v>
      </c>
      <c r="L516" s="4" t="s">
        <v>3098</v>
      </c>
      <c r="M516" s="4" t="s">
        <v>28</v>
      </c>
      <c r="N516" s="4" t="s">
        <v>147</v>
      </c>
      <c r="O516" s="4" t="s">
        <v>191</v>
      </c>
      <c r="P516" s="4" t="s">
        <v>60</v>
      </c>
      <c r="Q516" s="4">
        <v>0</v>
      </c>
      <c r="R516" s="4" t="b">
        <v>0</v>
      </c>
      <c r="S516" s="4" t="s">
        <v>114</v>
      </c>
      <c r="T516" s="4" t="s">
        <v>115</v>
      </c>
      <c r="U516" s="4" t="s">
        <v>175</v>
      </c>
      <c r="V516" s="4" t="s">
        <v>52</v>
      </c>
      <c r="W516" s="4" t="s">
        <v>255</v>
      </c>
      <c r="X516" s="4" t="s">
        <v>98</v>
      </c>
      <c r="Y516" s="4"/>
      <c r="Z516" s="12" t="s">
        <v>60</v>
      </c>
      <c r="AA516" s="13" t="s">
        <v>9179</v>
      </c>
      <c r="AB516" s="13" t="s">
        <v>9153</v>
      </c>
      <c r="AC516" s="14" t="s">
        <v>9157</v>
      </c>
      <c r="AD516" s="14" t="s">
        <v>28</v>
      </c>
      <c r="AE516" s="14" t="s">
        <v>9140</v>
      </c>
      <c r="AF516" s="14" t="s">
        <v>52</v>
      </c>
      <c r="AG516" s="14" t="s">
        <v>98</v>
      </c>
      <c r="AH516" s="15" t="s">
        <v>9194</v>
      </c>
      <c r="AI516" s="15" t="s">
        <v>9175</v>
      </c>
      <c r="AJ516" s="15" t="s">
        <v>9143</v>
      </c>
      <c r="AK516" s="15" t="s">
        <v>9194</v>
      </c>
      <c r="AL516" s="15" t="s">
        <v>9209</v>
      </c>
      <c r="AM516" s="16" t="s">
        <v>9194</v>
      </c>
      <c r="AN516" s="16" t="s">
        <v>9210</v>
      </c>
    </row>
    <row r="517" spans="1:40" x14ac:dyDescent="0.25">
      <c r="A517" s="4" t="s">
        <v>4607</v>
      </c>
      <c r="B517" s="4">
        <v>7426729</v>
      </c>
      <c r="C517" s="4" t="s">
        <v>39</v>
      </c>
      <c r="D517" s="4" t="s">
        <v>4608</v>
      </c>
      <c r="E517" s="4" t="s">
        <v>4609</v>
      </c>
      <c r="F517" s="10">
        <v>45613</v>
      </c>
      <c r="G517" s="11">
        <v>0.67152777777777772</v>
      </c>
      <c r="H517" s="4" t="s">
        <v>4516</v>
      </c>
      <c r="I517" s="4" t="s">
        <v>4586</v>
      </c>
      <c r="J517" s="4" t="s">
        <v>2630</v>
      </c>
      <c r="K517" s="4" t="s">
        <v>4610</v>
      </c>
      <c r="L517" s="4" t="s">
        <v>4611</v>
      </c>
      <c r="M517" s="4" t="s">
        <v>28</v>
      </c>
      <c r="N517" s="4" t="s">
        <v>478</v>
      </c>
      <c r="O517" s="4" t="s">
        <v>47</v>
      </c>
      <c r="P517" s="4" t="s">
        <v>48</v>
      </c>
      <c r="Q517" s="4">
        <v>0</v>
      </c>
      <c r="R517" s="4" t="b">
        <v>0</v>
      </c>
      <c r="S517" s="4" t="s">
        <v>61</v>
      </c>
      <c r="T517" s="4" t="s">
        <v>583</v>
      </c>
      <c r="U517" s="4" t="s">
        <v>51</v>
      </c>
      <c r="V517" s="4" t="s">
        <v>52</v>
      </c>
      <c r="W517" s="4" t="s">
        <v>255</v>
      </c>
      <c r="X517" s="4" t="s">
        <v>54</v>
      </c>
      <c r="Y517" s="4"/>
      <c r="Z517" s="12" t="s">
        <v>48</v>
      </c>
      <c r="AA517" s="13" t="s">
        <v>9179</v>
      </c>
      <c r="AB517" s="13" t="s">
        <v>9153</v>
      </c>
      <c r="AC517" s="14" t="s">
        <v>9148</v>
      </c>
      <c r="AD517" s="14" t="s">
        <v>28</v>
      </c>
      <c r="AE517" s="14" t="s">
        <v>478</v>
      </c>
      <c r="AF517" s="14" t="s">
        <v>52</v>
      </c>
      <c r="AG517" s="14" t="s">
        <v>54</v>
      </c>
      <c r="AH517" s="15" t="s">
        <v>9220</v>
      </c>
      <c r="AI517" s="15" t="s">
        <v>9188</v>
      </c>
      <c r="AJ517" s="15" t="s">
        <v>9143</v>
      </c>
      <c r="AK517" s="15" t="s">
        <v>9221</v>
      </c>
      <c r="AL517" s="15" t="s">
        <v>9232</v>
      </c>
      <c r="AM517" s="16" t="s">
        <v>9221</v>
      </c>
      <c r="AN517" s="16" t="s">
        <v>9233</v>
      </c>
    </row>
    <row r="518" spans="1:40" x14ac:dyDescent="0.25">
      <c r="A518" s="4" t="s">
        <v>8650</v>
      </c>
      <c r="B518" s="4">
        <v>7445638</v>
      </c>
      <c r="C518" s="4" t="s">
        <v>39</v>
      </c>
      <c r="D518" s="4" t="s">
        <v>8651</v>
      </c>
      <c r="E518" s="4" t="s">
        <v>8652</v>
      </c>
      <c r="F518" s="10">
        <v>45613</v>
      </c>
      <c r="G518" s="11">
        <v>0.59375</v>
      </c>
      <c r="H518" s="4" t="s">
        <v>4516</v>
      </c>
      <c r="I518" s="4" t="s">
        <v>8639</v>
      </c>
      <c r="J518" s="4" t="s">
        <v>1406</v>
      </c>
      <c r="K518" s="4" t="s">
        <v>8653</v>
      </c>
      <c r="L518" s="4" t="s">
        <v>8654</v>
      </c>
      <c r="M518" s="4" t="s">
        <v>28</v>
      </c>
      <c r="N518" s="4" t="s">
        <v>478</v>
      </c>
      <c r="O518" s="4" t="s">
        <v>174</v>
      </c>
      <c r="P518" s="4" t="s">
        <v>48</v>
      </c>
      <c r="Q518" s="4">
        <v>0</v>
      </c>
      <c r="R518" s="4" t="b">
        <v>0</v>
      </c>
      <c r="S518" s="4" t="s">
        <v>114</v>
      </c>
      <c r="T518" s="4" t="s">
        <v>583</v>
      </c>
      <c r="U518" s="4" t="s">
        <v>51</v>
      </c>
      <c r="V518" s="4" t="s">
        <v>52</v>
      </c>
      <c r="W518" s="4" t="s">
        <v>53</v>
      </c>
      <c r="X518" s="4" t="s">
        <v>54</v>
      </c>
      <c r="Y518" s="4" t="s">
        <v>176</v>
      </c>
      <c r="Z518" s="12" t="s">
        <v>48</v>
      </c>
      <c r="AA518" s="13" t="s">
        <v>9179</v>
      </c>
      <c r="AB518" s="13" t="s">
        <v>9153</v>
      </c>
      <c r="AC518" s="14" t="s">
        <v>9157</v>
      </c>
      <c r="AD518" s="14" t="s">
        <v>28</v>
      </c>
      <c r="AE518" s="14" t="s">
        <v>478</v>
      </c>
      <c r="AF518" s="14" t="s">
        <v>52</v>
      </c>
      <c r="AG518" s="14" t="s">
        <v>54</v>
      </c>
      <c r="AH518" s="15" t="s">
        <v>9220</v>
      </c>
      <c r="AI518" s="15" t="s">
        <v>9188</v>
      </c>
      <c r="AJ518" s="15" t="s">
        <v>9143</v>
      </c>
      <c r="AK518" s="15" t="s">
        <v>9221</v>
      </c>
      <c r="AL518" s="15" t="s">
        <v>9236</v>
      </c>
      <c r="AM518" s="16" t="s">
        <v>9221</v>
      </c>
      <c r="AN518" s="16" t="s">
        <v>9237</v>
      </c>
    </row>
    <row r="519" spans="1:40" x14ac:dyDescent="0.25">
      <c r="A519" s="4" t="s">
        <v>4997</v>
      </c>
      <c r="B519" s="4">
        <v>7426422</v>
      </c>
      <c r="C519" s="4" t="s">
        <v>39</v>
      </c>
      <c r="D519" s="4" t="s">
        <v>4998</v>
      </c>
      <c r="E519" s="4" t="s">
        <v>4999</v>
      </c>
      <c r="F519" s="10">
        <v>45612</v>
      </c>
      <c r="G519" s="11">
        <v>0.53125</v>
      </c>
      <c r="H519" s="4" t="s">
        <v>4516</v>
      </c>
      <c r="I519" s="4" t="s">
        <v>4969</v>
      </c>
      <c r="J519" s="4" t="s">
        <v>3453</v>
      </c>
      <c r="K519" s="4" t="s">
        <v>5000</v>
      </c>
      <c r="L519" s="4" t="s">
        <v>5001</v>
      </c>
      <c r="M519" s="4" t="s">
        <v>28</v>
      </c>
      <c r="N519" s="4" t="s">
        <v>478</v>
      </c>
      <c r="O519" s="4" t="s">
        <v>191</v>
      </c>
      <c r="P519" s="4" t="s">
        <v>60</v>
      </c>
      <c r="Q519" s="4">
        <v>15</v>
      </c>
      <c r="R519" s="4" t="b">
        <v>0</v>
      </c>
      <c r="S519" s="4" t="s">
        <v>49</v>
      </c>
      <c r="T519" s="4" t="s">
        <v>583</v>
      </c>
      <c r="U519" s="4" t="s">
        <v>51</v>
      </c>
      <c r="V519" s="4" t="s">
        <v>123</v>
      </c>
      <c r="W519" s="4" t="s">
        <v>124</v>
      </c>
      <c r="X519" s="4" t="s">
        <v>54</v>
      </c>
      <c r="Y519" s="4"/>
      <c r="Z519" s="12" t="s">
        <v>60</v>
      </c>
      <c r="AA519" s="13" t="s">
        <v>9179</v>
      </c>
      <c r="AB519" s="13" t="s">
        <v>9153</v>
      </c>
      <c r="AC519" s="14" t="s">
        <v>9139</v>
      </c>
      <c r="AD519" s="14" t="s">
        <v>28</v>
      </c>
      <c r="AE519" s="14" t="s">
        <v>478</v>
      </c>
      <c r="AF519" s="14" t="s">
        <v>123</v>
      </c>
      <c r="AG519" s="14" t="s">
        <v>54</v>
      </c>
      <c r="AH519" s="15" t="s">
        <v>9220</v>
      </c>
      <c r="AI519" s="15" t="s">
        <v>9188</v>
      </c>
      <c r="AJ519" s="15" t="s">
        <v>9143</v>
      </c>
      <c r="AK519" s="15" t="s">
        <v>9221</v>
      </c>
      <c r="AL519" s="15" t="s">
        <v>9230</v>
      </c>
      <c r="AM519" s="16" t="s">
        <v>9221</v>
      </c>
      <c r="AN519" s="16" t="s">
        <v>9231</v>
      </c>
    </row>
    <row r="520" spans="1:40" x14ac:dyDescent="0.25">
      <c r="A520" s="4" t="s">
        <v>7726</v>
      </c>
      <c r="B520" s="4"/>
      <c r="C520" s="4" t="s">
        <v>39</v>
      </c>
      <c r="D520" s="4" t="s">
        <v>7727</v>
      </c>
      <c r="E520" s="4" t="s">
        <v>7728</v>
      </c>
      <c r="F520" s="10">
        <v>45612</v>
      </c>
      <c r="G520" s="11">
        <v>0.4513888888888889</v>
      </c>
      <c r="H520" s="4" t="s">
        <v>4659</v>
      </c>
      <c r="I520" s="4" t="s">
        <v>7729</v>
      </c>
      <c r="J520" s="4" t="s">
        <v>3592</v>
      </c>
      <c r="K520" s="4" t="s">
        <v>7730</v>
      </c>
      <c r="L520" s="4" t="s">
        <v>7731</v>
      </c>
      <c r="M520" s="4" t="s">
        <v>46</v>
      </c>
      <c r="N520" s="4"/>
      <c r="O520" s="4" t="s">
        <v>47</v>
      </c>
      <c r="P520" s="4" t="s">
        <v>48</v>
      </c>
      <c r="Q520" s="4">
        <v>0</v>
      </c>
      <c r="R520" s="4" t="b">
        <v>0</v>
      </c>
      <c r="S520" s="4" t="s">
        <v>49</v>
      </c>
      <c r="T520" s="4" t="s">
        <v>50</v>
      </c>
      <c r="U520" s="4" t="s">
        <v>122</v>
      </c>
      <c r="V520" s="4" t="s">
        <v>123</v>
      </c>
      <c r="W520" s="4" t="s">
        <v>124</v>
      </c>
      <c r="X520" s="4" t="s">
        <v>978</v>
      </c>
      <c r="Y520" s="4"/>
      <c r="Z520" s="12">
        <v>0</v>
      </c>
      <c r="AA520" s="13" t="s">
        <v>9179</v>
      </c>
      <c r="AB520" s="13" t="s">
        <v>9153</v>
      </c>
      <c r="AC520" s="14" t="s">
        <v>9139</v>
      </c>
      <c r="AD520" s="14" t="s">
        <v>9140</v>
      </c>
      <c r="AE520" s="14" t="s">
        <v>9140</v>
      </c>
      <c r="AF520" s="14" t="s">
        <v>123</v>
      </c>
      <c r="AG520" s="14" t="s">
        <v>978</v>
      </c>
      <c r="AH520" s="15" t="s">
        <v>9220</v>
      </c>
      <c r="AI520" s="15" t="s">
        <v>9142</v>
      </c>
      <c r="AJ520" s="15" t="s">
        <v>9143</v>
      </c>
      <c r="AK520" s="15" t="s">
        <v>9221</v>
      </c>
      <c r="AL520" s="15" t="s">
        <v>9228</v>
      </c>
      <c r="AM520" s="16" t="s">
        <v>9221</v>
      </c>
      <c r="AN520" s="16" t="s">
        <v>9229</v>
      </c>
    </row>
    <row r="521" spans="1:40" x14ac:dyDescent="0.25">
      <c r="A521" s="4" t="s">
        <v>2022</v>
      </c>
      <c r="B521" s="4"/>
      <c r="C521" s="4" t="s">
        <v>39</v>
      </c>
      <c r="D521" s="4" t="s">
        <v>2023</v>
      </c>
      <c r="E521" s="4" t="s">
        <v>2024</v>
      </c>
      <c r="F521" s="10">
        <v>45612</v>
      </c>
      <c r="G521" s="11">
        <v>0.52847222222222223</v>
      </c>
      <c r="H521" s="4" t="s">
        <v>2017</v>
      </c>
      <c r="I521" s="4" t="s">
        <v>2018</v>
      </c>
      <c r="J521" s="4" t="s">
        <v>2019</v>
      </c>
      <c r="K521" s="4" t="s">
        <v>2025</v>
      </c>
      <c r="L521" s="4" t="s">
        <v>2026</v>
      </c>
      <c r="M521" s="4" t="s">
        <v>46</v>
      </c>
      <c r="N521" s="4"/>
      <c r="O521" s="4" t="s">
        <v>47</v>
      </c>
      <c r="P521" s="4" t="s">
        <v>48</v>
      </c>
      <c r="Q521" s="4">
        <v>0</v>
      </c>
      <c r="R521" s="4" t="b">
        <v>0</v>
      </c>
      <c r="S521" s="4" t="s">
        <v>49</v>
      </c>
      <c r="T521" s="4" t="s">
        <v>70</v>
      </c>
      <c r="U521" s="4" t="s">
        <v>71</v>
      </c>
      <c r="V521" s="4" t="s">
        <v>72</v>
      </c>
      <c r="W521" s="4" t="s">
        <v>73</v>
      </c>
      <c r="X521" s="4" t="s">
        <v>98</v>
      </c>
      <c r="Y521" s="4"/>
      <c r="Z521" s="12">
        <v>0</v>
      </c>
      <c r="AA521" s="13" t="s">
        <v>9179</v>
      </c>
      <c r="AB521" s="13" t="s">
        <v>9153</v>
      </c>
      <c r="AC521" s="14" t="s">
        <v>9139</v>
      </c>
      <c r="AD521" s="14" t="s">
        <v>9140</v>
      </c>
      <c r="AE521" s="14" t="s">
        <v>9140</v>
      </c>
      <c r="AF521" s="14" t="s">
        <v>72</v>
      </c>
      <c r="AG521" s="14" t="s">
        <v>98</v>
      </c>
      <c r="AH521" s="15" t="s">
        <v>9194</v>
      </c>
      <c r="AI521" s="15" t="s">
        <v>9199</v>
      </c>
      <c r="AJ521" s="15" t="s">
        <v>9143</v>
      </c>
      <c r="AK521" s="15" t="s">
        <v>9194</v>
      </c>
      <c r="AL521" s="15" t="s">
        <v>9199</v>
      </c>
      <c r="AM521" s="16" t="s">
        <v>9194</v>
      </c>
      <c r="AN521" s="16" t="s">
        <v>9200</v>
      </c>
    </row>
    <row r="522" spans="1:40" x14ac:dyDescent="0.25">
      <c r="A522" s="4" t="s">
        <v>818</v>
      </c>
      <c r="B522" s="4"/>
      <c r="C522" s="4" t="s">
        <v>39</v>
      </c>
      <c r="D522" s="4" t="s">
        <v>819</v>
      </c>
      <c r="E522" s="4" t="s">
        <v>820</v>
      </c>
      <c r="F522" s="10">
        <v>45612</v>
      </c>
      <c r="G522" s="11">
        <v>0.36249999999999999</v>
      </c>
      <c r="H522" s="4" t="s">
        <v>463</v>
      </c>
      <c r="I522" s="4">
        <v>2028</v>
      </c>
      <c r="J522" s="4" t="s">
        <v>804</v>
      </c>
      <c r="K522" s="4" t="s">
        <v>821</v>
      </c>
      <c r="L522" s="4" t="s">
        <v>822</v>
      </c>
      <c r="M522" s="4" t="s">
        <v>46</v>
      </c>
      <c r="N522" s="4"/>
      <c r="O522" s="4" t="s">
        <v>47</v>
      </c>
      <c r="P522" s="4" t="s">
        <v>48</v>
      </c>
      <c r="Q522" s="4">
        <v>0</v>
      </c>
      <c r="R522" s="4" t="b">
        <v>0</v>
      </c>
      <c r="S522" s="4" t="s">
        <v>49</v>
      </c>
      <c r="T522" s="4" t="s">
        <v>134</v>
      </c>
      <c r="U522" s="4" t="s">
        <v>71</v>
      </c>
      <c r="V522" s="4" t="s">
        <v>72</v>
      </c>
      <c r="W522" s="4" t="s">
        <v>73</v>
      </c>
      <c r="X522" s="4" t="s">
        <v>54</v>
      </c>
      <c r="Y522" s="4"/>
      <c r="Z522" s="12">
        <v>0</v>
      </c>
      <c r="AA522" s="13" t="s">
        <v>9179</v>
      </c>
      <c r="AB522" s="13" t="s">
        <v>9153</v>
      </c>
      <c r="AC522" s="14" t="s">
        <v>9139</v>
      </c>
      <c r="AD522" s="14" t="s">
        <v>9140</v>
      </c>
      <c r="AE522" s="14" t="s">
        <v>9140</v>
      </c>
      <c r="AF522" s="14" t="s">
        <v>72</v>
      </c>
      <c r="AG522" s="14" t="s">
        <v>54</v>
      </c>
      <c r="AH522" s="15" t="s">
        <v>9141</v>
      </c>
      <c r="AI522" s="15" t="s">
        <v>9175</v>
      </c>
      <c r="AJ522" s="15" t="s">
        <v>9143</v>
      </c>
      <c r="AK522" s="15" t="s">
        <v>9141</v>
      </c>
      <c r="AL522" s="15" t="s">
        <v>9175</v>
      </c>
      <c r="AM522" s="16" t="s">
        <v>9141</v>
      </c>
      <c r="AN522" s="16" t="s">
        <v>9176</v>
      </c>
    </row>
    <row r="523" spans="1:40" x14ac:dyDescent="0.25">
      <c r="A523" s="4" t="s">
        <v>1554</v>
      </c>
      <c r="B523" s="4"/>
      <c r="C523" s="4" t="s">
        <v>39</v>
      </c>
      <c r="D523" s="4" t="s">
        <v>1555</v>
      </c>
      <c r="E523" s="4" t="s">
        <v>1556</v>
      </c>
      <c r="F523" s="10">
        <v>45611</v>
      </c>
      <c r="G523" s="11">
        <v>0.60763888888888884</v>
      </c>
      <c r="H523" s="4" t="s">
        <v>1366</v>
      </c>
      <c r="I523" s="4">
        <v>6068</v>
      </c>
      <c r="J523" s="4" t="s">
        <v>1537</v>
      </c>
      <c r="K523" s="4" t="s">
        <v>1557</v>
      </c>
      <c r="L523" s="4" t="s">
        <v>1558</v>
      </c>
      <c r="M523" s="4" t="s">
        <v>46</v>
      </c>
      <c r="N523" s="4"/>
      <c r="O523" s="4" t="s">
        <v>47</v>
      </c>
      <c r="P523" s="4" t="s">
        <v>48</v>
      </c>
      <c r="Q523" s="4">
        <v>0</v>
      </c>
      <c r="R523" s="4" t="b">
        <v>0</v>
      </c>
      <c r="S523" s="4" t="s">
        <v>61</v>
      </c>
      <c r="T523" s="4" t="s">
        <v>89</v>
      </c>
      <c r="U523" s="4" t="s">
        <v>140</v>
      </c>
      <c r="V523" s="4" t="s">
        <v>63</v>
      </c>
      <c r="W523" s="4" t="s">
        <v>108</v>
      </c>
      <c r="X523" s="4" t="s">
        <v>98</v>
      </c>
      <c r="Y523" s="4"/>
      <c r="Z523" s="12">
        <v>0</v>
      </c>
      <c r="AA523" s="13" t="s">
        <v>9179</v>
      </c>
      <c r="AB523" s="13" t="s">
        <v>9153</v>
      </c>
      <c r="AC523" s="14" t="s">
        <v>9148</v>
      </c>
      <c r="AD523" s="14" t="s">
        <v>9140</v>
      </c>
      <c r="AE523" s="14" t="s">
        <v>9140</v>
      </c>
      <c r="AF523" s="14" t="s">
        <v>63</v>
      </c>
      <c r="AG523" s="14" t="s">
        <v>98</v>
      </c>
      <c r="AH523" s="15" t="s">
        <v>9141</v>
      </c>
      <c r="AI523" s="15" t="s">
        <v>9188</v>
      </c>
      <c r="AJ523" s="15" t="s">
        <v>9143</v>
      </c>
      <c r="AK523" s="15" t="s">
        <v>9141</v>
      </c>
      <c r="AL523" s="15" t="s">
        <v>9189</v>
      </c>
      <c r="AM523" s="16" t="s">
        <v>9141</v>
      </c>
      <c r="AN523" s="16" t="s">
        <v>9190</v>
      </c>
    </row>
    <row r="524" spans="1:40" x14ac:dyDescent="0.25">
      <c r="A524" s="4" t="s">
        <v>3395</v>
      </c>
      <c r="B524" s="4" t="s">
        <v>3396</v>
      </c>
      <c r="C524" s="4" t="s">
        <v>39</v>
      </c>
      <c r="D524" s="4" t="s">
        <v>3397</v>
      </c>
      <c r="E524" s="4" t="s">
        <v>3398</v>
      </c>
      <c r="F524" s="10">
        <v>45611</v>
      </c>
      <c r="G524" s="11">
        <v>0.50208333333333333</v>
      </c>
      <c r="H524" s="4" t="s">
        <v>2227</v>
      </c>
      <c r="I524" s="4" t="s">
        <v>3381</v>
      </c>
      <c r="J524" s="4" t="s">
        <v>1285</v>
      </c>
      <c r="K524" s="4" t="s">
        <v>3399</v>
      </c>
      <c r="L524" s="4" t="s">
        <v>3400</v>
      </c>
      <c r="M524" s="4" t="s">
        <v>28</v>
      </c>
      <c r="N524" s="4" t="s">
        <v>478</v>
      </c>
      <c r="O524" s="4" t="s">
        <v>344</v>
      </c>
      <c r="P524" s="4" t="s">
        <v>60</v>
      </c>
      <c r="Q524" s="4">
        <v>22</v>
      </c>
      <c r="R524" s="4" t="b">
        <v>0</v>
      </c>
      <c r="S524" s="4" t="s">
        <v>114</v>
      </c>
      <c r="T524" s="4" t="s">
        <v>115</v>
      </c>
      <c r="U524" s="4" t="s">
        <v>2065</v>
      </c>
      <c r="V524" s="4" t="s">
        <v>52</v>
      </c>
      <c r="W524" s="4" t="s">
        <v>255</v>
      </c>
      <c r="X524" s="4" t="s">
        <v>98</v>
      </c>
      <c r="Y524" s="4"/>
      <c r="Z524" s="12" t="s">
        <v>60</v>
      </c>
      <c r="AA524" s="13" t="s">
        <v>9179</v>
      </c>
      <c r="AB524" s="13" t="s">
        <v>9153</v>
      </c>
      <c r="AC524" s="14" t="s">
        <v>9157</v>
      </c>
      <c r="AD524" s="14" t="s">
        <v>28</v>
      </c>
      <c r="AE524" s="14" t="s">
        <v>478</v>
      </c>
      <c r="AF524" s="14" t="s">
        <v>52</v>
      </c>
      <c r="AG524" s="14" t="s">
        <v>98</v>
      </c>
      <c r="AH524" s="15" t="s">
        <v>9194</v>
      </c>
      <c r="AI524" s="15" t="s">
        <v>9187</v>
      </c>
      <c r="AJ524" s="15" t="s">
        <v>9143</v>
      </c>
      <c r="AK524" s="15" t="s">
        <v>9194</v>
      </c>
      <c r="AL524" s="15" t="s">
        <v>9209</v>
      </c>
      <c r="AM524" s="16" t="s">
        <v>9194</v>
      </c>
      <c r="AN524" s="16" t="s">
        <v>9210</v>
      </c>
    </row>
    <row r="525" spans="1:40" x14ac:dyDescent="0.25">
      <c r="A525" s="4" t="s">
        <v>7335</v>
      </c>
      <c r="B525" s="4"/>
      <c r="C525" s="4" t="s">
        <v>39</v>
      </c>
      <c r="D525" s="4" t="s">
        <v>7336</v>
      </c>
      <c r="E525" s="4" t="s">
        <v>7337</v>
      </c>
      <c r="F525" s="10">
        <v>45611</v>
      </c>
      <c r="G525" s="11">
        <v>0.8125</v>
      </c>
      <c r="H525" s="4" t="s">
        <v>4019</v>
      </c>
      <c r="I525" s="4" t="s">
        <v>7315</v>
      </c>
      <c r="J525" s="4" t="s">
        <v>1037</v>
      </c>
      <c r="K525" s="4" t="s">
        <v>7338</v>
      </c>
      <c r="L525" s="4" t="s">
        <v>7339</v>
      </c>
      <c r="M525" s="4" t="s">
        <v>46</v>
      </c>
      <c r="N525" s="4"/>
      <c r="O525" s="4" t="s">
        <v>47</v>
      </c>
      <c r="P525" s="4" t="s">
        <v>60</v>
      </c>
      <c r="Q525" s="4">
        <v>0</v>
      </c>
      <c r="R525" s="4" t="b">
        <v>0</v>
      </c>
      <c r="S525" s="4" t="s">
        <v>114</v>
      </c>
      <c r="T525" s="4" t="s">
        <v>50</v>
      </c>
      <c r="U525" s="4" t="s">
        <v>51</v>
      </c>
      <c r="V525" s="4" t="s">
        <v>123</v>
      </c>
      <c r="W525" s="4" t="s">
        <v>149</v>
      </c>
      <c r="X525" s="4" t="s">
        <v>54</v>
      </c>
      <c r="Y525" s="4"/>
      <c r="Z525" s="12">
        <v>0</v>
      </c>
      <c r="AA525" s="13" t="s">
        <v>9179</v>
      </c>
      <c r="AB525" s="13" t="s">
        <v>9153</v>
      </c>
      <c r="AC525" s="14" t="s">
        <v>9157</v>
      </c>
      <c r="AD525" s="14" t="s">
        <v>9140</v>
      </c>
      <c r="AE525" s="14" t="s">
        <v>9140</v>
      </c>
      <c r="AF525" s="14" t="s">
        <v>123</v>
      </c>
      <c r="AG525" s="14" t="s">
        <v>54</v>
      </c>
      <c r="AH525" s="15" t="s">
        <v>9220</v>
      </c>
      <c r="AI525" s="15" t="s">
        <v>9175</v>
      </c>
      <c r="AJ525" s="15" t="s">
        <v>9143</v>
      </c>
      <c r="AK525" s="15" t="s">
        <v>9221</v>
      </c>
      <c r="AL525" s="15" t="s">
        <v>9222</v>
      </c>
      <c r="AM525" s="16" t="s">
        <v>9221</v>
      </c>
      <c r="AN525" s="16" t="s">
        <v>9223</v>
      </c>
    </row>
    <row r="526" spans="1:40" x14ac:dyDescent="0.25">
      <c r="A526" s="4" t="s">
        <v>8386</v>
      </c>
      <c r="B526" s="4"/>
      <c r="C526" s="4" t="s">
        <v>39</v>
      </c>
      <c r="D526" s="4" t="s">
        <v>8376</v>
      </c>
      <c r="E526" s="4" t="s">
        <v>8377</v>
      </c>
      <c r="F526" s="10">
        <v>45610</v>
      </c>
      <c r="G526" s="11">
        <v>0.45416666666666666</v>
      </c>
      <c r="H526" s="4" t="s">
        <v>4910</v>
      </c>
      <c r="I526" s="4" t="s">
        <v>8378</v>
      </c>
      <c r="J526" s="4" t="s">
        <v>3188</v>
      </c>
      <c r="K526" s="4" t="s">
        <v>1194</v>
      </c>
      <c r="L526" s="4" t="s">
        <v>8387</v>
      </c>
      <c r="M526" s="4" t="s">
        <v>46</v>
      </c>
      <c r="N526" s="4"/>
      <c r="O526" s="4" t="s">
        <v>47</v>
      </c>
      <c r="P526" s="4" t="s">
        <v>48</v>
      </c>
      <c r="Q526" s="4">
        <v>0</v>
      </c>
      <c r="R526" s="4" t="b">
        <v>0</v>
      </c>
      <c r="S526" s="4" t="s">
        <v>114</v>
      </c>
      <c r="T526" s="4" t="s">
        <v>583</v>
      </c>
      <c r="U526" s="4" t="s">
        <v>175</v>
      </c>
      <c r="V526" s="4" t="s">
        <v>63</v>
      </c>
      <c r="W526" s="4" t="s">
        <v>4353</v>
      </c>
      <c r="X526" s="4" t="s">
        <v>54</v>
      </c>
      <c r="Y526" s="4"/>
      <c r="Z526" s="12">
        <v>0</v>
      </c>
      <c r="AA526" s="13" t="s">
        <v>9179</v>
      </c>
      <c r="AB526" s="13" t="s">
        <v>9153</v>
      </c>
      <c r="AC526" s="14" t="s">
        <v>9157</v>
      </c>
      <c r="AD526" s="14" t="s">
        <v>9140</v>
      </c>
      <c r="AE526" s="14" t="s">
        <v>9140</v>
      </c>
      <c r="AF526" s="14" t="s">
        <v>63</v>
      </c>
      <c r="AG526" s="14" t="s">
        <v>54</v>
      </c>
      <c r="AH526" s="15" t="s">
        <v>9220</v>
      </c>
      <c r="AI526" s="15" t="s">
        <v>9191</v>
      </c>
      <c r="AJ526" s="15" t="s">
        <v>9143</v>
      </c>
      <c r="AK526" s="15" t="s">
        <v>9221</v>
      </c>
      <c r="AL526" s="15" t="s">
        <v>9226</v>
      </c>
      <c r="AM526" s="16" t="s">
        <v>9221</v>
      </c>
      <c r="AN526" s="16" t="s">
        <v>9227</v>
      </c>
    </row>
    <row r="527" spans="1:40" x14ac:dyDescent="0.25">
      <c r="A527" s="4" t="s">
        <v>8365</v>
      </c>
      <c r="B527" s="4"/>
      <c r="C527" s="4" t="s">
        <v>39</v>
      </c>
      <c r="D527" s="4" t="s">
        <v>8366</v>
      </c>
      <c r="E527" s="4" t="s">
        <v>8367</v>
      </c>
      <c r="F527" s="10">
        <v>45610</v>
      </c>
      <c r="G527" s="11">
        <v>0.3298611111111111</v>
      </c>
      <c r="H527" s="4" t="s">
        <v>4516</v>
      </c>
      <c r="I527" s="4" t="s">
        <v>8356</v>
      </c>
      <c r="J527" s="4" t="s">
        <v>8357</v>
      </c>
      <c r="K527" s="4" t="s">
        <v>8368</v>
      </c>
      <c r="L527" s="4" t="s">
        <v>8369</v>
      </c>
      <c r="M527" s="4" t="s">
        <v>46</v>
      </c>
      <c r="N527" s="4"/>
      <c r="O527" s="4" t="s">
        <v>47</v>
      </c>
      <c r="P527" s="4" t="s">
        <v>48</v>
      </c>
      <c r="Q527" s="4">
        <v>0</v>
      </c>
      <c r="R527" s="4" t="b">
        <v>0</v>
      </c>
      <c r="S527" s="4" t="s">
        <v>49</v>
      </c>
      <c r="T527" s="4" t="s">
        <v>583</v>
      </c>
      <c r="U527" s="4" t="s">
        <v>122</v>
      </c>
      <c r="V527" s="4" t="s">
        <v>123</v>
      </c>
      <c r="W527" s="4" t="s">
        <v>124</v>
      </c>
      <c r="X527" s="4" t="s">
        <v>54</v>
      </c>
      <c r="Y527" s="4"/>
      <c r="Z527" s="12">
        <v>0</v>
      </c>
      <c r="AA527" s="13" t="s">
        <v>9179</v>
      </c>
      <c r="AB527" s="13" t="s">
        <v>9153</v>
      </c>
      <c r="AC527" s="14" t="s">
        <v>9139</v>
      </c>
      <c r="AD527" s="14" t="s">
        <v>9140</v>
      </c>
      <c r="AE527" s="14" t="s">
        <v>9140</v>
      </c>
      <c r="AF527" s="14" t="s">
        <v>123</v>
      </c>
      <c r="AG527" s="14" t="s">
        <v>54</v>
      </c>
      <c r="AH527" s="15" t="s">
        <v>9220</v>
      </c>
      <c r="AI527" s="15" t="s">
        <v>9188</v>
      </c>
      <c r="AJ527" s="15" t="s">
        <v>9143</v>
      </c>
      <c r="AK527" s="15" t="s">
        <v>9221</v>
      </c>
      <c r="AL527" s="15" t="s">
        <v>9236</v>
      </c>
      <c r="AM527" s="16" t="s">
        <v>9221</v>
      </c>
      <c r="AN527" s="16" t="s">
        <v>9237</v>
      </c>
    </row>
    <row r="528" spans="1:40" x14ac:dyDescent="0.25">
      <c r="A528" s="4" t="s">
        <v>5363</v>
      </c>
      <c r="B528" s="4"/>
      <c r="C528" s="4" t="s">
        <v>39</v>
      </c>
      <c r="D528" s="4" t="s">
        <v>5364</v>
      </c>
      <c r="E528" s="4" t="s">
        <v>5365</v>
      </c>
      <c r="F528" s="10">
        <v>45610</v>
      </c>
      <c r="G528" s="11">
        <v>0.65972222222222221</v>
      </c>
      <c r="H528" s="4" t="s">
        <v>4910</v>
      </c>
      <c r="I528" s="4" t="s">
        <v>5360</v>
      </c>
      <c r="J528" s="4" t="s">
        <v>2062</v>
      </c>
      <c r="K528" s="4" t="s">
        <v>5366</v>
      </c>
      <c r="L528" s="4" t="s">
        <v>5367</v>
      </c>
      <c r="M528" s="4" t="s">
        <v>46</v>
      </c>
      <c r="N528" s="4"/>
      <c r="O528" s="4" t="s">
        <v>47</v>
      </c>
      <c r="P528" s="4" t="s">
        <v>48</v>
      </c>
      <c r="Q528" s="4">
        <v>0</v>
      </c>
      <c r="R528" s="4" t="b">
        <v>0</v>
      </c>
      <c r="S528" s="4" t="s">
        <v>61</v>
      </c>
      <c r="T528" s="4" t="s">
        <v>583</v>
      </c>
      <c r="U528" s="4" t="s">
        <v>148</v>
      </c>
      <c r="V528" s="4" t="s">
        <v>63</v>
      </c>
      <c r="W528" s="4" t="s">
        <v>198</v>
      </c>
      <c r="X528" s="4" t="s">
        <v>54</v>
      </c>
      <c r="Y528" s="4"/>
      <c r="Z528" s="12">
        <v>0</v>
      </c>
      <c r="AA528" s="13" t="s">
        <v>9179</v>
      </c>
      <c r="AB528" s="13" t="s">
        <v>9153</v>
      </c>
      <c r="AC528" s="14" t="s">
        <v>9148</v>
      </c>
      <c r="AD528" s="14" t="s">
        <v>9140</v>
      </c>
      <c r="AE528" s="14" t="s">
        <v>9140</v>
      </c>
      <c r="AF528" s="14" t="s">
        <v>63</v>
      </c>
      <c r="AG528" s="14" t="s">
        <v>54</v>
      </c>
      <c r="AH528" s="15" t="s">
        <v>9220</v>
      </c>
      <c r="AI528" s="15" t="s">
        <v>9191</v>
      </c>
      <c r="AJ528" s="15" t="s">
        <v>9143</v>
      </c>
      <c r="AK528" s="15" t="s">
        <v>9221</v>
      </c>
      <c r="AL528" s="15" t="s">
        <v>9234</v>
      </c>
      <c r="AM528" s="16" t="s">
        <v>9221</v>
      </c>
      <c r="AN528" s="16" t="s">
        <v>9235</v>
      </c>
    </row>
    <row r="529" spans="1:40" x14ac:dyDescent="0.25">
      <c r="A529" s="4" t="s">
        <v>7470</v>
      </c>
      <c r="B529" s="4"/>
      <c r="C529" s="4" t="s">
        <v>39</v>
      </c>
      <c r="D529" s="4" t="s">
        <v>7471</v>
      </c>
      <c r="E529" s="4" t="s">
        <v>7472</v>
      </c>
      <c r="F529" s="10">
        <v>45609</v>
      </c>
      <c r="G529" s="11">
        <v>0.70833333333333337</v>
      </c>
      <c r="H529" s="4" t="s">
        <v>4910</v>
      </c>
      <c r="I529" s="4" t="s">
        <v>7457</v>
      </c>
      <c r="J529" s="4" t="s">
        <v>2378</v>
      </c>
      <c r="K529" s="4" t="s">
        <v>7473</v>
      </c>
      <c r="L529" s="4" t="s">
        <v>7474</v>
      </c>
      <c r="M529" s="4" t="s">
        <v>46</v>
      </c>
      <c r="N529" s="4"/>
      <c r="O529" s="4" t="s">
        <v>47</v>
      </c>
      <c r="P529" s="4" t="s">
        <v>48</v>
      </c>
      <c r="Q529" s="4">
        <v>0</v>
      </c>
      <c r="R529" s="4" t="b">
        <v>0</v>
      </c>
      <c r="S529" s="4" t="s">
        <v>61</v>
      </c>
      <c r="T529" s="4" t="s">
        <v>583</v>
      </c>
      <c r="U529" s="4" t="s">
        <v>301</v>
      </c>
      <c r="V529" s="4" t="s">
        <v>52</v>
      </c>
      <c r="W529" s="4" t="s">
        <v>255</v>
      </c>
      <c r="X529" s="4" t="s">
        <v>54</v>
      </c>
      <c r="Y529" s="4"/>
      <c r="Z529" s="12">
        <v>0</v>
      </c>
      <c r="AA529" s="13" t="s">
        <v>9179</v>
      </c>
      <c r="AB529" s="13" t="s">
        <v>9153</v>
      </c>
      <c r="AC529" s="14" t="s">
        <v>9148</v>
      </c>
      <c r="AD529" s="14" t="s">
        <v>9140</v>
      </c>
      <c r="AE529" s="14" t="s">
        <v>9140</v>
      </c>
      <c r="AF529" s="14" t="s">
        <v>52</v>
      </c>
      <c r="AG529" s="14" t="s">
        <v>54</v>
      </c>
      <c r="AH529" s="15" t="s">
        <v>9220</v>
      </c>
      <c r="AI529" s="15" t="s">
        <v>9191</v>
      </c>
      <c r="AJ529" s="15" t="s">
        <v>9143</v>
      </c>
      <c r="AK529" s="15" t="s">
        <v>9221</v>
      </c>
      <c r="AL529" s="15" t="s">
        <v>9226</v>
      </c>
      <c r="AM529" s="16" t="s">
        <v>9221</v>
      </c>
      <c r="AN529" s="16" t="s">
        <v>9227</v>
      </c>
    </row>
    <row r="530" spans="1:40" x14ac:dyDescent="0.25">
      <c r="A530" s="4" t="s">
        <v>8109</v>
      </c>
      <c r="B530" s="4"/>
      <c r="C530" s="4" t="s">
        <v>39</v>
      </c>
      <c r="D530" s="4" t="s">
        <v>8110</v>
      </c>
      <c r="E530" s="4" t="s">
        <v>8111</v>
      </c>
      <c r="F530" s="10">
        <v>45609</v>
      </c>
      <c r="G530" s="11">
        <v>0.61805555555555558</v>
      </c>
      <c r="H530" s="4" t="s">
        <v>4019</v>
      </c>
      <c r="I530" s="4" t="s">
        <v>8106</v>
      </c>
      <c r="J530" s="4" t="s">
        <v>8107</v>
      </c>
      <c r="K530" s="4" t="s">
        <v>711</v>
      </c>
      <c r="L530" s="4" t="s">
        <v>8112</v>
      </c>
      <c r="M530" s="4" t="s">
        <v>46</v>
      </c>
      <c r="N530" s="4"/>
      <c r="O530" s="4" t="s">
        <v>47</v>
      </c>
      <c r="P530" s="4" t="s">
        <v>48</v>
      </c>
      <c r="Q530" s="4">
        <v>0</v>
      </c>
      <c r="R530" s="4" t="b">
        <v>0</v>
      </c>
      <c r="S530" s="4" t="s">
        <v>49</v>
      </c>
      <c r="T530" s="4" t="s">
        <v>50</v>
      </c>
      <c r="U530" s="4" t="s">
        <v>527</v>
      </c>
      <c r="V530" s="4" t="s">
        <v>72</v>
      </c>
      <c r="W530" s="4" t="s">
        <v>73</v>
      </c>
      <c r="X530" s="4" t="s">
        <v>54</v>
      </c>
      <c r="Y530" s="4"/>
      <c r="Z530" s="12">
        <v>0</v>
      </c>
      <c r="AA530" s="13" t="s">
        <v>9179</v>
      </c>
      <c r="AB530" s="13" t="s">
        <v>9153</v>
      </c>
      <c r="AC530" s="14" t="s">
        <v>9139</v>
      </c>
      <c r="AD530" s="14" t="s">
        <v>9140</v>
      </c>
      <c r="AE530" s="14" t="s">
        <v>9140</v>
      </c>
      <c r="AF530" s="14" t="s">
        <v>72</v>
      </c>
      <c r="AG530" s="14" t="s">
        <v>54</v>
      </c>
      <c r="AH530" s="15" t="s">
        <v>9220</v>
      </c>
      <c r="AI530" s="15" t="s">
        <v>9175</v>
      </c>
      <c r="AJ530" s="15" t="s">
        <v>9143</v>
      </c>
      <c r="AK530" s="15" t="s">
        <v>9221</v>
      </c>
      <c r="AL530" s="15" t="s">
        <v>9222</v>
      </c>
      <c r="AM530" s="16" t="s">
        <v>9221</v>
      </c>
      <c r="AN530" s="16" t="s">
        <v>9223</v>
      </c>
    </row>
    <row r="531" spans="1:40" x14ac:dyDescent="0.25">
      <c r="A531" s="4" t="s">
        <v>4612</v>
      </c>
      <c r="B531" s="4"/>
      <c r="C531" s="4" t="s">
        <v>39</v>
      </c>
      <c r="D531" s="4" t="s">
        <v>4604</v>
      </c>
      <c r="E531" s="4" t="s">
        <v>4605</v>
      </c>
      <c r="F531" s="10">
        <v>45608</v>
      </c>
      <c r="G531" s="11">
        <v>0.59027777777777779</v>
      </c>
      <c r="H531" s="4" t="s">
        <v>4516</v>
      </c>
      <c r="I531" s="4" t="s">
        <v>4586</v>
      </c>
      <c r="J531" s="4" t="s">
        <v>2630</v>
      </c>
      <c r="K531" s="4" t="s">
        <v>321</v>
      </c>
      <c r="L531" s="4" t="s">
        <v>4613</v>
      </c>
      <c r="M531" s="4" t="s">
        <v>46</v>
      </c>
      <c r="N531" s="4"/>
      <c r="O531" s="4" t="s">
        <v>47</v>
      </c>
      <c r="P531" s="4" t="s">
        <v>48</v>
      </c>
      <c r="Q531" s="4">
        <v>0</v>
      </c>
      <c r="R531" s="4" t="b">
        <v>0</v>
      </c>
      <c r="S531" s="4" t="s">
        <v>61</v>
      </c>
      <c r="T531" s="4" t="s">
        <v>115</v>
      </c>
      <c r="U531" s="4" t="s">
        <v>148</v>
      </c>
      <c r="V531" s="4" t="s">
        <v>52</v>
      </c>
      <c r="W531" s="4" t="s">
        <v>53</v>
      </c>
      <c r="X531" s="4" t="s">
        <v>54</v>
      </c>
      <c r="Y531" s="4"/>
      <c r="Z531" s="12">
        <v>0</v>
      </c>
      <c r="AA531" s="13" t="s">
        <v>9179</v>
      </c>
      <c r="AB531" s="13" t="s">
        <v>9153</v>
      </c>
      <c r="AC531" s="14" t="s">
        <v>9148</v>
      </c>
      <c r="AD531" s="14" t="s">
        <v>9140</v>
      </c>
      <c r="AE531" s="14" t="s">
        <v>9140</v>
      </c>
      <c r="AF531" s="14" t="s">
        <v>52</v>
      </c>
      <c r="AG531" s="14" t="s">
        <v>54</v>
      </c>
      <c r="AH531" s="15" t="s">
        <v>9220</v>
      </c>
      <c r="AI531" s="15" t="s">
        <v>9188</v>
      </c>
      <c r="AJ531" s="15" t="s">
        <v>9143</v>
      </c>
      <c r="AK531" s="15" t="s">
        <v>9221</v>
      </c>
      <c r="AL531" s="15" t="s">
        <v>9232</v>
      </c>
      <c r="AM531" s="16" t="s">
        <v>9221</v>
      </c>
      <c r="AN531" s="16" t="s">
        <v>9233</v>
      </c>
    </row>
    <row r="532" spans="1:40" x14ac:dyDescent="0.25">
      <c r="A532" s="4" t="s">
        <v>2027</v>
      </c>
      <c r="B532" s="4"/>
      <c r="C532" s="4" t="s">
        <v>39</v>
      </c>
      <c r="D532" s="4" t="s">
        <v>2028</v>
      </c>
      <c r="E532" s="4" t="s">
        <v>2029</v>
      </c>
      <c r="F532" s="10">
        <v>45608</v>
      </c>
      <c r="G532" s="11">
        <v>0.41666666666666669</v>
      </c>
      <c r="H532" s="4" t="s">
        <v>2017</v>
      </c>
      <c r="I532" s="4" t="s">
        <v>2018</v>
      </c>
      <c r="J532" s="4" t="s">
        <v>2019</v>
      </c>
      <c r="K532" s="4" t="s">
        <v>2030</v>
      </c>
      <c r="L532" s="4" t="s">
        <v>2031</v>
      </c>
      <c r="M532" s="4" t="s">
        <v>46</v>
      </c>
      <c r="N532" s="4"/>
      <c r="O532" s="4" t="s">
        <v>47</v>
      </c>
      <c r="P532" s="4" t="s">
        <v>60</v>
      </c>
      <c r="Q532" s="4">
        <v>0</v>
      </c>
      <c r="R532" s="4" t="b">
        <v>0</v>
      </c>
      <c r="S532" s="4" t="s">
        <v>61</v>
      </c>
      <c r="T532" s="4" t="s">
        <v>89</v>
      </c>
      <c r="U532" s="4" t="s">
        <v>140</v>
      </c>
      <c r="V532" s="4" t="s">
        <v>123</v>
      </c>
      <c r="W532" s="4" t="s">
        <v>124</v>
      </c>
      <c r="X532" s="4" t="s">
        <v>1131</v>
      </c>
      <c r="Y532" s="4"/>
      <c r="Z532" s="12">
        <v>0</v>
      </c>
      <c r="AA532" s="13" t="s">
        <v>9179</v>
      </c>
      <c r="AB532" s="13" t="s">
        <v>9153</v>
      </c>
      <c r="AC532" s="14" t="s">
        <v>9148</v>
      </c>
      <c r="AD532" s="14" t="s">
        <v>9140</v>
      </c>
      <c r="AE532" s="14" t="s">
        <v>9140</v>
      </c>
      <c r="AF532" s="14" t="s">
        <v>123</v>
      </c>
      <c r="AG532" s="14" t="s">
        <v>1131</v>
      </c>
      <c r="AH532" s="15" t="s">
        <v>9194</v>
      </c>
      <c r="AI532" s="15" t="s">
        <v>9199</v>
      </c>
      <c r="AJ532" s="15" t="s">
        <v>9143</v>
      </c>
      <c r="AK532" s="15" t="s">
        <v>9194</v>
      </c>
      <c r="AL532" s="15" t="s">
        <v>9199</v>
      </c>
      <c r="AM532" s="16" t="s">
        <v>9194</v>
      </c>
      <c r="AN532" s="16" t="s">
        <v>9200</v>
      </c>
    </row>
    <row r="533" spans="1:40" x14ac:dyDescent="0.25">
      <c r="A533" s="4" t="s">
        <v>2187</v>
      </c>
      <c r="B533" s="4" t="s">
        <v>2188</v>
      </c>
      <c r="C533" s="4" t="s">
        <v>39</v>
      </c>
      <c r="D533" s="4" t="s">
        <v>2189</v>
      </c>
      <c r="E533" s="4" t="s">
        <v>2190</v>
      </c>
      <c r="F533" s="10">
        <v>45608</v>
      </c>
      <c r="G533" s="11">
        <v>0.64583333333333337</v>
      </c>
      <c r="H533" s="4" t="s">
        <v>2017</v>
      </c>
      <c r="I533" s="4" t="s">
        <v>2191</v>
      </c>
      <c r="J533" s="4" t="s">
        <v>2192</v>
      </c>
      <c r="K533" s="4" t="s">
        <v>2193</v>
      </c>
      <c r="L533" s="4" t="s">
        <v>2194</v>
      </c>
      <c r="M533" s="4" t="s">
        <v>28</v>
      </c>
      <c r="N533" s="4" t="s">
        <v>183</v>
      </c>
      <c r="O533" s="4" t="s">
        <v>174</v>
      </c>
      <c r="P533" s="4" t="s">
        <v>60</v>
      </c>
      <c r="Q533" s="4">
        <v>10</v>
      </c>
      <c r="R533" s="4" t="b">
        <v>0</v>
      </c>
      <c r="S533" s="4" t="s">
        <v>184</v>
      </c>
      <c r="T533" s="4" t="s">
        <v>2195</v>
      </c>
      <c r="U533" s="4" t="s">
        <v>148</v>
      </c>
      <c r="V533" s="4" t="s">
        <v>63</v>
      </c>
      <c r="W533" s="4" t="s">
        <v>108</v>
      </c>
      <c r="X533" s="4" t="s">
        <v>54</v>
      </c>
      <c r="Y533" s="4"/>
      <c r="Z533" s="12" t="s">
        <v>60</v>
      </c>
      <c r="AA533" s="13" t="s">
        <v>9179</v>
      </c>
      <c r="AB533" s="13" t="s">
        <v>9153</v>
      </c>
      <c r="AC533" s="14" t="s">
        <v>9166</v>
      </c>
      <c r="AD533" s="14" t="s">
        <v>28</v>
      </c>
      <c r="AE533" s="14" t="s">
        <v>183</v>
      </c>
      <c r="AF533" s="14" t="s">
        <v>63</v>
      </c>
      <c r="AG533" s="14" t="s">
        <v>54</v>
      </c>
      <c r="AH533" s="15" t="s">
        <v>9194</v>
      </c>
      <c r="AI533" s="15" t="s">
        <v>9199</v>
      </c>
      <c r="AJ533" s="15" t="s">
        <v>9143</v>
      </c>
      <c r="AK533" s="15" t="s">
        <v>9194</v>
      </c>
      <c r="AL533" s="15" t="s">
        <v>9199</v>
      </c>
      <c r="AM533" s="16" t="s">
        <v>9194</v>
      </c>
      <c r="AN533" s="16" t="s">
        <v>9200</v>
      </c>
    </row>
    <row r="534" spans="1:40" x14ac:dyDescent="0.25">
      <c r="A534" s="4" t="s">
        <v>1064</v>
      </c>
      <c r="B534" s="4"/>
      <c r="C534" s="4" t="s">
        <v>39</v>
      </c>
      <c r="D534" s="4" t="s">
        <v>1065</v>
      </c>
      <c r="E534" s="4" t="s">
        <v>1066</v>
      </c>
      <c r="F534" s="10">
        <v>45607</v>
      </c>
      <c r="G534" s="11">
        <v>0.5625</v>
      </c>
      <c r="H534" s="4" t="s">
        <v>463</v>
      </c>
      <c r="I534" s="4">
        <v>2054</v>
      </c>
      <c r="J534" s="4" t="s">
        <v>1067</v>
      </c>
      <c r="K534" s="4" t="s">
        <v>1068</v>
      </c>
      <c r="L534" s="4" t="s">
        <v>1069</v>
      </c>
      <c r="M534" s="4" t="s">
        <v>46</v>
      </c>
      <c r="N534" s="4"/>
      <c r="O534" s="4" t="s">
        <v>47</v>
      </c>
      <c r="P534" s="4" t="s">
        <v>48</v>
      </c>
      <c r="Q534" s="4">
        <v>0</v>
      </c>
      <c r="R534" s="4" t="b">
        <v>0</v>
      </c>
      <c r="S534" s="4" t="s">
        <v>61</v>
      </c>
      <c r="T534" s="4" t="s">
        <v>89</v>
      </c>
      <c r="U534" s="4" t="s">
        <v>90</v>
      </c>
      <c r="V534" s="4" t="s">
        <v>63</v>
      </c>
      <c r="W534" s="4" t="s">
        <v>108</v>
      </c>
      <c r="X534" s="4" t="s">
        <v>98</v>
      </c>
      <c r="Y534" s="4"/>
      <c r="Z534" s="12">
        <v>0</v>
      </c>
      <c r="AA534" s="13" t="s">
        <v>9179</v>
      </c>
      <c r="AB534" s="13" t="s">
        <v>9153</v>
      </c>
      <c r="AC534" s="14" t="s">
        <v>9148</v>
      </c>
      <c r="AD534" s="14" t="s">
        <v>9140</v>
      </c>
      <c r="AE534" s="14" t="s">
        <v>9140</v>
      </c>
      <c r="AF534" s="14" t="s">
        <v>63</v>
      </c>
      <c r="AG534" s="14" t="s">
        <v>98</v>
      </c>
      <c r="AH534" s="15" t="s">
        <v>9141</v>
      </c>
      <c r="AI534" s="15" t="s">
        <v>9175</v>
      </c>
      <c r="AJ534" s="15" t="s">
        <v>9143</v>
      </c>
      <c r="AK534" s="15" t="s">
        <v>9141</v>
      </c>
      <c r="AL534" s="15" t="s">
        <v>9175</v>
      </c>
      <c r="AM534" s="16" t="s">
        <v>9141</v>
      </c>
      <c r="AN534" s="16" t="s">
        <v>9176</v>
      </c>
    </row>
    <row r="535" spans="1:40" x14ac:dyDescent="0.25">
      <c r="A535" s="4" t="s">
        <v>3930</v>
      </c>
      <c r="B535" s="4"/>
      <c r="C535" s="4" t="s">
        <v>39</v>
      </c>
      <c r="D535" s="4" t="s">
        <v>3931</v>
      </c>
      <c r="E535" s="4" t="s">
        <v>3932</v>
      </c>
      <c r="F535" s="10">
        <v>45606</v>
      </c>
      <c r="G535" s="11">
        <v>0.49236111111111114</v>
      </c>
      <c r="H535" s="4" t="s">
        <v>1992</v>
      </c>
      <c r="I535" s="4" t="s">
        <v>3926</v>
      </c>
      <c r="J535" s="4" t="s">
        <v>3927</v>
      </c>
      <c r="K535" s="4" t="s">
        <v>3933</v>
      </c>
      <c r="L535" s="4" t="s">
        <v>3934</v>
      </c>
      <c r="M535" s="4" t="s">
        <v>46</v>
      </c>
      <c r="N535" s="4"/>
      <c r="O535" s="4" t="s">
        <v>47</v>
      </c>
      <c r="P535" s="4" t="s">
        <v>48</v>
      </c>
      <c r="Q535" s="4">
        <v>0</v>
      </c>
      <c r="R535" s="4" t="b">
        <v>0</v>
      </c>
      <c r="S535" s="4" t="s">
        <v>61</v>
      </c>
      <c r="T535" s="4" t="s">
        <v>115</v>
      </c>
      <c r="U535" s="4" t="s">
        <v>148</v>
      </c>
      <c r="V535" s="4" t="s">
        <v>52</v>
      </c>
      <c r="W535" s="4" t="s">
        <v>135</v>
      </c>
      <c r="X535" s="4" t="s">
        <v>54</v>
      </c>
      <c r="Y535" s="4"/>
      <c r="Z535" s="12">
        <v>0</v>
      </c>
      <c r="AA535" s="13" t="s">
        <v>9179</v>
      </c>
      <c r="AB535" s="13" t="s">
        <v>9153</v>
      </c>
      <c r="AC535" s="14" t="s">
        <v>9148</v>
      </c>
      <c r="AD535" s="14" t="s">
        <v>9140</v>
      </c>
      <c r="AE535" s="14" t="s">
        <v>9140</v>
      </c>
      <c r="AF535" s="14" t="s">
        <v>52</v>
      </c>
      <c r="AG535" s="14" t="s">
        <v>54</v>
      </c>
      <c r="AH535" s="15" t="s">
        <v>9194</v>
      </c>
      <c r="AI535" s="15" t="s">
        <v>9191</v>
      </c>
      <c r="AJ535" s="15" t="s">
        <v>9143</v>
      </c>
      <c r="AK535" s="15" t="s">
        <v>9194</v>
      </c>
      <c r="AL535" s="15" t="s">
        <v>9197</v>
      </c>
      <c r="AM535" s="16" t="s">
        <v>9194</v>
      </c>
      <c r="AN535" s="16" t="s">
        <v>9198</v>
      </c>
    </row>
    <row r="536" spans="1:40" x14ac:dyDescent="0.25">
      <c r="A536" s="4" t="s">
        <v>2692</v>
      </c>
      <c r="B536" s="4"/>
      <c r="C536" s="4" t="s">
        <v>39</v>
      </c>
      <c r="D536" s="4" t="s">
        <v>2675</v>
      </c>
      <c r="E536" s="4" t="s">
        <v>2676</v>
      </c>
      <c r="F536" s="10">
        <v>45606</v>
      </c>
      <c r="G536" s="11">
        <v>0.61111111111111116</v>
      </c>
      <c r="H536" s="4" t="s">
        <v>1939</v>
      </c>
      <c r="I536" s="4" t="s">
        <v>2677</v>
      </c>
      <c r="J536" s="4" t="s">
        <v>2678</v>
      </c>
      <c r="K536" s="4" t="s">
        <v>2693</v>
      </c>
      <c r="L536" s="4" t="s">
        <v>2694</v>
      </c>
      <c r="M536" s="4" t="s">
        <v>46</v>
      </c>
      <c r="N536" s="4"/>
      <c r="O536" s="4" t="s">
        <v>47</v>
      </c>
      <c r="P536" s="4" t="s">
        <v>48</v>
      </c>
      <c r="Q536" s="4">
        <v>0</v>
      </c>
      <c r="R536" s="4" t="b">
        <v>0</v>
      </c>
      <c r="S536" s="4" t="s">
        <v>49</v>
      </c>
      <c r="T536" s="4" t="s">
        <v>50</v>
      </c>
      <c r="U536" s="4" t="s">
        <v>51</v>
      </c>
      <c r="V536" s="4" t="s">
        <v>123</v>
      </c>
      <c r="W536" s="4" t="s">
        <v>149</v>
      </c>
      <c r="X536" s="4" t="s">
        <v>978</v>
      </c>
      <c r="Y536" s="4"/>
      <c r="Z536" s="12">
        <v>0</v>
      </c>
      <c r="AA536" s="13" t="s">
        <v>9179</v>
      </c>
      <c r="AB536" s="13" t="s">
        <v>9153</v>
      </c>
      <c r="AC536" s="14" t="s">
        <v>9139</v>
      </c>
      <c r="AD536" s="14" t="s">
        <v>9140</v>
      </c>
      <c r="AE536" s="14" t="s">
        <v>9140</v>
      </c>
      <c r="AF536" s="14" t="s">
        <v>123</v>
      </c>
      <c r="AG536" s="14" t="s">
        <v>978</v>
      </c>
      <c r="AH536" s="15" t="s">
        <v>9194</v>
      </c>
      <c r="AI536" s="15" t="s">
        <v>9175</v>
      </c>
      <c r="AJ536" s="15" t="s">
        <v>9143</v>
      </c>
      <c r="AK536" s="15" t="s">
        <v>9194</v>
      </c>
      <c r="AL536" s="15" t="s">
        <v>9195</v>
      </c>
      <c r="AM536" s="16" t="s">
        <v>9194</v>
      </c>
      <c r="AN536" s="16" t="s">
        <v>9196</v>
      </c>
    </row>
    <row r="537" spans="1:40" x14ac:dyDescent="0.25">
      <c r="A537" s="4" t="s">
        <v>4680</v>
      </c>
      <c r="B537" s="4"/>
      <c r="C537" s="4" t="s">
        <v>39</v>
      </c>
      <c r="D537" s="4" t="s">
        <v>4681</v>
      </c>
      <c r="E537" s="4" t="s">
        <v>4682</v>
      </c>
      <c r="F537" s="10">
        <v>45606</v>
      </c>
      <c r="G537" s="11">
        <v>0.62291666666666667</v>
      </c>
      <c r="H537" s="4" t="s">
        <v>4659</v>
      </c>
      <c r="I537" s="4" t="s">
        <v>4660</v>
      </c>
      <c r="J537" s="4" t="s">
        <v>4661</v>
      </c>
      <c r="K537" s="4" t="s">
        <v>4683</v>
      </c>
      <c r="L537" s="4" t="s">
        <v>4684</v>
      </c>
      <c r="M537" s="4" t="s">
        <v>46</v>
      </c>
      <c r="N537" s="4"/>
      <c r="O537" s="4" t="s">
        <v>47</v>
      </c>
      <c r="P537" s="4" t="s">
        <v>48</v>
      </c>
      <c r="Q537" s="4">
        <v>0</v>
      </c>
      <c r="R537" s="4" t="b">
        <v>0</v>
      </c>
      <c r="S537" s="4" t="s">
        <v>49</v>
      </c>
      <c r="T537" s="4" t="s">
        <v>433</v>
      </c>
      <c r="U537" s="4" t="s">
        <v>71</v>
      </c>
      <c r="V537" s="4" t="s">
        <v>72</v>
      </c>
      <c r="W537" s="4" t="s">
        <v>73</v>
      </c>
      <c r="X537" s="4" t="s">
        <v>54</v>
      </c>
      <c r="Y537" s="4"/>
      <c r="Z537" s="12">
        <v>0</v>
      </c>
      <c r="AA537" s="13" t="s">
        <v>9179</v>
      </c>
      <c r="AB537" s="13" t="s">
        <v>9153</v>
      </c>
      <c r="AC537" s="14" t="s">
        <v>9139</v>
      </c>
      <c r="AD537" s="14" t="s">
        <v>9140</v>
      </c>
      <c r="AE537" s="14" t="s">
        <v>9140</v>
      </c>
      <c r="AF537" s="14" t="s">
        <v>72</v>
      </c>
      <c r="AG537" s="14" t="s">
        <v>54</v>
      </c>
      <c r="AH537" s="15" t="s">
        <v>9220</v>
      </c>
      <c r="AI537" s="15" t="s">
        <v>9142</v>
      </c>
      <c r="AJ537" s="15" t="s">
        <v>9143</v>
      </c>
      <c r="AK537" s="15" t="s">
        <v>9221</v>
      </c>
      <c r="AL537" s="15" t="s">
        <v>9228</v>
      </c>
      <c r="AM537" s="16" t="s">
        <v>9221</v>
      </c>
      <c r="AN537" s="16" t="s">
        <v>9229</v>
      </c>
    </row>
    <row r="538" spans="1:40" x14ac:dyDescent="0.25">
      <c r="A538" s="4" t="s">
        <v>2594</v>
      </c>
      <c r="B538" s="4"/>
      <c r="C538" s="4" t="s">
        <v>39</v>
      </c>
      <c r="D538" s="4" t="s">
        <v>2595</v>
      </c>
      <c r="E538" s="4" t="s">
        <v>2596</v>
      </c>
      <c r="F538" s="10">
        <v>45605</v>
      </c>
      <c r="G538" s="11">
        <v>0.375</v>
      </c>
      <c r="H538" s="4" t="s">
        <v>2017</v>
      </c>
      <c r="I538" s="4" t="s">
        <v>2597</v>
      </c>
      <c r="J538" s="4" t="s">
        <v>2598</v>
      </c>
      <c r="K538" s="4" t="s">
        <v>2599</v>
      </c>
      <c r="L538" s="4" t="s">
        <v>2600</v>
      </c>
      <c r="M538" s="4" t="s">
        <v>46</v>
      </c>
      <c r="N538" s="4"/>
      <c r="O538" s="4" t="s">
        <v>174</v>
      </c>
      <c r="P538" s="4" t="s">
        <v>48</v>
      </c>
      <c r="Q538" s="4">
        <v>0</v>
      </c>
      <c r="R538" s="4" t="b">
        <v>0</v>
      </c>
      <c r="S538" s="4" t="s">
        <v>114</v>
      </c>
      <c r="T538" s="4" t="s">
        <v>70</v>
      </c>
      <c r="U538" s="4" t="s">
        <v>71</v>
      </c>
      <c r="V538" s="4" t="s">
        <v>72</v>
      </c>
      <c r="W538" s="4" t="s">
        <v>73</v>
      </c>
      <c r="X538" s="4" t="s">
        <v>98</v>
      </c>
      <c r="Y538" s="4"/>
      <c r="Z538" s="12">
        <v>0</v>
      </c>
      <c r="AA538" s="13" t="s">
        <v>9179</v>
      </c>
      <c r="AB538" s="13" t="s">
        <v>9153</v>
      </c>
      <c r="AC538" s="14" t="s">
        <v>9157</v>
      </c>
      <c r="AD538" s="14" t="s">
        <v>9140</v>
      </c>
      <c r="AE538" s="14" t="s">
        <v>9140</v>
      </c>
      <c r="AF538" s="14" t="s">
        <v>72</v>
      </c>
      <c r="AG538" s="14" t="s">
        <v>98</v>
      </c>
      <c r="AH538" s="15" t="s">
        <v>9194</v>
      </c>
      <c r="AI538" s="15" t="s">
        <v>9199</v>
      </c>
      <c r="AJ538" s="15" t="s">
        <v>9143</v>
      </c>
      <c r="AK538" s="15" t="s">
        <v>9194</v>
      </c>
      <c r="AL538" s="15" t="s">
        <v>9199</v>
      </c>
      <c r="AM538" s="16" t="s">
        <v>9194</v>
      </c>
      <c r="AN538" s="16" t="s">
        <v>9200</v>
      </c>
    </row>
    <row r="539" spans="1:40" x14ac:dyDescent="0.25">
      <c r="A539" s="4" t="s">
        <v>1511</v>
      </c>
      <c r="B539" s="4"/>
      <c r="C539" s="4" t="s">
        <v>39</v>
      </c>
      <c r="D539" s="4" t="s">
        <v>1512</v>
      </c>
      <c r="E539" s="4" t="s">
        <v>1513</v>
      </c>
      <c r="F539" s="10">
        <v>45605</v>
      </c>
      <c r="G539" s="11">
        <v>0.64583333333333337</v>
      </c>
      <c r="H539" s="4" t="s">
        <v>1476</v>
      </c>
      <c r="I539" s="4">
        <v>6065</v>
      </c>
      <c r="J539" s="4" t="s">
        <v>1508</v>
      </c>
      <c r="K539" s="4" t="s">
        <v>1514</v>
      </c>
      <c r="L539" s="4" t="s">
        <v>1515</v>
      </c>
      <c r="M539" s="4" t="s">
        <v>46</v>
      </c>
      <c r="N539" s="4"/>
      <c r="O539" s="4" t="s">
        <v>47</v>
      </c>
      <c r="P539" s="4" t="s">
        <v>48</v>
      </c>
      <c r="Q539" s="4">
        <v>0</v>
      </c>
      <c r="R539" s="4" t="b">
        <v>0</v>
      </c>
      <c r="S539" s="4" t="s">
        <v>61</v>
      </c>
      <c r="T539" s="4" t="s">
        <v>89</v>
      </c>
      <c r="U539" s="4" t="s">
        <v>148</v>
      </c>
      <c r="V539" s="4" t="s">
        <v>123</v>
      </c>
      <c r="W539" s="4" t="s">
        <v>192</v>
      </c>
      <c r="X539" s="4" t="s">
        <v>98</v>
      </c>
      <c r="Y539" s="4" t="s">
        <v>486</v>
      </c>
      <c r="Z539" s="12">
        <v>0</v>
      </c>
      <c r="AA539" s="13" t="s">
        <v>9179</v>
      </c>
      <c r="AB539" s="13" t="s">
        <v>9153</v>
      </c>
      <c r="AC539" s="14" t="s">
        <v>9148</v>
      </c>
      <c r="AD539" s="14" t="s">
        <v>9140</v>
      </c>
      <c r="AE539" s="14" t="s">
        <v>9140</v>
      </c>
      <c r="AF539" s="14" t="s">
        <v>123</v>
      </c>
      <c r="AG539" s="14" t="s">
        <v>98</v>
      </c>
      <c r="AH539" s="15" t="s">
        <v>9141</v>
      </c>
      <c r="AI539" s="15" t="s">
        <v>9193</v>
      </c>
      <c r="AJ539" s="15" t="s">
        <v>9143</v>
      </c>
      <c r="AK539" s="15" t="s">
        <v>9141</v>
      </c>
      <c r="AL539" s="15" t="s">
        <v>9189</v>
      </c>
      <c r="AM539" s="16" t="s">
        <v>9141</v>
      </c>
      <c r="AN539" s="16" t="s">
        <v>9190</v>
      </c>
    </row>
    <row r="540" spans="1:40" x14ac:dyDescent="0.25">
      <c r="A540" s="4" t="s">
        <v>2927</v>
      </c>
      <c r="B540" s="4"/>
      <c r="C540" s="4" t="s">
        <v>39</v>
      </c>
      <c r="D540" s="4" t="s">
        <v>2928</v>
      </c>
      <c r="E540" s="4" t="s">
        <v>2929</v>
      </c>
      <c r="F540" s="10">
        <v>45604</v>
      </c>
      <c r="G540" s="11">
        <v>0.43055555555555558</v>
      </c>
      <c r="H540" s="4" t="s">
        <v>1992</v>
      </c>
      <c r="I540" s="4" t="s">
        <v>2913</v>
      </c>
      <c r="J540" s="4" t="s">
        <v>2914</v>
      </c>
      <c r="K540" s="4" t="s">
        <v>2930</v>
      </c>
      <c r="L540" s="4" t="s">
        <v>2931</v>
      </c>
      <c r="M540" s="4" t="s">
        <v>46</v>
      </c>
      <c r="N540" s="4"/>
      <c r="O540" s="4" t="s">
        <v>47</v>
      </c>
      <c r="P540" s="4" t="s">
        <v>48</v>
      </c>
      <c r="Q540" s="4">
        <v>0</v>
      </c>
      <c r="R540" s="4" t="b">
        <v>0</v>
      </c>
      <c r="S540" s="4" t="s">
        <v>114</v>
      </c>
      <c r="T540" s="4" t="s">
        <v>70</v>
      </c>
      <c r="U540" s="4" t="s">
        <v>527</v>
      </c>
      <c r="V540" s="4" t="s">
        <v>72</v>
      </c>
      <c r="W540" s="4" t="s">
        <v>73</v>
      </c>
      <c r="X540" s="4" t="s">
        <v>54</v>
      </c>
      <c r="Y540" s="4"/>
      <c r="Z540" s="12">
        <v>0</v>
      </c>
      <c r="AA540" s="13" t="s">
        <v>9179</v>
      </c>
      <c r="AB540" s="13" t="s">
        <v>9153</v>
      </c>
      <c r="AC540" s="14" t="s">
        <v>9157</v>
      </c>
      <c r="AD540" s="14" t="s">
        <v>9140</v>
      </c>
      <c r="AE540" s="14" t="s">
        <v>9140</v>
      </c>
      <c r="AF540" s="14" t="s">
        <v>72</v>
      </c>
      <c r="AG540" s="14" t="s">
        <v>54</v>
      </c>
      <c r="AH540" s="15" t="s">
        <v>9194</v>
      </c>
      <c r="AI540" s="15" t="s">
        <v>9191</v>
      </c>
      <c r="AJ540" s="15" t="s">
        <v>9143</v>
      </c>
      <c r="AK540" s="15" t="s">
        <v>9194</v>
      </c>
      <c r="AL540" s="15" t="s">
        <v>9201</v>
      </c>
      <c r="AM540" s="16" t="s">
        <v>9194</v>
      </c>
      <c r="AN540" s="16" t="s">
        <v>9202</v>
      </c>
    </row>
    <row r="541" spans="1:40" x14ac:dyDescent="0.25">
      <c r="A541" s="4" t="s">
        <v>2058</v>
      </c>
      <c r="B541" s="4"/>
      <c r="C541" s="4" t="s">
        <v>39</v>
      </c>
      <c r="D541" s="4" t="s">
        <v>2059</v>
      </c>
      <c r="E541" s="4" t="s">
        <v>2060</v>
      </c>
      <c r="F541" s="10">
        <v>45604</v>
      </c>
      <c r="G541" s="11">
        <v>0.40208333333333335</v>
      </c>
      <c r="H541" s="4" t="s">
        <v>1992</v>
      </c>
      <c r="I541" s="4" t="s">
        <v>2061</v>
      </c>
      <c r="J541" s="4" t="s">
        <v>2062</v>
      </c>
      <c r="K541" s="4" t="s">
        <v>2063</v>
      </c>
      <c r="L541" s="4" t="s">
        <v>2064</v>
      </c>
      <c r="M541" s="4" t="s">
        <v>46</v>
      </c>
      <c r="N541" s="4"/>
      <c r="O541" s="4" t="s">
        <v>47</v>
      </c>
      <c r="P541" s="4" t="s">
        <v>48</v>
      </c>
      <c r="Q541" s="4">
        <v>0</v>
      </c>
      <c r="R541" s="4" t="b">
        <v>0</v>
      </c>
      <c r="S541" s="4" t="s">
        <v>49</v>
      </c>
      <c r="T541" s="4" t="s">
        <v>115</v>
      </c>
      <c r="U541" s="4" t="s">
        <v>2065</v>
      </c>
      <c r="V541" s="4" t="s">
        <v>123</v>
      </c>
      <c r="W541" s="4" t="s">
        <v>192</v>
      </c>
      <c r="X541" s="4" t="s">
        <v>54</v>
      </c>
      <c r="Y541" s="4"/>
      <c r="Z541" s="12">
        <v>0</v>
      </c>
      <c r="AA541" s="13" t="s">
        <v>9179</v>
      </c>
      <c r="AB541" s="13" t="s">
        <v>9153</v>
      </c>
      <c r="AC541" s="14" t="s">
        <v>9139</v>
      </c>
      <c r="AD541" s="14" t="s">
        <v>9140</v>
      </c>
      <c r="AE541" s="14" t="s">
        <v>9140</v>
      </c>
      <c r="AF541" s="14" t="s">
        <v>123</v>
      </c>
      <c r="AG541" s="14" t="s">
        <v>54</v>
      </c>
      <c r="AH541" s="15" t="s">
        <v>9194</v>
      </c>
      <c r="AI541" s="15" t="s">
        <v>9191</v>
      </c>
      <c r="AJ541" s="15" t="s">
        <v>9143</v>
      </c>
      <c r="AK541" s="15" t="s">
        <v>9194</v>
      </c>
      <c r="AL541" s="15" t="s">
        <v>9201</v>
      </c>
      <c r="AM541" s="16" t="s">
        <v>9194</v>
      </c>
      <c r="AN541" s="16" t="s">
        <v>9202</v>
      </c>
    </row>
    <row r="542" spans="1:40" x14ac:dyDescent="0.25">
      <c r="A542" s="4" t="s">
        <v>3429</v>
      </c>
      <c r="B542" s="4"/>
      <c r="C542" s="4" t="s">
        <v>39</v>
      </c>
      <c r="D542" s="4" t="s">
        <v>3430</v>
      </c>
      <c r="E542" s="4" t="s">
        <v>3431</v>
      </c>
      <c r="F542" s="10">
        <v>45604</v>
      </c>
      <c r="G542" s="11">
        <v>0.5625</v>
      </c>
      <c r="H542" s="4" t="s">
        <v>2095</v>
      </c>
      <c r="I542" s="4" t="s">
        <v>3415</v>
      </c>
      <c r="J542" s="4" t="s">
        <v>3416</v>
      </c>
      <c r="K542" s="4" t="s">
        <v>3432</v>
      </c>
      <c r="L542" s="4" t="s">
        <v>3433</v>
      </c>
      <c r="M542" s="4" t="s">
        <v>46</v>
      </c>
      <c r="N542" s="4"/>
      <c r="O542" s="4" t="s">
        <v>47</v>
      </c>
      <c r="P542" s="4" t="s">
        <v>48</v>
      </c>
      <c r="Q542" s="4">
        <v>0</v>
      </c>
      <c r="R542" s="4" t="b">
        <v>0</v>
      </c>
      <c r="S542" s="4" t="s">
        <v>49</v>
      </c>
      <c r="T542" s="4" t="s">
        <v>115</v>
      </c>
      <c r="U542" s="4" t="s">
        <v>71</v>
      </c>
      <c r="V542" s="4" t="s">
        <v>63</v>
      </c>
      <c r="W542" s="4" t="s">
        <v>312</v>
      </c>
      <c r="X542" s="4" t="s">
        <v>54</v>
      </c>
      <c r="Y542" s="4"/>
      <c r="Z542" s="12">
        <v>0</v>
      </c>
      <c r="AA542" s="13" t="s">
        <v>9179</v>
      </c>
      <c r="AB542" s="13" t="s">
        <v>9153</v>
      </c>
      <c r="AC542" s="14" t="s">
        <v>9139</v>
      </c>
      <c r="AD542" s="14" t="s">
        <v>9140</v>
      </c>
      <c r="AE542" s="14" t="s">
        <v>9140</v>
      </c>
      <c r="AF542" s="14" t="s">
        <v>63</v>
      </c>
      <c r="AG542" s="14" t="s">
        <v>54</v>
      </c>
      <c r="AH542" s="15" t="s">
        <v>9194</v>
      </c>
      <c r="AI542" s="15" t="s">
        <v>9188</v>
      </c>
      <c r="AJ542" s="15" t="s">
        <v>9143</v>
      </c>
      <c r="AK542" s="15" t="s">
        <v>9194</v>
      </c>
      <c r="AL542" s="15" t="s">
        <v>9211</v>
      </c>
      <c r="AM542" s="16" t="s">
        <v>9194</v>
      </c>
      <c r="AN542" s="16" t="s">
        <v>9212</v>
      </c>
    </row>
    <row r="543" spans="1:40" x14ac:dyDescent="0.25">
      <c r="A543" s="4" t="s">
        <v>8694</v>
      </c>
      <c r="B543" s="4">
        <v>7406127</v>
      </c>
      <c r="C543" s="4" t="s">
        <v>39</v>
      </c>
      <c r="D543" s="4" t="s">
        <v>8695</v>
      </c>
      <c r="E543" s="4" t="s">
        <v>8696</v>
      </c>
      <c r="F543" s="10">
        <v>45604</v>
      </c>
      <c r="G543" s="11">
        <v>0.73750000000000004</v>
      </c>
      <c r="H543" s="4" t="s">
        <v>4516</v>
      </c>
      <c r="I543" s="4" t="s">
        <v>8691</v>
      </c>
      <c r="J543" s="4" t="s">
        <v>3943</v>
      </c>
      <c r="K543" s="4" t="s">
        <v>8697</v>
      </c>
      <c r="L543" s="4" t="s">
        <v>8698</v>
      </c>
      <c r="M543" s="4" t="s">
        <v>28</v>
      </c>
      <c r="N543" s="4" t="s">
        <v>2718</v>
      </c>
      <c r="O543" s="4" t="s">
        <v>47</v>
      </c>
      <c r="P543" s="4" t="s">
        <v>48</v>
      </c>
      <c r="Q543" s="4">
        <v>0</v>
      </c>
      <c r="R543" s="4" t="b">
        <v>0</v>
      </c>
      <c r="S543" s="4" t="s">
        <v>114</v>
      </c>
      <c r="T543" s="4" t="s">
        <v>115</v>
      </c>
      <c r="U543" s="4" t="s">
        <v>71</v>
      </c>
      <c r="V543" s="4" t="s">
        <v>63</v>
      </c>
      <c r="W543" s="4" t="s">
        <v>312</v>
      </c>
      <c r="X543" s="4" t="s">
        <v>54</v>
      </c>
      <c r="Y543" s="4"/>
      <c r="Z543" s="12" t="s">
        <v>48</v>
      </c>
      <c r="AA543" s="13" t="s">
        <v>9179</v>
      </c>
      <c r="AB543" s="13" t="s">
        <v>9153</v>
      </c>
      <c r="AC543" s="14" t="s">
        <v>9157</v>
      </c>
      <c r="AD543" s="14" t="s">
        <v>28</v>
      </c>
      <c r="AE543" s="14" t="s">
        <v>9140</v>
      </c>
      <c r="AF543" s="14" t="s">
        <v>63</v>
      </c>
      <c r="AG543" s="14" t="s">
        <v>54</v>
      </c>
      <c r="AH543" s="15" t="s">
        <v>9220</v>
      </c>
      <c r="AI543" s="15" t="s">
        <v>9188</v>
      </c>
      <c r="AJ543" s="15" t="s">
        <v>9143</v>
      </c>
      <c r="AK543" s="15" t="s">
        <v>9221</v>
      </c>
      <c r="AL543" s="15" t="s">
        <v>9230</v>
      </c>
      <c r="AM543" s="16" t="s">
        <v>9221</v>
      </c>
      <c r="AN543" s="16" t="s">
        <v>9231</v>
      </c>
    </row>
    <row r="544" spans="1:40" x14ac:dyDescent="0.25">
      <c r="A544" s="4" t="s">
        <v>7877</v>
      </c>
      <c r="B544" s="4"/>
      <c r="C544" s="4" t="s">
        <v>39</v>
      </c>
      <c r="D544" s="4" t="s">
        <v>7871</v>
      </c>
      <c r="E544" s="4" t="s">
        <v>7872</v>
      </c>
      <c r="F544" s="10">
        <v>45604</v>
      </c>
      <c r="G544" s="11">
        <v>0.55208333333333337</v>
      </c>
      <c r="H544" s="4" t="s">
        <v>4659</v>
      </c>
      <c r="I544" s="4" t="s">
        <v>7873</v>
      </c>
      <c r="J544" s="4" t="s">
        <v>7874</v>
      </c>
      <c r="K544" s="4" t="s">
        <v>7878</v>
      </c>
      <c r="L544" s="4" t="s">
        <v>7879</v>
      </c>
      <c r="M544" s="4" t="s">
        <v>46</v>
      </c>
      <c r="N544" s="4"/>
      <c r="O544" s="4" t="s">
        <v>47</v>
      </c>
      <c r="P544" s="4" t="s">
        <v>60</v>
      </c>
      <c r="Q544" s="4">
        <v>0</v>
      </c>
      <c r="R544" s="4" t="b">
        <v>0</v>
      </c>
      <c r="S544" s="4" t="s">
        <v>49</v>
      </c>
      <c r="T544" s="4" t="s">
        <v>2195</v>
      </c>
      <c r="U544" s="4" t="s">
        <v>175</v>
      </c>
      <c r="V544" s="4" t="s">
        <v>52</v>
      </c>
      <c r="W544" s="4" t="s">
        <v>53</v>
      </c>
      <c r="X544" s="4" t="s">
        <v>54</v>
      </c>
      <c r="Y544" s="4"/>
      <c r="Z544" s="12">
        <v>0</v>
      </c>
      <c r="AA544" s="13" t="s">
        <v>9179</v>
      </c>
      <c r="AB544" s="13" t="s">
        <v>9153</v>
      </c>
      <c r="AC544" s="14" t="s">
        <v>9139</v>
      </c>
      <c r="AD544" s="14" t="s">
        <v>9140</v>
      </c>
      <c r="AE544" s="14" t="s">
        <v>9140</v>
      </c>
      <c r="AF544" s="14" t="s">
        <v>52</v>
      </c>
      <c r="AG544" s="14" t="s">
        <v>54</v>
      </c>
      <c r="AH544" s="15" t="s">
        <v>9220</v>
      </c>
      <c r="AI544" s="15" t="s">
        <v>9142</v>
      </c>
      <c r="AJ544" s="15" t="s">
        <v>9143</v>
      </c>
      <c r="AK544" s="15" t="s">
        <v>9221</v>
      </c>
      <c r="AL544" s="15" t="s">
        <v>9228</v>
      </c>
      <c r="AM544" s="16" t="s">
        <v>9221</v>
      </c>
      <c r="AN544" s="16" t="s">
        <v>9229</v>
      </c>
    </row>
    <row r="545" spans="1:40" x14ac:dyDescent="0.25">
      <c r="A545" s="4" t="s">
        <v>4331</v>
      </c>
      <c r="B545" s="4"/>
      <c r="C545" s="4" t="s">
        <v>39</v>
      </c>
      <c r="D545" s="4" t="s">
        <v>4332</v>
      </c>
      <c r="E545" s="4" t="s">
        <v>4333</v>
      </c>
      <c r="F545" s="10">
        <v>45604</v>
      </c>
      <c r="G545" s="11">
        <v>0.5</v>
      </c>
      <c r="H545" s="4" t="s">
        <v>4019</v>
      </c>
      <c r="I545" s="4" t="s">
        <v>4304</v>
      </c>
      <c r="J545" s="4" t="s">
        <v>1941</v>
      </c>
      <c r="K545" s="4" t="s">
        <v>4334</v>
      </c>
      <c r="L545" s="4" t="s">
        <v>4335</v>
      </c>
      <c r="M545" s="4" t="s">
        <v>46</v>
      </c>
      <c r="N545" s="4"/>
      <c r="O545" s="4" t="s">
        <v>47</v>
      </c>
      <c r="P545" s="4" t="s">
        <v>60</v>
      </c>
      <c r="Q545" s="4">
        <v>0</v>
      </c>
      <c r="R545" s="4" t="b">
        <v>0</v>
      </c>
      <c r="S545" s="4" t="s">
        <v>49</v>
      </c>
      <c r="T545" s="4" t="s">
        <v>70</v>
      </c>
      <c r="U545" s="4" t="s">
        <v>71</v>
      </c>
      <c r="V545" s="4" t="s">
        <v>72</v>
      </c>
      <c r="W545" s="4" t="s">
        <v>97</v>
      </c>
      <c r="X545" s="4" t="s">
        <v>54</v>
      </c>
      <c r="Y545" s="4" t="s">
        <v>211</v>
      </c>
      <c r="Z545" s="12">
        <v>0</v>
      </c>
      <c r="AA545" s="13" t="s">
        <v>9179</v>
      </c>
      <c r="AB545" s="13" t="s">
        <v>9153</v>
      </c>
      <c r="AC545" s="14" t="s">
        <v>9139</v>
      </c>
      <c r="AD545" s="14" t="s">
        <v>9140</v>
      </c>
      <c r="AE545" s="14" t="s">
        <v>9140</v>
      </c>
      <c r="AF545" s="14" t="s">
        <v>72</v>
      </c>
      <c r="AG545" s="14" t="s">
        <v>54</v>
      </c>
      <c r="AH545" s="15" t="s">
        <v>9220</v>
      </c>
      <c r="AI545" s="15" t="s">
        <v>9175</v>
      </c>
      <c r="AJ545" s="15" t="s">
        <v>9143</v>
      </c>
      <c r="AK545" s="15" t="s">
        <v>9221</v>
      </c>
      <c r="AL545" s="15" t="s">
        <v>9222</v>
      </c>
      <c r="AM545" s="16" t="s">
        <v>9221</v>
      </c>
      <c r="AN545" s="16" t="s">
        <v>9223</v>
      </c>
    </row>
    <row r="546" spans="1:40" x14ac:dyDescent="0.25">
      <c r="A546" s="4" t="s">
        <v>2657</v>
      </c>
      <c r="B546" s="4"/>
      <c r="C546" s="4" t="s">
        <v>39</v>
      </c>
      <c r="D546" s="4" t="s">
        <v>2658</v>
      </c>
      <c r="E546" s="4" t="s">
        <v>2659</v>
      </c>
      <c r="F546" s="10">
        <v>45603</v>
      </c>
      <c r="G546" s="11">
        <v>0.7270833333333333</v>
      </c>
      <c r="H546" s="4" t="s">
        <v>2095</v>
      </c>
      <c r="I546" s="4" t="s">
        <v>2660</v>
      </c>
      <c r="J546" s="4" t="s">
        <v>2661</v>
      </c>
      <c r="K546" s="4" t="s">
        <v>2662</v>
      </c>
      <c r="L546" s="4" t="s">
        <v>2663</v>
      </c>
      <c r="M546" s="4" t="s">
        <v>46</v>
      </c>
      <c r="N546" s="4"/>
      <c r="O546" s="4" t="s">
        <v>47</v>
      </c>
      <c r="P546" s="4" t="s">
        <v>48</v>
      </c>
      <c r="Q546" s="4">
        <v>0</v>
      </c>
      <c r="R546" s="4" t="b">
        <v>0</v>
      </c>
      <c r="S546" s="4" t="s">
        <v>61</v>
      </c>
      <c r="T546" s="4" t="s">
        <v>70</v>
      </c>
      <c r="U546" s="4" t="s">
        <v>165</v>
      </c>
      <c r="V546" s="4" t="s">
        <v>63</v>
      </c>
      <c r="W546" s="4" t="s">
        <v>108</v>
      </c>
      <c r="X546" s="4" t="s">
        <v>54</v>
      </c>
      <c r="Y546" s="4"/>
      <c r="Z546" s="12">
        <v>0</v>
      </c>
      <c r="AA546" s="13" t="s">
        <v>9179</v>
      </c>
      <c r="AB546" s="13" t="s">
        <v>9153</v>
      </c>
      <c r="AC546" s="14" t="s">
        <v>9148</v>
      </c>
      <c r="AD546" s="14" t="s">
        <v>9140</v>
      </c>
      <c r="AE546" s="14" t="s">
        <v>9140</v>
      </c>
      <c r="AF546" s="14" t="s">
        <v>63</v>
      </c>
      <c r="AG546" s="14" t="s">
        <v>54</v>
      </c>
      <c r="AH546" s="15" t="s">
        <v>9194</v>
      </c>
      <c r="AI546" s="15" t="s">
        <v>9188</v>
      </c>
      <c r="AJ546" s="15" t="s">
        <v>9143</v>
      </c>
      <c r="AK546" s="15" t="s">
        <v>9194</v>
      </c>
      <c r="AL546" s="15" t="s">
        <v>9211</v>
      </c>
      <c r="AM546" s="16" t="s">
        <v>9194</v>
      </c>
      <c r="AN546" s="16" t="s">
        <v>9212</v>
      </c>
    </row>
    <row r="547" spans="1:40" x14ac:dyDescent="0.25">
      <c r="A547" s="4" t="s">
        <v>2288</v>
      </c>
      <c r="B547" s="4"/>
      <c r="C547" s="4" t="s">
        <v>39</v>
      </c>
      <c r="D547" s="4" t="s">
        <v>2269</v>
      </c>
      <c r="E547" s="4" t="s">
        <v>2270</v>
      </c>
      <c r="F547" s="10">
        <v>45602</v>
      </c>
      <c r="G547" s="11">
        <v>0.59375</v>
      </c>
      <c r="H547" s="4" t="s">
        <v>2095</v>
      </c>
      <c r="I547" s="4" t="s">
        <v>2271</v>
      </c>
      <c r="J547" s="4" t="s">
        <v>2272</v>
      </c>
      <c r="K547" s="4" t="s">
        <v>2289</v>
      </c>
      <c r="L547" s="4" t="s">
        <v>2290</v>
      </c>
      <c r="M547" s="4" t="s">
        <v>46</v>
      </c>
      <c r="N547" s="4"/>
      <c r="O547" s="4" t="s">
        <v>47</v>
      </c>
      <c r="P547" s="4" t="s">
        <v>48</v>
      </c>
      <c r="Q547" s="4">
        <v>0</v>
      </c>
      <c r="R547" s="4" t="b">
        <v>0</v>
      </c>
      <c r="S547" s="4" t="s">
        <v>61</v>
      </c>
      <c r="T547" s="4" t="s">
        <v>583</v>
      </c>
      <c r="U547" s="4" t="s">
        <v>140</v>
      </c>
      <c r="V547" s="4" t="s">
        <v>123</v>
      </c>
      <c r="W547" s="4" t="s">
        <v>192</v>
      </c>
      <c r="X547" s="4" t="s">
        <v>54</v>
      </c>
      <c r="Y547" s="4" t="s">
        <v>302</v>
      </c>
      <c r="Z547" s="12">
        <v>0</v>
      </c>
      <c r="AA547" s="13" t="s">
        <v>9179</v>
      </c>
      <c r="AB547" s="13" t="s">
        <v>9153</v>
      </c>
      <c r="AC547" s="14" t="s">
        <v>9148</v>
      </c>
      <c r="AD547" s="14" t="s">
        <v>9140</v>
      </c>
      <c r="AE547" s="14" t="s">
        <v>9140</v>
      </c>
      <c r="AF547" s="14" t="s">
        <v>123</v>
      </c>
      <c r="AG547" s="14" t="s">
        <v>54</v>
      </c>
      <c r="AH547" s="15" t="s">
        <v>9194</v>
      </c>
      <c r="AI547" s="15" t="s">
        <v>9188</v>
      </c>
      <c r="AJ547" s="15" t="s">
        <v>9143</v>
      </c>
      <c r="AK547" s="15" t="s">
        <v>9194</v>
      </c>
      <c r="AL547" s="15" t="s">
        <v>9203</v>
      </c>
      <c r="AM547" s="16" t="s">
        <v>9194</v>
      </c>
      <c r="AN547" s="16" t="s">
        <v>9204</v>
      </c>
    </row>
    <row r="548" spans="1:40" x14ac:dyDescent="0.25">
      <c r="A548" s="4" t="s">
        <v>3285</v>
      </c>
      <c r="B548" s="4"/>
      <c r="C548" s="4" t="s">
        <v>39</v>
      </c>
      <c r="D548" s="4" t="s">
        <v>3286</v>
      </c>
      <c r="E548" s="4" t="s">
        <v>3287</v>
      </c>
      <c r="F548" s="10">
        <v>45602</v>
      </c>
      <c r="G548" s="11">
        <v>0.70486111111111116</v>
      </c>
      <c r="H548" s="4" t="s">
        <v>1939</v>
      </c>
      <c r="I548" s="4" t="s">
        <v>3288</v>
      </c>
      <c r="J548" s="4" t="s">
        <v>615</v>
      </c>
      <c r="K548" s="4" t="s">
        <v>3289</v>
      </c>
      <c r="L548" s="4" t="s">
        <v>3290</v>
      </c>
      <c r="M548" s="4" t="s">
        <v>46</v>
      </c>
      <c r="N548" s="4"/>
      <c r="O548" s="4" t="s">
        <v>47</v>
      </c>
      <c r="P548" s="4" t="s">
        <v>48</v>
      </c>
      <c r="Q548" s="4">
        <v>0</v>
      </c>
      <c r="R548" s="4" t="b">
        <v>0</v>
      </c>
      <c r="S548" s="4" t="s">
        <v>49</v>
      </c>
      <c r="T548" s="4" t="s">
        <v>50</v>
      </c>
      <c r="U548" s="4" t="s">
        <v>218</v>
      </c>
      <c r="V548" s="4" t="s">
        <v>72</v>
      </c>
      <c r="W548" s="4" t="s">
        <v>97</v>
      </c>
      <c r="X548" s="4" t="s">
        <v>978</v>
      </c>
      <c r="Y548" s="4"/>
      <c r="Z548" s="12">
        <v>0</v>
      </c>
      <c r="AA548" s="13" t="s">
        <v>9179</v>
      </c>
      <c r="AB548" s="13" t="s">
        <v>9153</v>
      </c>
      <c r="AC548" s="14" t="s">
        <v>9139</v>
      </c>
      <c r="AD548" s="14" t="s">
        <v>9140</v>
      </c>
      <c r="AE548" s="14" t="s">
        <v>9140</v>
      </c>
      <c r="AF548" s="14" t="s">
        <v>72</v>
      </c>
      <c r="AG548" s="14" t="s">
        <v>978</v>
      </c>
      <c r="AH548" s="15" t="s">
        <v>9194</v>
      </c>
      <c r="AI548" s="15" t="s">
        <v>9175</v>
      </c>
      <c r="AJ548" s="15" t="s">
        <v>9143</v>
      </c>
      <c r="AK548" s="15" t="s">
        <v>9194</v>
      </c>
      <c r="AL548" s="15" t="s">
        <v>9209</v>
      </c>
      <c r="AM548" s="16" t="s">
        <v>9194</v>
      </c>
      <c r="AN548" s="16" t="s">
        <v>9210</v>
      </c>
    </row>
    <row r="549" spans="1:40" x14ac:dyDescent="0.25">
      <c r="A549" s="4" t="s">
        <v>629</v>
      </c>
      <c r="B549" s="4"/>
      <c r="C549" s="4" t="s">
        <v>39</v>
      </c>
      <c r="D549" s="4" t="s">
        <v>620</v>
      </c>
      <c r="E549" s="4" t="s">
        <v>621</v>
      </c>
      <c r="F549" s="10">
        <v>45602</v>
      </c>
      <c r="G549" s="11">
        <v>0.65972222222222221</v>
      </c>
      <c r="H549" s="4" t="s">
        <v>463</v>
      </c>
      <c r="I549" s="4">
        <v>2023</v>
      </c>
      <c r="J549" s="4" t="s">
        <v>615</v>
      </c>
      <c r="K549" s="4" t="s">
        <v>630</v>
      </c>
      <c r="L549" s="4" t="s">
        <v>631</v>
      </c>
      <c r="M549" s="4" t="s">
        <v>46</v>
      </c>
      <c r="N549" s="4"/>
      <c r="O549" s="4" t="s">
        <v>47</v>
      </c>
      <c r="P549" s="4" t="s">
        <v>48</v>
      </c>
      <c r="Q549" s="4">
        <v>0</v>
      </c>
      <c r="R549" s="4" t="b">
        <v>0</v>
      </c>
      <c r="S549" s="4" t="s">
        <v>61</v>
      </c>
      <c r="T549" s="4" t="s">
        <v>50</v>
      </c>
      <c r="U549" s="4" t="s">
        <v>80</v>
      </c>
      <c r="V549" s="4" t="s">
        <v>63</v>
      </c>
      <c r="W549" s="4" t="s">
        <v>108</v>
      </c>
      <c r="X549" s="4" t="s">
        <v>98</v>
      </c>
      <c r="Y549" s="4"/>
      <c r="Z549" s="12">
        <v>0</v>
      </c>
      <c r="AA549" s="13" t="s">
        <v>9179</v>
      </c>
      <c r="AB549" s="13" t="s">
        <v>9153</v>
      </c>
      <c r="AC549" s="14" t="s">
        <v>9148</v>
      </c>
      <c r="AD549" s="14" t="s">
        <v>9140</v>
      </c>
      <c r="AE549" s="14" t="s">
        <v>9140</v>
      </c>
      <c r="AF549" s="14" t="s">
        <v>63</v>
      </c>
      <c r="AG549" s="14" t="s">
        <v>98</v>
      </c>
      <c r="AH549" s="15" t="s">
        <v>9141</v>
      </c>
      <c r="AI549" s="15" t="s">
        <v>9175</v>
      </c>
      <c r="AJ549" s="15" t="s">
        <v>9143</v>
      </c>
      <c r="AK549" s="15" t="s">
        <v>9141</v>
      </c>
      <c r="AL549" s="15" t="s">
        <v>9177</v>
      </c>
      <c r="AM549" s="16" t="s">
        <v>9141</v>
      </c>
      <c r="AN549" s="16" t="s">
        <v>9178</v>
      </c>
    </row>
    <row r="550" spans="1:40" x14ac:dyDescent="0.25">
      <c r="A550" s="4" t="s">
        <v>5002</v>
      </c>
      <c r="B550" s="4"/>
      <c r="C550" s="4" t="s">
        <v>39</v>
      </c>
      <c r="D550" s="4" t="s">
        <v>5003</v>
      </c>
      <c r="E550" s="4" t="s">
        <v>5004</v>
      </c>
      <c r="F550" s="10">
        <v>45602</v>
      </c>
      <c r="G550" s="11">
        <v>0.81388888888888888</v>
      </c>
      <c r="H550" s="4" t="s">
        <v>4516</v>
      </c>
      <c r="I550" s="4" t="s">
        <v>4969</v>
      </c>
      <c r="J550" s="4" t="s">
        <v>3453</v>
      </c>
      <c r="K550" s="4" t="s">
        <v>218</v>
      </c>
      <c r="L550" s="4" t="s">
        <v>5005</v>
      </c>
      <c r="M550" s="4" t="s">
        <v>46</v>
      </c>
      <c r="N550" s="4"/>
      <c r="O550" s="4" t="s">
        <v>47</v>
      </c>
      <c r="P550" s="4" t="s">
        <v>48</v>
      </c>
      <c r="Q550" s="4">
        <v>0</v>
      </c>
      <c r="R550" s="4" t="b">
        <v>0</v>
      </c>
      <c r="S550" s="4" t="s">
        <v>61</v>
      </c>
      <c r="T550" s="4" t="s">
        <v>583</v>
      </c>
      <c r="U550" s="4" t="s">
        <v>218</v>
      </c>
      <c r="V550" s="4" t="s">
        <v>63</v>
      </c>
      <c r="W550" s="4" t="s">
        <v>108</v>
      </c>
      <c r="X550" s="4" t="s">
        <v>54</v>
      </c>
      <c r="Y550" s="4" t="s">
        <v>176</v>
      </c>
      <c r="Z550" s="12">
        <v>0</v>
      </c>
      <c r="AA550" s="13" t="s">
        <v>9179</v>
      </c>
      <c r="AB550" s="13" t="s">
        <v>9153</v>
      </c>
      <c r="AC550" s="14" t="s">
        <v>9148</v>
      </c>
      <c r="AD550" s="14" t="s">
        <v>9140</v>
      </c>
      <c r="AE550" s="14" t="s">
        <v>9140</v>
      </c>
      <c r="AF550" s="14" t="s">
        <v>63</v>
      </c>
      <c r="AG550" s="14" t="s">
        <v>54</v>
      </c>
      <c r="AH550" s="15" t="s">
        <v>9220</v>
      </c>
      <c r="AI550" s="15" t="s">
        <v>9188</v>
      </c>
      <c r="AJ550" s="15" t="s">
        <v>9143</v>
      </c>
      <c r="AK550" s="15" t="s">
        <v>9221</v>
      </c>
      <c r="AL550" s="15" t="s">
        <v>9230</v>
      </c>
      <c r="AM550" s="16" t="s">
        <v>9221</v>
      </c>
      <c r="AN550" s="16" t="s">
        <v>9231</v>
      </c>
    </row>
    <row r="551" spans="1:40" x14ac:dyDescent="0.25">
      <c r="A551" s="4" t="s">
        <v>8130</v>
      </c>
      <c r="B551" s="4">
        <v>7393333</v>
      </c>
      <c r="C551" s="4" t="s">
        <v>39</v>
      </c>
      <c r="D551" s="4" t="s">
        <v>8131</v>
      </c>
      <c r="E551" s="4" t="s">
        <v>8132</v>
      </c>
      <c r="F551" s="10">
        <v>45602</v>
      </c>
      <c r="G551" s="11">
        <v>0.65972222222222221</v>
      </c>
      <c r="H551" s="4" t="s">
        <v>4516</v>
      </c>
      <c r="I551" s="4" t="s">
        <v>8133</v>
      </c>
      <c r="J551" s="4" t="s">
        <v>8134</v>
      </c>
      <c r="K551" s="4" t="s">
        <v>8135</v>
      </c>
      <c r="L551" s="4" t="s">
        <v>8136</v>
      </c>
      <c r="M551" s="4" t="s">
        <v>28</v>
      </c>
      <c r="N551" s="4" t="s">
        <v>2718</v>
      </c>
      <c r="O551" s="4" t="s">
        <v>47</v>
      </c>
      <c r="P551" s="4" t="s">
        <v>48</v>
      </c>
      <c r="Q551" s="4">
        <v>0</v>
      </c>
      <c r="R551" s="4" t="b">
        <v>0</v>
      </c>
      <c r="S551" s="4" t="s">
        <v>49</v>
      </c>
      <c r="T551" s="4" t="s">
        <v>115</v>
      </c>
      <c r="U551" s="4" t="s">
        <v>527</v>
      </c>
      <c r="V551" s="4" t="s">
        <v>63</v>
      </c>
      <c r="W551" s="4" t="s">
        <v>108</v>
      </c>
      <c r="X551" s="4" t="s">
        <v>54</v>
      </c>
      <c r="Y551" s="4"/>
      <c r="Z551" s="12" t="s">
        <v>48</v>
      </c>
      <c r="AA551" s="13" t="s">
        <v>9179</v>
      </c>
      <c r="AB551" s="13" t="s">
        <v>9153</v>
      </c>
      <c r="AC551" s="14" t="s">
        <v>9139</v>
      </c>
      <c r="AD551" s="14" t="s">
        <v>28</v>
      </c>
      <c r="AE551" s="14" t="s">
        <v>9140</v>
      </c>
      <c r="AF551" s="14" t="s">
        <v>63</v>
      </c>
      <c r="AG551" s="14" t="s">
        <v>54</v>
      </c>
      <c r="AH551" s="15" t="s">
        <v>9220</v>
      </c>
      <c r="AI551" s="15" t="s">
        <v>9188</v>
      </c>
      <c r="AJ551" s="15" t="s">
        <v>9143</v>
      </c>
      <c r="AK551" s="15" t="s">
        <v>9221</v>
      </c>
      <c r="AL551" s="15" t="s">
        <v>9230</v>
      </c>
      <c r="AM551" s="16" t="s">
        <v>9221</v>
      </c>
      <c r="AN551" s="16" t="s">
        <v>9231</v>
      </c>
    </row>
    <row r="552" spans="1:40" x14ac:dyDescent="0.25">
      <c r="A552" s="4" t="s">
        <v>6645</v>
      </c>
      <c r="B552" s="4"/>
      <c r="C552" s="4" t="s">
        <v>39</v>
      </c>
      <c r="D552" s="4" t="s">
        <v>6646</v>
      </c>
      <c r="E552" s="4" t="s">
        <v>6647</v>
      </c>
      <c r="F552" s="10">
        <v>45602</v>
      </c>
      <c r="G552" s="11">
        <v>0.5625</v>
      </c>
      <c r="H552" s="4" t="s">
        <v>4516</v>
      </c>
      <c r="I552" s="4" t="s">
        <v>6637</v>
      </c>
      <c r="J552" s="4" t="s">
        <v>3564</v>
      </c>
      <c r="K552" s="4" t="s">
        <v>6648</v>
      </c>
      <c r="L552" s="4" t="s">
        <v>6649</v>
      </c>
      <c r="M552" s="4" t="s">
        <v>46</v>
      </c>
      <c r="N552" s="4"/>
      <c r="O552" s="4" t="s">
        <v>47</v>
      </c>
      <c r="P552" s="4" t="s">
        <v>48</v>
      </c>
      <c r="Q552" s="4">
        <v>0</v>
      </c>
      <c r="R552" s="4" t="b">
        <v>0</v>
      </c>
      <c r="S552" s="4" t="s">
        <v>61</v>
      </c>
      <c r="T552" s="4" t="s">
        <v>115</v>
      </c>
      <c r="U552" s="4" t="s">
        <v>2767</v>
      </c>
      <c r="V552" s="4" t="s">
        <v>123</v>
      </c>
      <c r="W552" s="4" t="s">
        <v>192</v>
      </c>
      <c r="X552" s="4" t="s">
        <v>54</v>
      </c>
      <c r="Y552" s="4" t="s">
        <v>302</v>
      </c>
      <c r="Z552" s="12">
        <v>0</v>
      </c>
      <c r="AA552" s="13" t="s">
        <v>9179</v>
      </c>
      <c r="AB552" s="13" t="s">
        <v>9153</v>
      </c>
      <c r="AC552" s="14" t="s">
        <v>9148</v>
      </c>
      <c r="AD552" s="14" t="s">
        <v>9140</v>
      </c>
      <c r="AE552" s="14" t="s">
        <v>9140</v>
      </c>
      <c r="AF552" s="14" t="s">
        <v>123</v>
      </c>
      <c r="AG552" s="14" t="s">
        <v>54</v>
      </c>
      <c r="AH552" s="15" t="s">
        <v>9220</v>
      </c>
      <c r="AI552" s="15" t="s">
        <v>9188</v>
      </c>
      <c r="AJ552" s="15" t="s">
        <v>9143</v>
      </c>
      <c r="AK552" s="15" t="s">
        <v>9221</v>
      </c>
      <c r="AL552" s="15" t="s">
        <v>9236</v>
      </c>
      <c r="AM552" s="16" t="s">
        <v>9221</v>
      </c>
      <c r="AN552" s="16" t="s">
        <v>9237</v>
      </c>
    </row>
    <row r="553" spans="1:40" x14ac:dyDescent="0.25">
      <c r="A553" s="4" t="s">
        <v>8609</v>
      </c>
      <c r="B553" s="4"/>
      <c r="C553" s="4" t="s">
        <v>39</v>
      </c>
      <c r="D553" s="4" t="s">
        <v>8610</v>
      </c>
      <c r="E553" s="4" t="s">
        <v>8611</v>
      </c>
      <c r="F553" s="10">
        <v>45602</v>
      </c>
      <c r="G553" s="11">
        <v>0.46527777777777779</v>
      </c>
      <c r="H553" s="4" t="s">
        <v>4516</v>
      </c>
      <c r="I553" s="4" t="s">
        <v>8612</v>
      </c>
      <c r="J553" s="4" t="s">
        <v>8613</v>
      </c>
      <c r="K553" s="4" t="s">
        <v>8614</v>
      </c>
      <c r="L553" s="4" t="s">
        <v>8615</v>
      </c>
      <c r="M553" s="4" t="s">
        <v>46</v>
      </c>
      <c r="N553" s="4"/>
      <c r="O553" s="4" t="s">
        <v>47</v>
      </c>
      <c r="P553" s="4" t="s">
        <v>48</v>
      </c>
      <c r="Q553" s="4">
        <v>0</v>
      </c>
      <c r="R553" s="4" t="b">
        <v>0</v>
      </c>
      <c r="S553" s="4" t="s">
        <v>49</v>
      </c>
      <c r="T553" s="4" t="s">
        <v>583</v>
      </c>
      <c r="U553" s="4" t="s">
        <v>1253</v>
      </c>
      <c r="V553" s="4" t="s">
        <v>63</v>
      </c>
      <c r="W553" s="4" t="s">
        <v>108</v>
      </c>
      <c r="X553" s="4" t="s">
        <v>54</v>
      </c>
      <c r="Y553" s="4"/>
      <c r="Z553" s="12">
        <v>0</v>
      </c>
      <c r="AA553" s="13" t="s">
        <v>9179</v>
      </c>
      <c r="AB553" s="13" t="s">
        <v>9153</v>
      </c>
      <c r="AC553" s="14" t="s">
        <v>9139</v>
      </c>
      <c r="AD553" s="14" t="s">
        <v>9140</v>
      </c>
      <c r="AE553" s="14" t="s">
        <v>9140</v>
      </c>
      <c r="AF553" s="14" t="s">
        <v>63</v>
      </c>
      <c r="AG553" s="14" t="s">
        <v>54</v>
      </c>
      <c r="AH553" s="15" t="s">
        <v>9220</v>
      </c>
      <c r="AI553" s="15" t="s">
        <v>9188</v>
      </c>
      <c r="AJ553" s="15" t="s">
        <v>9143</v>
      </c>
      <c r="AK553" s="15" t="s">
        <v>9221</v>
      </c>
      <c r="AL553" s="15" t="s">
        <v>9230</v>
      </c>
      <c r="AM553" s="16" t="s">
        <v>9221</v>
      </c>
      <c r="AN553" s="16" t="s">
        <v>9231</v>
      </c>
    </row>
    <row r="554" spans="1:40" x14ac:dyDescent="0.25">
      <c r="A554" s="4" t="s">
        <v>4336</v>
      </c>
      <c r="B554" s="4"/>
      <c r="C554" s="4" t="s">
        <v>39</v>
      </c>
      <c r="D554" s="4" t="s">
        <v>4337</v>
      </c>
      <c r="E554" s="4" t="s">
        <v>4338</v>
      </c>
      <c r="F554" s="10">
        <v>45601</v>
      </c>
      <c r="G554" s="11">
        <v>0.72569444444444442</v>
      </c>
      <c r="H554" s="4" t="s">
        <v>4019</v>
      </c>
      <c r="I554" s="4" t="s">
        <v>4304</v>
      </c>
      <c r="J554" s="4" t="s">
        <v>1941</v>
      </c>
      <c r="K554" s="4" t="s">
        <v>711</v>
      </c>
      <c r="L554" s="4" t="s">
        <v>4339</v>
      </c>
      <c r="M554" s="4" t="s">
        <v>46</v>
      </c>
      <c r="N554" s="4"/>
      <c r="O554" s="4" t="s">
        <v>47</v>
      </c>
      <c r="P554" s="4" t="s">
        <v>48</v>
      </c>
      <c r="Q554" s="4">
        <v>0</v>
      </c>
      <c r="R554" s="4" t="b">
        <v>0</v>
      </c>
      <c r="S554" s="4" t="s">
        <v>61</v>
      </c>
      <c r="T554" s="4" t="s">
        <v>50</v>
      </c>
      <c r="U554" s="4" t="s">
        <v>527</v>
      </c>
      <c r="V554" s="4" t="s">
        <v>72</v>
      </c>
      <c r="W554" s="4" t="s">
        <v>73</v>
      </c>
      <c r="X554" s="4" t="s">
        <v>54</v>
      </c>
      <c r="Y554" s="4"/>
      <c r="Z554" s="12">
        <v>0</v>
      </c>
      <c r="AA554" s="13" t="s">
        <v>9179</v>
      </c>
      <c r="AB554" s="13" t="s">
        <v>9153</v>
      </c>
      <c r="AC554" s="14" t="s">
        <v>9148</v>
      </c>
      <c r="AD554" s="14" t="s">
        <v>9140</v>
      </c>
      <c r="AE554" s="14" t="s">
        <v>9140</v>
      </c>
      <c r="AF554" s="14" t="s">
        <v>72</v>
      </c>
      <c r="AG554" s="14" t="s">
        <v>54</v>
      </c>
      <c r="AH554" s="15" t="s">
        <v>9220</v>
      </c>
      <c r="AI554" s="15" t="s">
        <v>9175</v>
      </c>
      <c r="AJ554" s="15" t="s">
        <v>9143</v>
      </c>
      <c r="AK554" s="15" t="s">
        <v>9221</v>
      </c>
      <c r="AL554" s="15" t="s">
        <v>9222</v>
      </c>
      <c r="AM554" s="16" t="s">
        <v>9221</v>
      </c>
      <c r="AN554" s="16" t="s">
        <v>9223</v>
      </c>
    </row>
    <row r="555" spans="1:40" x14ac:dyDescent="0.25">
      <c r="A555" s="4" t="s">
        <v>4068</v>
      </c>
      <c r="B555" s="4"/>
      <c r="C555" s="4" t="s">
        <v>39</v>
      </c>
      <c r="D555" s="4" t="s">
        <v>4069</v>
      </c>
      <c r="E555" s="4" t="s">
        <v>4070</v>
      </c>
      <c r="F555" s="10">
        <v>45601</v>
      </c>
      <c r="G555" s="11">
        <v>0.3888888888888889</v>
      </c>
      <c r="H555" s="4" t="s">
        <v>4019</v>
      </c>
      <c r="I555" s="4" t="s">
        <v>4060</v>
      </c>
      <c r="J555" s="4" t="s">
        <v>4061</v>
      </c>
      <c r="K555" s="4" t="s">
        <v>4071</v>
      </c>
      <c r="L555" s="4" t="s">
        <v>4072</v>
      </c>
      <c r="M555" s="4" t="s">
        <v>46</v>
      </c>
      <c r="N555" s="4"/>
      <c r="O555" s="4" t="s">
        <v>47</v>
      </c>
      <c r="P555" s="4" t="s">
        <v>48</v>
      </c>
      <c r="Q555" s="4">
        <v>1</v>
      </c>
      <c r="R555" s="4" t="b">
        <v>0</v>
      </c>
      <c r="S555" s="4" t="s">
        <v>184</v>
      </c>
      <c r="T555" s="4" t="s">
        <v>115</v>
      </c>
      <c r="U555" s="4" t="s">
        <v>148</v>
      </c>
      <c r="V555" s="4" t="s">
        <v>52</v>
      </c>
      <c r="W555" s="4" t="s">
        <v>374</v>
      </c>
      <c r="X555" s="4" t="s">
        <v>54</v>
      </c>
      <c r="Y555" s="4"/>
      <c r="Z555" s="12">
        <v>0</v>
      </c>
      <c r="AA555" s="13" t="s">
        <v>9179</v>
      </c>
      <c r="AB555" s="13" t="s">
        <v>9153</v>
      </c>
      <c r="AC555" s="14" t="s">
        <v>9166</v>
      </c>
      <c r="AD555" s="14" t="s">
        <v>9140</v>
      </c>
      <c r="AE555" s="14" t="s">
        <v>9140</v>
      </c>
      <c r="AF555" s="14" t="s">
        <v>52</v>
      </c>
      <c r="AG555" s="14" t="s">
        <v>54</v>
      </c>
      <c r="AH555" s="15" t="s">
        <v>9220</v>
      </c>
      <c r="AI555" s="15" t="s">
        <v>9175</v>
      </c>
      <c r="AJ555" s="15" t="s">
        <v>9143</v>
      </c>
      <c r="AK555" s="15" t="s">
        <v>9221</v>
      </c>
      <c r="AL555" s="15" t="s">
        <v>9222</v>
      </c>
      <c r="AM555" s="16" t="s">
        <v>9221</v>
      </c>
      <c r="AN555" s="16" t="s">
        <v>9223</v>
      </c>
    </row>
    <row r="556" spans="1:40" x14ac:dyDescent="0.25">
      <c r="A556" s="4" t="s">
        <v>7546</v>
      </c>
      <c r="B556" s="4">
        <v>12240050690</v>
      </c>
      <c r="C556" s="4" t="s">
        <v>39</v>
      </c>
      <c r="D556" s="4" t="s">
        <v>7547</v>
      </c>
      <c r="E556" s="4" t="s">
        <v>7548</v>
      </c>
      <c r="F556" s="10">
        <v>45601</v>
      </c>
      <c r="G556" s="11">
        <v>0.7</v>
      </c>
      <c r="H556" s="4" t="s">
        <v>4019</v>
      </c>
      <c r="I556" s="4" t="s">
        <v>7543</v>
      </c>
      <c r="J556" s="4" t="s">
        <v>876</v>
      </c>
      <c r="K556" s="4" t="s">
        <v>7549</v>
      </c>
      <c r="L556" s="4" t="s">
        <v>7550</v>
      </c>
      <c r="M556" s="4" t="s">
        <v>28</v>
      </c>
      <c r="N556" s="4" t="s">
        <v>183</v>
      </c>
      <c r="O556" s="4" t="s">
        <v>191</v>
      </c>
      <c r="P556" s="4" t="s">
        <v>60</v>
      </c>
      <c r="Q556" s="4">
        <v>0</v>
      </c>
      <c r="R556" s="4" t="b">
        <v>0</v>
      </c>
      <c r="S556" s="4" t="s">
        <v>114</v>
      </c>
      <c r="T556" s="4" t="s">
        <v>115</v>
      </c>
      <c r="U556" s="4" t="s">
        <v>62</v>
      </c>
      <c r="V556" s="4" t="s">
        <v>52</v>
      </c>
      <c r="W556" s="4" t="s">
        <v>53</v>
      </c>
      <c r="X556" s="4" t="s">
        <v>98</v>
      </c>
      <c r="Y556" s="4"/>
      <c r="Z556" s="12" t="s">
        <v>60</v>
      </c>
      <c r="AA556" s="13" t="s">
        <v>9179</v>
      </c>
      <c r="AB556" s="13" t="s">
        <v>9153</v>
      </c>
      <c r="AC556" s="14" t="s">
        <v>9157</v>
      </c>
      <c r="AD556" s="14" t="s">
        <v>28</v>
      </c>
      <c r="AE556" s="14" t="s">
        <v>183</v>
      </c>
      <c r="AF556" s="14" t="s">
        <v>52</v>
      </c>
      <c r="AG556" s="14" t="s">
        <v>98</v>
      </c>
      <c r="AH556" s="15" t="s">
        <v>9220</v>
      </c>
      <c r="AI556" s="15" t="s">
        <v>9175</v>
      </c>
      <c r="AJ556" s="15" t="s">
        <v>9143</v>
      </c>
      <c r="AK556" s="15" t="s">
        <v>9221</v>
      </c>
      <c r="AL556" s="15" t="s">
        <v>9224</v>
      </c>
      <c r="AM556" s="16" t="s">
        <v>9221</v>
      </c>
      <c r="AN556" s="16" t="s">
        <v>9225</v>
      </c>
    </row>
    <row r="557" spans="1:40" x14ac:dyDescent="0.25">
      <c r="A557" s="4" t="s">
        <v>8090</v>
      </c>
      <c r="B557" s="4"/>
      <c r="C557" s="4" t="s">
        <v>39</v>
      </c>
      <c r="D557" s="4" t="s">
        <v>8091</v>
      </c>
      <c r="E557" s="4" t="s">
        <v>8092</v>
      </c>
      <c r="F557" s="10">
        <v>45601</v>
      </c>
      <c r="G557" s="11">
        <v>0.51736111111111116</v>
      </c>
      <c r="H557" s="4" t="s">
        <v>4019</v>
      </c>
      <c r="I557" s="4" t="s">
        <v>8093</v>
      </c>
      <c r="J557" s="4" t="s">
        <v>8094</v>
      </c>
      <c r="K557" s="4" t="s">
        <v>8095</v>
      </c>
      <c r="L557" s="4" t="s">
        <v>8096</v>
      </c>
      <c r="M557" s="4" t="s">
        <v>46</v>
      </c>
      <c r="N557" s="4"/>
      <c r="O557" s="4" t="s">
        <v>47</v>
      </c>
      <c r="P557" s="4" t="s">
        <v>48</v>
      </c>
      <c r="Q557" s="4">
        <v>0</v>
      </c>
      <c r="R557" s="4" t="b">
        <v>0</v>
      </c>
      <c r="S557" s="4" t="s">
        <v>61</v>
      </c>
      <c r="T557" s="4" t="s">
        <v>2195</v>
      </c>
      <c r="U557" s="4" t="s">
        <v>426</v>
      </c>
      <c r="V557" s="4" t="s">
        <v>52</v>
      </c>
      <c r="W557" s="4" t="s">
        <v>53</v>
      </c>
      <c r="X557" s="4" t="s">
        <v>54</v>
      </c>
      <c r="Y557" s="4"/>
      <c r="Z557" s="12">
        <v>0</v>
      </c>
      <c r="AA557" s="13" t="s">
        <v>9179</v>
      </c>
      <c r="AB557" s="13" t="s">
        <v>9153</v>
      </c>
      <c r="AC557" s="14" t="s">
        <v>9148</v>
      </c>
      <c r="AD557" s="14" t="s">
        <v>9140</v>
      </c>
      <c r="AE557" s="14" t="s">
        <v>9140</v>
      </c>
      <c r="AF557" s="14" t="s">
        <v>52</v>
      </c>
      <c r="AG557" s="14" t="s">
        <v>54</v>
      </c>
      <c r="AH557" s="15" t="s">
        <v>9220</v>
      </c>
      <c r="AI557" s="15" t="s">
        <v>9175</v>
      </c>
      <c r="AJ557" s="15" t="s">
        <v>9143</v>
      </c>
      <c r="AK557" s="15" t="s">
        <v>9221</v>
      </c>
      <c r="AL557" s="15" t="s">
        <v>9222</v>
      </c>
      <c r="AM557" s="16" t="s">
        <v>9221</v>
      </c>
      <c r="AN557" s="16" t="s">
        <v>9223</v>
      </c>
    </row>
    <row r="558" spans="1:40" x14ac:dyDescent="0.25">
      <c r="A558" s="4" t="s">
        <v>1293</v>
      </c>
      <c r="B558" s="4"/>
      <c r="C558" s="4" t="s">
        <v>39</v>
      </c>
      <c r="D558" s="4" t="s">
        <v>1294</v>
      </c>
      <c r="E558" s="4" t="s">
        <v>1295</v>
      </c>
      <c r="F558" s="10">
        <v>45601</v>
      </c>
      <c r="G558" s="11">
        <v>0.57013888888888886</v>
      </c>
      <c r="H558" s="4" t="s">
        <v>1155</v>
      </c>
      <c r="I558" s="4">
        <v>4044</v>
      </c>
      <c r="J558" s="4" t="s">
        <v>1285</v>
      </c>
      <c r="K558" s="4" t="s">
        <v>1296</v>
      </c>
      <c r="L558" s="4" t="s">
        <v>1297</v>
      </c>
      <c r="M558" s="4" t="s">
        <v>46</v>
      </c>
      <c r="N558" s="4"/>
      <c r="O558" s="4" t="s">
        <v>47</v>
      </c>
      <c r="P558" s="4" t="s">
        <v>48</v>
      </c>
      <c r="Q558" s="4">
        <v>0</v>
      </c>
      <c r="R558" s="4" t="b">
        <v>0</v>
      </c>
      <c r="S558" s="4" t="s">
        <v>61</v>
      </c>
      <c r="T558" s="4" t="s">
        <v>89</v>
      </c>
      <c r="U558" s="4" t="s">
        <v>71</v>
      </c>
      <c r="V558" s="4" t="s">
        <v>52</v>
      </c>
      <c r="W558" s="4" t="s">
        <v>255</v>
      </c>
      <c r="X558" s="4" t="s">
        <v>54</v>
      </c>
      <c r="Y558" s="4"/>
      <c r="Z558" s="12">
        <v>0</v>
      </c>
      <c r="AA558" s="13" t="s">
        <v>9179</v>
      </c>
      <c r="AB558" s="13" t="s">
        <v>9153</v>
      </c>
      <c r="AC558" s="14" t="s">
        <v>9148</v>
      </c>
      <c r="AD558" s="14" t="s">
        <v>9140</v>
      </c>
      <c r="AE558" s="14" t="s">
        <v>9140</v>
      </c>
      <c r="AF558" s="14" t="s">
        <v>52</v>
      </c>
      <c r="AG558" s="14" t="s">
        <v>54</v>
      </c>
      <c r="AH558" s="15" t="s">
        <v>9141</v>
      </c>
      <c r="AI558" s="15" t="s">
        <v>9187</v>
      </c>
      <c r="AJ558" s="15" t="s">
        <v>9143</v>
      </c>
      <c r="AK558" s="15" t="s">
        <v>9141</v>
      </c>
      <c r="AL558" s="15" t="s">
        <v>9144</v>
      </c>
      <c r="AM558" s="16" t="s">
        <v>9141</v>
      </c>
      <c r="AN558" s="16" t="s">
        <v>9145</v>
      </c>
    </row>
    <row r="559" spans="1:40" x14ac:dyDescent="0.25">
      <c r="A559" s="4" t="s">
        <v>992</v>
      </c>
      <c r="B559" s="4">
        <v>12240040260</v>
      </c>
      <c r="C559" s="4" t="s">
        <v>39</v>
      </c>
      <c r="D559" s="4" t="s">
        <v>993</v>
      </c>
      <c r="E559" s="4" t="s">
        <v>994</v>
      </c>
      <c r="F559" s="10">
        <v>45600</v>
      </c>
      <c r="G559" s="11">
        <v>0.41319444444444442</v>
      </c>
      <c r="H559" s="4" t="s">
        <v>463</v>
      </c>
      <c r="I559" s="4">
        <v>2039</v>
      </c>
      <c r="J559" s="4" t="s">
        <v>988</v>
      </c>
      <c r="K559" s="4" t="s">
        <v>995</v>
      </c>
      <c r="L559" s="4" t="s">
        <v>996</v>
      </c>
      <c r="M559" s="4" t="s">
        <v>28</v>
      </c>
      <c r="N559" s="4" t="s">
        <v>183</v>
      </c>
      <c r="O559" s="4" t="s">
        <v>174</v>
      </c>
      <c r="P559" s="4" t="s">
        <v>60</v>
      </c>
      <c r="Q559" s="4">
        <v>15</v>
      </c>
      <c r="R559" s="4" t="b">
        <v>0</v>
      </c>
      <c r="S559" s="4" t="s">
        <v>184</v>
      </c>
      <c r="T559" s="4" t="s">
        <v>89</v>
      </c>
      <c r="U559" s="4" t="s">
        <v>140</v>
      </c>
      <c r="V559" s="4" t="s">
        <v>123</v>
      </c>
      <c r="W559" s="4" t="s">
        <v>149</v>
      </c>
      <c r="X559" s="4" t="s">
        <v>98</v>
      </c>
      <c r="Y559" s="4" t="s">
        <v>689</v>
      </c>
      <c r="Z559" s="12" t="s">
        <v>60</v>
      </c>
      <c r="AA559" s="13" t="s">
        <v>9179</v>
      </c>
      <c r="AB559" s="13" t="s">
        <v>9153</v>
      </c>
      <c r="AC559" s="14" t="s">
        <v>9166</v>
      </c>
      <c r="AD559" s="14" t="s">
        <v>28</v>
      </c>
      <c r="AE559" s="14" t="s">
        <v>183</v>
      </c>
      <c r="AF559" s="14" t="s">
        <v>123</v>
      </c>
      <c r="AG559" s="14" t="s">
        <v>98</v>
      </c>
      <c r="AH559" s="15" t="s">
        <v>9141</v>
      </c>
      <c r="AI559" s="15" t="s">
        <v>9175</v>
      </c>
      <c r="AJ559" s="15" t="s">
        <v>9143</v>
      </c>
      <c r="AK559" s="15" t="s">
        <v>9141</v>
      </c>
      <c r="AL559" s="15" t="s">
        <v>9175</v>
      </c>
      <c r="AM559" s="16" t="s">
        <v>9141</v>
      </c>
      <c r="AN559" s="16" t="s">
        <v>9176</v>
      </c>
    </row>
    <row r="560" spans="1:40" x14ac:dyDescent="0.25">
      <c r="A560" s="4" t="s">
        <v>4722</v>
      </c>
      <c r="B560" s="4"/>
      <c r="C560" s="4" t="s">
        <v>39</v>
      </c>
      <c r="D560" s="4" t="s">
        <v>4723</v>
      </c>
      <c r="E560" s="4" t="s">
        <v>4724</v>
      </c>
      <c r="F560" s="10">
        <v>45600</v>
      </c>
      <c r="G560" s="11">
        <v>0.46875</v>
      </c>
      <c r="H560" s="4" t="s">
        <v>4019</v>
      </c>
      <c r="I560" s="4" t="s">
        <v>4713</v>
      </c>
      <c r="J560" s="4" t="s">
        <v>4714</v>
      </c>
      <c r="K560" s="4" t="s">
        <v>4725</v>
      </c>
      <c r="L560" s="4" t="s">
        <v>4726</v>
      </c>
      <c r="M560" s="4" t="s">
        <v>46</v>
      </c>
      <c r="N560" s="4"/>
      <c r="O560" s="4" t="s">
        <v>47</v>
      </c>
      <c r="P560" s="4" t="s">
        <v>48</v>
      </c>
      <c r="Q560" s="4">
        <v>0</v>
      </c>
      <c r="R560" s="4" t="b">
        <v>0</v>
      </c>
      <c r="S560" s="4" t="s">
        <v>49</v>
      </c>
      <c r="T560" s="4" t="s">
        <v>70</v>
      </c>
      <c r="U560" s="4" t="s">
        <v>71</v>
      </c>
      <c r="V560" s="4" t="s">
        <v>63</v>
      </c>
      <c r="W560" s="4" t="s">
        <v>198</v>
      </c>
      <c r="X560" s="4" t="s">
        <v>98</v>
      </c>
      <c r="Y560" s="4"/>
      <c r="Z560" s="12">
        <v>0</v>
      </c>
      <c r="AA560" s="13" t="s">
        <v>9179</v>
      </c>
      <c r="AB560" s="13" t="s">
        <v>9153</v>
      </c>
      <c r="AC560" s="14" t="s">
        <v>9139</v>
      </c>
      <c r="AD560" s="14" t="s">
        <v>9140</v>
      </c>
      <c r="AE560" s="14" t="s">
        <v>9140</v>
      </c>
      <c r="AF560" s="14" t="s">
        <v>63</v>
      </c>
      <c r="AG560" s="14" t="s">
        <v>98</v>
      </c>
      <c r="AH560" s="15" t="s">
        <v>9220</v>
      </c>
      <c r="AI560" s="15" t="s">
        <v>9175</v>
      </c>
      <c r="AJ560" s="15" t="s">
        <v>9143</v>
      </c>
      <c r="AK560" s="15" t="s">
        <v>9221</v>
      </c>
      <c r="AL560" s="15" t="s">
        <v>9224</v>
      </c>
      <c r="AM560" s="16" t="s">
        <v>9221</v>
      </c>
      <c r="AN560" s="16" t="s">
        <v>9225</v>
      </c>
    </row>
    <row r="561" spans="1:40" x14ac:dyDescent="0.25">
      <c r="A561" s="4" t="s">
        <v>7225</v>
      </c>
      <c r="B561" s="4"/>
      <c r="C561" s="4" t="s">
        <v>39</v>
      </c>
      <c r="D561" s="4" t="s">
        <v>7226</v>
      </c>
      <c r="E561" s="4" t="s">
        <v>7227</v>
      </c>
      <c r="F561" s="10">
        <v>45599</v>
      </c>
      <c r="G561" s="11">
        <v>0.59791666666666665</v>
      </c>
      <c r="H561" s="4" t="s">
        <v>4659</v>
      </c>
      <c r="I561" s="4" t="s">
        <v>7216</v>
      </c>
      <c r="J561" s="4" t="s">
        <v>7217</v>
      </c>
      <c r="K561" s="4" t="s">
        <v>7228</v>
      </c>
      <c r="L561" s="4" t="s">
        <v>7229</v>
      </c>
      <c r="M561" s="4" t="s">
        <v>46</v>
      </c>
      <c r="N561" s="4"/>
      <c r="O561" s="4" t="s">
        <v>47</v>
      </c>
      <c r="P561" s="4" t="s">
        <v>48</v>
      </c>
      <c r="Q561" s="4">
        <v>0</v>
      </c>
      <c r="R561" s="4" t="b">
        <v>0</v>
      </c>
      <c r="S561" s="4" t="s">
        <v>61</v>
      </c>
      <c r="T561" s="4" t="s">
        <v>134</v>
      </c>
      <c r="U561" s="4" t="s">
        <v>2432</v>
      </c>
      <c r="V561" s="4" t="s">
        <v>405</v>
      </c>
      <c r="W561" s="4" t="s">
        <v>2469</v>
      </c>
      <c r="X561" s="4" t="s">
        <v>978</v>
      </c>
      <c r="Y561" s="4"/>
      <c r="Z561" s="12">
        <v>0</v>
      </c>
      <c r="AA561" s="13" t="s">
        <v>9179</v>
      </c>
      <c r="AB561" s="13" t="s">
        <v>9153</v>
      </c>
      <c r="AC561" s="14" t="s">
        <v>9148</v>
      </c>
      <c r="AD561" s="14" t="s">
        <v>9140</v>
      </c>
      <c r="AE561" s="14" t="s">
        <v>9140</v>
      </c>
      <c r="AF561" s="14" t="s">
        <v>405</v>
      </c>
      <c r="AG561" s="14" t="s">
        <v>978</v>
      </c>
      <c r="AH561" s="15" t="s">
        <v>9220</v>
      </c>
      <c r="AI561" s="15" t="s">
        <v>9142</v>
      </c>
      <c r="AJ561" s="15" t="s">
        <v>9143</v>
      </c>
      <c r="AK561" s="15" t="s">
        <v>9221</v>
      </c>
      <c r="AL561" s="15" t="s">
        <v>9228</v>
      </c>
      <c r="AM561" s="16" t="s">
        <v>9221</v>
      </c>
      <c r="AN561" s="16" t="s">
        <v>9229</v>
      </c>
    </row>
    <row r="562" spans="1:40" x14ac:dyDescent="0.25">
      <c r="A562" s="4" t="s">
        <v>3975</v>
      </c>
      <c r="B562" s="4"/>
      <c r="C562" s="4" t="s">
        <v>39</v>
      </c>
      <c r="D562" s="4" t="s">
        <v>3964</v>
      </c>
      <c r="E562" s="4" t="s">
        <v>3965</v>
      </c>
      <c r="F562" s="10">
        <v>45598</v>
      </c>
      <c r="G562" s="11">
        <v>0.625</v>
      </c>
      <c r="H562" s="4" t="s">
        <v>2017</v>
      </c>
      <c r="I562" s="4" t="s">
        <v>3966</v>
      </c>
      <c r="J562" s="4" t="s">
        <v>3967</v>
      </c>
      <c r="K562" s="4" t="s">
        <v>3976</v>
      </c>
      <c r="L562" s="4" t="s">
        <v>3977</v>
      </c>
      <c r="M562" s="4" t="s">
        <v>46</v>
      </c>
      <c r="N562" s="4"/>
      <c r="O562" s="4" t="s">
        <v>47</v>
      </c>
      <c r="P562" s="4" t="s">
        <v>60</v>
      </c>
      <c r="Q562" s="4">
        <v>0</v>
      </c>
      <c r="R562" s="4" t="b">
        <v>0</v>
      </c>
      <c r="S562" s="4" t="s">
        <v>61</v>
      </c>
      <c r="T562" s="4" t="s">
        <v>433</v>
      </c>
      <c r="U562" s="4" t="s">
        <v>224</v>
      </c>
      <c r="V562" s="4" t="s">
        <v>63</v>
      </c>
      <c r="W562" s="4" t="s">
        <v>198</v>
      </c>
      <c r="X562" s="4" t="s">
        <v>54</v>
      </c>
      <c r="Y562" s="4"/>
      <c r="Z562" s="12">
        <v>0</v>
      </c>
      <c r="AA562" s="13" t="s">
        <v>9179</v>
      </c>
      <c r="AB562" s="13" t="s">
        <v>9153</v>
      </c>
      <c r="AC562" s="14" t="s">
        <v>9148</v>
      </c>
      <c r="AD562" s="14" t="s">
        <v>9140</v>
      </c>
      <c r="AE562" s="14" t="s">
        <v>9140</v>
      </c>
      <c r="AF562" s="14" t="s">
        <v>63</v>
      </c>
      <c r="AG562" s="14" t="s">
        <v>54</v>
      </c>
      <c r="AH562" s="15" t="s">
        <v>9194</v>
      </c>
      <c r="AI562" s="15" t="s">
        <v>9199</v>
      </c>
      <c r="AJ562" s="15" t="s">
        <v>9143</v>
      </c>
      <c r="AK562" s="15" t="s">
        <v>9194</v>
      </c>
      <c r="AL562" s="15" t="s">
        <v>9199</v>
      </c>
      <c r="AM562" s="16" t="s">
        <v>9194</v>
      </c>
      <c r="AN562" s="16" t="s">
        <v>9200</v>
      </c>
    </row>
    <row r="563" spans="1:40" x14ac:dyDescent="0.25">
      <c r="A563" s="4" t="s">
        <v>3489</v>
      </c>
      <c r="B563" s="4"/>
      <c r="C563" s="4" t="s">
        <v>39</v>
      </c>
      <c r="D563" s="4" t="s">
        <v>3490</v>
      </c>
      <c r="E563" s="4" t="s">
        <v>3491</v>
      </c>
      <c r="F563" s="10">
        <v>45598</v>
      </c>
      <c r="G563" s="11">
        <v>0.5180555555555556</v>
      </c>
      <c r="H563" s="4" t="s">
        <v>1992</v>
      </c>
      <c r="I563" s="4" t="s">
        <v>3486</v>
      </c>
      <c r="J563" s="4" t="s">
        <v>1719</v>
      </c>
      <c r="K563" s="4" t="s">
        <v>3492</v>
      </c>
      <c r="L563" s="4" t="s">
        <v>3493</v>
      </c>
      <c r="M563" s="4" t="s">
        <v>46</v>
      </c>
      <c r="N563" s="4"/>
      <c r="O563" s="4" t="s">
        <v>47</v>
      </c>
      <c r="P563" s="4" t="s">
        <v>48</v>
      </c>
      <c r="Q563" s="4">
        <v>0</v>
      </c>
      <c r="R563" s="4" t="b">
        <v>0</v>
      </c>
      <c r="S563" s="4" t="s">
        <v>49</v>
      </c>
      <c r="T563" s="4" t="s">
        <v>70</v>
      </c>
      <c r="U563" s="4" t="s">
        <v>71</v>
      </c>
      <c r="V563" s="4" t="s">
        <v>63</v>
      </c>
      <c r="W563" s="4" t="s">
        <v>198</v>
      </c>
      <c r="X563" s="4" t="s">
        <v>54</v>
      </c>
      <c r="Y563" s="4"/>
      <c r="Z563" s="12">
        <v>0</v>
      </c>
      <c r="AA563" s="13" t="s">
        <v>9179</v>
      </c>
      <c r="AB563" s="13" t="s">
        <v>9153</v>
      </c>
      <c r="AC563" s="14" t="s">
        <v>9139</v>
      </c>
      <c r="AD563" s="14" t="s">
        <v>9140</v>
      </c>
      <c r="AE563" s="14" t="s">
        <v>9140</v>
      </c>
      <c r="AF563" s="14" t="s">
        <v>63</v>
      </c>
      <c r="AG563" s="14" t="s">
        <v>54</v>
      </c>
      <c r="AH563" s="15" t="s">
        <v>9194</v>
      </c>
      <c r="AI563" s="15" t="s">
        <v>9191</v>
      </c>
      <c r="AJ563" s="15" t="s">
        <v>9143</v>
      </c>
      <c r="AK563" s="15" t="s">
        <v>9194</v>
      </c>
      <c r="AL563" s="15" t="s">
        <v>9201</v>
      </c>
      <c r="AM563" s="16" t="s">
        <v>9194</v>
      </c>
      <c r="AN563" s="16" t="s">
        <v>9202</v>
      </c>
    </row>
    <row r="564" spans="1:40" x14ac:dyDescent="0.25">
      <c r="A564" s="4" t="s">
        <v>4340</v>
      </c>
      <c r="B564" s="4"/>
      <c r="C564" s="4" t="s">
        <v>39</v>
      </c>
      <c r="D564" s="4" t="s">
        <v>4341</v>
      </c>
      <c r="E564" s="4" t="s">
        <v>4342</v>
      </c>
      <c r="F564" s="10">
        <v>45597</v>
      </c>
      <c r="G564" s="11">
        <v>0.61805555555555558</v>
      </c>
      <c r="H564" s="4" t="s">
        <v>4019</v>
      </c>
      <c r="I564" s="4" t="s">
        <v>4304</v>
      </c>
      <c r="J564" s="4" t="s">
        <v>1941</v>
      </c>
      <c r="K564" s="4" t="s">
        <v>4343</v>
      </c>
      <c r="L564" s="4" t="s">
        <v>4344</v>
      </c>
      <c r="M564" s="4" t="s">
        <v>46</v>
      </c>
      <c r="N564" s="4"/>
      <c r="O564" s="4" t="s">
        <v>47</v>
      </c>
      <c r="P564" s="4" t="s">
        <v>60</v>
      </c>
      <c r="Q564" s="4">
        <v>0</v>
      </c>
      <c r="R564" s="4" t="b">
        <v>0</v>
      </c>
      <c r="S564" s="4" t="s">
        <v>61</v>
      </c>
      <c r="T564" s="4" t="s">
        <v>50</v>
      </c>
      <c r="U564" s="4" t="s">
        <v>373</v>
      </c>
      <c r="V564" s="4" t="s">
        <v>63</v>
      </c>
      <c r="W564" s="4" t="s">
        <v>198</v>
      </c>
      <c r="X564" s="4" t="s">
        <v>54</v>
      </c>
      <c r="Y564" s="4"/>
      <c r="Z564" s="12">
        <v>0</v>
      </c>
      <c r="AA564" s="13" t="s">
        <v>9179</v>
      </c>
      <c r="AB564" s="13" t="s">
        <v>9153</v>
      </c>
      <c r="AC564" s="14" t="s">
        <v>9148</v>
      </c>
      <c r="AD564" s="14" t="s">
        <v>9140</v>
      </c>
      <c r="AE564" s="14" t="s">
        <v>9140</v>
      </c>
      <c r="AF564" s="14" t="s">
        <v>63</v>
      </c>
      <c r="AG564" s="14" t="s">
        <v>54</v>
      </c>
      <c r="AH564" s="15" t="s">
        <v>9220</v>
      </c>
      <c r="AI564" s="15" t="s">
        <v>9175</v>
      </c>
      <c r="AJ564" s="15" t="s">
        <v>9143</v>
      </c>
      <c r="AK564" s="15" t="s">
        <v>9221</v>
      </c>
      <c r="AL564" s="15" t="s">
        <v>9222</v>
      </c>
      <c r="AM564" s="16" t="s">
        <v>9221</v>
      </c>
      <c r="AN564" s="16" t="s">
        <v>9223</v>
      </c>
    </row>
    <row r="565" spans="1:40" x14ac:dyDescent="0.25">
      <c r="A565" s="4" t="s">
        <v>7340</v>
      </c>
      <c r="B565" s="4"/>
      <c r="C565" s="4" t="s">
        <v>39</v>
      </c>
      <c r="D565" s="4" t="s">
        <v>7341</v>
      </c>
      <c r="E565" s="4" t="s">
        <v>7342</v>
      </c>
      <c r="F565" s="10">
        <v>45597</v>
      </c>
      <c r="G565" s="11">
        <v>0.53055555555555556</v>
      </c>
      <c r="H565" s="4" t="s">
        <v>4019</v>
      </c>
      <c r="I565" s="4" t="s">
        <v>7315</v>
      </c>
      <c r="J565" s="4" t="s">
        <v>1037</v>
      </c>
      <c r="K565" s="4" t="s">
        <v>7343</v>
      </c>
      <c r="L565" s="4" t="s">
        <v>7344</v>
      </c>
      <c r="M565" s="4" t="s">
        <v>46</v>
      </c>
      <c r="N565" s="4"/>
      <c r="O565" s="4" t="s">
        <v>47</v>
      </c>
      <c r="P565" s="4" t="s">
        <v>60</v>
      </c>
      <c r="Q565" s="4">
        <v>0</v>
      </c>
      <c r="R565" s="4" t="b">
        <v>0</v>
      </c>
      <c r="S565" s="4" t="s">
        <v>61</v>
      </c>
      <c r="T565" s="4" t="s">
        <v>50</v>
      </c>
      <c r="U565" s="4" t="s">
        <v>71</v>
      </c>
      <c r="V565" s="4" t="s">
        <v>72</v>
      </c>
      <c r="W565" s="4" t="s">
        <v>73</v>
      </c>
      <c r="X565" s="4" t="s">
        <v>54</v>
      </c>
      <c r="Y565" s="4" t="s">
        <v>486</v>
      </c>
      <c r="Z565" s="12">
        <v>0</v>
      </c>
      <c r="AA565" s="13" t="s">
        <v>9179</v>
      </c>
      <c r="AB565" s="13" t="s">
        <v>9153</v>
      </c>
      <c r="AC565" s="14" t="s">
        <v>9148</v>
      </c>
      <c r="AD565" s="14" t="s">
        <v>9140</v>
      </c>
      <c r="AE565" s="14" t="s">
        <v>9140</v>
      </c>
      <c r="AF565" s="14" t="s">
        <v>72</v>
      </c>
      <c r="AG565" s="14" t="s">
        <v>54</v>
      </c>
      <c r="AH565" s="15" t="s">
        <v>9220</v>
      </c>
      <c r="AI565" s="15" t="s">
        <v>9175</v>
      </c>
      <c r="AJ565" s="15" t="s">
        <v>9143</v>
      </c>
      <c r="AK565" s="15" t="s">
        <v>9221</v>
      </c>
      <c r="AL565" s="15" t="s">
        <v>9222</v>
      </c>
      <c r="AM565" s="16" t="s">
        <v>9221</v>
      </c>
      <c r="AN565" s="16" t="s">
        <v>9223</v>
      </c>
    </row>
    <row r="566" spans="1:40" x14ac:dyDescent="0.25">
      <c r="A566" s="4" t="s">
        <v>6920</v>
      </c>
      <c r="B566" s="4"/>
      <c r="C566" s="4" t="s">
        <v>39</v>
      </c>
      <c r="D566" s="4" t="s">
        <v>6921</v>
      </c>
      <c r="E566" s="4" t="s">
        <v>6922</v>
      </c>
      <c r="F566" s="10">
        <v>45596</v>
      </c>
      <c r="G566" s="11">
        <v>0.4513888888888889</v>
      </c>
      <c r="H566" s="4" t="s">
        <v>4019</v>
      </c>
      <c r="I566" s="4" t="s">
        <v>6911</v>
      </c>
      <c r="J566" s="4" t="s">
        <v>6912</v>
      </c>
      <c r="K566" s="4" t="s">
        <v>6923</v>
      </c>
      <c r="L566" s="4" t="s">
        <v>6924</v>
      </c>
      <c r="M566" s="4" t="s">
        <v>46</v>
      </c>
      <c r="N566" s="4"/>
      <c r="O566" s="4" t="s">
        <v>47</v>
      </c>
      <c r="P566" s="4" t="s">
        <v>48</v>
      </c>
      <c r="Q566" s="4">
        <v>0</v>
      </c>
      <c r="R566" s="4" t="b">
        <v>0</v>
      </c>
      <c r="S566" s="4" t="s">
        <v>61</v>
      </c>
      <c r="T566" s="4" t="s">
        <v>266</v>
      </c>
      <c r="U566" s="4" t="s">
        <v>330</v>
      </c>
      <c r="V566" s="4" t="s">
        <v>267</v>
      </c>
      <c r="W566" s="4" t="s">
        <v>2330</v>
      </c>
      <c r="X566" s="4" t="s">
        <v>54</v>
      </c>
      <c r="Y566" s="4"/>
      <c r="Z566" s="12">
        <v>0</v>
      </c>
      <c r="AA566" s="13" t="s">
        <v>9179</v>
      </c>
      <c r="AB566" s="13" t="s">
        <v>9153</v>
      </c>
      <c r="AC566" s="14" t="s">
        <v>9148</v>
      </c>
      <c r="AD566" s="14" t="s">
        <v>9140</v>
      </c>
      <c r="AE566" s="14" t="s">
        <v>9140</v>
      </c>
      <c r="AF566" s="14" t="s">
        <v>267</v>
      </c>
      <c r="AG566" s="14" t="s">
        <v>54</v>
      </c>
      <c r="AH566" s="15" t="s">
        <v>9220</v>
      </c>
      <c r="AI566" s="15" t="s">
        <v>9175</v>
      </c>
      <c r="AJ566" s="15" t="s">
        <v>9143</v>
      </c>
      <c r="AK566" s="15" t="s">
        <v>9221</v>
      </c>
      <c r="AL566" s="15" t="s">
        <v>9224</v>
      </c>
      <c r="AM566" s="16" t="s">
        <v>9221</v>
      </c>
      <c r="AN566" s="16" t="s">
        <v>9225</v>
      </c>
    </row>
    <row r="567" spans="1:40" x14ac:dyDescent="0.25">
      <c r="A567" s="4" t="s">
        <v>4345</v>
      </c>
      <c r="B567" s="4"/>
      <c r="C567" s="4" t="s">
        <v>39</v>
      </c>
      <c r="D567" s="4" t="s">
        <v>4332</v>
      </c>
      <c r="E567" s="4" t="s">
        <v>4333</v>
      </c>
      <c r="F567" s="10">
        <v>45596</v>
      </c>
      <c r="G567" s="11">
        <v>0.37430555555555556</v>
      </c>
      <c r="H567" s="4" t="s">
        <v>4019</v>
      </c>
      <c r="I567" s="4" t="s">
        <v>4304</v>
      </c>
      <c r="J567" s="4" t="s">
        <v>1941</v>
      </c>
      <c r="K567" s="4" t="s">
        <v>4346</v>
      </c>
      <c r="L567" s="4" t="s">
        <v>4347</v>
      </c>
      <c r="M567" s="4" t="s">
        <v>46</v>
      </c>
      <c r="N567" s="4"/>
      <c r="O567" s="4" t="s">
        <v>47</v>
      </c>
      <c r="P567" s="4" t="s">
        <v>48</v>
      </c>
      <c r="Q567" s="4">
        <v>0</v>
      </c>
      <c r="R567" s="4" t="b">
        <v>0</v>
      </c>
      <c r="S567" s="4" t="s">
        <v>49</v>
      </c>
      <c r="T567" s="4" t="s">
        <v>50</v>
      </c>
      <c r="U567" s="4" t="s">
        <v>140</v>
      </c>
      <c r="V567" s="4" t="s">
        <v>72</v>
      </c>
      <c r="W567" s="4" t="s">
        <v>97</v>
      </c>
      <c r="X567" s="4" t="s">
        <v>54</v>
      </c>
      <c r="Y567" s="4" t="s">
        <v>323</v>
      </c>
      <c r="Z567" s="12">
        <v>0</v>
      </c>
      <c r="AA567" s="13" t="s">
        <v>9179</v>
      </c>
      <c r="AB567" s="13" t="s">
        <v>9153</v>
      </c>
      <c r="AC567" s="14" t="s">
        <v>9139</v>
      </c>
      <c r="AD567" s="14" t="s">
        <v>9140</v>
      </c>
      <c r="AE567" s="14" t="s">
        <v>9140</v>
      </c>
      <c r="AF567" s="14" t="s">
        <v>72</v>
      </c>
      <c r="AG567" s="14" t="s">
        <v>54</v>
      </c>
      <c r="AH567" s="15" t="s">
        <v>9220</v>
      </c>
      <c r="AI567" s="15" t="s">
        <v>9175</v>
      </c>
      <c r="AJ567" s="15" t="s">
        <v>9143</v>
      </c>
      <c r="AK567" s="15" t="s">
        <v>9221</v>
      </c>
      <c r="AL567" s="15" t="s">
        <v>9222</v>
      </c>
      <c r="AM567" s="16" t="s">
        <v>9221</v>
      </c>
      <c r="AN567" s="16" t="s">
        <v>9223</v>
      </c>
    </row>
    <row r="568" spans="1:40" x14ac:dyDescent="0.25">
      <c r="A568" s="4" t="s">
        <v>6514</v>
      </c>
      <c r="B568" s="4"/>
      <c r="C568" s="4" t="s">
        <v>39</v>
      </c>
      <c r="D568" s="4" t="s">
        <v>6515</v>
      </c>
      <c r="E568" s="4" t="s">
        <v>6516</v>
      </c>
      <c r="F568" s="10">
        <v>45596</v>
      </c>
      <c r="G568" s="11">
        <v>0.55208333333333337</v>
      </c>
      <c r="H568" s="4" t="s">
        <v>4910</v>
      </c>
      <c r="I568" s="4" t="s">
        <v>6502</v>
      </c>
      <c r="J568" s="4" t="s">
        <v>6503</v>
      </c>
      <c r="K568" s="4" t="s">
        <v>851</v>
      </c>
      <c r="L568" s="4" t="s">
        <v>6517</v>
      </c>
      <c r="M568" s="4" t="s">
        <v>46</v>
      </c>
      <c r="N568" s="4"/>
      <c r="O568" s="4" t="s">
        <v>47</v>
      </c>
      <c r="P568" s="4" t="s">
        <v>48</v>
      </c>
      <c r="Q568" s="4">
        <v>0</v>
      </c>
      <c r="R568" s="4" t="b">
        <v>0</v>
      </c>
      <c r="S568" s="4" t="s">
        <v>61</v>
      </c>
      <c r="T568" s="4" t="s">
        <v>583</v>
      </c>
      <c r="U568" s="4" t="s">
        <v>51</v>
      </c>
      <c r="V568" s="4" t="s">
        <v>52</v>
      </c>
      <c r="W568" s="4" t="s">
        <v>53</v>
      </c>
      <c r="X568" s="4" t="s">
        <v>3456</v>
      </c>
      <c r="Y568" s="4"/>
      <c r="Z568" s="12">
        <v>0</v>
      </c>
      <c r="AA568" s="13" t="s">
        <v>9179</v>
      </c>
      <c r="AB568" s="13" t="s">
        <v>9153</v>
      </c>
      <c r="AC568" s="14" t="s">
        <v>9148</v>
      </c>
      <c r="AD568" s="14" t="s">
        <v>9140</v>
      </c>
      <c r="AE568" s="14" t="s">
        <v>9140</v>
      </c>
      <c r="AF568" s="14" t="s">
        <v>52</v>
      </c>
      <c r="AG568" s="14" t="s">
        <v>3456</v>
      </c>
      <c r="AH568" s="15" t="s">
        <v>9220</v>
      </c>
      <c r="AI568" s="15" t="s">
        <v>9191</v>
      </c>
      <c r="AJ568" s="15" t="s">
        <v>9143</v>
      </c>
      <c r="AK568" s="15" t="s">
        <v>9221</v>
      </c>
      <c r="AL568" s="15" t="s">
        <v>9236</v>
      </c>
      <c r="AM568" s="16" t="s">
        <v>9221</v>
      </c>
      <c r="AN568" s="16" t="s">
        <v>9237</v>
      </c>
    </row>
    <row r="569" spans="1:40" x14ac:dyDescent="0.25">
      <c r="A569" s="4" t="s">
        <v>1409</v>
      </c>
      <c r="B569" s="4">
        <v>7389240</v>
      </c>
      <c r="C569" s="4" t="s">
        <v>39</v>
      </c>
      <c r="D569" s="4" t="s">
        <v>1410</v>
      </c>
      <c r="E569" s="4" t="s">
        <v>1411</v>
      </c>
      <c r="F569" s="10">
        <v>45596</v>
      </c>
      <c r="G569" s="11">
        <v>0.53125</v>
      </c>
      <c r="H569" s="4" t="s">
        <v>1366</v>
      </c>
      <c r="I569" s="4">
        <v>5060</v>
      </c>
      <c r="J569" s="4" t="s">
        <v>1412</v>
      </c>
      <c r="K569" s="4" t="s">
        <v>1413</v>
      </c>
      <c r="L569" s="4" t="s">
        <v>1414</v>
      </c>
      <c r="M569" s="4" t="s">
        <v>46</v>
      </c>
      <c r="N569" s="4" t="s">
        <v>478</v>
      </c>
      <c r="O569" s="4" t="s">
        <v>174</v>
      </c>
      <c r="P569" s="4" t="s">
        <v>48</v>
      </c>
      <c r="Q569" s="4">
        <v>14</v>
      </c>
      <c r="R569" s="4" t="b">
        <v>0</v>
      </c>
      <c r="S569" s="4" t="s">
        <v>114</v>
      </c>
      <c r="T569" s="4" t="s">
        <v>89</v>
      </c>
      <c r="U569" s="4" t="s">
        <v>71</v>
      </c>
      <c r="V569" s="4" t="s">
        <v>52</v>
      </c>
      <c r="W569" s="4" t="s">
        <v>53</v>
      </c>
      <c r="X569" s="4" t="s">
        <v>54</v>
      </c>
      <c r="Y569" s="4"/>
      <c r="Z569" s="12">
        <v>0</v>
      </c>
      <c r="AA569" s="13" t="s">
        <v>9179</v>
      </c>
      <c r="AB569" s="13" t="s">
        <v>9153</v>
      </c>
      <c r="AC569" s="14" t="s">
        <v>9157</v>
      </c>
      <c r="AD569" s="14" t="s">
        <v>9140</v>
      </c>
      <c r="AE569" s="14" t="s">
        <v>9140</v>
      </c>
      <c r="AF569" s="14" t="s">
        <v>52</v>
      </c>
      <c r="AG569" s="14" t="s">
        <v>54</v>
      </c>
      <c r="AH569" s="15" t="s">
        <v>9141</v>
      </c>
      <c r="AI569" s="15" t="s">
        <v>9188</v>
      </c>
      <c r="AJ569" s="15" t="s">
        <v>9143</v>
      </c>
      <c r="AK569" s="15" t="s">
        <v>9141</v>
      </c>
      <c r="AL569" s="15" t="s">
        <v>9191</v>
      </c>
      <c r="AM569" s="16" t="s">
        <v>9141</v>
      </c>
      <c r="AN569" s="16" t="s">
        <v>9192</v>
      </c>
    </row>
    <row r="570" spans="1:40" x14ac:dyDescent="0.25">
      <c r="A570" s="4" t="s">
        <v>3939</v>
      </c>
      <c r="B570" s="4">
        <v>7390198</v>
      </c>
      <c r="C570" s="4" t="s">
        <v>39</v>
      </c>
      <c r="D570" s="4" t="s">
        <v>3940</v>
      </c>
      <c r="E570" s="4" t="s">
        <v>3941</v>
      </c>
      <c r="F570" s="10">
        <v>45595</v>
      </c>
      <c r="G570" s="11">
        <v>0.39583333333333331</v>
      </c>
      <c r="H570" s="4" t="s">
        <v>2095</v>
      </c>
      <c r="I570" s="4" t="s">
        <v>3942</v>
      </c>
      <c r="J570" s="4" t="s">
        <v>3943</v>
      </c>
      <c r="K570" s="4" t="s">
        <v>3944</v>
      </c>
      <c r="L570" s="4" t="s">
        <v>3945</v>
      </c>
      <c r="M570" s="4" t="s">
        <v>28</v>
      </c>
      <c r="N570" s="4" t="s">
        <v>478</v>
      </c>
      <c r="O570" s="4" t="s">
        <v>47</v>
      </c>
      <c r="P570" s="4" t="s">
        <v>48</v>
      </c>
      <c r="Q570" s="4">
        <v>0</v>
      </c>
      <c r="R570" s="4" t="b">
        <v>0</v>
      </c>
      <c r="S570" s="4" t="s">
        <v>114</v>
      </c>
      <c r="T570" s="4" t="s">
        <v>583</v>
      </c>
      <c r="U570" s="4" t="s">
        <v>148</v>
      </c>
      <c r="V570" s="4" t="s">
        <v>52</v>
      </c>
      <c r="W570" s="4" t="s">
        <v>53</v>
      </c>
      <c r="X570" s="4" t="s">
        <v>54</v>
      </c>
      <c r="Y570" s="4"/>
      <c r="Z570" s="12" t="s">
        <v>48</v>
      </c>
      <c r="AA570" s="13" t="s">
        <v>9179</v>
      </c>
      <c r="AB570" s="13" t="s">
        <v>9153</v>
      </c>
      <c r="AC570" s="14" t="s">
        <v>9157</v>
      </c>
      <c r="AD570" s="14" t="s">
        <v>28</v>
      </c>
      <c r="AE570" s="14" t="s">
        <v>478</v>
      </c>
      <c r="AF570" s="14" t="s">
        <v>52</v>
      </c>
      <c r="AG570" s="14" t="s">
        <v>54</v>
      </c>
      <c r="AH570" s="15" t="s">
        <v>9194</v>
      </c>
      <c r="AI570" s="15" t="s">
        <v>9188</v>
      </c>
      <c r="AJ570" s="15" t="s">
        <v>9143</v>
      </c>
      <c r="AK570" s="15" t="s">
        <v>9194</v>
      </c>
      <c r="AL570" s="15" t="s">
        <v>9203</v>
      </c>
      <c r="AM570" s="16" t="s">
        <v>9194</v>
      </c>
      <c r="AN570" s="16" t="s">
        <v>9204</v>
      </c>
    </row>
    <row r="571" spans="1:40" x14ac:dyDescent="0.25">
      <c r="A571" s="4" t="s">
        <v>2319</v>
      </c>
      <c r="B571" s="4"/>
      <c r="C571" s="4" t="s">
        <v>39</v>
      </c>
      <c r="D571" s="4" t="s">
        <v>2320</v>
      </c>
      <c r="E571" s="4" t="s">
        <v>2321</v>
      </c>
      <c r="F571" s="10">
        <v>45595</v>
      </c>
      <c r="G571" s="11">
        <v>0.71875</v>
      </c>
      <c r="H571" s="4" t="s">
        <v>1939</v>
      </c>
      <c r="I571" s="4" t="s">
        <v>2322</v>
      </c>
      <c r="J571" s="4" t="s">
        <v>1037</v>
      </c>
      <c r="K571" s="4" t="s">
        <v>2323</v>
      </c>
      <c r="L571" s="4" t="s">
        <v>2324</v>
      </c>
      <c r="M571" s="4" t="s">
        <v>46</v>
      </c>
      <c r="N571" s="4"/>
      <c r="O571" s="4" t="s">
        <v>47</v>
      </c>
      <c r="P571" s="4" t="s">
        <v>60</v>
      </c>
      <c r="Q571" s="4">
        <v>0</v>
      </c>
      <c r="R571" s="4" t="b">
        <v>0</v>
      </c>
      <c r="S571" s="4" t="s">
        <v>61</v>
      </c>
      <c r="T571" s="4" t="s">
        <v>50</v>
      </c>
      <c r="U571" s="4" t="s">
        <v>51</v>
      </c>
      <c r="V571" s="4" t="s">
        <v>72</v>
      </c>
      <c r="W571" s="4" t="s">
        <v>97</v>
      </c>
      <c r="X571" s="4" t="s">
        <v>83</v>
      </c>
      <c r="Y571" s="4"/>
      <c r="Z571" s="12">
        <v>0</v>
      </c>
      <c r="AA571" s="13" t="s">
        <v>9179</v>
      </c>
      <c r="AB571" s="13" t="s">
        <v>9153</v>
      </c>
      <c r="AC571" s="14" t="s">
        <v>9148</v>
      </c>
      <c r="AD571" s="14" t="s">
        <v>9140</v>
      </c>
      <c r="AE571" s="14" t="s">
        <v>9140</v>
      </c>
      <c r="AF571" s="14" t="s">
        <v>72</v>
      </c>
      <c r="AG571" s="14" t="s">
        <v>83</v>
      </c>
      <c r="AH571" s="15" t="s">
        <v>9194</v>
      </c>
      <c r="AI571" s="15" t="s">
        <v>9175</v>
      </c>
      <c r="AJ571" s="15" t="s">
        <v>9143</v>
      </c>
      <c r="AK571" s="15" t="s">
        <v>9194</v>
      </c>
      <c r="AL571" s="15" t="s">
        <v>9195</v>
      </c>
      <c r="AM571" s="16" t="s">
        <v>9194</v>
      </c>
      <c r="AN571" s="16" t="s">
        <v>9196</v>
      </c>
    </row>
    <row r="572" spans="1:40" x14ac:dyDescent="0.25">
      <c r="A572" s="4" t="s">
        <v>2785</v>
      </c>
      <c r="B572" s="4"/>
      <c r="C572" s="4" t="s">
        <v>39</v>
      </c>
      <c r="D572" s="4" t="s">
        <v>2786</v>
      </c>
      <c r="E572" s="4" t="s">
        <v>2787</v>
      </c>
      <c r="F572" s="10">
        <v>45595</v>
      </c>
      <c r="G572" s="11">
        <v>0.47916666666666669</v>
      </c>
      <c r="H572" s="4" t="s">
        <v>2095</v>
      </c>
      <c r="I572" s="4" t="s">
        <v>2777</v>
      </c>
      <c r="J572" s="4" t="s">
        <v>1406</v>
      </c>
      <c r="K572" s="4" t="s">
        <v>2788</v>
      </c>
      <c r="L572" s="4" t="s">
        <v>2789</v>
      </c>
      <c r="M572" s="4" t="s">
        <v>46</v>
      </c>
      <c r="N572" s="4"/>
      <c r="O572" s="4" t="s">
        <v>47</v>
      </c>
      <c r="P572" s="4" t="s">
        <v>48</v>
      </c>
      <c r="Q572" s="4">
        <v>0</v>
      </c>
      <c r="R572" s="4" t="b">
        <v>0</v>
      </c>
      <c r="S572" s="4" t="s">
        <v>49</v>
      </c>
      <c r="T572" s="4" t="s">
        <v>583</v>
      </c>
      <c r="U572" s="4" t="s">
        <v>71</v>
      </c>
      <c r="V572" s="4" t="s">
        <v>52</v>
      </c>
      <c r="W572" s="4" t="s">
        <v>53</v>
      </c>
      <c r="X572" s="4" t="s">
        <v>54</v>
      </c>
      <c r="Y572" s="4" t="s">
        <v>486</v>
      </c>
      <c r="Z572" s="12">
        <v>0</v>
      </c>
      <c r="AA572" s="13" t="s">
        <v>9179</v>
      </c>
      <c r="AB572" s="13" t="s">
        <v>9153</v>
      </c>
      <c r="AC572" s="14" t="s">
        <v>9139</v>
      </c>
      <c r="AD572" s="14" t="s">
        <v>9140</v>
      </c>
      <c r="AE572" s="14" t="s">
        <v>9140</v>
      </c>
      <c r="AF572" s="14" t="s">
        <v>52</v>
      </c>
      <c r="AG572" s="14" t="s">
        <v>54</v>
      </c>
      <c r="AH572" s="15" t="s">
        <v>9194</v>
      </c>
      <c r="AI572" s="15" t="s">
        <v>9188</v>
      </c>
      <c r="AJ572" s="15" t="s">
        <v>9143</v>
      </c>
      <c r="AK572" s="15" t="s">
        <v>9194</v>
      </c>
      <c r="AL572" s="15" t="s">
        <v>9211</v>
      </c>
      <c r="AM572" s="16" t="s">
        <v>9194</v>
      </c>
      <c r="AN572" s="16" t="s">
        <v>9212</v>
      </c>
    </row>
    <row r="573" spans="1:40" x14ac:dyDescent="0.25">
      <c r="A573" s="4" t="s">
        <v>5949</v>
      </c>
      <c r="B573" s="4"/>
      <c r="C573" s="4" t="s">
        <v>39</v>
      </c>
      <c r="D573" s="4" t="s">
        <v>5950</v>
      </c>
      <c r="E573" s="4" t="s">
        <v>5951</v>
      </c>
      <c r="F573" s="10">
        <v>45594</v>
      </c>
      <c r="G573" s="11">
        <v>0.53125</v>
      </c>
      <c r="H573" s="4" t="s">
        <v>4242</v>
      </c>
      <c r="I573" s="4" t="s">
        <v>5918</v>
      </c>
      <c r="J573" s="4" t="s">
        <v>5919</v>
      </c>
      <c r="K573" s="4" t="s">
        <v>1232</v>
      </c>
      <c r="L573" s="4" t="s">
        <v>5952</v>
      </c>
      <c r="M573" s="4" t="s">
        <v>46</v>
      </c>
      <c r="N573" s="4"/>
      <c r="O573" s="4" t="s">
        <v>47</v>
      </c>
      <c r="P573" s="4" t="s">
        <v>48</v>
      </c>
      <c r="Q573" s="4">
        <v>0</v>
      </c>
      <c r="R573" s="4" t="b">
        <v>0</v>
      </c>
      <c r="S573" s="4" t="s">
        <v>49</v>
      </c>
      <c r="T573" s="4" t="s">
        <v>50</v>
      </c>
      <c r="U573" s="4" t="s">
        <v>71</v>
      </c>
      <c r="V573" s="4" t="s">
        <v>72</v>
      </c>
      <c r="W573" s="4" t="s">
        <v>73</v>
      </c>
      <c r="X573" s="4" t="s">
        <v>54</v>
      </c>
      <c r="Y573" s="4"/>
      <c r="Z573" s="12">
        <v>0</v>
      </c>
      <c r="AA573" s="13" t="s">
        <v>9179</v>
      </c>
      <c r="AB573" s="13" t="s">
        <v>9153</v>
      </c>
      <c r="AC573" s="14" t="s">
        <v>9139</v>
      </c>
      <c r="AD573" s="14" t="s">
        <v>9140</v>
      </c>
      <c r="AE573" s="14" t="s">
        <v>9140</v>
      </c>
      <c r="AF573" s="14" t="s">
        <v>72</v>
      </c>
      <c r="AG573" s="14" t="s">
        <v>54</v>
      </c>
      <c r="AH573" s="15" t="s">
        <v>9220</v>
      </c>
      <c r="AI573" s="15" t="s">
        <v>9187</v>
      </c>
      <c r="AJ573" s="15" t="s">
        <v>9143</v>
      </c>
      <c r="AK573" s="15" t="s">
        <v>9221</v>
      </c>
      <c r="AL573" s="15" t="s">
        <v>9226</v>
      </c>
      <c r="AM573" s="16" t="s">
        <v>9221</v>
      </c>
      <c r="AN573" s="16" t="s">
        <v>9227</v>
      </c>
    </row>
    <row r="574" spans="1:40" x14ac:dyDescent="0.25">
      <c r="A574" s="4" t="s">
        <v>4685</v>
      </c>
      <c r="B574" s="4"/>
      <c r="C574" s="4" t="s">
        <v>39</v>
      </c>
      <c r="D574" s="4" t="s">
        <v>4686</v>
      </c>
      <c r="E574" s="4" t="s">
        <v>4687</v>
      </c>
      <c r="F574" s="10">
        <v>45593</v>
      </c>
      <c r="G574" s="11">
        <v>0.41666666666666669</v>
      </c>
      <c r="H574" s="4" t="s">
        <v>4659</v>
      </c>
      <c r="I574" s="4" t="s">
        <v>4660</v>
      </c>
      <c r="J574" s="4" t="s">
        <v>4661</v>
      </c>
      <c r="K574" s="4" t="s">
        <v>1775</v>
      </c>
      <c r="L574" s="4" t="s">
        <v>4688</v>
      </c>
      <c r="M574" s="4" t="s">
        <v>46</v>
      </c>
      <c r="N574" s="4"/>
      <c r="O574" s="4" t="s">
        <v>47</v>
      </c>
      <c r="P574" s="4" t="s">
        <v>48</v>
      </c>
      <c r="Q574" s="4">
        <v>0</v>
      </c>
      <c r="R574" s="4" t="b">
        <v>0</v>
      </c>
      <c r="S574" s="4" t="s">
        <v>49</v>
      </c>
      <c r="T574" s="4" t="s">
        <v>50</v>
      </c>
      <c r="U574" s="4" t="s">
        <v>71</v>
      </c>
      <c r="V574" s="4" t="s">
        <v>63</v>
      </c>
      <c r="W574" s="4" t="s">
        <v>312</v>
      </c>
      <c r="X574" s="4" t="s">
        <v>978</v>
      </c>
      <c r="Y574" s="4" t="s">
        <v>486</v>
      </c>
      <c r="Z574" s="12">
        <v>0</v>
      </c>
      <c r="AA574" s="13" t="s">
        <v>9179</v>
      </c>
      <c r="AB574" s="13" t="s">
        <v>9153</v>
      </c>
      <c r="AC574" s="14" t="s">
        <v>9139</v>
      </c>
      <c r="AD574" s="14" t="s">
        <v>9140</v>
      </c>
      <c r="AE574" s="14" t="s">
        <v>9140</v>
      </c>
      <c r="AF574" s="14" t="s">
        <v>63</v>
      </c>
      <c r="AG574" s="14" t="s">
        <v>978</v>
      </c>
      <c r="AH574" s="15" t="s">
        <v>9220</v>
      </c>
      <c r="AI574" s="15" t="s">
        <v>9142</v>
      </c>
      <c r="AJ574" s="15" t="s">
        <v>9143</v>
      </c>
      <c r="AK574" s="15" t="s">
        <v>9221</v>
      </c>
      <c r="AL574" s="15" t="s">
        <v>9228</v>
      </c>
      <c r="AM574" s="16" t="s">
        <v>9221</v>
      </c>
      <c r="AN574" s="16" t="s">
        <v>9229</v>
      </c>
    </row>
    <row r="575" spans="1:40" x14ac:dyDescent="0.25">
      <c r="A575" s="4" t="s">
        <v>2864</v>
      </c>
      <c r="B575" s="4"/>
      <c r="C575" s="4" t="s">
        <v>39</v>
      </c>
      <c r="D575" s="4" t="s">
        <v>2865</v>
      </c>
      <c r="E575" s="4" t="s">
        <v>2866</v>
      </c>
      <c r="F575" s="10">
        <v>45593</v>
      </c>
      <c r="G575" s="11">
        <v>0.57986111111111116</v>
      </c>
      <c r="H575" s="4" t="s">
        <v>2168</v>
      </c>
      <c r="I575" s="4" t="s">
        <v>2861</v>
      </c>
      <c r="J575" s="4" t="s">
        <v>2862</v>
      </c>
      <c r="K575" s="4" t="s">
        <v>2867</v>
      </c>
      <c r="L575" s="4" t="s">
        <v>2868</v>
      </c>
      <c r="M575" s="4" t="s">
        <v>46</v>
      </c>
      <c r="N575" s="4"/>
      <c r="O575" s="4" t="s">
        <v>47</v>
      </c>
      <c r="P575" s="4" t="s">
        <v>48</v>
      </c>
      <c r="Q575" s="4">
        <v>0</v>
      </c>
      <c r="R575" s="4" t="b">
        <v>0</v>
      </c>
      <c r="S575" s="4" t="s">
        <v>49</v>
      </c>
      <c r="T575" s="4" t="s">
        <v>50</v>
      </c>
      <c r="U575" s="4" t="s">
        <v>71</v>
      </c>
      <c r="V575" s="4" t="s">
        <v>72</v>
      </c>
      <c r="W575" s="4" t="s">
        <v>73</v>
      </c>
      <c r="X575" s="4"/>
      <c r="Y575" s="4"/>
      <c r="Z575" s="12">
        <v>0</v>
      </c>
      <c r="AA575" s="13" t="s">
        <v>9179</v>
      </c>
      <c r="AB575" s="13" t="s">
        <v>9153</v>
      </c>
      <c r="AC575" s="14" t="s">
        <v>9139</v>
      </c>
      <c r="AD575" s="14" t="s">
        <v>9140</v>
      </c>
      <c r="AE575" s="14" t="s">
        <v>9140</v>
      </c>
      <c r="AF575" s="14" t="s">
        <v>72</v>
      </c>
      <c r="AG575" s="14">
        <v>0</v>
      </c>
      <c r="AH575" s="15" t="s">
        <v>9194</v>
      </c>
      <c r="AI575" s="15" t="s">
        <v>9142</v>
      </c>
      <c r="AJ575" s="15" t="s">
        <v>9143</v>
      </c>
      <c r="AK575" s="15" t="s">
        <v>9194</v>
      </c>
      <c r="AL575" s="15" t="s">
        <v>9207</v>
      </c>
      <c r="AM575" s="16" t="s">
        <v>9194</v>
      </c>
      <c r="AN575" s="16" t="s">
        <v>9208</v>
      </c>
    </row>
    <row r="576" spans="1:40" x14ac:dyDescent="0.25">
      <c r="A576" s="4" t="s">
        <v>91</v>
      </c>
      <c r="B576" s="4"/>
      <c r="C576" s="4" t="s">
        <v>39</v>
      </c>
      <c r="D576" s="4" t="s">
        <v>92</v>
      </c>
      <c r="E576" s="4" t="s">
        <v>93</v>
      </c>
      <c r="F576" s="10">
        <v>45592</v>
      </c>
      <c r="G576" s="11">
        <v>0.43472222222222223</v>
      </c>
      <c r="H576" s="4" t="s">
        <v>42</v>
      </c>
      <c r="I576" s="4">
        <v>1006</v>
      </c>
      <c r="J576" s="4" t="s">
        <v>94</v>
      </c>
      <c r="K576" s="4" t="s">
        <v>95</v>
      </c>
      <c r="L576" s="4" t="s">
        <v>96</v>
      </c>
      <c r="M576" s="4" t="s">
        <v>46</v>
      </c>
      <c r="N576" s="4"/>
      <c r="O576" s="4" t="s">
        <v>47</v>
      </c>
      <c r="P576" s="4" t="s">
        <v>48</v>
      </c>
      <c r="Q576" s="4">
        <v>0</v>
      </c>
      <c r="R576" s="4" t="b">
        <v>0</v>
      </c>
      <c r="S576" s="4" t="s">
        <v>49</v>
      </c>
      <c r="T576" s="4" t="s">
        <v>70</v>
      </c>
      <c r="U576" s="4" t="s">
        <v>71</v>
      </c>
      <c r="V576" s="4" t="s">
        <v>72</v>
      </c>
      <c r="W576" s="4" t="s">
        <v>97</v>
      </c>
      <c r="X576" s="4" t="s">
        <v>98</v>
      </c>
      <c r="Y576" s="4"/>
      <c r="Z576" s="12">
        <v>0</v>
      </c>
      <c r="AA576" s="13" t="s">
        <v>9152</v>
      </c>
      <c r="AB576" s="13" t="s">
        <v>9153</v>
      </c>
      <c r="AC576" s="14" t="s">
        <v>9139</v>
      </c>
      <c r="AD576" s="14" t="s">
        <v>9140</v>
      </c>
      <c r="AE576" s="14" t="s">
        <v>9140</v>
      </c>
      <c r="AF576" s="14" t="s">
        <v>72</v>
      </c>
      <c r="AG576" s="14" t="s">
        <v>98</v>
      </c>
      <c r="AH576" s="15" t="s">
        <v>9141</v>
      </c>
      <c r="AI576" s="15" t="s">
        <v>9142</v>
      </c>
      <c r="AJ576" s="15" t="s">
        <v>9143</v>
      </c>
      <c r="AK576" s="15" t="s">
        <v>9141</v>
      </c>
      <c r="AL576" s="15" t="s">
        <v>9144</v>
      </c>
      <c r="AM576" s="16" t="s">
        <v>9141</v>
      </c>
      <c r="AN576" s="16" t="s">
        <v>9145</v>
      </c>
    </row>
    <row r="577" spans="1:40" x14ac:dyDescent="0.25">
      <c r="A577" s="4" t="s">
        <v>227</v>
      </c>
      <c r="B577" s="4"/>
      <c r="C577" s="4" t="s">
        <v>39</v>
      </c>
      <c r="D577" s="4" t="s">
        <v>220</v>
      </c>
      <c r="E577" s="4" t="s">
        <v>221</v>
      </c>
      <c r="F577" s="10">
        <v>45591</v>
      </c>
      <c r="G577" s="11">
        <v>0.34375</v>
      </c>
      <c r="H577" s="4" t="s">
        <v>42</v>
      </c>
      <c r="I577" s="4">
        <v>1011</v>
      </c>
      <c r="J577" s="4" t="s">
        <v>215</v>
      </c>
      <c r="K577" s="4" t="s">
        <v>228</v>
      </c>
      <c r="L577" s="4" t="s">
        <v>229</v>
      </c>
      <c r="M577" s="4" t="s">
        <v>46</v>
      </c>
      <c r="N577" s="4"/>
      <c r="O577" s="4" t="s">
        <v>47</v>
      </c>
      <c r="P577" s="4" t="s">
        <v>48</v>
      </c>
      <c r="Q577" s="4">
        <v>0</v>
      </c>
      <c r="R577" s="4" t="b">
        <v>0</v>
      </c>
      <c r="S577" s="4" t="s">
        <v>61</v>
      </c>
      <c r="T577" s="4" t="s">
        <v>50</v>
      </c>
      <c r="U577" s="4" t="s">
        <v>165</v>
      </c>
      <c r="V577" s="4" t="s">
        <v>63</v>
      </c>
      <c r="W577" s="4" t="s">
        <v>108</v>
      </c>
      <c r="X577" s="4" t="s">
        <v>98</v>
      </c>
      <c r="Y577" s="4"/>
      <c r="Z577" s="12">
        <v>0</v>
      </c>
      <c r="AA577" s="13" t="s">
        <v>9152</v>
      </c>
      <c r="AB577" s="13" t="s">
        <v>9153</v>
      </c>
      <c r="AC577" s="14" t="s">
        <v>9148</v>
      </c>
      <c r="AD577" s="14" t="s">
        <v>9140</v>
      </c>
      <c r="AE577" s="14" t="s">
        <v>9140</v>
      </c>
      <c r="AF577" s="14" t="s">
        <v>63</v>
      </c>
      <c r="AG577" s="14" t="s">
        <v>98</v>
      </c>
      <c r="AH577" s="15" t="s">
        <v>9141</v>
      </c>
      <c r="AI577" s="15" t="s">
        <v>9142</v>
      </c>
      <c r="AJ577" s="15" t="s">
        <v>9143</v>
      </c>
      <c r="AK577" s="15" t="s">
        <v>9141</v>
      </c>
      <c r="AL577" s="15" t="s">
        <v>9144</v>
      </c>
      <c r="AM577" s="16" t="s">
        <v>9141</v>
      </c>
      <c r="AN577" s="16" t="s">
        <v>9145</v>
      </c>
    </row>
    <row r="578" spans="1:40" x14ac:dyDescent="0.25">
      <c r="A578" s="4" t="s">
        <v>6143</v>
      </c>
      <c r="B578" s="4"/>
      <c r="C578" s="4" t="s">
        <v>39</v>
      </c>
      <c r="D578" s="4" t="s">
        <v>6144</v>
      </c>
      <c r="E578" s="4" t="s">
        <v>6145</v>
      </c>
      <c r="F578" s="10">
        <v>45591</v>
      </c>
      <c r="G578" s="11">
        <v>0.37013888888888891</v>
      </c>
      <c r="H578" s="4" t="s">
        <v>5666</v>
      </c>
      <c r="I578" s="4" t="s">
        <v>6136</v>
      </c>
      <c r="J578" s="4" t="s">
        <v>2598</v>
      </c>
      <c r="K578" s="4" t="s">
        <v>6146</v>
      </c>
      <c r="L578" s="4" t="s">
        <v>6147</v>
      </c>
      <c r="M578" s="4" t="s">
        <v>46</v>
      </c>
      <c r="N578" s="4"/>
      <c r="O578" s="4" t="s">
        <v>47</v>
      </c>
      <c r="P578" s="4" t="s">
        <v>48</v>
      </c>
      <c r="Q578" s="4">
        <v>0</v>
      </c>
      <c r="R578" s="4" t="b">
        <v>0</v>
      </c>
      <c r="S578" s="4" t="s">
        <v>49</v>
      </c>
      <c r="T578" s="4" t="s">
        <v>433</v>
      </c>
      <c r="U578" s="4" t="s">
        <v>116</v>
      </c>
      <c r="V578" s="4" t="s">
        <v>123</v>
      </c>
      <c r="W578" s="4" t="s">
        <v>124</v>
      </c>
      <c r="X578" s="4" t="s">
        <v>54</v>
      </c>
      <c r="Y578" s="4"/>
      <c r="Z578" s="12">
        <v>0</v>
      </c>
      <c r="AA578" s="13" t="s">
        <v>9152</v>
      </c>
      <c r="AB578" s="13" t="s">
        <v>9153</v>
      </c>
      <c r="AC578" s="14" t="s">
        <v>9139</v>
      </c>
      <c r="AD578" s="14" t="s">
        <v>9140</v>
      </c>
      <c r="AE578" s="14" t="s">
        <v>9140</v>
      </c>
      <c r="AF578" s="14" t="s">
        <v>123</v>
      </c>
      <c r="AG578" s="14" t="s">
        <v>54</v>
      </c>
      <c r="AH578" s="15" t="s">
        <v>9220</v>
      </c>
      <c r="AI578" s="15" t="s">
        <v>9199</v>
      </c>
      <c r="AJ578" s="15" t="s">
        <v>9143</v>
      </c>
      <c r="AK578" s="15" t="s">
        <v>9221</v>
      </c>
      <c r="AL578" s="15" t="s">
        <v>9199</v>
      </c>
      <c r="AM578" s="16" t="s">
        <v>9221</v>
      </c>
      <c r="AN578" s="16" t="s">
        <v>9238</v>
      </c>
    </row>
    <row r="579" spans="1:40" x14ac:dyDescent="0.25">
      <c r="A579" s="4" t="s">
        <v>7075</v>
      </c>
      <c r="B579" s="4" t="s">
        <v>7076</v>
      </c>
      <c r="C579" s="4" t="s">
        <v>39</v>
      </c>
      <c r="D579" s="4" t="s">
        <v>7077</v>
      </c>
      <c r="E579" s="4" t="s">
        <v>7078</v>
      </c>
      <c r="F579" s="10">
        <v>45591</v>
      </c>
      <c r="G579" s="11">
        <v>0.4597222222222222</v>
      </c>
      <c r="H579" s="4" t="s">
        <v>4242</v>
      </c>
      <c r="I579" s="4" t="s">
        <v>7028</v>
      </c>
      <c r="J579" s="4" t="s">
        <v>7029</v>
      </c>
      <c r="K579" s="4" t="s">
        <v>7079</v>
      </c>
      <c r="L579" s="4" t="s">
        <v>7080</v>
      </c>
      <c r="M579" s="4" t="s">
        <v>46</v>
      </c>
      <c r="N579" s="4" t="s">
        <v>478</v>
      </c>
      <c r="O579" s="4" t="s">
        <v>47</v>
      </c>
      <c r="P579" s="4" t="s">
        <v>48</v>
      </c>
      <c r="Q579" s="4">
        <v>0</v>
      </c>
      <c r="R579" s="4" t="b">
        <v>0</v>
      </c>
      <c r="S579" s="4" t="s">
        <v>49</v>
      </c>
      <c r="T579" s="4" t="s">
        <v>50</v>
      </c>
      <c r="U579" s="4" t="s">
        <v>51</v>
      </c>
      <c r="V579" s="4" t="s">
        <v>123</v>
      </c>
      <c r="W579" s="4" t="s">
        <v>192</v>
      </c>
      <c r="X579" s="4" t="s">
        <v>54</v>
      </c>
      <c r="Y579" s="4" t="s">
        <v>302</v>
      </c>
      <c r="Z579" s="12">
        <v>0</v>
      </c>
      <c r="AA579" s="13" t="s">
        <v>9152</v>
      </c>
      <c r="AB579" s="13" t="s">
        <v>9153</v>
      </c>
      <c r="AC579" s="14" t="s">
        <v>9139</v>
      </c>
      <c r="AD579" s="14" t="s">
        <v>9140</v>
      </c>
      <c r="AE579" s="14" t="s">
        <v>9140</v>
      </c>
      <c r="AF579" s="14" t="s">
        <v>123</v>
      </c>
      <c r="AG579" s="14" t="s">
        <v>54</v>
      </c>
      <c r="AH579" s="15" t="s">
        <v>9220</v>
      </c>
      <c r="AI579" s="15" t="s">
        <v>9187</v>
      </c>
      <c r="AJ579" s="15" t="s">
        <v>9143</v>
      </c>
      <c r="AK579" s="15" t="s">
        <v>9221</v>
      </c>
      <c r="AL579" s="15" t="s">
        <v>9226</v>
      </c>
      <c r="AM579" s="16" t="s">
        <v>9221</v>
      </c>
      <c r="AN579" s="16" t="s">
        <v>9227</v>
      </c>
    </row>
    <row r="580" spans="1:40" x14ac:dyDescent="0.25">
      <c r="A580" s="4" t="s">
        <v>6288</v>
      </c>
      <c r="B580" s="4"/>
      <c r="C580" s="4" t="s">
        <v>39</v>
      </c>
      <c r="D580" s="4" t="s">
        <v>6289</v>
      </c>
      <c r="E580" s="4" t="s">
        <v>6290</v>
      </c>
      <c r="F580" s="10">
        <v>45591</v>
      </c>
      <c r="G580" s="11">
        <v>0.67361111111111116</v>
      </c>
      <c r="H580" s="4" t="s">
        <v>4019</v>
      </c>
      <c r="I580" s="4" t="s">
        <v>6277</v>
      </c>
      <c r="J580" s="4" t="s">
        <v>988</v>
      </c>
      <c r="K580" s="4" t="s">
        <v>6291</v>
      </c>
      <c r="L580" s="4" t="s">
        <v>6292</v>
      </c>
      <c r="M580" s="4" t="s">
        <v>46</v>
      </c>
      <c r="N580" s="4"/>
      <c r="O580" s="4" t="s">
        <v>47</v>
      </c>
      <c r="P580" s="4" t="s">
        <v>48</v>
      </c>
      <c r="Q580" s="4">
        <v>0</v>
      </c>
      <c r="R580" s="4" t="b">
        <v>0</v>
      </c>
      <c r="S580" s="4" t="s">
        <v>61</v>
      </c>
      <c r="T580" s="4" t="s">
        <v>70</v>
      </c>
      <c r="U580" s="4" t="s">
        <v>175</v>
      </c>
      <c r="V580" s="4" t="s">
        <v>63</v>
      </c>
      <c r="W580" s="4" t="s">
        <v>108</v>
      </c>
      <c r="X580" s="4" t="s">
        <v>54</v>
      </c>
      <c r="Y580" s="4"/>
      <c r="Z580" s="12">
        <v>0</v>
      </c>
      <c r="AA580" s="13" t="s">
        <v>9152</v>
      </c>
      <c r="AB580" s="13" t="s">
        <v>9153</v>
      </c>
      <c r="AC580" s="14" t="s">
        <v>9148</v>
      </c>
      <c r="AD580" s="14" t="s">
        <v>9140</v>
      </c>
      <c r="AE580" s="14" t="s">
        <v>9140</v>
      </c>
      <c r="AF580" s="14" t="s">
        <v>63</v>
      </c>
      <c r="AG580" s="14" t="s">
        <v>54</v>
      </c>
      <c r="AH580" s="15" t="s">
        <v>9220</v>
      </c>
      <c r="AI580" s="15" t="s">
        <v>9175</v>
      </c>
      <c r="AJ580" s="15" t="s">
        <v>9143</v>
      </c>
      <c r="AK580" s="15" t="s">
        <v>9221</v>
      </c>
      <c r="AL580" s="15" t="s">
        <v>9222</v>
      </c>
      <c r="AM580" s="16" t="s">
        <v>9221</v>
      </c>
      <c r="AN580" s="16" t="s">
        <v>9223</v>
      </c>
    </row>
    <row r="581" spans="1:40" x14ac:dyDescent="0.25">
      <c r="A581" s="4" t="s">
        <v>4825</v>
      </c>
      <c r="B581" s="4"/>
      <c r="C581" s="4" t="s">
        <v>39</v>
      </c>
      <c r="D581" s="4" t="s">
        <v>4826</v>
      </c>
      <c r="E581" s="4" t="s">
        <v>4827</v>
      </c>
      <c r="F581" s="10">
        <v>45590</v>
      </c>
      <c r="G581" s="11">
        <v>0.38194444444444442</v>
      </c>
      <c r="H581" s="4" t="s">
        <v>4019</v>
      </c>
      <c r="I581" s="4" t="s">
        <v>4804</v>
      </c>
      <c r="J581" s="4" t="s">
        <v>756</v>
      </c>
      <c r="K581" s="4" t="s">
        <v>4828</v>
      </c>
      <c r="L581" s="4" t="s">
        <v>4829</v>
      </c>
      <c r="M581" s="4" t="s">
        <v>46</v>
      </c>
      <c r="N581" s="4"/>
      <c r="O581" s="4" t="s">
        <v>47</v>
      </c>
      <c r="P581" s="4" t="s">
        <v>48</v>
      </c>
      <c r="Q581" s="4">
        <v>0</v>
      </c>
      <c r="R581" s="4" t="b">
        <v>0</v>
      </c>
      <c r="S581" s="4" t="s">
        <v>49</v>
      </c>
      <c r="T581" s="4" t="s">
        <v>50</v>
      </c>
      <c r="U581" s="4" t="s">
        <v>51</v>
      </c>
      <c r="V581" s="4" t="s">
        <v>72</v>
      </c>
      <c r="W581" s="4" t="s">
        <v>73</v>
      </c>
      <c r="X581" s="4" t="s">
        <v>54</v>
      </c>
      <c r="Y581" s="4"/>
      <c r="Z581" s="12">
        <v>0</v>
      </c>
      <c r="AA581" s="13" t="s">
        <v>9152</v>
      </c>
      <c r="AB581" s="13" t="s">
        <v>9153</v>
      </c>
      <c r="AC581" s="14" t="s">
        <v>9139</v>
      </c>
      <c r="AD581" s="14" t="s">
        <v>9140</v>
      </c>
      <c r="AE581" s="14" t="s">
        <v>9140</v>
      </c>
      <c r="AF581" s="14" t="s">
        <v>72</v>
      </c>
      <c r="AG581" s="14" t="s">
        <v>54</v>
      </c>
      <c r="AH581" s="15" t="s">
        <v>9220</v>
      </c>
      <c r="AI581" s="15" t="s">
        <v>9175</v>
      </c>
      <c r="AJ581" s="15" t="s">
        <v>9143</v>
      </c>
      <c r="AK581" s="15" t="s">
        <v>9221</v>
      </c>
      <c r="AL581" s="15" t="s">
        <v>9222</v>
      </c>
      <c r="AM581" s="16" t="s">
        <v>9221</v>
      </c>
      <c r="AN581" s="16" t="s">
        <v>9223</v>
      </c>
    </row>
    <row r="582" spans="1:40" x14ac:dyDescent="0.25">
      <c r="A582" s="4" t="s">
        <v>3115</v>
      </c>
      <c r="B582" s="4" t="s">
        <v>3116</v>
      </c>
      <c r="C582" s="4" t="s">
        <v>39</v>
      </c>
      <c r="D582" s="4" t="s">
        <v>3117</v>
      </c>
      <c r="E582" s="4" t="s">
        <v>3118</v>
      </c>
      <c r="F582" s="10">
        <v>45590</v>
      </c>
      <c r="G582" s="11">
        <v>0.50694444444444442</v>
      </c>
      <c r="H582" s="4" t="s">
        <v>3119</v>
      </c>
      <c r="I582" s="4" t="s">
        <v>3120</v>
      </c>
      <c r="J582" s="4" t="s">
        <v>3121</v>
      </c>
      <c r="K582" s="4" t="s">
        <v>3122</v>
      </c>
      <c r="L582" s="4" t="s">
        <v>3123</v>
      </c>
      <c r="M582" s="4" t="s">
        <v>28</v>
      </c>
      <c r="N582" s="4" t="s">
        <v>478</v>
      </c>
      <c r="O582" s="4" t="s">
        <v>344</v>
      </c>
      <c r="P582" s="4" t="s">
        <v>48</v>
      </c>
      <c r="Q582" s="4">
        <v>5</v>
      </c>
      <c r="R582" s="4" t="b">
        <v>0</v>
      </c>
      <c r="S582" s="4" t="s">
        <v>114</v>
      </c>
      <c r="T582" s="4" t="s">
        <v>583</v>
      </c>
      <c r="U582" s="4" t="s">
        <v>107</v>
      </c>
      <c r="V582" s="4" t="s">
        <v>63</v>
      </c>
      <c r="W582" s="4" t="s">
        <v>312</v>
      </c>
      <c r="X582" s="4" t="s">
        <v>54</v>
      </c>
      <c r="Y582" s="4" t="s">
        <v>775</v>
      </c>
      <c r="Z582" s="12" t="s">
        <v>48</v>
      </c>
      <c r="AA582" s="13" t="s">
        <v>9152</v>
      </c>
      <c r="AB582" s="13" t="s">
        <v>9153</v>
      </c>
      <c r="AC582" s="14" t="s">
        <v>9157</v>
      </c>
      <c r="AD582" s="14" t="s">
        <v>28</v>
      </c>
      <c r="AE582" s="14" t="s">
        <v>478</v>
      </c>
      <c r="AF582" s="14" t="s">
        <v>63</v>
      </c>
      <c r="AG582" s="14" t="s">
        <v>54</v>
      </c>
      <c r="AH582" s="15" t="s">
        <v>9194</v>
      </c>
      <c r="AI582" s="15" t="s">
        <v>9213</v>
      </c>
      <c r="AJ582" s="15" t="s">
        <v>9143</v>
      </c>
      <c r="AK582" s="15" t="s">
        <v>9194</v>
      </c>
      <c r="AL582" s="15" t="s">
        <v>9205</v>
      </c>
      <c r="AM582" s="16" t="s">
        <v>9194</v>
      </c>
      <c r="AN582" s="16" t="s">
        <v>9206</v>
      </c>
    </row>
    <row r="583" spans="1:40" x14ac:dyDescent="0.25">
      <c r="A583" s="4" t="s">
        <v>1516</v>
      </c>
      <c r="B583" s="4" t="s">
        <v>1517</v>
      </c>
      <c r="C583" s="4" t="s">
        <v>39</v>
      </c>
      <c r="D583" s="4" t="s">
        <v>1518</v>
      </c>
      <c r="E583" s="4" t="s">
        <v>1519</v>
      </c>
      <c r="F583" s="10">
        <v>45590</v>
      </c>
      <c r="G583" s="11">
        <v>0.35416666666666669</v>
      </c>
      <c r="H583" s="4" t="s">
        <v>1476</v>
      </c>
      <c r="I583" s="4">
        <v>6065</v>
      </c>
      <c r="J583" s="4" t="s">
        <v>1508</v>
      </c>
      <c r="K583" s="4" t="s">
        <v>455</v>
      </c>
      <c r="L583" s="4" t="s">
        <v>1520</v>
      </c>
      <c r="M583" s="4" t="s">
        <v>46</v>
      </c>
      <c r="N583" s="4"/>
      <c r="O583" s="4" t="s">
        <v>174</v>
      </c>
      <c r="P583" s="4" t="s">
        <v>48</v>
      </c>
      <c r="Q583" s="4">
        <v>0</v>
      </c>
      <c r="R583" s="4" t="b">
        <v>0</v>
      </c>
      <c r="S583" s="4" t="s">
        <v>1521</v>
      </c>
      <c r="T583" s="4" t="s">
        <v>89</v>
      </c>
      <c r="U583" s="4" t="s">
        <v>148</v>
      </c>
      <c r="V583" s="4" t="s">
        <v>52</v>
      </c>
      <c r="W583" s="4" t="s">
        <v>53</v>
      </c>
      <c r="X583" s="4" t="s">
        <v>54</v>
      </c>
      <c r="Y583" s="4"/>
      <c r="Z583" s="12">
        <v>0</v>
      </c>
      <c r="AA583" s="13" t="s">
        <v>9152</v>
      </c>
      <c r="AB583" s="13" t="s">
        <v>9153</v>
      </c>
      <c r="AC583" s="14" t="s">
        <v>9148</v>
      </c>
      <c r="AD583" s="14" t="s">
        <v>9140</v>
      </c>
      <c r="AE583" s="14" t="s">
        <v>9140</v>
      </c>
      <c r="AF583" s="14" t="s">
        <v>52</v>
      </c>
      <c r="AG583" s="14" t="s">
        <v>54</v>
      </c>
      <c r="AH583" s="15" t="s">
        <v>9141</v>
      </c>
      <c r="AI583" s="15" t="s">
        <v>9193</v>
      </c>
      <c r="AJ583" s="15" t="s">
        <v>9143</v>
      </c>
      <c r="AK583" s="15" t="s">
        <v>9141</v>
      </c>
      <c r="AL583" s="15" t="s">
        <v>9189</v>
      </c>
      <c r="AM583" s="16" t="s">
        <v>9141</v>
      </c>
      <c r="AN583" s="16" t="s">
        <v>9190</v>
      </c>
    </row>
    <row r="584" spans="1:40" x14ac:dyDescent="0.25">
      <c r="A584" s="4" t="s">
        <v>5434</v>
      </c>
      <c r="B584" s="4" t="s">
        <v>5435</v>
      </c>
      <c r="C584" s="4" t="s">
        <v>488</v>
      </c>
      <c r="D584" s="4" t="s">
        <v>5436</v>
      </c>
      <c r="E584" s="4" t="s">
        <v>5437</v>
      </c>
      <c r="F584" s="10">
        <v>45589</v>
      </c>
      <c r="G584" s="11">
        <v>0.69097222222222221</v>
      </c>
      <c r="H584" s="4" t="s">
        <v>4659</v>
      </c>
      <c r="I584" s="4" t="s">
        <v>5425</v>
      </c>
      <c r="J584" s="4" t="s">
        <v>3736</v>
      </c>
      <c r="K584" s="4" t="s">
        <v>5438</v>
      </c>
      <c r="L584" s="4" t="s">
        <v>5439</v>
      </c>
      <c r="M584" s="4" t="s">
        <v>28</v>
      </c>
      <c r="N584" s="4" t="s">
        <v>183</v>
      </c>
      <c r="O584" s="4" t="s">
        <v>863</v>
      </c>
      <c r="P584" s="4" t="s">
        <v>60</v>
      </c>
      <c r="Q584" s="4">
        <v>107</v>
      </c>
      <c r="R584" s="4" t="b">
        <v>0</v>
      </c>
      <c r="S584" s="4" t="s">
        <v>184</v>
      </c>
      <c r="T584" s="4" t="s">
        <v>204</v>
      </c>
      <c r="U584" s="4" t="s">
        <v>330</v>
      </c>
      <c r="V584" s="4" t="s">
        <v>267</v>
      </c>
      <c r="W584" s="4" t="s">
        <v>2330</v>
      </c>
      <c r="X584" s="4" t="s">
        <v>54</v>
      </c>
      <c r="Y584" s="4"/>
      <c r="Z584" s="12" t="s">
        <v>60</v>
      </c>
      <c r="AA584" s="13" t="s">
        <v>9152</v>
      </c>
      <c r="AB584" s="13" t="s">
        <v>9153</v>
      </c>
      <c r="AC584" s="14" t="s">
        <v>9166</v>
      </c>
      <c r="AD584" s="14" t="s">
        <v>28</v>
      </c>
      <c r="AE584" s="14" t="s">
        <v>183</v>
      </c>
      <c r="AF584" s="14" t="s">
        <v>267</v>
      </c>
      <c r="AG584" s="14" t="s">
        <v>54</v>
      </c>
      <c r="AH584" s="15" t="s">
        <v>9220</v>
      </c>
      <c r="AI584" s="15" t="s">
        <v>9142</v>
      </c>
      <c r="AJ584" s="15" t="s">
        <v>9143</v>
      </c>
      <c r="AK584" s="15" t="s">
        <v>9221</v>
      </c>
      <c r="AL584" s="15" t="s">
        <v>9228</v>
      </c>
      <c r="AM584" s="16" t="s">
        <v>9221</v>
      </c>
      <c r="AN584" s="16" t="s">
        <v>9229</v>
      </c>
    </row>
    <row r="585" spans="1:40" x14ac:dyDescent="0.25">
      <c r="A585" s="4" t="s">
        <v>5440</v>
      </c>
      <c r="B585" s="4"/>
      <c r="C585" s="4" t="s">
        <v>488</v>
      </c>
      <c r="D585" s="4" t="s">
        <v>5441</v>
      </c>
      <c r="E585" s="4" t="s">
        <v>5442</v>
      </c>
      <c r="F585" s="10">
        <v>45589</v>
      </c>
      <c r="G585" s="11">
        <v>0.69097222222222221</v>
      </c>
      <c r="H585" s="4" t="s">
        <v>4659</v>
      </c>
      <c r="I585" s="4" t="s">
        <v>5425</v>
      </c>
      <c r="J585" s="4" t="s">
        <v>3736</v>
      </c>
      <c r="K585" s="4" t="s">
        <v>5443</v>
      </c>
      <c r="L585" s="4" t="s">
        <v>5439</v>
      </c>
      <c r="M585" s="4" t="s">
        <v>46</v>
      </c>
      <c r="N585" s="4"/>
      <c r="O585" s="4" t="s">
        <v>191</v>
      </c>
      <c r="P585" s="4" t="s">
        <v>48</v>
      </c>
      <c r="Q585" s="4">
        <v>0</v>
      </c>
      <c r="R585" s="4" t="b">
        <v>0</v>
      </c>
      <c r="S585" s="4" t="s">
        <v>49</v>
      </c>
      <c r="T585" s="4" t="s">
        <v>204</v>
      </c>
      <c r="U585" s="4" t="s">
        <v>122</v>
      </c>
      <c r="V585" s="4" t="s">
        <v>267</v>
      </c>
      <c r="W585" s="4" t="s">
        <v>2330</v>
      </c>
      <c r="X585" s="4" t="s">
        <v>54</v>
      </c>
      <c r="Y585" s="4"/>
      <c r="Z585" s="12">
        <v>0</v>
      </c>
      <c r="AA585" s="13" t="s">
        <v>9152</v>
      </c>
      <c r="AB585" s="13" t="s">
        <v>9153</v>
      </c>
      <c r="AC585" s="14" t="s">
        <v>9139</v>
      </c>
      <c r="AD585" s="14" t="s">
        <v>9140</v>
      </c>
      <c r="AE585" s="14" t="s">
        <v>9140</v>
      </c>
      <c r="AF585" s="14" t="s">
        <v>267</v>
      </c>
      <c r="AG585" s="14" t="s">
        <v>54</v>
      </c>
      <c r="AH585" s="15" t="s">
        <v>9220</v>
      </c>
      <c r="AI585" s="15" t="s">
        <v>9142</v>
      </c>
      <c r="AJ585" s="15" t="s">
        <v>9143</v>
      </c>
      <c r="AK585" s="15" t="s">
        <v>9221</v>
      </c>
      <c r="AL585" s="15" t="s">
        <v>9228</v>
      </c>
      <c r="AM585" s="16" t="s">
        <v>9221</v>
      </c>
      <c r="AN585" s="16" t="s">
        <v>9229</v>
      </c>
    </row>
    <row r="586" spans="1:40" x14ac:dyDescent="0.25">
      <c r="A586" s="4" t="s">
        <v>5444</v>
      </c>
      <c r="B586" s="4"/>
      <c r="C586" s="4" t="s">
        <v>488</v>
      </c>
      <c r="D586" s="4" t="s">
        <v>5445</v>
      </c>
      <c r="E586" s="4" t="s">
        <v>5446</v>
      </c>
      <c r="F586" s="10">
        <v>45589</v>
      </c>
      <c r="G586" s="11">
        <v>0.6875</v>
      </c>
      <c r="H586" s="4" t="s">
        <v>4659</v>
      </c>
      <c r="I586" s="4" t="s">
        <v>5425</v>
      </c>
      <c r="J586" s="4" t="s">
        <v>3736</v>
      </c>
      <c r="K586" s="4" t="s">
        <v>5447</v>
      </c>
      <c r="L586" s="4" t="s">
        <v>5448</v>
      </c>
      <c r="M586" s="4" t="s">
        <v>46</v>
      </c>
      <c r="N586" s="4"/>
      <c r="O586" s="4" t="s">
        <v>47</v>
      </c>
      <c r="P586" s="4" t="s">
        <v>48</v>
      </c>
      <c r="Q586" s="4">
        <v>0</v>
      </c>
      <c r="R586" s="4" t="b">
        <v>0</v>
      </c>
      <c r="S586" s="4" t="s">
        <v>61</v>
      </c>
      <c r="T586" s="4" t="s">
        <v>349</v>
      </c>
      <c r="U586" s="4" t="s">
        <v>330</v>
      </c>
      <c r="V586" s="4" t="s">
        <v>267</v>
      </c>
      <c r="W586" s="4" t="s">
        <v>2330</v>
      </c>
      <c r="X586" s="4" t="s">
        <v>54</v>
      </c>
      <c r="Y586" s="4"/>
      <c r="Z586" s="12">
        <v>0</v>
      </c>
      <c r="AA586" s="13" t="s">
        <v>9152</v>
      </c>
      <c r="AB586" s="13" t="s">
        <v>9153</v>
      </c>
      <c r="AC586" s="14" t="s">
        <v>9148</v>
      </c>
      <c r="AD586" s="14" t="s">
        <v>9140</v>
      </c>
      <c r="AE586" s="14" t="s">
        <v>9140</v>
      </c>
      <c r="AF586" s="14" t="s">
        <v>267</v>
      </c>
      <c r="AG586" s="14" t="s">
        <v>54</v>
      </c>
      <c r="AH586" s="15" t="s">
        <v>9220</v>
      </c>
      <c r="AI586" s="15" t="s">
        <v>9142</v>
      </c>
      <c r="AJ586" s="15" t="s">
        <v>9143</v>
      </c>
      <c r="AK586" s="15" t="s">
        <v>9221</v>
      </c>
      <c r="AL586" s="15" t="s">
        <v>9228</v>
      </c>
      <c r="AM586" s="16" t="s">
        <v>9221</v>
      </c>
      <c r="AN586" s="16" t="s">
        <v>9229</v>
      </c>
    </row>
    <row r="587" spans="1:40" x14ac:dyDescent="0.25">
      <c r="A587" s="4" t="s">
        <v>7928</v>
      </c>
      <c r="B587" s="4"/>
      <c r="C587" s="4" t="s">
        <v>39</v>
      </c>
      <c r="D587" s="4" t="s">
        <v>7929</v>
      </c>
      <c r="E587" s="4" t="s">
        <v>7930</v>
      </c>
      <c r="F587" s="10">
        <v>45589</v>
      </c>
      <c r="G587" s="11">
        <v>0.66666666666666663</v>
      </c>
      <c r="H587" s="4" t="s">
        <v>4516</v>
      </c>
      <c r="I587" s="4" t="s">
        <v>7915</v>
      </c>
      <c r="J587" s="4" t="s">
        <v>7916</v>
      </c>
      <c r="K587" s="4" t="s">
        <v>5979</v>
      </c>
      <c r="L587" s="4" t="s">
        <v>7931</v>
      </c>
      <c r="M587" s="4" t="s">
        <v>46</v>
      </c>
      <c r="N587" s="4"/>
      <c r="O587" s="4" t="s">
        <v>47</v>
      </c>
      <c r="P587" s="4" t="s">
        <v>48</v>
      </c>
      <c r="Q587" s="4">
        <v>0</v>
      </c>
      <c r="R587" s="4" t="b">
        <v>0</v>
      </c>
      <c r="S587" s="4" t="s">
        <v>61</v>
      </c>
      <c r="T587" s="4" t="s">
        <v>266</v>
      </c>
      <c r="U587" s="4" t="s">
        <v>330</v>
      </c>
      <c r="V587" s="4" t="s">
        <v>267</v>
      </c>
      <c r="W587" s="4" t="s">
        <v>2730</v>
      </c>
      <c r="X587" s="4" t="s">
        <v>54</v>
      </c>
      <c r="Y587" s="4"/>
      <c r="Z587" s="12">
        <v>0</v>
      </c>
      <c r="AA587" s="13" t="s">
        <v>9152</v>
      </c>
      <c r="AB587" s="13" t="s">
        <v>9153</v>
      </c>
      <c r="AC587" s="14" t="s">
        <v>9148</v>
      </c>
      <c r="AD587" s="14" t="s">
        <v>9140</v>
      </c>
      <c r="AE587" s="14" t="s">
        <v>9140</v>
      </c>
      <c r="AF587" s="14" t="s">
        <v>267</v>
      </c>
      <c r="AG587" s="14" t="s">
        <v>54</v>
      </c>
      <c r="AH587" s="15" t="s">
        <v>9220</v>
      </c>
      <c r="AI587" s="15" t="s">
        <v>9188</v>
      </c>
      <c r="AJ587" s="15" t="s">
        <v>9143</v>
      </c>
      <c r="AK587" s="15" t="s">
        <v>9221</v>
      </c>
      <c r="AL587" s="15" t="s">
        <v>9230</v>
      </c>
      <c r="AM587" s="16" t="s">
        <v>9221</v>
      </c>
      <c r="AN587" s="16" t="s">
        <v>9231</v>
      </c>
    </row>
    <row r="588" spans="1:40" x14ac:dyDescent="0.25">
      <c r="A588" s="4" t="s">
        <v>2572</v>
      </c>
      <c r="B588" s="4"/>
      <c r="C588" s="4" t="s">
        <v>39</v>
      </c>
      <c r="D588" s="4" t="s">
        <v>2573</v>
      </c>
      <c r="E588" s="4" t="s">
        <v>2574</v>
      </c>
      <c r="F588" s="10">
        <v>45588</v>
      </c>
      <c r="G588" s="11">
        <v>0.7</v>
      </c>
      <c r="H588" s="4" t="s">
        <v>1939</v>
      </c>
      <c r="I588" s="4" t="s">
        <v>2575</v>
      </c>
      <c r="J588" s="4" t="s">
        <v>2576</v>
      </c>
      <c r="K588" s="4" t="s">
        <v>2577</v>
      </c>
      <c r="L588" s="4" t="s">
        <v>2578</v>
      </c>
      <c r="M588" s="4" t="s">
        <v>46</v>
      </c>
      <c r="N588" s="4"/>
      <c r="O588" s="4" t="s">
        <v>47</v>
      </c>
      <c r="P588" s="4" t="s">
        <v>48</v>
      </c>
      <c r="Q588" s="4">
        <v>0</v>
      </c>
      <c r="R588" s="4" t="b">
        <v>0</v>
      </c>
      <c r="S588" s="4" t="s">
        <v>49</v>
      </c>
      <c r="T588" s="4" t="s">
        <v>115</v>
      </c>
      <c r="U588" s="4" t="s">
        <v>175</v>
      </c>
      <c r="V588" s="4" t="s">
        <v>52</v>
      </c>
      <c r="W588" s="4" t="s">
        <v>135</v>
      </c>
      <c r="X588" s="4" t="s">
        <v>54</v>
      </c>
      <c r="Y588" s="4"/>
      <c r="Z588" s="12">
        <v>0</v>
      </c>
      <c r="AA588" s="13" t="s">
        <v>9152</v>
      </c>
      <c r="AB588" s="13" t="s">
        <v>9153</v>
      </c>
      <c r="AC588" s="14" t="s">
        <v>9139</v>
      </c>
      <c r="AD588" s="14" t="s">
        <v>9140</v>
      </c>
      <c r="AE588" s="14" t="s">
        <v>9140</v>
      </c>
      <c r="AF588" s="14" t="s">
        <v>52</v>
      </c>
      <c r="AG588" s="14" t="s">
        <v>54</v>
      </c>
      <c r="AH588" s="15" t="s">
        <v>9194</v>
      </c>
      <c r="AI588" s="15" t="s">
        <v>9175</v>
      </c>
      <c r="AJ588" s="15" t="s">
        <v>9143</v>
      </c>
      <c r="AK588" s="15" t="s">
        <v>9194</v>
      </c>
      <c r="AL588" s="15" t="s">
        <v>9209</v>
      </c>
      <c r="AM588" s="16" t="s">
        <v>9194</v>
      </c>
      <c r="AN588" s="16" t="s">
        <v>9210</v>
      </c>
    </row>
    <row r="589" spans="1:40" x14ac:dyDescent="0.25">
      <c r="A589" s="4" t="s">
        <v>3935</v>
      </c>
      <c r="B589" s="4"/>
      <c r="C589" s="4" t="s">
        <v>39</v>
      </c>
      <c r="D589" s="4"/>
      <c r="E589" s="4" t="s">
        <v>3936</v>
      </c>
      <c r="F589" s="10">
        <v>45588</v>
      </c>
      <c r="G589" s="11">
        <v>0.59375</v>
      </c>
      <c r="H589" s="4" t="s">
        <v>1992</v>
      </c>
      <c r="I589" s="4" t="s">
        <v>3926</v>
      </c>
      <c r="J589" s="4" t="s">
        <v>3927</v>
      </c>
      <c r="K589" s="4" t="s">
        <v>3937</v>
      </c>
      <c r="L589" s="4" t="s">
        <v>3938</v>
      </c>
      <c r="M589" s="4" t="s">
        <v>46</v>
      </c>
      <c r="N589" s="4"/>
      <c r="O589" s="4" t="s">
        <v>47</v>
      </c>
      <c r="P589" s="4" t="s">
        <v>48</v>
      </c>
      <c r="Q589" s="4">
        <v>0</v>
      </c>
      <c r="R589" s="4" t="b">
        <v>0</v>
      </c>
      <c r="S589" s="4" t="s">
        <v>49</v>
      </c>
      <c r="T589" s="4" t="s">
        <v>115</v>
      </c>
      <c r="U589" s="4" t="s">
        <v>140</v>
      </c>
      <c r="V589" s="4" t="s">
        <v>123</v>
      </c>
      <c r="W589" s="4" t="s">
        <v>124</v>
      </c>
      <c r="X589" s="4" t="s">
        <v>54</v>
      </c>
      <c r="Y589" s="4"/>
      <c r="Z589" s="12">
        <v>0</v>
      </c>
      <c r="AA589" s="13" t="s">
        <v>9152</v>
      </c>
      <c r="AB589" s="13" t="s">
        <v>9153</v>
      </c>
      <c r="AC589" s="14" t="s">
        <v>9139</v>
      </c>
      <c r="AD589" s="14" t="s">
        <v>9140</v>
      </c>
      <c r="AE589" s="14" t="s">
        <v>9140</v>
      </c>
      <c r="AF589" s="14" t="s">
        <v>123</v>
      </c>
      <c r="AG589" s="14" t="s">
        <v>54</v>
      </c>
      <c r="AH589" s="15" t="s">
        <v>9194</v>
      </c>
      <c r="AI589" s="15" t="s">
        <v>9191</v>
      </c>
      <c r="AJ589" s="15" t="s">
        <v>9143</v>
      </c>
      <c r="AK589" s="15" t="s">
        <v>9194</v>
      </c>
      <c r="AL589" s="15" t="s">
        <v>9197</v>
      </c>
      <c r="AM589" s="16" t="s">
        <v>9194</v>
      </c>
      <c r="AN589" s="16" t="s">
        <v>9198</v>
      </c>
    </row>
    <row r="590" spans="1:40" x14ac:dyDescent="0.25">
      <c r="A590" s="4" t="s">
        <v>1847</v>
      </c>
      <c r="B590" s="4"/>
      <c r="C590" s="4" t="s">
        <v>39</v>
      </c>
      <c r="D590" s="4" t="s">
        <v>1848</v>
      </c>
      <c r="E590" s="4" t="s">
        <v>1849</v>
      </c>
      <c r="F590" s="10">
        <v>45587</v>
      </c>
      <c r="G590" s="11">
        <v>0.61805555555555558</v>
      </c>
      <c r="H590" s="4" t="s">
        <v>1654</v>
      </c>
      <c r="I590" s="4">
        <v>9097</v>
      </c>
      <c r="J590" s="4" t="s">
        <v>1844</v>
      </c>
      <c r="K590" s="4" t="s">
        <v>1850</v>
      </c>
      <c r="L590" s="4" t="s">
        <v>1851</v>
      </c>
      <c r="M590" s="4" t="s">
        <v>46</v>
      </c>
      <c r="N590" s="4"/>
      <c r="O590" s="4" t="s">
        <v>47</v>
      </c>
      <c r="P590" s="4" t="s">
        <v>48</v>
      </c>
      <c r="Q590" s="4">
        <v>0</v>
      </c>
      <c r="R590" s="4" t="b">
        <v>0</v>
      </c>
      <c r="S590" s="4" t="s">
        <v>49</v>
      </c>
      <c r="T590" s="4" t="s">
        <v>89</v>
      </c>
      <c r="U590" s="4" t="s">
        <v>345</v>
      </c>
      <c r="V590" s="4" t="s">
        <v>123</v>
      </c>
      <c r="W590" s="4" t="s">
        <v>124</v>
      </c>
      <c r="X590" s="4" t="s">
        <v>98</v>
      </c>
      <c r="Y590" s="4"/>
      <c r="Z590" s="12">
        <v>0</v>
      </c>
      <c r="AA590" s="13" t="s">
        <v>9152</v>
      </c>
      <c r="AB590" s="13" t="s">
        <v>9153</v>
      </c>
      <c r="AC590" s="14" t="s">
        <v>9139</v>
      </c>
      <c r="AD590" s="14" t="s">
        <v>9140</v>
      </c>
      <c r="AE590" s="14" t="s">
        <v>9140</v>
      </c>
      <c r="AF590" s="14" t="s">
        <v>123</v>
      </c>
      <c r="AG590" s="14" t="s">
        <v>98</v>
      </c>
      <c r="AH590" s="15" t="s">
        <v>9141</v>
      </c>
      <c r="AI590" s="15" t="s">
        <v>9191</v>
      </c>
      <c r="AJ590" s="15" t="s">
        <v>9143</v>
      </c>
      <c r="AK590" s="15" t="s">
        <v>9141</v>
      </c>
      <c r="AL590" s="15" t="s">
        <v>9191</v>
      </c>
      <c r="AM590" s="16" t="s">
        <v>9141</v>
      </c>
      <c r="AN590" s="16" t="s">
        <v>9192</v>
      </c>
    </row>
    <row r="591" spans="1:40" x14ac:dyDescent="0.25">
      <c r="A591" s="4" t="s">
        <v>5262</v>
      </c>
      <c r="B591" s="4"/>
      <c r="C591" s="4" t="s">
        <v>39</v>
      </c>
      <c r="D591" s="4" t="s">
        <v>5263</v>
      </c>
      <c r="E591" s="4" t="s">
        <v>5264</v>
      </c>
      <c r="F591" s="10">
        <v>45587</v>
      </c>
      <c r="G591" s="11">
        <v>0.48958333333333331</v>
      </c>
      <c r="H591" s="4" t="s">
        <v>4516</v>
      </c>
      <c r="I591" s="4" t="s">
        <v>5255</v>
      </c>
      <c r="J591" s="4" t="s">
        <v>3865</v>
      </c>
      <c r="K591" s="4" t="s">
        <v>5265</v>
      </c>
      <c r="L591" s="4" t="s">
        <v>5266</v>
      </c>
      <c r="M591" s="4" t="s">
        <v>46</v>
      </c>
      <c r="N591" s="4"/>
      <c r="O591" s="4" t="s">
        <v>47</v>
      </c>
      <c r="P591" s="4" t="s">
        <v>48</v>
      </c>
      <c r="Q591" s="4">
        <v>0</v>
      </c>
      <c r="R591" s="4" t="b">
        <v>0</v>
      </c>
      <c r="S591" s="4" t="s">
        <v>49</v>
      </c>
      <c r="T591" s="4" t="s">
        <v>115</v>
      </c>
      <c r="U591" s="4" t="s">
        <v>107</v>
      </c>
      <c r="V591" s="4" t="s">
        <v>63</v>
      </c>
      <c r="W591" s="4" t="s">
        <v>108</v>
      </c>
      <c r="X591" s="4" t="s">
        <v>54</v>
      </c>
      <c r="Y591" s="4" t="s">
        <v>176</v>
      </c>
      <c r="Z591" s="12">
        <v>0</v>
      </c>
      <c r="AA591" s="13" t="s">
        <v>9152</v>
      </c>
      <c r="AB591" s="13" t="s">
        <v>9153</v>
      </c>
      <c r="AC591" s="14" t="s">
        <v>9139</v>
      </c>
      <c r="AD591" s="14" t="s">
        <v>9140</v>
      </c>
      <c r="AE591" s="14" t="s">
        <v>9140</v>
      </c>
      <c r="AF591" s="14" t="s">
        <v>63</v>
      </c>
      <c r="AG591" s="14" t="s">
        <v>54</v>
      </c>
      <c r="AH591" s="15" t="s">
        <v>9220</v>
      </c>
      <c r="AI591" s="15" t="s">
        <v>9188</v>
      </c>
      <c r="AJ591" s="15" t="s">
        <v>9143</v>
      </c>
      <c r="AK591" s="15" t="s">
        <v>9221</v>
      </c>
      <c r="AL591" s="15" t="s">
        <v>9232</v>
      </c>
      <c r="AM591" s="16" t="s">
        <v>9221</v>
      </c>
      <c r="AN591" s="16" t="s">
        <v>9233</v>
      </c>
    </row>
    <row r="592" spans="1:40" x14ac:dyDescent="0.25">
      <c r="A592" s="4" t="s">
        <v>4877</v>
      </c>
      <c r="B592" s="4">
        <v>7356629</v>
      </c>
      <c r="C592" s="4" t="s">
        <v>39</v>
      </c>
      <c r="D592" s="4" t="s">
        <v>4878</v>
      </c>
      <c r="E592" s="4" t="s">
        <v>4879</v>
      </c>
      <c r="F592" s="10">
        <v>45587</v>
      </c>
      <c r="G592" s="11">
        <v>0.68958333333333333</v>
      </c>
      <c r="H592" s="4" t="s">
        <v>4516</v>
      </c>
      <c r="I592" s="4" t="s">
        <v>4869</v>
      </c>
      <c r="J592" s="4" t="s">
        <v>4870</v>
      </c>
      <c r="K592" s="4" t="s">
        <v>4880</v>
      </c>
      <c r="L592" s="4" t="s">
        <v>4881</v>
      </c>
      <c r="M592" s="4" t="s">
        <v>28</v>
      </c>
      <c r="N592" s="4" t="s">
        <v>2718</v>
      </c>
      <c r="O592" s="4" t="s">
        <v>47</v>
      </c>
      <c r="P592" s="4" t="s">
        <v>48</v>
      </c>
      <c r="Q592" s="4">
        <v>0</v>
      </c>
      <c r="R592" s="4" t="b">
        <v>0</v>
      </c>
      <c r="S592" s="4" t="s">
        <v>61</v>
      </c>
      <c r="T592" s="4" t="s">
        <v>115</v>
      </c>
      <c r="U592" s="4" t="s">
        <v>122</v>
      </c>
      <c r="V592" s="4" t="s">
        <v>123</v>
      </c>
      <c r="W592" s="4" t="s">
        <v>124</v>
      </c>
      <c r="X592" s="4" t="s">
        <v>54</v>
      </c>
      <c r="Y592" s="4"/>
      <c r="Z592" s="12" t="s">
        <v>48</v>
      </c>
      <c r="AA592" s="13" t="s">
        <v>9152</v>
      </c>
      <c r="AB592" s="13" t="s">
        <v>9153</v>
      </c>
      <c r="AC592" s="14" t="s">
        <v>9148</v>
      </c>
      <c r="AD592" s="14" t="s">
        <v>28</v>
      </c>
      <c r="AE592" s="14" t="s">
        <v>9140</v>
      </c>
      <c r="AF592" s="14" t="s">
        <v>123</v>
      </c>
      <c r="AG592" s="14" t="s">
        <v>54</v>
      </c>
      <c r="AH592" s="15" t="s">
        <v>9220</v>
      </c>
      <c r="AI592" s="15" t="s">
        <v>9188</v>
      </c>
      <c r="AJ592" s="15" t="s">
        <v>9143</v>
      </c>
      <c r="AK592" s="15" t="s">
        <v>9221</v>
      </c>
      <c r="AL592" s="15" t="s">
        <v>9232</v>
      </c>
      <c r="AM592" s="16" t="s">
        <v>9221</v>
      </c>
      <c r="AN592" s="16" t="s">
        <v>9233</v>
      </c>
    </row>
    <row r="593" spans="1:40" x14ac:dyDescent="0.25">
      <c r="A593" s="4" t="s">
        <v>8328</v>
      </c>
      <c r="B593" s="4"/>
      <c r="C593" s="4" t="s">
        <v>39</v>
      </c>
      <c r="D593" s="4" t="s">
        <v>8329</v>
      </c>
      <c r="E593" s="4" t="s">
        <v>8330</v>
      </c>
      <c r="F593" s="10">
        <v>45586</v>
      </c>
      <c r="G593" s="11">
        <v>0.5</v>
      </c>
      <c r="H593" s="4" t="s">
        <v>4910</v>
      </c>
      <c r="I593" s="4" t="s">
        <v>8320</v>
      </c>
      <c r="J593" s="4" t="s">
        <v>8321</v>
      </c>
      <c r="K593" s="4" t="s">
        <v>8331</v>
      </c>
      <c r="L593" s="4" t="s">
        <v>8332</v>
      </c>
      <c r="M593" s="4" t="s">
        <v>46</v>
      </c>
      <c r="N593" s="4"/>
      <c r="O593" s="4" t="s">
        <v>47</v>
      </c>
      <c r="P593" s="4" t="s">
        <v>48</v>
      </c>
      <c r="Q593" s="4">
        <v>0</v>
      </c>
      <c r="R593" s="4" t="b">
        <v>0</v>
      </c>
      <c r="S593" s="4" t="s">
        <v>49</v>
      </c>
      <c r="T593" s="4" t="s">
        <v>583</v>
      </c>
      <c r="U593" s="4" t="s">
        <v>107</v>
      </c>
      <c r="V593" s="4" t="s">
        <v>63</v>
      </c>
      <c r="W593" s="4" t="s">
        <v>198</v>
      </c>
      <c r="X593" s="4" t="s">
        <v>54</v>
      </c>
      <c r="Y593" s="4" t="s">
        <v>775</v>
      </c>
      <c r="Z593" s="12">
        <v>0</v>
      </c>
      <c r="AA593" s="13" t="s">
        <v>9152</v>
      </c>
      <c r="AB593" s="13" t="s">
        <v>9153</v>
      </c>
      <c r="AC593" s="14" t="s">
        <v>9139</v>
      </c>
      <c r="AD593" s="14" t="s">
        <v>9140</v>
      </c>
      <c r="AE593" s="14" t="s">
        <v>9140</v>
      </c>
      <c r="AF593" s="14" t="s">
        <v>63</v>
      </c>
      <c r="AG593" s="14" t="s">
        <v>54</v>
      </c>
      <c r="AH593" s="15" t="s">
        <v>9220</v>
      </c>
      <c r="AI593" s="15" t="s">
        <v>9191</v>
      </c>
      <c r="AJ593" s="15" t="s">
        <v>9143</v>
      </c>
      <c r="AK593" s="15" t="s">
        <v>9221</v>
      </c>
      <c r="AL593" s="15" t="s">
        <v>9234</v>
      </c>
      <c r="AM593" s="16" t="s">
        <v>9221</v>
      </c>
      <c r="AN593" s="16" t="s">
        <v>9235</v>
      </c>
    </row>
    <row r="594" spans="1:40" x14ac:dyDescent="0.25">
      <c r="A594" s="4" t="s">
        <v>8872</v>
      </c>
      <c r="B594" s="4"/>
      <c r="C594" s="4" t="s">
        <v>39</v>
      </c>
      <c r="D594" s="4" t="s">
        <v>8873</v>
      </c>
      <c r="E594" s="4" t="s">
        <v>8874</v>
      </c>
      <c r="F594" s="10">
        <v>45586</v>
      </c>
      <c r="G594" s="11">
        <v>0.45833333333333331</v>
      </c>
      <c r="H594" s="4" t="s">
        <v>4019</v>
      </c>
      <c r="I594" s="4" t="s">
        <v>8854</v>
      </c>
      <c r="J594" s="4" t="s">
        <v>8855</v>
      </c>
      <c r="K594" s="4" t="s">
        <v>8875</v>
      </c>
      <c r="L594" s="4" t="s">
        <v>8876</v>
      </c>
      <c r="M594" s="4" t="s">
        <v>46</v>
      </c>
      <c r="N594" s="4"/>
      <c r="O594" s="4" t="s">
        <v>47</v>
      </c>
      <c r="P594" s="4" t="s">
        <v>48</v>
      </c>
      <c r="Q594" s="4">
        <v>0</v>
      </c>
      <c r="R594" s="4" t="b">
        <v>0</v>
      </c>
      <c r="S594" s="4" t="s">
        <v>61</v>
      </c>
      <c r="T594" s="4" t="s">
        <v>2195</v>
      </c>
      <c r="U594" s="4" t="s">
        <v>51</v>
      </c>
      <c r="V594" s="4" t="s">
        <v>52</v>
      </c>
      <c r="W594" s="4" t="s">
        <v>135</v>
      </c>
      <c r="X594" s="4" t="s">
        <v>54</v>
      </c>
      <c r="Y594" s="4"/>
      <c r="Z594" s="12">
        <v>0</v>
      </c>
      <c r="AA594" s="13" t="s">
        <v>9152</v>
      </c>
      <c r="AB594" s="13" t="s">
        <v>9153</v>
      </c>
      <c r="AC594" s="14" t="s">
        <v>9148</v>
      </c>
      <c r="AD594" s="14" t="s">
        <v>9140</v>
      </c>
      <c r="AE594" s="14" t="s">
        <v>9140</v>
      </c>
      <c r="AF594" s="14" t="s">
        <v>52</v>
      </c>
      <c r="AG594" s="14" t="s">
        <v>54</v>
      </c>
      <c r="AH594" s="15" t="s">
        <v>9220</v>
      </c>
      <c r="AI594" s="15" t="s">
        <v>9175</v>
      </c>
      <c r="AJ594" s="15" t="s">
        <v>9183</v>
      </c>
      <c r="AK594" s="15" t="s">
        <v>9239</v>
      </c>
      <c r="AL594" s="15" t="s">
        <v>9240</v>
      </c>
      <c r="AM594" s="16" t="s">
        <v>9186</v>
      </c>
      <c r="AN594" s="16" t="s">
        <v>9186</v>
      </c>
    </row>
    <row r="595" spans="1:40" x14ac:dyDescent="0.25">
      <c r="A595" s="4" t="s">
        <v>6293</v>
      </c>
      <c r="B595" s="4"/>
      <c r="C595" s="4" t="s">
        <v>39</v>
      </c>
      <c r="D595" s="4" t="s">
        <v>6281</v>
      </c>
      <c r="E595" s="4" t="s">
        <v>6282</v>
      </c>
      <c r="F595" s="10">
        <v>45586</v>
      </c>
      <c r="G595" s="11">
        <v>0.4375</v>
      </c>
      <c r="H595" s="4" t="s">
        <v>4019</v>
      </c>
      <c r="I595" s="4" t="s">
        <v>6277</v>
      </c>
      <c r="J595" s="4" t="s">
        <v>988</v>
      </c>
      <c r="K595" s="4" t="s">
        <v>6294</v>
      </c>
      <c r="L595" s="4" t="s">
        <v>6295</v>
      </c>
      <c r="M595" s="4" t="s">
        <v>46</v>
      </c>
      <c r="N595" s="4"/>
      <c r="O595" s="4" t="s">
        <v>47</v>
      </c>
      <c r="P595" s="4" t="s">
        <v>60</v>
      </c>
      <c r="Q595" s="4">
        <v>0</v>
      </c>
      <c r="R595" s="4" t="b">
        <v>0</v>
      </c>
      <c r="S595" s="4" t="s">
        <v>61</v>
      </c>
      <c r="T595" s="4" t="s">
        <v>50</v>
      </c>
      <c r="U595" s="4" t="s">
        <v>51</v>
      </c>
      <c r="V595" s="4" t="s">
        <v>63</v>
      </c>
      <c r="W595" s="4" t="s">
        <v>108</v>
      </c>
      <c r="X595" s="4" t="s">
        <v>54</v>
      </c>
      <c r="Y595" s="4"/>
      <c r="Z595" s="12">
        <v>0</v>
      </c>
      <c r="AA595" s="13" t="s">
        <v>9152</v>
      </c>
      <c r="AB595" s="13" t="s">
        <v>9153</v>
      </c>
      <c r="AC595" s="14" t="s">
        <v>9148</v>
      </c>
      <c r="AD595" s="14" t="s">
        <v>9140</v>
      </c>
      <c r="AE595" s="14" t="s">
        <v>9140</v>
      </c>
      <c r="AF595" s="14" t="s">
        <v>63</v>
      </c>
      <c r="AG595" s="14" t="s">
        <v>54</v>
      </c>
      <c r="AH595" s="15" t="s">
        <v>9220</v>
      </c>
      <c r="AI595" s="15" t="s">
        <v>9175</v>
      </c>
      <c r="AJ595" s="15" t="s">
        <v>9143</v>
      </c>
      <c r="AK595" s="15" t="s">
        <v>9221</v>
      </c>
      <c r="AL595" s="15" t="s">
        <v>9222</v>
      </c>
      <c r="AM595" s="16" t="s">
        <v>9221</v>
      </c>
      <c r="AN595" s="16" t="s">
        <v>9223</v>
      </c>
    </row>
    <row r="596" spans="1:40" x14ac:dyDescent="0.25">
      <c r="A596" s="4" t="s">
        <v>2695</v>
      </c>
      <c r="B596" s="4"/>
      <c r="C596" s="4" t="s">
        <v>39</v>
      </c>
      <c r="D596" s="4" t="s">
        <v>1964</v>
      </c>
      <c r="E596" s="4" t="s">
        <v>1965</v>
      </c>
      <c r="F596" s="10">
        <v>45586</v>
      </c>
      <c r="G596" s="11">
        <v>0.375</v>
      </c>
      <c r="H596" s="4" t="s">
        <v>1939</v>
      </c>
      <c r="I596" s="4" t="s">
        <v>2677</v>
      </c>
      <c r="J596" s="4" t="s">
        <v>2678</v>
      </c>
      <c r="K596" s="4" t="s">
        <v>321</v>
      </c>
      <c r="L596" s="4" t="s">
        <v>2696</v>
      </c>
      <c r="M596" s="4" t="s">
        <v>46</v>
      </c>
      <c r="N596" s="4"/>
      <c r="O596" s="4" t="s">
        <v>47</v>
      </c>
      <c r="P596" s="4" t="s">
        <v>48</v>
      </c>
      <c r="Q596" s="4">
        <v>0</v>
      </c>
      <c r="R596" s="4" t="b">
        <v>0</v>
      </c>
      <c r="S596" s="4" t="s">
        <v>61</v>
      </c>
      <c r="T596" s="4" t="s">
        <v>2195</v>
      </c>
      <c r="U596" s="4" t="s">
        <v>148</v>
      </c>
      <c r="V596" s="4" t="s">
        <v>52</v>
      </c>
      <c r="W596" s="4" t="s">
        <v>374</v>
      </c>
      <c r="X596" s="4" t="s">
        <v>54</v>
      </c>
      <c r="Y596" s="4"/>
      <c r="Z596" s="12">
        <v>0</v>
      </c>
      <c r="AA596" s="13" t="s">
        <v>9152</v>
      </c>
      <c r="AB596" s="13" t="s">
        <v>9153</v>
      </c>
      <c r="AC596" s="14" t="s">
        <v>9148</v>
      </c>
      <c r="AD596" s="14" t="s">
        <v>9140</v>
      </c>
      <c r="AE596" s="14" t="s">
        <v>9140</v>
      </c>
      <c r="AF596" s="14" t="s">
        <v>52</v>
      </c>
      <c r="AG596" s="14" t="s">
        <v>54</v>
      </c>
      <c r="AH596" s="15" t="s">
        <v>9194</v>
      </c>
      <c r="AI596" s="15" t="s">
        <v>9175</v>
      </c>
      <c r="AJ596" s="15" t="s">
        <v>9143</v>
      </c>
      <c r="AK596" s="15" t="s">
        <v>9194</v>
      </c>
      <c r="AL596" s="15" t="s">
        <v>9195</v>
      </c>
      <c r="AM596" s="16" t="s">
        <v>9194</v>
      </c>
      <c r="AN596" s="16" t="s">
        <v>9196</v>
      </c>
    </row>
    <row r="597" spans="1:40" x14ac:dyDescent="0.25">
      <c r="A597" s="4" t="s">
        <v>2397</v>
      </c>
      <c r="B597" s="4"/>
      <c r="C597" s="4" t="s">
        <v>39</v>
      </c>
      <c r="D597" s="4" t="s">
        <v>2398</v>
      </c>
      <c r="E597" s="4" t="s">
        <v>2399</v>
      </c>
      <c r="F597" s="10">
        <v>45585</v>
      </c>
      <c r="G597" s="11">
        <v>0.65763888888888888</v>
      </c>
      <c r="H597" s="4" t="s">
        <v>1939</v>
      </c>
      <c r="I597" s="4" t="s">
        <v>2393</v>
      </c>
      <c r="J597" s="4" t="s">
        <v>2394</v>
      </c>
      <c r="K597" s="4" t="s">
        <v>2400</v>
      </c>
      <c r="L597" s="4" t="s">
        <v>2401</v>
      </c>
      <c r="M597" s="4" t="s">
        <v>46</v>
      </c>
      <c r="N597" s="4"/>
      <c r="O597" s="4" t="s">
        <v>47</v>
      </c>
      <c r="P597" s="4" t="s">
        <v>60</v>
      </c>
      <c r="Q597" s="4">
        <v>0</v>
      </c>
      <c r="R597" s="4" t="b">
        <v>0</v>
      </c>
      <c r="S597" s="4" t="s">
        <v>114</v>
      </c>
      <c r="T597" s="4" t="s">
        <v>1303</v>
      </c>
      <c r="U597" s="4" t="s">
        <v>51</v>
      </c>
      <c r="V597" s="4" t="s">
        <v>1547</v>
      </c>
      <c r="W597" s="4" t="s">
        <v>1548</v>
      </c>
      <c r="X597" s="4" t="s">
        <v>54</v>
      </c>
      <c r="Y597" s="4"/>
      <c r="Z597" s="12">
        <v>0</v>
      </c>
      <c r="AA597" s="13" t="s">
        <v>9152</v>
      </c>
      <c r="AB597" s="13" t="s">
        <v>9153</v>
      </c>
      <c r="AC597" s="14" t="s">
        <v>9157</v>
      </c>
      <c r="AD597" s="14" t="s">
        <v>9140</v>
      </c>
      <c r="AE597" s="14" t="s">
        <v>9140</v>
      </c>
      <c r="AF597" s="14" t="s">
        <v>1547</v>
      </c>
      <c r="AG597" s="14" t="s">
        <v>54</v>
      </c>
      <c r="AH597" s="15" t="s">
        <v>9194</v>
      </c>
      <c r="AI597" s="15" t="s">
        <v>9175</v>
      </c>
      <c r="AJ597" s="15" t="s">
        <v>9143</v>
      </c>
      <c r="AK597" s="15" t="s">
        <v>9194</v>
      </c>
      <c r="AL597" s="15" t="s">
        <v>9195</v>
      </c>
      <c r="AM597" s="16" t="s">
        <v>9194</v>
      </c>
      <c r="AN597" s="16" t="s">
        <v>9196</v>
      </c>
    </row>
    <row r="598" spans="1:40" x14ac:dyDescent="0.25">
      <c r="A598" s="4" t="s">
        <v>4348</v>
      </c>
      <c r="B598" s="4"/>
      <c r="C598" s="4" t="s">
        <v>39</v>
      </c>
      <c r="D598" s="4" t="s">
        <v>4349</v>
      </c>
      <c r="E598" s="4" t="s">
        <v>4350</v>
      </c>
      <c r="F598" s="10">
        <v>45585</v>
      </c>
      <c r="G598" s="11">
        <v>0.46458333333333335</v>
      </c>
      <c r="H598" s="4" t="s">
        <v>4019</v>
      </c>
      <c r="I598" s="4" t="s">
        <v>4304</v>
      </c>
      <c r="J598" s="4" t="s">
        <v>1941</v>
      </c>
      <c r="K598" s="4" t="s">
        <v>4351</v>
      </c>
      <c r="L598" s="4" t="s">
        <v>4352</v>
      </c>
      <c r="M598" s="4" t="s">
        <v>46</v>
      </c>
      <c r="N598" s="4"/>
      <c r="O598" s="4" t="s">
        <v>47</v>
      </c>
      <c r="P598" s="4" t="s">
        <v>48</v>
      </c>
      <c r="Q598" s="4">
        <v>0</v>
      </c>
      <c r="R598" s="4" t="b">
        <v>0</v>
      </c>
      <c r="S598" s="4" t="s">
        <v>49</v>
      </c>
      <c r="T598" s="4" t="s">
        <v>50</v>
      </c>
      <c r="U598" s="4" t="s">
        <v>90</v>
      </c>
      <c r="V598" s="4" t="s">
        <v>63</v>
      </c>
      <c r="W598" s="4" t="s">
        <v>4353</v>
      </c>
      <c r="X598" s="4" t="s">
        <v>54</v>
      </c>
      <c r="Y598" s="4"/>
      <c r="Z598" s="12">
        <v>0</v>
      </c>
      <c r="AA598" s="13" t="s">
        <v>9152</v>
      </c>
      <c r="AB598" s="13" t="s">
        <v>9153</v>
      </c>
      <c r="AC598" s="14" t="s">
        <v>9139</v>
      </c>
      <c r="AD598" s="14" t="s">
        <v>9140</v>
      </c>
      <c r="AE598" s="14" t="s">
        <v>9140</v>
      </c>
      <c r="AF598" s="14" t="s">
        <v>63</v>
      </c>
      <c r="AG598" s="14" t="s">
        <v>54</v>
      </c>
      <c r="AH598" s="15" t="s">
        <v>9220</v>
      </c>
      <c r="AI598" s="15" t="s">
        <v>9175</v>
      </c>
      <c r="AJ598" s="15" t="s">
        <v>9143</v>
      </c>
      <c r="AK598" s="15" t="s">
        <v>9221</v>
      </c>
      <c r="AL598" s="15" t="s">
        <v>9222</v>
      </c>
      <c r="AM598" s="16" t="s">
        <v>9221</v>
      </c>
      <c r="AN598" s="16" t="s">
        <v>9223</v>
      </c>
    </row>
    <row r="599" spans="1:40" x14ac:dyDescent="0.25">
      <c r="A599" s="4" t="s">
        <v>8791</v>
      </c>
      <c r="B599" s="4" t="s">
        <v>8792</v>
      </c>
      <c r="C599" s="4" t="s">
        <v>39</v>
      </c>
      <c r="D599" s="4" t="s">
        <v>8793</v>
      </c>
      <c r="E599" s="4" t="s">
        <v>8794</v>
      </c>
      <c r="F599" s="10">
        <v>45584</v>
      </c>
      <c r="G599" s="11">
        <v>0.63541666666666663</v>
      </c>
      <c r="H599" s="4" t="s">
        <v>5666</v>
      </c>
      <c r="I599" s="4" t="s">
        <v>8782</v>
      </c>
      <c r="J599" s="4" t="s">
        <v>8783</v>
      </c>
      <c r="K599" s="4" t="s">
        <v>8795</v>
      </c>
      <c r="L599" s="4" t="s">
        <v>8796</v>
      </c>
      <c r="M599" s="4" t="s">
        <v>28</v>
      </c>
      <c r="N599" s="4" t="s">
        <v>183</v>
      </c>
      <c r="O599" s="4" t="s">
        <v>863</v>
      </c>
      <c r="P599" s="4" t="s">
        <v>60</v>
      </c>
      <c r="Q599" s="4">
        <v>142</v>
      </c>
      <c r="R599" s="4" t="b">
        <v>0</v>
      </c>
      <c r="S599" s="4" t="s">
        <v>184</v>
      </c>
      <c r="T599" s="4" t="s">
        <v>50</v>
      </c>
      <c r="U599" s="4" t="s">
        <v>122</v>
      </c>
      <c r="V599" s="4" t="s">
        <v>123</v>
      </c>
      <c r="W599" s="4" t="s">
        <v>192</v>
      </c>
      <c r="X599" s="4" t="s">
        <v>54</v>
      </c>
      <c r="Y599" s="4" t="s">
        <v>302</v>
      </c>
      <c r="Z599" s="12" t="s">
        <v>60</v>
      </c>
      <c r="AA599" s="13" t="s">
        <v>9152</v>
      </c>
      <c r="AB599" s="13" t="s">
        <v>9153</v>
      </c>
      <c r="AC599" s="14" t="s">
        <v>9166</v>
      </c>
      <c r="AD599" s="14" t="s">
        <v>28</v>
      </c>
      <c r="AE599" s="14" t="s">
        <v>183</v>
      </c>
      <c r="AF599" s="14" t="s">
        <v>123</v>
      </c>
      <c r="AG599" s="14" t="s">
        <v>54</v>
      </c>
      <c r="AH599" s="15" t="s">
        <v>9220</v>
      </c>
      <c r="AI599" s="15" t="s">
        <v>9199</v>
      </c>
      <c r="AJ599" s="15" t="s">
        <v>9143</v>
      </c>
      <c r="AK599" s="15" t="s">
        <v>9221</v>
      </c>
      <c r="AL599" s="15" t="s">
        <v>9199</v>
      </c>
      <c r="AM599" s="16" t="s">
        <v>9221</v>
      </c>
      <c r="AN599" s="16" t="s">
        <v>9238</v>
      </c>
    </row>
    <row r="600" spans="1:40" x14ac:dyDescent="0.25">
      <c r="A600" s="4" t="s">
        <v>546</v>
      </c>
      <c r="B600" s="4"/>
      <c r="C600" s="4" t="s">
        <v>39</v>
      </c>
      <c r="D600" s="4" t="s">
        <v>547</v>
      </c>
      <c r="E600" s="4" t="s">
        <v>548</v>
      </c>
      <c r="F600" s="10">
        <v>45584</v>
      </c>
      <c r="G600" s="11">
        <v>0.2951388888888889</v>
      </c>
      <c r="H600" s="4" t="s">
        <v>463</v>
      </c>
      <c r="I600" s="4">
        <v>2020</v>
      </c>
      <c r="J600" s="4" t="s">
        <v>538</v>
      </c>
      <c r="K600" s="4" t="s">
        <v>549</v>
      </c>
      <c r="L600" s="4" t="s">
        <v>550</v>
      </c>
      <c r="M600" s="4" t="s">
        <v>46</v>
      </c>
      <c r="N600" s="4"/>
      <c r="O600" s="4" t="s">
        <v>47</v>
      </c>
      <c r="P600" s="4" t="s">
        <v>48</v>
      </c>
      <c r="Q600" s="4">
        <v>0</v>
      </c>
      <c r="R600" s="4" t="b">
        <v>0</v>
      </c>
      <c r="S600" s="4" t="s">
        <v>49</v>
      </c>
      <c r="T600" s="4" t="s">
        <v>89</v>
      </c>
      <c r="U600" s="4" t="s">
        <v>71</v>
      </c>
      <c r="V600" s="4" t="s">
        <v>63</v>
      </c>
      <c r="W600" s="4" t="s">
        <v>312</v>
      </c>
      <c r="X600" s="4" t="s">
        <v>54</v>
      </c>
      <c r="Y600" s="4"/>
      <c r="Z600" s="12">
        <v>0</v>
      </c>
      <c r="AA600" s="13" t="s">
        <v>9152</v>
      </c>
      <c r="AB600" s="13" t="s">
        <v>9153</v>
      </c>
      <c r="AC600" s="14" t="s">
        <v>9139</v>
      </c>
      <c r="AD600" s="14" t="s">
        <v>9140</v>
      </c>
      <c r="AE600" s="14" t="s">
        <v>9140</v>
      </c>
      <c r="AF600" s="14" t="s">
        <v>63</v>
      </c>
      <c r="AG600" s="14" t="s">
        <v>54</v>
      </c>
      <c r="AH600" s="15" t="s">
        <v>9141</v>
      </c>
      <c r="AI600" s="15" t="s">
        <v>9175</v>
      </c>
      <c r="AJ600" s="15" t="s">
        <v>9143</v>
      </c>
      <c r="AK600" s="15" t="s">
        <v>9141</v>
      </c>
      <c r="AL600" s="15" t="s">
        <v>9175</v>
      </c>
      <c r="AM600" s="16" t="s">
        <v>9141</v>
      </c>
      <c r="AN600" s="16" t="s">
        <v>9176</v>
      </c>
    </row>
    <row r="601" spans="1:40" x14ac:dyDescent="0.25">
      <c r="A601" s="4" t="s">
        <v>5515</v>
      </c>
      <c r="B601" s="4"/>
      <c r="C601" s="4" t="s">
        <v>39</v>
      </c>
      <c r="D601" s="4" t="s">
        <v>5516</v>
      </c>
      <c r="E601" s="4" t="s">
        <v>5517</v>
      </c>
      <c r="F601" s="10">
        <v>45583</v>
      </c>
      <c r="G601" s="11">
        <v>0.50208333333333333</v>
      </c>
      <c r="H601" s="4" t="s">
        <v>4910</v>
      </c>
      <c r="I601" s="4" t="s">
        <v>5502</v>
      </c>
      <c r="J601" s="4" t="s">
        <v>3354</v>
      </c>
      <c r="K601" s="4" t="s">
        <v>5518</v>
      </c>
      <c r="L601" s="4" t="s">
        <v>5519</v>
      </c>
      <c r="M601" s="4" t="s">
        <v>46</v>
      </c>
      <c r="N601" s="4"/>
      <c r="O601" s="4" t="s">
        <v>47</v>
      </c>
      <c r="P601" s="4" t="s">
        <v>48</v>
      </c>
      <c r="Q601" s="4">
        <v>0</v>
      </c>
      <c r="R601" s="4" t="b">
        <v>0</v>
      </c>
      <c r="S601" s="4" t="s">
        <v>114</v>
      </c>
      <c r="T601" s="4" t="s">
        <v>583</v>
      </c>
      <c r="U601" s="4" t="s">
        <v>600</v>
      </c>
      <c r="V601" s="4" t="s">
        <v>52</v>
      </c>
      <c r="W601" s="4" t="s">
        <v>255</v>
      </c>
      <c r="X601" s="4" t="s">
        <v>54</v>
      </c>
      <c r="Y601" s="4"/>
      <c r="Z601" s="12">
        <v>0</v>
      </c>
      <c r="AA601" s="13" t="s">
        <v>9152</v>
      </c>
      <c r="AB601" s="13" t="s">
        <v>9153</v>
      </c>
      <c r="AC601" s="14" t="s">
        <v>9157</v>
      </c>
      <c r="AD601" s="14" t="s">
        <v>9140</v>
      </c>
      <c r="AE601" s="14" t="s">
        <v>9140</v>
      </c>
      <c r="AF601" s="14" t="s">
        <v>52</v>
      </c>
      <c r="AG601" s="14" t="s">
        <v>54</v>
      </c>
      <c r="AH601" s="15" t="s">
        <v>9220</v>
      </c>
      <c r="AI601" s="15" t="s">
        <v>9191</v>
      </c>
      <c r="AJ601" s="15" t="s">
        <v>9143</v>
      </c>
      <c r="AK601" s="15" t="s">
        <v>9221</v>
      </c>
      <c r="AL601" s="15" t="s">
        <v>9234</v>
      </c>
      <c r="AM601" s="16" t="s">
        <v>9221</v>
      </c>
      <c r="AN601" s="16" t="s">
        <v>9235</v>
      </c>
    </row>
    <row r="602" spans="1:40" x14ac:dyDescent="0.25">
      <c r="A602" s="4" t="s">
        <v>6733</v>
      </c>
      <c r="B602" s="4"/>
      <c r="C602" s="4" t="s">
        <v>39</v>
      </c>
      <c r="D602" s="4" t="s">
        <v>6734</v>
      </c>
      <c r="E602" s="4" t="s">
        <v>6735</v>
      </c>
      <c r="F602" s="10">
        <v>45582</v>
      </c>
      <c r="G602" s="11">
        <v>0.3263888888888889</v>
      </c>
      <c r="H602" s="4" t="s">
        <v>4516</v>
      </c>
      <c r="I602" s="4" t="s">
        <v>6736</v>
      </c>
      <c r="J602" s="4" t="s">
        <v>6737</v>
      </c>
      <c r="K602" s="4" t="s">
        <v>6738</v>
      </c>
      <c r="L602" s="4" t="s">
        <v>6739</v>
      </c>
      <c r="M602" s="4" t="s">
        <v>46</v>
      </c>
      <c r="N602" s="4"/>
      <c r="O602" s="4" t="s">
        <v>47</v>
      </c>
      <c r="P602" s="4" t="s">
        <v>48</v>
      </c>
      <c r="Q602" s="4">
        <v>0</v>
      </c>
      <c r="R602" s="4" t="b">
        <v>0</v>
      </c>
      <c r="S602" s="4" t="s">
        <v>49</v>
      </c>
      <c r="T602" s="4" t="s">
        <v>583</v>
      </c>
      <c r="U602" s="4" t="s">
        <v>650</v>
      </c>
      <c r="V602" s="4" t="s">
        <v>63</v>
      </c>
      <c r="W602" s="4" t="s">
        <v>108</v>
      </c>
      <c r="X602" s="4" t="s">
        <v>54</v>
      </c>
      <c r="Y602" s="4"/>
      <c r="Z602" s="12">
        <v>0</v>
      </c>
      <c r="AA602" s="13" t="s">
        <v>9152</v>
      </c>
      <c r="AB602" s="13" t="s">
        <v>9153</v>
      </c>
      <c r="AC602" s="14" t="s">
        <v>9139</v>
      </c>
      <c r="AD602" s="14" t="s">
        <v>9140</v>
      </c>
      <c r="AE602" s="14" t="s">
        <v>9140</v>
      </c>
      <c r="AF602" s="14" t="s">
        <v>63</v>
      </c>
      <c r="AG602" s="14" t="s">
        <v>54</v>
      </c>
      <c r="AH602" s="15" t="s">
        <v>9220</v>
      </c>
      <c r="AI602" s="15" t="s">
        <v>9188</v>
      </c>
      <c r="AJ602" s="15" t="s">
        <v>9143</v>
      </c>
      <c r="AK602" s="15" t="s">
        <v>9221</v>
      </c>
      <c r="AL602" s="15" t="s">
        <v>9232</v>
      </c>
      <c r="AM602" s="16" t="s">
        <v>9221</v>
      </c>
      <c r="AN602" s="16" t="s">
        <v>9233</v>
      </c>
    </row>
    <row r="603" spans="1:40" x14ac:dyDescent="0.25">
      <c r="A603" s="4" t="s">
        <v>6296</v>
      </c>
      <c r="B603" s="4"/>
      <c r="C603" s="4" t="s">
        <v>39</v>
      </c>
      <c r="D603" s="4" t="s">
        <v>6275</v>
      </c>
      <c r="E603" s="4" t="s">
        <v>6276</v>
      </c>
      <c r="F603" s="10">
        <v>45582</v>
      </c>
      <c r="G603" s="11">
        <v>0.5625</v>
      </c>
      <c r="H603" s="4" t="s">
        <v>4019</v>
      </c>
      <c r="I603" s="4" t="s">
        <v>6277</v>
      </c>
      <c r="J603" s="4" t="s">
        <v>988</v>
      </c>
      <c r="K603" s="4" t="s">
        <v>6297</v>
      </c>
      <c r="L603" s="4" t="s">
        <v>6298</v>
      </c>
      <c r="M603" s="4" t="s">
        <v>46</v>
      </c>
      <c r="N603" s="4"/>
      <c r="O603" s="4" t="s">
        <v>47</v>
      </c>
      <c r="P603" s="4" t="s">
        <v>48</v>
      </c>
      <c r="Q603" s="4">
        <v>0</v>
      </c>
      <c r="R603" s="4" t="b">
        <v>0</v>
      </c>
      <c r="S603" s="4" t="s">
        <v>61</v>
      </c>
      <c r="T603" s="4" t="s">
        <v>2195</v>
      </c>
      <c r="U603" s="4" t="s">
        <v>148</v>
      </c>
      <c r="V603" s="4" t="s">
        <v>52</v>
      </c>
      <c r="W603" s="4" t="s">
        <v>135</v>
      </c>
      <c r="X603" s="4" t="s">
        <v>54</v>
      </c>
      <c r="Y603" s="4"/>
      <c r="Z603" s="12">
        <v>0</v>
      </c>
      <c r="AA603" s="13" t="s">
        <v>9152</v>
      </c>
      <c r="AB603" s="13" t="s">
        <v>9153</v>
      </c>
      <c r="AC603" s="14" t="s">
        <v>9148</v>
      </c>
      <c r="AD603" s="14" t="s">
        <v>9140</v>
      </c>
      <c r="AE603" s="14" t="s">
        <v>9140</v>
      </c>
      <c r="AF603" s="14" t="s">
        <v>52</v>
      </c>
      <c r="AG603" s="14" t="s">
        <v>54</v>
      </c>
      <c r="AH603" s="15" t="s">
        <v>9220</v>
      </c>
      <c r="AI603" s="15" t="s">
        <v>9175</v>
      </c>
      <c r="AJ603" s="15" t="s">
        <v>9143</v>
      </c>
      <c r="AK603" s="15" t="s">
        <v>9221</v>
      </c>
      <c r="AL603" s="15" t="s">
        <v>9222</v>
      </c>
      <c r="AM603" s="16" t="s">
        <v>9221</v>
      </c>
      <c r="AN603" s="16" t="s">
        <v>9223</v>
      </c>
    </row>
    <row r="604" spans="1:40" x14ac:dyDescent="0.25">
      <c r="A604" s="4" t="s">
        <v>5953</v>
      </c>
      <c r="B604" s="4"/>
      <c r="C604" s="4" t="s">
        <v>39</v>
      </c>
      <c r="D604" s="4" t="s">
        <v>5929</v>
      </c>
      <c r="E604" s="4" t="s">
        <v>5930</v>
      </c>
      <c r="F604" s="10">
        <v>45581</v>
      </c>
      <c r="G604" s="11">
        <v>0.57430555555555551</v>
      </c>
      <c r="H604" s="4" t="s">
        <v>4242</v>
      </c>
      <c r="I604" s="4" t="s">
        <v>5918</v>
      </c>
      <c r="J604" s="4" t="s">
        <v>5919</v>
      </c>
      <c r="K604" s="4" t="s">
        <v>5954</v>
      </c>
      <c r="L604" s="4" t="s">
        <v>5955</v>
      </c>
      <c r="M604" s="4" t="s">
        <v>46</v>
      </c>
      <c r="N604" s="4"/>
      <c r="O604" s="4" t="s">
        <v>47</v>
      </c>
      <c r="P604" s="4" t="s">
        <v>48</v>
      </c>
      <c r="Q604" s="4">
        <v>0</v>
      </c>
      <c r="R604" s="4" t="b">
        <v>0</v>
      </c>
      <c r="S604" s="4" t="s">
        <v>61</v>
      </c>
      <c r="T604" s="4" t="s">
        <v>50</v>
      </c>
      <c r="U604" s="4" t="s">
        <v>90</v>
      </c>
      <c r="V604" s="4" t="s">
        <v>63</v>
      </c>
      <c r="W604" s="4" t="s">
        <v>108</v>
      </c>
      <c r="X604" s="4" t="s">
        <v>54</v>
      </c>
      <c r="Y604" s="4"/>
      <c r="Z604" s="12">
        <v>0</v>
      </c>
      <c r="AA604" s="13" t="s">
        <v>9152</v>
      </c>
      <c r="AB604" s="13" t="s">
        <v>9153</v>
      </c>
      <c r="AC604" s="14" t="s">
        <v>9148</v>
      </c>
      <c r="AD604" s="14" t="s">
        <v>9140</v>
      </c>
      <c r="AE604" s="14" t="s">
        <v>9140</v>
      </c>
      <c r="AF604" s="14" t="s">
        <v>63</v>
      </c>
      <c r="AG604" s="14" t="s">
        <v>54</v>
      </c>
      <c r="AH604" s="15" t="s">
        <v>9220</v>
      </c>
      <c r="AI604" s="15" t="s">
        <v>9187</v>
      </c>
      <c r="AJ604" s="15" t="s">
        <v>9143</v>
      </c>
      <c r="AK604" s="15" t="s">
        <v>9221</v>
      </c>
      <c r="AL604" s="15" t="s">
        <v>9226</v>
      </c>
      <c r="AM604" s="16" t="s">
        <v>9221</v>
      </c>
      <c r="AN604" s="16" t="s">
        <v>9227</v>
      </c>
    </row>
    <row r="605" spans="1:40" x14ac:dyDescent="0.25">
      <c r="A605" s="4" t="s">
        <v>7230</v>
      </c>
      <c r="B605" s="4"/>
      <c r="C605" s="4" t="s">
        <v>39</v>
      </c>
      <c r="D605" s="4" t="s">
        <v>7231</v>
      </c>
      <c r="E605" s="4" t="s">
        <v>7232</v>
      </c>
      <c r="F605" s="10">
        <v>45581</v>
      </c>
      <c r="G605" s="11">
        <v>0.66666666666666663</v>
      </c>
      <c r="H605" s="4" t="s">
        <v>4659</v>
      </c>
      <c r="I605" s="4" t="s">
        <v>7216</v>
      </c>
      <c r="J605" s="4" t="s">
        <v>7217</v>
      </c>
      <c r="K605" s="4" t="s">
        <v>243</v>
      </c>
      <c r="L605" s="4" t="s">
        <v>7233</v>
      </c>
      <c r="M605" s="4" t="s">
        <v>46</v>
      </c>
      <c r="N605" s="4"/>
      <c r="O605" s="4" t="s">
        <v>47</v>
      </c>
      <c r="P605" s="4" t="s">
        <v>48</v>
      </c>
      <c r="Q605" s="4">
        <v>0</v>
      </c>
      <c r="R605" s="4" t="b">
        <v>0</v>
      </c>
      <c r="S605" s="4" t="s">
        <v>61</v>
      </c>
      <c r="T605" s="4" t="s">
        <v>50</v>
      </c>
      <c r="U605" s="4" t="s">
        <v>51</v>
      </c>
      <c r="V605" s="4" t="s">
        <v>123</v>
      </c>
      <c r="W605" s="4" t="s">
        <v>149</v>
      </c>
      <c r="X605" s="4" t="s">
        <v>978</v>
      </c>
      <c r="Y605" s="4"/>
      <c r="Z605" s="12">
        <v>0</v>
      </c>
      <c r="AA605" s="13" t="s">
        <v>9152</v>
      </c>
      <c r="AB605" s="13" t="s">
        <v>9153</v>
      </c>
      <c r="AC605" s="14" t="s">
        <v>9148</v>
      </c>
      <c r="AD605" s="14" t="s">
        <v>9140</v>
      </c>
      <c r="AE605" s="14" t="s">
        <v>9140</v>
      </c>
      <c r="AF605" s="14" t="s">
        <v>123</v>
      </c>
      <c r="AG605" s="14" t="s">
        <v>978</v>
      </c>
      <c r="AH605" s="15" t="s">
        <v>9220</v>
      </c>
      <c r="AI605" s="15" t="s">
        <v>9142</v>
      </c>
      <c r="AJ605" s="15" t="s">
        <v>9143</v>
      </c>
      <c r="AK605" s="15" t="s">
        <v>9221</v>
      </c>
      <c r="AL605" s="15" t="s">
        <v>9228</v>
      </c>
      <c r="AM605" s="16" t="s">
        <v>9221</v>
      </c>
      <c r="AN605" s="16" t="s">
        <v>9229</v>
      </c>
    </row>
    <row r="606" spans="1:40" x14ac:dyDescent="0.25">
      <c r="A606" s="4" t="s">
        <v>4882</v>
      </c>
      <c r="B606" s="4">
        <v>7317902</v>
      </c>
      <c r="C606" s="4" t="s">
        <v>39</v>
      </c>
      <c r="D606" s="4" t="s">
        <v>4883</v>
      </c>
      <c r="E606" s="4" t="s">
        <v>4884</v>
      </c>
      <c r="F606" s="10">
        <v>45581</v>
      </c>
      <c r="G606" s="11">
        <v>0.58333333333333337</v>
      </c>
      <c r="H606" s="4" t="s">
        <v>4516</v>
      </c>
      <c r="I606" s="4" t="s">
        <v>4869</v>
      </c>
      <c r="J606" s="4" t="s">
        <v>4870</v>
      </c>
      <c r="K606" s="4" t="s">
        <v>4885</v>
      </c>
      <c r="L606" s="4" t="s">
        <v>4886</v>
      </c>
      <c r="M606" s="4" t="s">
        <v>28</v>
      </c>
      <c r="N606" s="4" t="s">
        <v>372</v>
      </c>
      <c r="O606" s="4" t="s">
        <v>47</v>
      </c>
      <c r="P606" s="4" t="s">
        <v>48</v>
      </c>
      <c r="Q606" s="4">
        <v>0</v>
      </c>
      <c r="R606" s="4" t="b">
        <v>0</v>
      </c>
      <c r="S606" s="4" t="s">
        <v>114</v>
      </c>
      <c r="T606" s="4" t="s">
        <v>115</v>
      </c>
      <c r="U606" s="4" t="s">
        <v>71</v>
      </c>
      <c r="V606" s="4" t="s">
        <v>52</v>
      </c>
      <c r="W606" s="4" t="s">
        <v>53</v>
      </c>
      <c r="X606" s="4" t="s">
        <v>54</v>
      </c>
      <c r="Y606" s="4" t="s">
        <v>176</v>
      </c>
      <c r="Z606" s="12" t="s">
        <v>48</v>
      </c>
      <c r="AA606" s="13" t="s">
        <v>9152</v>
      </c>
      <c r="AB606" s="13" t="s">
        <v>9153</v>
      </c>
      <c r="AC606" s="14" t="s">
        <v>9157</v>
      </c>
      <c r="AD606" s="14" t="s">
        <v>28</v>
      </c>
      <c r="AE606" s="14" t="s">
        <v>372</v>
      </c>
      <c r="AF606" s="14" t="s">
        <v>52</v>
      </c>
      <c r="AG606" s="14" t="s">
        <v>54</v>
      </c>
      <c r="AH606" s="15" t="s">
        <v>9220</v>
      </c>
      <c r="AI606" s="15" t="s">
        <v>9188</v>
      </c>
      <c r="AJ606" s="15" t="s">
        <v>9143</v>
      </c>
      <c r="AK606" s="15" t="s">
        <v>9221</v>
      </c>
      <c r="AL606" s="15" t="s">
        <v>9232</v>
      </c>
      <c r="AM606" s="16" t="s">
        <v>9221</v>
      </c>
      <c r="AN606" s="16" t="s">
        <v>9233</v>
      </c>
    </row>
    <row r="607" spans="1:40" x14ac:dyDescent="0.25">
      <c r="A607" s="4" t="s">
        <v>5319</v>
      </c>
      <c r="B607" s="4">
        <v>7324981</v>
      </c>
      <c r="C607" s="4" t="s">
        <v>39</v>
      </c>
      <c r="D607" s="4" t="s">
        <v>5320</v>
      </c>
      <c r="E607" s="4" t="s">
        <v>5321</v>
      </c>
      <c r="F607" s="10">
        <v>45581</v>
      </c>
      <c r="G607" s="11">
        <v>0.54166666666666663</v>
      </c>
      <c r="H607" s="4" t="s">
        <v>4516</v>
      </c>
      <c r="I607" s="4" t="s">
        <v>5275</v>
      </c>
      <c r="J607" s="4" t="s">
        <v>5276</v>
      </c>
      <c r="K607" s="4" t="s">
        <v>5322</v>
      </c>
      <c r="L607" s="4" t="s">
        <v>5323</v>
      </c>
      <c r="M607" s="4" t="s">
        <v>28</v>
      </c>
      <c r="N607" s="4" t="s">
        <v>478</v>
      </c>
      <c r="O607" s="4" t="s">
        <v>174</v>
      </c>
      <c r="P607" s="4" t="s">
        <v>48</v>
      </c>
      <c r="Q607" s="4">
        <v>0</v>
      </c>
      <c r="R607" s="4" t="b">
        <v>0</v>
      </c>
      <c r="S607" s="4" t="s">
        <v>114</v>
      </c>
      <c r="T607" s="4" t="s">
        <v>115</v>
      </c>
      <c r="U607" s="4" t="s">
        <v>527</v>
      </c>
      <c r="V607" s="4" t="s">
        <v>63</v>
      </c>
      <c r="W607" s="4" t="s">
        <v>108</v>
      </c>
      <c r="X607" s="4" t="s">
        <v>54</v>
      </c>
      <c r="Y607" s="4" t="s">
        <v>1944</v>
      </c>
      <c r="Z607" s="12" t="s">
        <v>48</v>
      </c>
      <c r="AA607" s="13" t="s">
        <v>9152</v>
      </c>
      <c r="AB607" s="13" t="s">
        <v>9153</v>
      </c>
      <c r="AC607" s="14" t="s">
        <v>9157</v>
      </c>
      <c r="AD607" s="14" t="s">
        <v>28</v>
      </c>
      <c r="AE607" s="14" t="s">
        <v>478</v>
      </c>
      <c r="AF607" s="14" t="s">
        <v>63</v>
      </c>
      <c r="AG607" s="14" t="s">
        <v>54</v>
      </c>
      <c r="AH607" s="15" t="s">
        <v>9220</v>
      </c>
      <c r="AI607" s="15" t="s">
        <v>9188</v>
      </c>
      <c r="AJ607" s="15" t="s">
        <v>9143</v>
      </c>
      <c r="AK607" s="15" t="s">
        <v>9221</v>
      </c>
      <c r="AL607" s="15" t="s">
        <v>9230</v>
      </c>
      <c r="AM607" s="16" t="s">
        <v>9221</v>
      </c>
      <c r="AN607" s="16" t="s">
        <v>9231</v>
      </c>
    </row>
    <row r="608" spans="1:40" x14ac:dyDescent="0.25">
      <c r="A608" s="4" t="s">
        <v>1298</v>
      </c>
      <c r="B608" s="4"/>
      <c r="C608" s="4" t="s">
        <v>39</v>
      </c>
      <c r="D608" s="4" t="s">
        <v>1299</v>
      </c>
      <c r="E608" s="4" t="s">
        <v>1300</v>
      </c>
      <c r="F608" s="10">
        <v>45581</v>
      </c>
      <c r="G608" s="11">
        <v>0.47916666666666669</v>
      </c>
      <c r="H608" s="4" t="s">
        <v>1155</v>
      </c>
      <c r="I608" s="4">
        <v>4044</v>
      </c>
      <c r="J608" s="4" t="s">
        <v>1285</v>
      </c>
      <c r="K608" s="4" t="s">
        <v>1301</v>
      </c>
      <c r="L608" s="4" t="s">
        <v>1302</v>
      </c>
      <c r="M608" s="4" t="s">
        <v>46</v>
      </c>
      <c r="N608" s="4"/>
      <c r="O608" s="4" t="s">
        <v>47</v>
      </c>
      <c r="P608" s="4" t="s">
        <v>48</v>
      </c>
      <c r="Q608" s="4">
        <v>0</v>
      </c>
      <c r="R608" s="4" t="b">
        <v>0</v>
      </c>
      <c r="S608" s="4" t="s">
        <v>61</v>
      </c>
      <c r="T608" s="4" t="s">
        <v>1303</v>
      </c>
      <c r="U608" s="4" t="s">
        <v>148</v>
      </c>
      <c r="V608" s="4" t="s">
        <v>52</v>
      </c>
      <c r="W608" s="4" t="s">
        <v>255</v>
      </c>
      <c r="X608" s="4" t="s">
        <v>54</v>
      </c>
      <c r="Y608" s="4"/>
      <c r="Z608" s="12">
        <v>0</v>
      </c>
      <c r="AA608" s="13" t="s">
        <v>9152</v>
      </c>
      <c r="AB608" s="13" t="s">
        <v>9153</v>
      </c>
      <c r="AC608" s="14" t="s">
        <v>9148</v>
      </c>
      <c r="AD608" s="14" t="s">
        <v>9140</v>
      </c>
      <c r="AE608" s="14" t="s">
        <v>9140</v>
      </c>
      <c r="AF608" s="14" t="s">
        <v>52</v>
      </c>
      <c r="AG608" s="14" t="s">
        <v>54</v>
      </c>
      <c r="AH608" s="15" t="s">
        <v>9141</v>
      </c>
      <c r="AI608" s="15" t="s">
        <v>9187</v>
      </c>
      <c r="AJ608" s="15" t="s">
        <v>9143</v>
      </c>
      <c r="AK608" s="15" t="s">
        <v>9141</v>
      </c>
      <c r="AL608" s="15" t="s">
        <v>9144</v>
      </c>
      <c r="AM608" s="16" t="s">
        <v>9141</v>
      </c>
      <c r="AN608" s="16" t="s">
        <v>9145</v>
      </c>
    </row>
    <row r="609" spans="1:40" x14ac:dyDescent="0.25">
      <c r="A609" s="4" t="s">
        <v>2291</v>
      </c>
      <c r="B609" s="4"/>
      <c r="C609" s="4" t="s">
        <v>39</v>
      </c>
      <c r="D609" s="4" t="s">
        <v>2269</v>
      </c>
      <c r="E609" s="4" t="s">
        <v>2270</v>
      </c>
      <c r="F609" s="10">
        <v>45581</v>
      </c>
      <c r="G609" s="11">
        <v>0.71875</v>
      </c>
      <c r="H609" s="4" t="s">
        <v>2095</v>
      </c>
      <c r="I609" s="4" t="s">
        <v>2271</v>
      </c>
      <c r="J609" s="4" t="s">
        <v>2272</v>
      </c>
      <c r="K609" s="4" t="s">
        <v>2292</v>
      </c>
      <c r="L609" s="4" t="s">
        <v>2293</v>
      </c>
      <c r="M609" s="4" t="s">
        <v>46</v>
      </c>
      <c r="N609" s="4"/>
      <c r="O609" s="4" t="s">
        <v>47</v>
      </c>
      <c r="P609" s="4" t="s">
        <v>48</v>
      </c>
      <c r="Q609" s="4">
        <v>0</v>
      </c>
      <c r="R609" s="4" t="b">
        <v>0</v>
      </c>
      <c r="S609" s="4" t="s">
        <v>49</v>
      </c>
      <c r="T609" s="4" t="s">
        <v>70</v>
      </c>
      <c r="U609" s="4" t="s">
        <v>71</v>
      </c>
      <c r="V609" s="4" t="s">
        <v>63</v>
      </c>
      <c r="W609" s="4" t="s">
        <v>108</v>
      </c>
      <c r="X609" s="4" t="s">
        <v>54</v>
      </c>
      <c r="Y609" s="4"/>
      <c r="Z609" s="12">
        <v>0</v>
      </c>
      <c r="AA609" s="13" t="s">
        <v>9152</v>
      </c>
      <c r="AB609" s="13" t="s">
        <v>9153</v>
      </c>
      <c r="AC609" s="14" t="s">
        <v>9139</v>
      </c>
      <c r="AD609" s="14" t="s">
        <v>9140</v>
      </c>
      <c r="AE609" s="14" t="s">
        <v>9140</v>
      </c>
      <c r="AF609" s="14" t="s">
        <v>63</v>
      </c>
      <c r="AG609" s="14" t="s">
        <v>54</v>
      </c>
      <c r="AH609" s="15" t="s">
        <v>9194</v>
      </c>
      <c r="AI609" s="15" t="s">
        <v>9188</v>
      </c>
      <c r="AJ609" s="15" t="s">
        <v>9143</v>
      </c>
      <c r="AK609" s="15" t="s">
        <v>9194</v>
      </c>
      <c r="AL609" s="15" t="s">
        <v>9203</v>
      </c>
      <c r="AM609" s="16" t="s">
        <v>9194</v>
      </c>
      <c r="AN609" s="16" t="s">
        <v>9204</v>
      </c>
    </row>
    <row r="610" spans="1:40" x14ac:dyDescent="0.25">
      <c r="A610" s="4" t="s">
        <v>2402</v>
      </c>
      <c r="B610" s="4"/>
      <c r="C610" s="4" t="s">
        <v>39</v>
      </c>
      <c r="D610" s="4" t="s">
        <v>2403</v>
      </c>
      <c r="E610" s="4" t="s">
        <v>2404</v>
      </c>
      <c r="F610" s="10">
        <v>45580</v>
      </c>
      <c r="G610" s="11">
        <v>0.50902777777777775</v>
      </c>
      <c r="H610" s="4" t="s">
        <v>1939</v>
      </c>
      <c r="I610" s="4" t="s">
        <v>2393</v>
      </c>
      <c r="J610" s="4" t="s">
        <v>2394</v>
      </c>
      <c r="K610" s="4" t="s">
        <v>2405</v>
      </c>
      <c r="L610" s="4" t="s">
        <v>2406</v>
      </c>
      <c r="M610" s="4" t="s">
        <v>46</v>
      </c>
      <c r="N610" s="4"/>
      <c r="O610" s="4" t="s">
        <v>47</v>
      </c>
      <c r="P610" s="4" t="s">
        <v>60</v>
      </c>
      <c r="Q610" s="4">
        <v>0</v>
      </c>
      <c r="R610" s="4" t="b">
        <v>0</v>
      </c>
      <c r="S610" s="4" t="s">
        <v>61</v>
      </c>
      <c r="T610" s="4" t="s">
        <v>70</v>
      </c>
      <c r="U610" s="4" t="s">
        <v>71</v>
      </c>
      <c r="V610" s="4" t="s">
        <v>72</v>
      </c>
      <c r="W610" s="4" t="s">
        <v>73</v>
      </c>
      <c r="X610" s="4" t="s">
        <v>54</v>
      </c>
      <c r="Y610" s="4"/>
      <c r="Z610" s="12">
        <v>0</v>
      </c>
      <c r="AA610" s="13" t="s">
        <v>9152</v>
      </c>
      <c r="AB610" s="13" t="s">
        <v>9153</v>
      </c>
      <c r="AC610" s="14" t="s">
        <v>9148</v>
      </c>
      <c r="AD610" s="14" t="s">
        <v>9140</v>
      </c>
      <c r="AE610" s="14" t="s">
        <v>9140</v>
      </c>
      <c r="AF610" s="14" t="s">
        <v>72</v>
      </c>
      <c r="AG610" s="14" t="s">
        <v>54</v>
      </c>
      <c r="AH610" s="15" t="s">
        <v>9194</v>
      </c>
      <c r="AI610" s="15" t="s">
        <v>9175</v>
      </c>
      <c r="AJ610" s="15" t="s">
        <v>9143</v>
      </c>
      <c r="AK610" s="15" t="s">
        <v>9194</v>
      </c>
      <c r="AL610" s="15" t="s">
        <v>9195</v>
      </c>
      <c r="AM610" s="16" t="s">
        <v>9194</v>
      </c>
      <c r="AN610" s="16" t="s">
        <v>9196</v>
      </c>
    </row>
    <row r="611" spans="1:40" x14ac:dyDescent="0.25">
      <c r="A611" s="4" t="s">
        <v>2407</v>
      </c>
      <c r="B611" s="4"/>
      <c r="C611" s="4" t="s">
        <v>39</v>
      </c>
      <c r="D611" s="4" t="s">
        <v>2403</v>
      </c>
      <c r="E611" s="4" t="s">
        <v>2404</v>
      </c>
      <c r="F611" s="10">
        <v>45580</v>
      </c>
      <c r="G611" s="11">
        <v>0.72361111111111109</v>
      </c>
      <c r="H611" s="4" t="s">
        <v>1939</v>
      </c>
      <c r="I611" s="4" t="s">
        <v>2393</v>
      </c>
      <c r="J611" s="4" t="s">
        <v>2394</v>
      </c>
      <c r="K611" s="4" t="s">
        <v>2408</v>
      </c>
      <c r="L611" s="4" t="s">
        <v>2409</v>
      </c>
      <c r="M611" s="4" t="s">
        <v>46</v>
      </c>
      <c r="N611" s="4"/>
      <c r="O611" s="4" t="s">
        <v>47</v>
      </c>
      <c r="P611" s="4" t="s">
        <v>60</v>
      </c>
      <c r="Q611" s="4">
        <v>0</v>
      </c>
      <c r="R611" s="4" t="b">
        <v>0</v>
      </c>
      <c r="S611" s="4" t="s">
        <v>61</v>
      </c>
      <c r="T611" s="4" t="s">
        <v>70</v>
      </c>
      <c r="U611" s="4" t="s">
        <v>71</v>
      </c>
      <c r="V611" s="4" t="s">
        <v>72</v>
      </c>
      <c r="W611" s="4" t="s">
        <v>2410</v>
      </c>
      <c r="X611" s="4" t="s">
        <v>54</v>
      </c>
      <c r="Y611" s="4"/>
      <c r="Z611" s="12">
        <v>0</v>
      </c>
      <c r="AA611" s="13" t="s">
        <v>9152</v>
      </c>
      <c r="AB611" s="13" t="s">
        <v>9153</v>
      </c>
      <c r="AC611" s="14" t="s">
        <v>9148</v>
      </c>
      <c r="AD611" s="14" t="s">
        <v>9140</v>
      </c>
      <c r="AE611" s="14" t="s">
        <v>9140</v>
      </c>
      <c r="AF611" s="14" t="s">
        <v>72</v>
      </c>
      <c r="AG611" s="14" t="s">
        <v>54</v>
      </c>
      <c r="AH611" s="15" t="s">
        <v>9194</v>
      </c>
      <c r="AI611" s="15" t="s">
        <v>9175</v>
      </c>
      <c r="AJ611" s="15" t="s">
        <v>9143</v>
      </c>
      <c r="AK611" s="15" t="s">
        <v>9194</v>
      </c>
      <c r="AL611" s="15" t="s">
        <v>9195</v>
      </c>
      <c r="AM611" s="16" t="s">
        <v>9194</v>
      </c>
      <c r="AN611" s="16" t="s">
        <v>9196</v>
      </c>
    </row>
    <row r="612" spans="1:40" x14ac:dyDescent="0.25">
      <c r="A612" s="4" t="s">
        <v>2724</v>
      </c>
      <c r="B612" s="4" t="s">
        <v>2725</v>
      </c>
      <c r="C612" s="4" t="s">
        <v>488</v>
      </c>
      <c r="D612" s="4" t="s">
        <v>2726</v>
      </c>
      <c r="E612" s="4" t="s">
        <v>2727</v>
      </c>
      <c r="F612" s="10">
        <v>45580</v>
      </c>
      <c r="G612" s="11">
        <v>0.5</v>
      </c>
      <c r="H612" s="4" t="s">
        <v>2227</v>
      </c>
      <c r="I612" s="4" t="s">
        <v>2715</v>
      </c>
      <c r="J612" s="4" t="s">
        <v>1200</v>
      </c>
      <c r="K612" s="4" t="s">
        <v>2728</v>
      </c>
      <c r="L612" s="4" t="s">
        <v>2729</v>
      </c>
      <c r="M612" s="4" t="s">
        <v>28</v>
      </c>
      <c r="N612" s="4" t="s">
        <v>183</v>
      </c>
      <c r="O612" s="4" t="s">
        <v>174</v>
      </c>
      <c r="P612" s="4" t="s">
        <v>48</v>
      </c>
      <c r="Q612" s="4">
        <v>39</v>
      </c>
      <c r="R612" s="4" t="b">
        <v>0</v>
      </c>
      <c r="S612" s="4" t="s">
        <v>184</v>
      </c>
      <c r="T612" s="4" t="s">
        <v>494</v>
      </c>
      <c r="U612" s="4" t="s">
        <v>330</v>
      </c>
      <c r="V612" s="4" t="s">
        <v>267</v>
      </c>
      <c r="W612" s="4" t="s">
        <v>2730</v>
      </c>
      <c r="X612" s="4" t="s">
        <v>54</v>
      </c>
      <c r="Y612" s="4"/>
      <c r="Z612" s="12" t="s">
        <v>48</v>
      </c>
      <c r="AA612" s="13" t="s">
        <v>9152</v>
      </c>
      <c r="AB612" s="13" t="s">
        <v>9153</v>
      </c>
      <c r="AC612" s="14" t="s">
        <v>9166</v>
      </c>
      <c r="AD612" s="14" t="s">
        <v>28</v>
      </c>
      <c r="AE612" s="14" t="s">
        <v>183</v>
      </c>
      <c r="AF612" s="14" t="s">
        <v>267</v>
      </c>
      <c r="AG612" s="14" t="s">
        <v>54</v>
      </c>
      <c r="AH612" s="15" t="s">
        <v>9194</v>
      </c>
      <c r="AI612" s="15" t="s">
        <v>9187</v>
      </c>
      <c r="AJ612" s="15" t="s">
        <v>9143</v>
      </c>
      <c r="AK612" s="15" t="s">
        <v>9194</v>
      </c>
      <c r="AL612" s="15" t="s">
        <v>9209</v>
      </c>
      <c r="AM612" s="16" t="s">
        <v>9194</v>
      </c>
      <c r="AN612" s="16" t="s">
        <v>9210</v>
      </c>
    </row>
    <row r="613" spans="1:40" x14ac:dyDescent="0.25">
      <c r="A613" s="4" t="s">
        <v>5690</v>
      </c>
      <c r="B613" s="4"/>
      <c r="C613" s="4" t="s">
        <v>39</v>
      </c>
      <c r="D613" s="4" t="s">
        <v>5691</v>
      </c>
      <c r="E613" s="4" t="s">
        <v>5692</v>
      </c>
      <c r="F613" s="10">
        <v>45580</v>
      </c>
      <c r="G613" s="11">
        <v>0.68472222222222223</v>
      </c>
      <c r="H613" s="4" t="s">
        <v>5666</v>
      </c>
      <c r="I613" s="4" t="s">
        <v>5667</v>
      </c>
      <c r="J613" s="4" t="s">
        <v>2192</v>
      </c>
      <c r="K613" s="4" t="s">
        <v>5693</v>
      </c>
      <c r="L613" s="4" t="s">
        <v>5694</v>
      </c>
      <c r="M613" s="4" t="s">
        <v>46</v>
      </c>
      <c r="N613" s="4"/>
      <c r="O613" s="4" t="s">
        <v>47</v>
      </c>
      <c r="P613" s="4" t="s">
        <v>48</v>
      </c>
      <c r="Q613" s="4">
        <v>0</v>
      </c>
      <c r="R613" s="4" t="b">
        <v>0</v>
      </c>
      <c r="S613" s="4" t="s">
        <v>61</v>
      </c>
      <c r="T613" s="4" t="s">
        <v>4296</v>
      </c>
      <c r="U613" s="4" t="s">
        <v>90</v>
      </c>
      <c r="V613" s="4" t="s">
        <v>63</v>
      </c>
      <c r="W613" s="4" t="s">
        <v>108</v>
      </c>
      <c r="X613" s="4" t="s">
        <v>54</v>
      </c>
      <c r="Y613" s="4"/>
      <c r="Z613" s="12">
        <v>0</v>
      </c>
      <c r="AA613" s="13" t="s">
        <v>9152</v>
      </c>
      <c r="AB613" s="13" t="s">
        <v>9153</v>
      </c>
      <c r="AC613" s="14" t="s">
        <v>9148</v>
      </c>
      <c r="AD613" s="14" t="s">
        <v>9140</v>
      </c>
      <c r="AE613" s="14" t="s">
        <v>9140</v>
      </c>
      <c r="AF613" s="14" t="s">
        <v>63</v>
      </c>
      <c r="AG613" s="14" t="s">
        <v>54</v>
      </c>
      <c r="AH613" s="15" t="s">
        <v>9220</v>
      </c>
      <c r="AI613" s="15" t="s">
        <v>9199</v>
      </c>
      <c r="AJ613" s="15" t="s">
        <v>9143</v>
      </c>
      <c r="AK613" s="15" t="s">
        <v>9221</v>
      </c>
      <c r="AL613" s="15" t="s">
        <v>9199</v>
      </c>
      <c r="AM613" s="16" t="s">
        <v>9221</v>
      </c>
      <c r="AN613" s="16" t="s">
        <v>9238</v>
      </c>
    </row>
    <row r="614" spans="1:40" x14ac:dyDescent="0.25">
      <c r="A614" s="4" t="s">
        <v>8556</v>
      </c>
      <c r="B614" s="4"/>
      <c r="C614" s="4" t="s">
        <v>39</v>
      </c>
      <c r="D614" s="4" t="s">
        <v>8557</v>
      </c>
      <c r="E614" s="4" t="s">
        <v>8558</v>
      </c>
      <c r="F614" s="10">
        <v>45579</v>
      </c>
      <c r="G614" s="11">
        <v>0.52152777777777781</v>
      </c>
      <c r="H614" s="4" t="s">
        <v>4019</v>
      </c>
      <c r="I614" s="4" t="s">
        <v>8552</v>
      </c>
      <c r="J614" s="4" t="s">
        <v>8553</v>
      </c>
      <c r="K614" s="4" t="s">
        <v>2364</v>
      </c>
      <c r="L614" s="4" t="s">
        <v>8559</v>
      </c>
      <c r="M614" s="4" t="s">
        <v>46</v>
      </c>
      <c r="N614" s="4"/>
      <c r="O614" s="4" t="s">
        <v>47</v>
      </c>
      <c r="P614" s="4" t="s">
        <v>48</v>
      </c>
      <c r="Q614" s="4">
        <v>0</v>
      </c>
      <c r="R614" s="4" t="b">
        <v>0</v>
      </c>
      <c r="S614" s="4" t="s">
        <v>49</v>
      </c>
      <c r="T614" s="4" t="s">
        <v>50</v>
      </c>
      <c r="U614" s="4" t="s">
        <v>71</v>
      </c>
      <c r="V614" s="4" t="s">
        <v>52</v>
      </c>
      <c r="W614" s="4" t="s">
        <v>135</v>
      </c>
      <c r="X614" s="4" t="s">
        <v>54</v>
      </c>
      <c r="Y614" s="4"/>
      <c r="Z614" s="12">
        <v>0</v>
      </c>
      <c r="AA614" s="13" t="s">
        <v>9152</v>
      </c>
      <c r="AB614" s="13" t="s">
        <v>9153</v>
      </c>
      <c r="AC614" s="14" t="s">
        <v>9139</v>
      </c>
      <c r="AD614" s="14" t="s">
        <v>9140</v>
      </c>
      <c r="AE614" s="14" t="s">
        <v>9140</v>
      </c>
      <c r="AF614" s="14" t="s">
        <v>52</v>
      </c>
      <c r="AG614" s="14" t="s">
        <v>54</v>
      </c>
      <c r="AH614" s="15" t="s">
        <v>9220</v>
      </c>
      <c r="AI614" s="15" t="s">
        <v>9175</v>
      </c>
      <c r="AJ614" s="15" t="s">
        <v>9143</v>
      </c>
      <c r="AK614" s="15" t="s">
        <v>9221</v>
      </c>
      <c r="AL614" s="15" t="s">
        <v>9222</v>
      </c>
      <c r="AM614" s="16" t="s">
        <v>9221</v>
      </c>
      <c r="AN614" s="16" t="s">
        <v>9223</v>
      </c>
    </row>
    <row r="615" spans="1:40" x14ac:dyDescent="0.25">
      <c r="A615" s="4" t="s">
        <v>8583</v>
      </c>
      <c r="B615" s="4"/>
      <c r="C615" s="4" t="s">
        <v>39</v>
      </c>
      <c r="D615" s="4" t="s">
        <v>8584</v>
      </c>
      <c r="E615" s="4" t="s">
        <v>8585</v>
      </c>
      <c r="F615" s="10">
        <v>45579</v>
      </c>
      <c r="G615" s="11">
        <v>0.34722222222222221</v>
      </c>
      <c r="H615" s="4" t="s">
        <v>5666</v>
      </c>
      <c r="I615" s="4" t="s">
        <v>8586</v>
      </c>
      <c r="J615" s="4" t="s">
        <v>3532</v>
      </c>
      <c r="K615" s="4" t="s">
        <v>8587</v>
      </c>
      <c r="L615" s="4" t="s">
        <v>8588</v>
      </c>
      <c r="M615" s="4" t="s">
        <v>46</v>
      </c>
      <c r="N615" s="4"/>
      <c r="O615" s="4" t="s">
        <v>47</v>
      </c>
      <c r="P615" s="4" t="s">
        <v>48</v>
      </c>
      <c r="Q615" s="4">
        <v>0</v>
      </c>
      <c r="R615" s="4" t="b">
        <v>0</v>
      </c>
      <c r="S615" s="4" t="s">
        <v>61</v>
      </c>
      <c r="T615" s="4" t="s">
        <v>50</v>
      </c>
      <c r="U615" s="4" t="s">
        <v>122</v>
      </c>
      <c r="V615" s="4" t="s">
        <v>123</v>
      </c>
      <c r="W615" s="4" t="s">
        <v>192</v>
      </c>
      <c r="X615" s="4" t="s">
        <v>54</v>
      </c>
      <c r="Y615" s="4"/>
      <c r="Z615" s="12">
        <v>0</v>
      </c>
      <c r="AA615" s="13" t="s">
        <v>9152</v>
      </c>
      <c r="AB615" s="13" t="s">
        <v>9153</v>
      </c>
      <c r="AC615" s="14" t="s">
        <v>9148</v>
      </c>
      <c r="AD615" s="14" t="s">
        <v>9140</v>
      </c>
      <c r="AE615" s="14" t="s">
        <v>9140</v>
      </c>
      <c r="AF615" s="14" t="s">
        <v>123</v>
      </c>
      <c r="AG615" s="14" t="s">
        <v>54</v>
      </c>
      <c r="AH615" s="15" t="s">
        <v>9220</v>
      </c>
      <c r="AI615" s="15" t="s">
        <v>9199</v>
      </c>
      <c r="AJ615" s="15" t="s">
        <v>9143</v>
      </c>
      <c r="AK615" s="15" t="s">
        <v>9221</v>
      </c>
      <c r="AL615" s="15" t="s">
        <v>9199</v>
      </c>
      <c r="AM615" s="16" t="s">
        <v>9221</v>
      </c>
      <c r="AN615" s="16" t="s">
        <v>9238</v>
      </c>
    </row>
    <row r="616" spans="1:40" x14ac:dyDescent="0.25">
      <c r="A616" s="4" t="s">
        <v>99</v>
      </c>
      <c r="B616" s="4"/>
      <c r="C616" s="4" t="s">
        <v>39</v>
      </c>
      <c r="D616" s="4" t="s">
        <v>100</v>
      </c>
      <c r="E616" s="4" t="s">
        <v>101</v>
      </c>
      <c r="F616" s="10">
        <v>45579</v>
      </c>
      <c r="G616" s="11">
        <v>0.42708333333333331</v>
      </c>
      <c r="H616" s="4" t="s">
        <v>42</v>
      </c>
      <c r="I616" s="4">
        <v>1006</v>
      </c>
      <c r="J616" s="4" t="s">
        <v>94</v>
      </c>
      <c r="K616" s="4" t="s">
        <v>102</v>
      </c>
      <c r="L616" s="4" t="s">
        <v>103</v>
      </c>
      <c r="M616" s="4" t="s">
        <v>46</v>
      </c>
      <c r="N616" s="4"/>
      <c r="O616" s="4" t="s">
        <v>47</v>
      </c>
      <c r="P616" s="4" t="s">
        <v>48</v>
      </c>
      <c r="Q616" s="4">
        <v>0</v>
      </c>
      <c r="R616" s="4" t="b">
        <v>0</v>
      </c>
      <c r="S616" s="4" t="s">
        <v>49</v>
      </c>
      <c r="T616" s="4" t="s">
        <v>70</v>
      </c>
      <c r="U616" s="4" t="s">
        <v>71</v>
      </c>
      <c r="V616" s="4" t="s">
        <v>72</v>
      </c>
      <c r="W616" s="4" t="s">
        <v>73</v>
      </c>
      <c r="X616" s="4" t="s">
        <v>98</v>
      </c>
      <c r="Y616" s="4"/>
      <c r="Z616" s="12">
        <v>0</v>
      </c>
      <c r="AA616" s="13" t="s">
        <v>9152</v>
      </c>
      <c r="AB616" s="13" t="s">
        <v>9153</v>
      </c>
      <c r="AC616" s="14" t="s">
        <v>9139</v>
      </c>
      <c r="AD616" s="14" t="s">
        <v>9140</v>
      </c>
      <c r="AE616" s="14" t="s">
        <v>9140</v>
      </c>
      <c r="AF616" s="14" t="s">
        <v>72</v>
      </c>
      <c r="AG616" s="14" t="s">
        <v>98</v>
      </c>
      <c r="AH616" s="15" t="s">
        <v>9141</v>
      </c>
      <c r="AI616" s="15" t="s">
        <v>9142</v>
      </c>
      <c r="AJ616" s="15" t="s">
        <v>9143</v>
      </c>
      <c r="AK616" s="15" t="s">
        <v>9141</v>
      </c>
      <c r="AL616" s="15" t="s">
        <v>9144</v>
      </c>
      <c r="AM616" s="16" t="s">
        <v>9141</v>
      </c>
      <c r="AN616" s="16" t="s">
        <v>9145</v>
      </c>
    </row>
    <row r="617" spans="1:40" x14ac:dyDescent="0.25">
      <c r="A617" s="4" t="s">
        <v>1672</v>
      </c>
      <c r="B617" s="4"/>
      <c r="C617" s="4" t="s">
        <v>39</v>
      </c>
      <c r="D617" s="4" t="s">
        <v>1673</v>
      </c>
      <c r="E617" s="4" t="s">
        <v>1674</v>
      </c>
      <c r="F617" s="10">
        <v>45579</v>
      </c>
      <c r="G617" s="11">
        <v>0.39583333333333331</v>
      </c>
      <c r="H617" s="4" t="s">
        <v>1654</v>
      </c>
      <c r="I617" s="4">
        <v>9087</v>
      </c>
      <c r="J617" s="4" t="s">
        <v>1666</v>
      </c>
      <c r="K617" s="4" t="s">
        <v>1675</v>
      </c>
      <c r="L617" s="4" t="s">
        <v>1676</v>
      </c>
      <c r="M617" s="4" t="s">
        <v>46</v>
      </c>
      <c r="N617" s="4"/>
      <c r="O617" s="4" t="s">
        <v>47</v>
      </c>
      <c r="P617" s="4" t="s">
        <v>48</v>
      </c>
      <c r="Q617" s="4">
        <v>0</v>
      </c>
      <c r="R617" s="4" t="b">
        <v>0</v>
      </c>
      <c r="S617" s="4" t="s">
        <v>49</v>
      </c>
      <c r="T617" s="4" t="s">
        <v>115</v>
      </c>
      <c r="U617" s="4" t="s">
        <v>107</v>
      </c>
      <c r="V617" s="4" t="s">
        <v>123</v>
      </c>
      <c r="W617" s="4" t="s">
        <v>124</v>
      </c>
      <c r="X617" s="4" t="s">
        <v>54</v>
      </c>
      <c r="Y617" s="4"/>
      <c r="Z617" s="12">
        <v>0</v>
      </c>
      <c r="AA617" s="13" t="s">
        <v>9152</v>
      </c>
      <c r="AB617" s="13" t="s">
        <v>9153</v>
      </c>
      <c r="AC617" s="14" t="s">
        <v>9139</v>
      </c>
      <c r="AD617" s="14" t="s">
        <v>9140</v>
      </c>
      <c r="AE617" s="14" t="s">
        <v>9140</v>
      </c>
      <c r="AF617" s="14" t="s">
        <v>123</v>
      </c>
      <c r="AG617" s="14" t="s">
        <v>54</v>
      </c>
      <c r="AH617" s="15" t="s">
        <v>9141</v>
      </c>
      <c r="AI617" s="15" t="s">
        <v>9191</v>
      </c>
      <c r="AJ617" s="15" t="s">
        <v>9143</v>
      </c>
      <c r="AK617" s="15" t="s">
        <v>9141</v>
      </c>
      <c r="AL617" s="15" t="s">
        <v>9191</v>
      </c>
      <c r="AM617" s="16" t="s">
        <v>9141</v>
      </c>
      <c r="AN617" s="16" t="s">
        <v>9192</v>
      </c>
    </row>
    <row r="618" spans="1:40" x14ac:dyDescent="0.25">
      <c r="A618" s="4" t="s">
        <v>2231</v>
      </c>
      <c r="B618" s="4"/>
      <c r="C618" s="4" t="s">
        <v>39</v>
      </c>
      <c r="D618" s="4" t="s">
        <v>2232</v>
      </c>
      <c r="E618" s="4" t="s">
        <v>2233</v>
      </c>
      <c r="F618" s="10">
        <v>45578</v>
      </c>
      <c r="G618" s="11">
        <v>0.41805555555555557</v>
      </c>
      <c r="H618" s="4" t="s">
        <v>2227</v>
      </c>
      <c r="I618" s="4" t="s">
        <v>2228</v>
      </c>
      <c r="J618" s="4" t="s">
        <v>1173</v>
      </c>
      <c r="K618" s="4" t="s">
        <v>2234</v>
      </c>
      <c r="L618" s="4" t="s">
        <v>2235</v>
      </c>
      <c r="M618" s="4" t="s">
        <v>46</v>
      </c>
      <c r="N618" s="4"/>
      <c r="O618" s="4" t="s">
        <v>47</v>
      </c>
      <c r="P618" s="4" t="s">
        <v>48</v>
      </c>
      <c r="Q618" s="4">
        <v>0</v>
      </c>
      <c r="R618" s="4" t="b">
        <v>0</v>
      </c>
      <c r="S618" s="4" t="s">
        <v>61</v>
      </c>
      <c r="T618" s="4" t="s">
        <v>2195</v>
      </c>
      <c r="U618" s="4" t="s">
        <v>175</v>
      </c>
      <c r="V618" s="4" t="s">
        <v>52</v>
      </c>
      <c r="W618" s="4" t="s">
        <v>53</v>
      </c>
      <c r="X618" s="4" t="s">
        <v>54</v>
      </c>
      <c r="Y618" s="4"/>
      <c r="Z618" s="12">
        <v>0</v>
      </c>
      <c r="AA618" s="13" t="s">
        <v>9152</v>
      </c>
      <c r="AB618" s="13" t="s">
        <v>9153</v>
      </c>
      <c r="AC618" s="14" t="s">
        <v>9148</v>
      </c>
      <c r="AD618" s="14" t="s">
        <v>9140</v>
      </c>
      <c r="AE618" s="14" t="s">
        <v>9140</v>
      </c>
      <c r="AF618" s="14" t="s">
        <v>52</v>
      </c>
      <c r="AG618" s="14" t="s">
        <v>54</v>
      </c>
      <c r="AH618" s="15" t="s">
        <v>9194</v>
      </c>
      <c r="AI618" s="15" t="s">
        <v>9187</v>
      </c>
      <c r="AJ618" s="15" t="s">
        <v>9143</v>
      </c>
      <c r="AK618" s="15" t="s">
        <v>9194</v>
      </c>
      <c r="AL618" s="15" t="s">
        <v>9209</v>
      </c>
      <c r="AM618" s="16" t="s">
        <v>9194</v>
      </c>
      <c r="AN618" s="16" t="s">
        <v>9210</v>
      </c>
    </row>
    <row r="619" spans="1:40" x14ac:dyDescent="0.25">
      <c r="A619" s="4" t="s">
        <v>4157</v>
      </c>
      <c r="B619" s="4">
        <v>12240074359</v>
      </c>
      <c r="C619" s="4" t="s">
        <v>39</v>
      </c>
      <c r="D619" s="4" t="s">
        <v>4158</v>
      </c>
      <c r="E619" s="4" t="s">
        <v>4159</v>
      </c>
      <c r="F619" s="10">
        <v>45578</v>
      </c>
      <c r="G619" s="11">
        <v>0.58333333333333337</v>
      </c>
      <c r="H619" s="4" t="s">
        <v>4019</v>
      </c>
      <c r="I619" s="4" t="s">
        <v>4149</v>
      </c>
      <c r="J619" s="4" t="s">
        <v>559</v>
      </c>
      <c r="K619" s="4" t="s">
        <v>4160</v>
      </c>
      <c r="L619" s="4" t="s">
        <v>4161</v>
      </c>
      <c r="M619" s="4" t="s">
        <v>28</v>
      </c>
      <c r="N619" s="4" t="s">
        <v>183</v>
      </c>
      <c r="O619" s="4" t="s">
        <v>174</v>
      </c>
      <c r="P619" s="4" t="s">
        <v>48</v>
      </c>
      <c r="Q619" s="4">
        <v>9</v>
      </c>
      <c r="R619" s="4" t="b">
        <v>0</v>
      </c>
      <c r="S619" s="4" t="s">
        <v>114</v>
      </c>
      <c r="T619" s="4" t="s">
        <v>50</v>
      </c>
      <c r="U619" s="4" t="s">
        <v>618</v>
      </c>
      <c r="V619" s="4" t="s">
        <v>72</v>
      </c>
      <c r="W619" s="4" t="s">
        <v>97</v>
      </c>
      <c r="X619" s="4" t="s">
        <v>54</v>
      </c>
      <c r="Y619" s="4"/>
      <c r="Z619" s="12" t="s">
        <v>48</v>
      </c>
      <c r="AA619" s="13" t="s">
        <v>9152</v>
      </c>
      <c r="AB619" s="13" t="s">
        <v>9153</v>
      </c>
      <c r="AC619" s="14" t="s">
        <v>9157</v>
      </c>
      <c r="AD619" s="14" t="s">
        <v>28</v>
      </c>
      <c r="AE619" s="14" t="s">
        <v>183</v>
      </c>
      <c r="AF619" s="14" t="s">
        <v>72</v>
      </c>
      <c r="AG619" s="14" t="s">
        <v>54</v>
      </c>
      <c r="AH619" s="15" t="s">
        <v>9220</v>
      </c>
      <c r="AI619" s="15" t="s">
        <v>9175</v>
      </c>
      <c r="AJ619" s="15" t="s">
        <v>9143</v>
      </c>
      <c r="AK619" s="15" t="s">
        <v>9221</v>
      </c>
      <c r="AL619" s="15" t="s">
        <v>9224</v>
      </c>
      <c r="AM619" s="16" t="s">
        <v>9221</v>
      </c>
      <c r="AN619" s="16" t="s">
        <v>9225</v>
      </c>
    </row>
    <row r="620" spans="1:40" x14ac:dyDescent="0.25">
      <c r="A620" s="4" t="s">
        <v>4830</v>
      </c>
      <c r="B620" s="4"/>
      <c r="C620" s="4" t="s">
        <v>39</v>
      </c>
      <c r="D620" s="4" t="s">
        <v>4821</v>
      </c>
      <c r="E620" s="4" t="s">
        <v>4822</v>
      </c>
      <c r="F620" s="10">
        <v>45577</v>
      </c>
      <c r="G620" s="11">
        <v>0.54166666666666663</v>
      </c>
      <c r="H620" s="4" t="s">
        <v>4019</v>
      </c>
      <c r="I620" s="4" t="s">
        <v>4804</v>
      </c>
      <c r="J620" s="4" t="s">
        <v>756</v>
      </c>
      <c r="K620" s="4" t="s">
        <v>4831</v>
      </c>
      <c r="L620" s="4" t="s">
        <v>4832</v>
      </c>
      <c r="M620" s="4" t="s">
        <v>46</v>
      </c>
      <c r="N620" s="4"/>
      <c r="O620" s="4" t="s">
        <v>47</v>
      </c>
      <c r="P620" s="4" t="s">
        <v>48</v>
      </c>
      <c r="Q620" s="4">
        <v>0</v>
      </c>
      <c r="R620" s="4" t="b">
        <v>0</v>
      </c>
      <c r="S620" s="4" t="s">
        <v>61</v>
      </c>
      <c r="T620" s="4" t="s">
        <v>89</v>
      </c>
      <c r="U620" s="4" t="s">
        <v>148</v>
      </c>
      <c r="V620" s="4" t="s">
        <v>52</v>
      </c>
      <c r="W620" s="4" t="s">
        <v>255</v>
      </c>
      <c r="X620" s="4" t="s">
        <v>98</v>
      </c>
      <c r="Y620" s="4"/>
      <c r="Z620" s="12">
        <v>0</v>
      </c>
      <c r="AA620" s="13" t="s">
        <v>9152</v>
      </c>
      <c r="AB620" s="13" t="s">
        <v>9153</v>
      </c>
      <c r="AC620" s="14" t="s">
        <v>9148</v>
      </c>
      <c r="AD620" s="14" t="s">
        <v>9140</v>
      </c>
      <c r="AE620" s="14" t="s">
        <v>9140</v>
      </c>
      <c r="AF620" s="14" t="s">
        <v>52</v>
      </c>
      <c r="AG620" s="14" t="s">
        <v>98</v>
      </c>
      <c r="AH620" s="15" t="s">
        <v>9220</v>
      </c>
      <c r="AI620" s="15" t="s">
        <v>9175</v>
      </c>
      <c r="AJ620" s="15" t="s">
        <v>9143</v>
      </c>
      <c r="AK620" s="15" t="s">
        <v>9221</v>
      </c>
      <c r="AL620" s="15" t="s">
        <v>9222</v>
      </c>
      <c r="AM620" s="16" t="s">
        <v>9221</v>
      </c>
      <c r="AN620" s="16" t="s">
        <v>9223</v>
      </c>
    </row>
    <row r="621" spans="1:40" x14ac:dyDescent="0.25">
      <c r="A621" s="4" t="s">
        <v>2105</v>
      </c>
      <c r="B621" s="4">
        <v>7306541</v>
      </c>
      <c r="C621" s="4" t="s">
        <v>39</v>
      </c>
      <c r="D621" s="4" t="s">
        <v>2106</v>
      </c>
      <c r="E621" s="4" t="s">
        <v>2107</v>
      </c>
      <c r="F621" s="10">
        <v>45577</v>
      </c>
      <c r="G621" s="11">
        <v>0.60555555555555551</v>
      </c>
      <c r="H621" s="4" t="s">
        <v>2095</v>
      </c>
      <c r="I621" s="4" t="s">
        <v>2096</v>
      </c>
      <c r="J621" s="4" t="s">
        <v>2097</v>
      </c>
      <c r="K621" s="4" t="s">
        <v>2108</v>
      </c>
      <c r="L621" s="4" t="s">
        <v>2109</v>
      </c>
      <c r="M621" s="4" t="s">
        <v>46</v>
      </c>
      <c r="N621" s="4" t="s">
        <v>478</v>
      </c>
      <c r="O621" s="4" t="s">
        <v>47</v>
      </c>
      <c r="P621" s="4" t="s">
        <v>48</v>
      </c>
      <c r="Q621" s="4">
        <v>0</v>
      </c>
      <c r="R621" s="4" t="b">
        <v>0</v>
      </c>
      <c r="S621" s="4" t="s">
        <v>61</v>
      </c>
      <c r="T621" s="4" t="s">
        <v>583</v>
      </c>
      <c r="U621" s="4" t="s">
        <v>51</v>
      </c>
      <c r="V621" s="4" t="s">
        <v>123</v>
      </c>
      <c r="W621" s="4" t="s">
        <v>124</v>
      </c>
      <c r="X621" s="4" t="s">
        <v>54</v>
      </c>
      <c r="Y621" s="4"/>
      <c r="Z621" s="12">
        <v>0</v>
      </c>
      <c r="AA621" s="13" t="s">
        <v>9152</v>
      </c>
      <c r="AB621" s="13" t="s">
        <v>9153</v>
      </c>
      <c r="AC621" s="14" t="s">
        <v>9148</v>
      </c>
      <c r="AD621" s="14" t="s">
        <v>9140</v>
      </c>
      <c r="AE621" s="14" t="s">
        <v>9140</v>
      </c>
      <c r="AF621" s="14" t="s">
        <v>123</v>
      </c>
      <c r="AG621" s="14" t="s">
        <v>54</v>
      </c>
      <c r="AH621" s="15" t="s">
        <v>9194</v>
      </c>
      <c r="AI621" s="15" t="s">
        <v>9188</v>
      </c>
      <c r="AJ621" s="15" t="s">
        <v>9143</v>
      </c>
      <c r="AK621" s="15" t="s">
        <v>9194</v>
      </c>
      <c r="AL621" s="15" t="s">
        <v>9203</v>
      </c>
      <c r="AM621" s="16" t="s">
        <v>9194</v>
      </c>
      <c r="AN621" s="16" t="s">
        <v>9204</v>
      </c>
    </row>
    <row r="622" spans="1:40" x14ac:dyDescent="0.25">
      <c r="A622" s="4" t="s">
        <v>2066</v>
      </c>
      <c r="B622" s="4"/>
      <c r="C622" s="4" t="s">
        <v>39</v>
      </c>
      <c r="D622" s="4" t="s">
        <v>2067</v>
      </c>
      <c r="E622" s="4" t="s">
        <v>2068</v>
      </c>
      <c r="F622" s="10">
        <v>45576</v>
      </c>
      <c r="G622" s="11">
        <v>0.38819444444444445</v>
      </c>
      <c r="H622" s="4" t="s">
        <v>1992</v>
      </c>
      <c r="I622" s="4" t="s">
        <v>2061</v>
      </c>
      <c r="J622" s="4" t="s">
        <v>2062</v>
      </c>
      <c r="K622" s="4" t="s">
        <v>2069</v>
      </c>
      <c r="L622" s="4" t="s">
        <v>2070</v>
      </c>
      <c r="M622" s="4" t="s">
        <v>46</v>
      </c>
      <c r="N622" s="4"/>
      <c r="O622" s="4" t="s">
        <v>47</v>
      </c>
      <c r="P622" s="4" t="s">
        <v>48</v>
      </c>
      <c r="Q622" s="4">
        <v>0</v>
      </c>
      <c r="R622" s="4" t="b">
        <v>0</v>
      </c>
      <c r="S622" s="4" t="s">
        <v>49</v>
      </c>
      <c r="T622" s="4" t="s">
        <v>89</v>
      </c>
      <c r="U622" s="4" t="s">
        <v>618</v>
      </c>
      <c r="V622" s="4" t="s">
        <v>63</v>
      </c>
      <c r="W622" s="4" t="s">
        <v>198</v>
      </c>
      <c r="X622" s="4" t="s">
        <v>54</v>
      </c>
      <c r="Y622" s="4" t="s">
        <v>1944</v>
      </c>
      <c r="Z622" s="12">
        <v>0</v>
      </c>
      <c r="AA622" s="13" t="s">
        <v>9152</v>
      </c>
      <c r="AB622" s="13" t="s">
        <v>9153</v>
      </c>
      <c r="AC622" s="14" t="s">
        <v>9139</v>
      </c>
      <c r="AD622" s="14" t="s">
        <v>9140</v>
      </c>
      <c r="AE622" s="14" t="s">
        <v>9140</v>
      </c>
      <c r="AF622" s="14" t="s">
        <v>63</v>
      </c>
      <c r="AG622" s="14" t="s">
        <v>54</v>
      </c>
      <c r="AH622" s="15" t="s">
        <v>9194</v>
      </c>
      <c r="AI622" s="15" t="s">
        <v>9191</v>
      </c>
      <c r="AJ622" s="15" t="s">
        <v>9143</v>
      </c>
      <c r="AK622" s="15" t="s">
        <v>9194</v>
      </c>
      <c r="AL622" s="15" t="s">
        <v>9201</v>
      </c>
      <c r="AM622" s="16" t="s">
        <v>9194</v>
      </c>
      <c r="AN622" s="16" t="s">
        <v>9202</v>
      </c>
    </row>
    <row r="623" spans="1:40" x14ac:dyDescent="0.25">
      <c r="A623" s="4" t="s">
        <v>8560</v>
      </c>
      <c r="B623" s="4"/>
      <c r="C623" s="4" t="s">
        <v>39</v>
      </c>
      <c r="D623" s="4" t="s">
        <v>8561</v>
      </c>
      <c r="E623" s="4" t="s">
        <v>8562</v>
      </c>
      <c r="F623" s="10">
        <v>45576</v>
      </c>
      <c r="G623" s="11">
        <v>0.52083333333333337</v>
      </c>
      <c r="H623" s="4" t="s">
        <v>4019</v>
      </c>
      <c r="I623" s="4" t="s">
        <v>8552</v>
      </c>
      <c r="J623" s="4" t="s">
        <v>8553</v>
      </c>
      <c r="K623" s="4" t="s">
        <v>140</v>
      </c>
      <c r="L623" s="4" t="s">
        <v>8563</v>
      </c>
      <c r="M623" s="4" t="s">
        <v>46</v>
      </c>
      <c r="N623" s="4"/>
      <c r="O623" s="4" t="s">
        <v>47</v>
      </c>
      <c r="P623" s="4" t="s">
        <v>60</v>
      </c>
      <c r="Q623" s="4">
        <v>0</v>
      </c>
      <c r="R623" s="4" t="b">
        <v>0</v>
      </c>
      <c r="S623" s="4" t="s">
        <v>49</v>
      </c>
      <c r="T623" s="4" t="s">
        <v>50</v>
      </c>
      <c r="U623" s="4" t="s">
        <v>140</v>
      </c>
      <c r="V623" s="4" t="s">
        <v>63</v>
      </c>
      <c r="W623" s="4" t="s">
        <v>198</v>
      </c>
      <c r="X623" s="4" t="s">
        <v>978</v>
      </c>
      <c r="Y623" s="4"/>
      <c r="Z623" s="12">
        <v>0</v>
      </c>
      <c r="AA623" s="13" t="s">
        <v>9152</v>
      </c>
      <c r="AB623" s="13" t="s">
        <v>9153</v>
      </c>
      <c r="AC623" s="14" t="s">
        <v>9139</v>
      </c>
      <c r="AD623" s="14" t="s">
        <v>9140</v>
      </c>
      <c r="AE623" s="14" t="s">
        <v>9140</v>
      </c>
      <c r="AF623" s="14" t="s">
        <v>63</v>
      </c>
      <c r="AG623" s="14" t="s">
        <v>978</v>
      </c>
      <c r="AH623" s="15" t="s">
        <v>9220</v>
      </c>
      <c r="AI623" s="15" t="s">
        <v>9175</v>
      </c>
      <c r="AJ623" s="15" t="s">
        <v>9143</v>
      </c>
      <c r="AK623" s="15" t="s">
        <v>9221</v>
      </c>
      <c r="AL623" s="15" t="s">
        <v>9222</v>
      </c>
      <c r="AM623" s="16" t="s">
        <v>9221</v>
      </c>
      <c r="AN623" s="16" t="s">
        <v>9223</v>
      </c>
    </row>
    <row r="624" spans="1:40" x14ac:dyDescent="0.25">
      <c r="A624" s="4" t="s">
        <v>6564</v>
      </c>
      <c r="B624" s="4"/>
      <c r="C624" s="4" t="s">
        <v>39</v>
      </c>
      <c r="D624" s="4" t="s">
        <v>6565</v>
      </c>
      <c r="E624" s="4" t="s">
        <v>6566</v>
      </c>
      <c r="F624" s="10">
        <v>45576</v>
      </c>
      <c r="G624" s="11">
        <v>0.4861111111111111</v>
      </c>
      <c r="H624" s="4" t="s">
        <v>4910</v>
      </c>
      <c r="I624" s="4" t="s">
        <v>6561</v>
      </c>
      <c r="J624" s="4" t="s">
        <v>1719</v>
      </c>
      <c r="K624" s="4" t="s">
        <v>6567</v>
      </c>
      <c r="L624" s="4" t="s">
        <v>6568</v>
      </c>
      <c r="M624" s="4" t="s">
        <v>46</v>
      </c>
      <c r="N624" s="4"/>
      <c r="O624" s="4" t="s">
        <v>47</v>
      </c>
      <c r="P624" s="4" t="s">
        <v>48</v>
      </c>
      <c r="Q624" s="4">
        <v>0</v>
      </c>
      <c r="R624" s="4" t="b">
        <v>0</v>
      </c>
      <c r="S624" s="4" t="s">
        <v>49</v>
      </c>
      <c r="T624" s="4" t="s">
        <v>70</v>
      </c>
      <c r="U624" s="4" t="s">
        <v>71</v>
      </c>
      <c r="V624" s="4" t="s">
        <v>63</v>
      </c>
      <c r="W624" s="4" t="s">
        <v>198</v>
      </c>
      <c r="X624" s="4" t="s">
        <v>54</v>
      </c>
      <c r="Y624" s="4" t="s">
        <v>211</v>
      </c>
      <c r="Z624" s="12">
        <v>0</v>
      </c>
      <c r="AA624" s="13" t="s">
        <v>9152</v>
      </c>
      <c r="AB624" s="13" t="s">
        <v>9153</v>
      </c>
      <c r="AC624" s="14" t="s">
        <v>9139</v>
      </c>
      <c r="AD624" s="14" t="s">
        <v>9140</v>
      </c>
      <c r="AE624" s="14" t="s">
        <v>9140</v>
      </c>
      <c r="AF624" s="14" t="s">
        <v>63</v>
      </c>
      <c r="AG624" s="14" t="s">
        <v>54</v>
      </c>
      <c r="AH624" s="15" t="s">
        <v>9220</v>
      </c>
      <c r="AI624" s="15" t="s">
        <v>9191</v>
      </c>
      <c r="AJ624" s="15" t="s">
        <v>9143</v>
      </c>
      <c r="AK624" s="15" t="s">
        <v>9221</v>
      </c>
      <c r="AL624" s="15" t="s">
        <v>9226</v>
      </c>
      <c r="AM624" s="16" t="s">
        <v>9221</v>
      </c>
      <c r="AN624" s="16" t="s">
        <v>9227</v>
      </c>
    </row>
    <row r="625" spans="1:40" x14ac:dyDescent="0.25">
      <c r="A625" s="4" t="s">
        <v>8655</v>
      </c>
      <c r="B625" s="4"/>
      <c r="C625" s="4" t="s">
        <v>39</v>
      </c>
      <c r="D625" s="4" t="s">
        <v>8656</v>
      </c>
      <c r="E625" s="4" t="s">
        <v>1072</v>
      </c>
      <c r="F625" s="10">
        <v>45575</v>
      </c>
      <c r="G625" s="11">
        <v>0.45833333333333331</v>
      </c>
      <c r="H625" s="4" t="s">
        <v>4516</v>
      </c>
      <c r="I625" s="4" t="s">
        <v>8639</v>
      </c>
      <c r="J625" s="4" t="s">
        <v>1406</v>
      </c>
      <c r="K625" s="4" t="s">
        <v>6007</v>
      </c>
      <c r="L625" s="4" t="s">
        <v>8657</v>
      </c>
      <c r="M625" s="4" t="s">
        <v>46</v>
      </c>
      <c r="N625" s="4"/>
      <c r="O625" s="4" t="s">
        <v>47</v>
      </c>
      <c r="P625" s="4" t="s">
        <v>48</v>
      </c>
      <c r="Q625" s="4">
        <v>0</v>
      </c>
      <c r="R625" s="4" t="b">
        <v>0</v>
      </c>
      <c r="S625" s="4" t="s">
        <v>49</v>
      </c>
      <c r="T625" s="4" t="s">
        <v>70</v>
      </c>
      <c r="U625" s="4" t="s">
        <v>71</v>
      </c>
      <c r="V625" s="4" t="s">
        <v>63</v>
      </c>
      <c r="W625" s="4" t="s">
        <v>198</v>
      </c>
      <c r="X625" s="4" t="s">
        <v>54</v>
      </c>
      <c r="Y625" s="4" t="s">
        <v>211</v>
      </c>
      <c r="Z625" s="12">
        <v>0</v>
      </c>
      <c r="AA625" s="13" t="s">
        <v>9152</v>
      </c>
      <c r="AB625" s="13" t="s">
        <v>9153</v>
      </c>
      <c r="AC625" s="14" t="s">
        <v>9139</v>
      </c>
      <c r="AD625" s="14" t="s">
        <v>9140</v>
      </c>
      <c r="AE625" s="14" t="s">
        <v>9140</v>
      </c>
      <c r="AF625" s="14" t="s">
        <v>63</v>
      </c>
      <c r="AG625" s="14" t="s">
        <v>54</v>
      </c>
      <c r="AH625" s="15" t="s">
        <v>9220</v>
      </c>
      <c r="AI625" s="15" t="s">
        <v>9188</v>
      </c>
      <c r="AJ625" s="15" t="s">
        <v>9143</v>
      </c>
      <c r="AK625" s="15" t="s">
        <v>9221</v>
      </c>
      <c r="AL625" s="15" t="s">
        <v>9236</v>
      </c>
      <c r="AM625" s="16" t="s">
        <v>9221</v>
      </c>
      <c r="AN625" s="16" t="s">
        <v>9237</v>
      </c>
    </row>
    <row r="626" spans="1:40" x14ac:dyDescent="0.25">
      <c r="A626" s="4" t="s">
        <v>2148</v>
      </c>
      <c r="B626" s="4"/>
      <c r="C626" s="4" t="s">
        <v>39</v>
      </c>
      <c r="D626" s="4" t="s">
        <v>2149</v>
      </c>
      <c r="E626" s="4" t="s">
        <v>2150</v>
      </c>
      <c r="F626" s="10">
        <v>45575</v>
      </c>
      <c r="G626" s="11">
        <v>0.34375</v>
      </c>
      <c r="H626" s="4" t="s">
        <v>1992</v>
      </c>
      <c r="I626" s="4" t="s">
        <v>2139</v>
      </c>
      <c r="J626" s="4" t="s">
        <v>2140</v>
      </c>
      <c r="K626" s="4" t="s">
        <v>2151</v>
      </c>
      <c r="L626" s="4" t="s">
        <v>2152</v>
      </c>
      <c r="M626" s="4" t="s">
        <v>46</v>
      </c>
      <c r="N626" s="4"/>
      <c r="O626" s="4" t="s">
        <v>47</v>
      </c>
      <c r="P626" s="4" t="s">
        <v>48</v>
      </c>
      <c r="Q626" s="4">
        <v>0</v>
      </c>
      <c r="R626" s="4" t="b">
        <v>0</v>
      </c>
      <c r="S626" s="4" t="s">
        <v>61</v>
      </c>
      <c r="T626" s="4" t="s">
        <v>115</v>
      </c>
      <c r="U626" s="4" t="s">
        <v>175</v>
      </c>
      <c r="V626" s="4" t="s">
        <v>52</v>
      </c>
      <c r="W626" s="4" t="s">
        <v>53</v>
      </c>
      <c r="X626" s="4" t="s">
        <v>54</v>
      </c>
      <c r="Y626" s="4" t="s">
        <v>176</v>
      </c>
      <c r="Z626" s="12">
        <v>0</v>
      </c>
      <c r="AA626" s="13" t="s">
        <v>9152</v>
      </c>
      <c r="AB626" s="13" t="s">
        <v>9153</v>
      </c>
      <c r="AC626" s="14" t="s">
        <v>9148</v>
      </c>
      <c r="AD626" s="14" t="s">
        <v>9140</v>
      </c>
      <c r="AE626" s="14" t="s">
        <v>9140</v>
      </c>
      <c r="AF626" s="14" t="s">
        <v>52</v>
      </c>
      <c r="AG626" s="14" t="s">
        <v>54</v>
      </c>
      <c r="AH626" s="15" t="s">
        <v>9194</v>
      </c>
      <c r="AI626" s="15" t="s">
        <v>9191</v>
      </c>
      <c r="AJ626" s="15" t="s">
        <v>9143</v>
      </c>
      <c r="AK626" s="15" t="s">
        <v>9194</v>
      </c>
      <c r="AL626" s="15" t="s">
        <v>9205</v>
      </c>
      <c r="AM626" s="16" t="s">
        <v>9194</v>
      </c>
      <c r="AN626" s="16" t="s">
        <v>9206</v>
      </c>
    </row>
    <row r="627" spans="1:40" x14ac:dyDescent="0.25">
      <c r="A627" s="4" t="s">
        <v>3641</v>
      </c>
      <c r="B627" s="4"/>
      <c r="C627" s="4" t="s">
        <v>39</v>
      </c>
      <c r="D627" s="4" t="s">
        <v>3642</v>
      </c>
      <c r="E627" s="4" t="s">
        <v>3643</v>
      </c>
      <c r="F627" s="10">
        <v>45575</v>
      </c>
      <c r="G627" s="11">
        <v>0.60416666666666663</v>
      </c>
      <c r="H627" s="4" t="s">
        <v>2017</v>
      </c>
      <c r="I627" s="4" t="s">
        <v>3644</v>
      </c>
      <c r="J627" s="4" t="s">
        <v>3645</v>
      </c>
      <c r="K627" s="4" t="s">
        <v>3646</v>
      </c>
      <c r="L627" s="4" t="s">
        <v>3647</v>
      </c>
      <c r="M627" s="4" t="s">
        <v>46</v>
      </c>
      <c r="N627" s="4"/>
      <c r="O627" s="4" t="s">
        <v>47</v>
      </c>
      <c r="P627" s="4" t="s">
        <v>60</v>
      </c>
      <c r="Q627" s="4">
        <v>0</v>
      </c>
      <c r="R627" s="4" t="b">
        <v>0</v>
      </c>
      <c r="S627" s="4" t="s">
        <v>61</v>
      </c>
      <c r="T627" s="4" t="s">
        <v>50</v>
      </c>
      <c r="U627" s="4" t="s">
        <v>1081</v>
      </c>
      <c r="V627" s="4" t="s">
        <v>63</v>
      </c>
      <c r="W627" s="4" t="s">
        <v>108</v>
      </c>
      <c r="X627" s="4" t="s">
        <v>978</v>
      </c>
      <c r="Y627" s="4"/>
      <c r="Z627" s="12">
        <v>0</v>
      </c>
      <c r="AA627" s="13" t="s">
        <v>9152</v>
      </c>
      <c r="AB627" s="13" t="s">
        <v>9153</v>
      </c>
      <c r="AC627" s="14" t="s">
        <v>9148</v>
      </c>
      <c r="AD627" s="14" t="s">
        <v>9140</v>
      </c>
      <c r="AE627" s="14" t="s">
        <v>9140</v>
      </c>
      <c r="AF627" s="14" t="s">
        <v>63</v>
      </c>
      <c r="AG627" s="14" t="s">
        <v>978</v>
      </c>
      <c r="AH627" s="15" t="s">
        <v>9194</v>
      </c>
      <c r="AI627" s="15" t="s">
        <v>9199</v>
      </c>
      <c r="AJ627" s="15" t="s">
        <v>9143</v>
      </c>
      <c r="AK627" s="15" t="s">
        <v>9194</v>
      </c>
      <c r="AL627" s="15" t="s">
        <v>9199</v>
      </c>
      <c r="AM627" s="16" t="s">
        <v>9194</v>
      </c>
      <c r="AN627" s="16" t="s">
        <v>9200</v>
      </c>
    </row>
    <row r="628" spans="1:40" x14ac:dyDescent="0.25">
      <c r="A628" s="4" t="s">
        <v>8827</v>
      </c>
      <c r="B628" s="4">
        <v>7299613</v>
      </c>
      <c r="C628" s="4" t="s">
        <v>39</v>
      </c>
      <c r="D628" s="4" t="s">
        <v>8828</v>
      </c>
      <c r="E628" s="4" t="s">
        <v>8829</v>
      </c>
      <c r="F628" s="10">
        <v>45574</v>
      </c>
      <c r="G628" s="11">
        <v>0.62222222222222223</v>
      </c>
      <c r="H628" s="4" t="s">
        <v>4516</v>
      </c>
      <c r="I628" s="4" t="s">
        <v>8818</v>
      </c>
      <c r="J628" s="4" t="s">
        <v>8819</v>
      </c>
      <c r="K628" s="4" t="s">
        <v>6203</v>
      </c>
      <c r="L628" s="4" t="s">
        <v>8830</v>
      </c>
      <c r="M628" s="4" t="s">
        <v>28</v>
      </c>
      <c r="N628" s="4" t="s">
        <v>478</v>
      </c>
      <c r="O628" s="4" t="s">
        <v>47</v>
      </c>
      <c r="P628" s="4" t="s">
        <v>48</v>
      </c>
      <c r="Q628" s="4">
        <v>0</v>
      </c>
      <c r="R628" s="4" t="b">
        <v>0</v>
      </c>
      <c r="S628" s="4" t="s">
        <v>49</v>
      </c>
      <c r="T628" s="4" t="s">
        <v>583</v>
      </c>
      <c r="U628" s="4" t="s">
        <v>140</v>
      </c>
      <c r="V628" s="4" t="s">
        <v>123</v>
      </c>
      <c r="W628" s="4" t="s">
        <v>124</v>
      </c>
      <c r="X628" s="4" t="s">
        <v>54</v>
      </c>
      <c r="Y628" s="4"/>
      <c r="Z628" s="12" t="s">
        <v>48</v>
      </c>
      <c r="AA628" s="13" t="s">
        <v>9152</v>
      </c>
      <c r="AB628" s="13" t="s">
        <v>9153</v>
      </c>
      <c r="AC628" s="14" t="s">
        <v>9139</v>
      </c>
      <c r="AD628" s="14" t="s">
        <v>28</v>
      </c>
      <c r="AE628" s="14" t="s">
        <v>478</v>
      </c>
      <c r="AF628" s="14" t="s">
        <v>123</v>
      </c>
      <c r="AG628" s="14" t="s">
        <v>54</v>
      </c>
      <c r="AH628" s="15" t="s">
        <v>9220</v>
      </c>
      <c r="AI628" s="15" t="s">
        <v>9188</v>
      </c>
      <c r="AJ628" s="15" t="s">
        <v>9143</v>
      </c>
      <c r="AK628" s="15" t="s">
        <v>9221</v>
      </c>
      <c r="AL628" s="15" t="s">
        <v>9236</v>
      </c>
      <c r="AM628" s="16" t="s">
        <v>9221</v>
      </c>
      <c r="AN628" s="16" t="s">
        <v>9237</v>
      </c>
    </row>
    <row r="629" spans="1:40" x14ac:dyDescent="0.25">
      <c r="A629" s="4" t="s">
        <v>1388</v>
      </c>
      <c r="B629" s="4"/>
      <c r="C629" s="4" t="s">
        <v>39</v>
      </c>
      <c r="D629" s="4" t="s">
        <v>1389</v>
      </c>
      <c r="E629" s="4" t="s">
        <v>1390</v>
      </c>
      <c r="F629" s="10">
        <v>45574</v>
      </c>
      <c r="G629" s="11">
        <v>0.61527777777777781</v>
      </c>
      <c r="H629" s="4" t="s">
        <v>1366</v>
      </c>
      <c r="I629" s="4">
        <v>5054</v>
      </c>
      <c r="J629" s="4" t="s">
        <v>1385</v>
      </c>
      <c r="K629" s="4" t="s">
        <v>1391</v>
      </c>
      <c r="L629" s="4" t="s">
        <v>1392</v>
      </c>
      <c r="M629" s="4" t="s">
        <v>46</v>
      </c>
      <c r="N629" s="4"/>
      <c r="O629" s="4" t="s">
        <v>47</v>
      </c>
      <c r="P629" s="4" t="s">
        <v>48</v>
      </c>
      <c r="Q629" s="4">
        <v>0</v>
      </c>
      <c r="R629" s="4" t="b">
        <v>0</v>
      </c>
      <c r="S629" s="4" t="s">
        <v>61</v>
      </c>
      <c r="T629" s="4" t="s">
        <v>89</v>
      </c>
      <c r="U629" s="4" t="s">
        <v>148</v>
      </c>
      <c r="V629" s="4" t="s">
        <v>52</v>
      </c>
      <c r="W629" s="4" t="s">
        <v>53</v>
      </c>
      <c r="X629" s="4" t="s">
        <v>54</v>
      </c>
      <c r="Y629" s="4"/>
      <c r="Z629" s="12">
        <v>0</v>
      </c>
      <c r="AA629" s="13" t="s">
        <v>9152</v>
      </c>
      <c r="AB629" s="13" t="s">
        <v>9153</v>
      </c>
      <c r="AC629" s="14" t="s">
        <v>9148</v>
      </c>
      <c r="AD629" s="14" t="s">
        <v>9140</v>
      </c>
      <c r="AE629" s="14" t="s">
        <v>9140</v>
      </c>
      <c r="AF629" s="14" t="s">
        <v>52</v>
      </c>
      <c r="AG629" s="14" t="s">
        <v>54</v>
      </c>
      <c r="AH629" s="15" t="s">
        <v>9141</v>
      </c>
      <c r="AI629" s="15" t="s">
        <v>9188</v>
      </c>
      <c r="AJ629" s="15" t="s">
        <v>9143</v>
      </c>
      <c r="AK629" s="15" t="s">
        <v>9141</v>
      </c>
      <c r="AL629" s="15" t="s">
        <v>9189</v>
      </c>
      <c r="AM629" s="16" t="s">
        <v>9141</v>
      </c>
      <c r="AN629" s="16" t="s">
        <v>9190</v>
      </c>
    </row>
    <row r="630" spans="1:40" x14ac:dyDescent="0.25">
      <c r="A630" s="4" t="s">
        <v>5130</v>
      </c>
      <c r="B630" s="4"/>
      <c r="C630" s="4" t="s">
        <v>39</v>
      </c>
      <c r="D630" s="4" t="s">
        <v>5131</v>
      </c>
      <c r="E630" s="4" t="s">
        <v>5132</v>
      </c>
      <c r="F630" s="10">
        <v>45574</v>
      </c>
      <c r="G630" s="11">
        <v>0.59236111111111112</v>
      </c>
      <c r="H630" s="4" t="s">
        <v>4910</v>
      </c>
      <c r="I630" s="4" t="s">
        <v>5121</v>
      </c>
      <c r="J630" s="4" t="s">
        <v>1994</v>
      </c>
      <c r="K630" s="4" t="s">
        <v>5133</v>
      </c>
      <c r="L630" s="4" t="s">
        <v>5134</v>
      </c>
      <c r="M630" s="4" t="s">
        <v>46</v>
      </c>
      <c r="N630" s="4"/>
      <c r="O630" s="4" t="s">
        <v>47</v>
      </c>
      <c r="P630" s="4" t="s">
        <v>48</v>
      </c>
      <c r="Q630" s="4">
        <v>0</v>
      </c>
      <c r="R630" s="4" t="b">
        <v>0</v>
      </c>
      <c r="S630" s="4" t="s">
        <v>61</v>
      </c>
      <c r="T630" s="4" t="s">
        <v>115</v>
      </c>
      <c r="U630" s="4" t="s">
        <v>887</v>
      </c>
      <c r="V630" s="4" t="s">
        <v>123</v>
      </c>
      <c r="W630" s="4" t="s">
        <v>124</v>
      </c>
      <c r="X630" s="4" t="s">
        <v>54</v>
      </c>
      <c r="Y630" s="4"/>
      <c r="Z630" s="12">
        <v>0</v>
      </c>
      <c r="AA630" s="13" t="s">
        <v>9152</v>
      </c>
      <c r="AB630" s="13" t="s">
        <v>9153</v>
      </c>
      <c r="AC630" s="14" t="s">
        <v>9148</v>
      </c>
      <c r="AD630" s="14" t="s">
        <v>9140</v>
      </c>
      <c r="AE630" s="14" t="s">
        <v>9140</v>
      </c>
      <c r="AF630" s="14" t="s">
        <v>123</v>
      </c>
      <c r="AG630" s="14" t="s">
        <v>54</v>
      </c>
      <c r="AH630" s="15" t="s">
        <v>9220</v>
      </c>
      <c r="AI630" s="15" t="s">
        <v>9191</v>
      </c>
      <c r="AJ630" s="15" t="s">
        <v>9143</v>
      </c>
      <c r="AK630" s="15" t="s">
        <v>9221</v>
      </c>
      <c r="AL630" s="15" t="s">
        <v>9236</v>
      </c>
      <c r="AM630" s="16" t="s">
        <v>9221</v>
      </c>
      <c r="AN630" s="16" t="s">
        <v>9237</v>
      </c>
    </row>
    <row r="631" spans="1:40" x14ac:dyDescent="0.25">
      <c r="A631" s="4" t="s">
        <v>5135</v>
      </c>
      <c r="B631" s="4"/>
      <c r="C631" s="4" t="s">
        <v>39</v>
      </c>
      <c r="D631" s="4" t="s">
        <v>5131</v>
      </c>
      <c r="E631" s="4" t="s">
        <v>5132</v>
      </c>
      <c r="F631" s="10">
        <v>45574</v>
      </c>
      <c r="G631" s="11">
        <v>0.64513888888888893</v>
      </c>
      <c r="H631" s="4" t="s">
        <v>4910</v>
      </c>
      <c r="I631" s="4" t="s">
        <v>5121</v>
      </c>
      <c r="J631" s="4" t="s">
        <v>1994</v>
      </c>
      <c r="K631" s="4" t="s">
        <v>5136</v>
      </c>
      <c r="L631" s="4" t="s">
        <v>5137</v>
      </c>
      <c r="M631" s="4" t="s">
        <v>46</v>
      </c>
      <c r="N631" s="4"/>
      <c r="O631" s="4" t="s">
        <v>47</v>
      </c>
      <c r="P631" s="4" t="s">
        <v>48</v>
      </c>
      <c r="Q631" s="4">
        <v>0</v>
      </c>
      <c r="R631" s="4" t="b">
        <v>0</v>
      </c>
      <c r="S631" s="4" t="s">
        <v>61</v>
      </c>
      <c r="T631" s="4" t="s">
        <v>583</v>
      </c>
      <c r="U631" s="4" t="s">
        <v>51</v>
      </c>
      <c r="V631" s="4" t="s">
        <v>123</v>
      </c>
      <c r="W631" s="4" t="s">
        <v>149</v>
      </c>
      <c r="X631" s="4" t="s">
        <v>54</v>
      </c>
      <c r="Y631" s="4"/>
      <c r="Z631" s="12">
        <v>0</v>
      </c>
      <c r="AA631" s="13" t="s">
        <v>9152</v>
      </c>
      <c r="AB631" s="13" t="s">
        <v>9153</v>
      </c>
      <c r="AC631" s="14" t="s">
        <v>9148</v>
      </c>
      <c r="AD631" s="14" t="s">
        <v>9140</v>
      </c>
      <c r="AE631" s="14" t="s">
        <v>9140</v>
      </c>
      <c r="AF631" s="14" t="s">
        <v>123</v>
      </c>
      <c r="AG631" s="14" t="s">
        <v>54</v>
      </c>
      <c r="AH631" s="15" t="s">
        <v>9220</v>
      </c>
      <c r="AI631" s="15" t="s">
        <v>9191</v>
      </c>
      <c r="AJ631" s="15" t="s">
        <v>9143</v>
      </c>
      <c r="AK631" s="15" t="s">
        <v>9221</v>
      </c>
      <c r="AL631" s="15" t="s">
        <v>9236</v>
      </c>
      <c r="AM631" s="16" t="s">
        <v>9221</v>
      </c>
      <c r="AN631" s="16" t="s">
        <v>9237</v>
      </c>
    </row>
    <row r="632" spans="1:40" x14ac:dyDescent="0.25">
      <c r="A632" s="4" t="s">
        <v>5079</v>
      </c>
      <c r="B632" s="4" t="s">
        <v>5080</v>
      </c>
      <c r="C632" s="4" t="s">
        <v>39</v>
      </c>
      <c r="D632" s="4" t="s">
        <v>5081</v>
      </c>
      <c r="E632" s="4" t="s">
        <v>5082</v>
      </c>
      <c r="F632" s="10">
        <v>45574</v>
      </c>
      <c r="G632" s="11">
        <v>0.55902777777777779</v>
      </c>
      <c r="H632" s="4" t="s">
        <v>4910</v>
      </c>
      <c r="I632" s="4" t="s">
        <v>5077</v>
      </c>
      <c r="J632" s="4" t="s">
        <v>2140</v>
      </c>
      <c r="K632" s="4" t="s">
        <v>2364</v>
      </c>
      <c r="L632" s="4" t="s">
        <v>5083</v>
      </c>
      <c r="M632" s="4" t="s">
        <v>28</v>
      </c>
      <c r="N632" s="4" t="s">
        <v>2718</v>
      </c>
      <c r="O632" s="4" t="s">
        <v>174</v>
      </c>
      <c r="P632" s="4" t="s">
        <v>48</v>
      </c>
      <c r="Q632" s="4">
        <v>0</v>
      </c>
      <c r="R632" s="4" t="b">
        <v>0</v>
      </c>
      <c r="S632" s="4" t="s">
        <v>114</v>
      </c>
      <c r="T632" s="4" t="s">
        <v>115</v>
      </c>
      <c r="U632" s="4" t="s">
        <v>71</v>
      </c>
      <c r="V632" s="4" t="s">
        <v>72</v>
      </c>
      <c r="W632" s="4" t="s">
        <v>73</v>
      </c>
      <c r="X632" s="4" t="s">
        <v>54</v>
      </c>
      <c r="Y632" s="4"/>
      <c r="Z632" s="12" t="s">
        <v>48</v>
      </c>
      <c r="AA632" s="13" t="s">
        <v>9152</v>
      </c>
      <c r="AB632" s="13" t="s">
        <v>9153</v>
      </c>
      <c r="AC632" s="14" t="s">
        <v>9157</v>
      </c>
      <c r="AD632" s="14" t="s">
        <v>28</v>
      </c>
      <c r="AE632" s="14" t="s">
        <v>9140</v>
      </c>
      <c r="AF632" s="14" t="s">
        <v>72</v>
      </c>
      <c r="AG632" s="14" t="s">
        <v>54</v>
      </c>
      <c r="AH632" s="15" t="s">
        <v>9220</v>
      </c>
      <c r="AI632" s="15" t="s">
        <v>9191</v>
      </c>
      <c r="AJ632" s="15" t="s">
        <v>9143</v>
      </c>
      <c r="AK632" s="15" t="s">
        <v>9221</v>
      </c>
      <c r="AL632" s="15" t="s">
        <v>9226</v>
      </c>
      <c r="AM632" s="16" t="s">
        <v>9221</v>
      </c>
      <c r="AN632" s="16" t="s">
        <v>9227</v>
      </c>
    </row>
    <row r="633" spans="1:40" x14ac:dyDescent="0.25">
      <c r="A633" s="4" t="s">
        <v>6569</v>
      </c>
      <c r="B633" s="4"/>
      <c r="C633" s="4" t="s">
        <v>39</v>
      </c>
      <c r="D633" s="4" t="s">
        <v>6570</v>
      </c>
      <c r="E633" s="4" t="s">
        <v>6571</v>
      </c>
      <c r="F633" s="10">
        <v>45574</v>
      </c>
      <c r="G633" s="11">
        <v>0.71875</v>
      </c>
      <c r="H633" s="4" t="s">
        <v>4910</v>
      </c>
      <c r="I633" s="4" t="s">
        <v>6561</v>
      </c>
      <c r="J633" s="4" t="s">
        <v>1719</v>
      </c>
      <c r="K633" s="4" t="s">
        <v>6572</v>
      </c>
      <c r="L633" s="4" t="s">
        <v>6573</v>
      </c>
      <c r="M633" s="4" t="s">
        <v>46</v>
      </c>
      <c r="N633" s="4"/>
      <c r="O633" s="4" t="s">
        <v>174</v>
      </c>
      <c r="P633" s="4" t="s">
        <v>48</v>
      </c>
      <c r="Q633" s="4">
        <v>0</v>
      </c>
      <c r="R633" s="4" t="b">
        <v>0</v>
      </c>
      <c r="S633" s="4" t="s">
        <v>49</v>
      </c>
      <c r="T633" s="4" t="s">
        <v>70</v>
      </c>
      <c r="U633" s="4" t="s">
        <v>71</v>
      </c>
      <c r="V633" s="4" t="s">
        <v>72</v>
      </c>
      <c r="W633" s="4" t="s">
        <v>73</v>
      </c>
      <c r="X633" s="4" t="s">
        <v>54</v>
      </c>
      <c r="Y633" s="4"/>
      <c r="Z633" s="12">
        <v>0</v>
      </c>
      <c r="AA633" s="13" t="s">
        <v>9152</v>
      </c>
      <c r="AB633" s="13" t="s">
        <v>9153</v>
      </c>
      <c r="AC633" s="14" t="s">
        <v>9139</v>
      </c>
      <c r="AD633" s="14" t="s">
        <v>9140</v>
      </c>
      <c r="AE633" s="14" t="s">
        <v>9140</v>
      </c>
      <c r="AF633" s="14" t="s">
        <v>72</v>
      </c>
      <c r="AG633" s="14" t="s">
        <v>54</v>
      </c>
      <c r="AH633" s="15" t="s">
        <v>9220</v>
      </c>
      <c r="AI633" s="15" t="s">
        <v>9191</v>
      </c>
      <c r="AJ633" s="15" t="s">
        <v>9143</v>
      </c>
      <c r="AK633" s="15" t="s">
        <v>9221</v>
      </c>
      <c r="AL633" s="15" t="s">
        <v>9226</v>
      </c>
      <c r="AM633" s="16" t="s">
        <v>9221</v>
      </c>
      <c r="AN633" s="16" t="s">
        <v>9227</v>
      </c>
    </row>
    <row r="634" spans="1:40" x14ac:dyDescent="0.25">
      <c r="A634" s="4" t="s">
        <v>5756</v>
      </c>
      <c r="B634" s="4">
        <v>7342728</v>
      </c>
      <c r="C634" s="4" t="s">
        <v>39</v>
      </c>
      <c r="D634" s="4" t="s">
        <v>5757</v>
      </c>
      <c r="E634" s="4" t="s">
        <v>5758</v>
      </c>
      <c r="F634" s="10">
        <v>45574</v>
      </c>
      <c r="G634" s="11">
        <v>0.48680555555555555</v>
      </c>
      <c r="H634" s="4" t="s">
        <v>4516</v>
      </c>
      <c r="I634" s="4" t="s">
        <v>5754</v>
      </c>
      <c r="J634" s="4" t="s">
        <v>1445</v>
      </c>
      <c r="K634" s="4" t="s">
        <v>5759</v>
      </c>
      <c r="L634" s="4" t="s">
        <v>5760</v>
      </c>
      <c r="M634" s="4" t="s">
        <v>28</v>
      </c>
      <c r="N634" s="4" t="s">
        <v>478</v>
      </c>
      <c r="O634" s="4" t="s">
        <v>174</v>
      </c>
      <c r="P634" s="4" t="s">
        <v>60</v>
      </c>
      <c r="Q634" s="4">
        <v>39</v>
      </c>
      <c r="R634" s="4" t="b">
        <v>0</v>
      </c>
      <c r="S634" s="4" t="s">
        <v>114</v>
      </c>
      <c r="T634" s="4" t="s">
        <v>115</v>
      </c>
      <c r="U634" s="4" t="s">
        <v>148</v>
      </c>
      <c r="V634" s="4" t="s">
        <v>52</v>
      </c>
      <c r="W634" s="4" t="s">
        <v>53</v>
      </c>
      <c r="X634" s="4" t="s">
        <v>54</v>
      </c>
      <c r="Y634" s="4"/>
      <c r="Z634" s="12" t="s">
        <v>60</v>
      </c>
      <c r="AA634" s="13" t="s">
        <v>9152</v>
      </c>
      <c r="AB634" s="13" t="s">
        <v>9153</v>
      </c>
      <c r="AC634" s="14" t="s">
        <v>9157</v>
      </c>
      <c r="AD634" s="14" t="s">
        <v>28</v>
      </c>
      <c r="AE634" s="14" t="s">
        <v>478</v>
      </c>
      <c r="AF634" s="14" t="s">
        <v>52</v>
      </c>
      <c r="AG634" s="14" t="s">
        <v>54</v>
      </c>
      <c r="AH634" s="15" t="s">
        <v>9220</v>
      </c>
      <c r="AI634" s="15" t="s">
        <v>9188</v>
      </c>
      <c r="AJ634" s="15" t="s">
        <v>9143</v>
      </c>
      <c r="AK634" s="15" t="s">
        <v>9221</v>
      </c>
      <c r="AL634" s="15" t="s">
        <v>9232</v>
      </c>
      <c r="AM634" s="16" t="s">
        <v>9221</v>
      </c>
      <c r="AN634" s="16" t="s">
        <v>9233</v>
      </c>
    </row>
    <row r="635" spans="1:40" x14ac:dyDescent="0.25">
      <c r="A635" s="4" t="s">
        <v>4689</v>
      </c>
      <c r="B635" s="4"/>
      <c r="C635" s="4" t="s">
        <v>39</v>
      </c>
      <c r="D635" s="4" t="s">
        <v>4690</v>
      </c>
      <c r="E635" s="4" t="s">
        <v>4691</v>
      </c>
      <c r="F635" s="10">
        <v>45573</v>
      </c>
      <c r="G635" s="11">
        <v>0.65625</v>
      </c>
      <c r="H635" s="4" t="s">
        <v>4659</v>
      </c>
      <c r="I635" s="4" t="s">
        <v>4660</v>
      </c>
      <c r="J635" s="4" t="s">
        <v>4661</v>
      </c>
      <c r="K635" s="4" t="s">
        <v>4692</v>
      </c>
      <c r="L635" s="4" t="s">
        <v>4693</v>
      </c>
      <c r="M635" s="4" t="s">
        <v>46</v>
      </c>
      <c r="N635" s="4"/>
      <c r="O635" s="4" t="s">
        <v>47</v>
      </c>
      <c r="P635" s="4" t="s">
        <v>48</v>
      </c>
      <c r="Q635" s="4">
        <v>0</v>
      </c>
      <c r="R635" s="4" t="b">
        <v>0</v>
      </c>
      <c r="S635" s="4" t="s">
        <v>49</v>
      </c>
      <c r="T635" s="4" t="s">
        <v>50</v>
      </c>
      <c r="U635" s="4" t="s">
        <v>107</v>
      </c>
      <c r="V635" s="4" t="s">
        <v>63</v>
      </c>
      <c r="W635" s="4" t="s">
        <v>108</v>
      </c>
      <c r="X635" s="4" t="s">
        <v>98</v>
      </c>
      <c r="Y635" s="4"/>
      <c r="Z635" s="12">
        <v>0</v>
      </c>
      <c r="AA635" s="13" t="s">
        <v>9152</v>
      </c>
      <c r="AB635" s="13" t="s">
        <v>9153</v>
      </c>
      <c r="AC635" s="14" t="s">
        <v>9139</v>
      </c>
      <c r="AD635" s="14" t="s">
        <v>9140</v>
      </c>
      <c r="AE635" s="14" t="s">
        <v>9140</v>
      </c>
      <c r="AF635" s="14" t="s">
        <v>63</v>
      </c>
      <c r="AG635" s="14" t="s">
        <v>98</v>
      </c>
      <c r="AH635" s="15" t="s">
        <v>9220</v>
      </c>
      <c r="AI635" s="15" t="s">
        <v>9142</v>
      </c>
      <c r="AJ635" s="15" t="s">
        <v>9143</v>
      </c>
      <c r="AK635" s="15" t="s">
        <v>9221</v>
      </c>
      <c r="AL635" s="15" t="s">
        <v>9228</v>
      </c>
      <c r="AM635" s="16" t="s">
        <v>9221</v>
      </c>
      <c r="AN635" s="16" t="s">
        <v>9229</v>
      </c>
    </row>
    <row r="636" spans="1:40" x14ac:dyDescent="0.25">
      <c r="A636" s="4" t="s">
        <v>1589</v>
      </c>
      <c r="B636" s="4"/>
      <c r="C636" s="4" t="s">
        <v>39</v>
      </c>
      <c r="D636" s="4" t="s">
        <v>1590</v>
      </c>
      <c r="E636" s="4" t="s">
        <v>1591</v>
      </c>
      <c r="F636" s="10">
        <v>45573</v>
      </c>
      <c r="G636" s="11">
        <v>0.5</v>
      </c>
      <c r="H636" s="4" t="s">
        <v>1366</v>
      </c>
      <c r="I636" s="4">
        <v>6071</v>
      </c>
      <c r="J636" s="4" t="s">
        <v>1586</v>
      </c>
      <c r="K636" s="4" t="s">
        <v>1245</v>
      </c>
      <c r="L636" s="4" t="s">
        <v>1592</v>
      </c>
      <c r="M636" s="4" t="s">
        <v>28</v>
      </c>
      <c r="N636" s="4" t="s">
        <v>478</v>
      </c>
      <c r="O636" s="4" t="s">
        <v>174</v>
      </c>
      <c r="P636" s="4" t="s">
        <v>48</v>
      </c>
      <c r="Q636" s="4">
        <v>8</v>
      </c>
      <c r="R636" s="4" t="b">
        <v>0</v>
      </c>
      <c r="S636" s="4" t="s">
        <v>61</v>
      </c>
      <c r="T636" s="4" t="s">
        <v>89</v>
      </c>
      <c r="U636" s="4" t="s">
        <v>148</v>
      </c>
      <c r="V636" s="4" t="s">
        <v>52</v>
      </c>
      <c r="W636" s="4" t="s">
        <v>53</v>
      </c>
      <c r="X636" s="4" t="s">
        <v>54</v>
      </c>
      <c r="Y636" s="4"/>
      <c r="Z636" s="12" t="s">
        <v>48</v>
      </c>
      <c r="AA636" s="13" t="s">
        <v>9152</v>
      </c>
      <c r="AB636" s="13" t="s">
        <v>9153</v>
      </c>
      <c r="AC636" s="14" t="s">
        <v>9148</v>
      </c>
      <c r="AD636" s="14" t="s">
        <v>28</v>
      </c>
      <c r="AE636" s="14" t="s">
        <v>478</v>
      </c>
      <c r="AF636" s="14" t="s">
        <v>52</v>
      </c>
      <c r="AG636" s="14" t="s">
        <v>54</v>
      </c>
      <c r="AH636" s="15" t="s">
        <v>9141</v>
      </c>
      <c r="AI636" s="15" t="s">
        <v>9188</v>
      </c>
      <c r="AJ636" s="15" t="s">
        <v>9143</v>
      </c>
      <c r="AK636" s="15" t="s">
        <v>9141</v>
      </c>
      <c r="AL636" s="15" t="s">
        <v>9191</v>
      </c>
      <c r="AM636" s="16" t="s">
        <v>9141</v>
      </c>
      <c r="AN636" s="16" t="s">
        <v>9192</v>
      </c>
    </row>
    <row r="637" spans="1:40" x14ac:dyDescent="0.25">
      <c r="A637" s="4" t="s">
        <v>1759</v>
      </c>
      <c r="B637" s="4"/>
      <c r="C637" s="4" t="s">
        <v>39</v>
      </c>
      <c r="D637" s="4" t="s">
        <v>1760</v>
      </c>
      <c r="E637" s="4" t="s">
        <v>1761</v>
      </c>
      <c r="F637" s="10">
        <v>45573</v>
      </c>
      <c r="G637" s="11">
        <v>0.35416666666666669</v>
      </c>
      <c r="H637" s="4" t="s">
        <v>1654</v>
      </c>
      <c r="I637" s="4">
        <v>9095</v>
      </c>
      <c r="J637" s="4" t="s">
        <v>1742</v>
      </c>
      <c r="K637" s="4" t="s">
        <v>757</v>
      </c>
      <c r="L637" s="4" t="s">
        <v>1762</v>
      </c>
      <c r="M637" s="4" t="s">
        <v>46</v>
      </c>
      <c r="N637" s="4"/>
      <c r="O637" s="4" t="s">
        <v>47</v>
      </c>
      <c r="P637" s="4" t="s">
        <v>48</v>
      </c>
      <c r="Q637" s="4">
        <v>0</v>
      </c>
      <c r="R637" s="4" t="b">
        <v>0</v>
      </c>
      <c r="S637" s="4" t="s">
        <v>61</v>
      </c>
      <c r="T637" s="4" t="s">
        <v>89</v>
      </c>
      <c r="U637" s="4" t="s">
        <v>373</v>
      </c>
      <c r="V637" s="4" t="s">
        <v>52</v>
      </c>
      <c r="W637" s="4" t="s">
        <v>53</v>
      </c>
      <c r="X637" s="4" t="s">
        <v>54</v>
      </c>
      <c r="Y637" s="4"/>
      <c r="Z637" s="12">
        <v>0</v>
      </c>
      <c r="AA637" s="13" t="s">
        <v>9152</v>
      </c>
      <c r="AB637" s="13" t="s">
        <v>9153</v>
      </c>
      <c r="AC637" s="14" t="s">
        <v>9148</v>
      </c>
      <c r="AD637" s="14" t="s">
        <v>9140</v>
      </c>
      <c r="AE637" s="14" t="s">
        <v>9140</v>
      </c>
      <c r="AF637" s="14" t="s">
        <v>52</v>
      </c>
      <c r="AG637" s="14" t="s">
        <v>54</v>
      </c>
      <c r="AH637" s="15" t="s">
        <v>9141</v>
      </c>
      <c r="AI637" s="15" t="s">
        <v>9191</v>
      </c>
      <c r="AJ637" s="15" t="s">
        <v>9143</v>
      </c>
      <c r="AK637" s="15" t="s">
        <v>9141</v>
      </c>
      <c r="AL637" s="15" t="s">
        <v>9191</v>
      </c>
      <c r="AM637" s="16" t="s">
        <v>9141</v>
      </c>
      <c r="AN637" s="16" t="s">
        <v>9192</v>
      </c>
    </row>
    <row r="638" spans="1:40" x14ac:dyDescent="0.25">
      <c r="A638" s="4" t="s">
        <v>6148</v>
      </c>
      <c r="B638" s="4"/>
      <c r="C638" s="4" t="s">
        <v>39</v>
      </c>
      <c r="D638" s="4" t="s">
        <v>6134</v>
      </c>
      <c r="E638" s="4" t="s">
        <v>6135</v>
      </c>
      <c r="F638" s="10">
        <v>45573</v>
      </c>
      <c r="G638" s="11">
        <v>0.57638888888888884</v>
      </c>
      <c r="H638" s="4" t="s">
        <v>5666</v>
      </c>
      <c r="I638" s="4" t="s">
        <v>6136</v>
      </c>
      <c r="J638" s="4" t="s">
        <v>2598</v>
      </c>
      <c r="K638" s="4" t="s">
        <v>6149</v>
      </c>
      <c r="L638" s="4" t="s">
        <v>6150</v>
      </c>
      <c r="M638" s="4" t="s">
        <v>46</v>
      </c>
      <c r="N638" s="4"/>
      <c r="O638" s="4" t="s">
        <v>47</v>
      </c>
      <c r="P638" s="4" t="s">
        <v>60</v>
      </c>
      <c r="Q638" s="4">
        <v>0</v>
      </c>
      <c r="R638" s="4" t="b">
        <v>0</v>
      </c>
      <c r="S638" s="4" t="s">
        <v>49</v>
      </c>
      <c r="T638" s="4" t="s">
        <v>70</v>
      </c>
      <c r="U638" s="4" t="s">
        <v>71</v>
      </c>
      <c r="V638" s="4" t="s">
        <v>72</v>
      </c>
      <c r="W638" s="4" t="s">
        <v>73</v>
      </c>
      <c r="X638" s="4" t="s">
        <v>54</v>
      </c>
      <c r="Y638" s="4"/>
      <c r="Z638" s="12">
        <v>0</v>
      </c>
      <c r="AA638" s="13" t="s">
        <v>9152</v>
      </c>
      <c r="AB638" s="13" t="s">
        <v>9153</v>
      </c>
      <c r="AC638" s="14" t="s">
        <v>9139</v>
      </c>
      <c r="AD638" s="14" t="s">
        <v>9140</v>
      </c>
      <c r="AE638" s="14" t="s">
        <v>9140</v>
      </c>
      <c r="AF638" s="14" t="s">
        <v>72</v>
      </c>
      <c r="AG638" s="14" t="s">
        <v>54</v>
      </c>
      <c r="AH638" s="15" t="s">
        <v>9220</v>
      </c>
      <c r="AI638" s="15" t="s">
        <v>9199</v>
      </c>
      <c r="AJ638" s="15" t="s">
        <v>9143</v>
      </c>
      <c r="AK638" s="15" t="s">
        <v>9221</v>
      </c>
      <c r="AL638" s="15" t="s">
        <v>9199</v>
      </c>
      <c r="AM638" s="16" t="s">
        <v>9221</v>
      </c>
      <c r="AN638" s="16" t="s">
        <v>9238</v>
      </c>
    </row>
    <row r="639" spans="1:40" x14ac:dyDescent="0.25">
      <c r="A639" s="4" t="s">
        <v>1442</v>
      </c>
      <c r="B639" s="4"/>
      <c r="C639" s="4" t="s">
        <v>39</v>
      </c>
      <c r="D639" s="4" t="s">
        <v>1443</v>
      </c>
      <c r="E639" s="4" t="s">
        <v>1444</v>
      </c>
      <c r="F639" s="10">
        <v>45572</v>
      </c>
      <c r="G639" s="11">
        <v>0.66666666666666663</v>
      </c>
      <c r="H639" s="4" t="s">
        <v>1366</v>
      </c>
      <c r="I639" s="4">
        <v>5089</v>
      </c>
      <c r="J639" s="4" t="s">
        <v>1445</v>
      </c>
      <c r="K639" s="4" t="s">
        <v>1446</v>
      </c>
      <c r="L639" s="4" t="s">
        <v>1447</v>
      </c>
      <c r="M639" s="4" t="s">
        <v>46</v>
      </c>
      <c r="N639" s="4"/>
      <c r="O639" s="4" t="s">
        <v>47</v>
      </c>
      <c r="P639" s="4" t="s">
        <v>48</v>
      </c>
      <c r="Q639" s="4">
        <v>0</v>
      </c>
      <c r="R639" s="4" t="b">
        <v>0</v>
      </c>
      <c r="S639" s="4" t="s">
        <v>61</v>
      </c>
      <c r="T639" s="4" t="s">
        <v>89</v>
      </c>
      <c r="U639" s="4" t="s">
        <v>51</v>
      </c>
      <c r="V639" s="4" t="s">
        <v>123</v>
      </c>
      <c r="W639" s="4" t="s">
        <v>124</v>
      </c>
      <c r="X639" s="4" t="s">
        <v>98</v>
      </c>
      <c r="Y639" s="4"/>
      <c r="Z639" s="12">
        <v>0</v>
      </c>
      <c r="AA639" s="13" t="s">
        <v>9152</v>
      </c>
      <c r="AB639" s="13" t="s">
        <v>9153</v>
      </c>
      <c r="AC639" s="14" t="s">
        <v>9148</v>
      </c>
      <c r="AD639" s="14" t="s">
        <v>9140</v>
      </c>
      <c r="AE639" s="14" t="s">
        <v>9140</v>
      </c>
      <c r="AF639" s="14" t="s">
        <v>123</v>
      </c>
      <c r="AG639" s="14" t="s">
        <v>98</v>
      </c>
      <c r="AH639" s="15" t="s">
        <v>9141</v>
      </c>
      <c r="AI639" s="15" t="s">
        <v>9188</v>
      </c>
      <c r="AJ639" s="15" t="s">
        <v>9143</v>
      </c>
      <c r="AK639" s="15" t="s">
        <v>9141</v>
      </c>
      <c r="AL639" s="15" t="s">
        <v>9189</v>
      </c>
      <c r="AM639" s="16" t="s">
        <v>9141</v>
      </c>
      <c r="AN639" s="16" t="s">
        <v>9190</v>
      </c>
    </row>
    <row r="640" spans="1:40" x14ac:dyDescent="0.25">
      <c r="A640" s="4" t="s">
        <v>8113</v>
      </c>
      <c r="B640" s="4"/>
      <c r="C640" s="4" t="s">
        <v>39</v>
      </c>
      <c r="D640" s="4" t="s">
        <v>8114</v>
      </c>
      <c r="E640" s="4" t="s">
        <v>8115</v>
      </c>
      <c r="F640" s="10">
        <v>45572</v>
      </c>
      <c r="G640" s="11">
        <v>0.54166666666666663</v>
      </c>
      <c r="H640" s="4" t="s">
        <v>4019</v>
      </c>
      <c r="I640" s="4" t="s">
        <v>8106</v>
      </c>
      <c r="J640" s="4" t="s">
        <v>8107</v>
      </c>
      <c r="K640" s="4" t="s">
        <v>8116</v>
      </c>
      <c r="L640" s="4" t="s">
        <v>8117</v>
      </c>
      <c r="M640" s="4" t="s">
        <v>46</v>
      </c>
      <c r="N640" s="4"/>
      <c r="O640" s="4" t="s">
        <v>47</v>
      </c>
      <c r="P640" s="4" t="s">
        <v>48</v>
      </c>
      <c r="Q640" s="4">
        <v>0</v>
      </c>
      <c r="R640" s="4" t="b">
        <v>0</v>
      </c>
      <c r="S640" s="4" t="s">
        <v>49</v>
      </c>
      <c r="T640" s="4" t="s">
        <v>70</v>
      </c>
      <c r="U640" s="4" t="s">
        <v>107</v>
      </c>
      <c r="V640" s="4" t="s">
        <v>72</v>
      </c>
      <c r="W640" s="4" t="s">
        <v>73</v>
      </c>
      <c r="X640" s="4" t="s">
        <v>98</v>
      </c>
      <c r="Y640" s="4"/>
      <c r="Z640" s="12">
        <v>0</v>
      </c>
      <c r="AA640" s="13" t="s">
        <v>9152</v>
      </c>
      <c r="AB640" s="13" t="s">
        <v>9153</v>
      </c>
      <c r="AC640" s="14" t="s">
        <v>9139</v>
      </c>
      <c r="AD640" s="14" t="s">
        <v>9140</v>
      </c>
      <c r="AE640" s="14" t="s">
        <v>9140</v>
      </c>
      <c r="AF640" s="14" t="s">
        <v>72</v>
      </c>
      <c r="AG640" s="14" t="s">
        <v>98</v>
      </c>
      <c r="AH640" s="15" t="s">
        <v>9220</v>
      </c>
      <c r="AI640" s="15" t="s">
        <v>9175</v>
      </c>
      <c r="AJ640" s="15" t="s">
        <v>9143</v>
      </c>
      <c r="AK640" s="15" t="s">
        <v>9221</v>
      </c>
      <c r="AL640" s="15" t="s">
        <v>9222</v>
      </c>
      <c r="AM640" s="16" t="s">
        <v>9221</v>
      </c>
      <c r="AN640" s="16" t="s">
        <v>9223</v>
      </c>
    </row>
    <row r="641" spans="1:40" x14ac:dyDescent="0.25">
      <c r="A641" s="4" t="s">
        <v>4833</v>
      </c>
      <c r="B641" s="4"/>
      <c r="C641" s="4" t="s">
        <v>39</v>
      </c>
      <c r="D641" s="4" t="s">
        <v>4834</v>
      </c>
      <c r="E641" s="4" t="s">
        <v>4835</v>
      </c>
      <c r="F641" s="10">
        <v>45571</v>
      </c>
      <c r="G641" s="11">
        <v>0.4826388888888889</v>
      </c>
      <c r="H641" s="4" t="s">
        <v>4019</v>
      </c>
      <c r="I641" s="4" t="s">
        <v>4804</v>
      </c>
      <c r="J641" s="4" t="s">
        <v>756</v>
      </c>
      <c r="K641" s="4" t="s">
        <v>4836</v>
      </c>
      <c r="L641" s="4" t="s">
        <v>4837</v>
      </c>
      <c r="M641" s="4" t="s">
        <v>46</v>
      </c>
      <c r="N641" s="4"/>
      <c r="O641" s="4" t="s">
        <v>47</v>
      </c>
      <c r="P641" s="4" t="s">
        <v>48</v>
      </c>
      <c r="Q641" s="4">
        <v>0</v>
      </c>
      <c r="R641" s="4" t="b">
        <v>0</v>
      </c>
      <c r="S641" s="4" t="s">
        <v>61</v>
      </c>
      <c r="T641" s="4" t="s">
        <v>50</v>
      </c>
      <c r="U641" s="4" t="s">
        <v>165</v>
      </c>
      <c r="V641" s="4" t="s">
        <v>72</v>
      </c>
      <c r="W641" s="4" t="s">
        <v>73</v>
      </c>
      <c r="X641" s="4" t="s">
        <v>54</v>
      </c>
      <c r="Y641" s="4"/>
      <c r="Z641" s="12">
        <v>0</v>
      </c>
      <c r="AA641" s="13" t="s">
        <v>9152</v>
      </c>
      <c r="AB641" s="13" t="s">
        <v>9153</v>
      </c>
      <c r="AC641" s="14" t="s">
        <v>9148</v>
      </c>
      <c r="AD641" s="14" t="s">
        <v>9140</v>
      </c>
      <c r="AE641" s="14" t="s">
        <v>9140</v>
      </c>
      <c r="AF641" s="14" t="s">
        <v>72</v>
      </c>
      <c r="AG641" s="14" t="s">
        <v>54</v>
      </c>
      <c r="AH641" s="15" t="s">
        <v>9220</v>
      </c>
      <c r="AI641" s="15" t="s">
        <v>9175</v>
      </c>
      <c r="AJ641" s="15" t="s">
        <v>9143</v>
      </c>
      <c r="AK641" s="15" t="s">
        <v>9221</v>
      </c>
      <c r="AL641" s="15" t="s">
        <v>9222</v>
      </c>
      <c r="AM641" s="16" t="s">
        <v>9221</v>
      </c>
      <c r="AN641" s="16" t="s">
        <v>9223</v>
      </c>
    </row>
    <row r="642" spans="1:40" x14ac:dyDescent="0.25">
      <c r="A642" s="4" t="s">
        <v>2869</v>
      </c>
      <c r="B642" s="4"/>
      <c r="C642" s="4" t="s">
        <v>39</v>
      </c>
      <c r="D642" s="4" t="s">
        <v>2865</v>
      </c>
      <c r="E642" s="4" t="s">
        <v>2866</v>
      </c>
      <c r="F642" s="10">
        <v>45571</v>
      </c>
      <c r="G642" s="11">
        <v>0.61041666666666672</v>
      </c>
      <c r="H642" s="4" t="s">
        <v>2168</v>
      </c>
      <c r="I642" s="4" t="s">
        <v>2861</v>
      </c>
      <c r="J642" s="4" t="s">
        <v>2862</v>
      </c>
      <c r="K642" s="4" t="s">
        <v>2870</v>
      </c>
      <c r="L642" s="4" t="s">
        <v>2871</v>
      </c>
      <c r="M642" s="4" t="s">
        <v>46</v>
      </c>
      <c r="N642" s="4"/>
      <c r="O642" s="4" t="s">
        <v>47</v>
      </c>
      <c r="P642" s="4" t="s">
        <v>48</v>
      </c>
      <c r="Q642" s="4">
        <v>0</v>
      </c>
      <c r="R642" s="4" t="b">
        <v>0</v>
      </c>
      <c r="S642" s="4" t="s">
        <v>61</v>
      </c>
      <c r="T642" s="4" t="s">
        <v>50</v>
      </c>
      <c r="U642" s="4" t="s">
        <v>224</v>
      </c>
      <c r="V642" s="4" t="s">
        <v>72</v>
      </c>
      <c r="W642" s="4" t="s">
        <v>73</v>
      </c>
      <c r="X642" s="4" t="s">
        <v>98</v>
      </c>
      <c r="Y642" s="4" t="s">
        <v>323</v>
      </c>
      <c r="Z642" s="12">
        <v>0</v>
      </c>
      <c r="AA642" s="13" t="s">
        <v>9152</v>
      </c>
      <c r="AB642" s="13" t="s">
        <v>9153</v>
      </c>
      <c r="AC642" s="14" t="s">
        <v>9148</v>
      </c>
      <c r="AD642" s="14" t="s">
        <v>9140</v>
      </c>
      <c r="AE642" s="14" t="s">
        <v>9140</v>
      </c>
      <c r="AF642" s="14" t="s">
        <v>72</v>
      </c>
      <c r="AG642" s="14" t="s">
        <v>98</v>
      </c>
      <c r="AH642" s="15" t="s">
        <v>9194</v>
      </c>
      <c r="AI642" s="15" t="s">
        <v>9142</v>
      </c>
      <c r="AJ642" s="15" t="s">
        <v>9143</v>
      </c>
      <c r="AK642" s="15" t="s">
        <v>9194</v>
      </c>
      <c r="AL642" s="15" t="s">
        <v>9207</v>
      </c>
      <c r="AM642" s="16" t="s">
        <v>9194</v>
      </c>
      <c r="AN642" s="16" t="s">
        <v>9208</v>
      </c>
    </row>
    <row r="643" spans="1:40" x14ac:dyDescent="0.25">
      <c r="A643" s="4" t="s">
        <v>3829</v>
      </c>
      <c r="B643" s="4"/>
      <c r="C643" s="4" t="s">
        <v>39</v>
      </c>
      <c r="D643" s="4" t="s">
        <v>3830</v>
      </c>
      <c r="E643" s="4" t="s">
        <v>3831</v>
      </c>
      <c r="F643" s="10">
        <v>45570</v>
      </c>
      <c r="G643" s="11">
        <v>0.5</v>
      </c>
      <c r="H643" s="4" t="s">
        <v>2017</v>
      </c>
      <c r="I643" s="4" t="s">
        <v>3832</v>
      </c>
      <c r="J643" s="4" t="s">
        <v>3833</v>
      </c>
      <c r="K643" s="4" t="s">
        <v>3834</v>
      </c>
      <c r="L643" s="4" t="s">
        <v>3835</v>
      </c>
      <c r="M643" s="4" t="s">
        <v>46</v>
      </c>
      <c r="N643" s="4"/>
      <c r="O643" s="4" t="s">
        <v>47</v>
      </c>
      <c r="P643" s="4" t="s">
        <v>48</v>
      </c>
      <c r="Q643" s="4">
        <v>0</v>
      </c>
      <c r="R643" s="4" t="b">
        <v>0</v>
      </c>
      <c r="S643" s="4" t="s">
        <v>49</v>
      </c>
      <c r="T643" s="4" t="s">
        <v>50</v>
      </c>
      <c r="U643" s="4" t="s">
        <v>887</v>
      </c>
      <c r="V643" s="4" t="s">
        <v>123</v>
      </c>
      <c r="W643" s="4" t="s">
        <v>124</v>
      </c>
      <c r="X643" s="4" t="s">
        <v>54</v>
      </c>
      <c r="Y643" s="4"/>
      <c r="Z643" s="12">
        <v>0</v>
      </c>
      <c r="AA643" s="13" t="s">
        <v>9152</v>
      </c>
      <c r="AB643" s="13" t="s">
        <v>9153</v>
      </c>
      <c r="AC643" s="14" t="s">
        <v>9139</v>
      </c>
      <c r="AD643" s="14" t="s">
        <v>9140</v>
      </c>
      <c r="AE643" s="14" t="s">
        <v>9140</v>
      </c>
      <c r="AF643" s="14" t="s">
        <v>123</v>
      </c>
      <c r="AG643" s="14" t="s">
        <v>54</v>
      </c>
      <c r="AH643" s="15" t="s">
        <v>9194</v>
      </c>
      <c r="AI643" s="15" t="s">
        <v>9199</v>
      </c>
      <c r="AJ643" s="15" t="s">
        <v>9143</v>
      </c>
      <c r="AK643" s="15" t="s">
        <v>9194</v>
      </c>
      <c r="AL643" s="15" t="s">
        <v>9199</v>
      </c>
      <c r="AM643" s="16" t="s">
        <v>9194</v>
      </c>
      <c r="AN643" s="16" t="s">
        <v>9200</v>
      </c>
    </row>
    <row r="644" spans="1:40" x14ac:dyDescent="0.25">
      <c r="A644" s="4" t="s">
        <v>1034</v>
      </c>
      <c r="B644" s="4">
        <v>12240034195</v>
      </c>
      <c r="C644" s="4" t="s">
        <v>39</v>
      </c>
      <c r="D644" s="4" t="s">
        <v>1035</v>
      </c>
      <c r="E644" s="4" t="s">
        <v>1036</v>
      </c>
      <c r="F644" s="10">
        <v>45569</v>
      </c>
      <c r="G644" s="11">
        <v>0.52083333333333337</v>
      </c>
      <c r="H644" s="4" t="s">
        <v>463</v>
      </c>
      <c r="I644" s="4">
        <v>2045</v>
      </c>
      <c r="J644" s="4" t="s">
        <v>1037</v>
      </c>
      <c r="K644" s="4" t="s">
        <v>1038</v>
      </c>
      <c r="L644" s="4" t="s">
        <v>1039</v>
      </c>
      <c r="M644" s="4" t="s">
        <v>28</v>
      </c>
      <c r="N644" s="4" t="s">
        <v>183</v>
      </c>
      <c r="O644" s="4" t="s">
        <v>174</v>
      </c>
      <c r="P644" s="4" t="s">
        <v>48</v>
      </c>
      <c r="Q644" s="4">
        <v>14</v>
      </c>
      <c r="R644" s="4" t="b">
        <v>0</v>
      </c>
      <c r="S644" s="4" t="s">
        <v>114</v>
      </c>
      <c r="T644" s="4" t="s">
        <v>89</v>
      </c>
      <c r="U644" s="4" t="s">
        <v>175</v>
      </c>
      <c r="V644" s="4" t="s">
        <v>63</v>
      </c>
      <c r="W644" s="4" t="s">
        <v>108</v>
      </c>
      <c r="X644" s="4" t="s">
        <v>98</v>
      </c>
      <c r="Y644" s="4"/>
      <c r="Z644" s="12" t="s">
        <v>48</v>
      </c>
      <c r="AA644" s="13" t="s">
        <v>9152</v>
      </c>
      <c r="AB644" s="13" t="s">
        <v>9153</v>
      </c>
      <c r="AC644" s="14" t="s">
        <v>9157</v>
      </c>
      <c r="AD644" s="14" t="s">
        <v>28</v>
      </c>
      <c r="AE644" s="14" t="s">
        <v>183</v>
      </c>
      <c r="AF644" s="14" t="s">
        <v>63</v>
      </c>
      <c r="AG644" s="14" t="s">
        <v>98</v>
      </c>
      <c r="AH644" s="15" t="s">
        <v>9141</v>
      </c>
      <c r="AI644" s="15" t="s">
        <v>9175</v>
      </c>
      <c r="AJ644" s="15" t="s">
        <v>9143</v>
      </c>
      <c r="AK644" s="15" t="s">
        <v>9141</v>
      </c>
      <c r="AL644" s="15" t="s">
        <v>9175</v>
      </c>
      <c r="AM644" s="16" t="s">
        <v>9141</v>
      </c>
      <c r="AN644" s="16" t="s">
        <v>9176</v>
      </c>
    </row>
    <row r="645" spans="1:40" x14ac:dyDescent="0.25">
      <c r="A645" s="4" t="s">
        <v>1012</v>
      </c>
      <c r="B645" s="4"/>
      <c r="C645" s="4" t="s">
        <v>39</v>
      </c>
      <c r="D645" s="4" t="s">
        <v>1013</v>
      </c>
      <c r="E645" s="4" t="s">
        <v>1014</v>
      </c>
      <c r="F645" s="10">
        <v>45569</v>
      </c>
      <c r="G645" s="11">
        <v>0.35416666666666669</v>
      </c>
      <c r="H645" s="4" t="s">
        <v>463</v>
      </c>
      <c r="I645" s="4">
        <v>2042</v>
      </c>
      <c r="J645" s="4" t="s">
        <v>1015</v>
      </c>
      <c r="K645" s="4" t="s">
        <v>1016</v>
      </c>
      <c r="L645" s="4" t="s">
        <v>1017</v>
      </c>
      <c r="M645" s="4" t="s">
        <v>46</v>
      </c>
      <c r="N645" s="4"/>
      <c r="O645" s="4" t="s">
        <v>47</v>
      </c>
      <c r="P645" s="4" t="s">
        <v>48</v>
      </c>
      <c r="Q645" s="4">
        <v>0</v>
      </c>
      <c r="R645" s="4" t="b">
        <v>0</v>
      </c>
      <c r="S645" s="4" t="s">
        <v>49</v>
      </c>
      <c r="T645" s="4" t="s">
        <v>89</v>
      </c>
      <c r="U645" s="4" t="s">
        <v>148</v>
      </c>
      <c r="V645" s="4" t="s">
        <v>123</v>
      </c>
      <c r="W645" s="4" t="s">
        <v>124</v>
      </c>
      <c r="X645" s="4" t="s">
        <v>1018</v>
      </c>
      <c r="Y645" s="4"/>
      <c r="Z645" s="12">
        <v>0</v>
      </c>
      <c r="AA645" s="13" t="s">
        <v>9152</v>
      </c>
      <c r="AB645" s="13" t="s">
        <v>9153</v>
      </c>
      <c r="AC645" s="14" t="s">
        <v>9139</v>
      </c>
      <c r="AD645" s="14" t="s">
        <v>9140</v>
      </c>
      <c r="AE645" s="14" t="s">
        <v>9140</v>
      </c>
      <c r="AF645" s="14" t="s">
        <v>123</v>
      </c>
      <c r="AG645" s="14" t="s">
        <v>1018</v>
      </c>
      <c r="AH645" s="15" t="s">
        <v>9141</v>
      </c>
      <c r="AI645" s="15" t="s">
        <v>9175</v>
      </c>
      <c r="AJ645" s="15" t="s">
        <v>9143</v>
      </c>
      <c r="AK645" s="15" t="s">
        <v>9141</v>
      </c>
      <c r="AL645" s="15" t="s">
        <v>9175</v>
      </c>
      <c r="AM645" s="16" t="s">
        <v>9141</v>
      </c>
      <c r="AN645" s="16" t="s">
        <v>9176</v>
      </c>
    </row>
    <row r="646" spans="1:40" x14ac:dyDescent="0.25">
      <c r="A646" s="4" t="s">
        <v>8038</v>
      </c>
      <c r="B646" s="4"/>
      <c r="C646" s="4" t="s">
        <v>39</v>
      </c>
      <c r="D646" s="4" t="s">
        <v>8030</v>
      </c>
      <c r="E646" s="4" t="s">
        <v>8031</v>
      </c>
      <c r="F646" s="10">
        <v>45569</v>
      </c>
      <c r="G646" s="11">
        <v>0.56944444444444442</v>
      </c>
      <c r="H646" s="4" t="s">
        <v>4910</v>
      </c>
      <c r="I646" s="4" t="s">
        <v>8017</v>
      </c>
      <c r="J646" s="4" t="s">
        <v>8018</v>
      </c>
      <c r="K646" s="4" t="s">
        <v>8039</v>
      </c>
      <c r="L646" s="4" t="s">
        <v>8040</v>
      </c>
      <c r="M646" s="4" t="s">
        <v>46</v>
      </c>
      <c r="N646" s="4"/>
      <c r="O646" s="4" t="s">
        <v>47</v>
      </c>
      <c r="P646" s="4" t="s">
        <v>48</v>
      </c>
      <c r="Q646" s="4">
        <v>0</v>
      </c>
      <c r="R646" s="4" t="b">
        <v>0</v>
      </c>
      <c r="S646" s="4" t="s">
        <v>49</v>
      </c>
      <c r="T646" s="4" t="s">
        <v>70</v>
      </c>
      <c r="U646" s="4" t="s">
        <v>71</v>
      </c>
      <c r="V646" s="4" t="s">
        <v>72</v>
      </c>
      <c r="W646" s="4" t="s">
        <v>73</v>
      </c>
      <c r="X646" s="4" t="s">
        <v>54</v>
      </c>
      <c r="Y646" s="4"/>
      <c r="Z646" s="12">
        <v>0</v>
      </c>
      <c r="AA646" s="13" t="s">
        <v>9152</v>
      </c>
      <c r="AB646" s="13" t="s">
        <v>9153</v>
      </c>
      <c r="AC646" s="14" t="s">
        <v>9139</v>
      </c>
      <c r="AD646" s="14" t="s">
        <v>9140</v>
      </c>
      <c r="AE646" s="14" t="s">
        <v>9140</v>
      </c>
      <c r="AF646" s="14" t="s">
        <v>72</v>
      </c>
      <c r="AG646" s="14" t="s">
        <v>54</v>
      </c>
      <c r="AH646" s="15" t="s">
        <v>9220</v>
      </c>
      <c r="AI646" s="15" t="s">
        <v>9191</v>
      </c>
      <c r="AJ646" s="15" t="s">
        <v>9143</v>
      </c>
      <c r="AK646" s="15" t="s">
        <v>9221</v>
      </c>
      <c r="AL646" s="15" t="s">
        <v>9234</v>
      </c>
      <c r="AM646" s="16" t="s">
        <v>9221</v>
      </c>
      <c r="AN646" s="16" t="s">
        <v>9235</v>
      </c>
    </row>
    <row r="647" spans="1:40" x14ac:dyDescent="0.25">
      <c r="A647" s="4" t="s">
        <v>4354</v>
      </c>
      <c r="B647" s="4">
        <v>12240034849</v>
      </c>
      <c r="C647" s="4" t="s">
        <v>39</v>
      </c>
      <c r="D647" s="4" t="s">
        <v>4355</v>
      </c>
      <c r="E647" s="4" t="s">
        <v>4356</v>
      </c>
      <c r="F647" s="10">
        <v>45568</v>
      </c>
      <c r="G647" s="11">
        <v>0.46250000000000002</v>
      </c>
      <c r="H647" s="4" t="s">
        <v>4019</v>
      </c>
      <c r="I647" s="4" t="s">
        <v>4304</v>
      </c>
      <c r="J647" s="4" t="s">
        <v>1941</v>
      </c>
      <c r="K647" s="4" t="s">
        <v>4357</v>
      </c>
      <c r="L647" s="4" t="s">
        <v>4358</v>
      </c>
      <c r="M647" s="4" t="s">
        <v>28</v>
      </c>
      <c r="N647" s="4" t="s">
        <v>183</v>
      </c>
      <c r="O647" s="4" t="s">
        <v>174</v>
      </c>
      <c r="P647" s="4" t="s">
        <v>48</v>
      </c>
      <c r="Q647" s="4">
        <v>15</v>
      </c>
      <c r="R647" s="4" t="b">
        <v>0</v>
      </c>
      <c r="S647" s="4" t="s">
        <v>49</v>
      </c>
      <c r="T647" s="4" t="s">
        <v>583</v>
      </c>
      <c r="U647" s="4" t="s">
        <v>650</v>
      </c>
      <c r="V647" s="4" t="s">
        <v>123</v>
      </c>
      <c r="W647" s="4" t="s">
        <v>192</v>
      </c>
      <c r="X647" s="4" t="s">
        <v>54</v>
      </c>
      <c r="Y647" s="4" t="s">
        <v>302</v>
      </c>
      <c r="Z647" s="12" t="s">
        <v>48</v>
      </c>
      <c r="AA647" s="13" t="s">
        <v>9152</v>
      </c>
      <c r="AB647" s="13" t="s">
        <v>9153</v>
      </c>
      <c r="AC647" s="14" t="s">
        <v>9139</v>
      </c>
      <c r="AD647" s="14" t="s">
        <v>28</v>
      </c>
      <c r="AE647" s="14" t="s">
        <v>183</v>
      </c>
      <c r="AF647" s="14" t="s">
        <v>123</v>
      </c>
      <c r="AG647" s="14" t="s">
        <v>54</v>
      </c>
      <c r="AH647" s="15" t="s">
        <v>9220</v>
      </c>
      <c r="AI647" s="15" t="s">
        <v>9175</v>
      </c>
      <c r="AJ647" s="15" t="s">
        <v>9143</v>
      </c>
      <c r="AK647" s="15" t="s">
        <v>9221</v>
      </c>
      <c r="AL647" s="15" t="s">
        <v>9222</v>
      </c>
      <c r="AM647" s="16" t="s">
        <v>9221</v>
      </c>
      <c r="AN647" s="16" t="s">
        <v>9223</v>
      </c>
    </row>
    <row r="648" spans="1:40" x14ac:dyDescent="0.25">
      <c r="A648" s="4" t="s">
        <v>166</v>
      </c>
      <c r="B648" s="4" t="s">
        <v>167</v>
      </c>
      <c r="C648" s="4" t="s">
        <v>39</v>
      </c>
      <c r="D648" s="4" t="s">
        <v>168</v>
      </c>
      <c r="E648" s="4" t="s">
        <v>169</v>
      </c>
      <c r="F648" s="10">
        <v>45568</v>
      </c>
      <c r="G648" s="11">
        <v>0.58333333333333337</v>
      </c>
      <c r="H648" s="4" t="s">
        <v>42</v>
      </c>
      <c r="I648" s="4">
        <v>1008</v>
      </c>
      <c r="J648" s="4" t="s">
        <v>170</v>
      </c>
      <c r="K648" s="4" t="s">
        <v>171</v>
      </c>
      <c r="L648" s="4" t="s">
        <v>172</v>
      </c>
      <c r="M648" s="4" t="s">
        <v>28</v>
      </c>
      <c r="N648" s="4" t="s">
        <v>173</v>
      </c>
      <c r="O648" s="4" t="s">
        <v>174</v>
      </c>
      <c r="P648" s="4" t="s">
        <v>60</v>
      </c>
      <c r="Q648" s="4">
        <v>12</v>
      </c>
      <c r="R648" s="4" t="b">
        <v>0</v>
      </c>
      <c r="S648" s="4" t="s">
        <v>114</v>
      </c>
      <c r="T648" s="4" t="s">
        <v>89</v>
      </c>
      <c r="U648" s="4" t="s">
        <v>175</v>
      </c>
      <c r="V648" s="4" t="s">
        <v>63</v>
      </c>
      <c r="W648" s="4" t="s">
        <v>108</v>
      </c>
      <c r="X648" s="4" t="s">
        <v>98</v>
      </c>
      <c r="Y648" s="4" t="s">
        <v>176</v>
      </c>
      <c r="Z648" s="12" t="s">
        <v>60</v>
      </c>
      <c r="AA648" s="13" t="s">
        <v>9152</v>
      </c>
      <c r="AB648" s="13" t="s">
        <v>9153</v>
      </c>
      <c r="AC648" s="14" t="s">
        <v>9157</v>
      </c>
      <c r="AD648" s="14" t="s">
        <v>28</v>
      </c>
      <c r="AE648" s="14" t="s">
        <v>9140</v>
      </c>
      <c r="AF648" s="14" t="s">
        <v>63</v>
      </c>
      <c r="AG648" s="14" t="s">
        <v>98</v>
      </c>
      <c r="AH648" s="15" t="s">
        <v>9141</v>
      </c>
      <c r="AI648" s="15" t="s">
        <v>9142</v>
      </c>
      <c r="AJ648" s="15" t="s">
        <v>9143</v>
      </c>
      <c r="AK648" s="15" t="s">
        <v>9141</v>
      </c>
      <c r="AL648" s="15" t="s">
        <v>9144</v>
      </c>
      <c r="AM648" s="16" t="s">
        <v>9141</v>
      </c>
      <c r="AN648" s="16" t="s">
        <v>9145</v>
      </c>
    </row>
    <row r="649" spans="1:40" x14ac:dyDescent="0.25">
      <c r="A649" s="4" t="s">
        <v>2731</v>
      </c>
      <c r="B649" s="4"/>
      <c r="C649" s="4" t="s">
        <v>39</v>
      </c>
      <c r="D649" s="4" t="s">
        <v>2732</v>
      </c>
      <c r="E649" s="4" t="s">
        <v>2733</v>
      </c>
      <c r="F649" s="10">
        <v>45568</v>
      </c>
      <c r="G649" s="11">
        <v>0.50694444444444442</v>
      </c>
      <c r="H649" s="4" t="s">
        <v>2227</v>
      </c>
      <c r="I649" s="4" t="s">
        <v>2715</v>
      </c>
      <c r="J649" s="4" t="s">
        <v>1200</v>
      </c>
      <c r="K649" s="4" t="s">
        <v>2734</v>
      </c>
      <c r="L649" s="4" t="s">
        <v>2735</v>
      </c>
      <c r="M649" s="4" t="s">
        <v>46</v>
      </c>
      <c r="N649" s="4"/>
      <c r="O649" s="4" t="s">
        <v>47</v>
      </c>
      <c r="P649" s="4" t="s">
        <v>48</v>
      </c>
      <c r="Q649" s="4">
        <v>0</v>
      </c>
      <c r="R649" s="4" t="b">
        <v>0</v>
      </c>
      <c r="S649" s="4" t="s">
        <v>114</v>
      </c>
      <c r="T649" s="4" t="s">
        <v>583</v>
      </c>
      <c r="U649" s="4" t="s">
        <v>51</v>
      </c>
      <c r="V649" s="4" t="s">
        <v>123</v>
      </c>
      <c r="W649" s="4" t="s">
        <v>149</v>
      </c>
      <c r="X649" s="4" t="s">
        <v>54</v>
      </c>
      <c r="Y649" s="4"/>
      <c r="Z649" s="12">
        <v>0</v>
      </c>
      <c r="AA649" s="13" t="s">
        <v>9152</v>
      </c>
      <c r="AB649" s="13" t="s">
        <v>9153</v>
      </c>
      <c r="AC649" s="14" t="s">
        <v>9157</v>
      </c>
      <c r="AD649" s="14" t="s">
        <v>9140</v>
      </c>
      <c r="AE649" s="14" t="s">
        <v>9140</v>
      </c>
      <c r="AF649" s="14" t="s">
        <v>123</v>
      </c>
      <c r="AG649" s="14" t="s">
        <v>54</v>
      </c>
      <c r="AH649" s="15" t="s">
        <v>9194</v>
      </c>
      <c r="AI649" s="15" t="s">
        <v>9187</v>
      </c>
      <c r="AJ649" s="15" t="s">
        <v>9143</v>
      </c>
      <c r="AK649" s="15" t="s">
        <v>9194</v>
      </c>
      <c r="AL649" s="15" t="s">
        <v>9209</v>
      </c>
      <c r="AM649" s="16" t="s">
        <v>9194</v>
      </c>
      <c r="AN649" s="16" t="s">
        <v>9210</v>
      </c>
    </row>
    <row r="650" spans="1:40" x14ac:dyDescent="0.25">
      <c r="A650" s="4" t="s">
        <v>2790</v>
      </c>
      <c r="B650" s="4">
        <v>7333230</v>
      </c>
      <c r="C650" s="4" t="s">
        <v>39</v>
      </c>
      <c r="D650" s="4" t="s">
        <v>2791</v>
      </c>
      <c r="E650" s="4" t="s">
        <v>2792</v>
      </c>
      <c r="F650" s="10">
        <v>45567</v>
      </c>
      <c r="G650" s="11">
        <v>0.47916666666666669</v>
      </c>
      <c r="H650" s="4" t="s">
        <v>2095</v>
      </c>
      <c r="I650" s="4" t="s">
        <v>2777</v>
      </c>
      <c r="J650" s="4" t="s">
        <v>1406</v>
      </c>
      <c r="K650" s="4" t="s">
        <v>321</v>
      </c>
      <c r="L650" s="4" t="s">
        <v>2793</v>
      </c>
      <c r="M650" s="4" t="s">
        <v>28</v>
      </c>
      <c r="N650" s="4" t="s">
        <v>478</v>
      </c>
      <c r="O650" s="4" t="s">
        <v>174</v>
      </c>
      <c r="P650" s="4" t="s">
        <v>48</v>
      </c>
      <c r="Q650" s="4">
        <v>0</v>
      </c>
      <c r="R650" s="4" t="b">
        <v>0</v>
      </c>
      <c r="S650" s="4" t="s">
        <v>114</v>
      </c>
      <c r="T650" s="4" t="s">
        <v>583</v>
      </c>
      <c r="U650" s="4" t="s">
        <v>148</v>
      </c>
      <c r="V650" s="4" t="s">
        <v>52</v>
      </c>
      <c r="W650" s="4" t="s">
        <v>255</v>
      </c>
      <c r="X650" s="4" t="s">
        <v>54</v>
      </c>
      <c r="Y650" s="4"/>
      <c r="Z650" s="12" t="s">
        <v>48</v>
      </c>
      <c r="AA650" s="13" t="s">
        <v>9152</v>
      </c>
      <c r="AB650" s="13" t="s">
        <v>9153</v>
      </c>
      <c r="AC650" s="14" t="s">
        <v>9157</v>
      </c>
      <c r="AD650" s="14" t="s">
        <v>28</v>
      </c>
      <c r="AE650" s="14" t="s">
        <v>478</v>
      </c>
      <c r="AF650" s="14" t="s">
        <v>52</v>
      </c>
      <c r="AG650" s="14" t="s">
        <v>54</v>
      </c>
      <c r="AH650" s="15" t="s">
        <v>9194</v>
      </c>
      <c r="AI650" s="15" t="s">
        <v>9188</v>
      </c>
      <c r="AJ650" s="15" t="s">
        <v>9143</v>
      </c>
      <c r="AK650" s="15" t="s">
        <v>9194</v>
      </c>
      <c r="AL650" s="15" t="s">
        <v>9211</v>
      </c>
      <c r="AM650" s="16" t="s">
        <v>9194</v>
      </c>
      <c r="AN650" s="16" t="s">
        <v>9212</v>
      </c>
    </row>
    <row r="651" spans="1:40" x14ac:dyDescent="0.25">
      <c r="A651" s="4" t="s">
        <v>8137</v>
      </c>
      <c r="B651" s="4"/>
      <c r="C651" s="4" t="s">
        <v>39</v>
      </c>
      <c r="D651" s="4" t="s">
        <v>8131</v>
      </c>
      <c r="E651" s="4" t="s">
        <v>8132</v>
      </c>
      <c r="F651" s="10">
        <v>45567</v>
      </c>
      <c r="G651" s="11">
        <v>0.66666666666666663</v>
      </c>
      <c r="H651" s="4" t="s">
        <v>4516</v>
      </c>
      <c r="I651" s="4" t="s">
        <v>8133</v>
      </c>
      <c r="J651" s="4" t="s">
        <v>8134</v>
      </c>
      <c r="K651" s="4" t="s">
        <v>8138</v>
      </c>
      <c r="L651" s="4" t="s">
        <v>8139</v>
      </c>
      <c r="M651" s="4" t="s">
        <v>46</v>
      </c>
      <c r="N651" s="4"/>
      <c r="O651" s="4" t="s">
        <v>47</v>
      </c>
      <c r="P651" s="4" t="s">
        <v>48</v>
      </c>
      <c r="Q651" s="4">
        <v>0</v>
      </c>
      <c r="R651" s="4" t="b">
        <v>0</v>
      </c>
      <c r="S651" s="4" t="s">
        <v>49</v>
      </c>
      <c r="T651" s="4" t="s">
        <v>70</v>
      </c>
      <c r="U651" s="4" t="s">
        <v>71</v>
      </c>
      <c r="V651" s="4" t="s">
        <v>72</v>
      </c>
      <c r="W651" s="4" t="s">
        <v>73</v>
      </c>
      <c r="X651" s="4" t="s">
        <v>54</v>
      </c>
      <c r="Y651" s="4"/>
      <c r="Z651" s="12">
        <v>0</v>
      </c>
      <c r="AA651" s="13" t="s">
        <v>9152</v>
      </c>
      <c r="AB651" s="13" t="s">
        <v>9153</v>
      </c>
      <c r="AC651" s="14" t="s">
        <v>9139</v>
      </c>
      <c r="AD651" s="14" t="s">
        <v>9140</v>
      </c>
      <c r="AE651" s="14" t="s">
        <v>9140</v>
      </c>
      <c r="AF651" s="14" t="s">
        <v>72</v>
      </c>
      <c r="AG651" s="14" t="s">
        <v>54</v>
      </c>
      <c r="AH651" s="15" t="s">
        <v>9220</v>
      </c>
      <c r="AI651" s="15" t="s">
        <v>9188</v>
      </c>
      <c r="AJ651" s="15" t="s">
        <v>9143</v>
      </c>
      <c r="AK651" s="15" t="s">
        <v>9221</v>
      </c>
      <c r="AL651" s="15" t="s">
        <v>9230</v>
      </c>
      <c r="AM651" s="16" t="s">
        <v>9221</v>
      </c>
      <c r="AN651" s="16" t="s">
        <v>9231</v>
      </c>
    </row>
    <row r="652" spans="1:40" x14ac:dyDescent="0.25">
      <c r="A652" s="4" t="s">
        <v>4614</v>
      </c>
      <c r="B652" s="4">
        <v>7282262</v>
      </c>
      <c r="C652" s="4" t="s">
        <v>39</v>
      </c>
      <c r="D652" s="4" t="s">
        <v>4604</v>
      </c>
      <c r="E652" s="4" t="s">
        <v>4605</v>
      </c>
      <c r="F652" s="10">
        <v>45567</v>
      </c>
      <c r="G652" s="11">
        <v>0.82638888888888884</v>
      </c>
      <c r="H652" s="4" t="s">
        <v>4516</v>
      </c>
      <c r="I652" s="4" t="s">
        <v>4586</v>
      </c>
      <c r="J652" s="4" t="s">
        <v>2630</v>
      </c>
      <c r="K652" s="4" t="s">
        <v>4615</v>
      </c>
      <c r="L652" s="4" t="s">
        <v>4616</v>
      </c>
      <c r="M652" s="4" t="s">
        <v>28</v>
      </c>
      <c r="N652" s="4" t="s">
        <v>478</v>
      </c>
      <c r="O652" s="4" t="s">
        <v>47</v>
      </c>
      <c r="P652" s="4" t="s">
        <v>48</v>
      </c>
      <c r="Q652" s="4">
        <v>0</v>
      </c>
      <c r="R652" s="4" t="b">
        <v>0</v>
      </c>
      <c r="S652" s="4" t="s">
        <v>61</v>
      </c>
      <c r="T652" s="4" t="s">
        <v>583</v>
      </c>
      <c r="U652" s="4" t="s">
        <v>140</v>
      </c>
      <c r="V652" s="4" t="s">
        <v>123</v>
      </c>
      <c r="W652" s="4" t="s">
        <v>192</v>
      </c>
      <c r="X652" s="4" t="s">
        <v>54</v>
      </c>
      <c r="Y652" s="4" t="s">
        <v>302</v>
      </c>
      <c r="Z652" s="12" t="s">
        <v>48</v>
      </c>
      <c r="AA652" s="13" t="s">
        <v>9152</v>
      </c>
      <c r="AB652" s="13" t="s">
        <v>9153</v>
      </c>
      <c r="AC652" s="14" t="s">
        <v>9148</v>
      </c>
      <c r="AD652" s="14" t="s">
        <v>28</v>
      </c>
      <c r="AE652" s="14" t="s">
        <v>478</v>
      </c>
      <c r="AF652" s="14" t="s">
        <v>123</v>
      </c>
      <c r="AG652" s="14" t="s">
        <v>54</v>
      </c>
      <c r="AH652" s="15" t="s">
        <v>9220</v>
      </c>
      <c r="AI652" s="15" t="s">
        <v>9188</v>
      </c>
      <c r="AJ652" s="15" t="s">
        <v>9143</v>
      </c>
      <c r="AK652" s="15" t="s">
        <v>9221</v>
      </c>
      <c r="AL652" s="15" t="s">
        <v>9232</v>
      </c>
      <c r="AM652" s="16" t="s">
        <v>9221</v>
      </c>
      <c r="AN652" s="16" t="s">
        <v>9233</v>
      </c>
    </row>
    <row r="653" spans="1:40" x14ac:dyDescent="0.25">
      <c r="A653" s="4" t="s">
        <v>5814</v>
      </c>
      <c r="B653" s="4"/>
      <c r="C653" s="4" t="s">
        <v>39</v>
      </c>
      <c r="D653" s="4" t="s">
        <v>5815</v>
      </c>
      <c r="E653" s="4" t="s">
        <v>5816</v>
      </c>
      <c r="F653" s="10">
        <v>45566</v>
      </c>
      <c r="G653" s="11">
        <v>0.65138888888888891</v>
      </c>
      <c r="H653" s="4" t="s">
        <v>4910</v>
      </c>
      <c r="I653" s="4" t="s">
        <v>5811</v>
      </c>
      <c r="J653" s="4" t="s">
        <v>5812</v>
      </c>
      <c r="K653" s="4" t="s">
        <v>5817</v>
      </c>
      <c r="L653" s="4" t="s">
        <v>5818</v>
      </c>
      <c r="M653" s="4" t="s">
        <v>46</v>
      </c>
      <c r="N653" s="4"/>
      <c r="O653" s="4" t="s">
        <v>47</v>
      </c>
      <c r="P653" s="4" t="s">
        <v>48</v>
      </c>
      <c r="Q653" s="4">
        <v>0</v>
      </c>
      <c r="R653" s="4" t="b">
        <v>0</v>
      </c>
      <c r="S653" s="4" t="s">
        <v>49</v>
      </c>
      <c r="T653" s="4" t="s">
        <v>583</v>
      </c>
      <c r="U653" s="4" t="s">
        <v>71</v>
      </c>
      <c r="V653" s="4" t="s">
        <v>52</v>
      </c>
      <c r="W653" s="4" t="s">
        <v>53</v>
      </c>
      <c r="X653" s="4" t="s">
        <v>54</v>
      </c>
      <c r="Y653" s="4"/>
      <c r="Z653" s="12">
        <v>0</v>
      </c>
      <c r="AA653" s="13" t="s">
        <v>9152</v>
      </c>
      <c r="AB653" s="13" t="s">
        <v>9153</v>
      </c>
      <c r="AC653" s="14" t="s">
        <v>9139</v>
      </c>
      <c r="AD653" s="14" t="s">
        <v>9140</v>
      </c>
      <c r="AE653" s="14" t="s">
        <v>9140</v>
      </c>
      <c r="AF653" s="14" t="s">
        <v>52</v>
      </c>
      <c r="AG653" s="14" t="s">
        <v>54</v>
      </c>
      <c r="AH653" s="15" t="s">
        <v>9220</v>
      </c>
      <c r="AI653" s="15" t="s">
        <v>9191</v>
      </c>
      <c r="AJ653" s="15" t="s">
        <v>9143</v>
      </c>
      <c r="AK653" s="15" t="s">
        <v>9221</v>
      </c>
      <c r="AL653" s="15" t="s">
        <v>9226</v>
      </c>
      <c r="AM653" s="16" t="s">
        <v>9221</v>
      </c>
      <c r="AN653" s="16" t="s">
        <v>9227</v>
      </c>
    </row>
    <row r="654" spans="1:40" x14ac:dyDescent="0.25">
      <c r="A654" s="4" t="s">
        <v>6925</v>
      </c>
      <c r="B654" s="4"/>
      <c r="C654" s="4" t="s">
        <v>39</v>
      </c>
      <c r="D654" s="4" t="s">
        <v>6926</v>
      </c>
      <c r="E654" s="4" t="s">
        <v>6927</v>
      </c>
      <c r="F654" s="10">
        <v>45566</v>
      </c>
      <c r="G654" s="11">
        <v>0.34513888888888888</v>
      </c>
      <c r="H654" s="4" t="s">
        <v>4019</v>
      </c>
      <c r="I654" s="4" t="s">
        <v>6911</v>
      </c>
      <c r="J654" s="4" t="s">
        <v>6912</v>
      </c>
      <c r="K654" s="4" t="s">
        <v>6928</v>
      </c>
      <c r="L654" s="4" t="s">
        <v>6928</v>
      </c>
      <c r="M654" s="4" t="s">
        <v>46</v>
      </c>
      <c r="N654" s="4"/>
      <c r="O654" s="4" t="s">
        <v>47</v>
      </c>
      <c r="P654" s="4" t="s">
        <v>60</v>
      </c>
      <c r="Q654" s="4">
        <v>0</v>
      </c>
      <c r="R654" s="4" t="b">
        <v>0</v>
      </c>
      <c r="S654" s="4" t="s">
        <v>61</v>
      </c>
      <c r="T654" s="4" t="s">
        <v>50</v>
      </c>
      <c r="U654" s="4" t="s">
        <v>80</v>
      </c>
      <c r="V654" s="4" t="s">
        <v>63</v>
      </c>
      <c r="W654" s="4" t="s">
        <v>108</v>
      </c>
      <c r="X654" s="4" t="s">
        <v>98</v>
      </c>
      <c r="Y654" s="4"/>
      <c r="Z654" s="12">
        <v>0</v>
      </c>
      <c r="AA654" s="13" t="s">
        <v>9152</v>
      </c>
      <c r="AB654" s="13" t="s">
        <v>9153</v>
      </c>
      <c r="AC654" s="14" t="s">
        <v>9148</v>
      </c>
      <c r="AD654" s="14" t="s">
        <v>9140</v>
      </c>
      <c r="AE654" s="14" t="s">
        <v>9140</v>
      </c>
      <c r="AF654" s="14" t="s">
        <v>63</v>
      </c>
      <c r="AG654" s="14" t="s">
        <v>98</v>
      </c>
      <c r="AH654" s="15" t="s">
        <v>9220</v>
      </c>
      <c r="AI654" s="15" t="s">
        <v>9175</v>
      </c>
      <c r="AJ654" s="15" t="s">
        <v>9143</v>
      </c>
      <c r="AK654" s="15" t="s">
        <v>9221</v>
      </c>
      <c r="AL654" s="15" t="s">
        <v>9224</v>
      </c>
      <c r="AM654" s="16" t="s">
        <v>9221</v>
      </c>
      <c r="AN654" s="16" t="s">
        <v>9225</v>
      </c>
    </row>
    <row r="655" spans="1:40" x14ac:dyDescent="0.25">
      <c r="A655" s="4" t="s">
        <v>6151</v>
      </c>
      <c r="B655" s="4" t="s">
        <v>6152</v>
      </c>
      <c r="C655" s="4" t="s">
        <v>39</v>
      </c>
      <c r="D655" s="4" t="s">
        <v>6153</v>
      </c>
      <c r="E655" s="4" t="s">
        <v>6154</v>
      </c>
      <c r="F655" s="10">
        <v>45566</v>
      </c>
      <c r="G655" s="11">
        <v>0.56944444444444442</v>
      </c>
      <c r="H655" s="4" t="s">
        <v>5666</v>
      </c>
      <c r="I655" s="4" t="s">
        <v>6136</v>
      </c>
      <c r="J655" s="4" t="s">
        <v>2598</v>
      </c>
      <c r="K655" s="4" t="s">
        <v>6155</v>
      </c>
      <c r="L655" s="4" t="s">
        <v>6156</v>
      </c>
      <c r="M655" s="4" t="s">
        <v>28</v>
      </c>
      <c r="N655" s="4" t="s">
        <v>183</v>
      </c>
      <c r="O655" s="4" t="s">
        <v>174</v>
      </c>
      <c r="P655" s="4" t="s">
        <v>60</v>
      </c>
      <c r="Q655" s="4">
        <v>0</v>
      </c>
      <c r="R655" s="4" t="b">
        <v>0</v>
      </c>
      <c r="S655" s="4" t="s">
        <v>114</v>
      </c>
      <c r="T655" s="4" t="s">
        <v>583</v>
      </c>
      <c r="U655" s="4" t="s">
        <v>62</v>
      </c>
      <c r="V655" s="4" t="s">
        <v>123</v>
      </c>
      <c r="W655" s="4" t="s">
        <v>124</v>
      </c>
      <c r="X655" s="4" t="s">
        <v>1131</v>
      </c>
      <c r="Y655" s="4"/>
      <c r="Z655" s="12" t="s">
        <v>60</v>
      </c>
      <c r="AA655" s="13" t="s">
        <v>9152</v>
      </c>
      <c r="AB655" s="13" t="s">
        <v>9153</v>
      </c>
      <c r="AC655" s="14" t="s">
        <v>9157</v>
      </c>
      <c r="AD655" s="14" t="s">
        <v>28</v>
      </c>
      <c r="AE655" s="14" t="s">
        <v>183</v>
      </c>
      <c r="AF655" s="14" t="s">
        <v>123</v>
      </c>
      <c r="AG655" s="14" t="s">
        <v>1131</v>
      </c>
      <c r="AH655" s="15" t="s">
        <v>9220</v>
      </c>
      <c r="AI655" s="15" t="s">
        <v>9199</v>
      </c>
      <c r="AJ655" s="15" t="s">
        <v>9143</v>
      </c>
      <c r="AK655" s="15" t="s">
        <v>9221</v>
      </c>
      <c r="AL655" s="15" t="s">
        <v>9199</v>
      </c>
      <c r="AM655" s="16" t="s">
        <v>9221</v>
      </c>
      <c r="AN655" s="16" t="s">
        <v>9238</v>
      </c>
    </row>
    <row r="656" spans="1:40" x14ac:dyDescent="0.25">
      <c r="A656" s="4" t="s">
        <v>1224</v>
      </c>
      <c r="B656" s="4"/>
      <c r="C656" s="4" t="s">
        <v>39</v>
      </c>
      <c r="D656" s="4" t="s">
        <v>1225</v>
      </c>
      <c r="E656" s="4" t="s">
        <v>1226</v>
      </c>
      <c r="F656" s="10">
        <v>45566</v>
      </c>
      <c r="G656" s="11">
        <v>0.42777777777777776</v>
      </c>
      <c r="H656" s="4" t="s">
        <v>1155</v>
      </c>
      <c r="I656" s="4">
        <v>4043</v>
      </c>
      <c r="J656" s="4" t="s">
        <v>1200</v>
      </c>
      <c r="K656" s="4" t="s">
        <v>1227</v>
      </c>
      <c r="L656" s="4" t="s">
        <v>1228</v>
      </c>
      <c r="M656" s="4" t="s">
        <v>46</v>
      </c>
      <c r="N656" s="4"/>
      <c r="O656" s="4" t="s">
        <v>47</v>
      </c>
      <c r="P656" s="4" t="s">
        <v>48</v>
      </c>
      <c r="Q656" s="4">
        <v>0</v>
      </c>
      <c r="R656" s="4" t="b">
        <v>0</v>
      </c>
      <c r="S656" s="4" t="s">
        <v>61</v>
      </c>
      <c r="T656" s="4" t="s">
        <v>50</v>
      </c>
      <c r="U656" s="4" t="s">
        <v>122</v>
      </c>
      <c r="V656" s="4" t="s">
        <v>123</v>
      </c>
      <c r="W656" s="4" t="s">
        <v>124</v>
      </c>
      <c r="X656" s="4" t="s">
        <v>54</v>
      </c>
      <c r="Y656" s="4"/>
      <c r="Z656" s="12">
        <v>0</v>
      </c>
      <c r="AA656" s="13" t="s">
        <v>9152</v>
      </c>
      <c r="AB656" s="13" t="s">
        <v>9153</v>
      </c>
      <c r="AC656" s="14" t="s">
        <v>9148</v>
      </c>
      <c r="AD656" s="14" t="s">
        <v>9140</v>
      </c>
      <c r="AE656" s="14" t="s">
        <v>9140</v>
      </c>
      <c r="AF656" s="14" t="s">
        <v>123</v>
      </c>
      <c r="AG656" s="14" t="s">
        <v>54</v>
      </c>
      <c r="AH656" s="15" t="s">
        <v>9141</v>
      </c>
      <c r="AI656" s="15" t="s">
        <v>9187</v>
      </c>
      <c r="AJ656" s="15" t="s">
        <v>9143</v>
      </c>
      <c r="AK656" s="15" t="s">
        <v>9141</v>
      </c>
      <c r="AL656" s="15" t="s">
        <v>9144</v>
      </c>
      <c r="AM656" s="16" t="s">
        <v>9141</v>
      </c>
      <c r="AN656" s="16" t="s">
        <v>9145</v>
      </c>
    </row>
    <row r="657" spans="1:40" x14ac:dyDescent="0.25">
      <c r="A657" s="4" t="s">
        <v>1945</v>
      </c>
      <c r="B657" s="4"/>
      <c r="C657" s="4" t="s">
        <v>39</v>
      </c>
      <c r="D657" s="4" t="s">
        <v>1946</v>
      </c>
      <c r="E657" s="4" t="s">
        <v>1947</v>
      </c>
      <c r="F657" s="10">
        <v>45565</v>
      </c>
      <c r="G657" s="11">
        <v>0.52083333333333337</v>
      </c>
      <c r="H657" s="4" t="s">
        <v>1939</v>
      </c>
      <c r="I657" s="4" t="s">
        <v>1940</v>
      </c>
      <c r="J657" s="4" t="s">
        <v>1941</v>
      </c>
      <c r="K657" s="4" t="s">
        <v>1948</v>
      </c>
      <c r="L657" s="4" t="s">
        <v>1949</v>
      </c>
      <c r="M657" s="4" t="s">
        <v>46</v>
      </c>
      <c r="N657" s="4"/>
      <c r="O657" s="4" t="s">
        <v>47</v>
      </c>
      <c r="P657" s="4" t="s">
        <v>48</v>
      </c>
      <c r="Q657" s="4">
        <v>0</v>
      </c>
      <c r="R657" s="4" t="b">
        <v>0</v>
      </c>
      <c r="S657" s="4" t="s">
        <v>114</v>
      </c>
      <c r="T657" s="4" t="s">
        <v>70</v>
      </c>
      <c r="U657" s="4" t="s">
        <v>224</v>
      </c>
      <c r="V657" s="4" t="s">
        <v>63</v>
      </c>
      <c r="W657" s="4" t="s">
        <v>108</v>
      </c>
      <c r="X657" s="4" t="s">
        <v>98</v>
      </c>
      <c r="Y657" s="4" t="s">
        <v>211</v>
      </c>
      <c r="Z657" s="12">
        <v>0</v>
      </c>
      <c r="AA657" s="13" t="s">
        <v>9152</v>
      </c>
      <c r="AB657" s="13" t="s">
        <v>9153</v>
      </c>
      <c r="AC657" s="14" t="s">
        <v>9157</v>
      </c>
      <c r="AD657" s="14" t="s">
        <v>9140</v>
      </c>
      <c r="AE657" s="14" t="s">
        <v>9140</v>
      </c>
      <c r="AF657" s="14" t="s">
        <v>63</v>
      </c>
      <c r="AG657" s="14" t="s">
        <v>98</v>
      </c>
      <c r="AH657" s="15" t="s">
        <v>9194</v>
      </c>
      <c r="AI657" s="15" t="s">
        <v>9175</v>
      </c>
      <c r="AJ657" s="15" t="s">
        <v>9143</v>
      </c>
      <c r="AK657" s="15" t="s">
        <v>9194</v>
      </c>
      <c r="AL657" s="15" t="s">
        <v>9195</v>
      </c>
      <c r="AM657" s="16" t="s">
        <v>9194</v>
      </c>
      <c r="AN657" s="16" t="s">
        <v>9196</v>
      </c>
    </row>
    <row r="658" spans="1:40" x14ac:dyDescent="0.25">
      <c r="A658" s="4" t="s">
        <v>8041</v>
      </c>
      <c r="B658" s="4" t="s">
        <v>8042</v>
      </c>
      <c r="C658" s="4" t="s">
        <v>39</v>
      </c>
      <c r="D658" s="4" t="s">
        <v>8043</v>
      </c>
      <c r="E658" s="4" t="s">
        <v>8044</v>
      </c>
      <c r="F658" s="10">
        <v>45565</v>
      </c>
      <c r="G658" s="11">
        <v>0.39583333333333331</v>
      </c>
      <c r="H658" s="4" t="s">
        <v>4910</v>
      </c>
      <c r="I658" s="4" t="s">
        <v>8017</v>
      </c>
      <c r="J658" s="4" t="s">
        <v>8018</v>
      </c>
      <c r="K658" s="4" t="s">
        <v>8045</v>
      </c>
      <c r="L658" s="4" t="s">
        <v>8046</v>
      </c>
      <c r="M658" s="4" t="s">
        <v>28</v>
      </c>
      <c r="N658" s="4" t="s">
        <v>183</v>
      </c>
      <c r="O658" s="4" t="s">
        <v>344</v>
      </c>
      <c r="P658" s="4" t="s">
        <v>60</v>
      </c>
      <c r="Q658" s="4">
        <v>33</v>
      </c>
      <c r="R658" s="4" t="b">
        <v>0</v>
      </c>
      <c r="S658" s="4" t="s">
        <v>49</v>
      </c>
      <c r="T658" s="4" t="s">
        <v>115</v>
      </c>
      <c r="U658" s="4" t="s">
        <v>373</v>
      </c>
      <c r="V658" s="4" t="s">
        <v>52</v>
      </c>
      <c r="W658" s="4" t="s">
        <v>53</v>
      </c>
      <c r="X658" s="4" t="s">
        <v>54</v>
      </c>
      <c r="Y658" s="4"/>
      <c r="Z658" s="12" t="s">
        <v>60</v>
      </c>
      <c r="AA658" s="13" t="s">
        <v>9152</v>
      </c>
      <c r="AB658" s="13" t="s">
        <v>9153</v>
      </c>
      <c r="AC658" s="14" t="s">
        <v>9139</v>
      </c>
      <c r="AD658" s="14" t="s">
        <v>28</v>
      </c>
      <c r="AE658" s="14" t="s">
        <v>183</v>
      </c>
      <c r="AF658" s="14" t="s">
        <v>52</v>
      </c>
      <c r="AG658" s="14" t="s">
        <v>54</v>
      </c>
      <c r="AH658" s="15" t="s">
        <v>9220</v>
      </c>
      <c r="AI658" s="15" t="s">
        <v>9191</v>
      </c>
      <c r="AJ658" s="15" t="s">
        <v>9143</v>
      </c>
      <c r="AK658" s="15" t="s">
        <v>9221</v>
      </c>
      <c r="AL658" s="15" t="s">
        <v>9234</v>
      </c>
      <c r="AM658" s="16" t="s">
        <v>9221</v>
      </c>
      <c r="AN658" s="16" t="s">
        <v>9235</v>
      </c>
    </row>
    <row r="659" spans="1:40" x14ac:dyDescent="0.25">
      <c r="A659" s="4" t="s">
        <v>8047</v>
      </c>
      <c r="B659" s="4"/>
      <c r="C659" s="4" t="s">
        <v>39</v>
      </c>
      <c r="D659" s="4" t="s">
        <v>8030</v>
      </c>
      <c r="E659" s="4" t="s">
        <v>8031</v>
      </c>
      <c r="F659" s="10">
        <v>45564</v>
      </c>
      <c r="G659" s="11">
        <v>0.58680555555555558</v>
      </c>
      <c r="H659" s="4" t="s">
        <v>4910</v>
      </c>
      <c r="I659" s="4" t="s">
        <v>8017</v>
      </c>
      <c r="J659" s="4" t="s">
        <v>8018</v>
      </c>
      <c r="K659" s="4" t="s">
        <v>8048</v>
      </c>
      <c r="L659" s="4" t="s">
        <v>8049</v>
      </c>
      <c r="M659" s="4" t="s">
        <v>46</v>
      </c>
      <c r="N659" s="4"/>
      <c r="O659" s="4" t="s">
        <v>47</v>
      </c>
      <c r="P659" s="4" t="s">
        <v>48</v>
      </c>
      <c r="Q659" s="4">
        <v>0</v>
      </c>
      <c r="R659" s="4" t="b">
        <v>0</v>
      </c>
      <c r="S659" s="4" t="s">
        <v>49</v>
      </c>
      <c r="T659" s="4" t="s">
        <v>70</v>
      </c>
      <c r="U659" s="4" t="s">
        <v>71</v>
      </c>
      <c r="V659" s="4" t="s">
        <v>63</v>
      </c>
      <c r="W659" s="4" t="s">
        <v>198</v>
      </c>
      <c r="X659" s="4" t="s">
        <v>54</v>
      </c>
      <c r="Y659" s="4"/>
      <c r="Z659" s="12">
        <v>0</v>
      </c>
      <c r="AA659" s="13" t="s">
        <v>9154</v>
      </c>
      <c r="AB659" s="13" t="s">
        <v>9155</v>
      </c>
      <c r="AC659" s="14" t="s">
        <v>9139</v>
      </c>
      <c r="AD659" s="14" t="s">
        <v>9140</v>
      </c>
      <c r="AE659" s="14" t="s">
        <v>9140</v>
      </c>
      <c r="AF659" s="14" t="s">
        <v>63</v>
      </c>
      <c r="AG659" s="14" t="s">
        <v>54</v>
      </c>
      <c r="AH659" s="15" t="s">
        <v>9220</v>
      </c>
      <c r="AI659" s="15" t="s">
        <v>9191</v>
      </c>
      <c r="AJ659" s="15" t="s">
        <v>9143</v>
      </c>
      <c r="AK659" s="15" t="s">
        <v>9221</v>
      </c>
      <c r="AL659" s="15" t="s">
        <v>9234</v>
      </c>
      <c r="AM659" s="16" t="s">
        <v>9221</v>
      </c>
      <c r="AN659" s="16" t="s">
        <v>9235</v>
      </c>
    </row>
    <row r="660" spans="1:40" x14ac:dyDescent="0.25">
      <c r="A660" s="4" t="s">
        <v>4617</v>
      </c>
      <c r="B660" s="4">
        <v>7266711</v>
      </c>
      <c r="C660" s="4" t="s">
        <v>39</v>
      </c>
      <c r="D660" s="4" t="s">
        <v>4595</v>
      </c>
      <c r="E660" s="4" t="s">
        <v>4596</v>
      </c>
      <c r="F660" s="10">
        <v>45562</v>
      </c>
      <c r="G660" s="11">
        <v>0.6875</v>
      </c>
      <c r="H660" s="4" t="s">
        <v>4516</v>
      </c>
      <c r="I660" s="4" t="s">
        <v>4586</v>
      </c>
      <c r="J660" s="4" t="s">
        <v>2630</v>
      </c>
      <c r="K660" s="4" t="s">
        <v>4618</v>
      </c>
      <c r="L660" s="4" t="s">
        <v>4619</v>
      </c>
      <c r="M660" s="4" t="s">
        <v>28</v>
      </c>
      <c r="N660" s="4" t="s">
        <v>478</v>
      </c>
      <c r="O660" s="4" t="s">
        <v>47</v>
      </c>
      <c r="P660" s="4" t="s">
        <v>48</v>
      </c>
      <c r="Q660" s="4">
        <v>0</v>
      </c>
      <c r="R660" s="4" t="b">
        <v>0</v>
      </c>
      <c r="S660" s="4" t="s">
        <v>61</v>
      </c>
      <c r="T660" s="4" t="s">
        <v>583</v>
      </c>
      <c r="U660" s="4" t="s">
        <v>71</v>
      </c>
      <c r="V660" s="4" t="s">
        <v>52</v>
      </c>
      <c r="W660" s="4" t="s">
        <v>255</v>
      </c>
      <c r="X660" s="4" t="s">
        <v>54</v>
      </c>
      <c r="Y660" s="4"/>
      <c r="Z660" s="12" t="s">
        <v>48</v>
      </c>
      <c r="AA660" s="13" t="s">
        <v>9154</v>
      </c>
      <c r="AB660" s="13" t="s">
        <v>9155</v>
      </c>
      <c r="AC660" s="14" t="s">
        <v>9148</v>
      </c>
      <c r="AD660" s="14" t="s">
        <v>28</v>
      </c>
      <c r="AE660" s="14" t="s">
        <v>478</v>
      </c>
      <c r="AF660" s="14" t="s">
        <v>52</v>
      </c>
      <c r="AG660" s="14" t="s">
        <v>54</v>
      </c>
      <c r="AH660" s="15" t="s">
        <v>9220</v>
      </c>
      <c r="AI660" s="15" t="s">
        <v>9188</v>
      </c>
      <c r="AJ660" s="15" t="s">
        <v>9143</v>
      </c>
      <c r="AK660" s="15" t="s">
        <v>9221</v>
      </c>
      <c r="AL660" s="15" t="s">
        <v>9232</v>
      </c>
      <c r="AM660" s="16" t="s">
        <v>9221</v>
      </c>
      <c r="AN660" s="16" t="s">
        <v>9233</v>
      </c>
    </row>
    <row r="661" spans="1:40" x14ac:dyDescent="0.25">
      <c r="A661" s="4" t="s">
        <v>1852</v>
      </c>
      <c r="B661" s="4"/>
      <c r="C661" s="4" t="s">
        <v>39</v>
      </c>
      <c r="D661" s="4" t="s">
        <v>1853</v>
      </c>
      <c r="E661" s="4" t="s">
        <v>1854</v>
      </c>
      <c r="F661" s="10">
        <v>45562</v>
      </c>
      <c r="G661" s="11">
        <v>0.59305555555555556</v>
      </c>
      <c r="H661" s="4" t="s">
        <v>1654</v>
      </c>
      <c r="I661" s="4">
        <v>9097</v>
      </c>
      <c r="J661" s="4" t="s">
        <v>1844</v>
      </c>
      <c r="K661" s="4" t="s">
        <v>1855</v>
      </c>
      <c r="L661" s="4" t="s">
        <v>1856</v>
      </c>
      <c r="M661" s="4" t="s">
        <v>46</v>
      </c>
      <c r="N661" s="4"/>
      <c r="O661" s="4" t="s">
        <v>47</v>
      </c>
      <c r="P661" s="4" t="s">
        <v>48</v>
      </c>
      <c r="Q661" s="4">
        <v>0</v>
      </c>
      <c r="R661" s="4" t="b">
        <v>0</v>
      </c>
      <c r="S661" s="4" t="s">
        <v>49</v>
      </c>
      <c r="T661" s="4" t="s">
        <v>70</v>
      </c>
      <c r="U661" s="4" t="s">
        <v>480</v>
      </c>
      <c r="V661" s="4" t="s">
        <v>72</v>
      </c>
      <c r="W661" s="4" t="s">
        <v>73</v>
      </c>
      <c r="X661" s="4" t="s">
        <v>98</v>
      </c>
      <c r="Y661" s="4"/>
      <c r="Z661" s="12">
        <v>0</v>
      </c>
      <c r="AA661" s="13" t="s">
        <v>9154</v>
      </c>
      <c r="AB661" s="13" t="s">
        <v>9155</v>
      </c>
      <c r="AC661" s="14" t="s">
        <v>9139</v>
      </c>
      <c r="AD661" s="14" t="s">
        <v>9140</v>
      </c>
      <c r="AE661" s="14" t="s">
        <v>9140</v>
      </c>
      <c r="AF661" s="14" t="s">
        <v>72</v>
      </c>
      <c r="AG661" s="14" t="s">
        <v>98</v>
      </c>
      <c r="AH661" s="15" t="s">
        <v>9141</v>
      </c>
      <c r="AI661" s="15" t="s">
        <v>9191</v>
      </c>
      <c r="AJ661" s="15" t="s">
        <v>9143</v>
      </c>
      <c r="AK661" s="15" t="s">
        <v>9141</v>
      </c>
      <c r="AL661" s="15" t="s">
        <v>9191</v>
      </c>
      <c r="AM661" s="16" t="s">
        <v>9141</v>
      </c>
      <c r="AN661" s="16" t="s">
        <v>9192</v>
      </c>
    </row>
    <row r="662" spans="1:40" x14ac:dyDescent="0.25">
      <c r="A662" s="4" t="s">
        <v>884</v>
      </c>
      <c r="B662" s="4"/>
      <c r="C662" s="4" t="s">
        <v>39</v>
      </c>
      <c r="D662" s="4" t="s">
        <v>874</v>
      </c>
      <c r="E662" s="4" t="s">
        <v>875</v>
      </c>
      <c r="F662" s="10">
        <v>45561</v>
      </c>
      <c r="G662" s="11">
        <v>0.5</v>
      </c>
      <c r="H662" s="4" t="s">
        <v>463</v>
      </c>
      <c r="I662" s="4">
        <v>2030</v>
      </c>
      <c r="J662" s="4" t="s">
        <v>876</v>
      </c>
      <c r="K662" s="4" t="s">
        <v>885</v>
      </c>
      <c r="L662" s="4" t="s">
        <v>886</v>
      </c>
      <c r="M662" s="4" t="s">
        <v>46</v>
      </c>
      <c r="N662" s="4"/>
      <c r="O662" s="4" t="s">
        <v>47</v>
      </c>
      <c r="P662" s="4" t="s">
        <v>48</v>
      </c>
      <c r="Q662" s="4">
        <v>0</v>
      </c>
      <c r="R662" s="4" t="b">
        <v>0</v>
      </c>
      <c r="S662" s="4" t="s">
        <v>61</v>
      </c>
      <c r="T662" s="4" t="s">
        <v>89</v>
      </c>
      <c r="U662" s="4" t="s">
        <v>887</v>
      </c>
      <c r="V662" s="4" t="s">
        <v>52</v>
      </c>
      <c r="W662" s="4" t="s">
        <v>53</v>
      </c>
      <c r="X662" s="4" t="s">
        <v>54</v>
      </c>
      <c r="Y662" s="4"/>
      <c r="Z662" s="12">
        <v>0</v>
      </c>
      <c r="AA662" s="13" t="s">
        <v>9154</v>
      </c>
      <c r="AB662" s="13" t="s">
        <v>9155</v>
      </c>
      <c r="AC662" s="14" t="s">
        <v>9148</v>
      </c>
      <c r="AD662" s="14" t="s">
        <v>9140</v>
      </c>
      <c r="AE662" s="14" t="s">
        <v>9140</v>
      </c>
      <c r="AF662" s="14" t="s">
        <v>52</v>
      </c>
      <c r="AG662" s="14" t="s">
        <v>54</v>
      </c>
      <c r="AH662" s="15" t="s">
        <v>9141</v>
      </c>
      <c r="AI662" s="15" t="s">
        <v>9175</v>
      </c>
      <c r="AJ662" s="15" t="s">
        <v>9143</v>
      </c>
      <c r="AK662" s="15" t="s">
        <v>9141</v>
      </c>
      <c r="AL662" s="15" t="s">
        <v>9177</v>
      </c>
      <c r="AM662" s="16" t="s">
        <v>9141</v>
      </c>
      <c r="AN662" s="16" t="s">
        <v>9178</v>
      </c>
    </row>
    <row r="663" spans="1:40" x14ac:dyDescent="0.25">
      <c r="A663" s="4" t="s">
        <v>3268</v>
      </c>
      <c r="B663" s="4">
        <v>7283682</v>
      </c>
      <c r="C663" s="4" t="s">
        <v>39</v>
      </c>
      <c r="D663" s="4" t="s">
        <v>3269</v>
      </c>
      <c r="E663" s="4" t="s">
        <v>3270</v>
      </c>
      <c r="F663" s="10">
        <v>45561</v>
      </c>
      <c r="G663" s="11">
        <v>0.53472222222222221</v>
      </c>
      <c r="H663" s="4" t="s">
        <v>2095</v>
      </c>
      <c r="I663" s="4" t="s">
        <v>3264</v>
      </c>
      <c r="J663" s="4" t="s">
        <v>3265</v>
      </c>
      <c r="K663" s="4" t="s">
        <v>2312</v>
      </c>
      <c r="L663" s="4" t="s">
        <v>3271</v>
      </c>
      <c r="M663" s="4" t="s">
        <v>28</v>
      </c>
      <c r="N663" s="4" t="s">
        <v>147</v>
      </c>
      <c r="O663" s="4" t="s">
        <v>174</v>
      </c>
      <c r="P663" s="4" t="s">
        <v>48</v>
      </c>
      <c r="Q663" s="4">
        <v>0</v>
      </c>
      <c r="R663" s="4" t="b">
        <v>0</v>
      </c>
      <c r="S663" s="4" t="s">
        <v>61</v>
      </c>
      <c r="T663" s="4" t="s">
        <v>115</v>
      </c>
      <c r="U663" s="4" t="s">
        <v>527</v>
      </c>
      <c r="V663" s="4" t="s">
        <v>63</v>
      </c>
      <c r="W663" s="4" t="s">
        <v>108</v>
      </c>
      <c r="X663" s="4" t="s">
        <v>54</v>
      </c>
      <c r="Y663" s="4" t="s">
        <v>176</v>
      </c>
      <c r="Z663" s="12" t="s">
        <v>48</v>
      </c>
      <c r="AA663" s="13" t="s">
        <v>9154</v>
      </c>
      <c r="AB663" s="13" t="s">
        <v>9155</v>
      </c>
      <c r="AC663" s="14" t="s">
        <v>9148</v>
      </c>
      <c r="AD663" s="14" t="s">
        <v>28</v>
      </c>
      <c r="AE663" s="14" t="s">
        <v>9140</v>
      </c>
      <c r="AF663" s="14" t="s">
        <v>63</v>
      </c>
      <c r="AG663" s="14" t="s">
        <v>54</v>
      </c>
      <c r="AH663" s="15" t="s">
        <v>9194</v>
      </c>
      <c r="AI663" s="15" t="s">
        <v>9188</v>
      </c>
      <c r="AJ663" s="15" t="s">
        <v>9143</v>
      </c>
      <c r="AK663" s="15" t="s">
        <v>9194</v>
      </c>
      <c r="AL663" s="15" t="s">
        <v>9211</v>
      </c>
      <c r="AM663" s="16" t="s">
        <v>9194</v>
      </c>
      <c r="AN663" s="16" t="s">
        <v>9212</v>
      </c>
    </row>
    <row r="664" spans="1:40" x14ac:dyDescent="0.25">
      <c r="A664" s="4" t="s">
        <v>7732</v>
      </c>
      <c r="B664" s="4"/>
      <c r="C664" s="4" t="s">
        <v>39</v>
      </c>
      <c r="D664" s="4" t="s">
        <v>7733</v>
      </c>
      <c r="E664" s="4" t="s">
        <v>7734</v>
      </c>
      <c r="F664" s="10">
        <v>45561</v>
      </c>
      <c r="G664" s="11">
        <v>0.51041666666666663</v>
      </c>
      <c r="H664" s="4" t="s">
        <v>4659</v>
      </c>
      <c r="I664" s="4" t="s">
        <v>7729</v>
      </c>
      <c r="J664" s="4" t="s">
        <v>3592</v>
      </c>
      <c r="K664" s="4" t="s">
        <v>711</v>
      </c>
      <c r="L664" s="4" t="s">
        <v>7735</v>
      </c>
      <c r="M664" s="4" t="s">
        <v>46</v>
      </c>
      <c r="N664" s="4"/>
      <c r="O664" s="4" t="s">
        <v>47</v>
      </c>
      <c r="P664" s="4" t="s">
        <v>48</v>
      </c>
      <c r="Q664" s="4">
        <v>0</v>
      </c>
      <c r="R664" s="4" t="b">
        <v>0</v>
      </c>
      <c r="S664" s="4" t="s">
        <v>61</v>
      </c>
      <c r="T664" s="4" t="s">
        <v>50</v>
      </c>
      <c r="U664" s="4" t="s">
        <v>90</v>
      </c>
      <c r="V664" s="4" t="s">
        <v>63</v>
      </c>
      <c r="W664" s="4" t="s">
        <v>108</v>
      </c>
      <c r="X664" s="4" t="s">
        <v>54</v>
      </c>
      <c r="Y664" s="4"/>
      <c r="Z664" s="12">
        <v>0</v>
      </c>
      <c r="AA664" s="13" t="s">
        <v>9154</v>
      </c>
      <c r="AB664" s="13" t="s">
        <v>9155</v>
      </c>
      <c r="AC664" s="14" t="s">
        <v>9148</v>
      </c>
      <c r="AD664" s="14" t="s">
        <v>9140</v>
      </c>
      <c r="AE664" s="14" t="s">
        <v>9140</v>
      </c>
      <c r="AF664" s="14" t="s">
        <v>63</v>
      </c>
      <c r="AG664" s="14" t="s">
        <v>54</v>
      </c>
      <c r="AH664" s="15" t="s">
        <v>9220</v>
      </c>
      <c r="AI664" s="15" t="s">
        <v>9142</v>
      </c>
      <c r="AJ664" s="15" t="s">
        <v>9143</v>
      </c>
      <c r="AK664" s="15" t="s">
        <v>9221</v>
      </c>
      <c r="AL664" s="15" t="s">
        <v>9228</v>
      </c>
      <c r="AM664" s="16" t="s">
        <v>9221</v>
      </c>
      <c r="AN664" s="16" t="s">
        <v>9229</v>
      </c>
    </row>
    <row r="665" spans="1:40" x14ac:dyDescent="0.25">
      <c r="A665" s="4" t="s">
        <v>4033</v>
      </c>
      <c r="B665" s="4"/>
      <c r="C665" s="4" t="s">
        <v>39</v>
      </c>
      <c r="D665" s="4" t="s">
        <v>4034</v>
      </c>
      <c r="E665" s="4" t="s">
        <v>4035</v>
      </c>
      <c r="F665" s="10">
        <v>45561</v>
      </c>
      <c r="G665" s="11">
        <v>0.60416666666666663</v>
      </c>
      <c r="H665" s="4" t="s">
        <v>4019</v>
      </c>
      <c r="I665" s="4" t="s">
        <v>4020</v>
      </c>
      <c r="J665" s="4" t="s">
        <v>3083</v>
      </c>
      <c r="K665" s="4" t="s">
        <v>4036</v>
      </c>
      <c r="L665" s="4" t="s">
        <v>4037</v>
      </c>
      <c r="M665" s="4" t="s">
        <v>46</v>
      </c>
      <c r="N665" s="4"/>
      <c r="O665" s="4" t="s">
        <v>47</v>
      </c>
      <c r="P665" s="4" t="s">
        <v>60</v>
      </c>
      <c r="Q665" s="4">
        <v>0</v>
      </c>
      <c r="R665" s="4" t="b">
        <v>0</v>
      </c>
      <c r="S665" s="4" t="s">
        <v>61</v>
      </c>
      <c r="T665" s="4" t="s">
        <v>89</v>
      </c>
      <c r="U665" s="4" t="s">
        <v>90</v>
      </c>
      <c r="V665" s="4" t="s">
        <v>63</v>
      </c>
      <c r="W665" s="4" t="s">
        <v>108</v>
      </c>
      <c r="X665" s="4" t="s">
        <v>98</v>
      </c>
      <c r="Y665" s="4"/>
      <c r="Z665" s="12">
        <v>0</v>
      </c>
      <c r="AA665" s="13" t="s">
        <v>9154</v>
      </c>
      <c r="AB665" s="13" t="s">
        <v>9155</v>
      </c>
      <c r="AC665" s="14" t="s">
        <v>9148</v>
      </c>
      <c r="AD665" s="14" t="s">
        <v>9140</v>
      </c>
      <c r="AE665" s="14" t="s">
        <v>9140</v>
      </c>
      <c r="AF665" s="14" t="s">
        <v>63</v>
      </c>
      <c r="AG665" s="14" t="s">
        <v>98</v>
      </c>
      <c r="AH665" s="15" t="s">
        <v>9220</v>
      </c>
      <c r="AI665" s="15" t="s">
        <v>9175</v>
      </c>
      <c r="AJ665" s="15" t="s">
        <v>9143</v>
      </c>
      <c r="AK665" s="15" t="s">
        <v>9221</v>
      </c>
      <c r="AL665" s="15" t="s">
        <v>9222</v>
      </c>
      <c r="AM665" s="16" t="s">
        <v>9221</v>
      </c>
      <c r="AN665" s="16" t="s">
        <v>9223</v>
      </c>
    </row>
    <row r="666" spans="1:40" x14ac:dyDescent="0.25">
      <c r="A666" s="4" t="s">
        <v>4359</v>
      </c>
      <c r="B666" s="4"/>
      <c r="C666" s="4" t="s">
        <v>39</v>
      </c>
      <c r="D666" s="4" t="s">
        <v>4332</v>
      </c>
      <c r="E666" s="4" t="s">
        <v>4333</v>
      </c>
      <c r="F666" s="10">
        <v>45560</v>
      </c>
      <c r="G666" s="11">
        <v>0.38541666666666669</v>
      </c>
      <c r="H666" s="4" t="s">
        <v>4019</v>
      </c>
      <c r="I666" s="4" t="s">
        <v>4304</v>
      </c>
      <c r="J666" s="4" t="s">
        <v>1941</v>
      </c>
      <c r="K666" s="4" t="s">
        <v>4360</v>
      </c>
      <c r="L666" s="4" t="s">
        <v>4361</v>
      </c>
      <c r="M666" s="4" t="s">
        <v>46</v>
      </c>
      <c r="N666" s="4"/>
      <c r="O666" s="4" t="s">
        <v>47</v>
      </c>
      <c r="P666" s="4" t="s">
        <v>48</v>
      </c>
      <c r="Q666" s="4">
        <v>0</v>
      </c>
      <c r="R666" s="4" t="b">
        <v>0</v>
      </c>
      <c r="S666" s="4" t="s">
        <v>61</v>
      </c>
      <c r="T666" s="4" t="s">
        <v>89</v>
      </c>
      <c r="U666" s="4" t="s">
        <v>887</v>
      </c>
      <c r="V666" s="4" t="s">
        <v>123</v>
      </c>
      <c r="W666" s="4" t="s">
        <v>124</v>
      </c>
      <c r="X666" s="4" t="s">
        <v>54</v>
      </c>
      <c r="Y666" s="4"/>
      <c r="Z666" s="12">
        <v>0</v>
      </c>
      <c r="AA666" s="13" t="s">
        <v>9154</v>
      </c>
      <c r="AB666" s="13" t="s">
        <v>9155</v>
      </c>
      <c r="AC666" s="14" t="s">
        <v>9148</v>
      </c>
      <c r="AD666" s="14" t="s">
        <v>9140</v>
      </c>
      <c r="AE666" s="14" t="s">
        <v>9140</v>
      </c>
      <c r="AF666" s="14" t="s">
        <v>123</v>
      </c>
      <c r="AG666" s="14" t="s">
        <v>54</v>
      </c>
      <c r="AH666" s="15" t="s">
        <v>9220</v>
      </c>
      <c r="AI666" s="15" t="s">
        <v>9175</v>
      </c>
      <c r="AJ666" s="15" t="s">
        <v>9143</v>
      </c>
      <c r="AK666" s="15" t="s">
        <v>9221</v>
      </c>
      <c r="AL666" s="15" t="s">
        <v>9222</v>
      </c>
      <c r="AM666" s="16" t="s">
        <v>9221</v>
      </c>
      <c r="AN666" s="16" t="s">
        <v>9223</v>
      </c>
    </row>
    <row r="667" spans="1:40" x14ac:dyDescent="0.25">
      <c r="A667" s="4" t="s">
        <v>4943</v>
      </c>
      <c r="B667" s="4"/>
      <c r="C667" s="4" t="s">
        <v>39</v>
      </c>
      <c r="D667" s="4" t="s">
        <v>4937</v>
      </c>
      <c r="E667" s="4" t="s">
        <v>4938</v>
      </c>
      <c r="F667" s="10">
        <v>45560</v>
      </c>
      <c r="G667" s="11">
        <v>0.45833333333333331</v>
      </c>
      <c r="H667" s="4" t="s">
        <v>4910</v>
      </c>
      <c r="I667" s="4" t="s">
        <v>4939</v>
      </c>
      <c r="J667" s="4" t="s">
        <v>4940</v>
      </c>
      <c r="K667" s="4" t="s">
        <v>1775</v>
      </c>
      <c r="L667" s="4" t="s">
        <v>4944</v>
      </c>
      <c r="M667" s="4" t="s">
        <v>46</v>
      </c>
      <c r="N667" s="4"/>
      <c r="O667" s="4" t="s">
        <v>47</v>
      </c>
      <c r="P667" s="4" t="s">
        <v>48</v>
      </c>
      <c r="Q667" s="4">
        <v>0</v>
      </c>
      <c r="R667" s="4" t="b">
        <v>0</v>
      </c>
      <c r="S667" s="4" t="s">
        <v>49</v>
      </c>
      <c r="T667" s="4" t="s">
        <v>583</v>
      </c>
      <c r="U667" s="4" t="s">
        <v>71</v>
      </c>
      <c r="V667" s="4" t="s">
        <v>72</v>
      </c>
      <c r="W667" s="4" t="s">
        <v>97</v>
      </c>
      <c r="X667" s="4" t="s">
        <v>54</v>
      </c>
      <c r="Y667" s="4" t="s">
        <v>486</v>
      </c>
      <c r="Z667" s="12">
        <v>0</v>
      </c>
      <c r="AA667" s="13" t="s">
        <v>9154</v>
      </c>
      <c r="AB667" s="13" t="s">
        <v>9155</v>
      </c>
      <c r="AC667" s="14" t="s">
        <v>9139</v>
      </c>
      <c r="AD667" s="14" t="s">
        <v>9140</v>
      </c>
      <c r="AE667" s="14" t="s">
        <v>9140</v>
      </c>
      <c r="AF667" s="14" t="s">
        <v>72</v>
      </c>
      <c r="AG667" s="14" t="s">
        <v>54</v>
      </c>
      <c r="AH667" s="15" t="s">
        <v>9220</v>
      </c>
      <c r="AI667" s="15" t="s">
        <v>9191</v>
      </c>
      <c r="AJ667" s="15" t="s">
        <v>9143</v>
      </c>
      <c r="AK667" s="15" t="s">
        <v>9221</v>
      </c>
      <c r="AL667" s="15" t="s">
        <v>9234</v>
      </c>
      <c r="AM667" s="16" t="s">
        <v>9221</v>
      </c>
      <c r="AN667" s="16" t="s">
        <v>9235</v>
      </c>
    </row>
    <row r="668" spans="1:40" x14ac:dyDescent="0.25">
      <c r="A668" s="4" t="s">
        <v>6157</v>
      </c>
      <c r="B668" s="4"/>
      <c r="C668" s="4" t="s">
        <v>39</v>
      </c>
      <c r="D668" s="4" t="s">
        <v>6158</v>
      </c>
      <c r="E668" s="4" t="s">
        <v>6159</v>
      </c>
      <c r="F668" s="10">
        <v>45560</v>
      </c>
      <c r="G668" s="11">
        <v>0.36458333333333331</v>
      </c>
      <c r="H668" s="4" t="s">
        <v>5666</v>
      </c>
      <c r="I668" s="4" t="s">
        <v>6136</v>
      </c>
      <c r="J668" s="4" t="s">
        <v>2598</v>
      </c>
      <c r="K668" s="4" t="s">
        <v>6007</v>
      </c>
      <c r="L668" s="4" t="s">
        <v>6160</v>
      </c>
      <c r="M668" s="4" t="s">
        <v>46</v>
      </c>
      <c r="N668" s="4"/>
      <c r="O668" s="4" t="s">
        <v>47</v>
      </c>
      <c r="P668" s="4" t="s">
        <v>60</v>
      </c>
      <c r="Q668" s="4">
        <v>0</v>
      </c>
      <c r="R668" s="4" t="b">
        <v>0</v>
      </c>
      <c r="S668" s="4" t="s">
        <v>49</v>
      </c>
      <c r="T668" s="4" t="s">
        <v>70</v>
      </c>
      <c r="U668" s="4" t="s">
        <v>71</v>
      </c>
      <c r="V668" s="4" t="s">
        <v>72</v>
      </c>
      <c r="W668" s="4" t="s">
        <v>2410</v>
      </c>
      <c r="X668" s="4" t="s">
        <v>471</v>
      </c>
      <c r="Y668" s="4"/>
      <c r="Z668" s="12">
        <v>0</v>
      </c>
      <c r="AA668" s="13" t="s">
        <v>9154</v>
      </c>
      <c r="AB668" s="13" t="s">
        <v>9155</v>
      </c>
      <c r="AC668" s="14" t="s">
        <v>9139</v>
      </c>
      <c r="AD668" s="14" t="s">
        <v>9140</v>
      </c>
      <c r="AE668" s="14" t="s">
        <v>9140</v>
      </c>
      <c r="AF668" s="14" t="s">
        <v>72</v>
      </c>
      <c r="AG668" s="14" t="s">
        <v>471</v>
      </c>
      <c r="AH668" s="15" t="s">
        <v>9220</v>
      </c>
      <c r="AI668" s="15" t="s">
        <v>9199</v>
      </c>
      <c r="AJ668" s="15" t="s">
        <v>9143</v>
      </c>
      <c r="AK668" s="15" t="s">
        <v>9221</v>
      </c>
      <c r="AL668" s="15" t="s">
        <v>9199</v>
      </c>
      <c r="AM668" s="16" t="s">
        <v>9221</v>
      </c>
      <c r="AN668" s="16" t="s">
        <v>9238</v>
      </c>
    </row>
    <row r="669" spans="1:40" x14ac:dyDescent="0.25">
      <c r="A669" s="4" t="s">
        <v>1393</v>
      </c>
      <c r="B669" s="4"/>
      <c r="C669" s="4" t="s">
        <v>39</v>
      </c>
      <c r="D669" s="4" t="s">
        <v>1394</v>
      </c>
      <c r="E669" s="4" t="s">
        <v>1395</v>
      </c>
      <c r="F669" s="10">
        <v>45560</v>
      </c>
      <c r="G669" s="11">
        <v>0.4</v>
      </c>
      <c r="H669" s="4" t="s">
        <v>1366</v>
      </c>
      <c r="I669" s="4">
        <v>5054</v>
      </c>
      <c r="J669" s="4" t="s">
        <v>1385</v>
      </c>
      <c r="K669" s="4" t="s">
        <v>1396</v>
      </c>
      <c r="L669" s="4" t="s">
        <v>1397</v>
      </c>
      <c r="M669" s="4" t="s">
        <v>46</v>
      </c>
      <c r="N669" s="4" t="s">
        <v>478</v>
      </c>
      <c r="O669" s="4" t="s">
        <v>191</v>
      </c>
      <c r="P669" s="4" t="s">
        <v>48</v>
      </c>
      <c r="Q669" s="4">
        <v>0</v>
      </c>
      <c r="R669" s="4" t="b">
        <v>0</v>
      </c>
      <c r="S669" s="4" t="s">
        <v>114</v>
      </c>
      <c r="T669" s="4" t="s">
        <v>583</v>
      </c>
      <c r="U669" s="4" t="s">
        <v>107</v>
      </c>
      <c r="V669" s="4" t="s">
        <v>63</v>
      </c>
      <c r="W669" s="4" t="s">
        <v>108</v>
      </c>
      <c r="X669" s="4" t="s">
        <v>54</v>
      </c>
      <c r="Y669" s="4"/>
      <c r="Z669" s="12">
        <v>0</v>
      </c>
      <c r="AA669" s="13" t="s">
        <v>9154</v>
      </c>
      <c r="AB669" s="13" t="s">
        <v>9155</v>
      </c>
      <c r="AC669" s="14" t="s">
        <v>9157</v>
      </c>
      <c r="AD669" s="14" t="s">
        <v>9140</v>
      </c>
      <c r="AE669" s="14" t="s">
        <v>9140</v>
      </c>
      <c r="AF669" s="14" t="s">
        <v>63</v>
      </c>
      <c r="AG669" s="14" t="s">
        <v>54</v>
      </c>
      <c r="AH669" s="15" t="s">
        <v>9141</v>
      </c>
      <c r="AI669" s="15" t="s">
        <v>9188</v>
      </c>
      <c r="AJ669" s="15" t="s">
        <v>9143</v>
      </c>
      <c r="AK669" s="15" t="s">
        <v>9141</v>
      </c>
      <c r="AL669" s="15" t="s">
        <v>9189</v>
      </c>
      <c r="AM669" s="16" t="s">
        <v>9141</v>
      </c>
      <c r="AN669" s="16" t="s">
        <v>9190</v>
      </c>
    </row>
    <row r="670" spans="1:40" x14ac:dyDescent="0.25">
      <c r="A670" s="4" t="s">
        <v>104</v>
      </c>
      <c r="B670" s="4"/>
      <c r="C670" s="4" t="s">
        <v>39</v>
      </c>
      <c r="D670" s="4" t="s">
        <v>100</v>
      </c>
      <c r="E670" s="4" t="s">
        <v>101</v>
      </c>
      <c r="F670" s="10">
        <v>45560</v>
      </c>
      <c r="G670" s="11">
        <v>0.40972222222222221</v>
      </c>
      <c r="H670" s="4" t="s">
        <v>42</v>
      </c>
      <c r="I670" s="4">
        <v>1006</v>
      </c>
      <c r="J670" s="4" t="s">
        <v>94</v>
      </c>
      <c r="K670" s="4" t="s">
        <v>105</v>
      </c>
      <c r="L670" s="4" t="s">
        <v>106</v>
      </c>
      <c r="M670" s="4" t="s">
        <v>46</v>
      </c>
      <c r="N670" s="4"/>
      <c r="O670" s="4" t="s">
        <v>47</v>
      </c>
      <c r="P670" s="4" t="s">
        <v>48</v>
      </c>
      <c r="Q670" s="4">
        <v>0</v>
      </c>
      <c r="R670" s="4" t="b">
        <v>0</v>
      </c>
      <c r="S670" s="4" t="s">
        <v>49</v>
      </c>
      <c r="T670" s="4" t="s">
        <v>50</v>
      </c>
      <c r="U670" s="4" t="s">
        <v>107</v>
      </c>
      <c r="V670" s="4" t="s">
        <v>63</v>
      </c>
      <c r="W670" s="4" t="s">
        <v>108</v>
      </c>
      <c r="X670" s="4" t="s">
        <v>54</v>
      </c>
      <c r="Y670" s="4"/>
      <c r="Z670" s="12">
        <v>0</v>
      </c>
      <c r="AA670" s="13" t="s">
        <v>9154</v>
      </c>
      <c r="AB670" s="13" t="s">
        <v>9155</v>
      </c>
      <c r="AC670" s="14" t="s">
        <v>9139</v>
      </c>
      <c r="AD670" s="14" t="s">
        <v>9140</v>
      </c>
      <c r="AE670" s="14" t="s">
        <v>9140</v>
      </c>
      <c r="AF670" s="14" t="s">
        <v>63</v>
      </c>
      <c r="AG670" s="14" t="s">
        <v>54</v>
      </c>
      <c r="AH670" s="15" t="s">
        <v>9141</v>
      </c>
      <c r="AI670" s="15" t="s">
        <v>9142</v>
      </c>
      <c r="AJ670" s="15" t="s">
        <v>9143</v>
      </c>
      <c r="AK670" s="15" t="s">
        <v>9141</v>
      </c>
      <c r="AL670" s="15" t="s">
        <v>9144</v>
      </c>
      <c r="AM670" s="16" t="s">
        <v>9141</v>
      </c>
      <c r="AN670" s="16" t="s">
        <v>9145</v>
      </c>
    </row>
    <row r="671" spans="1:40" x14ac:dyDescent="0.25">
      <c r="A671" s="4" t="s">
        <v>8797</v>
      </c>
      <c r="B671" s="4"/>
      <c r="C671" s="4" t="s">
        <v>39</v>
      </c>
      <c r="D671" s="4" t="s">
        <v>8798</v>
      </c>
      <c r="E671" s="4" t="s">
        <v>8799</v>
      </c>
      <c r="F671" s="10">
        <v>45559</v>
      </c>
      <c r="G671" s="11">
        <v>0.51041666666666663</v>
      </c>
      <c r="H671" s="4" t="s">
        <v>5666</v>
      </c>
      <c r="I671" s="4" t="s">
        <v>8782</v>
      </c>
      <c r="J671" s="4" t="s">
        <v>8783</v>
      </c>
      <c r="K671" s="4" t="s">
        <v>8800</v>
      </c>
      <c r="L671" s="4" t="s">
        <v>8801</v>
      </c>
      <c r="M671" s="4" t="s">
        <v>46</v>
      </c>
      <c r="N671" s="4"/>
      <c r="O671" s="4" t="s">
        <v>47</v>
      </c>
      <c r="P671" s="4" t="s">
        <v>60</v>
      </c>
      <c r="Q671" s="4">
        <v>0</v>
      </c>
      <c r="R671" s="4" t="b">
        <v>0</v>
      </c>
      <c r="S671" s="4" t="s">
        <v>114</v>
      </c>
      <c r="T671" s="4" t="s">
        <v>89</v>
      </c>
      <c r="U671" s="4" t="s">
        <v>148</v>
      </c>
      <c r="V671" s="4" t="s">
        <v>52</v>
      </c>
      <c r="W671" s="4" t="s">
        <v>53</v>
      </c>
      <c r="X671" s="4" t="s">
        <v>54</v>
      </c>
      <c r="Y671" s="4"/>
      <c r="Z671" s="12">
        <v>0</v>
      </c>
      <c r="AA671" s="13" t="s">
        <v>9154</v>
      </c>
      <c r="AB671" s="13" t="s">
        <v>9155</v>
      </c>
      <c r="AC671" s="14" t="s">
        <v>9157</v>
      </c>
      <c r="AD671" s="14" t="s">
        <v>9140</v>
      </c>
      <c r="AE671" s="14" t="s">
        <v>9140</v>
      </c>
      <c r="AF671" s="14" t="s">
        <v>52</v>
      </c>
      <c r="AG671" s="14" t="s">
        <v>54</v>
      </c>
      <c r="AH671" s="15" t="s">
        <v>9220</v>
      </c>
      <c r="AI671" s="15" t="s">
        <v>9199</v>
      </c>
      <c r="AJ671" s="15" t="s">
        <v>9143</v>
      </c>
      <c r="AK671" s="15" t="s">
        <v>9221</v>
      </c>
      <c r="AL671" s="15" t="s">
        <v>9199</v>
      </c>
      <c r="AM671" s="16" t="s">
        <v>9221</v>
      </c>
      <c r="AN671" s="16" t="s">
        <v>9238</v>
      </c>
    </row>
    <row r="672" spans="1:40" x14ac:dyDescent="0.25">
      <c r="A672" s="4" t="s">
        <v>769</v>
      </c>
      <c r="B672" s="4"/>
      <c r="C672" s="4" t="s">
        <v>39</v>
      </c>
      <c r="D672" s="4" t="s">
        <v>770</v>
      </c>
      <c r="E672" s="4" t="s">
        <v>771</v>
      </c>
      <c r="F672" s="10">
        <v>45559</v>
      </c>
      <c r="G672" s="11">
        <v>0.33888888888888891</v>
      </c>
      <c r="H672" s="4" t="s">
        <v>463</v>
      </c>
      <c r="I672" s="4">
        <v>2026</v>
      </c>
      <c r="J672" s="4" t="s">
        <v>756</v>
      </c>
      <c r="K672" s="4" t="s">
        <v>772</v>
      </c>
      <c r="L672" s="4" t="s">
        <v>773</v>
      </c>
      <c r="M672" s="4" t="s">
        <v>46</v>
      </c>
      <c r="N672" s="4"/>
      <c r="O672" s="4" t="s">
        <v>47</v>
      </c>
      <c r="P672" s="4" t="s">
        <v>48</v>
      </c>
      <c r="Q672" s="4">
        <v>0</v>
      </c>
      <c r="R672" s="4" t="b">
        <v>0</v>
      </c>
      <c r="S672" s="4" t="s">
        <v>61</v>
      </c>
      <c r="T672" s="4" t="s">
        <v>134</v>
      </c>
      <c r="U672" s="4" t="s">
        <v>618</v>
      </c>
      <c r="V672" s="4" t="s">
        <v>52</v>
      </c>
      <c r="W672" s="4" t="s">
        <v>255</v>
      </c>
      <c r="X672" s="4" t="s">
        <v>774</v>
      </c>
      <c r="Y672" s="4" t="s">
        <v>775</v>
      </c>
      <c r="Z672" s="12">
        <v>0</v>
      </c>
      <c r="AA672" s="13" t="s">
        <v>9154</v>
      </c>
      <c r="AB672" s="13" t="s">
        <v>9155</v>
      </c>
      <c r="AC672" s="14" t="s">
        <v>9148</v>
      </c>
      <c r="AD672" s="14" t="s">
        <v>9140</v>
      </c>
      <c r="AE672" s="14" t="s">
        <v>9140</v>
      </c>
      <c r="AF672" s="14" t="s">
        <v>52</v>
      </c>
      <c r="AG672" s="14" t="s">
        <v>774</v>
      </c>
      <c r="AH672" s="15" t="s">
        <v>9141</v>
      </c>
      <c r="AI672" s="15" t="s">
        <v>9175</v>
      </c>
      <c r="AJ672" s="15" t="s">
        <v>9143</v>
      </c>
      <c r="AK672" s="15" t="s">
        <v>9141</v>
      </c>
      <c r="AL672" s="15" t="s">
        <v>9177</v>
      </c>
      <c r="AM672" s="16" t="s">
        <v>9141</v>
      </c>
      <c r="AN672" s="16" t="s">
        <v>9178</v>
      </c>
    </row>
    <row r="673" spans="1:40" x14ac:dyDescent="0.25">
      <c r="A673" s="4" t="s">
        <v>1403</v>
      </c>
      <c r="B673" s="4"/>
      <c r="C673" s="4" t="s">
        <v>39</v>
      </c>
      <c r="D673" s="4" t="s">
        <v>1404</v>
      </c>
      <c r="E673" s="4" t="s">
        <v>1405</v>
      </c>
      <c r="F673" s="10">
        <v>45559</v>
      </c>
      <c r="G673" s="11">
        <v>0.45555555555555555</v>
      </c>
      <c r="H673" s="4" t="s">
        <v>1366</v>
      </c>
      <c r="I673" s="4">
        <v>5058</v>
      </c>
      <c r="J673" s="4" t="s">
        <v>1406</v>
      </c>
      <c r="K673" s="4" t="s">
        <v>1407</v>
      </c>
      <c r="L673" s="4" t="s">
        <v>1408</v>
      </c>
      <c r="M673" s="4" t="s">
        <v>28</v>
      </c>
      <c r="N673" s="4" t="s">
        <v>183</v>
      </c>
      <c r="O673" s="4" t="s">
        <v>174</v>
      </c>
      <c r="P673" s="4" t="s">
        <v>48</v>
      </c>
      <c r="Q673" s="4">
        <v>34</v>
      </c>
      <c r="R673" s="4" t="b">
        <v>0</v>
      </c>
      <c r="S673" s="4" t="s">
        <v>184</v>
      </c>
      <c r="T673" s="4" t="s">
        <v>115</v>
      </c>
      <c r="U673" s="4" t="s">
        <v>148</v>
      </c>
      <c r="V673" s="4" t="s">
        <v>52</v>
      </c>
      <c r="W673" s="4" t="s">
        <v>53</v>
      </c>
      <c r="X673" s="4" t="s">
        <v>54</v>
      </c>
      <c r="Y673" s="4"/>
      <c r="Z673" s="12" t="s">
        <v>48</v>
      </c>
      <c r="AA673" s="13" t="s">
        <v>9154</v>
      </c>
      <c r="AB673" s="13" t="s">
        <v>9155</v>
      </c>
      <c r="AC673" s="14" t="s">
        <v>9166</v>
      </c>
      <c r="AD673" s="14" t="s">
        <v>28</v>
      </c>
      <c r="AE673" s="14" t="s">
        <v>183</v>
      </c>
      <c r="AF673" s="14" t="s">
        <v>52</v>
      </c>
      <c r="AG673" s="14" t="s">
        <v>54</v>
      </c>
      <c r="AH673" s="15" t="s">
        <v>9141</v>
      </c>
      <c r="AI673" s="15" t="s">
        <v>9188</v>
      </c>
      <c r="AJ673" s="15" t="s">
        <v>9143</v>
      </c>
      <c r="AK673" s="15" t="s">
        <v>9141</v>
      </c>
      <c r="AL673" s="15" t="s">
        <v>9189</v>
      </c>
      <c r="AM673" s="16" t="s">
        <v>9141</v>
      </c>
      <c r="AN673" s="16" t="s">
        <v>9190</v>
      </c>
    </row>
    <row r="674" spans="1:40" x14ac:dyDescent="0.25">
      <c r="A674" s="4" t="s">
        <v>8050</v>
      </c>
      <c r="B674" s="4" t="s">
        <v>8051</v>
      </c>
      <c r="C674" s="4" t="s">
        <v>39</v>
      </c>
      <c r="D674" s="4" t="s">
        <v>8022</v>
      </c>
      <c r="E674" s="4" t="s">
        <v>8023</v>
      </c>
      <c r="F674" s="10">
        <v>45559</v>
      </c>
      <c r="G674" s="11">
        <v>0.60416666666666663</v>
      </c>
      <c r="H674" s="4" t="s">
        <v>4910</v>
      </c>
      <c r="I674" s="4" t="s">
        <v>8017</v>
      </c>
      <c r="J674" s="4" t="s">
        <v>8018</v>
      </c>
      <c r="K674" s="4" t="s">
        <v>8052</v>
      </c>
      <c r="L674" s="4" t="s">
        <v>8053</v>
      </c>
      <c r="M674" s="4" t="s">
        <v>28</v>
      </c>
      <c r="N674" s="4" t="s">
        <v>478</v>
      </c>
      <c r="O674" s="4" t="s">
        <v>174</v>
      </c>
      <c r="P674" s="4" t="s">
        <v>48</v>
      </c>
      <c r="Q674" s="4">
        <v>0</v>
      </c>
      <c r="R674" s="4" t="b">
        <v>0</v>
      </c>
      <c r="S674" s="4" t="s">
        <v>49</v>
      </c>
      <c r="T674" s="4" t="s">
        <v>115</v>
      </c>
      <c r="U674" s="4" t="s">
        <v>71</v>
      </c>
      <c r="V674" s="4" t="s">
        <v>52</v>
      </c>
      <c r="W674" s="4" t="s">
        <v>53</v>
      </c>
      <c r="X674" s="4" t="s">
        <v>54</v>
      </c>
      <c r="Y674" s="4"/>
      <c r="Z674" s="12" t="s">
        <v>48</v>
      </c>
      <c r="AA674" s="13" t="s">
        <v>9154</v>
      </c>
      <c r="AB674" s="13" t="s">
        <v>9155</v>
      </c>
      <c r="AC674" s="14" t="s">
        <v>9139</v>
      </c>
      <c r="AD674" s="14" t="s">
        <v>28</v>
      </c>
      <c r="AE674" s="14" t="s">
        <v>478</v>
      </c>
      <c r="AF674" s="14" t="s">
        <v>52</v>
      </c>
      <c r="AG674" s="14" t="s">
        <v>54</v>
      </c>
      <c r="AH674" s="15" t="s">
        <v>9220</v>
      </c>
      <c r="AI674" s="15" t="s">
        <v>9191</v>
      </c>
      <c r="AJ674" s="15" t="s">
        <v>9143</v>
      </c>
      <c r="AK674" s="15" t="s">
        <v>9221</v>
      </c>
      <c r="AL674" s="15" t="s">
        <v>9234</v>
      </c>
      <c r="AM674" s="16" t="s">
        <v>9221</v>
      </c>
      <c r="AN674" s="16" t="s">
        <v>9235</v>
      </c>
    </row>
    <row r="675" spans="1:40" x14ac:dyDescent="0.25">
      <c r="A675" s="4" t="s">
        <v>8140</v>
      </c>
      <c r="B675" s="4"/>
      <c r="C675" s="4" t="s">
        <v>39</v>
      </c>
      <c r="D675" s="4" t="s">
        <v>8141</v>
      </c>
      <c r="E675" s="4" t="s">
        <v>8142</v>
      </c>
      <c r="F675" s="10">
        <v>45559</v>
      </c>
      <c r="G675" s="11">
        <v>0.4375</v>
      </c>
      <c r="H675" s="4" t="s">
        <v>4516</v>
      </c>
      <c r="I675" s="4" t="s">
        <v>8133</v>
      </c>
      <c r="J675" s="4" t="s">
        <v>8134</v>
      </c>
      <c r="K675" s="4" t="s">
        <v>181</v>
      </c>
      <c r="L675" s="4" t="s">
        <v>8143</v>
      </c>
      <c r="M675" s="4" t="s">
        <v>46</v>
      </c>
      <c r="N675" s="4"/>
      <c r="O675" s="4" t="s">
        <v>47</v>
      </c>
      <c r="P675" s="4" t="s">
        <v>48</v>
      </c>
      <c r="Q675" s="4">
        <v>0</v>
      </c>
      <c r="R675" s="4" t="b">
        <v>0</v>
      </c>
      <c r="S675" s="4" t="s">
        <v>49</v>
      </c>
      <c r="T675" s="4" t="s">
        <v>115</v>
      </c>
      <c r="U675" s="4" t="s">
        <v>175</v>
      </c>
      <c r="V675" s="4" t="s">
        <v>52</v>
      </c>
      <c r="W675" s="4" t="s">
        <v>53</v>
      </c>
      <c r="X675" s="4" t="s">
        <v>54</v>
      </c>
      <c r="Y675" s="4" t="s">
        <v>2052</v>
      </c>
      <c r="Z675" s="12">
        <v>0</v>
      </c>
      <c r="AA675" s="13" t="s">
        <v>9154</v>
      </c>
      <c r="AB675" s="13" t="s">
        <v>9155</v>
      </c>
      <c r="AC675" s="14" t="s">
        <v>9139</v>
      </c>
      <c r="AD675" s="14" t="s">
        <v>9140</v>
      </c>
      <c r="AE675" s="14" t="s">
        <v>9140</v>
      </c>
      <c r="AF675" s="14" t="s">
        <v>52</v>
      </c>
      <c r="AG675" s="14" t="s">
        <v>54</v>
      </c>
      <c r="AH675" s="15" t="s">
        <v>9220</v>
      </c>
      <c r="AI675" s="15" t="s">
        <v>9188</v>
      </c>
      <c r="AJ675" s="15" t="s">
        <v>9143</v>
      </c>
      <c r="AK675" s="15" t="s">
        <v>9221</v>
      </c>
      <c r="AL675" s="15" t="s">
        <v>9230</v>
      </c>
      <c r="AM675" s="16" t="s">
        <v>9221</v>
      </c>
      <c r="AN675" s="16" t="s">
        <v>9231</v>
      </c>
    </row>
    <row r="676" spans="1:40" x14ac:dyDescent="0.25">
      <c r="A676" s="4" t="s">
        <v>7292</v>
      </c>
      <c r="B676" s="4">
        <v>7266455</v>
      </c>
      <c r="C676" s="4" t="s">
        <v>39</v>
      </c>
      <c r="D676" s="4" t="s">
        <v>7293</v>
      </c>
      <c r="E676" s="4" t="s">
        <v>7294</v>
      </c>
      <c r="F676" s="10">
        <v>45558</v>
      </c>
      <c r="G676" s="11">
        <v>0.41666666666666669</v>
      </c>
      <c r="H676" s="4" t="s">
        <v>4516</v>
      </c>
      <c r="I676" s="4" t="s">
        <v>7295</v>
      </c>
      <c r="J676" s="4" t="s">
        <v>3265</v>
      </c>
      <c r="K676" s="4" t="s">
        <v>7296</v>
      </c>
      <c r="L676" s="4" t="s">
        <v>7297</v>
      </c>
      <c r="M676" s="4" t="s">
        <v>28</v>
      </c>
      <c r="N676" s="4" t="s">
        <v>478</v>
      </c>
      <c r="O676" s="4" t="s">
        <v>174</v>
      </c>
      <c r="P676" s="4" t="s">
        <v>48</v>
      </c>
      <c r="Q676" s="4">
        <v>41</v>
      </c>
      <c r="R676" s="4" t="b">
        <v>0</v>
      </c>
      <c r="S676" s="4" t="s">
        <v>184</v>
      </c>
      <c r="T676" s="4" t="s">
        <v>583</v>
      </c>
      <c r="U676" s="4" t="s">
        <v>140</v>
      </c>
      <c r="V676" s="4" t="s">
        <v>123</v>
      </c>
      <c r="W676" s="4" t="s">
        <v>192</v>
      </c>
      <c r="X676" s="4" t="s">
        <v>54</v>
      </c>
      <c r="Y676" s="4" t="s">
        <v>302</v>
      </c>
      <c r="Z676" s="12" t="s">
        <v>48</v>
      </c>
      <c r="AA676" s="13" t="s">
        <v>9154</v>
      </c>
      <c r="AB676" s="13" t="s">
        <v>9155</v>
      </c>
      <c r="AC676" s="14" t="s">
        <v>9166</v>
      </c>
      <c r="AD676" s="14" t="s">
        <v>28</v>
      </c>
      <c r="AE676" s="14" t="s">
        <v>478</v>
      </c>
      <c r="AF676" s="14" t="s">
        <v>123</v>
      </c>
      <c r="AG676" s="14" t="s">
        <v>54</v>
      </c>
      <c r="AH676" s="15" t="s">
        <v>9220</v>
      </c>
      <c r="AI676" s="15" t="s">
        <v>9188</v>
      </c>
      <c r="AJ676" s="15" t="s">
        <v>9143</v>
      </c>
      <c r="AK676" s="15" t="s">
        <v>9221</v>
      </c>
      <c r="AL676" s="15" t="s">
        <v>9236</v>
      </c>
      <c r="AM676" s="16" t="s">
        <v>9221</v>
      </c>
      <c r="AN676" s="16" t="s">
        <v>9237</v>
      </c>
    </row>
    <row r="677" spans="1:40" x14ac:dyDescent="0.25">
      <c r="A677" s="4" t="s">
        <v>434</v>
      </c>
      <c r="B677" s="4"/>
      <c r="C677" s="4" t="s">
        <v>39</v>
      </c>
      <c r="D677" s="4" t="s">
        <v>435</v>
      </c>
      <c r="E677" s="4" t="s">
        <v>436</v>
      </c>
      <c r="F677" s="10">
        <v>45558</v>
      </c>
      <c r="G677" s="11">
        <v>0.66041666666666665</v>
      </c>
      <c r="H677" s="4" t="s">
        <v>42</v>
      </c>
      <c r="I677" s="4">
        <v>1013</v>
      </c>
      <c r="J677" s="4" t="s">
        <v>422</v>
      </c>
      <c r="K677" s="4" t="s">
        <v>437</v>
      </c>
      <c r="L677" s="4" t="s">
        <v>438</v>
      </c>
      <c r="M677" s="4" t="s">
        <v>46</v>
      </c>
      <c r="N677" s="4"/>
      <c r="O677" s="4" t="s">
        <v>47</v>
      </c>
      <c r="P677" s="4" t="s">
        <v>48</v>
      </c>
      <c r="Q677" s="4">
        <v>0</v>
      </c>
      <c r="R677" s="4" t="b">
        <v>0</v>
      </c>
      <c r="S677" s="4" t="s">
        <v>61</v>
      </c>
      <c r="T677" s="4" t="s">
        <v>50</v>
      </c>
      <c r="U677" s="4" t="s">
        <v>218</v>
      </c>
      <c r="V677" s="4" t="s">
        <v>63</v>
      </c>
      <c r="W677" s="4" t="s">
        <v>108</v>
      </c>
      <c r="X677" s="4" t="s">
        <v>54</v>
      </c>
      <c r="Y677" s="4"/>
      <c r="Z677" s="12">
        <v>0</v>
      </c>
      <c r="AA677" s="13" t="s">
        <v>9154</v>
      </c>
      <c r="AB677" s="13" t="s">
        <v>9155</v>
      </c>
      <c r="AC677" s="14" t="s">
        <v>9148</v>
      </c>
      <c r="AD677" s="14" t="s">
        <v>9140</v>
      </c>
      <c r="AE677" s="14" t="s">
        <v>9140</v>
      </c>
      <c r="AF677" s="14" t="s">
        <v>63</v>
      </c>
      <c r="AG677" s="14" t="s">
        <v>54</v>
      </c>
      <c r="AH677" s="15" t="s">
        <v>9141</v>
      </c>
      <c r="AI677" s="15" t="s">
        <v>9142</v>
      </c>
      <c r="AJ677" s="15" t="s">
        <v>9143</v>
      </c>
      <c r="AK677" s="15" t="s">
        <v>9141</v>
      </c>
      <c r="AL677" s="15" t="s">
        <v>9144</v>
      </c>
      <c r="AM677" s="16" t="s">
        <v>9141</v>
      </c>
      <c r="AN677" s="16" t="s">
        <v>9145</v>
      </c>
    </row>
    <row r="678" spans="1:40" x14ac:dyDescent="0.25">
      <c r="A678" s="4" t="s">
        <v>573</v>
      </c>
      <c r="B678" s="4"/>
      <c r="C678" s="4" t="s">
        <v>39</v>
      </c>
      <c r="D678" s="4" t="s">
        <v>574</v>
      </c>
      <c r="E678" s="4" t="s">
        <v>575</v>
      </c>
      <c r="F678" s="10">
        <v>45557</v>
      </c>
      <c r="G678" s="11">
        <v>0.65625</v>
      </c>
      <c r="H678" s="4" t="s">
        <v>463</v>
      </c>
      <c r="I678" s="4">
        <v>2022</v>
      </c>
      <c r="J678" s="4" t="s">
        <v>565</v>
      </c>
      <c r="K678" s="4" t="s">
        <v>576</v>
      </c>
      <c r="L678" s="4" t="s">
        <v>577</v>
      </c>
      <c r="M678" s="4" t="s">
        <v>46</v>
      </c>
      <c r="N678" s="4"/>
      <c r="O678" s="4" t="s">
        <v>47</v>
      </c>
      <c r="P678" s="4" t="s">
        <v>48</v>
      </c>
      <c r="Q678" s="4">
        <v>0</v>
      </c>
      <c r="R678" s="4" t="b">
        <v>0</v>
      </c>
      <c r="S678" s="4" t="s">
        <v>114</v>
      </c>
      <c r="T678" s="4" t="s">
        <v>70</v>
      </c>
      <c r="U678" s="4" t="s">
        <v>71</v>
      </c>
      <c r="V678" s="4" t="s">
        <v>63</v>
      </c>
      <c r="W678" s="4" t="s">
        <v>312</v>
      </c>
      <c r="X678" s="4" t="s">
        <v>54</v>
      </c>
      <c r="Y678" s="4"/>
      <c r="Z678" s="12">
        <v>0</v>
      </c>
      <c r="AA678" s="13" t="s">
        <v>9154</v>
      </c>
      <c r="AB678" s="13" t="s">
        <v>9155</v>
      </c>
      <c r="AC678" s="14" t="s">
        <v>9157</v>
      </c>
      <c r="AD678" s="14" t="s">
        <v>9140</v>
      </c>
      <c r="AE678" s="14" t="s">
        <v>9140</v>
      </c>
      <c r="AF678" s="14" t="s">
        <v>63</v>
      </c>
      <c r="AG678" s="14" t="s">
        <v>54</v>
      </c>
      <c r="AH678" s="15" t="s">
        <v>9141</v>
      </c>
      <c r="AI678" s="15" t="s">
        <v>9175</v>
      </c>
      <c r="AJ678" s="15" t="s">
        <v>9143</v>
      </c>
      <c r="AK678" s="15" t="s">
        <v>9141</v>
      </c>
      <c r="AL678" s="15" t="s">
        <v>9175</v>
      </c>
      <c r="AM678" s="16" t="s">
        <v>9141</v>
      </c>
      <c r="AN678" s="16" t="s">
        <v>9176</v>
      </c>
    </row>
    <row r="679" spans="1:40" x14ac:dyDescent="0.25">
      <c r="A679" s="4" t="s">
        <v>4694</v>
      </c>
      <c r="B679" s="4"/>
      <c r="C679" s="4" t="s">
        <v>39</v>
      </c>
      <c r="D679" s="4" t="s">
        <v>4695</v>
      </c>
      <c r="E679" s="4" t="s">
        <v>4696</v>
      </c>
      <c r="F679" s="10">
        <v>45557</v>
      </c>
      <c r="G679" s="11">
        <v>0.48888888888888887</v>
      </c>
      <c r="H679" s="4" t="s">
        <v>4659</v>
      </c>
      <c r="I679" s="4" t="s">
        <v>4660</v>
      </c>
      <c r="J679" s="4" t="s">
        <v>4661</v>
      </c>
      <c r="K679" s="4" t="s">
        <v>4697</v>
      </c>
      <c r="L679" s="4" t="s">
        <v>4698</v>
      </c>
      <c r="M679" s="4" t="s">
        <v>46</v>
      </c>
      <c r="N679" s="4"/>
      <c r="O679" s="4" t="s">
        <v>47</v>
      </c>
      <c r="P679" s="4" t="s">
        <v>48</v>
      </c>
      <c r="Q679" s="4">
        <v>0</v>
      </c>
      <c r="R679" s="4" t="b">
        <v>0</v>
      </c>
      <c r="S679" s="4" t="s">
        <v>49</v>
      </c>
      <c r="T679" s="4" t="s">
        <v>50</v>
      </c>
      <c r="U679" s="4" t="s">
        <v>373</v>
      </c>
      <c r="V679" s="4" t="s">
        <v>63</v>
      </c>
      <c r="W679" s="4" t="s">
        <v>108</v>
      </c>
      <c r="X679" s="4" t="s">
        <v>54</v>
      </c>
      <c r="Y679" s="4"/>
      <c r="Z679" s="12">
        <v>0</v>
      </c>
      <c r="AA679" s="13" t="s">
        <v>9154</v>
      </c>
      <c r="AB679" s="13" t="s">
        <v>9155</v>
      </c>
      <c r="AC679" s="14" t="s">
        <v>9139</v>
      </c>
      <c r="AD679" s="14" t="s">
        <v>9140</v>
      </c>
      <c r="AE679" s="14" t="s">
        <v>9140</v>
      </c>
      <c r="AF679" s="14" t="s">
        <v>63</v>
      </c>
      <c r="AG679" s="14" t="s">
        <v>54</v>
      </c>
      <c r="AH679" s="15" t="s">
        <v>9220</v>
      </c>
      <c r="AI679" s="15" t="s">
        <v>9142</v>
      </c>
      <c r="AJ679" s="15" t="s">
        <v>9143</v>
      </c>
      <c r="AK679" s="15" t="s">
        <v>9221</v>
      </c>
      <c r="AL679" s="15" t="s">
        <v>9228</v>
      </c>
      <c r="AM679" s="16" t="s">
        <v>9221</v>
      </c>
      <c r="AN679" s="16" t="s">
        <v>9229</v>
      </c>
    </row>
    <row r="680" spans="1:40" x14ac:dyDescent="0.25">
      <c r="A680" s="4" t="s">
        <v>8097</v>
      </c>
      <c r="B680" s="4"/>
      <c r="C680" s="4" t="s">
        <v>39</v>
      </c>
      <c r="D680" s="4" t="s">
        <v>8091</v>
      </c>
      <c r="E680" s="4" t="s">
        <v>8092</v>
      </c>
      <c r="F680" s="10">
        <v>45556</v>
      </c>
      <c r="G680" s="11">
        <v>0.4375</v>
      </c>
      <c r="H680" s="4" t="s">
        <v>4019</v>
      </c>
      <c r="I680" s="4" t="s">
        <v>8093</v>
      </c>
      <c r="J680" s="4" t="s">
        <v>8094</v>
      </c>
      <c r="K680" s="4" t="s">
        <v>8098</v>
      </c>
      <c r="L680" s="4" t="s">
        <v>8099</v>
      </c>
      <c r="M680" s="4" t="s">
        <v>46</v>
      </c>
      <c r="N680" s="4"/>
      <c r="O680" s="4" t="s">
        <v>47</v>
      </c>
      <c r="P680" s="4" t="s">
        <v>60</v>
      </c>
      <c r="Q680" s="4">
        <v>0</v>
      </c>
      <c r="R680" s="4" t="b">
        <v>0</v>
      </c>
      <c r="S680" s="4" t="s">
        <v>49</v>
      </c>
      <c r="T680" s="4" t="s">
        <v>89</v>
      </c>
      <c r="U680" s="4" t="s">
        <v>140</v>
      </c>
      <c r="V680" s="4" t="s">
        <v>123</v>
      </c>
      <c r="W680" s="4" t="s">
        <v>149</v>
      </c>
      <c r="X680" s="4" t="s">
        <v>54</v>
      </c>
      <c r="Y680" s="4"/>
      <c r="Z680" s="12">
        <v>0</v>
      </c>
      <c r="AA680" s="13" t="s">
        <v>9154</v>
      </c>
      <c r="AB680" s="13" t="s">
        <v>9155</v>
      </c>
      <c r="AC680" s="14" t="s">
        <v>9139</v>
      </c>
      <c r="AD680" s="14" t="s">
        <v>9140</v>
      </c>
      <c r="AE680" s="14" t="s">
        <v>9140</v>
      </c>
      <c r="AF680" s="14" t="s">
        <v>123</v>
      </c>
      <c r="AG680" s="14" t="s">
        <v>54</v>
      </c>
      <c r="AH680" s="15" t="s">
        <v>9220</v>
      </c>
      <c r="AI680" s="15" t="s">
        <v>9175</v>
      </c>
      <c r="AJ680" s="15" t="s">
        <v>9143</v>
      </c>
      <c r="AK680" s="15" t="s">
        <v>9221</v>
      </c>
      <c r="AL680" s="15" t="s">
        <v>9222</v>
      </c>
      <c r="AM680" s="16" t="s">
        <v>9221</v>
      </c>
      <c r="AN680" s="16" t="s">
        <v>9223</v>
      </c>
    </row>
    <row r="681" spans="1:40" x14ac:dyDescent="0.25">
      <c r="A681" s="4" t="s">
        <v>960</v>
      </c>
      <c r="B681" s="4">
        <v>12240032595</v>
      </c>
      <c r="C681" s="4" t="s">
        <v>39</v>
      </c>
      <c r="D681" s="4" t="s">
        <v>961</v>
      </c>
      <c r="E681" s="4" t="s">
        <v>962</v>
      </c>
      <c r="F681" s="10">
        <v>45556</v>
      </c>
      <c r="G681" s="11">
        <v>0.48958333333333331</v>
      </c>
      <c r="H681" s="4" t="s">
        <v>463</v>
      </c>
      <c r="I681" s="4">
        <v>2033</v>
      </c>
      <c r="J681" s="4" t="s">
        <v>952</v>
      </c>
      <c r="K681" s="4" t="s">
        <v>963</v>
      </c>
      <c r="L681" s="4" t="s">
        <v>964</v>
      </c>
      <c r="M681" s="4" t="s">
        <v>28</v>
      </c>
      <c r="N681" s="4" t="s">
        <v>183</v>
      </c>
      <c r="O681" s="4" t="s">
        <v>174</v>
      </c>
      <c r="P681" s="4" t="s">
        <v>48</v>
      </c>
      <c r="Q681" s="4">
        <v>11</v>
      </c>
      <c r="R681" s="4" t="b">
        <v>0</v>
      </c>
      <c r="S681" s="4" t="s">
        <v>49</v>
      </c>
      <c r="T681" s="4" t="s">
        <v>89</v>
      </c>
      <c r="U681" s="4" t="s">
        <v>51</v>
      </c>
      <c r="V681" s="4" t="s">
        <v>52</v>
      </c>
      <c r="W681" s="4" t="s">
        <v>135</v>
      </c>
      <c r="X681" s="4" t="s">
        <v>54</v>
      </c>
      <c r="Y681" s="4"/>
      <c r="Z681" s="12" t="s">
        <v>48</v>
      </c>
      <c r="AA681" s="13" t="s">
        <v>9154</v>
      </c>
      <c r="AB681" s="13" t="s">
        <v>9155</v>
      </c>
      <c r="AC681" s="14" t="s">
        <v>9139</v>
      </c>
      <c r="AD681" s="14" t="s">
        <v>28</v>
      </c>
      <c r="AE681" s="14" t="s">
        <v>183</v>
      </c>
      <c r="AF681" s="14" t="s">
        <v>52</v>
      </c>
      <c r="AG681" s="14" t="s">
        <v>54</v>
      </c>
      <c r="AH681" s="15" t="s">
        <v>9141</v>
      </c>
      <c r="AI681" s="15" t="s">
        <v>9175</v>
      </c>
      <c r="AJ681" s="15" t="s">
        <v>9143</v>
      </c>
      <c r="AK681" s="15" t="s">
        <v>9141</v>
      </c>
      <c r="AL681" s="15" t="s">
        <v>9175</v>
      </c>
      <c r="AM681" s="16" t="s">
        <v>9141</v>
      </c>
      <c r="AN681" s="16" t="s">
        <v>9176</v>
      </c>
    </row>
    <row r="682" spans="1:40" x14ac:dyDescent="0.25">
      <c r="A682" s="4" t="s">
        <v>3953</v>
      </c>
      <c r="B682" s="4"/>
      <c r="C682" s="4" t="s">
        <v>39</v>
      </c>
      <c r="D682" s="4" t="s">
        <v>3954</v>
      </c>
      <c r="E682" s="4" t="s">
        <v>3955</v>
      </c>
      <c r="F682" s="10">
        <v>45556</v>
      </c>
      <c r="G682" s="11">
        <v>0.52083333333333337</v>
      </c>
      <c r="H682" s="4" t="s">
        <v>2095</v>
      </c>
      <c r="I682" s="4" t="s">
        <v>3949</v>
      </c>
      <c r="J682" s="4" t="s">
        <v>1412</v>
      </c>
      <c r="K682" s="4" t="s">
        <v>3956</v>
      </c>
      <c r="L682" s="4" t="s">
        <v>3957</v>
      </c>
      <c r="M682" s="4" t="s">
        <v>46</v>
      </c>
      <c r="N682" s="4"/>
      <c r="O682" s="4" t="s">
        <v>47</v>
      </c>
      <c r="P682" s="4" t="s">
        <v>48</v>
      </c>
      <c r="Q682" s="4">
        <v>0</v>
      </c>
      <c r="R682" s="4" t="b">
        <v>0</v>
      </c>
      <c r="S682" s="4" t="s">
        <v>49</v>
      </c>
      <c r="T682" s="4" t="s">
        <v>70</v>
      </c>
      <c r="U682" s="4" t="s">
        <v>71</v>
      </c>
      <c r="V682" s="4" t="s">
        <v>63</v>
      </c>
      <c r="W682" s="4" t="s">
        <v>108</v>
      </c>
      <c r="X682" s="4" t="s">
        <v>54</v>
      </c>
      <c r="Y682" s="4"/>
      <c r="Z682" s="12">
        <v>0</v>
      </c>
      <c r="AA682" s="13" t="s">
        <v>9154</v>
      </c>
      <c r="AB682" s="13" t="s">
        <v>9155</v>
      </c>
      <c r="AC682" s="14" t="s">
        <v>9139</v>
      </c>
      <c r="AD682" s="14" t="s">
        <v>9140</v>
      </c>
      <c r="AE682" s="14" t="s">
        <v>9140</v>
      </c>
      <c r="AF682" s="14" t="s">
        <v>63</v>
      </c>
      <c r="AG682" s="14" t="s">
        <v>54</v>
      </c>
      <c r="AH682" s="15" t="s">
        <v>9194</v>
      </c>
      <c r="AI682" s="15" t="s">
        <v>9188</v>
      </c>
      <c r="AJ682" s="15" t="s">
        <v>9143</v>
      </c>
      <c r="AK682" s="15" t="s">
        <v>9194</v>
      </c>
      <c r="AL682" s="15" t="s">
        <v>9211</v>
      </c>
      <c r="AM682" s="16" t="s">
        <v>9194</v>
      </c>
      <c r="AN682" s="16" t="s">
        <v>9212</v>
      </c>
    </row>
    <row r="683" spans="1:40" x14ac:dyDescent="0.25">
      <c r="A683" s="4" t="s">
        <v>439</v>
      </c>
      <c r="B683" s="4"/>
      <c r="C683" s="4" t="s">
        <v>39</v>
      </c>
      <c r="D683" s="4" t="s">
        <v>440</v>
      </c>
      <c r="E683" s="4" t="s">
        <v>441</v>
      </c>
      <c r="F683" s="10">
        <v>45555</v>
      </c>
      <c r="G683" s="11">
        <v>0.49861111111111112</v>
      </c>
      <c r="H683" s="4" t="s">
        <v>42</v>
      </c>
      <c r="I683" s="4">
        <v>1013</v>
      </c>
      <c r="J683" s="4" t="s">
        <v>422</v>
      </c>
      <c r="K683" s="4" t="s">
        <v>442</v>
      </c>
      <c r="L683" s="4" t="s">
        <v>443</v>
      </c>
      <c r="M683" s="4" t="s">
        <v>46</v>
      </c>
      <c r="N683" s="4"/>
      <c r="O683" s="4" t="s">
        <v>47</v>
      </c>
      <c r="P683" s="4" t="s">
        <v>48</v>
      </c>
      <c r="Q683" s="4">
        <v>0</v>
      </c>
      <c r="R683" s="4" t="b">
        <v>0</v>
      </c>
      <c r="S683" s="4" t="s">
        <v>49</v>
      </c>
      <c r="T683" s="4" t="s">
        <v>433</v>
      </c>
      <c r="U683" s="4" t="s">
        <v>80</v>
      </c>
      <c r="V683" s="4" t="s">
        <v>63</v>
      </c>
      <c r="W683" s="4" t="s">
        <v>108</v>
      </c>
      <c r="X683" s="4" t="s">
        <v>83</v>
      </c>
      <c r="Y683" s="4"/>
      <c r="Z683" s="12">
        <v>0</v>
      </c>
      <c r="AA683" s="13" t="s">
        <v>9154</v>
      </c>
      <c r="AB683" s="13" t="s">
        <v>9155</v>
      </c>
      <c r="AC683" s="14" t="s">
        <v>9139</v>
      </c>
      <c r="AD683" s="14" t="s">
        <v>9140</v>
      </c>
      <c r="AE683" s="14" t="s">
        <v>9140</v>
      </c>
      <c r="AF683" s="14" t="s">
        <v>63</v>
      </c>
      <c r="AG683" s="14" t="s">
        <v>83</v>
      </c>
      <c r="AH683" s="15" t="s">
        <v>9141</v>
      </c>
      <c r="AI683" s="15" t="s">
        <v>9142</v>
      </c>
      <c r="AJ683" s="15" t="s">
        <v>9143</v>
      </c>
      <c r="AK683" s="15" t="s">
        <v>9141</v>
      </c>
      <c r="AL683" s="15" t="s">
        <v>9144</v>
      </c>
      <c r="AM683" s="16" t="s">
        <v>9141</v>
      </c>
      <c r="AN683" s="16" t="s">
        <v>9145</v>
      </c>
    </row>
    <row r="684" spans="1:40" x14ac:dyDescent="0.25">
      <c r="A684" s="4" t="s">
        <v>4902</v>
      </c>
      <c r="B684" s="4"/>
      <c r="C684" s="4" t="s">
        <v>39</v>
      </c>
      <c r="D684" s="4" t="s">
        <v>4903</v>
      </c>
      <c r="E684" s="4" t="s">
        <v>4904</v>
      </c>
      <c r="F684" s="10">
        <v>45555</v>
      </c>
      <c r="G684" s="11">
        <v>0.60416666666666663</v>
      </c>
      <c r="H684" s="4" t="s">
        <v>4019</v>
      </c>
      <c r="I684" s="4" t="s">
        <v>4899</v>
      </c>
      <c r="J684" s="4" t="s">
        <v>2831</v>
      </c>
      <c r="K684" s="4" t="s">
        <v>4905</v>
      </c>
      <c r="L684" s="4" t="s">
        <v>4906</v>
      </c>
      <c r="M684" s="4" t="s">
        <v>46</v>
      </c>
      <c r="N684" s="4"/>
      <c r="O684" s="4" t="s">
        <v>47</v>
      </c>
      <c r="P684" s="4" t="s">
        <v>48</v>
      </c>
      <c r="Q684" s="4">
        <v>0</v>
      </c>
      <c r="R684" s="4" t="b">
        <v>0</v>
      </c>
      <c r="S684" s="4" t="s">
        <v>61</v>
      </c>
      <c r="T684" s="4" t="s">
        <v>50</v>
      </c>
      <c r="U684" s="4" t="s">
        <v>71</v>
      </c>
      <c r="V684" s="4" t="s">
        <v>63</v>
      </c>
      <c r="W684" s="4" t="s">
        <v>784</v>
      </c>
      <c r="X684" s="4" t="s">
        <v>54</v>
      </c>
      <c r="Y684" s="4"/>
      <c r="Z684" s="12">
        <v>0</v>
      </c>
      <c r="AA684" s="13" t="s">
        <v>9154</v>
      </c>
      <c r="AB684" s="13" t="s">
        <v>9155</v>
      </c>
      <c r="AC684" s="14" t="s">
        <v>9148</v>
      </c>
      <c r="AD684" s="14" t="s">
        <v>9140</v>
      </c>
      <c r="AE684" s="14" t="s">
        <v>9140</v>
      </c>
      <c r="AF684" s="14" t="s">
        <v>63</v>
      </c>
      <c r="AG684" s="14" t="s">
        <v>54</v>
      </c>
      <c r="AH684" s="15" t="s">
        <v>9220</v>
      </c>
      <c r="AI684" s="15" t="s">
        <v>9175</v>
      </c>
      <c r="AJ684" s="15" t="s">
        <v>9143</v>
      </c>
      <c r="AK684" s="15" t="s">
        <v>9221</v>
      </c>
      <c r="AL684" s="15" t="s">
        <v>9224</v>
      </c>
      <c r="AM684" s="16" t="s">
        <v>9221</v>
      </c>
      <c r="AN684" s="16" t="s">
        <v>9225</v>
      </c>
    </row>
    <row r="685" spans="1:40" x14ac:dyDescent="0.25">
      <c r="A685" s="4" t="s">
        <v>5956</v>
      </c>
      <c r="B685" s="4"/>
      <c r="C685" s="4" t="s">
        <v>39</v>
      </c>
      <c r="D685" s="4" t="s">
        <v>5957</v>
      </c>
      <c r="E685" s="4" t="s">
        <v>5958</v>
      </c>
      <c r="F685" s="10">
        <v>45553</v>
      </c>
      <c r="G685" s="11">
        <v>0.40277777777777779</v>
      </c>
      <c r="H685" s="4" t="s">
        <v>4242</v>
      </c>
      <c r="I685" s="4" t="s">
        <v>5918</v>
      </c>
      <c r="J685" s="4" t="s">
        <v>5919</v>
      </c>
      <c r="K685" s="4" t="s">
        <v>5959</v>
      </c>
      <c r="L685" s="4" t="s">
        <v>5960</v>
      </c>
      <c r="M685" s="4" t="s">
        <v>46</v>
      </c>
      <c r="N685" s="4"/>
      <c r="O685" s="4" t="s">
        <v>47</v>
      </c>
      <c r="P685" s="4" t="s">
        <v>48</v>
      </c>
      <c r="Q685" s="4">
        <v>0</v>
      </c>
      <c r="R685" s="4" t="b">
        <v>0</v>
      </c>
      <c r="S685" s="4" t="s">
        <v>61</v>
      </c>
      <c r="T685" s="4" t="s">
        <v>50</v>
      </c>
      <c r="U685" s="4" t="s">
        <v>165</v>
      </c>
      <c r="V685" s="4" t="s">
        <v>72</v>
      </c>
      <c r="W685" s="4" t="s">
        <v>73</v>
      </c>
      <c r="X685" s="4" t="s">
        <v>54</v>
      </c>
      <c r="Y685" s="4"/>
      <c r="Z685" s="12">
        <v>0</v>
      </c>
      <c r="AA685" s="13" t="s">
        <v>9154</v>
      </c>
      <c r="AB685" s="13" t="s">
        <v>9155</v>
      </c>
      <c r="AC685" s="14" t="s">
        <v>9148</v>
      </c>
      <c r="AD685" s="14" t="s">
        <v>9140</v>
      </c>
      <c r="AE685" s="14" t="s">
        <v>9140</v>
      </c>
      <c r="AF685" s="14" t="s">
        <v>72</v>
      </c>
      <c r="AG685" s="14" t="s">
        <v>54</v>
      </c>
      <c r="AH685" s="15" t="s">
        <v>9220</v>
      </c>
      <c r="AI685" s="15" t="s">
        <v>9187</v>
      </c>
      <c r="AJ685" s="15" t="s">
        <v>9143</v>
      </c>
      <c r="AK685" s="15" t="s">
        <v>9221</v>
      </c>
      <c r="AL685" s="15" t="s">
        <v>9226</v>
      </c>
      <c r="AM685" s="16" t="s">
        <v>9221</v>
      </c>
      <c r="AN685" s="16" t="s">
        <v>9227</v>
      </c>
    </row>
    <row r="686" spans="1:40" x14ac:dyDescent="0.25">
      <c r="A686" s="4" t="s">
        <v>7932</v>
      </c>
      <c r="B686" s="4"/>
      <c r="C686" s="4" t="s">
        <v>39</v>
      </c>
      <c r="D686" s="4" t="s">
        <v>7933</v>
      </c>
      <c r="E686" s="4" t="s">
        <v>7934</v>
      </c>
      <c r="F686" s="10">
        <v>45553</v>
      </c>
      <c r="G686" s="11">
        <v>0.33333333333333331</v>
      </c>
      <c r="H686" s="4" t="s">
        <v>4516</v>
      </c>
      <c r="I686" s="4" t="s">
        <v>7915</v>
      </c>
      <c r="J686" s="4" t="s">
        <v>7916</v>
      </c>
      <c r="K686" s="4" t="s">
        <v>725</v>
      </c>
      <c r="L686" s="4" t="s">
        <v>7935</v>
      </c>
      <c r="M686" s="4" t="s">
        <v>46</v>
      </c>
      <c r="N686" s="4"/>
      <c r="O686" s="4" t="s">
        <v>47</v>
      </c>
      <c r="P686" s="4" t="s">
        <v>48</v>
      </c>
      <c r="Q686" s="4">
        <v>0</v>
      </c>
      <c r="R686" s="4" t="b">
        <v>0</v>
      </c>
      <c r="S686" s="4" t="s">
        <v>49</v>
      </c>
      <c r="T686" s="4" t="s">
        <v>583</v>
      </c>
      <c r="U686" s="4" t="s">
        <v>600</v>
      </c>
      <c r="V686" s="4" t="s">
        <v>52</v>
      </c>
      <c r="W686" s="4" t="s">
        <v>255</v>
      </c>
      <c r="X686" s="4" t="s">
        <v>54</v>
      </c>
      <c r="Y686" s="4"/>
      <c r="Z686" s="12">
        <v>0</v>
      </c>
      <c r="AA686" s="13" t="s">
        <v>9154</v>
      </c>
      <c r="AB686" s="13" t="s">
        <v>9155</v>
      </c>
      <c r="AC686" s="14" t="s">
        <v>9139</v>
      </c>
      <c r="AD686" s="14" t="s">
        <v>9140</v>
      </c>
      <c r="AE686" s="14" t="s">
        <v>9140</v>
      </c>
      <c r="AF686" s="14" t="s">
        <v>52</v>
      </c>
      <c r="AG686" s="14" t="s">
        <v>54</v>
      </c>
      <c r="AH686" s="15" t="s">
        <v>9220</v>
      </c>
      <c r="AI686" s="15" t="s">
        <v>9188</v>
      </c>
      <c r="AJ686" s="15" t="s">
        <v>9143</v>
      </c>
      <c r="AK686" s="15" t="s">
        <v>9221</v>
      </c>
      <c r="AL686" s="15" t="s">
        <v>9230</v>
      </c>
      <c r="AM686" s="16" t="s">
        <v>9221</v>
      </c>
      <c r="AN686" s="16" t="s">
        <v>9231</v>
      </c>
    </row>
    <row r="687" spans="1:40" x14ac:dyDescent="0.25">
      <c r="A687" s="4" t="s">
        <v>230</v>
      </c>
      <c r="B687" s="4"/>
      <c r="C687" s="4" t="s">
        <v>39</v>
      </c>
      <c r="D687" s="4" t="s">
        <v>231</v>
      </c>
      <c r="E687" s="4" t="s">
        <v>232</v>
      </c>
      <c r="F687" s="10">
        <v>45553</v>
      </c>
      <c r="G687" s="11">
        <v>0.65833333333333333</v>
      </c>
      <c r="H687" s="4" t="s">
        <v>42</v>
      </c>
      <c r="I687" s="4">
        <v>1011</v>
      </c>
      <c r="J687" s="4" t="s">
        <v>215</v>
      </c>
      <c r="K687" s="4" t="s">
        <v>233</v>
      </c>
      <c r="L687" s="4" t="s">
        <v>234</v>
      </c>
      <c r="M687" s="4" t="s">
        <v>46</v>
      </c>
      <c r="N687" s="4"/>
      <c r="O687" s="4" t="s">
        <v>47</v>
      </c>
      <c r="P687" s="4" t="s">
        <v>48</v>
      </c>
      <c r="Q687" s="4">
        <v>0</v>
      </c>
      <c r="R687" s="4" t="b">
        <v>0</v>
      </c>
      <c r="S687" s="4" t="s">
        <v>49</v>
      </c>
      <c r="T687" s="4" t="s">
        <v>70</v>
      </c>
      <c r="U687" s="4" t="s">
        <v>71</v>
      </c>
      <c r="V687" s="4" t="s">
        <v>72</v>
      </c>
      <c r="W687" s="4" t="s">
        <v>73</v>
      </c>
      <c r="X687" s="4" t="s">
        <v>54</v>
      </c>
      <c r="Y687" s="4"/>
      <c r="Z687" s="12">
        <v>0</v>
      </c>
      <c r="AA687" s="13" t="s">
        <v>9154</v>
      </c>
      <c r="AB687" s="13" t="s">
        <v>9155</v>
      </c>
      <c r="AC687" s="14" t="s">
        <v>9139</v>
      </c>
      <c r="AD687" s="14" t="s">
        <v>9140</v>
      </c>
      <c r="AE687" s="14" t="s">
        <v>9140</v>
      </c>
      <c r="AF687" s="14" t="s">
        <v>72</v>
      </c>
      <c r="AG687" s="14" t="s">
        <v>54</v>
      </c>
      <c r="AH687" s="15" t="s">
        <v>9141</v>
      </c>
      <c r="AI687" s="15" t="s">
        <v>9142</v>
      </c>
      <c r="AJ687" s="15" t="s">
        <v>9143</v>
      </c>
      <c r="AK687" s="15" t="s">
        <v>9141</v>
      </c>
      <c r="AL687" s="15" t="s">
        <v>9144</v>
      </c>
      <c r="AM687" s="16" t="s">
        <v>9141</v>
      </c>
      <c r="AN687" s="16" t="s">
        <v>9145</v>
      </c>
    </row>
    <row r="688" spans="1:40" x14ac:dyDescent="0.25">
      <c r="A688" s="4" t="s">
        <v>1899</v>
      </c>
      <c r="B688" s="4"/>
      <c r="C688" s="4" t="s">
        <v>39</v>
      </c>
      <c r="D688" s="4" t="s">
        <v>1900</v>
      </c>
      <c r="E688" s="4" t="s">
        <v>1901</v>
      </c>
      <c r="F688" s="10">
        <v>45552</v>
      </c>
      <c r="G688" s="11">
        <v>0.4375</v>
      </c>
      <c r="H688" s="4" t="s">
        <v>1654</v>
      </c>
      <c r="I688" s="4">
        <v>9098</v>
      </c>
      <c r="J688" s="4" t="s">
        <v>1896</v>
      </c>
      <c r="K688" s="4" t="s">
        <v>1902</v>
      </c>
      <c r="L688" s="4" t="s">
        <v>1903</v>
      </c>
      <c r="M688" s="4" t="s">
        <v>46</v>
      </c>
      <c r="N688" s="4"/>
      <c r="O688" s="4" t="s">
        <v>47</v>
      </c>
      <c r="P688" s="4" t="s">
        <v>48</v>
      </c>
      <c r="Q688" s="4">
        <v>0</v>
      </c>
      <c r="R688" s="4" t="b">
        <v>0</v>
      </c>
      <c r="S688" s="4" t="s">
        <v>61</v>
      </c>
      <c r="T688" s="4" t="s">
        <v>50</v>
      </c>
      <c r="U688" s="4" t="s">
        <v>71</v>
      </c>
      <c r="V688" s="4" t="s">
        <v>72</v>
      </c>
      <c r="W688" s="4" t="s">
        <v>73</v>
      </c>
      <c r="X688" s="4" t="s">
        <v>54</v>
      </c>
      <c r="Y688" s="4"/>
      <c r="Z688" s="12">
        <v>0</v>
      </c>
      <c r="AA688" s="13" t="s">
        <v>9154</v>
      </c>
      <c r="AB688" s="13" t="s">
        <v>9155</v>
      </c>
      <c r="AC688" s="14" t="s">
        <v>9148</v>
      </c>
      <c r="AD688" s="14" t="s">
        <v>9140</v>
      </c>
      <c r="AE688" s="14" t="s">
        <v>9140</v>
      </c>
      <c r="AF688" s="14" t="s">
        <v>72</v>
      </c>
      <c r="AG688" s="14" t="s">
        <v>54</v>
      </c>
      <c r="AH688" s="15" t="s">
        <v>9141</v>
      </c>
      <c r="AI688" s="15" t="s">
        <v>9191</v>
      </c>
      <c r="AJ688" s="15" t="s">
        <v>9143</v>
      </c>
      <c r="AK688" s="15" t="s">
        <v>9141</v>
      </c>
      <c r="AL688" s="15" t="s">
        <v>9191</v>
      </c>
      <c r="AM688" s="16" t="s">
        <v>9141</v>
      </c>
      <c r="AN688" s="16" t="s">
        <v>9192</v>
      </c>
    </row>
    <row r="689" spans="1:40" x14ac:dyDescent="0.25">
      <c r="A689" s="4" t="s">
        <v>7774</v>
      </c>
      <c r="B689" s="4">
        <v>7230675</v>
      </c>
      <c r="C689" s="4" t="s">
        <v>39</v>
      </c>
      <c r="D689" s="4" t="s">
        <v>7775</v>
      </c>
      <c r="E689" s="4" t="s">
        <v>7776</v>
      </c>
      <c r="F689" s="10">
        <v>45552</v>
      </c>
      <c r="G689" s="11">
        <v>0.62847222222222221</v>
      </c>
      <c r="H689" s="4" t="s">
        <v>4516</v>
      </c>
      <c r="I689" s="4" t="s">
        <v>7760</v>
      </c>
      <c r="J689" s="4" t="s">
        <v>7761</v>
      </c>
      <c r="K689" s="4" t="s">
        <v>7777</v>
      </c>
      <c r="L689" s="4" t="s">
        <v>7778</v>
      </c>
      <c r="M689" s="4" t="s">
        <v>28</v>
      </c>
      <c r="N689" s="4" t="s">
        <v>478</v>
      </c>
      <c r="O689" s="4" t="s">
        <v>47</v>
      </c>
      <c r="P689" s="4" t="s">
        <v>48</v>
      </c>
      <c r="Q689" s="4">
        <v>0</v>
      </c>
      <c r="R689" s="4" t="b">
        <v>0</v>
      </c>
      <c r="S689" s="4" t="s">
        <v>49</v>
      </c>
      <c r="T689" s="4" t="s">
        <v>70</v>
      </c>
      <c r="U689" s="4" t="s">
        <v>480</v>
      </c>
      <c r="V689" s="4" t="s">
        <v>63</v>
      </c>
      <c r="W689" s="4" t="s">
        <v>108</v>
      </c>
      <c r="X689" s="4" t="s">
        <v>54</v>
      </c>
      <c r="Y689" s="4"/>
      <c r="Z689" s="12" t="s">
        <v>48</v>
      </c>
      <c r="AA689" s="13" t="s">
        <v>9154</v>
      </c>
      <c r="AB689" s="13" t="s">
        <v>9155</v>
      </c>
      <c r="AC689" s="14" t="s">
        <v>9139</v>
      </c>
      <c r="AD689" s="14" t="s">
        <v>28</v>
      </c>
      <c r="AE689" s="14" t="s">
        <v>478</v>
      </c>
      <c r="AF689" s="14" t="s">
        <v>63</v>
      </c>
      <c r="AG689" s="14" t="s">
        <v>54</v>
      </c>
      <c r="AH689" s="15" t="s">
        <v>9220</v>
      </c>
      <c r="AI689" s="15" t="s">
        <v>9188</v>
      </c>
      <c r="AJ689" s="15" t="s">
        <v>9143</v>
      </c>
      <c r="AK689" s="15" t="s">
        <v>9221</v>
      </c>
      <c r="AL689" s="15" t="s">
        <v>9230</v>
      </c>
      <c r="AM689" s="16" t="s">
        <v>9221</v>
      </c>
      <c r="AN689" s="16" t="s">
        <v>9231</v>
      </c>
    </row>
    <row r="690" spans="1:40" x14ac:dyDescent="0.25">
      <c r="A690" s="4" t="s">
        <v>7345</v>
      </c>
      <c r="B690" s="4"/>
      <c r="C690" s="4" t="s">
        <v>39</v>
      </c>
      <c r="D690" s="4" t="s">
        <v>7346</v>
      </c>
      <c r="E690" s="4" t="s">
        <v>7347</v>
      </c>
      <c r="F690" s="10">
        <v>45552</v>
      </c>
      <c r="G690" s="11">
        <v>0.58333333333333337</v>
      </c>
      <c r="H690" s="4" t="s">
        <v>4019</v>
      </c>
      <c r="I690" s="4" t="s">
        <v>7315</v>
      </c>
      <c r="J690" s="4" t="s">
        <v>1037</v>
      </c>
      <c r="K690" s="4" t="s">
        <v>7348</v>
      </c>
      <c r="L690" s="4" t="s">
        <v>7349</v>
      </c>
      <c r="M690" s="4" t="s">
        <v>46</v>
      </c>
      <c r="N690" s="4"/>
      <c r="O690" s="4" t="s">
        <v>47</v>
      </c>
      <c r="P690" s="4" t="s">
        <v>60</v>
      </c>
      <c r="Q690" s="4">
        <v>0</v>
      </c>
      <c r="R690" s="4" t="b">
        <v>0</v>
      </c>
      <c r="S690" s="4" t="s">
        <v>49</v>
      </c>
      <c r="T690" s="4" t="s">
        <v>50</v>
      </c>
      <c r="U690" s="4" t="s">
        <v>71</v>
      </c>
      <c r="V690" s="4" t="s">
        <v>72</v>
      </c>
      <c r="W690" s="4" t="s">
        <v>73</v>
      </c>
      <c r="X690" s="4" t="s">
        <v>54</v>
      </c>
      <c r="Y690" s="4"/>
      <c r="Z690" s="12">
        <v>0</v>
      </c>
      <c r="AA690" s="13" t="s">
        <v>9154</v>
      </c>
      <c r="AB690" s="13" t="s">
        <v>9155</v>
      </c>
      <c r="AC690" s="14" t="s">
        <v>9139</v>
      </c>
      <c r="AD690" s="14" t="s">
        <v>9140</v>
      </c>
      <c r="AE690" s="14" t="s">
        <v>9140</v>
      </c>
      <c r="AF690" s="14" t="s">
        <v>72</v>
      </c>
      <c r="AG690" s="14" t="s">
        <v>54</v>
      </c>
      <c r="AH690" s="15" t="s">
        <v>9220</v>
      </c>
      <c r="AI690" s="15" t="s">
        <v>9175</v>
      </c>
      <c r="AJ690" s="15" t="s">
        <v>9143</v>
      </c>
      <c r="AK690" s="15" t="s">
        <v>9221</v>
      </c>
      <c r="AL690" s="15" t="s">
        <v>9222</v>
      </c>
      <c r="AM690" s="16" t="s">
        <v>9221</v>
      </c>
      <c r="AN690" s="16" t="s">
        <v>9223</v>
      </c>
    </row>
    <row r="691" spans="1:40" x14ac:dyDescent="0.25">
      <c r="A691" s="4" t="s">
        <v>1950</v>
      </c>
      <c r="B691" s="4">
        <v>12240028402</v>
      </c>
      <c r="C691" s="4" t="s">
        <v>39</v>
      </c>
      <c r="D691" s="4" t="s">
        <v>1951</v>
      </c>
      <c r="E691" s="4" t="s">
        <v>1952</v>
      </c>
      <c r="F691" s="10">
        <v>45551</v>
      </c>
      <c r="G691" s="11">
        <v>0.34375</v>
      </c>
      <c r="H691" s="4" t="s">
        <v>1939</v>
      </c>
      <c r="I691" s="4" t="s">
        <v>1940</v>
      </c>
      <c r="J691" s="4" t="s">
        <v>1941</v>
      </c>
      <c r="K691" s="4" t="s">
        <v>1953</v>
      </c>
      <c r="L691" s="4" t="s">
        <v>1954</v>
      </c>
      <c r="M691" s="4" t="s">
        <v>28</v>
      </c>
      <c r="N691" s="4" t="s">
        <v>183</v>
      </c>
      <c r="O691" s="4" t="s">
        <v>863</v>
      </c>
      <c r="P691" s="4" t="s">
        <v>60</v>
      </c>
      <c r="Q691" s="4">
        <v>122</v>
      </c>
      <c r="R691" s="4" t="b">
        <v>0</v>
      </c>
      <c r="S691" s="4" t="s">
        <v>114</v>
      </c>
      <c r="T691" s="4" t="s">
        <v>115</v>
      </c>
      <c r="U691" s="4" t="s">
        <v>51</v>
      </c>
      <c r="V691" s="4" t="s">
        <v>123</v>
      </c>
      <c r="W691" s="4" t="s">
        <v>124</v>
      </c>
      <c r="X691" s="4" t="s">
        <v>978</v>
      </c>
      <c r="Y691" s="4"/>
      <c r="Z691" s="12" t="s">
        <v>60</v>
      </c>
      <c r="AA691" s="13" t="s">
        <v>9154</v>
      </c>
      <c r="AB691" s="13" t="s">
        <v>9155</v>
      </c>
      <c r="AC691" s="14" t="s">
        <v>9157</v>
      </c>
      <c r="AD691" s="14" t="s">
        <v>28</v>
      </c>
      <c r="AE691" s="14" t="s">
        <v>183</v>
      </c>
      <c r="AF691" s="14" t="s">
        <v>123</v>
      </c>
      <c r="AG691" s="14" t="s">
        <v>978</v>
      </c>
      <c r="AH691" s="15" t="s">
        <v>9194</v>
      </c>
      <c r="AI691" s="15" t="s">
        <v>9175</v>
      </c>
      <c r="AJ691" s="15" t="s">
        <v>9143</v>
      </c>
      <c r="AK691" s="15" t="s">
        <v>9194</v>
      </c>
      <c r="AL691" s="15" t="s">
        <v>9195</v>
      </c>
      <c r="AM691" s="16" t="s">
        <v>9194</v>
      </c>
      <c r="AN691" s="16" t="s">
        <v>9196</v>
      </c>
    </row>
    <row r="692" spans="1:40" x14ac:dyDescent="0.25">
      <c r="A692" s="4" t="s">
        <v>2664</v>
      </c>
      <c r="B692" s="4"/>
      <c r="C692" s="4" t="s">
        <v>39</v>
      </c>
      <c r="D692" s="4" t="s">
        <v>2665</v>
      </c>
      <c r="E692" s="4" t="s">
        <v>2666</v>
      </c>
      <c r="F692" s="10">
        <v>45551</v>
      </c>
      <c r="G692" s="11">
        <v>0.59375</v>
      </c>
      <c r="H692" s="4" t="s">
        <v>2095</v>
      </c>
      <c r="I692" s="4" t="s">
        <v>2660</v>
      </c>
      <c r="J692" s="4" t="s">
        <v>2661</v>
      </c>
      <c r="K692" s="4" t="s">
        <v>2667</v>
      </c>
      <c r="L692" s="4" t="s">
        <v>2668</v>
      </c>
      <c r="M692" s="4" t="s">
        <v>46</v>
      </c>
      <c r="N692" s="4"/>
      <c r="O692" s="4" t="s">
        <v>47</v>
      </c>
      <c r="P692" s="4" t="s">
        <v>48</v>
      </c>
      <c r="Q692" s="4">
        <v>0</v>
      </c>
      <c r="R692" s="4" t="b">
        <v>0</v>
      </c>
      <c r="S692" s="4" t="s">
        <v>49</v>
      </c>
      <c r="T692" s="4" t="s">
        <v>50</v>
      </c>
      <c r="U692" s="4" t="s">
        <v>71</v>
      </c>
      <c r="V692" s="4" t="s">
        <v>63</v>
      </c>
      <c r="W692" s="4" t="s">
        <v>312</v>
      </c>
      <c r="X692" s="4" t="s">
        <v>54</v>
      </c>
      <c r="Y692" s="4"/>
      <c r="Z692" s="12">
        <v>0</v>
      </c>
      <c r="AA692" s="13" t="s">
        <v>9154</v>
      </c>
      <c r="AB692" s="13" t="s">
        <v>9155</v>
      </c>
      <c r="AC692" s="14" t="s">
        <v>9139</v>
      </c>
      <c r="AD692" s="14" t="s">
        <v>9140</v>
      </c>
      <c r="AE692" s="14" t="s">
        <v>9140</v>
      </c>
      <c r="AF692" s="14" t="s">
        <v>63</v>
      </c>
      <c r="AG692" s="14" t="s">
        <v>54</v>
      </c>
      <c r="AH692" s="15" t="s">
        <v>9194</v>
      </c>
      <c r="AI692" s="15" t="s">
        <v>9188</v>
      </c>
      <c r="AJ692" s="15" t="s">
        <v>9143</v>
      </c>
      <c r="AK692" s="15" t="s">
        <v>9194</v>
      </c>
      <c r="AL692" s="15" t="s">
        <v>9211</v>
      </c>
      <c r="AM692" s="16" t="s">
        <v>9194</v>
      </c>
      <c r="AN692" s="16" t="s">
        <v>9212</v>
      </c>
    </row>
    <row r="693" spans="1:40" x14ac:dyDescent="0.25">
      <c r="A693" s="4" t="s">
        <v>2196</v>
      </c>
      <c r="B693" s="4"/>
      <c r="C693" s="4" t="s">
        <v>39</v>
      </c>
      <c r="D693" s="4" t="s">
        <v>2197</v>
      </c>
      <c r="E693" s="4" t="s">
        <v>2198</v>
      </c>
      <c r="F693" s="10">
        <v>45550</v>
      </c>
      <c r="G693" s="11">
        <v>0.64097222222222228</v>
      </c>
      <c r="H693" s="4" t="s">
        <v>2017</v>
      </c>
      <c r="I693" s="4" t="s">
        <v>2191</v>
      </c>
      <c r="J693" s="4" t="s">
        <v>2192</v>
      </c>
      <c r="K693" s="4" t="s">
        <v>2199</v>
      </c>
      <c r="L693" s="4" t="s">
        <v>2200</v>
      </c>
      <c r="M693" s="4" t="s">
        <v>46</v>
      </c>
      <c r="N693" s="4"/>
      <c r="O693" s="4" t="s">
        <v>47</v>
      </c>
      <c r="P693" s="4" t="s">
        <v>48</v>
      </c>
      <c r="Q693" s="4">
        <v>0</v>
      </c>
      <c r="R693" s="4" t="b">
        <v>0</v>
      </c>
      <c r="S693" s="4" t="s">
        <v>49</v>
      </c>
      <c r="T693" s="4" t="s">
        <v>70</v>
      </c>
      <c r="U693" s="4" t="s">
        <v>1918</v>
      </c>
      <c r="V693" s="4" t="s">
        <v>72</v>
      </c>
      <c r="W693" s="4" t="s">
        <v>73</v>
      </c>
      <c r="X693" s="4" t="s">
        <v>978</v>
      </c>
      <c r="Y693" s="4" t="s">
        <v>486</v>
      </c>
      <c r="Z693" s="12">
        <v>0</v>
      </c>
      <c r="AA693" s="13" t="s">
        <v>9154</v>
      </c>
      <c r="AB693" s="13" t="s">
        <v>9155</v>
      </c>
      <c r="AC693" s="14" t="s">
        <v>9139</v>
      </c>
      <c r="AD693" s="14" t="s">
        <v>9140</v>
      </c>
      <c r="AE693" s="14" t="s">
        <v>9140</v>
      </c>
      <c r="AF693" s="14" t="s">
        <v>72</v>
      </c>
      <c r="AG693" s="14" t="s">
        <v>978</v>
      </c>
      <c r="AH693" s="15" t="s">
        <v>9194</v>
      </c>
      <c r="AI693" s="15" t="s">
        <v>9199</v>
      </c>
      <c r="AJ693" s="15" t="s">
        <v>9143</v>
      </c>
      <c r="AK693" s="15" t="s">
        <v>9194</v>
      </c>
      <c r="AL693" s="15" t="s">
        <v>9199</v>
      </c>
      <c r="AM693" s="16" t="s">
        <v>9194</v>
      </c>
      <c r="AN693" s="16" t="s">
        <v>9200</v>
      </c>
    </row>
    <row r="694" spans="1:40" x14ac:dyDescent="0.25">
      <c r="A694" s="4" t="s">
        <v>7566</v>
      </c>
      <c r="B694" s="4"/>
      <c r="C694" s="4" t="s">
        <v>39</v>
      </c>
      <c r="D694" s="4" t="s">
        <v>7567</v>
      </c>
      <c r="E694" s="4" t="s">
        <v>7568</v>
      </c>
      <c r="F694" s="10">
        <v>45550</v>
      </c>
      <c r="G694" s="11">
        <v>0.71805555555555556</v>
      </c>
      <c r="H694" s="4" t="s">
        <v>4019</v>
      </c>
      <c r="I694" s="4" t="s">
        <v>7562</v>
      </c>
      <c r="J694" s="4" t="s">
        <v>7563</v>
      </c>
      <c r="K694" s="4" t="s">
        <v>7569</v>
      </c>
      <c r="L694" s="4" t="s">
        <v>7570</v>
      </c>
      <c r="M694" s="4" t="s">
        <v>46</v>
      </c>
      <c r="N694" s="4"/>
      <c r="O694" s="4" t="s">
        <v>47</v>
      </c>
      <c r="P694" s="4" t="s">
        <v>48</v>
      </c>
      <c r="Q694" s="4">
        <v>0</v>
      </c>
      <c r="R694" s="4" t="b">
        <v>0</v>
      </c>
      <c r="S694" s="4" t="s">
        <v>61</v>
      </c>
      <c r="T694" s="4" t="s">
        <v>50</v>
      </c>
      <c r="U694" s="4" t="s">
        <v>175</v>
      </c>
      <c r="V694" s="4" t="s">
        <v>63</v>
      </c>
      <c r="W694" s="4" t="s">
        <v>108</v>
      </c>
      <c r="X694" s="4" t="s">
        <v>98</v>
      </c>
      <c r="Y694" s="4"/>
      <c r="Z694" s="12">
        <v>0</v>
      </c>
      <c r="AA694" s="13" t="s">
        <v>9154</v>
      </c>
      <c r="AB694" s="13" t="s">
        <v>9155</v>
      </c>
      <c r="AC694" s="14" t="s">
        <v>9148</v>
      </c>
      <c r="AD694" s="14" t="s">
        <v>9140</v>
      </c>
      <c r="AE694" s="14" t="s">
        <v>9140</v>
      </c>
      <c r="AF694" s="14" t="s">
        <v>63</v>
      </c>
      <c r="AG694" s="14" t="s">
        <v>98</v>
      </c>
      <c r="AH694" s="15" t="s">
        <v>9220</v>
      </c>
      <c r="AI694" s="15" t="s">
        <v>9175</v>
      </c>
      <c r="AJ694" s="15" t="s">
        <v>9143</v>
      </c>
      <c r="AK694" s="15" t="s">
        <v>9221</v>
      </c>
      <c r="AL694" s="15" t="s">
        <v>9224</v>
      </c>
      <c r="AM694" s="16" t="s">
        <v>9221</v>
      </c>
      <c r="AN694" s="16" t="s">
        <v>9225</v>
      </c>
    </row>
    <row r="695" spans="1:40" x14ac:dyDescent="0.25">
      <c r="A695" s="4" t="s">
        <v>5520</v>
      </c>
      <c r="B695" s="4"/>
      <c r="C695" s="4" t="s">
        <v>39</v>
      </c>
      <c r="D695" s="4" t="s">
        <v>5521</v>
      </c>
      <c r="E695" s="4" t="s">
        <v>5522</v>
      </c>
      <c r="F695" s="10">
        <v>45549</v>
      </c>
      <c r="G695" s="11">
        <v>0.62152777777777779</v>
      </c>
      <c r="H695" s="4" t="s">
        <v>4910</v>
      </c>
      <c r="I695" s="4" t="s">
        <v>5502</v>
      </c>
      <c r="J695" s="4" t="s">
        <v>3354</v>
      </c>
      <c r="K695" s="4" t="s">
        <v>5523</v>
      </c>
      <c r="L695" s="4" t="s">
        <v>5524</v>
      </c>
      <c r="M695" s="4" t="s">
        <v>46</v>
      </c>
      <c r="N695" s="4"/>
      <c r="O695" s="4" t="s">
        <v>47</v>
      </c>
      <c r="P695" s="4" t="s">
        <v>48</v>
      </c>
      <c r="Q695" s="4">
        <v>0</v>
      </c>
      <c r="R695" s="4" t="b">
        <v>0</v>
      </c>
      <c r="S695" s="4" t="s">
        <v>49</v>
      </c>
      <c r="T695" s="4" t="s">
        <v>70</v>
      </c>
      <c r="U695" s="4" t="s">
        <v>71</v>
      </c>
      <c r="V695" s="4" t="s">
        <v>72</v>
      </c>
      <c r="W695" s="4" t="s">
        <v>97</v>
      </c>
      <c r="X695" s="4" t="s">
        <v>54</v>
      </c>
      <c r="Y695" s="4" t="s">
        <v>176</v>
      </c>
      <c r="Z695" s="12">
        <v>0</v>
      </c>
      <c r="AA695" s="13" t="s">
        <v>9154</v>
      </c>
      <c r="AB695" s="13" t="s">
        <v>9155</v>
      </c>
      <c r="AC695" s="14" t="s">
        <v>9139</v>
      </c>
      <c r="AD695" s="14" t="s">
        <v>9140</v>
      </c>
      <c r="AE695" s="14" t="s">
        <v>9140</v>
      </c>
      <c r="AF695" s="14" t="s">
        <v>72</v>
      </c>
      <c r="AG695" s="14" t="s">
        <v>54</v>
      </c>
      <c r="AH695" s="15" t="s">
        <v>9220</v>
      </c>
      <c r="AI695" s="15" t="s">
        <v>9191</v>
      </c>
      <c r="AJ695" s="15" t="s">
        <v>9143</v>
      </c>
      <c r="AK695" s="15" t="s">
        <v>9221</v>
      </c>
      <c r="AL695" s="15" t="s">
        <v>9234</v>
      </c>
      <c r="AM695" s="16" t="s">
        <v>9221</v>
      </c>
      <c r="AN695" s="16" t="s">
        <v>9235</v>
      </c>
    </row>
    <row r="696" spans="1:40" x14ac:dyDescent="0.25">
      <c r="A696" s="4" t="s">
        <v>1448</v>
      </c>
      <c r="B696" s="4"/>
      <c r="C696" s="4" t="s">
        <v>39</v>
      </c>
      <c r="D696" s="4" t="s">
        <v>1449</v>
      </c>
      <c r="E696" s="4" t="s">
        <v>1450</v>
      </c>
      <c r="F696" s="10">
        <v>45549</v>
      </c>
      <c r="G696" s="11">
        <v>0.33333333333333331</v>
      </c>
      <c r="H696" s="4" t="s">
        <v>1366</v>
      </c>
      <c r="I696" s="4">
        <v>5089</v>
      </c>
      <c r="J696" s="4" t="s">
        <v>1445</v>
      </c>
      <c r="K696" s="4" t="s">
        <v>1451</v>
      </c>
      <c r="L696" s="4" t="s">
        <v>1452</v>
      </c>
      <c r="M696" s="4" t="s">
        <v>46</v>
      </c>
      <c r="N696" s="4"/>
      <c r="O696" s="4" t="s">
        <v>47</v>
      </c>
      <c r="P696" s="4" t="s">
        <v>48</v>
      </c>
      <c r="Q696" s="4">
        <v>3</v>
      </c>
      <c r="R696" s="4" t="b">
        <v>0</v>
      </c>
      <c r="S696" s="4" t="s">
        <v>114</v>
      </c>
      <c r="T696" s="4" t="s">
        <v>89</v>
      </c>
      <c r="U696" s="4" t="s">
        <v>90</v>
      </c>
      <c r="V696" s="4" t="s">
        <v>123</v>
      </c>
      <c r="W696" s="4" t="s">
        <v>124</v>
      </c>
      <c r="X696" s="4" t="s">
        <v>54</v>
      </c>
      <c r="Y696" s="4"/>
      <c r="Z696" s="12">
        <v>0</v>
      </c>
      <c r="AA696" s="13" t="s">
        <v>9154</v>
      </c>
      <c r="AB696" s="13" t="s">
        <v>9155</v>
      </c>
      <c r="AC696" s="14" t="s">
        <v>9157</v>
      </c>
      <c r="AD696" s="14" t="s">
        <v>9140</v>
      </c>
      <c r="AE696" s="14" t="s">
        <v>9140</v>
      </c>
      <c r="AF696" s="14" t="s">
        <v>123</v>
      </c>
      <c r="AG696" s="14" t="s">
        <v>54</v>
      </c>
      <c r="AH696" s="15" t="s">
        <v>9141</v>
      </c>
      <c r="AI696" s="15" t="s">
        <v>9188</v>
      </c>
      <c r="AJ696" s="15" t="s">
        <v>9143</v>
      </c>
      <c r="AK696" s="15" t="s">
        <v>9141</v>
      </c>
      <c r="AL696" s="15" t="s">
        <v>9189</v>
      </c>
      <c r="AM696" s="16" t="s">
        <v>9141</v>
      </c>
      <c r="AN696" s="16" t="s">
        <v>9190</v>
      </c>
    </row>
    <row r="697" spans="1:40" x14ac:dyDescent="0.25">
      <c r="A697" s="4" t="s">
        <v>5138</v>
      </c>
      <c r="B697" s="4" t="s">
        <v>5139</v>
      </c>
      <c r="C697" s="4" t="s">
        <v>39</v>
      </c>
      <c r="D697" s="4" t="s">
        <v>5140</v>
      </c>
      <c r="E697" s="4" t="s">
        <v>5141</v>
      </c>
      <c r="F697" s="10">
        <v>45547</v>
      </c>
      <c r="G697" s="11">
        <v>0.60763888888888884</v>
      </c>
      <c r="H697" s="4" t="s">
        <v>4910</v>
      </c>
      <c r="I697" s="4" t="s">
        <v>5121</v>
      </c>
      <c r="J697" s="4" t="s">
        <v>1994</v>
      </c>
      <c r="K697" s="4" t="s">
        <v>5142</v>
      </c>
      <c r="L697" s="4" t="s">
        <v>5143</v>
      </c>
      <c r="M697" s="4" t="s">
        <v>28</v>
      </c>
      <c r="N697" s="4" t="s">
        <v>183</v>
      </c>
      <c r="O697" s="4" t="s">
        <v>344</v>
      </c>
      <c r="P697" s="4" t="s">
        <v>48</v>
      </c>
      <c r="Q697" s="4">
        <v>81</v>
      </c>
      <c r="R697" s="4" t="b">
        <v>0</v>
      </c>
      <c r="S697" s="4" t="s">
        <v>61</v>
      </c>
      <c r="T697" s="4" t="s">
        <v>583</v>
      </c>
      <c r="U697" s="4" t="s">
        <v>148</v>
      </c>
      <c r="V697" s="4" t="s">
        <v>52</v>
      </c>
      <c r="W697" s="4" t="s">
        <v>255</v>
      </c>
      <c r="X697" s="4" t="s">
        <v>54</v>
      </c>
      <c r="Y697" s="4"/>
      <c r="Z697" s="12" t="s">
        <v>48</v>
      </c>
      <c r="AA697" s="13" t="s">
        <v>9154</v>
      </c>
      <c r="AB697" s="13" t="s">
        <v>9155</v>
      </c>
      <c r="AC697" s="14" t="s">
        <v>9148</v>
      </c>
      <c r="AD697" s="14" t="s">
        <v>28</v>
      </c>
      <c r="AE697" s="14" t="s">
        <v>183</v>
      </c>
      <c r="AF697" s="14" t="s">
        <v>52</v>
      </c>
      <c r="AG697" s="14" t="s">
        <v>54</v>
      </c>
      <c r="AH697" s="15" t="s">
        <v>9220</v>
      </c>
      <c r="AI697" s="15" t="s">
        <v>9191</v>
      </c>
      <c r="AJ697" s="15" t="s">
        <v>9143</v>
      </c>
      <c r="AK697" s="15" t="s">
        <v>9221</v>
      </c>
      <c r="AL697" s="15" t="s">
        <v>9236</v>
      </c>
      <c r="AM697" s="16" t="s">
        <v>9221</v>
      </c>
      <c r="AN697" s="16" t="s">
        <v>9237</v>
      </c>
    </row>
    <row r="698" spans="1:40" x14ac:dyDescent="0.25">
      <c r="A698" s="4" t="s">
        <v>5568</v>
      </c>
      <c r="B698" s="4"/>
      <c r="C698" s="4" t="s">
        <v>39</v>
      </c>
      <c r="D698" s="4" t="s">
        <v>5569</v>
      </c>
      <c r="E698" s="4" t="s">
        <v>5570</v>
      </c>
      <c r="F698" s="10">
        <v>45546</v>
      </c>
      <c r="G698" s="11">
        <v>0.64583333333333337</v>
      </c>
      <c r="H698" s="4" t="s">
        <v>4910</v>
      </c>
      <c r="I698" s="4" t="s">
        <v>5555</v>
      </c>
      <c r="J698" s="4" t="s">
        <v>3170</v>
      </c>
      <c r="K698" s="4" t="s">
        <v>455</v>
      </c>
      <c r="L698" s="4" t="s">
        <v>5571</v>
      </c>
      <c r="M698" s="4" t="s">
        <v>46</v>
      </c>
      <c r="N698" s="4"/>
      <c r="O698" s="4" t="s">
        <v>47</v>
      </c>
      <c r="P698" s="4" t="s">
        <v>48</v>
      </c>
      <c r="Q698" s="4">
        <v>0</v>
      </c>
      <c r="R698" s="4" t="b">
        <v>0</v>
      </c>
      <c r="S698" s="4" t="s">
        <v>114</v>
      </c>
      <c r="T698" s="4" t="s">
        <v>583</v>
      </c>
      <c r="U698" s="4" t="s">
        <v>148</v>
      </c>
      <c r="V698" s="4" t="s">
        <v>52</v>
      </c>
      <c r="W698" s="4" t="s">
        <v>135</v>
      </c>
      <c r="X698" s="4" t="s">
        <v>54</v>
      </c>
      <c r="Y698" s="4"/>
      <c r="Z698" s="12">
        <v>0</v>
      </c>
      <c r="AA698" s="13" t="s">
        <v>9154</v>
      </c>
      <c r="AB698" s="13" t="s">
        <v>9155</v>
      </c>
      <c r="AC698" s="14" t="s">
        <v>9157</v>
      </c>
      <c r="AD698" s="14" t="s">
        <v>9140</v>
      </c>
      <c r="AE698" s="14" t="s">
        <v>9140</v>
      </c>
      <c r="AF698" s="14" t="s">
        <v>52</v>
      </c>
      <c r="AG698" s="14" t="s">
        <v>54</v>
      </c>
      <c r="AH698" s="15" t="s">
        <v>9220</v>
      </c>
      <c r="AI698" s="15" t="s">
        <v>9191</v>
      </c>
      <c r="AJ698" s="15" t="s">
        <v>9143</v>
      </c>
      <c r="AK698" s="15" t="s">
        <v>9221</v>
      </c>
      <c r="AL698" s="15" t="s">
        <v>9234</v>
      </c>
      <c r="AM698" s="16" t="s">
        <v>9221</v>
      </c>
      <c r="AN698" s="16" t="s">
        <v>9235</v>
      </c>
    </row>
    <row r="699" spans="1:40" x14ac:dyDescent="0.25">
      <c r="A699" s="4" t="s">
        <v>8985</v>
      </c>
      <c r="B699" s="4"/>
      <c r="C699" s="4" t="s">
        <v>39</v>
      </c>
      <c r="D699" s="4" t="s">
        <v>8986</v>
      </c>
      <c r="E699" s="4" t="s">
        <v>8987</v>
      </c>
      <c r="F699" s="10">
        <v>45546</v>
      </c>
      <c r="G699" s="11">
        <v>0.43402777777777779</v>
      </c>
      <c r="H699" s="4" t="s">
        <v>4019</v>
      </c>
      <c r="I699" s="4" t="s">
        <v>8971</v>
      </c>
      <c r="J699" s="4" t="s">
        <v>8972</v>
      </c>
      <c r="K699" s="4" t="s">
        <v>8988</v>
      </c>
      <c r="L699" s="4" t="s">
        <v>8989</v>
      </c>
      <c r="M699" s="4" t="s">
        <v>46</v>
      </c>
      <c r="N699" s="4"/>
      <c r="O699" s="4" t="s">
        <v>47</v>
      </c>
      <c r="P699" s="4" t="s">
        <v>48</v>
      </c>
      <c r="Q699" s="4">
        <v>0</v>
      </c>
      <c r="R699" s="4" t="b">
        <v>0</v>
      </c>
      <c r="S699" s="4" t="s">
        <v>61</v>
      </c>
      <c r="T699" s="4" t="s">
        <v>89</v>
      </c>
      <c r="U699" s="4" t="s">
        <v>107</v>
      </c>
      <c r="V699" s="4" t="s">
        <v>72</v>
      </c>
      <c r="W699" s="4" t="s">
        <v>73</v>
      </c>
      <c r="X699" s="4" t="s">
        <v>54</v>
      </c>
      <c r="Y699" s="4"/>
      <c r="Z699" s="12">
        <v>0</v>
      </c>
      <c r="AA699" s="13" t="s">
        <v>9154</v>
      </c>
      <c r="AB699" s="13" t="s">
        <v>9155</v>
      </c>
      <c r="AC699" s="14" t="s">
        <v>9148</v>
      </c>
      <c r="AD699" s="14" t="s">
        <v>9140</v>
      </c>
      <c r="AE699" s="14" t="s">
        <v>9140</v>
      </c>
      <c r="AF699" s="14" t="s">
        <v>72</v>
      </c>
      <c r="AG699" s="14" t="s">
        <v>54</v>
      </c>
      <c r="AH699" s="15" t="s">
        <v>9220</v>
      </c>
      <c r="AI699" s="15" t="s">
        <v>9175</v>
      </c>
      <c r="AJ699" s="15" t="s">
        <v>9181</v>
      </c>
      <c r="AK699" s="15" t="s">
        <v>9182</v>
      </c>
      <c r="AL699" s="15" t="s">
        <v>9182</v>
      </c>
      <c r="AM699" s="16" t="s">
        <v>9182</v>
      </c>
      <c r="AN699" s="16" t="s">
        <v>9182</v>
      </c>
    </row>
    <row r="700" spans="1:40" x14ac:dyDescent="0.25">
      <c r="A700" s="4" t="s">
        <v>7597</v>
      </c>
      <c r="B700" s="4"/>
      <c r="C700" s="4" t="s">
        <v>39</v>
      </c>
      <c r="D700" s="4" t="s">
        <v>7598</v>
      </c>
      <c r="E700" s="4" t="s">
        <v>7599</v>
      </c>
      <c r="F700" s="10">
        <v>45546</v>
      </c>
      <c r="G700" s="11">
        <v>0.61111111111111116</v>
      </c>
      <c r="H700" s="4" t="s">
        <v>5666</v>
      </c>
      <c r="I700" s="4" t="s">
        <v>7600</v>
      </c>
      <c r="J700" s="4" t="s">
        <v>3806</v>
      </c>
      <c r="K700" s="4" t="s">
        <v>7601</v>
      </c>
      <c r="L700" s="4" t="s">
        <v>7602</v>
      </c>
      <c r="M700" s="4" t="s">
        <v>46</v>
      </c>
      <c r="N700" s="4"/>
      <c r="O700" s="4" t="s">
        <v>47</v>
      </c>
      <c r="P700" s="4" t="s">
        <v>60</v>
      </c>
      <c r="Q700" s="4">
        <v>0</v>
      </c>
      <c r="R700" s="4" t="b">
        <v>0</v>
      </c>
      <c r="S700" s="4" t="s">
        <v>49</v>
      </c>
      <c r="T700" s="4" t="s">
        <v>50</v>
      </c>
      <c r="U700" s="4" t="s">
        <v>887</v>
      </c>
      <c r="V700" s="4" t="s">
        <v>123</v>
      </c>
      <c r="W700" s="4" t="s">
        <v>192</v>
      </c>
      <c r="X700" s="4" t="s">
        <v>54</v>
      </c>
      <c r="Y700" s="4" t="s">
        <v>302</v>
      </c>
      <c r="Z700" s="12">
        <v>0</v>
      </c>
      <c r="AA700" s="13" t="s">
        <v>9154</v>
      </c>
      <c r="AB700" s="13" t="s">
        <v>9155</v>
      </c>
      <c r="AC700" s="14" t="s">
        <v>9139</v>
      </c>
      <c r="AD700" s="14" t="s">
        <v>9140</v>
      </c>
      <c r="AE700" s="14" t="s">
        <v>9140</v>
      </c>
      <c r="AF700" s="14" t="s">
        <v>123</v>
      </c>
      <c r="AG700" s="14" t="s">
        <v>54</v>
      </c>
      <c r="AH700" s="15" t="s">
        <v>9220</v>
      </c>
      <c r="AI700" s="15" t="s">
        <v>9199</v>
      </c>
      <c r="AJ700" s="15" t="s">
        <v>9143</v>
      </c>
      <c r="AK700" s="15" t="s">
        <v>9221</v>
      </c>
      <c r="AL700" s="15" t="s">
        <v>9199</v>
      </c>
      <c r="AM700" s="16" t="s">
        <v>9221</v>
      </c>
      <c r="AN700" s="16" t="s">
        <v>9238</v>
      </c>
    </row>
    <row r="701" spans="1:40" x14ac:dyDescent="0.25">
      <c r="A701" s="4" t="s">
        <v>632</v>
      </c>
      <c r="B701" s="4"/>
      <c r="C701" s="4" t="s">
        <v>39</v>
      </c>
      <c r="D701" s="4" t="s">
        <v>633</v>
      </c>
      <c r="E701" s="4" t="s">
        <v>634</v>
      </c>
      <c r="F701" s="10">
        <v>45546</v>
      </c>
      <c r="G701" s="11">
        <v>0.54722222222222228</v>
      </c>
      <c r="H701" s="4" t="s">
        <v>463</v>
      </c>
      <c r="I701" s="4">
        <v>2023</v>
      </c>
      <c r="J701" s="4" t="s">
        <v>615</v>
      </c>
      <c r="K701" s="4" t="s">
        <v>635</v>
      </c>
      <c r="L701" s="4" t="s">
        <v>636</v>
      </c>
      <c r="M701" s="4" t="s">
        <v>46</v>
      </c>
      <c r="N701" s="4"/>
      <c r="O701" s="4" t="s">
        <v>47</v>
      </c>
      <c r="P701" s="4" t="s">
        <v>48</v>
      </c>
      <c r="Q701" s="4">
        <v>0</v>
      </c>
      <c r="R701" s="4" t="b">
        <v>0</v>
      </c>
      <c r="S701" s="4" t="s">
        <v>61</v>
      </c>
      <c r="T701" s="4" t="s">
        <v>89</v>
      </c>
      <c r="U701" s="4" t="s">
        <v>148</v>
      </c>
      <c r="V701" s="4" t="s">
        <v>52</v>
      </c>
      <c r="W701" s="4" t="s">
        <v>53</v>
      </c>
      <c r="X701" s="4" t="s">
        <v>54</v>
      </c>
      <c r="Y701" s="4"/>
      <c r="Z701" s="12">
        <v>0</v>
      </c>
      <c r="AA701" s="13" t="s">
        <v>9154</v>
      </c>
      <c r="AB701" s="13" t="s">
        <v>9155</v>
      </c>
      <c r="AC701" s="14" t="s">
        <v>9148</v>
      </c>
      <c r="AD701" s="14" t="s">
        <v>9140</v>
      </c>
      <c r="AE701" s="14" t="s">
        <v>9140</v>
      </c>
      <c r="AF701" s="14" t="s">
        <v>52</v>
      </c>
      <c r="AG701" s="14" t="s">
        <v>54</v>
      </c>
      <c r="AH701" s="15" t="s">
        <v>9141</v>
      </c>
      <c r="AI701" s="15" t="s">
        <v>9175</v>
      </c>
      <c r="AJ701" s="15" t="s">
        <v>9143</v>
      </c>
      <c r="AK701" s="15" t="s">
        <v>9141</v>
      </c>
      <c r="AL701" s="15" t="s">
        <v>9177</v>
      </c>
      <c r="AM701" s="16" t="s">
        <v>9141</v>
      </c>
      <c r="AN701" s="16" t="s">
        <v>9178</v>
      </c>
    </row>
    <row r="702" spans="1:40" x14ac:dyDescent="0.25">
      <c r="A702" s="4" t="s">
        <v>2153</v>
      </c>
      <c r="B702" s="4"/>
      <c r="C702" s="4" t="s">
        <v>39</v>
      </c>
      <c r="D702" s="4" t="s">
        <v>2144</v>
      </c>
      <c r="E702" s="4" t="s">
        <v>2145</v>
      </c>
      <c r="F702" s="10">
        <v>45545</v>
      </c>
      <c r="G702" s="11">
        <v>0.51736111111111116</v>
      </c>
      <c r="H702" s="4" t="s">
        <v>1992</v>
      </c>
      <c r="I702" s="4" t="s">
        <v>2139</v>
      </c>
      <c r="J702" s="4" t="s">
        <v>2140</v>
      </c>
      <c r="K702" s="4" t="s">
        <v>2154</v>
      </c>
      <c r="L702" s="4" t="s">
        <v>2155</v>
      </c>
      <c r="M702" s="4" t="s">
        <v>46</v>
      </c>
      <c r="N702" s="4"/>
      <c r="O702" s="4" t="s">
        <v>47</v>
      </c>
      <c r="P702" s="4" t="s">
        <v>48</v>
      </c>
      <c r="Q702" s="4">
        <v>0</v>
      </c>
      <c r="R702" s="4" t="b">
        <v>0</v>
      </c>
      <c r="S702" s="4" t="s">
        <v>61</v>
      </c>
      <c r="T702" s="4" t="s">
        <v>583</v>
      </c>
      <c r="U702" s="4" t="s">
        <v>148</v>
      </c>
      <c r="V702" s="4" t="s">
        <v>52</v>
      </c>
      <c r="W702" s="4" t="s">
        <v>255</v>
      </c>
      <c r="X702" s="4" t="s">
        <v>54</v>
      </c>
      <c r="Y702" s="4"/>
      <c r="Z702" s="12">
        <v>0</v>
      </c>
      <c r="AA702" s="13" t="s">
        <v>9154</v>
      </c>
      <c r="AB702" s="13" t="s">
        <v>9155</v>
      </c>
      <c r="AC702" s="14" t="s">
        <v>9148</v>
      </c>
      <c r="AD702" s="14" t="s">
        <v>9140</v>
      </c>
      <c r="AE702" s="14" t="s">
        <v>9140</v>
      </c>
      <c r="AF702" s="14" t="s">
        <v>52</v>
      </c>
      <c r="AG702" s="14" t="s">
        <v>54</v>
      </c>
      <c r="AH702" s="15" t="s">
        <v>9194</v>
      </c>
      <c r="AI702" s="15" t="s">
        <v>9191</v>
      </c>
      <c r="AJ702" s="15" t="s">
        <v>9143</v>
      </c>
      <c r="AK702" s="15" t="s">
        <v>9194</v>
      </c>
      <c r="AL702" s="15" t="s">
        <v>9205</v>
      </c>
      <c r="AM702" s="16" t="s">
        <v>9194</v>
      </c>
      <c r="AN702" s="16" t="s">
        <v>9206</v>
      </c>
    </row>
    <row r="703" spans="1:40" x14ac:dyDescent="0.25">
      <c r="A703" s="4" t="s">
        <v>7081</v>
      </c>
      <c r="B703" s="4"/>
      <c r="C703" s="4" t="s">
        <v>39</v>
      </c>
      <c r="D703" s="4" t="s">
        <v>7082</v>
      </c>
      <c r="E703" s="4" t="s">
        <v>7083</v>
      </c>
      <c r="F703" s="10">
        <v>45545</v>
      </c>
      <c r="G703" s="11">
        <v>0.81944444444444442</v>
      </c>
      <c r="H703" s="4" t="s">
        <v>4242</v>
      </c>
      <c r="I703" s="4" t="s">
        <v>7028</v>
      </c>
      <c r="J703" s="4" t="s">
        <v>7029</v>
      </c>
      <c r="K703" s="4" t="s">
        <v>7084</v>
      </c>
      <c r="L703" s="4" t="s">
        <v>7085</v>
      </c>
      <c r="M703" s="4" t="s">
        <v>46</v>
      </c>
      <c r="N703" s="4"/>
      <c r="O703" s="4" t="s">
        <v>47</v>
      </c>
      <c r="P703" s="4" t="s">
        <v>48</v>
      </c>
      <c r="Q703" s="4">
        <v>0</v>
      </c>
      <c r="R703" s="4" t="b">
        <v>0</v>
      </c>
      <c r="S703" s="4" t="s">
        <v>49</v>
      </c>
      <c r="T703" s="4" t="s">
        <v>70</v>
      </c>
      <c r="U703" s="4" t="s">
        <v>71</v>
      </c>
      <c r="V703" s="4" t="s">
        <v>72</v>
      </c>
      <c r="W703" s="4" t="s">
        <v>73</v>
      </c>
      <c r="X703" s="4" t="s">
        <v>54</v>
      </c>
      <c r="Y703" s="4"/>
      <c r="Z703" s="12">
        <v>0</v>
      </c>
      <c r="AA703" s="13" t="s">
        <v>9154</v>
      </c>
      <c r="AB703" s="13" t="s">
        <v>9155</v>
      </c>
      <c r="AC703" s="14" t="s">
        <v>9139</v>
      </c>
      <c r="AD703" s="14" t="s">
        <v>9140</v>
      </c>
      <c r="AE703" s="14" t="s">
        <v>9140</v>
      </c>
      <c r="AF703" s="14" t="s">
        <v>72</v>
      </c>
      <c r="AG703" s="14" t="s">
        <v>54</v>
      </c>
      <c r="AH703" s="15" t="s">
        <v>9220</v>
      </c>
      <c r="AI703" s="15" t="s">
        <v>9187</v>
      </c>
      <c r="AJ703" s="15" t="s">
        <v>9143</v>
      </c>
      <c r="AK703" s="15" t="s">
        <v>9221</v>
      </c>
      <c r="AL703" s="15" t="s">
        <v>9226</v>
      </c>
      <c r="AM703" s="16" t="s">
        <v>9221</v>
      </c>
      <c r="AN703" s="16" t="s">
        <v>9227</v>
      </c>
    </row>
    <row r="704" spans="1:40" x14ac:dyDescent="0.25">
      <c r="A704" s="4" t="s">
        <v>7855</v>
      </c>
      <c r="B704" s="4">
        <v>7208366</v>
      </c>
      <c r="C704" s="4" t="s">
        <v>39</v>
      </c>
      <c r="D704" s="4" t="s">
        <v>7850</v>
      </c>
      <c r="E704" s="4" t="s">
        <v>7851</v>
      </c>
      <c r="F704" s="10">
        <v>45545</v>
      </c>
      <c r="G704" s="11">
        <v>0.37847222222222221</v>
      </c>
      <c r="H704" s="4" t="s">
        <v>4516</v>
      </c>
      <c r="I704" s="4" t="s">
        <v>7852</v>
      </c>
      <c r="J704" s="4" t="s">
        <v>1537</v>
      </c>
      <c r="K704" s="4" t="s">
        <v>243</v>
      </c>
      <c r="L704" s="4" t="s">
        <v>7856</v>
      </c>
      <c r="M704" s="4" t="s">
        <v>46</v>
      </c>
      <c r="N704" s="4"/>
      <c r="O704" s="4" t="s">
        <v>47</v>
      </c>
      <c r="P704" s="4" t="s">
        <v>48</v>
      </c>
      <c r="Q704" s="4">
        <v>0</v>
      </c>
      <c r="R704" s="4" t="b">
        <v>0</v>
      </c>
      <c r="S704" s="4" t="s">
        <v>61</v>
      </c>
      <c r="T704" s="4" t="s">
        <v>583</v>
      </c>
      <c r="U704" s="4" t="s">
        <v>51</v>
      </c>
      <c r="V704" s="4" t="s">
        <v>52</v>
      </c>
      <c r="W704" s="4" t="s">
        <v>53</v>
      </c>
      <c r="X704" s="4" t="s">
        <v>54</v>
      </c>
      <c r="Y704" s="4"/>
      <c r="Z704" s="12">
        <v>0</v>
      </c>
      <c r="AA704" s="13" t="s">
        <v>9154</v>
      </c>
      <c r="AB704" s="13" t="s">
        <v>9155</v>
      </c>
      <c r="AC704" s="14" t="s">
        <v>9148</v>
      </c>
      <c r="AD704" s="14" t="s">
        <v>9140</v>
      </c>
      <c r="AE704" s="14" t="s">
        <v>9140</v>
      </c>
      <c r="AF704" s="14" t="s">
        <v>52</v>
      </c>
      <c r="AG704" s="14" t="s">
        <v>54</v>
      </c>
      <c r="AH704" s="15" t="s">
        <v>9220</v>
      </c>
      <c r="AI704" s="15" t="s">
        <v>9188</v>
      </c>
      <c r="AJ704" s="15" t="s">
        <v>9143</v>
      </c>
      <c r="AK704" s="15" t="s">
        <v>9221</v>
      </c>
      <c r="AL704" s="15" t="s">
        <v>9230</v>
      </c>
      <c r="AM704" s="16" t="s">
        <v>9221</v>
      </c>
      <c r="AN704" s="16" t="s">
        <v>9231</v>
      </c>
    </row>
    <row r="705" spans="1:40" x14ac:dyDescent="0.25">
      <c r="A705" s="4" t="s">
        <v>6621</v>
      </c>
      <c r="B705" s="4">
        <v>7209315</v>
      </c>
      <c r="C705" s="4" t="s">
        <v>39</v>
      </c>
      <c r="D705" s="4" t="s">
        <v>6612</v>
      </c>
      <c r="E705" s="4" t="s">
        <v>6613</v>
      </c>
      <c r="F705" s="10">
        <v>45544</v>
      </c>
      <c r="G705" s="11">
        <v>0.45833333333333331</v>
      </c>
      <c r="H705" s="4" t="s">
        <v>4516</v>
      </c>
      <c r="I705" s="4" t="s">
        <v>6599</v>
      </c>
      <c r="J705" s="4" t="s">
        <v>6600</v>
      </c>
      <c r="K705" s="4" t="s">
        <v>6622</v>
      </c>
      <c r="L705" s="4" t="s">
        <v>6623</v>
      </c>
      <c r="M705" s="4" t="s">
        <v>28</v>
      </c>
      <c r="N705" s="4" t="s">
        <v>183</v>
      </c>
      <c r="O705" s="4" t="s">
        <v>174</v>
      </c>
      <c r="P705" s="4" t="s">
        <v>48</v>
      </c>
      <c r="Q705" s="4">
        <v>8</v>
      </c>
      <c r="R705" s="4" t="b">
        <v>0</v>
      </c>
      <c r="S705" s="4" t="s">
        <v>184</v>
      </c>
      <c r="T705" s="4" t="s">
        <v>70</v>
      </c>
      <c r="U705" s="4" t="s">
        <v>71</v>
      </c>
      <c r="V705" s="4" t="s">
        <v>72</v>
      </c>
      <c r="W705" s="4" t="s">
        <v>73</v>
      </c>
      <c r="X705" s="4" t="s">
        <v>54</v>
      </c>
      <c r="Y705" s="4"/>
      <c r="Z705" s="12" t="s">
        <v>48</v>
      </c>
      <c r="AA705" s="13" t="s">
        <v>9154</v>
      </c>
      <c r="AB705" s="13" t="s">
        <v>9155</v>
      </c>
      <c r="AC705" s="14" t="s">
        <v>9166</v>
      </c>
      <c r="AD705" s="14" t="s">
        <v>28</v>
      </c>
      <c r="AE705" s="14" t="s">
        <v>183</v>
      </c>
      <c r="AF705" s="14" t="s">
        <v>72</v>
      </c>
      <c r="AG705" s="14" t="s">
        <v>54</v>
      </c>
      <c r="AH705" s="15" t="s">
        <v>9220</v>
      </c>
      <c r="AI705" s="15" t="s">
        <v>9188</v>
      </c>
      <c r="AJ705" s="15" t="s">
        <v>9143</v>
      </c>
      <c r="AK705" s="15" t="s">
        <v>9221</v>
      </c>
      <c r="AL705" s="15" t="s">
        <v>9232</v>
      </c>
      <c r="AM705" s="16" t="s">
        <v>9221</v>
      </c>
      <c r="AN705" s="16" t="s">
        <v>9233</v>
      </c>
    </row>
    <row r="706" spans="1:40" x14ac:dyDescent="0.25">
      <c r="A706" s="4" t="s">
        <v>3457</v>
      </c>
      <c r="B706" s="4">
        <v>7208457</v>
      </c>
      <c r="C706" s="4" t="s">
        <v>39</v>
      </c>
      <c r="D706" s="4" t="s">
        <v>3458</v>
      </c>
      <c r="E706" s="4" t="s">
        <v>3459</v>
      </c>
      <c r="F706" s="10">
        <v>45544</v>
      </c>
      <c r="G706" s="11">
        <v>0.53125</v>
      </c>
      <c r="H706" s="4" t="s">
        <v>2095</v>
      </c>
      <c r="I706" s="4" t="s">
        <v>3452</v>
      </c>
      <c r="J706" s="4" t="s">
        <v>3453</v>
      </c>
      <c r="K706" s="4" t="s">
        <v>836</v>
      </c>
      <c r="L706" s="4" t="s">
        <v>3460</v>
      </c>
      <c r="M706" s="4" t="s">
        <v>46</v>
      </c>
      <c r="N706" s="4"/>
      <c r="O706" s="4" t="s">
        <v>47</v>
      </c>
      <c r="P706" s="4" t="s">
        <v>48</v>
      </c>
      <c r="Q706" s="4">
        <v>0</v>
      </c>
      <c r="R706" s="4" t="b">
        <v>0</v>
      </c>
      <c r="S706" s="4" t="s">
        <v>61</v>
      </c>
      <c r="T706" s="4" t="s">
        <v>583</v>
      </c>
      <c r="U706" s="4" t="s">
        <v>373</v>
      </c>
      <c r="V706" s="4" t="s">
        <v>72</v>
      </c>
      <c r="W706" s="4" t="s">
        <v>73</v>
      </c>
      <c r="X706" s="4" t="s">
        <v>54</v>
      </c>
      <c r="Y706" s="4"/>
      <c r="Z706" s="12">
        <v>0</v>
      </c>
      <c r="AA706" s="13" t="s">
        <v>9154</v>
      </c>
      <c r="AB706" s="13" t="s">
        <v>9155</v>
      </c>
      <c r="AC706" s="14" t="s">
        <v>9148</v>
      </c>
      <c r="AD706" s="14" t="s">
        <v>9140</v>
      </c>
      <c r="AE706" s="14" t="s">
        <v>9140</v>
      </c>
      <c r="AF706" s="14" t="s">
        <v>72</v>
      </c>
      <c r="AG706" s="14" t="s">
        <v>54</v>
      </c>
      <c r="AH706" s="15" t="s">
        <v>9194</v>
      </c>
      <c r="AI706" s="15" t="s">
        <v>9188</v>
      </c>
      <c r="AJ706" s="15" t="s">
        <v>9143</v>
      </c>
      <c r="AK706" s="15" t="s">
        <v>9194</v>
      </c>
      <c r="AL706" s="15" t="s">
        <v>9203</v>
      </c>
      <c r="AM706" s="16" t="s">
        <v>9194</v>
      </c>
      <c r="AN706" s="16" t="s">
        <v>9204</v>
      </c>
    </row>
    <row r="707" spans="1:40" x14ac:dyDescent="0.25">
      <c r="A707" s="4" t="s">
        <v>1369</v>
      </c>
      <c r="B707" s="4"/>
      <c r="C707" s="4" t="s">
        <v>39</v>
      </c>
      <c r="D707" s="4" t="s">
        <v>1370</v>
      </c>
      <c r="E707" s="4" t="s">
        <v>1371</v>
      </c>
      <c r="F707" s="10">
        <v>45544</v>
      </c>
      <c r="G707" s="11">
        <v>0.55208333333333337</v>
      </c>
      <c r="H707" s="4" t="s">
        <v>1366</v>
      </c>
      <c r="I707" s="4">
        <v>5053</v>
      </c>
      <c r="J707" s="4" t="s">
        <v>1367</v>
      </c>
      <c r="K707" s="4" t="s">
        <v>1372</v>
      </c>
      <c r="L707" s="4" t="s">
        <v>1373</v>
      </c>
      <c r="M707" s="4" t="s">
        <v>46</v>
      </c>
      <c r="N707" s="4"/>
      <c r="O707" s="4" t="s">
        <v>47</v>
      </c>
      <c r="P707" s="4" t="s">
        <v>48</v>
      </c>
      <c r="Q707" s="4">
        <v>0</v>
      </c>
      <c r="R707" s="4" t="b">
        <v>0</v>
      </c>
      <c r="S707" s="4" t="s">
        <v>49</v>
      </c>
      <c r="T707" s="4" t="s">
        <v>70</v>
      </c>
      <c r="U707" s="4" t="s">
        <v>71</v>
      </c>
      <c r="V707" s="4" t="s">
        <v>72</v>
      </c>
      <c r="W707" s="4" t="s">
        <v>73</v>
      </c>
      <c r="X707" s="4" t="s">
        <v>98</v>
      </c>
      <c r="Y707" s="4"/>
      <c r="Z707" s="12">
        <v>0</v>
      </c>
      <c r="AA707" s="13" t="s">
        <v>9154</v>
      </c>
      <c r="AB707" s="13" t="s">
        <v>9155</v>
      </c>
      <c r="AC707" s="14" t="s">
        <v>9139</v>
      </c>
      <c r="AD707" s="14" t="s">
        <v>9140</v>
      </c>
      <c r="AE707" s="14" t="s">
        <v>9140</v>
      </c>
      <c r="AF707" s="14" t="s">
        <v>72</v>
      </c>
      <c r="AG707" s="14" t="s">
        <v>98</v>
      </c>
      <c r="AH707" s="15" t="s">
        <v>9141</v>
      </c>
      <c r="AI707" s="15" t="s">
        <v>9188</v>
      </c>
      <c r="AJ707" s="15" t="s">
        <v>9143</v>
      </c>
      <c r="AK707" s="15" t="s">
        <v>9141</v>
      </c>
      <c r="AL707" s="15" t="s">
        <v>9189</v>
      </c>
      <c r="AM707" s="16" t="s">
        <v>9141</v>
      </c>
      <c r="AN707" s="16" t="s">
        <v>9190</v>
      </c>
    </row>
    <row r="708" spans="1:40" x14ac:dyDescent="0.25">
      <c r="A708" s="4" t="s">
        <v>637</v>
      </c>
      <c r="B708" s="4"/>
      <c r="C708" s="4" t="s">
        <v>39</v>
      </c>
      <c r="D708" s="4" t="s">
        <v>638</v>
      </c>
      <c r="E708" s="4" t="s">
        <v>639</v>
      </c>
      <c r="F708" s="10">
        <v>45544</v>
      </c>
      <c r="G708" s="11">
        <v>0.4375</v>
      </c>
      <c r="H708" s="4" t="s">
        <v>463</v>
      </c>
      <c r="I708" s="4">
        <v>2023</v>
      </c>
      <c r="J708" s="4" t="s">
        <v>615</v>
      </c>
      <c r="K708" s="4" t="s">
        <v>640</v>
      </c>
      <c r="L708" s="4" t="s">
        <v>641</v>
      </c>
      <c r="M708" s="4" t="s">
        <v>46</v>
      </c>
      <c r="N708" s="4"/>
      <c r="O708" s="4" t="s">
        <v>344</v>
      </c>
      <c r="P708" s="4" t="s">
        <v>48</v>
      </c>
      <c r="Q708" s="4">
        <v>7</v>
      </c>
      <c r="R708" s="4" t="b">
        <v>0</v>
      </c>
      <c r="S708" s="4" t="s">
        <v>114</v>
      </c>
      <c r="T708" s="4" t="s">
        <v>89</v>
      </c>
      <c r="U708" s="4" t="s">
        <v>71</v>
      </c>
      <c r="V708" s="4" t="s">
        <v>72</v>
      </c>
      <c r="W708" s="4" t="s">
        <v>73</v>
      </c>
      <c r="X708" s="4" t="s">
        <v>98</v>
      </c>
      <c r="Y708" s="4"/>
      <c r="Z708" s="12">
        <v>0</v>
      </c>
      <c r="AA708" s="13" t="s">
        <v>9154</v>
      </c>
      <c r="AB708" s="13" t="s">
        <v>9155</v>
      </c>
      <c r="AC708" s="14" t="s">
        <v>9157</v>
      </c>
      <c r="AD708" s="14" t="s">
        <v>9140</v>
      </c>
      <c r="AE708" s="14" t="s">
        <v>9140</v>
      </c>
      <c r="AF708" s="14" t="s">
        <v>72</v>
      </c>
      <c r="AG708" s="14" t="s">
        <v>98</v>
      </c>
      <c r="AH708" s="15" t="s">
        <v>9141</v>
      </c>
      <c r="AI708" s="15" t="s">
        <v>9175</v>
      </c>
      <c r="AJ708" s="15" t="s">
        <v>9143</v>
      </c>
      <c r="AK708" s="15" t="s">
        <v>9141</v>
      </c>
      <c r="AL708" s="15" t="s">
        <v>9177</v>
      </c>
      <c r="AM708" s="16" t="s">
        <v>9141</v>
      </c>
      <c r="AN708" s="16" t="s">
        <v>9178</v>
      </c>
    </row>
    <row r="709" spans="1:40" x14ac:dyDescent="0.25">
      <c r="A709" s="4" t="s">
        <v>7779</v>
      </c>
      <c r="B709" s="4">
        <v>7197650</v>
      </c>
      <c r="C709" s="4" t="s">
        <v>39</v>
      </c>
      <c r="D709" s="4" t="s">
        <v>7780</v>
      </c>
      <c r="E709" s="4" t="s">
        <v>7781</v>
      </c>
      <c r="F709" s="10">
        <v>45543</v>
      </c>
      <c r="G709" s="11">
        <v>0.5625</v>
      </c>
      <c r="H709" s="4" t="s">
        <v>4516</v>
      </c>
      <c r="I709" s="4" t="s">
        <v>7760</v>
      </c>
      <c r="J709" s="4" t="s">
        <v>7761</v>
      </c>
      <c r="K709" s="4" t="s">
        <v>2309</v>
      </c>
      <c r="L709" s="4" t="s">
        <v>7782</v>
      </c>
      <c r="M709" s="4" t="s">
        <v>28</v>
      </c>
      <c r="N709" s="4" t="s">
        <v>183</v>
      </c>
      <c r="O709" s="4" t="s">
        <v>191</v>
      </c>
      <c r="P709" s="4" t="s">
        <v>48</v>
      </c>
      <c r="Q709" s="4">
        <v>14</v>
      </c>
      <c r="R709" s="4" t="b">
        <v>0</v>
      </c>
      <c r="S709" s="4" t="s">
        <v>49</v>
      </c>
      <c r="T709" s="4" t="s">
        <v>583</v>
      </c>
      <c r="U709" s="4" t="s">
        <v>600</v>
      </c>
      <c r="V709" s="4" t="s">
        <v>72</v>
      </c>
      <c r="W709" s="4" t="s">
        <v>73</v>
      </c>
      <c r="X709" s="4" t="s">
        <v>54</v>
      </c>
      <c r="Y709" s="4"/>
      <c r="Z709" s="12" t="s">
        <v>48</v>
      </c>
      <c r="AA709" s="13" t="s">
        <v>9154</v>
      </c>
      <c r="AB709" s="13" t="s">
        <v>9155</v>
      </c>
      <c r="AC709" s="14" t="s">
        <v>9139</v>
      </c>
      <c r="AD709" s="14" t="s">
        <v>28</v>
      </c>
      <c r="AE709" s="14" t="s">
        <v>183</v>
      </c>
      <c r="AF709" s="14" t="s">
        <v>72</v>
      </c>
      <c r="AG709" s="14" t="s">
        <v>54</v>
      </c>
      <c r="AH709" s="15" t="s">
        <v>9220</v>
      </c>
      <c r="AI709" s="15" t="s">
        <v>9188</v>
      </c>
      <c r="AJ709" s="15" t="s">
        <v>9143</v>
      </c>
      <c r="AK709" s="15" t="s">
        <v>9221</v>
      </c>
      <c r="AL709" s="15" t="s">
        <v>9230</v>
      </c>
      <c r="AM709" s="16" t="s">
        <v>9221</v>
      </c>
      <c r="AN709" s="16" t="s">
        <v>9231</v>
      </c>
    </row>
    <row r="710" spans="1:40" x14ac:dyDescent="0.25">
      <c r="A710" s="4" t="s">
        <v>5144</v>
      </c>
      <c r="B710" s="4"/>
      <c r="C710" s="4" t="s">
        <v>39</v>
      </c>
      <c r="D710" s="4" t="s">
        <v>5145</v>
      </c>
      <c r="E710" s="4" t="s">
        <v>5146</v>
      </c>
      <c r="F710" s="10">
        <v>45543</v>
      </c>
      <c r="G710" s="11">
        <v>0.68055555555555558</v>
      </c>
      <c r="H710" s="4" t="s">
        <v>4910</v>
      </c>
      <c r="I710" s="4" t="s">
        <v>5121</v>
      </c>
      <c r="J710" s="4" t="s">
        <v>1994</v>
      </c>
      <c r="K710" s="4" t="s">
        <v>5147</v>
      </c>
      <c r="L710" s="4" t="s">
        <v>5148</v>
      </c>
      <c r="M710" s="4" t="s">
        <v>46</v>
      </c>
      <c r="N710" s="4"/>
      <c r="O710" s="4" t="s">
        <v>47</v>
      </c>
      <c r="P710" s="4" t="s">
        <v>48</v>
      </c>
      <c r="Q710" s="4">
        <v>0</v>
      </c>
      <c r="R710" s="4" t="b">
        <v>0</v>
      </c>
      <c r="S710" s="4" t="s">
        <v>61</v>
      </c>
      <c r="T710" s="4" t="s">
        <v>583</v>
      </c>
      <c r="U710" s="4" t="s">
        <v>887</v>
      </c>
      <c r="V710" s="4" t="s">
        <v>52</v>
      </c>
      <c r="W710" s="4" t="s">
        <v>255</v>
      </c>
      <c r="X710" s="4" t="s">
        <v>54</v>
      </c>
      <c r="Y710" s="4"/>
      <c r="Z710" s="12">
        <v>0</v>
      </c>
      <c r="AA710" s="13" t="s">
        <v>9154</v>
      </c>
      <c r="AB710" s="13" t="s">
        <v>9155</v>
      </c>
      <c r="AC710" s="14" t="s">
        <v>9148</v>
      </c>
      <c r="AD710" s="14" t="s">
        <v>9140</v>
      </c>
      <c r="AE710" s="14" t="s">
        <v>9140</v>
      </c>
      <c r="AF710" s="14" t="s">
        <v>52</v>
      </c>
      <c r="AG710" s="14" t="s">
        <v>54</v>
      </c>
      <c r="AH710" s="15" t="s">
        <v>9220</v>
      </c>
      <c r="AI710" s="15" t="s">
        <v>9191</v>
      </c>
      <c r="AJ710" s="15" t="s">
        <v>9143</v>
      </c>
      <c r="AK710" s="15" t="s">
        <v>9221</v>
      </c>
      <c r="AL710" s="15" t="s">
        <v>9236</v>
      </c>
      <c r="AM710" s="16" t="s">
        <v>9221</v>
      </c>
      <c r="AN710" s="16" t="s">
        <v>9237</v>
      </c>
    </row>
    <row r="711" spans="1:40" x14ac:dyDescent="0.25">
      <c r="A711" s="4" t="s">
        <v>7350</v>
      </c>
      <c r="B711" s="4">
        <v>12240028088</v>
      </c>
      <c r="C711" s="4" t="s">
        <v>39</v>
      </c>
      <c r="D711" s="4" t="s">
        <v>7326</v>
      </c>
      <c r="E711" s="4" t="s">
        <v>7327</v>
      </c>
      <c r="F711" s="10">
        <v>45543</v>
      </c>
      <c r="G711" s="11">
        <v>0.6875</v>
      </c>
      <c r="H711" s="4" t="s">
        <v>4019</v>
      </c>
      <c r="I711" s="4" t="s">
        <v>7315</v>
      </c>
      <c r="J711" s="4" t="s">
        <v>1037</v>
      </c>
      <c r="K711" s="4" t="s">
        <v>7351</v>
      </c>
      <c r="L711" s="4" t="s">
        <v>7352</v>
      </c>
      <c r="M711" s="4" t="s">
        <v>28</v>
      </c>
      <c r="N711" s="4" t="s">
        <v>183</v>
      </c>
      <c r="O711" s="4" t="s">
        <v>174</v>
      </c>
      <c r="P711" s="4" t="s">
        <v>60</v>
      </c>
      <c r="Q711" s="4">
        <v>9</v>
      </c>
      <c r="R711" s="4" t="b">
        <v>0</v>
      </c>
      <c r="S711" s="4" t="s">
        <v>114</v>
      </c>
      <c r="T711" s="4" t="s">
        <v>115</v>
      </c>
      <c r="U711" s="4" t="s">
        <v>51</v>
      </c>
      <c r="V711" s="4" t="s">
        <v>52</v>
      </c>
      <c r="W711" s="4" t="s">
        <v>135</v>
      </c>
      <c r="X711" s="4" t="s">
        <v>54</v>
      </c>
      <c r="Y711" s="4"/>
      <c r="Z711" s="12" t="s">
        <v>60</v>
      </c>
      <c r="AA711" s="13" t="s">
        <v>9154</v>
      </c>
      <c r="AB711" s="13" t="s">
        <v>9155</v>
      </c>
      <c r="AC711" s="14" t="s">
        <v>9157</v>
      </c>
      <c r="AD711" s="14" t="s">
        <v>28</v>
      </c>
      <c r="AE711" s="14" t="s">
        <v>183</v>
      </c>
      <c r="AF711" s="14" t="s">
        <v>52</v>
      </c>
      <c r="AG711" s="14" t="s">
        <v>54</v>
      </c>
      <c r="AH711" s="15" t="s">
        <v>9220</v>
      </c>
      <c r="AI711" s="15" t="s">
        <v>9175</v>
      </c>
      <c r="AJ711" s="15" t="s">
        <v>9143</v>
      </c>
      <c r="AK711" s="15" t="s">
        <v>9221</v>
      </c>
      <c r="AL711" s="15" t="s">
        <v>9222</v>
      </c>
      <c r="AM711" s="16" t="s">
        <v>9221</v>
      </c>
      <c r="AN711" s="16" t="s">
        <v>9223</v>
      </c>
    </row>
    <row r="712" spans="1:40" x14ac:dyDescent="0.25">
      <c r="A712" s="4" t="s">
        <v>7475</v>
      </c>
      <c r="B712" s="4"/>
      <c r="C712" s="4" t="s">
        <v>39</v>
      </c>
      <c r="D712" s="4" t="s">
        <v>7476</v>
      </c>
      <c r="E712" s="4" t="s">
        <v>7477</v>
      </c>
      <c r="F712" s="10">
        <v>45542</v>
      </c>
      <c r="G712" s="11">
        <v>0.64583333333333337</v>
      </c>
      <c r="H712" s="4" t="s">
        <v>4910</v>
      </c>
      <c r="I712" s="4" t="s">
        <v>7457</v>
      </c>
      <c r="J712" s="4" t="s">
        <v>2378</v>
      </c>
      <c r="K712" s="4" t="s">
        <v>7478</v>
      </c>
      <c r="L712" s="4" t="s">
        <v>7479</v>
      </c>
      <c r="M712" s="4" t="s">
        <v>46</v>
      </c>
      <c r="N712" s="4"/>
      <c r="O712" s="4" t="s">
        <v>47</v>
      </c>
      <c r="P712" s="4" t="s">
        <v>48</v>
      </c>
      <c r="Q712" s="4">
        <v>0</v>
      </c>
      <c r="R712" s="4" t="b">
        <v>0</v>
      </c>
      <c r="S712" s="4" t="s">
        <v>61</v>
      </c>
      <c r="T712" s="4" t="s">
        <v>583</v>
      </c>
      <c r="U712" s="4" t="s">
        <v>584</v>
      </c>
      <c r="V712" s="4" t="s">
        <v>52</v>
      </c>
      <c r="W712" s="4" t="s">
        <v>135</v>
      </c>
      <c r="X712" s="4" t="s">
        <v>54</v>
      </c>
      <c r="Y712" s="4"/>
      <c r="Z712" s="12">
        <v>0</v>
      </c>
      <c r="AA712" s="13" t="s">
        <v>9154</v>
      </c>
      <c r="AB712" s="13" t="s">
        <v>9155</v>
      </c>
      <c r="AC712" s="14" t="s">
        <v>9148</v>
      </c>
      <c r="AD712" s="14" t="s">
        <v>9140</v>
      </c>
      <c r="AE712" s="14" t="s">
        <v>9140</v>
      </c>
      <c r="AF712" s="14" t="s">
        <v>52</v>
      </c>
      <c r="AG712" s="14" t="s">
        <v>54</v>
      </c>
      <c r="AH712" s="15" t="s">
        <v>9220</v>
      </c>
      <c r="AI712" s="15" t="s">
        <v>9191</v>
      </c>
      <c r="AJ712" s="15" t="s">
        <v>9143</v>
      </c>
      <c r="AK712" s="15" t="s">
        <v>9221</v>
      </c>
      <c r="AL712" s="15" t="s">
        <v>9226</v>
      </c>
      <c r="AM712" s="16" t="s">
        <v>9221</v>
      </c>
      <c r="AN712" s="16" t="s">
        <v>9227</v>
      </c>
    </row>
    <row r="713" spans="1:40" x14ac:dyDescent="0.25">
      <c r="A713" s="4" t="s">
        <v>7480</v>
      </c>
      <c r="B713" s="4"/>
      <c r="C713" s="4" t="s">
        <v>39</v>
      </c>
      <c r="D713" s="4" t="s">
        <v>7481</v>
      </c>
      <c r="E713" s="4" t="s">
        <v>7482</v>
      </c>
      <c r="F713" s="10">
        <v>45542</v>
      </c>
      <c r="G713" s="11">
        <v>0.47916666666666669</v>
      </c>
      <c r="H713" s="4" t="s">
        <v>4910</v>
      </c>
      <c r="I713" s="4" t="s">
        <v>7457</v>
      </c>
      <c r="J713" s="4" t="s">
        <v>2378</v>
      </c>
      <c r="K713" s="4" t="s">
        <v>7483</v>
      </c>
      <c r="L713" s="4" t="s">
        <v>7484</v>
      </c>
      <c r="M713" s="4" t="s">
        <v>46</v>
      </c>
      <c r="N713" s="4"/>
      <c r="O713" s="4" t="s">
        <v>47</v>
      </c>
      <c r="P713" s="4" t="s">
        <v>48</v>
      </c>
      <c r="Q713" s="4">
        <v>0</v>
      </c>
      <c r="R713" s="4" t="b">
        <v>0</v>
      </c>
      <c r="S713" s="4" t="s">
        <v>61</v>
      </c>
      <c r="T713" s="4" t="s">
        <v>115</v>
      </c>
      <c r="U713" s="4" t="s">
        <v>1918</v>
      </c>
      <c r="V713" s="4" t="s">
        <v>52</v>
      </c>
      <c r="W713" s="4" t="s">
        <v>53</v>
      </c>
      <c r="X713" s="4" t="s">
        <v>54</v>
      </c>
      <c r="Y713" s="4"/>
      <c r="Z713" s="12">
        <v>0</v>
      </c>
      <c r="AA713" s="13" t="s">
        <v>9154</v>
      </c>
      <c r="AB713" s="13" t="s">
        <v>9155</v>
      </c>
      <c r="AC713" s="14" t="s">
        <v>9148</v>
      </c>
      <c r="AD713" s="14" t="s">
        <v>9140</v>
      </c>
      <c r="AE713" s="14" t="s">
        <v>9140</v>
      </c>
      <c r="AF713" s="14" t="s">
        <v>52</v>
      </c>
      <c r="AG713" s="14" t="s">
        <v>54</v>
      </c>
      <c r="AH713" s="15" t="s">
        <v>9220</v>
      </c>
      <c r="AI713" s="15" t="s">
        <v>9191</v>
      </c>
      <c r="AJ713" s="15" t="s">
        <v>9143</v>
      </c>
      <c r="AK713" s="15" t="s">
        <v>9221</v>
      </c>
      <c r="AL713" s="15" t="s">
        <v>9226</v>
      </c>
      <c r="AM713" s="16" t="s">
        <v>9221</v>
      </c>
      <c r="AN713" s="16" t="s">
        <v>9227</v>
      </c>
    </row>
    <row r="714" spans="1:40" x14ac:dyDescent="0.25">
      <c r="A714" s="4" t="s">
        <v>5695</v>
      </c>
      <c r="B714" s="4" t="s">
        <v>5696</v>
      </c>
      <c r="C714" s="4" t="s">
        <v>39</v>
      </c>
      <c r="D714" s="4" t="s">
        <v>5697</v>
      </c>
      <c r="E714" s="4" t="s">
        <v>5698</v>
      </c>
      <c r="F714" s="10">
        <v>45541</v>
      </c>
      <c r="G714" s="11">
        <v>0.67500000000000004</v>
      </c>
      <c r="H714" s="4" t="s">
        <v>5666</v>
      </c>
      <c r="I714" s="4" t="s">
        <v>5667</v>
      </c>
      <c r="J714" s="4" t="s">
        <v>2192</v>
      </c>
      <c r="K714" s="4" t="s">
        <v>5699</v>
      </c>
      <c r="L714" s="4" t="s">
        <v>5700</v>
      </c>
      <c r="M714" s="4" t="s">
        <v>28</v>
      </c>
      <c r="N714" s="4" t="s">
        <v>183</v>
      </c>
      <c r="O714" s="4" t="s">
        <v>174</v>
      </c>
      <c r="P714" s="4" t="s">
        <v>60</v>
      </c>
      <c r="Q714" s="4">
        <v>89</v>
      </c>
      <c r="R714" s="4" t="b">
        <v>0</v>
      </c>
      <c r="S714" s="4" t="s">
        <v>184</v>
      </c>
      <c r="T714" s="4" t="s">
        <v>425</v>
      </c>
      <c r="U714" s="4" t="s">
        <v>107</v>
      </c>
      <c r="V714" s="4" t="s">
        <v>123</v>
      </c>
      <c r="W714" s="4" t="s">
        <v>124</v>
      </c>
      <c r="X714" s="4" t="s">
        <v>54</v>
      </c>
      <c r="Y714" s="4"/>
      <c r="Z714" s="12" t="s">
        <v>60</v>
      </c>
      <c r="AA714" s="13" t="s">
        <v>9154</v>
      </c>
      <c r="AB714" s="13" t="s">
        <v>9155</v>
      </c>
      <c r="AC714" s="14" t="s">
        <v>9166</v>
      </c>
      <c r="AD714" s="14" t="s">
        <v>28</v>
      </c>
      <c r="AE714" s="14" t="s">
        <v>183</v>
      </c>
      <c r="AF714" s="14" t="s">
        <v>123</v>
      </c>
      <c r="AG714" s="14" t="s">
        <v>54</v>
      </c>
      <c r="AH714" s="15" t="s">
        <v>9220</v>
      </c>
      <c r="AI714" s="15" t="s">
        <v>9199</v>
      </c>
      <c r="AJ714" s="15" t="s">
        <v>9143</v>
      </c>
      <c r="AK714" s="15" t="s">
        <v>9221</v>
      </c>
      <c r="AL714" s="15" t="s">
        <v>9199</v>
      </c>
      <c r="AM714" s="16" t="s">
        <v>9221</v>
      </c>
      <c r="AN714" s="16" t="s">
        <v>9238</v>
      </c>
    </row>
    <row r="715" spans="1:40" x14ac:dyDescent="0.25">
      <c r="A715" s="4" t="s">
        <v>965</v>
      </c>
      <c r="B715" s="4"/>
      <c r="C715" s="4" t="s">
        <v>39</v>
      </c>
      <c r="D715" s="4" t="s">
        <v>966</v>
      </c>
      <c r="E715" s="4" t="s">
        <v>967</v>
      </c>
      <c r="F715" s="10">
        <v>45540</v>
      </c>
      <c r="G715" s="11">
        <v>0.45833333333333331</v>
      </c>
      <c r="H715" s="4" t="s">
        <v>463</v>
      </c>
      <c r="I715" s="4">
        <v>2033</v>
      </c>
      <c r="J715" s="4" t="s">
        <v>952</v>
      </c>
      <c r="K715" s="4" t="s">
        <v>968</v>
      </c>
      <c r="L715" s="4" t="s">
        <v>969</v>
      </c>
      <c r="M715" s="4" t="s">
        <v>28</v>
      </c>
      <c r="N715" s="4" t="s">
        <v>478</v>
      </c>
      <c r="O715" s="4" t="s">
        <v>47</v>
      </c>
      <c r="P715" s="4" t="s">
        <v>48</v>
      </c>
      <c r="Q715" s="4">
        <v>0</v>
      </c>
      <c r="R715" s="4" t="b">
        <v>0</v>
      </c>
      <c r="S715" s="4" t="s">
        <v>61</v>
      </c>
      <c r="T715" s="4" t="s">
        <v>89</v>
      </c>
      <c r="U715" s="4" t="s">
        <v>148</v>
      </c>
      <c r="V715" s="4" t="s">
        <v>52</v>
      </c>
      <c r="W715" s="4" t="s">
        <v>135</v>
      </c>
      <c r="X715" s="4" t="s">
        <v>54</v>
      </c>
      <c r="Y715" s="4"/>
      <c r="Z715" s="12" t="s">
        <v>48</v>
      </c>
      <c r="AA715" s="13" t="s">
        <v>9154</v>
      </c>
      <c r="AB715" s="13" t="s">
        <v>9155</v>
      </c>
      <c r="AC715" s="14" t="s">
        <v>9148</v>
      </c>
      <c r="AD715" s="14" t="s">
        <v>28</v>
      </c>
      <c r="AE715" s="14" t="s">
        <v>478</v>
      </c>
      <c r="AF715" s="14" t="s">
        <v>52</v>
      </c>
      <c r="AG715" s="14" t="s">
        <v>54</v>
      </c>
      <c r="AH715" s="15" t="s">
        <v>9141</v>
      </c>
      <c r="AI715" s="15" t="s">
        <v>9175</v>
      </c>
      <c r="AJ715" s="15" t="s">
        <v>9143</v>
      </c>
      <c r="AK715" s="15" t="s">
        <v>9141</v>
      </c>
      <c r="AL715" s="15" t="s">
        <v>9175</v>
      </c>
      <c r="AM715" s="16" t="s">
        <v>9141</v>
      </c>
      <c r="AN715" s="16" t="s">
        <v>9176</v>
      </c>
    </row>
    <row r="716" spans="1:40" x14ac:dyDescent="0.25">
      <c r="A716" s="4" t="s">
        <v>2201</v>
      </c>
      <c r="B716" s="4"/>
      <c r="C716" s="4" t="s">
        <v>39</v>
      </c>
      <c r="D716" s="4" t="s">
        <v>2202</v>
      </c>
      <c r="E716" s="4" t="s">
        <v>2203</v>
      </c>
      <c r="F716" s="10">
        <v>45540</v>
      </c>
      <c r="G716" s="11">
        <v>0.59861111111111109</v>
      </c>
      <c r="H716" s="4" t="s">
        <v>2017</v>
      </c>
      <c r="I716" s="4" t="s">
        <v>2191</v>
      </c>
      <c r="J716" s="4" t="s">
        <v>2192</v>
      </c>
      <c r="K716" s="4" t="s">
        <v>2108</v>
      </c>
      <c r="L716" s="4" t="s">
        <v>2204</v>
      </c>
      <c r="M716" s="4" t="s">
        <v>46</v>
      </c>
      <c r="N716" s="4"/>
      <c r="O716" s="4" t="s">
        <v>47</v>
      </c>
      <c r="P716" s="4" t="s">
        <v>48</v>
      </c>
      <c r="Q716" s="4">
        <v>0</v>
      </c>
      <c r="R716" s="4" t="b">
        <v>0</v>
      </c>
      <c r="S716" s="4" t="s">
        <v>49</v>
      </c>
      <c r="T716" s="4" t="s">
        <v>115</v>
      </c>
      <c r="U716" s="4" t="s">
        <v>51</v>
      </c>
      <c r="V716" s="4" t="s">
        <v>123</v>
      </c>
      <c r="W716" s="4" t="s">
        <v>149</v>
      </c>
      <c r="X716" s="4" t="s">
        <v>54</v>
      </c>
      <c r="Y716" s="4"/>
      <c r="Z716" s="12">
        <v>0</v>
      </c>
      <c r="AA716" s="13" t="s">
        <v>9154</v>
      </c>
      <c r="AB716" s="13" t="s">
        <v>9155</v>
      </c>
      <c r="AC716" s="14" t="s">
        <v>9139</v>
      </c>
      <c r="AD716" s="14" t="s">
        <v>9140</v>
      </c>
      <c r="AE716" s="14" t="s">
        <v>9140</v>
      </c>
      <c r="AF716" s="14" t="s">
        <v>123</v>
      </c>
      <c r="AG716" s="14" t="s">
        <v>54</v>
      </c>
      <c r="AH716" s="15" t="s">
        <v>9194</v>
      </c>
      <c r="AI716" s="15" t="s">
        <v>9199</v>
      </c>
      <c r="AJ716" s="15" t="s">
        <v>9143</v>
      </c>
      <c r="AK716" s="15" t="s">
        <v>9194</v>
      </c>
      <c r="AL716" s="15" t="s">
        <v>9199</v>
      </c>
      <c r="AM716" s="16" t="s">
        <v>9194</v>
      </c>
      <c r="AN716" s="16" t="s">
        <v>9200</v>
      </c>
    </row>
    <row r="717" spans="1:40" x14ac:dyDescent="0.25">
      <c r="A717" s="4" t="s">
        <v>8802</v>
      </c>
      <c r="B717" s="4"/>
      <c r="C717" s="4" t="s">
        <v>39</v>
      </c>
      <c r="D717" s="4" t="s">
        <v>8803</v>
      </c>
      <c r="E717" s="4" t="s">
        <v>8804</v>
      </c>
      <c r="F717" s="10">
        <v>45538</v>
      </c>
      <c r="G717" s="11">
        <v>0.56180555555555556</v>
      </c>
      <c r="H717" s="4" t="s">
        <v>5666</v>
      </c>
      <c r="I717" s="4" t="s">
        <v>8782</v>
      </c>
      <c r="J717" s="4" t="s">
        <v>8783</v>
      </c>
      <c r="K717" s="4" t="s">
        <v>8805</v>
      </c>
      <c r="L717" s="4" t="s">
        <v>8806</v>
      </c>
      <c r="M717" s="4" t="s">
        <v>46</v>
      </c>
      <c r="N717" s="4"/>
      <c r="O717" s="4" t="s">
        <v>47</v>
      </c>
      <c r="P717" s="4" t="s">
        <v>60</v>
      </c>
      <c r="Q717" s="4">
        <v>0</v>
      </c>
      <c r="R717" s="4" t="b">
        <v>0</v>
      </c>
      <c r="S717" s="4" t="s">
        <v>49</v>
      </c>
      <c r="T717" s="4" t="s">
        <v>70</v>
      </c>
      <c r="U717" s="4" t="s">
        <v>71</v>
      </c>
      <c r="V717" s="4" t="s">
        <v>72</v>
      </c>
      <c r="W717" s="4" t="s">
        <v>73</v>
      </c>
      <c r="X717" s="4" t="s">
        <v>54</v>
      </c>
      <c r="Y717" s="4"/>
      <c r="Z717" s="12">
        <v>0</v>
      </c>
      <c r="AA717" s="13" t="s">
        <v>9154</v>
      </c>
      <c r="AB717" s="13" t="s">
        <v>9155</v>
      </c>
      <c r="AC717" s="14" t="s">
        <v>9139</v>
      </c>
      <c r="AD717" s="14" t="s">
        <v>9140</v>
      </c>
      <c r="AE717" s="14" t="s">
        <v>9140</v>
      </c>
      <c r="AF717" s="14" t="s">
        <v>72</v>
      </c>
      <c r="AG717" s="14" t="s">
        <v>54</v>
      </c>
      <c r="AH717" s="15" t="s">
        <v>9220</v>
      </c>
      <c r="AI717" s="15" t="s">
        <v>9199</v>
      </c>
      <c r="AJ717" s="15" t="s">
        <v>9143</v>
      </c>
      <c r="AK717" s="15" t="s">
        <v>9221</v>
      </c>
      <c r="AL717" s="15" t="s">
        <v>9199</v>
      </c>
      <c r="AM717" s="16" t="s">
        <v>9221</v>
      </c>
      <c r="AN717" s="16" t="s">
        <v>9238</v>
      </c>
    </row>
    <row r="718" spans="1:40" x14ac:dyDescent="0.25">
      <c r="A718" s="4" t="s">
        <v>8807</v>
      </c>
      <c r="B718" s="4"/>
      <c r="C718" s="4" t="s">
        <v>39</v>
      </c>
      <c r="D718" s="4" t="s">
        <v>8808</v>
      </c>
      <c r="E718" s="4" t="s">
        <v>8809</v>
      </c>
      <c r="F718" s="10">
        <v>45538</v>
      </c>
      <c r="G718" s="11">
        <v>0.53888888888888886</v>
      </c>
      <c r="H718" s="4" t="s">
        <v>5666</v>
      </c>
      <c r="I718" s="4" t="s">
        <v>8782</v>
      </c>
      <c r="J718" s="4" t="s">
        <v>8783</v>
      </c>
      <c r="K718" s="4" t="s">
        <v>8810</v>
      </c>
      <c r="L718" s="4" t="s">
        <v>8811</v>
      </c>
      <c r="M718" s="4" t="s">
        <v>46</v>
      </c>
      <c r="N718" s="4"/>
      <c r="O718" s="4" t="s">
        <v>47</v>
      </c>
      <c r="P718" s="4" t="s">
        <v>60</v>
      </c>
      <c r="Q718" s="4">
        <v>0</v>
      </c>
      <c r="R718" s="4" t="b">
        <v>0</v>
      </c>
      <c r="S718" s="4" t="s">
        <v>49</v>
      </c>
      <c r="T718" s="4" t="s">
        <v>50</v>
      </c>
      <c r="U718" s="4" t="s">
        <v>3093</v>
      </c>
      <c r="V718" s="4" t="s">
        <v>63</v>
      </c>
      <c r="W718" s="4" t="s">
        <v>108</v>
      </c>
      <c r="X718" s="4" t="s">
        <v>978</v>
      </c>
      <c r="Y718" s="4"/>
      <c r="Z718" s="12">
        <v>0</v>
      </c>
      <c r="AA718" s="13" t="s">
        <v>9154</v>
      </c>
      <c r="AB718" s="13" t="s">
        <v>9155</v>
      </c>
      <c r="AC718" s="14" t="s">
        <v>9139</v>
      </c>
      <c r="AD718" s="14" t="s">
        <v>9140</v>
      </c>
      <c r="AE718" s="14" t="s">
        <v>9140</v>
      </c>
      <c r="AF718" s="14" t="s">
        <v>63</v>
      </c>
      <c r="AG718" s="14" t="s">
        <v>978</v>
      </c>
      <c r="AH718" s="15" t="s">
        <v>9220</v>
      </c>
      <c r="AI718" s="15" t="s">
        <v>9199</v>
      </c>
      <c r="AJ718" s="15" t="s">
        <v>9143</v>
      </c>
      <c r="AK718" s="15" t="s">
        <v>9221</v>
      </c>
      <c r="AL718" s="15" t="s">
        <v>9199</v>
      </c>
      <c r="AM718" s="16" t="s">
        <v>9221</v>
      </c>
      <c r="AN718" s="16" t="s">
        <v>9238</v>
      </c>
    </row>
    <row r="719" spans="1:40" x14ac:dyDescent="0.25">
      <c r="A719" s="4" t="s">
        <v>6299</v>
      </c>
      <c r="B719" s="4"/>
      <c r="C719" s="4" t="s">
        <v>39</v>
      </c>
      <c r="D719" s="4" t="s">
        <v>6300</v>
      </c>
      <c r="E719" s="4" t="s">
        <v>6301</v>
      </c>
      <c r="F719" s="10">
        <v>45538</v>
      </c>
      <c r="G719" s="11">
        <v>0.46875</v>
      </c>
      <c r="H719" s="4" t="s">
        <v>4019</v>
      </c>
      <c r="I719" s="4" t="s">
        <v>6277</v>
      </c>
      <c r="J719" s="4" t="s">
        <v>988</v>
      </c>
      <c r="K719" s="4" t="s">
        <v>6302</v>
      </c>
      <c r="L719" s="4" t="s">
        <v>6303</v>
      </c>
      <c r="M719" s="4" t="s">
        <v>46</v>
      </c>
      <c r="N719" s="4"/>
      <c r="O719" s="4" t="s">
        <v>47</v>
      </c>
      <c r="P719" s="4" t="s">
        <v>60</v>
      </c>
      <c r="Q719" s="4">
        <v>0</v>
      </c>
      <c r="R719" s="4" t="b">
        <v>0</v>
      </c>
      <c r="S719" s="4" t="s">
        <v>61</v>
      </c>
      <c r="T719" s="4" t="s">
        <v>433</v>
      </c>
      <c r="U719" s="4" t="s">
        <v>618</v>
      </c>
      <c r="V719" s="4" t="s">
        <v>63</v>
      </c>
      <c r="W719" s="4" t="s">
        <v>108</v>
      </c>
      <c r="X719" s="4" t="s">
        <v>54</v>
      </c>
      <c r="Y719" s="4"/>
      <c r="Z719" s="12">
        <v>0</v>
      </c>
      <c r="AA719" s="13" t="s">
        <v>9154</v>
      </c>
      <c r="AB719" s="13" t="s">
        <v>9155</v>
      </c>
      <c r="AC719" s="14" t="s">
        <v>9148</v>
      </c>
      <c r="AD719" s="14" t="s">
        <v>9140</v>
      </c>
      <c r="AE719" s="14" t="s">
        <v>9140</v>
      </c>
      <c r="AF719" s="14" t="s">
        <v>63</v>
      </c>
      <c r="AG719" s="14" t="s">
        <v>54</v>
      </c>
      <c r="AH719" s="15" t="s">
        <v>9220</v>
      </c>
      <c r="AI719" s="15" t="s">
        <v>9175</v>
      </c>
      <c r="AJ719" s="15" t="s">
        <v>9143</v>
      </c>
      <c r="AK719" s="15" t="s">
        <v>9221</v>
      </c>
      <c r="AL719" s="15" t="s">
        <v>9222</v>
      </c>
      <c r="AM719" s="16" t="s">
        <v>9221</v>
      </c>
      <c r="AN719" s="16" t="s">
        <v>9223</v>
      </c>
    </row>
    <row r="720" spans="1:40" x14ac:dyDescent="0.25">
      <c r="A720" s="4" t="s">
        <v>4785</v>
      </c>
      <c r="B720" s="4">
        <v>7190275</v>
      </c>
      <c r="C720" s="4" t="s">
        <v>39</v>
      </c>
      <c r="D720" s="4" t="s">
        <v>4772</v>
      </c>
      <c r="E720" s="4" t="s">
        <v>4773</v>
      </c>
      <c r="F720" s="10">
        <v>45538</v>
      </c>
      <c r="G720" s="11">
        <v>0.52083333333333337</v>
      </c>
      <c r="H720" s="4" t="s">
        <v>4516</v>
      </c>
      <c r="I720" s="4" t="s">
        <v>4774</v>
      </c>
      <c r="J720" s="4" t="s">
        <v>4775</v>
      </c>
      <c r="K720" s="4" t="s">
        <v>4786</v>
      </c>
      <c r="L720" s="4" t="s">
        <v>4787</v>
      </c>
      <c r="M720" s="4" t="s">
        <v>28</v>
      </c>
      <c r="N720" s="4" t="s">
        <v>183</v>
      </c>
      <c r="O720" s="4" t="s">
        <v>174</v>
      </c>
      <c r="P720" s="4" t="s">
        <v>48</v>
      </c>
      <c r="Q720" s="4">
        <v>62</v>
      </c>
      <c r="R720" s="4" t="b">
        <v>0</v>
      </c>
      <c r="S720" s="4" t="s">
        <v>49</v>
      </c>
      <c r="T720" s="4" t="s">
        <v>583</v>
      </c>
      <c r="U720" s="4" t="s">
        <v>373</v>
      </c>
      <c r="V720" s="4" t="s">
        <v>123</v>
      </c>
      <c r="W720" s="4" t="s">
        <v>124</v>
      </c>
      <c r="X720" s="4" t="s">
        <v>54</v>
      </c>
      <c r="Y720" s="4"/>
      <c r="Z720" s="12" t="s">
        <v>48</v>
      </c>
      <c r="AA720" s="13" t="s">
        <v>9154</v>
      </c>
      <c r="AB720" s="13" t="s">
        <v>9155</v>
      </c>
      <c r="AC720" s="14" t="s">
        <v>9139</v>
      </c>
      <c r="AD720" s="14" t="s">
        <v>28</v>
      </c>
      <c r="AE720" s="14" t="s">
        <v>183</v>
      </c>
      <c r="AF720" s="14" t="s">
        <v>123</v>
      </c>
      <c r="AG720" s="14" t="s">
        <v>54</v>
      </c>
      <c r="AH720" s="15" t="s">
        <v>9220</v>
      </c>
      <c r="AI720" s="15" t="s">
        <v>9188</v>
      </c>
      <c r="AJ720" s="15" t="s">
        <v>9143</v>
      </c>
      <c r="AK720" s="15" t="s">
        <v>9221</v>
      </c>
      <c r="AL720" s="15" t="s">
        <v>9232</v>
      </c>
      <c r="AM720" s="16" t="s">
        <v>9221</v>
      </c>
      <c r="AN720" s="16" t="s">
        <v>9233</v>
      </c>
    </row>
    <row r="721" spans="1:40" x14ac:dyDescent="0.25">
      <c r="A721" s="4" t="s">
        <v>5006</v>
      </c>
      <c r="B721" s="4"/>
      <c r="C721" s="4" t="s">
        <v>39</v>
      </c>
      <c r="D721" s="4" t="s">
        <v>5007</v>
      </c>
      <c r="E721" s="4" t="s">
        <v>5008</v>
      </c>
      <c r="F721" s="10">
        <v>45538</v>
      </c>
      <c r="G721" s="11">
        <v>0.79861111111111116</v>
      </c>
      <c r="H721" s="4" t="s">
        <v>4516</v>
      </c>
      <c r="I721" s="4" t="s">
        <v>4969</v>
      </c>
      <c r="J721" s="4" t="s">
        <v>3453</v>
      </c>
      <c r="K721" s="4" t="s">
        <v>5009</v>
      </c>
      <c r="L721" s="4" t="s">
        <v>5010</v>
      </c>
      <c r="M721" s="4" t="s">
        <v>46</v>
      </c>
      <c r="N721" s="4"/>
      <c r="O721" s="4" t="s">
        <v>47</v>
      </c>
      <c r="P721" s="4" t="s">
        <v>48</v>
      </c>
      <c r="Q721" s="4">
        <v>0</v>
      </c>
      <c r="R721" s="4" t="b">
        <v>0</v>
      </c>
      <c r="S721" s="4" t="s">
        <v>61</v>
      </c>
      <c r="T721" s="4" t="s">
        <v>583</v>
      </c>
      <c r="U721" s="4" t="s">
        <v>71</v>
      </c>
      <c r="V721" s="4" t="s">
        <v>72</v>
      </c>
      <c r="W721" s="4" t="s">
        <v>73</v>
      </c>
      <c r="X721" s="4" t="s">
        <v>54</v>
      </c>
      <c r="Y721" s="4"/>
      <c r="Z721" s="12">
        <v>0</v>
      </c>
      <c r="AA721" s="13" t="s">
        <v>9154</v>
      </c>
      <c r="AB721" s="13" t="s">
        <v>9155</v>
      </c>
      <c r="AC721" s="14" t="s">
        <v>9148</v>
      </c>
      <c r="AD721" s="14" t="s">
        <v>9140</v>
      </c>
      <c r="AE721" s="14" t="s">
        <v>9140</v>
      </c>
      <c r="AF721" s="14" t="s">
        <v>72</v>
      </c>
      <c r="AG721" s="14" t="s">
        <v>54</v>
      </c>
      <c r="AH721" s="15" t="s">
        <v>9220</v>
      </c>
      <c r="AI721" s="15" t="s">
        <v>9188</v>
      </c>
      <c r="AJ721" s="15" t="s">
        <v>9143</v>
      </c>
      <c r="AK721" s="15" t="s">
        <v>9221</v>
      </c>
      <c r="AL721" s="15" t="s">
        <v>9230</v>
      </c>
      <c r="AM721" s="16" t="s">
        <v>9221</v>
      </c>
      <c r="AN721" s="16" t="s">
        <v>9231</v>
      </c>
    </row>
    <row r="722" spans="1:40" x14ac:dyDescent="0.25">
      <c r="A722" s="4" t="s">
        <v>5525</v>
      </c>
      <c r="B722" s="4"/>
      <c r="C722" s="4" t="s">
        <v>39</v>
      </c>
      <c r="D722" s="4" t="s">
        <v>5506</v>
      </c>
      <c r="E722" s="4" t="s">
        <v>5507</v>
      </c>
      <c r="F722" s="10">
        <v>45537</v>
      </c>
      <c r="G722" s="11">
        <v>0.61458333333333337</v>
      </c>
      <c r="H722" s="4" t="s">
        <v>4910</v>
      </c>
      <c r="I722" s="4" t="s">
        <v>5502</v>
      </c>
      <c r="J722" s="4" t="s">
        <v>3354</v>
      </c>
      <c r="K722" s="4" t="s">
        <v>5526</v>
      </c>
      <c r="L722" s="4" t="s">
        <v>5527</v>
      </c>
      <c r="M722" s="4" t="s">
        <v>46</v>
      </c>
      <c r="N722" s="4"/>
      <c r="O722" s="4" t="s">
        <v>47</v>
      </c>
      <c r="P722" s="4" t="s">
        <v>48</v>
      </c>
      <c r="Q722" s="4">
        <v>0</v>
      </c>
      <c r="R722" s="4" t="b">
        <v>0</v>
      </c>
      <c r="S722" s="4" t="s">
        <v>114</v>
      </c>
      <c r="T722" s="4" t="s">
        <v>70</v>
      </c>
      <c r="U722" s="4" t="s">
        <v>71</v>
      </c>
      <c r="V722" s="4" t="s">
        <v>72</v>
      </c>
      <c r="W722" s="4" t="s">
        <v>73</v>
      </c>
      <c r="X722" s="4" t="s">
        <v>54</v>
      </c>
      <c r="Y722" s="4"/>
      <c r="Z722" s="12">
        <v>0</v>
      </c>
      <c r="AA722" s="13" t="s">
        <v>9154</v>
      </c>
      <c r="AB722" s="13" t="s">
        <v>9155</v>
      </c>
      <c r="AC722" s="14" t="s">
        <v>9157</v>
      </c>
      <c r="AD722" s="14" t="s">
        <v>9140</v>
      </c>
      <c r="AE722" s="14" t="s">
        <v>9140</v>
      </c>
      <c r="AF722" s="14" t="s">
        <v>72</v>
      </c>
      <c r="AG722" s="14" t="s">
        <v>54</v>
      </c>
      <c r="AH722" s="15" t="s">
        <v>9220</v>
      </c>
      <c r="AI722" s="15" t="s">
        <v>9191</v>
      </c>
      <c r="AJ722" s="15" t="s">
        <v>9143</v>
      </c>
      <c r="AK722" s="15" t="s">
        <v>9221</v>
      </c>
      <c r="AL722" s="15" t="s">
        <v>9234</v>
      </c>
      <c r="AM722" s="16" t="s">
        <v>9221</v>
      </c>
      <c r="AN722" s="16" t="s">
        <v>9235</v>
      </c>
    </row>
    <row r="723" spans="1:40" x14ac:dyDescent="0.25">
      <c r="A723" s="4" t="s">
        <v>5961</v>
      </c>
      <c r="B723" s="4"/>
      <c r="C723" s="4" t="s">
        <v>39</v>
      </c>
      <c r="D723" s="4" t="s">
        <v>5962</v>
      </c>
      <c r="E723" s="4" t="s">
        <v>5963</v>
      </c>
      <c r="F723" s="10">
        <v>45537</v>
      </c>
      <c r="G723" s="11">
        <v>0.4513888888888889</v>
      </c>
      <c r="H723" s="4" t="s">
        <v>4242</v>
      </c>
      <c r="I723" s="4" t="s">
        <v>5918</v>
      </c>
      <c r="J723" s="4" t="s">
        <v>5919</v>
      </c>
      <c r="K723" s="4" t="s">
        <v>5964</v>
      </c>
      <c r="L723" s="4" t="s">
        <v>5965</v>
      </c>
      <c r="M723" s="4" t="s">
        <v>46</v>
      </c>
      <c r="N723" s="4"/>
      <c r="O723" s="4" t="s">
        <v>47</v>
      </c>
      <c r="P723" s="4" t="s">
        <v>48</v>
      </c>
      <c r="Q723" s="4">
        <v>0</v>
      </c>
      <c r="R723" s="4" t="b">
        <v>0</v>
      </c>
      <c r="S723" s="4" t="s">
        <v>61</v>
      </c>
      <c r="T723" s="4" t="s">
        <v>134</v>
      </c>
      <c r="U723" s="4" t="s">
        <v>2432</v>
      </c>
      <c r="V723" s="4" t="s">
        <v>225</v>
      </c>
      <c r="W723" s="4" t="s">
        <v>1714</v>
      </c>
      <c r="X723" s="4" t="s">
        <v>54</v>
      </c>
      <c r="Y723" s="4"/>
      <c r="Z723" s="12">
        <v>0</v>
      </c>
      <c r="AA723" s="13" t="s">
        <v>9154</v>
      </c>
      <c r="AB723" s="13" t="s">
        <v>9155</v>
      </c>
      <c r="AC723" s="14" t="s">
        <v>9148</v>
      </c>
      <c r="AD723" s="14" t="s">
        <v>9140</v>
      </c>
      <c r="AE723" s="14" t="s">
        <v>9140</v>
      </c>
      <c r="AF723" s="14" t="s">
        <v>225</v>
      </c>
      <c r="AG723" s="14" t="s">
        <v>54</v>
      </c>
      <c r="AH723" s="15" t="s">
        <v>9220</v>
      </c>
      <c r="AI723" s="15" t="s">
        <v>9187</v>
      </c>
      <c r="AJ723" s="15" t="s">
        <v>9143</v>
      </c>
      <c r="AK723" s="15" t="s">
        <v>9221</v>
      </c>
      <c r="AL723" s="15" t="s">
        <v>9226</v>
      </c>
      <c r="AM723" s="16" t="s">
        <v>9221</v>
      </c>
      <c r="AN723" s="16" t="s">
        <v>9227</v>
      </c>
    </row>
    <row r="724" spans="1:40" x14ac:dyDescent="0.25">
      <c r="A724" s="4" t="s">
        <v>3434</v>
      </c>
      <c r="B724" s="4">
        <v>7179849</v>
      </c>
      <c r="C724" s="4" t="s">
        <v>39</v>
      </c>
      <c r="D724" s="4" t="s">
        <v>3425</v>
      </c>
      <c r="E724" s="4" t="s">
        <v>3426</v>
      </c>
      <c r="F724" s="10">
        <v>45537</v>
      </c>
      <c r="G724" s="11">
        <v>0.64583333333333337</v>
      </c>
      <c r="H724" s="4" t="s">
        <v>2095</v>
      </c>
      <c r="I724" s="4" t="s">
        <v>3415</v>
      </c>
      <c r="J724" s="4" t="s">
        <v>3416</v>
      </c>
      <c r="K724" s="4" t="s">
        <v>3435</v>
      </c>
      <c r="L724" s="4" t="s">
        <v>3436</v>
      </c>
      <c r="M724" s="4" t="s">
        <v>28</v>
      </c>
      <c r="N724" s="4" t="s">
        <v>2718</v>
      </c>
      <c r="O724" s="4" t="s">
        <v>47</v>
      </c>
      <c r="P724" s="4" t="s">
        <v>48</v>
      </c>
      <c r="Q724" s="4">
        <v>0</v>
      </c>
      <c r="R724" s="4" t="b">
        <v>0</v>
      </c>
      <c r="S724" s="4" t="s">
        <v>61</v>
      </c>
      <c r="T724" s="4" t="s">
        <v>115</v>
      </c>
      <c r="U724" s="4" t="s">
        <v>3093</v>
      </c>
      <c r="V724" s="4" t="s">
        <v>63</v>
      </c>
      <c r="W724" s="4" t="s">
        <v>198</v>
      </c>
      <c r="X724" s="4" t="s">
        <v>54</v>
      </c>
      <c r="Y724" s="4"/>
      <c r="Z724" s="12" t="s">
        <v>48</v>
      </c>
      <c r="AA724" s="13" t="s">
        <v>9154</v>
      </c>
      <c r="AB724" s="13" t="s">
        <v>9155</v>
      </c>
      <c r="AC724" s="14" t="s">
        <v>9148</v>
      </c>
      <c r="AD724" s="14" t="s">
        <v>28</v>
      </c>
      <c r="AE724" s="14" t="s">
        <v>9140</v>
      </c>
      <c r="AF724" s="14" t="s">
        <v>63</v>
      </c>
      <c r="AG724" s="14" t="s">
        <v>54</v>
      </c>
      <c r="AH724" s="15" t="s">
        <v>9194</v>
      </c>
      <c r="AI724" s="15" t="s">
        <v>9188</v>
      </c>
      <c r="AJ724" s="15" t="s">
        <v>9143</v>
      </c>
      <c r="AK724" s="15" t="s">
        <v>9194</v>
      </c>
      <c r="AL724" s="15" t="s">
        <v>9211</v>
      </c>
      <c r="AM724" s="16" t="s">
        <v>9194</v>
      </c>
      <c r="AN724" s="16" t="s">
        <v>9212</v>
      </c>
    </row>
    <row r="725" spans="1:40" x14ac:dyDescent="0.25">
      <c r="A725" s="4" t="s">
        <v>2643</v>
      </c>
      <c r="B725" s="4">
        <v>7183478</v>
      </c>
      <c r="C725" s="4" t="s">
        <v>39</v>
      </c>
      <c r="D725" s="4" t="s">
        <v>2644</v>
      </c>
      <c r="E725" s="4" t="s">
        <v>2645</v>
      </c>
      <c r="F725" s="10">
        <v>45536</v>
      </c>
      <c r="G725" s="11">
        <v>0.47916666666666669</v>
      </c>
      <c r="H725" s="4" t="s">
        <v>2095</v>
      </c>
      <c r="I725" s="4" t="s">
        <v>2629</v>
      </c>
      <c r="J725" s="4" t="s">
        <v>2630</v>
      </c>
      <c r="K725" s="4" t="s">
        <v>140</v>
      </c>
      <c r="L725" s="4" t="s">
        <v>2646</v>
      </c>
      <c r="M725" s="4" t="s">
        <v>28</v>
      </c>
      <c r="N725" s="4" t="s">
        <v>183</v>
      </c>
      <c r="O725" s="4" t="s">
        <v>863</v>
      </c>
      <c r="P725" s="4" t="s">
        <v>60</v>
      </c>
      <c r="Q725" s="4">
        <v>193</v>
      </c>
      <c r="R725" s="4" t="b">
        <v>0</v>
      </c>
      <c r="S725" s="4" t="s">
        <v>114</v>
      </c>
      <c r="T725" s="4" t="s">
        <v>583</v>
      </c>
      <c r="U725" s="4" t="s">
        <v>140</v>
      </c>
      <c r="V725" s="4" t="s">
        <v>123</v>
      </c>
      <c r="W725" s="4" t="s">
        <v>124</v>
      </c>
      <c r="X725" s="4" t="s">
        <v>54</v>
      </c>
      <c r="Y725" s="4"/>
      <c r="Z725" s="12" t="s">
        <v>60</v>
      </c>
      <c r="AA725" s="13" t="s">
        <v>9156</v>
      </c>
      <c r="AB725" s="13" t="s">
        <v>9155</v>
      </c>
      <c r="AC725" s="14" t="s">
        <v>9157</v>
      </c>
      <c r="AD725" s="14" t="s">
        <v>28</v>
      </c>
      <c r="AE725" s="14" t="s">
        <v>183</v>
      </c>
      <c r="AF725" s="14" t="s">
        <v>123</v>
      </c>
      <c r="AG725" s="14" t="s">
        <v>54</v>
      </c>
      <c r="AH725" s="15" t="s">
        <v>9194</v>
      </c>
      <c r="AI725" s="15" t="s">
        <v>9188</v>
      </c>
      <c r="AJ725" s="15" t="s">
        <v>9143</v>
      </c>
      <c r="AK725" s="15" t="s">
        <v>9194</v>
      </c>
      <c r="AL725" s="15" t="s">
        <v>9211</v>
      </c>
      <c r="AM725" s="16" t="s">
        <v>9194</v>
      </c>
      <c r="AN725" s="16" t="s">
        <v>9212</v>
      </c>
    </row>
    <row r="726" spans="1:40" x14ac:dyDescent="0.25">
      <c r="A726" s="4" t="s">
        <v>1857</v>
      </c>
      <c r="B726" s="4"/>
      <c r="C726" s="4" t="s">
        <v>39</v>
      </c>
      <c r="D726" s="4" t="s">
        <v>1848</v>
      </c>
      <c r="E726" s="4" t="s">
        <v>1849</v>
      </c>
      <c r="F726" s="10">
        <v>45536</v>
      </c>
      <c r="G726" s="11">
        <v>0.63263888888888886</v>
      </c>
      <c r="H726" s="4" t="s">
        <v>1654</v>
      </c>
      <c r="I726" s="4">
        <v>9097</v>
      </c>
      <c r="J726" s="4" t="s">
        <v>1844</v>
      </c>
      <c r="K726" s="4" t="s">
        <v>711</v>
      </c>
      <c r="L726" s="4" t="s">
        <v>1858</v>
      </c>
      <c r="M726" s="4" t="s">
        <v>46</v>
      </c>
      <c r="N726" s="4"/>
      <c r="O726" s="4" t="s">
        <v>47</v>
      </c>
      <c r="P726" s="4" t="s">
        <v>48</v>
      </c>
      <c r="Q726" s="4">
        <v>0</v>
      </c>
      <c r="R726" s="4" t="b">
        <v>0</v>
      </c>
      <c r="S726" s="4" t="s">
        <v>49</v>
      </c>
      <c r="T726" s="4" t="s">
        <v>89</v>
      </c>
      <c r="U726" s="4" t="s">
        <v>90</v>
      </c>
      <c r="V726" s="4" t="s">
        <v>63</v>
      </c>
      <c r="W726" s="4" t="s">
        <v>108</v>
      </c>
      <c r="X726" s="4" t="s">
        <v>98</v>
      </c>
      <c r="Y726" s="4"/>
      <c r="Z726" s="12">
        <v>0</v>
      </c>
      <c r="AA726" s="13" t="s">
        <v>9156</v>
      </c>
      <c r="AB726" s="13" t="s">
        <v>9155</v>
      </c>
      <c r="AC726" s="14" t="s">
        <v>9139</v>
      </c>
      <c r="AD726" s="14" t="s">
        <v>9140</v>
      </c>
      <c r="AE726" s="14" t="s">
        <v>9140</v>
      </c>
      <c r="AF726" s="14" t="s">
        <v>63</v>
      </c>
      <c r="AG726" s="14" t="s">
        <v>98</v>
      </c>
      <c r="AH726" s="15" t="s">
        <v>9141</v>
      </c>
      <c r="AI726" s="15" t="s">
        <v>9191</v>
      </c>
      <c r="AJ726" s="15" t="s">
        <v>9143</v>
      </c>
      <c r="AK726" s="15" t="s">
        <v>9141</v>
      </c>
      <c r="AL726" s="15" t="s">
        <v>9191</v>
      </c>
      <c r="AM726" s="16" t="s">
        <v>9141</v>
      </c>
      <c r="AN726" s="16" t="s">
        <v>9192</v>
      </c>
    </row>
    <row r="727" spans="1:40" x14ac:dyDescent="0.25">
      <c r="A727" s="4" t="s">
        <v>1229</v>
      </c>
      <c r="B727" s="4"/>
      <c r="C727" s="4" t="s">
        <v>39</v>
      </c>
      <c r="D727" s="4" t="s">
        <v>1230</v>
      </c>
      <c r="E727" s="4" t="s">
        <v>1231</v>
      </c>
      <c r="F727" s="10">
        <v>45536</v>
      </c>
      <c r="G727" s="11">
        <v>0.66736111111111107</v>
      </c>
      <c r="H727" s="4" t="s">
        <v>1155</v>
      </c>
      <c r="I727" s="4">
        <v>4043</v>
      </c>
      <c r="J727" s="4" t="s">
        <v>1200</v>
      </c>
      <c r="K727" s="4" t="s">
        <v>1232</v>
      </c>
      <c r="L727" s="4" t="s">
        <v>1233</v>
      </c>
      <c r="M727" s="4" t="s">
        <v>46</v>
      </c>
      <c r="N727" s="4"/>
      <c r="O727" s="4" t="s">
        <v>47</v>
      </c>
      <c r="P727" s="4" t="s">
        <v>48</v>
      </c>
      <c r="Q727" s="4">
        <v>0</v>
      </c>
      <c r="R727" s="4" t="b">
        <v>0</v>
      </c>
      <c r="S727" s="4" t="s">
        <v>61</v>
      </c>
      <c r="T727" s="4" t="s">
        <v>50</v>
      </c>
      <c r="U727" s="4" t="s">
        <v>71</v>
      </c>
      <c r="V727" s="4" t="s">
        <v>63</v>
      </c>
      <c r="W727" s="4" t="s">
        <v>108</v>
      </c>
      <c r="X727" s="4" t="s">
        <v>54</v>
      </c>
      <c r="Y727" s="4"/>
      <c r="Z727" s="12">
        <v>0</v>
      </c>
      <c r="AA727" s="13" t="s">
        <v>9156</v>
      </c>
      <c r="AB727" s="13" t="s">
        <v>9155</v>
      </c>
      <c r="AC727" s="14" t="s">
        <v>9148</v>
      </c>
      <c r="AD727" s="14" t="s">
        <v>9140</v>
      </c>
      <c r="AE727" s="14" t="s">
        <v>9140</v>
      </c>
      <c r="AF727" s="14" t="s">
        <v>63</v>
      </c>
      <c r="AG727" s="14" t="s">
        <v>54</v>
      </c>
      <c r="AH727" s="15" t="s">
        <v>9141</v>
      </c>
      <c r="AI727" s="15" t="s">
        <v>9187</v>
      </c>
      <c r="AJ727" s="15" t="s">
        <v>9143</v>
      </c>
      <c r="AK727" s="15" t="s">
        <v>9141</v>
      </c>
      <c r="AL727" s="15" t="s">
        <v>9144</v>
      </c>
      <c r="AM727" s="16" t="s">
        <v>9141</v>
      </c>
      <c r="AN727" s="16" t="s">
        <v>9145</v>
      </c>
    </row>
    <row r="728" spans="1:40" x14ac:dyDescent="0.25">
      <c r="A728" s="4" t="s">
        <v>5966</v>
      </c>
      <c r="B728" s="4"/>
      <c r="C728" s="4" t="s">
        <v>39</v>
      </c>
      <c r="D728" s="4" t="s">
        <v>5967</v>
      </c>
      <c r="E728" s="4" t="s">
        <v>5968</v>
      </c>
      <c r="F728" s="10">
        <v>45536</v>
      </c>
      <c r="G728" s="11">
        <v>0.53819444444444442</v>
      </c>
      <c r="H728" s="4" t="s">
        <v>4242</v>
      </c>
      <c r="I728" s="4" t="s">
        <v>5918</v>
      </c>
      <c r="J728" s="4" t="s">
        <v>5919</v>
      </c>
      <c r="K728" s="4" t="s">
        <v>5969</v>
      </c>
      <c r="L728" s="4" t="s">
        <v>5970</v>
      </c>
      <c r="M728" s="4" t="s">
        <v>46</v>
      </c>
      <c r="N728" s="4"/>
      <c r="O728" s="4" t="s">
        <v>47</v>
      </c>
      <c r="P728" s="4" t="s">
        <v>48</v>
      </c>
      <c r="Q728" s="4">
        <v>0</v>
      </c>
      <c r="R728" s="4" t="b">
        <v>0</v>
      </c>
      <c r="S728" s="4" t="s">
        <v>61</v>
      </c>
      <c r="T728" s="4" t="s">
        <v>50</v>
      </c>
      <c r="U728" s="4" t="s">
        <v>90</v>
      </c>
      <c r="V728" s="4" t="s">
        <v>63</v>
      </c>
      <c r="W728" s="4" t="s">
        <v>108</v>
      </c>
      <c r="X728" s="4" t="s">
        <v>54</v>
      </c>
      <c r="Y728" s="4"/>
      <c r="Z728" s="12">
        <v>0</v>
      </c>
      <c r="AA728" s="13" t="s">
        <v>9156</v>
      </c>
      <c r="AB728" s="13" t="s">
        <v>9155</v>
      </c>
      <c r="AC728" s="14" t="s">
        <v>9148</v>
      </c>
      <c r="AD728" s="14" t="s">
        <v>9140</v>
      </c>
      <c r="AE728" s="14" t="s">
        <v>9140</v>
      </c>
      <c r="AF728" s="14" t="s">
        <v>63</v>
      </c>
      <c r="AG728" s="14" t="s">
        <v>54</v>
      </c>
      <c r="AH728" s="15" t="s">
        <v>9220</v>
      </c>
      <c r="AI728" s="15" t="s">
        <v>9187</v>
      </c>
      <c r="AJ728" s="15" t="s">
        <v>9143</v>
      </c>
      <c r="AK728" s="15" t="s">
        <v>9221</v>
      </c>
      <c r="AL728" s="15" t="s">
        <v>9226</v>
      </c>
      <c r="AM728" s="16" t="s">
        <v>9221</v>
      </c>
      <c r="AN728" s="16" t="s">
        <v>9227</v>
      </c>
    </row>
    <row r="729" spans="1:40" x14ac:dyDescent="0.25">
      <c r="A729" s="4" t="s">
        <v>5971</v>
      </c>
      <c r="B729" s="4"/>
      <c r="C729" s="4" t="s">
        <v>39</v>
      </c>
      <c r="D729" s="4" t="s">
        <v>5972</v>
      </c>
      <c r="E729" s="4" t="s">
        <v>5973</v>
      </c>
      <c r="F729" s="10">
        <v>45536</v>
      </c>
      <c r="G729" s="11">
        <v>0.55208333333333337</v>
      </c>
      <c r="H729" s="4" t="s">
        <v>4242</v>
      </c>
      <c r="I729" s="4" t="s">
        <v>5918</v>
      </c>
      <c r="J729" s="4" t="s">
        <v>5919</v>
      </c>
      <c r="K729" s="4" t="s">
        <v>5974</v>
      </c>
      <c r="L729" s="4" t="s">
        <v>5975</v>
      </c>
      <c r="M729" s="4" t="s">
        <v>46</v>
      </c>
      <c r="N729" s="4"/>
      <c r="O729" s="4" t="s">
        <v>47</v>
      </c>
      <c r="P729" s="4" t="s">
        <v>48</v>
      </c>
      <c r="Q729" s="4">
        <v>0</v>
      </c>
      <c r="R729" s="4" t="b">
        <v>0</v>
      </c>
      <c r="S729" s="4" t="s">
        <v>61</v>
      </c>
      <c r="T729" s="4" t="s">
        <v>50</v>
      </c>
      <c r="U729" s="4" t="s">
        <v>148</v>
      </c>
      <c r="V729" s="4" t="s">
        <v>123</v>
      </c>
      <c r="W729" s="4" t="s">
        <v>149</v>
      </c>
      <c r="X729" s="4" t="s">
        <v>978</v>
      </c>
      <c r="Y729" s="4"/>
      <c r="Z729" s="12">
        <v>0</v>
      </c>
      <c r="AA729" s="13" t="s">
        <v>9156</v>
      </c>
      <c r="AB729" s="13" t="s">
        <v>9155</v>
      </c>
      <c r="AC729" s="14" t="s">
        <v>9148</v>
      </c>
      <c r="AD729" s="14" t="s">
        <v>9140</v>
      </c>
      <c r="AE729" s="14" t="s">
        <v>9140</v>
      </c>
      <c r="AF729" s="14" t="s">
        <v>123</v>
      </c>
      <c r="AG729" s="14" t="s">
        <v>978</v>
      </c>
      <c r="AH729" s="15" t="s">
        <v>9220</v>
      </c>
      <c r="AI729" s="15" t="s">
        <v>9187</v>
      </c>
      <c r="AJ729" s="15" t="s">
        <v>9143</v>
      </c>
      <c r="AK729" s="15" t="s">
        <v>9221</v>
      </c>
      <c r="AL729" s="15" t="s">
        <v>9226</v>
      </c>
      <c r="AM729" s="16" t="s">
        <v>9221</v>
      </c>
      <c r="AN729" s="16" t="s">
        <v>9227</v>
      </c>
    </row>
    <row r="730" spans="1:40" x14ac:dyDescent="0.25">
      <c r="A730" s="4" t="s">
        <v>3201</v>
      </c>
      <c r="B730" s="4"/>
      <c r="C730" s="4" t="s">
        <v>39</v>
      </c>
      <c r="D730" s="4" t="s">
        <v>3185</v>
      </c>
      <c r="E730" s="4" t="s">
        <v>3186</v>
      </c>
      <c r="F730" s="10">
        <v>45535</v>
      </c>
      <c r="G730" s="11">
        <v>0.50694444444444442</v>
      </c>
      <c r="H730" s="4" t="s">
        <v>1992</v>
      </c>
      <c r="I730" s="4" t="s">
        <v>3187</v>
      </c>
      <c r="J730" s="4" t="s">
        <v>3188</v>
      </c>
      <c r="K730" s="4" t="s">
        <v>3202</v>
      </c>
      <c r="L730" s="4" t="s">
        <v>3203</v>
      </c>
      <c r="M730" s="4" t="s">
        <v>46</v>
      </c>
      <c r="N730" s="4"/>
      <c r="O730" s="4" t="s">
        <v>47</v>
      </c>
      <c r="P730" s="4" t="s">
        <v>48</v>
      </c>
      <c r="Q730" s="4">
        <v>0</v>
      </c>
      <c r="R730" s="4" t="b">
        <v>0</v>
      </c>
      <c r="S730" s="4" t="s">
        <v>61</v>
      </c>
      <c r="T730" s="4" t="s">
        <v>50</v>
      </c>
      <c r="U730" s="4" t="s">
        <v>480</v>
      </c>
      <c r="V730" s="4" t="s">
        <v>52</v>
      </c>
      <c r="W730" s="4" t="s">
        <v>53</v>
      </c>
      <c r="X730" s="4" t="s">
        <v>54</v>
      </c>
      <c r="Y730" s="4" t="s">
        <v>176</v>
      </c>
      <c r="Z730" s="12">
        <v>0</v>
      </c>
      <c r="AA730" s="13" t="s">
        <v>9156</v>
      </c>
      <c r="AB730" s="13" t="s">
        <v>9155</v>
      </c>
      <c r="AC730" s="14" t="s">
        <v>9148</v>
      </c>
      <c r="AD730" s="14" t="s">
        <v>9140</v>
      </c>
      <c r="AE730" s="14" t="s">
        <v>9140</v>
      </c>
      <c r="AF730" s="14" t="s">
        <v>52</v>
      </c>
      <c r="AG730" s="14" t="s">
        <v>54</v>
      </c>
      <c r="AH730" s="15" t="s">
        <v>9194</v>
      </c>
      <c r="AI730" s="15" t="s">
        <v>9191</v>
      </c>
      <c r="AJ730" s="15" t="s">
        <v>9143</v>
      </c>
      <c r="AK730" s="15" t="s">
        <v>9194</v>
      </c>
      <c r="AL730" s="15" t="s">
        <v>9197</v>
      </c>
      <c r="AM730" s="16" t="s">
        <v>9194</v>
      </c>
      <c r="AN730" s="16" t="s">
        <v>9198</v>
      </c>
    </row>
    <row r="731" spans="1:40" x14ac:dyDescent="0.25">
      <c r="A731" s="4" t="s">
        <v>8473</v>
      </c>
      <c r="B731" s="4"/>
      <c r="C731" s="4" t="s">
        <v>39</v>
      </c>
      <c r="D731" s="4" t="s">
        <v>8474</v>
      </c>
      <c r="E731" s="4" t="s">
        <v>8475</v>
      </c>
      <c r="F731" s="10">
        <v>45534</v>
      </c>
      <c r="G731" s="11">
        <v>0.46111111111111114</v>
      </c>
      <c r="H731" s="4" t="s">
        <v>8476</v>
      </c>
      <c r="I731" s="4" t="s">
        <v>8477</v>
      </c>
      <c r="J731" s="4" t="s">
        <v>8478</v>
      </c>
      <c r="K731" s="4" t="s">
        <v>243</v>
      </c>
      <c r="L731" s="4" t="s">
        <v>8479</v>
      </c>
      <c r="M731" s="4" t="s">
        <v>46</v>
      </c>
      <c r="N731" s="4"/>
      <c r="O731" s="4" t="s">
        <v>47</v>
      </c>
      <c r="P731" s="4" t="s">
        <v>48</v>
      </c>
      <c r="Q731" s="4">
        <v>0</v>
      </c>
      <c r="R731" s="4" t="b">
        <v>0</v>
      </c>
      <c r="S731" s="4" t="s">
        <v>49</v>
      </c>
      <c r="T731" s="4" t="s">
        <v>583</v>
      </c>
      <c r="U731" s="4" t="s">
        <v>51</v>
      </c>
      <c r="V731" s="4" t="s">
        <v>72</v>
      </c>
      <c r="W731" s="4" t="s">
        <v>73</v>
      </c>
      <c r="X731" s="4" t="s">
        <v>54</v>
      </c>
      <c r="Y731" s="4"/>
      <c r="Z731" s="12">
        <v>0</v>
      </c>
      <c r="AA731" s="13" t="s">
        <v>9156</v>
      </c>
      <c r="AB731" s="13" t="s">
        <v>9155</v>
      </c>
      <c r="AC731" s="14" t="s">
        <v>9139</v>
      </c>
      <c r="AD731" s="14" t="s">
        <v>9140</v>
      </c>
      <c r="AE731" s="14" t="s">
        <v>9140</v>
      </c>
      <c r="AF731" s="14" t="s">
        <v>72</v>
      </c>
      <c r="AG731" s="14" t="s">
        <v>54</v>
      </c>
      <c r="AH731" s="15" t="s">
        <v>9220</v>
      </c>
      <c r="AI731" s="15" t="s">
        <v>9193</v>
      </c>
      <c r="AJ731" s="15" t="s">
        <v>9143</v>
      </c>
      <c r="AK731" s="15" t="s">
        <v>9221</v>
      </c>
      <c r="AL731" s="15" t="s">
        <v>9230</v>
      </c>
      <c r="AM731" s="16" t="s">
        <v>9221</v>
      </c>
      <c r="AN731" s="16" t="s">
        <v>9231</v>
      </c>
    </row>
    <row r="732" spans="1:40" x14ac:dyDescent="0.25">
      <c r="A732" s="4" t="s">
        <v>5149</v>
      </c>
      <c r="B732" s="4" t="s">
        <v>5150</v>
      </c>
      <c r="C732" s="4" t="s">
        <v>39</v>
      </c>
      <c r="D732" s="4" t="s">
        <v>5151</v>
      </c>
      <c r="E732" s="4" t="s">
        <v>5152</v>
      </c>
      <c r="F732" s="10">
        <v>45533</v>
      </c>
      <c r="G732" s="11">
        <v>0.375</v>
      </c>
      <c r="H732" s="4" t="s">
        <v>4910</v>
      </c>
      <c r="I732" s="4" t="s">
        <v>5121</v>
      </c>
      <c r="J732" s="4" t="s">
        <v>1994</v>
      </c>
      <c r="K732" s="4" t="s">
        <v>5153</v>
      </c>
      <c r="L732" s="4" t="s">
        <v>5154</v>
      </c>
      <c r="M732" s="4" t="s">
        <v>28</v>
      </c>
      <c r="N732" s="4" t="s">
        <v>183</v>
      </c>
      <c r="O732" s="4" t="s">
        <v>174</v>
      </c>
      <c r="P732" s="4" t="s">
        <v>48</v>
      </c>
      <c r="Q732" s="4">
        <v>0</v>
      </c>
      <c r="R732" s="4" t="b">
        <v>0</v>
      </c>
      <c r="S732" s="4" t="s">
        <v>114</v>
      </c>
      <c r="T732" s="4" t="s">
        <v>583</v>
      </c>
      <c r="U732" s="4" t="s">
        <v>175</v>
      </c>
      <c r="V732" s="4" t="s">
        <v>52</v>
      </c>
      <c r="W732" s="4" t="s">
        <v>255</v>
      </c>
      <c r="X732" s="4" t="s">
        <v>54</v>
      </c>
      <c r="Y732" s="4"/>
      <c r="Z732" s="12" t="s">
        <v>48</v>
      </c>
      <c r="AA732" s="13" t="s">
        <v>9156</v>
      </c>
      <c r="AB732" s="13" t="s">
        <v>9155</v>
      </c>
      <c r="AC732" s="14" t="s">
        <v>9157</v>
      </c>
      <c r="AD732" s="14" t="s">
        <v>28</v>
      </c>
      <c r="AE732" s="14" t="s">
        <v>183</v>
      </c>
      <c r="AF732" s="14" t="s">
        <v>52</v>
      </c>
      <c r="AG732" s="14" t="s">
        <v>54</v>
      </c>
      <c r="AH732" s="15" t="s">
        <v>9220</v>
      </c>
      <c r="AI732" s="15" t="s">
        <v>9191</v>
      </c>
      <c r="AJ732" s="15" t="s">
        <v>9143</v>
      </c>
      <c r="AK732" s="15" t="s">
        <v>9221</v>
      </c>
      <c r="AL732" s="15" t="s">
        <v>9236</v>
      </c>
      <c r="AM732" s="16" t="s">
        <v>9221</v>
      </c>
      <c r="AN732" s="16" t="s">
        <v>9237</v>
      </c>
    </row>
    <row r="733" spans="1:40" x14ac:dyDescent="0.25">
      <c r="A733" s="4" t="s">
        <v>7982</v>
      </c>
      <c r="B733" s="4"/>
      <c r="C733" s="4" t="s">
        <v>39</v>
      </c>
      <c r="D733" s="4" t="s">
        <v>7983</v>
      </c>
      <c r="E733" s="4" t="s">
        <v>7984</v>
      </c>
      <c r="F733" s="10">
        <v>45533</v>
      </c>
      <c r="G733" s="11">
        <v>0.63194444444444442</v>
      </c>
      <c r="H733" s="4" t="s">
        <v>4910</v>
      </c>
      <c r="I733" s="4" t="s">
        <v>7985</v>
      </c>
      <c r="J733" s="4" t="s">
        <v>7986</v>
      </c>
      <c r="K733" s="4" t="s">
        <v>7987</v>
      </c>
      <c r="L733" s="4" t="s">
        <v>7988</v>
      </c>
      <c r="M733" s="4" t="s">
        <v>46</v>
      </c>
      <c r="N733" s="4"/>
      <c r="O733" s="4" t="s">
        <v>47</v>
      </c>
      <c r="P733" s="4" t="s">
        <v>48</v>
      </c>
      <c r="Q733" s="4">
        <v>0</v>
      </c>
      <c r="R733" s="4" t="b">
        <v>0</v>
      </c>
      <c r="S733" s="4" t="s">
        <v>49</v>
      </c>
      <c r="T733" s="4" t="s">
        <v>583</v>
      </c>
      <c r="U733" s="4" t="s">
        <v>71</v>
      </c>
      <c r="V733" s="4" t="s">
        <v>63</v>
      </c>
      <c r="W733" s="4" t="s">
        <v>108</v>
      </c>
      <c r="X733" s="4" t="s">
        <v>54</v>
      </c>
      <c r="Y733" s="4"/>
      <c r="Z733" s="12">
        <v>0</v>
      </c>
      <c r="AA733" s="13" t="s">
        <v>9156</v>
      </c>
      <c r="AB733" s="13" t="s">
        <v>9155</v>
      </c>
      <c r="AC733" s="14" t="s">
        <v>9139</v>
      </c>
      <c r="AD733" s="14" t="s">
        <v>9140</v>
      </c>
      <c r="AE733" s="14" t="s">
        <v>9140</v>
      </c>
      <c r="AF733" s="14" t="s">
        <v>63</v>
      </c>
      <c r="AG733" s="14" t="s">
        <v>54</v>
      </c>
      <c r="AH733" s="15" t="s">
        <v>9220</v>
      </c>
      <c r="AI733" s="15" t="s">
        <v>9191</v>
      </c>
      <c r="AJ733" s="15" t="s">
        <v>9143</v>
      </c>
      <c r="AK733" s="15" t="s">
        <v>9221</v>
      </c>
      <c r="AL733" s="15" t="s">
        <v>9234</v>
      </c>
      <c r="AM733" s="16" t="s">
        <v>9221</v>
      </c>
      <c r="AN733" s="16" t="s">
        <v>9235</v>
      </c>
    </row>
    <row r="734" spans="1:40" x14ac:dyDescent="0.25">
      <c r="A734" s="4" t="s">
        <v>7880</v>
      </c>
      <c r="B734" s="4"/>
      <c r="C734" s="4" t="s">
        <v>39</v>
      </c>
      <c r="D734" s="4" t="s">
        <v>7881</v>
      </c>
      <c r="E734" s="4" t="s">
        <v>7882</v>
      </c>
      <c r="F734" s="10">
        <v>45533</v>
      </c>
      <c r="G734" s="11">
        <v>0.86458333333333337</v>
      </c>
      <c r="H734" s="4" t="s">
        <v>4659</v>
      </c>
      <c r="I734" s="4" t="s">
        <v>7873</v>
      </c>
      <c r="J734" s="4" t="s">
        <v>7874</v>
      </c>
      <c r="K734" s="4" t="s">
        <v>7883</v>
      </c>
      <c r="L734" s="4" t="s">
        <v>7884</v>
      </c>
      <c r="M734" s="4" t="s">
        <v>46</v>
      </c>
      <c r="N734" s="4"/>
      <c r="O734" s="4" t="s">
        <v>47</v>
      </c>
      <c r="P734" s="4" t="s">
        <v>60</v>
      </c>
      <c r="Q734" s="4">
        <v>0</v>
      </c>
      <c r="R734" s="4" t="b">
        <v>0</v>
      </c>
      <c r="S734" s="4" t="s">
        <v>49</v>
      </c>
      <c r="T734" s="4" t="s">
        <v>433</v>
      </c>
      <c r="U734" s="4" t="s">
        <v>165</v>
      </c>
      <c r="V734" s="4" t="s">
        <v>63</v>
      </c>
      <c r="W734" s="4" t="s">
        <v>108</v>
      </c>
      <c r="X734" s="4" t="s">
        <v>54</v>
      </c>
      <c r="Y734" s="4"/>
      <c r="Z734" s="12">
        <v>0</v>
      </c>
      <c r="AA734" s="13" t="s">
        <v>9156</v>
      </c>
      <c r="AB734" s="13" t="s">
        <v>9155</v>
      </c>
      <c r="AC734" s="14" t="s">
        <v>9139</v>
      </c>
      <c r="AD734" s="14" t="s">
        <v>9140</v>
      </c>
      <c r="AE734" s="14" t="s">
        <v>9140</v>
      </c>
      <c r="AF734" s="14" t="s">
        <v>63</v>
      </c>
      <c r="AG734" s="14" t="s">
        <v>54</v>
      </c>
      <c r="AH734" s="15" t="s">
        <v>9220</v>
      </c>
      <c r="AI734" s="15" t="s">
        <v>9142</v>
      </c>
      <c r="AJ734" s="15" t="s">
        <v>9143</v>
      </c>
      <c r="AK734" s="15" t="s">
        <v>9221</v>
      </c>
      <c r="AL734" s="15" t="s">
        <v>9228</v>
      </c>
      <c r="AM734" s="16" t="s">
        <v>9221</v>
      </c>
      <c r="AN734" s="16" t="s">
        <v>9229</v>
      </c>
    </row>
    <row r="735" spans="1:40" x14ac:dyDescent="0.25">
      <c r="A735" s="4" t="s">
        <v>2411</v>
      </c>
      <c r="B735" s="4"/>
      <c r="C735" s="4" t="s">
        <v>39</v>
      </c>
      <c r="D735" s="4" t="s">
        <v>2412</v>
      </c>
      <c r="E735" s="4" t="s">
        <v>2413</v>
      </c>
      <c r="F735" s="10">
        <v>45533</v>
      </c>
      <c r="G735" s="11">
        <v>0.38124999999999998</v>
      </c>
      <c r="H735" s="4" t="s">
        <v>1939</v>
      </c>
      <c r="I735" s="4" t="s">
        <v>2393</v>
      </c>
      <c r="J735" s="4" t="s">
        <v>2394</v>
      </c>
      <c r="K735" s="4" t="s">
        <v>2414</v>
      </c>
      <c r="L735" s="4" t="s">
        <v>2415</v>
      </c>
      <c r="M735" s="4" t="s">
        <v>46</v>
      </c>
      <c r="N735" s="4"/>
      <c r="O735" s="4" t="s">
        <v>191</v>
      </c>
      <c r="P735" s="4" t="s">
        <v>48</v>
      </c>
      <c r="Q735" s="4">
        <v>0</v>
      </c>
      <c r="R735" s="4" t="b">
        <v>0</v>
      </c>
      <c r="S735" s="4" t="s">
        <v>49</v>
      </c>
      <c r="T735" s="4" t="s">
        <v>433</v>
      </c>
      <c r="U735" s="4" t="s">
        <v>71</v>
      </c>
      <c r="V735" s="4" t="s">
        <v>72</v>
      </c>
      <c r="W735" s="4" t="s">
        <v>73</v>
      </c>
      <c r="X735" s="4" t="s">
        <v>54</v>
      </c>
      <c r="Y735" s="4"/>
      <c r="Z735" s="12">
        <v>0</v>
      </c>
      <c r="AA735" s="13" t="s">
        <v>9156</v>
      </c>
      <c r="AB735" s="13" t="s">
        <v>9155</v>
      </c>
      <c r="AC735" s="14" t="s">
        <v>9139</v>
      </c>
      <c r="AD735" s="14" t="s">
        <v>9140</v>
      </c>
      <c r="AE735" s="14" t="s">
        <v>9140</v>
      </c>
      <c r="AF735" s="14" t="s">
        <v>72</v>
      </c>
      <c r="AG735" s="14" t="s">
        <v>54</v>
      </c>
      <c r="AH735" s="15" t="s">
        <v>9194</v>
      </c>
      <c r="AI735" s="15" t="s">
        <v>9175</v>
      </c>
      <c r="AJ735" s="15" t="s">
        <v>9143</v>
      </c>
      <c r="AK735" s="15" t="s">
        <v>9194</v>
      </c>
      <c r="AL735" s="15" t="s">
        <v>9195</v>
      </c>
      <c r="AM735" s="16" t="s">
        <v>9194</v>
      </c>
      <c r="AN735" s="16" t="s">
        <v>9196</v>
      </c>
    </row>
    <row r="736" spans="1:40" x14ac:dyDescent="0.25">
      <c r="A736" s="4" t="s">
        <v>3776</v>
      </c>
      <c r="B736" s="4"/>
      <c r="C736" s="4" t="s">
        <v>39</v>
      </c>
      <c r="D736" s="4" t="s">
        <v>3777</v>
      </c>
      <c r="E736" s="4" t="s">
        <v>3778</v>
      </c>
      <c r="F736" s="10">
        <v>45532</v>
      </c>
      <c r="G736" s="11">
        <v>0.41666666666666669</v>
      </c>
      <c r="H736" s="4" t="s">
        <v>1992</v>
      </c>
      <c r="I736" s="4" t="s">
        <v>3772</v>
      </c>
      <c r="J736" s="4" t="s">
        <v>3773</v>
      </c>
      <c r="K736" s="4" t="s">
        <v>3779</v>
      </c>
      <c r="L736" s="4" t="s">
        <v>3780</v>
      </c>
      <c r="M736" s="4" t="s">
        <v>46</v>
      </c>
      <c r="N736" s="4"/>
      <c r="O736" s="4" t="s">
        <v>47</v>
      </c>
      <c r="P736" s="4" t="s">
        <v>48</v>
      </c>
      <c r="Q736" s="4">
        <v>0</v>
      </c>
      <c r="R736" s="4" t="b">
        <v>0</v>
      </c>
      <c r="S736" s="4" t="s">
        <v>49</v>
      </c>
      <c r="T736" s="4" t="s">
        <v>583</v>
      </c>
      <c r="U736" s="4" t="s">
        <v>218</v>
      </c>
      <c r="V736" s="4" t="s">
        <v>72</v>
      </c>
      <c r="W736" s="4" t="s">
        <v>73</v>
      </c>
      <c r="X736" s="4" t="s">
        <v>350</v>
      </c>
      <c r="Y736" s="4" t="s">
        <v>1944</v>
      </c>
      <c r="Z736" s="12">
        <v>0</v>
      </c>
      <c r="AA736" s="13" t="s">
        <v>9156</v>
      </c>
      <c r="AB736" s="13" t="s">
        <v>9155</v>
      </c>
      <c r="AC736" s="14" t="s">
        <v>9139</v>
      </c>
      <c r="AD736" s="14" t="s">
        <v>9140</v>
      </c>
      <c r="AE736" s="14" t="s">
        <v>9140</v>
      </c>
      <c r="AF736" s="14" t="s">
        <v>72</v>
      </c>
      <c r="AG736" s="14" t="s">
        <v>350</v>
      </c>
      <c r="AH736" s="15" t="s">
        <v>9194</v>
      </c>
      <c r="AI736" s="15" t="s">
        <v>9191</v>
      </c>
      <c r="AJ736" s="15" t="s">
        <v>9143</v>
      </c>
      <c r="AK736" s="15" t="s">
        <v>9194</v>
      </c>
      <c r="AL736" s="15" t="s">
        <v>9201</v>
      </c>
      <c r="AM736" s="16" t="s">
        <v>9194</v>
      </c>
      <c r="AN736" s="16" t="s">
        <v>9202</v>
      </c>
    </row>
    <row r="737" spans="1:40" x14ac:dyDescent="0.25">
      <c r="A737" s="4" t="s">
        <v>5701</v>
      </c>
      <c r="B737" s="4"/>
      <c r="C737" s="4" t="s">
        <v>39</v>
      </c>
      <c r="D737" s="4" t="s">
        <v>5691</v>
      </c>
      <c r="E737" s="4" t="s">
        <v>5692</v>
      </c>
      <c r="F737" s="10">
        <v>45532</v>
      </c>
      <c r="G737" s="11">
        <v>0.45277777777777778</v>
      </c>
      <c r="H737" s="4" t="s">
        <v>5666</v>
      </c>
      <c r="I737" s="4" t="s">
        <v>5667</v>
      </c>
      <c r="J737" s="4" t="s">
        <v>2192</v>
      </c>
      <c r="K737" s="4" t="s">
        <v>5702</v>
      </c>
      <c r="L737" s="4" t="s">
        <v>5703</v>
      </c>
      <c r="M737" s="4" t="s">
        <v>46</v>
      </c>
      <c r="N737" s="4"/>
      <c r="O737" s="4" t="s">
        <v>47</v>
      </c>
      <c r="P737" s="4" t="s">
        <v>48</v>
      </c>
      <c r="Q737" s="4">
        <v>0</v>
      </c>
      <c r="R737" s="4" t="b">
        <v>0</v>
      </c>
      <c r="S737" s="4" t="s">
        <v>49</v>
      </c>
      <c r="T737" s="4" t="s">
        <v>433</v>
      </c>
      <c r="U737" s="4" t="s">
        <v>618</v>
      </c>
      <c r="V737" s="4" t="s">
        <v>72</v>
      </c>
      <c r="W737" s="4" t="s">
        <v>73</v>
      </c>
      <c r="X737" s="4" t="s">
        <v>54</v>
      </c>
      <c r="Y737" s="4"/>
      <c r="Z737" s="12">
        <v>0</v>
      </c>
      <c r="AA737" s="13" t="s">
        <v>9156</v>
      </c>
      <c r="AB737" s="13" t="s">
        <v>9155</v>
      </c>
      <c r="AC737" s="14" t="s">
        <v>9139</v>
      </c>
      <c r="AD737" s="14" t="s">
        <v>9140</v>
      </c>
      <c r="AE737" s="14" t="s">
        <v>9140</v>
      </c>
      <c r="AF737" s="14" t="s">
        <v>72</v>
      </c>
      <c r="AG737" s="14" t="s">
        <v>54</v>
      </c>
      <c r="AH737" s="15" t="s">
        <v>9220</v>
      </c>
      <c r="AI737" s="15" t="s">
        <v>9199</v>
      </c>
      <c r="AJ737" s="15" t="s">
        <v>9143</v>
      </c>
      <c r="AK737" s="15" t="s">
        <v>9221</v>
      </c>
      <c r="AL737" s="15" t="s">
        <v>9199</v>
      </c>
      <c r="AM737" s="16" t="s">
        <v>9221</v>
      </c>
      <c r="AN737" s="16" t="s">
        <v>9238</v>
      </c>
    </row>
    <row r="738" spans="1:40" x14ac:dyDescent="0.25">
      <c r="A738" s="4" t="s">
        <v>8054</v>
      </c>
      <c r="B738" s="4"/>
      <c r="C738" s="4" t="s">
        <v>39</v>
      </c>
      <c r="D738" s="4" t="s">
        <v>8055</v>
      </c>
      <c r="E738" s="4" t="s">
        <v>8056</v>
      </c>
      <c r="F738" s="10">
        <v>45532</v>
      </c>
      <c r="G738" s="11">
        <v>0.61875000000000002</v>
      </c>
      <c r="H738" s="4" t="s">
        <v>4910</v>
      </c>
      <c r="I738" s="4" t="s">
        <v>8017</v>
      </c>
      <c r="J738" s="4" t="s">
        <v>8018</v>
      </c>
      <c r="K738" s="4" t="s">
        <v>3216</v>
      </c>
      <c r="L738" s="4" t="s">
        <v>8057</v>
      </c>
      <c r="M738" s="4" t="s">
        <v>46</v>
      </c>
      <c r="N738" s="4"/>
      <c r="O738" s="4" t="s">
        <v>47</v>
      </c>
      <c r="P738" s="4" t="s">
        <v>48</v>
      </c>
      <c r="Q738" s="4">
        <v>0</v>
      </c>
      <c r="R738" s="4" t="b">
        <v>0</v>
      </c>
      <c r="S738" s="4" t="s">
        <v>49</v>
      </c>
      <c r="T738" s="4" t="s">
        <v>583</v>
      </c>
      <c r="U738" s="4" t="s">
        <v>71</v>
      </c>
      <c r="V738" s="4" t="s">
        <v>72</v>
      </c>
      <c r="W738" s="4" t="s">
        <v>97</v>
      </c>
      <c r="X738" s="4" t="s">
        <v>54</v>
      </c>
      <c r="Y738" s="4"/>
      <c r="Z738" s="12">
        <v>0</v>
      </c>
      <c r="AA738" s="13" t="s">
        <v>9156</v>
      </c>
      <c r="AB738" s="13" t="s">
        <v>9155</v>
      </c>
      <c r="AC738" s="14" t="s">
        <v>9139</v>
      </c>
      <c r="AD738" s="14" t="s">
        <v>9140</v>
      </c>
      <c r="AE738" s="14" t="s">
        <v>9140</v>
      </c>
      <c r="AF738" s="14" t="s">
        <v>72</v>
      </c>
      <c r="AG738" s="14" t="s">
        <v>54</v>
      </c>
      <c r="AH738" s="15" t="s">
        <v>9220</v>
      </c>
      <c r="AI738" s="15" t="s">
        <v>9191</v>
      </c>
      <c r="AJ738" s="15" t="s">
        <v>9143</v>
      </c>
      <c r="AK738" s="15" t="s">
        <v>9221</v>
      </c>
      <c r="AL738" s="15" t="s">
        <v>9234</v>
      </c>
      <c r="AM738" s="16" t="s">
        <v>9221</v>
      </c>
      <c r="AN738" s="16" t="s">
        <v>9235</v>
      </c>
    </row>
    <row r="739" spans="1:40" x14ac:dyDescent="0.25">
      <c r="A739" s="4" t="s">
        <v>7690</v>
      </c>
      <c r="B739" s="4" t="s">
        <v>7691</v>
      </c>
      <c r="C739" s="4" t="s">
        <v>39</v>
      </c>
      <c r="D739" s="4" t="s">
        <v>7692</v>
      </c>
      <c r="E739" s="4" t="s">
        <v>7693</v>
      </c>
      <c r="F739" s="10">
        <v>45532</v>
      </c>
      <c r="G739" s="11">
        <v>0.55208333333333337</v>
      </c>
      <c r="H739" s="4" t="s">
        <v>4910</v>
      </c>
      <c r="I739" s="4" t="s">
        <v>7681</v>
      </c>
      <c r="J739" s="4" t="s">
        <v>2956</v>
      </c>
      <c r="K739" s="4" t="s">
        <v>7694</v>
      </c>
      <c r="L739" s="4" t="s">
        <v>7695</v>
      </c>
      <c r="M739" s="4" t="s">
        <v>28</v>
      </c>
      <c r="N739" s="4" t="s">
        <v>183</v>
      </c>
      <c r="O739" s="4" t="s">
        <v>174</v>
      </c>
      <c r="P739" s="4" t="s">
        <v>48</v>
      </c>
      <c r="Q739" s="4">
        <v>4</v>
      </c>
      <c r="R739" s="4" t="b">
        <v>0</v>
      </c>
      <c r="S739" s="4" t="s">
        <v>114</v>
      </c>
      <c r="T739" s="4" t="s">
        <v>583</v>
      </c>
      <c r="U739" s="4" t="s">
        <v>107</v>
      </c>
      <c r="V739" s="4" t="s">
        <v>63</v>
      </c>
      <c r="W739" s="4" t="s">
        <v>108</v>
      </c>
      <c r="X739" s="4" t="s">
        <v>54</v>
      </c>
      <c r="Y739" s="4"/>
      <c r="Z739" s="12" t="s">
        <v>48</v>
      </c>
      <c r="AA739" s="13" t="s">
        <v>9156</v>
      </c>
      <c r="AB739" s="13" t="s">
        <v>9155</v>
      </c>
      <c r="AC739" s="14" t="s">
        <v>9157</v>
      </c>
      <c r="AD739" s="14" t="s">
        <v>28</v>
      </c>
      <c r="AE739" s="14" t="s">
        <v>183</v>
      </c>
      <c r="AF739" s="14" t="s">
        <v>63</v>
      </c>
      <c r="AG739" s="14" t="s">
        <v>54</v>
      </c>
      <c r="AH739" s="15" t="s">
        <v>9220</v>
      </c>
      <c r="AI739" s="15" t="s">
        <v>9191</v>
      </c>
      <c r="AJ739" s="15" t="s">
        <v>9143</v>
      </c>
      <c r="AK739" s="15" t="s">
        <v>9221</v>
      </c>
      <c r="AL739" s="15" t="s">
        <v>9234</v>
      </c>
      <c r="AM739" s="16" t="s">
        <v>9221</v>
      </c>
      <c r="AN739" s="16" t="s">
        <v>9235</v>
      </c>
    </row>
    <row r="740" spans="1:40" x14ac:dyDescent="0.25">
      <c r="A740" s="4" t="s">
        <v>5011</v>
      </c>
      <c r="B740" s="4">
        <v>7163439</v>
      </c>
      <c r="C740" s="4" t="s">
        <v>39</v>
      </c>
      <c r="D740" s="4" t="s">
        <v>5012</v>
      </c>
      <c r="E740" s="4" t="s">
        <v>5013</v>
      </c>
      <c r="F740" s="10">
        <v>45532</v>
      </c>
      <c r="G740" s="11">
        <v>0.67152777777777772</v>
      </c>
      <c r="H740" s="4" t="s">
        <v>4516</v>
      </c>
      <c r="I740" s="4" t="s">
        <v>4969</v>
      </c>
      <c r="J740" s="4" t="s">
        <v>3453</v>
      </c>
      <c r="K740" s="4" t="s">
        <v>5014</v>
      </c>
      <c r="L740" s="4" t="s">
        <v>5015</v>
      </c>
      <c r="M740" s="4" t="s">
        <v>28</v>
      </c>
      <c r="N740" s="4" t="s">
        <v>183</v>
      </c>
      <c r="O740" s="4" t="s">
        <v>191</v>
      </c>
      <c r="P740" s="4" t="s">
        <v>48</v>
      </c>
      <c r="Q740" s="4">
        <v>2</v>
      </c>
      <c r="R740" s="4" t="b">
        <v>0</v>
      </c>
      <c r="S740" s="4" t="s">
        <v>61</v>
      </c>
      <c r="T740" s="4" t="s">
        <v>583</v>
      </c>
      <c r="U740" s="4" t="s">
        <v>527</v>
      </c>
      <c r="V740" s="4" t="s">
        <v>72</v>
      </c>
      <c r="W740" s="4" t="s">
        <v>73</v>
      </c>
      <c r="X740" s="4" t="s">
        <v>54</v>
      </c>
      <c r="Y740" s="4"/>
      <c r="Z740" s="12" t="s">
        <v>48</v>
      </c>
      <c r="AA740" s="13" t="s">
        <v>9156</v>
      </c>
      <c r="AB740" s="13" t="s">
        <v>9155</v>
      </c>
      <c r="AC740" s="14" t="s">
        <v>9148</v>
      </c>
      <c r="AD740" s="14" t="s">
        <v>28</v>
      </c>
      <c r="AE740" s="14" t="s">
        <v>183</v>
      </c>
      <c r="AF740" s="14" t="s">
        <v>72</v>
      </c>
      <c r="AG740" s="14" t="s">
        <v>54</v>
      </c>
      <c r="AH740" s="15" t="s">
        <v>9220</v>
      </c>
      <c r="AI740" s="15" t="s">
        <v>9188</v>
      </c>
      <c r="AJ740" s="15" t="s">
        <v>9143</v>
      </c>
      <c r="AK740" s="15" t="s">
        <v>9221</v>
      </c>
      <c r="AL740" s="15" t="s">
        <v>9230</v>
      </c>
      <c r="AM740" s="16" t="s">
        <v>9221</v>
      </c>
      <c r="AN740" s="16" t="s">
        <v>9231</v>
      </c>
    </row>
    <row r="741" spans="1:40" x14ac:dyDescent="0.25">
      <c r="A741" s="4" t="s">
        <v>5852</v>
      </c>
      <c r="B741" s="4" t="s">
        <v>5853</v>
      </c>
      <c r="C741" s="4" t="s">
        <v>39</v>
      </c>
      <c r="D741" s="4" t="s">
        <v>5854</v>
      </c>
      <c r="E741" s="4" t="s">
        <v>5855</v>
      </c>
      <c r="F741" s="10">
        <v>45531</v>
      </c>
      <c r="G741" s="11">
        <v>0.55833333333333335</v>
      </c>
      <c r="H741" s="4" t="s">
        <v>5838</v>
      </c>
      <c r="I741" s="4" t="s">
        <v>5839</v>
      </c>
      <c r="J741" s="4" t="s">
        <v>3121</v>
      </c>
      <c r="K741" s="4" t="s">
        <v>5856</v>
      </c>
      <c r="L741" s="4" t="s">
        <v>5857</v>
      </c>
      <c r="M741" s="4" t="s">
        <v>28</v>
      </c>
      <c r="N741" s="4" t="s">
        <v>183</v>
      </c>
      <c r="O741" s="4" t="s">
        <v>156</v>
      </c>
      <c r="P741" s="4" t="s">
        <v>48</v>
      </c>
      <c r="Q741" s="4">
        <v>45</v>
      </c>
      <c r="R741" s="4" t="b">
        <v>0</v>
      </c>
      <c r="S741" s="4" t="s">
        <v>184</v>
      </c>
      <c r="T741" s="4" t="s">
        <v>583</v>
      </c>
      <c r="U741" s="4" t="s">
        <v>148</v>
      </c>
      <c r="V741" s="4" t="s">
        <v>52</v>
      </c>
      <c r="W741" s="4" t="s">
        <v>53</v>
      </c>
      <c r="X741" s="4" t="s">
        <v>54</v>
      </c>
      <c r="Y741" s="4"/>
      <c r="Z741" s="12" t="s">
        <v>48</v>
      </c>
      <c r="AA741" s="13" t="s">
        <v>9156</v>
      </c>
      <c r="AB741" s="13" t="s">
        <v>9155</v>
      </c>
      <c r="AC741" s="14" t="s">
        <v>9166</v>
      </c>
      <c r="AD741" s="14" t="s">
        <v>28</v>
      </c>
      <c r="AE741" s="14" t="s">
        <v>183</v>
      </c>
      <c r="AF741" s="14" t="s">
        <v>52</v>
      </c>
      <c r="AG741" s="14" t="s">
        <v>54</v>
      </c>
      <c r="AH741" s="15" t="s">
        <v>9220</v>
      </c>
      <c r="AI741" s="15" t="s">
        <v>9213</v>
      </c>
      <c r="AJ741" s="15" t="s">
        <v>9143</v>
      </c>
      <c r="AK741" s="15" t="s">
        <v>9221</v>
      </c>
      <c r="AL741" s="15" t="s">
        <v>9228</v>
      </c>
      <c r="AM741" s="16" t="s">
        <v>9221</v>
      </c>
      <c r="AN741" s="16" t="s">
        <v>9229</v>
      </c>
    </row>
    <row r="742" spans="1:40" x14ac:dyDescent="0.25">
      <c r="A742" s="4" t="s">
        <v>2416</v>
      </c>
      <c r="B742" s="4"/>
      <c r="C742" s="4" t="s">
        <v>39</v>
      </c>
      <c r="D742" s="4" t="s">
        <v>2417</v>
      </c>
      <c r="E742" s="4" t="s">
        <v>2418</v>
      </c>
      <c r="F742" s="10">
        <v>45531</v>
      </c>
      <c r="G742" s="11">
        <v>0.50347222222222221</v>
      </c>
      <c r="H742" s="4" t="s">
        <v>1939</v>
      </c>
      <c r="I742" s="4" t="s">
        <v>2393</v>
      </c>
      <c r="J742" s="4" t="s">
        <v>2394</v>
      </c>
      <c r="K742" s="4" t="s">
        <v>2419</v>
      </c>
      <c r="L742" s="4" t="s">
        <v>2420</v>
      </c>
      <c r="M742" s="4" t="s">
        <v>46</v>
      </c>
      <c r="N742" s="4"/>
      <c r="O742" s="4" t="s">
        <v>47</v>
      </c>
      <c r="P742" s="4" t="s">
        <v>60</v>
      </c>
      <c r="Q742" s="4">
        <v>0</v>
      </c>
      <c r="R742" s="4" t="b">
        <v>0</v>
      </c>
      <c r="S742" s="4" t="s">
        <v>49</v>
      </c>
      <c r="T742" s="4" t="s">
        <v>50</v>
      </c>
      <c r="U742" s="4" t="s">
        <v>618</v>
      </c>
      <c r="V742" s="4" t="s">
        <v>63</v>
      </c>
      <c r="W742" s="4" t="s">
        <v>108</v>
      </c>
      <c r="X742" s="4" t="s">
        <v>98</v>
      </c>
      <c r="Y742" s="4"/>
      <c r="Z742" s="12">
        <v>0</v>
      </c>
      <c r="AA742" s="13" t="s">
        <v>9156</v>
      </c>
      <c r="AB742" s="13" t="s">
        <v>9155</v>
      </c>
      <c r="AC742" s="14" t="s">
        <v>9139</v>
      </c>
      <c r="AD742" s="14" t="s">
        <v>9140</v>
      </c>
      <c r="AE742" s="14" t="s">
        <v>9140</v>
      </c>
      <c r="AF742" s="14" t="s">
        <v>63</v>
      </c>
      <c r="AG742" s="14" t="s">
        <v>98</v>
      </c>
      <c r="AH742" s="15" t="s">
        <v>9194</v>
      </c>
      <c r="AI742" s="15" t="s">
        <v>9175</v>
      </c>
      <c r="AJ742" s="15" t="s">
        <v>9143</v>
      </c>
      <c r="AK742" s="15" t="s">
        <v>9194</v>
      </c>
      <c r="AL742" s="15" t="s">
        <v>9195</v>
      </c>
      <c r="AM742" s="16" t="s">
        <v>9194</v>
      </c>
      <c r="AN742" s="16" t="s">
        <v>9196</v>
      </c>
    </row>
    <row r="743" spans="1:40" x14ac:dyDescent="0.25">
      <c r="A743" s="4" t="s">
        <v>2110</v>
      </c>
      <c r="B743" s="4">
        <v>7160476</v>
      </c>
      <c r="C743" s="4" t="s">
        <v>39</v>
      </c>
      <c r="D743" s="4" t="s">
        <v>2093</v>
      </c>
      <c r="E743" s="4" t="s">
        <v>2094</v>
      </c>
      <c r="F743" s="10">
        <v>45531</v>
      </c>
      <c r="G743" s="11">
        <v>0.52777777777777779</v>
      </c>
      <c r="H743" s="4" t="s">
        <v>2095</v>
      </c>
      <c r="I743" s="4" t="s">
        <v>2096</v>
      </c>
      <c r="J743" s="4" t="s">
        <v>2097</v>
      </c>
      <c r="K743" s="4" t="s">
        <v>2111</v>
      </c>
      <c r="L743" s="4" t="s">
        <v>2112</v>
      </c>
      <c r="M743" s="4" t="s">
        <v>28</v>
      </c>
      <c r="N743" s="4" t="s">
        <v>183</v>
      </c>
      <c r="O743" s="4" t="s">
        <v>174</v>
      </c>
      <c r="P743" s="4" t="s">
        <v>48</v>
      </c>
      <c r="Q743" s="4">
        <v>8</v>
      </c>
      <c r="R743" s="4" t="b">
        <v>0</v>
      </c>
      <c r="S743" s="4" t="s">
        <v>184</v>
      </c>
      <c r="T743" s="4" t="s">
        <v>70</v>
      </c>
      <c r="U743" s="4" t="s">
        <v>527</v>
      </c>
      <c r="V743" s="4" t="s">
        <v>123</v>
      </c>
      <c r="W743" s="4" t="s">
        <v>124</v>
      </c>
      <c r="X743" s="4" t="s">
        <v>54</v>
      </c>
      <c r="Y743" s="4"/>
      <c r="Z743" s="12" t="s">
        <v>48</v>
      </c>
      <c r="AA743" s="13" t="s">
        <v>9156</v>
      </c>
      <c r="AB743" s="13" t="s">
        <v>9155</v>
      </c>
      <c r="AC743" s="14" t="s">
        <v>9166</v>
      </c>
      <c r="AD743" s="14" t="s">
        <v>28</v>
      </c>
      <c r="AE743" s="14" t="s">
        <v>183</v>
      </c>
      <c r="AF743" s="14" t="s">
        <v>123</v>
      </c>
      <c r="AG743" s="14" t="s">
        <v>54</v>
      </c>
      <c r="AH743" s="15" t="s">
        <v>9194</v>
      </c>
      <c r="AI743" s="15" t="s">
        <v>9188</v>
      </c>
      <c r="AJ743" s="15" t="s">
        <v>9143</v>
      </c>
      <c r="AK743" s="15" t="s">
        <v>9194</v>
      </c>
      <c r="AL743" s="15" t="s">
        <v>9203</v>
      </c>
      <c r="AM743" s="16" t="s">
        <v>9194</v>
      </c>
      <c r="AN743" s="16" t="s">
        <v>9204</v>
      </c>
    </row>
    <row r="744" spans="1:40" x14ac:dyDescent="0.25">
      <c r="A744" s="4" t="s">
        <v>1019</v>
      </c>
      <c r="B744" s="4"/>
      <c r="C744" s="4" t="s">
        <v>39</v>
      </c>
      <c r="D744" s="4" t="s">
        <v>1020</v>
      </c>
      <c r="E744" s="4" t="s">
        <v>1021</v>
      </c>
      <c r="F744" s="10">
        <v>45531</v>
      </c>
      <c r="G744" s="11">
        <v>0.52083333333333337</v>
      </c>
      <c r="H744" s="4" t="s">
        <v>463</v>
      </c>
      <c r="I744" s="4">
        <v>2042</v>
      </c>
      <c r="J744" s="4" t="s">
        <v>1015</v>
      </c>
      <c r="K744" s="4" t="s">
        <v>1022</v>
      </c>
      <c r="L744" s="4" t="s">
        <v>1023</v>
      </c>
      <c r="M744" s="4" t="s">
        <v>46</v>
      </c>
      <c r="N744" s="4"/>
      <c r="O744" s="4" t="s">
        <v>47</v>
      </c>
      <c r="P744" s="4" t="s">
        <v>48</v>
      </c>
      <c r="Q744" s="4">
        <v>0</v>
      </c>
      <c r="R744" s="4" t="b">
        <v>0</v>
      </c>
      <c r="S744" s="4" t="s">
        <v>49</v>
      </c>
      <c r="T744" s="4" t="s">
        <v>50</v>
      </c>
      <c r="U744" s="4" t="s">
        <v>71</v>
      </c>
      <c r="V744" s="4" t="s">
        <v>63</v>
      </c>
      <c r="W744" s="4" t="s">
        <v>312</v>
      </c>
      <c r="X744" s="4" t="s">
        <v>54</v>
      </c>
      <c r="Y744" s="4"/>
      <c r="Z744" s="12">
        <v>0</v>
      </c>
      <c r="AA744" s="13" t="s">
        <v>9156</v>
      </c>
      <c r="AB744" s="13" t="s">
        <v>9155</v>
      </c>
      <c r="AC744" s="14" t="s">
        <v>9139</v>
      </c>
      <c r="AD744" s="14" t="s">
        <v>9140</v>
      </c>
      <c r="AE744" s="14" t="s">
        <v>9140</v>
      </c>
      <c r="AF744" s="14" t="s">
        <v>63</v>
      </c>
      <c r="AG744" s="14" t="s">
        <v>54</v>
      </c>
      <c r="AH744" s="15" t="s">
        <v>9141</v>
      </c>
      <c r="AI744" s="15" t="s">
        <v>9175</v>
      </c>
      <c r="AJ744" s="15" t="s">
        <v>9143</v>
      </c>
      <c r="AK744" s="15" t="s">
        <v>9141</v>
      </c>
      <c r="AL744" s="15" t="s">
        <v>9175</v>
      </c>
      <c r="AM744" s="16" t="s">
        <v>9141</v>
      </c>
      <c r="AN744" s="16" t="s">
        <v>9176</v>
      </c>
    </row>
    <row r="745" spans="1:40" x14ac:dyDescent="0.25">
      <c r="A745" s="4" t="s">
        <v>1641</v>
      </c>
      <c r="B745" s="4"/>
      <c r="C745" s="4" t="s">
        <v>39</v>
      </c>
      <c r="D745" s="4" t="s">
        <v>1642</v>
      </c>
      <c r="E745" s="4" t="s">
        <v>1643</v>
      </c>
      <c r="F745" s="10">
        <v>45531</v>
      </c>
      <c r="G745" s="11">
        <v>0.63888888888888884</v>
      </c>
      <c r="H745" s="4" t="s">
        <v>1366</v>
      </c>
      <c r="I745" s="4">
        <v>6078</v>
      </c>
      <c r="J745" s="4" t="s">
        <v>1638</v>
      </c>
      <c r="K745" s="4" t="s">
        <v>1644</v>
      </c>
      <c r="L745" s="4" t="s">
        <v>1645</v>
      </c>
      <c r="M745" s="4" t="s">
        <v>46</v>
      </c>
      <c r="N745" s="4"/>
      <c r="O745" s="4" t="s">
        <v>47</v>
      </c>
      <c r="P745" s="4" t="s">
        <v>48</v>
      </c>
      <c r="Q745" s="4">
        <v>0</v>
      </c>
      <c r="R745" s="4" t="b">
        <v>0</v>
      </c>
      <c r="S745" s="4" t="s">
        <v>61</v>
      </c>
      <c r="T745" s="4" t="s">
        <v>433</v>
      </c>
      <c r="U745" s="4" t="s">
        <v>71</v>
      </c>
      <c r="V745" s="4" t="s">
        <v>72</v>
      </c>
      <c r="W745" s="4" t="s">
        <v>73</v>
      </c>
      <c r="X745" s="4" t="s">
        <v>785</v>
      </c>
      <c r="Y745" s="4"/>
      <c r="Z745" s="12">
        <v>0</v>
      </c>
      <c r="AA745" s="13" t="s">
        <v>9156</v>
      </c>
      <c r="AB745" s="13" t="s">
        <v>9155</v>
      </c>
      <c r="AC745" s="14" t="s">
        <v>9148</v>
      </c>
      <c r="AD745" s="14" t="s">
        <v>9140</v>
      </c>
      <c r="AE745" s="14" t="s">
        <v>9140</v>
      </c>
      <c r="AF745" s="14" t="s">
        <v>72</v>
      </c>
      <c r="AG745" s="14" t="s">
        <v>785</v>
      </c>
      <c r="AH745" s="15" t="s">
        <v>9141</v>
      </c>
      <c r="AI745" s="15" t="s">
        <v>9188</v>
      </c>
      <c r="AJ745" s="15" t="s">
        <v>9143</v>
      </c>
      <c r="AK745" s="15" t="s">
        <v>9141</v>
      </c>
      <c r="AL745" s="15" t="s">
        <v>9189</v>
      </c>
      <c r="AM745" s="16" t="s">
        <v>9141</v>
      </c>
      <c r="AN745" s="16" t="s">
        <v>9190</v>
      </c>
    </row>
    <row r="746" spans="1:40" x14ac:dyDescent="0.25">
      <c r="A746" s="4" t="s">
        <v>3958</v>
      </c>
      <c r="B746" s="4"/>
      <c r="C746" s="4" t="s">
        <v>39</v>
      </c>
      <c r="D746" s="4" t="s">
        <v>3959</v>
      </c>
      <c r="E746" s="4" t="s">
        <v>3960</v>
      </c>
      <c r="F746" s="10">
        <v>45530</v>
      </c>
      <c r="G746" s="11">
        <v>0.57291666666666663</v>
      </c>
      <c r="H746" s="4" t="s">
        <v>2095</v>
      </c>
      <c r="I746" s="4" t="s">
        <v>3949</v>
      </c>
      <c r="J746" s="4" t="s">
        <v>1412</v>
      </c>
      <c r="K746" s="4" t="s">
        <v>3961</v>
      </c>
      <c r="L746" s="4" t="s">
        <v>3962</v>
      </c>
      <c r="M746" s="4" t="s">
        <v>46</v>
      </c>
      <c r="N746" s="4"/>
      <c r="O746" s="4" t="s">
        <v>47</v>
      </c>
      <c r="P746" s="4" t="s">
        <v>48</v>
      </c>
      <c r="Q746" s="4">
        <v>0</v>
      </c>
      <c r="R746" s="4" t="b">
        <v>0</v>
      </c>
      <c r="S746" s="4" t="s">
        <v>61</v>
      </c>
      <c r="T746" s="4" t="s">
        <v>115</v>
      </c>
      <c r="U746" s="4" t="s">
        <v>2817</v>
      </c>
      <c r="V746" s="4" t="s">
        <v>123</v>
      </c>
      <c r="W746" s="4" t="s">
        <v>192</v>
      </c>
      <c r="X746" s="4" t="s">
        <v>54</v>
      </c>
      <c r="Y746" s="4" t="s">
        <v>302</v>
      </c>
      <c r="Z746" s="12">
        <v>0</v>
      </c>
      <c r="AA746" s="13" t="s">
        <v>9156</v>
      </c>
      <c r="AB746" s="13" t="s">
        <v>9155</v>
      </c>
      <c r="AC746" s="14" t="s">
        <v>9148</v>
      </c>
      <c r="AD746" s="14" t="s">
        <v>9140</v>
      </c>
      <c r="AE746" s="14" t="s">
        <v>9140</v>
      </c>
      <c r="AF746" s="14" t="s">
        <v>123</v>
      </c>
      <c r="AG746" s="14" t="s">
        <v>54</v>
      </c>
      <c r="AH746" s="15" t="s">
        <v>9194</v>
      </c>
      <c r="AI746" s="15" t="s">
        <v>9188</v>
      </c>
      <c r="AJ746" s="15" t="s">
        <v>9143</v>
      </c>
      <c r="AK746" s="15" t="s">
        <v>9194</v>
      </c>
      <c r="AL746" s="15" t="s">
        <v>9211</v>
      </c>
      <c r="AM746" s="16" t="s">
        <v>9194</v>
      </c>
      <c r="AN746" s="16" t="s">
        <v>9212</v>
      </c>
    </row>
    <row r="747" spans="1:40" x14ac:dyDescent="0.25">
      <c r="A747" s="4" t="s">
        <v>5084</v>
      </c>
      <c r="B747" s="4" t="s">
        <v>5085</v>
      </c>
      <c r="C747" s="4" t="s">
        <v>39</v>
      </c>
      <c r="D747" s="4" t="s">
        <v>5086</v>
      </c>
      <c r="E747" s="4" t="s">
        <v>5087</v>
      </c>
      <c r="F747" s="10">
        <v>45530</v>
      </c>
      <c r="G747" s="11">
        <v>0.58333333333333337</v>
      </c>
      <c r="H747" s="4" t="s">
        <v>4910</v>
      </c>
      <c r="I747" s="4" t="s">
        <v>5077</v>
      </c>
      <c r="J747" s="4" t="s">
        <v>2140</v>
      </c>
      <c r="K747" s="4" t="s">
        <v>5088</v>
      </c>
      <c r="L747" s="4" t="s">
        <v>5089</v>
      </c>
      <c r="M747" s="4" t="s">
        <v>28</v>
      </c>
      <c r="N747" s="4" t="s">
        <v>478</v>
      </c>
      <c r="O747" s="4" t="s">
        <v>191</v>
      </c>
      <c r="P747" s="4" t="s">
        <v>48</v>
      </c>
      <c r="Q747" s="4">
        <v>2</v>
      </c>
      <c r="R747" s="4" t="b">
        <v>0</v>
      </c>
      <c r="S747" s="4" t="s">
        <v>61</v>
      </c>
      <c r="T747" s="4" t="s">
        <v>583</v>
      </c>
      <c r="U747" s="4" t="s">
        <v>600</v>
      </c>
      <c r="V747" s="4" t="s">
        <v>52</v>
      </c>
      <c r="W747" s="4" t="s">
        <v>255</v>
      </c>
      <c r="X747" s="4" t="s">
        <v>54</v>
      </c>
      <c r="Y747" s="4" t="s">
        <v>176</v>
      </c>
      <c r="Z747" s="12" t="s">
        <v>48</v>
      </c>
      <c r="AA747" s="13" t="s">
        <v>9156</v>
      </c>
      <c r="AB747" s="13" t="s">
        <v>9155</v>
      </c>
      <c r="AC747" s="14" t="s">
        <v>9148</v>
      </c>
      <c r="AD747" s="14" t="s">
        <v>28</v>
      </c>
      <c r="AE747" s="14" t="s">
        <v>478</v>
      </c>
      <c r="AF747" s="14" t="s">
        <v>52</v>
      </c>
      <c r="AG747" s="14" t="s">
        <v>54</v>
      </c>
      <c r="AH747" s="15" t="s">
        <v>9220</v>
      </c>
      <c r="AI747" s="15" t="s">
        <v>9191</v>
      </c>
      <c r="AJ747" s="15" t="s">
        <v>9143</v>
      </c>
      <c r="AK747" s="15" t="s">
        <v>9221</v>
      </c>
      <c r="AL747" s="15" t="s">
        <v>9226</v>
      </c>
      <c r="AM747" s="16" t="s">
        <v>9221</v>
      </c>
      <c r="AN747" s="16" t="s">
        <v>9227</v>
      </c>
    </row>
    <row r="748" spans="1:40" x14ac:dyDescent="0.25">
      <c r="A748" s="4" t="s">
        <v>7989</v>
      </c>
      <c r="B748" s="4"/>
      <c r="C748" s="4" t="s">
        <v>39</v>
      </c>
      <c r="D748" s="4" t="s">
        <v>7990</v>
      </c>
      <c r="E748" s="4" t="s">
        <v>7991</v>
      </c>
      <c r="F748" s="10">
        <v>45530</v>
      </c>
      <c r="G748" s="11">
        <v>0.82291666666666663</v>
      </c>
      <c r="H748" s="4" t="s">
        <v>4910</v>
      </c>
      <c r="I748" s="4" t="s">
        <v>7985</v>
      </c>
      <c r="J748" s="4" t="s">
        <v>7986</v>
      </c>
      <c r="K748" s="4" t="s">
        <v>175</v>
      </c>
      <c r="L748" s="4" t="s">
        <v>7992</v>
      </c>
      <c r="M748" s="4" t="s">
        <v>46</v>
      </c>
      <c r="N748" s="4"/>
      <c r="O748" s="4" t="s">
        <v>47</v>
      </c>
      <c r="P748" s="4" t="s">
        <v>48</v>
      </c>
      <c r="Q748" s="4">
        <v>0</v>
      </c>
      <c r="R748" s="4" t="b">
        <v>0</v>
      </c>
      <c r="S748" s="4" t="s">
        <v>61</v>
      </c>
      <c r="T748" s="4" t="s">
        <v>115</v>
      </c>
      <c r="U748" s="4" t="s">
        <v>175</v>
      </c>
      <c r="V748" s="4" t="s">
        <v>123</v>
      </c>
      <c r="W748" s="4" t="s">
        <v>124</v>
      </c>
      <c r="X748" s="4" t="s">
        <v>54</v>
      </c>
      <c r="Y748" s="4"/>
      <c r="Z748" s="12">
        <v>0</v>
      </c>
      <c r="AA748" s="13" t="s">
        <v>9156</v>
      </c>
      <c r="AB748" s="13" t="s">
        <v>9155</v>
      </c>
      <c r="AC748" s="14" t="s">
        <v>9148</v>
      </c>
      <c r="AD748" s="14" t="s">
        <v>9140</v>
      </c>
      <c r="AE748" s="14" t="s">
        <v>9140</v>
      </c>
      <c r="AF748" s="14" t="s">
        <v>123</v>
      </c>
      <c r="AG748" s="14" t="s">
        <v>54</v>
      </c>
      <c r="AH748" s="15" t="s">
        <v>9220</v>
      </c>
      <c r="AI748" s="15" t="s">
        <v>9191</v>
      </c>
      <c r="AJ748" s="15" t="s">
        <v>9143</v>
      </c>
      <c r="AK748" s="15" t="s">
        <v>9221</v>
      </c>
      <c r="AL748" s="15" t="s">
        <v>9234</v>
      </c>
      <c r="AM748" s="16" t="s">
        <v>9221</v>
      </c>
      <c r="AN748" s="16" t="s">
        <v>9235</v>
      </c>
    </row>
    <row r="749" spans="1:40" x14ac:dyDescent="0.25">
      <c r="A749" s="4" t="s">
        <v>6518</v>
      </c>
      <c r="B749" s="4"/>
      <c r="C749" s="4" t="s">
        <v>39</v>
      </c>
      <c r="D749" s="4" t="s">
        <v>6519</v>
      </c>
      <c r="E749" s="4" t="s">
        <v>6520</v>
      </c>
      <c r="F749" s="10">
        <v>45530</v>
      </c>
      <c r="G749" s="11">
        <v>0.5</v>
      </c>
      <c r="H749" s="4" t="s">
        <v>4910</v>
      </c>
      <c r="I749" s="4" t="s">
        <v>6502</v>
      </c>
      <c r="J749" s="4" t="s">
        <v>6503</v>
      </c>
      <c r="K749" s="4" t="s">
        <v>5786</v>
      </c>
      <c r="L749" s="4" t="s">
        <v>6521</v>
      </c>
      <c r="M749" s="4" t="s">
        <v>46</v>
      </c>
      <c r="N749" s="4"/>
      <c r="O749" s="4" t="s">
        <v>47</v>
      </c>
      <c r="P749" s="4" t="s">
        <v>48</v>
      </c>
      <c r="Q749" s="4">
        <v>0</v>
      </c>
      <c r="R749" s="4" t="b">
        <v>0</v>
      </c>
      <c r="S749" s="4" t="s">
        <v>49</v>
      </c>
      <c r="T749" s="4" t="s">
        <v>583</v>
      </c>
      <c r="U749" s="4" t="s">
        <v>71</v>
      </c>
      <c r="V749" s="4" t="s">
        <v>52</v>
      </c>
      <c r="W749" s="4" t="s">
        <v>255</v>
      </c>
      <c r="X749" s="4" t="s">
        <v>54</v>
      </c>
      <c r="Y749" s="4"/>
      <c r="Z749" s="12">
        <v>0</v>
      </c>
      <c r="AA749" s="13" t="s">
        <v>9156</v>
      </c>
      <c r="AB749" s="13" t="s">
        <v>9155</v>
      </c>
      <c r="AC749" s="14" t="s">
        <v>9139</v>
      </c>
      <c r="AD749" s="14" t="s">
        <v>9140</v>
      </c>
      <c r="AE749" s="14" t="s">
        <v>9140</v>
      </c>
      <c r="AF749" s="14" t="s">
        <v>52</v>
      </c>
      <c r="AG749" s="14" t="s">
        <v>54</v>
      </c>
      <c r="AH749" s="15" t="s">
        <v>9220</v>
      </c>
      <c r="AI749" s="15" t="s">
        <v>9191</v>
      </c>
      <c r="AJ749" s="15" t="s">
        <v>9143</v>
      </c>
      <c r="AK749" s="15" t="s">
        <v>9221</v>
      </c>
      <c r="AL749" s="15" t="s">
        <v>9236</v>
      </c>
      <c r="AM749" s="16" t="s">
        <v>9221</v>
      </c>
      <c r="AN749" s="16" t="s">
        <v>9237</v>
      </c>
    </row>
    <row r="750" spans="1:40" x14ac:dyDescent="0.25">
      <c r="A750" s="4" t="s">
        <v>7551</v>
      </c>
      <c r="B750" s="4">
        <v>12240046552</v>
      </c>
      <c r="C750" s="4" t="s">
        <v>488</v>
      </c>
      <c r="D750" s="4" t="s">
        <v>7552</v>
      </c>
      <c r="E750" s="4" t="s">
        <v>7553</v>
      </c>
      <c r="F750" s="10">
        <v>45530</v>
      </c>
      <c r="G750" s="11">
        <v>0.6875</v>
      </c>
      <c r="H750" s="4" t="s">
        <v>4019</v>
      </c>
      <c r="I750" s="4" t="s">
        <v>7543</v>
      </c>
      <c r="J750" s="4" t="s">
        <v>876</v>
      </c>
      <c r="K750" s="4" t="s">
        <v>7554</v>
      </c>
      <c r="L750" s="4" t="s">
        <v>7555</v>
      </c>
      <c r="M750" s="4" t="s">
        <v>28</v>
      </c>
      <c r="N750" s="4" t="s">
        <v>183</v>
      </c>
      <c r="O750" s="4" t="s">
        <v>174</v>
      </c>
      <c r="P750" s="4" t="s">
        <v>60</v>
      </c>
      <c r="Q750" s="4">
        <v>72</v>
      </c>
      <c r="R750" s="4" t="b">
        <v>0</v>
      </c>
      <c r="S750" s="4" t="s">
        <v>184</v>
      </c>
      <c r="T750" s="4" t="s">
        <v>266</v>
      </c>
      <c r="U750" s="4" t="s">
        <v>330</v>
      </c>
      <c r="V750" s="4" t="s">
        <v>267</v>
      </c>
      <c r="W750" s="4" t="s">
        <v>495</v>
      </c>
      <c r="X750" s="4" t="s">
        <v>54</v>
      </c>
      <c r="Y750" s="4"/>
      <c r="Z750" s="12" t="s">
        <v>60</v>
      </c>
      <c r="AA750" s="13" t="s">
        <v>9156</v>
      </c>
      <c r="AB750" s="13" t="s">
        <v>9155</v>
      </c>
      <c r="AC750" s="14" t="s">
        <v>9166</v>
      </c>
      <c r="AD750" s="14" t="s">
        <v>28</v>
      </c>
      <c r="AE750" s="14" t="s">
        <v>183</v>
      </c>
      <c r="AF750" s="14" t="s">
        <v>267</v>
      </c>
      <c r="AG750" s="14" t="s">
        <v>54</v>
      </c>
      <c r="AH750" s="15" t="s">
        <v>9220</v>
      </c>
      <c r="AI750" s="15" t="s">
        <v>9175</v>
      </c>
      <c r="AJ750" s="15" t="s">
        <v>9143</v>
      </c>
      <c r="AK750" s="15" t="s">
        <v>9221</v>
      </c>
      <c r="AL750" s="15" t="s">
        <v>9224</v>
      </c>
      <c r="AM750" s="16" t="s">
        <v>9221</v>
      </c>
      <c r="AN750" s="16" t="s">
        <v>9225</v>
      </c>
    </row>
    <row r="751" spans="1:40" x14ac:dyDescent="0.25">
      <c r="A751" s="4" t="s">
        <v>6929</v>
      </c>
      <c r="B751" s="4">
        <v>12240025188</v>
      </c>
      <c r="C751" s="4" t="s">
        <v>39</v>
      </c>
      <c r="D751" s="4" t="s">
        <v>6930</v>
      </c>
      <c r="E751" s="4" t="s">
        <v>6931</v>
      </c>
      <c r="F751" s="10">
        <v>45530</v>
      </c>
      <c r="G751" s="11">
        <v>0.625</v>
      </c>
      <c r="H751" s="4" t="s">
        <v>4019</v>
      </c>
      <c r="I751" s="4" t="s">
        <v>6911</v>
      </c>
      <c r="J751" s="4" t="s">
        <v>6912</v>
      </c>
      <c r="K751" s="4" t="s">
        <v>6932</v>
      </c>
      <c r="L751" s="4" t="s">
        <v>6933</v>
      </c>
      <c r="M751" s="4" t="s">
        <v>28</v>
      </c>
      <c r="N751" s="4" t="s">
        <v>183</v>
      </c>
      <c r="O751" s="4" t="s">
        <v>191</v>
      </c>
      <c r="P751" s="4" t="s">
        <v>60</v>
      </c>
      <c r="Q751" s="4">
        <v>6</v>
      </c>
      <c r="R751" s="4" t="b">
        <v>0</v>
      </c>
      <c r="S751" s="4" t="s">
        <v>114</v>
      </c>
      <c r="T751" s="4" t="s">
        <v>115</v>
      </c>
      <c r="U751" s="4" t="s">
        <v>175</v>
      </c>
      <c r="V751" s="4" t="s">
        <v>52</v>
      </c>
      <c r="W751" s="4" t="s">
        <v>255</v>
      </c>
      <c r="X751" s="4" t="s">
        <v>54</v>
      </c>
      <c r="Y751" s="4"/>
      <c r="Z751" s="12" t="s">
        <v>60</v>
      </c>
      <c r="AA751" s="13" t="s">
        <v>9156</v>
      </c>
      <c r="AB751" s="13" t="s">
        <v>9155</v>
      </c>
      <c r="AC751" s="14" t="s">
        <v>9157</v>
      </c>
      <c r="AD751" s="14" t="s">
        <v>28</v>
      </c>
      <c r="AE751" s="14" t="s">
        <v>183</v>
      </c>
      <c r="AF751" s="14" t="s">
        <v>52</v>
      </c>
      <c r="AG751" s="14" t="s">
        <v>54</v>
      </c>
      <c r="AH751" s="15" t="s">
        <v>9220</v>
      </c>
      <c r="AI751" s="15" t="s">
        <v>9175</v>
      </c>
      <c r="AJ751" s="15" t="s">
        <v>9143</v>
      </c>
      <c r="AK751" s="15" t="s">
        <v>9221</v>
      </c>
      <c r="AL751" s="15" t="s">
        <v>9224</v>
      </c>
      <c r="AM751" s="16" t="s">
        <v>9221</v>
      </c>
      <c r="AN751" s="16" t="s">
        <v>9225</v>
      </c>
    </row>
    <row r="752" spans="1:40" x14ac:dyDescent="0.25">
      <c r="A752" s="4" t="s">
        <v>8388</v>
      </c>
      <c r="B752" s="4" t="s">
        <v>8389</v>
      </c>
      <c r="C752" s="4" t="s">
        <v>39</v>
      </c>
      <c r="D752" s="4" t="s">
        <v>8390</v>
      </c>
      <c r="E752" s="4" t="s">
        <v>8391</v>
      </c>
      <c r="F752" s="10">
        <v>45530</v>
      </c>
      <c r="G752" s="11">
        <v>0.6333333333333333</v>
      </c>
      <c r="H752" s="4" t="s">
        <v>4910</v>
      </c>
      <c r="I752" s="4" t="s">
        <v>8378</v>
      </c>
      <c r="J752" s="4" t="s">
        <v>3188</v>
      </c>
      <c r="K752" s="4" t="s">
        <v>3361</v>
      </c>
      <c r="L752" s="4" t="s">
        <v>8392</v>
      </c>
      <c r="M752" s="4" t="s">
        <v>28</v>
      </c>
      <c r="N752" s="4" t="s">
        <v>183</v>
      </c>
      <c r="O752" s="4" t="s">
        <v>863</v>
      </c>
      <c r="P752" s="4" t="s">
        <v>48</v>
      </c>
      <c r="Q752" s="4">
        <v>169</v>
      </c>
      <c r="R752" s="4" t="b">
        <v>0</v>
      </c>
      <c r="S752" s="4" t="s">
        <v>61</v>
      </c>
      <c r="T752" s="4" t="s">
        <v>115</v>
      </c>
      <c r="U752" s="4" t="s">
        <v>148</v>
      </c>
      <c r="V752" s="4" t="s">
        <v>52</v>
      </c>
      <c r="W752" s="4" t="s">
        <v>53</v>
      </c>
      <c r="X752" s="4" t="s">
        <v>54</v>
      </c>
      <c r="Y752" s="4"/>
      <c r="Z752" s="12" t="s">
        <v>48</v>
      </c>
      <c r="AA752" s="13" t="s">
        <v>9156</v>
      </c>
      <c r="AB752" s="13" t="s">
        <v>9155</v>
      </c>
      <c r="AC752" s="14" t="s">
        <v>9148</v>
      </c>
      <c r="AD752" s="14" t="s">
        <v>28</v>
      </c>
      <c r="AE752" s="14" t="s">
        <v>183</v>
      </c>
      <c r="AF752" s="14" t="s">
        <v>52</v>
      </c>
      <c r="AG752" s="14" t="s">
        <v>54</v>
      </c>
      <c r="AH752" s="15" t="s">
        <v>9220</v>
      </c>
      <c r="AI752" s="15" t="s">
        <v>9191</v>
      </c>
      <c r="AJ752" s="15" t="s">
        <v>9143</v>
      </c>
      <c r="AK752" s="15" t="s">
        <v>9221</v>
      </c>
      <c r="AL752" s="15" t="s">
        <v>9226</v>
      </c>
      <c r="AM752" s="16" t="s">
        <v>9221</v>
      </c>
      <c r="AN752" s="16" t="s">
        <v>9227</v>
      </c>
    </row>
    <row r="753" spans="1:40" x14ac:dyDescent="0.25">
      <c r="A753" s="4" t="s">
        <v>8877</v>
      </c>
      <c r="B753" s="4">
        <v>12240026161</v>
      </c>
      <c r="C753" s="4" t="s">
        <v>488</v>
      </c>
      <c r="D753" s="4" t="s">
        <v>8878</v>
      </c>
      <c r="E753" s="4" t="s">
        <v>8879</v>
      </c>
      <c r="F753" s="10">
        <v>45530</v>
      </c>
      <c r="G753" s="11">
        <v>0.52986111111111112</v>
      </c>
      <c r="H753" s="4" t="s">
        <v>4019</v>
      </c>
      <c r="I753" s="4" t="s">
        <v>8854</v>
      </c>
      <c r="J753" s="4" t="s">
        <v>8855</v>
      </c>
      <c r="K753" s="4" t="s">
        <v>8880</v>
      </c>
      <c r="L753" s="4" t="s">
        <v>8881</v>
      </c>
      <c r="M753" s="4" t="s">
        <v>28</v>
      </c>
      <c r="N753" s="4" t="s">
        <v>372</v>
      </c>
      <c r="O753" s="4" t="s">
        <v>344</v>
      </c>
      <c r="P753" s="4" t="s">
        <v>60</v>
      </c>
      <c r="Q753" s="4">
        <v>123</v>
      </c>
      <c r="R753" s="4" t="b">
        <v>0</v>
      </c>
      <c r="S753" s="4" t="s">
        <v>184</v>
      </c>
      <c r="T753" s="4" t="s">
        <v>1240</v>
      </c>
      <c r="U753" s="4" t="s">
        <v>330</v>
      </c>
      <c r="V753" s="4" t="s">
        <v>267</v>
      </c>
      <c r="W753" s="4" t="s">
        <v>2730</v>
      </c>
      <c r="X753" s="4" t="s">
        <v>2826</v>
      </c>
      <c r="Y753" s="4"/>
      <c r="Z753" s="12" t="s">
        <v>60</v>
      </c>
      <c r="AA753" s="13" t="s">
        <v>9156</v>
      </c>
      <c r="AB753" s="13" t="s">
        <v>9155</v>
      </c>
      <c r="AC753" s="14" t="s">
        <v>9166</v>
      </c>
      <c r="AD753" s="14" t="s">
        <v>28</v>
      </c>
      <c r="AE753" s="14" t="s">
        <v>372</v>
      </c>
      <c r="AF753" s="14" t="s">
        <v>267</v>
      </c>
      <c r="AG753" s="14" t="s">
        <v>2826</v>
      </c>
      <c r="AH753" s="15" t="s">
        <v>9220</v>
      </c>
      <c r="AI753" s="15" t="s">
        <v>9175</v>
      </c>
      <c r="AJ753" s="15" t="s">
        <v>9183</v>
      </c>
      <c r="AK753" s="15" t="s">
        <v>9239</v>
      </c>
      <c r="AL753" s="15" t="s">
        <v>9240</v>
      </c>
      <c r="AM753" s="16" t="s">
        <v>9186</v>
      </c>
      <c r="AN753" s="16" t="s">
        <v>9186</v>
      </c>
    </row>
    <row r="754" spans="1:40" x14ac:dyDescent="0.25">
      <c r="A754" s="4" t="s">
        <v>5704</v>
      </c>
      <c r="B754" s="4"/>
      <c r="C754" s="4" t="s">
        <v>39</v>
      </c>
      <c r="D754" s="4" t="s">
        <v>5675</v>
      </c>
      <c r="E754" s="4" t="s">
        <v>5676</v>
      </c>
      <c r="F754" s="10">
        <v>45529</v>
      </c>
      <c r="G754" s="11">
        <v>0.70138888888888884</v>
      </c>
      <c r="H754" s="4" t="s">
        <v>5666</v>
      </c>
      <c r="I754" s="4" t="s">
        <v>5667</v>
      </c>
      <c r="J754" s="4" t="s">
        <v>2192</v>
      </c>
      <c r="K754" s="4" t="s">
        <v>5705</v>
      </c>
      <c r="L754" s="4" t="s">
        <v>5706</v>
      </c>
      <c r="M754" s="4" t="s">
        <v>46</v>
      </c>
      <c r="N754" s="4"/>
      <c r="O754" s="4" t="s">
        <v>47</v>
      </c>
      <c r="P754" s="4" t="s">
        <v>60</v>
      </c>
      <c r="Q754" s="4">
        <v>0</v>
      </c>
      <c r="R754" s="4" t="b">
        <v>0</v>
      </c>
      <c r="S754" s="4" t="s">
        <v>49</v>
      </c>
      <c r="T754" s="4" t="s">
        <v>89</v>
      </c>
      <c r="U754" s="4" t="s">
        <v>373</v>
      </c>
      <c r="V754" s="4" t="s">
        <v>52</v>
      </c>
      <c r="W754" s="4" t="s">
        <v>374</v>
      </c>
      <c r="X754" s="4" t="s">
        <v>54</v>
      </c>
      <c r="Y754" s="4"/>
      <c r="Z754" s="12">
        <v>0</v>
      </c>
      <c r="AA754" s="13" t="s">
        <v>9156</v>
      </c>
      <c r="AB754" s="13" t="s">
        <v>9155</v>
      </c>
      <c r="AC754" s="14" t="s">
        <v>9139</v>
      </c>
      <c r="AD754" s="14" t="s">
        <v>9140</v>
      </c>
      <c r="AE754" s="14" t="s">
        <v>9140</v>
      </c>
      <c r="AF754" s="14" t="s">
        <v>52</v>
      </c>
      <c r="AG754" s="14" t="s">
        <v>54</v>
      </c>
      <c r="AH754" s="15" t="s">
        <v>9220</v>
      </c>
      <c r="AI754" s="15" t="s">
        <v>9199</v>
      </c>
      <c r="AJ754" s="15" t="s">
        <v>9143</v>
      </c>
      <c r="AK754" s="15" t="s">
        <v>9221</v>
      </c>
      <c r="AL754" s="15" t="s">
        <v>9199</v>
      </c>
      <c r="AM754" s="16" t="s">
        <v>9221</v>
      </c>
      <c r="AN754" s="16" t="s">
        <v>9238</v>
      </c>
    </row>
    <row r="755" spans="1:40" x14ac:dyDescent="0.25">
      <c r="A755" s="4" t="s">
        <v>5819</v>
      </c>
      <c r="B755" s="4"/>
      <c r="C755" s="4" t="s">
        <v>39</v>
      </c>
      <c r="D755" s="4" t="s">
        <v>5815</v>
      </c>
      <c r="E755" s="4" t="s">
        <v>5816</v>
      </c>
      <c r="F755" s="10">
        <v>45529</v>
      </c>
      <c r="G755" s="11">
        <v>0.71527777777777779</v>
      </c>
      <c r="H755" s="4" t="s">
        <v>4910</v>
      </c>
      <c r="I755" s="4" t="s">
        <v>5811</v>
      </c>
      <c r="J755" s="4" t="s">
        <v>5812</v>
      </c>
      <c r="K755" s="4" t="s">
        <v>5820</v>
      </c>
      <c r="L755" s="4" t="s">
        <v>5821</v>
      </c>
      <c r="M755" s="4" t="s">
        <v>46</v>
      </c>
      <c r="N755" s="4"/>
      <c r="O755" s="4" t="s">
        <v>47</v>
      </c>
      <c r="P755" s="4" t="s">
        <v>48</v>
      </c>
      <c r="Q755" s="4">
        <v>0</v>
      </c>
      <c r="R755" s="4" t="b">
        <v>0</v>
      </c>
      <c r="S755" s="4" t="s">
        <v>114</v>
      </c>
      <c r="T755" s="4" t="s">
        <v>583</v>
      </c>
      <c r="U755" s="4" t="s">
        <v>71</v>
      </c>
      <c r="V755" s="4" t="s">
        <v>72</v>
      </c>
      <c r="W755" s="4" t="s">
        <v>73</v>
      </c>
      <c r="X755" s="4" t="s">
        <v>54</v>
      </c>
      <c r="Y755" s="4"/>
      <c r="Z755" s="12">
        <v>0</v>
      </c>
      <c r="AA755" s="13" t="s">
        <v>9156</v>
      </c>
      <c r="AB755" s="13" t="s">
        <v>9155</v>
      </c>
      <c r="AC755" s="14" t="s">
        <v>9157</v>
      </c>
      <c r="AD755" s="14" t="s">
        <v>9140</v>
      </c>
      <c r="AE755" s="14" t="s">
        <v>9140</v>
      </c>
      <c r="AF755" s="14" t="s">
        <v>72</v>
      </c>
      <c r="AG755" s="14" t="s">
        <v>54</v>
      </c>
      <c r="AH755" s="15" t="s">
        <v>9220</v>
      </c>
      <c r="AI755" s="15" t="s">
        <v>9191</v>
      </c>
      <c r="AJ755" s="15" t="s">
        <v>9143</v>
      </c>
      <c r="AK755" s="15" t="s">
        <v>9221</v>
      </c>
      <c r="AL755" s="15" t="s">
        <v>9226</v>
      </c>
      <c r="AM755" s="16" t="s">
        <v>9221</v>
      </c>
      <c r="AN755" s="16" t="s">
        <v>9227</v>
      </c>
    </row>
    <row r="756" spans="1:40" x14ac:dyDescent="0.25">
      <c r="A756" s="4" t="s">
        <v>7234</v>
      </c>
      <c r="B756" s="4"/>
      <c r="C756" s="4" t="s">
        <v>39</v>
      </c>
      <c r="D756" s="4" t="s">
        <v>7235</v>
      </c>
      <c r="E756" s="4" t="s">
        <v>7236</v>
      </c>
      <c r="F756" s="10">
        <v>45528</v>
      </c>
      <c r="G756" s="11">
        <v>0.63888888888888884</v>
      </c>
      <c r="H756" s="4" t="s">
        <v>4659</v>
      </c>
      <c r="I756" s="4" t="s">
        <v>7216</v>
      </c>
      <c r="J756" s="4" t="s">
        <v>7217</v>
      </c>
      <c r="K756" s="4" t="s">
        <v>7237</v>
      </c>
      <c r="L756" s="4" t="s">
        <v>7238</v>
      </c>
      <c r="M756" s="4" t="s">
        <v>46</v>
      </c>
      <c r="N756" s="4"/>
      <c r="O756" s="4" t="s">
        <v>47</v>
      </c>
      <c r="P756" s="4" t="s">
        <v>48</v>
      </c>
      <c r="Q756" s="4">
        <v>0</v>
      </c>
      <c r="R756" s="4" t="b">
        <v>0</v>
      </c>
      <c r="S756" s="4" t="s">
        <v>49</v>
      </c>
      <c r="T756" s="4" t="s">
        <v>70</v>
      </c>
      <c r="U756" s="4" t="s">
        <v>480</v>
      </c>
      <c r="V756" s="4" t="s">
        <v>72</v>
      </c>
      <c r="W756" s="4" t="s">
        <v>2410</v>
      </c>
      <c r="X756" s="4" t="s">
        <v>54</v>
      </c>
      <c r="Y756" s="4" t="s">
        <v>302</v>
      </c>
      <c r="Z756" s="12">
        <v>0</v>
      </c>
      <c r="AA756" s="13" t="s">
        <v>9156</v>
      </c>
      <c r="AB756" s="13" t="s">
        <v>9155</v>
      </c>
      <c r="AC756" s="14" t="s">
        <v>9139</v>
      </c>
      <c r="AD756" s="14" t="s">
        <v>9140</v>
      </c>
      <c r="AE756" s="14" t="s">
        <v>9140</v>
      </c>
      <c r="AF756" s="14" t="s">
        <v>72</v>
      </c>
      <c r="AG756" s="14" t="s">
        <v>54</v>
      </c>
      <c r="AH756" s="15" t="s">
        <v>9220</v>
      </c>
      <c r="AI756" s="15" t="s">
        <v>9142</v>
      </c>
      <c r="AJ756" s="15" t="s">
        <v>9143</v>
      </c>
      <c r="AK756" s="15" t="s">
        <v>9221</v>
      </c>
      <c r="AL756" s="15" t="s">
        <v>9228</v>
      </c>
      <c r="AM756" s="16" t="s">
        <v>9221</v>
      </c>
      <c r="AN756" s="16" t="s">
        <v>9229</v>
      </c>
    </row>
    <row r="757" spans="1:40" x14ac:dyDescent="0.25">
      <c r="A757" s="4" t="s">
        <v>708</v>
      </c>
      <c r="B757" s="4"/>
      <c r="C757" s="4" t="s">
        <v>39</v>
      </c>
      <c r="D757" s="4" t="s">
        <v>709</v>
      </c>
      <c r="E757" s="4" t="s">
        <v>710</v>
      </c>
      <c r="F757" s="10">
        <v>45527</v>
      </c>
      <c r="G757" s="11">
        <v>0.8125</v>
      </c>
      <c r="H757" s="4" t="s">
        <v>463</v>
      </c>
      <c r="I757" s="4">
        <v>2025</v>
      </c>
      <c r="J757" s="4" t="s">
        <v>701</v>
      </c>
      <c r="K757" s="4" t="s">
        <v>711</v>
      </c>
      <c r="L757" s="4" t="s">
        <v>712</v>
      </c>
      <c r="M757" s="4" t="s">
        <v>46</v>
      </c>
      <c r="N757" s="4"/>
      <c r="O757" s="4" t="s">
        <v>47</v>
      </c>
      <c r="P757" s="4" t="s">
        <v>48</v>
      </c>
      <c r="Q757" s="4">
        <v>0</v>
      </c>
      <c r="R757" s="4" t="b">
        <v>0</v>
      </c>
      <c r="S757" s="4" t="s">
        <v>114</v>
      </c>
      <c r="T757" s="4" t="s">
        <v>713</v>
      </c>
      <c r="U757" s="4" t="s">
        <v>90</v>
      </c>
      <c r="V757" s="4" t="s">
        <v>267</v>
      </c>
      <c r="W757" s="4" t="s">
        <v>331</v>
      </c>
      <c r="X757" s="4" t="s">
        <v>54</v>
      </c>
      <c r="Y757" s="4"/>
      <c r="Z757" s="12">
        <v>0</v>
      </c>
      <c r="AA757" s="13" t="s">
        <v>9156</v>
      </c>
      <c r="AB757" s="13" t="s">
        <v>9155</v>
      </c>
      <c r="AC757" s="14" t="s">
        <v>9157</v>
      </c>
      <c r="AD757" s="14" t="s">
        <v>9140</v>
      </c>
      <c r="AE757" s="14" t="s">
        <v>9140</v>
      </c>
      <c r="AF757" s="14" t="s">
        <v>267</v>
      </c>
      <c r="AG757" s="14" t="s">
        <v>54</v>
      </c>
      <c r="AH757" s="15" t="s">
        <v>9141</v>
      </c>
      <c r="AI757" s="15" t="s">
        <v>9175</v>
      </c>
      <c r="AJ757" s="15" t="s">
        <v>9143</v>
      </c>
      <c r="AK757" s="15" t="s">
        <v>9141</v>
      </c>
      <c r="AL757" s="15" t="s">
        <v>9175</v>
      </c>
      <c r="AM757" s="16" t="s">
        <v>9141</v>
      </c>
      <c r="AN757" s="16" t="s">
        <v>9176</v>
      </c>
    </row>
    <row r="758" spans="1:40" x14ac:dyDescent="0.25">
      <c r="A758" s="4" t="s">
        <v>1727</v>
      </c>
      <c r="B758" s="4" t="s">
        <v>1728</v>
      </c>
      <c r="C758" s="4" t="s">
        <v>39</v>
      </c>
      <c r="D758" s="4" t="s">
        <v>1729</v>
      </c>
      <c r="E758" s="4" t="s">
        <v>1730</v>
      </c>
      <c r="F758" s="10">
        <v>45527</v>
      </c>
      <c r="G758" s="11">
        <v>0.43055555555555558</v>
      </c>
      <c r="H758" s="4" t="s">
        <v>1654</v>
      </c>
      <c r="I758" s="4">
        <v>9090</v>
      </c>
      <c r="J758" s="4" t="s">
        <v>1719</v>
      </c>
      <c r="K758" s="4" t="s">
        <v>1731</v>
      </c>
      <c r="L758" s="4" t="s">
        <v>1732</v>
      </c>
      <c r="M758" s="4" t="s">
        <v>28</v>
      </c>
      <c r="N758" s="4" t="s">
        <v>183</v>
      </c>
      <c r="O758" s="4" t="s">
        <v>174</v>
      </c>
      <c r="P758" s="4" t="s">
        <v>48</v>
      </c>
      <c r="Q758" s="4">
        <v>0</v>
      </c>
      <c r="R758" s="4" t="b">
        <v>0</v>
      </c>
      <c r="S758" s="4" t="s">
        <v>114</v>
      </c>
      <c r="T758" s="4" t="s">
        <v>50</v>
      </c>
      <c r="U758" s="4" t="s">
        <v>140</v>
      </c>
      <c r="V758" s="4" t="s">
        <v>52</v>
      </c>
      <c r="W758" s="4" t="s">
        <v>255</v>
      </c>
      <c r="X758" s="4" t="s">
        <v>54</v>
      </c>
      <c r="Y758" s="4"/>
      <c r="Z758" s="12" t="s">
        <v>48</v>
      </c>
      <c r="AA758" s="13" t="s">
        <v>9156</v>
      </c>
      <c r="AB758" s="13" t="s">
        <v>9155</v>
      </c>
      <c r="AC758" s="14" t="s">
        <v>9157</v>
      </c>
      <c r="AD758" s="14" t="s">
        <v>28</v>
      </c>
      <c r="AE758" s="14" t="s">
        <v>183</v>
      </c>
      <c r="AF758" s="14" t="s">
        <v>52</v>
      </c>
      <c r="AG758" s="14" t="s">
        <v>54</v>
      </c>
      <c r="AH758" s="15" t="s">
        <v>9141</v>
      </c>
      <c r="AI758" s="15" t="s">
        <v>9191</v>
      </c>
      <c r="AJ758" s="15" t="s">
        <v>9143</v>
      </c>
      <c r="AK758" s="15" t="s">
        <v>9141</v>
      </c>
      <c r="AL758" s="15" t="s">
        <v>9191</v>
      </c>
      <c r="AM758" s="16" t="s">
        <v>9141</v>
      </c>
      <c r="AN758" s="16" t="s">
        <v>9192</v>
      </c>
    </row>
    <row r="759" spans="1:40" x14ac:dyDescent="0.25">
      <c r="A759" s="4" t="s">
        <v>6088</v>
      </c>
      <c r="B759" s="4"/>
      <c r="C759" s="4" t="s">
        <v>39</v>
      </c>
      <c r="D759" s="4" t="s">
        <v>5710</v>
      </c>
      <c r="E759" s="4" t="s">
        <v>5711</v>
      </c>
      <c r="F759" s="10">
        <v>45527</v>
      </c>
      <c r="G759" s="11">
        <v>0.4861111111111111</v>
      </c>
      <c r="H759" s="4" t="s">
        <v>5666</v>
      </c>
      <c r="I759" s="4" t="s">
        <v>6073</v>
      </c>
      <c r="J759" s="4" t="s">
        <v>3608</v>
      </c>
      <c r="K759" s="4" t="s">
        <v>6089</v>
      </c>
      <c r="L759" s="4" t="s">
        <v>6090</v>
      </c>
      <c r="M759" s="4" t="s">
        <v>46</v>
      </c>
      <c r="N759" s="4"/>
      <c r="O759" s="4" t="s">
        <v>47</v>
      </c>
      <c r="P759" s="4" t="s">
        <v>48</v>
      </c>
      <c r="Q759" s="4">
        <v>0</v>
      </c>
      <c r="R759" s="4" t="b">
        <v>0</v>
      </c>
      <c r="S759" s="4" t="s">
        <v>61</v>
      </c>
      <c r="T759" s="4" t="s">
        <v>50</v>
      </c>
      <c r="U759" s="4" t="s">
        <v>90</v>
      </c>
      <c r="V759" s="4" t="s">
        <v>63</v>
      </c>
      <c r="W759" s="4" t="s">
        <v>108</v>
      </c>
      <c r="X759" s="4" t="s">
        <v>98</v>
      </c>
      <c r="Y759" s="4"/>
      <c r="Z759" s="12">
        <v>0</v>
      </c>
      <c r="AA759" s="13" t="s">
        <v>9156</v>
      </c>
      <c r="AB759" s="13" t="s">
        <v>9155</v>
      </c>
      <c r="AC759" s="14" t="s">
        <v>9148</v>
      </c>
      <c r="AD759" s="14" t="s">
        <v>9140</v>
      </c>
      <c r="AE759" s="14" t="s">
        <v>9140</v>
      </c>
      <c r="AF759" s="14" t="s">
        <v>63</v>
      </c>
      <c r="AG759" s="14" t="s">
        <v>98</v>
      </c>
      <c r="AH759" s="15" t="s">
        <v>9220</v>
      </c>
      <c r="AI759" s="15" t="s">
        <v>9199</v>
      </c>
      <c r="AJ759" s="15" t="s">
        <v>9143</v>
      </c>
      <c r="AK759" s="15" t="s">
        <v>9221</v>
      </c>
      <c r="AL759" s="15" t="s">
        <v>9199</v>
      </c>
      <c r="AM759" s="16" t="s">
        <v>9221</v>
      </c>
      <c r="AN759" s="16" t="s">
        <v>9238</v>
      </c>
    </row>
    <row r="760" spans="1:40" x14ac:dyDescent="0.25">
      <c r="A760" s="4" t="s">
        <v>3548</v>
      </c>
      <c r="B760" s="4" t="s">
        <v>3549</v>
      </c>
      <c r="C760" s="4" t="s">
        <v>39</v>
      </c>
      <c r="D760" s="4" t="s">
        <v>3550</v>
      </c>
      <c r="E760" s="4" t="s">
        <v>3551</v>
      </c>
      <c r="F760" s="10">
        <v>45525</v>
      </c>
      <c r="G760" s="11">
        <v>0.46180555555555558</v>
      </c>
      <c r="H760" s="4" t="s">
        <v>1992</v>
      </c>
      <c r="I760" s="4" t="s">
        <v>3539</v>
      </c>
      <c r="J760" s="4" t="s">
        <v>3540</v>
      </c>
      <c r="K760" s="4" t="s">
        <v>3552</v>
      </c>
      <c r="L760" s="4" t="s">
        <v>3553</v>
      </c>
      <c r="M760" s="4" t="s">
        <v>28</v>
      </c>
      <c r="N760" s="4" t="s">
        <v>183</v>
      </c>
      <c r="O760" s="4" t="s">
        <v>344</v>
      </c>
      <c r="P760" s="4" t="s">
        <v>48</v>
      </c>
      <c r="Q760" s="4">
        <v>8</v>
      </c>
      <c r="R760" s="4" t="b">
        <v>0</v>
      </c>
      <c r="S760" s="4" t="s">
        <v>184</v>
      </c>
      <c r="T760" s="4" t="s">
        <v>583</v>
      </c>
      <c r="U760" s="4" t="s">
        <v>107</v>
      </c>
      <c r="V760" s="4" t="s">
        <v>63</v>
      </c>
      <c r="W760" s="4" t="s">
        <v>198</v>
      </c>
      <c r="X760" s="4" t="s">
        <v>3554</v>
      </c>
      <c r="Y760" s="4" t="s">
        <v>991</v>
      </c>
      <c r="Z760" s="12" t="s">
        <v>48</v>
      </c>
      <c r="AA760" s="13" t="s">
        <v>9156</v>
      </c>
      <c r="AB760" s="13" t="s">
        <v>9155</v>
      </c>
      <c r="AC760" s="14" t="s">
        <v>9166</v>
      </c>
      <c r="AD760" s="14" t="s">
        <v>28</v>
      </c>
      <c r="AE760" s="14" t="s">
        <v>183</v>
      </c>
      <c r="AF760" s="14" t="s">
        <v>63</v>
      </c>
      <c r="AG760" s="14" t="s">
        <v>3554</v>
      </c>
      <c r="AH760" s="15" t="s">
        <v>9194</v>
      </c>
      <c r="AI760" s="15" t="s">
        <v>9191</v>
      </c>
      <c r="AJ760" s="15" t="s">
        <v>9143</v>
      </c>
      <c r="AK760" s="15" t="s">
        <v>9194</v>
      </c>
      <c r="AL760" s="15" t="s">
        <v>9205</v>
      </c>
      <c r="AM760" s="16" t="s">
        <v>9194</v>
      </c>
      <c r="AN760" s="16" t="s">
        <v>9206</v>
      </c>
    </row>
    <row r="761" spans="1:40" x14ac:dyDescent="0.25">
      <c r="A761" s="4" t="s">
        <v>642</v>
      </c>
      <c r="B761" s="4"/>
      <c r="C761" s="4" t="s">
        <v>39</v>
      </c>
      <c r="D761" s="4" t="s">
        <v>643</v>
      </c>
      <c r="E761" s="4" t="s">
        <v>644</v>
      </c>
      <c r="F761" s="10">
        <v>45525</v>
      </c>
      <c r="G761" s="11">
        <v>0.44027777777777777</v>
      </c>
      <c r="H761" s="4" t="s">
        <v>463</v>
      </c>
      <c r="I761" s="4">
        <v>2023</v>
      </c>
      <c r="J761" s="4" t="s">
        <v>615</v>
      </c>
      <c r="K761" s="4" t="s">
        <v>645</v>
      </c>
      <c r="L761" s="4" t="s">
        <v>646</v>
      </c>
      <c r="M761" s="4" t="s">
        <v>46</v>
      </c>
      <c r="N761" s="4"/>
      <c r="O761" s="4" t="s">
        <v>47</v>
      </c>
      <c r="P761" s="4" t="s">
        <v>48</v>
      </c>
      <c r="Q761" s="4">
        <v>0</v>
      </c>
      <c r="R761" s="4" t="b">
        <v>0</v>
      </c>
      <c r="S761" s="4" t="s">
        <v>61</v>
      </c>
      <c r="T761" s="4" t="s">
        <v>89</v>
      </c>
      <c r="U761" s="4" t="s">
        <v>373</v>
      </c>
      <c r="V761" s="4" t="s">
        <v>52</v>
      </c>
      <c r="W761" s="4" t="s">
        <v>53</v>
      </c>
      <c r="X761" s="4"/>
      <c r="Y761" s="4"/>
      <c r="Z761" s="12">
        <v>0</v>
      </c>
      <c r="AA761" s="13" t="s">
        <v>9156</v>
      </c>
      <c r="AB761" s="13" t="s">
        <v>9155</v>
      </c>
      <c r="AC761" s="14" t="s">
        <v>9148</v>
      </c>
      <c r="AD761" s="14" t="s">
        <v>9140</v>
      </c>
      <c r="AE761" s="14" t="s">
        <v>9140</v>
      </c>
      <c r="AF761" s="14" t="s">
        <v>52</v>
      </c>
      <c r="AG761" s="14">
        <v>0</v>
      </c>
      <c r="AH761" s="15" t="s">
        <v>9141</v>
      </c>
      <c r="AI761" s="15" t="s">
        <v>9175</v>
      </c>
      <c r="AJ761" s="15" t="s">
        <v>9143</v>
      </c>
      <c r="AK761" s="15" t="s">
        <v>9141</v>
      </c>
      <c r="AL761" s="15" t="s">
        <v>9177</v>
      </c>
      <c r="AM761" s="16" t="s">
        <v>9141</v>
      </c>
      <c r="AN761" s="16" t="s">
        <v>9178</v>
      </c>
    </row>
    <row r="762" spans="1:40" x14ac:dyDescent="0.25">
      <c r="A762" s="4" t="s">
        <v>7556</v>
      </c>
      <c r="B762" s="4"/>
      <c r="C762" s="4" t="s">
        <v>39</v>
      </c>
      <c r="D762" s="4" t="s">
        <v>7552</v>
      </c>
      <c r="E762" s="4" t="s">
        <v>7553</v>
      </c>
      <c r="F762" s="10">
        <v>45525</v>
      </c>
      <c r="G762" s="11">
        <v>0.6430555555555556</v>
      </c>
      <c r="H762" s="4" t="s">
        <v>4019</v>
      </c>
      <c r="I762" s="4" t="s">
        <v>7543</v>
      </c>
      <c r="J762" s="4" t="s">
        <v>876</v>
      </c>
      <c r="K762" s="4" t="s">
        <v>7557</v>
      </c>
      <c r="L762" s="4" t="s">
        <v>7558</v>
      </c>
      <c r="M762" s="4" t="s">
        <v>46</v>
      </c>
      <c r="N762" s="4"/>
      <c r="O762" s="4" t="s">
        <v>47</v>
      </c>
      <c r="P762" s="4" t="s">
        <v>48</v>
      </c>
      <c r="Q762" s="4">
        <v>1</v>
      </c>
      <c r="R762" s="4" t="b">
        <v>0</v>
      </c>
      <c r="S762" s="4" t="s">
        <v>184</v>
      </c>
      <c r="T762" s="4" t="s">
        <v>425</v>
      </c>
      <c r="U762" s="4" t="s">
        <v>107</v>
      </c>
      <c r="V762" s="4" t="s">
        <v>123</v>
      </c>
      <c r="W762" s="4" t="s">
        <v>149</v>
      </c>
      <c r="X762" s="4" t="s">
        <v>978</v>
      </c>
      <c r="Y762" s="4"/>
      <c r="Z762" s="12">
        <v>0</v>
      </c>
      <c r="AA762" s="13" t="s">
        <v>9156</v>
      </c>
      <c r="AB762" s="13" t="s">
        <v>9155</v>
      </c>
      <c r="AC762" s="14" t="s">
        <v>9166</v>
      </c>
      <c r="AD762" s="14" t="s">
        <v>9140</v>
      </c>
      <c r="AE762" s="14" t="s">
        <v>9140</v>
      </c>
      <c r="AF762" s="14" t="s">
        <v>123</v>
      </c>
      <c r="AG762" s="14" t="s">
        <v>978</v>
      </c>
      <c r="AH762" s="15" t="s">
        <v>9220</v>
      </c>
      <c r="AI762" s="15" t="s">
        <v>9175</v>
      </c>
      <c r="AJ762" s="15" t="s">
        <v>9143</v>
      </c>
      <c r="AK762" s="15" t="s">
        <v>9221</v>
      </c>
      <c r="AL762" s="15" t="s">
        <v>9224</v>
      </c>
      <c r="AM762" s="16" t="s">
        <v>9221</v>
      </c>
      <c r="AN762" s="16" t="s">
        <v>9225</v>
      </c>
    </row>
    <row r="763" spans="1:40" x14ac:dyDescent="0.25">
      <c r="A763" s="4" t="s">
        <v>5016</v>
      </c>
      <c r="B763" s="4"/>
      <c r="C763" s="4" t="s">
        <v>39</v>
      </c>
      <c r="D763" s="4" t="s">
        <v>5017</v>
      </c>
      <c r="E763" s="4" t="s">
        <v>5018</v>
      </c>
      <c r="F763" s="10">
        <v>45525</v>
      </c>
      <c r="G763" s="11">
        <v>0.59930555555555554</v>
      </c>
      <c r="H763" s="4" t="s">
        <v>4516</v>
      </c>
      <c r="I763" s="4" t="s">
        <v>4969</v>
      </c>
      <c r="J763" s="4" t="s">
        <v>3453</v>
      </c>
      <c r="K763" s="4" t="s">
        <v>5019</v>
      </c>
      <c r="L763" s="4" t="s">
        <v>5020</v>
      </c>
      <c r="M763" s="4" t="s">
        <v>46</v>
      </c>
      <c r="N763" s="4"/>
      <c r="O763" s="4" t="s">
        <v>47</v>
      </c>
      <c r="P763" s="4" t="s">
        <v>48</v>
      </c>
      <c r="Q763" s="4">
        <v>0</v>
      </c>
      <c r="R763" s="4" t="b">
        <v>0</v>
      </c>
      <c r="S763" s="4" t="s">
        <v>49</v>
      </c>
      <c r="T763" s="4" t="s">
        <v>70</v>
      </c>
      <c r="U763" s="4" t="s">
        <v>71</v>
      </c>
      <c r="V763" s="4" t="s">
        <v>72</v>
      </c>
      <c r="W763" s="4" t="s">
        <v>73</v>
      </c>
      <c r="X763" s="4" t="s">
        <v>54</v>
      </c>
      <c r="Y763" s="4"/>
      <c r="Z763" s="12">
        <v>0</v>
      </c>
      <c r="AA763" s="13" t="s">
        <v>9156</v>
      </c>
      <c r="AB763" s="13" t="s">
        <v>9155</v>
      </c>
      <c r="AC763" s="14" t="s">
        <v>9139</v>
      </c>
      <c r="AD763" s="14" t="s">
        <v>9140</v>
      </c>
      <c r="AE763" s="14" t="s">
        <v>9140</v>
      </c>
      <c r="AF763" s="14" t="s">
        <v>72</v>
      </c>
      <c r="AG763" s="14" t="s">
        <v>54</v>
      </c>
      <c r="AH763" s="15" t="s">
        <v>9220</v>
      </c>
      <c r="AI763" s="15" t="s">
        <v>9188</v>
      </c>
      <c r="AJ763" s="15" t="s">
        <v>9143</v>
      </c>
      <c r="AK763" s="15" t="s">
        <v>9221</v>
      </c>
      <c r="AL763" s="15" t="s">
        <v>9230</v>
      </c>
      <c r="AM763" s="16" t="s">
        <v>9221</v>
      </c>
      <c r="AN763" s="16" t="s">
        <v>9231</v>
      </c>
    </row>
    <row r="764" spans="1:40" x14ac:dyDescent="0.25">
      <c r="A764" s="4" t="s">
        <v>5021</v>
      </c>
      <c r="B764" s="4"/>
      <c r="C764" s="4" t="s">
        <v>39</v>
      </c>
      <c r="D764" s="4" t="s">
        <v>5022</v>
      </c>
      <c r="E764" s="4" t="s">
        <v>5023</v>
      </c>
      <c r="F764" s="10">
        <v>45525</v>
      </c>
      <c r="G764" s="11">
        <v>0.75138888888888888</v>
      </c>
      <c r="H764" s="4" t="s">
        <v>4516</v>
      </c>
      <c r="I764" s="4" t="s">
        <v>4969</v>
      </c>
      <c r="J764" s="4" t="s">
        <v>3453</v>
      </c>
      <c r="K764" s="4" t="s">
        <v>5024</v>
      </c>
      <c r="L764" s="4" t="s">
        <v>5025</v>
      </c>
      <c r="M764" s="4" t="s">
        <v>46</v>
      </c>
      <c r="N764" s="4"/>
      <c r="O764" s="4" t="s">
        <v>47</v>
      </c>
      <c r="P764" s="4" t="s">
        <v>48</v>
      </c>
      <c r="Q764" s="4">
        <v>0</v>
      </c>
      <c r="R764" s="4" t="b">
        <v>0</v>
      </c>
      <c r="S764" s="4" t="s">
        <v>49</v>
      </c>
      <c r="T764" s="4" t="s">
        <v>70</v>
      </c>
      <c r="U764" s="4" t="s">
        <v>71</v>
      </c>
      <c r="V764" s="4" t="s">
        <v>72</v>
      </c>
      <c r="W764" s="4" t="s">
        <v>73</v>
      </c>
      <c r="X764" s="4" t="s">
        <v>54</v>
      </c>
      <c r="Y764" s="4"/>
      <c r="Z764" s="12">
        <v>0</v>
      </c>
      <c r="AA764" s="13" t="s">
        <v>9156</v>
      </c>
      <c r="AB764" s="13" t="s">
        <v>9155</v>
      </c>
      <c r="AC764" s="14" t="s">
        <v>9139</v>
      </c>
      <c r="AD764" s="14" t="s">
        <v>9140</v>
      </c>
      <c r="AE764" s="14" t="s">
        <v>9140</v>
      </c>
      <c r="AF764" s="14" t="s">
        <v>72</v>
      </c>
      <c r="AG764" s="14" t="s">
        <v>54</v>
      </c>
      <c r="AH764" s="15" t="s">
        <v>9220</v>
      </c>
      <c r="AI764" s="15" t="s">
        <v>9188</v>
      </c>
      <c r="AJ764" s="15" t="s">
        <v>9143</v>
      </c>
      <c r="AK764" s="15" t="s">
        <v>9221</v>
      </c>
      <c r="AL764" s="15" t="s">
        <v>9230</v>
      </c>
      <c r="AM764" s="16" t="s">
        <v>9221</v>
      </c>
      <c r="AN764" s="16" t="s">
        <v>9231</v>
      </c>
    </row>
    <row r="765" spans="1:40" x14ac:dyDescent="0.25">
      <c r="A765" s="4" t="s">
        <v>7857</v>
      </c>
      <c r="B765" s="4">
        <v>7137391</v>
      </c>
      <c r="C765" s="4" t="s">
        <v>39</v>
      </c>
      <c r="D765" s="4" t="s">
        <v>7858</v>
      </c>
      <c r="E765" s="4" t="s">
        <v>7859</v>
      </c>
      <c r="F765" s="10">
        <v>45524</v>
      </c>
      <c r="G765" s="11">
        <v>0.61458333333333337</v>
      </c>
      <c r="H765" s="4" t="s">
        <v>4516</v>
      </c>
      <c r="I765" s="4" t="s">
        <v>7852</v>
      </c>
      <c r="J765" s="4" t="s">
        <v>1537</v>
      </c>
      <c r="K765" s="4" t="s">
        <v>2497</v>
      </c>
      <c r="L765" s="4" t="s">
        <v>7860</v>
      </c>
      <c r="M765" s="4" t="s">
        <v>28</v>
      </c>
      <c r="N765" s="4" t="s">
        <v>147</v>
      </c>
      <c r="O765" s="4" t="s">
        <v>47</v>
      </c>
      <c r="P765" s="4" t="s">
        <v>48</v>
      </c>
      <c r="Q765" s="4">
        <v>0</v>
      </c>
      <c r="R765" s="4" t="b">
        <v>0</v>
      </c>
      <c r="S765" s="4" t="s">
        <v>114</v>
      </c>
      <c r="T765" s="4" t="s">
        <v>583</v>
      </c>
      <c r="U765" s="4" t="s">
        <v>71</v>
      </c>
      <c r="V765" s="4" t="s">
        <v>52</v>
      </c>
      <c r="W765" s="4" t="s">
        <v>53</v>
      </c>
      <c r="X765" s="4" t="s">
        <v>54</v>
      </c>
      <c r="Y765" s="4"/>
      <c r="Z765" s="12" t="s">
        <v>48</v>
      </c>
      <c r="AA765" s="13" t="s">
        <v>9156</v>
      </c>
      <c r="AB765" s="13" t="s">
        <v>9155</v>
      </c>
      <c r="AC765" s="14" t="s">
        <v>9157</v>
      </c>
      <c r="AD765" s="14" t="s">
        <v>28</v>
      </c>
      <c r="AE765" s="14" t="s">
        <v>9140</v>
      </c>
      <c r="AF765" s="14" t="s">
        <v>52</v>
      </c>
      <c r="AG765" s="14" t="s">
        <v>54</v>
      </c>
      <c r="AH765" s="15" t="s">
        <v>9220</v>
      </c>
      <c r="AI765" s="15" t="s">
        <v>9188</v>
      </c>
      <c r="AJ765" s="15" t="s">
        <v>9143</v>
      </c>
      <c r="AK765" s="15" t="s">
        <v>9221</v>
      </c>
      <c r="AL765" s="15" t="s">
        <v>9230</v>
      </c>
      <c r="AM765" s="16" t="s">
        <v>9221</v>
      </c>
      <c r="AN765" s="16" t="s">
        <v>9231</v>
      </c>
    </row>
    <row r="766" spans="1:40" x14ac:dyDescent="0.25">
      <c r="A766" s="4" t="s">
        <v>5641</v>
      </c>
      <c r="B766" s="4">
        <v>7147259</v>
      </c>
      <c r="C766" s="4" t="s">
        <v>39</v>
      </c>
      <c r="D766" s="4" t="s">
        <v>5642</v>
      </c>
      <c r="E766" s="4" t="s">
        <v>5643</v>
      </c>
      <c r="F766" s="10">
        <v>45524</v>
      </c>
      <c r="G766" s="11">
        <v>0.35416666666666669</v>
      </c>
      <c r="H766" s="4" t="s">
        <v>4516</v>
      </c>
      <c r="I766" s="4" t="s">
        <v>5633</v>
      </c>
      <c r="J766" s="4" t="s">
        <v>2661</v>
      </c>
      <c r="K766" s="4" t="s">
        <v>5644</v>
      </c>
      <c r="L766" s="4" t="s">
        <v>5645</v>
      </c>
      <c r="M766" s="4" t="s">
        <v>28</v>
      </c>
      <c r="N766" s="4" t="s">
        <v>372</v>
      </c>
      <c r="O766" s="4" t="s">
        <v>191</v>
      </c>
      <c r="P766" s="4" t="s">
        <v>48</v>
      </c>
      <c r="Q766" s="4">
        <v>6</v>
      </c>
      <c r="R766" s="4" t="b">
        <v>0</v>
      </c>
      <c r="S766" s="4" t="s">
        <v>184</v>
      </c>
      <c r="T766" s="4" t="s">
        <v>583</v>
      </c>
      <c r="U766" s="4" t="s">
        <v>2767</v>
      </c>
      <c r="V766" s="4" t="s">
        <v>225</v>
      </c>
      <c r="W766" s="4" t="s">
        <v>1714</v>
      </c>
      <c r="X766" s="4" t="s">
        <v>54</v>
      </c>
      <c r="Y766" s="4"/>
      <c r="Z766" s="12" t="s">
        <v>48</v>
      </c>
      <c r="AA766" s="13" t="s">
        <v>9156</v>
      </c>
      <c r="AB766" s="13" t="s">
        <v>9155</v>
      </c>
      <c r="AC766" s="14" t="s">
        <v>9166</v>
      </c>
      <c r="AD766" s="14" t="s">
        <v>28</v>
      </c>
      <c r="AE766" s="14" t="s">
        <v>372</v>
      </c>
      <c r="AF766" s="14" t="s">
        <v>225</v>
      </c>
      <c r="AG766" s="14" t="s">
        <v>54</v>
      </c>
      <c r="AH766" s="15" t="s">
        <v>9220</v>
      </c>
      <c r="AI766" s="15" t="s">
        <v>9188</v>
      </c>
      <c r="AJ766" s="15" t="s">
        <v>9143</v>
      </c>
      <c r="AK766" s="15" t="s">
        <v>9221</v>
      </c>
      <c r="AL766" s="15" t="s">
        <v>9232</v>
      </c>
      <c r="AM766" s="16" t="s">
        <v>9221</v>
      </c>
      <c r="AN766" s="16" t="s">
        <v>9233</v>
      </c>
    </row>
    <row r="767" spans="1:40" x14ac:dyDescent="0.25">
      <c r="A767" s="4" t="s">
        <v>4727</v>
      </c>
      <c r="B767" s="4"/>
      <c r="C767" s="4" t="s">
        <v>39</v>
      </c>
      <c r="D767" s="4" t="s">
        <v>4728</v>
      </c>
      <c r="E767" s="4" t="s">
        <v>4729</v>
      </c>
      <c r="F767" s="10">
        <v>45524</v>
      </c>
      <c r="G767" s="11">
        <v>0.50694444444444442</v>
      </c>
      <c r="H767" s="4" t="s">
        <v>4019</v>
      </c>
      <c r="I767" s="4" t="s">
        <v>4713</v>
      </c>
      <c r="J767" s="4" t="s">
        <v>4714</v>
      </c>
      <c r="K767" s="4" t="s">
        <v>4730</v>
      </c>
      <c r="L767" s="4" t="s">
        <v>4731</v>
      </c>
      <c r="M767" s="4" t="s">
        <v>46</v>
      </c>
      <c r="N767" s="4"/>
      <c r="O767" s="4" t="s">
        <v>47</v>
      </c>
      <c r="P767" s="4" t="s">
        <v>48</v>
      </c>
      <c r="Q767" s="4">
        <v>0</v>
      </c>
      <c r="R767" s="4" t="b">
        <v>0</v>
      </c>
      <c r="S767" s="4" t="s">
        <v>61</v>
      </c>
      <c r="T767" s="4" t="s">
        <v>50</v>
      </c>
      <c r="U767" s="4" t="s">
        <v>1253</v>
      </c>
      <c r="V767" s="4" t="s">
        <v>63</v>
      </c>
      <c r="W767" s="4" t="s">
        <v>108</v>
      </c>
      <c r="X767" s="4" t="s">
        <v>98</v>
      </c>
      <c r="Y767" s="4"/>
      <c r="Z767" s="12">
        <v>0</v>
      </c>
      <c r="AA767" s="13" t="s">
        <v>9156</v>
      </c>
      <c r="AB767" s="13" t="s">
        <v>9155</v>
      </c>
      <c r="AC767" s="14" t="s">
        <v>9148</v>
      </c>
      <c r="AD767" s="14" t="s">
        <v>9140</v>
      </c>
      <c r="AE767" s="14" t="s">
        <v>9140</v>
      </c>
      <c r="AF767" s="14" t="s">
        <v>63</v>
      </c>
      <c r="AG767" s="14" t="s">
        <v>98</v>
      </c>
      <c r="AH767" s="15" t="s">
        <v>9220</v>
      </c>
      <c r="AI767" s="15" t="s">
        <v>9175</v>
      </c>
      <c r="AJ767" s="15" t="s">
        <v>9143</v>
      </c>
      <c r="AK767" s="15" t="s">
        <v>9221</v>
      </c>
      <c r="AL767" s="15" t="s">
        <v>9224</v>
      </c>
      <c r="AM767" s="16" t="s">
        <v>9221</v>
      </c>
      <c r="AN767" s="16" t="s">
        <v>9225</v>
      </c>
    </row>
    <row r="768" spans="1:40" x14ac:dyDescent="0.25">
      <c r="A768" s="4" t="s">
        <v>1234</v>
      </c>
      <c r="B768" s="4" t="s">
        <v>1235</v>
      </c>
      <c r="C768" s="4" t="s">
        <v>488</v>
      </c>
      <c r="D768" s="4" t="s">
        <v>1236</v>
      </c>
      <c r="E768" s="4" t="s">
        <v>1237</v>
      </c>
      <c r="F768" s="10">
        <v>45524</v>
      </c>
      <c r="G768" s="11">
        <v>0.4826388888888889</v>
      </c>
      <c r="H768" s="4" t="s">
        <v>1155</v>
      </c>
      <c r="I768" s="4">
        <v>4043</v>
      </c>
      <c r="J768" s="4" t="s">
        <v>1200</v>
      </c>
      <c r="K768" s="4" t="s">
        <v>1238</v>
      </c>
      <c r="L768" s="4" t="s">
        <v>1239</v>
      </c>
      <c r="M768" s="4" t="s">
        <v>28</v>
      </c>
      <c r="N768" s="4" t="s">
        <v>478</v>
      </c>
      <c r="O768" s="4" t="s">
        <v>174</v>
      </c>
      <c r="P768" s="4" t="s">
        <v>48</v>
      </c>
      <c r="Q768" s="4">
        <v>51</v>
      </c>
      <c r="R768" s="4" t="b">
        <v>0</v>
      </c>
      <c r="S768" s="4" t="s">
        <v>184</v>
      </c>
      <c r="T768" s="4" t="s">
        <v>1240</v>
      </c>
      <c r="U768" s="4" t="s">
        <v>90</v>
      </c>
      <c r="V768" s="4" t="s">
        <v>267</v>
      </c>
      <c r="W768" s="4" t="s">
        <v>268</v>
      </c>
      <c r="X768" s="4" t="s">
        <v>54</v>
      </c>
      <c r="Y768" s="4"/>
      <c r="Z768" s="12" t="s">
        <v>48</v>
      </c>
      <c r="AA768" s="13" t="s">
        <v>9156</v>
      </c>
      <c r="AB768" s="13" t="s">
        <v>9155</v>
      </c>
      <c r="AC768" s="14" t="s">
        <v>9166</v>
      </c>
      <c r="AD768" s="14" t="s">
        <v>28</v>
      </c>
      <c r="AE768" s="14" t="s">
        <v>478</v>
      </c>
      <c r="AF768" s="14" t="s">
        <v>267</v>
      </c>
      <c r="AG768" s="14" t="s">
        <v>54</v>
      </c>
      <c r="AH768" s="15" t="s">
        <v>9141</v>
      </c>
      <c r="AI768" s="15" t="s">
        <v>9187</v>
      </c>
      <c r="AJ768" s="15" t="s">
        <v>9143</v>
      </c>
      <c r="AK768" s="15" t="s">
        <v>9141</v>
      </c>
      <c r="AL768" s="15" t="s">
        <v>9144</v>
      </c>
      <c r="AM768" s="16" t="s">
        <v>9141</v>
      </c>
      <c r="AN768" s="16" t="s">
        <v>9145</v>
      </c>
    </row>
    <row r="769" spans="1:40" x14ac:dyDescent="0.25">
      <c r="A769" s="4" t="s">
        <v>2421</v>
      </c>
      <c r="B769" s="4"/>
      <c r="C769" s="4" t="s">
        <v>39</v>
      </c>
      <c r="D769" s="4" t="s">
        <v>2320</v>
      </c>
      <c r="E769" s="4" t="s">
        <v>2321</v>
      </c>
      <c r="F769" s="10">
        <v>45524</v>
      </c>
      <c r="G769" s="11">
        <v>0.6479166666666667</v>
      </c>
      <c r="H769" s="4" t="s">
        <v>1939</v>
      </c>
      <c r="I769" s="4" t="s">
        <v>2393</v>
      </c>
      <c r="J769" s="4" t="s">
        <v>2394</v>
      </c>
      <c r="K769" s="4" t="s">
        <v>2422</v>
      </c>
      <c r="L769" s="4" t="s">
        <v>2423</v>
      </c>
      <c r="M769" s="4" t="s">
        <v>46</v>
      </c>
      <c r="N769" s="4"/>
      <c r="O769" s="4" t="s">
        <v>47</v>
      </c>
      <c r="P769" s="4" t="s">
        <v>48</v>
      </c>
      <c r="Q769" s="4">
        <v>0</v>
      </c>
      <c r="R769" s="4" t="b">
        <v>0</v>
      </c>
      <c r="S769" s="4" t="s">
        <v>49</v>
      </c>
      <c r="T769" s="4" t="s">
        <v>433</v>
      </c>
      <c r="U769" s="4" t="s">
        <v>165</v>
      </c>
      <c r="V769" s="4" t="s">
        <v>63</v>
      </c>
      <c r="W769" s="4" t="s">
        <v>198</v>
      </c>
      <c r="X769" s="4" t="s">
        <v>54</v>
      </c>
      <c r="Y769" s="4"/>
      <c r="Z769" s="12">
        <v>0</v>
      </c>
      <c r="AA769" s="13" t="s">
        <v>9156</v>
      </c>
      <c r="AB769" s="13" t="s">
        <v>9155</v>
      </c>
      <c r="AC769" s="14" t="s">
        <v>9139</v>
      </c>
      <c r="AD769" s="14" t="s">
        <v>9140</v>
      </c>
      <c r="AE769" s="14" t="s">
        <v>9140</v>
      </c>
      <c r="AF769" s="14" t="s">
        <v>63</v>
      </c>
      <c r="AG769" s="14" t="s">
        <v>54</v>
      </c>
      <c r="AH769" s="15" t="s">
        <v>9194</v>
      </c>
      <c r="AI769" s="15" t="s">
        <v>9175</v>
      </c>
      <c r="AJ769" s="15" t="s">
        <v>9143</v>
      </c>
      <c r="AK769" s="15" t="s">
        <v>9194</v>
      </c>
      <c r="AL769" s="15" t="s">
        <v>9195</v>
      </c>
      <c r="AM769" s="16" t="s">
        <v>9194</v>
      </c>
      <c r="AN769" s="16" t="s">
        <v>9196</v>
      </c>
    </row>
    <row r="770" spans="1:40" x14ac:dyDescent="0.25">
      <c r="A770" s="4" t="s">
        <v>6706</v>
      </c>
      <c r="B770" s="4"/>
      <c r="C770" s="4" t="s">
        <v>39</v>
      </c>
      <c r="D770" s="4" t="s">
        <v>6707</v>
      </c>
      <c r="E770" s="4" t="s">
        <v>6708</v>
      </c>
      <c r="F770" s="10">
        <v>45523</v>
      </c>
      <c r="G770" s="11">
        <v>0.52777777777777779</v>
      </c>
      <c r="H770" s="4" t="s">
        <v>5666</v>
      </c>
      <c r="I770" s="4" t="s">
        <v>6692</v>
      </c>
      <c r="J770" s="4" t="s">
        <v>3645</v>
      </c>
      <c r="K770" s="4" t="s">
        <v>6709</v>
      </c>
      <c r="L770" s="4" t="s">
        <v>6710</v>
      </c>
      <c r="M770" s="4" t="s">
        <v>46</v>
      </c>
      <c r="N770" s="4"/>
      <c r="O770" s="4" t="s">
        <v>47</v>
      </c>
      <c r="P770" s="4" t="s">
        <v>60</v>
      </c>
      <c r="Q770" s="4">
        <v>0</v>
      </c>
      <c r="R770" s="4" t="b">
        <v>0</v>
      </c>
      <c r="S770" s="4" t="s">
        <v>61</v>
      </c>
      <c r="T770" s="4" t="s">
        <v>204</v>
      </c>
      <c r="U770" s="4" t="s">
        <v>122</v>
      </c>
      <c r="V770" s="4" t="s">
        <v>123</v>
      </c>
      <c r="W770" s="4" t="s">
        <v>192</v>
      </c>
      <c r="X770" s="4" t="s">
        <v>54</v>
      </c>
      <c r="Y770" s="4" t="s">
        <v>302</v>
      </c>
      <c r="Z770" s="12">
        <v>0</v>
      </c>
      <c r="AA770" s="13" t="s">
        <v>9156</v>
      </c>
      <c r="AB770" s="13" t="s">
        <v>9155</v>
      </c>
      <c r="AC770" s="14" t="s">
        <v>9148</v>
      </c>
      <c r="AD770" s="14" t="s">
        <v>9140</v>
      </c>
      <c r="AE770" s="14" t="s">
        <v>9140</v>
      </c>
      <c r="AF770" s="14" t="s">
        <v>123</v>
      </c>
      <c r="AG770" s="14" t="s">
        <v>54</v>
      </c>
      <c r="AH770" s="15" t="s">
        <v>9220</v>
      </c>
      <c r="AI770" s="15" t="s">
        <v>9199</v>
      </c>
      <c r="AJ770" s="15" t="s">
        <v>9143</v>
      </c>
      <c r="AK770" s="15" t="s">
        <v>9221</v>
      </c>
      <c r="AL770" s="15" t="s">
        <v>9199</v>
      </c>
      <c r="AM770" s="16" t="s">
        <v>9221</v>
      </c>
      <c r="AN770" s="16" t="s">
        <v>9238</v>
      </c>
    </row>
    <row r="771" spans="1:40" x14ac:dyDescent="0.25">
      <c r="A771" s="4" t="s">
        <v>2794</v>
      </c>
      <c r="B771" s="4">
        <v>7135072</v>
      </c>
      <c r="C771" s="4" t="s">
        <v>39</v>
      </c>
      <c r="D771" s="4" t="s">
        <v>2791</v>
      </c>
      <c r="E771" s="4" t="s">
        <v>2792</v>
      </c>
      <c r="F771" s="10">
        <v>45523</v>
      </c>
      <c r="G771" s="11">
        <v>0.47916666666666669</v>
      </c>
      <c r="H771" s="4" t="s">
        <v>2095</v>
      </c>
      <c r="I771" s="4" t="s">
        <v>2777</v>
      </c>
      <c r="J771" s="4" t="s">
        <v>1406</v>
      </c>
      <c r="K771" s="4" t="s">
        <v>2795</v>
      </c>
      <c r="L771" s="4" t="s">
        <v>2796</v>
      </c>
      <c r="M771" s="4" t="s">
        <v>28</v>
      </c>
      <c r="N771" s="4" t="s">
        <v>2718</v>
      </c>
      <c r="O771" s="4" t="s">
        <v>47</v>
      </c>
      <c r="P771" s="4" t="s">
        <v>48</v>
      </c>
      <c r="Q771" s="4">
        <v>0</v>
      </c>
      <c r="R771" s="4" t="b">
        <v>0</v>
      </c>
      <c r="S771" s="4" t="s">
        <v>49</v>
      </c>
      <c r="T771" s="4" t="s">
        <v>70</v>
      </c>
      <c r="U771" s="4" t="s">
        <v>527</v>
      </c>
      <c r="V771" s="4" t="s">
        <v>63</v>
      </c>
      <c r="W771" s="4" t="s">
        <v>198</v>
      </c>
      <c r="X771" s="4" t="s">
        <v>54</v>
      </c>
      <c r="Y771" s="4"/>
      <c r="Z771" s="12" t="s">
        <v>48</v>
      </c>
      <c r="AA771" s="13" t="s">
        <v>9156</v>
      </c>
      <c r="AB771" s="13" t="s">
        <v>9155</v>
      </c>
      <c r="AC771" s="14" t="s">
        <v>9139</v>
      </c>
      <c r="AD771" s="14" t="s">
        <v>28</v>
      </c>
      <c r="AE771" s="14" t="s">
        <v>9140</v>
      </c>
      <c r="AF771" s="14" t="s">
        <v>63</v>
      </c>
      <c r="AG771" s="14" t="s">
        <v>54</v>
      </c>
      <c r="AH771" s="15" t="s">
        <v>9194</v>
      </c>
      <c r="AI771" s="15" t="s">
        <v>9188</v>
      </c>
      <c r="AJ771" s="15" t="s">
        <v>9143</v>
      </c>
      <c r="AK771" s="15" t="s">
        <v>9194</v>
      </c>
      <c r="AL771" s="15" t="s">
        <v>9211</v>
      </c>
      <c r="AM771" s="16" t="s">
        <v>9194</v>
      </c>
      <c r="AN771" s="16" t="s">
        <v>9212</v>
      </c>
    </row>
    <row r="772" spans="1:40" x14ac:dyDescent="0.25">
      <c r="A772" s="4" t="s">
        <v>4362</v>
      </c>
      <c r="B772" s="4"/>
      <c r="C772" s="4" t="s">
        <v>39</v>
      </c>
      <c r="D772" s="4" t="s">
        <v>4363</v>
      </c>
      <c r="E772" s="4" t="s">
        <v>4364</v>
      </c>
      <c r="F772" s="10">
        <v>45523</v>
      </c>
      <c r="G772" s="11">
        <v>0.47222222222222221</v>
      </c>
      <c r="H772" s="4" t="s">
        <v>4019</v>
      </c>
      <c r="I772" s="4" t="s">
        <v>4304</v>
      </c>
      <c r="J772" s="4" t="s">
        <v>1941</v>
      </c>
      <c r="K772" s="4" t="s">
        <v>4365</v>
      </c>
      <c r="L772" s="4" t="s">
        <v>4366</v>
      </c>
      <c r="M772" s="4" t="s">
        <v>46</v>
      </c>
      <c r="N772" s="4"/>
      <c r="O772" s="4" t="s">
        <v>47</v>
      </c>
      <c r="P772" s="4" t="s">
        <v>48</v>
      </c>
      <c r="Q772" s="4">
        <v>0</v>
      </c>
      <c r="R772" s="4" t="b">
        <v>0</v>
      </c>
      <c r="S772" s="4" t="s">
        <v>61</v>
      </c>
      <c r="T772" s="4" t="s">
        <v>2195</v>
      </c>
      <c r="U772" s="4" t="s">
        <v>148</v>
      </c>
      <c r="V772" s="4" t="s">
        <v>52</v>
      </c>
      <c r="W772" s="4" t="s">
        <v>53</v>
      </c>
      <c r="X772" s="4" t="s">
        <v>54</v>
      </c>
      <c r="Y772" s="4"/>
      <c r="Z772" s="12">
        <v>0</v>
      </c>
      <c r="AA772" s="13" t="s">
        <v>9156</v>
      </c>
      <c r="AB772" s="13" t="s">
        <v>9155</v>
      </c>
      <c r="AC772" s="14" t="s">
        <v>9148</v>
      </c>
      <c r="AD772" s="14" t="s">
        <v>9140</v>
      </c>
      <c r="AE772" s="14" t="s">
        <v>9140</v>
      </c>
      <c r="AF772" s="14" t="s">
        <v>52</v>
      </c>
      <c r="AG772" s="14" t="s">
        <v>54</v>
      </c>
      <c r="AH772" s="15" t="s">
        <v>9220</v>
      </c>
      <c r="AI772" s="15" t="s">
        <v>9175</v>
      </c>
      <c r="AJ772" s="15" t="s">
        <v>9143</v>
      </c>
      <c r="AK772" s="15" t="s">
        <v>9221</v>
      </c>
      <c r="AL772" s="15" t="s">
        <v>9222</v>
      </c>
      <c r="AM772" s="16" t="s">
        <v>9221</v>
      </c>
      <c r="AN772" s="16" t="s">
        <v>9223</v>
      </c>
    </row>
    <row r="773" spans="1:40" x14ac:dyDescent="0.25">
      <c r="A773" s="4" t="s">
        <v>4549</v>
      </c>
      <c r="B773" s="4">
        <v>7135130</v>
      </c>
      <c r="C773" s="4" t="s">
        <v>39</v>
      </c>
      <c r="D773" s="4" t="s">
        <v>4550</v>
      </c>
      <c r="E773" s="4" t="s">
        <v>4551</v>
      </c>
      <c r="F773" s="10">
        <v>45523</v>
      </c>
      <c r="G773" s="11">
        <v>0.75</v>
      </c>
      <c r="H773" s="4" t="s">
        <v>4516</v>
      </c>
      <c r="I773" s="4" t="s">
        <v>4546</v>
      </c>
      <c r="J773" s="4" t="s">
        <v>3163</v>
      </c>
      <c r="K773" s="4" t="s">
        <v>4552</v>
      </c>
      <c r="L773" s="4" t="s">
        <v>4553</v>
      </c>
      <c r="M773" s="4" t="s">
        <v>28</v>
      </c>
      <c r="N773" s="4" t="s">
        <v>2718</v>
      </c>
      <c r="O773" s="4" t="s">
        <v>47</v>
      </c>
      <c r="P773" s="4" t="s">
        <v>48</v>
      </c>
      <c r="Q773" s="4">
        <v>0</v>
      </c>
      <c r="R773" s="4" t="b">
        <v>0</v>
      </c>
      <c r="S773" s="4" t="s">
        <v>61</v>
      </c>
      <c r="T773" s="4" t="s">
        <v>583</v>
      </c>
      <c r="U773" s="4" t="s">
        <v>71</v>
      </c>
      <c r="V773" s="4" t="s">
        <v>72</v>
      </c>
      <c r="W773" s="4" t="s">
        <v>73</v>
      </c>
      <c r="X773" s="4" t="s">
        <v>54</v>
      </c>
      <c r="Y773" s="4"/>
      <c r="Z773" s="12" t="s">
        <v>48</v>
      </c>
      <c r="AA773" s="13" t="s">
        <v>9156</v>
      </c>
      <c r="AB773" s="13" t="s">
        <v>9155</v>
      </c>
      <c r="AC773" s="14" t="s">
        <v>9148</v>
      </c>
      <c r="AD773" s="14" t="s">
        <v>28</v>
      </c>
      <c r="AE773" s="14" t="s">
        <v>9140</v>
      </c>
      <c r="AF773" s="14" t="s">
        <v>72</v>
      </c>
      <c r="AG773" s="14" t="s">
        <v>54</v>
      </c>
      <c r="AH773" s="15" t="s">
        <v>9220</v>
      </c>
      <c r="AI773" s="15" t="s">
        <v>9188</v>
      </c>
      <c r="AJ773" s="15" t="s">
        <v>9143</v>
      </c>
      <c r="AK773" s="15" t="s">
        <v>9221</v>
      </c>
      <c r="AL773" s="15" t="s">
        <v>9230</v>
      </c>
      <c r="AM773" s="16" t="s">
        <v>9221</v>
      </c>
      <c r="AN773" s="16" t="s">
        <v>9231</v>
      </c>
    </row>
    <row r="774" spans="1:40" x14ac:dyDescent="0.25">
      <c r="A774" s="4" t="s">
        <v>5155</v>
      </c>
      <c r="B774" s="4" t="s">
        <v>5156</v>
      </c>
      <c r="C774" s="4" t="s">
        <v>39</v>
      </c>
      <c r="D774" s="4" t="s">
        <v>5140</v>
      </c>
      <c r="E774" s="4" t="s">
        <v>5141</v>
      </c>
      <c r="F774" s="10">
        <v>45523</v>
      </c>
      <c r="G774" s="11">
        <v>0.44305555555555554</v>
      </c>
      <c r="H774" s="4" t="s">
        <v>4910</v>
      </c>
      <c r="I774" s="4" t="s">
        <v>5121</v>
      </c>
      <c r="J774" s="4" t="s">
        <v>1994</v>
      </c>
      <c r="K774" s="4" t="s">
        <v>5153</v>
      </c>
      <c r="L774" s="4" t="s">
        <v>5157</v>
      </c>
      <c r="M774" s="4" t="s">
        <v>28</v>
      </c>
      <c r="N774" s="4" t="s">
        <v>478</v>
      </c>
      <c r="O774" s="4" t="s">
        <v>191</v>
      </c>
      <c r="P774" s="4" t="s">
        <v>60</v>
      </c>
      <c r="Q774" s="4">
        <v>97</v>
      </c>
      <c r="R774" s="4" t="b">
        <v>0</v>
      </c>
      <c r="S774" s="4" t="s">
        <v>61</v>
      </c>
      <c r="T774" s="4" t="s">
        <v>583</v>
      </c>
      <c r="U774" s="4" t="s">
        <v>175</v>
      </c>
      <c r="V774" s="4" t="s">
        <v>52</v>
      </c>
      <c r="W774" s="4" t="s">
        <v>53</v>
      </c>
      <c r="X774" s="4" t="s">
        <v>54</v>
      </c>
      <c r="Y774" s="4"/>
      <c r="Z774" s="12" t="s">
        <v>60</v>
      </c>
      <c r="AA774" s="13" t="s">
        <v>9156</v>
      </c>
      <c r="AB774" s="13" t="s">
        <v>9155</v>
      </c>
      <c r="AC774" s="14" t="s">
        <v>9148</v>
      </c>
      <c r="AD774" s="14" t="s">
        <v>28</v>
      </c>
      <c r="AE774" s="14" t="s">
        <v>478</v>
      </c>
      <c r="AF774" s="14" t="s">
        <v>52</v>
      </c>
      <c r="AG774" s="14" t="s">
        <v>54</v>
      </c>
      <c r="AH774" s="15" t="s">
        <v>9220</v>
      </c>
      <c r="AI774" s="15" t="s">
        <v>9191</v>
      </c>
      <c r="AJ774" s="15" t="s">
        <v>9143</v>
      </c>
      <c r="AK774" s="15" t="s">
        <v>9221</v>
      </c>
      <c r="AL774" s="15" t="s">
        <v>9236</v>
      </c>
      <c r="AM774" s="16" t="s">
        <v>9221</v>
      </c>
      <c r="AN774" s="16" t="s">
        <v>9237</v>
      </c>
    </row>
    <row r="775" spans="1:40" x14ac:dyDescent="0.25">
      <c r="A775" s="4" t="s">
        <v>4567</v>
      </c>
      <c r="B775" s="4">
        <v>7127574</v>
      </c>
      <c r="C775" s="4" t="s">
        <v>39</v>
      </c>
      <c r="D775" s="4" t="s">
        <v>4568</v>
      </c>
      <c r="E775" s="4" t="s">
        <v>4569</v>
      </c>
      <c r="F775" s="10">
        <v>45522</v>
      </c>
      <c r="G775" s="11">
        <v>0.52083333333333337</v>
      </c>
      <c r="H775" s="4" t="s">
        <v>4516</v>
      </c>
      <c r="I775" s="4" t="s">
        <v>4570</v>
      </c>
      <c r="J775" s="4" t="s">
        <v>3243</v>
      </c>
      <c r="K775" s="4" t="s">
        <v>4571</v>
      </c>
      <c r="L775" s="4" t="s">
        <v>4572</v>
      </c>
      <c r="M775" s="4" t="s">
        <v>28</v>
      </c>
      <c r="N775" s="4" t="s">
        <v>147</v>
      </c>
      <c r="O775" s="4" t="s">
        <v>174</v>
      </c>
      <c r="P775" s="4" t="s">
        <v>48</v>
      </c>
      <c r="Q775" s="4">
        <v>0</v>
      </c>
      <c r="R775" s="4" t="b">
        <v>0</v>
      </c>
      <c r="S775" s="4" t="s">
        <v>49</v>
      </c>
      <c r="T775" s="4" t="s">
        <v>583</v>
      </c>
      <c r="U775" s="4" t="s">
        <v>175</v>
      </c>
      <c r="V775" s="4" t="s">
        <v>63</v>
      </c>
      <c r="W775" s="4" t="s">
        <v>64</v>
      </c>
      <c r="X775" s="4" t="s">
        <v>54</v>
      </c>
      <c r="Y775" s="4"/>
      <c r="Z775" s="12" t="s">
        <v>48</v>
      </c>
      <c r="AA775" s="13" t="s">
        <v>9156</v>
      </c>
      <c r="AB775" s="13" t="s">
        <v>9155</v>
      </c>
      <c r="AC775" s="14" t="s">
        <v>9139</v>
      </c>
      <c r="AD775" s="14" t="s">
        <v>28</v>
      </c>
      <c r="AE775" s="14" t="s">
        <v>9140</v>
      </c>
      <c r="AF775" s="14" t="s">
        <v>63</v>
      </c>
      <c r="AG775" s="14" t="s">
        <v>54</v>
      </c>
      <c r="AH775" s="15" t="s">
        <v>9220</v>
      </c>
      <c r="AI775" s="15" t="s">
        <v>9188</v>
      </c>
      <c r="AJ775" s="15" t="s">
        <v>9143</v>
      </c>
      <c r="AK775" s="15" t="s">
        <v>9221</v>
      </c>
      <c r="AL775" s="15" t="s">
        <v>9230</v>
      </c>
      <c r="AM775" s="16" t="s">
        <v>9221</v>
      </c>
      <c r="AN775" s="16" t="s">
        <v>9231</v>
      </c>
    </row>
    <row r="776" spans="1:40" x14ac:dyDescent="0.25">
      <c r="A776" s="4" t="s">
        <v>1241</v>
      </c>
      <c r="B776" s="4" t="s">
        <v>1242</v>
      </c>
      <c r="C776" s="4" t="s">
        <v>39</v>
      </c>
      <c r="D776" s="4" t="s">
        <v>1243</v>
      </c>
      <c r="E776" s="4" t="s">
        <v>1244</v>
      </c>
      <c r="F776" s="10">
        <v>45521</v>
      </c>
      <c r="G776" s="11">
        <v>0.44930555555555557</v>
      </c>
      <c r="H776" s="4" t="s">
        <v>1155</v>
      </c>
      <c r="I776" s="4">
        <v>4043</v>
      </c>
      <c r="J776" s="4" t="s">
        <v>1200</v>
      </c>
      <c r="K776" s="4" t="s">
        <v>1245</v>
      </c>
      <c r="L776" s="4" t="s">
        <v>1246</v>
      </c>
      <c r="M776" s="4" t="s">
        <v>28</v>
      </c>
      <c r="N776" s="4" t="s">
        <v>183</v>
      </c>
      <c r="O776" s="4" t="s">
        <v>191</v>
      </c>
      <c r="P776" s="4" t="s">
        <v>48</v>
      </c>
      <c r="Q776" s="4">
        <v>0</v>
      </c>
      <c r="R776" s="4" t="b">
        <v>0</v>
      </c>
      <c r="S776" s="4" t="s">
        <v>49</v>
      </c>
      <c r="T776" s="4" t="s">
        <v>89</v>
      </c>
      <c r="U776" s="4" t="s">
        <v>148</v>
      </c>
      <c r="V776" s="4" t="s">
        <v>52</v>
      </c>
      <c r="W776" s="4" t="s">
        <v>53</v>
      </c>
      <c r="X776" s="4" t="s">
        <v>54</v>
      </c>
      <c r="Y776" s="4"/>
      <c r="Z776" s="12" t="s">
        <v>48</v>
      </c>
      <c r="AA776" s="13" t="s">
        <v>9156</v>
      </c>
      <c r="AB776" s="13" t="s">
        <v>9155</v>
      </c>
      <c r="AC776" s="14" t="s">
        <v>9139</v>
      </c>
      <c r="AD776" s="14" t="s">
        <v>28</v>
      </c>
      <c r="AE776" s="14" t="s">
        <v>183</v>
      </c>
      <c r="AF776" s="14" t="s">
        <v>52</v>
      </c>
      <c r="AG776" s="14" t="s">
        <v>54</v>
      </c>
      <c r="AH776" s="15" t="s">
        <v>9141</v>
      </c>
      <c r="AI776" s="15" t="s">
        <v>9187</v>
      </c>
      <c r="AJ776" s="15" t="s">
        <v>9143</v>
      </c>
      <c r="AK776" s="15" t="s">
        <v>9141</v>
      </c>
      <c r="AL776" s="15" t="s">
        <v>9144</v>
      </c>
      <c r="AM776" s="16" t="s">
        <v>9141</v>
      </c>
      <c r="AN776" s="16" t="s">
        <v>9145</v>
      </c>
    </row>
    <row r="777" spans="1:40" x14ac:dyDescent="0.25">
      <c r="A777" s="4" t="s">
        <v>661</v>
      </c>
      <c r="B777" s="4"/>
      <c r="C777" s="4" t="s">
        <v>39</v>
      </c>
      <c r="D777" s="4" t="s">
        <v>662</v>
      </c>
      <c r="E777" s="4" t="s">
        <v>663</v>
      </c>
      <c r="F777" s="10">
        <v>45521</v>
      </c>
      <c r="G777" s="11">
        <v>0.46250000000000002</v>
      </c>
      <c r="H777" s="4" t="s">
        <v>463</v>
      </c>
      <c r="I777" s="4">
        <v>2024</v>
      </c>
      <c r="J777" s="4" t="s">
        <v>664</v>
      </c>
      <c r="K777" s="4" t="s">
        <v>665</v>
      </c>
      <c r="L777" s="4" t="s">
        <v>666</v>
      </c>
      <c r="M777" s="4" t="s">
        <v>46</v>
      </c>
      <c r="N777" s="4"/>
      <c r="O777" s="4" t="s">
        <v>47</v>
      </c>
      <c r="P777" s="4" t="s">
        <v>48</v>
      </c>
      <c r="Q777" s="4">
        <v>0</v>
      </c>
      <c r="R777" s="4" t="b">
        <v>0</v>
      </c>
      <c r="S777" s="4" t="s">
        <v>61</v>
      </c>
      <c r="T777" s="4" t="s">
        <v>89</v>
      </c>
      <c r="U777" s="4" t="s">
        <v>107</v>
      </c>
      <c r="V777" s="4" t="s">
        <v>63</v>
      </c>
      <c r="W777" s="4" t="s">
        <v>108</v>
      </c>
      <c r="X777" s="4" t="s">
        <v>54</v>
      </c>
      <c r="Y777" s="4"/>
      <c r="Z777" s="12">
        <v>0</v>
      </c>
      <c r="AA777" s="13" t="s">
        <v>9156</v>
      </c>
      <c r="AB777" s="13" t="s">
        <v>9155</v>
      </c>
      <c r="AC777" s="14" t="s">
        <v>9148</v>
      </c>
      <c r="AD777" s="14" t="s">
        <v>9140</v>
      </c>
      <c r="AE777" s="14" t="s">
        <v>9140</v>
      </c>
      <c r="AF777" s="14" t="s">
        <v>63</v>
      </c>
      <c r="AG777" s="14" t="s">
        <v>54</v>
      </c>
      <c r="AH777" s="15" t="s">
        <v>9141</v>
      </c>
      <c r="AI777" s="15" t="s">
        <v>9175</v>
      </c>
      <c r="AJ777" s="15" t="s">
        <v>9143</v>
      </c>
      <c r="AK777" s="15" t="s">
        <v>9141</v>
      </c>
      <c r="AL777" s="15" t="s">
        <v>9177</v>
      </c>
      <c r="AM777" s="16" t="s">
        <v>9141</v>
      </c>
      <c r="AN777" s="16" t="s">
        <v>9178</v>
      </c>
    </row>
    <row r="778" spans="1:40" x14ac:dyDescent="0.25">
      <c r="A778" s="4" t="s">
        <v>10030</v>
      </c>
      <c r="B778" s="4"/>
      <c r="C778" s="4" t="s">
        <v>39</v>
      </c>
      <c r="D778" s="4" t="s">
        <v>10031</v>
      </c>
      <c r="E778" s="4" t="s">
        <v>10032</v>
      </c>
      <c r="F778" s="10">
        <v>45520</v>
      </c>
      <c r="G778" s="11">
        <v>0.29166666666666669</v>
      </c>
      <c r="H778" s="4" t="s">
        <v>3995</v>
      </c>
      <c r="I778" s="4" t="s">
        <v>10033</v>
      </c>
      <c r="J778" s="4" t="s">
        <v>10034</v>
      </c>
      <c r="K778" s="4" t="s">
        <v>10035</v>
      </c>
      <c r="L778" s="4" t="s">
        <v>10036</v>
      </c>
      <c r="M778" s="4" t="s">
        <v>46</v>
      </c>
      <c r="N778" s="4"/>
      <c r="O778" s="4" t="s">
        <v>47</v>
      </c>
      <c r="P778" s="4" t="s">
        <v>48</v>
      </c>
      <c r="Q778" s="4">
        <v>0</v>
      </c>
      <c r="R778" s="4" t="b">
        <v>0</v>
      </c>
      <c r="S778" s="4" t="s">
        <v>61</v>
      </c>
      <c r="T778" s="4" t="s">
        <v>50</v>
      </c>
      <c r="U778" s="4" t="s">
        <v>224</v>
      </c>
      <c r="V778" s="4" t="s">
        <v>123</v>
      </c>
      <c r="W778" s="4" t="s">
        <v>124</v>
      </c>
      <c r="X778" s="4" t="s">
        <v>54</v>
      </c>
      <c r="Y778" s="4"/>
      <c r="Z778" s="12">
        <v>0</v>
      </c>
      <c r="AA778" s="13" t="s">
        <v>9156</v>
      </c>
      <c r="AB778" s="13" t="s">
        <v>9155</v>
      </c>
      <c r="AC778" s="14" t="s">
        <v>9148</v>
      </c>
      <c r="AD778" s="14" t="s">
        <v>9140</v>
      </c>
      <c r="AE778" s="14" t="s">
        <v>9140</v>
      </c>
      <c r="AF778" s="14" t="s">
        <v>123</v>
      </c>
      <c r="AG778" s="14" t="s">
        <v>54</v>
      </c>
      <c r="AH778" s="15" t="s">
        <v>9216</v>
      </c>
      <c r="AI778" s="15" t="s">
        <v>9175</v>
      </c>
      <c r="AJ778" s="15" t="s">
        <v>10037</v>
      </c>
      <c r="AK778" s="15" t="s">
        <v>9216</v>
      </c>
      <c r="AL778" s="15" t="s">
        <v>10038</v>
      </c>
      <c r="AM778" s="16">
        <v>0</v>
      </c>
      <c r="AN778" s="16">
        <v>0</v>
      </c>
    </row>
    <row r="779" spans="1:40" x14ac:dyDescent="0.25">
      <c r="A779" s="4" t="s">
        <v>3781</v>
      </c>
      <c r="B779" s="4" t="s">
        <v>3782</v>
      </c>
      <c r="C779" s="4" t="s">
        <v>39</v>
      </c>
      <c r="D779" s="4" t="s">
        <v>3770</v>
      </c>
      <c r="E779" s="4" t="s">
        <v>3771</v>
      </c>
      <c r="F779" s="10">
        <v>45520</v>
      </c>
      <c r="G779" s="11">
        <v>0.37638888888888888</v>
      </c>
      <c r="H779" s="4" t="s">
        <v>1992</v>
      </c>
      <c r="I779" s="4" t="s">
        <v>3772</v>
      </c>
      <c r="J779" s="4" t="s">
        <v>3773</v>
      </c>
      <c r="K779" s="4" t="s">
        <v>3783</v>
      </c>
      <c r="L779" s="4" t="s">
        <v>3784</v>
      </c>
      <c r="M779" s="4" t="s">
        <v>28</v>
      </c>
      <c r="N779" s="4" t="s">
        <v>183</v>
      </c>
      <c r="O779" s="4" t="s">
        <v>344</v>
      </c>
      <c r="P779" s="4" t="s">
        <v>48</v>
      </c>
      <c r="Q779" s="4">
        <v>15</v>
      </c>
      <c r="R779" s="4" t="b">
        <v>0</v>
      </c>
      <c r="S779" s="4" t="s">
        <v>184</v>
      </c>
      <c r="T779" s="4" t="s">
        <v>115</v>
      </c>
      <c r="U779" s="4" t="s">
        <v>148</v>
      </c>
      <c r="V779" s="4" t="s">
        <v>52</v>
      </c>
      <c r="W779" s="4" t="s">
        <v>255</v>
      </c>
      <c r="X779" s="4" t="s">
        <v>54</v>
      </c>
      <c r="Y779" s="4"/>
      <c r="Z779" s="12" t="s">
        <v>48</v>
      </c>
      <c r="AA779" s="13" t="s">
        <v>9156</v>
      </c>
      <c r="AB779" s="13" t="s">
        <v>9155</v>
      </c>
      <c r="AC779" s="14" t="s">
        <v>9166</v>
      </c>
      <c r="AD779" s="14" t="s">
        <v>28</v>
      </c>
      <c r="AE779" s="14" t="s">
        <v>183</v>
      </c>
      <c r="AF779" s="14" t="s">
        <v>52</v>
      </c>
      <c r="AG779" s="14" t="s">
        <v>54</v>
      </c>
      <c r="AH779" s="15" t="s">
        <v>9194</v>
      </c>
      <c r="AI779" s="15" t="s">
        <v>9191</v>
      </c>
      <c r="AJ779" s="15" t="s">
        <v>9143</v>
      </c>
      <c r="AK779" s="15" t="s">
        <v>9194</v>
      </c>
      <c r="AL779" s="15" t="s">
        <v>9201</v>
      </c>
      <c r="AM779" s="16" t="s">
        <v>9194</v>
      </c>
      <c r="AN779" s="16" t="s">
        <v>9202</v>
      </c>
    </row>
    <row r="780" spans="1:40" x14ac:dyDescent="0.25">
      <c r="A780" s="4" t="s">
        <v>5976</v>
      </c>
      <c r="B780" s="4"/>
      <c r="C780" s="4" t="s">
        <v>488</v>
      </c>
      <c r="D780" s="4" t="s">
        <v>5977</v>
      </c>
      <c r="E780" s="4" t="s">
        <v>5978</v>
      </c>
      <c r="F780" s="10">
        <v>45520</v>
      </c>
      <c r="G780" s="11">
        <v>0.6958333333333333</v>
      </c>
      <c r="H780" s="4" t="s">
        <v>4242</v>
      </c>
      <c r="I780" s="4" t="s">
        <v>5918</v>
      </c>
      <c r="J780" s="4" t="s">
        <v>5919</v>
      </c>
      <c r="K780" s="4" t="s">
        <v>5979</v>
      </c>
      <c r="L780" s="4" t="s">
        <v>5980</v>
      </c>
      <c r="M780" s="4" t="s">
        <v>46</v>
      </c>
      <c r="N780" s="4"/>
      <c r="O780" s="4" t="s">
        <v>47</v>
      </c>
      <c r="P780" s="4" t="s">
        <v>48</v>
      </c>
      <c r="Q780" s="4">
        <v>0</v>
      </c>
      <c r="R780" s="4" t="b">
        <v>0</v>
      </c>
      <c r="S780" s="4" t="s">
        <v>61</v>
      </c>
      <c r="T780" s="4" t="s">
        <v>266</v>
      </c>
      <c r="U780" s="4" t="s">
        <v>330</v>
      </c>
      <c r="V780" s="4" t="s">
        <v>267</v>
      </c>
      <c r="W780" s="4" t="s">
        <v>2330</v>
      </c>
      <c r="X780" s="4" t="s">
        <v>54</v>
      </c>
      <c r="Y780" s="4"/>
      <c r="Z780" s="12">
        <v>0</v>
      </c>
      <c r="AA780" s="13" t="s">
        <v>9156</v>
      </c>
      <c r="AB780" s="13" t="s">
        <v>9155</v>
      </c>
      <c r="AC780" s="14" t="s">
        <v>9148</v>
      </c>
      <c r="AD780" s="14" t="s">
        <v>9140</v>
      </c>
      <c r="AE780" s="14" t="s">
        <v>9140</v>
      </c>
      <c r="AF780" s="14" t="s">
        <v>267</v>
      </c>
      <c r="AG780" s="14" t="s">
        <v>54</v>
      </c>
      <c r="AH780" s="15" t="s">
        <v>9220</v>
      </c>
      <c r="AI780" s="15" t="s">
        <v>9187</v>
      </c>
      <c r="AJ780" s="15" t="s">
        <v>9143</v>
      </c>
      <c r="AK780" s="15" t="s">
        <v>9221</v>
      </c>
      <c r="AL780" s="15" t="s">
        <v>9226</v>
      </c>
      <c r="AM780" s="16" t="s">
        <v>9221</v>
      </c>
      <c r="AN780" s="16" t="s">
        <v>9227</v>
      </c>
    </row>
    <row r="781" spans="1:40" x14ac:dyDescent="0.25">
      <c r="A781" s="4" t="s">
        <v>6304</v>
      </c>
      <c r="B781" s="4"/>
      <c r="C781" s="4" t="s">
        <v>39</v>
      </c>
      <c r="D781" s="4" t="s">
        <v>6305</v>
      </c>
      <c r="E781" s="4" t="s">
        <v>6306</v>
      </c>
      <c r="F781" s="10">
        <v>45519</v>
      </c>
      <c r="G781" s="11">
        <v>0.58333333333333337</v>
      </c>
      <c r="H781" s="4" t="s">
        <v>4019</v>
      </c>
      <c r="I781" s="4" t="s">
        <v>6277</v>
      </c>
      <c r="J781" s="4" t="s">
        <v>988</v>
      </c>
      <c r="K781" s="4" t="s">
        <v>6307</v>
      </c>
      <c r="L781" s="4" t="s">
        <v>6308</v>
      </c>
      <c r="M781" s="4" t="s">
        <v>46</v>
      </c>
      <c r="N781" s="4"/>
      <c r="O781" s="4" t="s">
        <v>47</v>
      </c>
      <c r="P781" s="4" t="s">
        <v>48</v>
      </c>
      <c r="Q781" s="4">
        <v>0</v>
      </c>
      <c r="R781" s="4" t="b">
        <v>0</v>
      </c>
      <c r="S781" s="4" t="s">
        <v>61</v>
      </c>
      <c r="T781" s="4" t="s">
        <v>6309</v>
      </c>
      <c r="U781" s="4" t="s">
        <v>1546</v>
      </c>
      <c r="V781" s="4" t="s">
        <v>1547</v>
      </c>
      <c r="W781" s="4" t="s">
        <v>3880</v>
      </c>
      <c r="X781" s="4" t="s">
        <v>54</v>
      </c>
      <c r="Y781" s="4"/>
      <c r="Z781" s="12">
        <v>0</v>
      </c>
      <c r="AA781" s="13" t="s">
        <v>9156</v>
      </c>
      <c r="AB781" s="13" t="s">
        <v>9155</v>
      </c>
      <c r="AC781" s="14" t="s">
        <v>9148</v>
      </c>
      <c r="AD781" s="14" t="s">
        <v>9140</v>
      </c>
      <c r="AE781" s="14" t="s">
        <v>9140</v>
      </c>
      <c r="AF781" s="14" t="s">
        <v>1547</v>
      </c>
      <c r="AG781" s="14" t="s">
        <v>54</v>
      </c>
      <c r="AH781" s="15" t="s">
        <v>9220</v>
      </c>
      <c r="AI781" s="15" t="s">
        <v>9175</v>
      </c>
      <c r="AJ781" s="15" t="s">
        <v>9143</v>
      </c>
      <c r="AK781" s="15" t="s">
        <v>9221</v>
      </c>
      <c r="AL781" s="15" t="s">
        <v>9222</v>
      </c>
      <c r="AM781" s="16" t="s">
        <v>9221</v>
      </c>
      <c r="AN781" s="16" t="s">
        <v>9223</v>
      </c>
    </row>
    <row r="782" spans="1:40" x14ac:dyDescent="0.25">
      <c r="A782" s="4" t="s">
        <v>6310</v>
      </c>
      <c r="B782" s="4"/>
      <c r="C782" s="4" t="s">
        <v>39</v>
      </c>
      <c r="D782" s="4" t="s">
        <v>6311</v>
      </c>
      <c r="E782" s="4" t="s">
        <v>6312</v>
      </c>
      <c r="F782" s="10">
        <v>45519</v>
      </c>
      <c r="G782" s="11">
        <v>0.58333333333333337</v>
      </c>
      <c r="H782" s="4" t="s">
        <v>4019</v>
      </c>
      <c r="I782" s="4" t="s">
        <v>6277</v>
      </c>
      <c r="J782" s="4" t="s">
        <v>988</v>
      </c>
      <c r="K782" s="4" t="s">
        <v>6307</v>
      </c>
      <c r="L782" s="4" t="s">
        <v>6308</v>
      </c>
      <c r="M782" s="4" t="s">
        <v>46</v>
      </c>
      <c r="N782" s="4"/>
      <c r="O782" s="4" t="s">
        <v>47</v>
      </c>
      <c r="P782" s="4" t="s">
        <v>48</v>
      </c>
      <c r="Q782" s="4">
        <v>0</v>
      </c>
      <c r="R782" s="4" t="b">
        <v>0</v>
      </c>
      <c r="S782" s="4" t="s">
        <v>61</v>
      </c>
      <c r="T782" s="4" t="s">
        <v>6309</v>
      </c>
      <c r="U782" s="4" t="s">
        <v>1546</v>
      </c>
      <c r="V782" s="4" t="s">
        <v>1547</v>
      </c>
      <c r="W782" s="4" t="s">
        <v>3880</v>
      </c>
      <c r="X782" s="4" t="s">
        <v>54</v>
      </c>
      <c r="Y782" s="4"/>
      <c r="Z782" s="12">
        <v>0</v>
      </c>
      <c r="AA782" s="13" t="s">
        <v>9156</v>
      </c>
      <c r="AB782" s="13" t="s">
        <v>9155</v>
      </c>
      <c r="AC782" s="14" t="s">
        <v>9148</v>
      </c>
      <c r="AD782" s="14" t="s">
        <v>9140</v>
      </c>
      <c r="AE782" s="14" t="s">
        <v>9140</v>
      </c>
      <c r="AF782" s="14" t="s">
        <v>1547</v>
      </c>
      <c r="AG782" s="14" t="s">
        <v>54</v>
      </c>
      <c r="AH782" s="15" t="s">
        <v>9220</v>
      </c>
      <c r="AI782" s="15" t="s">
        <v>9175</v>
      </c>
      <c r="AJ782" s="15" t="s">
        <v>9143</v>
      </c>
      <c r="AK782" s="15" t="s">
        <v>9221</v>
      </c>
      <c r="AL782" s="15" t="s">
        <v>9222</v>
      </c>
      <c r="AM782" s="16" t="s">
        <v>9221</v>
      </c>
      <c r="AN782" s="16" t="s">
        <v>9223</v>
      </c>
    </row>
    <row r="783" spans="1:40" x14ac:dyDescent="0.25">
      <c r="A783" s="4" t="s">
        <v>4945</v>
      </c>
      <c r="B783" s="4"/>
      <c r="C783" s="4" t="s">
        <v>39</v>
      </c>
      <c r="D783" s="4" t="s">
        <v>4946</v>
      </c>
      <c r="E783" s="4" t="s">
        <v>4947</v>
      </c>
      <c r="F783" s="10">
        <v>45519</v>
      </c>
      <c r="G783" s="11">
        <v>0.53472222222222221</v>
      </c>
      <c r="H783" s="4" t="s">
        <v>4910</v>
      </c>
      <c r="I783" s="4" t="s">
        <v>4939</v>
      </c>
      <c r="J783" s="4" t="s">
        <v>4940</v>
      </c>
      <c r="K783" s="4" t="s">
        <v>4948</v>
      </c>
      <c r="L783" s="4" t="s">
        <v>4949</v>
      </c>
      <c r="M783" s="4" t="s">
        <v>46</v>
      </c>
      <c r="N783" s="4"/>
      <c r="O783" s="4" t="s">
        <v>47</v>
      </c>
      <c r="P783" s="4" t="s">
        <v>48</v>
      </c>
      <c r="Q783" s="4">
        <v>0</v>
      </c>
      <c r="R783" s="4" t="b">
        <v>0</v>
      </c>
      <c r="S783" s="4" t="s">
        <v>114</v>
      </c>
      <c r="T783" s="4" t="s">
        <v>583</v>
      </c>
      <c r="U783" s="4" t="s">
        <v>107</v>
      </c>
      <c r="V783" s="4" t="s">
        <v>72</v>
      </c>
      <c r="W783" s="4" t="s">
        <v>97</v>
      </c>
      <c r="X783" s="4" t="s">
        <v>3183</v>
      </c>
      <c r="Y783" s="4" t="s">
        <v>775</v>
      </c>
      <c r="Z783" s="12">
        <v>0</v>
      </c>
      <c r="AA783" s="13" t="s">
        <v>9156</v>
      </c>
      <c r="AB783" s="13" t="s">
        <v>9155</v>
      </c>
      <c r="AC783" s="14" t="s">
        <v>9157</v>
      </c>
      <c r="AD783" s="14" t="s">
        <v>9140</v>
      </c>
      <c r="AE783" s="14" t="s">
        <v>9140</v>
      </c>
      <c r="AF783" s="14" t="s">
        <v>72</v>
      </c>
      <c r="AG783" s="14" t="s">
        <v>3183</v>
      </c>
      <c r="AH783" s="15" t="s">
        <v>9220</v>
      </c>
      <c r="AI783" s="15" t="s">
        <v>9191</v>
      </c>
      <c r="AJ783" s="15" t="s">
        <v>9143</v>
      </c>
      <c r="AK783" s="15" t="s">
        <v>9221</v>
      </c>
      <c r="AL783" s="15" t="s">
        <v>9234</v>
      </c>
      <c r="AM783" s="16" t="s">
        <v>9221</v>
      </c>
      <c r="AN783" s="16" t="s">
        <v>9235</v>
      </c>
    </row>
    <row r="784" spans="1:40" x14ac:dyDescent="0.25">
      <c r="A784" s="4" t="s">
        <v>7807</v>
      </c>
      <c r="B784" s="4"/>
      <c r="C784" s="4" t="s">
        <v>39</v>
      </c>
      <c r="D784" s="4" t="s">
        <v>7808</v>
      </c>
      <c r="E784" s="4" t="s">
        <v>7809</v>
      </c>
      <c r="F784" s="10">
        <v>45519</v>
      </c>
      <c r="G784" s="11">
        <v>0.5625</v>
      </c>
      <c r="H784" s="4" t="s">
        <v>5666</v>
      </c>
      <c r="I784" s="4" t="s">
        <v>7793</v>
      </c>
      <c r="J784" s="4" t="s">
        <v>7794</v>
      </c>
      <c r="K784" s="4" t="s">
        <v>7810</v>
      </c>
      <c r="L784" s="4" t="s">
        <v>7811</v>
      </c>
      <c r="M784" s="4" t="s">
        <v>46</v>
      </c>
      <c r="N784" s="4"/>
      <c r="O784" s="4" t="s">
        <v>47</v>
      </c>
      <c r="P784" s="4" t="s">
        <v>60</v>
      </c>
      <c r="Q784" s="4">
        <v>0</v>
      </c>
      <c r="R784" s="4" t="b">
        <v>0</v>
      </c>
      <c r="S784" s="4" t="s">
        <v>61</v>
      </c>
      <c r="T784" s="4" t="s">
        <v>1303</v>
      </c>
      <c r="U784" s="4" t="s">
        <v>480</v>
      </c>
      <c r="V784" s="4" t="s">
        <v>52</v>
      </c>
      <c r="W784" s="4" t="s">
        <v>255</v>
      </c>
      <c r="X784" s="4" t="s">
        <v>54</v>
      </c>
      <c r="Y784" s="4"/>
      <c r="Z784" s="12">
        <v>0</v>
      </c>
      <c r="AA784" s="13" t="s">
        <v>9156</v>
      </c>
      <c r="AB784" s="13" t="s">
        <v>9155</v>
      </c>
      <c r="AC784" s="14" t="s">
        <v>9148</v>
      </c>
      <c r="AD784" s="14" t="s">
        <v>9140</v>
      </c>
      <c r="AE784" s="14" t="s">
        <v>9140</v>
      </c>
      <c r="AF784" s="14" t="s">
        <v>52</v>
      </c>
      <c r="AG784" s="14" t="s">
        <v>54</v>
      </c>
      <c r="AH784" s="15" t="s">
        <v>9220</v>
      </c>
      <c r="AI784" s="15" t="s">
        <v>9199</v>
      </c>
      <c r="AJ784" s="15" t="s">
        <v>9143</v>
      </c>
      <c r="AK784" s="15" t="s">
        <v>9221</v>
      </c>
      <c r="AL784" s="15" t="s">
        <v>9199</v>
      </c>
      <c r="AM784" s="16" t="s">
        <v>9221</v>
      </c>
      <c r="AN784" s="16" t="s">
        <v>9238</v>
      </c>
    </row>
    <row r="785" spans="1:40" x14ac:dyDescent="0.25">
      <c r="A785" s="4" t="s">
        <v>1904</v>
      </c>
      <c r="B785" s="4"/>
      <c r="C785" s="4" t="s">
        <v>39</v>
      </c>
      <c r="D785" s="4" t="s">
        <v>1905</v>
      </c>
      <c r="E785" s="4" t="s">
        <v>1906</v>
      </c>
      <c r="F785" s="10">
        <v>45519</v>
      </c>
      <c r="G785" s="11">
        <v>0.78125</v>
      </c>
      <c r="H785" s="4" t="s">
        <v>1654</v>
      </c>
      <c r="I785" s="4">
        <v>9098</v>
      </c>
      <c r="J785" s="4" t="s">
        <v>1896</v>
      </c>
      <c r="K785" s="4" t="s">
        <v>1907</v>
      </c>
      <c r="L785" s="4" t="s">
        <v>1908</v>
      </c>
      <c r="M785" s="4" t="s">
        <v>46</v>
      </c>
      <c r="N785" s="4"/>
      <c r="O785" s="4" t="s">
        <v>47</v>
      </c>
      <c r="P785" s="4" t="s">
        <v>48</v>
      </c>
      <c r="Q785" s="4">
        <v>0</v>
      </c>
      <c r="R785" s="4" t="b">
        <v>0</v>
      </c>
      <c r="S785" s="4" t="s">
        <v>49</v>
      </c>
      <c r="T785" s="4" t="s">
        <v>70</v>
      </c>
      <c r="U785" s="4" t="s">
        <v>71</v>
      </c>
      <c r="V785" s="4" t="s">
        <v>72</v>
      </c>
      <c r="W785" s="4" t="s">
        <v>97</v>
      </c>
      <c r="X785" s="4" t="s">
        <v>54</v>
      </c>
      <c r="Y785" s="4"/>
      <c r="Z785" s="12">
        <v>0</v>
      </c>
      <c r="AA785" s="13" t="s">
        <v>9156</v>
      </c>
      <c r="AB785" s="13" t="s">
        <v>9155</v>
      </c>
      <c r="AC785" s="14" t="s">
        <v>9139</v>
      </c>
      <c r="AD785" s="14" t="s">
        <v>9140</v>
      </c>
      <c r="AE785" s="14" t="s">
        <v>9140</v>
      </c>
      <c r="AF785" s="14" t="s">
        <v>72</v>
      </c>
      <c r="AG785" s="14" t="s">
        <v>54</v>
      </c>
      <c r="AH785" s="15" t="s">
        <v>9141</v>
      </c>
      <c r="AI785" s="15" t="s">
        <v>9191</v>
      </c>
      <c r="AJ785" s="15" t="s">
        <v>9143</v>
      </c>
      <c r="AK785" s="15" t="s">
        <v>9141</v>
      </c>
      <c r="AL785" s="15" t="s">
        <v>9191</v>
      </c>
      <c r="AM785" s="16" t="s">
        <v>9141</v>
      </c>
      <c r="AN785" s="16" t="s">
        <v>9192</v>
      </c>
    </row>
    <row r="786" spans="1:40" x14ac:dyDescent="0.25">
      <c r="A786" s="4" t="s">
        <v>714</v>
      </c>
      <c r="B786" s="4"/>
      <c r="C786" s="4" t="s">
        <v>39</v>
      </c>
      <c r="D786" s="4" t="s">
        <v>709</v>
      </c>
      <c r="E786" s="4" t="s">
        <v>710</v>
      </c>
      <c r="F786" s="10">
        <v>45518</v>
      </c>
      <c r="G786" s="11">
        <v>0.41666666666666669</v>
      </c>
      <c r="H786" s="4" t="s">
        <v>463</v>
      </c>
      <c r="I786" s="4">
        <v>2025</v>
      </c>
      <c r="J786" s="4" t="s">
        <v>701</v>
      </c>
      <c r="K786" s="4" t="s">
        <v>715</v>
      </c>
      <c r="L786" s="4" t="s">
        <v>716</v>
      </c>
      <c r="M786" s="4" t="s">
        <v>46</v>
      </c>
      <c r="N786" s="4"/>
      <c r="O786" s="4" t="s">
        <v>47</v>
      </c>
      <c r="P786" s="4" t="s">
        <v>48</v>
      </c>
      <c r="Q786" s="4">
        <v>0</v>
      </c>
      <c r="R786" s="4" t="b">
        <v>0</v>
      </c>
      <c r="S786" s="4" t="s">
        <v>49</v>
      </c>
      <c r="T786" s="4" t="s">
        <v>70</v>
      </c>
      <c r="U786" s="4" t="s">
        <v>71</v>
      </c>
      <c r="V786" s="4" t="s">
        <v>72</v>
      </c>
      <c r="W786" s="4" t="s">
        <v>73</v>
      </c>
      <c r="X786" s="4" t="s">
        <v>54</v>
      </c>
      <c r="Y786" s="4"/>
      <c r="Z786" s="12">
        <v>0</v>
      </c>
      <c r="AA786" s="13" t="s">
        <v>9156</v>
      </c>
      <c r="AB786" s="13" t="s">
        <v>9155</v>
      </c>
      <c r="AC786" s="14" t="s">
        <v>9139</v>
      </c>
      <c r="AD786" s="14" t="s">
        <v>9140</v>
      </c>
      <c r="AE786" s="14" t="s">
        <v>9140</v>
      </c>
      <c r="AF786" s="14" t="s">
        <v>72</v>
      </c>
      <c r="AG786" s="14" t="s">
        <v>54</v>
      </c>
      <c r="AH786" s="15" t="s">
        <v>9141</v>
      </c>
      <c r="AI786" s="15" t="s">
        <v>9175</v>
      </c>
      <c r="AJ786" s="15" t="s">
        <v>9143</v>
      </c>
      <c r="AK786" s="15" t="s">
        <v>9141</v>
      </c>
      <c r="AL786" s="15" t="s">
        <v>9175</v>
      </c>
      <c r="AM786" s="16" t="s">
        <v>9141</v>
      </c>
      <c r="AN786" s="16" t="s">
        <v>9176</v>
      </c>
    </row>
    <row r="787" spans="1:40" x14ac:dyDescent="0.25">
      <c r="A787" s="4" t="s">
        <v>7273</v>
      </c>
      <c r="B787" s="4" t="s">
        <v>7274</v>
      </c>
      <c r="C787" s="4" t="s">
        <v>39</v>
      </c>
      <c r="D787" s="4" t="s">
        <v>7275</v>
      </c>
      <c r="E787" s="4" t="s">
        <v>7276</v>
      </c>
      <c r="F787" s="10">
        <v>45518</v>
      </c>
      <c r="G787" s="11">
        <v>0.57291666666666663</v>
      </c>
      <c r="H787" s="4" t="s">
        <v>5666</v>
      </c>
      <c r="I787" s="4" t="s">
        <v>7264</v>
      </c>
      <c r="J787" s="4" t="s">
        <v>7265</v>
      </c>
      <c r="K787" s="4" t="s">
        <v>7277</v>
      </c>
      <c r="L787" s="4" t="s">
        <v>7278</v>
      </c>
      <c r="M787" s="4" t="s">
        <v>28</v>
      </c>
      <c r="N787" s="4" t="s">
        <v>183</v>
      </c>
      <c r="O787" s="4" t="s">
        <v>174</v>
      </c>
      <c r="P787" s="4" t="s">
        <v>60</v>
      </c>
      <c r="Q787" s="4">
        <v>4</v>
      </c>
      <c r="R787" s="4" t="b">
        <v>0</v>
      </c>
      <c r="S787" s="4" t="s">
        <v>184</v>
      </c>
      <c r="T787" s="4" t="s">
        <v>70</v>
      </c>
      <c r="U787" s="4" t="s">
        <v>71</v>
      </c>
      <c r="V787" s="4" t="s">
        <v>72</v>
      </c>
      <c r="W787" s="4" t="s">
        <v>97</v>
      </c>
      <c r="X787" s="4" t="s">
        <v>54</v>
      </c>
      <c r="Y787" s="4" t="s">
        <v>4246</v>
      </c>
      <c r="Z787" s="12" t="s">
        <v>60</v>
      </c>
      <c r="AA787" s="13" t="s">
        <v>9156</v>
      </c>
      <c r="AB787" s="13" t="s">
        <v>9155</v>
      </c>
      <c r="AC787" s="14" t="s">
        <v>9166</v>
      </c>
      <c r="AD787" s="14" t="s">
        <v>28</v>
      </c>
      <c r="AE787" s="14" t="s">
        <v>183</v>
      </c>
      <c r="AF787" s="14" t="s">
        <v>72</v>
      </c>
      <c r="AG787" s="14" t="s">
        <v>54</v>
      </c>
      <c r="AH787" s="15" t="s">
        <v>9220</v>
      </c>
      <c r="AI787" s="15" t="s">
        <v>9199</v>
      </c>
      <c r="AJ787" s="15" t="s">
        <v>9143</v>
      </c>
      <c r="AK787" s="15" t="s">
        <v>9221</v>
      </c>
      <c r="AL787" s="15" t="s">
        <v>9199</v>
      </c>
      <c r="AM787" s="16" t="s">
        <v>9221</v>
      </c>
      <c r="AN787" s="16" t="s">
        <v>9238</v>
      </c>
    </row>
    <row r="788" spans="1:40" x14ac:dyDescent="0.25">
      <c r="A788" s="4" t="s">
        <v>1480</v>
      </c>
      <c r="B788" s="4"/>
      <c r="C788" s="4" t="s">
        <v>39</v>
      </c>
      <c r="D788" s="4" t="s">
        <v>1481</v>
      </c>
      <c r="E788" s="4" t="s">
        <v>1482</v>
      </c>
      <c r="F788" s="10">
        <v>45518</v>
      </c>
      <c r="G788" s="11">
        <v>0.36458333333333331</v>
      </c>
      <c r="H788" s="4" t="s">
        <v>1476</v>
      </c>
      <c r="I788" s="4">
        <v>6059</v>
      </c>
      <c r="J788" s="4" t="s">
        <v>1477</v>
      </c>
      <c r="K788" s="4" t="s">
        <v>1483</v>
      </c>
      <c r="L788" s="4" t="s">
        <v>1484</v>
      </c>
      <c r="M788" s="4" t="s">
        <v>28</v>
      </c>
      <c r="N788" s="4" t="s">
        <v>478</v>
      </c>
      <c r="O788" s="4" t="s">
        <v>174</v>
      </c>
      <c r="P788" s="4" t="s">
        <v>48</v>
      </c>
      <c r="Q788" s="4">
        <v>0</v>
      </c>
      <c r="R788" s="4" t="b">
        <v>0</v>
      </c>
      <c r="S788" s="4" t="s">
        <v>61</v>
      </c>
      <c r="T788" s="4" t="s">
        <v>89</v>
      </c>
      <c r="U788" s="4" t="s">
        <v>148</v>
      </c>
      <c r="V788" s="4" t="s">
        <v>52</v>
      </c>
      <c r="W788" s="4" t="s">
        <v>255</v>
      </c>
      <c r="X788" s="4" t="s">
        <v>54</v>
      </c>
      <c r="Y788" s="4"/>
      <c r="Z788" s="12" t="s">
        <v>48</v>
      </c>
      <c r="AA788" s="13" t="s">
        <v>9156</v>
      </c>
      <c r="AB788" s="13" t="s">
        <v>9155</v>
      </c>
      <c r="AC788" s="14" t="s">
        <v>9148</v>
      </c>
      <c r="AD788" s="14" t="s">
        <v>28</v>
      </c>
      <c r="AE788" s="14" t="s">
        <v>478</v>
      </c>
      <c r="AF788" s="14" t="s">
        <v>52</v>
      </c>
      <c r="AG788" s="14" t="s">
        <v>54</v>
      </c>
      <c r="AH788" s="15" t="s">
        <v>9141</v>
      </c>
      <c r="AI788" s="15" t="s">
        <v>9193</v>
      </c>
      <c r="AJ788" s="15" t="s">
        <v>9143</v>
      </c>
      <c r="AK788" s="15" t="s">
        <v>9141</v>
      </c>
      <c r="AL788" s="15" t="s">
        <v>9189</v>
      </c>
      <c r="AM788" s="16" t="s">
        <v>9141</v>
      </c>
      <c r="AN788" s="16" t="s">
        <v>9190</v>
      </c>
    </row>
    <row r="789" spans="1:40" x14ac:dyDescent="0.25">
      <c r="A789" s="4" t="s">
        <v>8370</v>
      </c>
      <c r="B789" s="4">
        <v>7147465</v>
      </c>
      <c r="C789" s="4" t="s">
        <v>39</v>
      </c>
      <c r="D789" s="4" t="s">
        <v>8371</v>
      </c>
      <c r="E789" s="4" t="s">
        <v>8372</v>
      </c>
      <c r="F789" s="10">
        <v>45518</v>
      </c>
      <c r="G789" s="11">
        <v>0.71388888888888891</v>
      </c>
      <c r="H789" s="4" t="s">
        <v>4516</v>
      </c>
      <c r="I789" s="4" t="s">
        <v>8356</v>
      </c>
      <c r="J789" s="4" t="s">
        <v>8357</v>
      </c>
      <c r="K789" s="4" t="s">
        <v>8373</v>
      </c>
      <c r="L789" s="4" t="s">
        <v>8374</v>
      </c>
      <c r="M789" s="4" t="s">
        <v>28</v>
      </c>
      <c r="N789" s="4" t="s">
        <v>183</v>
      </c>
      <c r="O789" s="4" t="s">
        <v>191</v>
      </c>
      <c r="P789" s="4" t="s">
        <v>48</v>
      </c>
      <c r="Q789" s="4">
        <v>0</v>
      </c>
      <c r="R789" s="4" t="b">
        <v>0</v>
      </c>
      <c r="S789" s="4" t="s">
        <v>61</v>
      </c>
      <c r="T789" s="4" t="s">
        <v>583</v>
      </c>
      <c r="U789" s="4" t="s">
        <v>148</v>
      </c>
      <c r="V789" s="4" t="s">
        <v>52</v>
      </c>
      <c r="W789" s="4" t="s">
        <v>53</v>
      </c>
      <c r="X789" s="4" t="s">
        <v>54</v>
      </c>
      <c r="Y789" s="4"/>
      <c r="Z789" s="12" t="s">
        <v>48</v>
      </c>
      <c r="AA789" s="13" t="s">
        <v>9156</v>
      </c>
      <c r="AB789" s="13" t="s">
        <v>9155</v>
      </c>
      <c r="AC789" s="14" t="s">
        <v>9148</v>
      </c>
      <c r="AD789" s="14" t="s">
        <v>28</v>
      </c>
      <c r="AE789" s="14" t="s">
        <v>183</v>
      </c>
      <c r="AF789" s="14" t="s">
        <v>52</v>
      </c>
      <c r="AG789" s="14" t="s">
        <v>54</v>
      </c>
      <c r="AH789" s="15" t="s">
        <v>9220</v>
      </c>
      <c r="AI789" s="15" t="s">
        <v>9188</v>
      </c>
      <c r="AJ789" s="15" t="s">
        <v>9143</v>
      </c>
      <c r="AK789" s="15" t="s">
        <v>9221</v>
      </c>
      <c r="AL789" s="15" t="s">
        <v>9236</v>
      </c>
      <c r="AM789" s="16" t="s">
        <v>9221</v>
      </c>
      <c r="AN789" s="16" t="s">
        <v>9237</v>
      </c>
    </row>
    <row r="790" spans="1:40" x14ac:dyDescent="0.25">
      <c r="A790" s="4" t="s">
        <v>5158</v>
      </c>
      <c r="B790" s="4"/>
      <c r="C790" s="4" t="s">
        <v>39</v>
      </c>
      <c r="D790" s="4" t="s">
        <v>5159</v>
      </c>
      <c r="E790" s="4" t="s">
        <v>5160</v>
      </c>
      <c r="F790" s="10">
        <v>45518</v>
      </c>
      <c r="G790" s="11">
        <v>0.46875</v>
      </c>
      <c r="H790" s="4" t="s">
        <v>4910</v>
      </c>
      <c r="I790" s="4" t="s">
        <v>5121</v>
      </c>
      <c r="J790" s="4" t="s">
        <v>1994</v>
      </c>
      <c r="K790" s="4" t="s">
        <v>5161</v>
      </c>
      <c r="L790" s="4" t="s">
        <v>5162</v>
      </c>
      <c r="M790" s="4" t="s">
        <v>46</v>
      </c>
      <c r="N790" s="4"/>
      <c r="O790" s="4" t="s">
        <v>47</v>
      </c>
      <c r="P790" s="4" t="s">
        <v>48</v>
      </c>
      <c r="Q790" s="4">
        <v>0</v>
      </c>
      <c r="R790" s="4" t="b">
        <v>0</v>
      </c>
      <c r="S790" s="4" t="s">
        <v>61</v>
      </c>
      <c r="T790" s="4" t="s">
        <v>583</v>
      </c>
      <c r="U790" s="4" t="s">
        <v>51</v>
      </c>
      <c r="V790" s="4" t="s">
        <v>123</v>
      </c>
      <c r="W790" s="4" t="s">
        <v>124</v>
      </c>
      <c r="X790" s="4" t="s">
        <v>54</v>
      </c>
      <c r="Y790" s="4"/>
      <c r="Z790" s="12">
        <v>0</v>
      </c>
      <c r="AA790" s="13" t="s">
        <v>9156</v>
      </c>
      <c r="AB790" s="13" t="s">
        <v>9155</v>
      </c>
      <c r="AC790" s="14" t="s">
        <v>9148</v>
      </c>
      <c r="AD790" s="14" t="s">
        <v>9140</v>
      </c>
      <c r="AE790" s="14" t="s">
        <v>9140</v>
      </c>
      <c r="AF790" s="14" t="s">
        <v>123</v>
      </c>
      <c r="AG790" s="14" t="s">
        <v>54</v>
      </c>
      <c r="AH790" s="15" t="s">
        <v>9220</v>
      </c>
      <c r="AI790" s="15" t="s">
        <v>9191</v>
      </c>
      <c r="AJ790" s="15" t="s">
        <v>9143</v>
      </c>
      <c r="AK790" s="15" t="s">
        <v>9221</v>
      </c>
      <c r="AL790" s="15" t="s">
        <v>9236</v>
      </c>
      <c r="AM790" s="16" t="s">
        <v>9221</v>
      </c>
      <c r="AN790" s="16" t="s">
        <v>9237</v>
      </c>
    </row>
    <row r="791" spans="1:40" x14ac:dyDescent="0.25">
      <c r="A791" s="4" t="s">
        <v>7353</v>
      </c>
      <c r="B791" s="4"/>
      <c r="C791" s="4" t="s">
        <v>39</v>
      </c>
      <c r="D791" s="4" t="s">
        <v>6319</v>
      </c>
      <c r="E791" s="4" t="s">
        <v>6320</v>
      </c>
      <c r="F791" s="10">
        <v>45517</v>
      </c>
      <c r="G791" s="11">
        <v>0.56805555555555554</v>
      </c>
      <c r="H791" s="4" t="s">
        <v>4019</v>
      </c>
      <c r="I791" s="4" t="s">
        <v>7315</v>
      </c>
      <c r="J791" s="4" t="s">
        <v>1037</v>
      </c>
      <c r="K791" s="4" t="s">
        <v>2442</v>
      </c>
      <c r="L791" s="4" t="s">
        <v>7354</v>
      </c>
      <c r="M791" s="4" t="s">
        <v>46</v>
      </c>
      <c r="N791" s="4"/>
      <c r="O791" s="4" t="s">
        <v>47</v>
      </c>
      <c r="P791" s="4" t="s">
        <v>48</v>
      </c>
      <c r="Q791" s="4">
        <v>0</v>
      </c>
      <c r="R791" s="4" t="b">
        <v>0</v>
      </c>
      <c r="S791" s="4" t="s">
        <v>49</v>
      </c>
      <c r="T791" s="4" t="s">
        <v>50</v>
      </c>
      <c r="U791" s="4" t="s">
        <v>90</v>
      </c>
      <c r="V791" s="4" t="s">
        <v>63</v>
      </c>
      <c r="W791" s="4" t="s">
        <v>108</v>
      </c>
      <c r="X791" s="4" t="s">
        <v>471</v>
      </c>
      <c r="Y791" s="4"/>
      <c r="Z791" s="12">
        <v>0</v>
      </c>
      <c r="AA791" s="13" t="s">
        <v>9156</v>
      </c>
      <c r="AB791" s="13" t="s">
        <v>9155</v>
      </c>
      <c r="AC791" s="14" t="s">
        <v>9139</v>
      </c>
      <c r="AD791" s="14" t="s">
        <v>9140</v>
      </c>
      <c r="AE791" s="14" t="s">
        <v>9140</v>
      </c>
      <c r="AF791" s="14" t="s">
        <v>63</v>
      </c>
      <c r="AG791" s="14" t="s">
        <v>471</v>
      </c>
      <c r="AH791" s="15" t="s">
        <v>9220</v>
      </c>
      <c r="AI791" s="15" t="s">
        <v>9175</v>
      </c>
      <c r="AJ791" s="15" t="s">
        <v>9143</v>
      </c>
      <c r="AK791" s="15" t="s">
        <v>9221</v>
      </c>
      <c r="AL791" s="15" t="s">
        <v>9222</v>
      </c>
      <c r="AM791" s="16" t="s">
        <v>9221</v>
      </c>
      <c r="AN791" s="16" t="s">
        <v>9223</v>
      </c>
    </row>
    <row r="792" spans="1:40" x14ac:dyDescent="0.25">
      <c r="A792" s="4" t="s">
        <v>5981</v>
      </c>
      <c r="B792" s="4"/>
      <c r="C792" s="4" t="s">
        <v>39</v>
      </c>
      <c r="D792" s="4" t="s">
        <v>5924</v>
      </c>
      <c r="E792" s="4" t="s">
        <v>5925</v>
      </c>
      <c r="F792" s="10">
        <v>45516</v>
      </c>
      <c r="G792" s="11">
        <v>0.54861111111111116</v>
      </c>
      <c r="H792" s="4" t="s">
        <v>4242</v>
      </c>
      <c r="I792" s="4" t="s">
        <v>5918</v>
      </c>
      <c r="J792" s="4" t="s">
        <v>5919</v>
      </c>
      <c r="K792" s="4" t="s">
        <v>5982</v>
      </c>
      <c r="L792" s="4" t="s">
        <v>5983</v>
      </c>
      <c r="M792" s="4" t="s">
        <v>46</v>
      </c>
      <c r="N792" s="4"/>
      <c r="O792" s="4" t="s">
        <v>47</v>
      </c>
      <c r="P792" s="4" t="s">
        <v>48</v>
      </c>
      <c r="Q792" s="4">
        <v>0</v>
      </c>
      <c r="R792" s="4" t="b">
        <v>0</v>
      </c>
      <c r="S792" s="4" t="s">
        <v>61</v>
      </c>
      <c r="T792" s="4" t="s">
        <v>50</v>
      </c>
      <c r="U792" s="4" t="s">
        <v>175</v>
      </c>
      <c r="V792" s="4" t="s">
        <v>63</v>
      </c>
      <c r="W792" s="4" t="s">
        <v>108</v>
      </c>
      <c r="X792" s="4" t="s">
        <v>978</v>
      </c>
      <c r="Y792" s="4"/>
      <c r="Z792" s="12">
        <v>0</v>
      </c>
      <c r="AA792" s="13" t="s">
        <v>9156</v>
      </c>
      <c r="AB792" s="13" t="s">
        <v>9155</v>
      </c>
      <c r="AC792" s="14" t="s">
        <v>9148</v>
      </c>
      <c r="AD792" s="14" t="s">
        <v>9140</v>
      </c>
      <c r="AE792" s="14" t="s">
        <v>9140</v>
      </c>
      <c r="AF792" s="14" t="s">
        <v>63</v>
      </c>
      <c r="AG792" s="14" t="s">
        <v>978</v>
      </c>
      <c r="AH792" s="15" t="s">
        <v>9220</v>
      </c>
      <c r="AI792" s="15" t="s">
        <v>9187</v>
      </c>
      <c r="AJ792" s="15" t="s">
        <v>9143</v>
      </c>
      <c r="AK792" s="15" t="s">
        <v>9221</v>
      </c>
      <c r="AL792" s="15" t="s">
        <v>9226</v>
      </c>
      <c r="AM792" s="16" t="s">
        <v>9221</v>
      </c>
      <c r="AN792" s="16" t="s">
        <v>9227</v>
      </c>
    </row>
    <row r="793" spans="1:40" x14ac:dyDescent="0.25">
      <c r="A793" s="4" t="s">
        <v>888</v>
      </c>
      <c r="B793" s="4"/>
      <c r="C793" s="4" t="s">
        <v>39</v>
      </c>
      <c r="D793" s="4" t="s">
        <v>889</v>
      </c>
      <c r="E793" s="4" t="s">
        <v>890</v>
      </c>
      <c r="F793" s="10">
        <v>45516</v>
      </c>
      <c r="G793" s="11">
        <v>0.47222222222222221</v>
      </c>
      <c r="H793" s="4" t="s">
        <v>463</v>
      </c>
      <c r="I793" s="4">
        <v>2030</v>
      </c>
      <c r="J793" s="4" t="s">
        <v>876</v>
      </c>
      <c r="K793" s="4" t="s">
        <v>891</v>
      </c>
      <c r="L793" s="4" t="s">
        <v>892</v>
      </c>
      <c r="M793" s="4" t="s">
        <v>46</v>
      </c>
      <c r="N793" s="4"/>
      <c r="O793" s="4" t="s">
        <v>47</v>
      </c>
      <c r="P793" s="4" t="s">
        <v>48</v>
      </c>
      <c r="Q793" s="4">
        <v>0</v>
      </c>
      <c r="R793" s="4" t="b">
        <v>0</v>
      </c>
      <c r="S793" s="4" t="s">
        <v>61</v>
      </c>
      <c r="T793" s="4" t="s">
        <v>89</v>
      </c>
      <c r="U793" s="4" t="s">
        <v>345</v>
      </c>
      <c r="V793" s="4" t="s">
        <v>123</v>
      </c>
      <c r="W793" s="4" t="s">
        <v>124</v>
      </c>
      <c r="X793" s="4" t="s">
        <v>83</v>
      </c>
      <c r="Y793" s="4"/>
      <c r="Z793" s="12">
        <v>0</v>
      </c>
      <c r="AA793" s="13" t="s">
        <v>9156</v>
      </c>
      <c r="AB793" s="13" t="s">
        <v>9155</v>
      </c>
      <c r="AC793" s="14" t="s">
        <v>9148</v>
      </c>
      <c r="AD793" s="14" t="s">
        <v>9140</v>
      </c>
      <c r="AE793" s="14" t="s">
        <v>9140</v>
      </c>
      <c r="AF793" s="14" t="s">
        <v>123</v>
      </c>
      <c r="AG793" s="14" t="s">
        <v>83</v>
      </c>
      <c r="AH793" s="15" t="s">
        <v>9141</v>
      </c>
      <c r="AI793" s="15" t="s">
        <v>9175</v>
      </c>
      <c r="AJ793" s="15" t="s">
        <v>9143</v>
      </c>
      <c r="AK793" s="15" t="s">
        <v>9141</v>
      </c>
      <c r="AL793" s="15" t="s">
        <v>9177</v>
      </c>
      <c r="AM793" s="16" t="s">
        <v>9141</v>
      </c>
      <c r="AN793" s="16" t="s">
        <v>9178</v>
      </c>
    </row>
    <row r="794" spans="1:40" x14ac:dyDescent="0.25">
      <c r="A794" s="4" t="s">
        <v>717</v>
      </c>
      <c r="B794" s="4"/>
      <c r="C794" s="4" t="s">
        <v>39</v>
      </c>
      <c r="D794" s="4" t="s">
        <v>718</v>
      </c>
      <c r="E794" s="4" t="s">
        <v>719</v>
      </c>
      <c r="F794" s="10">
        <v>45515</v>
      </c>
      <c r="G794" s="11">
        <v>0.60069444444444442</v>
      </c>
      <c r="H794" s="4" t="s">
        <v>463</v>
      </c>
      <c r="I794" s="4">
        <v>2025</v>
      </c>
      <c r="J794" s="4" t="s">
        <v>701</v>
      </c>
      <c r="K794" s="4" t="s">
        <v>720</v>
      </c>
      <c r="L794" s="4" t="s">
        <v>721</v>
      </c>
      <c r="M794" s="4" t="s">
        <v>46</v>
      </c>
      <c r="N794" s="4"/>
      <c r="O794" s="4" t="s">
        <v>47</v>
      </c>
      <c r="P794" s="4" t="s">
        <v>48</v>
      </c>
      <c r="Q794" s="4">
        <v>0</v>
      </c>
      <c r="R794" s="4" t="b">
        <v>0</v>
      </c>
      <c r="S794" s="4" t="s">
        <v>61</v>
      </c>
      <c r="T794" s="4" t="s">
        <v>70</v>
      </c>
      <c r="U794" s="4" t="s">
        <v>107</v>
      </c>
      <c r="V794" s="4" t="s">
        <v>123</v>
      </c>
      <c r="W794" s="4" t="s">
        <v>149</v>
      </c>
      <c r="X794" s="4" t="s">
        <v>54</v>
      </c>
      <c r="Y794" s="4"/>
      <c r="Z794" s="12">
        <v>0</v>
      </c>
      <c r="AA794" s="13" t="s">
        <v>9156</v>
      </c>
      <c r="AB794" s="13" t="s">
        <v>9155</v>
      </c>
      <c r="AC794" s="14" t="s">
        <v>9148</v>
      </c>
      <c r="AD794" s="14" t="s">
        <v>9140</v>
      </c>
      <c r="AE794" s="14" t="s">
        <v>9140</v>
      </c>
      <c r="AF794" s="14" t="s">
        <v>123</v>
      </c>
      <c r="AG794" s="14" t="s">
        <v>54</v>
      </c>
      <c r="AH794" s="15" t="s">
        <v>9141</v>
      </c>
      <c r="AI794" s="15" t="s">
        <v>9175</v>
      </c>
      <c r="AJ794" s="15" t="s">
        <v>9143</v>
      </c>
      <c r="AK794" s="15" t="s">
        <v>9141</v>
      </c>
      <c r="AL794" s="15" t="s">
        <v>9175</v>
      </c>
      <c r="AM794" s="16" t="s">
        <v>9141</v>
      </c>
      <c r="AN794" s="16" t="s">
        <v>9176</v>
      </c>
    </row>
    <row r="795" spans="1:40" x14ac:dyDescent="0.25">
      <c r="A795" s="4" t="s">
        <v>4485</v>
      </c>
      <c r="B795" s="4"/>
      <c r="C795" s="4" t="s">
        <v>39</v>
      </c>
      <c r="D795" s="4" t="s">
        <v>4486</v>
      </c>
      <c r="E795" s="4" t="s">
        <v>4487</v>
      </c>
      <c r="F795" s="10">
        <v>45511</v>
      </c>
      <c r="G795" s="11">
        <v>0.63749999999999996</v>
      </c>
      <c r="H795" s="4" t="s">
        <v>4019</v>
      </c>
      <c r="I795" s="4" t="s">
        <v>4472</v>
      </c>
      <c r="J795" s="4" t="s">
        <v>3707</v>
      </c>
      <c r="K795" s="4" t="s">
        <v>4488</v>
      </c>
      <c r="L795" s="4" t="s">
        <v>4489</v>
      </c>
      <c r="M795" s="4" t="s">
        <v>46</v>
      </c>
      <c r="N795" s="4"/>
      <c r="O795" s="4" t="s">
        <v>47</v>
      </c>
      <c r="P795" s="4" t="s">
        <v>60</v>
      </c>
      <c r="Q795" s="4">
        <v>0</v>
      </c>
      <c r="R795" s="4" t="b">
        <v>0</v>
      </c>
      <c r="S795" s="4" t="s">
        <v>61</v>
      </c>
      <c r="T795" s="4" t="s">
        <v>50</v>
      </c>
      <c r="U795" s="4" t="s">
        <v>140</v>
      </c>
      <c r="V795" s="4" t="s">
        <v>63</v>
      </c>
      <c r="W795" s="4" t="s">
        <v>198</v>
      </c>
      <c r="X795" s="4" t="s">
        <v>54</v>
      </c>
      <c r="Y795" s="4"/>
      <c r="Z795" s="12">
        <v>0</v>
      </c>
      <c r="AA795" s="13" t="s">
        <v>9156</v>
      </c>
      <c r="AB795" s="13" t="s">
        <v>9155</v>
      </c>
      <c r="AC795" s="14" t="s">
        <v>9148</v>
      </c>
      <c r="AD795" s="14" t="s">
        <v>9140</v>
      </c>
      <c r="AE795" s="14" t="s">
        <v>9140</v>
      </c>
      <c r="AF795" s="14" t="s">
        <v>63</v>
      </c>
      <c r="AG795" s="14" t="s">
        <v>54</v>
      </c>
      <c r="AH795" s="15" t="s">
        <v>9220</v>
      </c>
      <c r="AI795" s="15" t="s">
        <v>9175</v>
      </c>
      <c r="AJ795" s="15" t="s">
        <v>9143</v>
      </c>
      <c r="AK795" s="15" t="s">
        <v>9221</v>
      </c>
      <c r="AL795" s="15" t="s">
        <v>9228</v>
      </c>
      <c r="AM795" s="16" t="s">
        <v>9221</v>
      </c>
      <c r="AN795" s="16" t="s">
        <v>9229</v>
      </c>
    </row>
    <row r="796" spans="1:40" x14ac:dyDescent="0.25">
      <c r="A796" s="4" t="s">
        <v>4732</v>
      </c>
      <c r="B796" s="4"/>
      <c r="C796" s="4" t="s">
        <v>39</v>
      </c>
      <c r="D796" s="4" t="s">
        <v>4733</v>
      </c>
      <c r="E796" s="4" t="s">
        <v>4734</v>
      </c>
      <c r="F796" s="10">
        <v>45511</v>
      </c>
      <c r="G796" s="11">
        <v>0.46875</v>
      </c>
      <c r="H796" s="4" t="s">
        <v>4019</v>
      </c>
      <c r="I796" s="4" t="s">
        <v>4713</v>
      </c>
      <c r="J796" s="4" t="s">
        <v>4714</v>
      </c>
      <c r="K796" s="4" t="s">
        <v>4735</v>
      </c>
      <c r="L796" s="4" t="s">
        <v>4736</v>
      </c>
      <c r="M796" s="4" t="s">
        <v>46</v>
      </c>
      <c r="N796" s="4"/>
      <c r="O796" s="4" t="s">
        <v>47</v>
      </c>
      <c r="P796" s="4" t="s">
        <v>48</v>
      </c>
      <c r="Q796" s="4">
        <v>0</v>
      </c>
      <c r="R796" s="4" t="b">
        <v>0</v>
      </c>
      <c r="S796" s="4" t="s">
        <v>61</v>
      </c>
      <c r="T796" s="4" t="s">
        <v>349</v>
      </c>
      <c r="U796" s="4" t="s">
        <v>330</v>
      </c>
      <c r="V796" s="4" t="s">
        <v>267</v>
      </c>
      <c r="W796" s="4" t="s">
        <v>2330</v>
      </c>
      <c r="X796" s="4" t="s">
        <v>54</v>
      </c>
      <c r="Y796" s="4"/>
      <c r="Z796" s="12">
        <v>0</v>
      </c>
      <c r="AA796" s="13" t="s">
        <v>9156</v>
      </c>
      <c r="AB796" s="13" t="s">
        <v>9155</v>
      </c>
      <c r="AC796" s="14" t="s">
        <v>9148</v>
      </c>
      <c r="AD796" s="14" t="s">
        <v>9140</v>
      </c>
      <c r="AE796" s="14" t="s">
        <v>9140</v>
      </c>
      <c r="AF796" s="14" t="s">
        <v>267</v>
      </c>
      <c r="AG796" s="14" t="s">
        <v>54</v>
      </c>
      <c r="AH796" s="15" t="s">
        <v>9220</v>
      </c>
      <c r="AI796" s="15" t="s">
        <v>9175</v>
      </c>
      <c r="AJ796" s="15" t="s">
        <v>9143</v>
      </c>
      <c r="AK796" s="15" t="s">
        <v>9221</v>
      </c>
      <c r="AL796" s="15" t="s">
        <v>9224</v>
      </c>
      <c r="AM796" s="16" t="s">
        <v>9221</v>
      </c>
      <c r="AN796" s="16" t="s">
        <v>9225</v>
      </c>
    </row>
    <row r="797" spans="1:40" x14ac:dyDescent="0.25">
      <c r="A797" s="4" t="s">
        <v>4162</v>
      </c>
      <c r="B797" s="4">
        <v>12240013475</v>
      </c>
      <c r="C797" s="4" t="s">
        <v>39</v>
      </c>
      <c r="D797" s="4" t="s">
        <v>4163</v>
      </c>
      <c r="E797" s="4" t="s">
        <v>4164</v>
      </c>
      <c r="F797" s="10">
        <v>45511</v>
      </c>
      <c r="G797" s="11">
        <v>0.5180555555555556</v>
      </c>
      <c r="H797" s="4" t="s">
        <v>4019</v>
      </c>
      <c r="I797" s="4" t="s">
        <v>4149</v>
      </c>
      <c r="J797" s="4" t="s">
        <v>559</v>
      </c>
      <c r="K797" s="4" t="s">
        <v>4165</v>
      </c>
      <c r="L797" s="4" t="s">
        <v>4166</v>
      </c>
      <c r="M797" s="4" t="s">
        <v>28</v>
      </c>
      <c r="N797" s="4" t="s">
        <v>183</v>
      </c>
      <c r="O797" s="4" t="s">
        <v>191</v>
      </c>
      <c r="P797" s="4" t="s">
        <v>60</v>
      </c>
      <c r="Q797" s="4">
        <v>31</v>
      </c>
      <c r="R797" s="4" t="b">
        <v>0</v>
      </c>
      <c r="S797" s="4" t="s">
        <v>184</v>
      </c>
      <c r="T797" s="4" t="s">
        <v>425</v>
      </c>
      <c r="U797" s="4" t="s">
        <v>175</v>
      </c>
      <c r="V797" s="4" t="s">
        <v>123</v>
      </c>
      <c r="W797" s="4" t="s">
        <v>124</v>
      </c>
      <c r="X797" s="4" t="s">
        <v>978</v>
      </c>
      <c r="Y797" s="4"/>
      <c r="Z797" s="12" t="s">
        <v>60</v>
      </c>
      <c r="AA797" s="13" t="s">
        <v>9156</v>
      </c>
      <c r="AB797" s="13" t="s">
        <v>9155</v>
      </c>
      <c r="AC797" s="14" t="s">
        <v>9166</v>
      </c>
      <c r="AD797" s="14" t="s">
        <v>28</v>
      </c>
      <c r="AE797" s="14" t="s">
        <v>183</v>
      </c>
      <c r="AF797" s="14" t="s">
        <v>123</v>
      </c>
      <c r="AG797" s="14" t="s">
        <v>978</v>
      </c>
      <c r="AH797" s="15" t="s">
        <v>9220</v>
      </c>
      <c r="AI797" s="15" t="s">
        <v>9175</v>
      </c>
      <c r="AJ797" s="15" t="s">
        <v>9143</v>
      </c>
      <c r="AK797" s="15" t="s">
        <v>9221</v>
      </c>
      <c r="AL797" s="15" t="s">
        <v>9224</v>
      </c>
      <c r="AM797" s="16" t="s">
        <v>9221</v>
      </c>
      <c r="AN797" s="16" t="s">
        <v>9225</v>
      </c>
    </row>
    <row r="798" spans="1:40" x14ac:dyDescent="0.25">
      <c r="A798" s="4" t="s">
        <v>5368</v>
      </c>
      <c r="B798" s="4"/>
      <c r="C798" s="4" t="s">
        <v>39</v>
      </c>
      <c r="D798" s="4" t="s">
        <v>5369</v>
      </c>
      <c r="E798" s="4" t="s">
        <v>5370</v>
      </c>
      <c r="F798" s="10">
        <v>45511</v>
      </c>
      <c r="G798" s="11">
        <v>0.45833333333333331</v>
      </c>
      <c r="H798" s="4" t="s">
        <v>4910</v>
      </c>
      <c r="I798" s="4" t="s">
        <v>5360</v>
      </c>
      <c r="J798" s="4" t="s">
        <v>2062</v>
      </c>
      <c r="K798" s="4" t="s">
        <v>5371</v>
      </c>
      <c r="L798" s="4" t="s">
        <v>5372</v>
      </c>
      <c r="M798" s="4" t="s">
        <v>46</v>
      </c>
      <c r="N798" s="4"/>
      <c r="O798" s="4" t="s">
        <v>47</v>
      </c>
      <c r="P798" s="4" t="s">
        <v>48</v>
      </c>
      <c r="Q798" s="4">
        <v>0</v>
      </c>
      <c r="R798" s="4" t="b">
        <v>0</v>
      </c>
      <c r="S798" s="4" t="s">
        <v>61</v>
      </c>
      <c r="T798" s="4" t="s">
        <v>583</v>
      </c>
      <c r="U798" s="4" t="s">
        <v>527</v>
      </c>
      <c r="V798" s="4" t="s">
        <v>72</v>
      </c>
      <c r="W798" s="4" t="s">
        <v>73</v>
      </c>
      <c r="X798" s="4" t="s">
        <v>54</v>
      </c>
      <c r="Y798" s="4"/>
      <c r="Z798" s="12">
        <v>0</v>
      </c>
      <c r="AA798" s="13" t="s">
        <v>9156</v>
      </c>
      <c r="AB798" s="13" t="s">
        <v>9155</v>
      </c>
      <c r="AC798" s="14" t="s">
        <v>9148</v>
      </c>
      <c r="AD798" s="14" t="s">
        <v>9140</v>
      </c>
      <c r="AE798" s="14" t="s">
        <v>9140</v>
      </c>
      <c r="AF798" s="14" t="s">
        <v>72</v>
      </c>
      <c r="AG798" s="14" t="s">
        <v>54</v>
      </c>
      <c r="AH798" s="15" t="s">
        <v>9220</v>
      </c>
      <c r="AI798" s="15" t="s">
        <v>9191</v>
      </c>
      <c r="AJ798" s="15" t="s">
        <v>9143</v>
      </c>
      <c r="AK798" s="15" t="s">
        <v>9221</v>
      </c>
      <c r="AL798" s="15" t="s">
        <v>9234</v>
      </c>
      <c r="AM798" s="16" t="s">
        <v>9221</v>
      </c>
      <c r="AN798" s="16" t="s">
        <v>9235</v>
      </c>
    </row>
    <row r="799" spans="1:40" x14ac:dyDescent="0.25">
      <c r="A799" s="4" t="s">
        <v>6781</v>
      </c>
      <c r="B799" s="4"/>
      <c r="C799" s="4" t="s">
        <v>488</v>
      </c>
      <c r="D799" s="4" t="s">
        <v>6782</v>
      </c>
      <c r="E799" s="4" t="s">
        <v>6783</v>
      </c>
      <c r="F799" s="10">
        <v>45510</v>
      </c>
      <c r="G799" s="11">
        <v>0.47986111111111113</v>
      </c>
      <c r="H799" s="4" t="s">
        <v>4659</v>
      </c>
      <c r="I799" s="4" t="s">
        <v>6774</v>
      </c>
      <c r="J799" s="4" t="s">
        <v>208</v>
      </c>
      <c r="K799" s="4" t="s">
        <v>6784</v>
      </c>
      <c r="L799" s="4" t="s">
        <v>6785</v>
      </c>
      <c r="M799" s="4" t="s">
        <v>46</v>
      </c>
      <c r="N799" s="4"/>
      <c r="O799" s="4" t="s">
        <v>47</v>
      </c>
      <c r="P799" s="4" t="s">
        <v>48</v>
      </c>
      <c r="Q799" s="4">
        <v>0</v>
      </c>
      <c r="R799" s="4" t="b">
        <v>0</v>
      </c>
      <c r="S799" s="4" t="s">
        <v>61</v>
      </c>
      <c r="T799" s="4" t="s">
        <v>1357</v>
      </c>
      <c r="U799" s="4" t="s">
        <v>330</v>
      </c>
      <c r="V799" s="4" t="s">
        <v>267</v>
      </c>
      <c r="W799" s="4" t="s">
        <v>2330</v>
      </c>
      <c r="X799" s="4" t="s">
        <v>54</v>
      </c>
      <c r="Y799" s="4"/>
      <c r="Z799" s="12">
        <v>0</v>
      </c>
      <c r="AA799" s="13" t="s">
        <v>9156</v>
      </c>
      <c r="AB799" s="13" t="s">
        <v>9155</v>
      </c>
      <c r="AC799" s="14" t="s">
        <v>9148</v>
      </c>
      <c r="AD799" s="14" t="s">
        <v>9140</v>
      </c>
      <c r="AE799" s="14" t="s">
        <v>9140</v>
      </c>
      <c r="AF799" s="14" t="s">
        <v>267</v>
      </c>
      <c r="AG799" s="14" t="s">
        <v>54</v>
      </c>
      <c r="AH799" s="15" t="s">
        <v>9220</v>
      </c>
      <c r="AI799" s="15" t="s">
        <v>9142</v>
      </c>
      <c r="AJ799" s="15" t="s">
        <v>9143</v>
      </c>
      <c r="AK799" s="15" t="s">
        <v>9221</v>
      </c>
      <c r="AL799" s="15" t="s">
        <v>9228</v>
      </c>
      <c r="AM799" s="16" t="s">
        <v>9221</v>
      </c>
      <c r="AN799" s="16" t="s">
        <v>9229</v>
      </c>
    </row>
    <row r="800" spans="1:40" x14ac:dyDescent="0.25">
      <c r="A800" s="4" t="s">
        <v>926</v>
      </c>
      <c r="B800" s="4"/>
      <c r="C800" s="4" t="s">
        <v>39</v>
      </c>
      <c r="D800" s="4" t="s">
        <v>927</v>
      </c>
      <c r="E800" s="4" t="s">
        <v>928</v>
      </c>
      <c r="F800" s="10">
        <v>45508</v>
      </c>
      <c r="G800" s="11">
        <v>0.46458333333333335</v>
      </c>
      <c r="H800" s="4" t="s">
        <v>463</v>
      </c>
      <c r="I800" s="4">
        <v>2032</v>
      </c>
      <c r="J800" s="4" t="s">
        <v>929</v>
      </c>
      <c r="K800" s="4" t="s">
        <v>930</v>
      </c>
      <c r="L800" s="4" t="s">
        <v>931</v>
      </c>
      <c r="M800" s="4" t="s">
        <v>46</v>
      </c>
      <c r="N800" s="4"/>
      <c r="O800" s="4" t="s">
        <v>47</v>
      </c>
      <c r="P800" s="4" t="s">
        <v>48</v>
      </c>
      <c r="Q800" s="4">
        <v>0</v>
      </c>
      <c r="R800" s="4" t="b">
        <v>0</v>
      </c>
      <c r="S800" s="4" t="s">
        <v>61</v>
      </c>
      <c r="T800" s="4" t="s">
        <v>89</v>
      </c>
      <c r="U800" s="4" t="s">
        <v>345</v>
      </c>
      <c r="V800" s="4" t="s">
        <v>123</v>
      </c>
      <c r="W800" s="4" t="s">
        <v>124</v>
      </c>
      <c r="X800" s="4" t="s">
        <v>98</v>
      </c>
      <c r="Y800" s="4"/>
      <c r="Z800" s="12">
        <v>0</v>
      </c>
      <c r="AA800" s="13" t="s">
        <v>9156</v>
      </c>
      <c r="AB800" s="13" t="s">
        <v>9155</v>
      </c>
      <c r="AC800" s="14" t="s">
        <v>9148</v>
      </c>
      <c r="AD800" s="14" t="s">
        <v>9140</v>
      </c>
      <c r="AE800" s="14" t="s">
        <v>9140</v>
      </c>
      <c r="AF800" s="14" t="s">
        <v>123</v>
      </c>
      <c r="AG800" s="14" t="s">
        <v>98</v>
      </c>
      <c r="AH800" s="15" t="s">
        <v>9141</v>
      </c>
      <c r="AI800" s="15" t="s">
        <v>9175</v>
      </c>
      <c r="AJ800" s="15" t="s">
        <v>9143</v>
      </c>
      <c r="AK800" s="15" t="s">
        <v>9141</v>
      </c>
      <c r="AL800" s="15" t="s">
        <v>9175</v>
      </c>
      <c r="AM800" s="16" t="s">
        <v>9141</v>
      </c>
      <c r="AN800" s="16" t="s">
        <v>9176</v>
      </c>
    </row>
    <row r="801" spans="1:40" x14ac:dyDescent="0.25">
      <c r="A801" s="4" t="s">
        <v>5894</v>
      </c>
      <c r="B801" s="4"/>
      <c r="C801" s="4" t="s">
        <v>39</v>
      </c>
      <c r="D801" s="4" t="s">
        <v>5895</v>
      </c>
      <c r="E801" s="4" t="s">
        <v>5896</v>
      </c>
      <c r="F801" s="10">
        <v>45508</v>
      </c>
      <c r="G801" s="11">
        <v>0.50694444444444442</v>
      </c>
      <c r="H801" s="4" t="s">
        <v>5666</v>
      </c>
      <c r="I801" s="4" t="s">
        <v>5876</v>
      </c>
      <c r="J801" s="4" t="s">
        <v>3313</v>
      </c>
      <c r="K801" s="4" t="s">
        <v>5897</v>
      </c>
      <c r="L801" s="4" t="s">
        <v>5898</v>
      </c>
      <c r="M801" s="4" t="s">
        <v>46</v>
      </c>
      <c r="N801" s="4"/>
      <c r="O801" s="4" t="s">
        <v>47</v>
      </c>
      <c r="P801" s="4" t="s">
        <v>48</v>
      </c>
      <c r="Q801" s="4">
        <v>0</v>
      </c>
      <c r="R801" s="4" t="b">
        <v>0</v>
      </c>
      <c r="S801" s="4" t="s">
        <v>49</v>
      </c>
      <c r="T801" s="4" t="s">
        <v>4296</v>
      </c>
      <c r="U801" s="4" t="s">
        <v>90</v>
      </c>
      <c r="V801" s="4" t="s">
        <v>72</v>
      </c>
      <c r="W801" s="4" t="s">
        <v>73</v>
      </c>
      <c r="X801" s="4" t="s">
        <v>83</v>
      </c>
      <c r="Y801" s="4"/>
      <c r="Z801" s="12">
        <v>0</v>
      </c>
      <c r="AA801" s="13" t="s">
        <v>9156</v>
      </c>
      <c r="AB801" s="13" t="s">
        <v>9155</v>
      </c>
      <c r="AC801" s="14" t="s">
        <v>9139</v>
      </c>
      <c r="AD801" s="14" t="s">
        <v>9140</v>
      </c>
      <c r="AE801" s="14" t="s">
        <v>9140</v>
      </c>
      <c r="AF801" s="14" t="s">
        <v>72</v>
      </c>
      <c r="AG801" s="14" t="s">
        <v>83</v>
      </c>
      <c r="AH801" s="15" t="s">
        <v>9220</v>
      </c>
      <c r="AI801" s="15" t="s">
        <v>9199</v>
      </c>
      <c r="AJ801" s="15" t="s">
        <v>9143</v>
      </c>
      <c r="AK801" s="15" t="s">
        <v>9221</v>
      </c>
      <c r="AL801" s="15" t="s">
        <v>9199</v>
      </c>
      <c r="AM801" s="16" t="s">
        <v>9221</v>
      </c>
      <c r="AN801" s="16" t="s">
        <v>9238</v>
      </c>
    </row>
    <row r="802" spans="1:40" x14ac:dyDescent="0.25">
      <c r="A802" s="4" t="s">
        <v>1763</v>
      </c>
      <c r="B802" s="4"/>
      <c r="C802" s="4" t="s">
        <v>39</v>
      </c>
      <c r="D802" s="4" t="s">
        <v>1752</v>
      </c>
      <c r="E802" s="4" t="s">
        <v>1753</v>
      </c>
      <c r="F802" s="10">
        <v>45506</v>
      </c>
      <c r="G802" s="11">
        <v>0.49444444444444446</v>
      </c>
      <c r="H802" s="4" t="s">
        <v>1654</v>
      </c>
      <c r="I802" s="4">
        <v>9095</v>
      </c>
      <c r="J802" s="4" t="s">
        <v>1742</v>
      </c>
      <c r="K802" s="4" t="s">
        <v>1764</v>
      </c>
      <c r="L802" s="4" t="s">
        <v>1765</v>
      </c>
      <c r="M802" s="4" t="s">
        <v>46</v>
      </c>
      <c r="N802" s="4"/>
      <c r="O802" s="4" t="s">
        <v>47</v>
      </c>
      <c r="P802" s="4" t="s">
        <v>48</v>
      </c>
      <c r="Q802" s="4">
        <v>0</v>
      </c>
      <c r="R802" s="4" t="b">
        <v>0</v>
      </c>
      <c r="S802" s="4" t="s">
        <v>49</v>
      </c>
      <c r="T802" s="4" t="s">
        <v>50</v>
      </c>
      <c r="U802" s="4" t="s">
        <v>71</v>
      </c>
      <c r="V802" s="4" t="s">
        <v>72</v>
      </c>
      <c r="W802" s="4" t="s">
        <v>73</v>
      </c>
      <c r="X802" s="4" t="s">
        <v>98</v>
      </c>
      <c r="Y802" s="4"/>
      <c r="Z802" s="12">
        <v>0</v>
      </c>
      <c r="AA802" s="13" t="s">
        <v>9156</v>
      </c>
      <c r="AB802" s="13" t="s">
        <v>9155</v>
      </c>
      <c r="AC802" s="14" t="s">
        <v>9139</v>
      </c>
      <c r="AD802" s="14" t="s">
        <v>9140</v>
      </c>
      <c r="AE802" s="14" t="s">
        <v>9140</v>
      </c>
      <c r="AF802" s="14" t="s">
        <v>72</v>
      </c>
      <c r="AG802" s="14" t="s">
        <v>98</v>
      </c>
      <c r="AH802" s="15" t="s">
        <v>9141</v>
      </c>
      <c r="AI802" s="15" t="s">
        <v>9191</v>
      </c>
      <c r="AJ802" s="15" t="s">
        <v>9143</v>
      </c>
      <c r="AK802" s="15" t="s">
        <v>9141</v>
      </c>
      <c r="AL802" s="15" t="s">
        <v>9191</v>
      </c>
      <c r="AM802" s="16" t="s">
        <v>9141</v>
      </c>
      <c r="AN802" s="16" t="s">
        <v>9192</v>
      </c>
    </row>
    <row r="803" spans="1:40" x14ac:dyDescent="0.25">
      <c r="A803" s="4" t="s">
        <v>667</v>
      </c>
      <c r="B803" s="4"/>
      <c r="C803" s="4" t="s">
        <v>39</v>
      </c>
      <c r="D803" s="4" t="s">
        <v>668</v>
      </c>
      <c r="E803" s="4" t="s">
        <v>669</v>
      </c>
      <c r="F803" s="10">
        <v>45505</v>
      </c>
      <c r="G803" s="11">
        <v>0.80555555555555558</v>
      </c>
      <c r="H803" s="4" t="s">
        <v>463</v>
      </c>
      <c r="I803" s="4">
        <v>2024</v>
      </c>
      <c r="J803" s="4" t="s">
        <v>664</v>
      </c>
      <c r="K803" s="4" t="s">
        <v>670</v>
      </c>
      <c r="L803" s="4" t="s">
        <v>671</v>
      </c>
      <c r="M803" s="4" t="s">
        <v>46</v>
      </c>
      <c r="N803" s="4"/>
      <c r="O803" s="4" t="s">
        <v>47</v>
      </c>
      <c r="P803" s="4" t="s">
        <v>48</v>
      </c>
      <c r="Q803" s="4">
        <v>0</v>
      </c>
      <c r="R803" s="4" t="b">
        <v>0</v>
      </c>
      <c r="S803" s="4" t="s">
        <v>61</v>
      </c>
      <c r="T803" s="4" t="s">
        <v>391</v>
      </c>
      <c r="U803" s="4" t="s">
        <v>175</v>
      </c>
      <c r="V803" s="4" t="s">
        <v>672</v>
      </c>
      <c r="W803" s="4" t="s">
        <v>673</v>
      </c>
      <c r="X803" s="4" t="s">
        <v>54</v>
      </c>
      <c r="Y803" s="4"/>
      <c r="Z803" s="12">
        <v>0</v>
      </c>
      <c r="AA803" s="13" t="s">
        <v>9156</v>
      </c>
      <c r="AB803" s="13" t="s">
        <v>9155</v>
      </c>
      <c r="AC803" s="14" t="s">
        <v>9148</v>
      </c>
      <c r="AD803" s="14" t="s">
        <v>9140</v>
      </c>
      <c r="AE803" s="14" t="s">
        <v>9140</v>
      </c>
      <c r="AF803" s="14" t="s">
        <v>672</v>
      </c>
      <c r="AG803" s="14" t="s">
        <v>54</v>
      </c>
      <c r="AH803" s="15" t="s">
        <v>9141</v>
      </c>
      <c r="AI803" s="15" t="s">
        <v>9175</v>
      </c>
      <c r="AJ803" s="15" t="s">
        <v>9143</v>
      </c>
      <c r="AK803" s="15" t="s">
        <v>9141</v>
      </c>
      <c r="AL803" s="15" t="s">
        <v>9177</v>
      </c>
      <c r="AM803" s="16" t="s">
        <v>9141</v>
      </c>
      <c r="AN803" s="16" t="s">
        <v>9178</v>
      </c>
    </row>
    <row r="804" spans="1:40" x14ac:dyDescent="0.25">
      <c r="A804" s="4" t="s">
        <v>2973</v>
      </c>
      <c r="B804" s="4"/>
      <c r="C804" s="4" t="s">
        <v>39</v>
      </c>
      <c r="D804" s="4" t="s">
        <v>2974</v>
      </c>
      <c r="E804" s="4" t="s">
        <v>2975</v>
      </c>
      <c r="F804" s="10">
        <v>45505</v>
      </c>
      <c r="G804" s="11">
        <v>0.75</v>
      </c>
      <c r="H804" s="4" t="s">
        <v>1992</v>
      </c>
      <c r="I804" s="4" t="s">
        <v>2955</v>
      </c>
      <c r="J804" s="4" t="s">
        <v>2956</v>
      </c>
      <c r="K804" s="4" t="s">
        <v>2976</v>
      </c>
      <c r="L804" s="4" t="s">
        <v>2977</v>
      </c>
      <c r="M804" s="4" t="s">
        <v>46</v>
      </c>
      <c r="N804" s="4"/>
      <c r="O804" s="4" t="s">
        <v>47</v>
      </c>
      <c r="P804" s="4" t="s">
        <v>48</v>
      </c>
      <c r="Q804" s="4">
        <v>0</v>
      </c>
      <c r="R804" s="4" t="b">
        <v>0</v>
      </c>
      <c r="S804" s="4" t="s">
        <v>61</v>
      </c>
      <c r="T804" s="4" t="s">
        <v>583</v>
      </c>
      <c r="U804" s="4" t="s">
        <v>224</v>
      </c>
      <c r="V804" s="4" t="s">
        <v>72</v>
      </c>
      <c r="W804" s="4" t="s">
        <v>73</v>
      </c>
      <c r="X804" s="4" t="s">
        <v>54</v>
      </c>
      <c r="Y804" s="4"/>
      <c r="Z804" s="12">
        <v>0</v>
      </c>
      <c r="AA804" s="13" t="s">
        <v>9156</v>
      </c>
      <c r="AB804" s="13" t="s">
        <v>9155</v>
      </c>
      <c r="AC804" s="14" t="s">
        <v>9148</v>
      </c>
      <c r="AD804" s="14" t="s">
        <v>9140</v>
      </c>
      <c r="AE804" s="14" t="s">
        <v>9140</v>
      </c>
      <c r="AF804" s="14" t="s">
        <v>72</v>
      </c>
      <c r="AG804" s="14" t="s">
        <v>54</v>
      </c>
      <c r="AH804" s="15" t="s">
        <v>9194</v>
      </c>
      <c r="AI804" s="15" t="s">
        <v>9191</v>
      </c>
      <c r="AJ804" s="15" t="s">
        <v>9143</v>
      </c>
      <c r="AK804" s="15" t="s">
        <v>9194</v>
      </c>
      <c r="AL804" s="15" t="s">
        <v>9205</v>
      </c>
      <c r="AM804" s="16" t="s">
        <v>9194</v>
      </c>
      <c r="AN804" s="16" t="s">
        <v>9206</v>
      </c>
    </row>
    <row r="805" spans="1:40" x14ac:dyDescent="0.25">
      <c r="A805" s="4" t="s">
        <v>2424</v>
      </c>
      <c r="B805" s="4"/>
      <c r="C805" s="4" t="s">
        <v>39</v>
      </c>
      <c r="D805" s="4" t="s">
        <v>2320</v>
      </c>
      <c r="E805" s="4" t="s">
        <v>2321</v>
      </c>
      <c r="F805" s="10">
        <v>45505</v>
      </c>
      <c r="G805" s="11">
        <v>0.52083333333333337</v>
      </c>
      <c r="H805" s="4" t="s">
        <v>1939</v>
      </c>
      <c r="I805" s="4" t="s">
        <v>2393</v>
      </c>
      <c r="J805" s="4" t="s">
        <v>2394</v>
      </c>
      <c r="K805" s="4" t="s">
        <v>2425</v>
      </c>
      <c r="L805" s="4" t="s">
        <v>2426</v>
      </c>
      <c r="M805" s="4" t="s">
        <v>46</v>
      </c>
      <c r="N805" s="4"/>
      <c r="O805" s="4" t="s">
        <v>47</v>
      </c>
      <c r="P805" s="4" t="s">
        <v>48</v>
      </c>
      <c r="Q805" s="4">
        <v>0</v>
      </c>
      <c r="R805" s="4" t="b">
        <v>0</v>
      </c>
      <c r="S805" s="4" t="s">
        <v>49</v>
      </c>
      <c r="T805" s="4" t="s">
        <v>50</v>
      </c>
      <c r="U805" s="4" t="s">
        <v>71</v>
      </c>
      <c r="V805" s="4" t="s">
        <v>63</v>
      </c>
      <c r="W805" s="4" t="s">
        <v>312</v>
      </c>
      <c r="X805" s="4" t="s">
        <v>54</v>
      </c>
      <c r="Y805" s="4"/>
      <c r="Z805" s="12">
        <v>0</v>
      </c>
      <c r="AA805" s="13" t="s">
        <v>9156</v>
      </c>
      <c r="AB805" s="13" t="s">
        <v>9155</v>
      </c>
      <c r="AC805" s="14" t="s">
        <v>9139</v>
      </c>
      <c r="AD805" s="14" t="s">
        <v>9140</v>
      </c>
      <c r="AE805" s="14" t="s">
        <v>9140</v>
      </c>
      <c r="AF805" s="14" t="s">
        <v>63</v>
      </c>
      <c r="AG805" s="14" t="s">
        <v>54</v>
      </c>
      <c r="AH805" s="15" t="s">
        <v>9194</v>
      </c>
      <c r="AI805" s="15" t="s">
        <v>9175</v>
      </c>
      <c r="AJ805" s="15" t="s">
        <v>9143</v>
      </c>
      <c r="AK805" s="15" t="s">
        <v>9194</v>
      </c>
      <c r="AL805" s="15" t="s">
        <v>9195</v>
      </c>
      <c r="AM805" s="16" t="s">
        <v>9194</v>
      </c>
      <c r="AN805" s="16" t="s">
        <v>9196</v>
      </c>
    </row>
    <row r="806" spans="1:40" x14ac:dyDescent="0.25">
      <c r="A806" s="4" t="s">
        <v>6109</v>
      </c>
      <c r="B806" s="4"/>
      <c r="C806" s="4" t="s">
        <v>39</v>
      </c>
      <c r="D806" s="4" t="s">
        <v>6110</v>
      </c>
      <c r="E806" s="4" t="s">
        <v>6111</v>
      </c>
      <c r="F806" s="10">
        <v>45505</v>
      </c>
      <c r="G806" s="11">
        <v>0.73402777777777772</v>
      </c>
      <c r="H806" s="4" t="s">
        <v>4516</v>
      </c>
      <c r="I806" s="4" t="s">
        <v>6112</v>
      </c>
      <c r="J806" s="4" t="s">
        <v>6113</v>
      </c>
      <c r="K806" s="4" t="s">
        <v>6114</v>
      </c>
      <c r="L806" s="4" t="s">
        <v>6115</v>
      </c>
      <c r="M806" s="4" t="s">
        <v>46</v>
      </c>
      <c r="N806" s="4"/>
      <c r="O806" s="4" t="s">
        <v>47</v>
      </c>
      <c r="P806" s="4" t="s">
        <v>48</v>
      </c>
      <c r="Q806" s="4">
        <v>0</v>
      </c>
      <c r="R806" s="4" t="b">
        <v>0</v>
      </c>
      <c r="S806" s="4" t="s">
        <v>61</v>
      </c>
      <c r="T806" s="4" t="s">
        <v>115</v>
      </c>
      <c r="U806" s="4" t="s">
        <v>2817</v>
      </c>
      <c r="V806" s="4" t="s">
        <v>72</v>
      </c>
      <c r="W806" s="4" t="s">
        <v>73</v>
      </c>
      <c r="X806" s="4" t="s">
        <v>54</v>
      </c>
      <c r="Y806" s="4"/>
      <c r="Z806" s="12">
        <v>0</v>
      </c>
      <c r="AA806" s="13" t="s">
        <v>9156</v>
      </c>
      <c r="AB806" s="13" t="s">
        <v>9155</v>
      </c>
      <c r="AC806" s="14" t="s">
        <v>9148</v>
      </c>
      <c r="AD806" s="14" t="s">
        <v>9140</v>
      </c>
      <c r="AE806" s="14" t="s">
        <v>9140</v>
      </c>
      <c r="AF806" s="14" t="s">
        <v>72</v>
      </c>
      <c r="AG806" s="14" t="s">
        <v>54</v>
      </c>
      <c r="AH806" s="15" t="s">
        <v>9220</v>
      </c>
      <c r="AI806" s="15" t="s">
        <v>9188</v>
      </c>
      <c r="AJ806" s="15" t="s">
        <v>9143</v>
      </c>
      <c r="AK806" s="15" t="s">
        <v>9221</v>
      </c>
      <c r="AL806" s="15" t="s">
        <v>9236</v>
      </c>
      <c r="AM806" s="16" t="s">
        <v>9221</v>
      </c>
      <c r="AN806" s="16" t="s">
        <v>9237</v>
      </c>
    </row>
    <row r="807" spans="1:40" x14ac:dyDescent="0.25">
      <c r="A807" s="4" t="s">
        <v>6650</v>
      </c>
      <c r="B807" s="4">
        <v>7366651</v>
      </c>
      <c r="C807" s="4" t="s">
        <v>39</v>
      </c>
      <c r="D807" s="4" t="s">
        <v>6651</v>
      </c>
      <c r="E807" s="4" t="s">
        <v>6652</v>
      </c>
      <c r="F807" s="10">
        <v>45505</v>
      </c>
      <c r="G807" s="11">
        <v>0.63958333333333328</v>
      </c>
      <c r="H807" s="4" t="s">
        <v>4516</v>
      </c>
      <c r="I807" s="4" t="s">
        <v>6637</v>
      </c>
      <c r="J807" s="4" t="s">
        <v>3564</v>
      </c>
      <c r="K807" s="4" t="s">
        <v>6653</v>
      </c>
      <c r="L807" s="4" t="s">
        <v>6654</v>
      </c>
      <c r="M807" s="4" t="s">
        <v>28</v>
      </c>
      <c r="N807" s="4" t="s">
        <v>478</v>
      </c>
      <c r="O807" s="4" t="s">
        <v>863</v>
      </c>
      <c r="P807" s="4" t="s">
        <v>60</v>
      </c>
      <c r="Q807" s="4">
        <v>59</v>
      </c>
      <c r="R807" s="4" t="b">
        <v>0</v>
      </c>
      <c r="S807" s="4" t="s">
        <v>114</v>
      </c>
      <c r="T807" s="4" t="s">
        <v>583</v>
      </c>
      <c r="U807" s="4" t="s">
        <v>175</v>
      </c>
      <c r="V807" s="4" t="s">
        <v>52</v>
      </c>
      <c r="W807" s="4" t="s">
        <v>255</v>
      </c>
      <c r="X807" s="4" t="s">
        <v>54</v>
      </c>
      <c r="Y807" s="4"/>
      <c r="Z807" s="12" t="s">
        <v>60</v>
      </c>
      <c r="AA807" s="13" t="s">
        <v>9156</v>
      </c>
      <c r="AB807" s="13" t="s">
        <v>9155</v>
      </c>
      <c r="AC807" s="14" t="s">
        <v>9157</v>
      </c>
      <c r="AD807" s="14" t="s">
        <v>28</v>
      </c>
      <c r="AE807" s="14" t="s">
        <v>478</v>
      </c>
      <c r="AF807" s="14" t="s">
        <v>52</v>
      </c>
      <c r="AG807" s="14" t="s">
        <v>54</v>
      </c>
      <c r="AH807" s="15" t="s">
        <v>9220</v>
      </c>
      <c r="AI807" s="15" t="s">
        <v>9188</v>
      </c>
      <c r="AJ807" s="15" t="s">
        <v>9143</v>
      </c>
      <c r="AK807" s="15" t="s">
        <v>9221</v>
      </c>
      <c r="AL807" s="15" t="s">
        <v>9236</v>
      </c>
      <c r="AM807" s="16" t="s">
        <v>9221</v>
      </c>
      <c r="AN807" s="16" t="s">
        <v>9237</v>
      </c>
    </row>
    <row r="808" spans="1:40" x14ac:dyDescent="0.25">
      <c r="A808" s="4" t="s">
        <v>5449</v>
      </c>
      <c r="B808" s="4"/>
      <c r="C808" s="4" t="s">
        <v>39</v>
      </c>
      <c r="D808" s="4" t="s">
        <v>5450</v>
      </c>
      <c r="E808" s="4" t="s">
        <v>5451</v>
      </c>
      <c r="F808" s="10">
        <v>45505</v>
      </c>
      <c r="G808" s="11">
        <v>0.65972222222222221</v>
      </c>
      <c r="H808" s="4" t="s">
        <v>4659</v>
      </c>
      <c r="I808" s="4" t="s">
        <v>5425</v>
      </c>
      <c r="J808" s="4" t="s">
        <v>3736</v>
      </c>
      <c r="K808" s="4" t="s">
        <v>243</v>
      </c>
      <c r="L808" s="4" t="s">
        <v>5452</v>
      </c>
      <c r="M808" s="4" t="s">
        <v>46</v>
      </c>
      <c r="N808" s="4"/>
      <c r="O808" s="4" t="s">
        <v>47</v>
      </c>
      <c r="P808" s="4" t="s">
        <v>48</v>
      </c>
      <c r="Q808" s="4">
        <v>0</v>
      </c>
      <c r="R808" s="4" t="b">
        <v>0</v>
      </c>
      <c r="S808" s="4" t="s">
        <v>49</v>
      </c>
      <c r="T808" s="4" t="s">
        <v>50</v>
      </c>
      <c r="U808" s="4" t="s">
        <v>51</v>
      </c>
      <c r="V808" s="4" t="s">
        <v>63</v>
      </c>
      <c r="W808" s="4" t="s">
        <v>108</v>
      </c>
      <c r="X808" s="4" t="s">
        <v>54</v>
      </c>
      <c r="Y808" s="4"/>
      <c r="Z808" s="12">
        <v>0</v>
      </c>
      <c r="AA808" s="13" t="s">
        <v>9156</v>
      </c>
      <c r="AB808" s="13" t="s">
        <v>9155</v>
      </c>
      <c r="AC808" s="14" t="s">
        <v>9139</v>
      </c>
      <c r="AD808" s="14" t="s">
        <v>9140</v>
      </c>
      <c r="AE808" s="14" t="s">
        <v>9140</v>
      </c>
      <c r="AF808" s="14" t="s">
        <v>63</v>
      </c>
      <c r="AG808" s="14" t="s">
        <v>54</v>
      </c>
      <c r="AH808" s="15" t="s">
        <v>9220</v>
      </c>
      <c r="AI808" s="15" t="s">
        <v>9142</v>
      </c>
      <c r="AJ808" s="15" t="s">
        <v>9143</v>
      </c>
      <c r="AK808" s="15" t="s">
        <v>9221</v>
      </c>
      <c r="AL808" s="15" t="s">
        <v>9228</v>
      </c>
      <c r="AM808" s="16" t="s">
        <v>9221</v>
      </c>
      <c r="AN808" s="16" t="s">
        <v>9229</v>
      </c>
    </row>
    <row r="809" spans="1:40" x14ac:dyDescent="0.25">
      <c r="A809" s="4" t="s">
        <v>4838</v>
      </c>
      <c r="B809" s="4"/>
      <c r="C809" s="4" t="s">
        <v>39</v>
      </c>
      <c r="D809" s="4" t="s">
        <v>4839</v>
      </c>
      <c r="E809" s="4" t="s">
        <v>4840</v>
      </c>
      <c r="F809" s="10">
        <v>45504</v>
      </c>
      <c r="G809" s="11">
        <v>0.56597222222222221</v>
      </c>
      <c r="H809" s="4" t="s">
        <v>4019</v>
      </c>
      <c r="I809" s="4" t="s">
        <v>4804</v>
      </c>
      <c r="J809" s="4" t="s">
        <v>756</v>
      </c>
      <c r="K809" s="4" t="s">
        <v>1232</v>
      </c>
      <c r="L809" s="4" t="s">
        <v>4841</v>
      </c>
      <c r="M809" s="4" t="s">
        <v>46</v>
      </c>
      <c r="N809" s="4"/>
      <c r="O809" s="4" t="s">
        <v>47</v>
      </c>
      <c r="P809" s="4" t="s">
        <v>60</v>
      </c>
      <c r="Q809" s="4">
        <v>0</v>
      </c>
      <c r="R809" s="4" t="b">
        <v>0</v>
      </c>
      <c r="S809" s="4" t="s">
        <v>61</v>
      </c>
      <c r="T809" s="4" t="s">
        <v>50</v>
      </c>
      <c r="U809" s="4" t="s">
        <v>71</v>
      </c>
      <c r="V809" s="4" t="s">
        <v>63</v>
      </c>
      <c r="W809" s="4" t="s">
        <v>312</v>
      </c>
      <c r="X809" s="4" t="s">
        <v>54</v>
      </c>
      <c r="Y809" s="4"/>
      <c r="Z809" s="12">
        <v>0</v>
      </c>
      <c r="AA809" s="13" t="s">
        <v>9156</v>
      </c>
      <c r="AB809" s="13" t="s">
        <v>9155</v>
      </c>
      <c r="AC809" s="14" t="s">
        <v>9148</v>
      </c>
      <c r="AD809" s="14" t="s">
        <v>9140</v>
      </c>
      <c r="AE809" s="14" t="s">
        <v>9140</v>
      </c>
      <c r="AF809" s="14" t="s">
        <v>63</v>
      </c>
      <c r="AG809" s="14" t="s">
        <v>54</v>
      </c>
      <c r="AH809" s="15" t="s">
        <v>9220</v>
      </c>
      <c r="AI809" s="15" t="s">
        <v>9175</v>
      </c>
      <c r="AJ809" s="15" t="s">
        <v>9143</v>
      </c>
      <c r="AK809" s="15" t="s">
        <v>9221</v>
      </c>
      <c r="AL809" s="15" t="s">
        <v>9222</v>
      </c>
      <c r="AM809" s="16" t="s">
        <v>9221</v>
      </c>
      <c r="AN809" s="16" t="s">
        <v>9223</v>
      </c>
    </row>
    <row r="810" spans="1:40" x14ac:dyDescent="0.25">
      <c r="A810" s="4" t="s">
        <v>7936</v>
      </c>
      <c r="B810" s="4"/>
      <c r="C810" s="4" t="s">
        <v>39</v>
      </c>
      <c r="D810" s="4" t="s">
        <v>7937</v>
      </c>
      <c r="E810" s="4" t="s">
        <v>7938</v>
      </c>
      <c r="F810" s="10">
        <v>45504</v>
      </c>
      <c r="G810" s="11">
        <v>0.27083333333333331</v>
      </c>
      <c r="H810" s="4" t="s">
        <v>4516</v>
      </c>
      <c r="I810" s="4" t="s">
        <v>7915</v>
      </c>
      <c r="J810" s="4" t="s">
        <v>7916</v>
      </c>
      <c r="K810" s="4" t="s">
        <v>7939</v>
      </c>
      <c r="L810" s="4" t="s">
        <v>7940</v>
      </c>
      <c r="M810" s="4" t="s">
        <v>46</v>
      </c>
      <c r="N810" s="4"/>
      <c r="O810" s="4" t="s">
        <v>47</v>
      </c>
      <c r="P810" s="4" t="s">
        <v>48</v>
      </c>
      <c r="Q810" s="4">
        <v>0</v>
      </c>
      <c r="R810" s="4" t="b">
        <v>0</v>
      </c>
      <c r="S810" s="4" t="s">
        <v>49</v>
      </c>
      <c r="T810" s="4" t="s">
        <v>70</v>
      </c>
      <c r="U810" s="4" t="s">
        <v>71</v>
      </c>
      <c r="V810" s="4" t="s">
        <v>72</v>
      </c>
      <c r="W810" s="4" t="s">
        <v>73</v>
      </c>
      <c r="X810" s="4" t="s">
        <v>54</v>
      </c>
      <c r="Y810" s="4"/>
      <c r="Z810" s="12">
        <v>0</v>
      </c>
      <c r="AA810" s="13" t="s">
        <v>9156</v>
      </c>
      <c r="AB810" s="13" t="s">
        <v>9155</v>
      </c>
      <c r="AC810" s="14" t="s">
        <v>9139</v>
      </c>
      <c r="AD810" s="14" t="s">
        <v>9140</v>
      </c>
      <c r="AE810" s="14" t="s">
        <v>9140</v>
      </c>
      <c r="AF810" s="14" t="s">
        <v>72</v>
      </c>
      <c r="AG810" s="14" t="s">
        <v>54</v>
      </c>
      <c r="AH810" s="15" t="s">
        <v>9220</v>
      </c>
      <c r="AI810" s="15" t="s">
        <v>9188</v>
      </c>
      <c r="AJ810" s="15" t="s">
        <v>9143</v>
      </c>
      <c r="AK810" s="15" t="s">
        <v>9221</v>
      </c>
      <c r="AL810" s="15" t="s">
        <v>9230</v>
      </c>
      <c r="AM810" s="16" t="s">
        <v>9221</v>
      </c>
      <c r="AN810" s="16" t="s">
        <v>9231</v>
      </c>
    </row>
    <row r="811" spans="1:40" x14ac:dyDescent="0.25">
      <c r="A811" s="4" t="s">
        <v>3229</v>
      </c>
      <c r="B811" s="4"/>
      <c r="C811" s="4" t="s">
        <v>39</v>
      </c>
      <c r="D811" s="4" t="s">
        <v>3230</v>
      </c>
      <c r="E811" s="4" t="s">
        <v>3231</v>
      </c>
      <c r="F811" s="10">
        <v>45504</v>
      </c>
      <c r="G811" s="11">
        <v>0.67361111111111116</v>
      </c>
      <c r="H811" s="4" t="s">
        <v>1992</v>
      </c>
      <c r="I811" s="4" t="s">
        <v>3225</v>
      </c>
      <c r="J811" s="4" t="s">
        <v>3226</v>
      </c>
      <c r="K811" s="4" t="s">
        <v>2442</v>
      </c>
      <c r="L811" s="4" t="s">
        <v>3232</v>
      </c>
      <c r="M811" s="4" t="s">
        <v>46</v>
      </c>
      <c r="N811" s="4"/>
      <c r="O811" s="4" t="s">
        <v>47</v>
      </c>
      <c r="P811" s="4" t="s">
        <v>48</v>
      </c>
      <c r="Q811" s="4">
        <v>0</v>
      </c>
      <c r="R811" s="4" t="b">
        <v>0</v>
      </c>
      <c r="S811" s="4" t="s">
        <v>61</v>
      </c>
      <c r="T811" s="4" t="s">
        <v>391</v>
      </c>
      <c r="U811" s="4" t="s">
        <v>90</v>
      </c>
      <c r="V811" s="4" t="s">
        <v>225</v>
      </c>
      <c r="W811" s="4" t="s">
        <v>226</v>
      </c>
      <c r="X811" s="4" t="s">
        <v>54</v>
      </c>
      <c r="Y811" s="4"/>
      <c r="Z811" s="12">
        <v>0</v>
      </c>
      <c r="AA811" s="13" t="s">
        <v>9156</v>
      </c>
      <c r="AB811" s="13" t="s">
        <v>9155</v>
      </c>
      <c r="AC811" s="14" t="s">
        <v>9148</v>
      </c>
      <c r="AD811" s="14" t="s">
        <v>9140</v>
      </c>
      <c r="AE811" s="14" t="s">
        <v>9140</v>
      </c>
      <c r="AF811" s="14" t="s">
        <v>225</v>
      </c>
      <c r="AG811" s="14" t="s">
        <v>54</v>
      </c>
      <c r="AH811" s="15" t="s">
        <v>9194</v>
      </c>
      <c r="AI811" s="15" t="s">
        <v>9191</v>
      </c>
      <c r="AJ811" s="15" t="s">
        <v>9143</v>
      </c>
      <c r="AK811" s="15" t="s">
        <v>9194</v>
      </c>
      <c r="AL811" s="15" t="s">
        <v>9197</v>
      </c>
      <c r="AM811" s="16" t="s">
        <v>9194</v>
      </c>
      <c r="AN811" s="16" t="s">
        <v>9198</v>
      </c>
    </row>
    <row r="812" spans="1:40" x14ac:dyDescent="0.25">
      <c r="A812" s="4" t="s">
        <v>6161</v>
      </c>
      <c r="B812" s="4"/>
      <c r="C812" s="4" t="s">
        <v>39</v>
      </c>
      <c r="D812" s="4" t="s">
        <v>6162</v>
      </c>
      <c r="E812" s="4" t="s">
        <v>6163</v>
      </c>
      <c r="F812" s="10">
        <v>45504</v>
      </c>
      <c r="G812" s="11">
        <v>0.64930555555555558</v>
      </c>
      <c r="H812" s="4" t="s">
        <v>5666</v>
      </c>
      <c r="I812" s="4" t="s">
        <v>6136</v>
      </c>
      <c r="J812" s="4" t="s">
        <v>2598</v>
      </c>
      <c r="K812" s="4" t="s">
        <v>6164</v>
      </c>
      <c r="L812" s="4" t="s">
        <v>6165</v>
      </c>
      <c r="M812" s="4" t="s">
        <v>46</v>
      </c>
      <c r="N812" s="4"/>
      <c r="O812" s="4" t="s">
        <v>47</v>
      </c>
      <c r="P812" s="4" t="s">
        <v>60</v>
      </c>
      <c r="Q812" s="4">
        <v>0</v>
      </c>
      <c r="R812" s="4" t="b">
        <v>0</v>
      </c>
      <c r="S812" s="4" t="s">
        <v>49</v>
      </c>
      <c r="T812" s="4" t="s">
        <v>50</v>
      </c>
      <c r="U812" s="4" t="s">
        <v>71</v>
      </c>
      <c r="V812" s="4" t="s">
        <v>63</v>
      </c>
      <c r="W812" s="4" t="s">
        <v>312</v>
      </c>
      <c r="X812" s="4" t="s">
        <v>54</v>
      </c>
      <c r="Y812" s="4"/>
      <c r="Z812" s="12">
        <v>0</v>
      </c>
      <c r="AA812" s="13" t="s">
        <v>9156</v>
      </c>
      <c r="AB812" s="13" t="s">
        <v>9155</v>
      </c>
      <c r="AC812" s="14" t="s">
        <v>9139</v>
      </c>
      <c r="AD812" s="14" t="s">
        <v>9140</v>
      </c>
      <c r="AE812" s="14" t="s">
        <v>9140</v>
      </c>
      <c r="AF812" s="14" t="s">
        <v>63</v>
      </c>
      <c r="AG812" s="14" t="s">
        <v>54</v>
      </c>
      <c r="AH812" s="15" t="s">
        <v>9220</v>
      </c>
      <c r="AI812" s="15" t="s">
        <v>9199</v>
      </c>
      <c r="AJ812" s="15" t="s">
        <v>9143</v>
      </c>
      <c r="AK812" s="15" t="s">
        <v>9221</v>
      </c>
      <c r="AL812" s="15" t="s">
        <v>9199</v>
      </c>
      <c r="AM812" s="16" t="s">
        <v>9221</v>
      </c>
      <c r="AN812" s="16" t="s">
        <v>9238</v>
      </c>
    </row>
    <row r="813" spans="1:40" x14ac:dyDescent="0.25">
      <c r="A813" s="4" t="s">
        <v>893</v>
      </c>
      <c r="B813" s="4"/>
      <c r="C813" s="4" t="s">
        <v>39</v>
      </c>
      <c r="D813" s="4" t="s">
        <v>894</v>
      </c>
      <c r="E813" s="4" t="s">
        <v>895</v>
      </c>
      <c r="F813" s="10">
        <v>45504</v>
      </c>
      <c r="G813" s="11">
        <v>0.64583333333333337</v>
      </c>
      <c r="H813" s="4" t="s">
        <v>463</v>
      </c>
      <c r="I813" s="4">
        <v>2030</v>
      </c>
      <c r="J813" s="4" t="s">
        <v>876</v>
      </c>
      <c r="K813" s="4" t="s">
        <v>896</v>
      </c>
      <c r="L813" s="4" t="s">
        <v>897</v>
      </c>
      <c r="M813" s="4" t="s">
        <v>46</v>
      </c>
      <c r="N813" s="4"/>
      <c r="O813" s="4" t="s">
        <v>47</v>
      </c>
      <c r="P813" s="4" t="s">
        <v>48</v>
      </c>
      <c r="Q813" s="4">
        <v>0</v>
      </c>
      <c r="R813" s="4" t="b">
        <v>0</v>
      </c>
      <c r="S813" s="4" t="s">
        <v>61</v>
      </c>
      <c r="T813" s="4" t="s">
        <v>50</v>
      </c>
      <c r="U813" s="4" t="s">
        <v>90</v>
      </c>
      <c r="V813" s="4" t="s">
        <v>63</v>
      </c>
      <c r="W813" s="4" t="s">
        <v>108</v>
      </c>
      <c r="X813" s="4" t="s">
        <v>98</v>
      </c>
      <c r="Y813" s="4"/>
      <c r="Z813" s="12">
        <v>0</v>
      </c>
      <c r="AA813" s="13" t="s">
        <v>9156</v>
      </c>
      <c r="AB813" s="13" t="s">
        <v>9155</v>
      </c>
      <c r="AC813" s="14" t="s">
        <v>9148</v>
      </c>
      <c r="AD813" s="14" t="s">
        <v>9140</v>
      </c>
      <c r="AE813" s="14" t="s">
        <v>9140</v>
      </c>
      <c r="AF813" s="14" t="s">
        <v>63</v>
      </c>
      <c r="AG813" s="14" t="s">
        <v>98</v>
      </c>
      <c r="AH813" s="15" t="s">
        <v>9141</v>
      </c>
      <c r="AI813" s="15" t="s">
        <v>9175</v>
      </c>
      <c r="AJ813" s="15" t="s">
        <v>9143</v>
      </c>
      <c r="AK813" s="15" t="s">
        <v>9141</v>
      </c>
      <c r="AL813" s="15" t="s">
        <v>9177</v>
      </c>
      <c r="AM813" s="16" t="s">
        <v>9141</v>
      </c>
      <c r="AN813" s="16" t="s">
        <v>9178</v>
      </c>
    </row>
    <row r="814" spans="1:40" x14ac:dyDescent="0.25">
      <c r="A814" s="4" t="s">
        <v>898</v>
      </c>
      <c r="B814" s="4"/>
      <c r="C814" s="4" t="s">
        <v>39</v>
      </c>
      <c r="D814" s="4" t="s">
        <v>899</v>
      </c>
      <c r="E814" s="4" t="s">
        <v>900</v>
      </c>
      <c r="F814" s="10">
        <v>45504</v>
      </c>
      <c r="G814" s="11">
        <v>0.64583333333333337</v>
      </c>
      <c r="H814" s="4" t="s">
        <v>463</v>
      </c>
      <c r="I814" s="4">
        <v>2030</v>
      </c>
      <c r="J814" s="4" t="s">
        <v>876</v>
      </c>
      <c r="K814" s="4" t="s">
        <v>901</v>
      </c>
      <c r="L814" s="4" t="s">
        <v>897</v>
      </c>
      <c r="M814" s="4" t="s">
        <v>46</v>
      </c>
      <c r="N814" s="4"/>
      <c r="O814" s="4" t="s">
        <v>47</v>
      </c>
      <c r="P814" s="4" t="s">
        <v>48</v>
      </c>
      <c r="Q814" s="4">
        <v>0</v>
      </c>
      <c r="R814" s="4" t="b">
        <v>0</v>
      </c>
      <c r="S814" s="4" t="s">
        <v>61</v>
      </c>
      <c r="T814" s="4" t="s">
        <v>50</v>
      </c>
      <c r="U814" s="4" t="s">
        <v>90</v>
      </c>
      <c r="V814" s="4" t="s">
        <v>63</v>
      </c>
      <c r="W814" s="4" t="s">
        <v>108</v>
      </c>
      <c r="X814" s="4" t="s">
        <v>98</v>
      </c>
      <c r="Y814" s="4"/>
      <c r="Z814" s="12">
        <v>0</v>
      </c>
      <c r="AA814" s="13" t="s">
        <v>9156</v>
      </c>
      <c r="AB814" s="13" t="s">
        <v>9155</v>
      </c>
      <c r="AC814" s="14" t="s">
        <v>9148</v>
      </c>
      <c r="AD814" s="14" t="s">
        <v>9140</v>
      </c>
      <c r="AE814" s="14" t="s">
        <v>9140</v>
      </c>
      <c r="AF814" s="14" t="s">
        <v>63</v>
      </c>
      <c r="AG814" s="14" t="s">
        <v>98</v>
      </c>
      <c r="AH814" s="15" t="s">
        <v>9141</v>
      </c>
      <c r="AI814" s="15" t="s">
        <v>9175</v>
      </c>
      <c r="AJ814" s="15" t="s">
        <v>9143</v>
      </c>
      <c r="AK814" s="15" t="s">
        <v>9141</v>
      </c>
      <c r="AL814" s="15" t="s">
        <v>9177</v>
      </c>
      <c r="AM814" s="16" t="s">
        <v>9141</v>
      </c>
      <c r="AN814" s="16" t="s">
        <v>9178</v>
      </c>
    </row>
    <row r="815" spans="1:40" x14ac:dyDescent="0.25">
      <c r="A815" s="4" t="s">
        <v>1070</v>
      </c>
      <c r="B815" s="4">
        <v>12240014348</v>
      </c>
      <c r="C815" s="4" t="s">
        <v>39</v>
      </c>
      <c r="D815" s="4" t="s">
        <v>1071</v>
      </c>
      <c r="E815" s="4" t="s">
        <v>1072</v>
      </c>
      <c r="F815" s="10">
        <v>45503</v>
      </c>
      <c r="G815" s="11">
        <v>0.44374999999999998</v>
      </c>
      <c r="H815" s="4" t="s">
        <v>463</v>
      </c>
      <c r="I815" s="4">
        <v>2054</v>
      </c>
      <c r="J815" s="4" t="s">
        <v>1067</v>
      </c>
      <c r="K815" s="4" t="s">
        <v>1073</v>
      </c>
      <c r="L815" s="4" t="s">
        <v>1074</v>
      </c>
      <c r="M815" s="4" t="s">
        <v>28</v>
      </c>
      <c r="N815" s="4" t="s">
        <v>183</v>
      </c>
      <c r="O815" s="4" t="s">
        <v>174</v>
      </c>
      <c r="P815" s="4" t="s">
        <v>60</v>
      </c>
      <c r="Q815" s="4">
        <v>20</v>
      </c>
      <c r="R815" s="4" t="b">
        <v>0</v>
      </c>
      <c r="S815" s="4" t="s">
        <v>114</v>
      </c>
      <c r="T815" s="4" t="s">
        <v>89</v>
      </c>
      <c r="U815" s="4" t="s">
        <v>426</v>
      </c>
      <c r="V815" s="4" t="s">
        <v>123</v>
      </c>
      <c r="W815" s="4" t="s">
        <v>192</v>
      </c>
      <c r="X815" s="4" t="s">
        <v>54</v>
      </c>
      <c r="Y815" s="4"/>
      <c r="Z815" s="12" t="s">
        <v>60</v>
      </c>
      <c r="AA815" s="13" t="s">
        <v>9156</v>
      </c>
      <c r="AB815" s="13" t="s">
        <v>9155</v>
      </c>
      <c r="AC815" s="14" t="s">
        <v>9157</v>
      </c>
      <c r="AD815" s="14" t="s">
        <v>28</v>
      </c>
      <c r="AE815" s="14" t="s">
        <v>183</v>
      </c>
      <c r="AF815" s="14" t="s">
        <v>123</v>
      </c>
      <c r="AG815" s="14" t="s">
        <v>54</v>
      </c>
      <c r="AH815" s="15" t="s">
        <v>9141</v>
      </c>
      <c r="AI815" s="15" t="s">
        <v>9175</v>
      </c>
      <c r="AJ815" s="15" t="s">
        <v>9143</v>
      </c>
      <c r="AK815" s="15" t="s">
        <v>9141</v>
      </c>
      <c r="AL815" s="15" t="s">
        <v>9175</v>
      </c>
      <c r="AM815" s="16" t="s">
        <v>9141</v>
      </c>
      <c r="AN815" s="16" t="s">
        <v>9176</v>
      </c>
    </row>
    <row r="816" spans="1:40" x14ac:dyDescent="0.25">
      <c r="A816" s="4" t="s">
        <v>1733</v>
      </c>
      <c r="B816" s="4" t="s">
        <v>1734</v>
      </c>
      <c r="C816" s="4" t="s">
        <v>39</v>
      </c>
      <c r="D816" s="4" t="s">
        <v>1735</v>
      </c>
      <c r="E816" s="4" t="s">
        <v>1736</v>
      </c>
      <c r="F816" s="10">
        <v>45503</v>
      </c>
      <c r="G816" s="11">
        <v>0.5</v>
      </c>
      <c r="H816" s="4" t="s">
        <v>1654</v>
      </c>
      <c r="I816" s="4">
        <v>9090</v>
      </c>
      <c r="J816" s="4" t="s">
        <v>1719</v>
      </c>
      <c r="K816" s="4" t="s">
        <v>1737</v>
      </c>
      <c r="L816" s="4" t="s">
        <v>1738</v>
      </c>
      <c r="M816" s="4" t="s">
        <v>28</v>
      </c>
      <c r="N816" s="4" t="s">
        <v>183</v>
      </c>
      <c r="O816" s="4" t="s">
        <v>191</v>
      </c>
      <c r="P816" s="4" t="s">
        <v>60</v>
      </c>
      <c r="Q816" s="4">
        <v>0</v>
      </c>
      <c r="R816" s="4" t="b">
        <v>0</v>
      </c>
      <c r="S816" s="4" t="s">
        <v>114</v>
      </c>
      <c r="T816" s="4" t="s">
        <v>89</v>
      </c>
      <c r="U816" s="4" t="s">
        <v>584</v>
      </c>
      <c r="V816" s="4" t="s">
        <v>52</v>
      </c>
      <c r="W816" s="4" t="s">
        <v>135</v>
      </c>
      <c r="X816" s="4" t="s">
        <v>54</v>
      </c>
      <c r="Y816" s="4"/>
      <c r="Z816" s="12" t="s">
        <v>60</v>
      </c>
      <c r="AA816" s="13" t="s">
        <v>9156</v>
      </c>
      <c r="AB816" s="13" t="s">
        <v>9155</v>
      </c>
      <c r="AC816" s="14" t="s">
        <v>9157</v>
      </c>
      <c r="AD816" s="14" t="s">
        <v>28</v>
      </c>
      <c r="AE816" s="14" t="s">
        <v>183</v>
      </c>
      <c r="AF816" s="14" t="s">
        <v>52</v>
      </c>
      <c r="AG816" s="14" t="s">
        <v>54</v>
      </c>
      <c r="AH816" s="15" t="s">
        <v>9141</v>
      </c>
      <c r="AI816" s="15" t="s">
        <v>9191</v>
      </c>
      <c r="AJ816" s="15" t="s">
        <v>9143</v>
      </c>
      <c r="AK816" s="15" t="s">
        <v>9141</v>
      </c>
      <c r="AL816" s="15" t="s">
        <v>9191</v>
      </c>
      <c r="AM816" s="16" t="s">
        <v>9141</v>
      </c>
      <c r="AN816" s="16" t="s">
        <v>9192</v>
      </c>
    </row>
    <row r="817" spans="1:40" x14ac:dyDescent="0.25">
      <c r="A817" s="4" t="s">
        <v>109</v>
      </c>
      <c r="B817" s="4"/>
      <c r="C817" s="4" t="s">
        <v>39</v>
      </c>
      <c r="D817" s="4" t="s">
        <v>110</v>
      </c>
      <c r="E817" s="4" t="s">
        <v>111</v>
      </c>
      <c r="F817" s="10">
        <v>45503</v>
      </c>
      <c r="G817" s="11">
        <v>0.56527777777777777</v>
      </c>
      <c r="H817" s="4" t="s">
        <v>42</v>
      </c>
      <c r="I817" s="4">
        <v>1006</v>
      </c>
      <c r="J817" s="4" t="s">
        <v>94</v>
      </c>
      <c r="K817" s="4" t="s">
        <v>112</v>
      </c>
      <c r="L817" s="4" t="s">
        <v>113</v>
      </c>
      <c r="M817" s="4" t="s">
        <v>46</v>
      </c>
      <c r="N817" s="4"/>
      <c r="O817" s="4" t="s">
        <v>47</v>
      </c>
      <c r="P817" s="4" t="s">
        <v>48</v>
      </c>
      <c r="Q817" s="4">
        <v>0</v>
      </c>
      <c r="R817" s="4" t="b">
        <v>0</v>
      </c>
      <c r="S817" s="4" t="s">
        <v>114</v>
      </c>
      <c r="T817" s="4" t="s">
        <v>115</v>
      </c>
      <c r="U817" s="4" t="s">
        <v>116</v>
      </c>
      <c r="V817" s="4" t="s">
        <v>52</v>
      </c>
      <c r="W817" s="4" t="s">
        <v>53</v>
      </c>
      <c r="X817" s="4" t="s">
        <v>54</v>
      </c>
      <c r="Y817" s="4"/>
      <c r="Z817" s="12">
        <v>0</v>
      </c>
      <c r="AA817" s="13" t="s">
        <v>9156</v>
      </c>
      <c r="AB817" s="13" t="s">
        <v>9155</v>
      </c>
      <c r="AC817" s="14" t="s">
        <v>9157</v>
      </c>
      <c r="AD817" s="14" t="s">
        <v>9140</v>
      </c>
      <c r="AE817" s="14" t="s">
        <v>9140</v>
      </c>
      <c r="AF817" s="14" t="s">
        <v>52</v>
      </c>
      <c r="AG817" s="14" t="s">
        <v>54</v>
      </c>
      <c r="AH817" s="15" t="s">
        <v>9141</v>
      </c>
      <c r="AI817" s="15" t="s">
        <v>9142</v>
      </c>
      <c r="AJ817" s="15" t="s">
        <v>9143</v>
      </c>
      <c r="AK817" s="15" t="s">
        <v>9141</v>
      </c>
      <c r="AL817" s="15" t="s">
        <v>9144</v>
      </c>
      <c r="AM817" s="16" t="s">
        <v>9141</v>
      </c>
      <c r="AN817" s="16" t="s">
        <v>9145</v>
      </c>
    </row>
    <row r="818" spans="1:40" x14ac:dyDescent="0.25">
      <c r="A818" s="4" t="s">
        <v>1453</v>
      </c>
      <c r="B818" s="4"/>
      <c r="C818" s="4" t="s">
        <v>39</v>
      </c>
      <c r="D818" s="4" t="s">
        <v>1454</v>
      </c>
      <c r="E818" s="4" t="s">
        <v>1455</v>
      </c>
      <c r="F818" s="10">
        <v>45503</v>
      </c>
      <c r="G818" s="11">
        <v>0.4375</v>
      </c>
      <c r="H818" s="4" t="s">
        <v>1366</v>
      </c>
      <c r="I818" s="4">
        <v>5089</v>
      </c>
      <c r="J818" s="4" t="s">
        <v>1445</v>
      </c>
      <c r="K818" s="4" t="s">
        <v>1456</v>
      </c>
      <c r="L818" s="4" t="s">
        <v>1457</v>
      </c>
      <c r="M818" s="4" t="s">
        <v>46</v>
      </c>
      <c r="N818" s="4"/>
      <c r="O818" s="4" t="s">
        <v>47</v>
      </c>
      <c r="P818" s="4" t="s">
        <v>48</v>
      </c>
      <c r="Q818" s="4">
        <v>0</v>
      </c>
      <c r="R818" s="4" t="b">
        <v>0</v>
      </c>
      <c r="S818" s="4" t="s">
        <v>114</v>
      </c>
      <c r="T818" s="4" t="s">
        <v>89</v>
      </c>
      <c r="U818" s="4" t="s">
        <v>140</v>
      </c>
      <c r="V818" s="4" t="s">
        <v>72</v>
      </c>
      <c r="W818" s="4" t="s">
        <v>73</v>
      </c>
      <c r="X818" s="4" t="s">
        <v>54</v>
      </c>
      <c r="Y818" s="4"/>
      <c r="Z818" s="12">
        <v>0</v>
      </c>
      <c r="AA818" s="13" t="s">
        <v>9156</v>
      </c>
      <c r="AB818" s="13" t="s">
        <v>9155</v>
      </c>
      <c r="AC818" s="14" t="s">
        <v>9157</v>
      </c>
      <c r="AD818" s="14" t="s">
        <v>9140</v>
      </c>
      <c r="AE818" s="14" t="s">
        <v>9140</v>
      </c>
      <c r="AF818" s="14" t="s">
        <v>72</v>
      </c>
      <c r="AG818" s="14" t="s">
        <v>54</v>
      </c>
      <c r="AH818" s="15" t="s">
        <v>9141</v>
      </c>
      <c r="AI818" s="15" t="s">
        <v>9188</v>
      </c>
      <c r="AJ818" s="15" t="s">
        <v>9143</v>
      </c>
      <c r="AK818" s="15" t="s">
        <v>9141</v>
      </c>
      <c r="AL818" s="15" t="s">
        <v>9189</v>
      </c>
      <c r="AM818" s="16" t="s">
        <v>9141</v>
      </c>
      <c r="AN818" s="16" t="s">
        <v>9190</v>
      </c>
    </row>
    <row r="819" spans="1:40" x14ac:dyDescent="0.25">
      <c r="A819" s="4" t="s">
        <v>8990</v>
      </c>
      <c r="B819" s="4"/>
      <c r="C819" s="4" t="s">
        <v>39</v>
      </c>
      <c r="D819" s="4" t="s">
        <v>8991</v>
      </c>
      <c r="E819" s="4" t="s">
        <v>8992</v>
      </c>
      <c r="F819" s="10">
        <v>45503</v>
      </c>
      <c r="G819" s="11">
        <v>0.42222222222222222</v>
      </c>
      <c r="H819" s="4" t="s">
        <v>4019</v>
      </c>
      <c r="I819" s="4" t="s">
        <v>8971</v>
      </c>
      <c r="J819" s="4" t="s">
        <v>8972</v>
      </c>
      <c r="K819" s="4" t="s">
        <v>455</v>
      </c>
      <c r="L819" s="4" t="s">
        <v>8993</v>
      </c>
      <c r="M819" s="4" t="s">
        <v>46</v>
      </c>
      <c r="N819" s="4"/>
      <c r="O819" s="4" t="s">
        <v>47</v>
      </c>
      <c r="P819" s="4" t="s">
        <v>48</v>
      </c>
      <c r="Q819" s="4">
        <v>0</v>
      </c>
      <c r="R819" s="4" t="b">
        <v>0</v>
      </c>
      <c r="S819" s="4" t="s">
        <v>49</v>
      </c>
      <c r="T819" s="4" t="s">
        <v>89</v>
      </c>
      <c r="U819" s="4" t="s">
        <v>148</v>
      </c>
      <c r="V819" s="4" t="s">
        <v>52</v>
      </c>
      <c r="W819" s="4" t="s">
        <v>53</v>
      </c>
      <c r="X819" s="4" t="s">
        <v>54</v>
      </c>
      <c r="Y819" s="4"/>
      <c r="Z819" s="12">
        <v>0</v>
      </c>
      <c r="AA819" s="13" t="s">
        <v>9156</v>
      </c>
      <c r="AB819" s="13" t="s">
        <v>9155</v>
      </c>
      <c r="AC819" s="14" t="s">
        <v>9139</v>
      </c>
      <c r="AD819" s="14" t="s">
        <v>9140</v>
      </c>
      <c r="AE819" s="14" t="s">
        <v>9140</v>
      </c>
      <c r="AF819" s="14" t="s">
        <v>52</v>
      </c>
      <c r="AG819" s="14" t="s">
        <v>54</v>
      </c>
      <c r="AH819" s="15" t="s">
        <v>9220</v>
      </c>
      <c r="AI819" s="15" t="s">
        <v>9175</v>
      </c>
      <c r="AJ819" s="15" t="s">
        <v>9181</v>
      </c>
      <c r="AK819" s="15" t="s">
        <v>9182</v>
      </c>
      <c r="AL819" s="15" t="s">
        <v>9182</v>
      </c>
      <c r="AM819" s="16" t="s">
        <v>9182</v>
      </c>
      <c r="AN819" s="16" t="s">
        <v>9182</v>
      </c>
    </row>
    <row r="820" spans="1:40" x14ac:dyDescent="0.25">
      <c r="A820" s="4" t="s">
        <v>8994</v>
      </c>
      <c r="B820" s="4"/>
      <c r="C820" s="4" t="s">
        <v>39</v>
      </c>
      <c r="D820" s="4" t="s">
        <v>8995</v>
      </c>
      <c r="E820" s="4" t="s">
        <v>8996</v>
      </c>
      <c r="F820" s="10">
        <v>45503</v>
      </c>
      <c r="G820" s="11">
        <v>0.4375</v>
      </c>
      <c r="H820" s="4" t="s">
        <v>4019</v>
      </c>
      <c r="I820" s="4" t="s">
        <v>8971</v>
      </c>
      <c r="J820" s="4" t="s">
        <v>8972</v>
      </c>
      <c r="K820" s="4" t="s">
        <v>8997</v>
      </c>
      <c r="L820" s="4" t="s">
        <v>8998</v>
      </c>
      <c r="M820" s="4" t="s">
        <v>46</v>
      </c>
      <c r="N820" s="4"/>
      <c r="O820" s="4" t="s">
        <v>47</v>
      </c>
      <c r="P820" s="4" t="s">
        <v>48</v>
      </c>
      <c r="Q820" s="4">
        <v>0</v>
      </c>
      <c r="R820" s="4" t="b">
        <v>0</v>
      </c>
      <c r="S820" s="4" t="s">
        <v>61</v>
      </c>
      <c r="T820" s="4" t="s">
        <v>89</v>
      </c>
      <c r="U820" s="4" t="s">
        <v>301</v>
      </c>
      <c r="V820" s="4" t="s">
        <v>63</v>
      </c>
      <c r="W820" s="4" t="s">
        <v>198</v>
      </c>
      <c r="X820" s="4" t="s">
        <v>98</v>
      </c>
      <c r="Y820" s="4"/>
      <c r="Z820" s="12">
        <v>0</v>
      </c>
      <c r="AA820" s="13" t="s">
        <v>9156</v>
      </c>
      <c r="AB820" s="13" t="s">
        <v>9155</v>
      </c>
      <c r="AC820" s="14" t="s">
        <v>9148</v>
      </c>
      <c r="AD820" s="14" t="s">
        <v>9140</v>
      </c>
      <c r="AE820" s="14" t="s">
        <v>9140</v>
      </c>
      <c r="AF820" s="14" t="s">
        <v>63</v>
      </c>
      <c r="AG820" s="14" t="s">
        <v>98</v>
      </c>
      <c r="AH820" s="15" t="s">
        <v>9220</v>
      </c>
      <c r="AI820" s="15" t="s">
        <v>9175</v>
      </c>
      <c r="AJ820" s="15" t="s">
        <v>9181</v>
      </c>
      <c r="AK820" s="15" t="s">
        <v>9182</v>
      </c>
      <c r="AL820" s="15" t="s">
        <v>9182</v>
      </c>
      <c r="AM820" s="16" t="s">
        <v>9182</v>
      </c>
      <c r="AN820" s="16" t="s">
        <v>9182</v>
      </c>
    </row>
    <row r="821" spans="1:40" x14ac:dyDescent="0.25">
      <c r="A821" s="4" t="s">
        <v>5984</v>
      </c>
      <c r="B821" s="4" t="s">
        <v>5985</v>
      </c>
      <c r="C821" s="4" t="s">
        <v>39</v>
      </c>
      <c r="D821" s="4" t="s">
        <v>5986</v>
      </c>
      <c r="E821" s="4" t="s">
        <v>5987</v>
      </c>
      <c r="F821" s="10">
        <v>45502</v>
      </c>
      <c r="G821" s="11">
        <v>0.72222222222222221</v>
      </c>
      <c r="H821" s="4" t="s">
        <v>4242</v>
      </c>
      <c r="I821" s="4" t="s">
        <v>5918</v>
      </c>
      <c r="J821" s="4" t="s">
        <v>5919</v>
      </c>
      <c r="K821" s="4" t="s">
        <v>5988</v>
      </c>
      <c r="L821" s="4" t="s">
        <v>5989</v>
      </c>
      <c r="M821" s="4" t="s">
        <v>46</v>
      </c>
      <c r="N821" s="4"/>
      <c r="O821" s="4" t="s">
        <v>47</v>
      </c>
      <c r="P821" s="4" t="s">
        <v>48</v>
      </c>
      <c r="Q821" s="4">
        <v>0</v>
      </c>
      <c r="R821" s="4" t="b">
        <v>0</v>
      </c>
      <c r="S821" s="4" t="s">
        <v>61</v>
      </c>
      <c r="T821" s="4" t="s">
        <v>89</v>
      </c>
      <c r="U821" s="4" t="s">
        <v>122</v>
      </c>
      <c r="V821" s="4" t="s">
        <v>123</v>
      </c>
      <c r="W821" s="4" t="s">
        <v>149</v>
      </c>
      <c r="X821" s="4" t="s">
        <v>54</v>
      </c>
      <c r="Y821" s="4"/>
      <c r="Z821" s="12">
        <v>0</v>
      </c>
      <c r="AA821" s="13" t="s">
        <v>9156</v>
      </c>
      <c r="AB821" s="13" t="s">
        <v>9155</v>
      </c>
      <c r="AC821" s="14" t="s">
        <v>9148</v>
      </c>
      <c r="AD821" s="14" t="s">
        <v>9140</v>
      </c>
      <c r="AE821" s="14" t="s">
        <v>9140</v>
      </c>
      <c r="AF821" s="14" t="s">
        <v>123</v>
      </c>
      <c r="AG821" s="14" t="s">
        <v>54</v>
      </c>
      <c r="AH821" s="15" t="s">
        <v>9220</v>
      </c>
      <c r="AI821" s="15" t="s">
        <v>9187</v>
      </c>
      <c r="AJ821" s="15" t="s">
        <v>9143</v>
      </c>
      <c r="AK821" s="15" t="s">
        <v>9221</v>
      </c>
      <c r="AL821" s="15" t="s">
        <v>9226</v>
      </c>
      <c r="AM821" s="16" t="s">
        <v>9221</v>
      </c>
      <c r="AN821" s="16" t="s">
        <v>9227</v>
      </c>
    </row>
    <row r="822" spans="1:40" x14ac:dyDescent="0.25">
      <c r="A822" s="4" t="s">
        <v>6116</v>
      </c>
      <c r="B822" s="4"/>
      <c r="C822" s="4" t="s">
        <v>39</v>
      </c>
      <c r="D822" s="4" t="s">
        <v>6117</v>
      </c>
      <c r="E822" s="4" t="s">
        <v>6118</v>
      </c>
      <c r="F822" s="10">
        <v>45502</v>
      </c>
      <c r="G822" s="11">
        <v>0.4861111111111111</v>
      </c>
      <c r="H822" s="4" t="s">
        <v>4516</v>
      </c>
      <c r="I822" s="4" t="s">
        <v>6112</v>
      </c>
      <c r="J822" s="4" t="s">
        <v>6113</v>
      </c>
      <c r="K822" s="4" t="s">
        <v>6119</v>
      </c>
      <c r="L822" s="4" t="s">
        <v>6120</v>
      </c>
      <c r="M822" s="4" t="s">
        <v>46</v>
      </c>
      <c r="N822" s="4"/>
      <c r="O822" s="4" t="s">
        <v>47</v>
      </c>
      <c r="P822" s="4" t="s">
        <v>48</v>
      </c>
      <c r="Q822" s="4">
        <v>0</v>
      </c>
      <c r="R822" s="4" t="b">
        <v>0</v>
      </c>
      <c r="S822" s="4" t="s">
        <v>49</v>
      </c>
      <c r="T822" s="4" t="s">
        <v>583</v>
      </c>
      <c r="U822" s="4" t="s">
        <v>71</v>
      </c>
      <c r="V822" s="4" t="s">
        <v>72</v>
      </c>
      <c r="W822" s="4" t="s">
        <v>73</v>
      </c>
      <c r="X822" s="4" t="s">
        <v>838</v>
      </c>
      <c r="Y822" s="4" t="s">
        <v>486</v>
      </c>
      <c r="Z822" s="12">
        <v>0</v>
      </c>
      <c r="AA822" s="13" t="s">
        <v>9156</v>
      </c>
      <c r="AB822" s="13" t="s">
        <v>9155</v>
      </c>
      <c r="AC822" s="14" t="s">
        <v>9139</v>
      </c>
      <c r="AD822" s="14" t="s">
        <v>9140</v>
      </c>
      <c r="AE822" s="14" t="s">
        <v>9140</v>
      </c>
      <c r="AF822" s="14" t="s">
        <v>72</v>
      </c>
      <c r="AG822" s="14" t="s">
        <v>838</v>
      </c>
      <c r="AH822" s="15" t="s">
        <v>9220</v>
      </c>
      <c r="AI822" s="15" t="s">
        <v>9188</v>
      </c>
      <c r="AJ822" s="15" t="s">
        <v>9143</v>
      </c>
      <c r="AK822" s="15" t="s">
        <v>9221</v>
      </c>
      <c r="AL822" s="15" t="s">
        <v>9236</v>
      </c>
      <c r="AM822" s="16" t="s">
        <v>9221</v>
      </c>
      <c r="AN822" s="16" t="s">
        <v>9237</v>
      </c>
    </row>
    <row r="823" spans="1:40" x14ac:dyDescent="0.25">
      <c r="A823" s="4" t="s">
        <v>5163</v>
      </c>
      <c r="B823" s="4"/>
      <c r="C823" s="4" t="s">
        <v>39</v>
      </c>
      <c r="D823" s="4" t="s">
        <v>5164</v>
      </c>
      <c r="E823" s="4" t="s">
        <v>5165</v>
      </c>
      <c r="F823" s="10">
        <v>45502</v>
      </c>
      <c r="G823" s="11">
        <v>0.65486111111111112</v>
      </c>
      <c r="H823" s="4" t="s">
        <v>4910</v>
      </c>
      <c r="I823" s="4" t="s">
        <v>5121</v>
      </c>
      <c r="J823" s="4" t="s">
        <v>1994</v>
      </c>
      <c r="K823" s="4" t="s">
        <v>5166</v>
      </c>
      <c r="L823" s="4" t="s">
        <v>5167</v>
      </c>
      <c r="M823" s="4" t="s">
        <v>46</v>
      </c>
      <c r="N823" s="4"/>
      <c r="O823" s="4" t="s">
        <v>47</v>
      </c>
      <c r="P823" s="4" t="s">
        <v>48</v>
      </c>
      <c r="Q823" s="4">
        <v>0</v>
      </c>
      <c r="R823" s="4" t="b">
        <v>0</v>
      </c>
      <c r="S823" s="4" t="s">
        <v>49</v>
      </c>
      <c r="T823" s="4" t="s">
        <v>583</v>
      </c>
      <c r="U823" s="4" t="s">
        <v>107</v>
      </c>
      <c r="V823" s="4" t="s">
        <v>63</v>
      </c>
      <c r="W823" s="4" t="s">
        <v>198</v>
      </c>
      <c r="X823" s="4" t="s">
        <v>774</v>
      </c>
      <c r="Y823" s="4" t="s">
        <v>775</v>
      </c>
      <c r="Z823" s="12">
        <v>0</v>
      </c>
      <c r="AA823" s="13" t="s">
        <v>9156</v>
      </c>
      <c r="AB823" s="13" t="s">
        <v>9155</v>
      </c>
      <c r="AC823" s="14" t="s">
        <v>9139</v>
      </c>
      <c r="AD823" s="14" t="s">
        <v>9140</v>
      </c>
      <c r="AE823" s="14" t="s">
        <v>9140</v>
      </c>
      <c r="AF823" s="14" t="s">
        <v>63</v>
      </c>
      <c r="AG823" s="14" t="s">
        <v>774</v>
      </c>
      <c r="AH823" s="15" t="s">
        <v>9220</v>
      </c>
      <c r="AI823" s="15" t="s">
        <v>9191</v>
      </c>
      <c r="AJ823" s="15" t="s">
        <v>9143</v>
      </c>
      <c r="AK823" s="15" t="s">
        <v>9221</v>
      </c>
      <c r="AL823" s="15" t="s">
        <v>9236</v>
      </c>
      <c r="AM823" s="16" t="s">
        <v>9221</v>
      </c>
      <c r="AN823" s="16" t="s">
        <v>9237</v>
      </c>
    </row>
    <row r="824" spans="1:40" x14ac:dyDescent="0.25">
      <c r="A824" s="4" t="s">
        <v>5168</v>
      </c>
      <c r="B824" s="4"/>
      <c r="C824" s="4" t="s">
        <v>39</v>
      </c>
      <c r="D824" s="4" t="s">
        <v>5169</v>
      </c>
      <c r="E824" s="4" t="s">
        <v>5170</v>
      </c>
      <c r="F824" s="10">
        <v>45502</v>
      </c>
      <c r="G824" s="11">
        <v>0.75763888888888886</v>
      </c>
      <c r="H824" s="4" t="s">
        <v>4910</v>
      </c>
      <c r="I824" s="4" t="s">
        <v>5121</v>
      </c>
      <c r="J824" s="4" t="s">
        <v>1994</v>
      </c>
      <c r="K824" s="4" t="s">
        <v>5171</v>
      </c>
      <c r="L824" s="4" t="s">
        <v>5172</v>
      </c>
      <c r="M824" s="4" t="s">
        <v>46</v>
      </c>
      <c r="N824" s="4"/>
      <c r="O824" s="4" t="s">
        <v>47</v>
      </c>
      <c r="P824" s="4" t="s">
        <v>48</v>
      </c>
      <c r="Q824" s="4">
        <v>0</v>
      </c>
      <c r="R824" s="4" t="b">
        <v>0</v>
      </c>
      <c r="S824" s="4" t="s">
        <v>49</v>
      </c>
      <c r="T824" s="4" t="s">
        <v>583</v>
      </c>
      <c r="U824" s="4" t="s">
        <v>224</v>
      </c>
      <c r="V824" s="4" t="s">
        <v>63</v>
      </c>
      <c r="W824" s="4" t="s">
        <v>108</v>
      </c>
      <c r="X824" s="4" t="s">
        <v>54</v>
      </c>
      <c r="Y824" s="4"/>
      <c r="Z824" s="12">
        <v>0</v>
      </c>
      <c r="AA824" s="13" t="s">
        <v>9156</v>
      </c>
      <c r="AB824" s="13" t="s">
        <v>9155</v>
      </c>
      <c r="AC824" s="14" t="s">
        <v>9139</v>
      </c>
      <c r="AD824" s="14" t="s">
        <v>9140</v>
      </c>
      <c r="AE824" s="14" t="s">
        <v>9140</v>
      </c>
      <c r="AF824" s="14" t="s">
        <v>63</v>
      </c>
      <c r="AG824" s="14" t="s">
        <v>54</v>
      </c>
      <c r="AH824" s="15" t="s">
        <v>9220</v>
      </c>
      <c r="AI824" s="15" t="s">
        <v>9191</v>
      </c>
      <c r="AJ824" s="15" t="s">
        <v>9143</v>
      </c>
      <c r="AK824" s="15" t="s">
        <v>9221</v>
      </c>
      <c r="AL824" s="15" t="s">
        <v>9236</v>
      </c>
      <c r="AM824" s="16" t="s">
        <v>9221</v>
      </c>
      <c r="AN824" s="16" t="s">
        <v>9237</v>
      </c>
    </row>
    <row r="825" spans="1:40" x14ac:dyDescent="0.25">
      <c r="A825" s="4" t="s">
        <v>6885</v>
      </c>
      <c r="B825" s="4"/>
      <c r="C825" s="4" t="s">
        <v>39</v>
      </c>
      <c r="D825" s="4" t="s">
        <v>6886</v>
      </c>
      <c r="E825" s="4" t="s">
        <v>6887</v>
      </c>
      <c r="F825" s="10">
        <v>45502</v>
      </c>
      <c r="G825" s="11">
        <v>0.3923611111111111</v>
      </c>
      <c r="H825" s="4" t="s">
        <v>4910</v>
      </c>
      <c r="I825" s="4" t="s">
        <v>6878</v>
      </c>
      <c r="J825" s="4" t="s">
        <v>3657</v>
      </c>
      <c r="K825" s="4" t="s">
        <v>2442</v>
      </c>
      <c r="L825" s="4" t="s">
        <v>6888</v>
      </c>
      <c r="M825" s="4" t="s">
        <v>46</v>
      </c>
      <c r="N825" s="4"/>
      <c r="O825" s="4" t="s">
        <v>47</v>
      </c>
      <c r="P825" s="4" t="s">
        <v>48</v>
      </c>
      <c r="Q825" s="4">
        <v>0</v>
      </c>
      <c r="R825" s="4" t="b">
        <v>0</v>
      </c>
      <c r="S825" s="4" t="s">
        <v>61</v>
      </c>
      <c r="T825" s="4" t="s">
        <v>583</v>
      </c>
      <c r="U825" s="4" t="s">
        <v>527</v>
      </c>
      <c r="V825" s="4" t="s">
        <v>63</v>
      </c>
      <c r="W825" s="4" t="s">
        <v>108</v>
      </c>
      <c r="X825" s="4" t="s">
        <v>98</v>
      </c>
      <c r="Y825" s="4" t="s">
        <v>2052</v>
      </c>
      <c r="Z825" s="12">
        <v>0</v>
      </c>
      <c r="AA825" s="13" t="s">
        <v>9156</v>
      </c>
      <c r="AB825" s="13" t="s">
        <v>9155</v>
      </c>
      <c r="AC825" s="14" t="s">
        <v>9148</v>
      </c>
      <c r="AD825" s="14" t="s">
        <v>9140</v>
      </c>
      <c r="AE825" s="14" t="s">
        <v>9140</v>
      </c>
      <c r="AF825" s="14" t="s">
        <v>63</v>
      </c>
      <c r="AG825" s="14" t="s">
        <v>98</v>
      </c>
      <c r="AH825" s="15" t="s">
        <v>9220</v>
      </c>
      <c r="AI825" s="15" t="s">
        <v>9191</v>
      </c>
      <c r="AJ825" s="15" t="s">
        <v>9143</v>
      </c>
      <c r="AK825" s="15" t="s">
        <v>9221</v>
      </c>
      <c r="AL825" s="15" t="s">
        <v>9234</v>
      </c>
      <c r="AM825" s="16" t="s">
        <v>9221</v>
      </c>
      <c r="AN825" s="16" t="s">
        <v>9235</v>
      </c>
    </row>
    <row r="826" spans="1:40" x14ac:dyDescent="0.25">
      <c r="A826" s="4" t="s">
        <v>2427</v>
      </c>
      <c r="B826" s="4"/>
      <c r="C826" s="4" t="s">
        <v>39</v>
      </c>
      <c r="D826" s="4" t="s">
        <v>2428</v>
      </c>
      <c r="E826" s="4" t="s">
        <v>2429</v>
      </c>
      <c r="F826" s="10">
        <v>45502</v>
      </c>
      <c r="G826" s="11">
        <v>0.58333333333333337</v>
      </c>
      <c r="H826" s="4" t="s">
        <v>1939</v>
      </c>
      <c r="I826" s="4" t="s">
        <v>2393</v>
      </c>
      <c r="J826" s="4" t="s">
        <v>2394</v>
      </c>
      <c r="K826" s="4" t="s">
        <v>2430</v>
      </c>
      <c r="L826" s="4" t="s">
        <v>2431</v>
      </c>
      <c r="M826" s="4" t="s">
        <v>46</v>
      </c>
      <c r="N826" s="4"/>
      <c r="O826" s="4" t="s">
        <v>47</v>
      </c>
      <c r="P826" s="4" t="s">
        <v>48</v>
      </c>
      <c r="Q826" s="4">
        <v>0</v>
      </c>
      <c r="R826" s="4" t="b">
        <v>0</v>
      </c>
      <c r="S826" s="4" t="s">
        <v>61</v>
      </c>
      <c r="T826" s="4" t="s">
        <v>1495</v>
      </c>
      <c r="U826" s="4" t="s">
        <v>2432</v>
      </c>
      <c r="V826" s="4" t="s">
        <v>63</v>
      </c>
      <c r="W826" s="4" t="s">
        <v>64</v>
      </c>
      <c r="X826" s="4" t="s">
        <v>54</v>
      </c>
      <c r="Y826" s="4"/>
      <c r="Z826" s="12">
        <v>0</v>
      </c>
      <c r="AA826" s="13" t="s">
        <v>9156</v>
      </c>
      <c r="AB826" s="13" t="s">
        <v>9155</v>
      </c>
      <c r="AC826" s="14" t="s">
        <v>9148</v>
      </c>
      <c r="AD826" s="14" t="s">
        <v>9140</v>
      </c>
      <c r="AE826" s="14" t="s">
        <v>9140</v>
      </c>
      <c r="AF826" s="14" t="s">
        <v>63</v>
      </c>
      <c r="AG826" s="14" t="s">
        <v>54</v>
      </c>
      <c r="AH826" s="15" t="s">
        <v>9194</v>
      </c>
      <c r="AI826" s="15" t="s">
        <v>9175</v>
      </c>
      <c r="AJ826" s="15" t="s">
        <v>9143</v>
      </c>
      <c r="AK826" s="15" t="s">
        <v>9194</v>
      </c>
      <c r="AL826" s="15" t="s">
        <v>9195</v>
      </c>
      <c r="AM826" s="16" t="s">
        <v>9194</v>
      </c>
      <c r="AN826" s="16" t="s">
        <v>9196</v>
      </c>
    </row>
    <row r="827" spans="1:40" x14ac:dyDescent="0.25">
      <c r="A827" s="4" t="s">
        <v>7603</v>
      </c>
      <c r="B827" s="4"/>
      <c r="C827" s="4" t="s">
        <v>39</v>
      </c>
      <c r="D827" s="4" t="s">
        <v>7604</v>
      </c>
      <c r="E827" s="4" t="s">
        <v>7605</v>
      </c>
      <c r="F827" s="10">
        <v>45502</v>
      </c>
      <c r="G827" s="11">
        <v>0.39583333333333331</v>
      </c>
      <c r="H827" s="4" t="s">
        <v>5666</v>
      </c>
      <c r="I827" s="4" t="s">
        <v>7600</v>
      </c>
      <c r="J827" s="4" t="s">
        <v>3806</v>
      </c>
      <c r="K827" s="4" t="s">
        <v>7606</v>
      </c>
      <c r="L827" s="4" t="s">
        <v>7607</v>
      </c>
      <c r="M827" s="4" t="s">
        <v>46</v>
      </c>
      <c r="N827" s="4"/>
      <c r="O827" s="4" t="s">
        <v>47</v>
      </c>
      <c r="P827" s="4" t="s">
        <v>60</v>
      </c>
      <c r="Q827" s="4">
        <v>0</v>
      </c>
      <c r="R827" s="4" t="b">
        <v>0</v>
      </c>
      <c r="S827" s="4" t="s">
        <v>49</v>
      </c>
      <c r="T827" s="4" t="s">
        <v>115</v>
      </c>
      <c r="U827" s="4" t="s">
        <v>175</v>
      </c>
      <c r="V827" s="4" t="s">
        <v>52</v>
      </c>
      <c r="W827" s="4" t="s">
        <v>255</v>
      </c>
      <c r="X827" s="4" t="s">
        <v>98</v>
      </c>
      <c r="Y827" s="4"/>
      <c r="Z827" s="12">
        <v>0</v>
      </c>
      <c r="AA827" s="13" t="s">
        <v>9156</v>
      </c>
      <c r="AB827" s="13" t="s">
        <v>9155</v>
      </c>
      <c r="AC827" s="14" t="s">
        <v>9139</v>
      </c>
      <c r="AD827" s="14" t="s">
        <v>9140</v>
      </c>
      <c r="AE827" s="14" t="s">
        <v>9140</v>
      </c>
      <c r="AF827" s="14" t="s">
        <v>52</v>
      </c>
      <c r="AG827" s="14" t="s">
        <v>98</v>
      </c>
      <c r="AH827" s="15" t="s">
        <v>9220</v>
      </c>
      <c r="AI827" s="15" t="s">
        <v>9199</v>
      </c>
      <c r="AJ827" s="15" t="s">
        <v>9143</v>
      </c>
      <c r="AK827" s="15" t="s">
        <v>9221</v>
      </c>
      <c r="AL827" s="15" t="s">
        <v>9199</v>
      </c>
      <c r="AM827" s="16" t="s">
        <v>9221</v>
      </c>
      <c r="AN827" s="16" t="s">
        <v>9238</v>
      </c>
    </row>
    <row r="828" spans="1:40" x14ac:dyDescent="0.25">
      <c r="A828" s="4" t="s">
        <v>6796</v>
      </c>
      <c r="B828" s="4" t="s">
        <v>6797</v>
      </c>
      <c r="C828" s="4" t="s">
        <v>39</v>
      </c>
      <c r="D828" s="4" t="s">
        <v>6798</v>
      </c>
      <c r="E828" s="4" t="s">
        <v>6799</v>
      </c>
      <c r="F828" s="10">
        <v>45501</v>
      </c>
      <c r="G828" s="11">
        <v>0.6118055555555556</v>
      </c>
      <c r="H828" s="4" t="s">
        <v>4910</v>
      </c>
      <c r="I828" s="4" t="s">
        <v>6800</v>
      </c>
      <c r="J828" s="4" t="s">
        <v>2914</v>
      </c>
      <c r="K828" s="4" t="s">
        <v>851</v>
      </c>
      <c r="L828" s="4" t="s">
        <v>6801</v>
      </c>
      <c r="M828" s="4" t="s">
        <v>28</v>
      </c>
      <c r="N828" s="4" t="s">
        <v>183</v>
      </c>
      <c r="O828" s="4" t="s">
        <v>174</v>
      </c>
      <c r="P828" s="4" t="s">
        <v>48</v>
      </c>
      <c r="Q828" s="4">
        <v>8</v>
      </c>
      <c r="R828" s="4" t="b">
        <v>0</v>
      </c>
      <c r="S828" s="4" t="s">
        <v>184</v>
      </c>
      <c r="T828" s="4" t="s">
        <v>583</v>
      </c>
      <c r="U828" s="4" t="s">
        <v>51</v>
      </c>
      <c r="V828" s="4" t="s">
        <v>72</v>
      </c>
      <c r="W828" s="4" t="s">
        <v>73</v>
      </c>
      <c r="X828" s="4" t="s">
        <v>54</v>
      </c>
      <c r="Y828" s="4"/>
      <c r="Z828" s="12" t="s">
        <v>48</v>
      </c>
      <c r="AA828" s="13" t="s">
        <v>9158</v>
      </c>
      <c r="AB828" s="13" t="s">
        <v>9155</v>
      </c>
      <c r="AC828" s="14" t="s">
        <v>9166</v>
      </c>
      <c r="AD828" s="14" t="s">
        <v>28</v>
      </c>
      <c r="AE828" s="14" t="s">
        <v>183</v>
      </c>
      <c r="AF828" s="14" t="s">
        <v>72</v>
      </c>
      <c r="AG828" s="14" t="s">
        <v>54</v>
      </c>
      <c r="AH828" s="15" t="s">
        <v>9220</v>
      </c>
      <c r="AI828" s="15" t="s">
        <v>9191</v>
      </c>
      <c r="AJ828" s="15" t="s">
        <v>9143</v>
      </c>
      <c r="AK828" s="15" t="s">
        <v>9221</v>
      </c>
      <c r="AL828" s="15" t="s">
        <v>9234</v>
      </c>
      <c r="AM828" s="16" t="s">
        <v>9221</v>
      </c>
      <c r="AN828" s="16" t="s">
        <v>9235</v>
      </c>
    </row>
    <row r="829" spans="1:40" x14ac:dyDescent="0.25">
      <c r="A829" s="4" t="s">
        <v>7696</v>
      </c>
      <c r="B829" s="4" t="s">
        <v>7697</v>
      </c>
      <c r="C829" s="4" t="s">
        <v>39</v>
      </c>
      <c r="D829" s="4" t="s">
        <v>7698</v>
      </c>
      <c r="E829" s="4" t="s">
        <v>7699</v>
      </c>
      <c r="F829" s="10">
        <v>45499</v>
      </c>
      <c r="G829" s="11">
        <v>0.62083333333333335</v>
      </c>
      <c r="H829" s="4" t="s">
        <v>4910</v>
      </c>
      <c r="I829" s="4" t="s">
        <v>7681</v>
      </c>
      <c r="J829" s="4" t="s">
        <v>2956</v>
      </c>
      <c r="K829" s="4" t="s">
        <v>877</v>
      </c>
      <c r="L829" s="4" t="s">
        <v>7700</v>
      </c>
      <c r="M829" s="4" t="s">
        <v>28</v>
      </c>
      <c r="N829" s="4" t="s">
        <v>183</v>
      </c>
      <c r="O829" s="4" t="s">
        <v>174</v>
      </c>
      <c r="P829" s="4" t="s">
        <v>48</v>
      </c>
      <c r="Q829" s="4">
        <v>71</v>
      </c>
      <c r="R829" s="4" t="b">
        <v>0</v>
      </c>
      <c r="S829" s="4" t="s">
        <v>114</v>
      </c>
      <c r="T829" s="4" t="s">
        <v>583</v>
      </c>
      <c r="U829" s="4" t="s">
        <v>140</v>
      </c>
      <c r="V829" s="4" t="s">
        <v>123</v>
      </c>
      <c r="W829" s="4" t="s">
        <v>149</v>
      </c>
      <c r="X829" s="4" t="s">
        <v>54</v>
      </c>
      <c r="Y829" s="4"/>
      <c r="Z829" s="12" t="s">
        <v>48</v>
      </c>
      <c r="AA829" s="13" t="s">
        <v>9158</v>
      </c>
      <c r="AB829" s="13" t="s">
        <v>9155</v>
      </c>
      <c r="AC829" s="14" t="s">
        <v>9157</v>
      </c>
      <c r="AD829" s="14" t="s">
        <v>28</v>
      </c>
      <c r="AE829" s="14" t="s">
        <v>183</v>
      </c>
      <c r="AF829" s="14" t="s">
        <v>123</v>
      </c>
      <c r="AG829" s="14" t="s">
        <v>54</v>
      </c>
      <c r="AH829" s="15" t="s">
        <v>9220</v>
      </c>
      <c r="AI829" s="15" t="s">
        <v>9191</v>
      </c>
      <c r="AJ829" s="15" t="s">
        <v>9143</v>
      </c>
      <c r="AK829" s="15" t="s">
        <v>9221</v>
      </c>
      <c r="AL829" s="15" t="s">
        <v>9234</v>
      </c>
      <c r="AM829" s="16" t="s">
        <v>9221</v>
      </c>
      <c r="AN829" s="16" t="s">
        <v>9235</v>
      </c>
    </row>
    <row r="830" spans="1:40" x14ac:dyDescent="0.25">
      <c r="A830" s="4" t="s">
        <v>5090</v>
      </c>
      <c r="B830" s="4"/>
      <c r="C830" s="4" t="s">
        <v>39</v>
      </c>
      <c r="D830" s="4" t="s">
        <v>5091</v>
      </c>
      <c r="E830" s="4" t="s">
        <v>5092</v>
      </c>
      <c r="F830" s="10">
        <v>45499</v>
      </c>
      <c r="G830" s="11">
        <v>0.70833333333333337</v>
      </c>
      <c r="H830" s="4" t="s">
        <v>4910</v>
      </c>
      <c r="I830" s="4" t="s">
        <v>5077</v>
      </c>
      <c r="J830" s="4" t="s">
        <v>2140</v>
      </c>
      <c r="K830" s="4" t="s">
        <v>5093</v>
      </c>
      <c r="L830" s="4" t="s">
        <v>5094</v>
      </c>
      <c r="M830" s="4" t="s">
        <v>46</v>
      </c>
      <c r="N830" s="4"/>
      <c r="O830" s="4" t="s">
        <v>47</v>
      </c>
      <c r="P830" s="4" t="s">
        <v>48</v>
      </c>
      <c r="Q830" s="4">
        <v>0</v>
      </c>
      <c r="R830" s="4" t="b">
        <v>0</v>
      </c>
      <c r="S830" s="4" t="s">
        <v>61</v>
      </c>
      <c r="T830" s="4" t="s">
        <v>70</v>
      </c>
      <c r="U830" s="4" t="s">
        <v>527</v>
      </c>
      <c r="V830" s="4" t="s">
        <v>63</v>
      </c>
      <c r="W830" s="4" t="s">
        <v>108</v>
      </c>
      <c r="X830" s="4" t="s">
        <v>54</v>
      </c>
      <c r="Y830" s="4"/>
      <c r="Z830" s="12">
        <v>0</v>
      </c>
      <c r="AA830" s="13" t="s">
        <v>9158</v>
      </c>
      <c r="AB830" s="13" t="s">
        <v>9155</v>
      </c>
      <c r="AC830" s="14" t="s">
        <v>9148</v>
      </c>
      <c r="AD830" s="14" t="s">
        <v>9140</v>
      </c>
      <c r="AE830" s="14" t="s">
        <v>9140</v>
      </c>
      <c r="AF830" s="14" t="s">
        <v>63</v>
      </c>
      <c r="AG830" s="14" t="s">
        <v>54</v>
      </c>
      <c r="AH830" s="15" t="s">
        <v>9220</v>
      </c>
      <c r="AI830" s="15" t="s">
        <v>9191</v>
      </c>
      <c r="AJ830" s="15" t="s">
        <v>9143</v>
      </c>
      <c r="AK830" s="15" t="s">
        <v>9221</v>
      </c>
      <c r="AL830" s="15" t="s">
        <v>9226</v>
      </c>
      <c r="AM830" s="16" t="s">
        <v>9221</v>
      </c>
      <c r="AN830" s="16" t="s">
        <v>9227</v>
      </c>
    </row>
    <row r="831" spans="1:40" x14ac:dyDescent="0.25">
      <c r="A831" s="4" t="s">
        <v>7086</v>
      </c>
      <c r="B831" s="4"/>
      <c r="C831" s="4" t="s">
        <v>39</v>
      </c>
      <c r="D831" s="4" t="s">
        <v>7087</v>
      </c>
      <c r="E831" s="4" t="s">
        <v>7088</v>
      </c>
      <c r="F831" s="10">
        <v>45499</v>
      </c>
      <c r="G831" s="11">
        <v>0.51041666666666663</v>
      </c>
      <c r="H831" s="4" t="s">
        <v>4242</v>
      </c>
      <c r="I831" s="4" t="s">
        <v>7028</v>
      </c>
      <c r="J831" s="4" t="s">
        <v>7029</v>
      </c>
      <c r="K831" s="4" t="s">
        <v>7089</v>
      </c>
      <c r="L831" s="4" t="s">
        <v>7090</v>
      </c>
      <c r="M831" s="4" t="s">
        <v>46</v>
      </c>
      <c r="N831" s="4"/>
      <c r="O831" s="4" t="s">
        <v>47</v>
      </c>
      <c r="P831" s="4" t="s">
        <v>48</v>
      </c>
      <c r="Q831" s="4">
        <v>0</v>
      </c>
      <c r="R831" s="4" t="b">
        <v>0</v>
      </c>
      <c r="S831" s="4" t="s">
        <v>49</v>
      </c>
      <c r="T831" s="4" t="s">
        <v>433</v>
      </c>
      <c r="U831" s="4" t="s">
        <v>71</v>
      </c>
      <c r="V831" s="4" t="s">
        <v>72</v>
      </c>
      <c r="W831" s="4" t="s">
        <v>73</v>
      </c>
      <c r="X831" s="4" t="s">
        <v>54</v>
      </c>
      <c r="Y831" s="4"/>
      <c r="Z831" s="12">
        <v>0</v>
      </c>
      <c r="AA831" s="13" t="s">
        <v>9158</v>
      </c>
      <c r="AB831" s="13" t="s">
        <v>9155</v>
      </c>
      <c r="AC831" s="14" t="s">
        <v>9139</v>
      </c>
      <c r="AD831" s="14" t="s">
        <v>9140</v>
      </c>
      <c r="AE831" s="14" t="s">
        <v>9140</v>
      </c>
      <c r="AF831" s="14" t="s">
        <v>72</v>
      </c>
      <c r="AG831" s="14" t="s">
        <v>54</v>
      </c>
      <c r="AH831" s="15" t="s">
        <v>9220</v>
      </c>
      <c r="AI831" s="15" t="s">
        <v>9187</v>
      </c>
      <c r="AJ831" s="15" t="s">
        <v>9143</v>
      </c>
      <c r="AK831" s="15" t="s">
        <v>9221</v>
      </c>
      <c r="AL831" s="15" t="s">
        <v>9226</v>
      </c>
      <c r="AM831" s="16" t="s">
        <v>9221</v>
      </c>
      <c r="AN831" s="16" t="s">
        <v>9227</v>
      </c>
    </row>
    <row r="832" spans="1:40" x14ac:dyDescent="0.25">
      <c r="A832" s="4" t="s">
        <v>3056</v>
      </c>
      <c r="B832" s="4"/>
      <c r="C832" s="4" t="s">
        <v>39</v>
      </c>
      <c r="D832" s="4" t="s">
        <v>3057</v>
      </c>
      <c r="E832" s="4" t="s">
        <v>3058</v>
      </c>
      <c r="F832" s="10">
        <v>45499</v>
      </c>
      <c r="G832" s="11">
        <v>0.5</v>
      </c>
      <c r="H832" s="4" t="s">
        <v>1939</v>
      </c>
      <c r="I832" s="4" t="s">
        <v>3053</v>
      </c>
      <c r="J832" s="4" t="s">
        <v>3054</v>
      </c>
      <c r="K832" s="4" t="s">
        <v>3059</v>
      </c>
      <c r="L832" s="4" t="s">
        <v>3060</v>
      </c>
      <c r="M832" s="4" t="s">
        <v>46</v>
      </c>
      <c r="N832" s="4"/>
      <c r="O832" s="4" t="s">
        <v>47</v>
      </c>
      <c r="P832" s="4" t="s">
        <v>48</v>
      </c>
      <c r="Q832" s="4">
        <v>0</v>
      </c>
      <c r="R832" s="4" t="b">
        <v>0</v>
      </c>
      <c r="S832" s="4" t="s">
        <v>61</v>
      </c>
      <c r="T832" s="4" t="s">
        <v>3061</v>
      </c>
      <c r="U832" s="4" t="s">
        <v>2065</v>
      </c>
      <c r="V832" s="4" t="s">
        <v>52</v>
      </c>
      <c r="W832" s="4" t="s">
        <v>255</v>
      </c>
      <c r="X832" s="4" t="s">
        <v>54</v>
      </c>
      <c r="Y832" s="4"/>
      <c r="Z832" s="12">
        <v>0</v>
      </c>
      <c r="AA832" s="13" t="s">
        <v>9158</v>
      </c>
      <c r="AB832" s="13" t="s">
        <v>9155</v>
      </c>
      <c r="AC832" s="14" t="s">
        <v>9148</v>
      </c>
      <c r="AD832" s="14" t="s">
        <v>9140</v>
      </c>
      <c r="AE832" s="14" t="s">
        <v>9140</v>
      </c>
      <c r="AF832" s="14" t="s">
        <v>52</v>
      </c>
      <c r="AG832" s="14" t="s">
        <v>54</v>
      </c>
      <c r="AH832" s="15" t="s">
        <v>9194</v>
      </c>
      <c r="AI832" s="15" t="s">
        <v>9175</v>
      </c>
      <c r="AJ832" s="15" t="s">
        <v>9143</v>
      </c>
      <c r="AK832" s="15" t="s">
        <v>9194</v>
      </c>
      <c r="AL832" s="15" t="s">
        <v>9209</v>
      </c>
      <c r="AM832" s="16" t="s">
        <v>9194</v>
      </c>
      <c r="AN832" s="16" t="s">
        <v>9210</v>
      </c>
    </row>
    <row r="833" spans="1:40" x14ac:dyDescent="0.25">
      <c r="A833" s="4" t="s">
        <v>3062</v>
      </c>
      <c r="B833" s="4"/>
      <c r="C833" s="4" t="s">
        <v>39</v>
      </c>
      <c r="D833" s="4" t="s">
        <v>3063</v>
      </c>
      <c r="E833" s="4" t="s">
        <v>3064</v>
      </c>
      <c r="F833" s="10">
        <v>45499</v>
      </c>
      <c r="G833" s="11">
        <v>0.69791666666666663</v>
      </c>
      <c r="H833" s="4" t="s">
        <v>1939</v>
      </c>
      <c r="I833" s="4" t="s">
        <v>3053</v>
      </c>
      <c r="J833" s="4" t="s">
        <v>3054</v>
      </c>
      <c r="K833" s="4" t="s">
        <v>3065</v>
      </c>
      <c r="L833" s="4" t="s">
        <v>3066</v>
      </c>
      <c r="M833" s="4" t="s">
        <v>46</v>
      </c>
      <c r="N833" s="4"/>
      <c r="O833" s="4" t="s">
        <v>47</v>
      </c>
      <c r="P833" s="4" t="s">
        <v>60</v>
      </c>
      <c r="Q833" s="4">
        <v>0</v>
      </c>
      <c r="R833" s="4" t="b">
        <v>0</v>
      </c>
      <c r="S833" s="4" t="s">
        <v>49</v>
      </c>
      <c r="T833" s="4" t="s">
        <v>70</v>
      </c>
      <c r="U833" s="4" t="s">
        <v>71</v>
      </c>
      <c r="V833" s="4" t="s">
        <v>72</v>
      </c>
      <c r="W833" s="4" t="s">
        <v>73</v>
      </c>
      <c r="X833" s="4" t="s">
        <v>54</v>
      </c>
      <c r="Y833" s="4"/>
      <c r="Z833" s="12">
        <v>0</v>
      </c>
      <c r="AA833" s="13" t="s">
        <v>9158</v>
      </c>
      <c r="AB833" s="13" t="s">
        <v>9155</v>
      </c>
      <c r="AC833" s="14" t="s">
        <v>9139</v>
      </c>
      <c r="AD833" s="14" t="s">
        <v>9140</v>
      </c>
      <c r="AE833" s="14" t="s">
        <v>9140</v>
      </c>
      <c r="AF833" s="14" t="s">
        <v>72</v>
      </c>
      <c r="AG833" s="14" t="s">
        <v>54</v>
      </c>
      <c r="AH833" s="15" t="s">
        <v>9194</v>
      </c>
      <c r="AI833" s="15" t="s">
        <v>9175</v>
      </c>
      <c r="AJ833" s="15" t="s">
        <v>9143</v>
      </c>
      <c r="AK833" s="15" t="s">
        <v>9194</v>
      </c>
      <c r="AL833" s="15" t="s">
        <v>9209</v>
      </c>
      <c r="AM833" s="16" t="s">
        <v>9194</v>
      </c>
      <c r="AN833" s="16" t="s">
        <v>9210</v>
      </c>
    </row>
    <row r="834" spans="1:40" x14ac:dyDescent="0.25">
      <c r="A834" s="4" t="s">
        <v>1955</v>
      </c>
      <c r="B834" s="4"/>
      <c r="C834" s="4" t="s">
        <v>39</v>
      </c>
      <c r="D834" s="4" t="s">
        <v>1951</v>
      </c>
      <c r="E834" s="4" t="s">
        <v>1952</v>
      </c>
      <c r="F834" s="10">
        <v>45499</v>
      </c>
      <c r="G834" s="11">
        <v>0.29166666666666669</v>
      </c>
      <c r="H834" s="4" t="s">
        <v>1939</v>
      </c>
      <c r="I834" s="4" t="s">
        <v>1940</v>
      </c>
      <c r="J834" s="4" t="s">
        <v>1941</v>
      </c>
      <c r="K834" s="4" t="s">
        <v>1956</v>
      </c>
      <c r="L834" s="4" t="s">
        <v>1957</v>
      </c>
      <c r="M834" s="4" t="s">
        <v>46</v>
      </c>
      <c r="N834" s="4"/>
      <c r="O834" s="4" t="s">
        <v>47</v>
      </c>
      <c r="P834" s="4" t="s">
        <v>48</v>
      </c>
      <c r="Q834" s="4">
        <v>0</v>
      </c>
      <c r="R834" s="4" t="b">
        <v>0</v>
      </c>
      <c r="S834" s="4" t="s">
        <v>61</v>
      </c>
      <c r="T834" s="4" t="s">
        <v>115</v>
      </c>
      <c r="U834" s="4" t="s">
        <v>51</v>
      </c>
      <c r="V834" s="4" t="s">
        <v>52</v>
      </c>
      <c r="W834" s="4" t="s">
        <v>135</v>
      </c>
      <c r="X834" s="4" t="s">
        <v>54</v>
      </c>
      <c r="Y834" s="4"/>
      <c r="Z834" s="12">
        <v>0</v>
      </c>
      <c r="AA834" s="13" t="s">
        <v>9158</v>
      </c>
      <c r="AB834" s="13" t="s">
        <v>9155</v>
      </c>
      <c r="AC834" s="14" t="s">
        <v>9148</v>
      </c>
      <c r="AD834" s="14" t="s">
        <v>9140</v>
      </c>
      <c r="AE834" s="14" t="s">
        <v>9140</v>
      </c>
      <c r="AF834" s="14" t="s">
        <v>52</v>
      </c>
      <c r="AG834" s="14" t="s">
        <v>54</v>
      </c>
      <c r="AH834" s="15" t="s">
        <v>9194</v>
      </c>
      <c r="AI834" s="15" t="s">
        <v>9175</v>
      </c>
      <c r="AJ834" s="15" t="s">
        <v>9143</v>
      </c>
      <c r="AK834" s="15" t="s">
        <v>9194</v>
      </c>
      <c r="AL834" s="15" t="s">
        <v>9195</v>
      </c>
      <c r="AM834" s="16" t="s">
        <v>9194</v>
      </c>
      <c r="AN834" s="16" t="s">
        <v>9196</v>
      </c>
    </row>
    <row r="835" spans="1:40" x14ac:dyDescent="0.25">
      <c r="A835" s="4" t="s">
        <v>117</v>
      </c>
      <c r="B835" s="4"/>
      <c r="C835" s="4" t="s">
        <v>39</v>
      </c>
      <c r="D835" s="4" t="s">
        <v>118</v>
      </c>
      <c r="E835" s="4" t="s">
        <v>119</v>
      </c>
      <c r="F835" s="10">
        <v>45499</v>
      </c>
      <c r="G835" s="11">
        <v>0.3888888888888889</v>
      </c>
      <c r="H835" s="4" t="s">
        <v>42</v>
      </c>
      <c r="I835" s="4">
        <v>1006</v>
      </c>
      <c r="J835" s="4" t="s">
        <v>94</v>
      </c>
      <c r="K835" s="4" t="s">
        <v>120</v>
      </c>
      <c r="L835" s="4" t="s">
        <v>121</v>
      </c>
      <c r="M835" s="4" t="s">
        <v>46</v>
      </c>
      <c r="N835" s="4"/>
      <c r="O835" s="4" t="s">
        <v>47</v>
      </c>
      <c r="P835" s="4" t="s">
        <v>48</v>
      </c>
      <c r="Q835" s="4">
        <v>0</v>
      </c>
      <c r="R835" s="4" t="b">
        <v>0</v>
      </c>
      <c r="S835" s="4" t="s">
        <v>49</v>
      </c>
      <c r="T835" s="4" t="s">
        <v>50</v>
      </c>
      <c r="U835" s="4" t="s">
        <v>122</v>
      </c>
      <c r="V835" s="4" t="s">
        <v>123</v>
      </c>
      <c r="W835" s="4" t="s">
        <v>124</v>
      </c>
      <c r="X835" s="4" t="s">
        <v>54</v>
      </c>
      <c r="Y835" s="4"/>
      <c r="Z835" s="12">
        <v>0</v>
      </c>
      <c r="AA835" s="13" t="s">
        <v>9158</v>
      </c>
      <c r="AB835" s="13" t="s">
        <v>9155</v>
      </c>
      <c r="AC835" s="14" t="s">
        <v>9139</v>
      </c>
      <c r="AD835" s="14" t="s">
        <v>9140</v>
      </c>
      <c r="AE835" s="14" t="s">
        <v>9140</v>
      </c>
      <c r="AF835" s="14" t="s">
        <v>123</v>
      </c>
      <c r="AG835" s="14" t="s">
        <v>54</v>
      </c>
      <c r="AH835" s="15" t="s">
        <v>9141</v>
      </c>
      <c r="AI835" s="15" t="s">
        <v>9142</v>
      </c>
      <c r="AJ835" s="15" t="s">
        <v>9143</v>
      </c>
      <c r="AK835" s="15" t="s">
        <v>9141</v>
      </c>
      <c r="AL835" s="15" t="s">
        <v>9144</v>
      </c>
      <c r="AM835" s="16" t="s">
        <v>9141</v>
      </c>
      <c r="AN835" s="16" t="s">
        <v>9145</v>
      </c>
    </row>
    <row r="836" spans="1:40" x14ac:dyDescent="0.25">
      <c r="A836" s="4" t="s">
        <v>3873</v>
      </c>
      <c r="B836" s="4"/>
      <c r="C836" s="4" t="s">
        <v>39</v>
      </c>
      <c r="D836" s="4" t="s">
        <v>3874</v>
      </c>
      <c r="E836" s="4" t="s">
        <v>3875</v>
      </c>
      <c r="F836" s="10">
        <v>45498</v>
      </c>
      <c r="G836" s="11">
        <v>0.625</v>
      </c>
      <c r="H836" s="4" t="s">
        <v>3119</v>
      </c>
      <c r="I836" s="4" t="s">
        <v>3876</v>
      </c>
      <c r="J836" s="4" t="s">
        <v>3877</v>
      </c>
      <c r="K836" s="4" t="s">
        <v>3878</v>
      </c>
      <c r="L836" s="4" t="s">
        <v>3879</v>
      </c>
      <c r="M836" s="4" t="s">
        <v>46</v>
      </c>
      <c r="N836" s="4"/>
      <c r="O836" s="4" t="s">
        <v>47</v>
      </c>
      <c r="P836" s="4" t="s">
        <v>48</v>
      </c>
      <c r="Q836" s="4">
        <v>0</v>
      </c>
      <c r="R836" s="4" t="b">
        <v>0</v>
      </c>
      <c r="S836" s="4" t="s">
        <v>61</v>
      </c>
      <c r="T836" s="4" t="s">
        <v>583</v>
      </c>
      <c r="U836" s="4" t="s">
        <v>1546</v>
      </c>
      <c r="V836" s="4" t="s">
        <v>1547</v>
      </c>
      <c r="W836" s="4" t="s">
        <v>3880</v>
      </c>
      <c r="X836" s="4" t="s">
        <v>817</v>
      </c>
      <c r="Y836" s="4"/>
      <c r="Z836" s="12">
        <v>0</v>
      </c>
      <c r="AA836" s="13" t="s">
        <v>9158</v>
      </c>
      <c r="AB836" s="13" t="s">
        <v>9155</v>
      </c>
      <c r="AC836" s="14" t="s">
        <v>9148</v>
      </c>
      <c r="AD836" s="14" t="s">
        <v>9140</v>
      </c>
      <c r="AE836" s="14" t="s">
        <v>9140</v>
      </c>
      <c r="AF836" s="14" t="s">
        <v>1547</v>
      </c>
      <c r="AG836" s="14" t="s">
        <v>817</v>
      </c>
      <c r="AH836" s="15" t="s">
        <v>9194</v>
      </c>
      <c r="AI836" s="15" t="s">
        <v>9213</v>
      </c>
      <c r="AJ836" s="15" t="s">
        <v>9143</v>
      </c>
      <c r="AK836" s="15" t="s">
        <v>9194</v>
      </c>
      <c r="AL836" s="15" t="s">
        <v>9205</v>
      </c>
      <c r="AM836" s="16" t="s">
        <v>9194</v>
      </c>
      <c r="AN836" s="16" t="s">
        <v>9206</v>
      </c>
    </row>
    <row r="837" spans="1:40" x14ac:dyDescent="0.25">
      <c r="A837" s="4" t="s">
        <v>8831</v>
      </c>
      <c r="B837" s="4"/>
      <c r="C837" s="4" t="s">
        <v>39</v>
      </c>
      <c r="D837" s="4" t="s">
        <v>8832</v>
      </c>
      <c r="E837" s="4" t="s">
        <v>8833</v>
      </c>
      <c r="F837" s="10">
        <v>45497</v>
      </c>
      <c r="G837" s="11">
        <v>0.55277777777777781</v>
      </c>
      <c r="H837" s="4" t="s">
        <v>4516</v>
      </c>
      <c r="I837" s="4" t="s">
        <v>8818</v>
      </c>
      <c r="J837" s="4" t="s">
        <v>8819</v>
      </c>
      <c r="K837" s="4" t="s">
        <v>7389</v>
      </c>
      <c r="L837" s="4" t="s">
        <v>8834</v>
      </c>
      <c r="M837" s="4" t="s">
        <v>46</v>
      </c>
      <c r="N837" s="4"/>
      <c r="O837" s="4" t="s">
        <v>47</v>
      </c>
      <c r="P837" s="4" t="s">
        <v>48</v>
      </c>
      <c r="Q837" s="4">
        <v>0</v>
      </c>
      <c r="R837" s="4" t="b">
        <v>0</v>
      </c>
      <c r="S837" s="4" t="s">
        <v>61</v>
      </c>
      <c r="T837" s="4" t="s">
        <v>70</v>
      </c>
      <c r="U837" s="4" t="s">
        <v>71</v>
      </c>
      <c r="V837" s="4" t="s">
        <v>72</v>
      </c>
      <c r="W837" s="4" t="s">
        <v>73</v>
      </c>
      <c r="X837" s="4" t="s">
        <v>54</v>
      </c>
      <c r="Y837" s="4"/>
      <c r="Z837" s="12">
        <v>0</v>
      </c>
      <c r="AA837" s="13" t="s">
        <v>9158</v>
      </c>
      <c r="AB837" s="13" t="s">
        <v>9155</v>
      </c>
      <c r="AC837" s="14" t="s">
        <v>9148</v>
      </c>
      <c r="AD837" s="14" t="s">
        <v>9140</v>
      </c>
      <c r="AE837" s="14" t="s">
        <v>9140</v>
      </c>
      <c r="AF837" s="14" t="s">
        <v>72</v>
      </c>
      <c r="AG837" s="14" t="s">
        <v>54</v>
      </c>
      <c r="AH837" s="15" t="s">
        <v>9220</v>
      </c>
      <c r="AI837" s="15" t="s">
        <v>9188</v>
      </c>
      <c r="AJ837" s="15" t="s">
        <v>9143</v>
      </c>
      <c r="AK837" s="15" t="s">
        <v>9221</v>
      </c>
      <c r="AL837" s="15" t="s">
        <v>9236</v>
      </c>
      <c r="AM837" s="16" t="s">
        <v>9221</v>
      </c>
      <c r="AN837" s="16" t="s">
        <v>9237</v>
      </c>
    </row>
    <row r="838" spans="1:40" x14ac:dyDescent="0.25">
      <c r="A838" s="4" t="s">
        <v>1059</v>
      </c>
      <c r="B838" s="4"/>
      <c r="C838" s="4" t="s">
        <v>39</v>
      </c>
      <c r="D838" s="4" t="s">
        <v>1060</v>
      </c>
      <c r="E838" s="4" t="s">
        <v>1061</v>
      </c>
      <c r="F838" s="10">
        <v>45496</v>
      </c>
      <c r="G838" s="11">
        <v>0.69027777777777777</v>
      </c>
      <c r="H838" s="4" t="s">
        <v>463</v>
      </c>
      <c r="I838" s="4">
        <v>2048</v>
      </c>
      <c r="J838" s="4" t="s">
        <v>1055</v>
      </c>
      <c r="K838" s="4" t="s">
        <v>1062</v>
      </c>
      <c r="L838" s="4" t="s">
        <v>1063</v>
      </c>
      <c r="M838" s="4" t="s">
        <v>46</v>
      </c>
      <c r="N838" s="4"/>
      <c r="O838" s="4" t="s">
        <v>47</v>
      </c>
      <c r="P838" s="4" t="s">
        <v>48</v>
      </c>
      <c r="Q838" s="4">
        <v>0</v>
      </c>
      <c r="R838" s="4" t="b">
        <v>0</v>
      </c>
      <c r="S838" s="4" t="s">
        <v>49</v>
      </c>
      <c r="T838" s="4" t="s">
        <v>89</v>
      </c>
      <c r="U838" s="4" t="s">
        <v>71</v>
      </c>
      <c r="V838" s="4" t="s">
        <v>63</v>
      </c>
      <c r="W838" s="4" t="s">
        <v>108</v>
      </c>
      <c r="X838" s="4" t="s">
        <v>98</v>
      </c>
      <c r="Y838" s="4"/>
      <c r="Z838" s="12">
        <v>0</v>
      </c>
      <c r="AA838" s="13" t="s">
        <v>9158</v>
      </c>
      <c r="AB838" s="13" t="s">
        <v>9155</v>
      </c>
      <c r="AC838" s="14" t="s">
        <v>9139</v>
      </c>
      <c r="AD838" s="14" t="s">
        <v>9140</v>
      </c>
      <c r="AE838" s="14" t="s">
        <v>9140</v>
      </c>
      <c r="AF838" s="14" t="s">
        <v>63</v>
      </c>
      <c r="AG838" s="14" t="s">
        <v>98</v>
      </c>
      <c r="AH838" s="15" t="s">
        <v>9141</v>
      </c>
      <c r="AI838" s="15" t="s">
        <v>9175</v>
      </c>
      <c r="AJ838" s="15" t="s">
        <v>9143</v>
      </c>
      <c r="AK838" s="15" t="s">
        <v>9141</v>
      </c>
      <c r="AL838" s="15" t="s">
        <v>9177</v>
      </c>
      <c r="AM838" s="16" t="s">
        <v>9141</v>
      </c>
      <c r="AN838" s="16" t="s">
        <v>9178</v>
      </c>
    </row>
    <row r="839" spans="1:40" x14ac:dyDescent="0.25">
      <c r="A839" s="4" t="s">
        <v>3218</v>
      </c>
      <c r="B839" s="4"/>
      <c r="C839" s="4" t="s">
        <v>39</v>
      </c>
      <c r="D839" s="4" t="s">
        <v>3219</v>
      </c>
      <c r="E839" s="4" t="s">
        <v>3220</v>
      </c>
      <c r="F839" s="10">
        <v>45496</v>
      </c>
      <c r="G839" s="11">
        <v>0.39930555555555558</v>
      </c>
      <c r="H839" s="4" t="s">
        <v>1992</v>
      </c>
      <c r="I839" s="4" t="s">
        <v>3213</v>
      </c>
      <c r="J839" s="4" t="s">
        <v>1742</v>
      </c>
      <c r="K839" s="4" t="s">
        <v>3216</v>
      </c>
      <c r="L839" s="4" t="s">
        <v>3221</v>
      </c>
      <c r="M839" s="4" t="s">
        <v>46</v>
      </c>
      <c r="N839" s="4"/>
      <c r="O839" s="4" t="s">
        <v>47</v>
      </c>
      <c r="P839" s="4" t="s">
        <v>48</v>
      </c>
      <c r="Q839" s="4">
        <v>0</v>
      </c>
      <c r="R839" s="4" t="b">
        <v>0</v>
      </c>
      <c r="S839" s="4" t="s">
        <v>49</v>
      </c>
      <c r="T839" s="4" t="s">
        <v>70</v>
      </c>
      <c r="U839" s="4" t="s">
        <v>71</v>
      </c>
      <c r="V839" s="4" t="s">
        <v>72</v>
      </c>
      <c r="W839" s="4" t="s">
        <v>73</v>
      </c>
      <c r="X839" s="4" t="s">
        <v>54</v>
      </c>
      <c r="Y839" s="4"/>
      <c r="Z839" s="12">
        <v>0</v>
      </c>
      <c r="AA839" s="13" t="s">
        <v>9158</v>
      </c>
      <c r="AB839" s="13" t="s">
        <v>9155</v>
      </c>
      <c r="AC839" s="14" t="s">
        <v>9139</v>
      </c>
      <c r="AD839" s="14" t="s">
        <v>9140</v>
      </c>
      <c r="AE839" s="14" t="s">
        <v>9140</v>
      </c>
      <c r="AF839" s="14" t="s">
        <v>72</v>
      </c>
      <c r="AG839" s="14" t="s">
        <v>54</v>
      </c>
      <c r="AH839" s="15" t="s">
        <v>9194</v>
      </c>
      <c r="AI839" s="15" t="s">
        <v>9191</v>
      </c>
      <c r="AJ839" s="15" t="s">
        <v>9143</v>
      </c>
      <c r="AK839" s="15" t="s">
        <v>9194</v>
      </c>
      <c r="AL839" s="15" t="s">
        <v>9201</v>
      </c>
      <c r="AM839" s="16" t="s">
        <v>9194</v>
      </c>
      <c r="AN839" s="16" t="s">
        <v>9202</v>
      </c>
    </row>
    <row r="840" spans="1:40" x14ac:dyDescent="0.25">
      <c r="A840" s="4" t="s">
        <v>8523</v>
      </c>
      <c r="B840" s="4" t="s">
        <v>8524</v>
      </c>
      <c r="C840" s="4" t="s">
        <v>39</v>
      </c>
      <c r="D840" s="4" t="s">
        <v>8525</v>
      </c>
      <c r="E840" s="4" t="s">
        <v>8526</v>
      </c>
      <c r="F840" s="10">
        <v>45496</v>
      </c>
      <c r="G840" s="11">
        <v>0.59722222222222221</v>
      </c>
      <c r="H840" s="4" t="s">
        <v>4910</v>
      </c>
      <c r="I840" s="4" t="s">
        <v>8527</v>
      </c>
      <c r="J840" s="4" t="s">
        <v>8528</v>
      </c>
      <c r="K840" s="4" t="s">
        <v>8529</v>
      </c>
      <c r="L840" s="4" t="s">
        <v>8530</v>
      </c>
      <c r="M840" s="4" t="s">
        <v>28</v>
      </c>
      <c r="N840" s="4" t="s">
        <v>183</v>
      </c>
      <c r="O840" s="4" t="s">
        <v>191</v>
      </c>
      <c r="P840" s="4" t="s">
        <v>48</v>
      </c>
      <c r="Q840" s="4">
        <v>1</v>
      </c>
      <c r="R840" s="4" t="b">
        <v>0</v>
      </c>
      <c r="S840" s="4" t="s">
        <v>114</v>
      </c>
      <c r="T840" s="4" t="s">
        <v>583</v>
      </c>
      <c r="U840" s="4" t="s">
        <v>51</v>
      </c>
      <c r="V840" s="4" t="s">
        <v>52</v>
      </c>
      <c r="W840" s="4" t="s">
        <v>135</v>
      </c>
      <c r="X840" s="4" t="s">
        <v>54</v>
      </c>
      <c r="Y840" s="4"/>
      <c r="Z840" s="12" t="s">
        <v>48</v>
      </c>
      <c r="AA840" s="13" t="s">
        <v>9158</v>
      </c>
      <c r="AB840" s="13" t="s">
        <v>9155</v>
      </c>
      <c r="AC840" s="14" t="s">
        <v>9157</v>
      </c>
      <c r="AD840" s="14" t="s">
        <v>28</v>
      </c>
      <c r="AE840" s="14" t="s">
        <v>183</v>
      </c>
      <c r="AF840" s="14" t="s">
        <v>52</v>
      </c>
      <c r="AG840" s="14" t="s">
        <v>54</v>
      </c>
      <c r="AH840" s="15" t="s">
        <v>9220</v>
      </c>
      <c r="AI840" s="15" t="s">
        <v>9191</v>
      </c>
      <c r="AJ840" s="15" t="s">
        <v>9143</v>
      </c>
      <c r="AK840" s="15" t="s">
        <v>9221</v>
      </c>
      <c r="AL840" s="15" t="s">
        <v>9236</v>
      </c>
      <c r="AM840" s="16" t="s">
        <v>9221</v>
      </c>
      <c r="AN840" s="16" t="s">
        <v>9237</v>
      </c>
    </row>
    <row r="841" spans="1:40" x14ac:dyDescent="0.25">
      <c r="A841" s="4" t="s">
        <v>6740</v>
      </c>
      <c r="B841" s="4"/>
      <c r="C841" s="4" t="s">
        <v>39</v>
      </c>
      <c r="D841" s="4" t="s">
        <v>6741</v>
      </c>
      <c r="E841" s="4" t="s">
        <v>6742</v>
      </c>
      <c r="F841" s="10">
        <v>45495</v>
      </c>
      <c r="G841" s="11">
        <v>0.41666666666666669</v>
      </c>
      <c r="H841" s="4" t="s">
        <v>4516</v>
      </c>
      <c r="I841" s="4" t="s">
        <v>6736</v>
      </c>
      <c r="J841" s="4" t="s">
        <v>6737</v>
      </c>
      <c r="K841" s="4" t="s">
        <v>6743</v>
      </c>
      <c r="L841" s="4" t="s">
        <v>6744</v>
      </c>
      <c r="M841" s="4" t="s">
        <v>46</v>
      </c>
      <c r="N841" s="4"/>
      <c r="O841" s="4" t="s">
        <v>47</v>
      </c>
      <c r="P841" s="4" t="s">
        <v>48</v>
      </c>
      <c r="Q841" s="4">
        <v>0</v>
      </c>
      <c r="R841" s="4" t="b">
        <v>0</v>
      </c>
      <c r="S841" s="4" t="s">
        <v>61</v>
      </c>
      <c r="T841" s="4" t="s">
        <v>583</v>
      </c>
      <c r="U841" s="4" t="s">
        <v>51</v>
      </c>
      <c r="V841" s="4" t="s">
        <v>123</v>
      </c>
      <c r="W841" s="4" t="s">
        <v>149</v>
      </c>
      <c r="X841" s="4" t="s">
        <v>54</v>
      </c>
      <c r="Y841" s="4"/>
      <c r="Z841" s="12">
        <v>0</v>
      </c>
      <c r="AA841" s="13" t="s">
        <v>9158</v>
      </c>
      <c r="AB841" s="13" t="s">
        <v>9155</v>
      </c>
      <c r="AC841" s="14" t="s">
        <v>9148</v>
      </c>
      <c r="AD841" s="14" t="s">
        <v>9140</v>
      </c>
      <c r="AE841" s="14" t="s">
        <v>9140</v>
      </c>
      <c r="AF841" s="14" t="s">
        <v>123</v>
      </c>
      <c r="AG841" s="14" t="s">
        <v>54</v>
      </c>
      <c r="AH841" s="15" t="s">
        <v>9220</v>
      </c>
      <c r="AI841" s="15" t="s">
        <v>9188</v>
      </c>
      <c r="AJ841" s="15" t="s">
        <v>9143</v>
      </c>
      <c r="AK841" s="15" t="s">
        <v>9221</v>
      </c>
      <c r="AL841" s="15" t="s">
        <v>9232</v>
      </c>
      <c r="AM841" s="16" t="s">
        <v>9221</v>
      </c>
      <c r="AN841" s="16" t="s">
        <v>9233</v>
      </c>
    </row>
    <row r="842" spans="1:40" x14ac:dyDescent="0.25">
      <c r="A842" s="4" t="s">
        <v>444</v>
      </c>
      <c r="B842" s="4"/>
      <c r="C842" s="4" t="s">
        <v>39</v>
      </c>
      <c r="D842" s="4" t="s">
        <v>445</v>
      </c>
      <c r="E842" s="4" t="s">
        <v>446</v>
      </c>
      <c r="F842" s="10">
        <v>45495</v>
      </c>
      <c r="G842" s="11">
        <v>0.6875</v>
      </c>
      <c r="H842" s="4" t="s">
        <v>42</v>
      </c>
      <c r="I842" s="4">
        <v>1013</v>
      </c>
      <c r="J842" s="4" t="s">
        <v>422</v>
      </c>
      <c r="K842" s="4" t="s">
        <v>447</v>
      </c>
      <c r="L842" s="4" t="s">
        <v>448</v>
      </c>
      <c r="M842" s="4" t="s">
        <v>46</v>
      </c>
      <c r="N842" s="4"/>
      <c r="O842" s="4" t="s">
        <v>47</v>
      </c>
      <c r="P842" s="4" t="s">
        <v>48</v>
      </c>
      <c r="Q842" s="4">
        <v>0</v>
      </c>
      <c r="R842" s="4" t="b">
        <v>0</v>
      </c>
      <c r="S842" s="4" t="s">
        <v>61</v>
      </c>
      <c r="T842" s="4" t="s">
        <v>89</v>
      </c>
      <c r="U842" s="4" t="s">
        <v>90</v>
      </c>
      <c r="V842" s="4" t="s">
        <v>72</v>
      </c>
      <c r="W842" s="4" t="s">
        <v>73</v>
      </c>
      <c r="X842" s="4" t="s">
        <v>54</v>
      </c>
      <c r="Y842" s="4"/>
      <c r="Z842" s="12">
        <v>0</v>
      </c>
      <c r="AA842" s="13" t="s">
        <v>9158</v>
      </c>
      <c r="AB842" s="13" t="s">
        <v>9155</v>
      </c>
      <c r="AC842" s="14" t="s">
        <v>9148</v>
      </c>
      <c r="AD842" s="14" t="s">
        <v>9140</v>
      </c>
      <c r="AE842" s="14" t="s">
        <v>9140</v>
      </c>
      <c r="AF842" s="14" t="s">
        <v>72</v>
      </c>
      <c r="AG842" s="14" t="s">
        <v>54</v>
      </c>
      <c r="AH842" s="15" t="s">
        <v>9141</v>
      </c>
      <c r="AI842" s="15" t="s">
        <v>9142</v>
      </c>
      <c r="AJ842" s="15" t="s">
        <v>9143</v>
      </c>
      <c r="AK842" s="15" t="s">
        <v>9141</v>
      </c>
      <c r="AL842" s="15" t="s">
        <v>9144</v>
      </c>
      <c r="AM842" s="16" t="s">
        <v>9141</v>
      </c>
      <c r="AN842" s="16" t="s">
        <v>9145</v>
      </c>
    </row>
    <row r="843" spans="1:40" x14ac:dyDescent="0.25">
      <c r="A843" s="4" t="s">
        <v>3567</v>
      </c>
      <c r="B843" s="4">
        <v>7041080</v>
      </c>
      <c r="C843" s="4" t="s">
        <v>39</v>
      </c>
      <c r="D843" s="4" t="s">
        <v>3568</v>
      </c>
      <c r="E843" s="4" t="s">
        <v>3569</v>
      </c>
      <c r="F843" s="10">
        <v>45494</v>
      </c>
      <c r="G843" s="11">
        <v>0.66666666666666663</v>
      </c>
      <c r="H843" s="4" t="s">
        <v>2095</v>
      </c>
      <c r="I843" s="4" t="s">
        <v>3563</v>
      </c>
      <c r="J843" s="4" t="s">
        <v>3564</v>
      </c>
      <c r="K843" s="4" t="s">
        <v>3570</v>
      </c>
      <c r="L843" s="4" t="s">
        <v>3571</v>
      </c>
      <c r="M843" s="4" t="s">
        <v>46</v>
      </c>
      <c r="N843" s="4"/>
      <c r="O843" s="4" t="s">
        <v>47</v>
      </c>
      <c r="P843" s="4" t="s">
        <v>48</v>
      </c>
      <c r="Q843" s="4">
        <v>0</v>
      </c>
      <c r="R843" s="4" t="b">
        <v>0</v>
      </c>
      <c r="S843" s="4" t="s">
        <v>61</v>
      </c>
      <c r="T843" s="4" t="s">
        <v>583</v>
      </c>
      <c r="U843" s="4" t="s">
        <v>148</v>
      </c>
      <c r="V843" s="4" t="s">
        <v>52</v>
      </c>
      <c r="W843" s="4" t="s">
        <v>135</v>
      </c>
      <c r="X843" s="4" t="s">
        <v>54</v>
      </c>
      <c r="Y843" s="4"/>
      <c r="Z843" s="12">
        <v>0</v>
      </c>
      <c r="AA843" s="13" t="s">
        <v>9158</v>
      </c>
      <c r="AB843" s="13" t="s">
        <v>9155</v>
      </c>
      <c r="AC843" s="14" t="s">
        <v>9148</v>
      </c>
      <c r="AD843" s="14" t="s">
        <v>9140</v>
      </c>
      <c r="AE843" s="14" t="s">
        <v>9140</v>
      </c>
      <c r="AF843" s="14" t="s">
        <v>52</v>
      </c>
      <c r="AG843" s="14" t="s">
        <v>54</v>
      </c>
      <c r="AH843" s="15" t="s">
        <v>9194</v>
      </c>
      <c r="AI843" s="15" t="s">
        <v>9188</v>
      </c>
      <c r="AJ843" s="15" t="s">
        <v>9143</v>
      </c>
      <c r="AK843" s="15" t="s">
        <v>9194</v>
      </c>
      <c r="AL843" s="15" t="s">
        <v>9201</v>
      </c>
      <c r="AM843" s="16" t="s">
        <v>9194</v>
      </c>
      <c r="AN843" s="16" t="s">
        <v>9202</v>
      </c>
    </row>
    <row r="844" spans="1:40" x14ac:dyDescent="0.25">
      <c r="A844" s="4" t="s">
        <v>125</v>
      </c>
      <c r="B844" s="4"/>
      <c r="C844" s="4" t="s">
        <v>39</v>
      </c>
      <c r="D844" s="4" t="s">
        <v>126</v>
      </c>
      <c r="E844" s="4" t="s">
        <v>127</v>
      </c>
      <c r="F844" s="10">
        <v>45493</v>
      </c>
      <c r="G844" s="11">
        <v>0.42083333333333334</v>
      </c>
      <c r="H844" s="4" t="s">
        <v>42</v>
      </c>
      <c r="I844" s="4">
        <v>1006</v>
      </c>
      <c r="J844" s="4" t="s">
        <v>94</v>
      </c>
      <c r="K844" s="4" t="s">
        <v>102</v>
      </c>
      <c r="L844" s="4" t="s">
        <v>128</v>
      </c>
      <c r="M844" s="4" t="s">
        <v>46</v>
      </c>
      <c r="N844" s="4"/>
      <c r="O844" s="4" t="s">
        <v>47</v>
      </c>
      <c r="P844" s="4" t="s">
        <v>48</v>
      </c>
      <c r="Q844" s="4">
        <v>0</v>
      </c>
      <c r="R844" s="4" t="b">
        <v>0</v>
      </c>
      <c r="S844" s="4" t="s">
        <v>49</v>
      </c>
      <c r="T844" s="4" t="s">
        <v>70</v>
      </c>
      <c r="U844" s="4" t="s">
        <v>71</v>
      </c>
      <c r="V844" s="4" t="s">
        <v>72</v>
      </c>
      <c r="W844" s="4" t="s">
        <v>97</v>
      </c>
      <c r="X844" s="4" t="s">
        <v>54</v>
      </c>
      <c r="Y844" s="4"/>
      <c r="Z844" s="12">
        <v>0</v>
      </c>
      <c r="AA844" s="13" t="s">
        <v>9158</v>
      </c>
      <c r="AB844" s="13" t="s">
        <v>9155</v>
      </c>
      <c r="AC844" s="14" t="s">
        <v>9139</v>
      </c>
      <c r="AD844" s="14" t="s">
        <v>9140</v>
      </c>
      <c r="AE844" s="14" t="s">
        <v>9140</v>
      </c>
      <c r="AF844" s="14" t="s">
        <v>72</v>
      </c>
      <c r="AG844" s="14" t="s">
        <v>54</v>
      </c>
      <c r="AH844" s="15" t="s">
        <v>9141</v>
      </c>
      <c r="AI844" s="15" t="s">
        <v>9142</v>
      </c>
      <c r="AJ844" s="15" t="s">
        <v>9143</v>
      </c>
      <c r="AK844" s="15" t="s">
        <v>9141</v>
      </c>
      <c r="AL844" s="15" t="s">
        <v>9144</v>
      </c>
      <c r="AM844" s="16" t="s">
        <v>9141</v>
      </c>
      <c r="AN844" s="16" t="s">
        <v>9145</v>
      </c>
    </row>
    <row r="845" spans="1:40" x14ac:dyDescent="0.25">
      <c r="A845" s="4" t="s">
        <v>1909</v>
      </c>
      <c r="B845" s="4" t="s">
        <v>1910</v>
      </c>
      <c r="C845" s="4" t="s">
        <v>39</v>
      </c>
      <c r="D845" s="4" t="s">
        <v>1911</v>
      </c>
      <c r="E845" s="4" t="s">
        <v>1912</v>
      </c>
      <c r="F845" s="10">
        <v>45493</v>
      </c>
      <c r="G845" s="11">
        <v>0.51944444444444449</v>
      </c>
      <c r="H845" s="4" t="s">
        <v>1654</v>
      </c>
      <c r="I845" s="4">
        <v>9098</v>
      </c>
      <c r="J845" s="4" t="s">
        <v>1896</v>
      </c>
      <c r="K845" s="4" t="s">
        <v>1913</v>
      </c>
      <c r="L845" s="4" t="s">
        <v>1914</v>
      </c>
      <c r="M845" s="4" t="s">
        <v>28</v>
      </c>
      <c r="N845" s="4" t="s">
        <v>183</v>
      </c>
      <c r="O845" s="4" t="s">
        <v>174</v>
      </c>
      <c r="P845" s="4" t="s">
        <v>48</v>
      </c>
      <c r="Q845" s="4">
        <v>28</v>
      </c>
      <c r="R845" s="4" t="b">
        <v>0</v>
      </c>
      <c r="S845" s="4" t="s">
        <v>184</v>
      </c>
      <c r="T845" s="4" t="s">
        <v>89</v>
      </c>
      <c r="U845" s="4" t="s">
        <v>148</v>
      </c>
      <c r="V845" s="4" t="s">
        <v>52</v>
      </c>
      <c r="W845" s="4" t="s">
        <v>53</v>
      </c>
      <c r="X845" s="4" t="s">
        <v>54</v>
      </c>
      <c r="Y845" s="4"/>
      <c r="Z845" s="12" t="s">
        <v>48</v>
      </c>
      <c r="AA845" s="13" t="s">
        <v>9158</v>
      </c>
      <c r="AB845" s="13" t="s">
        <v>9155</v>
      </c>
      <c r="AC845" s="14" t="s">
        <v>9166</v>
      </c>
      <c r="AD845" s="14" t="s">
        <v>28</v>
      </c>
      <c r="AE845" s="14" t="s">
        <v>183</v>
      </c>
      <c r="AF845" s="14" t="s">
        <v>52</v>
      </c>
      <c r="AG845" s="14" t="s">
        <v>54</v>
      </c>
      <c r="AH845" s="15" t="s">
        <v>9141</v>
      </c>
      <c r="AI845" s="15" t="s">
        <v>9191</v>
      </c>
      <c r="AJ845" s="15" t="s">
        <v>9143</v>
      </c>
      <c r="AK845" s="15" t="s">
        <v>9141</v>
      </c>
      <c r="AL845" s="15" t="s">
        <v>9191</v>
      </c>
      <c r="AM845" s="16" t="s">
        <v>9141</v>
      </c>
      <c r="AN845" s="16" t="s">
        <v>9192</v>
      </c>
    </row>
    <row r="846" spans="1:40" x14ac:dyDescent="0.25">
      <c r="A846" s="4" t="s">
        <v>8658</v>
      </c>
      <c r="B846" s="4">
        <v>7060825</v>
      </c>
      <c r="C846" s="4" t="s">
        <v>39</v>
      </c>
      <c r="D846" s="4" t="s">
        <v>8643</v>
      </c>
      <c r="E846" s="4" t="s">
        <v>8644</v>
      </c>
      <c r="F846" s="10">
        <v>45493</v>
      </c>
      <c r="G846" s="11">
        <v>0.46388888888888891</v>
      </c>
      <c r="H846" s="4" t="s">
        <v>4516</v>
      </c>
      <c r="I846" s="4" t="s">
        <v>8639</v>
      </c>
      <c r="J846" s="4" t="s">
        <v>1406</v>
      </c>
      <c r="K846" s="4" t="s">
        <v>8659</v>
      </c>
      <c r="L846" s="4" t="s">
        <v>8660</v>
      </c>
      <c r="M846" s="4" t="s">
        <v>28</v>
      </c>
      <c r="N846" s="4" t="s">
        <v>147</v>
      </c>
      <c r="O846" s="4" t="s">
        <v>191</v>
      </c>
      <c r="P846" s="4" t="s">
        <v>48</v>
      </c>
      <c r="Q846" s="4">
        <v>0</v>
      </c>
      <c r="R846" s="4" t="b">
        <v>0</v>
      </c>
      <c r="S846" s="4" t="s">
        <v>114</v>
      </c>
      <c r="T846" s="4" t="s">
        <v>583</v>
      </c>
      <c r="U846" s="4" t="s">
        <v>175</v>
      </c>
      <c r="V846" s="4" t="s">
        <v>52</v>
      </c>
      <c r="W846" s="4" t="s">
        <v>53</v>
      </c>
      <c r="X846" s="4" t="s">
        <v>54</v>
      </c>
      <c r="Y846" s="4"/>
      <c r="Z846" s="12" t="s">
        <v>48</v>
      </c>
      <c r="AA846" s="13" t="s">
        <v>9158</v>
      </c>
      <c r="AB846" s="13" t="s">
        <v>9155</v>
      </c>
      <c r="AC846" s="14" t="s">
        <v>9157</v>
      </c>
      <c r="AD846" s="14" t="s">
        <v>28</v>
      </c>
      <c r="AE846" s="14" t="s">
        <v>9140</v>
      </c>
      <c r="AF846" s="14" t="s">
        <v>52</v>
      </c>
      <c r="AG846" s="14" t="s">
        <v>54</v>
      </c>
      <c r="AH846" s="15" t="s">
        <v>9220</v>
      </c>
      <c r="AI846" s="15" t="s">
        <v>9188</v>
      </c>
      <c r="AJ846" s="15" t="s">
        <v>9143</v>
      </c>
      <c r="AK846" s="15" t="s">
        <v>9221</v>
      </c>
      <c r="AL846" s="15" t="s">
        <v>9236</v>
      </c>
      <c r="AM846" s="16" t="s">
        <v>9221</v>
      </c>
      <c r="AN846" s="16" t="s">
        <v>9237</v>
      </c>
    </row>
    <row r="847" spans="1:40" x14ac:dyDescent="0.25">
      <c r="A847" s="4" t="s">
        <v>2071</v>
      </c>
      <c r="B847" s="4"/>
      <c r="C847" s="4" t="s">
        <v>39</v>
      </c>
      <c r="D847" s="4" t="s">
        <v>2072</v>
      </c>
      <c r="E847" s="4" t="s">
        <v>2073</v>
      </c>
      <c r="F847" s="10">
        <v>45492</v>
      </c>
      <c r="G847" s="11">
        <v>0.6875</v>
      </c>
      <c r="H847" s="4" t="s">
        <v>1992</v>
      </c>
      <c r="I847" s="4" t="s">
        <v>2061</v>
      </c>
      <c r="J847" s="4" t="s">
        <v>2062</v>
      </c>
      <c r="K847" s="4" t="s">
        <v>2074</v>
      </c>
      <c r="L847" s="4" t="s">
        <v>2075</v>
      </c>
      <c r="M847" s="4" t="s">
        <v>46</v>
      </c>
      <c r="N847" s="4"/>
      <c r="O847" s="4" t="s">
        <v>47</v>
      </c>
      <c r="P847" s="4" t="s">
        <v>48</v>
      </c>
      <c r="Q847" s="4">
        <v>0</v>
      </c>
      <c r="R847" s="4" t="b">
        <v>0</v>
      </c>
      <c r="S847" s="4" t="s">
        <v>61</v>
      </c>
      <c r="T847" s="4" t="s">
        <v>349</v>
      </c>
      <c r="U847" s="4" t="s">
        <v>527</v>
      </c>
      <c r="V847" s="4" t="s">
        <v>267</v>
      </c>
      <c r="W847" s="4" t="s">
        <v>331</v>
      </c>
      <c r="X847" s="4" t="s">
        <v>54</v>
      </c>
      <c r="Y847" s="4"/>
      <c r="Z847" s="12">
        <v>0</v>
      </c>
      <c r="AA847" s="13" t="s">
        <v>9158</v>
      </c>
      <c r="AB847" s="13" t="s">
        <v>9155</v>
      </c>
      <c r="AC847" s="14" t="s">
        <v>9148</v>
      </c>
      <c r="AD847" s="14" t="s">
        <v>9140</v>
      </c>
      <c r="AE847" s="14" t="s">
        <v>9140</v>
      </c>
      <c r="AF847" s="14" t="s">
        <v>267</v>
      </c>
      <c r="AG847" s="14" t="s">
        <v>54</v>
      </c>
      <c r="AH847" s="15" t="s">
        <v>9194</v>
      </c>
      <c r="AI847" s="15" t="s">
        <v>9191</v>
      </c>
      <c r="AJ847" s="15" t="s">
        <v>9143</v>
      </c>
      <c r="AK847" s="15" t="s">
        <v>9194</v>
      </c>
      <c r="AL847" s="15" t="s">
        <v>9201</v>
      </c>
      <c r="AM847" s="16" t="s">
        <v>9194</v>
      </c>
      <c r="AN847" s="16" t="s">
        <v>9202</v>
      </c>
    </row>
    <row r="848" spans="1:40" x14ac:dyDescent="0.25">
      <c r="A848" s="4" t="s">
        <v>2032</v>
      </c>
      <c r="B848" s="4"/>
      <c r="C848" s="4" t="s">
        <v>39</v>
      </c>
      <c r="D848" s="4" t="s">
        <v>2033</v>
      </c>
      <c r="E848" s="4" t="s">
        <v>2034</v>
      </c>
      <c r="F848" s="10">
        <v>45491</v>
      </c>
      <c r="G848" s="11">
        <v>0.73819444444444449</v>
      </c>
      <c r="H848" s="4" t="s">
        <v>2017</v>
      </c>
      <c r="I848" s="4" t="s">
        <v>2018</v>
      </c>
      <c r="J848" s="4" t="s">
        <v>2019</v>
      </c>
      <c r="K848" s="4" t="s">
        <v>2035</v>
      </c>
      <c r="L848" s="4" t="s">
        <v>2036</v>
      </c>
      <c r="M848" s="4" t="s">
        <v>46</v>
      </c>
      <c r="N848" s="4"/>
      <c r="O848" s="4" t="s">
        <v>47</v>
      </c>
      <c r="P848" s="4" t="s">
        <v>48</v>
      </c>
      <c r="Q848" s="4">
        <v>0</v>
      </c>
      <c r="R848" s="4" t="b">
        <v>0</v>
      </c>
      <c r="S848" s="4" t="s">
        <v>114</v>
      </c>
      <c r="T848" s="4" t="s">
        <v>70</v>
      </c>
      <c r="U848" s="4" t="s">
        <v>71</v>
      </c>
      <c r="V848" s="4" t="s">
        <v>72</v>
      </c>
      <c r="W848" s="4" t="s">
        <v>97</v>
      </c>
      <c r="X848" s="4" t="s">
        <v>2037</v>
      </c>
      <c r="Y848" s="4" t="s">
        <v>211</v>
      </c>
      <c r="Z848" s="12">
        <v>0</v>
      </c>
      <c r="AA848" s="13" t="s">
        <v>9158</v>
      </c>
      <c r="AB848" s="13" t="s">
        <v>9155</v>
      </c>
      <c r="AC848" s="14" t="s">
        <v>9157</v>
      </c>
      <c r="AD848" s="14" t="s">
        <v>9140</v>
      </c>
      <c r="AE848" s="14" t="s">
        <v>9140</v>
      </c>
      <c r="AF848" s="14" t="s">
        <v>72</v>
      </c>
      <c r="AG848" s="14" t="s">
        <v>2037</v>
      </c>
      <c r="AH848" s="15" t="s">
        <v>9194</v>
      </c>
      <c r="AI848" s="15" t="s">
        <v>9199</v>
      </c>
      <c r="AJ848" s="15" t="s">
        <v>9143</v>
      </c>
      <c r="AK848" s="15" t="s">
        <v>9194</v>
      </c>
      <c r="AL848" s="15" t="s">
        <v>9199</v>
      </c>
      <c r="AM848" s="16" t="s">
        <v>9194</v>
      </c>
      <c r="AN848" s="16" t="s">
        <v>9200</v>
      </c>
    </row>
    <row r="849" spans="1:40" x14ac:dyDescent="0.25">
      <c r="A849" s="4" t="s">
        <v>235</v>
      </c>
      <c r="B849" s="4"/>
      <c r="C849" s="4" t="s">
        <v>39</v>
      </c>
      <c r="D849" s="4" t="s">
        <v>236</v>
      </c>
      <c r="E849" s="4" t="s">
        <v>237</v>
      </c>
      <c r="F849" s="10">
        <v>45491</v>
      </c>
      <c r="G849" s="11">
        <v>0.42708333333333331</v>
      </c>
      <c r="H849" s="4" t="s">
        <v>42</v>
      </c>
      <c r="I849" s="4">
        <v>1011</v>
      </c>
      <c r="J849" s="4" t="s">
        <v>215</v>
      </c>
      <c r="K849" s="4" t="s">
        <v>238</v>
      </c>
      <c r="L849" s="4" t="s">
        <v>239</v>
      </c>
      <c r="M849" s="4" t="s">
        <v>46</v>
      </c>
      <c r="N849" s="4"/>
      <c r="O849" s="4" t="s">
        <v>47</v>
      </c>
      <c r="P849" s="4" t="s">
        <v>48</v>
      </c>
      <c r="Q849" s="4">
        <v>0</v>
      </c>
      <c r="R849" s="4" t="b">
        <v>0</v>
      </c>
      <c r="S849" s="4" t="s">
        <v>49</v>
      </c>
      <c r="T849" s="4" t="s">
        <v>70</v>
      </c>
      <c r="U849" s="4" t="s">
        <v>71</v>
      </c>
      <c r="V849" s="4" t="s">
        <v>63</v>
      </c>
      <c r="W849" s="4" t="s">
        <v>198</v>
      </c>
      <c r="X849" s="4" t="s">
        <v>54</v>
      </c>
      <c r="Y849" s="4"/>
      <c r="Z849" s="12">
        <v>0</v>
      </c>
      <c r="AA849" s="13" t="s">
        <v>9158</v>
      </c>
      <c r="AB849" s="13" t="s">
        <v>9155</v>
      </c>
      <c r="AC849" s="14" t="s">
        <v>9139</v>
      </c>
      <c r="AD849" s="14" t="s">
        <v>9140</v>
      </c>
      <c r="AE849" s="14" t="s">
        <v>9140</v>
      </c>
      <c r="AF849" s="14" t="s">
        <v>63</v>
      </c>
      <c r="AG849" s="14" t="s">
        <v>54</v>
      </c>
      <c r="AH849" s="15" t="s">
        <v>9141</v>
      </c>
      <c r="AI849" s="15" t="s">
        <v>9142</v>
      </c>
      <c r="AJ849" s="15" t="s">
        <v>9143</v>
      </c>
      <c r="AK849" s="15" t="s">
        <v>9141</v>
      </c>
      <c r="AL849" s="15" t="s">
        <v>9144</v>
      </c>
      <c r="AM849" s="16" t="s">
        <v>9141</v>
      </c>
      <c r="AN849" s="16" t="s">
        <v>9145</v>
      </c>
    </row>
    <row r="850" spans="1:40" x14ac:dyDescent="0.25">
      <c r="A850" s="4" t="s">
        <v>1247</v>
      </c>
      <c r="B850" s="4"/>
      <c r="C850" s="4" t="s">
        <v>39</v>
      </c>
      <c r="D850" s="4" t="s">
        <v>1225</v>
      </c>
      <c r="E850" s="4" t="s">
        <v>1226</v>
      </c>
      <c r="F850" s="10">
        <v>45490</v>
      </c>
      <c r="G850" s="11">
        <v>0.7006944444444444</v>
      </c>
      <c r="H850" s="4" t="s">
        <v>1155</v>
      </c>
      <c r="I850" s="4">
        <v>4043</v>
      </c>
      <c r="J850" s="4" t="s">
        <v>1200</v>
      </c>
      <c r="K850" s="4" t="s">
        <v>1248</v>
      </c>
      <c r="L850" s="4" t="s">
        <v>1249</v>
      </c>
      <c r="M850" s="4" t="s">
        <v>46</v>
      </c>
      <c r="N850" s="4"/>
      <c r="O850" s="4" t="s">
        <v>47</v>
      </c>
      <c r="P850" s="4" t="s">
        <v>48</v>
      </c>
      <c r="Q850" s="4">
        <v>0</v>
      </c>
      <c r="R850" s="4" t="b">
        <v>0</v>
      </c>
      <c r="S850" s="4" t="s">
        <v>61</v>
      </c>
      <c r="T850" s="4" t="s">
        <v>50</v>
      </c>
      <c r="U850" s="4" t="s">
        <v>90</v>
      </c>
      <c r="V850" s="4" t="s">
        <v>63</v>
      </c>
      <c r="W850" s="4" t="s">
        <v>108</v>
      </c>
      <c r="X850" s="4" t="s">
        <v>774</v>
      </c>
      <c r="Y850" s="4" t="s">
        <v>486</v>
      </c>
      <c r="Z850" s="12">
        <v>0</v>
      </c>
      <c r="AA850" s="13" t="s">
        <v>9158</v>
      </c>
      <c r="AB850" s="13" t="s">
        <v>9155</v>
      </c>
      <c r="AC850" s="14" t="s">
        <v>9148</v>
      </c>
      <c r="AD850" s="14" t="s">
        <v>9140</v>
      </c>
      <c r="AE850" s="14" t="s">
        <v>9140</v>
      </c>
      <c r="AF850" s="14" t="s">
        <v>63</v>
      </c>
      <c r="AG850" s="14" t="s">
        <v>774</v>
      </c>
      <c r="AH850" s="15" t="s">
        <v>9141</v>
      </c>
      <c r="AI850" s="15" t="s">
        <v>9187</v>
      </c>
      <c r="AJ850" s="15" t="s">
        <v>9143</v>
      </c>
      <c r="AK850" s="15" t="s">
        <v>9141</v>
      </c>
      <c r="AL850" s="15" t="s">
        <v>9144</v>
      </c>
      <c r="AM850" s="16" t="s">
        <v>9141</v>
      </c>
      <c r="AN850" s="16" t="s">
        <v>9145</v>
      </c>
    </row>
    <row r="851" spans="1:40" x14ac:dyDescent="0.25">
      <c r="A851" s="4" t="s">
        <v>4699</v>
      </c>
      <c r="B851" s="4"/>
      <c r="C851" s="4" t="s">
        <v>39</v>
      </c>
      <c r="D851" s="4" t="s">
        <v>4686</v>
      </c>
      <c r="E851" s="4" t="s">
        <v>4687</v>
      </c>
      <c r="F851" s="10">
        <v>45490</v>
      </c>
      <c r="G851" s="11">
        <v>0.54861111111111116</v>
      </c>
      <c r="H851" s="4" t="s">
        <v>4659</v>
      </c>
      <c r="I851" s="4" t="s">
        <v>4660</v>
      </c>
      <c r="J851" s="4" t="s">
        <v>4661</v>
      </c>
      <c r="K851" s="4" t="s">
        <v>4700</v>
      </c>
      <c r="L851" s="4" t="s">
        <v>4701</v>
      </c>
      <c r="M851" s="4" t="s">
        <v>46</v>
      </c>
      <c r="N851" s="4"/>
      <c r="O851" s="4" t="s">
        <v>47</v>
      </c>
      <c r="P851" s="4" t="s">
        <v>48</v>
      </c>
      <c r="Q851" s="4">
        <v>0</v>
      </c>
      <c r="R851" s="4" t="b">
        <v>0</v>
      </c>
      <c r="S851" s="4" t="s">
        <v>49</v>
      </c>
      <c r="T851" s="4" t="s">
        <v>89</v>
      </c>
      <c r="U851" s="4" t="s">
        <v>140</v>
      </c>
      <c r="V851" s="4" t="s">
        <v>123</v>
      </c>
      <c r="W851" s="4" t="s">
        <v>192</v>
      </c>
      <c r="X851" s="4" t="s">
        <v>54</v>
      </c>
      <c r="Y851" s="4" t="s">
        <v>302</v>
      </c>
      <c r="Z851" s="12">
        <v>0</v>
      </c>
      <c r="AA851" s="13" t="s">
        <v>9158</v>
      </c>
      <c r="AB851" s="13" t="s">
        <v>9155</v>
      </c>
      <c r="AC851" s="14" t="s">
        <v>9139</v>
      </c>
      <c r="AD851" s="14" t="s">
        <v>9140</v>
      </c>
      <c r="AE851" s="14" t="s">
        <v>9140</v>
      </c>
      <c r="AF851" s="14" t="s">
        <v>123</v>
      </c>
      <c r="AG851" s="14" t="s">
        <v>54</v>
      </c>
      <c r="AH851" s="15" t="s">
        <v>9220</v>
      </c>
      <c r="AI851" s="15" t="s">
        <v>9142</v>
      </c>
      <c r="AJ851" s="15" t="s">
        <v>9143</v>
      </c>
      <c r="AK851" s="15" t="s">
        <v>9221</v>
      </c>
      <c r="AL851" s="15" t="s">
        <v>9228</v>
      </c>
      <c r="AM851" s="16" t="s">
        <v>9221</v>
      </c>
      <c r="AN851" s="16" t="s">
        <v>9229</v>
      </c>
    </row>
    <row r="852" spans="1:40" x14ac:dyDescent="0.25">
      <c r="A852" s="4" t="s">
        <v>4367</v>
      </c>
      <c r="B852" s="4"/>
      <c r="C852" s="4" t="s">
        <v>39</v>
      </c>
      <c r="D852" s="4" t="s">
        <v>4368</v>
      </c>
      <c r="E852" s="4" t="s">
        <v>4369</v>
      </c>
      <c r="F852" s="10">
        <v>45490</v>
      </c>
      <c r="G852" s="11">
        <v>0.4597222222222222</v>
      </c>
      <c r="H852" s="4" t="s">
        <v>4019</v>
      </c>
      <c r="I852" s="4" t="s">
        <v>4304</v>
      </c>
      <c r="J852" s="4" t="s">
        <v>1941</v>
      </c>
      <c r="K852" s="4" t="s">
        <v>4370</v>
      </c>
      <c r="L852" s="4" t="s">
        <v>4371</v>
      </c>
      <c r="M852" s="4" t="s">
        <v>46</v>
      </c>
      <c r="N852" s="4"/>
      <c r="O852" s="4" t="s">
        <v>47</v>
      </c>
      <c r="P852" s="4" t="s">
        <v>48</v>
      </c>
      <c r="Q852" s="4">
        <v>0</v>
      </c>
      <c r="R852" s="4" t="b">
        <v>0</v>
      </c>
      <c r="S852" s="4" t="s">
        <v>61</v>
      </c>
      <c r="T852" s="4" t="s">
        <v>2195</v>
      </c>
      <c r="U852" s="4" t="s">
        <v>148</v>
      </c>
      <c r="V852" s="4" t="s">
        <v>52</v>
      </c>
      <c r="W852" s="4" t="s">
        <v>374</v>
      </c>
      <c r="X852" s="4" t="s">
        <v>54</v>
      </c>
      <c r="Y852" s="4"/>
      <c r="Z852" s="12">
        <v>0</v>
      </c>
      <c r="AA852" s="13" t="s">
        <v>9158</v>
      </c>
      <c r="AB852" s="13" t="s">
        <v>9155</v>
      </c>
      <c r="AC852" s="14" t="s">
        <v>9148</v>
      </c>
      <c r="AD852" s="14" t="s">
        <v>9140</v>
      </c>
      <c r="AE852" s="14" t="s">
        <v>9140</v>
      </c>
      <c r="AF852" s="14" t="s">
        <v>52</v>
      </c>
      <c r="AG852" s="14" t="s">
        <v>54</v>
      </c>
      <c r="AH852" s="15" t="s">
        <v>9220</v>
      </c>
      <c r="AI852" s="15" t="s">
        <v>9175</v>
      </c>
      <c r="AJ852" s="15" t="s">
        <v>9143</v>
      </c>
      <c r="AK852" s="15" t="s">
        <v>9221</v>
      </c>
      <c r="AL852" s="15" t="s">
        <v>9222</v>
      </c>
      <c r="AM852" s="16" t="s">
        <v>9221</v>
      </c>
      <c r="AN852" s="16" t="s">
        <v>9223</v>
      </c>
    </row>
    <row r="853" spans="1:40" x14ac:dyDescent="0.25">
      <c r="A853" s="4" t="s">
        <v>8999</v>
      </c>
      <c r="B853" s="4"/>
      <c r="C853" s="4" t="s">
        <v>39</v>
      </c>
      <c r="D853" s="4" t="s">
        <v>9000</v>
      </c>
      <c r="E853" s="4" t="s">
        <v>9001</v>
      </c>
      <c r="F853" s="10">
        <v>45489</v>
      </c>
      <c r="G853" s="11">
        <v>0.52152777777777781</v>
      </c>
      <c r="H853" s="4" t="s">
        <v>4019</v>
      </c>
      <c r="I853" s="4" t="s">
        <v>8971</v>
      </c>
      <c r="J853" s="4" t="s">
        <v>8972</v>
      </c>
      <c r="K853" s="4" t="s">
        <v>9002</v>
      </c>
      <c r="L853" s="4" t="s">
        <v>9003</v>
      </c>
      <c r="M853" s="4" t="s">
        <v>46</v>
      </c>
      <c r="N853" s="4"/>
      <c r="O853" s="4" t="s">
        <v>47</v>
      </c>
      <c r="P853" s="4" t="s">
        <v>48</v>
      </c>
      <c r="Q853" s="4">
        <v>0</v>
      </c>
      <c r="R853" s="4" t="b">
        <v>0</v>
      </c>
      <c r="S853" s="4" t="s">
        <v>61</v>
      </c>
      <c r="T853" s="4" t="s">
        <v>89</v>
      </c>
      <c r="U853" s="4" t="s">
        <v>1081</v>
      </c>
      <c r="V853" s="4" t="s">
        <v>63</v>
      </c>
      <c r="W853" s="4" t="s">
        <v>108</v>
      </c>
      <c r="X853" s="4" t="s">
        <v>98</v>
      </c>
      <c r="Y853" s="4"/>
      <c r="Z853" s="12">
        <v>0</v>
      </c>
      <c r="AA853" s="13" t="s">
        <v>9158</v>
      </c>
      <c r="AB853" s="13" t="s">
        <v>9155</v>
      </c>
      <c r="AC853" s="14" t="s">
        <v>9148</v>
      </c>
      <c r="AD853" s="14" t="s">
        <v>9140</v>
      </c>
      <c r="AE853" s="14" t="s">
        <v>9140</v>
      </c>
      <c r="AF853" s="14" t="s">
        <v>63</v>
      </c>
      <c r="AG853" s="14" t="s">
        <v>98</v>
      </c>
      <c r="AH853" s="15" t="s">
        <v>9220</v>
      </c>
      <c r="AI853" s="15" t="s">
        <v>9175</v>
      </c>
      <c r="AJ853" s="15" t="s">
        <v>9181</v>
      </c>
      <c r="AK853" s="15" t="s">
        <v>9182</v>
      </c>
      <c r="AL853" s="15" t="s">
        <v>9182</v>
      </c>
      <c r="AM853" s="16" t="s">
        <v>9182</v>
      </c>
      <c r="AN853" s="16" t="s">
        <v>9182</v>
      </c>
    </row>
    <row r="854" spans="1:40" x14ac:dyDescent="0.25">
      <c r="A854" s="4" t="s">
        <v>5095</v>
      </c>
      <c r="B854" s="4" t="s">
        <v>5096</v>
      </c>
      <c r="C854" s="4" t="s">
        <v>39</v>
      </c>
      <c r="D854" s="4" t="s">
        <v>5075</v>
      </c>
      <c r="E854" s="4" t="s">
        <v>5076</v>
      </c>
      <c r="F854" s="10">
        <v>45489</v>
      </c>
      <c r="G854" s="11">
        <v>0.4513888888888889</v>
      </c>
      <c r="H854" s="4" t="s">
        <v>4910</v>
      </c>
      <c r="I854" s="4" t="s">
        <v>5077</v>
      </c>
      <c r="J854" s="4" t="s">
        <v>2140</v>
      </c>
      <c r="K854" s="4" t="s">
        <v>5097</v>
      </c>
      <c r="L854" s="4" t="s">
        <v>5098</v>
      </c>
      <c r="M854" s="4" t="s">
        <v>28</v>
      </c>
      <c r="N854" s="4" t="s">
        <v>183</v>
      </c>
      <c r="O854" s="4" t="s">
        <v>191</v>
      </c>
      <c r="P854" s="4" t="s">
        <v>48</v>
      </c>
      <c r="Q854" s="4">
        <v>17</v>
      </c>
      <c r="R854" s="4" t="b">
        <v>0</v>
      </c>
      <c r="S854" s="4" t="s">
        <v>184</v>
      </c>
      <c r="T854" s="4" t="s">
        <v>583</v>
      </c>
      <c r="U854" s="4" t="s">
        <v>71</v>
      </c>
      <c r="V854" s="4" t="s">
        <v>123</v>
      </c>
      <c r="W854" s="4" t="s">
        <v>124</v>
      </c>
      <c r="X854" s="4" t="s">
        <v>54</v>
      </c>
      <c r="Y854" s="4"/>
      <c r="Z854" s="12" t="s">
        <v>48</v>
      </c>
      <c r="AA854" s="13" t="s">
        <v>9158</v>
      </c>
      <c r="AB854" s="13" t="s">
        <v>9155</v>
      </c>
      <c r="AC854" s="14" t="s">
        <v>9166</v>
      </c>
      <c r="AD854" s="14" t="s">
        <v>28</v>
      </c>
      <c r="AE854" s="14" t="s">
        <v>183</v>
      </c>
      <c r="AF854" s="14" t="s">
        <v>123</v>
      </c>
      <c r="AG854" s="14" t="s">
        <v>54</v>
      </c>
      <c r="AH854" s="15" t="s">
        <v>9220</v>
      </c>
      <c r="AI854" s="15" t="s">
        <v>9191</v>
      </c>
      <c r="AJ854" s="15" t="s">
        <v>9143</v>
      </c>
      <c r="AK854" s="15" t="s">
        <v>9221</v>
      </c>
      <c r="AL854" s="15" t="s">
        <v>9226</v>
      </c>
      <c r="AM854" s="16" t="s">
        <v>9221</v>
      </c>
      <c r="AN854" s="16" t="s">
        <v>9227</v>
      </c>
    </row>
    <row r="855" spans="1:40" x14ac:dyDescent="0.25">
      <c r="A855" s="4" t="s">
        <v>3246</v>
      </c>
      <c r="B855" s="4">
        <v>7025760</v>
      </c>
      <c r="C855" s="4" t="s">
        <v>39</v>
      </c>
      <c r="D855" s="4" t="s">
        <v>3247</v>
      </c>
      <c r="E855" s="4" t="s">
        <v>3248</v>
      </c>
      <c r="F855" s="10">
        <v>45489</v>
      </c>
      <c r="G855" s="11">
        <v>0.38541666666666669</v>
      </c>
      <c r="H855" s="4" t="s">
        <v>2095</v>
      </c>
      <c r="I855" s="4" t="s">
        <v>3242</v>
      </c>
      <c r="J855" s="4" t="s">
        <v>3243</v>
      </c>
      <c r="K855" s="4" t="s">
        <v>3249</v>
      </c>
      <c r="L855" s="4" t="s">
        <v>3250</v>
      </c>
      <c r="M855" s="4" t="s">
        <v>28</v>
      </c>
      <c r="N855" s="4" t="s">
        <v>183</v>
      </c>
      <c r="O855" s="4" t="s">
        <v>174</v>
      </c>
      <c r="P855" s="4" t="s">
        <v>48</v>
      </c>
      <c r="Q855" s="4">
        <v>33</v>
      </c>
      <c r="R855" s="4" t="b">
        <v>0</v>
      </c>
      <c r="S855" s="4" t="s">
        <v>184</v>
      </c>
      <c r="T855" s="4" t="s">
        <v>70</v>
      </c>
      <c r="U855" s="4" t="s">
        <v>71</v>
      </c>
      <c r="V855" s="4" t="s">
        <v>72</v>
      </c>
      <c r="W855" s="4" t="s">
        <v>73</v>
      </c>
      <c r="X855" s="4" t="s">
        <v>54</v>
      </c>
      <c r="Y855" s="4"/>
      <c r="Z855" s="12" t="s">
        <v>48</v>
      </c>
      <c r="AA855" s="13" t="s">
        <v>9158</v>
      </c>
      <c r="AB855" s="13" t="s">
        <v>9155</v>
      </c>
      <c r="AC855" s="14" t="s">
        <v>9166</v>
      </c>
      <c r="AD855" s="14" t="s">
        <v>28</v>
      </c>
      <c r="AE855" s="14" t="s">
        <v>183</v>
      </c>
      <c r="AF855" s="14" t="s">
        <v>72</v>
      </c>
      <c r="AG855" s="14" t="s">
        <v>54</v>
      </c>
      <c r="AH855" s="15" t="s">
        <v>9194</v>
      </c>
      <c r="AI855" s="15" t="s">
        <v>9188</v>
      </c>
      <c r="AJ855" s="15" t="s">
        <v>9143</v>
      </c>
      <c r="AK855" s="15" t="s">
        <v>9194</v>
      </c>
      <c r="AL855" s="15" t="s">
        <v>9203</v>
      </c>
      <c r="AM855" s="16" t="s">
        <v>9194</v>
      </c>
      <c r="AN855" s="16" t="s">
        <v>9204</v>
      </c>
    </row>
    <row r="856" spans="1:40" x14ac:dyDescent="0.25">
      <c r="A856" s="4" t="s">
        <v>795</v>
      </c>
      <c r="B856" s="4"/>
      <c r="C856" s="4" t="s">
        <v>39</v>
      </c>
      <c r="D856" s="4" t="s">
        <v>796</v>
      </c>
      <c r="E856" s="4" t="s">
        <v>797</v>
      </c>
      <c r="F856" s="10">
        <v>45488</v>
      </c>
      <c r="G856" s="11">
        <v>0.5625</v>
      </c>
      <c r="H856" s="4" t="s">
        <v>463</v>
      </c>
      <c r="I856" s="4">
        <v>2027</v>
      </c>
      <c r="J856" s="4" t="s">
        <v>798</v>
      </c>
      <c r="K856" s="4" t="s">
        <v>799</v>
      </c>
      <c r="L856" s="4" t="s">
        <v>800</v>
      </c>
      <c r="M856" s="4" t="s">
        <v>46</v>
      </c>
      <c r="N856" s="4"/>
      <c r="O856" s="4" t="s">
        <v>47</v>
      </c>
      <c r="P856" s="4" t="s">
        <v>48</v>
      </c>
      <c r="Q856" s="4">
        <v>0</v>
      </c>
      <c r="R856" s="4" t="b">
        <v>0</v>
      </c>
      <c r="S856" s="4" t="s">
        <v>49</v>
      </c>
      <c r="T856" s="4" t="s">
        <v>70</v>
      </c>
      <c r="U856" s="4" t="s">
        <v>71</v>
      </c>
      <c r="V856" s="4" t="s">
        <v>72</v>
      </c>
      <c r="W856" s="4" t="s">
        <v>73</v>
      </c>
      <c r="X856" s="4" t="s">
        <v>98</v>
      </c>
      <c r="Y856" s="4"/>
      <c r="Z856" s="12">
        <v>0</v>
      </c>
      <c r="AA856" s="13" t="s">
        <v>9158</v>
      </c>
      <c r="AB856" s="13" t="s">
        <v>9155</v>
      </c>
      <c r="AC856" s="14" t="s">
        <v>9139</v>
      </c>
      <c r="AD856" s="14" t="s">
        <v>9140</v>
      </c>
      <c r="AE856" s="14" t="s">
        <v>9140</v>
      </c>
      <c r="AF856" s="14" t="s">
        <v>72</v>
      </c>
      <c r="AG856" s="14" t="s">
        <v>98</v>
      </c>
      <c r="AH856" s="15" t="s">
        <v>9141</v>
      </c>
      <c r="AI856" s="15" t="s">
        <v>9175</v>
      </c>
      <c r="AJ856" s="15" t="s">
        <v>9143</v>
      </c>
      <c r="AK856" s="15" t="s">
        <v>9141</v>
      </c>
      <c r="AL856" s="15" t="s">
        <v>9177</v>
      </c>
      <c r="AM856" s="16" t="s">
        <v>9141</v>
      </c>
      <c r="AN856" s="16" t="s">
        <v>9178</v>
      </c>
    </row>
    <row r="857" spans="1:40" x14ac:dyDescent="0.25">
      <c r="A857" s="4" t="s">
        <v>1132</v>
      </c>
      <c r="B857" s="4"/>
      <c r="C857" s="4" t="s">
        <v>39</v>
      </c>
      <c r="D857" s="4" t="s">
        <v>1133</v>
      </c>
      <c r="E857" s="4" t="s">
        <v>1134</v>
      </c>
      <c r="F857" s="10">
        <v>45488</v>
      </c>
      <c r="G857" s="11">
        <v>0.45833333333333331</v>
      </c>
      <c r="H857" s="4" t="s">
        <v>463</v>
      </c>
      <c r="I857" s="4">
        <v>2900</v>
      </c>
      <c r="J857" s="4" t="s">
        <v>1128</v>
      </c>
      <c r="K857" s="4" t="s">
        <v>1135</v>
      </c>
      <c r="L857" s="4" t="s">
        <v>1136</v>
      </c>
      <c r="M857" s="4" t="s">
        <v>46</v>
      </c>
      <c r="N857" s="4"/>
      <c r="O857" s="4" t="s">
        <v>47</v>
      </c>
      <c r="P857" s="4" t="s">
        <v>48</v>
      </c>
      <c r="Q857" s="4">
        <v>0</v>
      </c>
      <c r="R857" s="4" t="b">
        <v>0</v>
      </c>
      <c r="S857" s="4" t="s">
        <v>49</v>
      </c>
      <c r="T857" s="4" t="s">
        <v>70</v>
      </c>
      <c r="U857" s="4" t="s">
        <v>71</v>
      </c>
      <c r="V857" s="4" t="s">
        <v>72</v>
      </c>
      <c r="W857" s="4" t="s">
        <v>73</v>
      </c>
      <c r="X857" s="4" t="s">
        <v>98</v>
      </c>
      <c r="Y857" s="4"/>
      <c r="Z857" s="12">
        <v>0</v>
      </c>
      <c r="AA857" s="13" t="s">
        <v>9158</v>
      </c>
      <c r="AB857" s="13" t="s">
        <v>9155</v>
      </c>
      <c r="AC857" s="14" t="s">
        <v>9139</v>
      </c>
      <c r="AD857" s="14" t="s">
        <v>9140</v>
      </c>
      <c r="AE857" s="14" t="s">
        <v>9140</v>
      </c>
      <c r="AF857" s="14" t="s">
        <v>72</v>
      </c>
      <c r="AG857" s="14" t="s">
        <v>98</v>
      </c>
      <c r="AH857" s="15" t="s">
        <v>9141</v>
      </c>
      <c r="AI857" s="15" t="s">
        <v>9175</v>
      </c>
      <c r="AJ857" s="15" t="s">
        <v>9183</v>
      </c>
      <c r="AK857" s="15" t="s">
        <v>9184</v>
      </c>
      <c r="AL857" s="15" t="s">
        <v>9185</v>
      </c>
      <c r="AM857" s="16" t="s">
        <v>9186</v>
      </c>
      <c r="AN857" s="16" t="s">
        <v>9186</v>
      </c>
    </row>
    <row r="858" spans="1:40" x14ac:dyDescent="0.25">
      <c r="A858" s="4" t="s">
        <v>1559</v>
      </c>
      <c r="B858" s="4"/>
      <c r="C858" s="4" t="s">
        <v>39</v>
      </c>
      <c r="D858" s="4" t="s">
        <v>1535</v>
      </c>
      <c r="E858" s="4" t="s">
        <v>1536</v>
      </c>
      <c r="F858" s="10">
        <v>45488</v>
      </c>
      <c r="G858" s="11">
        <v>0.53472222222222221</v>
      </c>
      <c r="H858" s="4" t="s">
        <v>1366</v>
      </c>
      <c r="I858" s="4">
        <v>6068</v>
      </c>
      <c r="J858" s="4" t="s">
        <v>1537</v>
      </c>
      <c r="K858" s="4" t="s">
        <v>1560</v>
      </c>
      <c r="L858" s="4" t="s">
        <v>1561</v>
      </c>
      <c r="M858" s="4" t="s">
        <v>46</v>
      </c>
      <c r="N858" s="4"/>
      <c r="O858" s="4" t="s">
        <v>47</v>
      </c>
      <c r="P858" s="4" t="s">
        <v>48</v>
      </c>
      <c r="Q858" s="4">
        <v>0</v>
      </c>
      <c r="R858" s="4" t="b">
        <v>0</v>
      </c>
      <c r="S858" s="4" t="s">
        <v>61</v>
      </c>
      <c r="T858" s="4" t="s">
        <v>89</v>
      </c>
      <c r="U858" s="4" t="s">
        <v>345</v>
      </c>
      <c r="V858" s="4" t="s">
        <v>123</v>
      </c>
      <c r="W858" s="4" t="s">
        <v>124</v>
      </c>
      <c r="X858" s="4" t="s">
        <v>54</v>
      </c>
      <c r="Y858" s="4"/>
      <c r="Z858" s="12">
        <v>0</v>
      </c>
      <c r="AA858" s="13" t="s">
        <v>9158</v>
      </c>
      <c r="AB858" s="13" t="s">
        <v>9155</v>
      </c>
      <c r="AC858" s="14" t="s">
        <v>9148</v>
      </c>
      <c r="AD858" s="14" t="s">
        <v>9140</v>
      </c>
      <c r="AE858" s="14" t="s">
        <v>9140</v>
      </c>
      <c r="AF858" s="14" t="s">
        <v>123</v>
      </c>
      <c r="AG858" s="14" t="s">
        <v>54</v>
      </c>
      <c r="AH858" s="15" t="s">
        <v>9141</v>
      </c>
      <c r="AI858" s="15" t="s">
        <v>9188</v>
      </c>
      <c r="AJ858" s="15" t="s">
        <v>9143</v>
      </c>
      <c r="AK858" s="15" t="s">
        <v>9141</v>
      </c>
      <c r="AL858" s="15" t="s">
        <v>9189</v>
      </c>
      <c r="AM858" s="16" t="s">
        <v>9141</v>
      </c>
      <c r="AN858" s="16" t="s">
        <v>9190</v>
      </c>
    </row>
    <row r="859" spans="1:40" x14ac:dyDescent="0.25">
      <c r="A859" s="4" t="s">
        <v>5990</v>
      </c>
      <c r="B859" s="4"/>
      <c r="C859" s="4" t="s">
        <v>39</v>
      </c>
      <c r="D859" s="4" t="s">
        <v>5950</v>
      </c>
      <c r="E859" s="4" t="s">
        <v>5951</v>
      </c>
      <c r="F859" s="10">
        <v>45488</v>
      </c>
      <c r="G859" s="11">
        <v>0.65625</v>
      </c>
      <c r="H859" s="4" t="s">
        <v>4242</v>
      </c>
      <c r="I859" s="4" t="s">
        <v>5918</v>
      </c>
      <c r="J859" s="4" t="s">
        <v>5919</v>
      </c>
      <c r="K859" s="4" t="s">
        <v>1232</v>
      </c>
      <c r="L859" s="4" t="s">
        <v>5991</v>
      </c>
      <c r="M859" s="4" t="s">
        <v>46</v>
      </c>
      <c r="N859" s="4"/>
      <c r="O859" s="4" t="s">
        <v>47</v>
      </c>
      <c r="P859" s="4" t="s">
        <v>48</v>
      </c>
      <c r="Q859" s="4">
        <v>0</v>
      </c>
      <c r="R859" s="4" t="b">
        <v>0</v>
      </c>
      <c r="S859" s="4" t="s">
        <v>49</v>
      </c>
      <c r="T859" s="4" t="s">
        <v>70</v>
      </c>
      <c r="U859" s="4" t="s">
        <v>71</v>
      </c>
      <c r="V859" s="4" t="s">
        <v>72</v>
      </c>
      <c r="W859" s="4" t="s">
        <v>2410</v>
      </c>
      <c r="X859" s="4" t="s">
        <v>98</v>
      </c>
      <c r="Y859" s="4"/>
      <c r="Z859" s="12">
        <v>0</v>
      </c>
      <c r="AA859" s="13" t="s">
        <v>9158</v>
      </c>
      <c r="AB859" s="13" t="s">
        <v>9155</v>
      </c>
      <c r="AC859" s="14" t="s">
        <v>9139</v>
      </c>
      <c r="AD859" s="14" t="s">
        <v>9140</v>
      </c>
      <c r="AE859" s="14" t="s">
        <v>9140</v>
      </c>
      <c r="AF859" s="14" t="s">
        <v>72</v>
      </c>
      <c r="AG859" s="14" t="s">
        <v>98</v>
      </c>
      <c r="AH859" s="15" t="s">
        <v>9220</v>
      </c>
      <c r="AI859" s="15" t="s">
        <v>9187</v>
      </c>
      <c r="AJ859" s="15" t="s">
        <v>9143</v>
      </c>
      <c r="AK859" s="15" t="s">
        <v>9221</v>
      </c>
      <c r="AL859" s="15" t="s">
        <v>9226</v>
      </c>
      <c r="AM859" s="16" t="s">
        <v>9221</v>
      </c>
      <c r="AN859" s="16" t="s">
        <v>9227</v>
      </c>
    </row>
    <row r="860" spans="1:40" x14ac:dyDescent="0.25">
      <c r="A860" s="4" t="s">
        <v>7485</v>
      </c>
      <c r="B860" s="4"/>
      <c r="C860" s="4" t="s">
        <v>39</v>
      </c>
      <c r="D860" s="4" t="s">
        <v>7486</v>
      </c>
      <c r="E860" s="4" t="s">
        <v>7487</v>
      </c>
      <c r="F860" s="10">
        <v>45487</v>
      </c>
      <c r="G860" s="11">
        <v>0.77013888888888893</v>
      </c>
      <c r="H860" s="4" t="s">
        <v>4910</v>
      </c>
      <c r="I860" s="4" t="s">
        <v>7457</v>
      </c>
      <c r="J860" s="4" t="s">
        <v>2378</v>
      </c>
      <c r="K860" s="4" t="s">
        <v>7488</v>
      </c>
      <c r="L860" s="4" t="s">
        <v>7489</v>
      </c>
      <c r="M860" s="4" t="s">
        <v>46</v>
      </c>
      <c r="N860" s="4"/>
      <c r="O860" s="4" t="s">
        <v>47</v>
      </c>
      <c r="P860" s="4" t="s">
        <v>48</v>
      </c>
      <c r="Q860" s="4">
        <v>0</v>
      </c>
      <c r="R860" s="4" t="b">
        <v>0</v>
      </c>
      <c r="S860" s="4" t="s">
        <v>114</v>
      </c>
      <c r="T860" s="4" t="s">
        <v>583</v>
      </c>
      <c r="U860" s="4" t="s">
        <v>373</v>
      </c>
      <c r="V860" s="4" t="s">
        <v>52</v>
      </c>
      <c r="W860" s="4" t="s">
        <v>374</v>
      </c>
      <c r="X860" s="4" t="s">
        <v>54</v>
      </c>
      <c r="Y860" s="4"/>
      <c r="Z860" s="12">
        <v>0</v>
      </c>
      <c r="AA860" s="13" t="s">
        <v>9158</v>
      </c>
      <c r="AB860" s="13" t="s">
        <v>9155</v>
      </c>
      <c r="AC860" s="14" t="s">
        <v>9157</v>
      </c>
      <c r="AD860" s="14" t="s">
        <v>9140</v>
      </c>
      <c r="AE860" s="14" t="s">
        <v>9140</v>
      </c>
      <c r="AF860" s="14" t="s">
        <v>52</v>
      </c>
      <c r="AG860" s="14" t="s">
        <v>54</v>
      </c>
      <c r="AH860" s="15" t="s">
        <v>9220</v>
      </c>
      <c r="AI860" s="15" t="s">
        <v>9191</v>
      </c>
      <c r="AJ860" s="15" t="s">
        <v>9143</v>
      </c>
      <c r="AK860" s="15" t="s">
        <v>9221</v>
      </c>
      <c r="AL860" s="15" t="s">
        <v>9226</v>
      </c>
      <c r="AM860" s="16" t="s">
        <v>9221</v>
      </c>
      <c r="AN860" s="16" t="s">
        <v>9227</v>
      </c>
    </row>
    <row r="861" spans="1:40" x14ac:dyDescent="0.25">
      <c r="A861" s="4" t="s">
        <v>4011</v>
      </c>
      <c r="B861" s="4">
        <v>9240024082</v>
      </c>
      <c r="C861" s="4" t="s">
        <v>39</v>
      </c>
      <c r="D861" s="4" t="s">
        <v>4012</v>
      </c>
      <c r="E861" s="4" t="s">
        <v>4013</v>
      </c>
      <c r="F861" s="10">
        <v>45487</v>
      </c>
      <c r="G861" s="11">
        <v>0.35416666666666669</v>
      </c>
      <c r="H861" s="4" t="s">
        <v>4006</v>
      </c>
      <c r="I861" s="4" t="s">
        <v>4007</v>
      </c>
      <c r="J861" s="4" t="s">
        <v>4008</v>
      </c>
      <c r="K861" s="4" t="s">
        <v>4014</v>
      </c>
      <c r="L861" s="4" t="s">
        <v>4015</v>
      </c>
      <c r="M861" s="4" t="s">
        <v>28</v>
      </c>
      <c r="N861" s="4" t="s">
        <v>183</v>
      </c>
      <c r="O861" s="4" t="s">
        <v>191</v>
      </c>
      <c r="P861" s="4" t="s">
        <v>60</v>
      </c>
      <c r="Q861" s="4">
        <v>69</v>
      </c>
      <c r="R861" s="4" t="b">
        <v>0</v>
      </c>
      <c r="S861" s="4" t="s">
        <v>61</v>
      </c>
      <c r="T861" s="4" t="s">
        <v>89</v>
      </c>
      <c r="U861" s="4" t="s">
        <v>175</v>
      </c>
      <c r="V861" s="4" t="s">
        <v>52</v>
      </c>
      <c r="W861" s="4" t="s">
        <v>135</v>
      </c>
      <c r="X861" s="4" t="s">
        <v>54</v>
      </c>
      <c r="Y861" s="4"/>
      <c r="Z861" s="12" t="s">
        <v>60</v>
      </c>
      <c r="AA861" s="13" t="s">
        <v>9158</v>
      </c>
      <c r="AB861" s="13" t="s">
        <v>9155</v>
      </c>
      <c r="AC861" s="14" t="s">
        <v>9148</v>
      </c>
      <c r="AD861" s="14" t="s">
        <v>28</v>
      </c>
      <c r="AE861" s="14" t="s">
        <v>183</v>
      </c>
      <c r="AF861" s="14" t="s">
        <v>52</v>
      </c>
      <c r="AG861" s="14" t="s">
        <v>54</v>
      </c>
      <c r="AH861" s="15" t="s">
        <v>9218</v>
      </c>
      <c r="AI861" s="15" t="s">
        <v>9175</v>
      </c>
      <c r="AJ861" s="15" t="s">
        <v>9183</v>
      </c>
      <c r="AK861" s="15" t="s">
        <v>9217</v>
      </c>
      <c r="AL861" s="15" t="s">
        <v>9219</v>
      </c>
      <c r="AM861" s="16" t="s">
        <v>9186</v>
      </c>
      <c r="AN861" s="16" t="s">
        <v>9186</v>
      </c>
    </row>
    <row r="862" spans="1:40" x14ac:dyDescent="0.25">
      <c r="A862" s="4" t="s">
        <v>3836</v>
      </c>
      <c r="B862" s="4"/>
      <c r="C862" s="4" t="s">
        <v>39</v>
      </c>
      <c r="D862" s="4" t="s">
        <v>3837</v>
      </c>
      <c r="E862" s="4" t="s">
        <v>3838</v>
      </c>
      <c r="F862" s="10">
        <v>45487</v>
      </c>
      <c r="G862" s="11">
        <v>0.63194444444444442</v>
      </c>
      <c r="H862" s="4" t="s">
        <v>2017</v>
      </c>
      <c r="I862" s="4" t="s">
        <v>3832</v>
      </c>
      <c r="J862" s="4" t="s">
        <v>3833</v>
      </c>
      <c r="K862" s="4" t="s">
        <v>3839</v>
      </c>
      <c r="L862" s="4" t="s">
        <v>3840</v>
      </c>
      <c r="M862" s="4" t="s">
        <v>46</v>
      </c>
      <c r="N862" s="4"/>
      <c r="O862" s="4" t="s">
        <v>47</v>
      </c>
      <c r="P862" s="4" t="s">
        <v>48</v>
      </c>
      <c r="Q862" s="4">
        <v>0</v>
      </c>
      <c r="R862" s="4" t="b">
        <v>0</v>
      </c>
      <c r="S862" s="4" t="s">
        <v>61</v>
      </c>
      <c r="T862" s="4" t="s">
        <v>50</v>
      </c>
      <c r="U862" s="4" t="s">
        <v>224</v>
      </c>
      <c r="V862" s="4" t="s">
        <v>63</v>
      </c>
      <c r="W862" s="4" t="s">
        <v>108</v>
      </c>
      <c r="X862" s="4" t="s">
        <v>54</v>
      </c>
      <c r="Y862" s="4"/>
      <c r="Z862" s="12">
        <v>0</v>
      </c>
      <c r="AA862" s="13" t="s">
        <v>9158</v>
      </c>
      <c r="AB862" s="13" t="s">
        <v>9155</v>
      </c>
      <c r="AC862" s="14" t="s">
        <v>9148</v>
      </c>
      <c r="AD862" s="14" t="s">
        <v>9140</v>
      </c>
      <c r="AE862" s="14" t="s">
        <v>9140</v>
      </c>
      <c r="AF862" s="14" t="s">
        <v>63</v>
      </c>
      <c r="AG862" s="14" t="s">
        <v>54</v>
      </c>
      <c r="AH862" s="15" t="s">
        <v>9194</v>
      </c>
      <c r="AI862" s="15" t="s">
        <v>9199</v>
      </c>
      <c r="AJ862" s="15" t="s">
        <v>9143</v>
      </c>
      <c r="AK862" s="15" t="s">
        <v>9194</v>
      </c>
      <c r="AL862" s="15" t="s">
        <v>9199</v>
      </c>
      <c r="AM862" s="16" t="s">
        <v>9194</v>
      </c>
      <c r="AN862" s="16" t="s">
        <v>9200</v>
      </c>
    </row>
    <row r="863" spans="1:40" x14ac:dyDescent="0.25">
      <c r="A863" s="4" t="s">
        <v>2797</v>
      </c>
      <c r="B863" s="4"/>
      <c r="C863" s="4" t="s">
        <v>39</v>
      </c>
      <c r="D863" s="4" t="s">
        <v>2798</v>
      </c>
      <c r="E863" s="4" t="s">
        <v>2799</v>
      </c>
      <c r="F863" s="10">
        <v>45486</v>
      </c>
      <c r="G863" s="11">
        <v>0.39583333333333331</v>
      </c>
      <c r="H863" s="4" t="s">
        <v>2095</v>
      </c>
      <c r="I863" s="4" t="s">
        <v>2777</v>
      </c>
      <c r="J863" s="4" t="s">
        <v>1406</v>
      </c>
      <c r="K863" s="4" t="s">
        <v>218</v>
      </c>
      <c r="L863" s="4" t="s">
        <v>2800</v>
      </c>
      <c r="M863" s="4" t="s">
        <v>46</v>
      </c>
      <c r="N863" s="4"/>
      <c r="O863" s="4" t="s">
        <v>47</v>
      </c>
      <c r="P863" s="4" t="s">
        <v>48</v>
      </c>
      <c r="Q863" s="4">
        <v>0</v>
      </c>
      <c r="R863" s="4" t="b">
        <v>0</v>
      </c>
      <c r="S863" s="4" t="s">
        <v>49</v>
      </c>
      <c r="T863" s="4" t="s">
        <v>70</v>
      </c>
      <c r="U863" s="4" t="s">
        <v>218</v>
      </c>
      <c r="V863" s="4" t="s">
        <v>63</v>
      </c>
      <c r="W863" s="4" t="s">
        <v>108</v>
      </c>
      <c r="X863" s="4" t="s">
        <v>54</v>
      </c>
      <c r="Y863" s="4"/>
      <c r="Z863" s="12">
        <v>0</v>
      </c>
      <c r="AA863" s="13" t="s">
        <v>9158</v>
      </c>
      <c r="AB863" s="13" t="s">
        <v>9155</v>
      </c>
      <c r="AC863" s="14" t="s">
        <v>9139</v>
      </c>
      <c r="AD863" s="14" t="s">
        <v>9140</v>
      </c>
      <c r="AE863" s="14" t="s">
        <v>9140</v>
      </c>
      <c r="AF863" s="14" t="s">
        <v>63</v>
      </c>
      <c r="AG863" s="14" t="s">
        <v>54</v>
      </c>
      <c r="AH863" s="15" t="s">
        <v>9194</v>
      </c>
      <c r="AI863" s="15" t="s">
        <v>9188</v>
      </c>
      <c r="AJ863" s="15" t="s">
        <v>9143</v>
      </c>
      <c r="AK863" s="15" t="s">
        <v>9194</v>
      </c>
      <c r="AL863" s="15" t="s">
        <v>9211</v>
      </c>
      <c r="AM863" s="16" t="s">
        <v>9194</v>
      </c>
      <c r="AN863" s="16" t="s">
        <v>9212</v>
      </c>
    </row>
    <row r="864" spans="1:40" x14ac:dyDescent="0.25">
      <c r="A864" s="4" t="s">
        <v>3166</v>
      </c>
      <c r="B864" s="4"/>
      <c r="C864" s="4" t="s">
        <v>39</v>
      </c>
      <c r="D864" s="4" t="s">
        <v>3167</v>
      </c>
      <c r="E864" s="4" t="s">
        <v>3168</v>
      </c>
      <c r="F864" s="10">
        <v>45486</v>
      </c>
      <c r="G864" s="11">
        <v>0.60416666666666663</v>
      </c>
      <c r="H864" s="4" t="s">
        <v>1992</v>
      </c>
      <c r="I864" s="4" t="s">
        <v>3169</v>
      </c>
      <c r="J864" s="4" t="s">
        <v>3170</v>
      </c>
      <c r="K864" s="4" t="s">
        <v>3171</v>
      </c>
      <c r="L864" s="4" t="s">
        <v>3172</v>
      </c>
      <c r="M864" s="4" t="s">
        <v>46</v>
      </c>
      <c r="N864" s="4"/>
      <c r="O864" s="4" t="s">
        <v>47</v>
      </c>
      <c r="P864" s="4" t="s">
        <v>48</v>
      </c>
      <c r="Q864" s="4">
        <v>0</v>
      </c>
      <c r="R864" s="4" t="b">
        <v>0</v>
      </c>
      <c r="S864" s="4" t="s">
        <v>61</v>
      </c>
      <c r="T864" s="4" t="s">
        <v>583</v>
      </c>
      <c r="U864" s="4" t="s">
        <v>650</v>
      </c>
      <c r="V864" s="4" t="s">
        <v>123</v>
      </c>
      <c r="W864" s="4" t="s">
        <v>124</v>
      </c>
      <c r="X864" s="4" t="s">
        <v>54</v>
      </c>
      <c r="Y864" s="4"/>
      <c r="Z864" s="12">
        <v>0</v>
      </c>
      <c r="AA864" s="13" t="s">
        <v>9158</v>
      </c>
      <c r="AB864" s="13" t="s">
        <v>9155</v>
      </c>
      <c r="AC864" s="14" t="s">
        <v>9148</v>
      </c>
      <c r="AD864" s="14" t="s">
        <v>9140</v>
      </c>
      <c r="AE864" s="14" t="s">
        <v>9140</v>
      </c>
      <c r="AF864" s="14" t="s">
        <v>123</v>
      </c>
      <c r="AG864" s="14" t="s">
        <v>54</v>
      </c>
      <c r="AH864" s="15" t="s">
        <v>9194</v>
      </c>
      <c r="AI864" s="15" t="s">
        <v>9191</v>
      </c>
      <c r="AJ864" s="15" t="s">
        <v>9143</v>
      </c>
      <c r="AK864" s="15" t="s">
        <v>9194</v>
      </c>
      <c r="AL864" s="15" t="s">
        <v>9205</v>
      </c>
      <c r="AM864" s="16" t="s">
        <v>9194</v>
      </c>
      <c r="AN864" s="16" t="s">
        <v>9206</v>
      </c>
    </row>
    <row r="865" spans="1:40" x14ac:dyDescent="0.25">
      <c r="A865" s="4" t="s">
        <v>1698</v>
      </c>
      <c r="B865" s="4"/>
      <c r="C865" s="4" t="s">
        <v>39</v>
      </c>
      <c r="D865" s="4" t="s">
        <v>1699</v>
      </c>
      <c r="E865" s="4" t="s">
        <v>1700</v>
      </c>
      <c r="F865" s="10">
        <v>45486</v>
      </c>
      <c r="G865" s="11">
        <v>0.58333333333333337</v>
      </c>
      <c r="H865" s="4" t="s">
        <v>1654</v>
      </c>
      <c r="I865" s="4">
        <v>9088</v>
      </c>
      <c r="J865" s="4" t="s">
        <v>1701</v>
      </c>
      <c r="K865" s="4" t="s">
        <v>1245</v>
      </c>
      <c r="L865" s="4" t="s">
        <v>1702</v>
      </c>
      <c r="M865" s="4" t="s">
        <v>46</v>
      </c>
      <c r="N865" s="4"/>
      <c r="O865" s="4" t="s">
        <v>47</v>
      </c>
      <c r="P865" s="4" t="s">
        <v>48</v>
      </c>
      <c r="Q865" s="4">
        <v>0</v>
      </c>
      <c r="R865" s="4" t="b">
        <v>0</v>
      </c>
      <c r="S865" s="4" t="s">
        <v>61</v>
      </c>
      <c r="T865" s="4" t="s">
        <v>583</v>
      </c>
      <c r="U865" s="4" t="s">
        <v>148</v>
      </c>
      <c r="V865" s="4" t="s">
        <v>52</v>
      </c>
      <c r="W865" s="4" t="s">
        <v>53</v>
      </c>
      <c r="X865" s="4" t="s">
        <v>54</v>
      </c>
      <c r="Y865" s="4"/>
      <c r="Z865" s="12">
        <v>0</v>
      </c>
      <c r="AA865" s="13" t="s">
        <v>9158</v>
      </c>
      <c r="AB865" s="13" t="s">
        <v>9155</v>
      </c>
      <c r="AC865" s="14" t="s">
        <v>9148</v>
      </c>
      <c r="AD865" s="14" t="s">
        <v>9140</v>
      </c>
      <c r="AE865" s="14" t="s">
        <v>9140</v>
      </c>
      <c r="AF865" s="14" t="s">
        <v>52</v>
      </c>
      <c r="AG865" s="14" t="s">
        <v>54</v>
      </c>
      <c r="AH865" s="15" t="s">
        <v>9141</v>
      </c>
      <c r="AI865" s="15" t="s">
        <v>9191</v>
      </c>
      <c r="AJ865" s="15" t="s">
        <v>9143</v>
      </c>
      <c r="AK865" s="15" t="s">
        <v>9141</v>
      </c>
      <c r="AL865" s="15" t="s">
        <v>9191</v>
      </c>
      <c r="AM865" s="16" t="s">
        <v>9141</v>
      </c>
      <c r="AN865" s="16" t="s">
        <v>9192</v>
      </c>
    </row>
    <row r="866" spans="1:40" x14ac:dyDescent="0.25">
      <c r="A866" s="4" t="s">
        <v>8428</v>
      </c>
      <c r="B866" s="4"/>
      <c r="C866" s="4" t="s">
        <v>39</v>
      </c>
      <c r="D866" s="4" t="s">
        <v>8429</v>
      </c>
      <c r="E866" s="4" t="s">
        <v>8430</v>
      </c>
      <c r="F866" s="10">
        <v>45486</v>
      </c>
      <c r="G866" s="11">
        <v>0.55694444444444446</v>
      </c>
      <c r="H866" s="4" t="s">
        <v>4516</v>
      </c>
      <c r="I866" s="4" t="s">
        <v>8419</v>
      </c>
      <c r="J866" s="4" t="s">
        <v>8420</v>
      </c>
      <c r="K866" s="4" t="s">
        <v>8431</v>
      </c>
      <c r="L866" s="4" t="s">
        <v>8432</v>
      </c>
      <c r="M866" s="4" t="s">
        <v>46</v>
      </c>
      <c r="N866" s="4"/>
      <c r="O866" s="4" t="s">
        <v>47</v>
      </c>
      <c r="P866" s="4" t="s">
        <v>48</v>
      </c>
      <c r="Q866" s="4">
        <v>0</v>
      </c>
      <c r="R866" s="4" t="b">
        <v>0</v>
      </c>
      <c r="S866" s="4" t="s">
        <v>61</v>
      </c>
      <c r="T866" s="4" t="s">
        <v>583</v>
      </c>
      <c r="U866" s="4" t="s">
        <v>148</v>
      </c>
      <c r="V866" s="4" t="s">
        <v>52</v>
      </c>
      <c r="W866" s="4" t="s">
        <v>255</v>
      </c>
      <c r="X866" s="4" t="s">
        <v>54</v>
      </c>
      <c r="Y866" s="4"/>
      <c r="Z866" s="12">
        <v>0</v>
      </c>
      <c r="AA866" s="13" t="s">
        <v>9158</v>
      </c>
      <c r="AB866" s="13" t="s">
        <v>9155</v>
      </c>
      <c r="AC866" s="14" t="s">
        <v>9148</v>
      </c>
      <c r="AD866" s="14" t="s">
        <v>9140</v>
      </c>
      <c r="AE866" s="14" t="s">
        <v>9140</v>
      </c>
      <c r="AF866" s="14" t="s">
        <v>52</v>
      </c>
      <c r="AG866" s="14" t="s">
        <v>54</v>
      </c>
      <c r="AH866" s="15" t="s">
        <v>9220</v>
      </c>
      <c r="AI866" s="15" t="s">
        <v>9188</v>
      </c>
      <c r="AJ866" s="15" t="s">
        <v>9143</v>
      </c>
      <c r="AK866" s="15" t="s">
        <v>9221</v>
      </c>
      <c r="AL866" s="15" t="s">
        <v>9232</v>
      </c>
      <c r="AM866" s="16" t="s">
        <v>9221</v>
      </c>
      <c r="AN866" s="16" t="s">
        <v>9233</v>
      </c>
    </row>
    <row r="867" spans="1:40" x14ac:dyDescent="0.25">
      <c r="A867" s="4" t="s">
        <v>7941</v>
      </c>
      <c r="B867" s="4"/>
      <c r="C867" s="4" t="s">
        <v>39</v>
      </c>
      <c r="D867" s="4" t="s">
        <v>7920</v>
      </c>
      <c r="E867" s="4" t="s">
        <v>7921</v>
      </c>
      <c r="F867" s="10">
        <v>45485</v>
      </c>
      <c r="G867" s="11">
        <v>0.4236111111111111</v>
      </c>
      <c r="H867" s="4" t="s">
        <v>4516</v>
      </c>
      <c r="I867" s="4" t="s">
        <v>7915</v>
      </c>
      <c r="J867" s="4" t="s">
        <v>7916</v>
      </c>
      <c r="K867" s="4" t="s">
        <v>7942</v>
      </c>
      <c r="L867" s="4" t="s">
        <v>7943</v>
      </c>
      <c r="M867" s="4" t="s">
        <v>46</v>
      </c>
      <c r="N867" s="4"/>
      <c r="O867" s="4" t="s">
        <v>47</v>
      </c>
      <c r="P867" s="4" t="s">
        <v>48</v>
      </c>
      <c r="Q867" s="4">
        <v>0</v>
      </c>
      <c r="R867" s="4" t="b">
        <v>0</v>
      </c>
      <c r="S867" s="4" t="s">
        <v>49</v>
      </c>
      <c r="T867" s="4" t="s">
        <v>583</v>
      </c>
      <c r="U867" s="4" t="s">
        <v>1918</v>
      </c>
      <c r="V867" s="4" t="s">
        <v>63</v>
      </c>
      <c r="W867" s="4" t="s">
        <v>108</v>
      </c>
      <c r="X867" s="4" t="s">
        <v>54</v>
      </c>
      <c r="Y867" s="4"/>
      <c r="Z867" s="12">
        <v>0</v>
      </c>
      <c r="AA867" s="13" t="s">
        <v>9158</v>
      </c>
      <c r="AB867" s="13" t="s">
        <v>9155</v>
      </c>
      <c r="AC867" s="14" t="s">
        <v>9139</v>
      </c>
      <c r="AD867" s="14" t="s">
        <v>9140</v>
      </c>
      <c r="AE867" s="14" t="s">
        <v>9140</v>
      </c>
      <c r="AF867" s="14" t="s">
        <v>63</v>
      </c>
      <c r="AG867" s="14" t="s">
        <v>54</v>
      </c>
      <c r="AH867" s="15" t="s">
        <v>9220</v>
      </c>
      <c r="AI867" s="15" t="s">
        <v>9188</v>
      </c>
      <c r="AJ867" s="15" t="s">
        <v>9143</v>
      </c>
      <c r="AK867" s="15" t="s">
        <v>9221</v>
      </c>
      <c r="AL867" s="15" t="s">
        <v>9230</v>
      </c>
      <c r="AM867" s="16" t="s">
        <v>9221</v>
      </c>
      <c r="AN867" s="16" t="s">
        <v>9231</v>
      </c>
    </row>
    <row r="868" spans="1:40" x14ac:dyDescent="0.25">
      <c r="A868" s="4" t="s">
        <v>2294</v>
      </c>
      <c r="B868" s="4">
        <v>7047616</v>
      </c>
      <c r="C868" s="4" t="s">
        <v>39</v>
      </c>
      <c r="D868" s="4" t="s">
        <v>2295</v>
      </c>
      <c r="E868" s="4" t="s">
        <v>2296</v>
      </c>
      <c r="F868" s="10">
        <v>45485</v>
      </c>
      <c r="G868" s="11">
        <v>0.58333333333333337</v>
      </c>
      <c r="H868" s="4" t="s">
        <v>2095</v>
      </c>
      <c r="I868" s="4" t="s">
        <v>2271</v>
      </c>
      <c r="J868" s="4" t="s">
        <v>2272</v>
      </c>
      <c r="K868" s="4" t="s">
        <v>905</v>
      </c>
      <c r="L868" s="4" t="s">
        <v>2297</v>
      </c>
      <c r="M868" s="4" t="s">
        <v>28</v>
      </c>
      <c r="N868" s="4" t="s">
        <v>183</v>
      </c>
      <c r="O868" s="4" t="s">
        <v>174</v>
      </c>
      <c r="P868" s="4" t="s">
        <v>48</v>
      </c>
      <c r="Q868" s="4">
        <v>19</v>
      </c>
      <c r="R868" s="4" t="b">
        <v>0</v>
      </c>
      <c r="S868" s="4" t="s">
        <v>114</v>
      </c>
      <c r="T868" s="4" t="s">
        <v>583</v>
      </c>
      <c r="U868" s="4" t="s">
        <v>175</v>
      </c>
      <c r="V868" s="4" t="s">
        <v>52</v>
      </c>
      <c r="W868" s="4" t="s">
        <v>53</v>
      </c>
      <c r="X868" s="4" t="s">
        <v>54</v>
      </c>
      <c r="Y868" s="4"/>
      <c r="Z868" s="12" t="s">
        <v>48</v>
      </c>
      <c r="AA868" s="13" t="s">
        <v>9158</v>
      </c>
      <c r="AB868" s="13" t="s">
        <v>9155</v>
      </c>
      <c r="AC868" s="14" t="s">
        <v>9157</v>
      </c>
      <c r="AD868" s="14" t="s">
        <v>28</v>
      </c>
      <c r="AE868" s="14" t="s">
        <v>183</v>
      </c>
      <c r="AF868" s="14" t="s">
        <v>52</v>
      </c>
      <c r="AG868" s="14" t="s">
        <v>54</v>
      </c>
      <c r="AH868" s="15" t="s">
        <v>9194</v>
      </c>
      <c r="AI868" s="15" t="s">
        <v>9188</v>
      </c>
      <c r="AJ868" s="15" t="s">
        <v>9143</v>
      </c>
      <c r="AK868" s="15" t="s">
        <v>9194</v>
      </c>
      <c r="AL868" s="15" t="s">
        <v>9203</v>
      </c>
      <c r="AM868" s="16" t="s">
        <v>9194</v>
      </c>
      <c r="AN868" s="16" t="s">
        <v>9204</v>
      </c>
    </row>
    <row r="869" spans="1:40" x14ac:dyDescent="0.25">
      <c r="A869" s="4" t="s">
        <v>6214</v>
      </c>
      <c r="B869" s="4"/>
      <c r="C869" s="4" t="s">
        <v>39</v>
      </c>
      <c r="D869" s="4" t="s">
        <v>6215</v>
      </c>
      <c r="E869" s="4" t="s">
        <v>6216</v>
      </c>
      <c r="F869" s="10">
        <v>45484</v>
      </c>
      <c r="G869" s="11">
        <v>0.38541666666666669</v>
      </c>
      <c r="H869" s="4" t="s">
        <v>5666</v>
      </c>
      <c r="I869" s="4" t="s">
        <v>6217</v>
      </c>
      <c r="J869" s="4" t="s">
        <v>3503</v>
      </c>
      <c r="K869" s="4" t="s">
        <v>6218</v>
      </c>
      <c r="L869" s="4" t="s">
        <v>6219</v>
      </c>
      <c r="M869" s="4" t="s">
        <v>46</v>
      </c>
      <c r="N869" s="4"/>
      <c r="O869" s="4" t="s">
        <v>47</v>
      </c>
      <c r="P869" s="4" t="s">
        <v>48</v>
      </c>
      <c r="Q869" s="4">
        <v>0</v>
      </c>
      <c r="R869" s="4" t="b">
        <v>0</v>
      </c>
      <c r="S869" s="4" t="s">
        <v>49</v>
      </c>
      <c r="T869" s="4" t="s">
        <v>583</v>
      </c>
      <c r="U869" s="4" t="s">
        <v>71</v>
      </c>
      <c r="V869" s="4" t="s">
        <v>123</v>
      </c>
      <c r="W869" s="4" t="s">
        <v>124</v>
      </c>
      <c r="X869" s="4" t="s">
        <v>978</v>
      </c>
      <c r="Y869" s="4"/>
      <c r="Z869" s="12">
        <v>0</v>
      </c>
      <c r="AA869" s="13" t="s">
        <v>9158</v>
      </c>
      <c r="AB869" s="13" t="s">
        <v>9155</v>
      </c>
      <c r="AC869" s="14" t="s">
        <v>9139</v>
      </c>
      <c r="AD869" s="14" t="s">
        <v>9140</v>
      </c>
      <c r="AE869" s="14" t="s">
        <v>9140</v>
      </c>
      <c r="AF869" s="14" t="s">
        <v>123</v>
      </c>
      <c r="AG869" s="14" t="s">
        <v>978</v>
      </c>
      <c r="AH869" s="15" t="s">
        <v>9220</v>
      </c>
      <c r="AI869" s="15" t="s">
        <v>9199</v>
      </c>
      <c r="AJ869" s="15" t="s">
        <v>9143</v>
      </c>
      <c r="AK869" s="15" t="s">
        <v>9221</v>
      </c>
      <c r="AL869" s="15" t="s">
        <v>9199</v>
      </c>
      <c r="AM869" s="16" t="s">
        <v>9221</v>
      </c>
      <c r="AN869" s="16" t="s">
        <v>9238</v>
      </c>
    </row>
    <row r="870" spans="1:40" x14ac:dyDescent="0.25">
      <c r="A870" s="4" t="s">
        <v>6220</v>
      </c>
      <c r="B870" s="4" t="s">
        <v>6221</v>
      </c>
      <c r="C870" s="4" t="s">
        <v>39</v>
      </c>
      <c r="D870" s="4" t="s">
        <v>6222</v>
      </c>
      <c r="E870" s="4" t="s">
        <v>6223</v>
      </c>
      <c r="F870" s="10">
        <v>45484</v>
      </c>
      <c r="G870" s="11">
        <v>0.77083333333333337</v>
      </c>
      <c r="H870" s="4" t="s">
        <v>5666</v>
      </c>
      <c r="I870" s="4" t="s">
        <v>6217</v>
      </c>
      <c r="J870" s="4" t="s">
        <v>3503</v>
      </c>
      <c r="K870" s="4" t="s">
        <v>6224</v>
      </c>
      <c r="L870" s="4" t="s">
        <v>6225</v>
      </c>
      <c r="M870" s="4" t="s">
        <v>28</v>
      </c>
      <c r="N870" s="4" t="s">
        <v>183</v>
      </c>
      <c r="O870" s="4" t="s">
        <v>174</v>
      </c>
      <c r="P870" s="4" t="s">
        <v>48</v>
      </c>
      <c r="Q870" s="4">
        <v>66</v>
      </c>
      <c r="R870" s="4" t="b">
        <v>1</v>
      </c>
      <c r="S870" s="4" t="s">
        <v>184</v>
      </c>
      <c r="T870" s="4" t="s">
        <v>425</v>
      </c>
      <c r="U870" s="4" t="s">
        <v>51</v>
      </c>
      <c r="V870" s="4" t="s">
        <v>123</v>
      </c>
      <c r="W870" s="4" t="s">
        <v>124</v>
      </c>
      <c r="X870" s="4" t="s">
        <v>978</v>
      </c>
      <c r="Y870" s="4"/>
      <c r="Z870" s="12" t="s">
        <v>48</v>
      </c>
      <c r="AA870" s="13" t="s">
        <v>9158</v>
      </c>
      <c r="AB870" s="13" t="s">
        <v>9155</v>
      </c>
      <c r="AC870" s="14" t="s">
        <v>9166</v>
      </c>
      <c r="AD870" s="14" t="s">
        <v>28</v>
      </c>
      <c r="AE870" s="14" t="s">
        <v>183</v>
      </c>
      <c r="AF870" s="14" t="s">
        <v>123</v>
      </c>
      <c r="AG870" s="14" t="s">
        <v>978</v>
      </c>
      <c r="AH870" s="15" t="s">
        <v>9220</v>
      </c>
      <c r="AI870" s="15" t="s">
        <v>9199</v>
      </c>
      <c r="AJ870" s="15" t="s">
        <v>9143</v>
      </c>
      <c r="AK870" s="15" t="s">
        <v>9221</v>
      </c>
      <c r="AL870" s="15" t="s">
        <v>9199</v>
      </c>
      <c r="AM870" s="16" t="s">
        <v>9221</v>
      </c>
      <c r="AN870" s="16" t="s">
        <v>9238</v>
      </c>
    </row>
    <row r="871" spans="1:40" x14ac:dyDescent="0.25">
      <c r="A871" s="4" t="s">
        <v>2325</v>
      </c>
      <c r="B871" s="4"/>
      <c r="C871" s="4" t="s">
        <v>39</v>
      </c>
      <c r="D871" s="4" t="s">
        <v>2326</v>
      </c>
      <c r="E871" s="4" t="s">
        <v>2327</v>
      </c>
      <c r="F871" s="10">
        <v>45484</v>
      </c>
      <c r="G871" s="11">
        <v>0.52083333333333337</v>
      </c>
      <c r="H871" s="4" t="s">
        <v>1939</v>
      </c>
      <c r="I871" s="4" t="s">
        <v>2322</v>
      </c>
      <c r="J871" s="4" t="s">
        <v>1037</v>
      </c>
      <c r="K871" s="4" t="s">
        <v>2328</v>
      </c>
      <c r="L871" s="4" t="s">
        <v>2329</v>
      </c>
      <c r="M871" s="4" t="s">
        <v>46</v>
      </c>
      <c r="N871" s="4"/>
      <c r="O871" s="4" t="s">
        <v>47</v>
      </c>
      <c r="P871" s="4" t="s">
        <v>48</v>
      </c>
      <c r="Q871" s="4">
        <v>0</v>
      </c>
      <c r="R871" s="4" t="b">
        <v>0</v>
      </c>
      <c r="S871" s="4" t="s">
        <v>61</v>
      </c>
      <c r="T871" s="4" t="s">
        <v>713</v>
      </c>
      <c r="U871" s="4" t="s">
        <v>330</v>
      </c>
      <c r="V871" s="4" t="s">
        <v>267</v>
      </c>
      <c r="W871" s="4" t="s">
        <v>2330</v>
      </c>
      <c r="X871" s="4" t="s">
        <v>54</v>
      </c>
      <c r="Y871" s="4"/>
      <c r="Z871" s="12">
        <v>0</v>
      </c>
      <c r="AA871" s="13" t="s">
        <v>9158</v>
      </c>
      <c r="AB871" s="13" t="s">
        <v>9155</v>
      </c>
      <c r="AC871" s="14" t="s">
        <v>9148</v>
      </c>
      <c r="AD871" s="14" t="s">
        <v>9140</v>
      </c>
      <c r="AE871" s="14" t="s">
        <v>9140</v>
      </c>
      <c r="AF871" s="14" t="s">
        <v>267</v>
      </c>
      <c r="AG871" s="14" t="s">
        <v>54</v>
      </c>
      <c r="AH871" s="15" t="s">
        <v>9194</v>
      </c>
      <c r="AI871" s="15" t="s">
        <v>9175</v>
      </c>
      <c r="AJ871" s="15" t="s">
        <v>9143</v>
      </c>
      <c r="AK871" s="15" t="s">
        <v>9194</v>
      </c>
      <c r="AL871" s="15" t="s">
        <v>9195</v>
      </c>
      <c r="AM871" s="16" t="s">
        <v>9194</v>
      </c>
      <c r="AN871" s="16" t="s">
        <v>9196</v>
      </c>
    </row>
    <row r="872" spans="1:40" x14ac:dyDescent="0.25">
      <c r="A872" s="4" t="s">
        <v>1766</v>
      </c>
      <c r="B872" s="4"/>
      <c r="C872" s="4" t="s">
        <v>39</v>
      </c>
      <c r="D872" s="4" t="s">
        <v>1767</v>
      </c>
      <c r="E872" s="4" t="s">
        <v>1768</v>
      </c>
      <c r="F872" s="10">
        <v>45484</v>
      </c>
      <c r="G872" s="11">
        <v>0.50208333333333333</v>
      </c>
      <c r="H872" s="4" t="s">
        <v>1654</v>
      </c>
      <c r="I872" s="4">
        <v>9095</v>
      </c>
      <c r="J872" s="4" t="s">
        <v>1742</v>
      </c>
      <c r="K872" s="4" t="s">
        <v>1769</v>
      </c>
      <c r="L872" s="4" t="s">
        <v>1770</v>
      </c>
      <c r="M872" s="4" t="s">
        <v>46</v>
      </c>
      <c r="N872" s="4"/>
      <c r="O872" s="4" t="s">
        <v>47</v>
      </c>
      <c r="P872" s="4" t="s">
        <v>48</v>
      </c>
      <c r="Q872" s="4">
        <v>0</v>
      </c>
      <c r="R872" s="4" t="b">
        <v>0</v>
      </c>
      <c r="S872" s="4" t="s">
        <v>61</v>
      </c>
      <c r="T872" s="4" t="s">
        <v>89</v>
      </c>
      <c r="U872" s="4" t="s">
        <v>140</v>
      </c>
      <c r="V872" s="4" t="s">
        <v>52</v>
      </c>
      <c r="W872" s="4" t="s">
        <v>135</v>
      </c>
      <c r="X872" s="4" t="s">
        <v>54</v>
      </c>
      <c r="Y872" s="4"/>
      <c r="Z872" s="12">
        <v>0</v>
      </c>
      <c r="AA872" s="13" t="s">
        <v>9158</v>
      </c>
      <c r="AB872" s="13" t="s">
        <v>9155</v>
      </c>
      <c r="AC872" s="14" t="s">
        <v>9148</v>
      </c>
      <c r="AD872" s="14" t="s">
        <v>9140</v>
      </c>
      <c r="AE872" s="14" t="s">
        <v>9140</v>
      </c>
      <c r="AF872" s="14" t="s">
        <v>52</v>
      </c>
      <c r="AG872" s="14" t="s">
        <v>54</v>
      </c>
      <c r="AH872" s="15" t="s">
        <v>9141</v>
      </c>
      <c r="AI872" s="15" t="s">
        <v>9191</v>
      </c>
      <c r="AJ872" s="15" t="s">
        <v>9143</v>
      </c>
      <c r="AK872" s="15" t="s">
        <v>9141</v>
      </c>
      <c r="AL872" s="15" t="s">
        <v>9191</v>
      </c>
      <c r="AM872" s="16" t="s">
        <v>9141</v>
      </c>
      <c r="AN872" s="16" t="s">
        <v>9192</v>
      </c>
    </row>
    <row r="873" spans="1:40" x14ac:dyDescent="0.25">
      <c r="A873" s="4" t="s">
        <v>8144</v>
      </c>
      <c r="B873" s="4"/>
      <c r="C873" s="4" t="s">
        <v>39</v>
      </c>
      <c r="D873" s="4" t="s">
        <v>8145</v>
      </c>
      <c r="E873" s="4" t="s">
        <v>8146</v>
      </c>
      <c r="F873" s="10">
        <v>45484</v>
      </c>
      <c r="G873" s="11">
        <v>0.64583333333333337</v>
      </c>
      <c r="H873" s="4" t="s">
        <v>4516</v>
      </c>
      <c r="I873" s="4" t="s">
        <v>8133</v>
      </c>
      <c r="J873" s="4" t="s">
        <v>8134</v>
      </c>
      <c r="K873" s="4" t="s">
        <v>8147</v>
      </c>
      <c r="L873" s="4" t="s">
        <v>8148</v>
      </c>
      <c r="M873" s="4" t="s">
        <v>46</v>
      </c>
      <c r="N873" s="4"/>
      <c r="O873" s="4" t="s">
        <v>47</v>
      </c>
      <c r="P873" s="4" t="s">
        <v>48</v>
      </c>
      <c r="Q873" s="4">
        <v>0</v>
      </c>
      <c r="R873" s="4" t="b">
        <v>0</v>
      </c>
      <c r="S873" s="4" t="s">
        <v>49</v>
      </c>
      <c r="T873" s="4" t="s">
        <v>70</v>
      </c>
      <c r="U873" s="4" t="s">
        <v>71</v>
      </c>
      <c r="V873" s="4" t="s">
        <v>72</v>
      </c>
      <c r="W873" s="4" t="s">
        <v>73</v>
      </c>
      <c r="X873" s="4" t="s">
        <v>54</v>
      </c>
      <c r="Y873" s="4"/>
      <c r="Z873" s="12">
        <v>0</v>
      </c>
      <c r="AA873" s="13" t="s">
        <v>9158</v>
      </c>
      <c r="AB873" s="13" t="s">
        <v>9155</v>
      </c>
      <c r="AC873" s="14" t="s">
        <v>9139</v>
      </c>
      <c r="AD873" s="14" t="s">
        <v>9140</v>
      </c>
      <c r="AE873" s="14" t="s">
        <v>9140</v>
      </c>
      <c r="AF873" s="14" t="s">
        <v>72</v>
      </c>
      <c r="AG873" s="14" t="s">
        <v>54</v>
      </c>
      <c r="AH873" s="15" t="s">
        <v>9220</v>
      </c>
      <c r="AI873" s="15" t="s">
        <v>9188</v>
      </c>
      <c r="AJ873" s="15" t="s">
        <v>9143</v>
      </c>
      <c r="AK873" s="15" t="s">
        <v>9221</v>
      </c>
      <c r="AL873" s="15" t="s">
        <v>9230</v>
      </c>
      <c r="AM873" s="16" t="s">
        <v>9221</v>
      </c>
      <c r="AN873" s="16" t="s">
        <v>9231</v>
      </c>
    </row>
    <row r="874" spans="1:40" x14ac:dyDescent="0.25">
      <c r="A874" s="4" t="s">
        <v>7091</v>
      </c>
      <c r="B874" s="4" t="s">
        <v>7092</v>
      </c>
      <c r="C874" s="4" t="s">
        <v>39</v>
      </c>
      <c r="D874" s="4" t="s">
        <v>7093</v>
      </c>
      <c r="E874" s="4" t="s">
        <v>7094</v>
      </c>
      <c r="F874" s="10">
        <v>45484</v>
      </c>
      <c r="G874" s="11">
        <v>0.54166666666666663</v>
      </c>
      <c r="H874" s="4" t="s">
        <v>4242</v>
      </c>
      <c r="I874" s="4" t="s">
        <v>7028</v>
      </c>
      <c r="J874" s="4" t="s">
        <v>7029</v>
      </c>
      <c r="K874" s="4" t="s">
        <v>7095</v>
      </c>
      <c r="L874" s="4" t="s">
        <v>7096</v>
      </c>
      <c r="M874" s="4" t="s">
        <v>28</v>
      </c>
      <c r="N874" s="4" t="s">
        <v>183</v>
      </c>
      <c r="O874" s="4" t="s">
        <v>174</v>
      </c>
      <c r="P874" s="4" t="s">
        <v>48</v>
      </c>
      <c r="Q874" s="4">
        <v>0</v>
      </c>
      <c r="R874" s="4" t="b">
        <v>0</v>
      </c>
      <c r="S874" s="4" t="s">
        <v>61</v>
      </c>
      <c r="T874" s="4" t="s">
        <v>89</v>
      </c>
      <c r="U874" s="4" t="s">
        <v>175</v>
      </c>
      <c r="V874" s="4" t="s">
        <v>52</v>
      </c>
      <c r="W874" s="4" t="s">
        <v>135</v>
      </c>
      <c r="X874" s="4" t="s">
        <v>54</v>
      </c>
      <c r="Y874" s="4"/>
      <c r="Z874" s="12" t="s">
        <v>48</v>
      </c>
      <c r="AA874" s="13" t="s">
        <v>9158</v>
      </c>
      <c r="AB874" s="13" t="s">
        <v>9155</v>
      </c>
      <c r="AC874" s="14" t="s">
        <v>9148</v>
      </c>
      <c r="AD874" s="14" t="s">
        <v>28</v>
      </c>
      <c r="AE874" s="14" t="s">
        <v>183</v>
      </c>
      <c r="AF874" s="14" t="s">
        <v>52</v>
      </c>
      <c r="AG874" s="14" t="s">
        <v>54</v>
      </c>
      <c r="AH874" s="15" t="s">
        <v>9220</v>
      </c>
      <c r="AI874" s="15" t="s">
        <v>9187</v>
      </c>
      <c r="AJ874" s="15" t="s">
        <v>9143</v>
      </c>
      <c r="AK874" s="15" t="s">
        <v>9221</v>
      </c>
      <c r="AL874" s="15" t="s">
        <v>9226</v>
      </c>
      <c r="AM874" s="16" t="s">
        <v>9221</v>
      </c>
      <c r="AN874" s="16" t="s">
        <v>9227</v>
      </c>
    </row>
    <row r="875" spans="1:40" x14ac:dyDescent="0.25">
      <c r="A875" s="4" t="s">
        <v>8882</v>
      </c>
      <c r="B875" s="4"/>
      <c r="C875" s="4" t="s">
        <v>39</v>
      </c>
      <c r="D875" s="4" t="s">
        <v>8883</v>
      </c>
      <c r="E875" s="4" t="s">
        <v>8884</v>
      </c>
      <c r="F875" s="10">
        <v>45484</v>
      </c>
      <c r="G875" s="11">
        <v>0.42708333333333331</v>
      </c>
      <c r="H875" s="4" t="s">
        <v>4019</v>
      </c>
      <c r="I875" s="4" t="s">
        <v>8854</v>
      </c>
      <c r="J875" s="4" t="s">
        <v>8855</v>
      </c>
      <c r="K875" s="4" t="s">
        <v>2442</v>
      </c>
      <c r="L875" s="4" t="s">
        <v>8885</v>
      </c>
      <c r="M875" s="4" t="s">
        <v>46</v>
      </c>
      <c r="N875" s="4"/>
      <c r="O875" s="4" t="s">
        <v>47</v>
      </c>
      <c r="P875" s="4" t="s">
        <v>48</v>
      </c>
      <c r="Q875" s="4">
        <v>0</v>
      </c>
      <c r="R875" s="4" t="b">
        <v>0</v>
      </c>
      <c r="S875" s="4" t="s">
        <v>49</v>
      </c>
      <c r="T875" s="4" t="s">
        <v>50</v>
      </c>
      <c r="U875" s="4" t="s">
        <v>90</v>
      </c>
      <c r="V875" s="4" t="s">
        <v>72</v>
      </c>
      <c r="W875" s="4" t="s">
        <v>73</v>
      </c>
      <c r="X875" s="4" t="s">
        <v>54</v>
      </c>
      <c r="Y875" s="4"/>
      <c r="Z875" s="12">
        <v>0</v>
      </c>
      <c r="AA875" s="13" t="s">
        <v>9158</v>
      </c>
      <c r="AB875" s="13" t="s">
        <v>9155</v>
      </c>
      <c r="AC875" s="14" t="s">
        <v>9139</v>
      </c>
      <c r="AD875" s="14" t="s">
        <v>9140</v>
      </c>
      <c r="AE875" s="14" t="s">
        <v>9140</v>
      </c>
      <c r="AF875" s="14" t="s">
        <v>72</v>
      </c>
      <c r="AG875" s="14" t="s">
        <v>54</v>
      </c>
      <c r="AH875" s="15" t="s">
        <v>9220</v>
      </c>
      <c r="AI875" s="15" t="s">
        <v>9175</v>
      </c>
      <c r="AJ875" s="15" t="s">
        <v>9183</v>
      </c>
      <c r="AK875" s="15" t="s">
        <v>9239</v>
      </c>
      <c r="AL875" s="15" t="s">
        <v>9240</v>
      </c>
      <c r="AM875" s="16" t="s">
        <v>9186</v>
      </c>
      <c r="AN875" s="16" t="s">
        <v>9186</v>
      </c>
    </row>
    <row r="876" spans="1:40" x14ac:dyDescent="0.25">
      <c r="A876" s="4" t="s">
        <v>5992</v>
      </c>
      <c r="B876" s="4"/>
      <c r="C876" s="4" t="s">
        <v>39</v>
      </c>
      <c r="D876" s="4" t="s">
        <v>5993</v>
      </c>
      <c r="E876" s="4" t="s">
        <v>5994</v>
      </c>
      <c r="F876" s="10">
        <v>45483</v>
      </c>
      <c r="G876" s="11">
        <v>0.49305555555555558</v>
      </c>
      <c r="H876" s="4" t="s">
        <v>4242</v>
      </c>
      <c r="I876" s="4" t="s">
        <v>5918</v>
      </c>
      <c r="J876" s="4" t="s">
        <v>5919</v>
      </c>
      <c r="K876" s="4" t="s">
        <v>5995</v>
      </c>
      <c r="L876" s="4" t="s">
        <v>5996</v>
      </c>
      <c r="M876" s="4" t="s">
        <v>46</v>
      </c>
      <c r="N876" s="4"/>
      <c r="O876" s="4" t="s">
        <v>47</v>
      </c>
      <c r="P876" s="4" t="s">
        <v>48</v>
      </c>
      <c r="Q876" s="4">
        <v>0</v>
      </c>
      <c r="R876" s="4" t="b">
        <v>0</v>
      </c>
      <c r="S876" s="4" t="s">
        <v>61</v>
      </c>
      <c r="T876" s="4" t="s">
        <v>89</v>
      </c>
      <c r="U876" s="4" t="s">
        <v>140</v>
      </c>
      <c r="V876" s="4" t="s">
        <v>123</v>
      </c>
      <c r="W876" s="4" t="s">
        <v>192</v>
      </c>
      <c r="X876" s="4" t="s">
        <v>54</v>
      </c>
      <c r="Y876" s="4" t="s">
        <v>302</v>
      </c>
      <c r="Z876" s="12">
        <v>0</v>
      </c>
      <c r="AA876" s="13" t="s">
        <v>9158</v>
      </c>
      <c r="AB876" s="13" t="s">
        <v>9155</v>
      </c>
      <c r="AC876" s="14" t="s">
        <v>9148</v>
      </c>
      <c r="AD876" s="14" t="s">
        <v>9140</v>
      </c>
      <c r="AE876" s="14" t="s">
        <v>9140</v>
      </c>
      <c r="AF876" s="14" t="s">
        <v>123</v>
      </c>
      <c r="AG876" s="14" t="s">
        <v>54</v>
      </c>
      <c r="AH876" s="15" t="s">
        <v>9220</v>
      </c>
      <c r="AI876" s="15" t="s">
        <v>9187</v>
      </c>
      <c r="AJ876" s="15" t="s">
        <v>9143</v>
      </c>
      <c r="AK876" s="15" t="s">
        <v>9221</v>
      </c>
      <c r="AL876" s="15" t="s">
        <v>9226</v>
      </c>
      <c r="AM876" s="16" t="s">
        <v>9221</v>
      </c>
      <c r="AN876" s="16" t="s">
        <v>9227</v>
      </c>
    </row>
    <row r="877" spans="1:40" x14ac:dyDescent="0.25">
      <c r="A877" s="4" t="s">
        <v>1677</v>
      </c>
      <c r="B877" s="4"/>
      <c r="C877" s="4" t="s">
        <v>39</v>
      </c>
      <c r="D877" s="4" t="s">
        <v>1678</v>
      </c>
      <c r="E877" s="4" t="s">
        <v>1679</v>
      </c>
      <c r="F877" s="10">
        <v>45483</v>
      </c>
      <c r="G877" s="11">
        <v>0.40972222222222221</v>
      </c>
      <c r="H877" s="4" t="s">
        <v>1654</v>
      </c>
      <c r="I877" s="4">
        <v>9087</v>
      </c>
      <c r="J877" s="4" t="s">
        <v>1666</v>
      </c>
      <c r="K877" s="4" t="s">
        <v>1680</v>
      </c>
      <c r="L877" s="4" t="s">
        <v>1681</v>
      </c>
      <c r="M877" s="4" t="s">
        <v>46</v>
      </c>
      <c r="N877" s="4"/>
      <c r="O877" s="4" t="s">
        <v>47</v>
      </c>
      <c r="P877" s="4" t="s">
        <v>48</v>
      </c>
      <c r="Q877" s="4">
        <v>0</v>
      </c>
      <c r="R877" s="4" t="b">
        <v>0</v>
      </c>
      <c r="S877" s="4" t="s">
        <v>49</v>
      </c>
      <c r="T877" s="4" t="s">
        <v>70</v>
      </c>
      <c r="U877" s="4" t="s">
        <v>71</v>
      </c>
      <c r="V877" s="4" t="s">
        <v>63</v>
      </c>
      <c r="W877" s="4" t="s">
        <v>198</v>
      </c>
      <c r="X877" s="4" t="s">
        <v>54</v>
      </c>
      <c r="Y877" s="4"/>
      <c r="Z877" s="12">
        <v>0</v>
      </c>
      <c r="AA877" s="13" t="s">
        <v>9158</v>
      </c>
      <c r="AB877" s="13" t="s">
        <v>9155</v>
      </c>
      <c r="AC877" s="14" t="s">
        <v>9139</v>
      </c>
      <c r="AD877" s="14" t="s">
        <v>9140</v>
      </c>
      <c r="AE877" s="14" t="s">
        <v>9140</v>
      </c>
      <c r="AF877" s="14" t="s">
        <v>63</v>
      </c>
      <c r="AG877" s="14" t="s">
        <v>54</v>
      </c>
      <c r="AH877" s="15" t="s">
        <v>9141</v>
      </c>
      <c r="AI877" s="15" t="s">
        <v>9191</v>
      </c>
      <c r="AJ877" s="15" t="s">
        <v>9143</v>
      </c>
      <c r="AK877" s="15" t="s">
        <v>9141</v>
      </c>
      <c r="AL877" s="15" t="s">
        <v>9191</v>
      </c>
      <c r="AM877" s="16" t="s">
        <v>9141</v>
      </c>
      <c r="AN877" s="16" t="s">
        <v>9192</v>
      </c>
    </row>
    <row r="878" spans="1:40" x14ac:dyDescent="0.25">
      <c r="A878" s="4" t="s">
        <v>1651</v>
      </c>
      <c r="B878" s="4"/>
      <c r="C878" s="4" t="s">
        <v>39</v>
      </c>
      <c r="D878" s="4" t="s">
        <v>1652</v>
      </c>
      <c r="E878" s="4" t="s">
        <v>1653</v>
      </c>
      <c r="F878" s="10">
        <v>45483</v>
      </c>
      <c r="G878" s="11">
        <v>0.33888888888888891</v>
      </c>
      <c r="H878" s="4" t="s">
        <v>1654</v>
      </c>
      <c r="I878" s="4">
        <v>9086</v>
      </c>
      <c r="J878" s="4" t="s">
        <v>1655</v>
      </c>
      <c r="K878" s="4" t="s">
        <v>1656</v>
      </c>
      <c r="L878" s="4" t="s">
        <v>1657</v>
      </c>
      <c r="M878" s="4" t="s">
        <v>46</v>
      </c>
      <c r="N878" s="4"/>
      <c r="O878" s="4" t="s">
        <v>47</v>
      </c>
      <c r="P878" s="4" t="s">
        <v>48</v>
      </c>
      <c r="Q878" s="4">
        <v>0</v>
      </c>
      <c r="R878" s="4" t="b">
        <v>0</v>
      </c>
      <c r="S878" s="4" t="s">
        <v>61</v>
      </c>
      <c r="T878" s="4" t="s">
        <v>89</v>
      </c>
      <c r="U878" s="4" t="s">
        <v>148</v>
      </c>
      <c r="V878" s="4" t="s">
        <v>52</v>
      </c>
      <c r="W878" s="4" t="s">
        <v>255</v>
      </c>
      <c r="X878" s="4" t="s">
        <v>54</v>
      </c>
      <c r="Y878" s="4"/>
      <c r="Z878" s="12">
        <v>0</v>
      </c>
      <c r="AA878" s="13" t="s">
        <v>9158</v>
      </c>
      <c r="AB878" s="13" t="s">
        <v>9155</v>
      </c>
      <c r="AC878" s="14" t="s">
        <v>9148</v>
      </c>
      <c r="AD878" s="14" t="s">
        <v>9140</v>
      </c>
      <c r="AE878" s="14" t="s">
        <v>9140</v>
      </c>
      <c r="AF878" s="14" t="s">
        <v>52</v>
      </c>
      <c r="AG878" s="14" t="s">
        <v>54</v>
      </c>
      <c r="AH878" s="15" t="s">
        <v>9141</v>
      </c>
      <c r="AI878" s="15" t="s">
        <v>9191</v>
      </c>
      <c r="AJ878" s="15" t="s">
        <v>9143</v>
      </c>
      <c r="AK878" s="15" t="s">
        <v>9141</v>
      </c>
      <c r="AL878" s="15" t="s">
        <v>9191</v>
      </c>
      <c r="AM878" s="16" t="s">
        <v>9141</v>
      </c>
      <c r="AN878" s="16" t="s">
        <v>9192</v>
      </c>
    </row>
    <row r="879" spans="1:40" x14ac:dyDescent="0.25">
      <c r="A879" s="4" t="s">
        <v>2433</v>
      </c>
      <c r="B879" s="4"/>
      <c r="C879" s="4" t="s">
        <v>39</v>
      </c>
      <c r="D879" s="4" t="s">
        <v>2434</v>
      </c>
      <c r="E879" s="4" t="s">
        <v>2435</v>
      </c>
      <c r="F879" s="10">
        <v>45483</v>
      </c>
      <c r="G879" s="11">
        <v>0.6166666666666667</v>
      </c>
      <c r="H879" s="4" t="s">
        <v>1939</v>
      </c>
      <c r="I879" s="4" t="s">
        <v>2393</v>
      </c>
      <c r="J879" s="4" t="s">
        <v>2394</v>
      </c>
      <c r="K879" s="4" t="s">
        <v>2436</v>
      </c>
      <c r="L879" s="4" t="s">
        <v>2437</v>
      </c>
      <c r="M879" s="4" t="s">
        <v>46</v>
      </c>
      <c r="N879" s="4"/>
      <c r="O879" s="4" t="s">
        <v>47</v>
      </c>
      <c r="P879" s="4" t="s">
        <v>60</v>
      </c>
      <c r="Q879" s="4">
        <v>0</v>
      </c>
      <c r="R879" s="4" t="b">
        <v>0</v>
      </c>
      <c r="S879" s="4" t="s">
        <v>49</v>
      </c>
      <c r="T879" s="4" t="s">
        <v>70</v>
      </c>
      <c r="U879" s="4" t="s">
        <v>71</v>
      </c>
      <c r="V879" s="4" t="s">
        <v>72</v>
      </c>
      <c r="W879" s="4" t="s">
        <v>73</v>
      </c>
      <c r="X879" s="4" t="s">
        <v>54</v>
      </c>
      <c r="Y879" s="4"/>
      <c r="Z879" s="12">
        <v>0</v>
      </c>
      <c r="AA879" s="13" t="s">
        <v>9158</v>
      </c>
      <c r="AB879" s="13" t="s">
        <v>9155</v>
      </c>
      <c r="AC879" s="14" t="s">
        <v>9139</v>
      </c>
      <c r="AD879" s="14" t="s">
        <v>9140</v>
      </c>
      <c r="AE879" s="14" t="s">
        <v>9140</v>
      </c>
      <c r="AF879" s="14" t="s">
        <v>72</v>
      </c>
      <c r="AG879" s="14" t="s">
        <v>54</v>
      </c>
      <c r="AH879" s="15" t="s">
        <v>9194</v>
      </c>
      <c r="AI879" s="15" t="s">
        <v>9175</v>
      </c>
      <c r="AJ879" s="15" t="s">
        <v>9143</v>
      </c>
      <c r="AK879" s="15" t="s">
        <v>9194</v>
      </c>
      <c r="AL879" s="15" t="s">
        <v>9195</v>
      </c>
      <c r="AM879" s="16" t="s">
        <v>9194</v>
      </c>
      <c r="AN879" s="16" t="s">
        <v>9196</v>
      </c>
    </row>
    <row r="880" spans="1:40" x14ac:dyDescent="0.25">
      <c r="A880" s="4" t="s">
        <v>2076</v>
      </c>
      <c r="B880" s="4"/>
      <c r="C880" s="4" t="s">
        <v>39</v>
      </c>
      <c r="D880" s="4" t="s">
        <v>2077</v>
      </c>
      <c r="E880" s="4" t="s">
        <v>2078</v>
      </c>
      <c r="F880" s="10">
        <v>45483</v>
      </c>
      <c r="G880" s="11">
        <v>0.51388888888888884</v>
      </c>
      <c r="H880" s="4" t="s">
        <v>1992</v>
      </c>
      <c r="I880" s="4" t="s">
        <v>2061</v>
      </c>
      <c r="J880" s="4" t="s">
        <v>2062</v>
      </c>
      <c r="K880" s="4" t="s">
        <v>2079</v>
      </c>
      <c r="L880" s="4" t="s">
        <v>2080</v>
      </c>
      <c r="M880" s="4" t="s">
        <v>46</v>
      </c>
      <c r="N880" s="4"/>
      <c r="O880" s="4" t="s">
        <v>47</v>
      </c>
      <c r="P880" s="4" t="s">
        <v>48</v>
      </c>
      <c r="Q880" s="4">
        <v>0</v>
      </c>
      <c r="R880" s="4" t="b">
        <v>0</v>
      </c>
      <c r="S880" s="4" t="s">
        <v>49</v>
      </c>
      <c r="T880" s="4" t="s">
        <v>583</v>
      </c>
      <c r="U880" s="4" t="s">
        <v>71</v>
      </c>
      <c r="V880" s="4" t="s">
        <v>63</v>
      </c>
      <c r="W880" s="4" t="s">
        <v>108</v>
      </c>
      <c r="X880" s="4" t="s">
        <v>54</v>
      </c>
      <c r="Y880" s="4"/>
      <c r="Z880" s="12">
        <v>0</v>
      </c>
      <c r="AA880" s="13" t="s">
        <v>9158</v>
      </c>
      <c r="AB880" s="13" t="s">
        <v>9155</v>
      </c>
      <c r="AC880" s="14" t="s">
        <v>9139</v>
      </c>
      <c r="AD880" s="14" t="s">
        <v>9140</v>
      </c>
      <c r="AE880" s="14" t="s">
        <v>9140</v>
      </c>
      <c r="AF880" s="14" t="s">
        <v>63</v>
      </c>
      <c r="AG880" s="14" t="s">
        <v>54</v>
      </c>
      <c r="AH880" s="15" t="s">
        <v>9194</v>
      </c>
      <c r="AI880" s="15" t="s">
        <v>9191</v>
      </c>
      <c r="AJ880" s="15" t="s">
        <v>9143</v>
      </c>
      <c r="AK880" s="15" t="s">
        <v>9194</v>
      </c>
      <c r="AL880" s="15" t="s">
        <v>9201</v>
      </c>
      <c r="AM880" s="16" t="s">
        <v>9194</v>
      </c>
      <c r="AN880" s="16" t="s">
        <v>9202</v>
      </c>
    </row>
    <row r="881" spans="1:40" x14ac:dyDescent="0.25">
      <c r="A881" s="4" t="s">
        <v>3272</v>
      </c>
      <c r="B881" s="4"/>
      <c r="C881" s="4" t="s">
        <v>39</v>
      </c>
      <c r="D881" s="4" t="s">
        <v>3273</v>
      </c>
      <c r="E881" s="4" t="s">
        <v>3274</v>
      </c>
      <c r="F881" s="10">
        <v>45483</v>
      </c>
      <c r="G881" s="11">
        <v>0.63611111111111107</v>
      </c>
      <c r="H881" s="4" t="s">
        <v>2095</v>
      </c>
      <c r="I881" s="4" t="s">
        <v>3264</v>
      </c>
      <c r="J881" s="4" t="s">
        <v>3265</v>
      </c>
      <c r="K881" s="4" t="s">
        <v>3275</v>
      </c>
      <c r="L881" s="4" t="s">
        <v>3276</v>
      </c>
      <c r="M881" s="4" t="s">
        <v>46</v>
      </c>
      <c r="N881" s="4"/>
      <c r="O881" s="4" t="s">
        <v>47</v>
      </c>
      <c r="P881" s="4" t="s">
        <v>48</v>
      </c>
      <c r="Q881" s="4">
        <v>0</v>
      </c>
      <c r="R881" s="4" t="b">
        <v>0</v>
      </c>
      <c r="S881" s="4" t="s">
        <v>49</v>
      </c>
      <c r="T881" s="4" t="s">
        <v>433</v>
      </c>
      <c r="U881" s="4" t="s">
        <v>887</v>
      </c>
      <c r="V881" s="4" t="s">
        <v>81</v>
      </c>
      <c r="W881" s="4" t="s">
        <v>82</v>
      </c>
      <c r="X881" s="4" t="s">
        <v>3010</v>
      </c>
      <c r="Y881" s="4"/>
      <c r="Z881" s="12">
        <v>0</v>
      </c>
      <c r="AA881" s="13" t="s">
        <v>9158</v>
      </c>
      <c r="AB881" s="13" t="s">
        <v>9155</v>
      </c>
      <c r="AC881" s="14" t="s">
        <v>9139</v>
      </c>
      <c r="AD881" s="14" t="s">
        <v>9140</v>
      </c>
      <c r="AE881" s="14" t="s">
        <v>9140</v>
      </c>
      <c r="AF881" s="14" t="s">
        <v>81</v>
      </c>
      <c r="AG881" s="14" t="s">
        <v>3010</v>
      </c>
      <c r="AH881" s="15" t="s">
        <v>9194</v>
      </c>
      <c r="AI881" s="15" t="s">
        <v>9188</v>
      </c>
      <c r="AJ881" s="15" t="s">
        <v>9143</v>
      </c>
      <c r="AK881" s="15" t="s">
        <v>9194</v>
      </c>
      <c r="AL881" s="15" t="s">
        <v>9211</v>
      </c>
      <c r="AM881" s="16" t="s">
        <v>9194</v>
      </c>
      <c r="AN881" s="16" t="s">
        <v>9212</v>
      </c>
    </row>
    <row r="882" spans="1:40" x14ac:dyDescent="0.25">
      <c r="A882" s="4" t="s">
        <v>8531</v>
      </c>
      <c r="B882" s="4" t="s">
        <v>8532</v>
      </c>
      <c r="C882" s="4" t="s">
        <v>39</v>
      </c>
      <c r="D882" s="4" t="s">
        <v>8533</v>
      </c>
      <c r="E882" s="4" t="s">
        <v>8534</v>
      </c>
      <c r="F882" s="10">
        <v>45482</v>
      </c>
      <c r="G882" s="11">
        <v>0.63124999999999998</v>
      </c>
      <c r="H882" s="4" t="s">
        <v>4910</v>
      </c>
      <c r="I882" s="4" t="s">
        <v>8527</v>
      </c>
      <c r="J882" s="4" t="s">
        <v>8528</v>
      </c>
      <c r="K882" s="4" t="s">
        <v>7557</v>
      </c>
      <c r="L882" s="4" t="s">
        <v>8535</v>
      </c>
      <c r="M882" s="4" t="s">
        <v>28</v>
      </c>
      <c r="N882" s="4" t="s">
        <v>183</v>
      </c>
      <c r="O882" s="4" t="s">
        <v>174</v>
      </c>
      <c r="P882" s="4" t="s">
        <v>48</v>
      </c>
      <c r="Q882" s="4">
        <v>37</v>
      </c>
      <c r="R882" s="4" t="b">
        <v>0</v>
      </c>
      <c r="S882" s="4" t="s">
        <v>114</v>
      </c>
      <c r="T882" s="4" t="s">
        <v>583</v>
      </c>
      <c r="U882" s="4" t="s">
        <v>140</v>
      </c>
      <c r="V882" s="4" t="s">
        <v>123</v>
      </c>
      <c r="W882" s="4" t="s">
        <v>149</v>
      </c>
      <c r="X882" s="4" t="s">
        <v>54</v>
      </c>
      <c r="Y882" s="4"/>
      <c r="Z882" s="12" t="s">
        <v>48</v>
      </c>
      <c r="AA882" s="13" t="s">
        <v>9158</v>
      </c>
      <c r="AB882" s="13" t="s">
        <v>9155</v>
      </c>
      <c r="AC882" s="14" t="s">
        <v>9157</v>
      </c>
      <c r="AD882" s="14" t="s">
        <v>28</v>
      </c>
      <c r="AE882" s="14" t="s">
        <v>183</v>
      </c>
      <c r="AF882" s="14" t="s">
        <v>123</v>
      </c>
      <c r="AG882" s="14" t="s">
        <v>54</v>
      </c>
      <c r="AH882" s="15" t="s">
        <v>9220</v>
      </c>
      <c r="AI882" s="15" t="s">
        <v>9191</v>
      </c>
      <c r="AJ882" s="15" t="s">
        <v>9143</v>
      </c>
      <c r="AK882" s="15" t="s">
        <v>9221</v>
      </c>
      <c r="AL882" s="15" t="s">
        <v>9236</v>
      </c>
      <c r="AM882" s="16" t="s">
        <v>9221</v>
      </c>
      <c r="AN882" s="16" t="s">
        <v>9237</v>
      </c>
    </row>
    <row r="883" spans="1:40" x14ac:dyDescent="0.25">
      <c r="A883" s="4" t="s">
        <v>4490</v>
      </c>
      <c r="B883" s="4"/>
      <c r="C883" s="4" t="s">
        <v>39</v>
      </c>
      <c r="D883" s="4" t="s">
        <v>4491</v>
      </c>
      <c r="E883" s="4" t="s">
        <v>4492</v>
      </c>
      <c r="F883" s="10">
        <v>45482</v>
      </c>
      <c r="G883" s="11">
        <v>0.67708333333333337</v>
      </c>
      <c r="H883" s="4" t="s">
        <v>4019</v>
      </c>
      <c r="I883" s="4" t="s">
        <v>4472</v>
      </c>
      <c r="J883" s="4" t="s">
        <v>3707</v>
      </c>
      <c r="K883" s="4" t="s">
        <v>4493</v>
      </c>
      <c r="L883" s="4" t="s">
        <v>4494</v>
      </c>
      <c r="M883" s="4" t="s">
        <v>46</v>
      </c>
      <c r="N883" s="4"/>
      <c r="O883" s="4" t="s">
        <v>47</v>
      </c>
      <c r="P883" s="4" t="s">
        <v>60</v>
      </c>
      <c r="Q883" s="4">
        <v>0</v>
      </c>
      <c r="R883" s="4" t="b">
        <v>0</v>
      </c>
      <c r="S883" s="4" t="s">
        <v>49</v>
      </c>
      <c r="T883" s="4" t="s">
        <v>1303</v>
      </c>
      <c r="U883" s="4" t="s">
        <v>175</v>
      </c>
      <c r="V883" s="4" t="s">
        <v>52</v>
      </c>
      <c r="W883" s="4" t="s">
        <v>255</v>
      </c>
      <c r="X883" s="4" t="s">
        <v>54</v>
      </c>
      <c r="Y883" s="4"/>
      <c r="Z883" s="12">
        <v>0</v>
      </c>
      <c r="AA883" s="13" t="s">
        <v>9158</v>
      </c>
      <c r="AB883" s="13" t="s">
        <v>9155</v>
      </c>
      <c r="AC883" s="14" t="s">
        <v>9139</v>
      </c>
      <c r="AD883" s="14" t="s">
        <v>9140</v>
      </c>
      <c r="AE883" s="14" t="s">
        <v>9140</v>
      </c>
      <c r="AF883" s="14" t="s">
        <v>52</v>
      </c>
      <c r="AG883" s="14" t="s">
        <v>54</v>
      </c>
      <c r="AH883" s="15" t="s">
        <v>9220</v>
      </c>
      <c r="AI883" s="15" t="s">
        <v>9175</v>
      </c>
      <c r="AJ883" s="15" t="s">
        <v>9143</v>
      </c>
      <c r="AK883" s="15" t="s">
        <v>9221</v>
      </c>
      <c r="AL883" s="15" t="s">
        <v>9228</v>
      </c>
      <c r="AM883" s="16" t="s">
        <v>9221</v>
      </c>
      <c r="AN883" s="16" t="s">
        <v>9229</v>
      </c>
    </row>
    <row r="884" spans="1:40" x14ac:dyDescent="0.25">
      <c r="A884" s="4" t="s">
        <v>5707</v>
      </c>
      <c r="B884" s="4"/>
      <c r="C884" s="4" t="s">
        <v>39</v>
      </c>
      <c r="D884" s="4" t="s">
        <v>5686</v>
      </c>
      <c r="E884" s="4" t="s">
        <v>5687</v>
      </c>
      <c r="F884" s="10">
        <v>45482</v>
      </c>
      <c r="G884" s="11">
        <v>0.66666666666666663</v>
      </c>
      <c r="H884" s="4" t="s">
        <v>5666</v>
      </c>
      <c r="I884" s="4" t="s">
        <v>5667</v>
      </c>
      <c r="J884" s="4" t="s">
        <v>2192</v>
      </c>
      <c r="K884" s="4" t="s">
        <v>5166</v>
      </c>
      <c r="L884" s="4" t="s">
        <v>5708</v>
      </c>
      <c r="M884" s="4" t="s">
        <v>46</v>
      </c>
      <c r="N884" s="4"/>
      <c r="O884" s="4" t="s">
        <v>47</v>
      </c>
      <c r="P884" s="4" t="s">
        <v>48</v>
      </c>
      <c r="Q884" s="4">
        <v>0</v>
      </c>
      <c r="R884" s="4" t="b">
        <v>0</v>
      </c>
      <c r="S884" s="4" t="s">
        <v>61</v>
      </c>
      <c r="T884" s="4" t="s">
        <v>50</v>
      </c>
      <c r="U884" s="4" t="s">
        <v>107</v>
      </c>
      <c r="V884" s="4" t="s">
        <v>63</v>
      </c>
      <c r="W884" s="4" t="s">
        <v>108</v>
      </c>
      <c r="X884" s="4" t="s">
        <v>98</v>
      </c>
      <c r="Y884" s="4"/>
      <c r="Z884" s="12">
        <v>0</v>
      </c>
      <c r="AA884" s="13" t="s">
        <v>9158</v>
      </c>
      <c r="AB884" s="13" t="s">
        <v>9155</v>
      </c>
      <c r="AC884" s="14" t="s">
        <v>9148</v>
      </c>
      <c r="AD884" s="14" t="s">
        <v>9140</v>
      </c>
      <c r="AE884" s="14" t="s">
        <v>9140</v>
      </c>
      <c r="AF884" s="14" t="s">
        <v>63</v>
      </c>
      <c r="AG884" s="14" t="s">
        <v>98</v>
      </c>
      <c r="AH884" s="15" t="s">
        <v>9220</v>
      </c>
      <c r="AI884" s="15" t="s">
        <v>9199</v>
      </c>
      <c r="AJ884" s="15" t="s">
        <v>9143</v>
      </c>
      <c r="AK884" s="15" t="s">
        <v>9221</v>
      </c>
      <c r="AL884" s="15" t="s">
        <v>9199</v>
      </c>
      <c r="AM884" s="16" t="s">
        <v>9221</v>
      </c>
      <c r="AN884" s="16" t="s">
        <v>9238</v>
      </c>
    </row>
    <row r="885" spans="1:40" x14ac:dyDescent="0.25">
      <c r="A885" s="4" t="s">
        <v>5026</v>
      </c>
      <c r="B885" s="4"/>
      <c r="C885" s="4" t="s">
        <v>39</v>
      </c>
      <c r="D885" s="4" t="s">
        <v>5027</v>
      </c>
      <c r="E885" s="4" t="s">
        <v>5028</v>
      </c>
      <c r="F885" s="10">
        <v>45482</v>
      </c>
      <c r="G885" s="11">
        <v>0.70833333333333337</v>
      </c>
      <c r="H885" s="4" t="s">
        <v>4516</v>
      </c>
      <c r="I885" s="4" t="s">
        <v>4969</v>
      </c>
      <c r="J885" s="4" t="s">
        <v>3453</v>
      </c>
      <c r="K885" s="4" t="s">
        <v>905</v>
      </c>
      <c r="L885" s="4" t="s">
        <v>5029</v>
      </c>
      <c r="M885" s="4" t="s">
        <v>46</v>
      </c>
      <c r="N885" s="4"/>
      <c r="O885" s="4" t="s">
        <v>47</v>
      </c>
      <c r="P885" s="4" t="s">
        <v>48</v>
      </c>
      <c r="Q885" s="4">
        <v>0</v>
      </c>
      <c r="R885" s="4" t="b">
        <v>0</v>
      </c>
      <c r="S885" s="4" t="s">
        <v>61</v>
      </c>
      <c r="T885" s="4" t="s">
        <v>583</v>
      </c>
      <c r="U885" s="4" t="s">
        <v>175</v>
      </c>
      <c r="V885" s="4" t="s">
        <v>63</v>
      </c>
      <c r="W885" s="4" t="s">
        <v>108</v>
      </c>
      <c r="X885" s="4" t="s">
        <v>54</v>
      </c>
      <c r="Y885" s="4"/>
      <c r="Z885" s="12">
        <v>0</v>
      </c>
      <c r="AA885" s="13" t="s">
        <v>9158</v>
      </c>
      <c r="AB885" s="13" t="s">
        <v>9155</v>
      </c>
      <c r="AC885" s="14" t="s">
        <v>9148</v>
      </c>
      <c r="AD885" s="14" t="s">
        <v>9140</v>
      </c>
      <c r="AE885" s="14" t="s">
        <v>9140</v>
      </c>
      <c r="AF885" s="14" t="s">
        <v>63</v>
      </c>
      <c r="AG885" s="14" t="s">
        <v>54</v>
      </c>
      <c r="AH885" s="15" t="s">
        <v>9220</v>
      </c>
      <c r="AI885" s="15" t="s">
        <v>9188</v>
      </c>
      <c r="AJ885" s="15" t="s">
        <v>9143</v>
      </c>
      <c r="AK885" s="15" t="s">
        <v>9221</v>
      </c>
      <c r="AL885" s="15" t="s">
        <v>9230</v>
      </c>
      <c r="AM885" s="16" t="s">
        <v>9221</v>
      </c>
      <c r="AN885" s="16" t="s">
        <v>9231</v>
      </c>
    </row>
    <row r="886" spans="1:40" x14ac:dyDescent="0.25">
      <c r="A886" s="4" t="s">
        <v>8205</v>
      </c>
      <c r="B886" s="4"/>
      <c r="C886" s="4" t="s">
        <v>39</v>
      </c>
      <c r="D886" s="4" t="s">
        <v>8206</v>
      </c>
      <c r="E886" s="4" t="s">
        <v>8207</v>
      </c>
      <c r="F886" s="10">
        <v>45482</v>
      </c>
      <c r="G886" s="11">
        <v>0.63263888888888886</v>
      </c>
      <c r="H886" s="4" t="s">
        <v>4516</v>
      </c>
      <c r="I886" s="4" t="s">
        <v>8208</v>
      </c>
      <c r="J886" s="4" t="s">
        <v>8209</v>
      </c>
      <c r="K886" s="4" t="s">
        <v>8210</v>
      </c>
      <c r="L886" s="4" t="s">
        <v>8211</v>
      </c>
      <c r="M886" s="4" t="s">
        <v>46</v>
      </c>
      <c r="N886" s="4"/>
      <c r="O886" s="4" t="s">
        <v>47</v>
      </c>
      <c r="P886" s="4" t="s">
        <v>48</v>
      </c>
      <c r="Q886" s="4">
        <v>0</v>
      </c>
      <c r="R886" s="4" t="b">
        <v>0</v>
      </c>
      <c r="S886" s="4" t="s">
        <v>49</v>
      </c>
      <c r="T886" s="4" t="s">
        <v>70</v>
      </c>
      <c r="U886" s="4" t="s">
        <v>71</v>
      </c>
      <c r="V886" s="4" t="s">
        <v>72</v>
      </c>
      <c r="W886" s="4" t="s">
        <v>97</v>
      </c>
      <c r="X886" s="4" t="s">
        <v>54</v>
      </c>
      <c r="Y886" s="4"/>
      <c r="Z886" s="12">
        <v>0</v>
      </c>
      <c r="AA886" s="13" t="s">
        <v>9158</v>
      </c>
      <c r="AB886" s="13" t="s">
        <v>9155</v>
      </c>
      <c r="AC886" s="14" t="s">
        <v>9139</v>
      </c>
      <c r="AD886" s="14" t="s">
        <v>9140</v>
      </c>
      <c r="AE886" s="14" t="s">
        <v>9140</v>
      </c>
      <c r="AF886" s="14" t="s">
        <v>72</v>
      </c>
      <c r="AG886" s="14" t="s">
        <v>54</v>
      </c>
      <c r="AH886" s="15" t="s">
        <v>9220</v>
      </c>
      <c r="AI886" s="15" t="s">
        <v>9188</v>
      </c>
      <c r="AJ886" s="15" t="s">
        <v>9143</v>
      </c>
      <c r="AK886" s="15" t="s">
        <v>9221</v>
      </c>
      <c r="AL886" s="15" t="s">
        <v>9232</v>
      </c>
      <c r="AM886" s="16" t="s">
        <v>9221</v>
      </c>
      <c r="AN886" s="16" t="s">
        <v>9233</v>
      </c>
    </row>
    <row r="887" spans="1:40" x14ac:dyDescent="0.25">
      <c r="A887" s="4" t="s">
        <v>2331</v>
      </c>
      <c r="B887" s="4"/>
      <c r="C887" s="4" t="s">
        <v>488</v>
      </c>
      <c r="D887" s="4" t="s">
        <v>2326</v>
      </c>
      <c r="E887" s="4" t="s">
        <v>2327</v>
      </c>
      <c r="F887" s="10">
        <v>45481</v>
      </c>
      <c r="G887" s="11">
        <v>0.52083333333333337</v>
      </c>
      <c r="H887" s="4" t="s">
        <v>1939</v>
      </c>
      <c r="I887" s="4" t="s">
        <v>2322</v>
      </c>
      <c r="J887" s="4" t="s">
        <v>1037</v>
      </c>
      <c r="K887" s="4" t="s">
        <v>2328</v>
      </c>
      <c r="L887" s="4" t="s">
        <v>2332</v>
      </c>
      <c r="M887" s="4" t="s">
        <v>46</v>
      </c>
      <c r="N887" s="4"/>
      <c r="O887" s="4" t="s">
        <v>47</v>
      </c>
      <c r="P887" s="4" t="s">
        <v>48</v>
      </c>
      <c r="Q887" s="4">
        <v>0</v>
      </c>
      <c r="R887" s="4" t="b">
        <v>0</v>
      </c>
      <c r="S887" s="4" t="s">
        <v>61</v>
      </c>
      <c r="T887" s="4" t="s">
        <v>349</v>
      </c>
      <c r="U887" s="4" t="s">
        <v>330</v>
      </c>
      <c r="V887" s="4" t="s">
        <v>63</v>
      </c>
      <c r="W887" s="4" t="s">
        <v>64</v>
      </c>
      <c r="X887" s="4" t="s">
        <v>54</v>
      </c>
      <c r="Y887" s="4"/>
      <c r="Z887" s="12">
        <v>0</v>
      </c>
      <c r="AA887" s="13" t="s">
        <v>9158</v>
      </c>
      <c r="AB887" s="13" t="s">
        <v>9155</v>
      </c>
      <c r="AC887" s="14" t="s">
        <v>9148</v>
      </c>
      <c r="AD887" s="14" t="s">
        <v>9140</v>
      </c>
      <c r="AE887" s="14" t="s">
        <v>9140</v>
      </c>
      <c r="AF887" s="14" t="s">
        <v>63</v>
      </c>
      <c r="AG887" s="14" t="s">
        <v>54</v>
      </c>
      <c r="AH887" s="15" t="s">
        <v>9194</v>
      </c>
      <c r="AI887" s="15" t="s">
        <v>9175</v>
      </c>
      <c r="AJ887" s="15" t="s">
        <v>9143</v>
      </c>
      <c r="AK887" s="15" t="s">
        <v>9194</v>
      </c>
      <c r="AL887" s="15" t="s">
        <v>9195</v>
      </c>
      <c r="AM887" s="16" t="s">
        <v>9194</v>
      </c>
      <c r="AN887" s="16" t="s">
        <v>9196</v>
      </c>
    </row>
    <row r="888" spans="1:40" x14ac:dyDescent="0.25">
      <c r="A888" s="4" t="s">
        <v>823</v>
      </c>
      <c r="B888" s="4"/>
      <c r="C888" s="4" t="s">
        <v>39</v>
      </c>
      <c r="D888" s="4" t="s">
        <v>824</v>
      </c>
      <c r="E888" s="4" t="s">
        <v>825</v>
      </c>
      <c r="F888" s="10">
        <v>45481</v>
      </c>
      <c r="G888" s="11">
        <v>0.51180555555555551</v>
      </c>
      <c r="H888" s="4" t="s">
        <v>463</v>
      </c>
      <c r="I888" s="4">
        <v>2028</v>
      </c>
      <c r="J888" s="4" t="s">
        <v>804</v>
      </c>
      <c r="K888" s="4" t="s">
        <v>826</v>
      </c>
      <c r="L888" s="4" t="s">
        <v>827</v>
      </c>
      <c r="M888" s="4" t="s">
        <v>46</v>
      </c>
      <c r="N888" s="4"/>
      <c r="O888" s="4" t="s">
        <v>47</v>
      </c>
      <c r="P888" s="4" t="s">
        <v>48</v>
      </c>
      <c r="Q888" s="4">
        <v>0</v>
      </c>
      <c r="R888" s="4" t="b">
        <v>0</v>
      </c>
      <c r="S888" s="4" t="s">
        <v>61</v>
      </c>
      <c r="T888" s="4" t="s">
        <v>89</v>
      </c>
      <c r="U888" s="4" t="s">
        <v>107</v>
      </c>
      <c r="V888" s="4" t="s">
        <v>63</v>
      </c>
      <c r="W888" s="4" t="s">
        <v>108</v>
      </c>
      <c r="X888" s="4" t="s">
        <v>54</v>
      </c>
      <c r="Y888" s="4"/>
      <c r="Z888" s="12">
        <v>0</v>
      </c>
      <c r="AA888" s="13" t="s">
        <v>9158</v>
      </c>
      <c r="AB888" s="13" t="s">
        <v>9155</v>
      </c>
      <c r="AC888" s="14" t="s">
        <v>9148</v>
      </c>
      <c r="AD888" s="14" t="s">
        <v>9140</v>
      </c>
      <c r="AE888" s="14" t="s">
        <v>9140</v>
      </c>
      <c r="AF888" s="14" t="s">
        <v>63</v>
      </c>
      <c r="AG888" s="14" t="s">
        <v>54</v>
      </c>
      <c r="AH888" s="15" t="s">
        <v>9141</v>
      </c>
      <c r="AI888" s="15" t="s">
        <v>9175</v>
      </c>
      <c r="AJ888" s="15" t="s">
        <v>9143</v>
      </c>
      <c r="AK888" s="15" t="s">
        <v>9141</v>
      </c>
      <c r="AL888" s="15" t="s">
        <v>9175</v>
      </c>
      <c r="AM888" s="16" t="s">
        <v>9141</v>
      </c>
      <c r="AN888" s="16" t="s">
        <v>9176</v>
      </c>
    </row>
    <row r="889" spans="1:40" x14ac:dyDescent="0.25">
      <c r="A889" s="4" t="s">
        <v>8886</v>
      </c>
      <c r="B889" s="4"/>
      <c r="C889" s="4" t="s">
        <v>39</v>
      </c>
      <c r="D889" s="4" t="s">
        <v>8887</v>
      </c>
      <c r="E889" s="4" t="s">
        <v>8888</v>
      </c>
      <c r="F889" s="10">
        <v>45478</v>
      </c>
      <c r="G889" s="11">
        <v>0.68055555555555558</v>
      </c>
      <c r="H889" s="4" t="s">
        <v>4019</v>
      </c>
      <c r="I889" s="4" t="s">
        <v>8854</v>
      </c>
      <c r="J889" s="4" t="s">
        <v>8855</v>
      </c>
      <c r="K889" s="4" t="s">
        <v>8889</v>
      </c>
      <c r="L889" s="4" t="s">
        <v>8890</v>
      </c>
      <c r="M889" s="4" t="s">
        <v>46</v>
      </c>
      <c r="N889" s="4"/>
      <c r="O889" s="4" t="s">
        <v>47</v>
      </c>
      <c r="P889" s="4" t="s">
        <v>48</v>
      </c>
      <c r="Q889" s="4">
        <v>0</v>
      </c>
      <c r="R889" s="4" t="b">
        <v>0</v>
      </c>
      <c r="S889" s="4" t="s">
        <v>61</v>
      </c>
      <c r="T889" s="4" t="s">
        <v>50</v>
      </c>
      <c r="U889" s="4" t="s">
        <v>1081</v>
      </c>
      <c r="V889" s="4" t="s">
        <v>63</v>
      </c>
      <c r="W889" s="4" t="s">
        <v>108</v>
      </c>
      <c r="X889" s="4" t="s">
        <v>785</v>
      </c>
      <c r="Y889" s="4"/>
      <c r="Z889" s="12">
        <v>0</v>
      </c>
      <c r="AA889" s="13" t="s">
        <v>9158</v>
      </c>
      <c r="AB889" s="13" t="s">
        <v>9155</v>
      </c>
      <c r="AC889" s="14" t="s">
        <v>9148</v>
      </c>
      <c r="AD889" s="14" t="s">
        <v>9140</v>
      </c>
      <c r="AE889" s="14" t="s">
        <v>9140</v>
      </c>
      <c r="AF889" s="14" t="s">
        <v>63</v>
      </c>
      <c r="AG889" s="14" t="s">
        <v>785</v>
      </c>
      <c r="AH889" s="15" t="s">
        <v>9220</v>
      </c>
      <c r="AI889" s="15" t="s">
        <v>9175</v>
      </c>
      <c r="AJ889" s="15" t="s">
        <v>9183</v>
      </c>
      <c r="AK889" s="15" t="s">
        <v>9239</v>
      </c>
      <c r="AL889" s="15" t="s">
        <v>9240</v>
      </c>
      <c r="AM889" s="16" t="s">
        <v>9186</v>
      </c>
      <c r="AN889" s="16" t="s">
        <v>9186</v>
      </c>
    </row>
    <row r="890" spans="1:40" x14ac:dyDescent="0.25">
      <c r="A890" s="4" t="s">
        <v>5030</v>
      </c>
      <c r="B890" s="4">
        <v>6991566</v>
      </c>
      <c r="C890" s="4" t="s">
        <v>39</v>
      </c>
      <c r="D890" s="4" t="s">
        <v>4973</v>
      </c>
      <c r="E890" s="4" t="s">
        <v>4974</v>
      </c>
      <c r="F890" s="10">
        <v>45477</v>
      </c>
      <c r="G890" s="11">
        <v>0.55486111111111114</v>
      </c>
      <c r="H890" s="4" t="s">
        <v>4516</v>
      </c>
      <c r="I890" s="4" t="s">
        <v>4969</v>
      </c>
      <c r="J890" s="4" t="s">
        <v>3453</v>
      </c>
      <c r="K890" s="4" t="s">
        <v>3729</v>
      </c>
      <c r="L890" s="4" t="s">
        <v>5031</v>
      </c>
      <c r="M890" s="4" t="s">
        <v>46</v>
      </c>
      <c r="N890" s="4" t="s">
        <v>478</v>
      </c>
      <c r="O890" s="4" t="s">
        <v>47</v>
      </c>
      <c r="P890" s="4" t="s">
        <v>48</v>
      </c>
      <c r="Q890" s="4">
        <v>0</v>
      </c>
      <c r="R890" s="4" t="b">
        <v>0</v>
      </c>
      <c r="S890" s="4" t="s">
        <v>49</v>
      </c>
      <c r="T890" s="4" t="s">
        <v>583</v>
      </c>
      <c r="U890" s="4" t="s">
        <v>527</v>
      </c>
      <c r="V890" s="4" t="s">
        <v>63</v>
      </c>
      <c r="W890" s="4" t="s">
        <v>108</v>
      </c>
      <c r="X890" s="4" t="s">
        <v>54</v>
      </c>
      <c r="Y890" s="4"/>
      <c r="Z890" s="12">
        <v>0</v>
      </c>
      <c r="AA890" s="13" t="s">
        <v>9158</v>
      </c>
      <c r="AB890" s="13" t="s">
        <v>9155</v>
      </c>
      <c r="AC890" s="14" t="s">
        <v>9139</v>
      </c>
      <c r="AD890" s="14" t="s">
        <v>9140</v>
      </c>
      <c r="AE890" s="14" t="s">
        <v>9140</v>
      </c>
      <c r="AF890" s="14" t="s">
        <v>63</v>
      </c>
      <c r="AG890" s="14" t="s">
        <v>54</v>
      </c>
      <c r="AH890" s="15" t="s">
        <v>9220</v>
      </c>
      <c r="AI890" s="15" t="s">
        <v>9188</v>
      </c>
      <c r="AJ890" s="15" t="s">
        <v>9143</v>
      </c>
      <c r="AK890" s="15" t="s">
        <v>9221</v>
      </c>
      <c r="AL890" s="15" t="s">
        <v>9230</v>
      </c>
      <c r="AM890" s="16" t="s">
        <v>9221</v>
      </c>
      <c r="AN890" s="16" t="s">
        <v>9231</v>
      </c>
    </row>
    <row r="891" spans="1:40" x14ac:dyDescent="0.25">
      <c r="A891" s="4" t="s">
        <v>1415</v>
      </c>
      <c r="B891" s="4">
        <v>6990451</v>
      </c>
      <c r="C891" s="4" t="s">
        <v>39</v>
      </c>
      <c r="D891" s="4" t="s">
        <v>1416</v>
      </c>
      <c r="E891" s="4" t="s">
        <v>1417</v>
      </c>
      <c r="F891" s="10">
        <v>45477</v>
      </c>
      <c r="G891" s="11">
        <v>0.5</v>
      </c>
      <c r="H891" s="4" t="s">
        <v>1366</v>
      </c>
      <c r="I891" s="4">
        <v>5060</v>
      </c>
      <c r="J891" s="4" t="s">
        <v>1412</v>
      </c>
      <c r="K891" s="4" t="s">
        <v>1418</v>
      </c>
      <c r="L891" s="4" t="s">
        <v>1419</v>
      </c>
      <c r="M891" s="4" t="s">
        <v>28</v>
      </c>
      <c r="N891" s="4" t="s">
        <v>183</v>
      </c>
      <c r="O891" s="4" t="s">
        <v>344</v>
      </c>
      <c r="P891" s="4" t="s">
        <v>48</v>
      </c>
      <c r="Q891" s="4">
        <v>7</v>
      </c>
      <c r="R891" s="4" t="b">
        <v>0</v>
      </c>
      <c r="S891" s="4" t="s">
        <v>184</v>
      </c>
      <c r="T891" s="4" t="s">
        <v>583</v>
      </c>
      <c r="U891" s="4" t="s">
        <v>584</v>
      </c>
      <c r="V891" s="4" t="s">
        <v>63</v>
      </c>
      <c r="W891" s="4" t="s">
        <v>108</v>
      </c>
      <c r="X891" s="4" t="s">
        <v>54</v>
      </c>
      <c r="Y891" s="4"/>
      <c r="Z891" s="12" t="s">
        <v>48</v>
      </c>
      <c r="AA891" s="13" t="s">
        <v>9158</v>
      </c>
      <c r="AB891" s="13" t="s">
        <v>9155</v>
      </c>
      <c r="AC891" s="14" t="s">
        <v>9166</v>
      </c>
      <c r="AD891" s="14" t="s">
        <v>28</v>
      </c>
      <c r="AE891" s="14" t="s">
        <v>183</v>
      </c>
      <c r="AF891" s="14" t="s">
        <v>63</v>
      </c>
      <c r="AG891" s="14" t="s">
        <v>54</v>
      </c>
      <c r="AH891" s="15" t="s">
        <v>9141</v>
      </c>
      <c r="AI891" s="15" t="s">
        <v>9188</v>
      </c>
      <c r="AJ891" s="15" t="s">
        <v>9143</v>
      </c>
      <c r="AK891" s="15" t="s">
        <v>9141</v>
      </c>
      <c r="AL891" s="15" t="s">
        <v>9191</v>
      </c>
      <c r="AM891" s="16" t="s">
        <v>9141</v>
      </c>
      <c r="AN891" s="16" t="s">
        <v>9192</v>
      </c>
    </row>
    <row r="892" spans="1:40" x14ac:dyDescent="0.25">
      <c r="A892" s="4" t="s">
        <v>1085</v>
      </c>
      <c r="B892" s="4">
        <v>12240004552</v>
      </c>
      <c r="C892" s="4" t="s">
        <v>39</v>
      </c>
      <c r="D892" s="4" t="s">
        <v>1086</v>
      </c>
      <c r="E892" s="4" t="s">
        <v>1087</v>
      </c>
      <c r="F892" s="10">
        <v>45476</v>
      </c>
      <c r="G892" s="11">
        <v>0.56944444444444442</v>
      </c>
      <c r="H892" s="4" t="s">
        <v>463</v>
      </c>
      <c r="I892" s="4">
        <v>2055</v>
      </c>
      <c r="J892" s="4" t="s">
        <v>1088</v>
      </c>
      <c r="K892" s="4" t="s">
        <v>1089</v>
      </c>
      <c r="L892" s="4" t="s">
        <v>1090</v>
      </c>
      <c r="M892" s="4" t="s">
        <v>28</v>
      </c>
      <c r="N892" s="4" t="s">
        <v>183</v>
      </c>
      <c r="O892" s="4" t="s">
        <v>191</v>
      </c>
      <c r="P892" s="4" t="s">
        <v>60</v>
      </c>
      <c r="Q892" s="4">
        <v>209</v>
      </c>
      <c r="R892" s="4" t="b">
        <v>0</v>
      </c>
      <c r="S892" s="4" t="s">
        <v>184</v>
      </c>
      <c r="T892" s="4" t="s">
        <v>425</v>
      </c>
      <c r="U892" s="4" t="s">
        <v>618</v>
      </c>
      <c r="V892" s="4" t="s">
        <v>123</v>
      </c>
      <c r="W892" s="4" t="s">
        <v>192</v>
      </c>
      <c r="X892" s="4" t="s">
        <v>1091</v>
      </c>
      <c r="Y892" s="4" t="s">
        <v>302</v>
      </c>
      <c r="Z892" s="12" t="s">
        <v>60</v>
      </c>
      <c r="AA892" s="13" t="s">
        <v>9158</v>
      </c>
      <c r="AB892" s="13" t="s">
        <v>9155</v>
      </c>
      <c r="AC892" s="14" t="s">
        <v>9166</v>
      </c>
      <c r="AD892" s="14" t="s">
        <v>28</v>
      </c>
      <c r="AE892" s="14" t="s">
        <v>183</v>
      </c>
      <c r="AF892" s="14" t="s">
        <v>123</v>
      </c>
      <c r="AG892" s="14" t="s">
        <v>1091</v>
      </c>
      <c r="AH892" s="15" t="s">
        <v>9141</v>
      </c>
      <c r="AI892" s="15" t="s">
        <v>9175</v>
      </c>
      <c r="AJ892" s="15" t="s">
        <v>9143</v>
      </c>
      <c r="AK892" s="15" t="s">
        <v>9141</v>
      </c>
      <c r="AL892" s="15" t="s">
        <v>9177</v>
      </c>
      <c r="AM892" s="16" t="s">
        <v>9141</v>
      </c>
      <c r="AN892" s="16" t="s">
        <v>9178</v>
      </c>
    </row>
    <row r="893" spans="1:40" x14ac:dyDescent="0.25">
      <c r="A893" s="4" t="s">
        <v>3499</v>
      </c>
      <c r="B893" s="4"/>
      <c r="C893" s="4" t="s">
        <v>39</v>
      </c>
      <c r="D893" s="4" t="s">
        <v>3500</v>
      </c>
      <c r="E893" s="4" t="s">
        <v>3501</v>
      </c>
      <c r="F893" s="10">
        <v>45476</v>
      </c>
      <c r="G893" s="11">
        <v>0.58611111111111114</v>
      </c>
      <c r="H893" s="4" t="s">
        <v>2017</v>
      </c>
      <c r="I893" s="4" t="s">
        <v>3502</v>
      </c>
      <c r="J893" s="4" t="s">
        <v>3503</v>
      </c>
      <c r="K893" s="4" t="s">
        <v>3504</v>
      </c>
      <c r="L893" s="4" t="s">
        <v>3505</v>
      </c>
      <c r="M893" s="4" t="s">
        <v>46</v>
      </c>
      <c r="N893" s="4"/>
      <c r="O893" s="4" t="s">
        <v>47</v>
      </c>
      <c r="P893" s="4" t="s">
        <v>48</v>
      </c>
      <c r="Q893" s="4">
        <v>0</v>
      </c>
      <c r="R893" s="4" t="b">
        <v>0</v>
      </c>
      <c r="S893" s="4" t="s">
        <v>49</v>
      </c>
      <c r="T893" s="4" t="s">
        <v>115</v>
      </c>
      <c r="U893" s="4" t="s">
        <v>107</v>
      </c>
      <c r="V893" s="4" t="s">
        <v>123</v>
      </c>
      <c r="W893" s="4" t="s">
        <v>192</v>
      </c>
      <c r="X893" s="4" t="s">
        <v>978</v>
      </c>
      <c r="Y893" s="4"/>
      <c r="Z893" s="12">
        <v>0</v>
      </c>
      <c r="AA893" s="13" t="s">
        <v>9158</v>
      </c>
      <c r="AB893" s="13" t="s">
        <v>9155</v>
      </c>
      <c r="AC893" s="14" t="s">
        <v>9139</v>
      </c>
      <c r="AD893" s="14" t="s">
        <v>9140</v>
      </c>
      <c r="AE893" s="14" t="s">
        <v>9140</v>
      </c>
      <c r="AF893" s="14" t="s">
        <v>123</v>
      </c>
      <c r="AG893" s="14" t="s">
        <v>978</v>
      </c>
      <c r="AH893" s="15" t="s">
        <v>9194</v>
      </c>
      <c r="AI893" s="15" t="s">
        <v>9199</v>
      </c>
      <c r="AJ893" s="15" t="s">
        <v>9143</v>
      </c>
      <c r="AK893" s="15" t="s">
        <v>9194</v>
      </c>
      <c r="AL893" s="15" t="s">
        <v>9199</v>
      </c>
      <c r="AM893" s="16" t="s">
        <v>9194</v>
      </c>
      <c r="AN893" s="16" t="s">
        <v>9200</v>
      </c>
    </row>
    <row r="894" spans="1:40" x14ac:dyDescent="0.25">
      <c r="A894" s="4" t="s">
        <v>2932</v>
      </c>
      <c r="B894" s="4"/>
      <c r="C894" s="4" t="s">
        <v>39</v>
      </c>
      <c r="D894" s="4" t="s">
        <v>2933</v>
      </c>
      <c r="E894" s="4" t="s">
        <v>2934</v>
      </c>
      <c r="F894" s="10">
        <v>45476</v>
      </c>
      <c r="G894" s="11">
        <v>0.70138888888888884</v>
      </c>
      <c r="H894" s="4" t="s">
        <v>1992</v>
      </c>
      <c r="I894" s="4" t="s">
        <v>2913</v>
      </c>
      <c r="J894" s="4" t="s">
        <v>2914</v>
      </c>
      <c r="K894" s="4" t="s">
        <v>2935</v>
      </c>
      <c r="L894" s="4" t="s">
        <v>2936</v>
      </c>
      <c r="M894" s="4" t="s">
        <v>46</v>
      </c>
      <c r="N894" s="4"/>
      <c r="O894" s="4" t="s">
        <v>47</v>
      </c>
      <c r="P894" s="4" t="s">
        <v>48</v>
      </c>
      <c r="Q894" s="4">
        <v>0</v>
      </c>
      <c r="R894" s="4" t="b">
        <v>0</v>
      </c>
      <c r="S894" s="4" t="s">
        <v>114</v>
      </c>
      <c r="T894" s="4" t="s">
        <v>70</v>
      </c>
      <c r="U894" s="4" t="s">
        <v>867</v>
      </c>
      <c r="V894" s="4" t="s">
        <v>123</v>
      </c>
      <c r="W894" s="4" t="s">
        <v>124</v>
      </c>
      <c r="X894" s="4" t="s">
        <v>54</v>
      </c>
      <c r="Y894" s="4"/>
      <c r="Z894" s="12">
        <v>0</v>
      </c>
      <c r="AA894" s="13" t="s">
        <v>9158</v>
      </c>
      <c r="AB894" s="13" t="s">
        <v>9155</v>
      </c>
      <c r="AC894" s="14" t="s">
        <v>9157</v>
      </c>
      <c r="AD894" s="14" t="s">
        <v>9140</v>
      </c>
      <c r="AE894" s="14" t="s">
        <v>9140</v>
      </c>
      <c r="AF894" s="14" t="s">
        <v>123</v>
      </c>
      <c r="AG894" s="14" t="s">
        <v>54</v>
      </c>
      <c r="AH894" s="15" t="s">
        <v>9194</v>
      </c>
      <c r="AI894" s="15" t="s">
        <v>9191</v>
      </c>
      <c r="AJ894" s="15" t="s">
        <v>9143</v>
      </c>
      <c r="AK894" s="15" t="s">
        <v>9194</v>
      </c>
      <c r="AL894" s="15" t="s">
        <v>9201</v>
      </c>
      <c r="AM894" s="16" t="s">
        <v>9194</v>
      </c>
      <c r="AN894" s="16" t="s">
        <v>9202</v>
      </c>
    </row>
    <row r="895" spans="1:40" x14ac:dyDescent="0.25">
      <c r="A895" s="4" t="s">
        <v>5475</v>
      </c>
      <c r="B895" s="4"/>
      <c r="C895" s="4" t="s">
        <v>39</v>
      </c>
      <c r="D895" s="4" t="s">
        <v>5476</v>
      </c>
      <c r="E895" s="4" t="s">
        <v>5477</v>
      </c>
      <c r="F895" s="10">
        <v>45476</v>
      </c>
      <c r="G895" s="11">
        <v>0.53749999999999998</v>
      </c>
      <c r="H895" s="4" t="s">
        <v>4516</v>
      </c>
      <c r="I895" s="4" t="s">
        <v>5466</v>
      </c>
      <c r="J895" s="4" t="s">
        <v>5467</v>
      </c>
      <c r="K895" s="4" t="s">
        <v>5478</v>
      </c>
      <c r="L895" s="4" t="s">
        <v>5479</v>
      </c>
      <c r="M895" s="4" t="s">
        <v>46</v>
      </c>
      <c r="N895" s="4"/>
      <c r="O895" s="4" t="s">
        <v>47</v>
      </c>
      <c r="P895" s="4" t="s">
        <v>48</v>
      </c>
      <c r="Q895" s="4">
        <v>0</v>
      </c>
      <c r="R895" s="4" t="b">
        <v>0</v>
      </c>
      <c r="S895" s="4" t="s">
        <v>61</v>
      </c>
      <c r="T895" s="4" t="s">
        <v>583</v>
      </c>
      <c r="U895" s="4" t="s">
        <v>527</v>
      </c>
      <c r="V895" s="4" t="s">
        <v>63</v>
      </c>
      <c r="W895" s="4" t="s">
        <v>108</v>
      </c>
      <c r="X895" s="4" t="s">
        <v>54</v>
      </c>
      <c r="Y895" s="4"/>
      <c r="Z895" s="12">
        <v>0</v>
      </c>
      <c r="AA895" s="13" t="s">
        <v>9158</v>
      </c>
      <c r="AB895" s="13" t="s">
        <v>9155</v>
      </c>
      <c r="AC895" s="14" t="s">
        <v>9148</v>
      </c>
      <c r="AD895" s="14" t="s">
        <v>9140</v>
      </c>
      <c r="AE895" s="14" t="s">
        <v>9140</v>
      </c>
      <c r="AF895" s="14" t="s">
        <v>63</v>
      </c>
      <c r="AG895" s="14" t="s">
        <v>54</v>
      </c>
      <c r="AH895" s="15" t="s">
        <v>9220</v>
      </c>
      <c r="AI895" s="15" t="s">
        <v>9188</v>
      </c>
      <c r="AJ895" s="15" t="s">
        <v>9143</v>
      </c>
      <c r="AK895" s="15" t="s">
        <v>9221</v>
      </c>
      <c r="AL895" s="15" t="s">
        <v>9230</v>
      </c>
      <c r="AM895" s="16" t="s">
        <v>9221</v>
      </c>
      <c r="AN895" s="16" t="s">
        <v>9231</v>
      </c>
    </row>
    <row r="896" spans="1:40" x14ac:dyDescent="0.25">
      <c r="A896" s="4" t="s">
        <v>7629</v>
      </c>
      <c r="B896" s="4"/>
      <c r="C896" s="4" t="s">
        <v>39</v>
      </c>
      <c r="D896" s="4" t="s">
        <v>7615</v>
      </c>
      <c r="E896" s="4" t="s">
        <v>7616</v>
      </c>
      <c r="F896" s="10">
        <v>45476</v>
      </c>
      <c r="G896" s="11">
        <v>0.4375</v>
      </c>
      <c r="H896" s="4" t="s">
        <v>4910</v>
      </c>
      <c r="I896" s="4" t="s">
        <v>7611</v>
      </c>
      <c r="J896" s="4" t="s">
        <v>3335</v>
      </c>
      <c r="K896" s="4" t="s">
        <v>2312</v>
      </c>
      <c r="L896" s="4" t="s">
        <v>7630</v>
      </c>
      <c r="M896" s="4" t="s">
        <v>46</v>
      </c>
      <c r="N896" s="4"/>
      <c r="O896" s="4" t="s">
        <v>47</v>
      </c>
      <c r="P896" s="4" t="s">
        <v>48</v>
      </c>
      <c r="Q896" s="4">
        <v>0</v>
      </c>
      <c r="R896" s="4" t="b">
        <v>0</v>
      </c>
      <c r="S896" s="4" t="s">
        <v>61</v>
      </c>
      <c r="T896" s="4" t="s">
        <v>583</v>
      </c>
      <c r="U896" s="4" t="s">
        <v>527</v>
      </c>
      <c r="V896" s="4" t="s">
        <v>63</v>
      </c>
      <c r="W896" s="4" t="s">
        <v>108</v>
      </c>
      <c r="X896" s="4" t="s">
        <v>54</v>
      </c>
      <c r="Y896" s="4"/>
      <c r="Z896" s="12">
        <v>0</v>
      </c>
      <c r="AA896" s="13" t="s">
        <v>9158</v>
      </c>
      <c r="AB896" s="13" t="s">
        <v>9155</v>
      </c>
      <c r="AC896" s="14" t="s">
        <v>9148</v>
      </c>
      <c r="AD896" s="14" t="s">
        <v>9140</v>
      </c>
      <c r="AE896" s="14" t="s">
        <v>9140</v>
      </c>
      <c r="AF896" s="14" t="s">
        <v>63</v>
      </c>
      <c r="AG896" s="14" t="s">
        <v>54</v>
      </c>
      <c r="AH896" s="15" t="s">
        <v>9220</v>
      </c>
      <c r="AI896" s="15" t="s">
        <v>9191</v>
      </c>
      <c r="AJ896" s="15" t="s">
        <v>9143</v>
      </c>
      <c r="AK896" s="15" t="s">
        <v>9221</v>
      </c>
      <c r="AL896" s="15" t="s">
        <v>9226</v>
      </c>
      <c r="AM896" s="16" t="s">
        <v>9221</v>
      </c>
      <c r="AN896" s="16" t="s">
        <v>9227</v>
      </c>
    </row>
    <row r="897" spans="1:40" x14ac:dyDescent="0.25">
      <c r="A897" s="4" t="s">
        <v>6802</v>
      </c>
      <c r="B897" s="4"/>
      <c r="C897" s="4" t="s">
        <v>39</v>
      </c>
      <c r="D897" s="4" t="s">
        <v>6803</v>
      </c>
      <c r="E897" s="4" t="s">
        <v>6804</v>
      </c>
      <c r="F897" s="10">
        <v>45475</v>
      </c>
      <c r="G897" s="11">
        <v>0.60416666666666663</v>
      </c>
      <c r="H897" s="4" t="s">
        <v>4910</v>
      </c>
      <c r="I897" s="4" t="s">
        <v>6800</v>
      </c>
      <c r="J897" s="4" t="s">
        <v>2914</v>
      </c>
      <c r="K897" s="4" t="s">
        <v>6805</v>
      </c>
      <c r="L897" s="4" t="s">
        <v>6806</v>
      </c>
      <c r="M897" s="4" t="s">
        <v>46</v>
      </c>
      <c r="N897" s="4" t="s">
        <v>478</v>
      </c>
      <c r="O897" s="4" t="s">
        <v>47</v>
      </c>
      <c r="P897" s="4" t="s">
        <v>48</v>
      </c>
      <c r="Q897" s="4">
        <v>0</v>
      </c>
      <c r="R897" s="4" t="b">
        <v>0</v>
      </c>
      <c r="S897" s="4" t="s">
        <v>114</v>
      </c>
      <c r="T897" s="4" t="s">
        <v>583</v>
      </c>
      <c r="U897" s="4" t="s">
        <v>148</v>
      </c>
      <c r="V897" s="4" t="s">
        <v>52</v>
      </c>
      <c r="W897" s="4" t="s">
        <v>53</v>
      </c>
      <c r="X897" s="4" t="s">
        <v>54</v>
      </c>
      <c r="Y897" s="4"/>
      <c r="Z897" s="12">
        <v>0</v>
      </c>
      <c r="AA897" s="13" t="s">
        <v>9158</v>
      </c>
      <c r="AB897" s="13" t="s">
        <v>9155</v>
      </c>
      <c r="AC897" s="14" t="s">
        <v>9157</v>
      </c>
      <c r="AD897" s="14" t="s">
        <v>9140</v>
      </c>
      <c r="AE897" s="14" t="s">
        <v>9140</v>
      </c>
      <c r="AF897" s="14" t="s">
        <v>52</v>
      </c>
      <c r="AG897" s="14" t="s">
        <v>54</v>
      </c>
      <c r="AH897" s="15" t="s">
        <v>9220</v>
      </c>
      <c r="AI897" s="15" t="s">
        <v>9191</v>
      </c>
      <c r="AJ897" s="15" t="s">
        <v>9143</v>
      </c>
      <c r="AK897" s="15" t="s">
        <v>9221</v>
      </c>
      <c r="AL897" s="15" t="s">
        <v>9234</v>
      </c>
      <c r="AM897" s="16" t="s">
        <v>9221</v>
      </c>
      <c r="AN897" s="16" t="s">
        <v>9235</v>
      </c>
    </row>
    <row r="898" spans="1:40" x14ac:dyDescent="0.25">
      <c r="A898" s="4" t="s">
        <v>8891</v>
      </c>
      <c r="B898" s="4"/>
      <c r="C898" s="4" t="s">
        <v>39</v>
      </c>
      <c r="D898" s="4" t="s">
        <v>8892</v>
      </c>
      <c r="E898" s="4" t="s">
        <v>8893</v>
      </c>
      <c r="F898" s="10">
        <v>45475</v>
      </c>
      <c r="G898" s="11">
        <v>0.36458333333333331</v>
      </c>
      <c r="H898" s="4" t="s">
        <v>4019</v>
      </c>
      <c r="I898" s="4" t="s">
        <v>8854</v>
      </c>
      <c r="J898" s="4" t="s">
        <v>8855</v>
      </c>
      <c r="K898" s="4" t="s">
        <v>8894</v>
      </c>
      <c r="L898" s="4" t="s">
        <v>8895</v>
      </c>
      <c r="M898" s="4" t="s">
        <v>46</v>
      </c>
      <c r="N898" s="4"/>
      <c r="O898" s="4" t="s">
        <v>47</v>
      </c>
      <c r="P898" s="4" t="s">
        <v>48</v>
      </c>
      <c r="Q898" s="4">
        <v>0</v>
      </c>
      <c r="R898" s="4" t="b">
        <v>0</v>
      </c>
      <c r="S898" s="4" t="s">
        <v>61</v>
      </c>
      <c r="T898" s="4" t="s">
        <v>89</v>
      </c>
      <c r="U898" s="4" t="s">
        <v>122</v>
      </c>
      <c r="V898" s="4" t="s">
        <v>123</v>
      </c>
      <c r="W898" s="4" t="s">
        <v>149</v>
      </c>
      <c r="X898" s="4" t="s">
        <v>978</v>
      </c>
      <c r="Y898" s="4"/>
      <c r="Z898" s="12">
        <v>0</v>
      </c>
      <c r="AA898" s="13" t="s">
        <v>9158</v>
      </c>
      <c r="AB898" s="13" t="s">
        <v>9155</v>
      </c>
      <c r="AC898" s="14" t="s">
        <v>9148</v>
      </c>
      <c r="AD898" s="14" t="s">
        <v>9140</v>
      </c>
      <c r="AE898" s="14" t="s">
        <v>9140</v>
      </c>
      <c r="AF898" s="14" t="s">
        <v>123</v>
      </c>
      <c r="AG898" s="14" t="s">
        <v>978</v>
      </c>
      <c r="AH898" s="15" t="s">
        <v>9220</v>
      </c>
      <c r="AI898" s="15" t="s">
        <v>9175</v>
      </c>
      <c r="AJ898" s="15" t="s">
        <v>9183</v>
      </c>
      <c r="AK898" s="15" t="s">
        <v>9239</v>
      </c>
      <c r="AL898" s="15" t="s">
        <v>9240</v>
      </c>
      <c r="AM898" s="16" t="s">
        <v>9186</v>
      </c>
      <c r="AN898" s="16" t="s">
        <v>9186</v>
      </c>
    </row>
    <row r="899" spans="1:40" x14ac:dyDescent="0.25">
      <c r="A899" s="4" t="s">
        <v>4073</v>
      </c>
      <c r="B899" s="4"/>
      <c r="C899" s="4" t="s">
        <v>39</v>
      </c>
      <c r="D899" s="4" t="s">
        <v>4069</v>
      </c>
      <c r="E899" s="4" t="s">
        <v>4070</v>
      </c>
      <c r="F899" s="10">
        <v>45475</v>
      </c>
      <c r="G899" s="11">
        <v>0.43819444444444444</v>
      </c>
      <c r="H899" s="4" t="s">
        <v>4019</v>
      </c>
      <c r="I899" s="4" t="s">
        <v>4060</v>
      </c>
      <c r="J899" s="4" t="s">
        <v>4061</v>
      </c>
      <c r="K899" s="4" t="s">
        <v>4074</v>
      </c>
      <c r="L899" s="4" t="s">
        <v>4075</v>
      </c>
      <c r="M899" s="4" t="s">
        <v>46</v>
      </c>
      <c r="N899" s="4"/>
      <c r="O899" s="4" t="s">
        <v>47</v>
      </c>
      <c r="P899" s="4" t="s">
        <v>48</v>
      </c>
      <c r="Q899" s="4">
        <v>0</v>
      </c>
      <c r="R899" s="4" t="b">
        <v>0</v>
      </c>
      <c r="S899" s="4" t="s">
        <v>49</v>
      </c>
      <c r="T899" s="4" t="s">
        <v>50</v>
      </c>
      <c r="U899" s="4" t="s">
        <v>1918</v>
      </c>
      <c r="V899" s="4" t="s">
        <v>72</v>
      </c>
      <c r="W899" s="4" t="s">
        <v>73</v>
      </c>
      <c r="X899" s="4" t="s">
        <v>98</v>
      </c>
      <c r="Y899" s="4"/>
      <c r="Z899" s="12">
        <v>0</v>
      </c>
      <c r="AA899" s="13" t="s">
        <v>9158</v>
      </c>
      <c r="AB899" s="13" t="s">
        <v>9155</v>
      </c>
      <c r="AC899" s="14" t="s">
        <v>9139</v>
      </c>
      <c r="AD899" s="14" t="s">
        <v>9140</v>
      </c>
      <c r="AE899" s="14" t="s">
        <v>9140</v>
      </c>
      <c r="AF899" s="14" t="s">
        <v>72</v>
      </c>
      <c r="AG899" s="14" t="s">
        <v>98</v>
      </c>
      <c r="AH899" s="15" t="s">
        <v>9220</v>
      </c>
      <c r="AI899" s="15" t="s">
        <v>9175</v>
      </c>
      <c r="AJ899" s="15" t="s">
        <v>9143</v>
      </c>
      <c r="AK899" s="15" t="s">
        <v>9221</v>
      </c>
      <c r="AL899" s="15" t="s">
        <v>9222</v>
      </c>
      <c r="AM899" s="16" t="s">
        <v>9221</v>
      </c>
      <c r="AN899" s="16" t="s">
        <v>9223</v>
      </c>
    </row>
    <row r="900" spans="1:40" x14ac:dyDescent="0.25">
      <c r="A900" s="4" t="s">
        <v>6655</v>
      </c>
      <c r="B900" s="4">
        <v>6979454</v>
      </c>
      <c r="C900" s="4" t="s">
        <v>39</v>
      </c>
      <c r="D900" s="4" t="s">
        <v>6656</v>
      </c>
      <c r="E900" s="4" t="s">
        <v>6657</v>
      </c>
      <c r="F900" s="10">
        <v>45474</v>
      </c>
      <c r="G900" s="11">
        <v>0.5625</v>
      </c>
      <c r="H900" s="4" t="s">
        <v>4516</v>
      </c>
      <c r="I900" s="4" t="s">
        <v>6637</v>
      </c>
      <c r="J900" s="4" t="s">
        <v>3564</v>
      </c>
      <c r="K900" s="4" t="s">
        <v>6658</v>
      </c>
      <c r="L900" s="4" t="s">
        <v>6659</v>
      </c>
      <c r="M900" s="4" t="s">
        <v>46</v>
      </c>
      <c r="N900" s="4"/>
      <c r="O900" s="4" t="s">
        <v>47</v>
      </c>
      <c r="P900" s="4" t="s">
        <v>48</v>
      </c>
      <c r="Q900" s="4">
        <v>0</v>
      </c>
      <c r="R900" s="4" t="b">
        <v>0</v>
      </c>
      <c r="S900" s="4" t="s">
        <v>61</v>
      </c>
      <c r="T900" s="4" t="s">
        <v>583</v>
      </c>
      <c r="U900" s="4" t="s">
        <v>107</v>
      </c>
      <c r="V900" s="4" t="s">
        <v>63</v>
      </c>
      <c r="W900" s="4" t="s">
        <v>108</v>
      </c>
      <c r="X900" s="4" t="s">
        <v>54</v>
      </c>
      <c r="Y900" s="4"/>
      <c r="Z900" s="12">
        <v>0</v>
      </c>
      <c r="AA900" s="13" t="s">
        <v>9158</v>
      </c>
      <c r="AB900" s="13" t="s">
        <v>9155</v>
      </c>
      <c r="AC900" s="14" t="s">
        <v>9148</v>
      </c>
      <c r="AD900" s="14" t="s">
        <v>9140</v>
      </c>
      <c r="AE900" s="14" t="s">
        <v>9140</v>
      </c>
      <c r="AF900" s="14" t="s">
        <v>63</v>
      </c>
      <c r="AG900" s="14" t="s">
        <v>54</v>
      </c>
      <c r="AH900" s="15" t="s">
        <v>9220</v>
      </c>
      <c r="AI900" s="15" t="s">
        <v>9188</v>
      </c>
      <c r="AJ900" s="15" t="s">
        <v>9143</v>
      </c>
      <c r="AK900" s="15" t="s">
        <v>9221</v>
      </c>
      <c r="AL900" s="15" t="s">
        <v>9236</v>
      </c>
      <c r="AM900" s="16" t="s">
        <v>9221</v>
      </c>
      <c r="AN900" s="16" t="s">
        <v>9237</v>
      </c>
    </row>
    <row r="901" spans="1:40" x14ac:dyDescent="0.25">
      <c r="A901" s="4" t="s">
        <v>2205</v>
      </c>
      <c r="B901" s="4"/>
      <c r="C901" s="4" t="s">
        <v>39</v>
      </c>
      <c r="D901" s="4" t="s">
        <v>2206</v>
      </c>
      <c r="E901" s="4" t="s">
        <v>2207</v>
      </c>
      <c r="F901" s="10">
        <v>45473</v>
      </c>
      <c r="G901" s="11">
        <v>0.66666666666666663</v>
      </c>
      <c r="H901" s="4" t="s">
        <v>2017</v>
      </c>
      <c r="I901" s="4" t="s">
        <v>2191</v>
      </c>
      <c r="J901" s="4" t="s">
        <v>2192</v>
      </c>
      <c r="K901" s="4" t="s">
        <v>373</v>
      </c>
      <c r="L901" s="4" t="s">
        <v>2208</v>
      </c>
      <c r="M901" s="4" t="s">
        <v>46</v>
      </c>
      <c r="N901" s="4"/>
      <c r="O901" s="4" t="s">
        <v>47</v>
      </c>
      <c r="P901" s="4" t="s">
        <v>48</v>
      </c>
      <c r="Q901" s="4">
        <v>0</v>
      </c>
      <c r="R901" s="4" t="b">
        <v>0</v>
      </c>
      <c r="S901" s="4" t="s">
        <v>49</v>
      </c>
      <c r="T901" s="4" t="s">
        <v>70</v>
      </c>
      <c r="U901" s="4" t="s">
        <v>373</v>
      </c>
      <c r="V901" s="4" t="s">
        <v>63</v>
      </c>
      <c r="W901" s="4" t="s">
        <v>64</v>
      </c>
      <c r="X901" s="4" t="s">
        <v>54</v>
      </c>
      <c r="Y901" s="4"/>
      <c r="Z901" s="12">
        <v>0</v>
      </c>
      <c r="AA901" s="13" t="s">
        <v>9159</v>
      </c>
      <c r="AB901" s="13" t="s">
        <v>9160</v>
      </c>
      <c r="AC901" s="14" t="s">
        <v>9139</v>
      </c>
      <c r="AD901" s="14" t="s">
        <v>9140</v>
      </c>
      <c r="AE901" s="14" t="s">
        <v>9140</v>
      </c>
      <c r="AF901" s="14" t="s">
        <v>63</v>
      </c>
      <c r="AG901" s="14" t="s">
        <v>54</v>
      </c>
      <c r="AH901" s="15" t="s">
        <v>9194</v>
      </c>
      <c r="AI901" s="15" t="s">
        <v>9199</v>
      </c>
      <c r="AJ901" s="15" t="s">
        <v>9143</v>
      </c>
      <c r="AK901" s="15" t="s">
        <v>9194</v>
      </c>
      <c r="AL901" s="15" t="s">
        <v>9199</v>
      </c>
      <c r="AM901" s="16" t="s">
        <v>9194</v>
      </c>
      <c r="AN901" s="16" t="s">
        <v>9200</v>
      </c>
    </row>
    <row r="902" spans="1:40" x14ac:dyDescent="0.25">
      <c r="A902" s="4" t="s">
        <v>3079</v>
      </c>
      <c r="B902" s="4"/>
      <c r="C902" s="4" t="s">
        <v>39</v>
      </c>
      <c r="D902" s="4" t="s">
        <v>3080</v>
      </c>
      <c r="E902" s="4" t="s">
        <v>3081</v>
      </c>
      <c r="F902" s="10">
        <v>45473</v>
      </c>
      <c r="G902" s="11">
        <v>0.19097222222222221</v>
      </c>
      <c r="H902" s="4" t="s">
        <v>1939</v>
      </c>
      <c r="I902" s="4" t="s">
        <v>3082</v>
      </c>
      <c r="J902" s="4" t="s">
        <v>3083</v>
      </c>
      <c r="K902" s="4" t="s">
        <v>3084</v>
      </c>
      <c r="L902" s="4" t="s">
        <v>3085</v>
      </c>
      <c r="M902" s="4" t="s">
        <v>46</v>
      </c>
      <c r="N902" s="4"/>
      <c r="O902" s="4" t="s">
        <v>47</v>
      </c>
      <c r="P902" s="4" t="s">
        <v>48</v>
      </c>
      <c r="Q902" s="4">
        <v>0</v>
      </c>
      <c r="R902" s="4" t="b">
        <v>0</v>
      </c>
      <c r="S902" s="4" t="s">
        <v>49</v>
      </c>
      <c r="T902" s="4" t="s">
        <v>2195</v>
      </c>
      <c r="U902" s="4" t="s">
        <v>618</v>
      </c>
      <c r="V902" s="4" t="s">
        <v>52</v>
      </c>
      <c r="W902" s="4" t="s">
        <v>374</v>
      </c>
      <c r="X902" s="4" t="s">
        <v>54</v>
      </c>
      <c r="Y902" s="4"/>
      <c r="Z902" s="12">
        <v>0</v>
      </c>
      <c r="AA902" s="13" t="s">
        <v>9159</v>
      </c>
      <c r="AB902" s="13" t="s">
        <v>9160</v>
      </c>
      <c r="AC902" s="14" t="s">
        <v>9139</v>
      </c>
      <c r="AD902" s="14" t="s">
        <v>9140</v>
      </c>
      <c r="AE902" s="14" t="s">
        <v>9140</v>
      </c>
      <c r="AF902" s="14" t="s">
        <v>52</v>
      </c>
      <c r="AG902" s="14" t="s">
        <v>54</v>
      </c>
      <c r="AH902" s="15" t="s">
        <v>9194</v>
      </c>
      <c r="AI902" s="15" t="s">
        <v>9175</v>
      </c>
      <c r="AJ902" s="15" t="s">
        <v>9143</v>
      </c>
      <c r="AK902" s="15" t="s">
        <v>9194</v>
      </c>
      <c r="AL902" s="15" t="s">
        <v>9195</v>
      </c>
      <c r="AM902" s="16" t="s">
        <v>9194</v>
      </c>
      <c r="AN902" s="16" t="s">
        <v>9196</v>
      </c>
    </row>
    <row r="903" spans="1:40" x14ac:dyDescent="0.25">
      <c r="A903" s="4" t="s">
        <v>129</v>
      </c>
      <c r="B903" s="4"/>
      <c r="C903" s="4" t="s">
        <v>39</v>
      </c>
      <c r="D903" s="4" t="s">
        <v>130</v>
      </c>
      <c r="E903" s="4" t="s">
        <v>131</v>
      </c>
      <c r="F903" s="10">
        <v>45473</v>
      </c>
      <c r="G903" s="11">
        <v>0.64583333333333337</v>
      </c>
      <c r="H903" s="4" t="s">
        <v>42</v>
      </c>
      <c r="I903" s="4">
        <v>1006</v>
      </c>
      <c r="J903" s="4" t="s">
        <v>94</v>
      </c>
      <c r="K903" s="4" t="s">
        <v>132</v>
      </c>
      <c r="L903" s="4" t="s">
        <v>133</v>
      </c>
      <c r="M903" s="4" t="s">
        <v>46</v>
      </c>
      <c r="N903" s="4"/>
      <c r="O903" s="4" t="s">
        <v>47</v>
      </c>
      <c r="P903" s="4" t="s">
        <v>48</v>
      </c>
      <c r="Q903" s="4">
        <v>0</v>
      </c>
      <c r="R903" s="4" t="b">
        <v>0</v>
      </c>
      <c r="S903" s="4" t="s">
        <v>49</v>
      </c>
      <c r="T903" s="4" t="s">
        <v>134</v>
      </c>
      <c r="U903" s="4" t="s">
        <v>107</v>
      </c>
      <c r="V903" s="4" t="s">
        <v>52</v>
      </c>
      <c r="W903" s="4" t="s">
        <v>135</v>
      </c>
      <c r="X903" s="4" t="s">
        <v>136</v>
      </c>
      <c r="Y903" s="4"/>
      <c r="Z903" s="12">
        <v>0</v>
      </c>
      <c r="AA903" s="13" t="s">
        <v>9159</v>
      </c>
      <c r="AB903" s="13" t="s">
        <v>9160</v>
      </c>
      <c r="AC903" s="14" t="s">
        <v>9139</v>
      </c>
      <c r="AD903" s="14" t="s">
        <v>9140</v>
      </c>
      <c r="AE903" s="14" t="s">
        <v>9140</v>
      </c>
      <c r="AF903" s="14" t="s">
        <v>52</v>
      </c>
      <c r="AG903" s="14" t="s">
        <v>136</v>
      </c>
      <c r="AH903" s="15" t="s">
        <v>9141</v>
      </c>
      <c r="AI903" s="15" t="s">
        <v>9142</v>
      </c>
      <c r="AJ903" s="15" t="s">
        <v>9143</v>
      </c>
      <c r="AK903" s="15" t="s">
        <v>9141</v>
      </c>
      <c r="AL903" s="15" t="s">
        <v>9144</v>
      </c>
      <c r="AM903" s="16" t="s">
        <v>9141</v>
      </c>
      <c r="AN903" s="16" t="s">
        <v>9145</v>
      </c>
    </row>
    <row r="904" spans="1:40" x14ac:dyDescent="0.25">
      <c r="A904" s="4" t="s">
        <v>240</v>
      </c>
      <c r="B904" s="4"/>
      <c r="C904" s="4" t="s">
        <v>39</v>
      </c>
      <c r="D904" s="4" t="s">
        <v>241</v>
      </c>
      <c r="E904" s="4" t="s">
        <v>242</v>
      </c>
      <c r="F904" s="10">
        <v>45471</v>
      </c>
      <c r="G904" s="11">
        <v>0.63541666666666663</v>
      </c>
      <c r="H904" s="4" t="s">
        <v>42</v>
      </c>
      <c r="I904" s="4">
        <v>1011</v>
      </c>
      <c r="J904" s="4" t="s">
        <v>215</v>
      </c>
      <c r="K904" s="4" t="s">
        <v>243</v>
      </c>
      <c r="L904" s="4" t="s">
        <v>244</v>
      </c>
      <c r="M904" s="4" t="s">
        <v>46</v>
      </c>
      <c r="N904" s="4"/>
      <c r="O904" s="4" t="s">
        <v>47</v>
      </c>
      <c r="P904" s="4" t="s">
        <v>48</v>
      </c>
      <c r="Q904" s="4">
        <v>0</v>
      </c>
      <c r="R904" s="4" t="b">
        <v>0</v>
      </c>
      <c r="S904" s="4" t="s">
        <v>61</v>
      </c>
      <c r="T904" s="4" t="s">
        <v>89</v>
      </c>
      <c r="U904" s="4" t="s">
        <v>51</v>
      </c>
      <c r="V904" s="4" t="s">
        <v>52</v>
      </c>
      <c r="W904" s="4" t="s">
        <v>135</v>
      </c>
      <c r="X904" s="4" t="s">
        <v>54</v>
      </c>
      <c r="Y904" s="4"/>
      <c r="Z904" s="12">
        <v>0</v>
      </c>
      <c r="AA904" s="13" t="s">
        <v>9159</v>
      </c>
      <c r="AB904" s="13" t="s">
        <v>9160</v>
      </c>
      <c r="AC904" s="14" t="s">
        <v>9148</v>
      </c>
      <c r="AD904" s="14" t="s">
        <v>9140</v>
      </c>
      <c r="AE904" s="14" t="s">
        <v>9140</v>
      </c>
      <c r="AF904" s="14" t="s">
        <v>52</v>
      </c>
      <c r="AG904" s="14" t="s">
        <v>54</v>
      </c>
      <c r="AH904" s="15" t="s">
        <v>9141</v>
      </c>
      <c r="AI904" s="15" t="s">
        <v>9142</v>
      </c>
      <c r="AJ904" s="15" t="s">
        <v>9143</v>
      </c>
      <c r="AK904" s="15" t="s">
        <v>9141</v>
      </c>
      <c r="AL904" s="15" t="s">
        <v>9144</v>
      </c>
      <c r="AM904" s="16" t="s">
        <v>9141</v>
      </c>
      <c r="AN904" s="16" t="s">
        <v>9145</v>
      </c>
    </row>
    <row r="905" spans="1:40" x14ac:dyDescent="0.25">
      <c r="A905" s="4" t="s">
        <v>2038</v>
      </c>
      <c r="B905" s="4"/>
      <c r="C905" s="4" t="s">
        <v>39</v>
      </c>
      <c r="D905" s="4" t="s">
        <v>2039</v>
      </c>
      <c r="E905" s="4" t="s">
        <v>2040</v>
      </c>
      <c r="F905" s="10">
        <v>45471</v>
      </c>
      <c r="G905" s="11">
        <v>0.47986111111111113</v>
      </c>
      <c r="H905" s="4" t="s">
        <v>2017</v>
      </c>
      <c r="I905" s="4" t="s">
        <v>2018</v>
      </c>
      <c r="J905" s="4" t="s">
        <v>2019</v>
      </c>
      <c r="K905" s="4" t="s">
        <v>2041</v>
      </c>
      <c r="L905" s="4" t="s">
        <v>2042</v>
      </c>
      <c r="M905" s="4" t="s">
        <v>46</v>
      </c>
      <c r="N905" s="4"/>
      <c r="O905" s="4" t="s">
        <v>47</v>
      </c>
      <c r="P905" s="4" t="s">
        <v>48</v>
      </c>
      <c r="Q905" s="4">
        <v>0</v>
      </c>
      <c r="R905" s="4" t="b">
        <v>0</v>
      </c>
      <c r="S905" s="4" t="s">
        <v>61</v>
      </c>
      <c r="T905" s="4" t="s">
        <v>2043</v>
      </c>
      <c r="U905" s="4" t="s">
        <v>330</v>
      </c>
      <c r="V905" s="4" t="s">
        <v>267</v>
      </c>
      <c r="W905" s="4" t="s">
        <v>268</v>
      </c>
      <c r="X905" s="4" t="s">
        <v>54</v>
      </c>
      <c r="Y905" s="4"/>
      <c r="Z905" s="12">
        <v>0</v>
      </c>
      <c r="AA905" s="13" t="s">
        <v>9159</v>
      </c>
      <c r="AB905" s="13" t="s">
        <v>9160</v>
      </c>
      <c r="AC905" s="14" t="s">
        <v>9148</v>
      </c>
      <c r="AD905" s="14" t="s">
        <v>9140</v>
      </c>
      <c r="AE905" s="14" t="s">
        <v>9140</v>
      </c>
      <c r="AF905" s="14" t="s">
        <v>267</v>
      </c>
      <c r="AG905" s="14" t="s">
        <v>54</v>
      </c>
      <c r="AH905" s="15" t="s">
        <v>9194</v>
      </c>
      <c r="AI905" s="15" t="s">
        <v>9199</v>
      </c>
      <c r="AJ905" s="15" t="s">
        <v>9143</v>
      </c>
      <c r="AK905" s="15" t="s">
        <v>9194</v>
      </c>
      <c r="AL905" s="15" t="s">
        <v>9199</v>
      </c>
      <c r="AM905" s="16" t="s">
        <v>9194</v>
      </c>
      <c r="AN905" s="16" t="s">
        <v>9200</v>
      </c>
    </row>
    <row r="906" spans="1:40" x14ac:dyDescent="0.25">
      <c r="A906" s="4" t="s">
        <v>1250</v>
      </c>
      <c r="B906" s="4"/>
      <c r="C906" s="4" t="s">
        <v>39</v>
      </c>
      <c r="D906" s="4" t="s">
        <v>1220</v>
      </c>
      <c r="E906" s="4" t="s">
        <v>1221</v>
      </c>
      <c r="F906" s="10">
        <v>45470</v>
      </c>
      <c r="G906" s="11">
        <v>0.70486111111111116</v>
      </c>
      <c r="H906" s="4" t="s">
        <v>1155</v>
      </c>
      <c r="I906" s="4">
        <v>4043</v>
      </c>
      <c r="J906" s="4" t="s">
        <v>1200</v>
      </c>
      <c r="K906" s="4" t="s">
        <v>1251</v>
      </c>
      <c r="L906" s="4" t="s">
        <v>1252</v>
      </c>
      <c r="M906" s="4" t="s">
        <v>46</v>
      </c>
      <c r="N906" s="4"/>
      <c r="O906" s="4" t="s">
        <v>47</v>
      </c>
      <c r="P906" s="4" t="s">
        <v>48</v>
      </c>
      <c r="Q906" s="4">
        <v>0</v>
      </c>
      <c r="R906" s="4" t="b">
        <v>0</v>
      </c>
      <c r="S906" s="4" t="s">
        <v>49</v>
      </c>
      <c r="T906" s="4" t="s">
        <v>50</v>
      </c>
      <c r="U906" s="4" t="s">
        <v>1253</v>
      </c>
      <c r="V906" s="4" t="s">
        <v>63</v>
      </c>
      <c r="W906" s="4" t="s">
        <v>108</v>
      </c>
      <c r="X906" s="4" t="s">
        <v>54</v>
      </c>
      <c r="Y906" s="4" t="s">
        <v>486</v>
      </c>
      <c r="Z906" s="12">
        <v>0</v>
      </c>
      <c r="AA906" s="13" t="s">
        <v>9159</v>
      </c>
      <c r="AB906" s="13" t="s">
        <v>9160</v>
      </c>
      <c r="AC906" s="14" t="s">
        <v>9139</v>
      </c>
      <c r="AD906" s="14" t="s">
        <v>9140</v>
      </c>
      <c r="AE906" s="14" t="s">
        <v>9140</v>
      </c>
      <c r="AF906" s="14" t="s">
        <v>63</v>
      </c>
      <c r="AG906" s="14" t="s">
        <v>54</v>
      </c>
      <c r="AH906" s="15" t="s">
        <v>9141</v>
      </c>
      <c r="AI906" s="15" t="s">
        <v>9187</v>
      </c>
      <c r="AJ906" s="15" t="s">
        <v>9143</v>
      </c>
      <c r="AK906" s="15" t="s">
        <v>9141</v>
      </c>
      <c r="AL906" s="15" t="s">
        <v>9144</v>
      </c>
      <c r="AM906" s="16" t="s">
        <v>9141</v>
      </c>
      <c r="AN906" s="16" t="s">
        <v>9145</v>
      </c>
    </row>
    <row r="907" spans="1:40" x14ac:dyDescent="0.25">
      <c r="A907" s="4" t="s">
        <v>2381</v>
      </c>
      <c r="B907" s="4"/>
      <c r="C907" s="4" t="s">
        <v>39</v>
      </c>
      <c r="D907" s="4" t="s">
        <v>2382</v>
      </c>
      <c r="E907" s="4" t="s">
        <v>2383</v>
      </c>
      <c r="F907" s="10">
        <v>45469</v>
      </c>
      <c r="G907" s="11">
        <v>0.67708333333333337</v>
      </c>
      <c r="H907" s="4" t="s">
        <v>1992</v>
      </c>
      <c r="I907" s="4" t="s">
        <v>2377</v>
      </c>
      <c r="J907" s="4" t="s">
        <v>2378</v>
      </c>
      <c r="K907" s="4" t="s">
        <v>2384</v>
      </c>
      <c r="L907" s="4" t="s">
        <v>2385</v>
      </c>
      <c r="M907" s="4" t="s">
        <v>46</v>
      </c>
      <c r="N907" s="4"/>
      <c r="O907" s="4" t="s">
        <v>47</v>
      </c>
      <c r="P907" s="4" t="s">
        <v>48</v>
      </c>
      <c r="Q907" s="4">
        <v>0</v>
      </c>
      <c r="R907" s="4" t="b">
        <v>0</v>
      </c>
      <c r="S907" s="4" t="s">
        <v>49</v>
      </c>
      <c r="T907" s="4" t="s">
        <v>583</v>
      </c>
      <c r="U907" s="4" t="s">
        <v>107</v>
      </c>
      <c r="V907" s="4" t="s">
        <v>63</v>
      </c>
      <c r="W907" s="4" t="s">
        <v>108</v>
      </c>
      <c r="X907" s="4" t="s">
        <v>54</v>
      </c>
      <c r="Y907" s="4"/>
      <c r="Z907" s="12">
        <v>0</v>
      </c>
      <c r="AA907" s="13" t="s">
        <v>9159</v>
      </c>
      <c r="AB907" s="13" t="s">
        <v>9160</v>
      </c>
      <c r="AC907" s="14" t="s">
        <v>9139</v>
      </c>
      <c r="AD907" s="14" t="s">
        <v>9140</v>
      </c>
      <c r="AE907" s="14" t="s">
        <v>9140</v>
      </c>
      <c r="AF907" s="14" t="s">
        <v>63</v>
      </c>
      <c r="AG907" s="14" t="s">
        <v>54</v>
      </c>
      <c r="AH907" s="15" t="s">
        <v>9194</v>
      </c>
      <c r="AI907" s="15" t="s">
        <v>9191</v>
      </c>
      <c r="AJ907" s="15" t="s">
        <v>9143</v>
      </c>
      <c r="AK907" s="15" t="s">
        <v>9194</v>
      </c>
      <c r="AL907" s="15" t="s">
        <v>9197</v>
      </c>
      <c r="AM907" s="16" t="s">
        <v>9194</v>
      </c>
      <c r="AN907" s="16" t="s">
        <v>9198</v>
      </c>
    </row>
    <row r="908" spans="1:40" x14ac:dyDescent="0.25">
      <c r="A908" s="4" t="s">
        <v>5324</v>
      </c>
      <c r="B908" s="4"/>
      <c r="C908" s="4" t="s">
        <v>39</v>
      </c>
      <c r="D908" s="4" t="s">
        <v>5325</v>
      </c>
      <c r="E908" s="4" t="s">
        <v>5326</v>
      </c>
      <c r="F908" s="10">
        <v>45469</v>
      </c>
      <c r="G908" s="11">
        <v>0.55000000000000004</v>
      </c>
      <c r="H908" s="4" t="s">
        <v>4516</v>
      </c>
      <c r="I908" s="4" t="s">
        <v>5275</v>
      </c>
      <c r="J908" s="4" t="s">
        <v>5276</v>
      </c>
      <c r="K908" s="4" t="s">
        <v>3361</v>
      </c>
      <c r="L908" s="4" t="s">
        <v>5327</v>
      </c>
      <c r="M908" s="4" t="s">
        <v>46</v>
      </c>
      <c r="N908" s="4"/>
      <c r="O908" s="4" t="s">
        <v>47</v>
      </c>
      <c r="P908" s="4" t="s">
        <v>48</v>
      </c>
      <c r="Q908" s="4">
        <v>0</v>
      </c>
      <c r="R908" s="4" t="b">
        <v>0</v>
      </c>
      <c r="S908" s="4" t="s">
        <v>49</v>
      </c>
      <c r="T908" s="4" t="s">
        <v>583</v>
      </c>
      <c r="U908" s="4" t="s">
        <v>148</v>
      </c>
      <c r="V908" s="4" t="s">
        <v>52</v>
      </c>
      <c r="W908" s="4" t="s">
        <v>53</v>
      </c>
      <c r="X908" s="4" t="s">
        <v>54</v>
      </c>
      <c r="Y908" s="4"/>
      <c r="Z908" s="12">
        <v>0</v>
      </c>
      <c r="AA908" s="13" t="s">
        <v>9159</v>
      </c>
      <c r="AB908" s="13" t="s">
        <v>9160</v>
      </c>
      <c r="AC908" s="14" t="s">
        <v>9139</v>
      </c>
      <c r="AD908" s="14" t="s">
        <v>9140</v>
      </c>
      <c r="AE908" s="14" t="s">
        <v>9140</v>
      </c>
      <c r="AF908" s="14" t="s">
        <v>52</v>
      </c>
      <c r="AG908" s="14" t="s">
        <v>54</v>
      </c>
      <c r="AH908" s="15" t="s">
        <v>9220</v>
      </c>
      <c r="AI908" s="15" t="s">
        <v>9188</v>
      </c>
      <c r="AJ908" s="15" t="s">
        <v>9143</v>
      </c>
      <c r="AK908" s="15" t="s">
        <v>9221</v>
      </c>
      <c r="AL908" s="15" t="s">
        <v>9230</v>
      </c>
      <c r="AM908" s="16" t="s">
        <v>9221</v>
      </c>
      <c r="AN908" s="16" t="s">
        <v>9231</v>
      </c>
    </row>
    <row r="909" spans="1:40" x14ac:dyDescent="0.25">
      <c r="A909" s="4" t="s">
        <v>5032</v>
      </c>
      <c r="B909" s="4">
        <v>6968788</v>
      </c>
      <c r="C909" s="4" t="s">
        <v>39</v>
      </c>
      <c r="D909" s="4" t="s">
        <v>4983</v>
      </c>
      <c r="E909" s="4" t="s">
        <v>4984</v>
      </c>
      <c r="F909" s="10">
        <v>45469</v>
      </c>
      <c r="G909" s="11">
        <v>0.72916666666666663</v>
      </c>
      <c r="H909" s="4" t="s">
        <v>4516</v>
      </c>
      <c r="I909" s="4" t="s">
        <v>4969</v>
      </c>
      <c r="J909" s="4" t="s">
        <v>3453</v>
      </c>
      <c r="K909" s="4" t="s">
        <v>5033</v>
      </c>
      <c r="L909" s="4" t="s">
        <v>5034</v>
      </c>
      <c r="M909" s="4" t="s">
        <v>46</v>
      </c>
      <c r="N909" s="4" t="s">
        <v>478</v>
      </c>
      <c r="O909" s="4" t="s">
        <v>47</v>
      </c>
      <c r="P909" s="4" t="s">
        <v>48</v>
      </c>
      <c r="Q909" s="4">
        <v>0</v>
      </c>
      <c r="R909" s="4" t="b">
        <v>0</v>
      </c>
      <c r="S909" s="4" t="s">
        <v>61</v>
      </c>
      <c r="T909" s="4" t="s">
        <v>583</v>
      </c>
      <c r="U909" s="4" t="s">
        <v>527</v>
      </c>
      <c r="V909" s="4" t="s">
        <v>123</v>
      </c>
      <c r="W909" s="4" t="s">
        <v>124</v>
      </c>
      <c r="X909" s="4" t="s">
        <v>54</v>
      </c>
      <c r="Y909" s="4"/>
      <c r="Z909" s="12">
        <v>0</v>
      </c>
      <c r="AA909" s="13" t="s">
        <v>9159</v>
      </c>
      <c r="AB909" s="13" t="s">
        <v>9160</v>
      </c>
      <c r="AC909" s="14" t="s">
        <v>9148</v>
      </c>
      <c r="AD909" s="14" t="s">
        <v>9140</v>
      </c>
      <c r="AE909" s="14" t="s">
        <v>9140</v>
      </c>
      <c r="AF909" s="14" t="s">
        <v>123</v>
      </c>
      <c r="AG909" s="14" t="s">
        <v>54</v>
      </c>
      <c r="AH909" s="15" t="s">
        <v>9220</v>
      </c>
      <c r="AI909" s="15" t="s">
        <v>9188</v>
      </c>
      <c r="AJ909" s="15" t="s">
        <v>9143</v>
      </c>
      <c r="AK909" s="15" t="s">
        <v>9221</v>
      </c>
      <c r="AL909" s="15" t="s">
        <v>9230</v>
      </c>
      <c r="AM909" s="16" t="s">
        <v>9221</v>
      </c>
      <c r="AN909" s="16" t="s">
        <v>9231</v>
      </c>
    </row>
    <row r="910" spans="1:40" x14ac:dyDescent="0.25">
      <c r="A910" s="4" t="s">
        <v>449</v>
      </c>
      <c r="B910" s="4"/>
      <c r="C910" s="4" t="s">
        <v>39</v>
      </c>
      <c r="D910" s="4" t="s">
        <v>435</v>
      </c>
      <c r="E910" s="4" t="s">
        <v>436</v>
      </c>
      <c r="F910" s="10">
        <v>45468</v>
      </c>
      <c r="G910" s="11">
        <v>0.65625</v>
      </c>
      <c r="H910" s="4" t="s">
        <v>42</v>
      </c>
      <c r="I910" s="4">
        <v>1013</v>
      </c>
      <c r="J910" s="4" t="s">
        <v>422</v>
      </c>
      <c r="K910" s="4" t="s">
        <v>450</v>
      </c>
      <c r="L910" s="4" t="s">
        <v>451</v>
      </c>
      <c r="M910" s="4" t="s">
        <v>46</v>
      </c>
      <c r="N910" s="4"/>
      <c r="O910" s="4" t="s">
        <v>47</v>
      </c>
      <c r="P910" s="4" t="s">
        <v>48</v>
      </c>
      <c r="Q910" s="4">
        <v>0</v>
      </c>
      <c r="R910" s="4" t="b">
        <v>0</v>
      </c>
      <c r="S910" s="4" t="s">
        <v>61</v>
      </c>
      <c r="T910" s="4" t="s">
        <v>89</v>
      </c>
      <c r="U910" s="4" t="s">
        <v>373</v>
      </c>
      <c r="V910" s="4" t="s">
        <v>52</v>
      </c>
      <c r="W910" s="4" t="s">
        <v>255</v>
      </c>
      <c r="X910" s="4" t="s">
        <v>54</v>
      </c>
      <c r="Y910" s="4"/>
      <c r="Z910" s="12">
        <v>0</v>
      </c>
      <c r="AA910" s="13" t="s">
        <v>9159</v>
      </c>
      <c r="AB910" s="13" t="s">
        <v>9160</v>
      </c>
      <c r="AC910" s="14" t="s">
        <v>9148</v>
      </c>
      <c r="AD910" s="14" t="s">
        <v>9140</v>
      </c>
      <c r="AE910" s="14" t="s">
        <v>9140</v>
      </c>
      <c r="AF910" s="14" t="s">
        <v>52</v>
      </c>
      <c r="AG910" s="14" t="s">
        <v>54</v>
      </c>
      <c r="AH910" s="15" t="s">
        <v>9141</v>
      </c>
      <c r="AI910" s="15" t="s">
        <v>9142</v>
      </c>
      <c r="AJ910" s="15" t="s">
        <v>9143</v>
      </c>
      <c r="AK910" s="15" t="s">
        <v>9141</v>
      </c>
      <c r="AL910" s="15" t="s">
        <v>9144</v>
      </c>
      <c r="AM910" s="16" t="s">
        <v>9141</v>
      </c>
      <c r="AN910" s="16" t="s">
        <v>9145</v>
      </c>
    </row>
    <row r="911" spans="1:40" x14ac:dyDescent="0.25">
      <c r="A911" s="4" t="s">
        <v>5035</v>
      </c>
      <c r="B911" s="4">
        <v>6951297</v>
      </c>
      <c r="C911" s="4" t="s">
        <v>39</v>
      </c>
      <c r="D911" s="4" t="s">
        <v>5036</v>
      </c>
      <c r="E911" s="4" t="s">
        <v>5037</v>
      </c>
      <c r="F911" s="10">
        <v>45464</v>
      </c>
      <c r="G911" s="11">
        <v>0.47916666666666669</v>
      </c>
      <c r="H911" s="4" t="s">
        <v>4516</v>
      </c>
      <c r="I911" s="4" t="s">
        <v>4969</v>
      </c>
      <c r="J911" s="4" t="s">
        <v>3453</v>
      </c>
      <c r="K911" s="4" t="s">
        <v>5038</v>
      </c>
      <c r="L911" s="4" t="s">
        <v>5039</v>
      </c>
      <c r="M911" s="4" t="s">
        <v>28</v>
      </c>
      <c r="N911" s="4" t="s">
        <v>183</v>
      </c>
      <c r="O911" s="4" t="s">
        <v>863</v>
      </c>
      <c r="P911" s="4" t="s">
        <v>48</v>
      </c>
      <c r="Q911" s="4">
        <v>15</v>
      </c>
      <c r="R911" s="4" t="b">
        <v>0</v>
      </c>
      <c r="S911" s="4" t="s">
        <v>49</v>
      </c>
      <c r="T911" s="4" t="s">
        <v>583</v>
      </c>
      <c r="U911" s="4" t="s">
        <v>71</v>
      </c>
      <c r="V911" s="4" t="s">
        <v>123</v>
      </c>
      <c r="W911" s="4" t="s">
        <v>124</v>
      </c>
      <c r="X911" s="4" t="s">
        <v>54</v>
      </c>
      <c r="Y911" s="4"/>
      <c r="Z911" s="12" t="s">
        <v>48</v>
      </c>
      <c r="AA911" s="13" t="s">
        <v>9159</v>
      </c>
      <c r="AB911" s="13" t="s">
        <v>9160</v>
      </c>
      <c r="AC911" s="14" t="s">
        <v>9139</v>
      </c>
      <c r="AD911" s="14" t="s">
        <v>28</v>
      </c>
      <c r="AE911" s="14" t="s">
        <v>183</v>
      </c>
      <c r="AF911" s="14" t="s">
        <v>123</v>
      </c>
      <c r="AG911" s="14" t="s">
        <v>54</v>
      </c>
      <c r="AH911" s="15" t="s">
        <v>9220</v>
      </c>
      <c r="AI911" s="15" t="s">
        <v>9188</v>
      </c>
      <c r="AJ911" s="15" t="s">
        <v>9143</v>
      </c>
      <c r="AK911" s="15" t="s">
        <v>9221</v>
      </c>
      <c r="AL911" s="15" t="s">
        <v>9230</v>
      </c>
      <c r="AM911" s="16" t="s">
        <v>9221</v>
      </c>
      <c r="AN911" s="16" t="s">
        <v>9231</v>
      </c>
    </row>
    <row r="912" spans="1:40" x14ac:dyDescent="0.25">
      <c r="A912" s="4" t="s">
        <v>4737</v>
      </c>
      <c r="B912" s="4"/>
      <c r="C912" s="4" t="s">
        <v>39</v>
      </c>
      <c r="D912" s="4" t="s">
        <v>4453</v>
      </c>
      <c r="E912" s="4" t="s">
        <v>4454</v>
      </c>
      <c r="F912" s="10">
        <v>45464</v>
      </c>
      <c r="G912" s="11">
        <v>0.86458333333333337</v>
      </c>
      <c r="H912" s="4" t="s">
        <v>4019</v>
      </c>
      <c r="I912" s="4" t="s">
        <v>4713</v>
      </c>
      <c r="J912" s="4" t="s">
        <v>4714</v>
      </c>
      <c r="K912" s="4" t="s">
        <v>4738</v>
      </c>
      <c r="L912" s="4" t="s">
        <v>4739</v>
      </c>
      <c r="M912" s="4" t="s">
        <v>46</v>
      </c>
      <c r="N912" s="4"/>
      <c r="O912" s="4" t="s">
        <v>47</v>
      </c>
      <c r="P912" s="4" t="s">
        <v>48</v>
      </c>
      <c r="Q912" s="4">
        <v>0</v>
      </c>
      <c r="R912" s="4" t="b">
        <v>0</v>
      </c>
      <c r="S912" s="4" t="s">
        <v>49</v>
      </c>
      <c r="T912" s="4" t="s">
        <v>70</v>
      </c>
      <c r="U912" s="4" t="s">
        <v>71</v>
      </c>
      <c r="V912" s="4" t="s">
        <v>72</v>
      </c>
      <c r="W912" s="4" t="s">
        <v>73</v>
      </c>
      <c r="X912" s="4" t="s">
        <v>54</v>
      </c>
      <c r="Y912" s="4" t="s">
        <v>486</v>
      </c>
      <c r="Z912" s="12">
        <v>0</v>
      </c>
      <c r="AA912" s="13" t="s">
        <v>9159</v>
      </c>
      <c r="AB912" s="13" t="s">
        <v>9160</v>
      </c>
      <c r="AC912" s="14" t="s">
        <v>9139</v>
      </c>
      <c r="AD912" s="14" t="s">
        <v>9140</v>
      </c>
      <c r="AE912" s="14" t="s">
        <v>9140</v>
      </c>
      <c r="AF912" s="14" t="s">
        <v>72</v>
      </c>
      <c r="AG912" s="14" t="s">
        <v>54</v>
      </c>
      <c r="AH912" s="15" t="s">
        <v>9220</v>
      </c>
      <c r="AI912" s="15" t="s">
        <v>9175</v>
      </c>
      <c r="AJ912" s="15" t="s">
        <v>9143</v>
      </c>
      <c r="AK912" s="15" t="s">
        <v>9221</v>
      </c>
      <c r="AL912" s="15" t="s">
        <v>9224</v>
      </c>
      <c r="AM912" s="16" t="s">
        <v>9221</v>
      </c>
      <c r="AN912" s="16" t="s">
        <v>9225</v>
      </c>
    </row>
    <row r="913" spans="1:40" x14ac:dyDescent="0.25">
      <c r="A913" s="4" t="s">
        <v>8896</v>
      </c>
      <c r="B913" s="4"/>
      <c r="C913" s="4" t="s">
        <v>39</v>
      </c>
      <c r="D913" s="4" t="s">
        <v>8897</v>
      </c>
      <c r="E913" s="4" t="s">
        <v>8898</v>
      </c>
      <c r="F913" s="10">
        <v>45463</v>
      </c>
      <c r="G913" s="11">
        <v>0.50347222222222221</v>
      </c>
      <c r="H913" s="4" t="s">
        <v>4019</v>
      </c>
      <c r="I913" s="4" t="s">
        <v>8854</v>
      </c>
      <c r="J913" s="4" t="s">
        <v>8855</v>
      </c>
      <c r="K913" s="4" t="s">
        <v>8899</v>
      </c>
      <c r="L913" s="4" t="s">
        <v>8900</v>
      </c>
      <c r="M913" s="4" t="s">
        <v>46</v>
      </c>
      <c r="N913" s="4" t="s">
        <v>478</v>
      </c>
      <c r="O913" s="4" t="s">
        <v>174</v>
      </c>
      <c r="P913" s="4" t="s">
        <v>48</v>
      </c>
      <c r="Q913" s="4">
        <v>5</v>
      </c>
      <c r="R913" s="4" t="b">
        <v>0</v>
      </c>
      <c r="S913" s="4" t="s">
        <v>184</v>
      </c>
      <c r="T913" s="4" t="s">
        <v>70</v>
      </c>
      <c r="U913" s="4" t="s">
        <v>80</v>
      </c>
      <c r="V913" s="4" t="s">
        <v>63</v>
      </c>
      <c r="W913" s="4" t="s">
        <v>198</v>
      </c>
      <c r="X913" s="4" t="s">
        <v>54</v>
      </c>
      <c r="Y913" s="4"/>
      <c r="Z913" s="12">
        <v>0</v>
      </c>
      <c r="AA913" s="13" t="s">
        <v>9159</v>
      </c>
      <c r="AB913" s="13" t="s">
        <v>9160</v>
      </c>
      <c r="AC913" s="14" t="s">
        <v>9166</v>
      </c>
      <c r="AD913" s="14" t="s">
        <v>9140</v>
      </c>
      <c r="AE913" s="14" t="s">
        <v>9140</v>
      </c>
      <c r="AF913" s="14" t="s">
        <v>63</v>
      </c>
      <c r="AG913" s="14" t="s">
        <v>54</v>
      </c>
      <c r="AH913" s="15" t="s">
        <v>9220</v>
      </c>
      <c r="AI913" s="15" t="s">
        <v>9175</v>
      </c>
      <c r="AJ913" s="15" t="s">
        <v>9183</v>
      </c>
      <c r="AK913" s="15" t="s">
        <v>9239</v>
      </c>
      <c r="AL913" s="15" t="s">
        <v>9240</v>
      </c>
      <c r="AM913" s="16" t="s">
        <v>9186</v>
      </c>
      <c r="AN913" s="16" t="s">
        <v>9186</v>
      </c>
    </row>
    <row r="914" spans="1:40" x14ac:dyDescent="0.25">
      <c r="A914" s="4" t="s">
        <v>8835</v>
      </c>
      <c r="B914" s="4"/>
      <c r="C914" s="4" t="s">
        <v>39</v>
      </c>
      <c r="D914" s="4" t="s">
        <v>8836</v>
      </c>
      <c r="E914" s="4" t="s">
        <v>8837</v>
      </c>
      <c r="F914" s="10">
        <v>45463</v>
      </c>
      <c r="G914" s="11">
        <v>0.58333333333333337</v>
      </c>
      <c r="H914" s="4" t="s">
        <v>4516</v>
      </c>
      <c r="I914" s="4" t="s">
        <v>8818</v>
      </c>
      <c r="J914" s="4" t="s">
        <v>8819</v>
      </c>
      <c r="K914" s="4" t="s">
        <v>8838</v>
      </c>
      <c r="L914" s="4" t="s">
        <v>8839</v>
      </c>
      <c r="M914" s="4" t="s">
        <v>46</v>
      </c>
      <c r="N914" s="4"/>
      <c r="O914" s="4" t="s">
        <v>47</v>
      </c>
      <c r="P914" s="4" t="s">
        <v>48</v>
      </c>
      <c r="Q914" s="4">
        <v>0</v>
      </c>
      <c r="R914" s="4" t="b">
        <v>0</v>
      </c>
      <c r="S914" s="4" t="s">
        <v>61</v>
      </c>
      <c r="T914" s="4" t="s">
        <v>583</v>
      </c>
      <c r="U914" s="4" t="s">
        <v>148</v>
      </c>
      <c r="V914" s="4" t="s">
        <v>52</v>
      </c>
      <c r="W914" s="4" t="s">
        <v>255</v>
      </c>
      <c r="X914" s="4" t="s">
        <v>54</v>
      </c>
      <c r="Y914" s="4"/>
      <c r="Z914" s="12">
        <v>0</v>
      </c>
      <c r="AA914" s="13" t="s">
        <v>9159</v>
      </c>
      <c r="AB914" s="13" t="s">
        <v>9160</v>
      </c>
      <c r="AC914" s="14" t="s">
        <v>9148</v>
      </c>
      <c r="AD914" s="14" t="s">
        <v>9140</v>
      </c>
      <c r="AE914" s="14" t="s">
        <v>9140</v>
      </c>
      <c r="AF914" s="14" t="s">
        <v>52</v>
      </c>
      <c r="AG914" s="14" t="s">
        <v>54</v>
      </c>
      <c r="AH914" s="15" t="s">
        <v>9220</v>
      </c>
      <c r="AI914" s="15" t="s">
        <v>9188</v>
      </c>
      <c r="AJ914" s="15" t="s">
        <v>9143</v>
      </c>
      <c r="AK914" s="15" t="s">
        <v>9221</v>
      </c>
      <c r="AL914" s="15" t="s">
        <v>9236</v>
      </c>
      <c r="AM914" s="16" t="s">
        <v>9221</v>
      </c>
      <c r="AN914" s="16" t="s">
        <v>9237</v>
      </c>
    </row>
    <row r="915" spans="1:40" x14ac:dyDescent="0.25">
      <c r="A915" s="4" t="s">
        <v>3506</v>
      </c>
      <c r="B915" s="4" t="s">
        <v>3507</v>
      </c>
      <c r="C915" s="4" t="s">
        <v>39</v>
      </c>
      <c r="D915" s="4" t="s">
        <v>3508</v>
      </c>
      <c r="E915" s="4" t="s">
        <v>3509</v>
      </c>
      <c r="F915" s="10">
        <v>45463</v>
      </c>
      <c r="G915" s="11">
        <v>0.49513888888888891</v>
      </c>
      <c r="H915" s="4" t="s">
        <v>2017</v>
      </c>
      <c r="I915" s="4" t="s">
        <v>3502</v>
      </c>
      <c r="J915" s="4" t="s">
        <v>3503</v>
      </c>
      <c r="K915" s="4" t="s">
        <v>3510</v>
      </c>
      <c r="L915" s="4" t="s">
        <v>3511</v>
      </c>
      <c r="M915" s="4" t="s">
        <v>28</v>
      </c>
      <c r="N915" s="4" t="s">
        <v>183</v>
      </c>
      <c r="O915" s="4" t="s">
        <v>191</v>
      </c>
      <c r="P915" s="4" t="s">
        <v>60</v>
      </c>
      <c r="Q915" s="4">
        <v>7</v>
      </c>
      <c r="R915" s="4" t="b">
        <v>0</v>
      </c>
      <c r="S915" s="4" t="s">
        <v>61</v>
      </c>
      <c r="T915" s="4" t="s">
        <v>89</v>
      </c>
      <c r="U915" s="4" t="s">
        <v>148</v>
      </c>
      <c r="V915" s="4" t="s">
        <v>123</v>
      </c>
      <c r="W915" s="4" t="s">
        <v>192</v>
      </c>
      <c r="X915" s="4" t="s">
        <v>54</v>
      </c>
      <c r="Y915" s="4"/>
      <c r="Z915" s="12" t="s">
        <v>60</v>
      </c>
      <c r="AA915" s="13" t="s">
        <v>9159</v>
      </c>
      <c r="AB915" s="13" t="s">
        <v>9160</v>
      </c>
      <c r="AC915" s="14" t="s">
        <v>9148</v>
      </c>
      <c r="AD915" s="14" t="s">
        <v>28</v>
      </c>
      <c r="AE915" s="14" t="s">
        <v>183</v>
      </c>
      <c r="AF915" s="14" t="s">
        <v>123</v>
      </c>
      <c r="AG915" s="14" t="s">
        <v>54</v>
      </c>
      <c r="AH915" s="15" t="s">
        <v>9194</v>
      </c>
      <c r="AI915" s="15" t="s">
        <v>9199</v>
      </c>
      <c r="AJ915" s="15" t="s">
        <v>9143</v>
      </c>
      <c r="AK915" s="15" t="s">
        <v>9194</v>
      </c>
      <c r="AL915" s="15" t="s">
        <v>9199</v>
      </c>
      <c r="AM915" s="16" t="s">
        <v>9194</v>
      </c>
      <c r="AN915" s="16" t="s">
        <v>9200</v>
      </c>
    </row>
    <row r="916" spans="1:40" x14ac:dyDescent="0.25">
      <c r="A916" s="4" t="s">
        <v>578</v>
      </c>
      <c r="B916" s="4"/>
      <c r="C916" s="4" t="s">
        <v>39</v>
      </c>
      <c r="D916" s="4" t="s">
        <v>579</v>
      </c>
      <c r="E916" s="4" t="s">
        <v>580</v>
      </c>
      <c r="F916" s="10">
        <v>45462</v>
      </c>
      <c r="G916" s="11">
        <v>0.63194444444444442</v>
      </c>
      <c r="H916" s="4" t="s">
        <v>463</v>
      </c>
      <c r="I916" s="4">
        <v>2022</v>
      </c>
      <c r="J916" s="4" t="s">
        <v>565</v>
      </c>
      <c r="K916" s="4" t="s">
        <v>581</v>
      </c>
      <c r="L916" s="4" t="s">
        <v>582</v>
      </c>
      <c r="M916" s="4" t="s">
        <v>46</v>
      </c>
      <c r="N916" s="4"/>
      <c r="O916" s="4" t="s">
        <v>47</v>
      </c>
      <c r="P916" s="4" t="s">
        <v>48</v>
      </c>
      <c r="Q916" s="4">
        <v>0</v>
      </c>
      <c r="R916" s="4" t="b">
        <v>0</v>
      </c>
      <c r="S916" s="4" t="s">
        <v>61</v>
      </c>
      <c r="T916" s="4" t="s">
        <v>583</v>
      </c>
      <c r="U916" s="4" t="s">
        <v>584</v>
      </c>
      <c r="V916" s="4" t="s">
        <v>52</v>
      </c>
      <c r="W916" s="4" t="s">
        <v>255</v>
      </c>
      <c r="X916" s="4" t="s">
        <v>54</v>
      </c>
      <c r="Y916" s="4"/>
      <c r="Z916" s="12">
        <v>0</v>
      </c>
      <c r="AA916" s="13" t="s">
        <v>9159</v>
      </c>
      <c r="AB916" s="13" t="s">
        <v>9160</v>
      </c>
      <c r="AC916" s="14" t="s">
        <v>9148</v>
      </c>
      <c r="AD916" s="14" t="s">
        <v>9140</v>
      </c>
      <c r="AE916" s="14" t="s">
        <v>9140</v>
      </c>
      <c r="AF916" s="14" t="s">
        <v>52</v>
      </c>
      <c r="AG916" s="14" t="s">
        <v>54</v>
      </c>
      <c r="AH916" s="15" t="s">
        <v>9141</v>
      </c>
      <c r="AI916" s="15" t="s">
        <v>9175</v>
      </c>
      <c r="AJ916" s="15" t="s">
        <v>9143</v>
      </c>
      <c r="AK916" s="15" t="s">
        <v>9141</v>
      </c>
      <c r="AL916" s="15" t="s">
        <v>9175</v>
      </c>
      <c r="AM916" s="16" t="s">
        <v>9141</v>
      </c>
      <c r="AN916" s="16" t="s">
        <v>9176</v>
      </c>
    </row>
    <row r="917" spans="1:40" x14ac:dyDescent="0.25">
      <c r="A917" s="4" t="s">
        <v>7097</v>
      </c>
      <c r="B917" s="4"/>
      <c r="C917" s="4" t="s">
        <v>39</v>
      </c>
      <c r="D917" s="4" t="s">
        <v>7038</v>
      </c>
      <c r="E917" s="4" t="s">
        <v>7039</v>
      </c>
      <c r="F917" s="10">
        <v>45462</v>
      </c>
      <c r="G917" s="11">
        <v>0.63194444444444442</v>
      </c>
      <c r="H917" s="4" t="s">
        <v>4242</v>
      </c>
      <c r="I917" s="4" t="s">
        <v>7028</v>
      </c>
      <c r="J917" s="4" t="s">
        <v>7029</v>
      </c>
      <c r="K917" s="4" t="s">
        <v>7098</v>
      </c>
      <c r="L917" s="4" t="s">
        <v>7099</v>
      </c>
      <c r="M917" s="4" t="s">
        <v>46</v>
      </c>
      <c r="N917" s="4"/>
      <c r="O917" s="4" t="s">
        <v>47</v>
      </c>
      <c r="P917" s="4" t="s">
        <v>48</v>
      </c>
      <c r="Q917" s="4">
        <v>0</v>
      </c>
      <c r="R917" s="4" t="b">
        <v>0</v>
      </c>
      <c r="S917" s="4" t="s">
        <v>61</v>
      </c>
      <c r="T917" s="4" t="s">
        <v>89</v>
      </c>
      <c r="U917" s="4" t="s">
        <v>51</v>
      </c>
      <c r="V917" s="4" t="s">
        <v>72</v>
      </c>
      <c r="W917" s="4" t="s">
        <v>73</v>
      </c>
      <c r="X917" s="4" t="s">
        <v>978</v>
      </c>
      <c r="Y917" s="4"/>
      <c r="Z917" s="12">
        <v>0</v>
      </c>
      <c r="AA917" s="13" t="s">
        <v>9159</v>
      </c>
      <c r="AB917" s="13" t="s">
        <v>9160</v>
      </c>
      <c r="AC917" s="14" t="s">
        <v>9148</v>
      </c>
      <c r="AD917" s="14" t="s">
        <v>9140</v>
      </c>
      <c r="AE917" s="14" t="s">
        <v>9140</v>
      </c>
      <c r="AF917" s="14" t="s">
        <v>72</v>
      </c>
      <c r="AG917" s="14" t="s">
        <v>978</v>
      </c>
      <c r="AH917" s="15" t="s">
        <v>9220</v>
      </c>
      <c r="AI917" s="15" t="s">
        <v>9187</v>
      </c>
      <c r="AJ917" s="15" t="s">
        <v>9143</v>
      </c>
      <c r="AK917" s="15" t="s">
        <v>9221</v>
      </c>
      <c r="AL917" s="15" t="s">
        <v>9226</v>
      </c>
      <c r="AM917" s="16" t="s">
        <v>9221</v>
      </c>
      <c r="AN917" s="16" t="s">
        <v>9227</v>
      </c>
    </row>
    <row r="918" spans="1:40" x14ac:dyDescent="0.25">
      <c r="A918" s="4" t="s">
        <v>1915</v>
      </c>
      <c r="B918" s="4"/>
      <c r="C918" s="4" t="s">
        <v>39</v>
      </c>
      <c r="D918" s="4" t="s">
        <v>1664</v>
      </c>
      <c r="E918" s="4" t="s">
        <v>1665</v>
      </c>
      <c r="F918" s="10">
        <v>45461</v>
      </c>
      <c r="G918" s="11">
        <v>0.54166666666666663</v>
      </c>
      <c r="H918" s="4" t="s">
        <v>1654</v>
      </c>
      <c r="I918" s="4">
        <v>9098</v>
      </c>
      <c r="J918" s="4" t="s">
        <v>1896</v>
      </c>
      <c r="K918" s="4" t="s">
        <v>1916</v>
      </c>
      <c r="L918" s="4" t="s">
        <v>1917</v>
      </c>
      <c r="M918" s="4" t="s">
        <v>46</v>
      </c>
      <c r="N918" s="4"/>
      <c r="O918" s="4" t="s">
        <v>47</v>
      </c>
      <c r="P918" s="4" t="s">
        <v>48</v>
      </c>
      <c r="Q918" s="4">
        <v>0</v>
      </c>
      <c r="R918" s="4" t="b">
        <v>0</v>
      </c>
      <c r="S918" s="4" t="s">
        <v>61</v>
      </c>
      <c r="T918" s="4" t="s">
        <v>89</v>
      </c>
      <c r="U918" s="4" t="s">
        <v>1918</v>
      </c>
      <c r="V918" s="4" t="s">
        <v>52</v>
      </c>
      <c r="W918" s="4" t="s">
        <v>53</v>
      </c>
      <c r="X918" s="4" t="s">
        <v>54</v>
      </c>
      <c r="Y918" s="4"/>
      <c r="Z918" s="12">
        <v>0</v>
      </c>
      <c r="AA918" s="13" t="s">
        <v>9159</v>
      </c>
      <c r="AB918" s="13" t="s">
        <v>9160</v>
      </c>
      <c r="AC918" s="14" t="s">
        <v>9148</v>
      </c>
      <c r="AD918" s="14" t="s">
        <v>9140</v>
      </c>
      <c r="AE918" s="14" t="s">
        <v>9140</v>
      </c>
      <c r="AF918" s="14" t="s">
        <v>52</v>
      </c>
      <c r="AG918" s="14" t="s">
        <v>54</v>
      </c>
      <c r="AH918" s="15" t="s">
        <v>9141</v>
      </c>
      <c r="AI918" s="15" t="s">
        <v>9191</v>
      </c>
      <c r="AJ918" s="15" t="s">
        <v>9143</v>
      </c>
      <c r="AK918" s="15" t="s">
        <v>9141</v>
      </c>
      <c r="AL918" s="15" t="s">
        <v>9191</v>
      </c>
      <c r="AM918" s="16" t="s">
        <v>9141</v>
      </c>
      <c r="AN918" s="16" t="s">
        <v>9192</v>
      </c>
    </row>
    <row r="919" spans="1:40" x14ac:dyDescent="0.25">
      <c r="A919" s="4" t="s">
        <v>1112</v>
      </c>
      <c r="B919" s="4"/>
      <c r="C919" s="4" t="s">
        <v>39</v>
      </c>
      <c r="D919" s="4" t="s">
        <v>1113</v>
      </c>
      <c r="E919" s="4" t="s">
        <v>1114</v>
      </c>
      <c r="F919" s="10">
        <v>45461</v>
      </c>
      <c r="G919" s="11">
        <v>0.52777777777777779</v>
      </c>
      <c r="H919" s="4" t="s">
        <v>463</v>
      </c>
      <c r="I919" s="4">
        <v>2059</v>
      </c>
      <c r="J919" s="4" t="s">
        <v>1101</v>
      </c>
      <c r="K919" s="4" t="s">
        <v>627</v>
      </c>
      <c r="L919" s="4" t="s">
        <v>1115</v>
      </c>
      <c r="M919" s="4" t="s">
        <v>46</v>
      </c>
      <c r="N919" s="4"/>
      <c r="O919" s="4" t="s">
        <v>47</v>
      </c>
      <c r="P919" s="4" t="s">
        <v>48</v>
      </c>
      <c r="Q919" s="4">
        <v>0</v>
      </c>
      <c r="R919" s="4" t="b">
        <v>0</v>
      </c>
      <c r="S919" s="4" t="s">
        <v>49</v>
      </c>
      <c r="T919" s="4" t="s">
        <v>89</v>
      </c>
      <c r="U919" s="4" t="s">
        <v>90</v>
      </c>
      <c r="V919" s="4" t="s">
        <v>72</v>
      </c>
      <c r="W919" s="4" t="s">
        <v>73</v>
      </c>
      <c r="X919" s="4" t="s">
        <v>54</v>
      </c>
      <c r="Y919" s="4"/>
      <c r="Z919" s="12">
        <v>0</v>
      </c>
      <c r="AA919" s="13" t="s">
        <v>9159</v>
      </c>
      <c r="AB919" s="13" t="s">
        <v>9160</v>
      </c>
      <c r="AC919" s="14" t="s">
        <v>9139</v>
      </c>
      <c r="AD919" s="14" t="s">
        <v>9140</v>
      </c>
      <c r="AE919" s="14" t="s">
        <v>9140</v>
      </c>
      <c r="AF919" s="14" t="s">
        <v>72</v>
      </c>
      <c r="AG919" s="14" t="s">
        <v>54</v>
      </c>
      <c r="AH919" s="15" t="s">
        <v>9141</v>
      </c>
      <c r="AI919" s="15" t="s">
        <v>9175</v>
      </c>
      <c r="AJ919" s="15" t="s">
        <v>9143</v>
      </c>
      <c r="AK919" s="15" t="s">
        <v>9141</v>
      </c>
      <c r="AL919" s="15" t="s">
        <v>9175</v>
      </c>
      <c r="AM919" s="16" t="s">
        <v>9141</v>
      </c>
      <c r="AN919" s="16" t="s">
        <v>9176</v>
      </c>
    </row>
    <row r="920" spans="1:40" x14ac:dyDescent="0.25">
      <c r="A920" s="4" t="s">
        <v>3041</v>
      </c>
      <c r="B920" s="4">
        <v>12240010892</v>
      </c>
      <c r="C920" s="4" t="s">
        <v>39</v>
      </c>
      <c r="D920" s="4" t="s">
        <v>3042</v>
      </c>
      <c r="E920" s="4" t="s">
        <v>3043</v>
      </c>
      <c r="F920" s="10">
        <v>45460</v>
      </c>
      <c r="G920" s="11">
        <v>0.5</v>
      </c>
      <c r="H920" s="4" t="s">
        <v>1939</v>
      </c>
      <c r="I920" s="4" t="s">
        <v>3027</v>
      </c>
      <c r="J920" s="4" t="s">
        <v>3028</v>
      </c>
      <c r="K920" s="4" t="s">
        <v>10039</v>
      </c>
      <c r="L920" s="4" t="s">
        <v>3044</v>
      </c>
      <c r="M920" s="4" t="s">
        <v>28</v>
      </c>
      <c r="N920" s="4" t="s">
        <v>183</v>
      </c>
      <c r="O920" s="4" t="s">
        <v>191</v>
      </c>
      <c r="P920" s="4" t="s">
        <v>60</v>
      </c>
      <c r="Q920" s="4">
        <v>9</v>
      </c>
      <c r="R920" s="4" t="b">
        <v>0</v>
      </c>
      <c r="S920" s="4" t="s">
        <v>61</v>
      </c>
      <c r="T920" s="4" t="s">
        <v>1303</v>
      </c>
      <c r="U920" s="4" t="s">
        <v>373</v>
      </c>
      <c r="V920" s="4" t="s">
        <v>52</v>
      </c>
      <c r="W920" s="4" t="s">
        <v>374</v>
      </c>
      <c r="X920" s="4" t="s">
        <v>136</v>
      </c>
      <c r="Y920" s="4"/>
      <c r="Z920" s="12" t="s">
        <v>60</v>
      </c>
      <c r="AA920" s="13" t="s">
        <v>9159</v>
      </c>
      <c r="AB920" s="13" t="s">
        <v>9160</v>
      </c>
      <c r="AC920" s="14" t="s">
        <v>9148</v>
      </c>
      <c r="AD920" s="14" t="s">
        <v>28</v>
      </c>
      <c r="AE920" s="14" t="s">
        <v>183</v>
      </c>
      <c r="AF920" s="14" t="s">
        <v>52</v>
      </c>
      <c r="AG920" s="14" t="s">
        <v>136</v>
      </c>
      <c r="AH920" s="15" t="s">
        <v>9194</v>
      </c>
      <c r="AI920" s="15" t="s">
        <v>9175</v>
      </c>
      <c r="AJ920" s="15" t="s">
        <v>9143</v>
      </c>
      <c r="AK920" s="15" t="s">
        <v>9194</v>
      </c>
      <c r="AL920" s="15" t="s">
        <v>9195</v>
      </c>
      <c r="AM920" s="16" t="s">
        <v>9194</v>
      </c>
      <c r="AN920" s="16" t="s">
        <v>9196</v>
      </c>
    </row>
    <row r="921" spans="1:40" x14ac:dyDescent="0.25">
      <c r="A921" s="4" t="s">
        <v>3173</v>
      </c>
      <c r="B921" s="4"/>
      <c r="C921" s="4" t="s">
        <v>39</v>
      </c>
      <c r="D921" s="4" t="s">
        <v>3174</v>
      </c>
      <c r="E921" s="4" t="s">
        <v>3175</v>
      </c>
      <c r="F921" s="10">
        <v>45460</v>
      </c>
      <c r="G921" s="11">
        <v>0.42708333333333331</v>
      </c>
      <c r="H921" s="4" t="s">
        <v>1992</v>
      </c>
      <c r="I921" s="4" t="s">
        <v>3169</v>
      </c>
      <c r="J921" s="4" t="s">
        <v>3170</v>
      </c>
      <c r="K921" s="4" t="s">
        <v>363</v>
      </c>
      <c r="L921" s="4" t="s">
        <v>3176</v>
      </c>
      <c r="M921" s="4" t="s">
        <v>46</v>
      </c>
      <c r="N921" s="4"/>
      <c r="O921" s="4" t="s">
        <v>47</v>
      </c>
      <c r="P921" s="4" t="s">
        <v>48</v>
      </c>
      <c r="Q921" s="4">
        <v>0</v>
      </c>
      <c r="R921" s="4" t="b">
        <v>0</v>
      </c>
      <c r="S921" s="4" t="s">
        <v>61</v>
      </c>
      <c r="T921" s="4" t="s">
        <v>583</v>
      </c>
      <c r="U921" s="4" t="s">
        <v>175</v>
      </c>
      <c r="V921" s="4" t="s">
        <v>52</v>
      </c>
      <c r="W921" s="4" t="s">
        <v>255</v>
      </c>
      <c r="X921" s="4" t="s">
        <v>54</v>
      </c>
      <c r="Y921" s="4"/>
      <c r="Z921" s="12">
        <v>0</v>
      </c>
      <c r="AA921" s="13" t="s">
        <v>9159</v>
      </c>
      <c r="AB921" s="13" t="s">
        <v>9160</v>
      </c>
      <c r="AC921" s="14" t="s">
        <v>9148</v>
      </c>
      <c r="AD921" s="14" t="s">
        <v>9140</v>
      </c>
      <c r="AE921" s="14" t="s">
        <v>9140</v>
      </c>
      <c r="AF921" s="14" t="s">
        <v>52</v>
      </c>
      <c r="AG921" s="14" t="s">
        <v>54</v>
      </c>
      <c r="AH921" s="15" t="s">
        <v>9194</v>
      </c>
      <c r="AI921" s="15" t="s">
        <v>9191</v>
      </c>
      <c r="AJ921" s="15" t="s">
        <v>9143</v>
      </c>
      <c r="AK921" s="15" t="s">
        <v>9194</v>
      </c>
      <c r="AL921" s="15" t="s">
        <v>9205</v>
      </c>
      <c r="AM921" s="16" t="s">
        <v>9194</v>
      </c>
      <c r="AN921" s="16" t="s">
        <v>9206</v>
      </c>
    </row>
    <row r="922" spans="1:40" x14ac:dyDescent="0.25">
      <c r="A922" s="4" t="s">
        <v>2801</v>
      </c>
      <c r="B922" s="4"/>
      <c r="C922" s="4" t="s">
        <v>39</v>
      </c>
      <c r="D922" s="4" t="s">
        <v>2802</v>
      </c>
      <c r="E922" s="4" t="s">
        <v>2803</v>
      </c>
      <c r="F922" s="10">
        <v>45460</v>
      </c>
      <c r="G922" s="11">
        <v>0.54166666666666663</v>
      </c>
      <c r="H922" s="4" t="s">
        <v>2095</v>
      </c>
      <c r="I922" s="4" t="s">
        <v>2777</v>
      </c>
      <c r="J922" s="4" t="s">
        <v>1406</v>
      </c>
      <c r="K922" s="4" t="s">
        <v>2804</v>
      </c>
      <c r="L922" s="4" t="s">
        <v>2805</v>
      </c>
      <c r="M922" s="4" t="s">
        <v>46</v>
      </c>
      <c r="N922" s="4"/>
      <c r="O922" s="4" t="s">
        <v>47</v>
      </c>
      <c r="P922" s="4" t="s">
        <v>48</v>
      </c>
      <c r="Q922" s="4">
        <v>0</v>
      </c>
      <c r="R922" s="4" t="b">
        <v>0</v>
      </c>
      <c r="S922" s="4" t="s">
        <v>61</v>
      </c>
      <c r="T922" s="4" t="s">
        <v>391</v>
      </c>
      <c r="U922" s="4" t="s">
        <v>2432</v>
      </c>
      <c r="V922" s="4" t="s">
        <v>72</v>
      </c>
      <c r="W922" s="4" t="s">
        <v>73</v>
      </c>
      <c r="X922" s="4" t="s">
        <v>54</v>
      </c>
      <c r="Y922" s="4"/>
      <c r="Z922" s="12">
        <v>0</v>
      </c>
      <c r="AA922" s="13" t="s">
        <v>9159</v>
      </c>
      <c r="AB922" s="13" t="s">
        <v>9160</v>
      </c>
      <c r="AC922" s="14" t="s">
        <v>9148</v>
      </c>
      <c r="AD922" s="14" t="s">
        <v>9140</v>
      </c>
      <c r="AE922" s="14" t="s">
        <v>9140</v>
      </c>
      <c r="AF922" s="14" t="s">
        <v>72</v>
      </c>
      <c r="AG922" s="14" t="s">
        <v>54</v>
      </c>
      <c r="AH922" s="15" t="s">
        <v>9194</v>
      </c>
      <c r="AI922" s="15" t="s">
        <v>9188</v>
      </c>
      <c r="AJ922" s="15" t="s">
        <v>9143</v>
      </c>
      <c r="AK922" s="15" t="s">
        <v>9194</v>
      </c>
      <c r="AL922" s="15" t="s">
        <v>9211</v>
      </c>
      <c r="AM922" s="16" t="s">
        <v>9194</v>
      </c>
      <c r="AN922" s="16" t="s">
        <v>9212</v>
      </c>
    </row>
    <row r="923" spans="1:40" x14ac:dyDescent="0.25">
      <c r="A923" s="4" t="s">
        <v>4038</v>
      </c>
      <c r="B923" s="4"/>
      <c r="C923" s="4" t="s">
        <v>39</v>
      </c>
      <c r="D923" s="4" t="s">
        <v>4034</v>
      </c>
      <c r="E923" s="4" t="s">
        <v>4035</v>
      </c>
      <c r="F923" s="10">
        <v>45460</v>
      </c>
      <c r="G923" s="11">
        <v>0.51388888888888884</v>
      </c>
      <c r="H923" s="4" t="s">
        <v>4019</v>
      </c>
      <c r="I923" s="4" t="s">
        <v>4020</v>
      </c>
      <c r="J923" s="4" t="s">
        <v>3083</v>
      </c>
      <c r="K923" s="4" t="s">
        <v>4039</v>
      </c>
      <c r="L923" s="4" t="s">
        <v>4040</v>
      </c>
      <c r="M923" s="4" t="s">
        <v>46</v>
      </c>
      <c r="N923" s="4"/>
      <c r="O923" s="4" t="s">
        <v>47</v>
      </c>
      <c r="P923" s="4" t="s">
        <v>48</v>
      </c>
      <c r="Q923" s="4">
        <v>0</v>
      </c>
      <c r="R923" s="4" t="b">
        <v>0</v>
      </c>
      <c r="S923" s="4" t="s">
        <v>49</v>
      </c>
      <c r="T923" s="4" t="s">
        <v>433</v>
      </c>
      <c r="U923" s="4" t="s">
        <v>90</v>
      </c>
      <c r="V923" s="4" t="s">
        <v>63</v>
      </c>
      <c r="W923" s="4" t="s">
        <v>108</v>
      </c>
      <c r="X923" s="4" t="s">
        <v>838</v>
      </c>
      <c r="Y923" s="4"/>
      <c r="Z923" s="12">
        <v>0</v>
      </c>
      <c r="AA923" s="13" t="s">
        <v>9159</v>
      </c>
      <c r="AB923" s="13" t="s">
        <v>9160</v>
      </c>
      <c r="AC923" s="14" t="s">
        <v>9139</v>
      </c>
      <c r="AD923" s="14" t="s">
        <v>9140</v>
      </c>
      <c r="AE923" s="14" t="s">
        <v>9140</v>
      </c>
      <c r="AF923" s="14" t="s">
        <v>63</v>
      </c>
      <c r="AG923" s="14" t="s">
        <v>838</v>
      </c>
      <c r="AH923" s="15" t="s">
        <v>9220</v>
      </c>
      <c r="AI923" s="15" t="s">
        <v>9175</v>
      </c>
      <c r="AJ923" s="15" t="s">
        <v>9143</v>
      </c>
      <c r="AK923" s="15" t="s">
        <v>9221</v>
      </c>
      <c r="AL923" s="15" t="s">
        <v>9222</v>
      </c>
      <c r="AM923" s="16" t="s">
        <v>9221</v>
      </c>
      <c r="AN923" s="16" t="s">
        <v>9223</v>
      </c>
    </row>
    <row r="924" spans="1:40" x14ac:dyDescent="0.25">
      <c r="A924" s="4" t="s">
        <v>8743</v>
      </c>
      <c r="B924" s="4"/>
      <c r="C924" s="4" t="s">
        <v>39</v>
      </c>
      <c r="D924" s="4" t="s">
        <v>8744</v>
      </c>
      <c r="E924" s="4" t="s">
        <v>8745</v>
      </c>
      <c r="F924" s="10">
        <v>45460</v>
      </c>
      <c r="G924" s="11">
        <v>0.49444444444444446</v>
      </c>
      <c r="H924" s="4" t="s">
        <v>4516</v>
      </c>
      <c r="I924" s="4" t="s">
        <v>8740</v>
      </c>
      <c r="J924" s="4" t="s">
        <v>8741</v>
      </c>
      <c r="K924" s="4" t="s">
        <v>8746</v>
      </c>
      <c r="L924" s="4" t="s">
        <v>8747</v>
      </c>
      <c r="M924" s="4" t="s">
        <v>46</v>
      </c>
      <c r="N924" s="4"/>
      <c r="O924" s="4" t="s">
        <v>47</v>
      </c>
      <c r="P924" s="4" t="s">
        <v>48</v>
      </c>
      <c r="Q924" s="4">
        <v>0</v>
      </c>
      <c r="R924" s="4" t="b">
        <v>0</v>
      </c>
      <c r="S924" s="4" t="s">
        <v>114</v>
      </c>
      <c r="T924" s="4" t="s">
        <v>8748</v>
      </c>
      <c r="U924" s="4" t="s">
        <v>2432</v>
      </c>
      <c r="V924" s="4" t="s">
        <v>672</v>
      </c>
      <c r="W924" s="4" t="s">
        <v>8749</v>
      </c>
      <c r="X924" s="4" t="s">
        <v>978</v>
      </c>
      <c r="Y924" s="4"/>
      <c r="Z924" s="12">
        <v>0</v>
      </c>
      <c r="AA924" s="13" t="s">
        <v>9159</v>
      </c>
      <c r="AB924" s="13" t="s">
        <v>9160</v>
      </c>
      <c r="AC924" s="14" t="s">
        <v>9157</v>
      </c>
      <c r="AD924" s="14" t="s">
        <v>9140</v>
      </c>
      <c r="AE924" s="14" t="s">
        <v>9140</v>
      </c>
      <c r="AF924" s="14" t="s">
        <v>672</v>
      </c>
      <c r="AG924" s="14" t="s">
        <v>978</v>
      </c>
      <c r="AH924" s="15" t="s">
        <v>9220</v>
      </c>
      <c r="AI924" s="15" t="s">
        <v>9188</v>
      </c>
      <c r="AJ924" s="15" t="s">
        <v>9143</v>
      </c>
      <c r="AK924" s="15" t="s">
        <v>9221</v>
      </c>
      <c r="AL924" s="15" t="s">
        <v>9232</v>
      </c>
      <c r="AM924" s="16" t="s">
        <v>9221</v>
      </c>
      <c r="AN924" s="16" t="s">
        <v>9233</v>
      </c>
    </row>
    <row r="925" spans="1:40" x14ac:dyDescent="0.25">
      <c r="A925" s="4" t="s">
        <v>2978</v>
      </c>
      <c r="B925" s="4" t="s">
        <v>2979</v>
      </c>
      <c r="C925" s="4" t="s">
        <v>39</v>
      </c>
      <c r="D925" s="4" t="s">
        <v>2980</v>
      </c>
      <c r="E925" s="4" t="s">
        <v>2981</v>
      </c>
      <c r="F925" s="10">
        <v>45459</v>
      </c>
      <c r="G925" s="11">
        <v>0.44374999999999998</v>
      </c>
      <c r="H925" s="4" t="s">
        <v>1992</v>
      </c>
      <c r="I925" s="4" t="s">
        <v>2955</v>
      </c>
      <c r="J925" s="4" t="s">
        <v>2956</v>
      </c>
      <c r="K925" s="4" t="s">
        <v>2982</v>
      </c>
      <c r="L925" s="4" t="s">
        <v>2983</v>
      </c>
      <c r="M925" s="4" t="s">
        <v>28</v>
      </c>
      <c r="N925" s="4" t="s">
        <v>183</v>
      </c>
      <c r="O925" s="4" t="s">
        <v>174</v>
      </c>
      <c r="P925" s="4" t="s">
        <v>48</v>
      </c>
      <c r="Q925" s="4">
        <v>9</v>
      </c>
      <c r="R925" s="4" t="b">
        <v>0</v>
      </c>
      <c r="S925" s="4" t="s">
        <v>49</v>
      </c>
      <c r="T925" s="4" t="s">
        <v>583</v>
      </c>
      <c r="U925" s="4" t="s">
        <v>71</v>
      </c>
      <c r="V925" s="4" t="s">
        <v>72</v>
      </c>
      <c r="W925" s="4" t="s">
        <v>73</v>
      </c>
      <c r="X925" s="4" t="s">
        <v>54</v>
      </c>
      <c r="Y925" s="4"/>
      <c r="Z925" s="12" t="s">
        <v>48</v>
      </c>
      <c r="AA925" s="13" t="s">
        <v>9159</v>
      </c>
      <c r="AB925" s="13" t="s">
        <v>9160</v>
      </c>
      <c r="AC925" s="14" t="s">
        <v>9139</v>
      </c>
      <c r="AD925" s="14" t="s">
        <v>28</v>
      </c>
      <c r="AE925" s="14" t="s">
        <v>183</v>
      </c>
      <c r="AF925" s="14" t="s">
        <v>72</v>
      </c>
      <c r="AG925" s="14" t="s">
        <v>54</v>
      </c>
      <c r="AH925" s="15" t="s">
        <v>9194</v>
      </c>
      <c r="AI925" s="15" t="s">
        <v>9191</v>
      </c>
      <c r="AJ925" s="15" t="s">
        <v>9143</v>
      </c>
      <c r="AK925" s="15" t="s">
        <v>9194</v>
      </c>
      <c r="AL925" s="15" t="s">
        <v>9205</v>
      </c>
      <c r="AM925" s="16" t="s">
        <v>9194</v>
      </c>
      <c r="AN925" s="16" t="s">
        <v>9206</v>
      </c>
    </row>
    <row r="926" spans="1:40" x14ac:dyDescent="0.25">
      <c r="A926" s="4" t="s">
        <v>245</v>
      </c>
      <c r="B926" s="4"/>
      <c r="C926" s="4" t="s">
        <v>39</v>
      </c>
      <c r="D926" s="4" t="s">
        <v>246</v>
      </c>
      <c r="E926" s="4" t="s">
        <v>247</v>
      </c>
      <c r="F926" s="10">
        <v>45457</v>
      </c>
      <c r="G926" s="11">
        <v>0.47916666666666669</v>
      </c>
      <c r="H926" s="4" t="s">
        <v>42</v>
      </c>
      <c r="I926" s="4">
        <v>1011</v>
      </c>
      <c r="J926" s="4" t="s">
        <v>215</v>
      </c>
      <c r="K926" s="4" t="s">
        <v>248</v>
      </c>
      <c r="L926" s="4" t="s">
        <v>249</v>
      </c>
      <c r="M926" s="4" t="s">
        <v>46</v>
      </c>
      <c r="N926" s="4"/>
      <c r="O926" s="4" t="s">
        <v>47</v>
      </c>
      <c r="P926" s="4" t="s">
        <v>48</v>
      </c>
      <c r="Q926" s="4">
        <v>0</v>
      </c>
      <c r="R926" s="4" t="b">
        <v>0</v>
      </c>
      <c r="S926" s="4" t="s">
        <v>49</v>
      </c>
      <c r="T926" s="4" t="s">
        <v>50</v>
      </c>
      <c r="U926" s="4" t="s">
        <v>71</v>
      </c>
      <c r="V926" s="4" t="s">
        <v>72</v>
      </c>
      <c r="W926" s="4" t="s">
        <v>73</v>
      </c>
      <c r="X926" s="4" t="s">
        <v>54</v>
      </c>
      <c r="Y926" s="4"/>
      <c r="Z926" s="12">
        <v>0</v>
      </c>
      <c r="AA926" s="13" t="s">
        <v>9159</v>
      </c>
      <c r="AB926" s="13" t="s">
        <v>9160</v>
      </c>
      <c r="AC926" s="14" t="s">
        <v>9139</v>
      </c>
      <c r="AD926" s="14" t="s">
        <v>9140</v>
      </c>
      <c r="AE926" s="14" t="s">
        <v>9140</v>
      </c>
      <c r="AF926" s="14" t="s">
        <v>72</v>
      </c>
      <c r="AG926" s="14" t="s">
        <v>54</v>
      </c>
      <c r="AH926" s="15" t="s">
        <v>9141</v>
      </c>
      <c r="AI926" s="15" t="s">
        <v>9142</v>
      </c>
      <c r="AJ926" s="15" t="s">
        <v>9143</v>
      </c>
      <c r="AK926" s="15" t="s">
        <v>9141</v>
      </c>
      <c r="AL926" s="15" t="s">
        <v>9144</v>
      </c>
      <c r="AM926" s="16" t="s">
        <v>9141</v>
      </c>
      <c r="AN926" s="16" t="s">
        <v>9145</v>
      </c>
    </row>
    <row r="927" spans="1:40" x14ac:dyDescent="0.25">
      <c r="A927" s="4" t="s">
        <v>137</v>
      </c>
      <c r="B927" s="4"/>
      <c r="C927" s="4" t="s">
        <v>39</v>
      </c>
      <c r="D927" s="4" t="s">
        <v>100</v>
      </c>
      <c r="E927" s="4" t="s">
        <v>101</v>
      </c>
      <c r="F927" s="10">
        <v>45457</v>
      </c>
      <c r="G927" s="11">
        <v>0.3611111111111111</v>
      </c>
      <c r="H927" s="4" t="s">
        <v>42</v>
      </c>
      <c r="I927" s="4">
        <v>1006</v>
      </c>
      <c r="J927" s="4" t="s">
        <v>94</v>
      </c>
      <c r="K927" s="4" t="s">
        <v>138</v>
      </c>
      <c r="L927" s="4" t="s">
        <v>139</v>
      </c>
      <c r="M927" s="4" t="s">
        <v>46</v>
      </c>
      <c r="N927" s="4"/>
      <c r="O927" s="4" t="s">
        <v>47</v>
      </c>
      <c r="P927" s="4" t="s">
        <v>48</v>
      </c>
      <c r="Q927" s="4">
        <v>0</v>
      </c>
      <c r="R927" s="4" t="b">
        <v>0</v>
      </c>
      <c r="S927" s="4" t="s">
        <v>49</v>
      </c>
      <c r="T927" s="4" t="s">
        <v>70</v>
      </c>
      <c r="U927" s="4" t="s">
        <v>140</v>
      </c>
      <c r="V927" s="4" t="s">
        <v>63</v>
      </c>
      <c r="W927" s="4" t="s">
        <v>108</v>
      </c>
      <c r="X927" s="4" t="s">
        <v>98</v>
      </c>
      <c r="Y927" s="4"/>
      <c r="Z927" s="12">
        <v>0</v>
      </c>
      <c r="AA927" s="13" t="s">
        <v>9159</v>
      </c>
      <c r="AB927" s="13" t="s">
        <v>9160</v>
      </c>
      <c r="AC927" s="14" t="s">
        <v>9139</v>
      </c>
      <c r="AD927" s="14" t="s">
        <v>9140</v>
      </c>
      <c r="AE927" s="14" t="s">
        <v>9140</v>
      </c>
      <c r="AF927" s="14" t="s">
        <v>63</v>
      </c>
      <c r="AG927" s="14" t="s">
        <v>98</v>
      </c>
      <c r="AH927" s="15" t="s">
        <v>9141</v>
      </c>
      <c r="AI927" s="15" t="s">
        <v>9142</v>
      </c>
      <c r="AJ927" s="15" t="s">
        <v>9143</v>
      </c>
      <c r="AK927" s="15" t="s">
        <v>9141</v>
      </c>
      <c r="AL927" s="15" t="s">
        <v>9144</v>
      </c>
      <c r="AM927" s="16" t="s">
        <v>9141</v>
      </c>
      <c r="AN927" s="16" t="s">
        <v>9145</v>
      </c>
    </row>
    <row r="928" spans="1:40" x14ac:dyDescent="0.25">
      <c r="A928" s="4" t="s">
        <v>5040</v>
      </c>
      <c r="B928" s="4"/>
      <c r="C928" s="4" t="s">
        <v>39</v>
      </c>
      <c r="D928" s="4" t="s">
        <v>5027</v>
      </c>
      <c r="E928" s="4" t="s">
        <v>5028</v>
      </c>
      <c r="F928" s="10">
        <v>45457</v>
      </c>
      <c r="G928" s="11">
        <v>0.60416666666666663</v>
      </c>
      <c r="H928" s="4" t="s">
        <v>4516</v>
      </c>
      <c r="I928" s="4" t="s">
        <v>4969</v>
      </c>
      <c r="J928" s="4" t="s">
        <v>3453</v>
      </c>
      <c r="K928" s="4" t="s">
        <v>321</v>
      </c>
      <c r="L928" s="4" t="s">
        <v>5041</v>
      </c>
      <c r="M928" s="4" t="s">
        <v>46</v>
      </c>
      <c r="N928" s="4"/>
      <c r="O928" s="4" t="s">
        <v>47</v>
      </c>
      <c r="P928" s="4" t="s">
        <v>48</v>
      </c>
      <c r="Q928" s="4">
        <v>0</v>
      </c>
      <c r="R928" s="4" t="b">
        <v>0</v>
      </c>
      <c r="S928" s="4" t="s">
        <v>61</v>
      </c>
      <c r="T928" s="4" t="s">
        <v>583</v>
      </c>
      <c r="U928" s="4" t="s">
        <v>148</v>
      </c>
      <c r="V928" s="4" t="s">
        <v>52</v>
      </c>
      <c r="W928" s="4" t="s">
        <v>135</v>
      </c>
      <c r="X928" s="4" t="s">
        <v>54</v>
      </c>
      <c r="Y928" s="4"/>
      <c r="Z928" s="12">
        <v>0</v>
      </c>
      <c r="AA928" s="13" t="s">
        <v>9159</v>
      </c>
      <c r="AB928" s="13" t="s">
        <v>9160</v>
      </c>
      <c r="AC928" s="14" t="s">
        <v>9148</v>
      </c>
      <c r="AD928" s="14" t="s">
        <v>9140</v>
      </c>
      <c r="AE928" s="14" t="s">
        <v>9140</v>
      </c>
      <c r="AF928" s="14" t="s">
        <v>52</v>
      </c>
      <c r="AG928" s="14" t="s">
        <v>54</v>
      </c>
      <c r="AH928" s="15" t="s">
        <v>9220</v>
      </c>
      <c r="AI928" s="15" t="s">
        <v>9188</v>
      </c>
      <c r="AJ928" s="15" t="s">
        <v>9143</v>
      </c>
      <c r="AK928" s="15" t="s">
        <v>9221</v>
      </c>
      <c r="AL928" s="15" t="s">
        <v>9230</v>
      </c>
      <c r="AM928" s="16" t="s">
        <v>9221</v>
      </c>
      <c r="AN928" s="16" t="s">
        <v>9231</v>
      </c>
    </row>
    <row r="929" spans="1:40" x14ac:dyDescent="0.25">
      <c r="A929" s="4" t="s">
        <v>4372</v>
      </c>
      <c r="B929" s="4"/>
      <c r="C929" s="4" t="s">
        <v>39</v>
      </c>
      <c r="D929" s="4" t="s">
        <v>4355</v>
      </c>
      <c r="E929" s="4" t="s">
        <v>4356</v>
      </c>
      <c r="F929" s="10">
        <v>45457</v>
      </c>
      <c r="G929" s="11">
        <v>0.3888888888888889</v>
      </c>
      <c r="H929" s="4" t="s">
        <v>4019</v>
      </c>
      <c r="I929" s="4" t="s">
        <v>4304</v>
      </c>
      <c r="J929" s="4" t="s">
        <v>1941</v>
      </c>
      <c r="K929" s="4" t="s">
        <v>4373</v>
      </c>
      <c r="L929" s="4" t="s">
        <v>4374</v>
      </c>
      <c r="M929" s="4" t="s">
        <v>46</v>
      </c>
      <c r="N929" s="4"/>
      <c r="O929" s="4" t="s">
        <v>47</v>
      </c>
      <c r="P929" s="4" t="s">
        <v>48</v>
      </c>
      <c r="Q929" s="4">
        <v>0</v>
      </c>
      <c r="R929" s="4" t="b">
        <v>0</v>
      </c>
      <c r="S929" s="4" t="s">
        <v>49</v>
      </c>
      <c r="T929" s="4" t="s">
        <v>70</v>
      </c>
      <c r="U929" s="4" t="s">
        <v>71</v>
      </c>
      <c r="V929" s="4" t="s">
        <v>72</v>
      </c>
      <c r="W929" s="4" t="s">
        <v>2410</v>
      </c>
      <c r="X929" s="4" t="s">
        <v>471</v>
      </c>
      <c r="Y929" s="4"/>
      <c r="Z929" s="12">
        <v>0</v>
      </c>
      <c r="AA929" s="13" t="s">
        <v>9159</v>
      </c>
      <c r="AB929" s="13" t="s">
        <v>9160</v>
      </c>
      <c r="AC929" s="14" t="s">
        <v>9139</v>
      </c>
      <c r="AD929" s="14" t="s">
        <v>9140</v>
      </c>
      <c r="AE929" s="14" t="s">
        <v>9140</v>
      </c>
      <c r="AF929" s="14" t="s">
        <v>72</v>
      </c>
      <c r="AG929" s="14" t="s">
        <v>471</v>
      </c>
      <c r="AH929" s="15" t="s">
        <v>9220</v>
      </c>
      <c r="AI929" s="15" t="s">
        <v>9175</v>
      </c>
      <c r="AJ929" s="15" t="s">
        <v>9143</v>
      </c>
      <c r="AK929" s="15" t="s">
        <v>9221</v>
      </c>
      <c r="AL929" s="15" t="s">
        <v>9222</v>
      </c>
      <c r="AM929" s="16" t="s">
        <v>9221</v>
      </c>
      <c r="AN929" s="16" t="s">
        <v>9223</v>
      </c>
    </row>
    <row r="930" spans="1:40" x14ac:dyDescent="0.25">
      <c r="A930" s="4" t="s">
        <v>3785</v>
      </c>
      <c r="B930" s="4"/>
      <c r="C930" s="4" t="s">
        <v>39</v>
      </c>
      <c r="D930" s="4" t="s">
        <v>3786</v>
      </c>
      <c r="E930" s="4" t="s">
        <v>3787</v>
      </c>
      <c r="F930" s="10">
        <v>45456</v>
      </c>
      <c r="G930" s="11">
        <v>0.71527777777777779</v>
      </c>
      <c r="H930" s="4" t="s">
        <v>1992</v>
      </c>
      <c r="I930" s="4" t="s">
        <v>3772</v>
      </c>
      <c r="J930" s="4" t="s">
        <v>3773</v>
      </c>
      <c r="K930" s="4" t="s">
        <v>3788</v>
      </c>
      <c r="L930" s="4" t="s">
        <v>3789</v>
      </c>
      <c r="M930" s="4" t="s">
        <v>46</v>
      </c>
      <c r="N930" s="4"/>
      <c r="O930" s="4" t="s">
        <v>47</v>
      </c>
      <c r="P930" s="4" t="s">
        <v>48</v>
      </c>
      <c r="Q930" s="4">
        <v>0</v>
      </c>
      <c r="R930" s="4" t="b">
        <v>0</v>
      </c>
      <c r="S930" s="4" t="s">
        <v>49</v>
      </c>
      <c r="T930" s="4" t="s">
        <v>583</v>
      </c>
      <c r="U930" s="4" t="s">
        <v>527</v>
      </c>
      <c r="V930" s="4" t="s">
        <v>63</v>
      </c>
      <c r="W930" s="4" t="s">
        <v>108</v>
      </c>
      <c r="X930" s="4" t="s">
        <v>54</v>
      </c>
      <c r="Y930" s="4"/>
      <c r="Z930" s="12">
        <v>0</v>
      </c>
      <c r="AA930" s="13" t="s">
        <v>9159</v>
      </c>
      <c r="AB930" s="13" t="s">
        <v>9160</v>
      </c>
      <c r="AC930" s="14" t="s">
        <v>9139</v>
      </c>
      <c r="AD930" s="14" t="s">
        <v>9140</v>
      </c>
      <c r="AE930" s="14" t="s">
        <v>9140</v>
      </c>
      <c r="AF930" s="14" t="s">
        <v>63</v>
      </c>
      <c r="AG930" s="14" t="s">
        <v>54</v>
      </c>
      <c r="AH930" s="15" t="s">
        <v>9194</v>
      </c>
      <c r="AI930" s="15" t="s">
        <v>9191</v>
      </c>
      <c r="AJ930" s="15" t="s">
        <v>9143</v>
      </c>
      <c r="AK930" s="15" t="s">
        <v>9194</v>
      </c>
      <c r="AL930" s="15" t="s">
        <v>9201</v>
      </c>
      <c r="AM930" s="16" t="s">
        <v>9194</v>
      </c>
      <c r="AN930" s="16" t="s">
        <v>9202</v>
      </c>
    </row>
    <row r="931" spans="1:40" x14ac:dyDescent="0.25">
      <c r="A931" s="4" t="s">
        <v>250</v>
      </c>
      <c r="B931" s="4"/>
      <c r="C931" s="4" t="s">
        <v>39</v>
      </c>
      <c r="D931" s="4" t="s">
        <v>251</v>
      </c>
      <c r="E931" s="4" t="s">
        <v>252</v>
      </c>
      <c r="F931" s="10">
        <v>45455</v>
      </c>
      <c r="G931" s="11">
        <v>0.65972222222222221</v>
      </c>
      <c r="H931" s="4" t="s">
        <v>42</v>
      </c>
      <c r="I931" s="4">
        <v>1011</v>
      </c>
      <c r="J931" s="4" t="s">
        <v>215</v>
      </c>
      <c r="K931" s="4" t="s">
        <v>253</v>
      </c>
      <c r="L931" s="4" t="s">
        <v>254</v>
      </c>
      <c r="M931" s="4" t="s">
        <v>46</v>
      </c>
      <c r="N931" s="4"/>
      <c r="O931" s="4" t="s">
        <v>47</v>
      </c>
      <c r="P931" s="4" t="s">
        <v>48</v>
      </c>
      <c r="Q931" s="4">
        <v>0</v>
      </c>
      <c r="R931" s="4" t="b">
        <v>0</v>
      </c>
      <c r="S931" s="4" t="s">
        <v>61</v>
      </c>
      <c r="T931" s="4" t="s">
        <v>89</v>
      </c>
      <c r="U931" s="4" t="s">
        <v>175</v>
      </c>
      <c r="V931" s="4" t="s">
        <v>52</v>
      </c>
      <c r="W931" s="4" t="s">
        <v>255</v>
      </c>
      <c r="X931" s="4" t="s">
        <v>54</v>
      </c>
      <c r="Y931" s="4"/>
      <c r="Z931" s="12">
        <v>0</v>
      </c>
      <c r="AA931" s="13" t="s">
        <v>9159</v>
      </c>
      <c r="AB931" s="13" t="s">
        <v>9160</v>
      </c>
      <c r="AC931" s="14" t="s">
        <v>9148</v>
      </c>
      <c r="AD931" s="14" t="s">
        <v>9140</v>
      </c>
      <c r="AE931" s="14" t="s">
        <v>9140</v>
      </c>
      <c r="AF931" s="14" t="s">
        <v>52</v>
      </c>
      <c r="AG931" s="14" t="s">
        <v>54</v>
      </c>
      <c r="AH931" s="15" t="s">
        <v>9141</v>
      </c>
      <c r="AI931" s="15" t="s">
        <v>9142</v>
      </c>
      <c r="AJ931" s="15" t="s">
        <v>9143</v>
      </c>
      <c r="AK931" s="15" t="s">
        <v>9141</v>
      </c>
      <c r="AL931" s="15" t="s">
        <v>9144</v>
      </c>
      <c r="AM931" s="16" t="s">
        <v>9141</v>
      </c>
      <c r="AN931" s="16" t="s">
        <v>9145</v>
      </c>
    </row>
    <row r="932" spans="1:40" x14ac:dyDescent="0.25">
      <c r="A932" s="4" t="s">
        <v>4375</v>
      </c>
      <c r="B932" s="4"/>
      <c r="C932" s="4" t="s">
        <v>39</v>
      </c>
      <c r="D932" s="4" t="s">
        <v>4302</v>
      </c>
      <c r="E932" s="4" t="s">
        <v>4303</v>
      </c>
      <c r="F932" s="10">
        <v>45455</v>
      </c>
      <c r="G932" s="11">
        <v>0.4513888888888889</v>
      </c>
      <c r="H932" s="4" t="s">
        <v>4019</v>
      </c>
      <c r="I932" s="4" t="s">
        <v>4304</v>
      </c>
      <c r="J932" s="4" t="s">
        <v>1941</v>
      </c>
      <c r="K932" s="4" t="s">
        <v>4376</v>
      </c>
      <c r="L932" s="4" t="s">
        <v>4377</v>
      </c>
      <c r="M932" s="4" t="s">
        <v>46</v>
      </c>
      <c r="N932" s="4"/>
      <c r="O932" s="4" t="s">
        <v>47</v>
      </c>
      <c r="P932" s="4" t="s">
        <v>48</v>
      </c>
      <c r="Q932" s="4">
        <v>0</v>
      </c>
      <c r="R932" s="4" t="b">
        <v>0</v>
      </c>
      <c r="S932" s="4" t="s">
        <v>61</v>
      </c>
      <c r="T932" s="4" t="s">
        <v>50</v>
      </c>
      <c r="U932" s="4" t="s">
        <v>148</v>
      </c>
      <c r="V932" s="4" t="s">
        <v>123</v>
      </c>
      <c r="W932" s="4" t="s">
        <v>124</v>
      </c>
      <c r="X932" s="4" t="s">
        <v>978</v>
      </c>
      <c r="Y932" s="4"/>
      <c r="Z932" s="12">
        <v>0</v>
      </c>
      <c r="AA932" s="13" t="s">
        <v>9159</v>
      </c>
      <c r="AB932" s="13" t="s">
        <v>9160</v>
      </c>
      <c r="AC932" s="14" t="s">
        <v>9148</v>
      </c>
      <c r="AD932" s="14" t="s">
        <v>9140</v>
      </c>
      <c r="AE932" s="14" t="s">
        <v>9140</v>
      </c>
      <c r="AF932" s="14" t="s">
        <v>123</v>
      </c>
      <c r="AG932" s="14" t="s">
        <v>978</v>
      </c>
      <c r="AH932" s="15" t="s">
        <v>9220</v>
      </c>
      <c r="AI932" s="15" t="s">
        <v>9175</v>
      </c>
      <c r="AJ932" s="15" t="s">
        <v>9143</v>
      </c>
      <c r="AK932" s="15" t="s">
        <v>9221</v>
      </c>
      <c r="AL932" s="15" t="s">
        <v>9222</v>
      </c>
      <c r="AM932" s="16" t="s">
        <v>9221</v>
      </c>
      <c r="AN932" s="16" t="s">
        <v>9223</v>
      </c>
    </row>
    <row r="933" spans="1:40" x14ac:dyDescent="0.25">
      <c r="A933" s="4" t="s">
        <v>9004</v>
      </c>
      <c r="B933" s="4"/>
      <c r="C933" s="4" t="s">
        <v>39</v>
      </c>
      <c r="D933" s="4" t="s">
        <v>9005</v>
      </c>
      <c r="E933" s="4" t="s">
        <v>9006</v>
      </c>
      <c r="F933" s="10">
        <v>45455</v>
      </c>
      <c r="G933" s="11">
        <v>0.44791666666666669</v>
      </c>
      <c r="H933" s="4" t="s">
        <v>4019</v>
      </c>
      <c r="I933" s="4" t="s">
        <v>8971</v>
      </c>
      <c r="J933" s="4" t="s">
        <v>9007</v>
      </c>
      <c r="K933" s="4" t="s">
        <v>9008</v>
      </c>
      <c r="L933" s="4" t="s">
        <v>9009</v>
      </c>
      <c r="M933" s="4" t="s">
        <v>46</v>
      </c>
      <c r="N933" s="4"/>
      <c r="O933" s="4" t="s">
        <v>344</v>
      </c>
      <c r="P933" s="4" t="s">
        <v>48</v>
      </c>
      <c r="Q933" s="4">
        <v>1</v>
      </c>
      <c r="R933" s="4" t="b">
        <v>0</v>
      </c>
      <c r="S933" s="4" t="s">
        <v>61</v>
      </c>
      <c r="T933" s="4" t="s">
        <v>89</v>
      </c>
      <c r="U933" s="4" t="s">
        <v>80</v>
      </c>
      <c r="V933" s="4" t="s">
        <v>63</v>
      </c>
      <c r="W933" s="4" t="s">
        <v>198</v>
      </c>
      <c r="X933" s="4" t="s">
        <v>98</v>
      </c>
      <c r="Y933" s="4"/>
      <c r="Z933" s="12">
        <v>0</v>
      </c>
      <c r="AA933" s="13" t="s">
        <v>9159</v>
      </c>
      <c r="AB933" s="13" t="s">
        <v>9160</v>
      </c>
      <c r="AC933" s="14" t="s">
        <v>9148</v>
      </c>
      <c r="AD933" s="14" t="s">
        <v>9140</v>
      </c>
      <c r="AE933" s="14" t="s">
        <v>9140</v>
      </c>
      <c r="AF933" s="14" t="s">
        <v>63</v>
      </c>
      <c r="AG933" s="14" t="s">
        <v>98</v>
      </c>
      <c r="AH933" s="15" t="s">
        <v>9220</v>
      </c>
      <c r="AI933" s="15" t="s">
        <v>9175</v>
      </c>
      <c r="AJ933" s="15" t="s">
        <v>9181</v>
      </c>
      <c r="AK933" s="15" t="s">
        <v>9182</v>
      </c>
      <c r="AL933" s="15" t="s">
        <v>9182</v>
      </c>
      <c r="AM933" s="16" t="s">
        <v>9182</v>
      </c>
      <c r="AN933" s="16" t="s">
        <v>9182</v>
      </c>
    </row>
    <row r="934" spans="1:40" x14ac:dyDescent="0.25">
      <c r="A934" s="4" t="s">
        <v>7298</v>
      </c>
      <c r="B934" s="4"/>
      <c r="C934" s="4" t="s">
        <v>39</v>
      </c>
      <c r="D934" s="4" t="s">
        <v>7299</v>
      </c>
      <c r="E934" s="4" t="s">
        <v>7300</v>
      </c>
      <c r="F934" s="10">
        <v>45455</v>
      </c>
      <c r="G934" s="11">
        <v>0.50694444444444442</v>
      </c>
      <c r="H934" s="4" t="s">
        <v>4516</v>
      </c>
      <c r="I934" s="4" t="s">
        <v>7295</v>
      </c>
      <c r="J934" s="4" t="s">
        <v>3265</v>
      </c>
      <c r="K934" s="4" t="s">
        <v>7301</v>
      </c>
      <c r="L934" s="4" t="s">
        <v>7302</v>
      </c>
      <c r="M934" s="4" t="s">
        <v>46</v>
      </c>
      <c r="N934" s="4"/>
      <c r="O934" s="4" t="s">
        <v>47</v>
      </c>
      <c r="P934" s="4" t="s">
        <v>48</v>
      </c>
      <c r="Q934" s="4">
        <v>0</v>
      </c>
      <c r="R934" s="4" t="b">
        <v>0</v>
      </c>
      <c r="S934" s="4" t="s">
        <v>49</v>
      </c>
      <c r="T934" s="4" t="s">
        <v>583</v>
      </c>
      <c r="U934" s="4" t="s">
        <v>527</v>
      </c>
      <c r="V934" s="4" t="s">
        <v>63</v>
      </c>
      <c r="W934" s="4" t="s">
        <v>108</v>
      </c>
      <c r="X934" s="4" t="s">
        <v>54</v>
      </c>
      <c r="Y934" s="4"/>
      <c r="Z934" s="12">
        <v>0</v>
      </c>
      <c r="AA934" s="13" t="s">
        <v>9159</v>
      </c>
      <c r="AB934" s="13" t="s">
        <v>9160</v>
      </c>
      <c r="AC934" s="14" t="s">
        <v>9139</v>
      </c>
      <c r="AD934" s="14" t="s">
        <v>9140</v>
      </c>
      <c r="AE934" s="14" t="s">
        <v>9140</v>
      </c>
      <c r="AF934" s="14" t="s">
        <v>63</v>
      </c>
      <c r="AG934" s="14" t="s">
        <v>54</v>
      </c>
      <c r="AH934" s="15" t="s">
        <v>9220</v>
      </c>
      <c r="AI934" s="15" t="s">
        <v>9188</v>
      </c>
      <c r="AJ934" s="15" t="s">
        <v>9143</v>
      </c>
      <c r="AK934" s="15" t="s">
        <v>9221</v>
      </c>
      <c r="AL934" s="15" t="s">
        <v>9236</v>
      </c>
      <c r="AM934" s="16" t="s">
        <v>9221</v>
      </c>
      <c r="AN934" s="16" t="s">
        <v>9237</v>
      </c>
    </row>
    <row r="935" spans="1:40" x14ac:dyDescent="0.25">
      <c r="A935" s="4" t="s">
        <v>5099</v>
      </c>
      <c r="B935" s="4" t="s">
        <v>5100</v>
      </c>
      <c r="C935" s="4" t="s">
        <v>39</v>
      </c>
      <c r="D935" s="4" t="s">
        <v>5101</v>
      </c>
      <c r="E935" s="4" t="s">
        <v>5102</v>
      </c>
      <c r="F935" s="10">
        <v>45454</v>
      </c>
      <c r="G935" s="11">
        <v>0.79861111111111116</v>
      </c>
      <c r="H935" s="4" t="s">
        <v>4910</v>
      </c>
      <c r="I935" s="4" t="s">
        <v>5077</v>
      </c>
      <c r="J935" s="4" t="s">
        <v>2140</v>
      </c>
      <c r="K935" s="4" t="s">
        <v>5103</v>
      </c>
      <c r="L935" s="4" t="s">
        <v>5104</v>
      </c>
      <c r="M935" s="4" t="s">
        <v>28</v>
      </c>
      <c r="N935" s="4" t="s">
        <v>2718</v>
      </c>
      <c r="O935" s="4" t="s">
        <v>47</v>
      </c>
      <c r="P935" s="4" t="s">
        <v>48</v>
      </c>
      <c r="Q935" s="4">
        <v>0</v>
      </c>
      <c r="R935" s="4" t="b">
        <v>0</v>
      </c>
      <c r="S935" s="4" t="s">
        <v>61</v>
      </c>
      <c r="T935" s="4" t="s">
        <v>583</v>
      </c>
      <c r="U935" s="4" t="s">
        <v>148</v>
      </c>
      <c r="V935" s="4" t="s">
        <v>52</v>
      </c>
      <c r="W935" s="4" t="s">
        <v>135</v>
      </c>
      <c r="X935" s="4" t="s">
        <v>54</v>
      </c>
      <c r="Y935" s="4"/>
      <c r="Z935" s="12" t="s">
        <v>48</v>
      </c>
      <c r="AA935" s="13" t="s">
        <v>9159</v>
      </c>
      <c r="AB935" s="13" t="s">
        <v>9160</v>
      </c>
      <c r="AC935" s="14" t="s">
        <v>9148</v>
      </c>
      <c r="AD935" s="14" t="s">
        <v>28</v>
      </c>
      <c r="AE935" s="14" t="s">
        <v>9140</v>
      </c>
      <c r="AF935" s="14" t="s">
        <v>52</v>
      </c>
      <c r="AG935" s="14" t="s">
        <v>54</v>
      </c>
      <c r="AH935" s="15" t="s">
        <v>9220</v>
      </c>
      <c r="AI935" s="15" t="s">
        <v>9191</v>
      </c>
      <c r="AJ935" s="15" t="s">
        <v>9143</v>
      </c>
      <c r="AK935" s="15" t="s">
        <v>9221</v>
      </c>
      <c r="AL935" s="15" t="s">
        <v>9226</v>
      </c>
      <c r="AM935" s="16" t="s">
        <v>9221</v>
      </c>
      <c r="AN935" s="16" t="s">
        <v>9227</v>
      </c>
    </row>
    <row r="936" spans="1:40" x14ac:dyDescent="0.25">
      <c r="A936" s="4" t="s">
        <v>5453</v>
      </c>
      <c r="B936" s="4"/>
      <c r="C936" s="4" t="s">
        <v>39</v>
      </c>
      <c r="D936" s="4" t="s">
        <v>5445</v>
      </c>
      <c r="E936" s="4" t="s">
        <v>5446</v>
      </c>
      <c r="F936" s="10">
        <v>45454</v>
      </c>
      <c r="G936" s="11">
        <v>0.5625</v>
      </c>
      <c r="H936" s="4" t="s">
        <v>4659</v>
      </c>
      <c r="I936" s="4" t="s">
        <v>5425</v>
      </c>
      <c r="J936" s="4" t="s">
        <v>3736</v>
      </c>
      <c r="K936" s="4" t="s">
        <v>5454</v>
      </c>
      <c r="L936" s="4" t="s">
        <v>5455</v>
      </c>
      <c r="M936" s="4" t="s">
        <v>46</v>
      </c>
      <c r="N936" s="4"/>
      <c r="O936" s="4" t="s">
        <v>47</v>
      </c>
      <c r="P936" s="4" t="s">
        <v>48</v>
      </c>
      <c r="Q936" s="4">
        <v>0</v>
      </c>
      <c r="R936" s="4" t="b">
        <v>0</v>
      </c>
      <c r="S936" s="4" t="s">
        <v>49</v>
      </c>
      <c r="T936" s="4" t="s">
        <v>50</v>
      </c>
      <c r="U936" s="4" t="s">
        <v>224</v>
      </c>
      <c r="V936" s="4" t="s">
        <v>63</v>
      </c>
      <c r="W936" s="4" t="s">
        <v>108</v>
      </c>
      <c r="X936" s="4" t="s">
        <v>54</v>
      </c>
      <c r="Y936" s="4"/>
      <c r="Z936" s="12">
        <v>0</v>
      </c>
      <c r="AA936" s="13" t="s">
        <v>9159</v>
      </c>
      <c r="AB936" s="13" t="s">
        <v>9160</v>
      </c>
      <c r="AC936" s="14" t="s">
        <v>9139</v>
      </c>
      <c r="AD936" s="14" t="s">
        <v>9140</v>
      </c>
      <c r="AE936" s="14" t="s">
        <v>9140</v>
      </c>
      <c r="AF936" s="14" t="s">
        <v>63</v>
      </c>
      <c r="AG936" s="14" t="s">
        <v>54</v>
      </c>
      <c r="AH936" s="15" t="s">
        <v>9220</v>
      </c>
      <c r="AI936" s="15" t="s">
        <v>9142</v>
      </c>
      <c r="AJ936" s="15" t="s">
        <v>9143</v>
      </c>
      <c r="AK936" s="15" t="s">
        <v>9221</v>
      </c>
      <c r="AL936" s="15" t="s">
        <v>9228</v>
      </c>
      <c r="AM936" s="16" t="s">
        <v>9221</v>
      </c>
      <c r="AN936" s="16" t="s">
        <v>9229</v>
      </c>
    </row>
    <row r="937" spans="1:40" x14ac:dyDescent="0.25">
      <c r="A937" s="4" t="s">
        <v>1771</v>
      </c>
      <c r="B937" s="4" t="s">
        <v>1772</v>
      </c>
      <c r="C937" s="4" t="s">
        <v>39</v>
      </c>
      <c r="D937" s="4" t="s">
        <v>1773</v>
      </c>
      <c r="E937" s="4" t="s">
        <v>1774</v>
      </c>
      <c r="F937" s="10">
        <v>45454</v>
      </c>
      <c r="G937" s="11">
        <v>0.44027777777777777</v>
      </c>
      <c r="H937" s="4" t="s">
        <v>1654</v>
      </c>
      <c r="I937" s="4">
        <v>9095</v>
      </c>
      <c r="J937" s="4" t="s">
        <v>1742</v>
      </c>
      <c r="K937" s="4" t="s">
        <v>1775</v>
      </c>
      <c r="L937" s="4" t="s">
        <v>1776</v>
      </c>
      <c r="M937" s="4" t="s">
        <v>28</v>
      </c>
      <c r="N937" s="4" t="s">
        <v>183</v>
      </c>
      <c r="O937" s="4" t="s">
        <v>174</v>
      </c>
      <c r="P937" s="4" t="s">
        <v>48</v>
      </c>
      <c r="Q937" s="4">
        <v>0</v>
      </c>
      <c r="R937" s="4" t="b">
        <v>0</v>
      </c>
      <c r="S937" s="4" t="s">
        <v>114</v>
      </c>
      <c r="T937" s="4" t="s">
        <v>89</v>
      </c>
      <c r="U937" s="4" t="s">
        <v>71</v>
      </c>
      <c r="V937" s="4" t="s">
        <v>52</v>
      </c>
      <c r="W937" s="4" t="s">
        <v>53</v>
      </c>
      <c r="X937" s="4" t="s">
        <v>54</v>
      </c>
      <c r="Y937" s="4"/>
      <c r="Z937" s="12" t="s">
        <v>48</v>
      </c>
      <c r="AA937" s="13" t="s">
        <v>9159</v>
      </c>
      <c r="AB937" s="13" t="s">
        <v>9160</v>
      </c>
      <c r="AC937" s="14" t="s">
        <v>9157</v>
      </c>
      <c r="AD937" s="14" t="s">
        <v>28</v>
      </c>
      <c r="AE937" s="14" t="s">
        <v>183</v>
      </c>
      <c r="AF937" s="14" t="s">
        <v>52</v>
      </c>
      <c r="AG937" s="14" t="s">
        <v>54</v>
      </c>
      <c r="AH937" s="15" t="s">
        <v>9141</v>
      </c>
      <c r="AI937" s="15" t="s">
        <v>9191</v>
      </c>
      <c r="AJ937" s="15" t="s">
        <v>9143</v>
      </c>
      <c r="AK937" s="15" t="s">
        <v>9141</v>
      </c>
      <c r="AL937" s="15" t="s">
        <v>9191</v>
      </c>
      <c r="AM937" s="16" t="s">
        <v>9141</v>
      </c>
      <c r="AN937" s="16" t="s">
        <v>9192</v>
      </c>
    </row>
    <row r="938" spans="1:40" x14ac:dyDescent="0.25">
      <c r="A938" s="4" t="s">
        <v>1777</v>
      </c>
      <c r="B938" s="4" t="s">
        <v>1778</v>
      </c>
      <c r="C938" s="4" t="s">
        <v>39</v>
      </c>
      <c r="D938" s="4" t="s">
        <v>1779</v>
      </c>
      <c r="E938" s="4" t="s">
        <v>1780</v>
      </c>
      <c r="F938" s="10">
        <v>45453</v>
      </c>
      <c r="G938" s="11">
        <v>0.45833333333333331</v>
      </c>
      <c r="H938" s="4" t="s">
        <v>1654</v>
      </c>
      <c r="I938" s="4">
        <v>9095</v>
      </c>
      <c r="J938" s="4" t="s">
        <v>1742</v>
      </c>
      <c r="K938" s="4" t="s">
        <v>1781</v>
      </c>
      <c r="L938" s="4" t="s">
        <v>1782</v>
      </c>
      <c r="M938" s="4" t="s">
        <v>28</v>
      </c>
      <c r="N938" s="4" t="s">
        <v>183</v>
      </c>
      <c r="O938" s="4" t="s">
        <v>174</v>
      </c>
      <c r="P938" s="4" t="s">
        <v>48</v>
      </c>
      <c r="Q938" s="4">
        <v>0</v>
      </c>
      <c r="R938" s="4" t="b">
        <v>0</v>
      </c>
      <c r="S938" s="4" t="s">
        <v>61</v>
      </c>
      <c r="T938" s="4" t="s">
        <v>583</v>
      </c>
      <c r="U938" s="4" t="s">
        <v>301</v>
      </c>
      <c r="V938" s="4" t="s">
        <v>52</v>
      </c>
      <c r="W938" s="4" t="s">
        <v>53</v>
      </c>
      <c r="X938" s="4" t="s">
        <v>54</v>
      </c>
      <c r="Y938" s="4"/>
      <c r="Z938" s="12" t="s">
        <v>48</v>
      </c>
      <c r="AA938" s="13" t="s">
        <v>9159</v>
      </c>
      <c r="AB938" s="13" t="s">
        <v>9160</v>
      </c>
      <c r="AC938" s="14" t="s">
        <v>9148</v>
      </c>
      <c r="AD938" s="14" t="s">
        <v>28</v>
      </c>
      <c r="AE938" s="14" t="s">
        <v>183</v>
      </c>
      <c r="AF938" s="14" t="s">
        <v>52</v>
      </c>
      <c r="AG938" s="14" t="s">
        <v>54</v>
      </c>
      <c r="AH938" s="15" t="s">
        <v>9141</v>
      </c>
      <c r="AI938" s="15" t="s">
        <v>9191</v>
      </c>
      <c r="AJ938" s="15" t="s">
        <v>9143</v>
      </c>
      <c r="AK938" s="15" t="s">
        <v>9141</v>
      </c>
      <c r="AL938" s="15" t="s">
        <v>9191</v>
      </c>
      <c r="AM938" s="16" t="s">
        <v>9141</v>
      </c>
      <c r="AN938" s="16" t="s">
        <v>9192</v>
      </c>
    </row>
    <row r="939" spans="1:40" x14ac:dyDescent="0.25">
      <c r="A939" s="4" t="s">
        <v>7279</v>
      </c>
      <c r="B939" s="4"/>
      <c r="C939" s="4" t="s">
        <v>39</v>
      </c>
      <c r="D939" s="4" t="s">
        <v>7280</v>
      </c>
      <c r="E939" s="4" t="s">
        <v>7281</v>
      </c>
      <c r="F939" s="10">
        <v>45453</v>
      </c>
      <c r="G939" s="11">
        <v>0.45833333333333331</v>
      </c>
      <c r="H939" s="4" t="s">
        <v>5666</v>
      </c>
      <c r="I939" s="4" t="s">
        <v>7264</v>
      </c>
      <c r="J939" s="4" t="s">
        <v>7265</v>
      </c>
      <c r="K939" s="4" t="s">
        <v>7282</v>
      </c>
      <c r="L939" s="4" t="s">
        <v>7283</v>
      </c>
      <c r="M939" s="4" t="s">
        <v>46</v>
      </c>
      <c r="N939" s="4"/>
      <c r="O939" s="4" t="s">
        <v>47</v>
      </c>
      <c r="P939" s="4" t="s">
        <v>60</v>
      </c>
      <c r="Q939" s="4">
        <v>0</v>
      </c>
      <c r="R939" s="4" t="b">
        <v>0</v>
      </c>
      <c r="S939" s="4" t="s">
        <v>49</v>
      </c>
      <c r="T939" s="4" t="s">
        <v>1303</v>
      </c>
      <c r="U939" s="4" t="s">
        <v>527</v>
      </c>
      <c r="V939" s="4" t="s">
        <v>72</v>
      </c>
      <c r="W939" s="4" t="s">
        <v>73</v>
      </c>
      <c r="X939" s="4" t="s">
        <v>978</v>
      </c>
      <c r="Y939" s="4"/>
      <c r="Z939" s="12">
        <v>0</v>
      </c>
      <c r="AA939" s="13" t="s">
        <v>9159</v>
      </c>
      <c r="AB939" s="13" t="s">
        <v>9160</v>
      </c>
      <c r="AC939" s="14" t="s">
        <v>9139</v>
      </c>
      <c r="AD939" s="14" t="s">
        <v>9140</v>
      </c>
      <c r="AE939" s="14" t="s">
        <v>9140</v>
      </c>
      <c r="AF939" s="14" t="s">
        <v>72</v>
      </c>
      <c r="AG939" s="14" t="s">
        <v>978</v>
      </c>
      <c r="AH939" s="15" t="s">
        <v>9220</v>
      </c>
      <c r="AI939" s="15" t="s">
        <v>9199</v>
      </c>
      <c r="AJ939" s="15" t="s">
        <v>9143</v>
      </c>
      <c r="AK939" s="15" t="s">
        <v>9221</v>
      </c>
      <c r="AL939" s="15" t="s">
        <v>9199</v>
      </c>
      <c r="AM939" s="16" t="s">
        <v>9221</v>
      </c>
      <c r="AN939" s="16" t="s">
        <v>9238</v>
      </c>
    </row>
    <row r="940" spans="1:40" x14ac:dyDescent="0.25">
      <c r="A940" s="4" t="s">
        <v>2984</v>
      </c>
      <c r="B940" s="4"/>
      <c r="C940" s="4" t="s">
        <v>39</v>
      </c>
      <c r="D940" s="4" t="s">
        <v>2963</v>
      </c>
      <c r="E940" s="4" t="s">
        <v>2964</v>
      </c>
      <c r="F940" s="10">
        <v>45452</v>
      </c>
      <c r="G940" s="11">
        <v>0.44097222222222221</v>
      </c>
      <c r="H940" s="4" t="s">
        <v>1992</v>
      </c>
      <c r="I940" s="4" t="s">
        <v>2955</v>
      </c>
      <c r="J940" s="4" t="s">
        <v>2956</v>
      </c>
      <c r="K940" s="4" t="s">
        <v>2985</v>
      </c>
      <c r="L940" s="4" t="s">
        <v>2986</v>
      </c>
      <c r="M940" s="4" t="s">
        <v>46</v>
      </c>
      <c r="N940" s="4"/>
      <c r="O940" s="4" t="s">
        <v>47</v>
      </c>
      <c r="P940" s="4" t="s">
        <v>48</v>
      </c>
      <c r="Q940" s="4">
        <v>0</v>
      </c>
      <c r="R940" s="4" t="b">
        <v>0</v>
      </c>
      <c r="S940" s="4" t="s">
        <v>114</v>
      </c>
      <c r="T940" s="4" t="s">
        <v>2987</v>
      </c>
      <c r="U940" s="4" t="s">
        <v>80</v>
      </c>
      <c r="V940" s="4" t="s">
        <v>81</v>
      </c>
      <c r="W940" s="4" t="s">
        <v>82</v>
      </c>
      <c r="X940" s="4" t="s">
        <v>83</v>
      </c>
      <c r="Y940" s="4"/>
      <c r="Z940" s="12">
        <v>0</v>
      </c>
      <c r="AA940" s="13" t="s">
        <v>9159</v>
      </c>
      <c r="AB940" s="13" t="s">
        <v>9160</v>
      </c>
      <c r="AC940" s="14" t="s">
        <v>9157</v>
      </c>
      <c r="AD940" s="14" t="s">
        <v>9140</v>
      </c>
      <c r="AE940" s="14" t="s">
        <v>9140</v>
      </c>
      <c r="AF940" s="14" t="s">
        <v>81</v>
      </c>
      <c r="AG940" s="14" t="s">
        <v>83</v>
      </c>
      <c r="AH940" s="15" t="s">
        <v>9194</v>
      </c>
      <c r="AI940" s="15" t="s">
        <v>9191</v>
      </c>
      <c r="AJ940" s="15" t="s">
        <v>9143</v>
      </c>
      <c r="AK940" s="15" t="s">
        <v>9194</v>
      </c>
      <c r="AL940" s="15" t="s">
        <v>9205</v>
      </c>
      <c r="AM940" s="16" t="s">
        <v>9194</v>
      </c>
      <c r="AN940" s="16" t="s">
        <v>9206</v>
      </c>
    </row>
    <row r="941" spans="1:40" x14ac:dyDescent="0.25">
      <c r="A941" s="4" t="s">
        <v>1304</v>
      </c>
      <c r="B941" s="4"/>
      <c r="C941" s="4" t="s">
        <v>39</v>
      </c>
      <c r="D941" s="4" t="s">
        <v>1305</v>
      </c>
      <c r="E941" s="4" t="s">
        <v>1306</v>
      </c>
      <c r="F941" s="10">
        <v>45452</v>
      </c>
      <c r="G941" s="11">
        <v>0.5541666666666667</v>
      </c>
      <c r="H941" s="4" t="s">
        <v>1155</v>
      </c>
      <c r="I941" s="4">
        <v>4044</v>
      </c>
      <c r="J941" s="4" t="s">
        <v>1285</v>
      </c>
      <c r="K941" s="4" t="s">
        <v>1307</v>
      </c>
      <c r="L941" s="4" t="s">
        <v>1308</v>
      </c>
      <c r="M941" s="4" t="s">
        <v>46</v>
      </c>
      <c r="N941" s="4"/>
      <c r="O941" s="4" t="s">
        <v>47</v>
      </c>
      <c r="P941" s="4" t="s">
        <v>48</v>
      </c>
      <c r="Q941" s="4">
        <v>0</v>
      </c>
      <c r="R941" s="4" t="b">
        <v>0</v>
      </c>
      <c r="S941" s="4" t="s">
        <v>49</v>
      </c>
      <c r="T941" s="4" t="s">
        <v>89</v>
      </c>
      <c r="U941" s="4" t="s">
        <v>51</v>
      </c>
      <c r="V941" s="4" t="s">
        <v>52</v>
      </c>
      <c r="W941" s="4" t="s">
        <v>135</v>
      </c>
      <c r="X941" s="4" t="s">
        <v>54</v>
      </c>
      <c r="Y941" s="4"/>
      <c r="Z941" s="12">
        <v>0</v>
      </c>
      <c r="AA941" s="13" t="s">
        <v>9159</v>
      </c>
      <c r="AB941" s="13" t="s">
        <v>9160</v>
      </c>
      <c r="AC941" s="14" t="s">
        <v>9139</v>
      </c>
      <c r="AD941" s="14" t="s">
        <v>9140</v>
      </c>
      <c r="AE941" s="14" t="s">
        <v>9140</v>
      </c>
      <c r="AF941" s="14" t="s">
        <v>52</v>
      </c>
      <c r="AG941" s="14" t="s">
        <v>54</v>
      </c>
      <c r="AH941" s="15" t="s">
        <v>9141</v>
      </c>
      <c r="AI941" s="15" t="s">
        <v>9187</v>
      </c>
      <c r="AJ941" s="15" t="s">
        <v>9143</v>
      </c>
      <c r="AK941" s="15" t="s">
        <v>9141</v>
      </c>
      <c r="AL941" s="15" t="s">
        <v>9144</v>
      </c>
      <c r="AM941" s="16" t="s">
        <v>9141</v>
      </c>
      <c r="AN941" s="16" t="s">
        <v>9145</v>
      </c>
    </row>
    <row r="942" spans="1:40" x14ac:dyDescent="0.25">
      <c r="A942" s="4" t="s">
        <v>2333</v>
      </c>
      <c r="B942" s="4"/>
      <c r="C942" s="4" t="s">
        <v>39</v>
      </c>
      <c r="D942" s="4" t="s">
        <v>2326</v>
      </c>
      <c r="E942" s="4" t="s">
        <v>2327</v>
      </c>
      <c r="F942" s="10">
        <v>45451</v>
      </c>
      <c r="G942" s="11">
        <v>0.60416666666666663</v>
      </c>
      <c r="H942" s="4" t="s">
        <v>1939</v>
      </c>
      <c r="I942" s="4" t="s">
        <v>2322</v>
      </c>
      <c r="J942" s="4" t="s">
        <v>1037</v>
      </c>
      <c r="K942" s="4" t="s">
        <v>2334</v>
      </c>
      <c r="L942" s="4" t="s">
        <v>2335</v>
      </c>
      <c r="M942" s="4" t="s">
        <v>46</v>
      </c>
      <c r="N942" s="4"/>
      <c r="O942" s="4" t="s">
        <v>47</v>
      </c>
      <c r="P942" s="4" t="s">
        <v>48</v>
      </c>
      <c r="Q942" s="4">
        <v>0</v>
      </c>
      <c r="R942" s="4" t="b">
        <v>0</v>
      </c>
      <c r="S942" s="4" t="s">
        <v>49</v>
      </c>
      <c r="T942" s="4" t="s">
        <v>50</v>
      </c>
      <c r="U942" s="4" t="s">
        <v>165</v>
      </c>
      <c r="V942" s="4" t="s">
        <v>63</v>
      </c>
      <c r="W942" s="4" t="s">
        <v>64</v>
      </c>
      <c r="X942" s="4" t="s">
        <v>54</v>
      </c>
      <c r="Y942" s="4"/>
      <c r="Z942" s="12">
        <v>0</v>
      </c>
      <c r="AA942" s="13" t="s">
        <v>9159</v>
      </c>
      <c r="AB942" s="13" t="s">
        <v>9160</v>
      </c>
      <c r="AC942" s="14" t="s">
        <v>9139</v>
      </c>
      <c r="AD942" s="14" t="s">
        <v>9140</v>
      </c>
      <c r="AE942" s="14" t="s">
        <v>9140</v>
      </c>
      <c r="AF942" s="14" t="s">
        <v>63</v>
      </c>
      <c r="AG942" s="14" t="s">
        <v>54</v>
      </c>
      <c r="AH942" s="15" t="s">
        <v>9194</v>
      </c>
      <c r="AI942" s="15" t="s">
        <v>9175</v>
      </c>
      <c r="AJ942" s="15" t="s">
        <v>9143</v>
      </c>
      <c r="AK942" s="15" t="s">
        <v>9194</v>
      </c>
      <c r="AL942" s="15" t="s">
        <v>9195</v>
      </c>
      <c r="AM942" s="16" t="s">
        <v>9194</v>
      </c>
      <c r="AN942" s="16" t="s">
        <v>9196</v>
      </c>
    </row>
    <row r="943" spans="1:40" x14ac:dyDescent="0.25">
      <c r="A943" s="4" t="s">
        <v>8212</v>
      </c>
      <c r="B943" s="4"/>
      <c r="C943" s="4" t="s">
        <v>39</v>
      </c>
      <c r="D943" s="4" t="s">
        <v>8213</v>
      </c>
      <c r="E943" s="4" t="s">
        <v>8214</v>
      </c>
      <c r="F943" s="10">
        <v>45451</v>
      </c>
      <c r="G943" s="11">
        <v>0.59236111111111112</v>
      </c>
      <c r="H943" s="4" t="s">
        <v>4516</v>
      </c>
      <c r="I943" s="4" t="s">
        <v>8208</v>
      </c>
      <c r="J943" s="4" t="s">
        <v>8209</v>
      </c>
      <c r="K943" s="4" t="s">
        <v>8215</v>
      </c>
      <c r="L943" s="4" t="s">
        <v>8216</v>
      </c>
      <c r="M943" s="4" t="s">
        <v>46</v>
      </c>
      <c r="N943" s="4"/>
      <c r="O943" s="4" t="s">
        <v>47</v>
      </c>
      <c r="P943" s="4" t="s">
        <v>48</v>
      </c>
      <c r="Q943" s="4">
        <v>0</v>
      </c>
      <c r="R943" s="4" t="b">
        <v>0</v>
      </c>
      <c r="S943" s="4" t="s">
        <v>49</v>
      </c>
      <c r="T943" s="4" t="s">
        <v>583</v>
      </c>
      <c r="U943" s="4" t="s">
        <v>527</v>
      </c>
      <c r="V943" s="4" t="s">
        <v>123</v>
      </c>
      <c r="W943" s="4" t="s">
        <v>149</v>
      </c>
      <c r="X943" s="4" t="s">
        <v>54</v>
      </c>
      <c r="Y943" s="4" t="s">
        <v>302</v>
      </c>
      <c r="Z943" s="12">
        <v>0</v>
      </c>
      <c r="AA943" s="13" t="s">
        <v>9159</v>
      </c>
      <c r="AB943" s="13" t="s">
        <v>9160</v>
      </c>
      <c r="AC943" s="14" t="s">
        <v>9139</v>
      </c>
      <c r="AD943" s="14" t="s">
        <v>9140</v>
      </c>
      <c r="AE943" s="14" t="s">
        <v>9140</v>
      </c>
      <c r="AF943" s="14" t="s">
        <v>123</v>
      </c>
      <c r="AG943" s="14" t="s">
        <v>54</v>
      </c>
      <c r="AH943" s="15" t="s">
        <v>9220</v>
      </c>
      <c r="AI943" s="15" t="s">
        <v>9188</v>
      </c>
      <c r="AJ943" s="15" t="s">
        <v>9143</v>
      </c>
      <c r="AK943" s="15" t="s">
        <v>9221</v>
      </c>
      <c r="AL943" s="15" t="s">
        <v>9232</v>
      </c>
      <c r="AM943" s="16" t="s">
        <v>9221</v>
      </c>
      <c r="AN943" s="16" t="s">
        <v>9233</v>
      </c>
    </row>
    <row r="944" spans="1:40" x14ac:dyDescent="0.25">
      <c r="A944" s="4" t="s">
        <v>6982</v>
      </c>
      <c r="B944" s="4">
        <v>6920276</v>
      </c>
      <c r="C944" s="4" t="s">
        <v>39</v>
      </c>
      <c r="D944" s="4" t="s">
        <v>6983</v>
      </c>
      <c r="E944" s="4" t="s">
        <v>6984</v>
      </c>
      <c r="F944" s="10">
        <v>45450</v>
      </c>
      <c r="G944" s="11">
        <v>0.51041666666666663</v>
      </c>
      <c r="H944" s="4" t="s">
        <v>4516</v>
      </c>
      <c r="I944" s="4" t="s">
        <v>6985</v>
      </c>
      <c r="J944" s="4" t="s">
        <v>3890</v>
      </c>
      <c r="K944" s="4" t="s">
        <v>6986</v>
      </c>
      <c r="L944" s="4" t="s">
        <v>6987</v>
      </c>
      <c r="M944" s="4" t="s">
        <v>28</v>
      </c>
      <c r="N944" s="4" t="s">
        <v>147</v>
      </c>
      <c r="O944" s="4" t="s">
        <v>863</v>
      </c>
      <c r="P944" s="4" t="s">
        <v>48</v>
      </c>
      <c r="Q944" s="4">
        <v>0</v>
      </c>
      <c r="R944" s="4" t="b">
        <v>0</v>
      </c>
      <c r="S944" s="4" t="s">
        <v>49</v>
      </c>
      <c r="T944" s="4" t="s">
        <v>583</v>
      </c>
      <c r="U944" s="4" t="s">
        <v>107</v>
      </c>
      <c r="V944" s="4" t="s">
        <v>63</v>
      </c>
      <c r="W944" s="4" t="s">
        <v>108</v>
      </c>
      <c r="X944" s="4" t="s">
        <v>54</v>
      </c>
      <c r="Y944" s="4"/>
      <c r="Z944" s="12" t="s">
        <v>48</v>
      </c>
      <c r="AA944" s="13" t="s">
        <v>9159</v>
      </c>
      <c r="AB944" s="13" t="s">
        <v>9160</v>
      </c>
      <c r="AC944" s="14" t="s">
        <v>9139</v>
      </c>
      <c r="AD944" s="14" t="s">
        <v>28</v>
      </c>
      <c r="AE944" s="14" t="s">
        <v>9140</v>
      </c>
      <c r="AF944" s="14" t="s">
        <v>63</v>
      </c>
      <c r="AG944" s="14" t="s">
        <v>54</v>
      </c>
      <c r="AH944" s="15" t="s">
        <v>9220</v>
      </c>
      <c r="AI944" s="15" t="s">
        <v>9188</v>
      </c>
      <c r="AJ944" s="15" t="s">
        <v>9143</v>
      </c>
      <c r="AK944" s="15" t="s">
        <v>9221</v>
      </c>
      <c r="AL944" s="15" t="s">
        <v>9230</v>
      </c>
      <c r="AM944" s="16" t="s">
        <v>9221</v>
      </c>
      <c r="AN944" s="16" t="s">
        <v>9231</v>
      </c>
    </row>
    <row r="945" spans="1:40" x14ac:dyDescent="0.25">
      <c r="A945" s="4" t="s">
        <v>4740</v>
      </c>
      <c r="B945" s="4"/>
      <c r="C945" s="4" t="s">
        <v>39</v>
      </c>
      <c r="D945" s="4" t="s">
        <v>4741</v>
      </c>
      <c r="E945" s="4" t="s">
        <v>4742</v>
      </c>
      <c r="F945" s="10">
        <v>45450</v>
      </c>
      <c r="G945" s="11">
        <v>0.4236111111111111</v>
      </c>
      <c r="H945" s="4" t="s">
        <v>4019</v>
      </c>
      <c r="I945" s="4" t="s">
        <v>4713</v>
      </c>
      <c r="J945" s="4" t="s">
        <v>4714</v>
      </c>
      <c r="K945" s="4" t="s">
        <v>4743</v>
      </c>
      <c r="L945" s="4" t="s">
        <v>4744</v>
      </c>
      <c r="M945" s="4" t="s">
        <v>46</v>
      </c>
      <c r="N945" s="4"/>
      <c r="O945" s="4" t="s">
        <v>47</v>
      </c>
      <c r="P945" s="4" t="s">
        <v>48</v>
      </c>
      <c r="Q945" s="4">
        <v>0</v>
      </c>
      <c r="R945" s="4" t="b">
        <v>0</v>
      </c>
      <c r="S945" s="4" t="s">
        <v>49</v>
      </c>
      <c r="T945" s="4" t="s">
        <v>50</v>
      </c>
      <c r="U945" s="4" t="s">
        <v>140</v>
      </c>
      <c r="V945" s="4" t="s">
        <v>63</v>
      </c>
      <c r="W945" s="4" t="s">
        <v>198</v>
      </c>
      <c r="X945" s="4" t="s">
        <v>54</v>
      </c>
      <c r="Y945" s="4"/>
      <c r="Z945" s="12">
        <v>0</v>
      </c>
      <c r="AA945" s="13" t="s">
        <v>9159</v>
      </c>
      <c r="AB945" s="13" t="s">
        <v>9160</v>
      </c>
      <c r="AC945" s="14" t="s">
        <v>9139</v>
      </c>
      <c r="AD945" s="14" t="s">
        <v>9140</v>
      </c>
      <c r="AE945" s="14" t="s">
        <v>9140</v>
      </c>
      <c r="AF945" s="14" t="s">
        <v>63</v>
      </c>
      <c r="AG945" s="14" t="s">
        <v>54</v>
      </c>
      <c r="AH945" s="15" t="s">
        <v>9220</v>
      </c>
      <c r="AI945" s="15" t="s">
        <v>9175</v>
      </c>
      <c r="AJ945" s="15" t="s">
        <v>9143</v>
      </c>
      <c r="AK945" s="15" t="s">
        <v>9221</v>
      </c>
      <c r="AL945" s="15" t="s">
        <v>9224</v>
      </c>
      <c r="AM945" s="16" t="s">
        <v>9221</v>
      </c>
      <c r="AN945" s="16" t="s">
        <v>9225</v>
      </c>
    </row>
    <row r="946" spans="1:40" x14ac:dyDescent="0.25">
      <c r="A946" s="4" t="s">
        <v>1783</v>
      </c>
      <c r="B946" s="4"/>
      <c r="C946" s="4" t="s">
        <v>39</v>
      </c>
      <c r="D946" s="4" t="s">
        <v>1784</v>
      </c>
      <c r="E946" s="4" t="s">
        <v>1785</v>
      </c>
      <c r="F946" s="10">
        <v>45450</v>
      </c>
      <c r="G946" s="11">
        <v>0.59791666666666665</v>
      </c>
      <c r="H946" s="4" t="s">
        <v>1654</v>
      </c>
      <c r="I946" s="4">
        <v>9095</v>
      </c>
      <c r="J946" s="4" t="s">
        <v>1742</v>
      </c>
      <c r="K946" s="4" t="s">
        <v>1786</v>
      </c>
      <c r="L946" s="4" t="s">
        <v>1787</v>
      </c>
      <c r="M946" s="4" t="s">
        <v>46</v>
      </c>
      <c r="N946" s="4"/>
      <c r="O946" s="4" t="s">
        <v>47</v>
      </c>
      <c r="P946" s="4" t="s">
        <v>48</v>
      </c>
      <c r="Q946" s="4">
        <v>0</v>
      </c>
      <c r="R946" s="4" t="b">
        <v>0</v>
      </c>
      <c r="S946" s="4" t="s">
        <v>61</v>
      </c>
      <c r="T946" s="4" t="s">
        <v>89</v>
      </c>
      <c r="U946" s="4" t="s">
        <v>51</v>
      </c>
      <c r="V946" s="4" t="s">
        <v>52</v>
      </c>
      <c r="W946" s="4" t="s">
        <v>135</v>
      </c>
      <c r="X946" s="4" t="s">
        <v>54</v>
      </c>
      <c r="Y946" s="4"/>
      <c r="Z946" s="12">
        <v>0</v>
      </c>
      <c r="AA946" s="13" t="s">
        <v>9159</v>
      </c>
      <c r="AB946" s="13" t="s">
        <v>9160</v>
      </c>
      <c r="AC946" s="14" t="s">
        <v>9148</v>
      </c>
      <c r="AD946" s="14" t="s">
        <v>9140</v>
      </c>
      <c r="AE946" s="14" t="s">
        <v>9140</v>
      </c>
      <c r="AF946" s="14" t="s">
        <v>52</v>
      </c>
      <c r="AG946" s="14" t="s">
        <v>54</v>
      </c>
      <c r="AH946" s="15" t="s">
        <v>9141</v>
      </c>
      <c r="AI946" s="15" t="s">
        <v>9191</v>
      </c>
      <c r="AJ946" s="15" t="s">
        <v>9143</v>
      </c>
      <c r="AK946" s="15" t="s">
        <v>9141</v>
      </c>
      <c r="AL946" s="15" t="s">
        <v>9191</v>
      </c>
      <c r="AM946" s="16" t="s">
        <v>9141</v>
      </c>
      <c r="AN946" s="16" t="s">
        <v>9192</v>
      </c>
    </row>
    <row r="947" spans="1:40" x14ac:dyDescent="0.25">
      <c r="A947" s="4" t="s">
        <v>2053</v>
      </c>
      <c r="B947" s="4"/>
      <c r="C947" s="4" t="s">
        <v>39</v>
      </c>
      <c r="D947" s="4" t="s">
        <v>2054</v>
      </c>
      <c r="E947" s="4" t="s">
        <v>2055</v>
      </c>
      <c r="F947" s="10">
        <v>45449</v>
      </c>
      <c r="G947" s="11">
        <v>0.36805555555555558</v>
      </c>
      <c r="H947" s="4" t="s">
        <v>1992</v>
      </c>
      <c r="I947" s="4" t="s">
        <v>2048</v>
      </c>
      <c r="J947" s="4" t="s">
        <v>2049</v>
      </c>
      <c r="K947" s="4" t="s">
        <v>2056</v>
      </c>
      <c r="L947" s="4" t="s">
        <v>2057</v>
      </c>
      <c r="M947" s="4" t="s">
        <v>46</v>
      </c>
      <c r="N947" s="4"/>
      <c r="O947" s="4" t="s">
        <v>47</v>
      </c>
      <c r="P947" s="4" t="s">
        <v>48</v>
      </c>
      <c r="Q947" s="4">
        <v>0</v>
      </c>
      <c r="R947" s="4" t="b">
        <v>0</v>
      </c>
      <c r="S947" s="4" t="s">
        <v>61</v>
      </c>
      <c r="T947" s="4" t="s">
        <v>583</v>
      </c>
      <c r="U947" s="4" t="s">
        <v>71</v>
      </c>
      <c r="V947" s="4" t="s">
        <v>72</v>
      </c>
      <c r="W947" s="4" t="s">
        <v>73</v>
      </c>
      <c r="X947" s="4" t="s">
        <v>54</v>
      </c>
      <c r="Y947" s="4"/>
      <c r="Z947" s="12">
        <v>0</v>
      </c>
      <c r="AA947" s="13" t="s">
        <v>9159</v>
      </c>
      <c r="AB947" s="13" t="s">
        <v>9160</v>
      </c>
      <c r="AC947" s="14" t="s">
        <v>9148</v>
      </c>
      <c r="AD947" s="14" t="s">
        <v>9140</v>
      </c>
      <c r="AE947" s="14" t="s">
        <v>9140</v>
      </c>
      <c r="AF947" s="14" t="s">
        <v>72</v>
      </c>
      <c r="AG947" s="14" t="s">
        <v>54</v>
      </c>
      <c r="AH947" s="15" t="s">
        <v>9194</v>
      </c>
      <c r="AI947" s="15" t="s">
        <v>9191</v>
      </c>
      <c r="AJ947" s="15" t="s">
        <v>9143</v>
      </c>
      <c r="AK947" s="15" t="s">
        <v>9194</v>
      </c>
      <c r="AL947" s="15" t="s">
        <v>9201</v>
      </c>
      <c r="AM947" s="16" t="s">
        <v>9194</v>
      </c>
      <c r="AN947" s="16" t="s">
        <v>9202</v>
      </c>
    </row>
    <row r="948" spans="1:40" x14ac:dyDescent="0.25">
      <c r="A948" s="4" t="s">
        <v>2697</v>
      </c>
      <c r="B948" s="4" t="s">
        <v>2698</v>
      </c>
      <c r="C948" s="4" t="s">
        <v>39</v>
      </c>
      <c r="D948" s="4" t="s">
        <v>2699</v>
      </c>
      <c r="E948" s="4" t="s">
        <v>2700</v>
      </c>
      <c r="F948" s="10">
        <v>45449</v>
      </c>
      <c r="G948" s="11">
        <v>0.65694444444444444</v>
      </c>
      <c r="H948" s="4" t="s">
        <v>2701</v>
      </c>
      <c r="I948" s="4" t="s">
        <v>2702</v>
      </c>
      <c r="J948" s="4" t="s">
        <v>2703</v>
      </c>
      <c r="K948" s="4" t="s">
        <v>2704</v>
      </c>
      <c r="L948" s="4" t="s">
        <v>2705</v>
      </c>
      <c r="M948" s="4" t="s">
        <v>28</v>
      </c>
      <c r="N948" s="4" t="s">
        <v>147</v>
      </c>
      <c r="O948" s="4" t="s">
        <v>174</v>
      </c>
      <c r="P948" s="4" t="s">
        <v>48</v>
      </c>
      <c r="Q948" s="4">
        <v>0</v>
      </c>
      <c r="R948" s="4" t="b">
        <v>0</v>
      </c>
      <c r="S948" s="4" t="s">
        <v>114</v>
      </c>
      <c r="T948" s="4" t="s">
        <v>583</v>
      </c>
      <c r="U948" s="4" t="s">
        <v>140</v>
      </c>
      <c r="V948" s="4" t="s">
        <v>52</v>
      </c>
      <c r="W948" s="4" t="s">
        <v>255</v>
      </c>
      <c r="X948" s="4" t="s">
        <v>54</v>
      </c>
      <c r="Y948" s="4"/>
      <c r="Z948" s="12" t="s">
        <v>48</v>
      </c>
      <c r="AA948" s="13" t="s">
        <v>9159</v>
      </c>
      <c r="AB948" s="13" t="s">
        <v>9160</v>
      </c>
      <c r="AC948" s="14" t="s">
        <v>9157</v>
      </c>
      <c r="AD948" s="14" t="s">
        <v>28</v>
      </c>
      <c r="AE948" s="14" t="s">
        <v>9140</v>
      </c>
      <c r="AF948" s="14" t="s">
        <v>52</v>
      </c>
      <c r="AG948" s="14" t="s">
        <v>54</v>
      </c>
      <c r="AH948" s="15" t="s">
        <v>9194</v>
      </c>
      <c r="AI948" s="15" t="s">
        <v>9193</v>
      </c>
      <c r="AJ948" s="15" t="s">
        <v>9143</v>
      </c>
      <c r="AK948" s="15" t="s">
        <v>9194</v>
      </c>
      <c r="AL948" s="15" t="s">
        <v>9207</v>
      </c>
      <c r="AM948" s="16" t="s">
        <v>9194</v>
      </c>
      <c r="AN948" s="16" t="s">
        <v>9208</v>
      </c>
    </row>
    <row r="949" spans="1:40" x14ac:dyDescent="0.25">
      <c r="A949" s="4" t="s">
        <v>6091</v>
      </c>
      <c r="B949" s="4"/>
      <c r="C949" s="4" t="s">
        <v>39</v>
      </c>
      <c r="D949" s="4" t="s">
        <v>6092</v>
      </c>
      <c r="E949" s="4" t="s">
        <v>6093</v>
      </c>
      <c r="F949" s="10">
        <v>45449</v>
      </c>
      <c r="G949" s="11">
        <v>0.41666666666666669</v>
      </c>
      <c r="H949" s="4" t="s">
        <v>5666</v>
      </c>
      <c r="I949" s="4" t="s">
        <v>6073</v>
      </c>
      <c r="J949" s="4" t="s">
        <v>3608</v>
      </c>
      <c r="K949" s="4" t="s">
        <v>6094</v>
      </c>
      <c r="L949" s="4" t="s">
        <v>6095</v>
      </c>
      <c r="M949" s="4" t="s">
        <v>46</v>
      </c>
      <c r="N949" s="4"/>
      <c r="O949" s="4" t="s">
        <v>47</v>
      </c>
      <c r="P949" s="4" t="s">
        <v>48</v>
      </c>
      <c r="Q949" s="4">
        <v>0</v>
      </c>
      <c r="R949" s="4" t="b">
        <v>0</v>
      </c>
      <c r="S949" s="4" t="s">
        <v>49</v>
      </c>
      <c r="T949" s="4" t="s">
        <v>70</v>
      </c>
      <c r="U949" s="4" t="s">
        <v>71</v>
      </c>
      <c r="V949" s="4" t="s">
        <v>72</v>
      </c>
      <c r="W949" s="4" t="s">
        <v>73</v>
      </c>
      <c r="X949" s="4" t="s">
        <v>54</v>
      </c>
      <c r="Y949" s="4" t="s">
        <v>4246</v>
      </c>
      <c r="Z949" s="12">
        <v>0</v>
      </c>
      <c r="AA949" s="13" t="s">
        <v>9159</v>
      </c>
      <c r="AB949" s="13" t="s">
        <v>9160</v>
      </c>
      <c r="AC949" s="14" t="s">
        <v>9139</v>
      </c>
      <c r="AD949" s="14" t="s">
        <v>9140</v>
      </c>
      <c r="AE949" s="14" t="s">
        <v>9140</v>
      </c>
      <c r="AF949" s="14" t="s">
        <v>72</v>
      </c>
      <c r="AG949" s="14" t="s">
        <v>54</v>
      </c>
      <c r="AH949" s="15" t="s">
        <v>9220</v>
      </c>
      <c r="AI949" s="15" t="s">
        <v>9199</v>
      </c>
      <c r="AJ949" s="15" t="s">
        <v>9143</v>
      </c>
      <c r="AK949" s="15" t="s">
        <v>9221</v>
      </c>
      <c r="AL949" s="15" t="s">
        <v>9199</v>
      </c>
      <c r="AM949" s="16" t="s">
        <v>9221</v>
      </c>
      <c r="AN949" s="16" t="s">
        <v>9238</v>
      </c>
    </row>
    <row r="950" spans="1:40" x14ac:dyDescent="0.25">
      <c r="A950" s="4" t="s">
        <v>4202</v>
      </c>
      <c r="B950" s="4"/>
      <c r="C950" s="4" t="s">
        <v>39</v>
      </c>
      <c r="D950" s="4" t="s">
        <v>4203</v>
      </c>
      <c r="E950" s="4" t="s">
        <v>4204</v>
      </c>
      <c r="F950" s="10">
        <v>45449</v>
      </c>
      <c r="G950" s="11">
        <v>0.63541666666666663</v>
      </c>
      <c r="H950" s="4" t="s">
        <v>4019</v>
      </c>
      <c r="I950" s="4" t="s">
        <v>4193</v>
      </c>
      <c r="J950" s="4" t="s">
        <v>4194</v>
      </c>
      <c r="K950" s="4" t="s">
        <v>1232</v>
      </c>
      <c r="L950" s="4" t="s">
        <v>4205</v>
      </c>
      <c r="M950" s="4" t="s">
        <v>46</v>
      </c>
      <c r="N950" s="4"/>
      <c r="O950" s="4" t="s">
        <v>47</v>
      </c>
      <c r="P950" s="4" t="s">
        <v>48</v>
      </c>
      <c r="Q950" s="4">
        <v>0</v>
      </c>
      <c r="R950" s="4" t="b">
        <v>0</v>
      </c>
      <c r="S950" s="4" t="s">
        <v>61</v>
      </c>
      <c r="T950" s="4" t="s">
        <v>1495</v>
      </c>
      <c r="U950" s="4" t="s">
        <v>71</v>
      </c>
      <c r="V950" s="4" t="s">
        <v>63</v>
      </c>
      <c r="W950" s="4" t="s">
        <v>108</v>
      </c>
      <c r="X950" s="4" t="s">
        <v>978</v>
      </c>
      <c r="Y950" s="4"/>
      <c r="Z950" s="12">
        <v>0</v>
      </c>
      <c r="AA950" s="13" t="s">
        <v>9159</v>
      </c>
      <c r="AB950" s="13" t="s">
        <v>9160</v>
      </c>
      <c r="AC950" s="14" t="s">
        <v>9148</v>
      </c>
      <c r="AD950" s="14" t="s">
        <v>9140</v>
      </c>
      <c r="AE950" s="14" t="s">
        <v>9140</v>
      </c>
      <c r="AF950" s="14" t="s">
        <v>63</v>
      </c>
      <c r="AG950" s="14" t="s">
        <v>978</v>
      </c>
      <c r="AH950" s="15" t="s">
        <v>9220</v>
      </c>
      <c r="AI950" s="15" t="s">
        <v>9175</v>
      </c>
      <c r="AJ950" s="15" t="s">
        <v>9143</v>
      </c>
      <c r="AK950" s="15" t="s">
        <v>9221</v>
      </c>
      <c r="AL950" s="15" t="s">
        <v>9224</v>
      </c>
      <c r="AM950" s="16" t="s">
        <v>9221</v>
      </c>
      <c r="AN950" s="16" t="s">
        <v>9225</v>
      </c>
    </row>
    <row r="951" spans="1:40" x14ac:dyDescent="0.25">
      <c r="A951" s="4" t="s">
        <v>7355</v>
      </c>
      <c r="B951" s="4"/>
      <c r="C951" s="4" t="s">
        <v>39</v>
      </c>
      <c r="D951" s="4" t="s">
        <v>6319</v>
      </c>
      <c r="E951" s="4" t="s">
        <v>6320</v>
      </c>
      <c r="F951" s="10">
        <v>45449</v>
      </c>
      <c r="G951" s="11">
        <v>0.45694444444444443</v>
      </c>
      <c r="H951" s="4" t="s">
        <v>4019</v>
      </c>
      <c r="I951" s="4" t="s">
        <v>7315</v>
      </c>
      <c r="J951" s="4" t="s">
        <v>1037</v>
      </c>
      <c r="K951" s="4" t="s">
        <v>7356</v>
      </c>
      <c r="L951" s="4" t="s">
        <v>7357</v>
      </c>
      <c r="M951" s="4" t="s">
        <v>46</v>
      </c>
      <c r="N951" s="4"/>
      <c r="O951" s="4" t="s">
        <v>47</v>
      </c>
      <c r="P951" s="4" t="s">
        <v>48</v>
      </c>
      <c r="Q951" s="4">
        <v>0</v>
      </c>
      <c r="R951" s="4" t="b">
        <v>0</v>
      </c>
      <c r="S951" s="4" t="s">
        <v>49</v>
      </c>
      <c r="T951" s="4" t="s">
        <v>50</v>
      </c>
      <c r="U951" s="4" t="s">
        <v>90</v>
      </c>
      <c r="V951" s="4" t="s">
        <v>63</v>
      </c>
      <c r="W951" s="4" t="s">
        <v>108</v>
      </c>
      <c r="X951" s="4" t="s">
        <v>98</v>
      </c>
      <c r="Y951" s="4"/>
      <c r="Z951" s="12">
        <v>0</v>
      </c>
      <c r="AA951" s="13" t="s">
        <v>9159</v>
      </c>
      <c r="AB951" s="13" t="s">
        <v>9160</v>
      </c>
      <c r="AC951" s="14" t="s">
        <v>9139</v>
      </c>
      <c r="AD951" s="14" t="s">
        <v>9140</v>
      </c>
      <c r="AE951" s="14" t="s">
        <v>9140</v>
      </c>
      <c r="AF951" s="14" t="s">
        <v>63</v>
      </c>
      <c r="AG951" s="14" t="s">
        <v>98</v>
      </c>
      <c r="AH951" s="15" t="s">
        <v>9220</v>
      </c>
      <c r="AI951" s="15" t="s">
        <v>9175</v>
      </c>
      <c r="AJ951" s="15" t="s">
        <v>9143</v>
      </c>
      <c r="AK951" s="15" t="s">
        <v>9221</v>
      </c>
      <c r="AL951" s="15" t="s">
        <v>9222</v>
      </c>
      <c r="AM951" s="16" t="s">
        <v>9221</v>
      </c>
      <c r="AN951" s="16" t="s">
        <v>9223</v>
      </c>
    </row>
    <row r="952" spans="1:40" x14ac:dyDescent="0.25">
      <c r="A952" s="4" t="s">
        <v>6745</v>
      </c>
      <c r="B952" s="4">
        <v>6904437</v>
      </c>
      <c r="C952" s="4" t="s">
        <v>39</v>
      </c>
      <c r="D952" s="4" t="s">
        <v>6746</v>
      </c>
      <c r="E952" s="4" t="s">
        <v>6747</v>
      </c>
      <c r="F952" s="10">
        <v>45449</v>
      </c>
      <c r="G952" s="11">
        <v>0.41111111111111109</v>
      </c>
      <c r="H952" s="4" t="s">
        <v>4516</v>
      </c>
      <c r="I952" s="4" t="s">
        <v>6736</v>
      </c>
      <c r="J952" s="4" t="s">
        <v>6737</v>
      </c>
      <c r="K952" s="4" t="s">
        <v>6748</v>
      </c>
      <c r="L952" s="4" t="s">
        <v>6749</v>
      </c>
      <c r="M952" s="4" t="s">
        <v>46</v>
      </c>
      <c r="N952" s="4"/>
      <c r="O952" s="4" t="s">
        <v>47</v>
      </c>
      <c r="P952" s="4" t="s">
        <v>48</v>
      </c>
      <c r="Q952" s="4">
        <v>0</v>
      </c>
      <c r="R952" s="4" t="b">
        <v>0</v>
      </c>
      <c r="S952" s="4" t="s">
        <v>49</v>
      </c>
      <c r="T952" s="4" t="s">
        <v>583</v>
      </c>
      <c r="U952" s="4" t="s">
        <v>175</v>
      </c>
      <c r="V952" s="4" t="s">
        <v>52</v>
      </c>
      <c r="W952" s="4" t="s">
        <v>255</v>
      </c>
      <c r="X952" s="4" t="s">
        <v>54</v>
      </c>
      <c r="Y952" s="4"/>
      <c r="Z952" s="12">
        <v>0</v>
      </c>
      <c r="AA952" s="13" t="s">
        <v>9159</v>
      </c>
      <c r="AB952" s="13" t="s">
        <v>9160</v>
      </c>
      <c r="AC952" s="14" t="s">
        <v>9139</v>
      </c>
      <c r="AD952" s="14" t="s">
        <v>9140</v>
      </c>
      <c r="AE952" s="14" t="s">
        <v>9140</v>
      </c>
      <c r="AF952" s="14" t="s">
        <v>52</v>
      </c>
      <c r="AG952" s="14" t="s">
        <v>54</v>
      </c>
      <c r="AH952" s="15" t="s">
        <v>9220</v>
      </c>
      <c r="AI952" s="15" t="s">
        <v>9188</v>
      </c>
      <c r="AJ952" s="15" t="s">
        <v>9143</v>
      </c>
      <c r="AK952" s="15" t="s">
        <v>9221</v>
      </c>
      <c r="AL952" s="15" t="s">
        <v>9232</v>
      </c>
      <c r="AM952" s="16" t="s">
        <v>9221</v>
      </c>
      <c r="AN952" s="16" t="s">
        <v>9233</v>
      </c>
    </row>
    <row r="953" spans="1:40" x14ac:dyDescent="0.25">
      <c r="A953" s="4" t="s">
        <v>5328</v>
      </c>
      <c r="B953" s="4"/>
      <c r="C953" s="4" t="s">
        <v>39</v>
      </c>
      <c r="D953" s="4" t="s">
        <v>5295</v>
      </c>
      <c r="E953" s="4" t="s">
        <v>5296</v>
      </c>
      <c r="F953" s="10">
        <v>45448</v>
      </c>
      <c r="G953" s="11">
        <v>0.38541666666666669</v>
      </c>
      <c r="H953" s="4" t="s">
        <v>4516</v>
      </c>
      <c r="I953" s="4" t="s">
        <v>5275</v>
      </c>
      <c r="J953" s="4" t="s">
        <v>5276</v>
      </c>
      <c r="K953" s="4" t="s">
        <v>5329</v>
      </c>
      <c r="L953" s="4" t="s">
        <v>5330</v>
      </c>
      <c r="M953" s="4" t="s">
        <v>46</v>
      </c>
      <c r="N953" s="4"/>
      <c r="O953" s="4" t="s">
        <v>47</v>
      </c>
      <c r="P953" s="4" t="s">
        <v>48</v>
      </c>
      <c r="Q953" s="4">
        <v>0</v>
      </c>
      <c r="R953" s="4" t="b">
        <v>0</v>
      </c>
      <c r="S953" s="4" t="s">
        <v>49</v>
      </c>
      <c r="T953" s="4" t="s">
        <v>583</v>
      </c>
      <c r="U953" s="4" t="s">
        <v>51</v>
      </c>
      <c r="V953" s="4" t="s">
        <v>123</v>
      </c>
      <c r="W953" s="4" t="s">
        <v>149</v>
      </c>
      <c r="X953" s="4" t="s">
        <v>54</v>
      </c>
      <c r="Y953" s="4"/>
      <c r="Z953" s="12">
        <v>0</v>
      </c>
      <c r="AA953" s="13" t="s">
        <v>9159</v>
      </c>
      <c r="AB953" s="13" t="s">
        <v>9160</v>
      </c>
      <c r="AC953" s="14" t="s">
        <v>9139</v>
      </c>
      <c r="AD953" s="14" t="s">
        <v>9140</v>
      </c>
      <c r="AE953" s="14" t="s">
        <v>9140</v>
      </c>
      <c r="AF953" s="14" t="s">
        <v>123</v>
      </c>
      <c r="AG953" s="14" t="s">
        <v>54</v>
      </c>
      <c r="AH953" s="15" t="s">
        <v>9220</v>
      </c>
      <c r="AI953" s="15" t="s">
        <v>9188</v>
      </c>
      <c r="AJ953" s="15" t="s">
        <v>9143</v>
      </c>
      <c r="AK953" s="15" t="s">
        <v>9221</v>
      </c>
      <c r="AL953" s="15" t="s">
        <v>9230</v>
      </c>
      <c r="AM953" s="16" t="s">
        <v>9221</v>
      </c>
      <c r="AN953" s="16" t="s">
        <v>9231</v>
      </c>
    </row>
    <row r="954" spans="1:40" x14ac:dyDescent="0.25">
      <c r="A954" s="4" t="s">
        <v>8118</v>
      </c>
      <c r="B954" s="4"/>
      <c r="C954" s="4" t="s">
        <v>39</v>
      </c>
      <c r="D954" s="4" t="s">
        <v>8119</v>
      </c>
      <c r="E954" s="4" t="s">
        <v>8120</v>
      </c>
      <c r="F954" s="10">
        <v>45448</v>
      </c>
      <c r="G954" s="11">
        <v>0.50347222222222221</v>
      </c>
      <c r="H954" s="4" t="s">
        <v>4019</v>
      </c>
      <c r="I954" s="4" t="s">
        <v>8106</v>
      </c>
      <c r="J954" s="4" t="s">
        <v>8107</v>
      </c>
      <c r="K954" s="4" t="s">
        <v>8121</v>
      </c>
      <c r="L954" s="4" t="s">
        <v>8122</v>
      </c>
      <c r="M954" s="4" t="s">
        <v>46</v>
      </c>
      <c r="N954" s="4"/>
      <c r="O954" s="4" t="s">
        <v>47</v>
      </c>
      <c r="P954" s="4" t="s">
        <v>48</v>
      </c>
      <c r="Q954" s="4">
        <v>0</v>
      </c>
      <c r="R954" s="4" t="b">
        <v>0</v>
      </c>
      <c r="S954" s="4" t="s">
        <v>49</v>
      </c>
      <c r="T954" s="4" t="s">
        <v>50</v>
      </c>
      <c r="U954" s="4" t="s">
        <v>71</v>
      </c>
      <c r="V954" s="4" t="s">
        <v>63</v>
      </c>
      <c r="W954" s="4" t="s">
        <v>312</v>
      </c>
      <c r="X954" s="4" t="s">
        <v>54</v>
      </c>
      <c r="Y954" s="4"/>
      <c r="Z954" s="12">
        <v>0</v>
      </c>
      <c r="AA954" s="13" t="s">
        <v>9159</v>
      </c>
      <c r="AB954" s="13" t="s">
        <v>9160</v>
      </c>
      <c r="AC954" s="14" t="s">
        <v>9139</v>
      </c>
      <c r="AD954" s="14" t="s">
        <v>9140</v>
      </c>
      <c r="AE954" s="14" t="s">
        <v>9140</v>
      </c>
      <c r="AF954" s="14" t="s">
        <v>63</v>
      </c>
      <c r="AG954" s="14" t="s">
        <v>54</v>
      </c>
      <c r="AH954" s="15" t="s">
        <v>9220</v>
      </c>
      <c r="AI954" s="15" t="s">
        <v>9175</v>
      </c>
      <c r="AJ954" s="15" t="s">
        <v>9143</v>
      </c>
      <c r="AK954" s="15" t="s">
        <v>9221</v>
      </c>
      <c r="AL954" s="15" t="s">
        <v>9222</v>
      </c>
      <c r="AM954" s="16" t="s">
        <v>9221</v>
      </c>
      <c r="AN954" s="16" t="s">
        <v>9223</v>
      </c>
    </row>
    <row r="955" spans="1:40" x14ac:dyDescent="0.25">
      <c r="A955" s="4" t="s">
        <v>4263</v>
      </c>
      <c r="B955" s="4"/>
      <c r="C955" s="4" t="s">
        <v>39</v>
      </c>
      <c r="D955" s="4" t="s">
        <v>4264</v>
      </c>
      <c r="E955" s="4" t="s">
        <v>4265</v>
      </c>
      <c r="F955" s="10">
        <v>45448</v>
      </c>
      <c r="G955" s="11">
        <v>0.4375</v>
      </c>
      <c r="H955" s="4" t="s">
        <v>4242</v>
      </c>
      <c r="I955" s="4" t="s">
        <v>4243</v>
      </c>
      <c r="J955" s="4" t="s">
        <v>1200</v>
      </c>
      <c r="K955" s="4" t="s">
        <v>1217</v>
      </c>
      <c r="L955" s="4" t="s">
        <v>4266</v>
      </c>
      <c r="M955" s="4" t="s">
        <v>46</v>
      </c>
      <c r="N955" s="4"/>
      <c r="O955" s="4" t="s">
        <v>47</v>
      </c>
      <c r="P955" s="4" t="s">
        <v>48</v>
      </c>
      <c r="Q955" s="4">
        <v>0</v>
      </c>
      <c r="R955" s="4" t="b">
        <v>0</v>
      </c>
      <c r="S955" s="4" t="s">
        <v>114</v>
      </c>
      <c r="T955" s="4" t="s">
        <v>433</v>
      </c>
      <c r="U955" s="4" t="s">
        <v>80</v>
      </c>
      <c r="V955" s="4" t="s">
        <v>72</v>
      </c>
      <c r="W955" s="4" t="s">
        <v>2410</v>
      </c>
      <c r="X955" s="4" t="s">
        <v>978</v>
      </c>
      <c r="Y955" s="4"/>
      <c r="Z955" s="12">
        <v>0</v>
      </c>
      <c r="AA955" s="13" t="s">
        <v>9159</v>
      </c>
      <c r="AB955" s="13" t="s">
        <v>9160</v>
      </c>
      <c r="AC955" s="14" t="s">
        <v>9157</v>
      </c>
      <c r="AD955" s="14" t="s">
        <v>9140</v>
      </c>
      <c r="AE955" s="14" t="s">
        <v>9140</v>
      </c>
      <c r="AF955" s="14" t="s">
        <v>72</v>
      </c>
      <c r="AG955" s="14" t="s">
        <v>978</v>
      </c>
      <c r="AH955" s="15" t="s">
        <v>9220</v>
      </c>
      <c r="AI955" s="15" t="s">
        <v>9187</v>
      </c>
      <c r="AJ955" s="15" t="s">
        <v>9143</v>
      </c>
      <c r="AK955" s="15" t="s">
        <v>9221</v>
      </c>
      <c r="AL955" s="15" t="s">
        <v>9226</v>
      </c>
      <c r="AM955" s="16" t="s">
        <v>9221</v>
      </c>
      <c r="AN955" s="16" t="s">
        <v>9227</v>
      </c>
    </row>
    <row r="956" spans="1:40" x14ac:dyDescent="0.25">
      <c r="A956" s="4" t="s">
        <v>6226</v>
      </c>
      <c r="B956" s="4"/>
      <c r="C956" s="4" t="s">
        <v>39</v>
      </c>
      <c r="D956" s="4" t="s">
        <v>6227</v>
      </c>
      <c r="E956" s="4" t="s">
        <v>6228</v>
      </c>
      <c r="F956" s="10">
        <v>45447</v>
      </c>
      <c r="G956" s="11">
        <v>0.35416666666666669</v>
      </c>
      <c r="H956" s="4" t="s">
        <v>5666</v>
      </c>
      <c r="I956" s="4" t="s">
        <v>6217</v>
      </c>
      <c r="J956" s="4" t="s">
        <v>3503</v>
      </c>
      <c r="K956" s="4" t="s">
        <v>6229</v>
      </c>
      <c r="L956" s="4" t="s">
        <v>6230</v>
      </c>
      <c r="M956" s="4" t="s">
        <v>46</v>
      </c>
      <c r="N956" s="4"/>
      <c r="O956" s="4" t="s">
        <v>47</v>
      </c>
      <c r="P956" s="4" t="s">
        <v>48</v>
      </c>
      <c r="Q956" s="4">
        <v>0</v>
      </c>
      <c r="R956" s="4" t="b">
        <v>0</v>
      </c>
      <c r="S956" s="4" t="s">
        <v>61</v>
      </c>
      <c r="T956" s="4" t="s">
        <v>70</v>
      </c>
      <c r="U956" s="4" t="s">
        <v>140</v>
      </c>
      <c r="V956" s="4" t="s">
        <v>63</v>
      </c>
      <c r="W956" s="4" t="s">
        <v>198</v>
      </c>
      <c r="X956" s="4" t="s">
        <v>774</v>
      </c>
      <c r="Y956" s="4" t="s">
        <v>775</v>
      </c>
      <c r="Z956" s="12">
        <v>0</v>
      </c>
      <c r="AA956" s="13" t="s">
        <v>9159</v>
      </c>
      <c r="AB956" s="13" t="s">
        <v>9160</v>
      </c>
      <c r="AC956" s="14" t="s">
        <v>9148</v>
      </c>
      <c r="AD956" s="14" t="s">
        <v>9140</v>
      </c>
      <c r="AE956" s="14" t="s">
        <v>9140</v>
      </c>
      <c r="AF956" s="14" t="s">
        <v>63</v>
      </c>
      <c r="AG956" s="14" t="s">
        <v>774</v>
      </c>
      <c r="AH956" s="15" t="s">
        <v>9220</v>
      </c>
      <c r="AI956" s="15" t="s">
        <v>9199</v>
      </c>
      <c r="AJ956" s="15" t="s">
        <v>9143</v>
      </c>
      <c r="AK956" s="15" t="s">
        <v>9221</v>
      </c>
      <c r="AL956" s="15" t="s">
        <v>9199</v>
      </c>
      <c r="AM956" s="16" t="s">
        <v>9221</v>
      </c>
      <c r="AN956" s="16" t="s">
        <v>9238</v>
      </c>
    </row>
    <row r="957" spans="1:40" x14ac:dyDescent="0.25">
      <c r="A957" s="4" t="s">
        <v>3291</v>
      </c>
      <c r="B957" s="4">
        <v>12230108471</v>
      </c>
      <c r="C957" s="4" t="s">
        <v>39</v>
      </c>
      <c r="D957" s="4" t="s">
        <v>3286</v>
      </c>
      <c r="E957" s="4" t="s">
        <v>3287</v>
      </c>
      <c r="F957" s="10">
        <v>45446</v>
      </c>
      <c r="G957" s="11">
        <v>0.53125</v>
      </c>
      <c r="H957" s="4" t="s">
        <v>1939</v>
      </c>
      <c r="I957" s="4" t="s">
        <v>3288</v>
      </c>
      <c r="J957" s="4" t="s">
        <v>615</v>
      </c>
      <c r="K957" s="4" t="s">
        <v>3292</v>
      </c>
      <c r="L957" s="4" t="s">
        <v>3293</v>
      </c>
      <c r="M957" s="4" t="s">
        <v>28</v>
      </c>
      <c r="N957" s="4" t="s">
        <v>183</v>
      </c>
      <c r="O957" s="4" t="s">
        <v>174</v>
      </c>
      <c r="P957" s="4" t="s">
        <v>48</v>
      </c>
      <c r="Q957" s="4">
        <v>12</v>
      </c>
      <c r="R957" s="4" t="b">
        <v>0</v>
      </c>
      <c r="S957" s="4" t="s">
        <v>61</v>
      </c>
      <c r="T957" s="4" t="s">
        <v>89</v>
      </c>
      <c r="U957" s="4" t="s">
        <v>148</v>
      </c>
      <c r="V957" s="4" t="s">
        <v>52</v>
      </c>
      <c r="W957" s="4" t="s">
        <v>374</v>
      </c>
      <c r="X957" s="4" t="s">
        <v>54</v>
      </c>
      <c r="Y957" s="4"/>
      <c r="Z957" s="12" t="s">
        <v>48</v>
      </c>
      <c r="AA957" s="13" t="s">
        <v>9159</v>
      </c>
      <c r="AB957" s="13" t="s">
        <v>9160</v>
      </c>
      <c r="AC957" s="14" t="s">
        <v>9148</v>
      </c>
      <c r="AD957" s="14" t="s">
        <v>28</v>
      </c>
      <c r="AE957" s="14" t="s">
        <v>183</v>
      </c>
      <c r="AF957" s="14" t="s">
        <v>52</v>
      </c>
      <c r="AG957" s="14" t="s">
        <v>54</v>
      </c>
      <c r="AH957" s="15" t="s">
        <v>9194</v>
      </c>
      <c r="AI957" s="15" t="s">
        <v>9175</v>
      </c>
      <c r="AJ957" s="15" t="s">
        <v>9143</v>
      </c>
      <c r="AK957" s="15" t="s">
        <v>9194</v>
      </c>
      <c r="AL957" s="15" t="s">
        <v>9209</v>
      </c>
      <c r="AM957" s="16" t="s">
        <v>9194</v>
      </c>
      <c r="AN957" s="16" t="s">
        <v>9210</v>
      </c>
    </row>
    <row r="958" spans="1:40" x14ac:dyDescent="0.25">
      <c r="A958" s="4" t="s">
        <v>2438</v>
      </c>
      <c r="B958" s="4"/>
      <c r="C958" s="4" t="s">
        <v>39</v>
      </c>
      <c r="D958" s="4" t="s">
        <v>2320</v>
      </c>
      <c r="E958" s="4" t="s">
        <v>2321</v>
      </c>
      <c r="F958" s="10">
        <v>45446</v>
      </c>
      <c r="G958" s="11">
        <v>0.4513888888888889</v>
      </c>
      <c r="H958" s="4" t="s">
        <v>1939</v>
      </c>
      <c r="I958" s="4" t="s">
        <v>2393</v>
      </c>
      <c r="J958" s="4" t="s">
        <v>2394</v>
      </c>
      <c r="K958" s="4" t="s">
        <v>2439</v>
      </c>
      <c r="L958" s="4" t="s">
        <v>2440</v>
      </c>
      <c r="M958" s="4" t="s">
        <v>46</v>
      </c>
      <c r="N958" s="4"/>
      <c r="O958" s="4" t="s">
        <v>47</v>
      </c>
      <c r="P958" s="4" t="s">
        <v>48</v>
      </c>
      <c r="Q958" s="4">
        <v>0</v>
      </c>
      <c r="R958" s="4" t="b">
        <v>0</v>
      </c>
      <c r="S958" s="4" t="s">
        <v>49</v>
      </c>
      <c r="T958" s="4" t="s">
        <v>50</v>
      </c>
      <c r="U958" s="4" t="s">
        <v>71</v>
      </c>
      <c r="V958" s="4" t="s">
        <v>63</v>
      </c>
      <c r="W958" s="4" t="s">
        <v>312</v>
      </c>
      <c r="X958" s="4" t="s">
        <v>54</v>
      </c>
      <c r="Y958" s="4"/>
      <c r="Z958" s="12">
        <v>0</v>
      </c>
      <c r="AA958" s="13" t="s">
        <v>9159</v>
      </c>
      <c r="AB958" s="13" t="s">
        <v>9160</v>
      </c>
      <c r="AC958" s="14" t="s">
        <v>9139</v>
      </c>
      <c r="AD958" s="14" t="s">
        <v>9140</v>
      </c>
      <c r="AE958" s="14" t="s">
        <v>9140</v>
      </c>
      <c r="AF958" s="14" t="s">
        <v>63</v>
      </c>
      <c r="AG958" s="14" t="s">
        <v>54</v>
      </c>
      <c r="AH958" s="15" t="s">
        <v>9194</v>
      </c>
      <c r="AI958" s="15" t="s">
        <v>9175</v>
      </c>
      <c r="AJ958" s="15" t="s">
        <v>9143</v>
      </c>
      <c r="AK958" s="15" t="s">
        <v>9194</v>
      </c>
      <c r="AL958" s="15" t="s">
        <v>9195</v>
      </c>
      <c r="AM958" s="16" t="s">
        <v>9194</v>
      </c>
      <c r="AN958" s="16" t="s">
        <v>9196</v>
      </c>
    </row>
    <row r="959" spans="1:40" x14ac:dyDescent="0.25">
      <c r="A959" s="4" t="s">
        <v>1137</v>
      </c>
      <c r="B959" s="4"/>
      <c r="C959" s="4" t="s">
        <v>39</v>
      </c>
      <c r="D959" s="4" t="s">
        <v>1138</v>
      </c>
      <c r="E959" s="4" t="s">
        <v>1139</v>
      </c>
      <c r="F959" s="10">
        <v>45446</v>
      </c>
      <c r="G959" s="11">
        <v>0.49652777777777779</v>
      </c>
      <c r="H959" s="4" t="s">
        <v>463</v>
      </c>
      <c r="I959" s="4">
        <v>2900</v>
      </c>
      <c r="J959" s="4" t="s">
        <v>1128</v>
      </c>
      <c r="K959" s="4" t="s">
        <v>1140</v>
      </c>
      <c r="L959" s="4" t="s">
        <v>1141</v>
      </c>
      <c r="M959" s="4" t="s">
        <v>46</v>
      </c>
      <c r="N959" s="4"/>
      <c r="O959" s="4" t="s">
        <v>47</v>
      </c>
      <c r="P959" s="4" t="s">
        <v>48</v>
      </c>
      <c r="Q959" s="4">
        <v>0</v>
      </c>
      <c r="R959" s="4" t="b">
        <v>0</v>
      </c>
      <c r="S959" s="4" t="s">
        <v>61</v>
      </c>
      <c r="T959" s="4" t="s">
        <v>89</v>
      </c>
      <c r="U959" s="4" t="s">
        <v>51</v>
      </c>
      <c r="V959" s="4" t="s">
        <v>123</v>
      </c>
      <c r="W959" s="4" t="s">
        <v>124</v>
      </c>
      <c r="X959" s="4" t="s">
        <v>54</v>
      </c>
      <c r="Y959" s="4"/>
      <c r="Z959" s="12">
        <v>0</v>
      </c>
      <c r="AA959" s="13" t="s">
        <v>9159</v>
      </c>
      <c r="AB959" s="13" t="s">
        <v>9160</v>
      </c>
      <c r="AC959" s="14" t="s">
        <v>9148</v>
      </c>
      <c r="AD959" s="14" t="s">
        <v>9140</v>
      </c>
      <c r="AE959" s="14" t="s">
        <v>9140</v>
      </c>
      <c r="AF959" s="14" t="s">
        <v>123</v>
      </c>
      <c r="AG959" s="14" t="s">
        <v>54</v>
      </c>
      <c r="AH959" s="15" t="s">
        <v>9141</v>
      </c>
      <c r="AI959" s="15" t="s">
        <v>9175</v>
      </c>
      <c r="AJ959" s="15" t="s">
        <v>9183</v>
      </c>
      <c r="AK959" s="15" t="s">
        <v>9184</v>
      </c>
      <c r="AL959" s="15" t="s">
        <v>9185</v>
      </c>
      <c r="AM959" s="16" t="s">
        <v>9186</v>
      </c>
      <c r="AN959" s="16" t="s">
        <v>9186</v>
      </c>
    </row>
    <row r="960" spans="1:40" x14ac:dyDescent="0.25">
      <c r="A960" s="4" t="s">
        <v>4378</v>
      </c>
      <c r="B960" s="4">
        <v>12240069665</v>
      </c>
      <c r="C960" s="4" t="s">
        <v>39</v>
      </c>
      <c r="D960" s="4" t="s">
        <v>4379</v>
      </c>
      <c r="E960" s="4" t="s">
        <v>4380</v>
      </c>
      <c r="F960" s="10">
        <v>45446</v>
      </c>
      <c r="G960" s="11">
        <v>0.38194444444444442</v>
      </c>
      <c r="H960" s="4" t="s">
        <v>4019</v>
      </c>
      <c r="I960" s="4" t="s">
        <v>4304</v>
      </c>
      <c r="J960" s="4" t="s">
        <v>1941</v>
      </c>
      <c r="K960" s="4" t="s">
        <v>4381</v>
      </c>
      <c r="L960" s="4" t="s">
        <v>4382</v>
      </c>
      <c r="M960" s="4" t="s">
        <v>28</v>
      </c>
      <c r="N960" s="4" t="s">
        <v>183</v>
      </c>
      <c r="O960" s="4" t="s">
        <v>191</v>
      </c>
      <c r="P960" s="4" t="s">
        <v>60</v>
      </c>
      <c r="Q960" s="4">
        <v>4</v>
      </c>
      <c r="R960" s="4" t="b">
        <v>0</v>
      </c>
      <c r="S960" s="4" t="s">
        <v>184</v>
      </c>
      <c r="T960" s="4" t="s">
        <v>89</v>
      </c>
      <c r="U960" s="4" t="s">
        <v>148</v>
      </c>
      <c r="V960" s="4" t="s">
        <v>52</v>
      </c>
      <c r="W960" s="4" t="s">
        <v>255</v>
      </c>
      <c r="X960" s="4" t="s">
        <v>54</v>
      </c>
      <c r="Y960" s="4"/>
      <c r="Z960" s="12" t="s">
        <v>60</v>
      </c>
      <c r="AA960" s="13" t="s">
        <v>9159</v>
      </c>
      <c r="AB960" s="13" t="s">
        <v>9160</v>
      </c>
      <c r="AC960" s="14" t="s">
        <v>9166</v>
      </c>
      <c r="AD960" s="14" t="s">
        <v>28</v>
      </c>
      <c r="AE960" s="14" t="s">
        <v>183</v>
      </c>
      <c r="AF960" s="14" t="s">
        <v>52</v>
      </c>
      <c r="AG960" s="14" t="s">
        <v>54</v>
      </c>
      <c r="AH960" s="15" t="s">
        <v>9220</v>
      </c>
      <c r="AI960" s="15" t="s">
        <v>9175</v>
      </c>
      <c r="AJ960" s="15" t="s">
        <v>9143</v>
      </c>
      <c r="AK960" s="15" t="s">
        <v>9221</v>
      </c>
      <c r="AL960" s="15" t="s">
        <v>9222</v>
      </c>
      <c r="AM960" s="16" t="s">
        <v>9221</v>
      </c>
      <c r="AN960" s="16" t="s">
        <v>9223</v>
      </c>
    </row>
    <row r="961" spans="1:40" x14ac:dyDescent="0.25">
      <c r="A961" s="4" t="s">
        <v>4383</v>
      </c>
      <c r="B961" s="4"/>
      <c r="C961" s="4" t="s">
        <v>39</v>
      </c>
      <c r="D961" s="4" t="s">
        <v>4384</v>
      </c>
      <c r="E961" s="4" t="s">
        <v>4385</v>
      </c>
      <c r="F961" s="10">
        <v>45446</v>
      </c>
      <c r="G961" s="11">
        <v>0.47916666666666669</v>
      </c>
      <c r="H961" s="4" t="s">
        <v>4019</v>
      </c>
      <c r="I961" s="4" t="s">
        <v>4304</v>
      </c>
      <c r="J961" s="4" t="s">
        <v>1941</v>
      </c>
      <c r="K961" s="4" t="s">
        <v>4381</v>
      </c>
      <c r="L961" s="4" t="s">
        <v>4386</v>
      </c>
      <c r="M961" s="4" t="s">
        <v>46</v>
      </c>
      <c r="N961" s="4"/>
      <c r="O961" s="4" t="s">
        <v>47</v>
      </c>
      <c r="P961" s="4" t="s">
        <v>48</v>
      </c>
      <c r="Q961" s="4">
        <v>0</v>
      </c>
      <c r="R961" s="4" t="b">
        <v>0</v>
      </c>
      <c r="S961" s="4" t="s">
        <v>49</v>
      </c>
      <c r="T961" s="4" t="s">
        <v>89</v>
      </c>
      <c r="U961" s="4" t="s">
        <v>148</v>
      </c>
      <c r="V961" s="4" t="s">
        <v>52</v>
      </c>
      <c r="W961" s="4" t="s">
        <v>255</v>
      </c>
      <c r="X961" s="4" t="s">
        <v>98</v>
      </c>
      <c r="Y961" s="4"/>
      <c r="Z961" s="12">
        <v>0</v>
      </c>
      <c r="AA961" s="13" t="s">
        <v>9159</v>
      </c>
      <c r="AB961" s="13" t="s">
        <v>9160</v>
      </c>
      <c r="AC961" s="14" t="s">
        <v>9139</v>
      </c>
      <c r="AD961" s="14" t="s">
        <v>9140</v>
      </c>
      <c r="AE961" s="14" t="s">
        <v>9140</v>
      </c>
      <c r="AF961" s="14" t="s">
        <v>52</v>
      </c>
      <c r="AG961" s="14" t="s">
        <v>98</v>
      </c>
      <c r="AH961" s="15" t="s">
        <v>9220</v>
      </c>
      <c r="AI961" s="15" t="s">
        <v>9175</v>
      </c>
      <c r="AJ961" s="15" t="s">
        <v>9143</v>
      </c>
      <c r="AK961" s="15" t="s">
        <v>9221</v>
      </c>
      <c r="AL961" s="15" t="s">
        <v>9222</v>
      </c>
      <c r="AM961" s="16" t="s">
        <v>9221</v>
      </c>
      <c r="AN961" s="16" t="s">
        <v>9223</v>
      </c>
    </row>
    <row r="962" spans="1:40" x14ac:dyDescent="0.25">
      <c r="A962" s="4" t="s">
        <v>4292</v>
      </c>
      <c r="B962" s="4"/>
      <c r="C962" s="4" t="s">
        <v>39</v>
      </c>
      <c r="D962" s="4" t="s">
        <v>4293</v>
      </c>
      <c r="E962" s="4" t="s">
        <v>4294</v>
      </c>
      <c r="F962" s="10">
        <v>45446</v>
      </c>
      <c r="G962" s="11">
        <v>0.53125</v>
      </c>
      <c r="H962" s="4" t="s">
        <v>4019</v>
      </c>
      <c r="I962" s="4" t="s">
        <v>4285</v>
      </c>
      <c r="J962" s="4" t="s">
        <v>513</v>
      </c>
      <c r="K962" s="4" t="s">
        <v>2442</v>
      </c>
      <c r="L962" s="4" t="s">
        <v>4295</v>
      </c>
      <c r="M962" s="4" t="s">
        <v>46</v>
      </c>
      <c r="N962" s="4"/>
      <c r="O962" s="4" t="s">
        <v>47</v>
      </c>
      <c r="P962" s="4" t="s">
        <v>48</v>
      </c>
      <c r="Q962" s="4">
        <v>0</v>
      </c>
      <c r="R962" s="4" t="b">
        <v>0</v>
      </c>
      <c r="S962" s="4" t="s">
        <v>114</v>
      </c>
      <c r="T962" s="4" t="s">
        <v>4296</v>
      </c>
      <c r="U962" s="4" t="s">
        <v>90</v>
      </c>
      <c r="V962" s="4" t="s">
        <v>63</v>
      </c>
      <c r="W962" s="4" t="s">
        <v>108</v>
      </c>
      <c r="X962" s="4" t="s">
        <v>54</v>
      </c>
      <c r="Y962" s="4"/>
      <c r="Z962" s="12">
        <v>0</v>
      </c>
      <c r="AA962" s="13" t="s">
        <v>9159</v>
      </c>
      <c r="AB962" s="13" t="s">
        <v>9160</v>
      </c>
      <c r="AC962" s="14" t="s">
        <v>9157</v>
      </c>
      <c r="AD962" s="14" t="s">
        <v>9140</v>
      </c>
      <c r="AE962" s="14" t="s">
        <v>9140</v>
      </c>
      <c r="AF962" s="14" t="s">
        <v>63</v>
      </c>
      <c r="AG962" s="14" t="s">
        <v>54</v>
      </c>
      <c r="AH962" s="15" t="s">
        <v>9220</v>
      </c>
      <c r="AI962" s="15" t="s">
        <v>9175</v>
      </c>
      <c r="AJ962" s="15" t="s">
        <v>9143</v>
      </c>
      <c r="AK962" s="15" t="s">
        <v>9221</v>
      </c>
      <c r="AL962" s="15" t="s">
        <v>9224</v>
      </c>
      <c r="AM962" s="16" t="s">
        <v>9221</v>
      </c>
      <c r="AN962" s="16" t="s">
        <v>9225</v>
      </c>
    </row>
    <row r="963" spans="1:40" x14ac:dyDescent="0.25">
      <c r="A963" s="4" t="s">
        <v>5373</v>
      </c>
      <c r="B963" s="4"/>
      <c r="C963" s="4" t="s">
        <v>39</v>
      </c>
      <c r="D963" s="4" t="s">
        <v>5369</v>
      </c>
      <c r="E963" s="4" t="s">
        <v>5370</v>
      </c>
      <c r="F963" s="10">
        <v>45446</v>
      </c>
      <c r="G963" s="11">
        <v>0.47916666666666669</v>
      </c>
      <c r="H963" s="4" t="s">
        <v>4910</v>
      </c>
      <c r="I963" s="4" t="s">
        <v>5360</v>
      </c>
      <c r="J963" s="4" t="s">
        <v>2062</v>
      </c>
      <c r="K963" s="4" t="s">
        <v>5366</v>
      </c>
      <c r="L963" s="4" t="s">
        <v>5374</v>
      </c>
      <c r="M963" s="4" t="s">
        <v>46</v>
      </c>
      <c r="N963" s="4"/>
      <c r="O963" s="4" t="s">
        <v>47</v>
      </c>
      <c r="P963" s="4" t="s">
        <v>48</v>
      </c>
      <c r="Q963" s="4">
        <v>0</v>
      </c>
      <c r="R963" s="4" t="b">
        <v>0</v>
      </c>
      <c r="S963" s="4" t="s">
        <v>61</v>
      </c>
      <c r="T963" s="4" t="s">
        <v>583</v>
      </c>
      <c r="U963" s="4" t="s">
        <v>148</v>
      </c>
      <c r="V963" s="4" t="s">
        <v>52</v>
      </c>
      <c r="W963" s="4" t="s">
        <v>53</v>
      </c>
      <c r="X963" s="4" t="s">
        <v>54</v>
      </c>
      <c r="Y963" s="4"/>
      <c r="Z963" s="12">
        <v>0</v>
      </c>
      <c r="AA963" s="13" t="s">
        <v>9159</v>
      </c>
      <c r="AB963" s="13" t="s">
        <v>9160</v>
      </c>
      <c r="AC963" s="14" t="s">
        <v>9148</v>
      </c>
      <c r="AD963" s="14" t="s">
        <v>9140</v>
      </c>
      <c r="AE963" s="14" t="s">
        <v>9140</v>
      </c>
      <c r="AF963" s="14" t="s">
        <v>52</v>
      </c>
      <c r="AG963" s="14" t="s">
        <v>54</v>
      </c>
      <c r="AH963" s="15" t="s">
        <v>9220</v>
      </c>
      <c r="AI963" s="15" t="s">
        <v>9191</v>
      </c>
      <c r="AJ963" s="15" t="s">
        <v>9143</v>
      </c>
      <c r="AK963" s="15" t="s">
        <v>9221</v>
      </c>
      <c r="AL963" s="15" t="s">
        <v>9234</v>
      </c>
      <c r="AM963" s="16" t="s">
        <v>9221</v>
      </c>
      <c r="AN963" s="16" t="s">
        <v>9235</v>
      </c>
    </row>
    <row r="964" spans="1:40" x14ac:dyDescent="0.25">
      <c r="A964" s="4" t="s">
        <v>7944</v>
      </c>
      <c r="B964" s="4">
        <v>6904569</v>
      </c>
      <c r="C964" s="4" t="s">
        <v>39</v>
      </c>
      <c r="D964" s="4" t="s">
        <v>7945</v>
      </c>
      <c r="E964" s="4" t="s">
        <v>7946</v>
      </c>
      <c r="F964" s="10">
        <v>45445</v>
      </c>
      <c r="G964" s="11">
        <v>0.69305555555555554</v>
      </c>
      <c r="H964" s="4" t="s">
        <v>4516</v>
      </c>
      <c r="I964" s="4" t="s">
        <v>7915</v>
      </c>
      <c r="J964" s="4" t="s">
        <v>7916</v>
      </c>
      <c r="K964" s="4" t="s">
        <v>7947</v>
      </c>
      <c r="L964" s="4" t="s">
        <v>7948</v>
      </c>
      <c r="M964" s="4" t="s">
        <v>28</v>
      </c>
      <c r="N964" s="4" t="s">
        <v>2718</v>
      </c>
      <c r="O964" s="4" t="s">
        <v>47</v>
      </c>
      <c r="P964" s="4" t="s">
        <v>48</v>
      </c>
      <c r="Q964" s="4">
        <v>0</v>
      </c>
      <c r="R964" s="4" t="b">
        <v>0</v>
      </c>
      <c r="S964" s="4" t="s">
        <v>114</v>
      </c>
      <c r="T964" s="4" t="s">
        <v>583</v>
      </c>
      <c r="U964" s="4" t="s">
        <v>51</v>
      </c>
      <c r="V964" s="4" t="s">
        <v>52</v>
      </c>
      <c r="W964" s="4" t="s">
        <v>255</v>
      </c>
      <c r="X964" s="4" t="s">
        <v>54</v>
      </c>
      <c r="Y964" s="4"/>
      <c r="Z964" s="12" t="s">
        <v>48</v>
      </c>
      <c r="AA964" s="13" t="s">
        <v>9159</v>
      </c>
      <c r="AB964" s="13" t="s">
        <v>9160</v>
      </c>
      <c r="AC964" s="14" t="s">
        <v>9157</v>
      </c>
      <c r="AD964" s="14" t="s">
        <v>28</v>
      </c>
      <c r="AE964" s="14" t="s">
        <v>9140</v>
      </c>
      <c r="AF964" s="14" t="s">
        <v>52</v>
      </c>
      <c r="AG964" s="14" t="s">
        <v>54</v>
      </c>
      <c r="AH964" s="15" t="s">
        <v>9220</v>
      </c>
      <c r="AI964" s="15" t="s">
        <v>9188</v>
      </c>
      <c r="AJ964" s="15" t="s">
        <v>9143</v>
      </c>
      <c r="AK964" s="15" t="s">
        <v>9221</v>
      </c>
      <c r="AL964" s="15" t="s">
        <v>9230</v>
      </c>
      <c r="AM964" s="16" t="s">
        <v>9221</v>
      </c>
      <c r="AN964" s="16" t="s">
        <v>9231</v>
      </c>
    </row>
    <row r="965" spans="1:40" x14ac:dyDescent="0.25">
      <c r="A965" s="4" t="s">
        <v>3616</v>
      </c>
      <c r="B965" s="4"/>
      <c r="C965" s="4" t="s">
        <v>39</v>
      </c>
      <c r="D965" s="4" t="s">
        <v>3617</v>
      </c>
      <c r="E965" s="4" t="s">
        <v>3618</v>
      </c>
      <c r="F965" s="10">
        <v>45445</v>
      </c>
      <c r="G965" s="11">
        <v>0.59375</v>
      </c>
      <c r="H965" s="4" t="s">
        <v>2017</v>
      </c>
      <c r="I965" s="4" t="s">
        <v>3607</v>
      </c>
      <c r="J965" s="4" t="s">
        <v>3608</v>
      </c>
      <c r="K965" s="4" t="s">
        <v>3619</v>
      </c>
      <c r="L965" s="4" t="s">
        <v>3620</v>
      </c>
      <c r="M965" s="4" t="s">
        <v>46</v>
      </c>
      <c r="N965" s="4"/>
      <c r="O965" s="4" t="s">
        <v>47</v>
      </c>
      <c r="P965" s="4" t="s">
        <v>48</v>
      </c>
      <c r="Q965" s="4">
        <v>0</v>
      </c>
      <c r="R965" s="4" t="b">
        <v>0</v>
      </c>
      <c r="S965" s="4" t="s">
        <v>49</v>
      </c>
      <c r="T965" s="4" t="s">
        <v>70</v>
      </c>
      <c r="U965" s="4" t="s">
        <v>71</v>
      </c>
      <c r="V965" s="4" t="s">
        <v>63</v>
      </c>
      <c r="W965" s="4" t="s">
        <v>198</v>
      </c>
      <c r="X965" s="4" t="s">
        <v>54</v>
      </c>
      <c r="Y965" s="4" t="s">
        <v>211</v>
      </c>
      <c r="Z965" s="12">
        <v>0</v>
      </c>
      <c r="AA965" s="13" t="s">
        <v>9159</v>
      </c>
      <c r="AB965" s="13" t="s">
        <v>9160</v>
      </c>
      <c r="AC965" s="14" t="s">
        <v>9139</v>
      </c>
      <c r="AD965" s="14" t="s">
        <v>9140</v>
      </c>
      <c r="AE965" s="14" t="s">
        <v>9140</v>
      </c>
      <c r="AF965" s="14" t="s">
        <v>63</v>
      </c>
      <c r="AG965" s="14" t="s">
        <v>54</v>
      </c>
      <c r="AH965" s="15" t="s">
        <v>9194</v>
      </c>
      <c r="AI965" s="15" t="s">
        <v>9199</v>
      </c>
      <c r="AJ965" s="15" t="s">
        <v>9143</v>
      </c>
      <c r="AK965" s="15" t="s">
        <v>9194</v>
      </c>
      <c r="AL965" s="15" t="s">
        <v>9199</v>
      </c>
      <c r="AM965" s="16" t="s">
        <v>9194</v>
      </c>
      <c r="AN965" s="16" t="s">
        <v>9200</v>
      </c>
    </row>
    <row r="966" spans="1:40" x14ac:dyDescent="0.25">
      <c r="A966" s="4" t="s">
        <v>1344</v>
      </c>
      <c r="B966" s="4"/>
      <c r="C966" s="4" t="s">
        <v>39</v>
      </c>
      <c r="D966" s="4" t="s">
        <v>1334</v>
      </c>
      <c r="E966" s="4" t="s">
        <v>1335</v>
      </c>
      <c r="F966" s="10">
        <v>45444</v>
      </c>
      <c r="G966" s="11">
        <v>0.52013888888888893</v>
      </c>
      <c r="H966" s="4" t="s">
        <v>1155</v>
      </c>
      <c r="I966" s="4">
        <v>4045</v>
      </c>
      <c r="J966" s="4" t="s">
        <v>1329</v>
      </c>
      <c r="K966" s="4" t="s">
        <v>1345</v>
      </c>
      <c r="L966" s="4" t="s">
        <v>1346</v>
      </c>
      <c r="M966" s="4" t="s">
        <v>46</v>
      </c>
      <c r="N966" s="4"/>
      <c r="O966" s="4" t="s">
        <v>47</v>
      </c>
      <c r="P966" s="4" t="s">
        <v>48</v>
      </c>
      <c r="Q966" s="4">
        <v>0</v>
      </c>
      <c r="R966" s="4" t="b">
        <v>0</v>
      </c>
      <c r="S966" s="4" t="s">
        <v>49</v>
      </c>
      <c r="T966" s="4" t="s">
        <v>89</v>
      </c>
      <c r="U966" s="4" t="s">
        <v>175</v>
      </c>
      <c r="V966" s="4" t="s">
        <v>52</v>
      </c>
      <c r="W966" s="4" t="s">
        <v>53</v>
      </c>
      <c r="X966" s="4" t="s">
        <v>54</v>
      </c>
      <c r="Y966" s="4"/>
      <c r="Z966" s="12">
        <v>0</v>
      </c>
      <c r="AA966" s="13" t="s">
        <v>9159</v>
      </c>
      <c r="AB966" s="13" t="s">
        <v>9160</v>
      </c>
      <c r="AC966" s="14" t="s">
        <v>9139</v>
      </c>
      <c r="AD966" s="14" t="s">
        <v>9140</v>
      </c>
      <c r="AE966" s="14" t="s">
        <v>9140</v>
      </c>
      <c r="AF966" s="14" t="s">
        <v>52</v>
      </c>
      <c r="AG966" s="14" t="s">
        <v>54</v>
      </c>
      <c r="AH966" s="15" t="s">
        <v>9141</v>
      </c>
      <c r="AI966" s="15" t="s">
        <v>9187</v>
      </c>
      <c r="AJ966" s="15" t="s">
        <v>9143</v>
      </c>
      <c r="AK966" s="15" t="s">
        <v>9141</v>
      </c>
      <c r="AL966" s="15" t="s">
        <v>9144</v>
      </c>
      <c r="AM966" s="16" t="s">
        <v>9141</v>
      </c>
      <c r="AN966" s="16" t="s">
        <v>9145</v>
      </c>
    </row>
    <row r="967" spans="1:40" x14ac:dyDescent="0.25">
      <c r="A967" s="4" t="s">
        <v>1859</v>
      </c>
      <c r="B967" s="4" t="s">
        <v>1860</v>
      </c>
      <c r="C967" s="4" t="s">
        <v>39</v>
      </c>
      <c r="D967" s="4" t="s">
        <v>1861</v>
      </c>
      <c r="E967" s="4" t="s">
        <v>1862</v>
      </c>
      <c r="F967" s="10">
        <v>45444</v>
      </c>
      <c r="G967" s="11">
        <v>0.61527777777777781</v>
      </c>
      <c r="H967" s="4" t="s">
        <v>1654</v>
      </c>
      <c r="I967" s="4">
        <v>9097</v>
      </c>
      <c r="J967" s="4" t="s">
        <v>1844</v>
      </c>
      <c r="K967" s="4" t="s">
        <v>1863</v>
      </c>
      <c r="L967" s="4" t="s">
        <v>1864</v>
      </c>
      <c r="M967" s="4" t="s">
        <v>28</v>
      </c>
      <c r="N967" s="4" t="s">
        <v>183</v>
      </c>
      <c r="O967" s="4" t="s">
        <v>174</v>
      </c>
      <c r="P967" s="4" t="s">
        <v>48</v>
      </c>
      <c r="Q967" s="4">
        <v>0</v>
      </c>
      <c r="R967" s="4" t="b">
        <v>0</v>
      </c>
      <c r="S967" s="4" t="s">
        <v>114</v>
      </c>
      <c r="T967" s="4" t="s">
        <v>50</v>
      </c>
      <c r="U967" s="4" t="s">
        <v>71</v>
      </c>
      <c r="V967" s="4" t="s">
        <v>123</v>
      </c>
      <c r="W967" s="4" t="s">
        <v>192</v>
      </c>
      <c r="X967" s="4" t="s">
        <v>54</v>
      </c>
      <c r="Y967" s="4" t="s">
        <v>302</v>
      </c>
      <c r="Z967" s="12" t="s">
        <v>48</v>
      </c>
      <c r="AA967" s="13" t="s">
        <v>9159</v>
      </c>
      <c r="AB967" s="13" t="s">
        <v>9160</v>
      </c>
      <c r="AC967" s="14" t="s">
        <v>9157</v>
      </c>
      <c r="AD967" s="14" t="s">
        <v>28</v>
      </c>
      <c r="AE967" s="14" t="s">
        <v>183</v>
      </c>
      <c r="AF967" s="14" t="s">
        <v>123</v>
      </c>
      <c r="AG967" s="14" t="s">
        <v>54</v>
      </c>
      <c r="AH967" s="15" t="s">
        <v>9141</v>
      </c>
      <c r="AI967" s="15" t="s">
        <v>9191</v>
      </c>
      <c r="AJ967" s="15" t="s">
        <v>9143</v>
      </c>
      <c r="AK967" s="15" t="s">
        <v>9141</v>
      </c>
      <c r="AL967" s="15" t="s">
        <v>9191</v>
      </c>
      <c r="AM967" s="16" t="s">
        <v>9141</v>
      </c>
      <c r="AN967" s="16" t="s">
        <v>9192</v>
      </c>
    </row>
    <row r="968" spans="1:40" x14ac:dyDescent="0.25">
      <c r="A968" s="4" t="s">
        <v>8190</v>
      </c>
      <c r="B968" s="4"/>
      <c r="C968" s="4" t="s">
        <v>39</v>
      </c>
      <c r="D968" s="4" t="s">
        <v>8191</v>
      </c>
      <c r="E968" s="4" t="s">
        <v>8192</v>
      </c>
      <c r="F968" s="10">
        <v>45444</v>
      </c>
      <c r="G968" s="11">
        <v>0.5625</v>
      </c>
      <c r="H968" s="4" t="s">
        <v>4516</v>
      </c>
      <c r="I968" s="4" t="s">
        <v>8179</v>
      </c>
      <c r="J968" s="4" t="s">
        <v>8180</v>
      </c>
      <c r="K968" s="4" t="s">
        <v>1868</v>
      </c>
      <c r="L968" s="4" t="s">
        <v>8193</v>
      </c>
      <c r="M968" s="4" t="s">
        <v>46</v>
      </c>
      <c r="N968" s="4"/>
      <c r="O968" s="4" t="s">
        <v>47</v>
      </c>
      <c r="P968" s="4" t="s">
        <v>48</v>
      </c>
      <c r="Q968" s="4">
        <v>0</v>
      </c>
      <c r="R968" s="4" t="b">
        <v>0</v>
      </c>
      <c r="S968" s="4" t="s">
        <v>61</v>
      </c>
      <c r="T968" s="4" t="s">
        <v>583</v>
      </c>
      <c r="U968" s="4" t="s">
        <v>71</v>
      </c>
      <c r="V968" s="4" t="s">
        <v>63</v>
      </c>
      <c r="W968" s="4" t="s">
        <v>3952</v>
      </c>
      <c r="X968" s="4" t="s">
        <v>3114</v>
      </c>
      <c r="Y968" s="4"/>
      <c r="Z968" s="12">
        <v>0</v>
      </c>
      <c r="AA968" s="13" t="s">
        <v>9159</v>
      </c>
      <c r="AB968" s="13" t="s">
        <v>9160</v>
      </c>
      <c r="AC968" s="14" t="s">
        <v>9148</v>
      </c>
      <c r="AD968" s="14" t="s">
        <v>9140</v>
      </c>
      <c r="AE968" s="14" t="s">
        <v>9140</v>
      </c>
      <c r="AF968" s="14" t="s">
        <v>63</v>
      </c>
      <c r="AG968" s="14" t="s">
        <v>3114</v>
      </c>
      <c r="AH968" s="15" t="s">
        <v>9220</v>
      </c>
      <c r="AI968" s="15" t="s">
        <v>9188</v>
      </c>
      <c r="AJ968" s="15" t="s">
        <v>9143</v>
      </c>
      <c r="AK968" s="15" t="s">
        <v>9221</v>
      </c>
      <c r="AL968" s="15" t="s">
        <v>9232</v>
      </c>
      <c r="AM968" s="16" t="s">
        <v>9221</v>
      </c>
      <c r="AN968" s="16" t="s">
        <v>9233</v>
      </c>
    </row>
    <row r="969" spans="1:40" x14ac:dyDescent="0.25">
      <c r="A969" s="4" t="s">
        <v>5646</v>
      </c>
      <c r="B969" s="4"/>
      <c r="C969" s="4" t="s">
        <v>39</v>
      </c>
      <c r="D969" s="4" t="s">
        <v>5647</v>
      </c>
      <c r="E969" s="4" t="s">
        <v>5648</v>
      </c>
      <c r="F969" s="10">
        <v>45444</v>
      </c>
      <c r="G969" s="11">
        <v>0.6875</v>
      </c>
      <c r="H969" s="4" t="s">
        <v>4516</v>
      </c>
      <c r="I969" s="4" t="s">
        <v>5633</v>
      </c>
      <c r="J969" s="4" t="s">
        <v>2661</v>
      </c>
      <c r="K969" s="4" t="s">
        <v>3227</v>
      </c>
      <c r="L969" s="4" t="s">
        <v>5649</v>
      </c>
      <c r="M969" s="4" t="s">
        <v>46</v>
      </c>
      <c r="N969" s="4"/>
      <c r="O969" s="4" t="s">
        <v>47</v>
      </c>
      <c r="P969" s="4" t="s">
        <v>48</v>
      </c>
      <c r="Q969" s="4">
        <v>0</v>
      </c>
      <c r="R969" s="4" t="b">
        <v>0</v>
      </c>
      <c r="S969" s="4" t="s">
        <v>61</v>
      </c>
      <c r="T969" s="4" t="s">
        <v>583</v>
      </c>
      <c r="U969" s="4" t="s">
        <v>107</v>
      </c>
      <c r="V969" s="4" t="s">
        <v>63</v>
      </c>
      <c r="W969" s="4" t="s">
        <v>108</v>
      </c>
      <c r="X969" s="4" t="s">
        <v>54</v>
      </c>
      <c r="Y969" s="4"/>
      <c r="Z969" s="12">
        <v>0</v>
      </c>
      <c r="AA969" s="13" t="s">
        <v>9159</v>
      </c>
      <c r="AB969" s="13" t="s">
        <v>9160</v>
      </c>
      <c r="AC969" s="14" t="s">
        <v>9148</v>
      </c>
      <c r="AD969" s="14" t="s">
        <v>9140</v>
      </c>
      <c r="AE969" s="14" t="s">
        <v>9140</v>
      </c>
      <c r="AF969" s="14" t="s">
        <v>63</v>
      </c>
      <c r="AG969" s="14" t="s">
        <v>54</v>
      </c>
      <c r="AH969" s="15" t="s">
        <v>9220</v>
      </c>
      <c r="AI969" s="15" t="s">
        <v>9188</v>
      </c>
      <c r="AJ969" s="15" t="s">
        <v>9143</v>
      </c>
      <c r="AK969" s="15" t="s">
        <v>9221</v>
      </c>
      <c r="AL969" s="15" t="s">
        <v>9232</v>
      </c>
      <c r="AM969" s="16" t="s">
        <v>9221</v>
      </c>
      <c r="AN969" s="16" t="s">
        <v>9233</v>
      </c>
    </row>
    <row r="970" spans="1:40" x14ac:dyDescent="0.25">
      <c r="A970" s="4" t="s">
        <v>5232</v>
      </c>
      <c r="B970" s="4"/>
      <c r="C970" s="4" t="s">
        <v>39</v>
      </c>
      <c r="D970" s="4" t="s">
        <v>5233</v>
      </c>
      <c r="E970" s="4" t="s">
        <v>5234</v>
      </c>
      <c r="F970" s="10">
        <v>45444</v>
      </c>
      <c r="G970" s="11">
        <v>0.51041666666666663</v>
      </c>
      <c r="H970" s="4" t="s">
        <v>4516</v>
      </c>
      <c r="I970" s="4" t="s">
        <v>5215</v>
      </c>
      <c r="J970" s="4" t="s">
        <v>5216</v>
      </c>
      <c r="K970" s="4" t="s">
        <v>5235</v>
      </c>
      <c r="L970" s="4" t="s">
        <v>5236</v>
      </c>
      <c r="M970" s="4" t="s">
        <v>46</v>
      </c>
      <c r="N970" s="4"/>
      <c r="O970" s="4" t="s">
        <v>47</v>
      </c>
      <c r="P970" s="4" t="s">
        <v>48</v>
      </c>
      <c r="Q970" s="4">
        <v>0</v>
      </c>
      <c r="R970" s="4" t="b">
        <v>0</v>
      </c>
      <c r="S970" s="4" t="s">
        <v>61</v>
      </c>
      <c r="T970" s="4" t="s">
        <v>583</v>
      </c>
      <c r="U970" s="4" t="s">
        <v>51</v>
      </c>
      <c r="V970" s="4" t="s">
        <v>52</v>
      </c>
      <c r="W970" s="4" t="s">
        <v>255</v>
      </c>
      <c r="X970" s="4" t="s">
        <v>54</v>
      </c>
      <c r="Y970" s="4"/>
      <c r="Z970" s="12">
        <v>0</v>
      </c>
      <c r="AA970" s="13" t="s">
        <v>9159</v>
      </c>
      <c r="AB970" s="13" t="s">
        <v>9160</v>
      </c>
      <c r="AC970" s="14" t="s">
        <v>9148</v>
      </c>
      <c r="AD970" s="14" t="s">
        <v>9140</v>
      </c>
      <c r="AE970" s="14" t="s">
        <v>9140</v>
      </c>
      <c r="AF970" s="14" t="s">
        <v>52</v>
      </c>
      <c r="AG970" s="14" t="s">
        <v>54</v>
      </c>
      <c r="AH970" s="15" t="s">
        <v>9220</v>
      </c>
      <c r="AI970" s="15" t="s">
        <v>9188</v>
      </c>
      <c r="AJ970" s="15" t="s">
        <v>9143</v>
      </c>
      <c r="AK970" s="15" t="s">
        <v>9221</v>
      </c>
      <c r="AL970" s="15" t="s">
        <v>9232</v>
      </c>
      <c r="AM970" s="16" t="s">
        <v>9221</v>
      </c>
      <c r="AN970" s="16" t="s">
        <v>9233</v>
      </c>
    </row>
    <row r="971" spans="1:40" x14ac:dyDescent="0.25">
      <c r="A971" s="4" t="s">
        <v>8393</v>
      </c>
      <c r="B971" s="4"/>
      <c r="C971" s="4" t="s">
        <v>39</v>
      </c>
      <c r="D971" s="4" t="s">
        <v>8394</v>
      </c>
      <c r="E971" s="4" t="s">
        <v>8395</v>
      </c>
      <c r="F971" s="10">
        <v>45443</v>
      </c>
      <c r="G971" s="11">
        <v>0.5</v>
      </c>
      <c r="H971" s="4" t="s">
        <v>4910</v>
      </c>
      <c r="I971" s="4" t="s">
        <v>8378</v>
      </c>
      <c r="J971" s="4" t="s">
        <v>3188</v>
      </c>
      <c r="K971" s="4" t="s">
        <v>5473</v>
      </c>
      <c r="L971" s="4" t="s">
        <v>8396</v>
      </c>
      <c r="M971" s="4" t="s">
        <v>46</v>
      </c>
      <c r="N971" s="4"/>
      <c r="O971" s="4" t="s">
        <v>47</v>
      </c>
      <c r="P971" s="4" t="s">
        <v>48</v>
      </c>
      <c r="Q971" s="4">
        <v>0</v>
      </c>
      <c r="R971" s="4" t="b">
        <v>0</v>
      </c>
      <c r="S971" s="4" t="s">
        <v>49</v>
      </c>
      <c r="T971" s="4" t="s">
        <v>583</v>
      </c>
      <c r="U971" s="4" t="s">
        <v>140</v>
      </c>
      <c r="V971" s="4" t="s">
        <v>123</v>
      </c>
      <c r="W971" s="4" t="s">
        <v>149</v>
      </c>
      <c r="X971" s="4" t="s">
        <v>54</v>
      </c>
      <c r="Y971" s="4"/>
      <c r="Z971" s="12">
        <v>0</v>
      </c>
      <c r="AA971" s="13" t="s">
        <v>9159</v>
      </c>
      <c r="AB971" s="13" t="s">
        <v>9160</v>
      </c>
      <c r="AC971" s="14" t="s">
        <v>9139</v>
      </c>
      <c r="AD971" s="14" t="s">
        <v>9140</v>
      </c>
      <c r="AE971" s="14" t="s">
        <v>9140</v>
      </c>
      <c r="AF971" s="14" t="s">
        <v>123</v>
      </c>
      <c r="AG971" s="14" t="s">
        <v>54</v>
      </c>
      <c r="AH971" s="15" t="s">
        <v>9220</v>
      </c>
      <c r="AI971" s="15" t="s">
        <v>9191</v>
      </c>
      <c r="AJ971" s="15" t="s">
        <v>9143</v>
      </c>
      <c r="AK971" s="15" t="s">
        <v>9221</v>
      </c>
      <c r="AL971" s="15" t="s">
        <v>9226</v>
      </c>
      <c r="AM971" s="16" t="s">
        <v>9221</v>
      </c>
      <c r="AN971" s="16" t="s">
        <v>9227</v>
      </c>
    </row>
    <row r="972" spans="1:40" x14ac:dyDescent="0.25">
      <c r="A972" s="4" t="s">
        <v>1092</v>
      </c>
      <c r="B972" s="4"/>
      <c r="C972" s="4" t="s">
        <v>39</v>
      </c>
      <c r="D972" s="4" t="s">
        <v>1093</v>
      </c>
      <c r="E972" s="4" t="s">
        <v>1094</v>
      </c>
      <c r="F972" s="10">
        <v>45443</v>
      </c>
      <c r="G972" s="11">
        <v>0.45833333333333331</v>
      </c>
      <c r="H972" s="4" t="s">
        <v>463</v>
      </c>
      <c r="I972" s="4">
        <v>2057</v>
      </c>
      <c r="J972" s="4" t="s">
        <v>1095</v>
      </c>
      <c r="K972" s="4" t="s">
        <v>1096</v>
      </c>
      <c r="L972" s="4" t="s">
        <v>1097</v>
      </c>
      <c r="M972" s="4" t="s">
        <v>46</v>
      </c>
      <c r="N972" s="4"/>
      <c r="O972" s="4" t="s">
        <v>47</v>
      </c>
      <c r="P972" s="4" t="s">
        <v>48</v>
      </c>
      <c r="Q972" s="4">
        <v>0</v>
      </c>
      <c r="R972" s="4" t="b">
        <v>0</v>
      </c>
      <c r="S972" s="4" t="s">
        <v>49</v>
      </c>
      <c r="T972" s="4" t="s">
        <v>50</v>
      </c>
      <c r="U972" s="4" t="s">
        <v>71</v>
      </c>
      <c r="V972" s="4" t="s">
        <v>72</v>
      </c>
      <c r="W972" s="4" t="s">
        <v>73</v>
      </c>
      <c r="X972" s="4" t="s">
        <v>54</v>
      </c>
      <c r="Y972" s="4"/>
      <c r="Z972" s="12">
        <v>0</v>
      </c>
      <c r="AA972" s="13" t="s">
        <v>9159</v>
      </c>
      <c r="AB972" s="13" t="s">
        <v>9160</v>
      </c>
      <c r="AC972" s="14" t="s">
        <v>9139</v>
      </c>
      <c r="AD972" s="14" t="s">
        <v>9140</v>
      </c>
      <c r="AE972" s="14" t="s">
        <v>9140</v>
      </c>
      <c r="AF972" s="14" t="s">
        <v>72</v>
      </c>
      <c r="AG972" s="14" t="s">
        <v>54</v>
      </c>
      <c r="AH972" s="15" t="s">
        <v>9141</v>
      </c>
      <c r="AI972" s="15" t="s">
        <v>9175</v>
      </c>
      <c r="AJ972" s="15" t="s">
        <v>9181</v>
      </c>
      <c r="AK972" s="15" t="s">
        <v>9182</v>
      </c>
      <c r="AL972" s="15" t="s">
        <v>9182</v>
      </c>
      <c r="AM972" s="16" t="s">
        <v>9182</v>
      </c>
      <c r="AN972" s="16" t="s">
        <v>9182</v>
      </c>
    </row>
    <row r="973" spans="1:40" x14ac:dyDescent="0.25">
      <c r="A973" s="4" t="s">
        <v>8397</v>
      </c>
      <c r="B973" s="4"/>
      <c r="C973" s="4" t="s">
        <v>39</v>
      </c>
      <c r="D973" s="4" t="s">
        <v>8376</v>
      </c>
      <c r="E973" s="4" t="s">
        <v>8377</v>
      </c>
      <c r="F973" s="10">
        <v>45442</v>
      </c>
      <c r="G973" s="11">
        <v>0.83333333333333337</v>
      </c>
      <c r="H973" s="4" t="s">
        <v>4910</v>
      </c>
      <c r="I973" s="4" t="s">
        <v>8378</v>
      </c>
      <c r="J973" s="4" t="s">
        <v>3188</v>
      </c>
      <c r="K973" s="4" t="s">
        <v>1391</v>
      </c>
      <c r="L973" s="4" t="s">
        <v>8398</v>
      </c>
      <c r="M973" s="4" t="s">
        <v>46</v>
      </c>
      <c r="N973" s="4"/>
      <c r="O973" s="4" t="s">
        <v>47</v>
      </c>
      <c r="P973" s="4" t="s">
        <v>48</v>
      </c>
      <c r="Q973" s="4">
        <v>0</v>
      </c>
      <c r="R973" s="4" t="b">
        <v>0</v>
      </c>
      <c r="S973" s="4" t="s">
        <v>61</v>
      </c>
      <c r="T973" s="4" t="s">
        <v>583</v>
      </c>
      <c r="U973" s="4" t="s">
        <v>148</v>
      </c>
      <c r="V973" s="4" t="s">
        <v>52</v>
      </c>
      <c r="W973" s="4" t="s">
        <v>53</v>
      </c>
      <c r="X973" s="4" t="s">
        <v>54</v>
      </c>
      <c r="Y973" s="4"/>
      <c r="Z973" s="12">
        <v>0</v>
      </c>
      <c r="AA973" s="13" t="s">
        <v>9159</v>
      </c>
      <c r="AB973" s="13" t="s">
        <v>9160</v>
      </c>
      <c r="AC973" s="14" t="s">
        <v>9148</v>
      </c>
      <c r="AD973" s="14" t="s">
        <v>9140</v>
      </c>
      <c r="AE973" s="14" t="s">
        <v>9140</v>
      </c>
      <c r="AF973" s="14" t="s">
        <v>52</v>
      </c>
      <c r="AG973" s="14" t="s">
        <v>54</v>
      </c>
      <c r="AH973" s="15" t="s">
        <v>9220</v>
      </c>
      <c r="AI973" s="15" t="s">
        <v>9191</v>
      </c>
      <c r="AJ973" s="15" t="s">
        <v>9143</v>
      </c>
      <c r="AK973" s="15" t="s">
        <v>9221</v>
      </c>
      <c r="AL973" s="15" t="s">
        <v>9226</v>
      </c>
      <c r="AM973" s="16" t="s">
        <v>9221</v>
      </c>
      <c r="AN973" s="16" t="s">
        <v>9227</v>
      </c>
    </row>
    <row r="974" spans="1:40" x14ac:dyDescent="0.25">
      <c r="A974" s="4" t="s">
        <v>8901</v>
      </c>
      <c r="B974" s="4"/>
      <c r="C974" s="4" t="s">
        <v>39</v>
      </c>
      <c r="D974" s="4" t="s">
        <v>8902</v>
      </c>
      <c r="E974" s="4" t="s">
        <v>8903</v>
      </c>
      <c r="F974" s="10">
        <v>45442</v>
      </c>
      <c r="G974" s="11">
        <v>0.43055555555555558</v>
      </c>
      <c r="H974" s="4" t="s">
        <v>4019</v>
      </c>
      <c r="I974" s="4" t="s">
        <v>8854</v>
      </c>
      <c r="J974" s="4" t="s">
        <v>8855</v>
      </c>
      <c r="K974" s="4" t="s">
        <v>8904</v>
      </c>
      <c r="L974" s="4" t="s">
        <v>8905</v>
      </c>
      <c r="M974" s="4" t="s">
        <v>46</v>
      </c>
      <c r="N974" s="4"/>
      <c r="O974" s="4" t="s">
        <v>47</v>
      </c>
      <c r="P974" s="4" t="s">
        <v>48</v>
      </c>
      <c r="Q974" s="4">
        <v>0</v>
      </c>
      <c r="R974" s="4" t="b">
        <v>0</v>
      </c>
      <c r="S974" s="4" t="s">
        <v>61</v>
      </c>
      <c r="T974" s="4" t="s">
        <v>50</v>
      </c>
      <c r="U974" s="4" t="s">
        <v>618</v>
      </c>
      <c r="V974" s="4" t="s">
        <v>63</v>
      </c>
      <c r="W974" s="4" t="s">
        <v>108</v>
      </c>
      <c r="X974" s="4" t="s">
        <v>54</v>
      </c>
      <c r="Y974" s="4"/>
      <c r="Z974" s="12">
        <v>0</v>
      </c>
      <c r="AA974" s="13" t="s">
        <v>9159</v>
      </c>
      <c r="AB974" s="13" t="s">
        <v>9160</v>
      </c>
      <c r="AC974" s="14" t="s">
        <v>9148</v>
      </c>
      <c r="AD974" s="14" t="s">
        <v>9140</v>
      </c>
      <c r="AE974" s="14" t="s">
        <v>9140</v>
      </c>
      <c r="AF974" s="14" t="s">
        <v>63</v>
      </c>
      <c r="AG974" s="14" t="s">
        <v>54</v>
      </c>
      <c r="AH974" s="15" t="s">
        <v>9220</v>
      </c>
      <c r="AI974" s="15" t="s">
        <v>9175</v>
      </c>
      <c r="AJ974" s="15" t="s">
        <v>9183</v>
      </c>
      <c r="AK974" s="15" t="s">
        <v>9239</v>
      </c>
      <c r="AL974" s="15" t="s">
        <v>9240</v>
      </c>
      <c r="AM974" s="16" t="s">
        <v>9186</v>
      </c>
      <c r="AN974" s="16" t="s">
        <v>9186</v>
      </c>
    </row>
    <row r="975" spans="1:40" x14ac:dyDescent="0.25">
      <c r="A975" s="4" t="s">
        <v>6454</v>
      </c>
      <c r="B975" s="4"/>
      <c r="C975" s="4" t="s">
        <v>39</v>
      </c>
      <c r="D975" s="4" t="s">
        <v>6455</v>
      </c>
      <c r="E975" s="4" t="s">
        <v>6456</v>
      </c>
      <c r="F975" s="10">
        <v>45441</v>
      </c>
      <c r="G975" s="11">
        <v>0.53194444444444444</v>
      </c>
      <c r="H975" s="4" t="s">
        <v>4659</v>
      </c>
      <c r="I975" s="4" t="s">
        <v>6441</v>
      </c>
      <c r="J975" s="4" t="s">
        <v>6442</v>
      </c>
      <c r="K975" s="4" t="s">
        <v>6457</v>
      </c>
      <c r="L975" s="4" t="s">
        <v>6458</v>
      </c>
      <c r="M975" s="4" t="s">
        <v>46</v>
      </c>
      <c r="N975" s="4"/>
      <c r="O975" s="4" t="s">
        <v>47</v>
      </c>
      <c r="P975" s="4" t="s">
        <v>48</v>
      </c>
      <c r="Q975" s="4">
        <v>0</v>
      </c>
      <c r="R975" s="4" t="b">
        <v>0</v>
      </c>
      <c r="S975" s="4" t="s">
        <v>61</v>
      </c>
      <c r="T975" s="4" t="s">
        <v>433</v>
      </c>
      <c r="U975" s="4" t="s">
        <v>62</v>
      </c>
      <c r="V975" s="4" t="s">
        <v>63</v>
      </c>
      <c r="W975" s="4" t="s">
        <v>64</v>
      </c>
      <c r="X975" s="4" t="s">
        <v>54</v>
      </c>
      <c r="Y975" s="4"/>
      <c r="Z975" s="12">
        <v>0</v>
      </c>
      <c r="AA975" s="13" t="s">
        <v>9159</v>
      </c>
      <c r="AB975" s="13" t="s">
        <v>9160</v>
      </c>
      <c r="AC975" s="14" t="s">
        <v>9148</v>
      </c>
      <c r="AD975" s="14" t="s">
        <v>9140</v>
      </c>
      <c r="AE975" s="14" t="s">
        <v>9140</v>
      </c>
      <c r="AF975" s="14" t="s">
        <v>63</v>
      </c>
      <c r="AG975" s="14" t="s">
        <v>54</v>
      </c>
      <c r="AH975" s="15" t="s">
        <v>9220</v>
      </c>
      <c r="AI975" s="15" t="s">
        <v>9142</v>
      </c>
      <c r="AJ975" s="15" t="s">
        <v>9143</v>
      </c>
      <c r="AK975" s="15" t="s">
        <v>9221</v>
      </c>
      <c r="AL975" s="15" t="s">
        <v>9228</v>
      </c>
      <c r="AM975" s="16" t="s">
        <v>9221</v>
      </c>
      <c r="AN975" s="16" t="s">
        <v>9229</v>
      </c>
    </row>
    <row r="976" spans="1:40" x14ac:dyDescent="0.25">
      <c r="A976" s="4" t="s">
        <v>5331</v>
      </c>
      <c r="B976" s="4"/>
      <c r="C976" s="4" t="s">
        <v>39</v>
      </c>
      <c r="D976" s="4" t="s">
        <v>5332</v>
      </c>
      <c r="E976" s="4" t="s">
        <v>5333</v>
      </c>
      <c r="F976" s="10">
        <v>45441</v>
      </c>
      <c r="G976" s="11">
        <v>0.58333333333333337</v>
      </c>
      <c r="H976" s="4" t="s">
        <v>4516</v>
      </c>
      <c r="I976" s="4" t="s">
        <v>5275</v>
      </c>
      <c r="J976" s="4" t="s">
        <v>5276</v>
      </c>
      <c r="K976" s="4" t="s">
        <v>5334</v>
      </c>
      <c r="L976" s="4" t="s">
        <v>5335</v>
      </c>
      <c r="M976" s="4" t="s">
        <v>46</v>
      </c>
      <c r="N976" s="4"/>
      <c r="O976" s="4" t="s">
        <v>47</v>
      </c>
      <c r="P976" s="4" t="s">
        <v>48</v>
      </c>
      <c r="Q976" s="4">
        <v>0</v>
      </c>
      <c r="R976" s="4" t="b">
        <v>0</v>
      </c>
      <c r="S976" s="4" t="s">
        <v>61</v>
      </c>
      <c r="T976" s="4" t="s">
        <v>583</v>
      </c>
      <c r="U976" s="4" t="s">
        <v>301</v>
      </c>
      <c r="V976" s="4" t="s">
        <v>63</v>
      </c>
      <c r="W976" s="4" t="s">
        <v>108</v>
      </c>
      <c r="X976" s="4" t="s">
        <v>54</v>
      </c>
      <c r="Y976" s="4"/>
      <c r="Z976" s="12">
        <v>0</v>
      </c>
      <c r="AA976" s="13" t="s">
        <v>9159</v>
      </c>
      <c r="AB976" s="13" t="s">
        <v>9160</v>
      </c>
      <c r="AC976" s="14" t="s">
        <v>9148</v>
      </c>
      <c r="AD976" s="14" t="s">
        <v>9140</v>
      </c>
      <c r="AE976" s="14" t="s">
        <v>9140</v>
      </c>
      <c r="AF976" s="14" t="s">
        <v>63</v>
      </c>
      <c r="AG976" s="14" t="s">
        <v>54</v>
      </c>
      <c r="AH976" s="15" t="s">
        <v>9220</v>
      </c>
      <c r="AI976" s="15" t="s">
        <v>9188</v>
      </c>
      <c r="AJ976" s="15" t="s">
        <v>9143</v>
      </c>
      <c r="AK976" s="15" t="s">
        <v>9221</v>
      </c>
      <c r="AL976" s="15" t="s">
        <v>9230</v>
      </c>
      <c r="AM976" s="16" t="s">
        <v>9221</v>
      </c>
      <c r="AN976" s="16" t="s">
        <v>9231</v>
      </c>
    </row>
    <row r="977" spans="1:40" x14ac:dyDescent="0.25">
      <c r="A977" s="4" t="s">
        <v>902</v>
      </c>
      <c r="B977" s="4">
        <v>12230108581</v>
      </c>
      <c r="C977" s="4" t="s">
        <v>39</v>
      </c>
      <c r="D977" s="4" t="s">
        <v>903</v>
      </c>
      <c r="E977" s="4" t="s">
        <v>904</v>
      </c>
      <c r="F977" s="10">
        <v>45441</v>
      </c>
      <c r="G977" s="11">
        <v>0.5625</v>
      </c>
      <c r="H977" s="4" t="s">
        <v>463</v>
      </c>
      <c r="I977" s="4">
        <v>2030</v>
      </c>
      <c r="J977" s="4" t="s">
        <v>876</v>
      </c>
      <c r="K977" s="4" t="s">
        <v>905</v>
      </c>
      <c r="L977" s="4" t="s">
        <v>906</v>
      </c>
      <c r="M977" s="4" t="s">
        <v>28</v>
      </c>
      <c r="N977" s="4" t="s">
        <v>147</v>
      </c>
      <c r="O977" s="4" t="s">
        <v>174</v>
      </c>
      <c r="P977" s="4" t="s">
        <v>48</v>
      </c>
      <c r="Q977" s="4">
        <v>0</v>
      </c>
      <c r="R977" s="4" t="b">
        <v>0</v>
      </c>
      <c r="S977" s="4" t="s">
        <v>114</v>
      </c>
      <c r="T977" s="4" t="s">
        <v>89</v>
      </c>
      <c r="U977" s="4" t="s">
        <v>175</v>
      </c>
      <c r="V977" s="4" t="s">
        <v>52</v>
      </c>
      <c r="W977" s="4" t="s">
        <v>53</v>
      </c>
      <c r="X977" s="4" t="s">
        <v>54</v>
      </c>
      <c r="Y977" s="4"/>
      <c r="Z977" s="12" t="s">
        <v>48</v>
      </c>
      <c r="AA977" s="13" t="s">
        <v>9159</v>
      </c>
      <c r="AB977" s="13" t="s">
        <v>9160</v>
      </c>
      <c r="AC977" s="14" t="s">
        <v>9157</v>
      </c>
      <c r="AD977" s="14" t="s">
        <v>28</v>
      </c>
      <c r="AE977" s="14" t="s">
        <v>9140</v>
      </c>
      <c r="AF977" s="14" t="s">
        <v>52</v>
      </c>
      <c r="AG977" s="14" t="s">
        <v>54</v>
      </c>
      <c r="AH977" s="15" t="s">
        <v>9141</v>
      </c>
      <c r="AI977" s="15" t="s">
        <v>9175</v>
      </c>
      <c r="AJ977" s="15" t="s">
        <v>9143</v>
      </c>
      <c r="AK977" s="15" t="s">
        <v>9141</v>
      </c>
      <c r="AL977" s="15" t="s">
        <v>9177</v>
      </c>
      <c r="AM977" s="16" t="s">
        <v>9141</v>
      </c>
      <c r="AN977" s="16" t="s">
        <v>9178</v>
      </c>
    </row>
    <row r="978" spans="1:40" x14ac:dyDescent="0.25">
      <c r="A978" s="4" t="s">
        <v>6750</v>
      </c>
      <c r="B978" s="4">
        <v>6870687</v>
      </c>
      <c r="C978" s="4" t="s">
        <v>39</v>
      </c>
      <c r="D978" s="4" t="s">
        <v>6741</v>
      </c>
      <c r="E978" s="4" t="s">
        <v>6742</v>
      </c>
      <c r="F978" s="10">
        <v>45440</v>
      </c>
      <c r="G978" s="11">
        <v>0.625</v>
      </c>
      <c r="H978" s="4" t="s">
        <v>4516</v>
      </c>
      <c r="I978" s="4" t="s">
        <v>6736</v>
      </c>
      <c r="J978" s="4" t="s">
        <v>6737</v>
      </c>
      <c r="K978" s="4" t="s">
        <v>6743</v>
      </c>
      <c r="L978" s="4" t="s">
        <v>6751</v>
      </c>
      <c r="M978" s="4" t="s">
        <v>28</v>
      </c>
      <c r="N978" s="4" t="s">
        <v>183</v>
      </c>
      <c r="O978" s="4" t="s">
        <v>174</v>
      </c>
      <c r="P978" s="4" t="s">
        <v>48</v>
      </c>
      <c r="Q978" s="4">
        <v>2</v>
      </c>
      <c r="R978" s="4" t="b">
        <v>0</v>
      </c>
      <c r="S978" s="4" t="s">
        <v>114</v>
      </c>
      <c r="T978" s="4" t="s">
        <v>583</v>
      </c>
      <c r="U978" s="4" t="s">
        <v>345</v>
      </c>
      <c r="V978" s="4" t="s">
        <v>123</v>
      </c>
      <c r="W978" s="4" t="s">
        <v>124</v>
      </c>
      <c r="X978" s="4" t="s">
        <v>54</v>
      </c>
      <c r="Y978" s="4"/>
      <c r="Z978" s="12" t="s">
        <v>48</v>
      </c>
      <c r="AA978" s="13" t="s">
        <v>9159</v>
      </c>
      <c r="AB978" s="13" t="s">
        <v>9160</v>
      </c>
      <c r="AC978" s="14" t="s">
        <v>9157</v>
      </c>
      <c r="AD978" s="14" t="s">
        <v>28</v>
      </c>
      <c r="AE978" s="14" t="s">
        <v>183</v>
      </c>
      <c r="AF978" s="14" t="s">
        <v>123</v>
      </c>
      <c r="AG978" s="14" t="s">
        <v>54</v>
      </c>
      <c r="AH978" s="15" t="s">
        <v>9220</v>
      </c>
      <c r="AI978" s="15" t="s">
        <v>9188</v>
      </c>
      <c r="AJ978" s="15" t="s">
        <v>9143</v>
      </c>
      <c r="AK978" s="15" t="s">
        <v>9221</v>
      </c>
      <c r="AL978" s="15" t="s">
        <v>9232</v>
      </c>
      <c r="AM978" s="16" t="s">
        <v>9221</v>
      </c>
      <c r="AN978" s="16" t="s">
        <v>9233</v>
      </c>
    </row>
    <row r="979" spans="1:40" x14ac:dyDescent="0.25">
      <c r="A979" s="4" t="s">
        <v>7783</v>
      </c>
      <c r="B979" s="4">
        <v>6871248</v>
      </c>
      <c r="C979" s="4" t="s">
        <v>39</v>
      </c>
      <c r="D979" s="4" t="s">
        <v>7770</v>
      </c>
      <c r="E979" s="4" t="s">
        <v>7771</v>
      </c>
      <c r="F979" s="10">
        <v>45440</v>
      </c>
      <c r="G979" s="11">
        <v>0.60416666666666663</v>
      </c>
      <c r="H979" s="4" t="s">
        <v>4516</v>
      </c>
      <c r="I979" s="4" t="s">
        <v>7760</v>
      </c>
      <c r="J979" s="4" t="s">
        <v>7761</v>
      </c>
      <c r="K979" s="4" t="s">
        <v>1194</v>
      </c>
      <c r="L979" s="4" t="s">
        <v>7784</v>
      </c>
      <c r="M979" s="4" t="s">
        <v>46</v>
      </c>
      <c r="N979" s="4"/>
      <c r="O979" s="4" t="s">
        <v>47</v>
      </c>
      <c r="P979" s="4" t="s">
        <v>48</v>
      </c>
      <c r="Q979" s="4">
        <v>0</v>
      </c>
      <c r="R979" s="4" t="b">
        <v>0</v>
      </c>
      <c r="S979" s="4" t="s">
        <v>61</v>
      </c>
      <c r="T979" s="4" t="s">
        <v>583</v>
      </c>
      <c r="U979" s="4" t="s">
        <v>175</v>
      </c>
      <c r="V979" s="4" t="s">
        <v>52</v>
      </c>
      <c r="W979" s="4" t="s">
        <v>53</v>
      </c>
      <c r="X979" s="4" t="s">
        <v>54</v>
      </c>
      <c r="Y979" s="4"/>
      <c r="Z979" s="12">
        <v>0</v>
      </c>
      <c r="AA979" s="13" t="s">
        <v>9159</v>
      </c>
      <c r="AB979" s="13" t="s">
        <v>9160</v>
      </c>
      <c r="AC979" s="14" t="s">
        <v>9148</v>
      </c>
      <c r="AD979" s="14" t="s">
        <v>9140</v>
      </c>
      <c r="AE979" s="14" t="s">
        <v>9140</v>
      </c>
      <c r="AF979" s="14" t="s">
        <v>52</v>
      </c>
      <c r="AG979" s="14" t="s">
        <v>54</v>
      </c>
      <c r="AH979" s="15" t="s">
        <v>9220</v>
      </c>
      <c r="AI979" s="15" t="s">
        <v>9188</v>
      </c>
      <c r="AJ979" s="15" t="s">
        <v>9143</v>
      </c>
      <c r="AK979" s="15" t="s">
        <v>9221</v>
      </c>
      <c r="AL979" s="15" t="s">
        <v>9230</v>
      </c>
      <c r="AM979" s="16" t="s">
        <v>9221</v>
      </c>
      <c r="AN979" s="16" t="s">
        <v>9231</v>
      </c>
    </row>
    <row r="980" spans="1:40" x14ac:dyDescent="0.25">
      <c r="A980" s="4" t="s">
        <v>7631</v>
      </c>
      <c r="B980" s="4"/>
      <c r="C980" s="4" t="s">
        <v>39</v>
      </c>
      <c r="D980" s="4" t="s">
        <v>7632</v>
      </c>
      <c r="E980" s="4" t="s">
        <v>7633</v>
      </c>
      <c r="F980" s="10">
        <v>45440</v>
      </c>
      <c r="G980" s="11">
        <v>0.77083333333333337</v>
      </c>
      <c r="H980" s="4" t="s">
        <v>4910</v>
      </c>
      <c r="I980" s="4" t="s">
        <v>7611</v>
      </c>
      <c r="J980" s="4" t="s">
        <v>3335</v>
      </c>
      <c r="K980" s="4" t="s">
        <v>7491</v>
      </c>
      <c r="L980" s="4" t="s">
        <v>7634</v>
      </c>
      <c r="M980" s="4" t="s">
        <v>46</v>
      </c>
      <c r="N980" s="4"/>
      <c r="O980" s="4" t="s">
        <v>47</v>
      </c>
      <c r="P980" s="4" t="s">
        <v>48</v>
      </c>
      <c r="Q980" s="4">
        <v>0</v>
      </c>
      <c r="R980" s="4" t="b">
        <v>0</v>
      </c>
      <c r="S980" s="4" t="s">
        <v>49</v>
      </c>
      <c r="T980" s="4" t="s">
        <v>583</v>
      </c>
      <c r="U980" s="4" t="s">
        <v>107</v>
      </c>
      <c r="V980" s="4" t="s">
        <v>63</v>
      </c>
      <c r="W980" s="4" t="s">
        <v>108</v>
      </c>
      <c r="X980" s="4" t="s">
        <v>54</v>
      </c>
      <c r="Y980" s="4"/>
      <c r="Z980" s="12">
        <v>0</v>
      </c>
      <c r="AA980" s="13" t="s">
        <v>9159</v>
      </c>
      <c r="AB980" s="13" t="s">
        <v>9160</v>
      </c>
      <c r="AC980" s="14" t="s">
        <v>9139</v>
      </c>
      <c r="AD980" s="14" t="s">
        <v>9140</v>
      </c>
      <c r="AE980" s="14" t="s">
        <v>9140</v>
      </c>
      <c r="AF980" s="14" t="s">
        <v>63</v>
      </c>
      <c r="AG980" s="14" t="s">
        <v>54</v>
      </c>
      <c r="AH980" s="15" t="s">
        <v>9220</v>
      </c>
      <c r="AI980" s="15" t="s">
        <v>9191</v>
      </c>
      <c r="AJ980" s="15" t="s">
        <v>9143</v>
      </c>
      <c r="AK980" s="15" t="s">
        <v>9221</v>
      </c>
      <c r="AL980" s="15" t="s">
        <v>9226</v>
      </c>
      <c r="AM980" s="16" t="s">
        <v>9221</v>
      </c>
      <c r="AN980" s="16" t="s">
        <v>9227</v>
      </c>
    </row>
    <row r="981" spans="1:40" x14ac:dyDescent="0.25">
      <c r="A981" s="4" t="s">
        <v>6313</v>
      </c>
      <c r="B981" s="4"/>
      <c r="C981" s="4" t="s">
        <v>39</v>
      </c>
      <c r="D981" s="4" t="s">
        <v>6314</v>
      </c>
      <c r="E981" s="4" t="s">
        <v>6315</v>
      </c>
      <c r="F981" s="10">
        <v>45440</v>
      </c>
      <c r="G981" s="11">
        <v>0.63888888888888884</v>
      </c>
      <c r="H981" s="4" t="s">
        <v>4019</v>
      </c>
      <c r="I981" s="4" t="s">
        <v>6277</v>
      </c>
      <c r="J981" s="4" t="s">
        <v>988</v>
      </c>
      <c r="K981" s="4" t="s">
        <v>6316</v>
      </c>
      <c r="L981" s="4" t="s">
        <v>6317</v>
      </c>
      <c r="M981" s="4" t="s">
        <v>46</v>
      </c>
      <c r="N981" s="4"/>
      <c r="O981" s="4" t="s">
        <v>47</v>
      </c>
      <c r="P981" s="4" t="s">
        <v>48</v>
      </c>
      <c r="Q981" s="4">
        <v>0</v>
      </c>
      <c r="R981" s="4" t="b">
        <v>0</v>
      </c>
      <c r="S981" s="4" t="s">
        <v>49</v>
      </c>
      <c r="T981" s="4"/>
      <c r="U981" s="4"/>
      <c r="V981" s="4"/>
      <c r="W981" s="4"/>
      <c r="X981" s="4"/>
      <c r="Y981" s="4"/>
      <c r="Z981" s="12">
        <v>0</v>
      </c>
      <c r="AA981" s="13" t="s">
        <v>9159</v>
      </c>
      <c r="AB981" s="13" t="s">
        <v>9160</v>
      </c>
      <c r="AC981" s="14" t="s">
        <v>9139</v>
      </c>
      <c r="AD981" s="14" t="s">
        <v>9140</v>
      </c>
      <c r="AE981" s="14" t="s">
        <v>9140</v>
      </c>
      <c r="AF981" s="14">
        <v>0</v>
      </c>
      <c r="AG981" s="14">
        <v>0</v>
      </c>
      <c r="AH981" s="15" t="s">
        <v>9220</v>
      </c>
      <c r="AI981" s="15" t="s">
        <v>9175</v>
      </c>
      <c r="AJ981" s="15" t="s">
        <v>9143</v>
      </c>
      <c r="AK981" s="15" t="s">
        <v>9221</v>
      </c>
      <c r="AL981" s="15" t="s">
        <v>9222</v>
      </c>
      <c r="AM981" s="16" t="s">
        <v>9221</v>
      </c>
      <c r="AN981" s="16" t="s">
        <v>9223</v>
      </c>
    </row>
    <row r="982" spans="1:40" x14ac:dyDescent="0.25">
      <c r="A982" s="4" t="s">
        <v>7666</v>
      </c>
      <c r="B982" s="4"/>
      <c r="C982" s="4" t="s">
        <v>39</v>
      </c>
      <c r="D982" s="4" t="s">
        <v>7667</v>
      </c>
      <c r="E982" s="4" t="s">
        <v>7668</v>
      </c>
      <c r="F982" s="10">
        <v>45439</v>
      </c>
      <c r="G982" s="11">
        <v>0.60416666666666663</v>
      </c>
      <c r="H982" s="4" t="s">
        <v>4659</v>
      </c>
      <c r="I982" s="4" t="s">
        <v>7663</v>
      </c>
      <c r="J982" s="4" t="s">
        <v>2886</v>
      </c>
      <c r="K982" s="4" t="s">
        <v>7669</v>
      </c>
      <c r="L982" s="4" t="s">
        <v>7670</v>
      </c>
      <c r="M982" s="4" t="s">
        <v>46</v>
      </c>
      <c r="N982" s="4"/>
      <c r="O982" s="4" t="s">
        <v>47</v>
      </c>
      <c r="P982" s="4" t="s">
        <v>48</v>
      </c>
      <c r="Q982" s="4">
        <v>0</v>
      </c>
      <c r="R982" s="4" t="b">
        <v>0</v>
      </c>
      <c r="S982" s="4" t="s">
        <v>49</v>
      </c>
      <c r="T982" s="4" t="s">
        <v>70</v>
      </c>
      <c r="U982" s="4" t="s">
        <v>71</v>
      </c>
      <c r="V982" s="4" t="s">
        <v>72</v>
      </c>
      <c r="W982" s="4" t="s">
        <v>97</v>
      </c>
      <c r="X982" s="4" t="s">
        <v>54</v>
      </c>
      <c r="Y982" s="4" t="s">
        <v>4246</v>
      </c>
      <c r="Z982" s="12">
        <v>0</v>
      </c>
      <c r="AA982" s="13" t="s">
        <v>9159</v>
      </c>
      <c r="AB982" s="13" t="s">
        <v>9160</v>
      </c>
      <c r="AC982" s="14" t="s">
        <v>9139</v>
      </c>
      <c r="AD982" s="14" t="s">
        <v>9140</v>
      </c>
      <c r="AE982" s="14" t="s">
        <v>9140</v>
      </c>
      <c r="AF982" s="14" t="s">
        <v>72</v>
      </c>
      <c r="AG982" s="14" t="s">
        <v>54</v>
      </c>
      <c r="AH982" s="15" t="s">
        <v>9220</v>
      </c>
      <c r="AI982" s="15" t="s">
        <v>9142</v>
      </c>
      <c r="AJ982" s="15" t="s">
        <v>9143</v>
      </c>
      <c r="AK982" s="15" t="s">
        <v>9221</v>
      </c>
      <c r="AL982" s="15" t="s">
        <v>9228</v>
      </c>
      <c r="AM982" s="16" t="s">
        <v>9221</v>
      </c>
      <c r="AN982" s="16" t="s">
        <v>9229</v>
      </c>
    </row>
    <row r="983" spans="1:40" x14ac:dyDescent="0.25">
      <c r="A983" s="4" t="s">
        <v>8249</v>
      </c>
      <c r="B983" s="4"/>
      <c r="C983" s="4" t="s">
        <v>39</v>
      </c>
      <c r="D983" s="4" t="s">
        <v>8250</v>
      </c>
      <c r="E983" s="4" t="s">
        <v>8251</v>
      </c>
      <c r="F983" s="10">
        <v>45439</v>
      </c>
      <c r="G983" s="11">
        <v>0.77777777777777779</v>
      </c>
      <c r="H983" s="4" t="s">
        <v>4910</v>
      </c>
      <c r="I983" s="4" t="s">
        <v>8223</v>
      </c>
      <c r="J983" s="4" t="s">
        <v>1844</v>
      </c>
      <c r="K983" s="4" t="s">
        <v>5194</v>
      </c>
      <c r="L983" s="4" t="s">
        <v>8252</v>
      </c>
      <c r="M983" s="4" t="s">
        <v>46</v>
      </c>
      <c r="N983" s="4"/>
      <c r="O983" s="4" t="s">
        <v>47</v>
      </c>
      <c r="P983" s="4" t="s">
        <v>48</v>
      </c>
      <c r="Q983" s="4">
        <v>0</v>
      </c>
      <c r="R983" s="4" t="b">
        <v>0</v>
      </c>
      <c r="S983" s="4" t="s">
        <v>49</v>
      </c>
      <c r="T983" s="4" t="s">
        <v>583</v>
      </c>
      <c r="U983" s="4" t="s">
        <v>80</v>
      </c>
      <c r="V983" s="4" t="s">
        <v>72</v>
      </c>
      <c r="W983" s="4" t="s">
        <v>73</v>
      </c>
      <c r="X983" s="4" t="s">
        <v>54</v>
      </c>
      <c r="Y983" s="4"/>
      <c r="Z983" s="12">
        <v>0</v>
      </c>
      <c r="AA983" s="13" t="s">
        <v>9159</v>
      </c>
      <c r="AB983" s="13" t="s">
        <v>9160</v>
      </c>
      <c r="AC983" s="14" t="s">
        <v>9139</v>
      </c>
      <c r="AD983" s="14" t="s">
        <v>9140</v>
      </c>
      <c r="AE983" s="14" t="s">
        <v>9140</v>
      </c>
      <c r="AF983" s="14" t="s">
        <v>72</v>
      </c>
      <c r="AG983" s="14" t="s">
        <v>54</v>
      </c>
      <c r="AH983" s="15" t="s">
        <v>9220</v>
      </c>
      <c r="AI983" s="15" t="s">
        <v>9191</v>
      </c>
      <c r="AJ983" s="15" t="s">
        <v>9143</v>
      </c>
      <c r="AK983" s="15" t="s">
        <v>9221</v>
      </c>
      <c r="AL983" s="15" t="s">
        <v>9226</v>
      </c>
      <c r="AM983" s="16" t="s">
        <v>9221</v>
      </c>
      <c r="AN983" s="16" t="s">
        <v>9227</v>
      </c>
    </row>
    <row r="984" spans="1:40" x14ac:dyDescent="0.25">
      <c r="A984" s="4" t="s">
        <v>4573</v>
      </c>
      <c r="B984" s="4">
        <v>6866537</v>
      </c>
      <c r="C984" s="4" t="s">
        <v>488</v>
      </c>
      <c r="D984" s="4" t="s">
        <v>4574</v>
      </c>
      <c r="E984" s="4" t="s">
        <v>4575</v>
      </c>
      <c r="F984" s="10">
        <v>45439</v>
      </c>
      <c r="G984" s="11">
        <v>0.57361111111111107</v>
      </c>
      <c r="H984" s="4" t="s">
        <v>4516</v>
      </c>
      <c r="I984" s="4" t="s">
        <v>4570</v>
      </c>
      <c r="J984" s="4" t="s">
        <v>3243</v>
      </c>
      <c r="K984" s="4" t="s">
        <v>4576</v>
      </c>
      <c r="L984" s="4" t="s">
        <v>4577</v>
      </c>
      <c r="M984" s="4" t="s">
        <v>28</v>
      </c>
      <c r="N984" s="4" t="s">
        <v>372</v>
      </c>
      <c r="O984" s="4" t="s">
        <v>344</v>
      </c>
      <c r="P984" s="4" t="s">
        <v>60</v>
      </c>
      <c r="Q984" s="4">
        <v>155</v>
      </c>
      <c r="R984" s="4" t="b">
        <v>0</v>
      </c>
      <c r="S984" s="4" t="s">
        <v>184</v>
      </c>
      <c r="T984" s="4" t="s">
        <v>1240</v>
      </c>
      <c r="U984" s="4" t="s">
        <v>527</v>
      </c>
      <c r="V984" s="4" t="s">
        <v>267</v>
      </c>
      <c r="W984" s="4" t="s">
        <v>2730</v>
      </c>
      <c r="X984" s="4" t="s">
        <v>54</v>
      </c>
      <c r="Y984" s="4"/>
      <c r="Z984" s="12" t="s">
        <v>60</v>
      </c>
      <c r="AA984" s="13" t="s">
        <v>9159</v>
      </c>
      <c r="AB984" s="13" t="s">
        <v>9160</v>
      </c>
      <c r="AC984" s="14" t="s">
        <v>9166</v>
      </c>
      <c r="AD984" s="14" t="s">
        <v>28</v>
      </c>
      <c r="AE984" s="14" t="s">
        <v>372</v>
      </c>
      <c r="AF984" s="14" t="s">
        <v>267</v>
      </c>
      <c r="AG984" s="14" t="s">
        <v>54</v>
      </c>
      <c r="AH984" s="15" t="s">
        <v>9220</v>
      </c>
      <c r="AI984" s="15" t="s">
        <v>9188</v>
      </c>
      <c r="AJ984" s="15" t="s">
        <v>9143</v>
      </c>
      <c r="AK984" s="15" t="s">
        <v>9221</v>
      </c>
      <c r="AL984" s="15" t="s">
        <v>9230</v>
      </c>
      <c r="AM984" s="16" t="s">
        <v>9221</v>
      </c>
      <c r="AN984" s="16" t="s">
        <v>9231</v>
      </c>
    </row>
    <row r="985" spans="1:40" x14ac:dyDescent="0.25">
      <c r="A985" s="4" t="s">
        <v>1682</v>
      </c>
      <c r="B985" s="4"/>
      <c r="C985" s="4" t="s">
        <v>39</v>
      </c>
      <c r="D985" s="4" t="s">
        <v>1683</v>
      </c>
      <c r="E985" s="4" t="s">
        <v>1684</v>
      </c>
      <c r="F985" s="10">
        <v>45439</v>
      </c>
      <c r="G985" s="11">
        <v>0.38611111111111113</v>
      </c>
      <c r="H985" s="4" t="s">
        <v>1654</v>
      </c>
      <c r="I985" s="4">
        <v>9087</v>
      </c>
      <c r="J985" s="4" t="s">
        <v>1666</v>
      </c>
      <c r="K985" s="4" t="s">
        <v>1685</v>
      </c>
      <c r="L985" s="4" t="s">
        <v>1686</v>
      </c>
      <c r="M985" s="4" t="s">
        <v>46</v>
      </c>
      <c r="N985" s="4"/>
      <c r="O985" s="4" t="s">
        <v>47</v>
      </c>
      <c r="P985" s="4" t="s">
        <v>48</v>
      </c>
      <c r="Q985" s="4">
        <v>0</v>
      </c>
      <c r="R985" s="4" t="b">
        <v>0</v>
      </c>
      <c r="S985" s="4" t="s">
        <v>61</v>
      </c>
      <c r="T985" s="4" t="s">
        <v>50</v>
      </c>
      <c r="U985" s="4" t="s">
        <v>71</v>
      </c>
      <c r="V985" s="4" t="s">
        <v>72</v>
      </c>
      <c r="W985" s="4" t="s">
        <v>73</v>
      </c>
      <c r="X985" s="4" t="s">
        <v>54</v>
      </c>
      <c r="Y985" s="4"/>
      <c r="Z985" s="12">
        <v>0</v>
      </c>
      <c r="AA985" s="13" t="s">
        <v>9159</v>
      </c>
      <c r="AB985" s="13" t="s">
        <v>9160</v>
      </c>
      <c r="AC985" s="14" t="s">
        <v>9148</v>
      </c>
      <c r="AD985" s="14" t="s">
        <v>9140</v>
      </c>
      <c r="AE985" s="14" t="s">
        <v>9140</v>
      </c>
      <c r="AF985" s="14" t="s">
        <v>72</v>
      </c>
      <c r="AG985" s="14" t="s">
        <v>54</v>
      </c>
      <c r="AH985" s="15" t="s">
        <v>9141</v>
      </c>
      <c r="AI985" s="15" t="s">
        <v>9191</v>
      </c>
      <c r="AJ985" s="15" t="s">
        <v>9143</v>
      </c>
      <c r="AK985" s="15" t="s">
        <v>9141</v>
      </c>
      <c r="AL985" s="15" t="s">
        <v>9191</v>
      </c>
      <c r="AM985" s="16" t="s">
        <v>9141</v>
      </c>
      <c r="AN985" s="16" t="s">
        <v>9192</v>
      </c>
    </row>
    <row r="986" spans="1:40" x14ac:dyDescent="0.25">
      <c r="A986" s="4" t="s">
        <v>2081</v>
      </c>
      <c r="B986" s="4"/>
      <c r="C986" s="4" t="s">
        <v>39</v>
      </c>
      <c r="D986" s="4" t="s">
        <v>2072</v>
      </c>
      <c r="E986" s="4" t="s">
        <v>2073</v>
      </c>
      <c r="F986" s="10">
        <v>45437</v>
      </c>
      <c r="G986" s="11">
        <v>0.53333333333333333</v>
      </c>
      <c r="H986" s="4" t="s">
        <v>1992</v>
      </c>
      <c r="I986" s="4" t="s">
        <v>2061</v>
      </c>
      <c r="J986" s="4" t="s">
        <v>2062</v>
      </c>
      <c r="K986" s="4" t="s">
        <v>2082</v>
      </c>
      <c r="L986" s="4" t="s">
        <v>2083</v>
      </c>
      <c r="M986" s="4" t="s">
        <v>46</v>
      </c>
      <c r="N986" s="4"/>
      <c r="O986" s="4" t="s">
        <v>47</v>
      </c>
      <c r="P986" s="4" t="s">
        <v>48</v>
      </c>
      <c r="Q986" s="4">
        <v>0</v>
      </c>
      <c r="R986" s="4" t="b">
        <v>0</v>
      </c>
      <c r="S986" s="4" t="s">
        <v>49</v>
      </c>
      <c r="T986" s="4" t="s">
        <v>583</v>
      </c>
      <c r="U986" s="4" t="s">
        <v>71</v>
      </c>
      <c r="V986" s="4" t="s">
        <v>72</v>
      </c>
      <c r="W986" s="4" t="s">
        <v>73</v>
      </c>
      <c r="X986" s="4" t="s">
        <v>54</v>
      </c>
      <c r="Y986" s="4"/>
      <c r="Z986" s="12">
        <v>0</v>
      </c>
      <c r="AA986" s="13" t="s">
        <v>9161</v>
      </c>
      <c r="AB986" s="13" t="s">
        <v>9160</v>
      </c>
      <c r="AC986" s="14" t="s">
        <v>9139</v>
      </c>
      <c r="AD986" s="14" t="s">
        <v>9140</v>
      </c>
      <c r="AE986" s="14" t="s">
        <v>9140</v>
      </c>
      <c r="AF986" s="14" t="s">
        <v>72</v>
      </c>
      <c r="AG986" s="14" t="s">
        <v>54</v>
      </c>
      <c r="AH986" s="15" t="s">
        <v>9194</v>
      </c>
      <c r="AI986" s="15" t="s">
        <v>9191</v>
      </c>
      <c r="AJ986" s="15" t="s">
        <v>9143</v>
      </c>
      <c r="AK986" s="15" t="s">
        <v>9194</v>
      </c>
      <c r="AL986" s="15" t="s">
        <v>9201</v>
      </c>
      <c r="AM986" s="16" t="s">
        <v>9194</v>
      </c>
      <c r="AN986" s="16" t="s">
        <v>9202</v>
      </c>
    </row>
    <row r="987" spans="1:40" x14ac:dyDescent="0.25">
      <c r="A987" s="4" t="s">
        <v>8253</v>
      </c>
      <c r="B987" s="4"/>
      <c r="C987" s="4" t="s">
        <v>39</v>
      </c>
      <c r="D987" s="4" t="s">
        <v>8254</v>
      </c>
      <c r="E987" s="4" t="s">
        <v>8255</v>
      </c>
      <c r="F987" s="10">
        <v>45437</v>
      </c>
      <c r="G987" s="11">
        <v>0.54791666666666672</v>
      </c>
      <c r="H987" s="4" t="s">
        <v>4910</v>
      </c>
      <c r="I987" s="4" t="s">
        <v>8223</v>
      </c>
      <c r="J987" s="4" t="s">
        <v>1844</v>
      </c>
      <c r="K987" s="4" t="s">
        <v>711</v>
      </c>
      <c r="L987" s="4" t="s">
        <v>8256</v>
      </c>
      <c r="M987" s="4" t="s">
        <v>46</v>
      </c>
      <c r="N987" s="4"/>
      <c r="O987" s="4" t="s">
        <v>47</v>
      </c>
      <c r="P987" s="4" t="s">
        <v>48</v>
      </c>
      <c r="Q987" s="4">
        <v>0</v>
      </c>
      <c r="R987" s="4" t="b">
        <v>0</v>
      </c>
      <c r="S987" s="4" t="s">
        <v>61</v>
      </c>
      <c r="T987" s="4" t="s">
        <v>583</v>
      </c>
      <c r="U987" s="4" t="s">
        <v>527</v>
      </c>
      <c r="V987" s="4" t="s">
        <v>72</v>
      </c>
      <c r="W987" s="4" t="s">
        <v>73</v>
      </c>
      <c r="X987" s="4" t="s">
        <v>54</v>
      </c>
      <c r="Y987" s="4"/>
      <c r="Z987" s="12">
        <v>0</v>
      </c>
      <c r="AA987" s="13" t="s">
        <v>9161</v>
      </c>
      <c r="AB987" s="13" t="s">
        <v>9160</v>
      </c>
      <c r="AC987" s="14" t="s">
        <v>9148</v>
      </c>
      <c r="AD987" s="14" t="s">
        <v>9140</v>
      </c>
      <c r="AE987" s="14" t="s">
        <v>9140</v>
      </c>
      <c r="AF987" s="14" t="s">
        <v>72</v>
      </c>
      <c r="AG987" s="14" t="s">
        <v>54</v>
      </c>
      <c r="AH987" s="15" t="s">
        <v>9220</v>
      </c>
      <c r="AI987" s="15" t="s">
        <v>9191</v>
      </c>
      <c r="AJ987" s="15" t="s">
        <v>9143</v>
      </c>
      <c r="AK987" s="15" t="s">
        <v>9221</v>
      </c>
      <c r="AL987" s="15" t="s">
        <v>9226</v>
      </c>
      <c r="AM987" s="16" t="s">
        <v>9221</v>
      </c>
      <c r="AN987" s="16" t="s">
        <v>9227</v>
      </c>
    </row>
    <row r="988" spans="1:40" x14ac:dyDescent="0.25">
      <c r="A988" s="4" t="s">
        <v>8699</v>
      </c>
      <c r="B988" s="4"/>
      <c r="C988" s="4" t="s">
        <v>39</v>
      </c>
      <c r="D988" s="4" t="s">
        <v>8700</v>
      </c>
      <c r="E988" s="4" t="s">
        <v>8701</v>
      </c>
      <c r="F988" s="10">
        <v>45436</v>
      </c>
      <c r="G988" s="11">
        <v>0.60416666666666663</v>
      </c>
      <c r="H988" s="4" t="s">
        <v>4516</v>
      </c>
      <c r="I988" s="4" t="s">
        <v>8691</v>
      </c>
      <c r="J988" s="4" t="s">
        <v>3943</v>
      </c>
      <c r="K988" s="4" t="s">
        <v>8702</v>
      </c>
      <c r="L988" s="4" t="s">
        <v>8703</v>
      </c>
      <c r="M988" s="4" t="s">
        <v>46</v>
      </c>
      <c r="N988" s="4"/>
      <c r="O988" s="4" t="s">
        <v>47</v>
      </c>
      <c r="P988" s="4" t="s">
        <v>48</v>
      </c>
      <c r="Q988" s="4">
        <v>0</v>
      </c>
      <c r="R988" s="4" t="b">
        <v>0</v>
      </c>
      <c r="S988" s="4" t="s">
        <v>114</v>
      </c>
      <c r="T988" s="4" t="s">
        <v>583</v>
      </c>
      <c r="U988" s="4" t="s">
        <v>2817</v>
      </c>
      <c r="V988" s="4" t="s">
        <v>52</v>
      </c>
      <c r="W988" s="4" t="s">
        <v>135</v>
      </c>
      <c r="X988" s="4" t="s">
        <v>54</v>
      </c>
      <c r="Y988" s="4"/>
      <c r="Z988" s="12">
        <v>0</v>
      </c>
      <c r="AA988" s="13" t="s">
        <v>9161</v>
      </c>
      <c r="AB988" s="13" t="s">
        <v>9160</v>
      </c>
      <c r="AC988" s="14" t="s">
        <v>9157</v>
      </c>
      <c r="AD988" s="14" t="s">
        <v>9140</v>
      </c>
      <c r="AE988" s="14" t="s">
        <v>9140</v>
      </c>
      <c r="AF988" s="14" t="s">
        <v>52</v>
      </c>
      <c r="AG988" s="14" t="s">
        <v>54</v>
      </c>
      <c r="AH988" s="15" t="s">
        <v>9220</v>
      </c>
      <c r="AI988" s="15" t="s">
        <v>9188</v>
      </c>
      <c r="AJ988" s="15" t="s">
        <v>9143</v>
      </c>
      <c r="AK988" s="15" t="s">
        <v>9221</v>
      </c>
      <c r="AL988" s="15" t="s">
        <v>9230</v>
      </c>
      <c r="AM988" s="16" t="s">
        <v>9221</v>
      </c>
      <c r="AN988" s="16" t="s">
        <v>9231</v>
      </c>
    </row>
    <row r="989" spans="1:40" x14ac:dyDescent="0.25">
      <c r="A989" s="4" t="s">
        <v>1116</v>
      </c>
      <c r="B989" s="4"/>
      <c r="C989" s="4" t="s">
        <v>39</v>
      </c>
      <c r="D989" s="4" t="s">
        <v>1117</v>
      </c>
      <c r="E989" s="4" t="s">
        <v>1118</v>
      </c>
      <c r="F989" s="10">
        <v>45435</v>
      </c>
      <c r="G989" s="11">
        <v>0.66666666666666663</v>
      </c>
      <c r="H989" s="4" t="s">
        <v>463</v>
      </c>
      <c r="I989" s="4">
        <v>2059</v>
      </c>
      <c r="J989" s="4" t="s">
        <v>1101</v>
      </c>
      <c r="K989" s="4" t="s">
        <v>1119</v>
      </c>
      <c r="L989" s="4" t="s">
        <v>1120</v>
      </c>
      <c r="M989" s="4" t="s">
        <v>46</v>
      </c>
      <c r="N989" s="4"/>
      <c r="O989" s="4" t="s">
        <v>47</v>
      </c>
      <c r="P989" s="4" t="s">
        <v>48</v>
      </c>
      <c r="Q989" s="4">
        <v>0</v>
      </c>
      <c r="R989" s="4" t="b">
        <v>0</v>
      </c>
      <c r="S989" s="4" t="s">
        <v>61</v>
      </c>
      <c r="T989" s="4" t="s">
        <v>79</v>
      </c>
      <c r="U989" s="4" t="s">
        <v>80</v>
      </c>
      <c r="V989" s="4" t="s">
        <v>672</v>
      </c>
      <c r="W989" s="4" t="s">
        <v>1121</v>
      </c>
      <c r="X989" s="4" t="s">
        <v>978</v>
      </c>
      <c r="Y989" s="4"/>
      <c r="Z989" s="12">
        <v>0</v>
      </c>
      <c r="AA989" s="13" t="s">
        <v>9161</v>
      </c>
      <c r="AB989" s="13" t="s">
        <v>9160</v>
      </c>
      <c r="AC989" s="14" t="s">
        <v>9148</v>
      </c>
      <c r="AD989" s="14" t="s">
        <v>9140</v>
      </c>
      <c r="AE989" s="14" t="s">
        <v>9140</v>
      </c>
      <c r="AF989" s="14" t="s">
        <v>672</v>
      </c>
      <c r="AG989" s="14" t="s">
        <v>978</v>
      </c>
      <c r="AH989" s="15" t="s">
        <v>9141</v>
      </c>
      <c r="AI989" s="15" t="s">
        <v>9175</v>
      </c>
      <c r="AJ989" s="15" t="s">
        <v>9143</v>
      </c>
      <c r="AK989" s="15" t="s">
        <v>9141</v>
      </c>
      <c r="AL989" s="15" t="s">
        <v>9175</v>
      </c>
      <c r="AM989" s="16" t="s">
        <v>9141</v>
      </c>
      <c r="AN989" s="16" t="s">
        <v>9176</v>
      </c>
    </row>
    <row r="990" spans="1:40" x14ac:dyDescent="0.25">
      <c r="A990" s="4" t="s">
        <v>256</v>
      </c>
      <c r="B990" s="4"/>
      <c r="C990" s="4" t="s">
        <v>39</v>
      </c>
      <c r="D990" s="4" t="s">
        <v>257</v>
      </c>
      <c r="E990" s="4" t="s">
        <v>258</v>
      </c>
      <c r="F990" s="10">
        <v>45435</v>
      </c>
      <c r="G990" s="11">
        <v>0.61111111111111116</v>
      </c>
      <c r="H990" s="4" t="s">
        <v>42</v>
      </c>
      <c r="I990" s="4">
        <v>1011</v>
      </c>
      <c r="J990" s="4" t="s">
        <v>215</v>
      </c>
      <c r="K990" s="4" t="s">
        <v>259</v>
      </c>
      <c r="L990" s="4" t="s">
        <v>260</v>
      </c>
      <c r="M990" s="4" t="s">
        <v>46</v>
      </c>
      <c r="N990" s="4"/>
      <c r="O990" s="4" t="s">
        <v>47</v>
      </c>
      <c r="P990" s="4" t="s">
        <v>48</v>
      </c>
      <c r="Q990" s="4">
        <v>0</v>
      </c>
      <c r="R990" s="4" t="b">
        <v>0</v>
      </c>
      <c r="S990" s="4" t="s">
        <v>49</v>
      </c>
      <c r="T990" s="4" t="s">
        <v>50</v>
      </c>
      <c r="U990" s="4" t="s">
        <v>71</v>
      </c>
      <c r="V990" s="4" t="s">
        <v>72</v>
      </c>
      <c r="W990" s="4" t="s">
        <v>73</v>
      </c>
      <c r="X990" s="4" t="s">
        <v>54</v>
      </c>
      <c r="Y990" s="4"/>
      <c r="Z990" s="12">
        <v>0</v>
      </c>
      <c r="AA990" s="13" t="s">
        <v>9161</v>
      </c>
      <c r="AB990" s="13" t="s">
        <v>9160</v>
      </c>
      <c r="AC990" s="14" t="s">
        <v>9139</v>
      </c>
      <c r="AD990" s="14" t="s">
        <v>9140</v>
      </c>
      <c r="AE990" s="14" t="s">
        <v>9140</v>
      </c>
      <c r="AF990" s="14" t="s">
        <v>72</v>
      </c>
      <c r="AG990" s="14" t="s">
        <v>54</v>
      </c>
      <c r="AH990" s="15" t="s">
        <v>9141</v>
      </c>
      <c r="AI990" s="15" t="s">
        <v>9142</v>
      </c>
      <c r="AJ990" s="15" t="s">
        <v>9143</v>
      </c>
      <c r="AK990" s="15" t="s">
        <v>9141</v>
      </c>
      <c r="AL990" s="15" t="s">
        <v>9144</v>
      </c>
      <c r="AM990" s="16" t="s">
        <v>9141</v>
      </c>
      <c r="AN990" s="16" t="s">
        <v>9145</v>
      </c>
    </row>
    <row r="991" spans="1:40" x14ac:dyDescent="0.25">
      <c r="A991" s="4" t="s">
        <v>5456</v>
      </c>
      <c r="B991" s="4"/>
      <c r="C991" s="4" t="s">
        <v>39</v>
      </c>
      <c r="D991" s="4" t="s">
        <v>5457</v>
      </c>
      <c r="E991" s="4" t="s">
        <v>5458</v>
      </c>
      <c r="F991" s="10">
        <v>45435</v>
      </c>
      <c r="G991" s="11">
        <v>0.64027777777777772</v>
      </c>
      <c r="H991" s="4" t="s">
        <v>4659</v>
      </c>
      <c r="I991" s="4" t="s">
        <v>5425</v>
      </c>
      <c r="J991" s="4" t="s">
        <v>3736</v>
      </c>
      <c r="K991" s="4" t="s">
        <v>5459</v>
      </c>
      <c r="L991" s="4" t="s">
        <v>5460</v>
      </c>
      <c r="M991" s="4" t="s">
        <v>46</v>
      </c>
      <c r="N991" s="4"/>
      <c r="O991" s="4" t="s">
        <v>47</v>
      </c>
      <c r="P991" s="4" t="s">
        <v>48</v>
      </c>
      <c r="Q991" s="4">
        <v>0</v>
      </c>
      <c r="R991" s="4" t="b">
        <v>0</v>
      </c>
      <c r="S991" s="4" t="s">
        <v>61</v>
      </c>
      <c r="T991" s="4" t="s">
        <v>70</v>
      </c>
      <c r="U991" s="4" t="s">
        <v>71</v>
      </c>
      <c r="V991" s="4" t="s">
        <v>63</v>
      </c>
      <c r="W991" s="4" t="s">
        <v>312</v>
      </c>
      <c r="X991" s="4" t="s">
        <v>54</v>
      </c>
      <c r="Y991" s="4"/>
      <c r="Z991" s="12">
        <v>0</v>
      </c>
      <c r="AA991" s="13" t="s">
        <v>9161</v>
      </c>
      <c r="AB991" s="13" t="s">
        <v>9160</v>
      </c>
      <c r="AC991" s="14" t="s">
        <v>9148</v>
      </c>
      <c r="AD991" s="14" t="s">
        <v>9140</v>
      </c>
      <c r="AE991" s="14" t="s">
        <v>9140</v>
      </c>
      <c r="AF991" s="14" t="s">
        <v>63</v>
      </c>
      <c r="AG991" s="14" t="s">
        <v>54</v>
      </c>
      <c r="AH991" s="15" t="s">
        <v>9220</v>
      </c>
      <c r="AI991" s="15" t="s">
        <v>9142</v>
      </c>
      <c r="AJ991" s="15" t="s">
        <v>9143</v>
      </c>
      <c r="AK991" s="15" t="s">
        <v>9221</v>
      </c>
      <c r="AL991" s="15" t="s">
        <v>9228</v>
      </c>
      <c r="AM991" s="16" t="s">
        <v>9221</v>
      </c>
      <c r="AN991" s="16" t="s">
        <v>9229</v>
      </c>
    </row>
    <row r="992" spans="1:40" x14ac:dyDescent="0.25">
      <c r="A992" s="4" t="s">
        <v>6383</v>
      </c>
      <c r="B992" s="4"/>
      <c r="C992" s="4" t="s">
        <v>39</v>
      </c>
      <c r="D992" s="4" t="s">
        <v>6384</v>
      </c>
      <c r="E992" s="4" t="s">
        <v>6385</v>
      </c>
      <c r="F992" s="10">
        <v>45435</v>
      </c>
      <c r="G992" s="11">
        <v>0.39861111111111114</v>
      </c>
      <c r="H992" s="4" t="s">
        <v>4659</v>
      </c>
      <c r="I992" s="4" t="s">
        <v>6379</v>
      </c>
      <c r="J992" s="4" t="s">
        <v>6380</v>
      </c>
      <c r="K992" s="4" t="s">
        <v>6386</v>
      </c>
      <c r="L992" s="4" t="s">
        <v>6387</v>
      </c>
      <c r="M992" s="4" t="s">
        <v>46</v>
      </c>
      <c r="N992" s="4"/>
      <c r="O992" s="4" t="s">
        <v>47</v>
      </c>
      <c r="P992" s="4" t="s">
        <v>48</v>
      </c>
      <c r="Q992" s="4">
        <v>0</v>
      </c>
      <c r="R992" s="4" t="b">
        <v>0</v>
      </c>
      <c r="S992" s="4" t="s">
        <v>114</v>
      </c>
      <c r="T992" s="4" t="s">
        <v>89</v>
      </c>
      <c r="U992" s="4" t="s">
        <v>148</v>
      </c>
      <c r="V992" s="4" t="s">
        <v>52</v>
      </c>
      <c r="W992" s="4" t="s">
        <v>374</v>
      </c>
      <c r="X992" s="4" t="s">
        <v>54</v>
      </c>
      <c r="Y992" s="4"/>
      <c r="Z992" s="12">
        <v>0</v>
      </c>
      <c r="AA992" s="13" t="s">
        <v>9161</v>
      </c>
      <c r="AB992" s="13" t="s">
        <v>9160</v>
      </c>
      <c r="AC992" s="14" t="s">
        <v>9157</v>
      </c>
      <c r="AD992" s="14" t="s">
        <v>9140</v>
      </c>
      <c r="AE992" s="14" t="s">
        <v>9140</v>
      </c>
      <c r="AF992" s="14" t="s">
        <v>52</v>
      </c>
      <c r="AG992" s="14" t="s">
        <v>54</v>
      </c>
      <c r="AH992" s="15" t="s">
        <v>9220</v>
      </c>
      <c r="AI992" s="15" t="s">
        <v>9142</v>
      </c>
      <c r="AJ992" s="15" t="s">
        <v>9143</v>
      </c>
      <c r="AK992" s="15" t="s">
        <v>9221</v>
      </c>
      <c r="AL992" s="15" t="s">
        <v>9228</v>
      </c>
      <c r="AM992" s="16" t="s">
        <v>9221</v>
      </c>
      <c r="AN992" s="16" t="s">
        <v>9229</v>
      </c>
    </row>
    <row r="993" spans="1:40" x14ac:dyDescent="0.25">
      <c r="A993" s="4" t="s">
        <v>7885</v>
      </c>
      <c r="B993" s="4"/>
      <c r="C993" s="4" t="s">
        <v>39</v>
      </c>
      <c r="D993" s="4" t="s">
        <v>7886</v>
      </c>
      <c r="E993" s="4" t="s">
        <v>7887</v>
      </c>
      <c r="F993" s="10">
        <v>45434</v>
      </c>
      <c r="G993" s="11">
        <v>0.52083333333333337</v>
      </c>
      <c r="H993" s="4" t="s">
        <v>4659</v>
      </c>
      <c r="I993" s="4" t="s">
        <v>7873</v>
      </c>
      <c r="J993" s="4" t="s">
        <v>7874</v>
      </c>
      <c r="K993" s="4" t="s">
        <v>7888</v>
      </c>
      <c r="L993" s="4" t="s">
        <v>7889</v>
      </c>
      <c r="M993" s="4" t="s">
        <v>46</v>
      </c>
      <c r="N993" s="4"/>
      <c r="O993" s="4" t="s">
        <v>47</v>
      </c>
      <c r="P993" s="4" t="s">
        <v>48</v>
      </c>
      <c r="Q993" s="4">
        <v>0</v>
      </c>
      <c r="R993" s="4" t="b">
        <v>0</v>
      </c>
      <c r="S993" s="4" t="s">
        <v>61</v>
      </c>
      <c r="T993" s="4"/>
      <c r="U993" s="4"/>
      <c r="V993" s="4"/>
      <c r="W993" s="4"/>
      <c r="X993" s="4"/>
      <c r="Y993" s="4"/>
      <c r="Z993" s="12">
        <v>0</v>
      </c>
      <c r="AA993" s="13" t="s">
        <v>9161</v>
      </c>
      <c r="AB993" s="13" t="s">
        <v>9160</v>
      </c>
      <c r="AC993" s="14" t="s">
        <v>9148</v>
      </c>
      <c r="AD993" s="14" t="s">
        <v>9140</v>
      </c>
      <c r="AE993" s="14" t="s">
        <v>9140</v>
      </c>
      <c r="AF993" s="14">
        <v>0</v>
      </c>
      <c r="AG993" s="14">
        <v>0</v>
      </c>
      <c r="AH993" s="15" t="s">
        <v>9220</v>
      </c>
      <c r="AI993" s="15" t="s">
        <v>9142</v>
      </c>
      <c r="AJ993" s="15" t="s">
        <v>9143</v>
      </c>
      <c r="AK993" s="15" t="s">
        <v>9221</v>
      </c>
      <c r="AL993" s="15" t="s">
        <v>9228</v>
      </c>
      <c r="AM993" s="16" t="s">
        <v>9221</v>
      </c>
      <c r="AN993" s="16" t="s">
        <v>9229</v>
      </c>
    </row>
    <row r="994" spans="1:40" x14ac:dyDescent="0.25">
      <c r="A994" s="4" t="s">
        <v>7303</v>
      </c>
      <c r="B994" s="4"/>
      <c r="C994" s="4" t="s">
        <v>39</v>
      </c>
      <c r="D994" s="4" t="s">
        <v>7304</v>
      </c>
      <c r="E994" s="4" t="s">
        <v>7305</v>
      </c>
      <c r="F994" s="10">
        <v>45434</v>
      </c>
      <c r="G994" s="11">
        <v>0.67708333333333337</v>
      </c>
      <c r="H994" s="4" t="s">
        <v>4516</v>
      </c>
      <c r="I994" s="4" t="s">
        <v>7295</v>
      </c>
      <c r="J994" s="4" t="s">
        <v>3265</v>
      </c>
      <c r="K994" s="4" t="s">
        <v>7306</v>
      </c>
      <c r="L994" s="4" t="s">
        <v>7307</v>
      </c>
      <c r="M994" s="4" t="s">
        <v>46</v>
      </c>
      <c r="N994" s="4"/>
      <c r="O994" s="4" t="s">
        <v>47</v>
      </c>
      <c r="P994" s="4" t="s">
        <v>48</v>
      </c>
      <c r="Q994" s="4">
        <v>0</v>
      </c>
      <c r="R994" s="4" t="b">
        <v>0</v>
      </c>
      <c r="S994" s="4" t="s">
        <v>61</v>
      </c>
      <c r="T994" s="4" t="s">
        <v>583</v>
      </c>
      <c r="U994" s="4" t="s">
        <v>148</v>
      </c>
      <c r="V994" s="4" t="s">
        <v>123</v>
      </c>
      <c r="W994" s="4" t="s">
        <v>149</v>
      </c>
      <c r="X994" s="4" t="s">
        <v>54</v>
      </c>
      <c r="Y994" s="4"/>
      <c r="Z994" s="12">
        <v>0</v>
      </c>
      <c r="AA994" s="13" t="s">
        <v>9161</v>
      </c>
      <c r="AB994" s="13" t="s">
        <v>9160</v>
      </c>
      <c r="AC994" s="14" t="s">
        <v>9148</v>
      </c>
      <c r="AD994" s="14" t="s">
        <v>9140</v>
      </c>
      <c r="AE994" s="14" t="s">
        <v>9140</v>
      </c>
      <c r="AF994" s="14" t="s">
        <v>123</v>
      </c>
      <c r="AG994" s="14" t="s">
        <v>54</v>
      </c>
      <c r="AH994" s="15" t="s">
        <v>9220</v>
      </c>
      <c r="AI994" s="15" t="s">
        <v>9188</v>
      </c>
      <c r="AJ994" s="15" t="s">
        <v>9143</v>
      </c>
      <c r="AK994" s="15" t="s">
        <v>9221</v>
      </c>
      <c r="AL994" s="15" t="s">
        <v>9236</v>
      </c>
      <c r="AM994" s="16" t="s">
        <v>9221</v>
      </c>
      <c r="AN994" s="16" t="s">
        <v>9237</v>
      </c>
    </row>
    <row r="995" spans="1:40" x14ac:dyDescent="0.25">
      <c r="A995" s="4" t="s">
        <v>5650</v>
      </c>
      <c r="B995" s="4">
        <v>6852339</v>
      </c>
      <c r="C995" s="4" t="s">
        <v>39</v>
      </c>
      <c r="D995" s="4" t="s">
        <v>5651</v>
      </c>
      <c r="E995" s="4" t="s">
        <v>5652</v>
      </c>
      <c r="F995" s="10">
        <v>45434</v>
      </c>
      <c r="G995" s="11">
        <v>0.40694444444444444</v>
      </c>
      <c r="H995" s="4" t="s">
        <v>4516</v>
      </c>
      <c r="I995" s="4" t="s">
        <v>5633</v>
      </c>
      <c r="J995" s="4" t="s">
        <v>2661</v>
      </c>
      <c r="K995" s="4" t="s">
        <v>5653</v>
      </c>
      <c r="L995" s="4" t="s">
        <v>5654</v>
      </c>
      <c r="M995" s="4" t="s">
        <v>28</v>
      </c>
      <c r="N995" s="4" t="s">
        <v>183</v>
      </c>
      <c r="O995" s="4" t="s">
        <v>174</v>
      </c>
      <c r="P995" s="4" t="s">
        <v>48</v>
      </c>
      <c r="Q995" s="4">
        <v>15</v>
      </c>
      <c r="R995" s="4" t="b">
        <v>0</v>
      </c>
      <c r="S995" s="4" t="s">
        <v>61</v>
      </c>
      <c r="T995" s="4" t="s">
        <v>583</v>
      </c>
      <c r="U995" s="4" t="s">
        <v>140</v>
      </c>
      <c r="V995" s="4" t="s">
        <v>63</v>
      </c>
      <c r="W995" s="4" t="s">
        <v>108</v>
      </c>
      <c r="X995" s="4" t="s">
        <v>54</v>
      </c>
      <c r="Y995" s="4"/>
      <c r="Z995" s="12" t="s">
        <v>48</v>
      </c>
      <c r="AA995" s="13" t="s">
        <v>9161</v>
      </c>
      <c r="AB995" s="13" t="s">
        <v>9160</v>
      </c>
      <c r="AC995" s="14" t="s">
        <v>9148</v>
      </c>
      <c r="AD995" s="14" t="s">
        <v>28</v>
      </c>
      <c r="AE995" s="14" t="s">
        <v>183</v>
      </c>
      <c r="AF995" s="14" t="s">
        <v>63</v>
      </c>
      <c r="AG995" s="14" t="s">
        <v>54</v>
      </c>
      <c r="AH995" s="15" t="s">
        <v>9220</v>
      </c>
      <c r="AI995" s="15" t="s">
        <v>9188</v>
      </c>
      <c r="AJ995" s="15" t="s">
        <v>9143</v>
      </c>
      <c r="AK995" s="15" t="s">
        <v>9221</v>
      </c>
      <c r="AL995" s="15" t="s">
        <v>9232</v>
      </c>
      <c r="AM995" s="16" t="s">
        <v>9221</v>
      </c>
      <c r="AN995" s="16" t="s">
        <v>9233</v>
      </c>
    </row>
    <row r="996" spans="1:40" x14ac:dyDescent="0.25">
      <c r="A996" s="4" t="s">
        <v>7284</v>
      </c>
      <c r="B996" s="4"/>
      <c r="C996" s="4" t="s">
        <v>39</v>
      </c>
      <c r="D996" s="4" t="s">
        <v>7285</v>
      </c>
      <c r="E996" s="4" t="s">
        <v>7286</v>
      </c>
      <c r="F996" s="10">
        <v>45434</v>
      </c>
      <c r="G996" s="11">
        <v>0.39583333333333331</v>
      </c>
      <c r="H996" s="4" t="s">
        <v>5666</v>
      </c>
      <c r="I996" s="4" t="s">
        <v>7264</v>
      </c>
      <c r="J996" s="4" t="s">
        <v>7265</v>
      </c>
      <c r="K996" s="4" t="s">
        <v>7287</v>
      </c>
      <c r="L996" s="4" t="s">
        <v>7288</v>
      </c>
      <c r="M996" s="4" t="s">
        <v>46</v>
      </c>
      <c r="N996" s="4"/>
      <c r="O996" s="4" t="s">
        <v>47</v>
      </c>
      <c r="P996" s="4" t="s">
        <v>48</v>
      </c>
      <c r="Q996" s="4">
        <v>0</v>
      </c>
      <c r="R996" s="4" t="b">
        <v>0</v>
      </c>
      <c r="S996" s="4" t="s">
        <v>61</v>
      </c>
      <c r="T996" s="4" t="s">
        <v>70</v>
      </c>
      <c r="U996" s="4" t="s">
        <v>224</v>
      </c>
      <c r="V996" s="4" t="s">
        <v>72</v>
      </c>
      <c r="W996" s="4" t="s">
        <v>97</v>
      </c>
      <c r="X996" s="4" t="s">
        <v>54</v>
      </c>
      <c r="Y996" s="4"/>
      <c r="Z996" s="12">
        <v>0</v>
      </c>
      <c r="AA996" s="13" t="s">
        <v>9161</v>
      </c>
      <c r="AB996" s="13" t="s">
        <v>9160</v>
      </c>
      <c r="AC996" s="14" t="s">
        <v>9148</v>
      </c>
      <c r="AD996" s="14" t="s">
        <v>9140</v>
      </c>
      <c r="AE996" s="14" t="s">
        <v>9140</v>
      </c>
      <c r="AF996" s="14" t="s">
        <v>72</v>
      </c>
      <c r="AG996" s="14" t="s">
        <v>54</v>
      </c>
      <c r="AH996" s="15" t="s">
        <v>9220</v>
      </c>
      <c r="AI996" s="15" t="s">
        <v>9199</v>
      </c>
      <c r="AJ996" s="15" t="s">
        <v>9143</v>
      </c>
      <c r="AK996" s="15" t="s">
        <v>9221</v>
      </c>
      <c r="AL996" s="15" t="s">
        <v>9199</v>
      </c>
      <c r="AM996" s="16" t="s">
        <v>9221</v>
      </c>
      <c r="AN996" s="16" t="s">
        <v>9238</v>
      </c>
    </row>
    <row r="997" spans="1:40" x14ac:dyDescent="0.25">
      <c r="A997" s="4" t="s">
        <v>1458</v>
      </c>
      <c r="B997" s="4"/>
      <c r="C997" s="4" t="s">
        <v>39</v>
      </c>
      <c r="D997" s="4" t="s">
        <v>1459</v>
      </c>
      <c r="E997" s="4" t="s">
        <v>1460</v>
      </c>
      <c r="F997" s="10">
        <v>45434</v>
      </c>
      <c r="G997" s="11">
        <v>0.48958333333333331</v>
      </c>
      <c r="H997" s="4" t="s">
        <v>1366</v>
      </c>
      <c r="I997" s="4">
        <v>5089</v>
      </c>
      <c r="J997" s="4" t="s">
        <v>1445</v>
      </c>
      <c r="K997" s="4" t="s">
        <v>1461</v>
      </c>
      <c r="L997" s="4" t="s">
        <v>1462</v>
      </c>
      <c r="M997" s="4" t="s">
        <v>46</v>
      </c>
      <c r="N997" s="4"/>
      <c r="O997" s="4" t="s">
        <v>47</v>
      </c>
      <c r="P997" s="4" t="s">
        <v>48</v>
      </c>
      <c r="Q997" s="4">
        <v>0</v>
      </c>
      <c r="R997" s="4" t="b">
        <v>0</v>
      </c>
      <c r="S997" s="4" t="s">
        <v>49</v>
      </c>
      <c r="T997" s="4" t="s">
        <v>70</v>
      </c>
      <c r="U997" s="4" t="s">
        <v>71</v>
      </c>
      <c r="V997" s="4" t="s">
        <v>72</v>
      </c>
      <c r="W997" s="4" t="s">
        <v>73</v>
      </c>
      <c r="X997" s="4" t="s">
        <v>54</v>
      </c>
      <c r="Y997" s="4"/>
      <c r="Z997" s="12">
        <v>0</v>
      </c>
      <c r="AA997" s="13" t="s">
        <v>9161</v>
      </c>
      <c r="AB997" s="13" t="s">
        <v>9160</v>
      </c>
      <c r="AC997" s="14" t="s">
        <v>9139</v>
      </c>
      <c r="AD997" s="14" t="s">
        <v>9140</v>
      </c>
      <c r="AE997" s="14" t="s">
        <v>9140</v>
      </c>
      <c r="AF997" s="14" t="s">
        <v>72</v>
      </c>
      <c r="AG997" s="14" t="s">
        <v>54</v>
      </c>
      <c r="AH997" s="15" t="s">
        <v>9141</v>
      </c>
      <c r="AI997" s="15" t="s">
        <v>9188</v>
      </c>
      <c r="AJ997" s="15" t="s">
        <v>9143</v>
      </c>
      <c r="AK997" s="15" t="s">
        <v>9141</v>
      </c>
      <c r="AL997" s="15" t="s">
        <v>9189</v>
      </c>
      <c r="AM997" s="16" t="s">
        <v>9141</v>
      </c>
      <c r="AN997" s="16" t="s">
        <v>9190</v>
      </c>
    </row>
    <row r="998" spans="1:40" x14ac:dyDescent="0.25">
      <c r="A998" s="4" t="s">
        <v>2601</v>
      </c>
      <c r="B998" s="4"/>
      <c r="C998" s="4" t="s">
        <v>39</v>
      </c>
      <c r="D998" s="4" t="s">
        <v>2602</v>
      </c>
      <c r="E998" s="4" t="s">
        <v>2603</v>
      </c>
      <c r="F998" s="10">
        <v>45434</v>
      </c>
      <c r="G998" s="11">
        <v>0.64236111111111116</v>
      </c>
      <c r="H998" s="4" t="s">
        <v>2017</v>
      </c>
      <c r="I998" s="4" t="s">
        <v>2597</v>
      </c>
      <c r="J998" s="4" t="s">
        <v>2598</v>
      </c>
      <c r="K998" s="4" t="s">
        <v>2604</v>
      </c>
      <c r="L998" s="4" t="s">
        <v>2605</v>
      </c>
      <c r="M998" s="4" t="s">
        <v>46</v>
      </c>
      <c r="N998" s="4"/>
      <c r="O998" s="4" t="s">
        <v>47</v>
      </c>
      <c r="P998" s="4" t="s">
        <v>48</v>
      </c>
      <c r="Q998" s="4">
        <v>0</v>
      </c>
      <c r="R998" s="4" t="b">
        <v>0</v>
      </c>
      <c r="S998" s="4" t="s">
        <v>61</v>
      </c>
      <c r="T998" s="4" t="s">
        <v>50</v>
      </c>
      <c r="U998" s="4" t="s">
        <v>90</v>
      </c>
      <c r="V998" s="4" t="s">
        <v>63</v>
      </c>
      <c r="W998" s="4" t="s">
        <v>108</v>
      </c>
      <c r="X998" s="4" t="s">
        <v>54</v>
      </c>
      <c r="Y998" s="4"/>
      <c r="Z998" s="12">
        <v>0</v>
      </c>
      <c r="AA998" s="13" t="s">
        <v>9161</v>
      </c>
      <c r="AB998" s="13" t="s">
        <v>9160</v>
      </c>
      <c r="AC998" s="14" t="s">
        <v>9148</v>
      </c>
      <c r="AD998" s="14" t="s">
        <v>9140</v>
      </c>
      <c r="AE998" s="14" t="s">
        <v>9140</v>
      </c>
      <c r="AF998" s="14" t="s">
        <v>63</v>
      </c>
      <c r="AG998" s="14" t="s">
        <v>54</v>
      </c>
      <c r="AH998" s="15" t="s">
        <v>9194</v>
      </c>
      <c r="AI998" s="15" t="s">
        <v>9199</v>
      </c>
      <c r="AJ998" s="15" t="s">
        <v>9143</v>
      </c>
      <c r="AK998" s="15" t="s">
        <v>9194</v>
      </c>
      <c r="AL998" s="15" t="s">
        <v>9199</v>
      </c>
      <c r="AM998" s="16" t="s">
        <v>9194</v>
      </c>
      <c r="AN998" s="16" t="s">
        <v>9200</v>
      </c>
    </row>
    <row r="999" spans="1:40" x14ac:dyDescent="0.25">
      <c r="A999" s="4" t="s">
        <v>3703</v>
      </c>
      <c r="B999" s="4"/>
      <c r="C999" s="4" t="s">
        <v>39</v>
      </c>
      <c r="D999" s="4" t="s">
        <v>3704</v>
      </c>
      <c r="E999" s="4" t="s">
        <v>3705</v>
      </c>
      <c r="F999" s="10">
        <v>45434</v>
      </c>
      <c r="G999" s="11">
        <v>0.64583333333333337</v>
      </c>
      <c r="H999" s="4" t="s">
        <v>1939</v>
      </c>
      <c r="I999" s="4" t="s">
        <v>3706</v>
      </c>
      <c r="J999" s="4" t="s">
        <v>3707</v>
      </c>
      <c r="K999" s="4" t="s">
        <v>3708</v>
      </c>
      <c r="L999" s="4" t="s">
        <v>3709</v>
      </c>
      <c r="M999" s="4" t="s">
        <v>46</v>
      </c>
      <c r="N999" s="4"/>
      <c r="O999" s="4" t="s">
        <v>47</v>
      </c>
      <c r="P999" s="4" t="s">
        <v>48</v>
      </c>
      <c r="Q999" s="4">
        <v>0</v>
      </c>
      <c r="R999" s="4" t="b">
        <v>0</v>
      </c>
      <c r="S999" s="4" t="s">
        <v>49</v>
      </c>
      <c r="T999" s="4" t="s">
        <v>70</v>
      </c>
      <c r="U999" s="4" t="s">
        <v>224</v>
      </c>
      <c r="V999" s="4" t="s">
        <v>72</v>
      </c>
      <c r="W999" s="4" t="s">
        <v>73</v>
      </c>
      <c r="X999" s="4" t="s">
        <v>54</v>
      </c>
      <c r="Y999" s="4"/>
      <c r="Z999" s="12">
        <v>0</v>
      </c>
      <c r="AA999" s="13" t="s">
        <v>9161</v>
      </c>
      <c r="AB999" s="13" t="s">
        <v>9160</v>
      </c>
      <c r="AC999" s="14" t="s">
        <v>9139</v>
      </c>
      <c r="AD999" s="14" t="s">
        <v>9140</v>
      </c>
      <c r="AE999" s="14" t="s">
        <v>9140</v>
      </c>
      <c r="AF999" s="14" t="s">
        <v>72</v>
      </c>
      <c r="AG999" s="14" t="s">
        <v>54</v>
      </c>
      <c r="AH999" s="15" t="s">
        <v>9194</v>
      </c>
      <c r="AI999" s="15" t="s">
        <v>9175</v>
      </c>
      <c r="AJ999" s="15" t="s">
        <v>9143</v>
      </c>
      <c r="AK999" s="15" t="s">
        <v>9194</v>
      </c>
      <c r="AL999" s="15" t="s">
        <v>9209</v>
      </c>
      <c r="AM999" s="16" t="s">
        <v>9194</v>
      </c>
      <c r="AN999" s="16" t="s">
        <v>9210</v>
      </c>
    </row>
    <row r="1000" spans="1:40" x14ac:dyDescent="0.25">
      <c r="A1000" s="4" t="s">
        <v>6166</v>
      </c>
      <c r="B1000" s="4"/>
      <c r="C1000" s="4" t="s">
        <v>39</v>
      </c>
      <c r="D1000" s="4" t="s">
        <v>6167</v>
      </c>
      <c r="E1000" s="4" t="s">
        <v>6168</v>
      </c>
      <c r="F1000" s="10">
        <v>45433</v>
      </c>
      <c r="G1000" s="11">
        <v>0.35416666666666669</v>
      </c>
      <c r="H1000" s="4" t="s">
        <v>5666</v>
      </c>
      <c r="I1000" s="4" t="s">
        <v>6136</v>
      </c>
      <c r="J1000" s="4" t="s">
        <v>2598</v>
      </c>
      <c r="K1000" s="4" t="s">
        <v>4610</v>
      </c>
      <c r="L1000" s="4" t="s">
        <v>6169</v>
      </c>
      <c r="M1000" s="4" t="s">
        <v>46</v>
      </c>
      <c r="N1000" s="4"/>
      <c r="O1000" s="4" t="s">
        <v>47</v>
      </c>
      <c r="P1000" s="4" t="s">
        <v>48</v>
      </c>
      <c r="Q1000" s="4">
        <v>0</v>
      </c>
      <c r="R1000" s="4" t="b">
        <v>0</v>
      </c>
      <c r="S1000" s="4" t="s">
        <v>61</v>
      </c>
      <c r="T1000" s="4" t="s">
        <v>50</v>
      </c>
      <c r="U1000" s="4" t="s">
        <v>51</v>
      </c>
      <c r="V1000" s="4" t="s">
        <v>63</v>
      </c>
      <c r="W1000" s="4" t="s">
        <v>198</v>
      </c>
      <c r="X1000" s="4" t="s">
        <v>1131</v>
      </c>
      <c r="Y1000" s="4"/>
      <c r="Z1000" s="12">
        <v>0</v>
      </c>
      <c r="AA1000" s="13" t="s">
        <v>9161</v>
      </c>
      <c r="AB1000" s="13" t="s">
        <v>9160</v>
      </c>
      <c r="AC1000" s="14" t="s">
        <v>9148</v>
      </c>
      <c r="AD1000" s="14" t="s">
        <v>9140</v>
      </c>
      <c r="AE1000" s="14" t="s">
        <v>9140</v>
      </c>
      <c r="AF1000" s="14" t="s">
        <v>63</v>
      </c>
      <c r="AG1000" s="14" t="s">
        <v>1131</v>
      </c>
      <c r="AH1000" s="15" t="s">
        <v>9220</v>
      </c>
      <c r="AI1000" s="15" t="s">
        <v>9199</v>
      </c>
      <c r="AJ1000" s="15" t="s">
        <v>9143</v>
      </c>
      <c r="AK1000" s="15" t="s">
        <v>9221</v>
      </c>
      <c r="AL1000" s="15" t="s">
        <v>9199</v>
      </c>
      <c r="AM1000" s="16" t="s">
        <v>9221</v>
      </c>
      <c r="AN1000" s="16" t="s">
        <v>9238</v>
      </c>
    </row>
    <row r="1001" spans="1:40" x14ac:dyDescent="0.25">
      <c r="A1001" s="4" t="s">
        <v>3790</v>
      </c>
      <c r="B1001" s="4" t="s">
        <v>3791</v>
      </c>
      <c r="C1001" s="4" t="s">
        <v>39</v>
      </c>
      <c r="D1001" s="4" t="s">
        <v>3770</v>
      </c>
      <c r="E1001" s="4" t="s">
        <v>3771</v>
      </c>
      <c r="F1001" s="10">
        <v>45432</v>
      </c>
      <c r="G1001" s="11">
        <v>0.46875</v>
      </c>
      <c r="H1001" s="4" t="s">
        <v>1992</v>
      </c>
      <c r="I1001" s="4" t="s">
        <v>3772</v>
      </c>
      <c r="J1001" s="4" t="s">
        <v>3773</v>
      </c>
      <c r="K1001" s="4" t="s">
        <v>321</v>
      </c>
      <c r="L1001" s="4" t="s">
        <v>3792</v>
      </c>
      <c r="M1001" s="4" t="s">
        <v>28</v>
      </c>
      <c r="N1001" s="4" t="s">
        <v>183</v>
      </c>
      <c r="O1001" s="4" t="s">
        <v>174</v>
      </c>
      <c r="P1001" s="4" t="s">
        <v>48</v>
      </c>
      <c r="Q1001" s="4">
        <v>4</v>
      </c>
      <c r="R1001" s="4" t="b">
        <v>0</v>
      </c>
      <c r="S1001" s="4" t="s">
        <v>184</v>
      </c>
      <c r="T1001" s="4" t="s">
        <v>583</v>
      </c>
      <c r="U1001" s="4" t="s">
        <v>148</v>
      </c>
      <c r="V1001" s="4" t="s">
        <v>52</v>
      </c>
      <c r="W1001" s="4" t="s">
        <v>53</v>
      </c>
      <c r="X1001" s="4" t="s">
        <v>54</v>
      </c>
      <c r="Y1001" s="4"/>
      <c r="Z1001" s="12" t="s">
        <v>48</v>
      </c>
      <c r="AA1001" s="13" t="s">
        <v>9161</v>
      </c>
      <c r="AB1001" s="13" t="s">
        <v>9160</v>
      </c>
      <c r="AC1001" s="14" t="s">
        <v>9166</v>
      </c>
      <c r="AD1001" s="14" t="s">
        <v>28</v>
      </c>
      <c r="AE1001" s="14" t="s">
        <v>183</v>
      </c>
      <c r="AF1001" s="14" t="s">
        <v>52</v>
      </c>
      <c r="AG1001" s="14" t="s">
        <v>54</v>
      </c>
      <c r="AH1001" s="15" t="s">
        <v>9194</v>
      </c>
      <c r="AI1001" s="15" t="s">
        <v>9191</v>
      </c>
      <c r="AJ1001" s="15" t="s">
        <v>9143</v>
      </c>
      <c r="AK1001" s="15" t="s">
        <v>9194</v>
      </c>
      <c r="AL1001" s="15" t="s">
        <v>9201</v>
      </c>
      <c r="AM1001" s="16" t="s">
        <v>9194</v>
      </c>
      <c r="AN1001" s="16" t="s">
        <v>9202</v>
      </c>
    </row>
    <row r="1002" spans="1:40" x14ac:dyDescent="0.25">
      <c r="A1002" s="4" t="s">
        <v>8704</v>
      </c>
      <c r="B1002" s="4">
        <v>6884498</v>
      </c>
      <c r="C1002" s="4" t="s">
        <v>39</v>
      </c>
      <c r="D1002" s="4" t="s">
        <v>8705</v>
      </c>
      <c r="E1002" s="4" t="s">
        <v>8706</v>
      </c>
      <c r="F1002" s="10">
        <v>45432</v>
      </c>
      <c r="G1002" s="11">
        <v>0.4375</v>
      </c>
      <c r="H1002" s="4" t="s">
        <v>4516</v>
      </c>
      <c r="I1002" s="4" t="s">
        <v>8691</v>
      </c>
      <c r="J1002" s="4" t="s">
        <v>3943</v>
      </c>
      <c r="K1002" s="4" t="s">
        <v>175</v>
      </c>
      <c r="L1002" s="4" t="s">
        <v>8707</v>
      </c>
      <c r="M1002" s="4" t="s">
        <v>46</v>
      </c>
      <c r="N1002" s="4"/>
      <c r="O1002" s="4" t="s">
        <v>47</v>
      </c>
      <c r="P1002" s="4" t="s">
        <v>48</v>
      </c>
      <c r="Q1002" s="4">
        <v>0</v>
      </c>
      <c r="R1002" s="4" t="b">
        <v>0</v>
      </c>
      <c r="S1002" s="4" t="s">
        <v>61</v>
      </c>
      <c r="T1002" s="4" t="s">
        <v>583</v>
      </c>
      <c r="U1002" s="4" t="s">
        <v>175</v>
      </c>
      <c r="V1002" s="4" t="s">
        <v>52</v>
      </c>
      <c r="W1002" s="4" t="s">
        <v>53</v>
      </c>
      <c r="X1002" s="4" t="s">
        <v>54</v>
      </c>
      <c r="Y1002" s="4"/>
      <c r="Z1002" s="12">
        <v>0</v>
      </c>
      <c r="AA1002" s="13" t="s">
        <v>9161</v>
      </c>
      <c r="AB1002" s="13" t="s">
        <v>9160</v>
      </c>
      <c r="AC1002" s="14" t="s">
        <v>9148</v>
      </c>
      <c r="AD1002" s="14" t="s">
        <v>9140</v>
      </c>
      <c r="AE1002" s="14" t="s">
        <v>9140</v>
      </c>
      <c r="AF1002" s="14" t="s">
        <v>52</v>
      </c>
      <c r="AG1002" s="14" t="s">
        <v>54</v>
      </c>
      <c r="AH1002" s="15" t="s">
        <v>9220</v>
      </c>
      <c r="AI1002" s="15" t="s">
        <v>9188</v>
      </c>
      <c r="AJ1002" s="15" t="s">
        <v>9143</v>
      </c>
      <c r="AK1002" s="15" t="s">
        <v>9221</v>
      </c>
      <c r="AL1002" s="15" t="s">
        <v>9230</v>
      </c>
      <c r="AM1002" s="16" t="s">
        <v>9221</v>
      </c>
      <c r="AN1002" s="16" t="s">
        <v>9231</v>
      </c>
    </row>
    <row r="1003" spans="1:40" x14ac:dyDescent="0.25">
      <c r="A1003" s="4" t="s">
        <v>3881</v>
      </c>
      <c r="B1003" s="4"/>
      <c r="C1003" s="4" t="s">
        <v>39</v>
      </c>
      <c r="D1003" s="4" t="s">
        <v>3882</v>
      </c>
      <c r="E1003" s="4" t="s">
        <v>3883</v>
      </c>
      <c r="F1003" s="10">
        <v>45432</v>
      </c>
      <c r="G1003" s="11">
        <v>0.625</v>
      </c>
      <c r="H1003" s="4" t="s">
        <v>3119</v>
      </c>
      <c r="I1003" s="4" t="s">
        <v>3876</v>
      </c>
      <c r="J1003" s="4" t="s">
        <v>3877</v>
      </c>
      <c r="K1003" s="4" t="s">
        <v>3884</v>
      </c>
      <c r="L1003" s="4" t="s">
        <v>3885</v>
      </c>
      <c r="M1003" s="4" t="s">
        <v>46</v>
      </c>
      <c r="N1003" s="4"/>
      <c r="O1003" s="4" t="s">
        <v>47</v>
      </c>
      <c r="P1003" s="4" t="s">
        <v>48</v>
      </c>
      <c r="Q1003" s="4">
        <v>0</v>
      </c>
      <c r="R1003" s="4" t="b">
        <v>0</v>
      </c>
      <c r="S1003" s="4" t="s">
        <v>61</v>
      </c>
      <c r="T1003" s="4" t="s">
        <v>583</v>
      </c>
      <c r="U1003" s="4" t="s">
        <v>2065</v>
      </c>
      <c r="V1003" s="4" t="s">
        <v>63</v>
      </c>
      <c r="W1003" s="4" t="s">
        <v>64</v>
      </c>
      <c r="X1003" s="4" t="s">
        <v>54</v>
      </c>
      <c r="Y1003" s="4"/>
      <c r="Z1003" s="12">
        <v>0</v>
      </c>
      <c r="AA1003" s="13" t="s">
        <v>9161</v>
      </c>
      <c r="AB1003" s="13" t="s">
        <v>9160</v>
      </c>
      <c r="AC1003" s="14" t="s">
        <v>9148</v>
      </c>
      <c r="AD1003" s="14" t="s">
        <v>9140</v>
      </c>
      <c r="AE1003" s="14" t="s">
        <v>9140</v>
      </c>
      <c r="AF1003" s="14" t="s">
        <v>63</v>
      </c>
      <c r="AG1003" s="14" t="s">
        <v>54</v>
      </c>
      <c r="AH1003" s="15" t="s">
        <v>9194</v>
      </c>
      <c r="AI1003" s="15" t="s">
        <v>9213</v>
      </c>
      <c r="AJ1003" s="15" t="s">
        <v>9143</v>
      </c>
      <c r="AK1003" s="15" t="s">
        <v>9194</v>
      </c>
      <c r="AL1003" s="15" t="s">
        <v>9205</v>
      </c>
      <c r="AM1003" s="16" t="s">
        <v>9194</v>
      </c>
      <c r="AN1003" s="16" t="s">
        <v>9206</v>
      </c>
    </row>
    <row r="1004" spans="1:40" x14ac:dyDescent="0.25">
      <c r="A1004" s="4" t="s">
        <v>7490</v>
      </c>
      <c r="B1004" s="4"/>
      <c r="C1004" s="4" t="s">
        <v>39</v>
      </c>
      <c r="D1004" s="4" t="s">
        <v>7481</v>
      </c>
      <c r="E1004" s="4" t="s">
        <v>7482</v>
      </c>
      <c r="F1004" s="10">
        <v>45432</v>
      </c>
      <c r="G1004" s="11">
        <v>0.4201388888888889</v>
      </c>
      <c r="H1004" s="4" t="s">
        <v>4910</v>
      </c>
      <c r="I1004" s="4" t="s">
        <v>7457</v>
      </c>
      <c r="J1004" s="4" t="s">
        <v>2378</v>
      </c>
      <c r="K1004" s="4" t="s">
        <v>7491</v>
      </c>
      <c r="L1004" s="4" t="s">
        <v>7492</v>
      </c>
      <c r="M1004" s="4" t="s">
        <v>46</v>
      </c>
      <c r="N1004" s="4"/>
      <c r="O1004" s="4" t="s">
        <v>47</v>
      </c>
      <c r="P1004" s="4" t="s">
        <v>48</v>
      </c>
      <c r="Q1004" s="4">
        <v>0</v>
      </c>
      <c r="R1004" s="4" t="b">
        <v>0</v>
      </c>
      <c r="S1004" s="4" t="s">
        <v>49</v>
      </c>
      <c r="T1004" s="4" t="s">
        <v>583</v>
      </c>
      <c r="U1004" s="4" t="s">
        <v>107</v>
      </c>
      <c r="V1004" s="4" t="s">
        <v>63</v>
      </c>
      <c r="W1004" s="4" t="s">
        <v>198</v>
      </c>
      <c r="X1004" s="4" t="s">
        <v>7493</v>
      </c>
      <c r="Y1004" s="4" t="s">
        <v>991</v>
      </c>
      <c r="Z1004" s="12">
        <v>0</v>
      </c>
      <c r="AA1004" s="13" t="s">
        <v>9161</v>
      </c>
      <c r="AB1004" s="13" t="s">
        <v>9160</v>
      </c>
      <c r="AC1004" s="14" t="s">
        <v>9139</v>
      </c>
      <c r="AD1004" s="14" t="s">
        <v>9140</v>
      </c>
      <c r="AE1004" s="14" t="s">
        <v>9140</v>
      </c>
      <c r="AF1004" s="14" t="s">
        <v>63</v>
      </c>
      <c r="AG1004" s="14" t="s">
        <v>7493</v>
      </c>
      <c r="AH1004" s="15" t="s">
        <v>9220</v>
      </c>
      <c r="AI1004" s="15" t="s">
        <v>9191</v>
      </c>
      <c r="AJ1004" s="15" t="s">
        <v>9143</v>
      </c>
      <c r="AK1004" s="15" t="s">
        <v>9221</v>
      </c>
      <c r="AL1004" s="15" t="s">
        <v>9226</v>
      </c>
      <c r="AM1004" s="16" t="s">
        <v>9221</v>
      </c>
      <c r="AN1004" s="16" t="s">
        <v>9227</v>
      </c>
    </row>
    <row r="1005" spans="1:40" x14ac:dyDescent="0.25">
      <c r="A1005" s="4" t="s">
        <v>8399</v>
      </c>
      <c r="B1005" s="4"/>
      <c r="C1005" s="4" t="s">
        <v>39</v>
      </c>
      <c r="D1005" s="4" t="s">
        <v>8400</v>
      </c>
      <c r="E1005" s="4" t="s">
        <v>8401</v>
      </c>
      <c r="F1005" s="10">
        <v>45432</v>
      </c>
      <c r="G1005" s="11">
        <v>0.35416666666666669</v>
      </c>
      <c r="H1005" s="4" t="s">
        <v>4910</v>
      </c>
      <c r="I1005" s="4" t="s">
        <v>8378</v>
      </c>
      <c r="J1005" s="4" t="s">
        <v>3188</v>
      </c>
      <c r="K1005" s="4" t="s">
        <v>8402</v>
      </c>
      <c r="L1005" s="4" t="s">
        <v>8403</v>
      </c>
      <c r="M1005" s="4" t="s">
        <v>46</v>
      </c>
      <c r="N1005" s="4"/>
      <c r="O1005" s="4" t="s">
        <v>47</v>
      </c>
      <c r="P1005" s="4" t="s">
        <v>48</v>
      </c>
      <c r="Q1005" s="4">
        <v>0</v>
      </c>
      <c r="R1005" s="4" t="b">
        <v>0</v>
      </c>
      <c r="S1005" s="4" t="s">
        <v>49</v>
      </c>
      <c r="T1005" s="4" t="s">
        <v>583</v>
      </c>
      <c r="U1005" s="4" t="s">
        <v>527</v>
      </c>
      <c r="V1005" s="4" t="s">
        <v>63</v>
      </c>
      <c r="W1005" s="4" t="s">
        <v>108</v>
      </c>
      <c r="X1005" s="4" t="s">
        <v>54</v>
      </c>
      <c r="Y1005" s="4"/>
      <c r="Z1005" s="12">
        <v>0</v>
      </c>
      <c r="AA1005" s="13" t="s">
        <v>9161</v>
      </c>
      <c r="AB1005" s="13" t="s">
        <v>9160</v>
      </c>
      <c r="AC1005" s="14" t="s">
        <v>9139</v>
      </c>
      <c r="AD1005" s="14" t="s">
        <v>9140</v>
      </c>
      <c r="AE1005" s="14" t="s">
        <v>9140</v>
      </c>
      <c r="AF1005" s="14" t="s">
        <v>63</v>
      </c>
      <c r="AG1005" s="14" t="s">
        <v>54</v>
      </c>
      <c r="AH1005" s="15" t="s">
        <v>9220</v>
      </c>
      <c r="AI1005" s="15" t="s">
        <v>9191</v>
      </c>
      <c r="AJ1005" s="15" t="s">
        <v>9143</v>
      </c>
      <c r="AK1005" s="15" t="s">
        <v>9221</v>
      </c>
      <c r="AL1005" s="15" t="s">
        <v>9226</v>
      </c>
      <c r="AM1005" s="16" t="s">
        <v>9221</v>
      </c>
      <c r="AN1005" s="16" t="s">
        <v>9227</v>
      </c>
    </row>
    <row r="1006" spans="1:40" x14ac:dyDescent="0.25">
      <c r="A1006" s="4" t="s">
        <v>9010</v>
      </c>
      <c r="B1006" s="4"/>
      <c r="C1006" s="4" t="s">
        <v>39</v>
      </c>
      <c r="D1006" s="4" t="s">
        <v>9011</v>
      </c>
      <c r="E1006" s="4" t="s">
        <v>9012</v>
      </c>
      <c r="F1006" s="10">
        <v>45432</v>
      </c>
      <c r="G1006" s="11">
        <v>0.39861111111111114</v>
      </c>
      <c r="H1006" s="4" t="s">
        <v>4019</v>
      </c>
      <c r="I1006" s="4" t="s">
        <v>8971</v>
      </c>
      <c r="J1006" s="4" t="s">
        <v>8972</v>
      </c>
      <c r="K1006" s="4" t="s">
        <v>9013</v>
      </c>
      <c r="L1006" s="4" t="s">
        <v>9014</v>
      </c>
      <c r="M1006" s="4" t="s">
        <v>46</v>
      </c>
      <c r="N1006" s="4"/>
      <c r="O1006" s="4" t="s">
        <v>344</v>
      </c>
      <c r="P1006" s="4" t="s">
        <v>48</v>
      </c>
      <c r="Q1006" s="4">
        <v>0</v>
      </c>
      <c r="R1006" s="4" t="b">
        <v>0</v>
      </c>
      <c r="S1006" s="4" t="s">
        <v>61</v>
      </c>
      <c r="T1006" s="4" t="s">
        <v>89</v>
      </c>
      <c r="U1006" s="4" t="s">
        <v>2065</v>
      </c>
      <c r="V1006" s="4" t="s">
        <v>123</v>
      </c>
      <c r="W1006" s="4" t="s">
        <v>192</v>
      </c>
      <c r="X1006" s="4" t="s">
        <v>3554</v>
      </c>
      <c r="Y1006" s="4"/>
      <c r="Z1006" s="12">
        <v>0</v>
      </c>
      <c r="AA1006" s="13" t="s">
        <v>9161</v>
      </c>
      <c r="AB1006" s="13" t="s">
        <v>9160</v>
      </c>
      <c r="AC1006" s="14" t="s">
        <v>9148</v>
      </c>
      <c r="AD1006" s="14" t="s">
        <v>9140</v>
      </c>
      <c r="AE1006" s="14" t="s">
        <v>9140</v>
      </c>
      <c r="AF1006" s="14" t="s">
        <v>123</v>
      </c>
      <c r="AG1006" s="14" t="s">
        <v>3554</v>
      </c>
      <c r="AH1006" s="15" t="s">
        <v>9220</v>
      </c>
      <c r="AI1006" s="15" t="s">
        <v>9175</v>
      </c>
      <c r="AJ1006" s="15" t="s">
        <v>9181</v>
      </c>
      <c r="AK1006" s="15" t="s">
        <v>9182</v>
      </c>
      <c r="AL1006" s="15" t="s">
        <v>9182</v>
      </c>
      <c r="AM1006" s="16" t="s">
        <v>9182</v>
      </c>
      <c r="AN1006" s="16" t="s">
        <v>9182</v>
      </c>
    </row>
    <row r="1007" spans="1:40" x14ac:dyDescent="0.25">
      <c r="A1007" s="4" t="s">
        <v>4297</v>
      </c>
      <c r="B1007" s="4"/>
      <c r="C1007" s="4" t="s">
        <v>39</v>
      </c>
      <c r="D1007" s="4" t="s">
        <v>4298</v>
      </c>
      <c r="E1007" s="4" t="s">
        <v>4299</v>
      </c>
      <c r="F1007" s="10">
        <v>45432</v>
      </c>
      <c r="G1007" s="11">
        <v>0.72222222222222221</v>
      </c>
      <c r="H1007" s="4" t="s">
        <v>4019</v>
      </c>
      <c r="I1007" s="4" t="s">
        <v>4285</v>
      </c>
      <c r="J1007" s="4" t="s">
        <v>513</v>
      </c>
      <c r="K1007" s="4" t="s">
        <v>2442</v>
      </c>
      <c r="L1007" s="4" t="s">
        <v>4300</v>
      </c>
      <c r="M1007" s="4" t="s">
        <v>46</v>
      </c>
      <c r="N1007" s="4"/>
      <c r="O1007" s="4" t="s">
        <v>47</v>
      </c>
      <c r="P1007" s="4" t="s">
        <v>48</v>
      </c>
      <c r="Q1007" s="4">
        <v>0</v>
      </c>
      <c r="R1007" s="4" t="b">
        <v>0</v>
      </c>
      <c r="S1007" s="4" t="s">
        <v>61</v>
      </c>
      <c r="T1007" s="4" t="s">
        <v>433</v>
      </c>
      <c r="U1007" s="4" t="s">
        <v>165</v>
      </c>
      <c r="V1007" s="4" t="s">
        <v>63</v>
      </c>
      <c r="W1007" s="4" t="s">
        <v>64</v>
      </c>
      <c r="X1007" s="4" t="s">
        <v>54</v>
      </c>
      <c r="Y1007" s="4"/>
      <c r="Z1007" s="12">
        <v>0</v>
      </c>
      <c r="AA1007" s="13" t="s">
        <v>9161</v>
      </c>
      <c r="AB1007" s="13" t="s">
        <v>9160</v>
      </c>
      <c r="AC1007" s="14" t="s">
        <v>9148</v>
      </c>
      <c r="AD1007" s="14" t="s">
        <v>9140</v>
      </c>
      <c r="AE1007" s="14" t="s">
        <v>9140</v>
      </c>
      <c r="AF1007" s="14" t="s">
        <v>63</v>
      </c>
      <c r="AG1007" s="14" t="s">
        <v>54</v>
      </c>
      <c r="AH1007" s="15" t="s">
        <v>9220</v>
      </c>
      <c r="AI1007" s="15" t="s">
        <v>9175</v>
      </c>
      <c r="AJ1007" s="15" t="s">
        <v>9143</v>
      </c>
      <c r="AK1007" s="15" t="s">
        <v>9221</v>
      </c>
      <c r="AL1007" s="15" t="s">
        <v>9224</v>
      </c>
      <c r="AM1007" s="16" t="s">
        <v>9221</v>
      </c>
      <c r="AN1007" s="16" t="s">
        <v>9225</v>
      </c>
    </row>
    <row r="1008" spans="1:40" x14ac:dyDescent="0.25">
      <c r="A1008" s="4" t="s">
        <v>8149</v>
      </c>
      <c r="B1008" s="4"/>
      <c r="C1008" s="4" t="s">
        <v>39</v>
      </c>
      <c r="D1008" s="4" t="s">
        <v>8141</v>
      </c>
      <c r="E1008" s="4" t="s">
        <v>8142</v>
      </c>
      <c r="F1008" s="10">
        <v>45431</v>
      </c>
      <c r="G1008" s="11">
        <v>0.66527777777777775</v>
      </c>
      <c r="H1008" s="4" t="s">
        <v>4516</v>
      </c>
      <c r="I1008" s="4" t="s">
        <v>8133</v>
      </c>
      <c r="J1008" s="4" t="s">
        <v>8134</v>
      </c>
      <c r="K1008" s="4" t="s">
        <v>8150</v>
      </c>
      <c r="L1008" s="4" t="s">
        <v>8151</v>
      </c>
      <c r="M1008" s="4" t="s">
        <v>46</v>
      </c>
      <c r="N1008" s="4"/>
      <c r="O1008" s="4" t="s">
        <v>47</v>
      </c>
      <c r="P1008" s="4" t="s">
        <v>48</v>
      </c>
      <c r="Q1008" s="4">
        <v>0</v>
      </c>
      <c r="R1008" s="4" t="b">
        <v>0</v>
      </c>
      <c r="S1008" s="4" t="s">
        <v>61</v>
      </c>
      <c r="T1008" s="4" t="s">
        <v>433</v>
      </c>
      <c r="U1008" s="4" t="s">
        <v>165</v>
      </c>
      <c r="V1008" s="4" t="s">
        <v>405</v>
      </c>
      <c r="W1008" s="4" t="s">
        <v>4458</v>
      </c>
      <c r="X1008" s="4" t="s">
        <v>54</v>
      </c>
      <c r="Y1008" s="4"/>
      <c r="Z1008" s="12">
        <v>0</v>
      </c>
      <c r="AA1008" s="13" t="s">
        <v>9161</v>
      </c>
      <c r="AB1008" s="13" t="s">
        <v>9160</v>
      </c>
      <c r="AC1008" s="14" t="s">
        <v>9148</v>
      </c>
      <c r="AD1008" s="14" t="s">
        <v>9140</v>
      </c>
      <c r="AE1008" s="14" t="s">
        <v>9140</v>
      </c>
      <c r="AF1008" s="14" t="s">
        <v>405</v>
      </c>
      <c r="AG1008" s="14" t="s">
        <v>54</v>
      </c>
      <c r="AH1008" s="15" t="s">
        <v>9220</v>
      </c>
      <c r="AI1008" s="15" t="s">
        <v>9188</v>
      </c>
      <c r="AJ1008" s="15" t="s">
        <v>9143</v>
      </c>
      <c r="AK1008" s="15" t="s">
        <v>9221</v>
      </c>
      <c r="AL1008" s="15" t="s">
        <v>9230</v>
      </c>
      <c r="AM1008" s="16" t="s">
        <v>9221</v>
      </c>
      <c r="AN1008" s="16" t="s">
        <v>9231</v>
      </c>
    </row>
    <row r="1009" spans="1:40" x14ac:dyDescent="0.25">
      <c r="A1009" s="4" t="s">
        <v>3294</v>
      </c>
      <c r="B1009" s="4"/>
      <c r="C1009" s="4" t="s">
        <v>39</v>
      </c>
      <c r="D1009" s="4" t="s">
        <v>3295</v>
      </c>
      <c r="E1009" s="4" t="s">
        <v>3296</v>
      </c>
      <c r="F1009" s="10">
        <v>45430</v>
      </c>
      <c r="G1009" s="11">
        <v>0.44791666666666669</v>
      </c>
      <c r="H1009" s="4" t="s">
        <v>1939</v>
      </c>
      <c r="I1009" s="4" t="s">
        <v>3288</v>
      </c>
      <c r="J1009" s="4" t="s">
        <v>615</v>
      </c>
      <c r="K1009" s="4" t="s">
        <v>3297</v>
      </c>
      <c r="L1009" s="4" t="s">
        <v>3298</v>
      </c>
      <c r="M1009" s="4" t="s">
        <v>46</v>
      </c>
      <c r="N1009" s="4"/>
      <c r="O1009" s="4" t="s">
        <v>47</v>
      </c>
      <c r="P1009" s="4" t="s">
        <v>48</v>
      </c>
      <c r="Q1009" s="4">
        <v>0</v>
      </c>
      <c r="R1009" s="4" t="b">
        <v>0</v>
      </c>
      <c r="S1009" s="4" t="s">
        <v>49</v>
      </c>
      <c r="T1009" s="4" t="s">
        <v>70</v>
      </c>
      <c r="U1009" s="4" t="s">
        <v>71</v>
      </c>
      <c r="V1009" s="4" t="s">
        <v>72</v>
      </c>
      <c r="W1009" s="4" t="s">
        <v>73</v>
      </c>
      <c r="X1009" s="4" t="s">
        <v>54</v>
      </c>
      <c r="Y1009" s="4"/>
      <c r="Z1009" s="12">
        <v>0</v>
      </c>
      <c r="AA1009" s="13" t="s">
        <v>9161</v>
      </c>
      <c r="AB1009" s="13" t="s">
        <v>9160</v>
      </c>
      <c r="AC1009" s="14" t="s">
        <v>9139</v>
      </c>
      <c r="AD1009" s="14" t="s">
        <v>9140</v>
      </c>
      <c r="AE1009" s="14" t="s">
        <v>9140</v>
      </c>
      <c r="AF1009" s="14" t="s">
        <v>72</v>
      </c>
      <c r="AG1009" s="14" t="s">
        <v>54</v>
      </c>
      <c r="AH1009" s="15" t="s">
        <v>9194</v>
      </c>
      <c r="AI1009" s="15" t="s">
        <v>9175</v>
      </c>
      <c r="AJ1009" s="15" t="s">
        <v>9143</v>
      </c>
      <c r="AK1009" s="15" t="s">
        <v>9194</v>
      </c>
      <c r="AL1009" s="15" t="s">
        <v>9209</v>
      </c>
      <c r="AM1009" s="16" t="s">
        <v>9194</v>
      </c>
      <c r="AN1009" s="16" t="s">
        <v>9210</v>
      </c>
    </row>
    <row r="1010" spans="1:40" x14ac:dyDescent="0.25">
      <c r="A1010" s="4" t="s">
        <v>1309</v>
      </c>
      <c r="B1010" s="4"/>
      <c r="C1010" s="4" t="s">
        <v>39</v>
      </c>
      <c r="D1010" s="4" t="s">
        <v>1299</v>
      </c>
      <c r="E1010" s="4" t="s">
        <v>1300</v>
      </c>
      <c r="F1010" s="10">
        <v>45429</v>
      </c>
      <c r="G1010" s="11">
        <v>0.66666666666666663</v>
      </c>
      <c r="H1010" s="4" t="s">
        <v>1155</v>
      </c>
      <c r="I1010" s="4">
        <v>4044</v>
      </c>
      <c r="J1010" s="4" t="s">
        <v>1285</v>
      </c>
      <c r="K1010" s="4" t="s">
        <v>1310</v>
      </c>
      <c r="L1010" s="4" t="s">
        <v>1311</v>
      </c>
      <c r="M1010" s="4" t="s">
        <v>46</v>
      </c>
      <c r="N1010" s="4"/>
      <c r="O1010" s="4" t="s">
        <v>47</v>
      </c>
      <c r="P1010" s="4" t="s">
        <v>48</v>
      </c>
      <c r="Q1010" s="4">
        <v>0</v>
      </c>
      <c r="R1010" s="4" t="b">
        <v>0</v>
      </c>
      <c r="S1010" s="4" t="s">
        <v>61</v>
      </c>
      <c r="T1010" s="4" t="s">
        <v>89</v>
      </c>
      <c r="U1010" s="4" t="s">
        <v>175</v>
      </c>
      <c r="V1010" s="4" t="s">
        <v>52</v>
      </c>
      <c r="W1010" s="4" t="s">
        <v>53</v>
      </c>
      <c r="X1010" s="4" t="s">
        <v>54</v>
      </c>
      <c r="Y1010" s="4"/>
      <c r="Z1010" s="12">
        <v>0</v>
      </c>
      <c r="AA1010" s="13" t="s">
        <v>9161</v>
      </c>
      <c r="AB1010" s="13" t="s">
        <v>9160</v>
      </c>
      <c r="AC1010" s="14" t="s">
        <v>9148</v>
      </c>
      <c r="AD1010" s="14" t="s">
        <v>9140</v>
      </c>
      <c r="AE1010" s="14" t="s">
        <v>9140</v>
      </c>
      <c r="AF1010" s="14" t="s">
        <v>52</v>
      </c>
      <c r="AG1010" s="14" t="s">
        <v>54</v>
      </c>
      <c r="AH1010" s="15" t="s">
        <v>9141</v>
      </c>
      <c r="AI1010" s="15" t="s">
        <v>9187</v>
      </c>
      <c r="AJ1010" s="15" t="s">
        <v>9143</v>
      </c>
      <c r="AK1010" s="15" t="s">
        <v>9141</v>
      </c>
      <c r="AL1010" s="15" t="s">
        <v>9144</v>
      </c>
      <c r="AM1010" s="16" t="s">
        <v>9141</v>
      </c>
      <c r="AN1010" s="16" t="s">
        <v>9145</v>
      </c>
    </row>
    <row r="1011" spans="1:40" x14ac:dyDescent="0.25">
      <c r="A1011" s="4" t="s">
        <v>585</v>
      </c>
      <c r="B1011" s="4"/>
      <c r="C1011" s="4" t="s">
        <v>39</v>
      </c>
      <c r="D1011" s="4" t="s">
        <v>586</v>
      </c>
      <c r="E1011" s="4" t="s">
        <v>587</v>
      </c>
      <c r="F1011" s="10">
        <v>45429</v>
      </c>
      <c r="G1011" s="11">
        <v>0.54166666666666663</v>
      </c>
      <c r="H1011" s="4" t="s">
        <v>463</v>
      </c>
      <c r="I1011" s="4">
        <v>2022</v>
      </c>
      <c r="J1011" s="4" t="s">
        <v>565</v>
      </c>
      <c r="K1011" s="4" t="s">
        <v>588</v>
      </c>
      <c r="L1011" s="4" t="s">
        <v>589</v>
      </c>
      <c r="M1011" s="4" t="s">
        <v>46</v>
      </c>
      <c r="N1011" s="4"/>
      <c r="O1011" s="4" t="s">
        <v>47</v>
      </c>
      <c r="P1011" s="4" t="s">
        <v>48</v>
      </c>
      <c r="Q1011" s="4">
        <v>0</v>
      </c>
      <c r="R1011" s="4" t="b">
        <v>0</v>
      </c>
      <c r="S1011" s="4" t="s">
        <v>49</v>
      </c>
      <c r="T1011" s="4" t="s">
        <v>50</v>
      </c>
      <c r="U1011" s="4" t="s">
        <v>71</v>
      </c>
      <c r="V1011" s="4" t="s">
        <v>72</v>
      </c>
      <c r="W1011" s="4" t="s">
        <v>73</v>
      </c>
      <c r="X1011" s="4" t="s">
        <v>54</v>
      </c>
      <c r="Y1011" s="4"/>
      <c r="Z1011" s="12">
        <v>0</v>
      </c>
      <c r="AA1011" s="13" t="s">
        <v>9161</v>
      </c>
      <c r="AB1011" s="13" t="s">
        <v>9160</v>
      </c>
      <c r="AC1011" s="14" t="s">
        <v>9139</v>
      </c>
      <c r="AD1011" s="14" t="s">
        <v>9140</v>
      </c>
      <c r="AE1011" s="14" t="s">
        <v>9140</v>
      </c>
      <c r="AF1011" s="14" t="s">
        <v>72</v>
      </c>
      <c r="AG1011" s="14" t="s">
        <v>54</v>
      </c>
      <c r="AH1011" s="15" t="s">
        <v>9141</v>
      </c>
      <c r="AI1011" s="15" t="s">
        <v>9175</v>
      </c>
      <c r="AJ1011" s="15" t="s">
        <v>9143</v>
      </c>
      <c r="AK1011" s="15" t="s">
        <v>9141</v>
      </c>
      <c r="AL1011" s="15" t="s">
        <v>9175</v>
      </c>
      <c r="AM1011" s="16" t="s">
        <v>9141</v>
      </c>
      <c r="AN1011" s="16" t="s">
        <v>9176</v>
      </c>
    </row>
    <row r="1012" spans="1:40" x14ac:dyDescent="0.25">
      <c r="A1012" s="4" t="s">
        <v>6660</v>
      </c>
      <c r="B1012" s="4">
        <v>6836563</v>
      </c>
      <c r="C1012" s="4" t="s">
        <v>39</v>
      </c>
      <c r="D1012" s="4" t="s">
        <v>6661</v>
      </c>
      <c r="E1012" s="4" t="s">
        <v>6662</v>
      </c>
      <c r="F1012" s="10">
        <v>45429</v>
      </c>
      <c r="G1012" s="11">
        <v>0.61458333333333337</v>
      </c>
      <c r="H1012" s="4" t="s">
        <v>4516</v>
      </c>
      <c r="I1012" s="4" t="s">
        <v>6637</v>
      </c>
      <c r="J1012" s="4" t="s">
        <v>3564</v>
      </c>
      <c r="K1012" s="4" t="s">
        <v>6663</v>
      </c>
      <c r="L1012" s="4" t="s">
        <v>6664</v>
      </c>
      <c r="M1012" s="4" t="s">
        <v>28</v>
      </c>
      <c r="N1012" s="4" t="s">
        <v>183</v>
      </c>
      <c r="O1012" s="4" t="s">
        <v>191</v>
      </c>
      <c r="P1012" s="4" t="s">
        <v>48</v>
      </c>
      <c r="Q1012" s="4">
        <v>0</v>
      </c>
      <c r="R1012" s="4" t="b">
        <v>0</v>
      </c>
      <c r="S1012" s="4" t="s">
        <v>49</v>
      </c>
      <c r="T1012" s="4" t="s">
        <v>583</v>
      </c>
      <c r="U1012" s="4" t="s">
        <v>71</v>
      </c>
      <c r="V1012" s="4" t="s">
        <v>52</v>
      </c>
      <c r="W1012" s="4" t="s">
        <v>255</v>
      </c>
      <c r="X1012" s="4" t="s">
        <v>54</v>
      </c>
      <c r="Y1012" s="4"/>
      <c r="Z1012" s="12" t="s">
        <v>48</v>
      </c>
      <c r="AA1012" s="13" t="s">
        <v>9161</v>
      </c>
      <c r="AB1012" s="13" t="s">
        <v>9160</v>
      </c>
      <c r="AC1012" s="14" t="s">
        <v>9139</v>
      </c>
      <c r="AD1012" s="14" t="s">
        <v>28</v>
      </c>
      <c r="AE1012" s="14" t="s">
        <v>183</v>
      </c>
      <c r="AF1012" s="14" t="s">
        <v>52</v>
      </c>
      <c r="AG1012" s="14" t="s">
        <v>54</v>
      </c>
      <c r="AH1012" s="15" t="s">
        <v>9220</v>
      </c>
      <c r="AI1012" s="15" t="s">
        <v>9188</v>
      </c>
      <c r="AJ1012" s="15" t="s">
        <v>9143</v>
      </c>
      <c r="AK1012" s="15" t="s">
        <v>9221</v>
      </c>
      <c r="AL1012" s="15" t="s">
        <v>9236</v>
      </c>
      <c r="AM1012" s="16" t="s">
        <v>9221</v>
      </c>
      <c r="AN1012" s="16" t="s">
        <v>9237</v>
      </c>
    </row>
    <row r="1013" spans="1:40" x14ac:dyDescent="0.25">
      <c r="A1013" s="4" t="s">
        <v>5528</v>
      </c>
      <c r="B1013" s="4"/>
      <c r="C1013" s="4" t="s">
        <v>39</v>
      </c>
      <c r="D1013" s="4" t="s">
        <v>5529</v>
      </c>
      <c r="E1013" s="4" t="s">
        <v>5530</v>
      </c>
      <c r="F1013" s="10">
        <v>45429</v>
      </c>
      <c r="G1013" s="11">
        <v>0.72916666666666663</v>
      </c>
      <c r="H1013" s="4" t="s">
        <v>4910</v>
      </c>
      <c r="I1013" s="4" t="s">
        <v>5502</v>
      </c>
      <c r="J1013" s="4" t="s">
        <v>3354</v>
      </c>
      <c r="K1013" s="4" t="s">
        <v>5531</v>
      </c>
      <c r="L1013" s="4" t="s">
        <v>5532</v>
      </c>
      <c r="M1013" s="4" t="s">
        <v>46</v>
      </c>
      <c r="N1013" s="4"/>
      <c r="O1013" s="4" t="s">
        <v>47</v>
      </c>
      <c r="P1013" s="4" t="s">
        <v>48</v>
      </c>
      <c r="Q1013" s="4">
        <v>0</v>
      </c>
      <c r="R1013" s="4" t="b">
        <v>0</v>
      </c>
      <c r="S1013" s="4" t="s">
        <v>61</v>
      </c>
      <c r="T1013" s="4" t="s">
        <v>583</v>
      </c>
      <c r="U1013" s="4" t="s">
        <v>527</v>
      </c>
      <c r="V1013" s="4" t="s">
        <v>63</v>
      </c>
      <c r="W1013" s="4" t="s">
        <v>108</v>
      </c>
      <c r="X1013" s="4" t="s">
        <v>54</v>
      </c>
      <c r="Y1013" s="4"/>
      <c r="Z1013" s="12">
        <v>0</v>
      </c>
      <c r="AA1013" s="13" t="s">
        <v>9161</v>
      </c>
      <c r="AB1013" s="13" t="s">
        <v>9160</v>
      </c>
      <c r="AC1013" s="14" t="s">
        <v>9148</v>
      </c>
      <c r="AD1013" s="14" t="s">
        <v>9140</v>
      </c>
      <c r="AE1013" s="14" t="s">
        <v>9140</v>
      </c>
      <c r="AF1013" s="14" t="s">
        <v>63</v>
      </c>
      <c r="AG1013" s="14" t="s">
        <v>54</v>
      </c>
      <c r="AH1013" s="15" t="s">
        <v>9220</v>
      </c>
      <c r="AI1013" s="15" t="s">
        <v>9191</v>
      </c>
      <c r="AJ1013" s="15" t="s">
        <v>9143</v>
      </c>
      <c r="AK1013" s="15" t="s">
        <v>9221</v>
      </c>
      <c r="AL1013" s="15" t="s">
        <v>9234</v>
      </c>
      <c r="AM1013" s="16" t="s">
        <v>9221</v>
      </c>
      <c r="AN1013" s="16" t="s">
        <v>9235</v>
      </c>
    </row>
    <row r="1014" spans="1:40" x14ac:dyDescent="0.25">
      <c r="A1014" s="4" t="s">
        <v>8286</v>
      </c>
      <c r="B1014" s="4">
        <v>12240012010</v>
      </c>
      <c r="C1014" s="4" t="s">
        <v>39</v>
      </c>
      <c r="D1014" s="4" t="s">
        <v>8287</v>
      </c>
      <c r="E1014" s="4" t="s">
        <v>8288</v>
      </c>
      <c r="F1014" s="10">
        <v>45429</v>
      </c>
      <c r="G1014" s="11">
        <v>0.54861111111111116</v>
      </c>
      <c r="H1014" s="4" t="s">
        <v>4019</v>
      </c>
      <c r="I1014" s="4" t="s">
        <v>8282</v>
      </c>
      <c r="J1014" s="4" t="s">
        <v>8283</v>
      </c>
      <c r="K1014" s="4" t="s">
        <v>8289</v>
      </c>
      <c r="L1014" s="4" t="s">
        <v>8290</v>
      </c>
      <c r="M1014" s="4" t="s">
        <v>28</v>
      </c>
      <c r="N1014" s="4" t="s">
        <v>183</v>
      </c>
      <c r="O1014" s="4" t="s">
        <v>191</v>
      </c>
      <c r="P1014" s="4" t="s">
        <v>60</v>
      </c>
      <c r="Q1014" s="4">
        <v>63</v>
      </c>
      <c r="R1014" s="4" t="b">
        <v>0</v>
      </c>
      <c r="S1014" s="4" t="s">
        <v>114</v>
      </c>
      <c r="T1014" s="4" t="s">
        <v>583</v>
      </c>
      <c r="U1014" s="4" t="s">
        <v>175</v>
      </c>
      <c r="V1014" s="4" t="s">
        <v>52</v>
      </c>
      <c r="W1014" s="4" t="s">
        <v>255</v>
      </c>
      <c r="X1014" s="4" t="s">
        <v>54</v>
      </c>
      <c r="Y1014" s="4"/>
      <c r="Z1014" s="12" t="s">
        <v>60</v>
      </c>
      <c r="AA1014" s="13" t="s">
        <v>9161</v>
      </c>
      <c r="AB1014" s="13" t="s">
        <v>9160</v>
      </c>
      <c r="AC1014" s="14" t="s">
        <v>9157</v>
      </c>
      <c r="AD1014" s="14" t="s">
        <v>28</v>
      </c>
      <c r="AE1014" s="14" t="s">
        <v>183</v>
      </c>
      <c r="AF1014" s="14" t="s">
        <v>52</v>
      </c>
      <c r="AG1014" s="14" t="s">
        <v>54</v>
      </c>
      <c r="AH1014" s="15" t="s">
        <v>9220</v>
      </c>
      <c r="AI1014" s="15" t="s">
        <v>9175</v>
      </c>
      <c r="AJ1014" s="15" t="s">
        <v>9143</v>
      </c>
      <c r="AK1014" s="15" t="s">
        <v>9221</v>
      </c>
      <c r="AL1014" s="15" t="s">
        <v>9224</v>
      </c>
      <c r="AM1014" s="16" t="s">
        <v>9221</v>
      </c>
      <c r="AN1014" s="16" t="s">
        <v>9225</v>
      </c>
    </row>
    <row r="1015" spans="1:40" x14ac:dyDescent="0.25">
      <c r="A1015" s="4" t="s">
        <v>8123</v>
      </c>
      <c r="B1015" s="4"/>
      <c r="C1015" s="4" t="s">
        <v>39</v>
      </c>
      <c r="D1015" s="4" t="s">
        <v>8124</v>
      </c>
      <c r="E1015" s="4" t="s">
        <v>8125</v>
      </c>
      <c r="F1015" s="10">
        <v>45428</v>
      </c>
      <c r="G1015" s="11">
        <v>0.47916666666666669</v>
      </c>
      <c r="H1015" s="4" t="s">
        <v>4019</v>
      </c>
      <c r="I1015" s="4" t="s">
        <v>8106</v>
      </c>
      <c r="J1015" s="4" t="s">
        <v>8107</v>
      </c>
      <c r="K1015" s="4" t="s">
        <v>8126</v>
      </c>
      <c r="L1015" s="4" t="s">
        <v>8127</v>
      </c>
      <c r="M1015" s="4" t="s">
        <v>46</v>
      </c>
      <c r="N1015" s="4"/>
      <c r="O1015" s="4" t="s">
        <v>47</v>
      </c>
      <c r="P1015" s="4" t="s">
        <v>48</v>
      </c>
      <c r="Q1015" s="4">
        <v>0</v>
      </c>
      <c r="R1015" s="4" t="b">
        <v>0</v>
      </c>
      <c r="S1015" s="4" t="s">
        <v>49</v>
      </c>
      <c r="T1015" s="4" t="s">
        <v>50</v>
      </c>
      <c r="U1015" s="4" t="s">
        <v>90</v>
      </c>
      <c r="V1015" s="4" t="s">
        <v>72</v>
      </c>
      <c r="W1015" s="4" t="s">
        <v>73</v>
      </c>
      <c r="X1015" s="4" t="s">
        <v>54</v>
      </c>
      <c r="Y1015" s="4"/>
      <c r="Z1015" s="12">
        <v>0</v>
      </c>
      <c r="AA1015" s="13" t="s">
        <v>9161</v>
      </c>
      <c r="AB1015" s="13" t="s">
        <v>9160</v>
      </c>
      <c r="AC1015" s="14" t="s">
        <v>9139</v>
      </c>
      <c r="AD1015" s="14" t="s">
        <v>9140</v>
      </c>
      <c r="AE1015" s="14" t="s">
        <v>9140</v>
      </c>
      <c r="AF1015" s="14" t="s">
        <v>72</v>
      </c>
      <c r="AG1015" s="14" t="s">
        <v>54</v>
      </c>
      <c r="AH1015" s="15" t="s">
        <v>9220</v>
      </c>
      <c r="AI1015" s="15" t="s">
        <v>9175</v>
      </c>
      <c r="AJ1015" s="15" t="s">
        <v>9143</v>
      </c>
      <c r="AK1015" s="15" t="s">
        <v>9221</v>
      </c>
      <c r="AL1015" s="15" t="s">
        <v>9222</v>
      </c>
      <c r="AM1015" s="16" t="s">
        <v>9221</v>
      </c>
      <c r="AN1015" s="16" t="s">
        <v>9223</v>
      </c>
    </row>
    <row r="1016" spans="1:40" x14ac:dyDescent="0.25">
      <c r="A1016" s="4" t="s">
        <v>7358</v>
      </c>
      <c r="B1016" s="4"/>
      <c r="C1016" s="4" t="s">
        <v>39</v>
      </c>
      <c r="D1016" s="4" t="s">
        <v>7346</v>
      </c>
      <c r="E1016" s="4" t="s">
        <v>7347</v>
      </c>
      <c r="F1016" s="10">
        <v>45428</v>
      </c>
      <c r="G1016" s="11">
        <v>0.57847222222222228</v>
      </c>
      <c r="H1016" s="4" t="s">
        <v>4019</v>
      </c>
      <c r="I1016" s="4" t="s">
        <v>7315</v>
      </c>
      <c r="J1016" s="4" t="s">
        <v>1037</v>
      </c>
      <c r="K1016" s="4" t="s">
        <v>7359</v>
      </c>
      <c r="L1016" s="4" t="s">
        <v>7360</v>
      </c>
      <c r="M1016" s="4" t="s">
        <v>46</v>
      </c>
      <c r="N1016" s="4"/>
      <c r="O1016" s="4" t="s">
        <v>47</v>
      </c>
      <c r="P1016" s="4" t="s">
        <v>48</v>
      </c>
      <c r="Q1016" s="4">
        <v>0</v>
      </c>
      <c r="R1016" s="4" t="b">
        <v>0</v>
      </c>
      <c r="S1016" s="4" t="s">
        <v>114</v>
      </c>
      <c r="T1016" s="4" t="s">
        <v>89</v>
      </c>
      <c r="U1016" s="4" t="s">
        <v>71</v>
      </c>
      <c r="V1016" s="4" t="s">
        <v>52</v>
      </c>
      <c r="W1016" s="4" t="s">
        <v>374</v>
      </c>
      <c r="X1016" s="4" t="s">
        <v>54</v>
      </c>
      <c r="Y1016" s="4"/>
      <c r="Z1016" s="12">
        <v>0</v>
      </c>
      <c r="AA1016" s="13" t="s">
        <v>9161</v>
      </c>
      <c r="AB1016" s="13" t="s">
        <v>9160</v>
      </c>
      <c r="AC1016" s="14" t="s">
        <v>9157</v>
      </c>
      <c r="AD1016" s="14" t="s">
        <v>9140</v>
      </c>
      <c r="AE1016" s="14" t="s">
        <v>9140</v>
      </c>
      <c r="AF1016" s="14" t="s">
        <v>52</v>
      </c>
      <c r="AG1016" s="14" t="s">
        <v>54</v>
      </c>
      <c r="AH1016" s="15" t="s">
        <v>9220</v>
      </c>
      <c r="AI1016" s="15" t="s">
        <v>9175</v>
      </c>
      <c r="AJ1016" s="15" t="s">
        <v>9143</v>
      </c>
      <c r="AK1016" s="15" t="s">
        <v>9221</v>
      </c>
      <c r="AL1016" s="15" t="s">
        <v>9222</v>
      </c>
      <c r="AM1016" s="16" t="s">
        <v>9221</v>
      </c>
      <c r="AN1016" s="16" t="s">
        <v>9223</v>
      </c>
    </row>
    <row r="1017" spans="1:40" x14ac:dyDescent="0.25">
      <c r="A1017" s="4" t="s">
        <v>5375</v>
      </c>
      <c r="B1017" s="4" t="s">
        <v>5376</v>
      </c>
      <c r="C1017" s="4" t="s">
        <v>39</v>
      </c>
      <c r="D1017" s="4" t="s">
        <v>5377</v>
      </c>
      <c r="E1017" s="4" t="s">
        <v>5378</v>
      </c>
      <c r="F1017" s="10">
        <v>45428</v>
      </c>
      <c r="G1017" s="11">
        <v>0.5</v>
      </c>
      <c r="H1017" s="4" t="s">
        <v>4910</v>
      </c>
      <c r="I1017" s="4" t="s">
        <v>5360</v>
      </c>
      <c r="J1017" s="4" t="s">
        <v>2062</v>
      </c>
      <c r="K1017" s="4" t="s">
        <v>181</v>
      </c>
      <c r="L1017" s="4" t="s">
        <v>5379</v>
      </c>
      <c r="M1017" s="4" t="s">
        <v>28</v>
      </c>
      <c r="N1017" s="4" t="s">
        <v>183</v>
      </c>
      <c r="O1017" s="4" t="s">
        <v>191</v>
      </c>
      <c r="P1017" s="4" t="s">
        <v>48</v>
      </c>
      <c r="Q1017" s="4">
        <v>29</v>
      </c>
      <c r="R1017" s="4" t="b">
        <v>0</v>
      </c>
      <c r="S1017" s="4" t="s">
        <v>114</v>
      </c>
      <c r="T1017" s="4" t="s">
        <v>583</v>
      </c>
      <c r="U1017" s="4" t="s">
        <v>175</v>
      </c>
      <c r="V1017" s="4" t="s">
        <v>52</v>
      </c>
      <c r="W1017" s="4" t="s">
        <v>53</v>
      </c>
      <c r="X1017" s="4" t="s">
        <v>54</v>
      </c>
      <c r="Y1017" s="4"/>
      <c r="Z1017" s="12" t="s">
        <v>48</v>
      </c>
      <c r="AA1017" s="13" t="s">
        <v>9161</v>
      </c>
      <c r="AB1017" s="13" t="s">
        <v>9160</v>
      </c>
      <c r="AC1017" s="14" t="s">
        <v>9157</v>
      </c>
      <c r="AD1017" s="14" t="s">
        <v>28</v>
      </c>
      <c r="AE1017" s="14" t="s">
        <v>183</v>
      </c>
      <c r="AF1017" s="14" t="s">
        <v>52</v>
      </c>
      <c r="AG1017" s="14" t="s">
        <v>54</v>
      </c>
      <c r="AH1017" s="15" t="s">
        <v>9220</v>
      </c>
      <c r="AI1017" s="15" t="s">
        <v>9191</v>
      </c>
      <c r="AJ1017" s="15" t="s">
        <v>9143</v>
      </c>
      <c r="AK1017" s="15" t="s">
        <v>9221</v>
      </c>
      <c r="AL1017" s="15" t="s">
        <v>9234</v>
      </c>
      <c r="AM1017" s="16" t="s">
        <v>9221</v>
      </c>
      <c r="AN1017" s="16" t="s">
        <v>9235</v>
      </c>
    </row>
    <row r="1018" spans="1:40" x14ac:dyDescent="0.25">
      <c r="A1018" s="4" t="s">
        <v>141</v>
      </c>
      <c r="B1018" s="4" t="s">
        <v>142</v>
      </c>
      <c r="C1018" s="4" t="s">
        <v>39</v>
      </c>
      <c r="D1018" s="4" t="s">
        <v>143</v>
      </c>
      <c r="E1018" s="4" t="s">
        <v>144</v>
      </c>
      <c r="F1018" s="10">
        <v>45428</v>
      </c>
      <c r="G1018" s="11">
        <v>0.46875</v>
      </c>
      <c r="H1018" s="4" t="s">
        <v>42</v>
      </c>
      <c r="I1018" s="4">
        <v>1006</v>
      </c>
      <c r="J1018" s="4" t="s">
        <v>94</v>
      </c>
      <c r="K1018" s="4" t="s">
        <v>145</v>
      </c>
      <c r="L1018" s="4" t="s">
        <v>146</v>
      </c>
      <c r="M1018" s="4" t="s">
        <v>28</v>
      </c>
      <c r="N1018" s="4" t="s">
        <v>147</v>
      </c>
      <c r="O1018" s="4" t="s">
        <v>47</v>
      </c>
      <c r="P1018" s="4" t="s">
        <v>48</v>
      </c>
      <c r="Q1018" s="4">
        <v>0</v>
      </c>
      <c r="R1018" s="4" t="b">
        <v>0</v>
      </c>
      <c r="S1018" s="4" t="s">
        <v>114</v>
      </c>
      <c r="T1018" s="4" t="s">
        <v>89</v>
      </c>
      <c r="U1018" s="4" t="s">
        <v>148</v>
      </c>
      <c r="V1018" s="4" t="s">
        <v>123</v>
      </c>
      <c r="W1018" s="4" t="s">
        <v>149</v>
      </c>
      <c r="X1018" s="4" t="s">
        <v>54</v>
      </c>
      <c r="Y1018" s="4"/>
      <c r="Z1018" s="12" t="s">
        <v>48</v>
      </c>
      <c r="AA1018" s="13" t="s">
        <v>9161</v>
      </c>
      <c r="AB1018" s="13" t="s">
        <v>9160</v>
      </c>
      <c r="AC1018" s="14" t="s">
        <v>9157</v>
      </c>
      <c r="AD1018" s="14" t="s">
        <v>28</v>
      </c>
      <c r="AE1018" s="14" t="s">
        <v>9140</v>
      </c>
      <c r="AF1018" s="14" t="s">
        <v>123</v>
      </c>
      <c r="AG1018" s="14" t="s">
        <v>54</v>
      </c>
      <c r="AH1018" s="15" t="s">
        <v>9141</v>
      </c>
      <c r="AI1018" s="15" t="s">
        <v>9142</v>
      </c>
      <c r="AJ1018" s="15" t="s">
        <v>9143</v>
      </c>
      <c r="AK1018" s="15" t="s">
        <v>9141</v>
      </c>
      <c r="AL1018" s="15" t="s">
        <v>9144</v>
      </c>
      <c r="AM1018" s="16" t="s">
        <v>9141</v>
      </c>
      <c r="AN1018" s="16" t="s">
        <v>9145</v>
      </c>
    </row>
    <row r="1019" spans="1:40" x14ac:dyDescent="0.25">
      <c r="A1019" s="4" t="s">
        <v>1420</v>
      </c>
      <c r="B1019" s="4"/>
      <c r="C1019" s="4" t="s">
        <v>39</v>
      </c>
      <c r="D1019" s="4" t="s">
        <v>1421</v>
      </c>
      <c r="E1019" s="4" t="s">
        <v>1422</v>
      </c>
      <c r="F1019" s="10">
        <v>45428</v>
      </c>
      <c r="G1019" s="11">
        <v>0.61736111111111114</v>
      </c>
      <c r="H1019" s="4" t="s">
        <v>1366</v>
      </c>
      <c r="I1019" s="4">
        <v>5060</v>
      </c>
      <c r="J1019" s="4" t="s">
        <v>1412</v>
      </c>
      <c r="K1019" s="4" t="s">
        <v>175</v>
      </c>
      <c r="L1019" s="4" t="s">
        <v>1423</v>
      </c>
      <c r="M1019" s="4" t="s">
        <v>46</v>
      </c>
      <c r="N1019" s="4"/>
      <c r="O1019" s="4" t="s">
        <v>47</v>
      </c>
      <c r="P1019" s="4" t="s">
        <v>48</v>
      </c>
      <c r="Q1019" s="4">
        <v>0</v>
      </c>
      <c r="R1019" s="4" t="b">
        <v>0</v>
      </c>
      <c r="S1019" s="4" t="s">
        <v>49</v>
      </c>
      <c r="T1019" s="4" t="s">
        <v>50</v>
      </c>
      <c r="U1019" s="4" t="s">
        <v>175</v>
      </c>
      <c r="V1019" s="4" t="s">
        <v>72</v>
      </c>
      <c r="W1019" s="4" t="s">
        <v>73</v>
      </c>
      <c r="X1019" s="4" t="s">
        <v>54</v>
      </c>
      <c r="Y1019" s="4"/>
      <c r="Z1019" s="12">
        <v>0</v>
      </c>
      <c r="AA1019" s="13" t="s">
        <v>9161</v>
      </c>
      <c r="AB1019" s="13" t="s">
        <v>9160</v>
      </c>
      <c r="AC1019" s="14" t="s">
        <v>9139</v>
      </c>
      <c r="AD1019" s="14" t="s">
        <v>9140</v>
      </c>
      <c r="AE1019" s="14" t="s">
        <v>9140</v>
      </c>
      <c r="AF1019" s="14" t="s">
        <v>72</v>
      </c>
      <c r="AG1019" s="14" t="s">
        <v>54</v>
      </c>
      <c r="AH1019" s="15" t="s">
        <v>9141</v>
      </c>
      <c r="AI1019" s="15" t="s">
        <v>9188</v>
      </c>
      <c r="AJ1019" s="15" t="s">
        <v>9143</v>
      </c>
      <c r="AK1019" s="15" t="s">
        <v>9141</v>
      </c>
      <c r="AL1019" s="15" t="s">
        <v>9191</v>
      </c>
      <c r="AM1019" s="16" t="s">
        <v>9141</v>
      </c>
      <c r="AN1019" s="16" t="s">
        <v>9192</v>
      </c>
    </row>
    <row r="1020" spans="1:40" x14ac:dyDescent="0.25">
      <c r="A1020" s="4" t="s">
        <v>8300</v>
      </c>
      <c r="B1020" s="4"/>
      <c r="C1020" s="4" t="s">
        <v>39</v>
      </c>
      <c r="D1020" s="4" t="s">
        <v>8301</v>
      </c>
      <c r="E1020" s="4" t="s">
        <v>8302</v>
      </c>
      <c r="F1020" s="10">
        <v>45428</v>
      </c>
      <c r="G1020" s="11">
        <v>0.66666666666666663</v>
      </c>
      <c r="H1020" s="4" t="s">
        <v>5666</v>
      </c>
      <c r="I1020" s="4" t="s">
        <v>8303</v>
      </c>
      <c r="J1020" s="4" t="s">
        <v>3833</v>
      </c>
      <c r="K1020" s="4" t="s">
        <v>8304</v>
      </c>
      <c r="L1020" s="4" t="s">
        <v>8305</v>
      </c>
      <c r="M1020" s="4" t="s">
        <v>46</v>
      </c>
      <c r="N1020" s="4"/>
      <c r="O1020" s="4" t="s">
        <v>47</v>
      </c>
      <c r="P1020" s="4" t="s">
        <v>48</v>
      </c>
      <c r="Q1020" s="4">
        <v>0</v>
      </c>
      <c r="R1020" s="4" t="b">
        <v>0</v>
      </c>
      <c r="S1020" s="4" t="s">
        <v>61</v>
      </c>
      <c r="T1020" s="4" t="s">
        <v>89</v>
      </c>
      <c r="U1020" s="4" t="s">
        <v>148</v>
      </c>
      <c r="V1020" s="4" t="s">
        <v>52</v>
      </c>
      <c r="W1020" s="4" t="s">
        <v>255</v>
      </c>
      <c r="X1020" s="4" t="s">
        <v>54</v>
      </c>
      <c r="Y1020" s="4"/>
      <c r="Z1020" s="12">
        <v>0</v>
      </c>
      <c r="AA1020" s="13" t="s">
        <v>9161</v>
      </c>
      <c r="AB1020" s="13" t="s">
        <v>9160</v>
      </c>
      <c r="AC1020" s="14" t="s">
        <v>9148</v>
      </c>
      <c r="AD1020" s="14" t="s">
        <v>9140</v>
      </c>
      <c r="AE1020" s="14" t="s">
        <v>9140</v>
      </c>
      <c r="AF1020" s="14" t="s">
        <v>52</v>
      </c>
      <c r="AG1020" s="14" t="s">
        <v>54</v>
      </c>
      <c r="AH1020" s="15" t="s">
        <v>9220</v>
      </c>
      <c r="AI1020" s="15" t="s">
        <v>9199</v>
      </c>
      <c r="AJ1020" s="15" t="s">
        <v>9143</v>
      </c>
      <c r="AK1020" s="15" t="s">
        <v>9221</v>
      </c>
      <c r="AL1020" s="15" t="s">
        <v>9199</v>
      </c>
      <c r="AM1020" s="16" t="s">
        <v>9221</v>
      </c>
      <c r="AN1020" s="16" t="s">
        <v>9238</v>
      </c>
    </row>
    <row r="1021" spans="1:40" x14ac:dyDescent="0.25">
      <c r="A1021" s="4" t="s">
        <v>2516</v>
      </c>
      <c r="B1021" s="4" t="s">
        <v>2517</v>
      </c>
      <c r="C1021" s="4" t="s">
        <v>39</v>
      </c>
      <c r="D1021" s="4" t="s">
        <v>2518</v>
      </c>
      <c r="E1021" s="4" t="s">
        <v>2519</v>
      </c>
      <c r="F1021" s="10">
        <v>45428</v>
      </c>
      <c r="G1021" s="11">
        <v>0.55763888888888891</v>
      </c>
      <c r="H1021" s="4" t="s">
        <v>1992</v>
      </c>
      <c r="I1021" s="4" t="s">
        <v>2520</v>
      </c>
      <c r="J1021" s="4" t="s">
        <v>2521</v>
      </c>
      <c r="K1021" s="4" t="s">
        <v>51</v>
      </c>
      <c r="L1021" s="4" t="s">
        <v>2522</v>
      </c>
      <c r="M1021" s="4" t="s">
        <v>28</v>
      </c>
      <c r="N1021" s="4" t="s">
        <v>183</v>
      </c>
      <c r="O1021" s="4" t="s">
        <v>174</v>
      </c>
      <c r="P1021" s="4" t="s">
        <v>48</v>
      </c>
      <c r="Q1021" s="4">
        <v>6</v>
      </c>
      <c r="R1021" s="4" t="b">
        <v>0</v>
      </c>
      <c r="S1021" s="4" t="s">
        <v>61</v>
      </c>
      <c r="T1021" s="4" t="s">
        <v>583</v>
      </c>
      <c r="U1021" s="4" t="s">
        <v>51</v>
      </c>
      <c r="V1021" s="4" t="s">
        <v>52</v>
      </c>
      <c r="W1021" s="4" t="s">
        <v>135</v>
      </c>
      <c r="X1021" s="4" t="s">
        <v>54</v>
      </c>
      <c r="Y1021" s="4"/>
      <c r="Z1021" s="12" t="s">
        <v>48</v>
      </c>
      <c r="AA1021" s="13" t="s">
        <v>9161</v>
      </c>
      <c r="AB1021" s="13" t="s">
        <v>9160</v>
      </c>
      <c r="AC1021" s="14" t="s">
        <v>9148</v>
      </c>
      <c r="AD1021" s="14" t="s">
        <v>28</v>
      </c>
      <c r="AE1021" s="14" t="s">
        <v>183</v>
      </c>
      <c r="AF1021" s="14" t="s">
        <v>52</v>
      </c>
      <c r="AG1021" s="14" t="s">
        <v>54</v>
      </c>
      <c r="AH1021" s="15" t="s">
        <v>9194</v>
      </c>
      <c r="AI1021" s="15" t="s">
        <v>9191</v>
      </c>
      <c r="AJ1021" s="15" t="s">
        <v>9143</v>
      </c>
      <c r="AK1021" s="15" t="s">
        <v>9194</v>
      </c>
      <c r="AL1021" s="15" t="s">
        <v>9201</v>
      </c>
      <c r="AM1021" s="16" t="s">
        <v>9194</v>
      </c>
      <c r="AN1021" s="16" t="s">
        <v>9202</v>
      </c>
    </row>
    <row r="1022" spans="1:40" x14ac:dyDescent="0.25">
      <c r="A1022" s="4" t="s">
        <v>1865</v>
      </c>
      <c r="B1022" s="4"/>
      <c r="C1022" s="4" t="s">
        <v>39</v>
      </c>
      <c r="D1022" s="4" t="s">
        <v>1866</v>
      </c>
      <c r="E1022" s="4" t="s">
        <v>1867</v>
      </c>
      <c r="F1022" s="10">
        <v>45427</v>
      </c>
      <c r="G1022" s="11">
        <v>0.34375</v>
      </c>
      <c r="H1022" s="4" t="s">
        <v>1654</v>
      </c>
      <c r="I1022" s="4">
        <v>9097</v>
      </c>
      <c r="J1022" s="4" t="s">
        <v>1844</v>
      </c>
      <c r="K1022" s="4" t="s">
        <v>1868</v>
      </c>
      <c r="L1022" s="4" t="s">
        <v>1869</v>
      </c>
      <c r="M1022" s="4" t="s">
        <v>46</v>
      </c>
      <c r="N1022" s="4"/>
      <c r="O1022" s="4" t="s">
        <v>47</v>
      </c>
      <c r="P1022" s="4" t="s">
        <v>48</v>
      </c>
      <c r="Q1022" s="4">
        <v>0</v>
      </c>
      <c r="R1022" s="4" t="b">
        <v>0</v>
      </c>
      <c r="S1022" s="4" t="s">
        <v>61</v>
      </c>
      <c r="T1022" s="4" t="s">
        <v>50</v>
      </c>
      <c r="U1022" s="4" t="s">
        <v>71</v>
      </c>
      <c r="V1022" s="4" t="s">
        <v>63</v>
      </c>
      <c r="W1022" s="4" t="s">
        <v>108</v>
      </c>
      <c r="X1022" s="4" t="s">
        <v>1870</v>
      </c>
      <c r="Y1022" s="4"/>
      <c r="Z1022" s="12">
        <v>0</v>
      </c>
      <c r="AA1022" s="13" t="s">
        <v>9161</v>
      </c>
      <c r="AB1022" s="13" t="s">
        <v>9160</v>
      </c>
      <c r="AC1022" s="14" t="s">
        <v>9148</v>
      </c>
      <c r="AD1022" s="14" t="s">
        <v>9140</v>
      </c>
      <c r="AE1022" s="14" t="s">
        <v>9140</v>
      </c>
      <c r="AF1022" s="14" t="s">
        <v>63</v>
      </c>
      <c r="AG1022" s="14" t="s">
        <v>1870</v>
      </c>
      <c r="AH1022" s="15" t="s">
        <v>9141</v>
      </c>
      <c r="AI1022" s="15" t="s">
        <v>9191</v>
      </c>
      <c r="AJ1022" s="15" t="s">
        <v>9143</v>
      </c>
      <c r="AK1022" s="15" t="s">
        <v>9141</v>
      </c>
      <c r="AL1022" s="15" t="s">
        <v>9191</v>
      </c>
      <c r="AM1022" s="16" t="s">
        <v>9141</v>
      </c>
      <c r="AN1022" s="16" t="s">
        <v>9192</v>
      </c>
    </row>
    <row r="1023" spans="1:40" x14ac:dyDescent="0.25">
      <c r="A1023" s="4" t="s">
        <v>1687</v>
      </c>
      <c r="B1023" s="4"/>
      <c r="C1023" s="4" t="s">
        <v>39</v>
      </c>
      <c r="D1023" s="4" t="s">
        <v>1688</v>
      </c>
      <c r="E1023" s="4" t="s">
        <v>1689</v>
      </c>
      <c r="F1023" s="10">
        <v>45427</v>
      </c>
      <c r="G1023" s="11">
        <v>0.625</v>
      </c>
      <c r="H1023" s="4" t="s">
        <v>1654</v>
      </c>
      <c r="I1023" s="4">
        <v>9087</v>
      </c>
      <c r="J1023" s="4" t="s">
        <v>1666</v>
      </c>
      <c r="K1023" s="4" t="s">
        <v>1690</v>
      </c>
      <c r="L1023" s="4" t="s">
        <v>1691</v>
      </c>
      <c r="M1023" s="4" t="s">
        <v>46</v>
      </c>
      <c r="N1023" s="4"/>
      <c r="O1023" s="4" t="s">
        <v>191</v>
      </c>
      <c r="P1023" s="4" t="s">
        <v>48</v>
      </c>
      <c r="Q1023" s="4">
        <v>0</v>
      </c>
      <c r="R1023" s="4" t="b">
        <v>0</v>
      </c>
      <c r="S1023" s="4" t="s">
        <v>61</v>
      </c>
      <c r="T1023" s="4" t="s">
        <v>89</v>
      </c>
      <c r="U1023" s="4" t="s">
        <v>373</v>
      </c>
      <c r="V1023" s="4" t="s">
        <v>52</v>
      </c>
      <c r="W1023" s="4" t="s">
        <v>53</v>
      </c>
      <c r="X1023" s="4" t="s">
        <v>54</v>
      </c>
      <c r="Y1023" s="4"/>
      <c r="Z1023" s="12">
        <v>0</v>
      </c>
      <c r="AA1023" s="13" t="s">
        <v>9161</v>
      </c>
      <c r="AB1023" s="13" t="s">
        <v>9160</v>
      </c>
      <c r="AC1023" s="14" t="s">
        <v>9148</v>
      </c>
      <c r="AD1023" s="14" t="s">
        <v>9140</v>
      </c>
      <c r="AE1023" s="14" t="s">
        <v>9140</v>
      </c>
      <c r="AF1023" s="14" t="s">
        <v>52</v>
      </c>
      <c r="AG1023" s="14" t="s">
        <v>54</v>
      </c>
      <c r="AH1023" s="15" t="s">
        <v>9141</v>
      </c>
      <c r="AI1023" s="15" t="s">
        <v>9191</v>
      </c>
      <c r="AJ1023" s="15" t="s">
        <v>9143</v>
      </c>
      <c r="AK1023" s="15" t="s">
        <v>9141</v>
      </c>
      <c r="AL1023" s="15" t="s">
        <v>9191</v>
      </c>
      <c r="AM1023" s="16" t="s">
        <v>9141</v>
      </c>
      <c r="AN1023" s="16" t="s">
        <v>9192</v>
      </c>
    </row>
    <row r="1024" spans="1:40" x14ac:dyDescent="0.25">
      <c r="A1024" s="4" t="s">
        <v>6786</v>
      </c>
      <c r="B1024" s="4" t="s">
        <v>6787</v>
      </c>
      <c r="C1024" s="4" t="s">
        <v>488</v>
      </c>
      <c r="D1024" s="4" t="s">
        <v>6788</v>
      </c>
      <c r="E1024" s="4" t="s">
        <v>6789</v>
      </c>
      <c r="F1024" s="10">
        <v>45427</v>
      </c>
      <c r="G1024" s="11">
        <v>0.5</v>
      </c>
      <c r="H1024" s="4" t="s">
        <v>4659</v>
      </c>
      <c r="I1024" s="4" t="s">
        <v>6774</v>
      </c>
      <c r="J1024" s="4" t="s">
        <v>208</v>
      </c>
      <c r="K1024" s="4" t="s">
        <v>6790</v>
      </c>
      <c r="L1024" s="4" t="s">
        <v>6791</v>
      </c>
      <c r="M1024" s="4" t="s">
        <v>28</v>
      </c>
      <c r="N1024" s="4" t="s">
        <v>372</v>
      </c>
      <c r="O1024" s="4" t="s">
        <v>191</v>
      </c>
      <c r="P1024" s="4" t="s">
        <v>48</v>
      </c>
      <c r="Q1024" s="4">
        <v>0</v>
      </c>
      <c r="R1024" s="4" t="b">
        <v>0</v>
      </c>
      <c r="S1024" s="4" t="s">
        <v>184</v>
      </c>
      <c r="T1024" s="4" t="s">
        <v>1240</v>
      </c>
      <c r="U1024" s="4" t="s">
        <v>330</v>
      </c>
      <c r="V1024" s="4" t="s">
        <v>267</v>
      </c>
      <c r="W1024" s="4" t="s">
        <v>2730</v>
      </c>
      <c r="X1024" s="4" t="s">
        <v>2826</v>
      </c>
      <c r="Y1024" s="4"/>
      <c r="Z1024" s="12" t="s">
        <v>48</v>
      </c>
      <c r="AA1024" s="13" t="s">
        <v>9161</v>
      </c>
      <c r="AB1024" s="13" t="s">
        <v>9160</v>
      </c>
      <c r="AC1024" s="14" t="s">
        <v>9166</v>
      </c>
      <c r="AD1024" s="14" t="s">
        <v>28</v>
      </c>
      <c r="AE1024" s="14" t="s">
        <v>372</v>
      </c>
      <c r="AF1024" s="14" t="s">
        <v>267</v>
      </c>
      <c r="AG1024" s="14" t="s">
        <v>2826</v>
      </c>
      <c r="AH1024" s="15" t="s">
        <v>9220</v>
      </c>
      <c r="AI1024" s="15" t="s">
        <v>9142</v>
      </c>
      <c r="AJ1024" s="15" t="s">
        <v>9143</v>
      </c>
      <c r="AK1024" s="15" t="s">
        <v>9221</v>
      </c>
      <c r="AL1024" s="15" t="s">
        <v>9228</v>
      </c>
      <c r="AM1024" s="16" t="s">
        <v>9221</v>
      </c>
      <c r="AN1024" s="16" t="s">
        <v>9229</v>
      </c>
    </row>
    <row r="1025" spans="1:40" x14ac:dyDescent="0.25">
      <c r="A1025" s="4" t="s">
        <v>177</v>
      </c>
      <c r="B1025" s="4" t="s">
        <v>178</v>
      </c>
      <c r="C1025" s="4" t="s">
        <v>39</v>
      </c>
      <c r="D1025" s="4" t="s">
        <v>179</v>
      </c>
      <c r="E1025" s="4" t="s">
        <v>180</v>
      </c>
      <c r="F1025" s="10">
        <v>45427</v>
      </c>
      <c r="G1025" s="11">
        <v>0.45347222222222222</v>
      </c>
      <c r="H1025" s="4" t="s">
        <v>42</v>
      </c>
      <c r="I1025" s="4">
        <v>1008</v>
      </c>
      <c r="J1025" s="4" t="s">
        <v>170</v>
      </c>
      <c r="K1025" s="4" t="s">
        <v>181</v>
      </c>
      <c r="L1025" s="4" t="s">
        <v>182</v>
      </c>
      <c r="M1025" s="4" t="s">
        <v>28</v>
      </c>
      <c r="N1025" s="4" t="s">
        <v>183</v>
      </c>
      <c r="O1025" s="4" t="s">
        <v>174</v>
      </c>
      <c r="P1025" s="4" t="s">
        <v>48</v>
      </c>
      <c r="Q1025" s="4">
        <v>24</v>
      </c>
      <c r="R1025" s="4" t="b">
        <v>0</v>
      </c>
      <c r="S1025" s="4" t="s">
        <v>184</v>
      </c>
      <c r="T1025" s="4" t="s">
        <v>89</v>
      </c>
      <c r="U1025" s="4" t="s">
        <v>175</v>
      </c>
      <c r="V1025" s="4" t="s">
        <v>52</v>
      </c>
      <c r="W1025" s="4" t="s">
        <v>53</v>
      </c>
      <c r="X1025" s="4" t="s">
        <v>54</v>
      </c>
      <c r="Y1025" s="4"/>
      <c r="Z1025" s="12" t="s">
        <v>48</v>
      </c>
      <c r="AA1025" s="13" t="s">
        <v>9161</v>
      </c>
      <c r="AB1025" s="13" t="s">
        <v>9160</v>
      </c>
      <c r="AC1025" s="14" t="s">
        <v>9166</v>
      </c>
      <c r="AD1025" s="14" t="s">
        <v>28</v>
      </c>
      <c r="AE1025" s="14" t="s">
        <v>183</v>
      </c>
      <c r="AF1025" s="14" t="s">
        <v>52</v>
      </c>
      <c r="AG1025" s="14" t="s">
        <v>54</v>
      </c>
      <c r="AH1025" s="15" t="s">
        <v>9141</v>
      </c>
      <c r="AI1025" s="15" t="s">
        <v>9142</v>
      </c>
      <c r="AJ1025" s="15" t="s">
        <v>9143</v>
      </c>
      <c r="AK1025" s="15" t="s">
        <v>9141</v>
      </c>
      <c r="AL1025" s="15" t="s">
        <v>9144</v>
      </c>
      <c r="AM1025" s="16" t="s">
        <v>9141</v>
      </c>
      <c r="AN1025" s="16" t="s">
        <v>9145</v>
      </c>
    </row>
    <row r="1026" spans="1:40" x14ac:dyDescent="0.25">
      <c r="A1026" s="4" t="s">
        <v>5997</v>
      </c>
      <c r="B1026" s="4"/>
      <c r="C1026" s="4" t="s">
        <v>39</v>
      </c>
      <c r="D1026" s="4" t="s">
        <v>5998</v>
      </c>
      <c r="E1026" s="4" t="s">
        <v>5999</v>
      </c>
      <c r="F1026" s="10">
        <v>45427</v>
      </c>
      <c r="G1026" s="11">
        <v>0.65763888888888888</v>
      </c>
      <c r="H1026" s="4" t="s">
        <v>4242</v>
      </c>
      <c r="I1026" s="4" t="s">
        <v>5918</v>
      </c>
      <c r="J1026" s="4" t="s">
        <v>5919</v>
      </c>
      <c r="K1026" s="4" t="s">
        <v>6000</v>
      </c>
      <c r="L1026" s="4" t="s">
        <v>6001</v>
      </c>
      <c r="M1026" s="4" t="s">
        <v>46</v>
      </c>
      <c r="N1026" s="4"/>
      <c r="O1026" s="4" t="s">
        <v>47</v>
      </c>
      <c r="P1026" s="4" t="s">
        <v>48</v>
      </c>
      <c r="Q1026" s="4">
        <v>0</v>
      </c>
      <c r="R1026" s="4" t="b">
        <v>0</v>
      </c>
      <c r="S1026" s="4" t="s">
        <v>61</v>
      </c>
      <c r="T1026" s="4" t="s">
        <v>89</v>
      </c>
      <c r="U1026" s="4" t="s">
        <v>3093</v>
      </c>
      <c r="V1026" s="4" t="s">
        <v>63</v>
      </c>
      <c r="W1026" s="4" t="s">
        <v>108</v>
      </c>
      <c r="X1026" s="4" t="s">
        <v>98</v>
      </c>
      <c r="Y1026" s="4"/>
      <c r="Z1026" s="12">
        <v>0</v>
      </c>
      <c r="AA1026" s="13" t="s">
        <v>9161</v>
      </c>
      <c r="AB1026" s="13" t="s">
        <v>9160</v>
      </c>
      <c r="AC1026" s="14" t="s">
        <v>9148</v>
      </c>
      <c r="AD1026" s="14" t="s">
        <v>9140</v>
      </c>
      <c r="AE1026" s="14" t="s">
        <v>9140</v>
      </c>
      <c r="AF1026" s="14" t="s">
        <v>63</v>
      </c>
      <c r="AG1026" s="14" t="s">
        <v>98</v>
      </c>
      <c r="AH1026" s="15" t="s">
        <v>9220</v>
      </c>
      <c r="AI1026" s="15" t="s">
        <v>9187</v>
      </c>
      <c r="AJ1026" s="15" t="s">
        <v>9143</v>
      </c>
      <c r="AK1026" s="15" t="s">
        <v>9221</v>
      </c>
      <c r="AL1026" s="15" t="s">
        <v>9226</v>
      </c>
      <c r="AM1026" s="16" t="s">
        <v>9221</v>
      </c>
      <c r="AN1026" s="16" t="s">
        <v>9227</v>
      </c>
    </row>
    <row r="1027" spans="1:40" x14ac:dyDescent="0.25">
      <c r="A1027" s="4" t="s">
        <v>6388</v>
      </c>
      <c r="B1027" s="4" t="s">
        <v>6389</v>
      </c>
      <c r="C1027" s="4" t="s">
        <v>39</v>
      </c>
      <c r="D1027" s="4" t="s">
        <v>6390</v>
      </c>
      <c r="E1027" s="4" t="s">
        <v>6391</v>
      </c>
      <c r="F1027" s="10">
        <v>45427</v>
      </c>
      <c r="G1027" s="11">
        <v>0.43888888888888888</v>
      </c>
      <c r="H1027" s="4" t="s">
        <v>4659</v>
      </c>
      <c r="I1027" s="4" t="s">
        <v>6379</v>
      </c>
      <c r="J1027" s="4" t="s">
        <v>6380</v>
      </c>
      <c r="K1027" s="4" t="s">
        <v>6392</v>
      </c>
      <c r="L1027" s="4" t="s">
        <v>6393</v>
      </c>
      <c r="M1027" s="4" t="s">
        <v>28</v>
      </c>
      <c r="N1027" s="4" t="s">
        <v>147</v>
      </c>
      <c r="O1027" s="4" t="s">
        <v>174</v>
      </c>
      <c r="P1027" s="4" t="s">
        <v>48</v>
      </c>
      <c r="Q1027" s="4">
        <v>0</v>
      </c>
      <c r="R1027" s="4" t="b">
        <v>0</v>
      </c>
      <c r="S1027" s="4" t="s">
        <v>114</v>
      </c>
      <c r="T1027" s="4" t="s">
        <v>115</v>
      </c>
      <c r="U1027" s="4" t="s">
        <v>175</v>
      </c>
      <c r="V1027" s="4" t="s">
        <v>52</v>
      </c>
      <c r="W1027" s="4" t="s">
        <v>53</v>
      </c>
      <c r="X1027" s="4" t="s">
        <v>54</v>
      </c>
      <c r="Y1027" s="4"/>
      <c r="Z1027" s="12" t="s">
        <v>48</v>
      </c>
      <c r="AA1027" s="13" t="s">
        <v>9161</v>
      </c>
      <c r="AB1027" s="13" t="s">
        <v>9160</v>
      </c>
      <c r="AC1027" s="14" t="s">
        <v>9157</v>
      </c>
      <c r="AD1027" s="14" t="s">
        <v>28</v>
      </c>
      <c r="AE1027" s="14" t="s">
        <v>9140</v>
      </c>
      <c r="AF1027" s="14" t="s">
        <v>52</v>
      </c>
      <c r="AG1027" s="14" t="s">
        <v>54</v>
      </c>
      <c r="AH1027" s="15" t="s">
        <v>9220</v>
      </c>
      <c r="AI1027" s="15" t="s">
        <v>9142</v>
      </c>
      <c r="AJ1027" s="15" t="s">
        <v>9143</v>
      </c>
      <c r="AK1027" s="15" t="s">
        <v>9221</v>
      </c>
      <c r="AL1027" s="15" t="s">
        <v>9228</v>
      </c>
      <c r="AM1027" s="16" t="s">
        <v>9221</v>
      </c>
      <c r="AN1027" s="16" t="s">
        <v>9229</v>
      </c>
    </row>
    <row r="1028" spans="1:40" x14ac:dyDescent="0.25">
      <c r="A1028" s="4" t="s">
        <v>6318</v>
      </c>
      <c r="B1028" s="4"/>
      <c r="C1028" s="4" t="s">
        <v>39</v>
      </c>
      <c r="D1028" s="4" t="s">
        <v>6319</v>
      </c>
      <c r="E1028" s="4" t="s">
        <v>6320</v>
      </c>
      <c r="F1028" s="10">
        <v>45426</v>
      </c>
      <c r="G1028" s="11">
        <v>0.54722222222222228</v>
      </c>
      <c r="H1028" s="4" t="s">
        <v>4019</v>
      </c>
      <c r="I1028" s="4" t="s">
        <v>6277</v>
      </c>
      <c r="J1028" s="4" t="s">
        <v>988</v>
      </c>
      <c r="K1028" s="4" t="s">
        <v>6321</v>
      </c>
      <c r="L1028" s="4" t="s">
        <v>6322</v>
      </c>
      <c r="M1028" s="4" t="s">
        <v>46</v>
      </c>
      <c r="N1028" s="4"/>
      <c r="O1028" s="4" t="s">
        <v>47</v>
      </c>
      <c r="P1028" s="4" t="s">
        <v>48</v>
      </c>
      <c r="Q1028" s="4">
        <v>0</v>
      </c>
      <c r="R1028" s="4" t="b">
        <v>0</v>
      </c>
      <c r="S1028" s="4" t="s">
        <v>61</v>
      </c>
      <c r="T1028" s="4" t="s">
        <v>50</v>
      </c>
      <c r="U1028" s="4" t="s">
        <v>2767</v>
      </c>
      <c r="V1028" s="4" t="s">
        <v>63</v>
      </c>
      <c r="W1028" s="4" t="s">
        <v>108</v>
      </c>
      <c r="X1028" s="4" t="s">
        <v>98</v>
      </c>
      <c r="Y1028" s="4"/>
      <c r="Z1028" s="12">
        <v>0</v>
      </c>
      <c r="AA1028" s="13" t="s">
        <v>9161</v>
      </c>
      <c r="AB1028" s="13" t="s">
        <v>9160</v>
      </c>
      <c r="AC1028" s="14" t="s">
        <v>9148</v>
      </c>
      <c r="AD1028" s="14" t="s">
        <v>9140</v>
      </c>
      <c r="AE1028" s="14" t="s">
        <v>9140</v>
      </c>
      <c r="AF1028" s="14" t="s">
        <v>63</v>
      </c>
      <c r="AG1028" s="14" t="s">
        <v>98</v>
      </c>
      <c r="AH1028" s="15" t="s">
        <v>9220</v>
      </c>
      <c r="AI1028" s="15" t="s">
        <v>9175</v>
      </c>
      <c r="AJ1028" s="15" t="s">
        <v>9143</v>
      </c>
      <c r="AK1028" s="15" t="s">
        <v>9221</v>
      </c>
      <c r="AL1028" s="15" t="s">
        <v>9222</v>
      </c>
      <c r="AM1028" s="16" t="s">
        <v>9221</v>
      </c>
      <c r="AN1028" s="16" t="s">
        <v>9223</v>
      </c>
    </row>
    <row r="1029" spans="1:40" x14ac:dyDescent="0.25">
      <c r="A1029" s="4" t="s">
        <v>7571</v>
      </c>
      <c r="B1029" s="4"/>
      <c r="C1029" s="4" t="s">
        <v>39</v>
      </c>
      <c r="D1029" s="4" t="s">
        <v>7572</v>
      </c>
      <c r="E1029" s="4" t="s">
        <v>7573</v>
      </c>
      <c r="F1029" s="10">
        <v>45425</v>
      </c>
      <c r="G1029" s="11">
        <v>0.77083333333333337</v>
      </c>
      <c r="H1029" s="4" t="s">
        <v>4019</v>
      </c>
      <c r="I1029" s="4" t="s">
        <v>7562</v>
      </c>
      <c r="J1029" s="4" t="s">
        <v>7563</v>
      </c>
      <c r="K1029" s="4" t="s">
        <v>7574</v>
      </c>
      <c r="L1029" s="4" t="s">
        <v>7575</v>
      </c>
      <c r="M1029" s="4" t="s">
        <v>46</v>
      </c>
      <c r="N1029" s="4"/>
      <c r="O1029" s="4" t="s">
        <v>47</v>
      </c>
      <c r="P1029" s="4" t="s">
        <v>48</v>
      </c>
      <c r="Q1029" s="4">
        <v>0</v>
      </c>
      <c r="R1029" s="4" t="b">
        <v>0</v>
      </c>
      <c r="S1029" s="4" t="s">
        <v>114</v>
      </c>
      <c r="T1029" s="4" t="s">
        <v>70</v>
      </c>
      <c r="U1029" s="4" t="s">
        <v>71</v>
      </c>
      <c r="V1029" s="4" t="s">
        <v>72</v>
      </c>
      <c r="W1029" s="4" t="s">
        <v>97</v>
      </c>
      <c r="X1029" s="4" t="s">
        <v>54</v>
      </c>
      <c r="Y1029" s="4" t="s">
        <v>211</v>
      </c>
      <c r="Z1029" s="12">
        <v>0</v>
      </c>
      <c r="AA1029" s="13" t="s">
        <v>9161</v>
      </c>
      <c r="AB1029" s="13" t="s">
        <v>9160</v>
      </c>
      <c r="AC1029" s="14" t="s">
        <v>9157</v>
      </c>
      <c r="AD1029" s="14" t="s">
        <v>9140</v>
      </c>
      <c r="AE1029" s="14" t="s">
        <v>9140</v>
      </c>
      <c r="AF1029" s="14" t="s">
        <v>72</v>
      </c>
      <c r="AG1029" s="14" t="s">
        <v>54</v>
      </c>
      <c r="AH1029" s="15" t="s">
        <v>9220</v>
      </c>
      <c r="AI1029" s="15" t="s">
        <v>9175</v>
      </c>
      <c r="AJ1029" s="15" t="s">
        <v>9143</v>
      </c>
      <c r="AK1029" s="15" t="s">
        <v>9221</v>
      </c>
      <c r="AL1029" s="15" t="s">
        <v>9224</v>
      </c>
      <c r="AM1029" s="16" t="s">
        <v>9221</v>
      </c>
      <c r="AN1029" s="16" t="s">
        <v>9225</v>
      </c>
    </row>
    <row r="1030" spans="1:40" x14ac:dyDescent="0.25">
      <c r="A1030" s="4" t="s">
        <v>4529</v>
      </c>
      <c r="B1030" s="4">
        <v>6821821</v>
      </c>
      <c r="C1030" s="4" t="s">
        <v>39</v>
      </c>
      <c r="D1030" s="4" t="s">
        <v>4530</v>
      </c>
      <c r="E1030" s="4" t="s">
        <v>4531</v>
      </c>
      <c r="F1030" s="10">
        <v>45425</v>
      </c>
      <c r="G1030" s="11">
        <v>0.62708333333333333</v>
      </c>
      <c r="H1030" s="4" t="s">
        <v>4516</v>
      </c>
      <c r="I1030" s="4" t="s">
        <v>4517</v>
      </c>
      <c r="J1030" s="4" t="s">
        <v>2272</v>
      </c>
      <c r="K1030" s="4" t="s">
        <v>4532</v>
      </c>
      <c r="L1030" s="4" t="s">
        <v>4533</v>
      </c>
      <c r="M1030" s="4" t="s">
        <v>46</v>
      </c>
      <c r="N1030" s="4"/>
      <c r="O1030" s="4" t="s">
        <v>47</v>
      </c>
      <c r="P1030" s="4" t="s">
        <v>48</v>
      </c>
      <c r="Q1030" s="4">
        <v>0</v>
      </c>
      <c r="R1030" s="4" t="b">
        <v>0</v>
      </c>
      <c r="S1030" s="4" t="s">
        <v>61</v>
      </c>
      <c r="T1030" s="4" t="s">
        <v>583</v>
      </c>
      <c r="U1030" s="4" t="s">
        <v>90</v>
      </c>
      <c r="V1030" s="4" t="s">
        <v>63</v>
      </c>
      <c r="W1030" s="4" t="s">
        <v>108</v>
      </c>
      <c r="X1030" s="4" t="s">
        <v>98</v>
      </c>
      <c r="Y1030" s="4"/>
      <c r="Z1030" s="12">
        <v>0</v>
      </c>
      <c r="AA1030" s="13" t="s">
        <v>9161</v>
      </c>
      <c r="AB1030" s="13" t="s">
        <v>9160</v>
      </c>
      <c r="AC1030" s="14" t="s">
        <v>9148</v>
      </c>
      <c r="AD1030" s="14" t="s">
        <v>9140</v>
      </c>
      <c r="AE1030" s="14" t="s">
        <v>9140</v>
      </c>
      <c r="AF1030" s="14" t="s">
        <v>63</v>
      </c>
      <c r="AG1030" s="14" t="s">
        <v>98</v>
      </c>
      <c r="AH1030" s="15" t="s">
        <v>9220</v>
      </c>
      <c r="AI1030" s="15" t="s">
        <v>9188</v>
      </c>
      <c r="AJ1030" s="15" t="s">
        <v>9143</v>
      </c>
      <c r="AK1030" s="15" t="s">
        <v>9221</v>
      </c>
      <c r="AL1030" s="15" t="s">
        <v>9230</v>
      </c>
      <c r="AM1030" s="16" t="s">
        <v>9221</v>
      </c>
      <c r="AN1030" s="16" t="s">
        <v>9231</v>
      </c>
    </row>
    <row r="1031" spans="1:40" x14ac:dyDescent="0.25">
      <c r="A1031" s="4" t="s">
        <v>1179</v>
      </c>
      <c r="B1031" s="4"/>
      <c r="C1031" s="4" t="s">
        <v>39</v>
      </c>
      <c r="D1031" s="4" t="s">
        <v>1180</v>
      </c>
      <c r="E1031" s="4" t="s">
        <v>1181</v>
      </c>
      <c r="F1031" s="10">
        <v>45425</v>
      </c>
      <c r="G1031" s="11">
        <v>0.65625</v>
      </c>
      <c r="H1031" s="4" t="s">
        <v>1155</v>
      </c>
      <c r="I1031" s="4">
        <v>4042</v>
      </c>
      <c r="J1031" s="4" t="s">
        <v>1173</v>
      </c>
      <c r="K1031" s="4" t="s">
        <v>1182</v>
      </c>
      <c r="L1031" s="4" t="s">
        <v>1183</v>
      </c>
      <c r="M1031" s="4" t="s">
        <v>46</v>
      </c>
      <c r="N1031" s="4"/>
      <c r="O1031" s="4" t="s">
        <v>47</v>
      </c>
      <c r="P1031" s="4" t="s">
        <v>48</v>
      </c>
      <c r="Q1031" s="4">
        <v>0</v>
      </c>
      <c r="R1031" s="4" t="b">
        <v>0</v>
      </c>
      <c r="S1031" s="4" t="s">
        <v>61</v>
      </c>
      <c r="T1031" s="4" t="s">
        <v>50</v>
      </c>
      <c r="U1031" s="4" t="s">
        <v>90</v>
      </c>
      <c r="V1031" s="4" t="s">
        <v>72</v>
      </c>
      <c r="W1031" s="4" t="s">
        <v>73</v>
      </c>
      <c r="X1031" s="4" t="s">
        <v>54</v>
      </c>
      <c r="Y1031" s="4"/>
      <c r="Z1031" s="12">
        <v>0</v>
      </c>
      <c r="AA1031" s="13" t="s">
        <v>9161</v>
      </c>
      <c r="AB1031" s="13" t="s">
        <v>9160</v>
      </c>
      <c r="AC1031" s="14" t="s">
        <v>9148</v>
      </c>
      <c r="AD1031" s="14" t="s">
        <v>9140</v>
      </c>
      <c r="AE1031" s="14" t="s">
        <v>9140</v>
      </c>
      <c r="AF1031" s="14" t="s">
        <v>72</v>
      </c>
      <c r="AG1031" s="14" t="s">
        <v>54</v>
      </c>
      <c r="AH1031" s="15" t="s">
        <v>9141</v>
      </c>
      <c r="AI1031" s="15" t="s">
        <v>9187</v>
      </c>
      <c r="AJ1031" s="15" t="s">
        <v>9143</v>
      </c>
      <c r="AK1031" s="15" t="s">
        <v>9141</v>
      </c>
      <c r="AL1031" s="15" t="s">
        <v>9144</v>
      </c>
      <c r="AM1031" s="16" t="s">
        <v>9141</v>
      </c>
      <c r="AN1031" s="16" t="s">
        <v>9145</v>
      </c>
    </row>
    <row r="1032" spans="1:40" x14ac:dyDescent="0.25">
      <c r="A1032" s="4" t="s">
        <v>1398</v>
      </c>
      <c r="B1032" s="4"/>
      <c r="C1032" s="4" t="s">
        <v>39</v>
      </c>
      <c r="D1032" s="4" t="s">
        <v>1383</v>
      </c>
      <c r="E1032" s="4" t="s">
        <v>1384</v>
      </c>
      <c r="F1032" s="10">
        <v>45425</v>
      </c>
      <c r="G1032" s="11">
        <v>0.39583333333333331</v>
      </c>
      <c r="H1032" s="4" t="s">
        <v>1366</v>
      </c>
      <c r="I1032" s="4">
        <v>5054</v>
      </c>
      <c r="J1032" s="4" t="s">
        <v>1385</v>
      </c>
      <c r="K1032" s="4" t="s">
        <v>711</v>
      </c>
      <c r="L1032" s="4" t="s">
        <v>1399</v>
      </c>
      <c r="M1032" s="4" t="s">
        <v>46</v>
      </c>
      <c r="N1032" s="4"/>
      <c r="O1032" s="4" t="s">
        <v>47</v>
      </c>
      <c r="P1032" s="4" t="s">
        <v>48</v>
      </c>
      <c r="Q1032" s="4">
        <v>0</v>
      </c>
      <c r="R1032" s="4" t="b">
        <v>0</v>
      </c>
      <c r="S1032" s="4" t="s">
        <v>61</v>
      </c>
      <c r="T1032" s="4" t="s">
        <v>50</v>
      </c>
      <c r="U1032" s="4" t="s">
        <v>90</v>
      </c>
      <c r="V1032" s="4" t="s">
        <v>63</v>
      </c>
      <c r="W1032" s="4" t="s">
        <v>108</v>
      </c>
      <c r="X1032" s="4" t="s">
        <v>98</v>
      </c>
      <c r="Y1032" s="4"/>
      <c r="Z1032" s="12">
        <v>0</v>
      </c>
      <c r="AA1032" s="13" t="s">
        <v>9161</v>
      </c>
      <c r="AB1032" s="13" t="s">
        <v>9160</v>
      </c>
      <c r="AC1032" s="14" t="s">
        <v>9148</v>
      </c>
      <c r="AD1032" s="14" t="s">
        <v>9140</v>
      </c>
      <c r="AE1032" s="14" t="s">
        <v>9140</v>
      </c>
      <c r="AF1032" s="14" t="s">
        <v>63</v>
      </c>
      <c r="AG1032" s="14" t="s">
        <v>98</v>
      </c>
      <c r="AH1032" s="15" t="s">
        <v>9141</v>
      </c>
      <c r="AI1032" s="15" t="s">
        <v>9188</v>
      </c>
      <c r="AJ1032" s="15" t="s">
        <v>9143</v>
      </c>
      <c r="AK1032" s="15" t="s">
        <v>9141</v>
      </c>
      <c r="AL1032" s="15" t="s">
        <v>9189</v>
      </c>
      <c r="AM1032" s="16" t="s">
        <v>9141</v>
      </c>
      <c r="AN1032" s="16" t="s">
        <v>9190</v>
      </c>
    </row>
    <row r="1033" spans="1:40" x14ac:dyDescent="0.25">
      <c r="A1033" s="4" t="s">
        <v>7812</v>
      </c>
      <c r="B1033" s="4"/>
      <c r="C1033" s="4" t="s">
        <v>39</v>
      </c>
      <c r="D1033" s="4" t="s">
        <v>7813</v>
      </c>
      <c r="E1033" s="4" t="s">
        <v>7814</v>
      </c>
      <c r="F1033" s="10">
        <v>45425</v>
      </c>
      <c r="G1033" s="11">
        <v>0.64513888888888893</v>
      </c>
      <c r="H1033" s="4" t="s">
        <v>5666</v>
      </c>
      <c r="I1033" s="4" t="s">
        <v>7793</v>
      </c>
      <c r="J1033" s="4" t="s">
        <v>7794</v>
      </c>
      <c r="K1033" s="4" t="s">
        <v>7815</v>
      </c>
      <c r="L1033" s="4" t="s">
        <v>7816</v>
      </c>
      <c r="M1033" s="4" t="s">
        <v>46</v>
      </c>
      <c r="N1033" s="4"/>
      <c r="O1033" s="4" t="s">
        <v>47</v>
      </c>
      <c r="P1033" s="4" t="s">
        <v>48</v>
      </c>
      <c r="Q1033" s="4">
        <v>0</v>
      </c>
      <c r="R1033" s="4" t="b">
        <v>0</v>
      </c>
      <c r="S1033" s="4" t="s">
        <v>61</v>
      </c>
      <c r="T1033" s="4" t="s">
        <v>89</v>
      </c>
      <c r="U1033" s="4" t="s">
        <v>148</v>
      </c>
      <c r="V1033" s="4" t="s">
        <v>52</v>
      </c>
      <c r="W1033" s="4" t="s">
        <v>374</v>
      </c>
      <c r="X1033" s="4" t="s">
        <v>98</v>
      </c>
      <c r="Y1033" s="4"/>
      <c r="Z1033" s="12">
        <v>0</v>
      </c>
      <c r="AA1033" s="13" t="s">
        <v>9161</v>
      </c>
      <c r="AB1033" s="13" t="s">
        <v>9160</v>
      </c>
      <c r="AC1033" s="14" t="s">
        <v>9148</v>
      </c>
      <c r="AD1033" s="14" t="s">
        <v>9140</v>
      </c>
      <c r="AE1033" s="14" t="s">
        <v>9140</v>
      </c>
      <c r="AF1033" s="14" t="s">
        <v>52</v>
      </c>
      <c r="AG1033" s="14" t="s">
        <v>98</v>
      </c>
      <c r="AH1033" s="15" t="s">
        <v>9220</v>
      </c>
      <c r="AI1033" s="15" t="s">
        <v>9199</v>
      </c>
      <c r="AJ1033" s="15" t="s">
        <v>9143</v>
      </c>
      <c r="AK1033" s="15" t="s">
        <v>9221</v>
      </c>
      <c r="AL1033" s="15" t="s">
        <v>9199</v>
      </c>
      <c r="AM1033" s="16" t="s">
        <v>9221</v>
      </c>
      <c r="AN1033" s="16" t="s">
        <v>9238</v>
      </c>
    </row>
    <row r="1034" spans="1:40" x14ac:dyDescent="0.25">
      <c r="A1034" s="4" t="s">
        <v>5613</v>
      </c>
      <c r="B1034" s="4"/>
      <c r="C1034" s="4" t="s">
        <v>488</v>
      </c>
      <c r="D1034" s="4" t="s">
        <v>5614</v>
      </c>
      <c r="E1034" s="4" t="s">
        <v>5615</v>
      </c>
      <c r="F1034" s="10">
        <v>45424</v>
      </c>
      <c r="G1034" s="11">
        <v>0.4861111111111111</v>
      </c>
      <c r="H1034" s="4" t="s">
        <v>4019</v>
      </c>
      <c r="I1034" s="4" t="s">
        <v>5616</v>
      </c>
      <c r="J1034" s="4" t="s">
        <v>5617</v>
      </c>
      <c r="K1034" s="4" t="s">
        <v>5618</v>
      </c>
      <c r="L1034" s="4" t="s">
        <v>5619</v>
      </c>
      <c r="M1034" s="4" t="s">
        <v>46</v>
      </c>
      <c r="N1034" s="4"/>
      <c r="O1034" s="4" t="s">
        <v>47</v>
      </c>
      <c r="P1034" s="4" t="s">
        <v>48</v>
      </c>
      <c r="Q1034" s="4">
        <v>0</v>
      </c>
      <c r="R1034" s="4" t="b">
        <v>0</v>
      </c>
      <c r="S1034" s="4" t="s">
        <v>61</v>
      </c>
      <c r="T1034" s="4" t="s">
        <v>349</v>
      </c>
      <c r="U1034" s="4" t="s">
        <v>330</v>
      </c>
      <c r="V1034" s="4" t="s">
        <v>267</v>
      </c>
      <c r="W1034" s="4" t="s">
        <v>2330</v>
      </c>
      <c r="X1034" s="4" t="s">
        <v>54</v>
      </c>
      <c r="Y1034" s="4"/>
      <c r="Z1034" s="12">
        <v>0</v>
      </c>
      <c r="AA1034" s="13" t="s">
        <v>9161</v>
      </c>
      <c r="AB1034" s="13" t="s">
        <v>9160</v>
      </c>
      <c r="AC1034" s="14" t="s">
        <v>9148</v>
      </c>
      <c r="AD1034" s="14" t="s">
        <v>9140</v>
      </c>
      <c r="AE1034" s="14" t="s">
        <v>9140</v>
      </c>
      <c r="AF1034" s="14" t="s">
        <v>267</v>
      </c>
      <c r="AG1034" s="14" t="s">
        <v>54</v>
      </c>
      <c r="AH1034" s="15" t="s">
        <v>9220</v>
      </c>
      <c r="AI1034" s="15" t="s">
        <v>9175</v>
      </c>
      <c r="AJ1034" s="15" t="s">
        <v>9143</v>
      </c>
      <c r="AK1034" s="15" t="s">
        <v>9221</v>
      </c>
      <c r="AL1034" s="15" t="s">
        <v>9224</v>
      </c>
      <c r="AM1034" s="16" t="s">
        <v>9221</v>
      </c>
      <c r="AN1034" s="16" t="s">
        <v>9225</v>
      </c>
    </row>
    <row r="1035" spans="1:40" x14ac:dyDescent="0.25">
      <c r="A1035" s="4" t="s">
        <v>4387</v>
      </c>
      <c r="B1035" s="4"/>
      <c r="C1035" s="4" t="s">
        <v>39</v>
      </c>
      <c r="D1035" s="4" t="s">
        <v>4355</v>
      </c>
      <c r="E1035" s="4" t="s">
        <v>4356</v>
      </c>
      <c r="F1035" s="10">
        <v>45423</v>
      </c>
      <c r="G1035" s="11">
        <v>0.51736111111111116</v>
      </c>
      <c r="H1035" s="4" t="s">
        <v>4019</v>
      </c>
      <c r="I1035" s="4" t="s">
        <v>4304</v>
      </c>
      <c r="J1035" s="4" t="s">
        <v>1941</v>
      </c>
      <c r="K1035" s="4" t="s">
        <v>4388</v>
      </c>
      <c r="L1035" s="4" t="s">
        <v>4389</v>
      </c>
      <c r="M1035" s="4" t="s">
        <v>46</v>
      </c>
      <c r="N1035" s="4"/>
      <c r="O1035" s="4" t="s">
        <v>47</v>
      </c>
      <c r="P1035" s="4" t="s">
        <v>48</v>
      </c>
      <c r="Q1035" s="4">
        <v>0</v>
      </c>
      <c r="R1035" s="4" t="b">
        <v>0</v>
      </c>
      <c r="S1035" s="4" t="s">
        <v>49</v>
      </c>
      <c r="T1035" s="4" t="s">
        <v>50</v>
      </c>
      <c r="U1035" s="4" t="s">
        <v>1918</v>
      </c>
      <c r="V1035" s="4" t="s">
        <v>123</v>
      </c>
      <c r="W1035" s="4" t="s">
        <v>149</v>
      </c>
      <c r="X1035" s="4" t="s">
        <v>978</v>
      </c>
      <c r="Y1035" s="4"/>
      <c r="Z1035" s="12">
        <v>0</v>
      </c>
      <c r="AA1035" s="13" t="s">
        <v>9161</v>
      </c>
      <c r="AB1035" s="13" t="s">
        <v>9160</v>
      </c>
      <c r="AC1035" s="14" t="s">
        <v>9139</v>
      </c>
      <c r="AD1035" s="14" t="s">
        <v>9140</v>
      </c>
      <c r="AE1035" s="14" t="s">
        <v>9140</v>
      </c>
      <c r="AF1035" s="14" t="s">
        <v>123</v>
      </c>
      <c r="AG1035" s="14" t="s">
        <v>978</v>
      </c>
      <c r="AH1035" s="15" t="s">
        <v>9220</v>
      </c>
      <c r="AI1035" s="15" t="s">
        <v>9175</v>
      </c>
      <c r="AJ1035" s="15" t="s">
        <v>9143</v>
      </c>
      <c r="AK1035" s="15" t="s">
        <v>9221</v>
      </c>
      <c r="AL1035" s="15" t="s">
        <v>9222</v>
      </c>
      <c r="AM1035" s="16" t="s">
        <v>9221</v>
      </c>
      <c r="AN1035" s="16" t="s">
        <v>9223</v>
      </c>
    </row>
    <row r="1036" spans="1:40" x14ac:dyDescent="0.25">
      <c r="A1036" s="4" t="s">
        <v>6002</v>
      </c>
      <c r="B1036" s="4" t="s">
        <v>6003</v>
      </c>
      <c r="C1036" s="4" t="s">
        <v>39</v>
      </c>
      <c r="D1036" s="4" t="s">
        <v>5977</v>
      </c>
      <c r="E1036" s="4" t="s">
        <v>5978</v>
      </c>
      <c r="F1036" s="10">
        <v>45423</v>
      </c>
      <c r="G1036" s="11">
        <v>0.66180555555555554</v>
      </c>
      <c r="H1036" s="4" t="s">
        <v>4242</v>
      </c>
      <c r="I1036" s="4" t="s">
        <v>5918</v>
      </c>
      <c r="J1036" s="4" t="s">
        <v>5919</v>
      </c>
      <c r="K1036" s="4" t="s">
        <v>6004</v>
      </c>
      <c r="L1036" s="4" t="s">
        <v>6005</v>
      </c>
      <c r="M1036" s="4" t="s">
        <v>28</v>
      </c>
      <c r="N1036" s="4" t="s">
        <v>183</v>
      </c>
      <c r="O1036" s="4" t="s">
        <v>174</v>
      </c>
      <c r="P1036" s="4" t="s">
        <v>48</v>
      </c>
      <c r="Q1036" s="4">
        <v>0</v>
      </c>
      <c r="R1036" s="4" t="b">
        <v>0</v>
      </c>
      <c r="S1036" s="4" t="s">
        <v>114</v>
      </c>
      <c r="T1036" s="4" t="s">
        <v>89</v>
      </c>
      <c r="U1036" s="4" t="s">
        <v>71</v>
      </c>
      <c r="V1036" s="4" t="s">
        <v>52</v>
      </c>
      <c r="W1036" s="4" t="s">
        <v>374</v>
      </c>
      <c r="X1036" s="4" t="s">
        <v>54</v>
      </c>
      <c r="Y1036" s="4"/>
      <c r="Z1036" s="12" t="s">
        <v>48</v>
      </c>
      <c r="AA1036" s="13" t="s">
        <v>9161</v>
      </c>
      <c r="AB1036" s="13" t="s">
        <v>9160</v>
      </c>
      <c r="AC1036" s="14" t="s">
        <v>9157</v>
      </c>
      <c r="AD1036" s="14" t="s">
        <v>28</v>
      </c>
      <c r="AE1036" s="14" t="s">
        <v>183</v>
      </c>
      <c r="AF1036" s="14" t="s">
        <v>52</v>
      </c>
      <c r="AG1036" s="14" t="s">
        <v>54</v>
      </c>
      <c r="AH1036" s="15" t="s">
        <v>9220</v>
      </c>
      <c r="AI1036" s="15" t="s">
        <v>9187</v>
      </c>
      <c r="AJ1036" s="15" t="s">
        <v>9143</v>
      </c>
      <c r="AK1036" s="15" t="s">
        <v>9221</v>
      </c>
      <c r="AL1036" s="15" t="s">
        <v>9226</v>
      </c>
      <c r="AM1036" s="16" t="s">
        <v>9221</v>
      </c>
      <c r="AN1036" s="16" t="s">
        <v>9227</v>
      </c>
    </row>
    <row r="1037" spans="1:40" x14ac:dyDescent="0.25">
      <c r="A1037" s="4" t="s">
        <v>6096</v>
      </c>
      <c r="B1037" s="4"/>
      <c r="C1037" s="4" t="s">
        <v>39</v>
      </c>
      <c r="D1037" s="4" t="s">
        <v>6078</v>
      </c>
      <c r="E1037" s="4" t="s">
        <v>6079</v>
      </c>
      <c r="F1037" s="10">
        <v>45423</v>
      </c>
      <c r="G1037" s="11">
        <v>0.39861111111111114</v>
      </c>
      <c r="H1037" s="4" t="s">
        <v>5666</v>
      </c>
      <c r="I1037" s="4" t="s">
        <v>6073</v>
      </c>
      <c r="J1037" s="4" t="s">
        <v>3608</v>
      </c>
      <c r="K1037" s="4" t="s">
        <v>2442</v>
      </c>
      <c r="L1037" s="4" t="s">
        <v>6097</v>
      </c>
      <c r="M1037" s="4" t="s">
        <v>46</v>
      </c>
      <c r="N1037" s="4"/>
      <c r="O1037" s="4" t="s">
        <v>47</v>
      </c>
      <c r="P1037" s="4" t="s">
        <v>48</v>
      </c>
      <c r="Q1037" s="4">
        <v>0</v>
      </c>
      <c r="R1037" s="4" t="b">
        <v>0</v>
      </c>
      <c r="S1037" s="4" t="s">
        <v>61</v>
      </c>
      <c r="T1037" s="4" t="s">
        <v>50</v>
      </c>
      <c r="U1037" s="4" t="s">
        <v>90</v>
      </c>
      <c r="V1037" s="4" t="s">
        <v>63</v>
      </c>
      <c r="W1037" s="4" t="s">
        <v>4353</v>
      </c>
      <c r="X1037" s="4" t="s">
        <v>98</v>
      </c>
      <c r="Y1037" s="4"/>
      <c r="Z1037" s="12">
        <v>0</v>
      </c>
      <c r="AA1037" s="13" t="s">
        <v>9161</v>
      </c>
      <c r="AB1037" s="13" t="s">
        <v>9160</v>
      </c>
      <c r="AC1037" s="14" t="s">
        <v>9148</v>
      </c>
      <c r="AD1037" s="14" t="s">
        <v>9140</v>
      </c>
      <c r="AE1037" s="14" t="s">
        <v>9140</v>
      </c>
      <c r="AF1037" s="14" t="s">
        <v>63</v>
      </c>
      <c r="AG1037" s="14" t="s">
        <v>98</v>
      </c>
      <c r="AH1037" s="15" t="s">
        <v>9220</v>
      </c>
      <c r="AI1037" s="15" t="s">
        <v>9199</v>
      </c>
      <c r="AJ1037" s="15" t="s">
        <v>9143</v>
      </c>
      <c r="AK1037" s="15" t="s">
        <v>9221</v>
      </c>
      <c r="AL1037" s="15" t="s">
        <v>9199</v>
      </c>
      <c r="AM1037" s="16" t="s">
        <v>9221</v>
      </c>
      <c r="AN1037" s="16" t="s">
        <v>9238</v>
      </c>
    </row>
    <row r="1038" spans="1:40" x14ac:dyDescent="0.25">
      <c r="A1038" s="4" t="s">
        <v>590</v>
      </c>
      <c r="B1038" s="4">
        <v>12230104187</v>
      </c>
      <c r="C1038" s="4" t="s">
        <v>39</v>
      </c>
      <c r="D1038" s="4" t="s">
        <v>591</v>
      </c>
      <c r="E1038" s="4" t="s">
        <v>592</v>
      </c>
      <c r="F1038" s="10">
        <v>45423</v>
      </c>
      <c r="G1038" s="11">
        <v>0.50486111111111109</v>
      </c>
      <c r="H1038" s="4" t="s">
        <v>463</v>
      </c>
      <c r="I1038" s="4">
        <v>2022</v>
      </c>
      <c r="J1038" s="4" t="s">
        <v>565</v>
      </c>
      <c r="K1038" s="4" t="s">
        <v>593</v>
      </c>
      <c r="L1038" s="4" t="s">
        <v>594</v>
      </c>
      <c r="M1038" s="4" t="s">
        <v>28</v>
      </c>
      <c r="N1038" s="4" t="s">
        <v>183</v>
      </c>
      <c r="O1038" s="4" t="s">
        <v>174</v>
      </c>
      <c r="P1038" s="4" t="s">
        <v>48</v>
      </c>
      <c r="Q1038" s="4">
        <v>1</v>
      </c>
      <c r="R1038" s="4" t="b">
        <v>0</v>
      </c>
      <c r="S1038" s="4" t="s">
        <v>114</v>
      </c>
      <c r="T1038" s="4" t="s">
        <v>89</v>
      </c>
      <c r="U1038" s="4" t="s">
        <v>480</v>
      </c>
      <c r="V1038" s="4" t="s">
        <v>52</v>
      </c>
      <c r="W1038" s="4" t="s">
        <v>53</v>
      </c>
      <c r="X1038" s="4" t="s">
        <v>54</v>
      </c>
      <c r="Y1038" s="4"/>
      <c r="Z1038" s="12" t="s">
        <v>48</v>
      </c>
      <c r="AA1038" s="13" t="s">
        <v>9161</v>
      </c>
      <c r="AB1038" s="13" t="s">
        <v>9160</v>
      </c>
      <c r="AC1038" s="14" t="s">
        <v>9157</v>
      </c>
      <c r="AD1038" s="14" t="s">
        <v>28</v>
      </c>
      <c r="AE1038" s="14" t="s">
        <v>183</v>
      </c>
      <c r="AF1038" s="14" t="s">
        <v>52</v>
      </c>
      <c r="AG1038" s="14" t="s">
        <v>54</v>
      </c>
      <c r="AH1038" s="15" t="s">
        <v>9141</v>
      </c>
      <c r="AI1038" s="15" t="s">
        <v>9175</v>
      </c>
      <c r="AJ1038" s="15" t="s">
        <v>9143</v>
      </c>
      <c r="AK1038" s="15" t="s">
        <v>9141</v>
      </c>
      <c r="AL1038" s="15" t="s">
        <v>9175</v>
      </c>
      <c r="AM1038" s="16" t="s">
        <v>9141</v>
      </c>
      <c r="AN1038" s="16" t="s">
        <v>9176</v>
      </c>
    </row>
    <row r="1039" spans="1:40" x14ac:dyDescent="0.25">
      <c r="A1039" s="4" t="s">
        <v>1040</v>
      </c>
      <c r="B1039" s="4">
        <v>12230102480</v>
      </c>
      <c r="C1039" s="4" t="s">
        <v>39</v>
      </c>
      <c r="D1039" s="4" t="s">
        <v>1041</v>
      </c>
      <c r="E1039" s="4" t="s">
        <v>1042</v>
      </c>
      <c r="F1039" s="10">
        <v>45423</v>
      </c>
      <c r="G1039" s="11">
        <v>0.37708333333333333</v>
      </c>
      <c r="H1039" s="4" t="s">
        <v>463</v>
      </c>
      <c r="I1039" s="4">
        <v>2045</v>
      </c>
      <c r="J1039" s="4" t="s">
        <v>1037</v>
      </c>
      <c r="K1039" s="4" t="s">
        <v>1043</v>
      </c>
      <c r="L1039" s="4" t="s">
        <v>1044</v>
      </c>
      <c r="M1039" s="4" t="s">
        <v>28</v>
      </c>
      <c r="N1039" s="4" t="s">
        <v>183</v>
      </c>
      <c r="O1039" s="4" t="s">
        <v>174</v>
      </c>
      <c r="P1039" s="4" t="s">
        <v>48</v>
      </c>
      <c r="Q1039" s="4">
        <v>0</v>
      </c>
      <c r="R1039" s="4" t="b">
        <v>0</v>
      </c>
      <c r="S1039" s="4" t="s">
        <v>49</v>
      </c>
      <c r="T1039" s="4" t="s">
        <v>115</v>
      </c>
      <c r="U1039" s="4" t="s">
        <v>140</v>
      </c>
      <c r="V1039" s="4" t="s">
        <v>123</v>
      </c>
      <c r="W1039" s="4" t="s">
        <v>149</v>
      </c>
      <c r="X1039" s="4" t="s">
        <v>54</v>
      </c>
      <c r="Y1039" s="4"/>
      <c r="Z1039" s="12" t="s">
        <v>48</v>
      </c>
      <c r="AA1039" s="13" t="s">
        <v>9161</v>
      </c>
      <c r="AB1039" s="13" t="s">
        <v>9160</v>
      </c>
      <c r="AC1039" s="14" t="s">
        <v>9139</v>
      </c>
      <c r="AD1039" s="14" t="s">
        <v>28</v>
      </c>
      <c r="AE1039" s="14" t="s">
        <v>183</v>
      </c>
      <c r="AF1039" s="14" t="s">
        <v>123</v>
      </c>
      <c r="AG1039" s="14" t="s">
        <v>54</v>
      </c>
      <c r="AH1039" s="15" t="s">
        <v>9141</v>
      </c>
      <c r="AI1039" s="15" t="s">
        <v>9175</v>
      </c>
      <c r="AJ1039" s="15" t="s">
        <v>9143</v>
      </c>
      <c r="AK1039" s="15" t="s">
        <v>9141</v>
      </c>
      <c r="AL1039" s="15" t="s">
        <v>9175</v>
      </c>
      <c r="AM1039" s="16" t="s">
        <v>9141</v>
      </c>
      <c r="AN1039" s="16" t="s">
        <v>9176</v>
      </c>
    </row>
    <row r="1040" spans="1:40" x14ac:dyDescent="0.25">
      <c r="A1040" s="4" t="s">
        <v>1312</v>
      </c>
      <c r="B1040" s="4"/>
      <c r="C1040" s="4" t="s">
        <v>39</v>
      </c>
      <c r="D1040" s="4" t="s">
        <v>1313</v>
      </c>
      <c r="E1040" s="4" t="s">
        <v>1314</v>
      </c>
      <c r="F1040" s="10">
        <v>45422</v>
      </c>
      <c r="G1040" s="11">
        <v>0.4375</v>
      </c>
      <c r="H1040" s="4" t="s">
        <v>1155</v>
      </c>
      <c r="I1040" s="4">
        <v>4044</v>
      </c>
      <c r="J1040" s="4" t="s">
        <v>1285</v>
      </c>
      <c r="K1040" s="4" t="s">
        <v>1315</v>
      </c>
      <c r="L1040" s="4" t="s">
        <v>1316</v>
      </c>
      <c r="M1040" s="4" t="s">
        <v>46</v>
      </c>
      <c r="N1040" s="4"/>
      <c r="O1040" s="4" t="s">
        <v>47</v>
      </c>
      <c r="P1040" s="4" t="s">
        <v>48</v>
      </c>
      <c r="Q1040" s="4">
        <v>0</v>
      </c>
      <c r="R1040" s="4" t="b">
        <v>0</v>
      </c>
      <c r="S1040" s="4" t="s">
        <v>61</v>
      </c>
      <c r="T1040" s="4" t="s">
        <v>89</v>
      </c>
      <c r="U1040" s="4" t="s">
        <v>148</v>
      </c>
      <c r="V1040" s="4" t="s">
        <v>52</v>
      </c>
      <c r="W1040" s="4" t="s">
        <v>53</v>
      </c>
      <c r="X1040" s="4" t="s">
        <v>54</v>
      </c>
      <c r="Y1040" s="4"/>
      <c r="Z1040" s="12">
        <v>0</v>
      </c>
      <c r="AA1040" s="13" t="s">
        <v>9161</v>
      </c>
      <c r="AB1040" s="13" t="s">
        <v>9160</v>
      </c>
      <c r="AC1040" s="14" t="s">
        <v>9148</v>
      </c>
      <c r="AD1040" s="14" t="s">
        <v>9140</v>
      </c>
      <c r="AE1040" s="14" t="s">
        <v>9140</v>
      </c>
      <c r="AF1040" s="14" t="s">
        <v>52</v>
      </c>
      <c r="AG1040" s="14" t="s">
        <v>54</v>
      </c>
      <c r="AH1040" s="15" t="s">
        <v>9141</v>
      </c>
      <c r="AI1040" s="15" t="s">
        <v>9187</v>
      </c>
      <c r="AJ1040" s="15" t="s">
        <v>9143</v>
      </c>
      <c r="AK1040" s="15" t="s">
        <v>9141</v>
      </c>
      <c r="AL1040" s="15" t="s">
        <v>9144</v>
      </c>
      <c r="AM1040" s="16" t="s">
        <v>9141</v>
      </c>
      <c r="AN1040" s="16" t="s">
        <v>9145</v>
      </c>
    </row>
    <row r="1041" spans="1:40" x14ac:dyDescent="0.25">
      <c r="A1041" s="4" t="s">
        <v>1424</v>
      </c>
      <c r="B1041" s="4"/>
      <c r="C1041" s="4" t="s">
        <v>39</v>
      </c>
      <c r="D1041" s="4" t="s">
        <v>1425</v>
      </c>
      <c r="E1041" s="4" t="s">
        <v>1426</v>
      </c>
      <c r="F1041" s="10">
        <v>45422</v>
      </c>
      <c r="G1041" s="11">
        <v>0.53125</v>
      </c>
      <c r="H1041" s="4" t="s">
        <v>1366</v>
      </c>
      <c r="I1041" s="4">
        <v>5060</v>
      </c>
      <c r="J1041" s="4" t="s">
        <v>1412</v>
      </c>
      <c r="K1041" s="4" t="s">
        <v>1427</v>
      </c>
      <c r="L1041" s="4" t="s">
        <v>1428</v>
      </c>
      <c r="M1041" s="4" t="s">
        <v>46</v>
      </c>
      <c r="N1041" s="4"/>
      <c r="O1041" s="4" t="s">
        <v>47</v>
      </c>
      <c r="P1041" s="4" t="s">
        <v>48</v>
      </c>
      <c r="Q1041" s="4">
        <v>0</v>
      </c>
      <c r="R1041" s="4" t="b">
        <v>0</v>
      </c>
      <c r="S1041" s="4" t="s">
        <v>61</v>
      </c>
      <c r="T1041" s="4" t="s">
        <v>89</v>
      </c>
      <c r="U1041" s="4" t="s">
        <v>148</v>
      </c>
      <c r="V1041" s="4" t="s">
        <v>63</v>
      </c>
      <c r="W1041" s="4" t="s">
        <v>108</v>
      </c>
      <c r="X1041" s="4" t="s">
        <v>98</v>
      </c>
      <c r="Y1041" s="4"/>
      <c r="Z1041" s="12">
        <v>0</v>
      </c>
      <c r="AA1041" s="13" t="s">
        <v>9161</v>
      </c>
      <c r="AB1041" s="13" t="s">
        <v>9160</v>
      </c>
      <c r="AC1041" s="14" t="s">
        <v>9148</v>
      </c>
      <c r="AD1041" s="14" t="s">
        <v>9140</v>
      </c>
      <c r="AE1041" s="14" t="s">
        <v>9140</v>
      </c>
      <c r="AF1041" s="14" t="s">
        <v>63</v>
      </c>
      <c r="AG1041" s="14" t="s">
        <v>98</v>
      </c>
      <c r="AH1041" s="15" t="s">
        <v>9141</v>
      </c>
      <c r="AI1041" s="15" t="s">
        <v>9188</v>
      </c>
      <c r="AJ1041" s="15" t="s">
        <v>9143</v>
      </c>
      <c r="AK1041" s="15" t="s">
        <v>9141</v>
      </c>
      <c r="AL1041" s="15" t="s">
        <v>9191</v>
      </c>
      <c r="AM1041" s="16" t="s">
        <v>9141</v>
      </c>
      <c r="AN1041" s="16" t="s">
        <v>9192</v>
      </c>
    </row>
    <row r="1042" spans="1:40" x14ac:dyDescent="0.25">
      <c r="A1042" s="4" t="s">
        <v>4620</v>
      </c>
      <c r="B1042" s="4">
        <v>6811665</v>
      </c>
      <c r="C1042" s="4" t="s">
        <v>39</v>
      </c>
      <c r="D1042" s="4" t="s">
        <v>4621</v>
      </c>
      <c r="E1042" s="4" t="s">
        <v>4622</v>
      </c>
      <c r="F1042" s="10">
        <v>45422</v>
      </c>
      <c r="G1042" s="11">
        <v>0.40069444444444446</v>
      </c>
      <c r="H1042" s="4" t="s">
        <v>4516</v>
      </c>
      <c r="I1042" s="4" t="s">
        <v>4586</v>
      </c>
      <c r="J1042" s="4" t="s">
        <v>2630</v>
      </c>
      <c r="K1042" s="4" t="s">
        <v>321</v>
      </c>
      <c r="L1042" s="4" t="s">
        <v>4623</v>
      </c>
      <c r="M1042" s="4" t="s">
        <v>28</v>
      </c>
      <c r="N1042" s="4" t="s">
        <v>147</v>
      </c>
      <c r="O1042" s="4" t="s">
        <v>47</v>
      </c>
      <c r="P1042" s="4" t="s">
        <v>48</v>
      </c>
      <c r="Q1042" s="4">
        <v>0</v>
      </c>
      <c r="R1042" s="4" t="b">
        <v>0</v>
      </c>
      <c r="S1042" s="4" t="s">
        <v>114</v>
      </c>
      <c r="T1042" s="4" t="s">
        <v>583</v>
      </c>
      <c r="U1042" s="4" t="s">
        <v>148</v>
      </c>
      <c r="V1042" s="4" t="s">
        <v>52</v>
      </c>
      <c r="W1042" s="4" t="s">
        <v>53</v>
      </c>
      <c r="X1042" s="4" t="s">
        <v>54</v>
      </c>
      <c r="Y1042" s="4"/>
      <c r="Z1042" s="12" t="s">
        <v>48</v>
      </c>
      <c r="AA1042" s="13" t="s">
        <v>9161</v>
      </c>
      <c r="AB1042" s="13" t="s">
        <v>9160</v>
      </c>
      <c r="AC1042" s="14" t="s">
        <v>9157</v>
      </c>
      <c r="AD1042" s="14" t="s">
        <v>28</v>
      </c>
      <c r="AE1042" s="14" t="s">
        <v>9140</v>
      </c>
      <c r="AF1042" s="14" t="s">
        <v>52</v>
      </c>
      <c r="AG1042" s="14" t="s">
        <v>54</v>
      </c>
      <c r="AH1042" s="15" t="s">
        <v>9220</v>
      </c>
      <c r="AI1042" s="15" t="s">
        <v>9188</v>
      </c>
      <c r="AJ1042" s="15" t="s">
        <v>9143</v>
      </c>
      <c r="AK1042" s="15" t="s">
        <v>9221</v>
      </c>
      <c r="AL1042" s="15" t="s">
        <v>9232</v>
      </c>
      <c r="AM1042" s="16" t="s">
        <v>9221</v>
      </c>
      <c r="AN1042" s="16" t="s">
        <v>9233</v>
      </c>
    </row>
    <row r="1043" spans="1:40" x14ac:dyDescent="0.25">
      <c r="A1043" s="4" t="s">
        <v>5793</v>
      </c>
      <c r="B1043" s="4"/>
      <c r="C1043" s="4" t="s">
        <v>39</v>
      </c>
      <c r="D1043" s="4" t="s">
        <v>5794</v>
      </c>
      <c r="E1043" s="4" t="s">
        <v>5795</v>
      </c>
      <c r="F1043" s="10">
        <v>45422</v>
      </c>
      <c r="G1043" s="11">
        <v>0.4548611111111111</v>
      </c>
      <c r="H1043" s="4" t="s">
        <v>4516</v>
      </c>
      <c r="I1043" s="4" t="s">
        <v>5776</v>
      </c>
      <c r="J1043" s="4" t="s">
        <v>1412</v>
      </c>
      <c r="K1043" s="4" t="s">
        <v>5796</v>
      </c>
      <c r="L1043" s="4" t="s">
        <v>5797</v>
      </c>
      <c r="M1043" s="4" t="s">
        <v>46</v>
      </c>
      <c r="N1043" s="4"/>
      <c r="O1043" s="4" t="s">
        <v>47</v>
      </c>
      <c r="P1043" s="4" t="s">
        <v>48</v>
      </c>
      <c r="Q1043" s="4">
        <v>0</v>
      </c>
      <c r="R1043" s="4" t="b">
        <v>0</v>
      </c>
      <c r="S1043" s="4" t="s">
        <v>49</v>
      </c>
      <c r="T1043" s="4" t="s">
        <v>583</v>
      </c>
      <c r="U1043" s="4" t="s">
        <v>71</v>
      </c>
      <c r="V1043" s="4" t="s">
        <v>52</v>
      </c>
      <c r="W1043" s="4" t="s">
        <v>255</v>
      </c>
      <c r="X1043" s="4" t="s">
        <v>54</v>
      </c>
      <c r="Y1043" s="4"/>
      <c r="Z1043" s="12">
        <v>0</v>
      </c>
      <c r="AA1043" s="13" t="s">
        <v>9161</v>
      </c>
      <c r="AB1043" s="13" t="s">
        <v>9160</v>
      </c>
      <c r="AC1043" s="14" t="s">
        <v>9139</v>
      </c>
      <c r="AD1043" s="14" t="s">
        <v>9140</v>
      </c>
      <c r="AE1043" s="14" t="s">
        <v>9140</v>
      </c>
      <c r="AF1043" s="14" t="s">
        <v>52</v>
      </c>
      <c r="AG1043" s="14" t="s">
        <v>54</v>
      </c>
      <c r="AH1043" s="15" t="s">
        <v>9220</v>
      </c>
      <c r="AI1043" s="15" t="s">
        <v>9188</v>
      </c>
      <c r="AJ1043" s="15" t="s">
        <v>9143</v>
      </c>
      <c r="AK1043" s="15" t="s">
        <v>9221</v>
      </c>
      <c r="AL1043" s="15" t="s">
        <v>9232</v>
      </c>
      <c r="AM1043" s="16" t="s">
        <v>9221</v>
      </c>
      <c r="AN1043" s="16" t="s">
        <v>9233</v>
      </c>
    </row>
    <row r="1044" spans="1:40" x14ac:dyDescent="0.25">
      <c r="A1044" s="4" t="s">
        <v>7576</v>
      </c>
      <c r="B1044" s="4"/>
      <c r="C1044" s="4" t="s">
        <v>39</v>
      </c>
      <c r="D1044" s="4" t="s">
        <v>7577</v>
      </c>
      <c r="E1044" s="4" t="s">
        <v>7578</v>
      </c>
      <c r="F1044" s="10">
        <v>45421</v>
      </c>
      <c r="G1044" s="11">
        <v>0.85416666666666663</v>
      </c>
      <c r="H1044" s="4" t="s">
        <v>4019</v>
      </c>
      <c r="I1044" s="4" t="s">
        <v>7562</v>
      </c>
      <c r="J1044" s="4" t="s">
        <v>7563</v>
      </c>
      <c r="K1044" s="4" t="s">
        <v>604</v>
      </c>
      <c r="L1044" s="4" t="s">
        <v>7579</v>
      </c>
      <c r="M1044" s="4" t="s">
        <v>46</v>
      </c>
      <c r="N1044" s="4"/>
      <c r="O1044" s="4" t="s">
        <v>47</v>
      </c>
      <c r="P1044" s="4" t="s">
        <v>48</v>
      </c>
      <c r="Q1044" s="4">
        <v>0</v>
      </c>
      <c r="R1044" s="4" t="b">
        <v>0</v>
      </c>
      <c r="S1044" s="4" t="s">
        <v>49</v>
      </c>
      <c r="T1044" s="4" t="s">
        <v>50</v>
      </c>
      <c r="U1044" s="4" t="s">
        <v>107</v>
      </c>
      <c r="V1044" s="4" t="s">
        <v>63</v>
      </c>
      <c r="W1044" s="4" t="s">
        <v>108</v>
      </c>
      <c r="X1044" s="4" t="s">
        <v>54</v>
      </c>
      <c r="Y1044" s="4"/>
      <c r="Z1044" s="12">
        <v>0</v>
      </c>
      <c r="AA1044" s="13" t="s">
        <v>9161</v>
      </c>
      <c r="AB1044" s="13" t="s">
        <v>9160</v>
      </c>
      <c r="AC1044" s="14" t="s">
        <v>9139</v>
      </c>
      <c r="AD1044" s="14" t="s">
        <v>9140</v>
      </c>
      <c r="AE1044" s="14" t="s">
        <v>9140</v>
      </c>
      <c r="AF1044" s="14" t="s">
        <v>63</v>
      </c>
      <c r="AG1044" s="14" t="s">
        <v>54</v>
      </c>
      <c r="AH1044" s="15" t="s">
        <v>9220</v>
      </c>
      <c r="AI1044" s="15" t="s">
        <v>9175</v>
      </c>
      <c r="AJ1044" s="15" t="s">
        <v>9143</v>
      </c>
      <c r="AK1044" s="15" t="s">
        <v>9221</v>
      </c>
      <c r="AL1044" s="15" t="s">
        <v>9224</v>
      </c>
      <c r="AM1044" s="16" t="s">
        <v>9221</v>
      </c>
      <c r="AN1044" s="16" t="s">
        <v>9225</v>
      </c>
    </row>
    <row r="1045" spans="1:40" x14ac:dyDescent="0.25">
      <c r="A1045" s="4" t="s">
        <v>5709</v>
      </c>
      <c r="B1045" s="4"/>
      <c r="C1045" s="4" t="s">
        <v>39</v>
      </c>
      <c r="D1045" s="4" t="s">
        <v>5710</v>
      </c>
      <c r="E1045" s="4" t="s">
        <v>5711</v>
      </c>
      <c r="F1045" s="10">
        <v>45421</v>
      </c>
      <c r="G1045" s="11">
        <v>0.70138888888888884</v>
      </c>
      <c r="H1045" s="4" t="s">
        <v>5666</v>
      </c>
      <c r="I1045" s="4" t="s">
        <v>5667</v>
      </c>
      <c r="J1045" s="4" t="s">
        <v>2192</v>
      </c>
      <c r="K1045" s="4" t="s">
        <v>5712</v>
      </c>
      <c r="L1045" s="4" t="s">
        <v>5713</v>
      </c>
      <c r="M1045" s="4" t="s">
        <v>46</v>
      </c>
      <c r="N1045" s="4"/>
      <c r="O1045" s="4" t="s">
        <v>47</v>
      </c>
      <c r="P1045" s="4" t="s">
        <v>48</v>
      </c>
      <c r="Q1045" s="4">
        <v>0</v>
      </c>
      <c r="R1045" s="4" t="b">
        <v>0</v>
      </c>
      <c r="S1045" s="4" t="s">
        <v>61</v>
      </c>
      <c r="T1045" s="4" t="s">
        <v>50</v>
      </c>
      <c r="U1045" s="4" t="s">
        <v>148</v>
      </c>
      <c r="V1045" s="4" t="s">
        <v>123</v>
      </c>
      <c r="W1045" s="4" t="s">
        <v>124</v>
      </c>
      <c r="X1045" s="4" t="s">
        <v>978</v>
      </c>
      <c r="Y1045" s="4"/>
      <c r="Z1045" s="12">
        <v>0</v>
      </c>
      <c r="AA1045" s="13" t="s">
        <v>9161</v>
      </c>
      <c r="AB1045" s="13" t="s">
        <v>9160</v>
      </c>
      <c r="AC1045" s="14" t="s">
        <v>9148</v>
      </c>
      <c r="AD1045" s="14" t="s">
        <v>9140</v>
      </c>
      <c r="AE1045" s="14" t="s">
        <v>9140</v>
      </c>
      <c r="AF1045" s="14" t="s">
        <v>123</v>
      </c>
      <c r="AG1045" s="14" t="s">
        <v>978</v>
      </c>
      <c r="AH1045" s="15" t="s">
        <v>9220</v>
      </c>
      <c r="AI1045" s="15" t="s">
        <v>9199</v>
      </c>
      <c r="AJ1045" s="15" t="s">
        <v>9143</v>
      </c>
      <c r="AK1045" s="15" t="s">
        <v>9221</v>
      </c>
      <c r="AL1045" s="15" t="s">
        <v>9199</v>
      </c>
      <c r="AM1045" s="16" t="s">
        <v>9221</v>
      </c>
      <c r="AN1045" s="16" t="s">
        <v>9238</v>
      </c>
    </row>
    <row r="1046" spans="1:40" x14ac:dyDescent="0.25">
      <c r="A1046" s="4" t="s">
        <v>2523</v>
      </c>
      <c r="B1046" s="4"/>
      <c r="C1046" s="4" t="s">
        <v>39</v>
      </c>
      <c r="D1046" s="4" t="s">
        <v>2524</v>
      </c>
      <c r="E1046" s="4" t="s">
        <v>2525</v>
      </c>
      <c r="F1046" s="10">
        <v>45421</v>
      </c>
      <c r="G1046" s="11">
        <v>0.63541666666666663</v>
      </c>
      <c r="H1046" s="4" t="s">
        <v>1992</v>
      </c>
      <c r="I1046" s="4" t="s">
        <v>2520</v>
      </c>
      <c r="J1046" s="4" t="s">
        <v>2521</v>
      </c>
      <c r="K1046" s="4" t="s">
        <v>2526</v>
      </c>
      <c r="L1046" s="4" t="s">
        <v>2527</v>
      </c>
      <c r="M1046" s="4" t="s">
        <v>46</v>
      </c>
      <c r="N1046" s="4"/>
      <c r="O1046" s="4" t="s">
        <v>47</v>
      </c>
      <c r="P1046" s="4" t="s">
        <v>48</v>
      </c>
      <c r="Q1046" s="4">
        <v>0</v>
      </c>
      <c r="R1046" s="4" t="b">
        <v>0</v>
      </c>
      <c r="S1046" s="4" t="s">
        <v>61</v>
      </c>
      <c r="T1046" s="4" t="s">
        <v>70</v>
      </c>
      <c r="U1046" s="4" t="s">
        <v>71</v>
      </c>
      <c r="V1046" s="4" t="s">
        <v>72</v>
      </c>
      <c r="W1046" s="4" t="s">
        <v>73</v>
      </c>
      <c r="X1046" s="4" t="s">
        <v>54</v>
      </c>
      <c r="Y1046" s="4"/>
      <c r="Z1046" s="12">
        <v>0</v>
      </c>
      <c r="AA1046" s="13" t="s">
        <v>9161</v>
      </c>
      <c r="AB1046" s="13" t="s">
        <v>9160</v>
      </c>
      <c r="AC1046" s="14" t="s">
        <v>9148</v>
      </c>
      <c r="AD1046" s="14" t="s">
        <v>9140</v>
      </c>
      <c r="AE1046" s="14" t="s">
        <v>9140</v>
      </c>
      <c r="AF1046" s="14" t="s">
        <v>72</v>
      </c>
      <c r="AG1046" s="14" t="s">
        <v>54</v>
      </c>
      <c r="AH1046" s="15" t="s">
        <v>9194</v>
      </c>
      <c r="AI1046" s="15" t="s">
        <v>9191</v>
      </c>
      <c r="AJ1046" s="15" t="s">
        <v>9143</v>
      </c>
      <c r="AK1046" s="15" t="s">
        <v>9194</v>
      </c>
      <c r="AL1046" s="15" t="s">
        <v>9201</v>
      </c>
      <c r="AM1046" s="16" t="s">
        <v>9194</v>
      </c>
      <c r="AN1046" s="16" t="s">
        <v>9202</v>
      </c>
    </row>
    <row r="1047" spans="1:40" x14ac:dyDescent="0.25">
      <c r="A1047" s="4" t="s">
        <v>1522</v>
      </c>
      <c r="B1047" s="4" t="s">
        <v>1523</v>
      </c>
      <c r="C1047" s="4" t="s">
        <v>39</v>
      </c>
      <c r="D1047" s="4" t="s">
        <v>1497</v>
      </c>
      <c r="E1047" s="4" t="s">
        <v>1498</v>
      </c>
      <c r="F1047" s="10">
        <v>45421</v>
      </c>
      <c r="G1047" s="11">
        <v>0.625</v>
      </c>
      <c r="H1047" s="4" t="s">
        <v>1476</v>
      </c>
      <c r="I1047" s="4">
        <v>6065</v>
      </c>
      <c r="J1047" s="4" t="s">
        <v>1508</v>
      </c>
      <c r="K1047" s="4" t="s">
        <v>1524</v>
      </c>
      <c r="L1047" s="4" t="s">
        <v>1525</v>
      </c>
      <c r="M1047" s="4" t="s">
        <v>28</v>
      </c>
      <c r="N1047" s="4" t="s">
        <v>183</v>
      </c>
      <c r="O1047" s="4" t="s">
        <v>174</v>
      </c>
      <c r="P1047" s="4" t="s">
        <v>48</v>
      </c>
      <c r="Q1047" s="4">
        <v>5</v>
      </c>
      <c r="R1047" s="4" t="b">
        <v>0</v>
      </c>
      <c r="S1047" s="4" t="s">
        <v>61</v>
      </c>
      <c r="T1047" s="4" t="s">
        <v>89</v>
      </c>
      <c r="U1047" s="4" t="s">
        <v>148</v>
      </c>
      <c r="V1047" s="4" t="s">
        <v>52</v>
      </c>
      <c r="W1047" s="4" t="s">
        <v>53</v>
      </c>
      <c r="X1047" s="4" t="s">
        <v>54</v>
      </c>
      <c r="Y1047" s="4"/>
      <c r="Z1047" s="12" t="s">
        <v>48</v>
      </c>
      <c r="AA1047" s="13" t="s">
        <v>9161</v>
      </c>
      <c r="AB1047" s="13" t="s">
        <v>9160</v>
      </c>
      <c r="AC1047" s="14" t="s">
        <v>9148</v>
      </c>
      <c r="AD1047" s="14" t="s">
        <v>28</v>
      </c>
      <c r="AE1047" s="14" t="s">
        <v>183</v>
      </c>
      <c r="AF1047" s="14" t="s">
        <v>52</v>
      </c>
      <c r="AG1047" s="14" t="s">
        <v>54</v>
      </c>
      <c r="AH1047" s="15" t="s">
        <v>9141</v>
      </c>
      <c r="AI1047" s="15" t="s">
        <v>9193</v>
      </c>
      <c r="AJ1047" s="15" t="s">
        <v>9143</v>
      </c>
      <c r="AK1047" s="15" t="s">
        <v>9141</v>
      </c>
      <c r="AL1047" s="15" t="s">
        <v>9189</v>
      </c>
      <c r="AM1047" s="16" t="s">
        <v>9141</v>
      </c>
      <c r="AN1047" s="16" t="s">
        <v>9190</v>
      </c>
    </row>
    <row r="1048" spans="1:40" x14ac:dyDescent="0.25">
      <c r="A1048" s="4" t="s">
        <v>7100</v>
      </c>
      <c r="B1048" s="4"/>
      <c r="C1048" s="4" t="s">
        <v>39</v>
      </c>
      <c r="D1048" s="4" t="s">
        <v>7068</v>
      </c>
      <c r="E1048" s="4" t="s">
        <v>7069</v>
      </c>
      <c r="F1048" s="10">
        <v>45420</v>
      </c>
      <c r="G1048" s="11">
        <v>0.61527777777777781</v>
      </c>
      <c r="H1048" s="4" t="s">
        <v>4242</v>
      </c>
      <c r="I1048" s="4" t="s">
        <v>7028</v>
      </c>
      <c r="J1048" s="4" t="s">
        <v>7029</v>
      </c>
      <c r="K1048" s="4" t="s">
        <v>7101</v>
      </c>
      <c r="L1048" s="4" t="s">
        <v>7102</v>
      </c>
      <c r="M1048" s="4" t="s">
        <v>46</v>
      </c>
      <c r="N1048" s="4"/>
      <c r="O1048" s="4" t="s">
        <v>47</v>
      </c>
      <c r="P1048" s="4" t="s">
        <v>48</v>
      </c>
      <c r="Q1048" s="4">
        <v>0</v>
      </c>
      <c r="R1048" s="4" t="b">
        <v>0</v>
      </c>
      <c r="S1048" s="4" t="s">
        <v>49</v>
      </c>
      <c r="T1048" s="4" t="s">
        <v>433</v>
      </c>
      <c r="U1048" s="4" t="s">
        <v>224</v>
      </c>
      <c r="V1048" s="4" t="s">
        <v>63</v>
      </c>
      <c r="W1048" s="4" t="s">
        <v>784</v>
      </c>
      <c r="X1048" s="4" t="s">
        <v>54</v>
      </c>
      <c r="Y1048" s="4" t="s">
        <v>486</v>
      </c>
      <c r="Z1048" s="12">
        <v>0</v>
      </c>
      <c r="AA1048" s="13" t="s">
        <v>9161</v>
      </c>
      <c r="AB1048" s="13" t="s">
        <v>9160</v>
      </c>
      <c r="AC1048" s="14" t="s">
        <v>9139</v>
      </c>
      <c r="AD1048" s="14" t="s">
        <v>9140</v>
      </c>
      <c r="AE1048" s="14" t="s">
        <v>9140</v>
      </c>
      <c r="AF1048" s="14" t="s">
        <v>63</v>
      </c>
      <c r="AG1048" s="14" t="s">
        <v>54</v>
      </c>
      <c r="AH1048" s="15" t="s">
        <v>9220</v>
      </c>
      <c r="AI1048" s="15" t="s">
        <v>9187</v>
      </c>
      <c r="AJ1048" s="15" t="s">
        <v>9143</v>
      </c>
      <c r="AK1048" s="15" t="s">
        <v>9221</v>
      </c>
      <c r="AL1048" s="15" t="s">
        <v>9226</v>
      </c>
      <c r="AM1048" s="16" t="s">
        <v>9221</v>
      </c>
      <c r="AN1048" s="16" t="s">
        <v>9227</v>
      </c>
    </row>
    <row r="1049" spans="1:40" x14ac:dyDescent="0.25">
      <c r="A1049" s="4" t="s">
        <v>7890</v>
      </c>
      <c r="B1049" s="4"/>
      <c r="C1049" s="4" t="s">
        <v>39</v>
      </c>
      <c r="D1049" s="4" t="s">
        <v>7871</v>
      </c>
      <c r="E1049" s="4" t="s">
        <v>7872</v>
      </c>
      <c r="F1049" s="10">
        <v>45420</v>
      </c>
      <c r="G1049" s="11">
        <v>0.58333333333333337</v>
      </c>
      <c r="H1049" s="4" t="s">
        <v>4659</v>
      </c>
      <c r="I1049" s="4" t="s">
        <v>7873</v>
      </c>
      <c r="J1049" s="4" t="s">
        <v>7874</v>
      </c>
      <c r="K1049" s="4" t="s">
        <v>7891</v>
      </c>
      <c r="L1049" s="4" t="s">
        <v>7892</v>
      </c>
      <c r="M1049" s="4" t="s">
        <v>46</v>
      </c>
      <c r="N1049" s="4"/>
      <c r="O1049" s="4" t="s">
        <v>47</v>
      </c>
      <c r="P1049" s="4" t="s">
        <v>48</v>
      </c>
      <c r="Q1049" s="4">
        <v>0</v>
      </c>
      <c r="R1049" s="4" t="b">
        <v>0</v>
      </c>
      <c r="S1049" s="4" t="s">
        <v>61</v>
      </c>
      <c r="T1049" s="4" t="s">
        <v>50</v>
      </c>
      <c r="U1049" s="4" t="s">
        <v>122</v>
      </c>
      <c r="V1049" s="4" t="s">
        <v>123</v>
      </c>
      <c r="W1049" s="4" t="s">
        <v>124</v>
      </c>
      <c r="X1049" s="4" t="s">
        <v>978</v>
      </c>
      <c r="Y1049" s="4"/>
      <c r="Z1049" s="12">
        <v>0</v>
      </c>
      <c r="AA1049" s="13" t="s">
        <v>9161</v>
      </c>
      <c r="AB1049" s="13" t="s">
        <v>9160</v>
      </c>
      <c r="AC1049" s="14" t="s">
        <v>9148</v>
      </c>
      <c r="AD1049" s="14" t="s">
        <v>9140</v>
      </c>
      <c r="AE1049" s="14" t="s">
        <v>9140</v>
      </c>
      <c r="AF1049" s="14" t="s">
        <v>123</v>
      </c>
      <c r="AG1049" s="14" t="s">
        <v>978</v>
      </c>
      <c r="AH1049" s="15" t="s">
        <v>9220</v>
      </c>
      <c r="AI1049" s="15" t="s">
        <v>9142</v>
      </c>
      <c r="AJ1049" s="15" t="s">
        <v>9143</v>
      </c>
      <c r="AK1049" s="15" t="s">
        <v>9221</v>
      </c>
      <c r="AL1049" s="15" t="s">
        <v>9228</v>
      </c>
      <c r="AM1049" s="16" t="s">
        <v>9221</v>
      </c>
      <c r="AN1049" s="16" t="s">
        <v>9229</v>
      </c>
    </row>
    <row r="1050" spans="1:40" x14ac:dyDescent="0.25">
      <c r="A1050" s="4" t="s">
        <v>7494</v>
      </c>
      <c r="B1050" s="4"/>
      <c r="C1050" s="4" t="s">
        <v>39</v>
      </c>
      <c r="D1050" s="4" t="s">
        <v>7481</v>
      </c>
      <c r="E1050" s="4" t="s">
        <v>7482</v>
      </c>
      <c r="F1050" s="10">
        <v>45420</v>
      </c>
      <c r="G1050" s="11">
        <v>0.6875</v>
      </c>
      <c r="H1050" s="4" t="s">
        <v>4910</v>
      </c>
      <c r="I1050" s="4" t="s">
        <v>7457</v>
      </c>
      <c r="J1050" s="4" t="s">
        <v>2378</v>
      </c>
      <c r="K1050" s="4" t="s">
        <v>7495</v>
      </c>
      <c r="L1050" s="4" t="s">
        <v>7496</v>
      </c>
      <c r="M1050" s="4" t="s">
        <v>46</v>
      </c>
      <c r="N1050" s="4"/>
      <c r="O1050" s="4" t="s">
        <v>47</v>
      </c>
      <c r="P1050" s="4" t="s">
        <v>48</v>
      </c>
      <c r="Q1050" s="4">
        <v>0</v>
      </c>
      <c r="R1050" s="4" t="b">
        <v>0</v>
      </c>
      <c r="S1050" s="4" t="s">
        <v>49</v>
      </c>
      <c r="T1050" s="4" t="s">
        <v>583</v>
      </c>
      <c r="U1050" s="4" t="s">
        <v>175</v>
      </c>
      <c r="V1050" s="4" t="s">
        <v>52</v>
      </c>
      <c r="W1050" s="4" t="s">
        <v>53</v>
      </c>
      <c r="X1050" s="4" t="s">
        <v>54</v>
      </c>
      <c r="Y1050" s="4"/>
      <c r="Z1050" s="12">
        <v>0</v>
      </c>
      <c r="AA1050" s="13" t="s">
        <v>9161</v>
      </c>
      <c r="AB1050" s="13" t="s">
        <v>9160</v>
      </c>
      <c r="AC1050" s="14" t="s">
        <v>9139</v>
      </c>
      <c r="AD1050" s="14" t="s">
        <v>9140</v>
      </c>
      <c r="AE1050" s="14" t="s">
        <v>9140</v>
      </c>
      <c r="AF1050" s="14" t="s">
        <v>52</v>
      </c>
      <c r="AG1050" s="14" t="s">
        <v>54</v>
      </c>
      <c r="AH1050" s="15" t="s">
        <v>9220</v>
      </c>
      <c r="AI1050" s="15" t="s">
        <v>9191</v>
      </c>
      <c r="AJ1050" s="15" t="s">
        <v>9143</v>
      </c>
      <c r="AK1050" s="15" t="s">
        <v>9221</v>
      </c>
      <c r="AL1050" s="15" t="s">
        <v>9226</v>
      </c>
      <c r="AM1050" s="16" t="s">
        <v>9221</v>
      </c>
      <c r="AN1050" s="16" t="s">
        <v>9227</v>
      </c>
    </row>
    <row r="1051" spans="1:40" x14ac:dyDescent="0.25">
      <c r="A1051" s="4" t="s">
        <v>2441</v>
      </c>
      <c r="B1051" s="4"/>
      <c r="C1051" s="4" t="s">
        <v>39</v>
      </c>
      <c r="D1051" s="4" t="s">
        <v>2428</v>
      </c>
      <c r="E1051" s="4" t="s">
        <v>2429</v>
      </c>
      <c r="F1051" s="10">
        <v>45419</v>
      </c>
      <c r="G1051" s="11">
        <v>0.4513888888888889</v>
      </c>
      <c r="H1051" s="4" t="s">
        <v>1939</v>
      </c>
      <c r="I1051" s="4" t="s">
        <v>2393</v>
      </c>
      <c r="J1051" s="4" t="s">
        <v>2394</v>
      </c>
      <c r="K1051" s="4" t="s">
        <v>2442</v>
      </c>
      <c r="L1051" s="4" t="s">
        <v>2443</v>
      </c>
      <c r="M1051" s="4" t="s">
        <v>46</v>
      </c>
      <c r="N1051" s="4"/>
      <c r="O1051" s="4" t="s">
        <v>47</v>
      </c>
      <c r="P1051" s="4" t="s">
        <v>48</v>
      </c>
      <c r="Q1051" s="4">
        <v>0</v>
      </c>
      <c r="R1051" s="4" t="b">
        <v>0</v>
      </c>
      <c r="S1051" s="4" t="s">
        <v>61</v>
      </c>
      <c r="T1051" s="4"/>
      <c r="U1051" s="4"/>
      <c r="V1051" s="4"/>
      <c r="W1051" s="4"/>
      <c r="X1051" s="4"/>
      <c r="Y1051" s="4"/>
      <c r="Z1051" s="12">
        <v>0</v>
      </c>
      <c r="AA1051" s="13" t="s">
        <v>9161</v>
      </c>
      <c r="AB1051" s="13" t="s">
        <v>9160</v>
      </c>
      <c r="AC1051" s="14" t="s">
        <v>9148</v>
      </c>
      <c r="AD1051" s="14" t="s">
        <v>9140</v>
      </c>
      <c r="AE1051" s="14" t="s">
        <v>9140</v>
      </c>
      <c r="AF1051" s="14">
        <v>0</v>
      </c>
      <c r="AG1051" s="14">
        <v>0</v>
      </c>
      <c r="AH1051" s="15" t="s">
        <v>9194</v>
      </c>
      <c r="AI1051" s="15" t="s">
        <v>9175</v>
      </c>
      <c r="AJ1051" s="15" t="s">
        <v>9143</v>
      </c>
      <c r="AK1051" s="15" t="s">
        <v>9194</v>
      </c>
      <c r="AL1051" s="15" t="s">
        <v>9195</v>
      </c>
      <c r="AM1051" s="16" t="s">
        <v>9194</v>
      </c>
      <c r="AN1051" s="16" t="s">
        <v>9196</v>
      </c>
    </row>
    <row r="1052" spans="1:40" x14ac:dyDescent="0.25">
      <c r="A1052" s="4" t="s">
        <v>2872</v>
      </c>
      <c r="B1052" s="4"/>
      <c r="C1052" s="4" t="s">
        <v>39</v>
      </c>
      <c r="D1052" s="4" t="s">
        <v>2873</v>
      </c>
      <c r="E1052" s="4" t="s">
        <v>2874</v>
      </c>
      <c r="F1052" s="10">
        <v>45419</v>
      </c>
      <c r="G1052" s="11">
        <v>0.49027777777777776</v>
      </c>
      <c r="H1052" s="4" t="s">
        <v>2168</v>
      </c>
      <c r="I1052" s="4" t="s">
        <v>2861</v>
      </c>
      <c r="J1052" s="4" t="s">
        <v>2862</v>
      </c>
      <c r="K1052" s="4" t="s">
        <v>2875</v>
      </c>
      <c r="L1052" s="4" t="s">
        <v>2876</v>
      </c>
      <c r="M1052" s="4" t="s">
        <v>46</v>
      </c>
      <c r="N1052" s="4"/>
      <c r="O1052" s="4" t="s">
        <v>47</v>
      </c>
      <c r="P1052" s="4" t="s">
        <v>48</v>
      </c>
      <c r="Q1052" s="4">
        <v>0</v>
      </c>
      <c r="R1052" s="4" t="b">
        <v>0</v>
      </c>
      <c r="S1052" s="4" t="s">
        <v>61</v>
      </c>
      <c r="T1052" s="4" t="s">
        <v>50</v>
      </c>
      <c r="U1052" s="4" t="s">
        <v>71</v>
      </c>
      <c r="V1052" s="4" t="s">
        <v>72</v>
      </c>
      <c r="W1052" s="4" t="s">
        <v>73</v>
      </c>
      <c r="X1052" s="4" t="s">
        <v>54</v>
      </c>
      <c r="Y1052" s="4"/>
      <c r="Z1052" s="12">
        <v>0</v>
      </c>
      <c r="AA1052" s="13" t="s">
        <v>9161</v>
      </c>
      <c r="AB1052" s="13" t="s">
        <v>9160</v>
      </c>
      <c r="AC1052" s="14" t="s">
        <v>9148</v>
      </c>
      <c r="AD1052" s="14" t="s">
        <v>9140</v>
      </c>
      <c r="AE1052" s="14" t="s">
        <v>9140</v>
      </c>
      <c r="AF1052" s="14" t="s">
        <v>72</v>
      </c>
      <c r="AG1052" s="14" t="s">
        <v>54</v>
      </c>
      <c r="AH1052" s="15" t="s">
        <v>9194</v>
      </c>
      <c r="AI1052" s="15" t="s">
        <v>9142</v>
      </c>
      <c r="AJ1052" s="15" t="s">
        <v>9143</v>
      </c>
      <c r="AK1052" s="15" t="s">
        <v>9194</v>
      </c>
      <c r="AL1052" s="15" t="s">
        <v>9207</v>
      </c>
      <c r="AM1052" s="16" t="s">
        <v>9194</v>
      </c>
      <c r="AN1052" s="16" t="s">
        <v>9208</v>
      </c>
    </row>
    <row r="1053" spans="1:40" x14ac:dyDescent="0.25">
      <c r="A1053" s="4" t="s">
        <v>1075</v>
      </c>
      <c r="B1053" s="4"/>
      <c r="C1053" s="4" t="s">
        <v>39</v>
      </c>
      <c r="D1053" s="4" t="s">
        <v>1065</v>
      </c>
      <c r="E1053" s="4" t="s">
        <v>1066</v>
      </c>
      <c r="F1053" s="10">
        <v>45419</v>
      </c>
      <c r="G1053" s="11">
        <v>0.43125000000000002</v>
      </c>
      <c r="H1053" s="4" t="s">
        <v>463</v>
      </c>
      <c r="I1053" s="4">
        <v>2054</v>
      </c>
      <c r="J1053" s="4" t="s">
        <v>1067</v>
      </c>
      <c r="K1053" s="4" t="s">
        <v>711</v>
      </c>
      <c r="L1053" s="4" t="s">
        <v>1076</v>
      </c>
      <c r="M1053" s="4" t="s">
        <v>46</v>
      </c>
      <c r="N1053" s="4"/>
      <c r="O1053" s="4" t="s">
        <v>47</v>
      </c>
      <c r="P1053" s="4" t="s">
        <v>48</v>
      </c>
      <c r="Q1053" s="4">
        <v>0</v>
      </c>
      <c r="R1053" s="4" t="b">
        <v>0</v>
      </c>
      <c r="S1053" s="4" t="s">
        <v>49</v>
      </c>
      <c r="T1053" s="4" t="s">
        <v>50</v>
      </c>
      <c r="U1053" s="4" t="s">
        <v>90</v>
      </c>
      <c r="V1053" s="4" t="s">
        <v>63</v>
      </c>
      <c r="W1053" s="4" t="s">
        <v>108</v>
      </c>
      <c r="X1053" s="4" t="s">
        <v>54</v>
      </c>
      <c r="Y1053" s="4"/>
      <c r="Z1053" s="12">
        <v>0</v>
      </c>
      <c r="AA1053" s="13" t="s">
        <v>9161</v>
      </c>
      <c r="AB1053" s="13" t="s">
        <v>9160</v>
      </c>
      <c r="AC1053" s="14" t="s">
        <v>9139</v>
      </c>
      <c r="AD1053" s="14" t="s">
        <v>9140</v>
      </c>
      <c r="AE1053" s="14" t="s">
        <v>9140</v>
      </c>
      <c r="AF1053" s="14" t="s">
        <v>63</v>
      </c>
      <c r="AG1053" s="14" t="s">
        <v>54</v>
      </c>
      <c r="AH1053" s="15" t="s">
        <v>9141</v>
      </c>
      <c r="AI1053" s="15" t="s">
        <v>9175</v>
      </c>
      <c r="AJ1053" s="15" t="s">
        <v>9143</v>
      </c>
      <c r="AK1053" s="15" t="s">
        <v>9141</v>
      </c>
      <c r="AL1053" s="15" t="s">
        <v>9175</v>
      </c>
      <c r="AM1053" s="16" t="s">
        <v>9141</v>
      </c>
      <c r="AN1053" s="16" t="s">
        <v>9176</v>
      </c>
    </row>
    <row r="1054" spans="1:40" x14ac:dyDescent="0.25">
      <c r="A1054" s="4" t="s">
        <v>3099</v>
      </c>
      <c r="B1054" s="4"/>
      <c r="C1054" s="4" t="s">
        <v>39</v>
      </c>
      <c r="D1054" s="4" t="s">
        <v>3100</v>
      </c>
      <c r="E1054" s="4" t="s">
        <v>3101</v>
      </c>
      <c r="F1054" s="10">
        <v>45417</v>
      </c>
      <c r="G1054" s="11">
        <v>0.6875</v>
      </c>
      <c r="H1054" s="4" t="s">
        <v>1939</v>
      </c>
      <c r="I1054" s="4" t="s">
        <v>3089</v>
      </c>
      <c r="J1054" s="4" t="s">
        <v>3090</v>
      </c>
      <c r="K1054" s="4" t="s">
        <v>3102</v>
      </c>
      <c r="L1054" s="4" t="s">
        <v>3103</v>
      </c>
      <c r="M1054" s="4" t="s">
        <v>46</v>
      </c>
      <c r="N1054" s="4"/>
      <c r="O1054" s="4" t="s">
        <v>47</v>
      </c>
      <c r="P1054" s="4" t="s">
        <v>48</v>
      </c>
      <c r="Q1054" s="4">
        <v>0</v>
      </c>
      <c r="R1054" s="4" t="b">
        <v>0</v>
      </c>
      <c r="S1054" s="4" t="s">
        <v>61</v>
      </c>
      <c r="T1054" s="4" t="s">
        <v>2195</v>
      </c>
      <c r="U1054" s="4" t="s">
        <v>175</v>
      </c>
      <c r="V1054" s="4" t="s">
        <v>52</v>
      </c>
      <c r="W1054" s="4" t="s">
        <v>135</v>
      </c>
      <c r="X1054" s="4" t="s">
        <v>54</v>
      </c>
      <c r="Y1054" s="4"/>
      <c r="Z1054" s="12">
        <v>0</v>
      </c>
      <c r="AA1054" s="13" t="s">
        <v>9161</v>
      </c>
      <c r="AB1054" s="13" t="s">
        <v>9160</v>
      </c>
      <c r="AC1054" s="14" t="s">
        <v>9148</v>
      </c>
      <c r="AD1054" s="14" t="s">
        <v>9140</v>
      </c>
      <c r="AE1054" s="14" t="s">
        <v>9140</v>
      </c>
      <c r="AF1054" s="14" t="s">
        <v>52</v>
      </c>
      <c r="AG1054" s="14" t="s">
        <v>54</v>
      </c>
      <c r="AH1054" s="15" t="s">
        <v>9194</v>
      </c>
      <c r="AI1054" s="15" t="s">
        <v>9175</v>
      </c>
      <c r="AJ1054" s="15" t="s">
        <v>9143</v>
      </c>
      <c r="AK1054" s="15" t="s">
        <v>9194</v>
      </c>
      <c r="AL1054" s="15" t="s">
        <v>9209</v>
      </c>
      <c r="AM1054" s="16" t="s">
        <v>9194</v>
      </c>
      <c r="AN1054" s="16" t="s">
        <v>9210</v>
      </c>
    </row>
    <row r="1055" spans="1:40" x14ac:dyDescent="0.25">
      <c r="A1055" s="4" t="s">
        <v>1077</v>
      </c>
      <c r="B1055" s="4"/>
      <c r="C1055" s="4" t="s">
        <v>39</v>
      </c>
      <c r="D1055" s="4" t="s">
        <v>1078</v>
      </c>
      <c r="E1055" s="4" t="s">
        <v>1079</v>
      </c>
      <c r="F1055" s="10">
        <v>45416</v>
      </c>
      <c r="G1055" s="11">
        <v>0.55555555555555558</v>
      </c>
      <c r="H1055" s="4" t="s">
        <v>463</v>
      </c>
      <c r="I1055" s="4">
        <v>2054</v>
      </c>
      <c r="J1055" s="4" t="s">
        <v>1067</v>
      </c>
      <c r="K1055" s="4" t="s">
        <v>711</v>
      </c>
      <c r="L1055" s="4" t="s">
        <v>1080</v>
      </c>
      <c r="M1055" s="4" t="s">
        <v>46</v>
      </c>
      <c r="N1055" s="4"/>
      <c r="O1055" s="4" t="s">
        <v>47</v>
      </c>
      <c r="P1055" s="4" t="s">
        <v>48</v>
      </c>
      <c r="Q1055" s="4">
        <v>0</v>
      </c>
      <c r="R1055" s="4" t="b">
        <v>0</v>
      </c>
      <c r="S1055" s="4" t="s">
        <v>61</v>
      </c>
      <c r="T1055" s="4" t="s">
        <v>50</v>
      </c>
      <c r="U1055" s="4" t="s">
        <v>1081</v>
      </c>
      <c r="V1055" s="4" t="s">
        <v>63</v>
      </c>
      <c r="W1055" s="4" t="s">
        <v>108</v>
      </c>
      <c r="X1055" s="4" t="s">
        <v>98</v>
      </c>
      <c r="Y1055" s="4"/>
      <c r="Z1055" s="12">
        <v>0</v>
      </c>
      <c r="AA1055" s="13" t="s">
        <v>9161</v>
      </c>
      <c r="AB1055" s="13" t="s">
        <v>9160</v>
      </c>
      <c r="AC1055" s="14" t="s">
        <v>9148</v>
      </c>
      <c r="AD1055" s="14" t="s">
        <v>9140</v>
      </c>
      <c r="AE1055" s="14" t="s">
        <v>9140</v>
      </c>
      <c r="AF1055" s="14" t="s">
        <v>63</v>
      </c>
      <c r="AG1055" s="14" t="s">
        <v>98</v>
      </c>
      <c r="AH1055" s="15" t="s">
        <v>9141</v>
      </c>
      <c r="AI1055" s="15" t="s">
        <v>9175</v>
      </c>
      <c r="AJ1055" s="15" t="s">
        <v>9143</v>
      </c>
      <c r="AK1055" s="15" t="s">
        <v>9141</v>
      </c>
      <c r="AL1055" s="15" t="s">
        <v>9175</v>
      </c>
      <c r="AM1055" s="16" t="s">
        <v>9141</v>
      </c>
      <c r="AN1055" s="16" t="s">
        <v>9176</v>
      </c>
    </row>
    <row r="1056" spans="1:40" x14ac:dyDescent="0.25">
      <c r="A1056" s="4" t="s">
        <v>722</v>
      </c>
      <c r="B1056" s="4"/>
      <c r="C1056" s="4" t="s">
        <v>39</v>
      </c>
      <c r="D1056" s="4" t="s">
        <v>723</v>
      </c>
      <c r="E1056" s="4" t="s">
        <v>724</v>
      </c>
      <c r="F1056" s="10">
        <v>45415</v>
      </c>
      <c r="G1056" s="11">
        <v>0.47152777777777777</v>
      </c>
      <c r="H1056" s="4" t="s">
        <v>463</v>
      </c>
      <c r="I1056" s="4">
        <v>2025</v>
      </c>
      <c r="J1056" s="4" t="s">
        <v>701</v>
      </c>
      <c r="K1056" s="4" t="s">
        <v>725</v>
      </c>
      <c r="L1056" s="4" t="s">
        <v>726</v>
      </c>
      <c r="M1056" s="4" t="s">
        <v>46</v>
      </c>
      <c r="N1056" s="4"/>
      <c r="O1056" s="4" t="s">
        <v>47</v>
      </c>
      <c r="P1056" s="4" t="s">
        <v>48</v>
      </c>
      <c r="Q1056" s="4">
        <v>0</v>
      </c>
      <c r="R1056" s="4" t="b">
        <v>0</v>
      </c>
      <c r="S1056" s="4" t="s">
        <v>61</v>
      </c>
      <c r="T1056" s="4" t="s">
        <v>583</v>
      </c>
      <c r="U1056" s="4" t="s">
        <v>600</v>
      </c>
      <c r="V1056" s="4" t="s">
        <v>52</v>
      </c>
      <c r="W1056" s="4" t="s">
        <v>135</v>
      </c>
      <c r="X1056" s="4" t="s">
        <v>54</v>
      </c>
      <c r="Y1056" s="4"/>
      <c r="Z1056" s="12">
        <v>0</v>
      </c>
      <c r="AA1056" s="13" t="s">
        <v>9161</v>
      </c>
      <c r="AB1056" s="13" t="s">
        <v>9160</v>
      </c>
      <c r="AC1056" s="14" t="s">
        <v>9148</v>
      </c>
      <c r="AD1056" s="14" t="s">
        <v>9140</v>
      </c>
      <c r="AE1056" s="14" t="s">
        <v>9140</v>
      </c>
      <c r="AF1056" s="14" t="s">
        <v>52</v>
      </c>
      <c r="AG1056" s="14" t="s">
        <v>54</v>
      </c>
      <c r="AH1056" s="15" t="s">
        <v>9141</v>
      </c>
      <c r="AI1056" s="15" t="s">
        <v>9175</v>
      </c>
      <c r="AJ1056" s="15" t="s">
        <v>9143</v>
      </c>
      <c r="AK1056" s="15" t="s">
        <v>9141</v>
      </c>
      <c r="AL1056" s="15" t="s">
        <v>9175</v>
      </c>
      <c r="AM1056" s="16" t="s">
        <v>9141</v>
      </c>
      <c r="AN1056" s="16" t="s">
        <v>9176</v>
      </c>
    </row>
    <row r="1057" spans="1:40" x14ac:dyDescent="0.25">
      <c r="A1057" s="4" t="s">
        <v>1254</v>
      </c>
      <c r="B1057" s="4"/>
      <c r="C1057" s="4" t="s">
        <v>39</v>
      </c>
      <c r="D1057" s="4" t="s">
        <v>1220</v>
      </c>
      <c r="E1057" s="4" t="s">
        <v>1221</v>
      </c>
      <c r="F1057" s="10">
        <v>45415</v>
      </c>
      <c r="G1057" s="11">
        <v>0.58333333333333337</v>
      </c>
      <c r="H1057" s="4" t="s">
        <v>1155</v>
      </c>
      <c r="I1057" s="4">
        <v>4043</v>
      </c>
      <c r="J1057" s="4" t="s">
        <v>1200</v>
      </c>
      <c r="K1057" s="4" t="s">
        <v>1255</v>
      </c>
      <c r="L1057" s="4" t="s">
        <v>1256</v>
      </c>
      <c r="M1057" s="4" t="s">
        <v>46</v>
      </c>
      <c r="N1057" s="4"/>
      <c r="O1057" s="4" t="s">
        <v>47</v>
      </c>
      <c r="P1057" s="4" t="s">
        <v>48</v>
      </c>
      <c r="Q1057" s="4">
        <v>0</v>
      </c>
      <c r="R1057" s="4" t="b">
        <v>0</v>
      </c>
      <c r="S1057" s="4" t="s">
        <v>49</v>
      </c>
      <c r="T1057" s="4" t="s">
        <v>50</v>
      </c>
      <c r="U1057" s="4" t="s">
        <v>71</v>
      </c>
      <c r="V1057" s="4" t="s">
        <v>72</v>
      </c>
      <c r="W1057" s="4" t="s">
        <v>97</v>
      </c>
      <c r="X1057" s="4" t="s">
        <v>98</v>
      </c>
      <c r="Y1057" s="4"/>
      <c r="Z1057" s="12">
        <v>0</v>
      </c>
      <c r="AA1057" s="13" t="s">
        <v>9161</v>
      </c>
      <c r="AB1057" s="13" t="s">
        <v>9160</v>
      </c>
      <c r="AC1057" s="14" t="s">
        <v>9139</v>
      </c>
      <c r="AD1057" s="14" t="s">
        <v>9140</v>
      </c>
      <c r="AE1057" s="14" t="s">
        <v>9140</v>
      </c>
      <c r="AF1057" s="14" t="s">
        <v>72</v>
      </c>
      <c r="AG1057" s="14" t="s">
        <v>98</v>
      </c>
      <c r="AH1057" s="15" t="s">
        <v>9141</v>
      </c>
      <c r="AI1057" s="15" t="s">
        <v>9187</v>
      </c>
      <c r="AJ1057" s="15" t="s">
        <v>9143</v>
      </c>
      <c r="AK1057" s="15" t="s">
        <v>9141</v>
      </c>
      <c r="AL1057" s="15" t="s">
        <v>9144</v>
      </c>
      <c r="AM1057" s="16" t="s">
        <v>9141</v>
      </c>
      <c r="AN1057" s="16" t="s">
        <v>9145</v>
      </c>
    </row>
    <row r="1058" spans="1:40" x14ac:dyDescent="0.25">
      <c r="A1058" s="4" t="s">
        <v>6459</v>
      </c>
      <c r="B1058" s="4"/>
      <c r="C1058" s="4" t="s">
        <v>39</v>
      </c>
      <c r="D1058" s="4" t="s">
        <v>6460</v>
      </c>
      <c r="E1058" s="4" t="s">
        <v>6461</v>
      </c>
      <c r="F1058" s="10">
        <v>45415</v>
      </c>
      <c r="G1058" s="11">
        <v>0.52777777777777779</v>
      </c>
      <c r="H1058" s="4" t="s">
        <v>4659</v>
      </c>
      <c r="I1058" s="4" t="s">
        <v>6441</v>
      </c>
      <c r="J1058" s="4" t="s">
        <v>6442</v>
      </c>
      <c r="K1058" s="4" t="s">
        <v>2965</v>
      </c>
      <c r="L1058" s="4" t="s">
        <v>6462</v>
      </c>
      <c r="M1058" s="4" t="s">
        <v>46</v>
      </c>
      <c r="N1058" s="4"/>
      <c r="O1058" s="4" t="s">
        <v>47</v>
      </c>
      <c r="P1058" s="4" t="s">
        <v>48</v>
      </c>
      <c r="Q1058" s="4">
        <v>0</v>
      </c>
      <c r="R1058" s="4" t="b">
        <v>0</v>
      </c>
      <c r="S1058" s="4" t="s">
        <v>49</v>
      </c>
      <c r="T1058" s="4" t="s">
        <v>70</v>
      </c>
      <c r="U1058" s="4" t="s">
        <v>71</v>
      </c>
      <c r="V1058" s="4" t="s">
        <v>72</v>
      </c>
      <c r="W1058" s="4" t="s">
        <v>97</v>
      </c>
      <c r="X1058" s="4" t="s">
        <v>54</v>
      </c>
      <c r="Y1058" s="4" t="s">
        <v>4246</v>
      </c>
      <c r="Z1058" s="12">
        <v>0</v>
      </c>
      <c r="AA1058" s="13" t="s">
        <v>9161</v>
      </c>
      <c r="AB1058" s="13" t="s">
        <v>9160</v>
      </c>
      <c r="AC1058" s="14" t="s">
        <v>9139</v>
      </c>
      <c r="AD1058" s="14" t="s">
        <v>9140</v>
      </c>
      <c r="AE1058" s="14" t="s">
        <v>9140</v>
      </c>
      <c r="AF1058" s="14" t="s">
        <v>72</v>
      </c>
      <c r="AG1058" s="14" t="s">
        <v>54</v>
      </c>
      <c r="AH1058" s="15" t="s">
        <v>9220</v>
      </c>
      <c r="AI1058" s="15" t="s">
        <v>9142</v>
      </c>
      <c r="AJ1058" s="15" t="s">
        <v>9143</v>
      </c>
      <c r="AK1058" s="15" t="s">
        <v>9221</v>
      </c>
      <c r="AL1058" s="15" t="s">
        <v>9228</v>
      </c>
      <c r="AM1058" s="16" t="s">
        <v>9221</v>
      </c>
      <c r="AN1058" s="16" t="s">
        <v>9229</v>
      </c>
    </row>
    <row r="1059" spans="1:40" x14ac:dyDescent="0.25">
      <c r="A1059" s="4" t="s">
        <v>4390</v>
      </c>
      <c r="B1059" s="4"/>
      <c r="C1059" s="4" t="s">
        <v>39</v>
      </c>
      <c r="D1059" s="4" t="s">
        <v>4363</v>
      </c>
      <c r="E1059" s="4" t="s">
        <v>4364</v>
      </c>
      <c r="F1059" s="10">
        <v>45414</v>
      </c>
      <c r="G1059" s="11">
        <v>0.60416666666666663</v>
      </c>
      <c r="H1059" s="4" t="s">
        <v>4019</v>
      </c>
      <c r="I1059" s="4" t="s">
        <v>4304</v>
      </c>
      <c r="J1059" s="4" t="s">
        <v>1941</v>
      </c>
      <c r="K1059" s="4" t="s">
        <v>4391</v>
      </c>
      <c r="L1059" s="4" t="s">
        <v>4392</v>
      </c>
      <c r="M1059" s="4" t="s">
        <v>46</v>
      </c>
      <c r="N1059" s="4"/>
      <c r="O1059" s="4" t="s">
        <v>47</v>
      </c>
      <c r="P1059" s="4" t="s">
        <v>48</v>
      </c>
      <c r="Q1059" s="4">
        <v>0</v>
      </c>
      <c r="R1059" s="4" t="b">
        <v>0</v>
      </c>
      <c r="S1059" s="4" t="s">
        <v>184</v>
      </c>
      <c r="T1059" s="4" t="s">
        <v>89</v>
      </c>
      <c r="U1059" s="4" t="s">
        <v>2065</v>
      </c>
      <c r="V1059" s="4" t="s">
        <v>52</v>
      </c>
      <c r="W1059" s="4" t="s">
        <v>53</v>
      </c>
      <c r="X1059" s="4" t="s">
        <v>54</v>
      </c>
      <c r="Y1059" s="4"/>
      <c r="Z1059" s="12">
        <v>0</v>
      </c>
      <c r="AA1059" s="13" t="s">
        <v>9161</v>
      </c>
      <c r="AB1059" s="13" t="s">
        <v>9160</v>
      </c>
      <c r="AC1059" s="14" t="s">
        <v>9166</v>
      </c>
      <c r="AD1059" s="14" t="s">
        <v>9140</v>
      </c>
      <c r="AE1059" s="14" t="s">
        <v>9140</v>
      </c>
      <c r="AF1059" s="14" t="s">
        <v>52</v>
      </c>
      <c r="AG1059" s="14" t="s">
        <v>54</v>
      </c>
      <c r="AH1059" s="15" t="s">
        <v>9220</v>
      </c>
      <c r="AI1059" s="15" t="s">
        <v>9175</v>
      </c>
      <c r="AJ1059" s="15" t="s">
        <v>9143</v>
      </c>
      <c r="AK1059" s="15" t="s">
        <v>9221</v>
      </c>
      <c r="AL1059" s="15" t="s">
        <v>9222</v>
      </c>
      <c r="AM1059" s="16" t="s">
        <v>9221</v>
      </c>
      <c r="AN1059" s="16" t="s">
        <v>9223</v>
      </c>
    </row>
    <row r="1060" spans="1:40" x14ac:dyDescent="0.25">
      <c r="A1060" s="4" t="s">
        <v>7635</v>
      </c>
      <c r="B1060" s="4" t="s">
        <v>7636</v>
      </c>
      <c r="C1060" s="4" t="s">
        <v>39</v>
      </c>
      <c r="D1060" s="4" t="s">
        <v>7637</v>
      </c>
      <c r="E1060" s="4" t="s">
        <v>7638</v>
      </c>
      <c r="F1060" s="10">
        <v>45414</v>
      </c>
      <c r="G1060" s="11">
        <v>0.52569444444444446</v>
      </c>
      <c r="H1060" s="4" t="s">
        <v>4910</v>
      </c>
      <c r="I1060" s="4" t="s">
        <v>7611</v>
      </c>
      <c r="J1060" s="4" t="s">
        <v>3335</v>
      </c>
      <c r="K1060" s="4" t="s">
        <v>7639</v>
      </c>
      <c r="L1060" s="4" t="s">
        <v>7640</v>
      </c>
      <c r="M1060" s="4" t="s">
        <v>28</v>
      </c>
      <c r="N1060" s="4" t="s">
        <v>147</v>
      </c>
      <c r="O1060" s="4" t="s">
        <v>174</v>
      </c>
      <c r="P1060" s="4" t="s">
        <v>48</v>
      </c>
      <c r="Q1060" s="4">
        <v>0</v>
      </c>
      <c r="R1060" s="4" t="b">
        <v>0</v>
      </c>
      <c r="S1060" s="4" t="s">
        <v>114</v>
      </c>
      <c r="T1060" s="4" t="s">
        <v>583</v>
      </c>
      <c r="U1060" s="4" t="s">
        <v>373</v>
      </c>
      <c r="V1060" s="4" t="s">
        <v>52</v>
      </c>
      <c r="W1060" s="4" t="s">
        <v>53</v>
      </c>
      <c r="X1060" s="4" t="s">
        <v>54</v>
      </c>
      <c r="Y1060" s="4"/>
      <c r="Z1060" s="12" t="s">
        <v>48</v>
      </c>
      <c r="AA1060" s="13" t="s">
        <v>9161</v>
      </c>
      <c r="AB1060" s="13" t="s">
        <v>9160</v>
      </c>
      <c r="AC1060" s="14" t="s">
        <v>9157</v>
      </c>
      <c r="AD1060" s="14" t="s">
        <v>28</v>
      </c>
      <c r="AE1060" s="14" t="s">
        <v>9140</v>
      </c>
      <c r="AF1060" s="14" t="s">
        <v>52</v>
      </c>
      <c r="AG1060" s="14" t="s">
        <v>54</v>
      </c>
      <c r="AH1060" s="15" t="s">
        <v>9220</v>
      </c>
      <c r="AI1060" s="15" t="s">
        <v>9191</v>
      </c>
      <c r="AJ1060" s="15" t="s">
        <v>9143</v>
      </c>
      <c r="AK1060" s="15" t="s">
        <v>9221</v>
      </c>
      <c r="AL1060" s="15" t="s">
        <v>9226</v>
      </c>
      <c r="AM1060" s="16" t="s">
        <v>9221</v>
      </c>
      <c r="AN1060" s="16" t="s">
        <v>9227</v>
      </c>
    </row>
    <row r="1061" spans="1:40" x14ac:dyDescent="0.25">
      <c r="A1061" s="4" t="s">
        <v>1788</v>
      </c>
      <c r="B1061" s="4"/>
      <c r="C1061" s="4" t="s">
        <v>39</v>
      </c>
      <c r="D1061" s="4" t="s">
        <v>1746</v>
      </c>
      <c r="E1061" s="4" t="s">
        <v>1747</v>
      </c>
      <c r="F1061" s="10">
        <v>45414</v>
      </c>
      <c r="G1061" s="11">
        <v>0.51388888888888884</v>
      </c>
      <c r="H1061" s="4" t="s">
        <v>1654</v>
      </c>
      <c r="I1061" s="4">
        <v>9095</v>
      </c>
      <c r="J1061" s="4" t="s">
        <v>1742</v>
      </c>
      <c r="K1061" s="4" t="s">
        <v>1789</v>
      </c>
      <c r="L1061" s="4" t="s">
        <v>1790</v>
      </c>
      <c r="M1061" s="4" t="s">
        <v>46</v>
      </c>
      <c r="N1061" s="4"/>
      <c r="O1061" s="4" t="s">
        <v>47</v>
      </c>
      <c r="P1061" s="4" t="s">
        <v>48</v>
      </c>
      <c r="Q1061" s="4">
        <v>0</v>
      </c>
      <c r="R1061" s="4" t="b">
        <v>0</v>
      </c>
      <c r="S1061" s="4" t="s">
        <v>61</v>
      </c>
      <c r="T1061" s="4" t="s">
        <v>50</v>
      </c>
      <c r="U1061" s="4" t="s">
        <v>107</v>
      </c>
      <c r="V1061" s="4" t="s">
        <v>63</v>
      </c>
      <c r="W1061" s="4" t="s">
        <v>198</v>
      </c>
      <c r="X1061" s="4" t="s">
        <v>98</v>
      </c>
      <c r="Y1061" s="4" t="s">
        <v>486</v>
      </c>
      <c r="Z1061" s="12">
        <v>0</v>
      </c>
      <c r="AA1061" s="13" t="s">
        <v>9161</v>
      </c>
      <c r="AB1061" s="13" t="s">
        <v>9160</v>
      </c>
      <c r="AC1061" s="14" t="s">
        <v>9148</v>
      </c>
      <c r="AD1061" s="14" t="s">
        <v>9140</v>
      </c>
      <c r="AE1061" s="14" t="s">
        <v>9140</v>
      </c>
      <c r="AF1061" s="14" t="s">
        <v>63</v>
      </c>
      <c r="AG1061" s="14" t="s">
        <v>98</v>
      </c>
      <c r="AH1061" s="15" t="s">
        <v>9141</v>
      </c>
      <c r="AI1061" s="15" t="s">
        <v>9191</v>
      </c>
      <c r="AJ1061" s="15" t="s">
        <v>9143</v>
      </c>
      <c r="AK1061" s="15" t="s">
        <v>9141</v>
      </c>
      <c r="AL1061" s="15" t="s">
        <v>9191</v>
      </c>
      <c r="AM1061" s="16" t="s">
        <v>9141</v>
      </c>
      <c r="AN1061" s="16" t="s">
        <v>9192</v>
      </c>
    </row>
    <row r="1062" spans="1:40" x14ac:dyDescent="0.25">
      <c r="A1062" s="4" t="s">
        <v>2156</v>
      </c>
      <c r="B1062" s="4"/>
      <c r="C1062" s="4" t="s">
        <v>39</v>
      </c>
      <c r="D1062" s="4" t="s">
        <v>2157</v>
      </c>
      <c r="E1062" s="4" t="s">
        <v>2158</v>
      </c>
      <c r="F1062" s="10">
        <v>45414</v>
      </c>
      <c r="G1062" s="11">
        <v>0.48958333333333331</v>
      </c>
      <c r="H1062" s="4" t="s">
        <v>1992</v>
      </c>
      <c r="I1062" s="4" t="s">
        <v>2139</v>
      </c>
      <c r="J1062" s="4" t="s">
        <v>2140</v>
      </c>
      <c r="K1062" s="4" t="s">
        <v>2159</v>
      </c>
      <c r="L1062" s="4" t="s">
        <v>2160</v>
      </c>
      <c r="M1062" s="4" t="s">
        <v>46</v>
      </c>
      <c r="N1062" s="4"/>
      <c r="O1062" s="4" t="s">
        <v>47</v>
      </c>
      <c r="P1062" s="4" t="s">
        <v>48</v>
      </c>
      <c r="Q1062" s="4">
        <v>0</v>
      </c>
      <c r="R1062" s="4" t="b">
        <v>0</v>
      </c>
      <c r="S1062" s="4" t="s">
        <v>61</v>
      </c>
      <c r="T1062" s="4" t="s">
        <v>583</v>
      </c>
      <c r="U1062" s="4" t="s">
        <v>148</v>
      </c>
      <c r="V1062" s="4" t="s">
        <v>52</v>
      </c>
      <c r="W1062" s="4" t="s">
        <v>53</v>
      </c>
      <c r="X1062" s="4" t="s">
        <v>54</v>
      </c>
      <c r="Y1062" s="4"/>
      <c r="Z1062" s="12">
        <v>0</v>
      </c>
      <c r="AA1062" s="13" t="s">
        <v>9161</v>
      </c>
      <c r="AB1062" s="13" t="s">
        <v>9160</v>
      </c>
      <c r="AC1062" s="14" t="s">
        <v>9148</v>
      </c>
      <c r="AD1062" s="14" t="s">
        <v>9140</v>
      </c>
      <c r="AE1062" s="14" t="s">
        <v>9140</v>
      </c>
      <c r="AF1062" s="14" t="s">
        <v>52</v>
      </c>
      <c r="AG1062" s="14" t="s">
        <v>54</v>
      </c>
      <c r="AH1062" s="15" t="s">
        <v>9194</v>
      </c>
      <c r="AI1062" s="15" t="s">
        <v>9191</v>
      </c>
      <c r="AJ1062" s="15" t="s">
        <v>9143</v>
      </c>
      <c r="AK1062" s="15" t="s">
        <v>9194</v>
      </c>
      <c r="AL1062" s="15" t="s">
        <v>9205</v>
      </c>
      <c r="AM1062" s="16" t="s">
        <v>9194</v>
      </c>
      <c r="AN1062" s="16" t="s">
        <v>9206</v>
      </c>
    </row>
    <row r="1063" spans="1:40" x14ac:dyDescent="0.25">
      <c r="A1063" s="4" t="s">
        <v>261</v>
      </c>
      <c r="B1063" s="4"/>
      <c r="C1063" s="4" t="s">
        <v>39</v>
      </c>
      <c r="D1063" s="4" t="s">
        <v>262</v>
      </c>
      <c r="E1063" s="4" t="s">
        <v>263</v>
      </c>
      <c r="F1063" s="10">
        <v>45413</v>
      </c>
      <c r="G1063" s="11">
        <v>0.3888888888888889</v>
      </c>
      <c r="H1063" s="4" t="s">
        <v>42</v>
      </c>
      <c r="I1063" s="4">
        <v>1011</v>
      </c>
      <c r="J1063" s="4" t="s">
        <v>215</v>
      </c>
      <c r="K1063" s="4" t="s">
        <v>264</v>
      </c>
      <c r="L1063" s="4" t="s">
        <v>265</v>
      </c>
      <c r="M1063" s="4" t="s">
        <v>46</v>
      </c>
      <c r="N1063" s="4"/>
      <c r="O1063" s="4" t="s">
        <v>47</v>
      </c>
      <c r="P1063" s="4" t="s">
        <v>48</v>
      </c>
      <c r="Q1063" s="4">
        <v>0</v>
      </c>
      <c r="R1063" s="4" t="b">
        <v>0</v>
      </c>
      <c r="S1063" s="4" t="s">
        <v>61</v>
      </c>
      <c r="T1063" s="4" t="s">
        <v>266</v>
      </c>
      <c r="U1063" s="4" t="s">
        <v>90</v>
      </c>
      <c r="V1063" s="4" t="s">
        <v>267</v>
      </c>
      <c r="W1063" s="4" t="s">
        <v>268</v>
      </c>
      <c r="X1063" s="4" t="s">
        <v>54</v>
      </c>
      <c r="Y1063" s="4"/>
      <c r="Z1063" s="12">
        <v>0</v>
      </c>
      <c r="AA1063" s="13" t="s">
        <v>9161</v>
      </c>
      <c r="AB1063" s="13" t="s">
        <v>9160</v>
      </c>
      <c r="AC1063" s="14" t="s">
        <v>9148</v>
      </c>
      <c r="AD1063" s="14" t="s">
        <v>9140</v>
      </c>
      <c r="AE1063" s="14" t="s">
        <v>9140</v>
      </c>
      <c r="AF1063" s="14" t="s">
        <v>267</v>
      </c>
      <c r="AG1063" s="14" t="s">
        <v>54</v>
      </c>
      <c r="AH1063" s="15" t="s">
        <v>9141</v>
      </c>
      <c r="AI1063" s="15" t="s">
        <v>9142</v>
      </c>
      <c r="AJ1063" s="15" t="s">
        <v>9143</v>
      </c>
      <c r="AK1063" s="15" t="s">
        <v>9141</v>
      </c>
      <c r="AL1063" s="15" t="s">
        <v>9144</v>
      </c>
      <c r="AM1063" s="16" t="s">
        <v>9141</v>
      </c>
      <c r="AN1063" s="16" t="s">
        <v>9145</v>
      </c>
    </row>
    <row r="1064" spans="1:40" x14ac:dyDescent="0.25">
      <c r="A1064" s="4" t="s">
        <v>8708</v>
      </c>
      <c r="B1064" s="4">
        <v>6796353</v>
      </c>
      <c r="C1064" s="4" t="s">
        <v>488</v>
      </c>
      <c r="D1064" s="4" t="s">
        <v>8709</v>
      </c>
      <c r="E1064" s="4" t="s">
        <v>8710</v>
      </c>
      <c r="F1064" s="10">
        <v>45413</v>
      </c>
      <c r="G1064" s="11">
        <v>0.33333333333333331</v>
      </c>
      <c r="H1064" s="4" t="s">
        <v>4516</v>
      </c>
      <c r="I1064" s="4" t="s">
        <v>8691</v>
      </c>
      <c r="J1064" s="4" t="s">
        <v>3943</v>
      </c>
      <c r="K1064" s="4" t="s">
        <v>8711</v>
      </c>
      <c r="L1064" s="4" t="s">
        <v>8712</v>
      </c>
      <c r="M1064" s="4" t="s">
        <v>28</v>
      </c>
      <c r="N1064" s="4" t="s">
        <v>183</v>
      </c>
      <c r="O1064" s="4" t="s">
        <v>344</v>
      </c>
      <c r="P1064" s="4" t="s">
        <v>48</v>
      </c>
      <c r="Q1064" s="4">
        <v>48</v>
      </c>
      <c r="R1064" s="4" t="b">
        <v>0</v>
      </c>
      <c r="S1064" s="4" t="s">
        <v>184</v>
      </c>
      <c r="T1064" s="4" t="s">
        <v>1240</v>
      </c>
      <c r="U1064" s="4" t="s">
        <v>330</v>
      </c>
      <c r="V1064" s="4" t="s">
        <v>267</v>
      </c>
      <c r="W1064" s="4" t="s">
        <v>2730</v>
      </c>
      <c r="X1064" s="4" t="s">
        <v>54</v>
      </c>
      <c r="Y1064" s="4"/>
      <c r="Z1064" s="12" t="s">
        <v>48</v>
      </c>
      <c r="AA1064" s="13" t="s">
        <v>9161</v>
      </c>
      <c r="AB1064" s="13" t="s">
        <v>9160</v>
      </c>
      <c r="AC1064" s="14" t="s">
        <v>9166</v>
      </c>
      <c r="AD1064" s="14" t="s">
        <v>28</v>
      </c>
      <c r="AE1064" s="14" t="s">
        <v>183</v>
      </c>
      <c r="AF1064" s="14" t="s">
        <v>267</v>
      </c>
      <c r="AG1064" s="14" t="s">
        <v>54</v>
      </c>
      <c r="AH1064" s="15" t="s">
        <v>9220</v>
      </c>
      <c r="AI1064" s="15" t="s">
        <v>9188</v>
      </c>
      <c r="AJ1064" s="15" t="s">
        <v>9143</v>
      </c>
      <c r="AK1064" s="15" t="s">
        <v>9221</v>
      </c>
      <c r="AL1064" s="15" t="s">
        <v>9230</v>
      </c>
      <c r="AM1064" s="16" t="s">
        <v>9221</v>
      </c>
      <c r="AN1064" s="16" t="s">
        <v>9231</v>
      </c>
    </row>
    <row r="1065" spans="1:40" x14ac:dyDescent="0.25">
      <c r="A1065" s="4" t="s">
        <v>8058</v>
      </c>
      <c r="B1065" s="4"/>
      <c r="C1065" s="4" t="s">
        <v>39</v>
      </c>
      <c r="D1065" s="4" t="s">
        <v>8059</v>
      </c>
      <c r="E1065" s="4" t="s">
        <v>8060</v>
      </c>
      <c r="F1065" s="10">
        <v>45413</v>
      </c>
      <c r="G1065" s="11">
        <v>0.61458333333333337</v>
      </c>
      <c r="H1065" s="4" t="s">
        <v>4910</v>
      </c>
      <c r="I1065" s="4" t="s">
        <v>8017</v>
      </c>
      <c r="J1065" s="4" t="s">
        <v>8018</v>
      </c>
      <c r="K1065" s="4" t="s">
        <v>484</v>
      </c>
      <c r="L1065" s="4" t="s">
        <v>8061</v>
      </c>
      <c r="M1065" s="4" t="s">
        <v>46</v>
      </c>
      <c r="N1065" s="4"/>
      <c r="O1065" s="4" t="s">
        <v>47</v>
      </c>
      <c r="P1065" s="4" t="s">
        <v>48</v>
      </c>
      <c r="Q1065" s="4">
        <v>0</v>
      </c>
      <c r="R1065" s="4" t="b">
        <v>0</v>
      </c>
      <c r="S1065" s="4" t="s">
        <v>49</v>
      </c>
      <c r="T1065" s="4" t="s">
        <v>583</v>
      </c>
      <c r="U1065" s="4" t="s">
        <v>107</v>
      </c>
      <c r="V1065" s="4" t="s">
        <v>63</v>
      </c>
      <c r="W1065" s="4" t="s">
        <v>198</v>
      </c>
      <c r="X1065" s="4" t="s">
        <v>350</v>
      </c>
      <c r="Y1065" s="4" t="s">
        <v>775</v>
      </c>
      <c r="Z1065" s="12">
        <v>0</v>
      </c>
      <c r="AA1065" s="13" t="s">
        <v>9161</v>
      </c>
      <c r="AB1065" s="13" t="s">
        <v>9160</v>
      </c>
      <c r="AC1065" s="14" t="s">
        <v>9139</v>
      </c>
      <c r="AD1065" s="14" t="s">
        <v>9140</v>
      </c>
      <c r="AE1065" s="14" t="s">
        <v>9140</v>
      </c>
      <c r="AF1065" s="14" t="s">
        <v>63</v>
      </c>
      <c r="AG1065" s="14" t="s">
        <v>350</v>
      </c>
      <c r="AH1065" s="15" t="s">
        <v>9220</v>
      </c>
      <c r="AI1065" s="15" t="s">
        <v>9191</v>
      </c>
      <c r="AJ1065" s="15" t="s">
        <v>9143</v>
      </c>
      <c r="AK1065" s="15" t="s">
        <v>9221</v>
      </c>
      <c r="AL1065" s="15" t="s">
        <v>9234</v>
      </c>
      <c r="AM1065" s="16" t="s">
        <v>9221</v>
      </c>
      <c r="AN1065" s="16" t="s">
        <v>9235</v>
      </c>
    </row>
    <row r="1066" spans="1:40" x14ac:dyDescent="0.25">
      <c r="A1066" s="4" t="s">
        <v>5798</v>
      </c>
      <c r="B1066" s="4"/>
      <c r="C1066" s="4" t="s">
        <v>39</v>
      </c>
      <c r="D1066" s="4" t="s">
        <v>5799</v>
      </c>
      <c r="E1066" s="4" t="s">
        <v>5800</v>
      </c>
      <c r="F1066" s="10">
        <v>45413</v>
      </c>
      <c r="G1066" s="11">
        <v>0.61805555555555558</v>
      </c>
      <c r="H1066" s="4" t="s">
        <v>4516</v>
      </c>
      <c r="I1066" s="4" t="s">
        <v>5776</v>
      </c>
      <c r="J1066" s="4" t="s">
        <v>1412</v>
      </c>
      <c r="K1066" s="4" t="s">
        <v>5019</v>
      </c>
      <c r="L1066" s="4" t="s">
        <v>5801</v>
      </c>
      <c r="M1066" s="4" t="s">
        <v>46</v>
      </c>
      <c r="N1066" s="4"/>
      <c r="O1066" s="4" t="s">
        <v>47</v>
      </c>
      <c r="P1066" s="4" t="s">
        <v>48</v>
      </c>
      <c r="Q1066" s="4">
        <v>0</v>
      </c>
      <c r="R1066" s="4" t="b">
        <v>0</v>
      </c>
      <c r="S1066" s="4" t="s">
        <v>49</v>
      </c>
      <c r="T1066" s="4" t="s">
        <v>583</v>
      </c>
      <c r="U1066" s="4" t="s">
        <v>71</v>
      </c>
      <c r="V1066" s="4" t="s">
        <v>72</v>
      </c>
      <c r="W1066" s="4" t="s">
        <v>73</v>
      </c>
      <c r="X1066" s="4" t="s">
        <v>54</v>
      </c>
      <c r="Y1066" s="4"/>
      <c r="Z1066" s="12">
        <v>0</v>
      </c>
      <c r="AA1066" s="13" t="s">
        <v>9161</v>
      </c>
      <c r="AB1066" s="13" t="s">
        <v>9160</v>
      </c>
      <c r="AC1066" s="14" t="s">
        <v>9139</v>
      </c>
      <c r="AD1066" s="14" t="s">
        <v>9140</v>
      </c>
      <c r="AE1066" s="14" t="s">
        <v>9140</v>
      </c>
      <c r="AF1066" s="14" t="s">
        <v>72</v>
      </c>
      <c r="AG1066" s="14" t="s">
        <v>54</v>
      </c>
      <c r="AH1066" s="15" t="s">
        <v>9220</v>
      </c>
      <c r="AI1066" s="15" t="s">
        <v>9188</v>
      </c>
      <c r="AJ1066" s="15" t="s">
        <v>9143</v>
      </c>
      <c r="AK1066" s="15" t="s">
        <v>9221</v>
      </c>
      <c r="AL1066" s="15" t="s">
        <v>9232</v>
      </c>
      <c r="AM1066" s="16" t="s">
        <v>9221</v>
      </c>
      <c r="AN1066" s="16" t="s">
        <v>9233</v>
      </c>
    </row>
    <row r="1067" spans="1:40" x14ac:dyDescent="0.25">
      <c r="A1067" s="4" t="s">
        <v>5714</v>
      </c>
      <c r="B1067" s="4"/>
      <c r="C1067" s="4" t="s">
        <v>39</v>
      </c>
      <c r="D1067" s="4" t="s">
        <v>5715</v>
      </c>
      <c r="E1067" s="4" t="s">
        <v>5716</v>
      </c>
      <c r="F1067" s="10">
        <v>45413</v>
      </c>
      <c r="G1067" s="11">
        <v>0.72916666666666663</v>
      </c>
      <c r="H1067" s="4" t="s">
        <v>5666</v>
      </c>
      <c r="I1067" s="4" t="s">
        <v>5667</v>
      </c>
      <c r="J1067" s="4" t="s">
        <v>2192</v>
      </c>
      <c r="K1067" s="4" t="s">
        <v>5717</v>
      </c>
      <c r="L1067" s="4" t="s">
        <v>5718</v>
      </c>
      <c r="M1067" s="4" t="s">
        <v>46</v>
      </c>
      <c r="N1067" s="4"/>
      <c r="O1067" s="4" t="s">
        <v>47</v>
      </c>
      <c r="P1067" s="4" t="s">
        <v>48</v>
      </c>
      <c r="Q1067" s="4">
        <v>0</v>
      </c>
      <c r="R1067" s="4" t="b">
        <v>0</v>
      </c>
      <c r="S1067" s="4" t="s">
        <v>114</v>
      </c>
      <c r="T1067" s="4" t="s">
        <v>583</v>
      </c>
      <c r="U1067" s="4" t="s">
        <v>175</v>
      </c>
      <c r="V1067" s="4" t="s">
        <v>52</v>
      </c>
      <c r="W1067" s="4" t="s">
        <v>53</v>
      </c>
      <c r="X1067" s="4" t="s">
        <v>98</v>
      </c>
      <c r="Y1067" s="4"/>
      <c r="Z1067" s="12">
        <v>0</v>
      </c>
      <c r="AA1067" s="13" t="s">
        <v>9161</v>
      </c>
      <c r="AB1067" s="13" t="s">
        <v>9160</v>
      </c>
      <c r="AC1067" s="14" t="s">
        <v>9157</v>
      </c>
      <c r="AD1067" s="14" t="s">
        <v>9140</v>
      </c>
      <c r="AE1067" s="14" t="s">
        <v>9140</v>
      </c>
      <c r="AF1067" s="14" t="s">
        <v>52</v>
      </c>
      <c r="AG1067" s="14" t="s">
        <v>98</v>
      </c>
      <c r="AH1067" s="15" t="s">
        <v>9220</v>
      </c>
      <c r="AI1067" s="15" t="s">
        <v>9199</v>
      </c>
      <c r="AJ1067" s="15" t="s">
        <v>9143</v>
      </c>
      <c r="AK1067" s="15" t="s">
        <v>9221</v>
      </c>
      <c r="AL1067" s="15" t="s">
        <v>9199</v>
      </c>
      <c r="AM1067" s="16" t="s">
        <v>9221</v>
      </c>
      <c r="AN1067" s="16" t="s">
        <v>9238</v>
      </c>
    </row>
    <row r="1068" spans="1:40" x14ac:dyDescent="0.25">
      <c r="A1068" s="4" t="s">
        <v>9015</v>
      </c>
      <c r="B1068" s="4"/>
      <c r="C1068" s="4" t="s">
        <v>39</v>
      </c>
      <c r="D1068" s="4" t="s">
        <v>9016</v>
      </c>
      <c r="E1068" s="4" t="s">
        <v>9017</v>
      </c>
      <c r="F1068" s="10">
        <v>45412</v>
      </c>
      <c r="G1068" s="11">
        <v>0.4375</v>
      </c>
      <c r="H1068" s="4" t="s">
        <v>4019</v>
      </c>
      <c r="I1068" s="4" t="s">
        <v>8971</v>
      </c>
      <c r="J1068" s="4" t="s">
        <v>8972</v>
      </c>
      <c r="K1068" s="4" t="s">
        <v>9018</v>
      </c>
      <c r="L1068" s="4" t="s">
        <v>9019</v>
      </c>
      <c r="M1068" s="4" t="s">
        <v>46</v>
      </c>
      <c r="N1068" s="4"/>
      <c r="O1068" s="4" t="s">
        <v>47</v>
      </c>
      <c r="P1068" s="4" t="s">
        <v>48</v>
      </c>
      <c r="Q1068" s="4">
        <v>0</v>
      </c>
      <c r="R1068" s="4" t="b">
        <v>0</v>
      </c>
      <c r="S1068" s="4" t="s">
        <v>61</v>
      </c>
      <c r="T1068" s="4" t="s">
        <v>70</v>
      </c>
      <c r="U1068" s="4" t="s">
        <v>148</v>
      </c>
      <c r="V1068" s="4" t="s">
        <v>63</v>
      </c>
      <c r="W1068" s="4" t="s">
        <v>108</v>
      </c>
      <c r="X1068" s="4" t="s">
        <v>98</v>
      </c>
      <c r="Y1068" s="4"/>
      <c r="Z1068" s="12">
        <v>0</v>
      </c>
      <c r="AA1068" s="13" t="s">
        <v>9161</v>
      </c>
      <c r="AB1068" s="13" t="s">
        <v>9160</v>
      </c>
      <c r="AC1068" s="14" t="s">
        <v>9148</v>
      </c>
      <c r="AD1068" s="14" t="s">
        <v>9140</v>
      </c>
      <c r="AE1068" s="14" t="s">
        <v>9140</v>
      </c>
      <c r="AF1068" s="14" t="s">
        <v>63</v>
      </c>
      <c r="AG1068" s="14" t="s">
        <v>98</v>
      </c>
      <c r="AH1068" s="15" t="s">
        <v>9220</v>
      </c>
      <c r="AI1068" s="15" t="s">
        <v>9175</v>
      </c>
      <c r="AJ1068" s="15" t="s">
        <v>9181</v>
      </c>
      <c r="AK1068" s="15" t="s">
        <v>9182</v>
      </c>
      <c r="AL1068" s="15" t="s">
        <v>9182</v>
      </c>
      <c r="AM1068" s="16" t="s">
        <v>9182</v>
      </c>
      <c r="AN1068" s="16" t="s">
        <v>9182</v>
      </c>
    </row>
    <row r="1069" spans="1:40" x14ac:dyDescent="0.25">
      <c r="A1069" s="4" t="s">
        <v>1791</v>
      </c>
      <c r="B1069" s="4" t="s">
        <v>1792</v>
      </c>
      <c r="C1069" s="4" t="s">
        <v>39</v>
      </c>
      <c r="D1069" s="4" t="s">
        <v>1793</v>
      </c>
      <c r="E1069" s="4" t="s">
        <v>1794</v>
      </c>
      <c r="F1069" s="10">
        <v>45412</v>
      </c>
      <c r="G1069" s="11">
        <v>0.5625</v>
      </c>
      <c r="H1069" s="4" t="s">
        <v>1654</v>
      </c>
      <c r="I1069" s="4">
        <v>9095</v>
      </c>
      <c r="J1069" s="4" t="s">
        <v>1742</v>
      </c>
      <c r="K1069" s="4" t="s">
        <v>1795</v>
      </c>
      <c r="L1069" s="4" t="s">
        <v>1796</v>
      </c>
      <c r="M1069" s="4" t="s">
        <v>28</v>
      </c>
      <c r="N1069" s="4" t="s">
        <v>183</v>
      </c>
      <c r="O1069" s="4" t="s">
        <v>191</v>
      </c>
      <c r="P1069" s="4" t="s">
        <v>60</v>
      </c>
      <c r="Q1069" s="4">
        <v>7</v>
      </c>
      <c r="R1069" s="4" t="b">
        <v>0</v>
      </c>
      <c r="S1069" s="4" t="s">
        <v>61</v>
      </c>
      <c r="T1069" s="4" t="s">
        <v>89</v>
      </c>
      <c r="U1069" s="4" t="s">
        <v>600</v>
      </c>
      <c r="V1069" s="4" t="s">
        <v>52</v>
      </c>
      <c r="W1069" s="4" t="s">
        <v>255</v>
      </c>
      <c r="X1069" s="4" t="s">
        <v>54</v>
      </c>
      <c r="Y1069" s="4"/>
      <c r="Z1069" s="12" t="s">
        <v>60</v>
      </c>
      <c r="AA1069" s="13" t="s">
        <v>9161</v>
      </c>
      <c r="AB1069" s="13" t="s">
        <v>9160</v>
      </c>
      <c r="AC1069" s="14" t="s">
        <v>9148</v>
      </c>
      <c r="AD1069" s="14" t="s">
        <v>28</v>
      </c>
      <c r="AE1069" s="14" t="s">
        <v>183</v>
      </c>
      <c r="AF1069" s="14" t="s">
        <v>52</v>
      </c>
      <c r="AG1069" s="14" t="s">
        <v>54</v>
      </c>
      <c r="AH1069" s="15" t="s">
        <v>9141</v>
      </c>
      <c r="AI1069" s="15" t="s">
        <v>9191</v>
      </c>
      <c r="AJ1069" s="15" t="s">
        <v>9143</v>
      </c>
      <c r="AK1069" s="15" t="s">
        <v>9141</v>
      </c>
      <c r="AL1069" s="15" t="s">
        <v>9191</v>
      </c>
      <c r="AM1069" s="16" t="s">
        <v>9141</v>
      </c>
      <c r="AN1069" s="16" t="s">
        <v>9192</v>
      </c>
    </row>
    <row r="1070" spans="1:40" x14ac:dyDescent="0.25">
      <c r="A1070" s="4" t="s">
        <v>997</v>
      </c>
      <c r="B1070" s="4"/>
      <c r="C1070" s="4" t="s">
        <v>39</v>
      </c>
      <c r="D1070" s="4" t="s">
        <v>998</v>
      </c>
      <c r="E1070" s="4" t="s">
        <v>999</v>
      </c>
      <c r="F1070" s="10">
        <v>45412</v>
      </c>
      <c r="G1070" s="11">
        <v>0.3125</v>
      </c>
      <c r="H1070" s="4" t="s">
        <v>463</v>
      </c>
      <c r="I1070" s="4">
        <v>2039</v>
      </c>
      <c r="J1070" s="4" t="s">
        <v>988</v>
      </c>
      <c r="K1070" s="4" t="s">
        <v>665</v>
      </c>
      <c r="L1070" s="4" t="s">
        <v>1000</v>
      </c>
      <c r="M1070" s="4" t="s">
        <v>46</v>
      </c>
      <c r="N1070" s="4"/>
      <c r="O1070" s="4" t="s">
        <v>47</v>
      </c>
      <c r="P1070" s="4" t="s">
        <v>48</v>
      </c>
      <c r="Q1070" s="4">
        <v>0</v>
      </c>
      <c r="R1070" s="4" t="b">
        <v>0</v>
      </c>
      <c r="S1070" s="4" t="s">
        <v>61</v>
      </c>
      <c r="T1070" s="4" t="s">
        <v>50</v>
      </c>
      <c r="U1070" s="4" t="s">
        <v>107</v>
      </c>
      <c r="V1070" s="4" t="s">
        <v>63</v>
      </c>
      <c r="W1070" s="4" t="s">
        <v>108</v>
      </c>
      <c r="X1070" s="4" t="s">
        <v>98</v>
      </c>
      <c r="Y1070" s="4"/>
      <c r="Z1070" s="12">
        <v>0</v>
      </c>
      <c r="AA1070" s="13" t="s">
        <v>9161</v>
      </c>
      <c r="AB1070" s="13" t="s">
        <v>9160</v>
      </c>
      <c r="AC1070" s="14" t="s">
        <v>9148</v>
      </c>
      <c r="AD1070" s="14" t="s">
        <v>9140</v>
      </c>
      <c r="AE1070" s="14" t="s">
        <v>9140</v>
      </c>
      <c r="AF1070" s="14" t="s">
        <v>63</v>
      </c>
      <c r="AG1070" s="14" t="s">
        <v>98</v>
      </c>
      <c r="AH1070" s="15" t="s">
        <v>9141</v>
      </c>
      <c r="AI1070" s="15" t="s">
        <v>9175</v>
      </c>
      <c r="AJ1070" s="15" t="s">
        <v>9143</v>
      </c>
      <c r="AK1070" s="15" t="s">
        <v>9141</v>
      </c>
      <c r="AL1070" s="15" t="s">
        <v>9175</v>
      </c>
      <c r="AM1070" s="16" t="s">
        <v>9141</v>
      </c>
      <c r="AN1070" s="16" t="s">
        <v>9176</v>
      </c>
    </row>
    <row r="1071" spans="1:40" x14ac:dyDescent="0.25">
      <c r="A1071" s="4" t="s">
        <v>2606</v>
      </c>
      <c r="B1071" s="4"/>
      <c r="C1071" s="4" t="s">
        <v>39</v>
      </c>
      <c r="D1071" s="4" t="s">
        <v>2607</v>
      </c>
      <c r="E1071" s="4" t="s">
        <v>2608</v>
      </c>
      <c r="F1071" s="10">
        <v>45411</v>
      </c>
      <c r="G1071" s="11">
        <v>0.56041666666666667</v>
      </c>
      <c r="H1071" s="4" t="s">
        <v>2017</v>
      </c>
      <c r="I1071" s="4" t="s">
        <v>2597</v>
      </c>
      <c r="J1071" s="4" t="s">
        <v>2598</v>
      </c>
      <c r="K1071" s="4" t="s">
        <v>2609</v>
      </c>
      <c r="L1071" s="4" t="s">
        <v>2610</v>
      </c>
      <c r="M1071" s="4" t="s">
        <v>46</v>
      </c>
      <c r="N1071" s="4"/>
      <c r="O1071" s="4" t="s">
        <v>47</v>
      </c>
      <c r="P1071" s="4" t="s">
        <v>48</v>
      </c>
      <c r="Q1071" s="4">
        <v>0</v>
      </c>
      <c r="R1071" s="4" t="b">
        <v>0</v>
      </c>
      <c r="S1071" s="4" t="s">
        <v>61</v>
      </c>
      <c r="T1071" s="4" t="s">
        <v>89</v>
      </c>
      <c r="U1071" s="4" t="s">
        <v>373</v>
      </c>
      <c r="V1071" s="4" t="s">
        <v>52</v>
      </c>
      <c r="W1071" s="4" t="s">
        <v>255</v>
      </c>
      <c r="X1071" s="4" t="s">
        <v>838</v>
      </c>
      <c r="Y1071" s="4"/>
      <c r="Z1071" s="12">
        <v>0</v>
      </c>
      <c r="AA1071" s="13" t="s">
        <v>9161</v>
      </c>
      <c r="AB1071" s="13" t="s">
        <v>9160</v>
      </c>
      <c r="AC1071" s="14" t="s">
        <v>9148</v>
      </c>
      <c r="AD1071" s="14" t="s">
        <v>9140</v>
      </c>
      <c r="AE1071" s="14" t="s">
        <v>9140</v>
      </c>
      <c r="AF1071" s="14" t="s">
        <v>52</v>
      </c>
      <c r="AG1071" s="14" t="s">
        <v>838</v>
      </c>
      <c r="AH1071" s="15" t="s">
        <v>9194</v>
      </c>
      <c r="AI1071" s="15" t="s">
        <v>9199</v>
      </c>
      <c r="AJ1071" s="15" t="s">
        <v>9143</v>
      </c>
      <c r="AK1071" s="15" t="s">
        <v>9194</v>
      </c>
      <c r="AL1071" s="15" t="s">
        <v>9199</v>
      </c>
      <c r="AM1071" s="16" t="s">
        <v>9194</v>
      </c>
      <c r="AN1071" s="16" t="s">
        <v>9200</v>
      </c>
    </row>
    <row r="1072" spans="1:40" x14ac:dyDescent="0.25">
      <c r="A1072" s="4" t="s">
        <v>2336</v>
      </c>
      <c r="B1072" s="4"/>
      <c r="C1072" s="4" t="s">
        <v>39</v>
      </c>
      <c r="D1072" s="4" t="s">
        <v>2326</v>
      </c>
      <c r="E1072" s="4" t="s">
        <v>2327</v>
      </c>
      <c r="F1072" s="10">
        <v>45411</v>
      </c>
      <c r="G1072" s="11">
        <v>0.72916666666666663</v>
      </c>
      <c r="H1072" s="4" t="s">
        <v>1939</v>
      </c>
      <c r="I1072" s="4" t="s">
        <v>2322</v>
      </c>
      <c r="J1072" s="4" t="s">
        <v>1037</v>
      </c>
      <c r="K1072" s="4" t="s">
        <v>2337</v>
      </c>
      <c r="L1072" s="4" t="s">
        <v>2338</v>
      </c>
      <c r="M1072" s="4" t="s">
        <v>46</v>
      </c>
      <c r="N1072" s="4"/>
      <c r="O1072" s="4" t="s">
        <v>47</v>
      </c>
      <c r="P1072" s="4" t="s">
        <v>48</v>
      </c>
      <c r="Q1072" s="4">
        <v>0</v>
      </c>
      <c r="R1072" s="4" t="b">
        <v>0</v>
      </c>
      <c r="S1072" s="4" t="s">
        <v>49</v>
      </c>
      <c r="T1072" s="4" t="s">
        <v>2339</v>
      </c>
      <c r="U1072" s="4" t="s">
        <v>71</v>
      </c>
      <c r="V1072" s="4" t="s">
        <v>72</v>
      </c>
      <c r="W1072" s="4" t="s">
        <v>73</v>
      </c>
      <c r="X1072" s="4" t="s">
        <v>54</v>
      </c>
      <c r="Y1072" s="4"/>
      <c r="Z1072" s="12">
        <v>0</v>
      </c>
      <c r="AA1072" s="13" t="s">
        <v>9161</v>
      </c>
      <c r="AB1072" s="13" t="s">
        <v>9160</v>
      </c>
      <c r="AC1072" s="14" t="s">
        <v>9139</v>
      </c>
      <c r="AD1072" s="14" t="s">
        <v>9140</v>
      </c>
      <c r="AE1072" s="14" t="s">
        <v>9140</v>
      </c>
      <c r="AF1072" s="14" t="s">
        <v>72</v>
      </c>
      <c r="AG1072" s="14" t="s">
        <v>54</v>
      </c>
      <c r="AH1072" s="15" t="s">
        <v>9194</v>
      </c>
      <c r="AI1072" s="15" t="s">
        <v>9175</v>
      </c>
      <c r="AJ1072" s="15" t="s">
        <v>9143</v>
      </c>
      <c r="AK1072" s="15" t="s">
        <v>9194</v>
      </c>
      <c r="AL1072" s="15" t="s">
        <v>9195</v>
      </c>
      <c r="AM1072" s="16" t="s">
        <v>9194</v>
      </c>
      <c r="AN1072" s="16" t="s">
        <v>9196</v>
      </c>
    </row>
    <row r="1073" spans="1:40" x14ac:dyDescent="0.25">
      <c r="A1073" s="4" t="s">
        <v>9020</v>
      </c>
      <c r="B1073" s="4"/>
      <c r="C1073" s="4" t="s">
        <v>39</v>
      </c>
      <c r="D1073" s="4" t="s">
        <v>8976</v>
      </c>
      <c r="E1073" s="4" t="s">
        <v>8977</v>
      </c>
      <c r="F1073" s="10">
        <v>45411</v>
      </c>
      <c r="G1073" s="11">
        <v>0.29166666666666669</v>
      </c>
      <c r="H1073" s="4" t="s">
        <v>4019</v>
      </c>
      <c r="I1073" s="4" t="s">
        <v>8971</v>
      </c>
      <c r="J1073" s="4" t="s">
        <v>8972</v>
      </c>
      <c r="K1073" s="4" t="s">
        <v>1461</v>
      </c>
      <c r="L1073" s="4" t="s">
        <v>9021</v>
      </c>
      <c r="M1073" s="4" t="s">
        <v>46</v>
      </c>
      <c r="N1073" s="4"/>
      <c r="O1073" s="4" t="s">
        <v>47</v>
      </c>
      <c r="P1073" s="4" t="s">
        <v>48</v>
      </c>
      <c r="Q1073" s="4">
        <v>0</v>
      </c>
      <c r="R1073" s="4" t="b">
        <v>0</v>
      </c>
      <c r="S1073" s="4" t="s">
        <v>114</v>
      </c>
      <c r="T1073" s="4" t="s">
        <v>70</v>
      </c>
      <c r="U1073" s="4" t="s">
        <v>71</v>
      </c>
      <c r="V1073" s="4" t="s">
        <v>63</v>
      </c>
      <c r="W1073" s="4" t="s">
        <v>4353</v>
      </c>
      <c r="X1073" s="4" t="s">
        <v>54</v>
      </c>
      <c r="Y1073" s="4" t="s">
        <v>211</v>
      </c>
      <c r="Z1073" s="12">
        <v>0</v>
      </c>
      <c r="AA1073" s="13" t="s">
        <v>9161</v>
      </c>
      <c r="AB1073" s="13" t="s">
        <v>9160</v>
      </c>
      <c r="AC1073" s="14" t="s">
        <v>9157</v>
      </c>
      <c r="AD1073" s="14" t="s">
        <v>9140</v>
      </c>
      <c r="AE1073" s="14" t="s">
        <v>9140</v>
      </c>
      <c r="AF1073" s="14" t="s">
        <v>63</v>
      </c>
      <c r="AG1073" s="14" t="s">
        <v>54</v>
      </c>
      <c r="AH1073" s="15" t="s">
        <v>9220</v>
      </c>
      <c r="AI1073" s="15" t="s">
        <v>9175</v>
      </c>
      <c r="AJ1073" s="15" t="s">
        <v>9181</v>
      </c>
      <c r="AK1073" s="15" t="s">
        <v>9182</v>
      </c>
      <c r="AL1073" s="15" t="s">
        <v>9182</v>
      </c>
      <c r="AM1073" s="16" t="s">
        <v>9182</v>
      </c>
      <c r="AN1073" s="16" t="s">
        <v>9182</v>
      </c>
    </row>
    <row r="1074" spans="1:40" x14ac:dyDescent="0.25">
      <c r="A1074" s="4" t="s">
        <v>7239</v>
      </c>
      <c r="B1074" s="4"/>
      <c r="C1074" s="4" t="s">
        <v>39</v>
      </c>
      <c r="D1074" s="4" t="s">
        <v>7240</v>
      </c>
      <c r="E1074" s="4" t="s">
        <v>7241</v>
      </c>
      <c r="F1074" s="10">
        <v>45411</v>
      </c>
      <c r="G1074" s="11">
        <v>0.58888888888888891</v>
      </c>
      <c r="H1074" s="4" t="s">
        <v>4659</v>
      </c>
      <c r="I1074" s="4" t="s">
        <v>7216</v>
      </c>
      <c r="J1074" s="4" t="s">
        <v>7217</v>
      </c>
      <c r="K1074" s="4" t="s">
        <v>7242</v>
      </c>
      <c r="L1074" s="4" t="s">
        <v>7243</v>
      </c>
      <c r="M1074" s="4" t="s">
        <v>46</v>
      </c>
      <c r="N1074" s="4"/>
      <c r="O1074" s="4" t="s">
        <v>47</v>
      </c>
      <c r="P1074" s="4" t="s">
        <v>48</v>
      </c>
      <c r="Q1074" s="4">
        <v>0</v>
      </c>
      <c r="R1074" s="4" t="b">
        <v>0</v>
      </c>
      <c r="S1074" s="4" t="s">
        <v>49</v>
      </c>
      <c r="T1074" s="4" t="s">
        <v>50</v>
      </c>
      <c r="U1074" s="4" t="s">
        <v>1081</v>
      </c>
      <c r="V1074" s="4" t="s">
        <v>63</v>
      </c>
      <c r="W1074" s="4" t="s">
        <v>108</v>
      </c>
      <c r="X1074" s="4" t="s">
        <v>98</v>
      </c>
      <c r="Y1074" s="4"/>
      <c r="Z1074" s="12">
        <v>0</v>
      </c>
      <c r="AA1074" s="13" t="s">
        <v>9161</v>
      </c>
      <c r="AB1074" s="13" t="s">
        <v>9160</v>
      </c>
      <c r="AC1074" s="14" t="s">
        <v>9139</v>
      </c>
      <c r="AD1074" s="14" t="s">
        <v>9140</v>
      </c>
      <c r="AE1074" s="14" t="s">
        <v>9140</v>
      </c>
      <c r="AF1074" s="14" t="s">
        <v>63</v>
      </c>
      <c r="AG1074" s="14" t="s">
        <v>98</v>
      </c>
      <c r="AH1074" s="15" t="s">
        <v>9220</v>
      </c>
      <c r="AI1074" s="15" t="s">
        <v>9142</v>
      </c>
      <c r="AJ1074" s="15" t="s">
        <v>9143</v>
      </c>
      <c r="AK1074" s="15" t="s">
        <v>9221</v>
      </c>
      <c r="AL1074" s="15" t="s">
        <v>9228</v>
      </c>
      <c r="AM1074" s="16" t="s">
        <v>9221</v>
      </c>
      <c r="AN1074" s="16" t="s">
        <v>9229</v>
      </c>
    </row>
    <row r="1075" spans="1:40" x14ac:dyDescent="0.25">
      <c r="A1075" s="4" t="s">
        <v>6488</v>
      </c>
      <c r="B1075" s="4"/>
      <c r="C1075" s="4" t="s">
        <v>39</v>
      </c>
      <c r="D1075" s="4" t="s">
        <v>6489</v>
      </c>
      <c r="E1075" s="4" t="s">
        <v>6490</v>
      </c>
      <c r="F1075" s="10">
        <v>45411</v>
      </c>
      <c r="G1075" s="11">
        <v>0.56180555555555556</v>
      </c>
      <c r="H1075" s="4" t="s">
        <v>4659</v>
      </c>
      <c r="I1075" s="4" t="s">
        <v>6491</v>
      </c>
      <c r="J1075" s="4" t="s">
        <v>6492</v>
      </c>
      <c r="K1075" s="4" t="s">
        <v>1391</v>
      </c>
      <c r="L1075" s="4" t="s">
        <v>6493</v>
      </c>
      <c r="M1075" s="4" t="s">
        <v>46</v>
      </c>
      <c r="N1075" s="4"/>
      <c r="O1075" s="4" t="s">
        <v>47</v>
      </c>
      <c r="P1075" s="4" t="s">
        <v>48</v>
      </c>
      <c r="Q1075" s="4">
        <v>0</v>
      </c>
      <c r="R1075" s="4" t="b">
        <v>0</v>
      </c>
      <c r="S1075" s="4" t="s">
        <v>61</v>
      </c>
      <c r="T1075" s="4" t="s">
        <v>89</v>
      </c>
      <c r="U1075" s="4" t="s">
        <v>148</v>
      </c>
      <c r="V1075" s="4" t="s">
        <v>52</v>
      </c>
      <c r="W1075" s="4" t="s">
        <v>53</v>
      </c>
      <c r="X1075" s="4" t="s">
        <v>98</v>
      </c>
      <c r="Y1075" s="4"/>
      <c r="Z1075" s="12">
        <v>0</v>
      </c>
      <c r="AA1075" s="13" t="s">
        <v>9161</v>
      </c>
      <c r="AB1075" s="13" t="s">
        <v>9160</v>
      </c>
      <c r="AC1075" s="14" t="s">
        <v>9148</v>
      </c>
      <c r="AD1075" s="14" t="s">
        <v>9140</v>
      </c>
      <c r="AE1075" s="14" t="s">
        <v>9140</v>
      </c>
      <c r="AF1075" s="14" t="s">
        <v>52</v>
      </c>
      <c r="AG1075" s="14" t="s">
        <v>98</v>
      </c>
      <c r="AH1075" s="15" t="s">
        <v>9220</v>
      </c>
      <c r="AI1075" s="15" t="s">
        <v>9142</v>
      </c>
      <c r="AJ1075" s="15" t="s">
        <v>9143</v>
      </c>
      <c r="AK1075" s="15" t="s">
        <v>9221</v>
      </c>
      <c r="AL1075" s="15" t="s">
        <v>9228</v>
      </c>
      <c r="AM1075" s="16" t="s">
        <v>9221</v>
      </c>
      <c r="AN1075" s="16" t="s">
        <v>9229</v>
      </c>
    </row>
    <row r="1076" spans="1:40" x14ac:dyDescent="0.25">
      <c r="A1076" s="4" t="s">
        <v>4745</v>
      </c>
      <c r="B1076" s="4"/>
      <c r="C1076" s="4" t="s">
        <v>39</v>
      </c>
      <c r="D1076" s="4" t="s">
        <v>4746</v>
      </c>
      <c r="E1076" s="4" t="s">
        <v>4747</v>
      </c>
      <c r="F1076" s="10">
        <v>45410</v>
      </c>
      <c r="G1076" s="11">
        <v>0.69444444444444442</v>
      </c>
      <c r="H1076" s="4" t="s">
        <v>4019</v>
      </c>
      <c r="I1076" s="4" t="s">
        <v>4713</v>
      </c>
      <c r="J1076" s="4" t="s">
        <v>4714</v>
      </c>
      <c r="K1076" s="4" t="s">
        <v>4748</v>
      </c>
      <c r="L1076" s="4" t="s">
        <v>4749</v>
      </c>
      <c r="M1076" s="4" t="s">
        <v>46</v>
      </c>
      <c r="N1076" s="4"/>
      <c r="O1076" s="4" t="s">
        <v>47</v>
      </c>
      <c r="P1076" s="4" t="s">
        <v>48</v>
      </c>
      <c r="Q1076" s="4">
        <v>0</v>
      </c>
      <c r="R1076" s="4" t="b">
        <v>0</v>
      </c>
      <c r="S1076" s="4" t="s">
        <v>61</v>
      </c>
      <c r="T1076" s="4" t="s">
        <v>50</v>
      </c>
      <c r="U1076" s="4" t="s">
        <v>140</v>
      </c>
      <c r="V1076" s="4" t="s">
        <v>63</v>
      </c>
      <c r="W1076" s="4" t="s">
        <v>198</v>
      </c>
      <c r="X1076" s="4" t="s">
        <v>98</v>
      </c>
      <c r="Y1076" s="4"/>
      <c r="Z1076" s="12">
        <v>0</v>
      </c>
      <c r="AA1076" s="13" t="s">
        <v>9161</v>
      </c>
      <c r="AB1076" s="13" t="s">
        <v>9160</v>
      </c>
      <c r="AC1076" s="14" t="s">
        <v>9148</v>
      </c>
      <c r="AD1076" s="14" t="s">
        <v>9140</v>
      </c>
      <c r="AE1076" s="14" t="s">
        <v>9140</v>
      </c>
      <c r="AF1076" s="14" t="s">
        <v>63</v>
      </c>
      <c r="AG1076" s="14" t="s">
        <v>98</v>
      </c>
      <c r="AH1076" s="15" t="s">
        <v>9220</v>
      </c>
      <c r="AI1076" s="15" t="s">
        <v>9175</v>
      </c>
      <c r="AJ1076" s="15" t="s">
        <v>9143</v>
      </c>
      <c r="AK1076" s="15" t="s">
        <v>9221</v>
      </c>
      <c r="AL1076" s="15" t="s">
        <v>9224</v>
      </c>
      <c r="AM1076" s="16" t="s">
        <v>9221</v>
      </c>
      <c r="AN1076" s="16" t="s">
        <v>9225</v>
      </c>
    </row>
    <row r="1077" spans="1:40" x14ac:dyDescent="0.25">
      <c r="A1077" s="4" t="s">
        <v>6624</v>
      </c>
      <c r="B1077" s="4"/>
      <c r="C1077" s="4" t="s">
        <v>39</v>
      </c>
      <c r="D1077" s="4" t="s">
        <v>6625</v>
      </c>
      <c r="E1077" s="4" t="s">
        <v>6626</v>
      </c>
      <c r="F1077" s="10">
        <v>45410</v>
      </c>
      <c r="G1077" s="11">
        <v>0.35486111111111113</v>
      </c>
      <c r="H1077" s="4" t="s">
        <v>4516</v>
      </c>
      <c r="I1077" s="4" t="s">
        <v>6599</v>
      </c>
      <c r="J1077" s="4" t="s">
        <v>6600</v>
      </c>
      <c r="K1077" s="4" t="s">
        <v>6627</v>
      </c>
      <c r="L1077" s="4" t="s">
        <v>6628</v>
      </c>
      <c r="M1077" s="4" t="s">
        <v>46</v>
      </c>
      <c r="N1077" s="4"/>
      <c r="O1077" s="4" t="s">
        <v>47</v>
      </c>
      <c r="P1077" s="4" t="s">
        <v>48</v>
      </c>
      <c r="Q1077" s="4">
        <v>0</v>
      </c>
      <c r="R1077" s="4" t="b">
        <v>0</v>
      </c>
      <c r="S1077" s="4" t="s">
        <v>114</v>
      </c>
      <c r="T1077" s="4" t="s">
        <v>70</v>
      </c>
      <c r="U1077" s="4" t="s">
        <v>71</v>
      </c>
      <c r="V1077" s="4" t="s">
        <v>63</v>
      </c>
      <c r="W1077" s="4" t="s">
        <v>198</v>
      </c>
      <c r="X1077" s="4" t="s">
        <v>54</v>
      </c>
      <c r="Y1077" s="4"/>
      <c r="Z1077" s="12">
        <v>0</v>
      </c>
      <c r="AA1077" s="13" t="s">
        <v>9161</v>
      </c>
      <c r="AB1077" s="13" t="s">
        <v>9160</v>
      </c>
      <c r="AC1077" s="14" t="s">
        <v>9157</v>
      </c>
      <c r="AD1077" s="14" t="s">
        <v>9140</v>
      </c>
      <c r="AE1077" s="14" t="s">
        <v>9140</v>
      </c>
      <c r="AF1077" s="14" t="s">
        <v>63</v>
      </c>
      <c r="AG1077" s="14" t="s">
        <v>54</v>
      </c>
      <c r="AH1077" s="15" t="s">
        <v>9220</v>
      </c>
      <c r="AI1077" s="15" t="s">
        <v>9188</v>
      </c>
      <c r="AJ1077" s="15" t="s">
        <v>9143</v>
      </c>
      <c r="AK1077" s="15" t="s">
        <v>9221</v>
      </c>
      <c r="AL1077" s="15" t="s">
        <v>9232</v>
      </c>
      <c r="AM1077" s="16" t="s">
        <v>9221</v>
      </c>
      <c r="AN1077" s="16" t="s">
        <v>9233</v>
      </c>
    </row>
    <row r="1078" spans="1:40" x14ac:dyDescent="0.25">
      <c r="A1078" s="4" t="s">
        <v>2988</v>
      </c>
      <c r="B1078" s="4"/>
      <c r="C1078" s="4" t="s">
        <v>39</v>
      </c>
      <c r="D1078" s="4" t="s">
        <v>2963</v>
      </c>
      <c r="E1078" s="4" t="s">
        <v>2964</v>
      </c>
      <c r="F1078" s="10">
        <v>45410</v>
      </c>
      <c r="G1078" s="11">
        <v>0.46180555555555558</v>
      </c>
      <c r="H1078" s="4" t="s">
        <v>1992</v>
      </c>
      <c r="I1078" s="4" t="s">
        <v>2955</v>
      </c>
      <c r="J1078" s="4" t="s">
        <v>2956</v>
      </c>
      <c r="K1078" s="4" t="s">
        <v>2989</v>
      </c>
      <c r="L1078" s="4" t="s">
        <v>2990</v>
      </c>
      <c r="M1078" s="4" t="s">
        <v>46</v>
      </c>
      <c r="N1078" s="4"/>
      <c r="O1078" s="4" t="s">
        <v>47</v>
      </c>
      <c r="P1078" s="4" t="s">
        <v>48</v>
      </c>
      <c r="Q1078" s="4">
        <v>0</v>
      </c>
      <c r="R1078" s="4" t="b">
        <v>0</v>
      </c>
      <c r="S1078" s="4" t="s">
        <v>49</v>
      </c>
      <c r="T1078" s="4" t="s">
        <v>50</v>
      </c>
      <c r="U1078" s="4" t="s">
        <v>71</v>
      </c>
      <c r="V1078" s="4" t="s">
        <v>52</v>
      </c>
      <c r="W1078" s="4" t="s">
        <v>255</v>
      </c>
      <c r="X1078" s="4" t="s">
        <v>98</v>
      </c>
      <c r="Y1078" s="4"/>
      <c r="Z1078" s="12">
        <v>0</v>
      </c>
      <c r="AA1078" s="13" t="s">
        <v>9161</v>
      </c>
      <c r="AB1078" s="13" t="s">
        <v>9160</v>
      </c>
      <c r="AC1078" s="14" t="s">
        <v>9139</v>
      </c>
      <c r="AD1078" s="14" t="s">
        <v>9140</v>
      </c>
      <c r="AE1078" s="14" t="s">
        <v>9140</v>
      </c>
      <c r="AF1078" s="14" t="s">
        <v>52</v>
      </c>
      <c r="AG1078" s="14" t="s">
        <v>98</v>
      </c>
      <c r="AH1078" s="15" t="s">
        <v>9194</v>
      </c>
      <c r="AI1078" s="15" t="s">
        <v>9191</v>
      </c>
      <c r="AJ1078" s="15" t="s">
        <v>9143</v>
      </c>
      <c r="AK1078" s="15" t="s">
        <v>9194</v>
      </c>
      <c r="AL1078" s="15" t="s">
        <v>9205</v>
      </c>
      <c r="AM1078" s="16" t="s">
        <v>9194</v>
      </c>
      <c r="AN1078" s="16" t="s">
        <v>9206</v>
      </c>
    </row>
    <row r="1079" spans="1:40" x14ac:dyDescent="0.25">
      <c r="A1079" s="4" t="s">
        <v>1871</v>
      </c>
      <c r="B1079" s="4"/>
      <c r="C1079" s="4" t="s">
        <v>39</v>
      </c>
      <c r="D1079" s="4" t="s">
        <v>1848</v>
      </c>
      <c r="E1079" s="4" t="s">
        <v>1849</v>
      </c>
      <c r="F1079" s="10">
        <v>45410</v>
      </c>
      <c r="G1079" s="11">
        <v>0.46944444444444444</v>
      </c>
      <c r="H1079" s="4" t="s">
        <v>1654</v>
      </c>
      <c r="I1079" s="4">
        <v>9097</v>
      </c>
      <c r="J1079" s="4" t="s">
        <v>1844</v>
      </c>
      <c r="K1079" s="4" t="s">
        <v>851</v>
      </c>
      <c r="L1079" s="4" t="s">
        <v>1872</v>
      </c>
      <c r="M1079" s="4" t="s">
        <v>46</v>
      </c>
      <c r="N1079" s="4"/>
      <c r="O1079" s="4" t="s">
        <v>47</v>
      </c>
      <c r="P1079" s="4" t="s">
        <v>48</v>
      </c>
      <c r="Q1079" s="4">
        <v>0</v>
      </c>
      <c r="R1079" s="4" t="b">
        <v>0</v>
      </c>
      <c r="S1079" s="4" t="s">
        <v>49</v>
      </c>
      <c r="T1079" s="4" t="s">
        <v>89</v>
      </c>
      <c r="U1079" s="4" t="s">
        <v>51</v>
      </c>
      <c r="V1079" s="4" t="s">
        <v>52</v>
      </c>
      <c r="W1079" s="4" t="s">
        <v>53</v>
      </c>
      <c r="X1079" s="4" t="s">
        <v>54</v>
      </c>
      <c r="Y1079" s="4"/>
      <c r="Z1079" s="12">
        <v>0</v>
      </c>
      <c r="AA1079" s="13" t="s">
        <v>9161</v>
      </c>
      <c r="AB1079" s="13" t="s">
        <v>9160</v>
      </c>
      <c r="AC1079" s="14" t="s">
        <v>9139</v>
      </c>
      <c r="AD1079" s="14" t="s">
        <v>9140</v>
      </c>
      <c r="AE1079" s="14" t="s">
        <v>9140</v>
      </c>
      <c r="AF1079" s="14" t="s">
        <v>52</v>
      </c>
      <c r="AG1079" s="14" t="s">
        <v>54</v>
      </c>
      <c r="AH1079" s="15" t="s">
        <v>9141</v>
      </c>
      <c r="AI1079" s="15" t="s">
        <v>9191</v>
      </c>
      <c r="AJ1079" s="15" t="s">
        <v>9143</v>
      </c>
      <c r="AK1079" s="15" t="s">
        <v>9141</v>
      </c>
      <c r="AL1079" s="15" t="s">
        <v>9191</v>
      </c>
      <c r="AM1079" s="16" t="s">
        <v>9141</v>
      </c>
      <c r="AN1079" s="16" t="s">
        <v>9192</v>
      </c>
    </row>
    <row r="1080" spans="1:40" x14ac:dyDescent="0.25">
      <c r="A1080" s="4" t="s">
        <v>2528</v>
      </c>
      <c r="B1080" s="4"/>
      <c r="C1080" s="4" t="s">
        <v>39</v>
      </c>
      <c r="D1080" s="4" t="s">
        <v>2529</v>
      </c>
      <c r="E1080" s="4" t="s">
        <v>2530</v>
      </c>
      <c r="F1080" s="10">
        <v>45409</v>
      </c>
      <c r="G1080" s="11">
        <v>0.65277777777777779</v>
      </c>
      <c r="H1080" s="4" t="s">
        <v>1992</v>
      </c>
      <c r="I1080" s="4" t="s">
        <v>2520</v>
      </c>
      <c r="J1080" s="4" t="s">
        <v>2521</v>
      </c>
      <c r="K1080" s="4" t="s">
        <v>2531</v>
      </c>
      <c r="L1080" s="4" t="s">
        <v>2532</v>
      </c>
      <c r="M1080" s="4" t="s">
        <v>46</v>
      </c>
      <c r="N1080" s="4"/>
      <c r="O1080" s="4" t="s">
        <v>47</v>
      </c>
      <c r="P1080" s="4" t="s">
        <v>48</v>
      </c>
      <c r="Q1080" s="4">
        <v>0</v>
      </c>
      <c r="R1080" s="4" t="b">
        <v>0</v>
      </c>
      <c r="S1080" s="4" t="s">
        <v>49</v>
      </c>
      <c r="T1080" s="4" t="s">
        <v>70</v>
      </c>
      <c r="U1080" s="4" t="s">
        <v>71</v>
      </c>
      <c r="V1080" s="4" t="s">
        <v>63</v>
      </c>
      <c r="W1080" s="4" t="s">
        <v>198</v>
      </c>
      <c r="X1080" s="4" t="s">
        <v>98</v>
      </c>
      <c r="Y1080" s="4"/>
      <c r="Z1080" s="12">
        <v>0</v>
      </c>
      <c r="AA1080" s="13" t="s">
        <v>9161</v>
      </c>
      <c r="AB1080" s="13" t="s">
        <v>9160</v>
      </c>
      <c r="AC1080" s="14" t="s">
        <v>9139</v>
      </c>
      <c r="AD1080" s="14" t="s">
        <v>9140</v>
      </c>
      <c r="AE1080" s="14" t="s">
        <v>9140</v>
      </c>
      <c r="AF1080" s="14" t="s">
        <v>63</v>
      </c>
      <c r="AG1080" s="14" t="s">
        <v>98</v>
      </c>
      <c r="AH1080" s="15" t="s">
        <v>9194</v>
      </c>
      <c r="AI1080" s="15" t="s">
        <v>9191</v>
      </c>
      <c r="AJ1080" s="15" t="s">
        <v>9143</v>
      </c>
      <c r="AK1080" s="15" t="s">
        <v>9194</v>
      </c>
      <c r="AL1080" s="15" t="s">
        <v>9201</v>
      </c>
      <c r="AM1080" s="16" t="s">
        <v>9194</v>
      </c>
      <c r="AN1080" s="16" t="s">
        <v>9202</v>
      </c>
    </row>
    <row r="1081" spans="1:40" x14ac:dyDescent="0.25">
      <c r="A1081" s="4" t="s">
        <v>7817</v>
      </c>
      <c r="B1081" s="4"/>
      <c r="C1081" s="4" t="s">
        <v>39</v>
      </c>
      <c r="D1081" s="4" t="s">
        <v>7818</v>
      </c>
      <c r="E1081" s="4" t="s">
        <v>7819</v>
      </c>
      <c r="F1081" s="10">
        <v>45409</v>
      </c>
      <c r="G1081" s="11">
        <v>0.55555555555555558</v>
      </c>
      <c r="H1081" s="4" t="s">
        <v>5666</v>
      </c>
      <c r="I1081" s="4" t="s">
        <v>7793</v>
      </c>
      <c r="J1081" s="4" t="s">
        <v>7794</v>
      </c>
      <c r="K1081" s="4" t="s">
        <v>7820</v>
      </c>
      <c r="L1081" s="4" t="s">
        <v>7821</v>
      </c>
      <c r="M1081" s="4" t="s">
        <v>46</v>
      </c>
      <c r="N1081" s="4"/>
      <c r="O1081" s="4" t="s">
        <v>47</v>
      </c>
      <c r="P1081" s="4" t="s">
        <v>48</v>
      </c>
      <c r="Q1081" s="4">
        <v>0</v>
      </c>
      <c r="R1081" s="4" t="b">
        <v>0</v>
      </c>
      <c r="S1081" s="4" t="s">
        <v>49</v>
      </c>
      <c r="T1081" s="4" t="s">
        <v>70</v>
      </c>
      <c r="U1081" s="4" t="s">
        <v>71</v>
      </c>
      <c r="V1081" s="4" t="s">
        <v>72</v>
      </c>
      <c r="W1081" s="4" t="s">
        <v>73</v>
      </c>
      <c r="X1081" s="4" t="s">
        <v>54</v>
      </c>
      <c r="Y1081" s="4"/>
      <c r="Z1081" s="12">
        <v>0</v>
      </c>
      <c r="AA1081" s="13" t="s">
        <v>9161</v>
      </c>
      <c r="AB1081" s="13" t="s">
        <v>9160</v>
      </c>
      <c r="AC1081" s="14" t="s">
        <v>9139</v>
      </c>
      <c r="AD1081" s="14" t="s">
        <v>9140</v>
      </c>
      <c r="AE1081" s="14" t="s">
        <v>9140</v>
      </c>
      <c r="AF1081" s="14" t="s">
        <v>72</v>
      </c>
      <c r="AG1081" s="14" t="s">
        <v>54</v>
      </c>
      <c r="AH1081" s="15" t="s">
        <v>9220</v>
      </c>
      <c r="AI1081" s="15" t="s">
        <v>9199</v>
      </c>
      <c r="AJ1081" s="15" t="s">
        <v>9143</v>
      </c>
      <c r="AK1081" s="15" t="s">
        <v>9221</v>
      </c>
      <c r="AL1081" s="15" t="s">
        <v>9199</v>
      </c>
      <c r="AM1081" s="16" t="s">
        <v>9221</v>
      </c>
      <c r="AN1081" s="16" t="s">
        <v>9238</v>
      </c>
    </row>
    <row r="1082" spans="1:40" x14ac:dyDescent="0.25">
      <c r="A1082" s="4" t="s">
        <v>5380</v>
      </c>
      <c r="B1082" s="4"/>
      <c r="C1082" s="4" t="s">
        <v>39</v>
      </c>
      <c r="D1082" s="4" t="s">
        <v>5381</v>
      </c>
      <c r="E1082" s="4" t="s">
        <v>5382</v>
      </c>
      <c r="F1082" s="10">
        <v>45409</v>
      </c>
      <c r="G1082" s="11">
        <v>0.60416666666666663</v>
      </c>
      <c r="H1082" s="4" t="s">
        <v>4910</v>
      </c>
      <c r="I1082" s="4" t="s">
        <v>5360</v>
      </c>
      <c r="J1082" s="4" t="s">
        <v>2062</v>
      </c>
      <c r="K1082" s="4" t="s">
        <v>5383</v>
      </c>
      <c r="L1082" s="4" t="s">
        <v>5384</v>
      </c>
      <c r="M1082" s="4" t="s">
        <v>46</v>
      </c>
      <c r="N1082" s="4"/>
      <c r="O1082" s="4" t="s">
        <v>47</v>
      </c>
      <c r="P1082" s="4" t="s">
        <v>48</v>
      </c>
      <c r="Q1082" s="4">
        <v>0</v>
      </c>
      <c r="R1082" s="4" t="b">
        <v>0</v>
      </c>
      <c r="S1082" s="4" t="s">
        <v>49</v>
      </c>
      <c r="T1082" s="4" t="s">
        <v>50</v>
      </c>
      <c r="U1082" s="4" t="s">
        <v>345</v>
      </c>
      <c r="V1082" s="4" t="s">
        <v>63</v>
      </c>
      <c r="W1082" s="4" t="s">
        <v>108</v>
      </c>
      <c r="X1082" s="4" t="s">
        <v>98</v>
      </c>
      <c r="Y1082" s="4"/>
      <c r="Z1082" s="12">
        <v>0</v>
      </c>
      <c r="AA1082" s="13" t="s">
        <v>9161</v>
      </c>
      <c r="AB1082" s="13" t="s">
        <v>9160</v>
      </c>
      <c r="AC1082" s="14" t="s">
        <v>9139</v>
      </c>
      <c r="AD1082" s="14" t="s">
        <v>9140</v>
      </c>
      <c r="AE1082" s="14" t="s">
        <v>9140</v>
      </c>
      <c r="AF1082" s="14" t="s">
        <v>63</v>
      </c>
      <c r="AG1082" s="14" t="s">
        <v>98</v>
      </c>
      <c r="AH1082" s="15" t="s">
        <v>9220</v>
      </c>
      <c r="AI1082" s="15" t="s">
        <v>9191</v>
      </c>
      <c r="AJ1082" s="15" t="s">
        <v>9143</v>
      </c>
      <c r="AK1082" s="15" t="s">
        <v>9221</v>
      </c>
      <c r="AL1082" s="15" t="s">
        <v>9234</v>
      </c>
      <c r="AM1082" s="16" t="s">
        <v>9221</v>
      </c>
      <c r="AN1082" s="16" t="s">
        <v>9235</v>
      </c>
    </row>
    <row r="1083" spans="1:40" x14ac:dyDescent="0.25">
      <c r="A1083" s="4" t="s">
        <v>6807</v>
      </c>
      <c r="B1083" s="4"/>
      <c r="C1083" s="4" t="s">
        <v>39</v>
      </c>
      <c r="D1083" s="4" t="s">
        <v>6808</v>
      </c>
      <c r="E1083" s="4" t="s">
        <v>6809</v>
      </c>
      <c r="F1083" s="10">
        <v>45408</v>
      </c>
      <c r="G1083" s="11">
        <v>0.71875</v>
      </c>
      <c r="H1083" s="4" t="s">
        <v>4910</v>
      </c>
      <c r="I1083" s="4" t="s">
        <v>6800</v>
      </c>
      <c r="J1083" s="4" t="s">
        <v>2914</v>
      </c>
      <c r="K1083" s="4" t="s">
        <v>6810</v>
      </c>
      <c r="L1083" s="4" t="s">
        <v>6811</v>
      </c>
      <c r="M1083" s="4" t="s">
        <v>46</v>
      </c>
      <c r="N1083" s="4"/>
      <c r="O1083" s="4" t="s">
        <v>47</v>
      </c>
      <c r="P1083" s="4" t="s">
        <v>48</v>
      </c>
      <c r="Q1083" s="4">
        <v>0</v>
      </c>
      <c r="R1083" s="4" t="b">
        <v>0</v>
      </c>
      <c r="S1083" s="4" t="s">
        <v>61</v>
      </c>
      <c r="T1083" s="4" t="s">
        <v>50</v>
      </c>
      <c r="U1083" s="4" t="s">
        <v>1081</v>
      </c>
      <c r="V1083" s="4" t="s">
        <v>63</v>
      </c>
      <c r="W1083" s="4" t="s">
        <v>64</v>
      </c>
      <c r="X1083" s="4" t="s">
        <v>54</v>
      </c>
      <c r="Y1083" s="4"/>
      <c r="Z1083" s="12">
        <v>0</v>
      </c>
      <c r="AA1083" s="13" t="s">
        <v>9161</v>
      </c>
      <c r="AB1083" s="13" t="s">
        <v>9160</v>
      </c>
      <c r="AC1083" s="14" t="s">
        <v>9148</v>
      </c>
      <c r="AD1083" s="14" t="s">
        <v>9140</v>
      </c>
      <c r="AE1083" s="14" t="s">
        <v>9140</v>
      </c>
      <c r="AF1083" s="14" t="s">
        <v>63</v>
      </c>
      <c r="AG1083" s="14" t="s">
        <v>54</v>
      </c>
      <c r="AH1083" s="15" t="s">
        <v>9220</v>
      </c>
      <c r="AI1083" s="15" t="s">
        <v>9191</v>
      </c>
      <c r="AJ1083" s="15" t="s">
        <v>9143</v>
      </c>
      <c r="AK1083" s="15" t="s">
        <v>9221</v>
      </c>
      <c r="AL1083" s="15" t="s">
        <v>9234</v>
      </c>
      <c r="AM1083" s="16" t="s">
        <v>9221</v>
      </c>
      <c r="AN1083" s="16" t="s">
        <v>9235</v>
      </c>
    </row>
    <row r="1084" spans="1:40" x14ac:dyDescent="0.25">
      <c r="A1084" s="4" t="s">
        <v>5042</v>
      </c>
      <c r="B1084" s="4"/>
      <c r="C1084" s="4" t="s">
        <v>39</v>
      </c>
      <c r="D1084" s="4" t="s">
        <v>5043</v>
      </c>
      <c r="E1084" s="4" t="s">
        <v>5044</v>
      </c>
      <c r="F1084" s="10">
        <v>45408</v>
      </c>
      <c r="G1084" s="11">
        <v>0.3125</v>
      </c>
      <c r="H1084" s="4" t="s">
        <v>4516</v>
      </c>
      <c r="I1084" s="4" t="s">
        <v>4969</v>
      </c>
      <c r="J1084" s="4" t="s">
        <v>3453</v>
      </c>
      <c r="K1084" s="4" t="s">
        <v>3729</v>
      </c>
      <c r="L1084" s="4" t="s">
        <v>5045</v>
      </c>
      <c r="M1084" s="4" t="s">
        <v>46</v>
      </c>
      <c r="N1084" s="4"/>
      <c r="O1084" s="4" t="s">
        <v>47</v>
      </c>
      <c r="P1084" s="4" t="s">
        <v>48</v>
      </c>
      <c r="Q1084" s="4">
        <v>0</v>
      </c>
      <c r="R1084" s="4" t="b">
        <v>0</v>
      </c>
      <c r="S1084" s="4" t="s">
        <v>61</v>
      </c>
      <c r="T1084" s="4" t="s">
        <v>50</v>
      </c>
      <c r="U1084" s="4" t="s">
        <v>90</v>
      </c>
      <c r="V1084" s="4" t="s">
        <v>63</v>
      </c>
      <c r="W1084" s="4" t="s">
        <v>108</v>
      </c>
      <c r="X1084" s="4" t="s">
        <v>98</v>
      </c>
      <c r="Y1084" s="4"/>
      <c r="Z1084" s="12">
        <v>0</v>
      </c>
      <c r="AA1084" s="13" t="s">
        <v>9161</v>
      </c>
      <c r="AB1084" s="13" t="s">
        <v>9160</v>
      </c>
      <c r="AC1084" s="14" t="s">
        <v>9148</v>
      </c>
      <c r="AD1084" s="14" t="s">
        <v>9140</v>
      </c>
      <c r="AE1084" s="14" t="s">
        <v>9140</v>
      </c>
      <c r="AF1084" s="14" t="s">
        <v>63</v>
      </c>
      <c r="AG1084" s="14" t="s">
        <v>98</v>
      </c>
      <c r="AH1084" s="15" t="s">
        <v>9220</v>
      </c>
      <c r="AI1084" s="15" t="s">
        <v>9188</v>
      </c>
      <c r="AJ1084" s="15" t="s">
        <v>9143</v>
      </c>
      <c r="AK1084" s="15" t="s">
        <v>9221</v>
      </c>
      <c r="AL1084" s="15" t="s">
        <v>9230</v>
      </c>
      <c r="AM1084" s="16" t="s">
        <v>9221</v>
      </c>
      <c r="AN1084" s="16" t="s">
        <v>9231</v>
      </c>
    </row>
    <row r="1085" spans="1:40" x14ac:dyDescent="0.25">
      <c r="A1085" s="4" t="s">
        <v>4393</v>
      </c>
      <c r="B1085" s="4"/>
      <c r="C1085" s="4" t="s">
        <v>39</v>
      </c>
      <c r="D1085" s="4" t="s">
        <v>4394</v>
      </c>
      <c r="E1085" s="4" t="s">
        <v>4395</v>
      </c>
      <c r="F1085" s="10">
        <v>45408</v>
      </c>
      <c r="G1085" s="11">
        <v>0.51388888888888884</v>
      </c>
      <c r="H1085" s="4" t="s">
        <v>4019</v>
      </c>
      <c r="I1085" s="4" t="s">
        <v>4304</v>
      </c>
      <c r="J1085" s="4" t="s">
        <v>1941</v>
      </c>
      <c r="K1085" s="4" t="s">
        <v>4396</v>
      </c>
      <c r="L1085" s="4" t="s">
        <v>4397</v>
      </c>
      <c r="M1085" s="4" t="s">
        <v>46</v>
      </c>
      <c r="N1085" s="4"/>
      <c r="O1085" s="4" t="s">
        <v>47</v>
      </c>
      <c r="P1085" s="4" t="s">
        <v>48</v>
      </c>
      <c r="Q1085" s="4">
        <v>0</v>
      </c>
      <c r="R1085" s="4" t="b">
        <v>0</v>
      </c>
      <c r="S1085" s="4" t="s">
        <v>61</v>
      </c>
      <c r="T1085" s="4" t="s">
        <v>89</v>
      </c>
      <c r="U1085" s="4" t="s">
        <v>175</v>
      </c>
      <c r="V1085" s="4" t="s">
        <v>63</v>
      </c>
      <c r="W1085" s="4" t="s">
        <v>108</v>
      </c>
      <c r="X1085" s="4" t="s">
        <v>98</v>
      </c>
      <c r="Y1085" s="4"/>
      <c r="Z1085" s="12">
        <v>0</v>
      </c>
      <c r="AA1085" s="13" t="s">
        <v>9161</v>
      </c>
      <c r="AB1085" s="13" t="s">
        <v>9160</v>
      </c>
      <c r="AC1085" s="14" t="s">
        <v>9148</v>
      </c>
      <c r="AD1085" s="14" t="s">
        <v>9140</v>
      </c>
      <c r="AE1085" s="14" t="s">
        <v>9140</v>
      </c>
      <c r="AF1085" s="14" t="s">
        <v>63</v>
      </c>
      <c r="AG1085" s="14" t="s">
        <v>98</v>
      </c>
      <c r="AH1085" s="15" t="s">
        <v>9220</v>
      </c>
      <c r="AI1085" s="15" t="s">
        <v>9175</v>
      </c>
      <c r="AJ1085" s="15" t="s">
        <v>9143</v>
      </c>
      <c r="AK1085" s="15" t="s">
        <v>9221</v>
      </c>
      <c r="AL1085" s="15" t="s">
        <v>9222</v>
      </c>
      <c r="AM1085" s="16" t="s">
        <v>9221</v>
      </c>
      <c r="AN1085" s="16" t="s">
        <v>9223</v>
      </c>
    </row>
    <row r="1086" spans="1:40" x14ac:dyDescent="0.25">
      <c r="A1086" s="4" t="s">
        <v>1001</v>
      </c>
      <c r="B1086" s="4"/>
      <c r="C1086" s="4" t="s">
        <v>39</v>
      </c>
      <c r="D1086" s="4" t="s">
        <v>1002</v>
      </c>
      <c r="E1086" s="4" t="s">
        <v>1003</v>
      </c>
      <c r="F1086" s="10">
        <v>45408</v>
      </c>
      <c r="G1086" s="11">
        <v>0.5</v>
      </c>
      <c r="H1086" s="4" t="s">
        <v>463</v>
      </c>
      <c r="I1086" s="4">
        <v>2039</v>
      </c>
      <c r="J1086" s="4" t="s">
        <v>988</v>
      </c>
      <c r="K1086" s="4" t="s">
        <v>1004</v>
      </c>
      <c r="L1086" s="4" t="s">
        <v>1005</v>
      </c>
      <c r="M1086" s="4" t="s">
        <v>46</v>
      </c>
      <c r="N1086" s="4"/>
      <c r="O1086" s="4" t="s">
        <v>47</v>
      </c>
      <c r="P1086" s="4" t="s">
        <v>48</v>
      </c>
      <c r="Q1086" s="4">
        <v>0</v>
      </c>
      <c r="R1086" s="4" t="b">
        <v>0</v>
      </c>
      <c r="S1086" s="4" t="s">
        <v>61</v>
      </c>
      <c r="T1086" s="4" t="s">
        <v>50</v>
      </c>
      <c r="U1086" s="4" t="s">
        <v>224</v>
      </c>
      <c r="V1086" s="4" t="s">
        <v>63</v>
      </c>
      <c r="W1086" s="4" t="s">
        <v>108</v>
      </c>
      <c r="X1086" s="4" t="s">
        <v>98</v>
      </c>
      <c r="Y1086" s="4"/>
      <c r="Z1086" s="12">
        <v>0</v>
      </c>
      <c r="AA1086" s="13" t="s">
        <v>9161</v>
      </c>
      <c r="AB1086" s="13" t="s">
        <v>9160</v>
      </c>
      <c r="AC1086" s="14" t="s">
        <v>9148</v>
      </c>
      <c r="AD1086" s="14" t="s">
        <v>9140</v>
      </c>
      <c r="AE1086" s="14" t="s">
        <v>9140</v>
      </c>
      <c r="AF1086" s="14" t="s">
        <v>63</v>
      </c>
      <c r="AG1086" s="14" t="s">
        <v>98</v>
      </c>
      <c r="AH1086" s="15" t="s">
        <v>9141</v>
      </c>
      <c r="AI1086" s="15" t="s">
        <v>9175</v>
      </c>
      <c r="AJ1086" s="15" t="s">
        <v>9143</v>
      </c>
      <c r="AK1086" s="15" t="s">
        <v>9141</v>
      </c>
      <c r="AL1086" s="15" t="s">
        <v>9175</v>
      </c>
      <c r="AM1086" s="16" t="s">
        <v>9141</v>
      </c>
      <c r="AN1086" s="16" t="s">
        <v>9176</v>
      </c>
    </row>
    <row r="1087" spans="1:40" x14ac:dyDescent="0.25">
      <c r="A1087" s="4" t="s">
        <v>2113</v>
      </c>
      <c r="B1087" s="4"/>
      <c r="C1087" s="4" t="s">
        <v>39</v>
      </c>
      <c r="D1087" s="4" t="s">
        <v>2114</v>
      </c>
      <c r="E1087" s="4" t="s">
        <v>2115</v>
      </c>
      <c r="F1087" s="10">
        <v>45407</v>
      </c>
      <c r="G1087" s="11">
        <v>0.73611111111111116</v>
      </c>
      <c r="H1087" s="4" t="s">
        <v>2095</v>
      </c>
      <c r="I1087" s="4" t="s">
        <v>2096</v>
      </c>
      <c r="J1087" s="4" t="s">
        <v>2097</v>
      </c>
      <c r="K1087" s="4" t="s">
        <v>2116</v>
      </c>
      <c r="L1087" s="4" t="s">
        <v>2117</v>
      </c>
      <c r="M1087" s="4" t="s">
        <v>46</v>
      </c>
      <c r="N1087" s="4"/>
      <c r="O1087" s="4" t="s">
        <v>47</v>
      </c>
      <c r="P1087" s="4" t="s">
        <v>48</v>
      </c>
      <c r="Q1087" s="4">
        <v>0</v>
      </c>
      <c r="R1087" s="4" t="b">
        <v>0</v>
      </c>
      <c r="S1087" s="4" t="s">
        <v>49</v>
      </c>
      <c r="T1087" s="4" t="s">
        <v>70</v>
      </c>
      <c r="U1087" s="4" t="s">
        <v>71</v>
      </c>
      <c r="V1087" s="4" t="s">
        <v>72</v>
      </c>
      <c r="W1087" s="4" t="s">
        <v>73</v>
      </c>
      <c r="X1087" s="4" t="s">
        <v>54</v>
      </c>
      <c r="Y1087" s="4"/>
      <c r="Z1087" s="12">
        <v>0</v>
      </c>
      <c r="AA1087" s="13" t="s">
        <v>9161</v>
      </c>
      <c r="AB1087" s="13" t="s">
        <v>9160</v>
      </c>
      <c r="AC1087" s="14" t="s">
        <v>9139</v>
      </c>
      <c r="AD1087" s="14" t="s">
        <v>9140</v>
      </c>
      <c r="AE1087" s="14" t="s">
        <v>9140</v>
      </c>
      <c r="AF1087" s="14" t="s">
        <v>72</v>
      </c>
      <c r="AG1087" s="14" t="s">
        <v>54</v>
      </c>
      <c r="AH1087" s="15" t="s">
        <v>9194</v>
      </c>
      <c r="AI1087" s="15" t="s">
        <v>9188</v>
      </c>
      <c r="AJ1087" s="15" t="s">
        <v>9143</v>
      </c>
      <c r="AK1087" s="15" t="s">
        <v>9194</v>
      </c>
      <c r="AL1087" s="15" t="s">
        <v>9203</v>
      </c>
      <c r="AM1087" s="16" t="s">
        <v>9194</v>
      </c>
      <c r="AN1087" s="16" t="s">
        <v>9204</v>
      </c>
    </row>
    <row r="1088" spans="1:40" x14ac:dyDescent="0.25">
      <c r="A1088" s="4" t="s">
        <v>4167</v>
      </c>
      <c r="B1088" s="4"/>
      <c r="C1088" s="4" t="s">
        <v>39</v>
      </c>
      <c r="D1088" s="4" t="s">
        <v>4168</v>
      </c>
      <c r="E1088" s="4" t="s">
        <v>4169</v>
      </c>
      <c r="F1088" s="10">
        <v>45407</v>
      </c>
      <c r="G1088" s="11">
        <v>0.625</v>
      </c>
      <c r="H1088" s="4" t="s">
        <v>4019</v>
      </c>
      <c r="I1088" s="4" t="s">
        <v>4149</v>
      </c>
      <c r="J1088" s="4" t="s">
        <v>559</v>
      </c>
      <c r="K1088" s="4" t="s">
        <v>4170</v>
      </c>
      <c r="L1088" s="4" t="s">
        <v>4171</v>
      </c>
      <c r="M1088" s="4" t="s">
        <v>46</v>
      </c>
      <c r="N1088" s="4"/>
      <c r="O1088" s="4" t="s">
        <v>47</v>
      </c>
      <c r="P1088" s="4" t="s">
        <v>48</v>
      </c>
      <c r="Q1088" s="4">
        <v>0</v>
      </c>
      <c r="R1088" s="4" t="b">
        <v>0</v>
      </c>
      <c r="S1088" s="4" t="s">
        <v>61</v>
      </c>
      <c r="T1088" s="4" t="s">
        <v>134</v>
      </c>
      <c r="U1088" s="4" t="s">
        <v>2432</v>
      </c>
      <c r="V1088" s="4" t="s">
        <v>63</v>
      </c>
      <c r="W1088" s="4" t="s">
        <v>108</v>
      </c>
      <c r="X1088" s="4" t="s">
        <v>98</v>
      </c>
      <c r="Y1088" s="4"/>
      <c r="Z1088" s="12">
        <v>0</v>
      </c>
      <c r="AA1088" s="13" t="s">
        <v>9161</v>
      </c>
      <c r="AB1088" s="13" t="s">
        <v>9160</v>
      </c>
      <c r="AC1088" s="14" t="s">
        <v>9148</v>
      </c>
      <c r="AD1088" s="14" t="s">
        <v>9140</v>
      </c>
      <c r="AE1088" s="14" t="s">
        <v>9140</v>
      </c>
      <c r="AF1088" s="14" t="s">
        <v>63</v>
      </c>
      <c r="AG1088" s="14" t="s">
        <v>98</v>
      </c>
      <c r="AH1088" s="15" t="s">
        <v>9220</v>
      </c>
      <c r="AI1088" s="15" t="s">
        <v>9175</v>
      </c>
      <c r="AJ1088" s="15" t="s">
        <v>9143</v>
      </c>
      <c r="AK1088" s="15" t="s">
        <v>9221</v>
      </c>
      <c r="AL1088" s="15" t="s">
        <v>9224</v>
      </c>
      <c r="AM1088" s="16" t="s">
        <v>9221</v>
      </c>
      <c r="AN1088" s="16" t="s">
        <v>9225</v>
      </c>
    </row>
    <row r="1089" spans="1:40" x14ac:dyDescent="0.25">
      <c r="A1089" s="4" t="s">
        <v>2611</v>
      </c>
      <c r="B1089" s="4"/>
      <c r="C1089" s="4" t="s">
        <v>39</v>
      </c>
      <c r="D1089" s="4" t="s">
        <v>2612</v>
      </c>
      <c r="E1089" s="4" t="s">
        <v>2613</v>
      </c>
      <c r="F1089" s="10">
        <v>45406</v>
      </c>
      <c r="G1089" s="11">
        <v>0.54861111111111116</v>
      </c>
      <c r="H1089" s="4" t="s">
        <v>2017</v>
      </c>
      <c r="I1089" s="4" t="s">
        <v>2597</v>
      </c>
      <c r="J1089" s="4" t="s">
        <v>2598</v>
      </c>
      <c r="K1089" s="4" t="s">
        <v>2614</v>
      </c>
      <c r="L1089" s="4" t="s">
        <v>2615</v>
      </c>
      <c r="M1089" s="4" t="s">
        <v>46</v>
      </c>
      <c r="N1089" s="4"/>
      <c r="O1089" s="4" t="s">
        <v>47</v>
      </c>
      <c r="P1089" s="4" t="s">
        <v>48</v>
      </c>
      <c r="Q1089" s="4">
        <v>0</v>
      </c>
      <c r="R1089" s="4" t="b">
        <v>0</v>
      </c>
      <c r="S1089" s="4" t="s">
        <v>49</v>
      </c>
      <c r="T1089" s="4" t="s">
        <v>50</v>
      </c>
      <c r="U1089" s="4" t="s">
        <v>90</v>
      </c>
      <c r="V1089" s="4" t="s">
        <v>63</v>
      </c>
      <c r="W1089" s="4" t="s">
        <v>108</v>
      </c>
      <c r="X1089" s="4" t="s">
        <v>98</v>
      </c>
      <c r="Y1089" s="4"/>
      <c r="Z1089" s="12">
        <v>0</v>
      </c>
      <c r="AA1089" s="13" t="s">
        <v>9161</v>
      </c>
      <c r="AB1089" s="13" t="s">
        <v>9160</v>
      </c>
      <c r="AC1089" s="14" t="s">
        <v>9139</v>
      </c>
      <c r="AD1089" s="14" t="s">
        <v>9140</v>
      </c>
      <c r="AE1089" s="14" t="s">
        <v>9140</v>
      </c>
      <c r="AF1089" s="14" t="s">
        <v>63</v>
      </c>
      <c r="AG1089" s="14" t="s">
        <v>98</v>
      </c>
      <c r="AH1089" s="15" t="s">
        <v>9194</v>
      </c>
      <c r="AI1089" s="15" t="s">
        <v>9199</v>
      </c>
      <c r="AJ1089" s="15" t="s">
        <v>9143</v>
      </c>
      <c r="AK1089" s="15" t="s">
        <v>9194</v>
      </c>
      <c r="AL1089" s="15" t="s">
        <v>9199</v>
      </c>
      <c r="AM1089" s="16" t="s">
        <v>9194</v>
      </c>
      <c r="AN1089" s="16" t="s">
        <v>9200</v>
      </c>
    </row>
    <row r="1090" spans="1:40" x14ac:dyDescent="0.25">
      <c r="A1090" s="4" t="s">
        <v>2899</v>
      </c>
      <c r="B1090" s="4"/>
      <c r="C1090" s="4" t="s">
        <v>39</v>
      </c>
      <c r="D1090" s="4" t="s">
        <v>2900</v>
      </c>
      <c r="E1090" s="4" t="s">
        <v>2901</v>
      </c>
      <c r="F1090" s="10">
        <v>45406</v>
      </c>
      <c r="G1090" s="11">
        <v>0.60416666666666663</v>
      </c>
      <c r="H1090" s="4" t="s">
        <v>1939</v>
      </c>
      <c r="I1090" s="4" t="s">
        <v>2902</v>
      </c>
      <c r="J1090" s="4" t="s">
        <v>513</v>
      </c>
      <c r="K1090" s="4" t="s">
        <v>2903</v>
      </c>
      <c r="L1090" s="4" t="s">
        <v>2904</v>
      </c>
      <c r="M1090" s="4" t="s">
        <v>46</v>
      </c>
      <c r="N1090" s="4"/>
      <c r="O1090" s="4" t="s">
        <v>47</v>
      </c>
      <c r="P1090" s="4" t="s">
        <v>48</v>
      </c>
      <c r="Q1090" s="4">
        <v>0</v>
      </c>
      <c r="R1090" s="4" t="b">
        <v>0</v>
      </c>
      <c r="S1090" s="4" t="s">
        <v>61</v>
      </c>
      <c r="T1090" s="4" t="s">
        <v>89</v>
      </c>
      <c r="U1090" s="4" t="s">
        <v>282</v>
      </c>
      <c r="V1090" s="4" t="s">
        <v>123</v>
      </c>
      <c r="W1090" s="4" t="s">
        <v>124</v>
      </c>
      <c r="X1090" s="4" t="s">
        <v>98</v>
      </c>
      <c r="Y1090" s="4"/>
      <c r="Z1090" s="12">
        <v>0</v>
      </c>
      <c r="AA1090" s="13" t="s">
        <v>9161</v>
      </c>
      <c r="AB1090" s="13" t="s">
        <v>9160</v>
      </c>
      <c r="AC1090" s="14" t="s">
        <v>9148</v>
      </c>
      <c r="AD1090" s="14" t="s">
        <v>9140</v>
      </c>
      <c r="AE1090" s="14" t="s">
        <v>9140</v>
      </c>
      <c r="AF1090" s="14" t="s">
        <v>123</v>
      </c>
      <c r="AG1090" s="14" t="s">
        <v>98</v>
      </c>
      <c r="AH1090" s="15" t="s">
        <v>9194</v>
      </c>
      <c r="AI1090" s="15" t="s">
        <v>9175</v>
      </c>
      <c r="AJ1090" s="15" t="s">
        <v>9143</v>
      </c>
      <c r="AK1090" s="15" t="s">
        <v>9194</v>
      </c>
      <c r="AL1090" s="15" t="s">
        <v>9195</v>
      </c>
      <c r="AM1090" s="16" t="s">
        <v>9194</v>
      </c>
      <c r="AN1090" s="16" t="s">
        <v>9196</v>
      </c>
    </row>
    <row r="1091" spans="1:40" x14ac:dyDescent="0.25">
      <c r="A1091" s="4" t="s">
        <v>1797</v>
      </c>
      <c r="B1091" s="4"/>
      <c r="C1091" s="4" t="s">
        <v>39</v>
      </c>
      <c r="D1091" s="4" t="s">
        <v>1773</v>
      </c>
      <c r="E1091" s="4" t="s">
        <v>1774</v>
      </c>
      <c r="F1091" s="10">
        <v>45406</v>
      </c>
      <c r="G1091" s="11">
        <v>0.54791666666666672</v>
      </c>
      <c r="H1091" s="4" t="s">
        <v>1654</v>
      </c>
      <c r="I1091" s="4">
        <v>9095</v>
      </c>
      <c r="J1091" s="4" t="s">
        <v>1742</v>
      </c>
      <c r="K1091" s="4" t="s">
        <v>1798</v>
      </c>
      <c r="L1091" s="4" t="s">
        <v>1799</v>
      </c>
      <c r="M1091" s="4" t="s">
        <v>46</v>
      </c>
      <c r="N1091" s="4"/>
      <c r="O1091" s="4" t="s">
        <v>47</v>
      </c>
      <c r="P1091" s="4" t="s">
        <v>48</v>
      </c>
      <c r="Q1091" s="4">
        <v>0</v>
      </c>
      <c r="R1091" s="4" t="b">
        <v>0</v>
      </c>
      <c r="S1091" s="4" t="s">
        <v>49</v>
      </c>
      <c r="T1091" s="4" t="s">
        <v>70</v>
      </c>
      <c r="U1091" s="4" t="s">
        <v>71</v>
      </c>
      <c r="V1091" s="4" t="s">
        <v>72</v>
      </c>
      <c r="W1091" s="4" t="s">
        <v>73</v>
      </c>
      <c r="X1091" s="4" t="s">
        <v>98</v>
      </c>
      <c r="Y1091" s="4"/>
      <c r="Z1091" s="12">
        <v>0</v>
      </c>
      <c r="AA1091" s="13" t="s">
        <v>9161</v>
      </c>
      <c r="AB1091" s="13" t="s">
        <v>9160</v>
      </c>
      <c r="AC1091" s="14" t="s">
        <v>9139</v>
      </c>
      <c r="AD1091" s="14" t="s">
        <v>9140</v>
      </c>
      <c r="AE1091" s="14" t="s">
        <v>9140</v>
      </c>
      <c r="AF1091" s="14" t="s">
        <v>72</v>
      </c>
      <c r="AG1091" s="14" t="s">
        <v>98</v>
      </c>
      <c r="AH1091" s="15" t="s">
        <v>9141</v>
      </c>
      <c r="AI1091" s="15" t="s">
        <v>9191</v>
      </c>
      <c r="AJ1091" s="15" t="s">
        <v>9143</v>
      </c>
      <c r="AK1091" s="15" t="s">
        <v>9141</v>
      </c>
      <c r="AL1091" s="15" t="s">
        <v>9191</v>
      </c>
      <c r="AM1091" s="16" t="s">
        <v>9141</v>
      </c>
      <c r="AN1091" s="16" t="s">
        <v>9192</v>
      </c>
    </row>
    <row r="1092" spans="1:40" x14ac:dyDescent="0.25">
      <c r="A1092" s="4" t="s">
        <v>1919</v>
      </c>
      <c r="B1092" s="4"/>
      <c r="C1092" s="4" t="s">
        <v>39</v>
      </c>
      <c r="D1092" s="4" t="s">
        <v>1920</v>
      </c>
      <c r="E1092" s="4" t="s">
        <v>1921</v>
      </c>
      <c r="F1092" s="10">
        <v>45406</v>
      </c>
      <c r="G1092" s="11">
        <v>0.63888888888888884</v>
      </c>
      <c r="H1092" s="4" t="s">
        <v>1654</v>
      </c>
      <c r="I1092" s="4">
        <v>9098</v>
      </c>
      <c r="J1092" s="4" t="s">
        <v>1896</v>
      </c>
      <c r="K1092" s="4" t="s">
        <v>1922</v>
      </c>
      <c r="L1092" s="4" t="s">
        <v>1923</v>
      </c>
      <c r="M1092" s="4" t="s">
        <v>46</v>
      </c>
      <c r="N1092" s="4"/>
      <c r="O1092" s="4" t="s">
        <v>47</v>
      </c>
      <c r="P1092" s="4" t="s">
        <v>48</v>
      </c>
      <c r="Q1092" s="4">
        <v>0</v>
      </c>
      <c r="R1092" s="4" t="b">
        <v>0</v>
      </c>
      <c r="S1092" s="4" t="s">
        <v>49</v>
      </c>
      <c r="T1092" s="4" t="s">
        <v>89</v>
      </c>
      <c r="U1092" s="4" t="s">
        <v>90</v>
      </c>
      <c r="V1092" s="4" t="s">
        <v>72</v>
      </c>
      <c r="W1092" s="4" t="s">
        <v>73</v>
      </c>
      <c r="X1092" s="4" t="s">
        <v>54</v>
      </c>
      <c r="Y1092" s="4"/>
      <c r="Z1092" s="12">
        <v>0</v>
      </c>
      <c r="AA1092" s="13" t="s">
        <v>9161</v>
      </c>
      <c r="AB1092" s="13" t="s">
        <v>9160</v>
      </c>
      <c r="AC1092" s="14" t="s">
        <v>9139</v>
      </c>
      <c r="AD1092" s="14" t="s">
        <v>9140</v>
      </c>
      <c r="AE1092" s="14" t="s">
        <v>9140</v>
      </c>
      <c r="AF1092" s="14" t="s">
        <v>72</v>
      </c>
      <c r="AG1092" s="14" t="s">
        <v>54</v>
      </c>
      <c r="AH1092" s="15" t="s">
        <v>9141</v>
      </c>
      <c r="AI1092" s="15" t="s">
        <v>9191</v>
      </c>
      <c r="AJ1092" s="15" t="s">
        <v>9143</v>
      </c>
      <c r="AK1092" s="15" t="s">
        <v>9141</v>
      </c>
      <c r="AL1092" s="15" t="s">
        <v>9191</v>
      </c>
      <c r="AM1092" s="16" t="s">
        <v>9141</v>
      </c>
      <c r="AN1092" s="16" t="s">
        <v>9192</v>
      </c>
    </row>
    <row r="1093" spans="1:40" x14ac:dyDescent="0.25">
      <c r="A1093" s="4" t="s">
        <v>4452</v>
      </c>
      <c r="B1093" s="4"/>
      <c r="C1093" s="4" t="s">
        <v>39</v>
      </c>
      <c r="D1093" s="4" t="s">
        <v>4453</v>
      </c>
      <c r="E1093" s="4" t="s">
        <v>4454</v>
      </c>
      <c r="F1093" s="10">
        <v>45405</v>
      </c>
      <c r="G1093" s="11">
        <v>0.625</v>
      </c>
      <c r="H1093" s="4" t="s">
        <v>4019</v>
      </c>
      <c r="I1093" s="4" t="s">
        <v>4455</v>
      </c>
      <c r="J1093" s="4" t="s">
        <v>4456</v>
      </c>
      <c r="K1093" s="4" t="s">
        <v>1886</v>
      </c>
      <c r="L1093" s="4" t="s">
        <v>4457</v>
      </c>
      <c r="M1093" s="4" t="s">
        <v>46</v>
      </c>
      <c r="N1093" s="4"/>
      <c r="O1093" s="4" t="s">
        <v>47</v>
      </c>
      <c r="P1093" s="4" t="s">
        <v>48</v>
      </c>
      <c r="Q1093" s="4">
        <v>0</v>
      </c>
      <c r="R1093" s="4" t="b">
        <v>0</v>
      </c>
      <c r="S1093" s="4" t="s">
        <v>61</v>
      </c>
      <c r="T1093" s="4" t="s">
        <v>433</v>
      </c>
      <c r="U1093" s="4" t="s">
        <v>71</v>
      </c>
      <c r="V1093" s="4" t="s">
        <v>405</v>
      </c>
      <c r="W1093" s="4" t="s">
        <v>4458</v>
      </c>
      <c r="X1093" s="4" t="s">
        <v>350</v>
      </c>
      <c r="Y1093" s="4"/>
      <c r="Z1093" s="12">
        <v>0</v>
      </c>
      <c r="AA1093" s="13" t="s">
        <v>9161</v>
      </c>
      <c r="AB1093" s="13" t="s">
        <v>9160</v>
      </c>
      <c r="AC1093" s="14" t="s">
        <v>9148</v>
      </c>
      <c r="AD1093" s="14" t="s">
        <v>9140</v>
      </c>
      <c r="AE1093" s="14" t="s">
        <v>9140</v>
      </c>
      <c r="AF1093" s="14" t="s">
        <v>405</v>
      </c>
      <c r="AG1093" s="14" t="s">
        <v>350</v>
      </c>
      <c r="AH1093" s="15" t="s">
        <v>9220</v>
      </c>
      <c r="AI1093" s="15" t="s">
        <v>9175</v>
      </c>
      <c r="AJ1093" s="15" t="s">
        <v>9143</v>
      </c>
      <c r="AK1093" s="15" t="s">
        <v>9221</v>
      </c>
      <c r="AL1093" s="15" t="s">
        <v>9222</v>
      </c>
      <c r="AM1093" s="16" t="s">
        <v>9221</v>
      </c>
      <c r="AN1093" s="16" t="s">
        <v>9223</v>
      </c>
    </row>
    <row r="1094" spans="1:40" x14ac:dyDescent="0.25">
      <c r="A1094" s="4" t="s">
        <v>8906</v>
      </c>
      <c r="B1094" s="4">
        <v>12230095487</v>
      </c>
      <c r="C1094" s="4" t="s">
        <v>39</v>
      </c>
      <c r="D1094" s="4" t="s">
        <v>8907</v>
      </c>
      <c r="E1094" s="4" t="s">
        <v>8908</v>
      </c>
      <c r="F1094" s="10">
        <v>45405</v>
      </c>
      <c r="G1094" s="11">
        <v>0.66666666666666663</v>
      </c>
      <c r="H1094" s="4" t="s">
        <v>4019</v>
      </c>
      <c r="I1094" s="4" t="s">
        <v>8854</v>
      </c>
      <c r="J1094" s="4" t="s">
        <v>8855</v>
      </c>
      <c r="K1094" s="4" t="s">
        <v>3361</v>
      </c>
      <c r="L1094" s="4" t="s">
        <v>8909</v>
      </c>
      <c r="M1094" s="4" t="s">
        <v>28</v>
      </c>
      <c r="N1094" s="4" t="s">
        <v>147</v>
      </c>
      <c r="O1094" s="4" t="s">
        <v>191</v>
      </c>
      <c r="P1094" s="4" t="s">
        <v>48</v>
      </c>
      <c r="Q1094" s="4">
        <v>0</v>
      </c>
      <c r="R1094" s="4" t="b">
        <v>0</v>
      </c>
      <c r="S1094" s="4" t="s">
        <v>114</v>
      </c>
      <c r="T1094" s="4" t="s">
        <v>89</v>
      </c>
      <c r="U1094" s="4" t="s">
        <v>148</v>
      </c>
      <c r="V1094" s="4" t="s">
        <v>52</v>
      </c>
      <c r="W1094" s="4" t="s">
        <v>135</v>
      </c>
      <c r="X1094" s="4" t="s">
        <v>1715</v>
      </c>
      <c r="Y1094" s="4"/>
      <c r="Z1094" s="12" t="s">
        <v>48</v>
      </c>
      <c r="AA1094" s="13" t="s">
        <v>9161</v>
      </c>
      <c r="AB1094" s="13" t="s">
        <v>9160</v>
      </c>
      <c r="AC1094" s="14" t="s">
        <v>9157</v>
      </c>
      <c r="AD1094" s="14" t="s">
        <v>28</v>
      </c>
      <c r="AE1094" s="14" t="s">
        <v>9140</v>
      </c>
      <c r="AF1094" s="14" t="s">
        <v>52</v>
      </c>
      <c r="AG1094" s="14" t="s">
        <v>1715</v>
      </c>
      <c r="AH1094" s="15" t="s">
        <v>9220</v>
      </c>
      <c r="AI1094" s="15" t="s">
        <v>9175</v>
      </c>
      <c r="AJ1094" s="15" t="s">
        <v>9183</v>
      </c>
      <c r="AK1094" s="15" t="s">
        <v>9239</v>
      </c>
      <c r="AL1094" s="15" t="s">
        <v>9240</v>
      </c>
      <c r="AM1094" s="16" t="s">
        <v>9186</v>
      </c>
      <c r="AN1094" s="16" t="s">
        <v>9186</v>
      </c>
    </row>
    <row r="1095" spans="1:40" x14ac:dyDescent="0.25">
      <c r="A1095" s="4" t="s">
        <v>4624</v>
      </c>
      <c r="B1095" s="4"/>
      <c r="C1095" s="4" t="s">
        <v>39</v>
      </c>
      <c r="D1095" s="4" t="s">
        <v>4595</v>
      </c>
      <c r="E1095" s="4" t="s">
        <v>4596</v>
      </c>
      <c r="F1095" s="10">
        <v>45405</v>
      </c>
      <c r="G1095" s="11">
        <v>0.49652777777777779</v>
      </c>
      <c r="H1095" s="4" t="s">
        <v>4516</v>
      </c>
      <c r="I1095" s="4" t="s">
        <v>4586</v>
      </c>
      <c r="J1095" s="4" t="s">
        <v>2630</v>
      </c>
      <c r="K1095" s="4" t="s">
        <v>4625</v>
      </c>
      <c r="L1095" s="4" t="s">
        <v>4626</v>
      </c>
      <c r="M1095" s="4" t="s">
        <v>46</v>
      </c>
      <c r="N1095" s="4"/>
      <c r="O1095" s="4" t="s">
        <v>47</v>
      </c>
      <c r="P1095" s="4" t="s">
        <v>48</v>
      </c>
      <c r="Q1095" s="4">
        <v>0</v>
      </c>
      <c r="R1095" s="4" t="b">
        <v>0</v>
      </c>
      <c r="S1095" s="4" t="s">
        <v>49</v>
      </c>
      <c r="T1095" s="4" t="s">
        <v>50</v>
      </c>
      <c r="U1095" s="4" t="s">
        <v>71</v>
      </c>
      <c r="V1095" s="4" t="s">
        <v>72</v>
      </c>
      <c r="W1095" s="4" t="s">
        <v>97</v>
      </c>
      <c r="X1095" s="4" t="s">
        <v>54</v>
      </c>
      <c r="Y1095" s="4"/>
      <c r="Z1095" s="12">
        <v>0</v>
      </c>
      <c r="AA1095" s="13" t="s">
        <v>9161</v>
      </c>
      <c r="AB1095" s="13" t="s">
        <v>9160</v>
      </c>
      <c r="AC1095" s="14" t="s">
        <v>9139</v>
      </c>
      <c r="AD1095" s="14" t="s">
        <v>9140</v>
      </c>
      <c r="AE1095" s="14" t="s">
        <v>9140</v>
      </c>
      <c r="AF1095" s="14" t="s">
        <v>72</v>
      </c>
      <c r="AG1095" s="14" t="s">
        <v>54</v>
      </c>
      <c r="AH1095" s="15" t="s">
        <v>9220</v>
      </c>
      <c r="AI1095" s="15" t="s">
        <v>9188</v>
      </c>
      <c r="AJ1095" s="15" t="s">
        <v>9143</v>
      </c>
      <c r="AK1095" s="15" t="s">
        <v>9221</v>
      </c>
      <c r="AL1095" s="15" t="s">
        <v>9232</v>
      </c>
      <c r="AM1095" s="16" t="s">
        <v>9221</v>
      </c>
      <c r="AN1095" s="16" t="s">
        <v>9233</v>
      </c>
    </row>
    <row r="1096" spans="1:40" x14ac:dyDescent="0.25">
      <c r="A1096" s="4" t="s">
        <v>9022</v>
      </c>
      <c r="B1096" s="4"/>
      <c r="C1096" s="4" t="s">
        <v>39</v>
      </c>
      <c r="D1096" s="4">
        <v>332097</v>
      </c>
      <c r="E1096" s="4" t="s">
        <v>9023</v>
      </c>
      <c r="F1096" s="10">
        <v>45404</v>
      </c>
      <c r="G1096" s="11">
        <v>0.4236111111111111</v>
      </c>
      <c r="H1096" s="4" t="s">
        <v>4019</v>
      </c>
      <c r="I1096" s="4" t="s">
        <v>8971</v>
      </c>
      <c r="J1096" s="4" t="s">
        <v>8972</v>
      </c>
      <c r="K1096" s="4" t="s">
        <v>9024</v>
      </c>
      <c r="L1096" s="4" t="s">
        <v>9025</v>
      </c>
      <c r="M1096" s="4" t="s">
        <v>46</v>
      </c>
      <c r="N1096" s="4"/>
      <c r="O1096" s="4" t="s">
        <v>47</v>
      </c>
      <c r="P1096" s="4" t="s">
        <v>48</v>
      </c>
      <c r="Q1096" s="4">
        <v>0</v>
      </c>
      <c r="R1096" s="4" t="b">
        <v>0</v>
      </c>
      <c r="S1096" s="4" t="s">
        <v>49</v>
      </c>
      <c r="T1096" s="4" t="s">
        <v>70</v>
      </c>
      <c r="U1096" s="4" t="s">
        <v>71</v>
      </c>
      <c r="V1096" s="4" t="s">
        <v>72</v>
      </c>
      <c r="W1096" s="4" t="s">
        <v>73</v>
      </c>
      <c r="X1096" s="4" t="s">
        <v>98</v>
      </c>
      <c r="Y1096" s="4"/>
      <c r="Z1096" s="12">
        <v>0</v>
      </c>
      <c r="AA1096" s="13" t="s">
        <v>9161</v>
      </c>
      <c r="AB1096" s="13" t="s">
        <v>9160</v>
      </c>
      <c r="AC1096" s="14" t="s">
        <v>9139</v>
      </c>
      <c r="AD1096" s="14" t="s">
        <v>9140</v>
      </c>
      <c r="AE1096" s="14" t="s">
        <v>9140</v>
      </c>
      <c r="AF1096" s="14" t="s">
        <v>72</v>
      </c>
      <c r="AG1096" s="14" t="s">
        <v>98</v>
      </c>
      <c r="AH1096" s="15" t="s">
        <v>9220</v>
      </c>
      <c r="AI1096" s="15" t="s">
        <v>9175</v>
      </c>
      <c r="AJ1096" s="15" t="s">
        <v>9181</v>
      </c>
      <c r="AK1096" s="15" t="s">
        <v>9182</v>
      </c>
      <c r="AL1096" s="15" t="s">
        <v>9182</v>
      </c>
      <c r="AM1096" s="16" t="s">
        <v>9182</v>
      </c>
      <c r="AN1096" s="16" t="s">
        <v>9182</v>
      </c>
    </row>
    <row r="1097" spans="1:40" x14ac:dyDescent="0.25">
      <c r="A1097" s="4" t="s">
        <v>516</v>
      </c>
      <c r="B1097" s="4"/>
      <c r="C1097" s="4" t="s">
        <v>39</v>
      </c>
      <c r="D1097" s="4" t="s">
        <v>511</v>
      </c>
      <c r="E1097" s="4" t="s">
        <v>512</v>
      </c>
      <c r="F1097" s="10">
        <v>45404</v>
      </c>
      <c r="G1097" s="11">
        <v>0.4375</v>
      </c>
      <c r="H1097" s="4" t="s">
        <v>463</v>
      </c>
      <c r="I1097" s="4">
        <v>2019</v>
      </c>
      <c r="J1097" s="4" t="s">
        <v>513</v>
      </c>
      <c r="K1097" s="4" t="s">
        <v>517</v>
      </c>
      <c r="L1097" s="4" t="s">
        <v>518</v>
      </c>
      <c r="M1097" s="4" t="s">
        <v>46</v>
      </c>
      <c r="N1097" s="4"/>
      <c r="O1097" s="4" t="s">
        <v>47</v>
      </c>
      <c r="P1097" s="4" t="s">
        <v>48</v>
      </c>
      <c r="Q1097" s="4">
        <v>0</v>
      </c>
      <c r="R1097" s="4" t="b">
        <v>0</v>
      </c>
      <c r="S1097" s="4" t="s">
        <v>49</v>
      </c>
      <c r="T1097" s="4" t="s">
        <v>89</v>
      </c>
      <c r="U1097" s="4" t="s">
        <v>148</v>
      </c>
      <c r="V1097" s="4" t="s">
        <v>52</v>
      </c>
      <c r="W1097" s="4" t="s">
        <v>255</v>
      </c>
      <c r="X1097" s="4" t="s">
        <v>54</v>
      </c>
      <c r="Y1097" s="4"/>
      <c r="Z1097" s="12">
        <v>0</v>
      </c>
      <c r="AA1097" s="13" t="s">
        <v>9161</v>
      </c>
      <c r="AB1097" s="13" t="s">
        <v>9160</v>
      </c>
      <c r="AC1097" s="14" t="s">
        <v>9139</v>
      </c>
      <c r="AD1097" s="14" t="s">
        <v>9140</v>
      </c>
      <c r="AE1097" s="14" t="s">
        <v>9140</v>
      </c>
      <c r="AF1097" s="14" t="s">
        <v>52</v>
      </c>
      <c r="AG1097" s="14" t="s">
        <v>54</v>
      </c>
      <c r="AH1097" s="15" t="s">
        <v>9141</v>
      </c>
      <c r="AI1097" s="15" t="s">
        <v>9175</v>
      </c>
      <c r="AJ1097" s="15" t="s">
        <v>9143</v>
      </c>
      <c r="AK1097" s="15" t="s">
        <v>9141</v>
      </c>
      <c r="AL1097" s="15" t="s">
        <v>9177</v>
      </c>
      <c r="AM1097" s="16" t="s">
        <v>9141</v>
      </c>
      <c r="AN1097" s="16" t="s">
        <v>9178</v>
      </c>
    </row>
    <row r="1098" spans="1:40" x14ac:dyDescent="0.25">
      <c r="A1098" s="4" t="s">
        <v>3822</v>
      </c>
      <c r="B1098" s="4"/>
      <c r="C1098" s="4" t="s">
        <v>39</v>
      </c>
      <c r="D1098" s="4" t="s">
        <v>3823</v>
      </c>
      <c r="E1098" s="4" t="s">
        <v>3824</v>
      </c>
      <c r="F1098" s="10">
        <v>45404</v>
      </c>
      <c r="G1098" s="11">
        <v>0.61805555555555558</v>
      </c>
      <c r="H1098" s="4" t="s">
        <v>2227</v>
      </c>
      <c r="I1098" s="4" t="s">
        <v>3825</v>
      </c>
      <c r="J1098" s="4" t="s">
        <v>3826</v>
      </c>
      <c r="K1098" s="4" t="s">
        <v>3827</v>
      </c>
      <c r="L1098" s="4" t="s">
        <v>3828</v>
      </c>
      <c r="M1098" s="4" t="s">
        <v>46</v>
      </c>
      <c r="N1098" s="4"/>
      <c r="O1098" s="4" t="s">
        <v>47</v>
      </c>
      <c r="P1098" s="4" t="s">
        <v>48</v>
      </c>
      <c r="Q1098" s="4">
        <v>0</v>
      </c>
      <c r="R1098" s="4" t="b">
        <v>0</v>
      </c>
      <c r="S1098" s="4" t="s">
        <v>61</v>
      </c>
      <c r="T1098" s="4" t="s">
        <v>50</v>
      </c>
      <c r="U1098" s="4" t="s">
        <v>301</v>
      </c>
      <c r="V1098" s="4" t="s">
        <v>52</v>
      </c>
      <c r="W1098" s="4" t="s">
        <v>53</v>
      </c>
      <c r="X1098" s="4" t="s">
        <v>98</v>
      </c>
      <c r="Y1098" s="4"/>
      <c r="Z1098" s="12">
        <v>0</v>
      </c>
      <c r="AA1098" s="13" t="s">
        <v>9161</v>
      </c>
      <c r="AB1098" s="13" t="s">
        <v>9160</v>
      </c>
      <c r="AC1098" s="14" t="s">
        <v>9148</v>
      </c>
      <c r="AD1098" s="14" t="s">
        <v>9140</v>
      </c>
      <c r="AE1098" s="14" t="s">
        <v>9140</v>
      </c>
      <c r="AF1098" s="14" t="s">
        <v>52</v>
      </c>
      <c r="AG1098" s="14" t="s">
        <v>98</v>
      </c>
      <c r="AH1098" s="15" t="s">
        <v>9194</v>
      </c>
      <c r="AI1098" s="15" t="s">
        <v>9187</v>
      </c>
      <c r="AJ1098" s="15" t="s">
        <v>9143</v>
      </c>
      <c r="AK1098" s="15" t="s">
        <v>9194</v>
      </c>
      <c r="AL1098" s="15" t="s">
        <v>9209</v>
      </c>
      <c r="AM1098" s="16" t="s">
        <v>9194</v>
      </c>
      <c r="AN1098" s="16" t="s">
        <v>9210</v>
      </c>
    </row>
    <row r="1099" spans="1:40" x14ac:dyDescent="0.25">
      <c r="A1099" s="4" t="s">
        <v>3437</v>
      </c>
      <c r="B1099" s="4"/>
      <c r="C1099" s="4" t="s">
        <v>39</v>
      </c>
      <c r="D1099" s="4" t="s">
        <v>3425</v>
      </c>
      <c r="E1099" s="4" t="s">
        <v>3426</v>
      </c>
      <c r="F1099" s="10">
        <v>45404</v>
      </c>
      <c r="G1099" s="11">
        <v>0.66666666666666663</v>
      </c>
      <c r="H1099" s="4" t="s">
        <v>2095</v>
      </c>
      <c r="I1099" s="4" t="s">
        <v>3415</v>
      </c>
      <c r="J1099" s="4" t="s">
        <v>3416</v>
      </c>
      <c r="K1099" s="4" t="s">
        <v>3438</v>
      </c>
      <c r="L1099" s="4" t="s">
        <v>3439</v>
      </c>
      <c r="M1099" s="4" t="s">
        <v>46</v>
      </c>
      <c r="N1099" s="4"/>
      <c r="O1099" s="4" t="s">
        <v>47</v>
      </c>
      <c r="P1099" s="4" t="s">
        <v>48</v>
      </c>
      <c r="Q1099" s="4">
        <v>0</v>
      </c>
      <c r="R1099" s="4" t="b">
        <v>0</v>
      </c>
      <c r="S1099" s="4" t="s">
        <v>61</v>
      </c>
      <c r="T1099" s="4" t="s">
        <v>50</v>
      </c>
      <c r="U1099" s="4" t="s">
        <v>345</v>
      </c>
      <c r="V1099" s="4" t="s">
        <v>123</v>
      </c>
      <c r="W1099" s="4" t="s">
        <v>124</v>
      </c>
      <c r="X1099" s="4" t="s">
        <v>54</v>
      </c>
      <c r="Y1099" s="4"/>
      <c r="Z1099" s="12">
        <v>0</v>
      </c>
      <c r="AA1099" s="13" t="s">
        <v>9161</v>
      </c>
      <c r="AB1099" s="13" t="s">
        <v>9160</v>
      </c>
      <c r="AC1099" s="14" t="s">
        <v>9148</v>
      </c>
      <c r="AD1099" s="14" t="s">
        <v>9140</v>
      </c>
      <c r="AE1099" s="14" t="s">
        <v>9140</v>
      </c>
      <c r="AF1099" s="14" t="s">
        <v>123</v>
      </c>
      <c r="AG1099" s="14" t="s">
        <v>54</v>
      </c>
      <c r="AH1099" s="15" t="s">
        <v>9194</v>
      </c>
      <c r="AI1099" s="15" t="s">
        <v>9188</v>
      </c>
      <c r="AJ1099" s="15" t="s">
        <v>9143</v>
      </c>
      <c r="AK1099" s="15" t="s">
        <v>9194</v>
      </c>
      <c r="AL1099" s="15" t="s">
        <v>9211</v>
      </c>
      <c r="AM1099" s="16" t="s">
        <v>9194</v>
      </c>
      <c r="AN1099" s="16" t="s">
        <v>9212</v>
      </c>
    </row>
    <row r="1100" spans="1:40" x14ac:dyDescent="0.25">
      <c r="A1100" s="4" t="s">
        <v>7361</v>
      </c>
      <c r="B1100" s="4"/>
      <c r="C1100" s="4" t="s">
        <v>39</v>
      </c>
      <c r="D1100" s="4" t="s">
        <v>7362</v>
      </c>
      <c r="E1100" s="4" t="s">
        <v>7363</v>
      </c>
      <c r="F1100" s="10">
        <v>45402</v>
      </c>
      <c r="G1100" s="11">
        <v>0.48333333333333334</v>
      </c>
      <c r="H1100" s="4" t="s">
        <v>4019</v>
      </c>
      <c r="I1100" s="4" t="s">
        <v>7315</v>
      </c>
      <c r="J1100" s="4" t="s">
        <v>1037</v>
      </c>
      <c r="K1100" s="4" t="s">
        <v>218</v>
      </c>
      <c r="L1100" s="4" t="s">
        <v>7364</v>
      </c>
      <c r="M1100" s="4" t="s">
        <v>46</v>
      </c>
      <c r="N1100" s="4"/>
      <c r="O1100" s="4" t="s">
        <v>47</v>
      </c>
      <c r="P1100" s="4" t="s">
        <v>48</v>
      </c>
      <c r="Q1100" s="4">
        <v>0</v>
      </c>
      <c r="R1100" s="4" t="b">
        <v>0</v>
      </c>
      <c r="S1100" s="4" t="s">
        <v>61</v>
      </c>
      <c r="T1100" s="4" t="s">
        <v>50</v>
      </c>
      <c r="U1100" s="4" t="s">
        <v>218</v>
      </c>
      <c r="V1100" s="4" t="s">
        <v>63</v>
      </c>
      <c r="W1100" s="4" t="s">
        <v>198</v>
      </c>
      <c r="X1100" s="4" t="s">
        <v>98</v>
      </c>
      <c r="Y1100" s="4"/>
      <c r="Z1100" s="12">
        <v>0</v>
      </c>
      <c r="AA1100" s="13" t="s">
        <v>9172</v>
      </c>
      <c r="AB1100" s="13" t="s">
        <v>9160</v>
      </c>
      <c r="AC1100" s="14" t="s">
        <v>9148</v>
      </c>
      <c r="AD1100" s="14" t="s">
        <v>9140</v>
      </c>
      <c r="AE1100" s="14" t="s">
        <v>9140</v>
      </c>
      <c r="AF1100" s="14" t="s">
        <v>63</v>
      </c>
      <c r="AG1100" s="14" t="s">
        <v>98</v>
      </c>
      <c r="AH1100" s="15" t="s">
        <v>9220</v>
      </c>
      <c r="AI1100" s="15" t="s">
        <v>9175</v>
      </c>
      <c r="AJ1100" s="15" t="s">
        <v>9143</v>
      </c>
      <c r="AK1100" s="15" t="s">
        <v>9221</v>
      </c>
      <c r="AL1100" s="15" t="s">
        <v>9222</v>
      </c>
      <c r="AM1100" s="16" t="s">
        <v>9221</v>
      </c>
      <c r="AN1100" s="16" t="s">
        <v>9223</v>
      </c>
    </row>
    <row r="1101" spans="1:40" x14ac:dyDescent="0.25">
      <c r="A1101" s="4" t="s">
        <v>3124</v>
      </c>
      <c r="B1101" s="4"/>
      <c r="C1101" s="4" t="s">
        <v>39</v>
      </c>
      <c r="D1101" s="4" t="s">
        <v>3125</v>
      </c>
      <c r="E1101" s="4" t="s">
        <v>3126</v>
      </c>
      <c r="F1101" s="10">
        <v>45401</v>
      </c>
      <c r="G1101" s="11">
        <v>0.52777777777777779</v>
      </c>
      <c r="H1101" s="4" t="s">
        <v>3119</v>
      </c>
      <c r="I1101" s="4" t="s">
        <v>3120</v>
      </c>
      <c r="J1101" s="4" t="s">
        <v>3121</v>
      </c>
      <c r="K1101" s="4" t="s">
        <v>3127</v>
      </c>
      <c r="L1101" s="4" t="s">
        <v>3128</v>
      </c>
      <c r="M1101" s="4" t="s">
        <v>46</v>
      </c>
      <c r="N1101" s="4"/>
      <c r="O1101" s="4" t="s">
        <v>47</v>
      </c>
      <c r="P1101" s="4" t="s">
        <v>48</v>
      </c>
      <c r="Q1101" s="4">
        <v>0</v>
      </c>
      <c r="R1101" s="4" t="b">
        <v>0</v>
      </c>
      <c r="S1101" s="4" t="s">
        <v>61</v>
      </c>
      <c r="T1101" s="4" t="s">
        <v>134</v>
      </c>
      <c r="U1101" s="4" t="s">
        <v>80</v>
      </c>
      <c r="V1101" s="4" t="s">
        <v>81</v>
      </c>
      <c r="W1101" s="4" t="s">
        <v>82</v>
      </c>
      <c r="X1101" s="4" t="s">
        <v>98</v>
      </c>
      <c r="Y1101" s="4"/>
      <c r="Z1101" s="12">
        <v>0</v>
      </c>
      <c r="AA1101" s="13" t="s">
        <v>9172</v>
      </c>
      <c r="AB1101" s="13" t="s">
        <v>9160</v>
      </c>
      <c r="AC1101" s="14" t="s">
        <v>9148</v>
      </c>
      <c r="AD1101" s="14" t="s">
        <v>9140</v>
      </c>
      <c r="AE1101" s="14" t="s">
        <v>9140</v>
      </c>
      <c r="AF1101" s="14" t="s">
        <v>81</v>
      </c>
      <c r="AG1101" s="14" t="s">
        <v>98</v>
      </c>
      <c r="AH1101" s="15" t="s">
        <v>9194</v>
      </c>
      <c r="AI1101" s="15" t="s">
        <v>9213</v>
      </c>
      <c r="AJ1101" s="15" t="s">
        <v>9143</v>
      </c>
      <c r="AK1101" s="15" t="s">
        <v>9194</v>
      </c>
      <c r="AL1101" s="15" t="s">
        <v>9205</v>
      </c>
      <c r="AM1101" s="16" t="s">
        <v>9194</v>
      </c>
      <c r="AN1101" s="16" t="s">
        <v>9206</v>
      </c>
    </row>
    <row r="1102" spans="1:40" x14ac:dyDescent="0.25">
      <c r="A1102" s="4" t="s">
        <v>496</v>
      </c>
      <c r="B1102" s="4"/>
      <c r="C1102" s="4" t="s">
        <v>39</v>
      </c>
      <c r="D1102" s="4" t="s">
        <v>497</v>
      </c>
      <c r="E1102" s="4" t="s">
        <v>498</v>
      </c>
      <c r="F1102" s="10">
        <v>45400</v>
      </c>
      <c r="G1102" s="11">
        <v>0.57291666666666663</v>
      </c>
      <c r="H1102" s="4" t="s">
        <v>463</v>
      </c>
      <c r="I1102" s="4">
        <v>2017</v>
      </c>
      <c r="J1102" s="4" t="s">
        <v>491</v>
      </c>
      <c r="K1102" s="4" t="s">
        <v>499</v>
      </c>
      <c r="L1102" s="4" t="s">
        <v>500</v>
      </c>
      <c r="M1102" s="4" t="s">
        <v>46</v>
      </c>
      <c r="N1102" s="4"/>
      <c r="O1102" s="4" t="s">
        <v>47</v>
      </c>
      <c r="P1102" s="4" t="s">
        <v>48</v>
      </c>
      <c r="Q1102" s="4">
        <v>0</v>
      </c>
      <c r="R1102" s="4" t="b">
        <v>0</v>
      </c>
      <c r="S1102" s="4" t="s">
        <v>114</v>
      </c>
      <c r="T1102" s="4" t="s">
        <v>70</v>
      </c>
      <c r="U1102" s="4" t="s">
        <v>71</v>
      </c>
      <c r="V1102" s="4" t="s">
        <v>72</v>
      </c>
      <c r="W1102" s="4" t="s">
        <v>73</v>
      </c>
      <c r="X1102" s="4" t="s">
        <v>98</v>
      </c>
      <c r="Y1102" s="4"/>
      <c r="Z1102" s="12">
        <v>0</v>
      </c>
      <c r="AA1102" s="13" t="s">
        <v>9172</v>
      </c>
      <c r="AB1102" s="13" t="s">
        <v>9160</v>
      </c>
      <c r="AC1102" s="14" t="s">
        <v>9157</v>
      </c>
      <c r="AD1102" s="14" t="s">
        <v>9140</v>
      </c>
      <c r="AE1102" s="14" t="s">
        <v>9140</v>
      </c>
      <c r="AF1102" s="14" t="s">
        <v>72</v>
      </c>
      <c r="AG1102" s="14" t="s">
        <v>98</v>
      </c>
      <c r="AH1102" s="15" t="s">
        <v>9141</v>
      </c>
      <c r="AI1102" s="15" t="s">
        <v>9175</v>
      </c>
      <c r="AJ1102" s="15" t="s">
        <v>9143</v>
      </c>
      <c r="AK1102" s="15" t="s">
        <v>9141</v>
      </c>
      <c r="AL1102" s="15" t="s">
        <v>9177</v>
      </c>
      <c r="AM1102" s="16" t="s">
        <v>9141</v>
      </c>
      <c r="AN1102" s="16" t="s">
        <v>9178</v>
      </c>
    </row>
    <row r="1103" spans="1:40" x14ac:dyDescent="0.25">
      <c r="A1103" s="4" t="s">
        <v>6934</v>
      </c>
      <c r="B1103" s="4"/>
      <c r="C1103" s="4" t="s">
        <v>39</v>
      </c>
      <c r="D1103" s="4" t="s">
        <v>6935</v>
      </c>
      <c r="E1103" s="4" t="s">
        <v>6936</v>
      </c>
      <c r="F1103" s="10">
        <v>45400</v>
      </c>
      <c r="G1103" s="11">
        <v>0.36805555555555558</v>
      </c>
      <c r="H1103" s="4" t="s">
        <v>4019</v>
      </c>
      <c r="I1103" s="4" t="s">
        <v>6911</v>
      </c>
      <c r="J1103" s="4" t="s">
        <v>6912</v>
      </c>
      <c r="K1103" s="4" t="s">
        <v>6937</v>
      </c>
      <c r="L1103" s="4" t="s">
        <v>6938</v>
      </c>
      <c r="M1103" s="4" t="s">
        <v>46</v>
      </c>
      <c r="N1103" s="4"/>
      <c r="O1103" s="4" t="s">
        <v>47</v>
      </c>
      <c r="P1103" s="4" t="s">
        <v>48</v>
      </c>
      <c r="Q1103" s="4">
        <v>0</v>
      </c>
      <c r="R1103" s="4" t="b">
        <v>0</v>
      </c>
      <c r="S1103" s="4" t="s">
        <v>61</v>
      </c>
      <c r="T1103" s="4" t="s">
        <v>50</v>
      </c>
      <c r="U1103" s="4" t="s">
        <v>426</v>
      </c>
      <c r="V1103" s="4" t="s">
        <v>123</v>
      </c>
      <c r="W1103" s="4" t="s">
        <v>124</v>
      </c>
      <c r="X1103" s="4" t="s">
        <v>978</v>
      </c>
      <c r="Y1103" s="4"/>
      <c r="Z1103" s="12">
        <v>0</v>
      </c>
      <c r="AA1103" s="13" t="s">
        <v>9172</v>
      </c>
      <c r="AB1103" s="13" t="s">
        <v>9160</v>
      </c>
      <c r="AC1103" s="14" t="s">
        <v>9148</v>
      </c>
      <c r="AD1103" s="14" t="s">
        <v>9140</v>
      </c>
      <c r="AE1103" s="14" t="s">
        <v>9140</v>
      </c>
      <c r="AF1103" s="14" t="s">
        <v>123</v>
      </c>
      <c r="AG1103" s="14" t="s">
        <v>978</v>
      </c>
      <c r="AH1103" s="15" t="s">
        <v>9220</v>
      </c>
      <c r="AI1103" s="15" t="s">
        <v>9175</v>
      </c>
      <c r="AJ1103" s="15" t="s">
        <v>9143</v>
      </c>
      <c r="AK1103" s="15" t="s">
        <v>9221</v>
      </c>
      <c r="AL1103" s="15" t="s">
        <v>9224</v>
      </c>
      <c r="AM1103" s="16" t="s">
        <v>9221</v>
      </c>
      <c r="AN1103" s="16" t="s">
        <v>9225</v>
      </c>
    </row>
    <row r="1104" spans="1:40" x14ac:dyDescent="0.25">
      <c r="A1104" s="4" t="s">
        <v>7893</v>
      </c>
      <c r="B1104" s="4"/>
      <c r="C1104" s="4" t="s">
        <v>39</v>
      </c>
      <c r="D1104" s="4" t="s">
        <v>7894</v>
      </c>
      <c r="E1104" s="4" t="s">
        <v>7895</v>
      </c>
      <c r="F1104" s="10">
        <v>45400</v>
      </c>
      <c r="G1104" s="11">
        <v>0.78472222222222221</v>
      </c>
      <c r="H1104" s="4" t="s">
        <v>4659</v>
      </c>
      <c r="I1104" s="4" t="s">
        <v>7873</v>
      </c>
      <c r="J1104" s="4" t="s">
        <v>7874</v>
      </c>
      <c r="K1104" s="4" t="s">
        <v>7896</v>
      </c>
      <c r="L1104" s="4" t="s">
        <v>7897</v>
      </c>
      <c r="M1104" s="4" t="s">
        <v>46</v>
      </c>
      <c r="N1104" s="4"/>
      <c r="O1104" s="4" t="s">
        <v>47</v>
      </c>
      <c r="P1104" s="4" t="s">
        <v>48</v>
      </c>
      <c r="Q1104" s="4">
        <v>0</v>
      </c>
      <c r="R1104" s="4" t="b">
        <v>0</v>
      </c>
      <c r="S1104" s="4" t="s">
        <v>49</v>
      </c>
      <c r="T1104" s="4" t="s">
        <v>50</v>
      </c>
      <c r="U1104" s="4" t="s">
        <v>71</v>
      </c>
      <c r="V1104" s="4" t="s">
        <v>63</v>
      </c>
      <c r="W1104" s="4" t="s">
        <v>198</v>
      </c>
      <c r="X1104" s="4" t="s">
        <v>978</v>
      </c>
      <c r="Y1104" s="4" t="s">
        <v>323</v>
      </c>
      <c r="Z1104" s="12">
        <v>0</v>
      </c>
      <c r="AA1104" s="13" t="s">
        <v>9172</v>
      </c>
      <c r="AB1104" s="13" t="s">
        <v>9160</v>
      </c>
      <c r="AC1104" s="14" t="s">
        <v>9139</v>
      </c>
      <c r="AD1104" s="14" t="s">
        <v>9140</v>
      </c>
      <c r="AE1104" s="14" t="s">
        <v>9140</v>
      </c>
      <c r="AF1104" s="14" t="s">
        <v>63</v>
      </c>
      <c r="AG1104" s="14" t="s">
        <v>978</v>
      </c>
      <c r="AH1104" s="15" t="s">
        <v>9220</v>
      </c>
      <c r="AI1104" s="15" t="s">
        <v>9142</v>
      </c>
      <c r="AJ1104" s="15" t="s">
        <v>9143</v>
      </c>
      <c r="AK1104" s="15" t="s">
        <v>9221</v>
      </c>
      <c r="AL1104" s="15" t="s">
        <v>9228</v>
      </c>
      <c r="AM1104" s="16" t="s">
        <v>9221</v>
      </c>
      <c r="AN1104" s="16" t="s">
        <v>9229</v>
      </c>
    </row>
    <row r="1105" spans="1:40" x14ac:dyDescent="0.25">
      <c r="A1105" s="4" t="s">
        <v>5046</v>
      </c>
      <c r="B1105" s="4"/>
      <c r="C1105" s="4" t="s">
        <v>39</v>
      </c>
      <c r="D1105" s="4" t="s">
        <v>5047</v>
      </c>
      <c r="E1105" s="4" t="s">
        <v>5048</v>
      </c>
      <c r="F1105" s="10">
        <v>45400</v>
      </c>
      <c r="G1105" s="11">
        <v>0.74097222222222225</v>
      </c>
      <c r="H1105" s="4" t="s">
        <v>4516</v>
      </c>
      <c r="I1105" s="4" t="s">
        <v>4969</v>
      </c>
      <c r="J1105" s="4" t="s">
        <v>3453</v>
      </c>
      <c r="K1105" s="4" t="s">
        <v>5049</v>
      </c>
      <c r="L1105" s="4" t="s">
        <v>5050</v>
      </c>
      <c r="M1105" s="4" t="s">
        <v>46</v>
      </c>
      <c r="N1105" s="4"/>
      <c r="O1105" s="4" t="s">
        <v>47</v>
      </c>
      <c r="P1105" s="4" t="s">
        <v>48</v>
      </c>
      <c r="Q1105" s="4">
        <v>0</v>
      </c>
      <c r="R1105" s="4" t="b">
        <v>0</v>
      </c>
      <c r="S1105" s="4" t="s">
        <v>61</v>
      </c>
      <c r="T1105" s="4" t="s">
        <v>50</v>
      </c>
      <c r="U1105" s="4" t="s">
        <v>71</v>
      </c>
      <c r="V1105" s="4" t="s">
        <v>72</v>
      </c>
      <c r="W1105" s="4" t="s">
        <v>97</v>
      </c>
      <c r="X1105" s="4" t="s">
        <v>98</v>
      </c>
      <c r="Y1105" s="4"/>
      <c r="Z1105" s="12">
        <v>0</v>
      </c>
      <c r="AA1105" s="13" t="s">
        <v>9172</v>
      </c>
      <c r="AB1105" s="13" t="s">
        <v>9160</v>
      </c>
      <c r="AC1105" s="14" t="s">
        <v>9148</v>
      </c>
      <c r="AD1105" s="14" t="s">
        <v>9140</v>
      </c>
      <c r="AE1105" s="14" t="s">
        <v>9140</v>
      </c>
      <c r="AF1105" s="14" t="s">
        <v>72</v>
      </c>
      <c r="AG1105" s="14" t="s">
        <v>98</v>
      </c>
      <c r="AH1105" s="15" t="s">
        <v>9220</v>
      </c>
      <c r="AI1105" s="15" t="s">
        <v>9188</v>
      </c>
      <c r="AJ1105" s="15" t="s">
        <v>9143</v>
      </c>
      <c r="AK1105" s="15" t="s">
        <v>9221</v>
      </c>
      <c r="AL1105" s="15" t="s">
        <v>9230</v>
      </c>
      <c r="AM1105" s="16" t="s">
        <v>9221</v>
      </c>
      <c r="AN1105" s="16" t="s">
        <v>9231</v>
      </c>
    </row>
    <row r="1106" spans="1:40" x14ac:dyDescent="0.25">
      <c r="A1106" s="4" t="s">
        <v>7965</v>
      </c>
      <c r="B1106" s="4"/>
      <c r="C1106" s="4" t="s">
        <v>39</v>
      </c>
      <c r="D1106" s="4" t="s">
        <v>7966</v>
      </c>
      <c r="E1106" s="4" t="s">
        <v>7967</v>
      </c>
      <c r="F1106" s="10">
        <v>45398</v>
      </c>
      <c r="G1106" s="11">
        <v>0.28125</v>
      </c>
      <c r="H1106" s="4" t="s">
        <v>4516</v>
      </c>
      <c r="I1106" s="4" t="s">
        <v>7968</v>
      </c>
      <c r="J1106" s="4" t="s">
        <v>7969</v>
      </c>
      <c r="K1106" s="4" t="s">
        <v>1775</v>
      </c>
      <c r="L1106" s="4" t="s">
        <v>7970</v>
      </c>
      <c r="M1106" s="4" t="s">
        <v>46</v>
      </c>
      <c r="N1106" s="4"/>
      <c r="O1106" s="4" t="s">
        <v>47</v>
      </c>
      <c r="P1106" s="4" t="s">
        <v>48</v>
      </c>
      <c r="Q1106" s="4">
        <v>0</v>
      </c>
      <c r="R1106" s="4" t="b">
        <v>0</v>
      </c>
      <c r="S1106" s="4" t="s">
        <v>49</v>
      </c>
      <c r="T1106" s="4" t="s">
        <v>583</v>
      </c>
      <c r="U1106" s="4" t="s">
        <v>71</v>
      </c>
      <c r="V1106" s="4" t="s">
        <v>72</v>
      </c>
      <c r="W1106" s="4" t="s">
        <v>73</v>
      </c>
      <c r="X1106" s="4" t="s">
        <v>98</v>
      </c>
      <c r="Y1106" s="4" t="s">
        <v>486</v>
      </c>
      <c r="Z1106" s="12">
        <v>0</v>
      </c>
      <c r="AA1106" s="13" t="s">
        <v>9172</v>
      </c>
      <c r="AB1106" s="13" t="s">
        <v>9160</v>
      </c>
      <c r="AC1106" s="14" t="s">
        <v>9139</v>
      </c>
      <c r="AD1106" s="14" t="s">
        <v>9140</v>
      </c>
      <c r="AE1106" s="14" t="s">
        <v>9140</v>
      </c>
      <c r="AF1106" s="14" t="s">
        <v>72</v>
      </c>
      <c r="AG1106" s="14" t="s">
        <v>98</v>
      </c>
      <c r="AH1106" s="15" t="s">
        <v>9220</v>
      </c>
      <c r="AI1106" s="15" t="s">
        <v>9188</v>
      </c>
      <c r="AJ1106" s="15" t="s">
        <v>9143</v>
      </c>
      <c r="AK1106" s="15" t="s">
        <v>9221</v>
      </c>
      <c r="AL1106" s="15" t="s">
        <v>9236</v>
      </c>
      <c r="AM1106" s="16" t="s">
        <v>9221</v>
      </c>
      <c r="AN1106" s="16" t="s">
        <v>9237</v>
      </c>
    </row>
    <row r="1107" spans="1:40" x14ac:dyDescent="0.25">
      <c r="A1107" s="4" t="s">
        <v>2084</v>
      </c>
      <c r="B1107" s="4"/>
      <c r="C1107" s="4" t="s">
        <v>39</v>
      </c>
      <c r="D1107" s="4" t="s">
        <v>2067</v>
      </c>
      <c r="E1107" s="4" t="s">
        <v>2068</v>
      </c>
      <c r="F1107" s="10">
        <v>45397</v>
      </c>
      <c r="G1107" s="11">
        <v>0.55555555555555558</v>
      </c>
      <c r="H1107" s="4" t="s">
        <v>1992</v>
      </c>
      <c r="I1107" s="4" t="s">
        <v>2061</v>
      </c>
      <c r="J1107" s="4" t="s">
        <v>2062</v>
      </c>
      <c r="K1107" s="4" t="s">
        <v>2085</v>
      </c>
      <c r="L1107" s="4" t="s">
        <v>2086</v>
      </c>
      <c r="M1107" s="4" t="s">
        <v>46</v>
      </c>
      <c r="N1107" s="4"/>
      <c r="O1107" s="4" t="s">
        <v>47</v>
      </c>
      <c r="P1107" s="4" t="s">
        <v>48</v>
      </c>
      <c r="Q1107" s="4">
        <v>0</v>
      </c>
      <c r="R1107" s="4" t="b">
        <v>0</v>
      </c>
      <c r="S1107" s="4" t="s">
        <v>49</v>
      </c>
      <c r="T1107" s="4" t="s">
        <v>50</v>
      </c>
      <c r="U1107" s="4" t="s">
        <v>80</v>
      </c>
      <c r="V1107" s="4" t="s">
        <v>72</v>
      </c>
      <c r="W1107" s="4" t="s">
        <v>73</v>
      </c>
      <c r="X1107" s="4" t="s">
        <v>98</v>
      </c>
      <c r="Y1107" s="4"/>
      <c r="Z1107" s="12">
        <v>0</v>
      </c>
      <c r="AA1107" s="13" t="s">
        <v>9172</v>
      </c>
      <c r="AB1107" s="13" t="s">
        <v>9160</v>
      </c>
      <c r="AC1107" s="14" t="s">
        <v>9139</v>
      </c>
      <c r="AD1107" s="14" t="s">
        <v>9140</v>
      </c>
      <c r="AE1107" s="14" t="s">
        <v>9140</v>
      </c>
      <c r="AF1107" s="14" t="s">
        <v>72</v>
      </c>
      <c r="AG1107" s="14" t="s">
        <v>98</v>
      </c>
      <c r="AH1107" s="15" t="s">
        <v>9194</v>
      </c>
      <c r="AI1107" s="15" t="s">
        <v>9191</v>
      </c>
      <c r="AJ1107" s="15" t="s">
        <v>9143</v>
      </c>
      <c r="AK1107" s="15" t="s">
        <v>9194</v>
      </c>
      <c r="AL1107" s="15" t="s">
        <v>9201</v>
      </c>
      <c r="AM1107" s="16" t="s">
        <v>9194</v>
      </c>
      <c r="AN1107" s="16" t="s">
        <v>9202</v>
      </c>
    </row>
    <row r="1108" spans="1:40" x14ac:dyDescent="0.25">
      <c r="A1108" s="4" t="s">
        <v>2179</v>
      </c>
      <c r="B1108" s="4"/>
      <c r="C1108" s="4" t="s">
        <v>39</v>
      </c>
      <c r="D1108" s="4" t="s">
        <v>2180</v>
      </c>
      <c r="E1108" s="4" t="s">
        <v>2181</v>
      </c>
      <c r="F1108" s="10">
        <v>45397</v>
      </c>
      <c r="G1108" s="11">
        <v>0.62638888888888888</v>
      </c>
      <c r="H1108" s="4" t="s">
        <v>1939</v>
      </c>
      <c r="I1108" s="4" t="s">
        <v>2176</v>
      </c>
      <c r="J1108" s="4" t="s">
        <v>559</v>
      </c>
      <c r="K1108" s="4" t="s">
        <v>2182</v>
      </c>
      <c r="L1108" s="4" t="s">
        <v>2183</v>
      </c>
      <c r="M1108" s="4" t="s">
        <v>46</v>
      </c>
      <c r="N1108" s="4"/>
      <c r="O1108" s="4" t="s">
        <v>47</v>
      </c>
      <c r="P1108" s="4" t="s">
        <v>48</v>
      </c>
      <c r="Q1108" s="4">
        <v>0</v>
      </c>
      <c r="R1108" s="4" t="b">
        <v>0</v>
      </c>
      <c r="S1108" s="4" t="s">
        <v>61</v>
      </c>
      <c r="T1108" s="4" t="s">
        <v>583</v>
      </c>
      <c r="U1108" s="4" t="s">
        <v>301</v>
      </c>
      <c r="V1108" s="4" t="s">
        <v>52</v>
      </c>
      <c r="W1108" s="4" t="s">
        <v>53</v>
      </c>
      <c r="X1108" s="4" t="s">
        <v>98</v>
      </c>
      <c r="Y1108" s="4"/>
      <c r="Z1108" s="12">
        <v>0</v>
      </c>
      <c r="AA1108" s="13" t="s">
        <v>9172</v>
      </c>
      <c r="AB1108" s="13" t="s">
        <v>9160</v>
      </c>
      <c r="AC1108" s="14" t="s">
        <v>9148</v>
      </c>
      <c r="AD1108" s="14" t="s">
        <v>9140</v>
      </c>
      <c r="AE1108" s="14" t="s">
        <v>9140</v>
      </c>
      <c r="AF1108" s="14" t="s">
        <v>52</v>
      </c>
      <c r="AG1108" s="14" t="s">
        <v>98</v>
      </c>
      <c r="AH1108" s="15" t="s">
        <v>9194</v>
      </c>
      <c r="AI1108" s="15" t="s">
        <v>9175</v>
      </c>
      <c r="AJ1108" s="15" t="s">
        <v>9143</v>
      </c>
      <c r="AK1108" s="15" t="s">
        <v>9194</v>
      </c>
      <c r="AL1108" s="15" t="s">
        <v>9195</v>
      </c>
      <c r="AM1108" s="16" t="s">
        <v>9194</v>
      </c>
      <c r="AN1108" s="16" t="s">
        <v>9196</v>
      </c>
    </row>
    <row r="1109" spans="1:40" x14ac:dyDescent="0.25">
      <c r="A1109" s="4" t="s">
        <v>2579</v>
      </c>
      <c r="B1109" s="4">
        <v>12240020934</v>
      </c>
      <c r="C1109" s="4" t="s">
        <v>39</v>
      </c>
      <c r="D1109" s="4" t="s">
        <v>2580</v>
      </c>
      <c r="E1109" s="4" t="s">
        <v>2581</v>
      </c>
      <c r="F1109" s="10">
        <v>45397</v>
      </c>
      <c r="G1109" s="11">
        <v>0.35069444444444442</v>
      </c>
      <c r="H1109" s="4" t="s">
        <v>1939</v>
      </c>
      <c r="I1109" s="4" t="s">
        <v>2575</v>
      </c>
      <c r="J1109" s="4" t="s">
        <v>2576</v>
      </c>
      <c r="K1109" s="4" t="s">
        <v>2582</v>
      </c>
      <c r="L1109" s="4" t="s">
        <v>2583</v>
      </c>
      <c r="M1109" s="4" t="s">
        <v>28</v>
      </c>
      <c r="N1109" s="4" t="s">
        <v>183</v>
      </c>
      <c r="O1109" s="4" t="s">
        <v>191</v>
      </c>
      <c r="P1109" s="4" t="s">
        <v>60</v>
      </c>
      <c r="Q1109" s="4">
        <v>164</v>
      </c>
      <c r="R1109" s="4" t="b">
        <v>0</v>
      </c>
      <c r="S1109" s="4" t="s">
        <v>114</v>
      </c>
      <c r="T1109" s="4" t="s">
        <v>115</v>
      </c>
      <c r="U1109" s="4" t="s">
        <v>51</v>
      </c>
      <c r="V1109" s="4" t="s">
        <v>52</v>
      </c>
      <c r="W1109" s="4" t="s">
        <v>374</v>
      </c>
      <c r="X1109" s="4" t="s">
        <v>54</v>
      </c>
      <c r="Y1109" s="4"/>
      <c r="Z1109" s="12" t="s">
        <v>60</v>
      </c>
      <c r="AA1109" s="13" t="s">
        <v>9172</v>
      </c>
      <c r="AB1109" s="13" t="s">
        <v>9160</v>
      </c>
      <c r="AC1109" s="14" t="s">
        <v>9157</v>
      </c>
      <c r="AD1109" s="14" t="s">
        <v>28</v>
      </c>
      <c r="AE1109" s="14" t="s">
        <v>183</v>
      </c>
      <c r="AF1109" s="14" t="s">
        <v>52</v>
      </c>
      <c r="AG1109" s="14" t="s">
        <v>54</v>
      </c>
      <c r="AH1109" s="15" t="s">
        <v>9194</v>
      </c>
      <c r="AI1109" s="15" t="s">
        <v>9175</v>
      </c>
      <c r="AJ1109" s="15" t="s">
        <v>9143</v>
      </c>
      <c r="AK1109" s="15" t="s">
        <v>9194</v>
      </c>
      <c r="AL1109" s="15" t="s">
        <v>9209</v>
      </c>
      <c r="AM1109" s="16" t="s">
        <v>9194</v>
      </c>
      <c r="AN1109" s="16" t="s">
        <v>9210</v>
      </c>
    </row>
    <row r="1110" spans="1:40" x14ac:dyDescent="0.25">
      <c r="A1110" s="4" t="s">
        <v>2991</v>
      </c>
      <c r="B1110" s="4"/>
      <c r="C1110" s="4" t="s">
        <v>39</v>
      </c>
      <c r="D1110" s="4" t="s">
        <v>2992</v>
      </c>
      <c r="E1110" s="4" t="s">
        <v>2993</v>
      </c>
      <c r="F1110" s="10">
        <v>45394</v>
      </c>
      <c r="G1110" s="11">
        <v>0.67708333333333337</v>
      </c>
      <c r="H1110" s="4" t="s">
        <v>1992</v>
      </c>
      <c r="I1110" s="4" t="s">
        <v>2955</v>
      </c>
      <c r="J1110" s="4" t="s">
        <v>2956</v>
      </c>
      <c r="K1110" s="4" t="s">
        <v>2994</v>
      </c>
      <c r="L1110" s="4" t="s">
        <v>2995</v>
      </c>
      <c r="M1110" s="4" t="s">
        <v>46</v>
      </c>
      <c r="N1110" s="4"/>
      <c r="O1110" s="4" t="s">
        <v>47</v>
      </c>
      <c r="P1110" s="4" t="s">
        <v>48</v>
      </c>
      <c r="Q1110" s="4">
        <v>0</v>
      </c>
      <c r="R1110" s="4" t="b">
        <v>0</v>
      </c>
      <c r="S1110" s="4" t="s">
        <v>49</v>
      </c>
      <c r="T1110" s="4" t="s">
        <v>70</v>
      </c>
      <c r="U1110" s="4" t="s">
        <v>71</v>
      </c>
      <c r="V1110" s="4" t="s">
        <v>72</v>
      </c>
      <c r="W1110" s="4" t="s">
        <v>73</v>
      </c>
      <c r="X1110" s="4" t="s">
        <v>98</v>
      </c>
      <c r="Y1110" s="4"/>
      <c r="Z1110" s="12">
        <v>0</v>
      </c>
      <c r="AA1110" s="13" t="s">
        <v>9172</v>
      </c>
      <c r="AB1110" s="13" t="s">
        <v>9160</v>
      </c>
      <c r="AC1110" s="14" t="s">
        <v>9139</v>
      </c>
      <c r="AD1110" s="14" t="s">
        <v>9140</v>
      </c>
      <c r="AE1110" s="14" t="s">
        <v>9140</v>
      </c>
      <c r="AF1110" s="14" t="s">
        <v>72</v>
      </c>
      <c r="AG1110" s="14" t="s">
        <v>98</v>
      </c>
      <c r="AH1110" s="15" t="s">
        <v>9194</v>
      </c>
      <c r="AI1110" s="15" t="s">
        <v>9191</v>
      </c>
      <c r="AJ1110" s="15" t="s">
        <v>9143</v>
      </c>
      <c r="AK1110" s="15" t="s">
        <v>9194</v>
      </c>
      <c r="AL1110" s="15" t="s">
        <v>9205</v>
      </c>
      <c r="AM1110" s="16" t="s">
        <v>9194</v>
      </c>
      <c r="AN1110" s="16" t="s">
        <v>9206</v>
      </c>
    </row>
    <row r="1111" spans="1:40" x14ac:dyDescent="0.25">
      <c r="A1111" s="4" t="s">
        <v>1873</v>
      </c>
      <c r="B1111" s="4"/>
      <c r="C1111" s="4" t="s">
        <v>39</v>
      </c>
      <c r="D1111" s="4" t="s">
        <v>1874</v>
      </c>
      <c r="E1111" s="4" t="s">
        <v>1875</v>
      </c>
      <c r="F1111" s="10">
        <v>45394</v>
      </c>
      <c r="G1111" s="11">
        <v>0.62777777777777777</v>
      </c>
      <c r="H1111" s="4" t="s">
        <v>1654</v>
      </c>
      <c r="I1111" s="4">
        <v>9097</v>
      </c>
      <c r="J1111" s="4" t="s">
        <v>1844</v>
      </c>
      <c r="K1111" s="4" t="s">
        <v>1876</v>
      </c>
      <c r="L1111" s="4" t="s">
        <v>1877</v>
      </c>
      <c r="M1111" s="4" t="s">
        <v>46</v>
      </c>
      <c r="N1111" s="4"/>
      <c r="O1111" s="4" t="s">
        <v>47</v>
      </c>
      <c r="P1111" s="4" t="s">
        <v>48</v>
      </c>
      <c r="Q1111" s="4">
        <v>0</v>
      </c>
      <c r="R1111" s="4" t="b">
        <v>0</v>
      </c>
      <c r="S1111" s="4" t="s">
        <v>49</v>
      </c>
      <c r="T1111" s="4" t="s">
        <v>89</v>
      </c>
      <c r="U1111" s="4" t="s">
        <v>71</v>
      </c>
      <c r="V1111" s="4" t="s">
        <v>123</v>
      </c>
      <c r="W1111" s="4" t="s">
        <v>124</v>
      </c>
      <c r="X1111" s="4" t="s">
        <v>54</v>
      </c>
      <c r="Y1111" s="4"/>
      <c r="Z1111" s="12">
        <v>0</v>
      </c>
      <c r="AA1111" s="13" t="s">
        <v>9172</v>
      </c>
      <c r="AB1111" s="13" t="s">
        <v>9160</v>
      </c>
      <c r="AC1111" s="14" t="s">
        <v>9139</v>
      </c>
      <c r="AD1111" s="14" t="s">
        <v>9140</v>
      </c>
      <c r="AE1111" s="14" t="s">
        <v>9140</v>
      </c>
      <c r="AF1111" s="14" t="s">
        <v>123</v>
      </c>
      <c r="AG1111" s="14" t="s">
        <v>54</v>
      </c>
      <c r="AH1111" s="15" t="s">
        <v>9141</v>
      </c>
      <c r="AI1111" s="15" t="s">
        <v>9191</v>
      </c>
      <c r="AJ1111" s="15" t="s">
        <v>9143</v>
      </c>
      <c r="AK1111" s="15" t="s">
        <v>9141</v>
      </c>
      <c r="AL1111" s="15" t="s">
        <v>9191</v>
      </c>
      <c r="AM1111" s="16" t="s">
        <v>9141</v>
      </c>
      <c r="AN1111" s="16" t="s">
        <v>9192</v>
      </c>
    </row>
    <row r="1112" spans="1:40" x14ac:dyDescent="0.25">
      <c r="A1112" s="4" t="s">
        <v>1624</v>
      </c>
      <c r="B1112" s="4"/>
      <c r="C1112" s="4" t="s">
        <v>39</v>
      </c>
      <c r="D1112" s="4" t="s">
        <v>1625</v>
      </c>
      <c r="E1112" s="4" t="s">
        <v>1626</v>
      </c>
      <c r="F1112" s="10">
        <v>45394</v>
      </c>
      <c r="G1112" s="11">
        <v>0.47916666666666669</v>
      </c>
      <c r="H1112" s="4" t="s">
        <v>1366</v>
      </c>
      <c r="I1112" s="4">
        <v>6076</v>
      </c>
      <c r="J1112" s="4" t="s">
        <v>1627</v>
      </c>
      <c r="K1112" s="4" t="s">
        <v>1628</v>
      </c>
      <c r="L1112" s="4" t="s">
        <v>1629</v>
      </c>
      <c r="M1112" s="4" t="s">
        <v>46</v>
      </c>
      <c r="N1112" s="4"/>
      <c r="O1112" s="4" t="s">
        <v>47</v>
      </c>
      <c r="P1112" s="4" t="s">
        <v>48</v>
      </c>
      <c r="Q1112" s="4">
        <v>0</v>
      </c>
      <c r="R1112" s="4" t="b">
        <v>0</v>
      </c>
      <c r="S1112" s="4" t="s">
        <v>49</v>
      </c>
      <c r="T1112" s="4" t="s">
        <v>583</v>
      </c>
      <c r="U1112" s="4" t="s">
        <v>224</v>
      </c>
      <c r="V1112" s="4" t="s">
        <v>52</v>
      </c>
      <c r="W1112" s="4" t="s">
        <v>135</v>
      </c>
      <c r="X1112" s="4" t="s">
        <v>54</v>
      </c>
      <c r="Y1112" s="4"/>
      <c r="Z1112" s="12">
        <v>0</v>
      </c>
      <c r="AA1112" s="13" t="s">
        <v>9172</v>
      </c>
      <c r="AB1112" s="13" t="s">
        <v>9160</v>
      </c>
      <c r="AC1112" s="14" t="s">
        <v>9139</v>
      </c>
      <c r="AD1112" s="14" t="s">
        <v>9140</v>
      </c>
      <c r="AE1112" s="14" t="s">
        <v>9140</v>
      </c>
      <c r="AF1112" s="14" t="s">
        <v>52</v>
      </c>
      <c r="AG1112" s="14" t="s">
        <v>54</v>
      </c>
      <c r="AH1112" s="15" t="s">
        <v>9141</v>
      </c>
      <c r="AI1112" s="15" t="s">
        <v>9188</v>
      </c>
      <c r="AJ1112" s="15" t="s">
        <v>9143</v>
      </c>
      <c r="AK1112" s="15" t="s">
        <v>9141</v>
      </c>
      <c r="AL1112" s="15" t="s">
        <v>9189</v>
      </c>
      <c r="AM1112" s="16" t="s">
        <v>9141</v>
      </c>
      <c r="AN1112" s="16" t="s">
        <v>9190</v>
      </c>
    </row>
    <row r="1113" spans="1:40" x14ac:dyDescent="0.25">
      <c r="A1113" s="4" t="s">
        <v>269</v>
      </c>
      <c r="B1113" s="4"/>
      <c r="C1113" s="4" t="s">
        <v>39</v>
      </c>
      <c r="D1113" s="4" t="s">
        <v>270</v>
      </c>
      <c r="E1113" s="4" t="s">
        <v>271</v>
      </c>
      <c r="F1113" s="10">
        <v>45394</v>
      </c>
      <c r="G1113" s="11">
        <v>0.63888888888888884</v>
      </c>
      <c r="H1113" s="4" t="s">
        <v>42</v>
      </c>
      <c r="I1113" s="4">
        <v>1011</v>
      </c>
      <c r="J1113" s="4" t="s">
        <v>215</v>
      </c>
      <c r="K1113" s="4" t="s">
        <v>272</v>
      </c>
      <c r="L1113" s="4" t="s">
        <v>273</v>
      </c>
      <c r="M1113" s="4" t="s">
        <v>46</v>
      </c>
      <c r="N1113" s="4"/>
      <c r="O1113" s="4" t="s">
        <v>47</v>
      </c>
      <c r="P1113" s="4" t="s">
        <v>48</v>
      </c>
      <c r="Q1113" s="4">
        <v>0</v>
      </c>
      <c r="R1113" s="4" t="b">
        <v>0</v>
      </c>
      <c r="S1113" s="4" t="s">
        <v>61</v>
      </c>
      <c r="T1113" s="4" t="s">
        <v>70</v>
      </c>
      <c r="U1113" s="4" t="s">
        <v>71</v>
      </c>
      <c r="V1113" s="4" t="s">
        <v>63</v>
      </c>
      <c r="W1113" s="4" t="s">
        <v>108</v>
      </c>
      <c r="X1113" s="4" t="s">
        <v>98</v>
      </c>
      <c r="Y1113" s="4"/>
      <c r="Z1113" s="12">
        <v>0</v>
      </c>
      <c r="AA1113" s="13" t="s">
        <v>9172</v>
      </c>
      <c r="AB1113" s="13" t="s">
        <v>9160</v>
      </c>
      <c r="AC1113" s="14" t="s">
        <v>9148</v>
      </c>
      <c r="AD1113" s="14" t="s">
        <v>9140</v>
      </c>
      <c r="AE1113" s="14" t="s">
        <v>9140</v>
      </c>
      <c r="AF1113" s="14" t="s">
        <v>63</v>
      </c>
      <c r="AG1113" s="14" t="s">
        <v>98</v>
      </c>
      <c r="AH1113" s="15" t="s">
        <v>9141</v>
      </c>
      <c r="AI1113" s="15" t="s">
        <v>9142</v>
      </c>
      <c r="AJ1113" s="15" t="s">
        <v>9143</v>
      </c>
      <c r="AK1113" s="15" t="s">
        <v>9141</v>
      </c>
      <c r="AL1113" s="15" t="s">
        <v>9144</v>
      </c>
      <c r="AM1113" s="16" t="s">
        <v>9141</v>
      </c>
      <c r="AN1113" s="16" t="s">
        <v>9145</v>
      </c>
    </row>
    <row r="1114" spans="1:40" x14ac:dyDescent="0.25">
      <c r="A1114" s="4" t="s">
        <v>8194</v>
      </c>
      <c r="B1114" s="4"/>
      <c r="C1114" s="4" t="s">
        <v>39</v>
      </c>
      <c r="D1114" s="4" t="s">
        <v>8195</v>
      </c>
      <c r="E1114" s="4" t="s">
        <v>8196</v>
      </c>
      <c r="F1114" s="10">
        <v>45394</v>
      </c>
      <c r="G1114" s="11">
        <v>0.59027777777777779</v>
      </c>
      <c r="H1114" s="4" t="s">
        <v>4516</v>
      </c>
      <c r="I1114" s="4" t="s">
        <v>8179</v>
      </c>
      <c r="J1114" s="4" t="s">
        <v>8180</v>
      </c>
      <c r="K1114" s="4" t="s">
        <v>8197</v>
      </c>
      <c r="L1114" s="4" t="s">
        <v>8198</v>
      </c>
      <c r="M1114" s="4" t="s">
        <v>46</v>
      </c>
      <c r="N1114" s="4"/>
      <c r="O1114" s="4" t="s">
        <v>47</v>
      </c>
      <c r="P1114" s="4" t="s">
        <v>48</v>
      </c>
      <c r="Q1114" s="4">
        <v>0</v>
      </c>
      <c r="R1114" s="4" t="b">
        <v>0</v>
      </c>
      <c r="S1114" s="4" t="s">
        <v>49</v>
      </c>
      <c r="T1114" s="4" t="s">
        <v>89</v>
      </c>
      <c r="U1114" s="4" t="s">
        <v>218</v>
      </c>
      <c r="V1114" s="4" t="s">
        <v>63</v>
      </c>
      <c r="W1114" s="4" t="s">
        <v>108</v>
      </c>
      <c r="X1114" s="4" t="s">
        <v>98</v>
      </c>
      <c r="Y1114" s="4"/>
      <c r="Z1114" s="12">
        <v>0</v>
      </c>
      <c r="AA1114" s="13" t="s">
        <v>9172</v>
      </c>
      <c r="AB1114" s="13" t="s">
        <v>9160</v>
      </c>
      <c r="AC1114" s="14" t="s">
        <v>9139</v>
      </c>
      <c r="AD1114" s="14" t="s">
        <v>9140</v>
      </c>
      <c r="AE1114" s="14" t="s">
        <v>9140</v>
      </c>
      <c r="AF1114" s="14" t="s">
        <v>63</v>
      </c>
      <c r="AG1114" s="14" t="s">
        <v>98</v>
      </c>
      <c r="AH1114" s="15" t="s">
        <v>9220</v>
      </c>
      <c r="AI1114" s="15" t="s">
        <v>9188</v>
      </c>
      <c r="AJ1114" s="15" t="s">
        <v>9143</v>
      </c>
      <c r="AK1114" s="15" t="s">
        <v>9221</v>
      </c>
      <c r="AL1114" s="15" t="s">
        <v>9232</v>
      </c>
      <c r="AM1114" s="16" t="s">
        <v>9221</v>
      </c>
      <c r="AN1114" s="16" t="s">
        <v>9233</v>
      </c>
    </row>
    <row r="1115" spans="1:40" x14ac:dyDescent="0.25">
      <c r="A1115" s="4" t="s">
        <v>6006</v>
      </c>
      <c r="B1115" s="4"/>
      <c r="C1115" s="4" t="s">
        <v>39</v>
      </c>
      <c r="D1115" s="4" t="s">
        <v>5993</v>
      </c>
      <c r="E1115" s="4" t="s">
        <v>5994</v>
      </c>
      <c r="F1115" s="10">
        <v>45394</v>
      </c>
      <c r="G1115" s="11">
        <v>0.80902777777777779</v>
      </c>
      <c r="H1115" s="4" t="s">
        <v>4242</v>
      </c>
      <c r="I1115" s="4" t="s">
        <v>5918</v>
      </c>
      <c r="J1115" s="4" t="s">
        <v>5919</v>
      </c>
      <c r="K1115" s="4" t="s">
        <v>6007</v>
      </c>
      <c r="L1115" s="4" t="s">
        <v>6008</v>
      </c>
      <c r="M1115" s="4" t="s">
        <v>46</v>
      </c>
      <c r="N1115" s="4"/>
      <c r="O1115" s="4" t="s">
        <v>47</v>
      </c>
      <c r="P1115" s="4" t="s">
        <v>48</v>
      </c>
      <c r="Q1115" s="4">
        <v>0</v>
      </c>
      <c r="R1115" s="4" t="b">
        <v>0</v>
      </c>
      <c r="S1115" s="4" t="s">
        <v>61</v>
      </c>
      <c r="T1115" s="4" t="s">
        <v>89</v>
      </c>
      <c r="U1115" s="4" t="s">
        <v>71</v>
      </c>
      <c r="V1115" s="4" t="s">
        <v>63</v>
      </c>
      <c r="W1115" s="4" t="s">
        <v>108</v>
      </c>
      <c r="X1115" s="4" t="s">
        <v>98</v>
      </c>
      <c r="Y1115" s="4"/>
      <c r="Z1115" s="12">
        <v>0</v>
      </c>
      <c r="AA1115" s="13" t="s">
        <v>9172</v>
      </c>
      <c r="AB1115" s="13" t="s">
        <v>9160</v>
      </c>
      <c r="AC1115" s="14" t="s">
        <v>9148</v>
      </c>
      <c r="AD1115" s="14" t="s">
        <v>9140</v>
      </c>
      <c r="AE1115" s="14" t="s">
        <v>9140</v>
      </c>
      <c r="AF1115" s="14" t="s">
        <v>63</v>
      </c>
      <c r="AG1115" s="14" t="s">
        <v>98</v>
      </c>
      <c r="AH1115" s="15" t="s">
        <v>9220</v>
      </c>
      <c r="AI1115" s="15" t="s">
        <v>9187</v>
      </c>
      <c r="AJ1115" s="15" t="s">
        <v>9143</v>
      </c>
      <c r="AK1115" s="15" t="s">
        <v>9221</v>
      </c>
      <c r="AL1115" s="15" t="s">
        <v>9226</v>
      </c>
      <c r="AM1115" s="16" t="s">
        <v>9221</v>
      </c>
      <c r="AN1115" s="16" t="s">
        <v>9227</v>
      </c>
    </row>
    <row r="1116" spans="1:40" x14ac:dyDescent="0.25">
      <c r="A1116" s="4" t="s">
        <v>7365</v>
      </c>
      <c r="B1116" s="4"/>
      <c r="C1116" s="4" t="s">
        <v>39</v>
      </c>
      <c r="D1116" s="4" t="s">
        <v>7366</v>
      </c>
      <c r="E1116" s="4" t="s">
        <v>7367</v>
      </c>
      <c r="F1116" s="10">
        <v>45394</v>
      </c>
      <c r="G1116" s="11">
        <v>0.68472222222222223</v>
      </c>
      <c r="H1116" s="4" t="s">
        <v>4019</v>
      </c>
      <c r="I1116" s="4" t="s">
        <v>7315</v>
      </c>
      <c r="J1116" s="4" t="s">
        <v>1037</v>
      </c>
      <c r="K1116" s="4" t="s">
        <v>7368</v>
      </c>
      <c r="L1116" s="4" t="s">
        <v>7369</v>
      </c>
      <c r="M1116" s="4" t="s">
        <v>46</v>
      </c>
      <c r="N1116" s="4"/>
      <c r="O1116" s="4" t="s">
        <v>47</v>
      </c>
      <c r="P1116" s="4" t="s">
        <v>48</v>
      </c>
      <c r="Q1116" s="4">
        <v>0</v>
      </c>
      <c r="R1116" s="4" t="b">
        <v>0</v>
      </c>
      <c r="S1116" s="4" t="s">
        <v>49</v>
      </c>
      <c r="T1116" s="4" t="s">
        <v>70</v>
      </c>
      <c r="U1116" s="4" t="s">
        <v>71</v>
      </c>
      <c r="V1116" s="4" t="s">
        <v>72</v>
      </c>
      <c r="W1116" s="4" t="s">
        <v>73</v>
      </c>
      <c r="X1116" s="4" t="s">
        <v>98</v>
      </c>
      <c r="Y1116" s="4"/>
      <c r="Z1116" s="12">
        <v>0</v>
      </c>
      <c r="AA1116" s="13" t="s">
        <v>9172</v>
      </c>
      <c r="AB1116" s="13" t="s">
        <v>9160</v>
      </c>
      <c r="AC1116" s="14" t="s">
        <v>9139</v>
      </c>
      <c r="AD1116" s="14" t="s">
        <v>9140</v>
      </c>
      <c r="AE1116" s="14" t="s">
        <v>9140</v>
      </c>
      <c r="AF1116" s="14" t="s">
        <v>72</v>
      </c>
      <c r="AG1116" s="14" t="s">
        <v>98</v>
      </c>
      <c r="AH1116" s="15" t="s">
        <v>9220</v>
      </c>
      <c r="AI1116" s="15" t="s">
        <v>9175</v>
      </c>
      <c r="AJ1116" s="15" t="s">
        <v>9143</v>
      </c>
      <c r="AK1116" s="15" t="s">
        <v>9221</v>
      </c>
      <c r="AL1116" s="15" t="s">
        <v>9222</v>
      </c>
      <c r="AM1116" s="16" t="s">
        <v>9221</v>
      </c>
      <c r="AN1116" s="16" t="s">
        <v>9223</v>
      </c>
    </row>
    <row r="1117" spans="1:40" x14ac:dyDescent="0.25">
      <c r="A1117" s="4" t="s">
        <v>2844</v>
      </c>
      <c r="B1117" s="4"/>
      <c r="C1117" s="4" t="s">
        <v>39</v>
      </c>
      <c r="D1117" s="4" t="s">
        <v>2845</v>
      </c>
      <c r="E1117" s="4" t="s">
        <v>2846</v>
      </c>
      <c r="F1117" s="10">
        <v>45393</v>
      </c>
      <c r="G1117" s="11">
        <v>0.64583333333333337</v>
      </c>
      <c r="H1117" s="4" t="s">
        <v>1939</v>
      </c>
      <c r="I1117" s="4" t="s">
        <v>2830</v>
      </c>
      <c r="J1117" s="4" t="s">
        <v>2831</v>
      </c>
      <c r="K1117" s="4" t="s">
        <v>2847</v>
      </c>
      <c r="L1117" s="4" t="s">
        <v>2848</v>
      </c>
      <c r="M1117" s="4" t="s">
        <v>46</v>
      </c>
      <c r="N1117" s="4"/>
      <c r="O1117" s="4" t="s">
        <v>47</v>
      </c>
      <c r="P1117" s="4" t="s">
        <v>48</v>
      </c>
      <c r="Q1117" s="4">
        <v>0</v>
      </c>
      <c r="R1117" s="4" t="b">
        <v>0</v>
      </c>
      <c r="S1117" s="4" t="s">
        <v>49</v>
      </c>
      <c r="T1117" s="4" t="s">
        <v>433</v>
      </c>
      <c r="U1117" s="4" t="s">
        <v>224</v>
      </c>
      <c r="V1117" s="4" t="s">
        <v>72</v>
      </c>
      <c r="W1117" s="4" t="s">
        <v>73</v>
      </c>
      <c r="X1117" s="4" t="s">
        <v>54</v>
      </c>
      <c r="Y1117" s="4"/>
      <c r="Z1117" s="12">
        <v>0</v>
      </c>
      <c r="AA1117" s="13" t="s">
        <v>9172</v>
      </c>
      <c r="AB1117" s="13" t="s">
        <v>9160</v>
      </c>
      <c r="AC1117" s="14" t="s">
        <v>9139</v>
      </c>
      <c r="AD1117" s="14" t="s">
        <v>9140</v>
      </c>
      <c r="AE1117" s="14" t="s">
        <v>9140</v>
      </c>
      <c r="AF1117" s="14" t="s">
        <v>72</v>
      </c>
      <c r="AG1117" s="14" t="s">
        <v>54</v>
      </c>
      <c r="AH1117" s="15" t="s">
        <v>9194</v>
      </c>
      <c r="AI1117" s="15" t="s">
        <v>9175</v>
      </c>
      <c r="AJ1117" s="15" t="s">
        <v>9143</v>
      </c>
      <c r="AK1117" s="15" t="s">
        <v>9194</v>
      </c>
      <c r="AL1117" s="15" t="s">
        <v>9209</v>
      </c>
      <c r="AM1117" s="16" t="s">
        <v>9194</v>
      </c>
      <c r="AN1117" s="16" t="s">
        <v>9210</v>
      </c>
    </row>
    <row r="1118" spans="1:40" x14ac:dyDescent="0.25">
      <c r="A1118" s="4" t="s">
        <v>2616</v>
      </c>
      <c r="B1118" s="4"/>
      <c r="C1118" s="4" t="s">
        <v>39</v>
      </c>
      <c r="D1118" s="4" t="s">
        <v>2617</v>
      </c>
      <c r="E1118" s="4" t="s">
        <v>2618</v>
      </c>
      <c r="F1118" s="10">
        <v>45393</v>
      </c>
      <c r="G1118" s="11">
        <v>0.59444444444444444</v>
      </c>
      <c r="H1118" s="4" t="s">
        <v>2017</v>
      </c>
      <c r="I1118" s="4" t="s">
        <v>2597</v>
      </c>
      <c r="J1118" s="4" t="s">
        <v>2598</v>
      </c>
      <c r="K1118" s="4" t="s">
        <v>2619</v>
      </c>
      <c r="L1118" s="4" t="s">
        <v>2620</v>
      </c>
      <c r="M1118" s="4" t="s">
        <v>46</v>
      </c>
      <c r="N1118" s="4"/>
      <c r="O1118" s="4" t="s">
        <v>47</v>
      </c>
      <c r="P1118" s="4" t="s">
        <v>48</v>
      </c>
      <c r="Q1118" s="4">
        <v>0</v>
      </c>
      <c r="R1118" s="4" t="b">
        <v>0</v>
      </c>
      <c r="S1118" s="4" t="s">
        <v>49</v>
      </c>
      <c r="T1118" s="4"/>
      <c r="U1118" s="4"/>
      <c r="V1118" s="4"/>
      <c r="W1118" s="4"/>
      <c r="X1118" s="4"/>
      <c r="Y1118" s="4"/>
      <c r="Z1118" s="12">
        <v>0</v>
      </c>
      <c r="AA1118" s="13" t="s">
        <v>9172</v>
      </c>
      <c r="AB1118" s="13" t="s">
        <v>9160</v>
      </c>
      <c r="AC1118" s="14" t="s">
        <v>9139</v>
      </c>
      <c r="AD1118" s="14" t="s">
        <v>9140</v>
      </c>
      <c r="AE1118" s="14" t="s">
        <v>9140</v>
      </c>
      <c r="AF1118" s="14">
        <v>0</v>
      </c>
      <c r="AG1118" s="14">
        <v>0</v>
      </c>
      <c r="AH1118" s="15" t="s">
        <v>9194</v>
      </c>
      <c r="AI1118" s="15" t="s">
        <v>9199</v>
      </c>
      <c r="AJ1118" s="15" t="s">
        <v>9143</v>
      </c>
      <c r="AK1118" s="15" t="s">
        <v>9194</v>
      </c>
      <c r="AL1118" s="15" t="s">
        <v>9199</v>
      </c>
      <c r="AM1118" s="16" t="s">
        <v>9194</v>
      </c>
      <c r="AN1118" s="16" t="s">
        <v>9200</v>
      </c>
    </row>
    <row r="1119" spans="1:40" x14ac:dyDescent="0.25">
      <c r="A1119" s="4" t="s">
        <v>2184</v>
      </c>
      <c r="B1119" s="4"/>
      <c r="C1119" s="4" t="s">
        <v>39</v>
      </c>
      <c r="D1119" s="4" t="s">
        <v>2174</v>
      </c>
      <c r="E1119" s="4" t="s">
        <v>2175</v>
      </c>
      <c r="F1119" s="10">
        <v>45393</v>
      </c>
      <c r="G1119" s="11">
        <v>0.55972222222222223</v>
      </c>
      <c r="H1119" s="4" t="s">
        <v>1939</v>
      </c>
      <c r="I1119" s="4" t="s">
        <v>2176</v>
      </c>
      <c r="J1119" s="4" t="s">
        <v>559</v>
      </c>
      <c r="K1119" s="4" t="s">
        <v>2185</v>
      </c>
      <c r="L1119" s="4" t="s">
        <v>2186</v>
      </c>
      <c r="M1119" s="4" t="s">
        <v>46</v>
      </c>
      <c r="N1119" s="4"/>
      <c r="O1119" s="4" t="s">
        <v>47</v>
      </c>
      <c r="P1119" s="4" t="s">
        <v>48</v>
      </c>
      <c r="Q1119" s="4">
        <v>0</v>
      </c>
      <c r="R1119" s="4" t="b">
        <v>0</v>
      </c>
      <c r="S1119" s="4" t="s">
        <v>61</v>
      </c>
      <c r="T1119" s="4"/>
      <c r="U1119" s="4"/>
      <c r="V1119" s="4"/>
      <c r="W1119" s="4"/>
      <c r="X1119" s="4"/>
      <c r="Y1119" s="4"/>
      <c r="Z1119" s="12">
        <v>0</v>
      </c>
      <c r="AA1119" s="13" t="s">
        <v>9172</v>
      </c>
      <c r="AB1119" s="13" t="s">
        <v>9160</v>
      </c>
      <c r="AC1119" s="14" t="s">
        <v>9148</v>
      </c>
      <c r="AD1119" s="14" t="s">
        <v>9140</v>
      </c>
      <c r="AE1119" s="14" t="s">
        <v>9140</v>
      </c>
      <c r="AF1119" s="14">
        <v>0</v>
      </c>
      <c r="AG1119" s="14">
        <v>0</v>
      </c>
      <c r="AH1119" s="15" t="s">
        <v>9194</v>
      </c>
      <c r="AI1119" s="15" t="s">
        <v>9175</v>
      </c>
      <c r="AJ1119" s="15" t="s">
        <v>9143</v>
      </c>
      <c r="AK1119" s="15" t="s">
        <v>9194</v>
      </c>
      <c r="AL1119" s="15" t="s">
        <v>9195</v>
      </c>
      <c r="AM1119" s="16" t="s">
        <v>9194</v>
      </c>
      <c r="AN1119" s="16" t="s">
        <v>9196</v>
      </c>
    </row>
    <row r="1120" spans="1:40" x14ac:dyDescent="0.25">
      <c r="A1120" s="4" t="s">
        <v>2340</v>
      </c>
      <c r="B1120" s="4"/>
      <c r="C1120" s="4" t="s">
        <v>39</v>
      </c>
      <c r="D1120" s="4" t="s">
        <v>2326</v>
      </c>
      <c r="E1120" s="4" t="s">
        <v>2327</v>
      </c>
      <c r="F1120" s="10">
        <v>45392</v>
      </c>
      <c r="G1120" s="11">
        <v>0.38541666666666669</v>
      </c>
      <c r="H1120" s="4" t="s">
        <v>1939</v>
      </c>
      <c r="I1120" s="4" t="s">
        <v>2322</v>
      </c>
      <c r="J1120" s="4" t="s">
        <v>1037</v>
      </c>
      <c r="K1120" s="4" t="s">
        <v>2341</v>
      </c>
      <c r="L1120" s="4" t="s">
        <v>2342</v>
      </c>
      <c r="M1120" s="4" t="s">
        <v>46</v>
      </c>
      <c r="N1120" s="4"/>
      <c r="O1120" s="4" t="s">
        <v>47</v>
      </c>
      <c r="P1120" s="4" t="s">
        <v>48</v>
      </c>
      <c r="Q1120" s="4">
        <v>0</v>
      </c>
      <c r="R1120" s="4" t="b">
        <v>0</v>
      </c>
      <c r="S1120" s="4" t="s">
        <v>49</v>
      </c>
      <c r="T1120" s="4" t="s">
        <v>115</v>
      </c>
      <c r="U1120" s="4" t="s">
        <v>584</v>
      </c>
      <c r="V1120" s="4" t="s">
        <v>63</v>
      </c>
      <c r="W1120" s="4" t="s">
        <v>64</v>
      </c>
      <c r="X1120" s="4" t="s">
        <v>54</v>
      </c>
      <c r="Y1120" s="4"/>
      <c r="Z1120" s="12">
        <v>0</v>
      </c>
      <c r="AA1120" s="13" t="s">
        <v>9172</v>
      </c>
      <c r="AB1120" s="13" t="s">
        <v>9160</v>
      </c>
      <c r="AC1120" s="14" t="s">
        <v>9139</v>
      </c>
      <c r="AD1120" s="14" t="s">
        <v>9140</v>
      </c>
      <c r="AE1120" s="14" t="s">
        <v>9140</v>
      </c>
      <c r="AF1120" s="14" t="s">
        <v>63</v>
      </c>
      <c r="AG1120" s="14" t="s">
        <v>54</v>
      </c>
      <c r="AH1120" s="15" t="s">
        <v>9194</v>
      </c>
      <c r="AI1120" s="15" t="s">
        <v>9175</v>
      </c>
      <c r="AJ1120" s="15" t="s">
        <v>9143</v>
      </c>
      <c r="AK1120" s="15" t="s">
        <v>9194</v>
      </c>
      <c r="AL1120" s="15" t="s">
        <v>9195</v>
      </c>
      <c r="AM1120" s="16" t="s">
        <v>9194</v>
      </c>
      <c r="AN1120" s="16" t="s">
        <v>9196</v>
      </c>
    </row>
    <row r="1121" spans="1:40" x14ac:dyDescent="0.25">
      <c r="A1121" s="4" t="s">
        <v>3315</v>
      </c>
      <c r="B1121" s="4"/>
      <c r="C1121" s="4" t="s">
        <v>39</v>
      </c>
      <c r="D1121" s="4" t="s">
        <v>3316</v>
      </c>
      <c r="E1121" s="4" t="s">
        <v>3317</v>
      </c>
      <c r="F1121" s="10">
        <v>45392</v>
      </c>
      <c r="G1121" s="11">
        <v>0.69097222222222221</v>
      </c>
      <c r="H1121" s="4" t="s">
        <v>2017</v>
      </c>
      <c r="I1121" s="4" t="s">
        <v>3312</v>
      </c>
      <c r="J1121" s="4" t="s">
        <v>3313</v>
      </c>
      <c r="K1121" s="4" t="s">
        <v>3318</v>
      </c>
      <c r="L1121" s="4" t="s">
        <v>3319</v>
      </c>
      <c r="M1121" s="4" t="s">
        <v>46</v>
      </c>
      <c r="N1121" s="4"/>
      <c r="O1121" s="4" t="s">
        <v>47</v>
      </c>
      <c r="P1121" s="4" t="s">
        <v>48</v>
      </c>
      <c r="Q1121" s="4">
        <v>0</v>
      </c>
      <c r="R1121" s="4" t="b">
        <v>0</v>
      </c>
      <c r="S1121" s="4" t="s">
        <v>61</v>
      </c>
      <c r="T1121" s="4" t="s">
        <v>134</v>
      </c>
      <c r="U1121" s="4" t="s">
        <v>165</v>
      </c>
      <c r="V1121" s="4" t="s">
        <v>63</v>
      </c>
      <c r="W1121" s="4" t="s">
        <v>64</v>
      </c>
      <c r="X1121" s="4" t="s">
        <v>54</v>
      </c>
      <c r="Y1121" s="4"/>
      <c r="Z1121" s="12">
        <v>0</v>
      </c>
      <c r="AA1121" s="13" t="s">
        <v>9172</v>
      </c>
      <c r="AB1121" s="13" t="s">
        <v>9160</v>
      </c>
      <c r="AC1121" s="14" t="s">
        <v>9148</v>
      </c>
      <c r="AD1121" s="14" t="s">
        <v>9140</v>
      </c>
      <c r="AE1121" s="14" t="s">
        <v>9140</v>
      </c>
      <c r="AF1121" s="14" t="s">
        <v>63</v>
      </c>
      <c r="AG1121" s="14" t="s">
        <v>54</v>
      </c>
      <c r="AH1121" s="15" t="s">
        <v>9194</v>
      </c>
      <c r="AI1121" s="15" t="s">
        <v>9199</v>
      </c>
      <c r="AJ1121" s="15" t="s">
        <v>9143</v>
      </c>
      <c r="AK1121" s="15" t="s">
        <v>9194</v>
      </c>
      <c r="AL1121" s="15" t="s">
        <v>9199</v>
      </c>
      <c r="AM1121" s="16" t="s">
        <v>9194</v>
      </c>
      <c r="AN1121" s="16" t="s">
        <v>9200</v>
      </c>
    </row>
    <row r="1122" spans="1:40" x14ac:dyDescent="0.25">
      <c r="A1122" s="4" t="s">
        <v>2444</v>
      </c>
      <c r="B1122" s="4"/>
      <c r="C1122" s="4" t="s">
        <v>39</v>
      </c>
      <c r="D1122" s="4" t="s">
        <v>2445</v>
      </c>
      <c r="E1122" s="4" t="s">
        <v>2446</v>
      </c>
      <c r="F1122" s="10">
        <v>45392</v>
      </c>
      <c r="G1122" s="11">
        <v>0.53125</v>
      </c>
      <c r="H1122" s="4" t="s">
        <v>1939</v>
      </c>
      <c r="I1122" s="4" t="s">
        <v>2393</v>
      </c>
      <c r="J1122" s="4" t="s">
        <v>2394</v>
      </c>
      <c r="K1122" s="4" t="s">
        <v>2447</v>
      </c>
      <c r="L1122" s="4" t="s">
        <v>2448</v>
      </c>
      <c r="M1122" s="4" t="s">
        <v>46</v>
      </c>
      <c r="N1122" s="4"/>
      <c r="O1122" s="4" t="s">
        <v>47</v>
      </c>
      <c r="P1122" s="4" t="s">
        <v>48</v>
      </c>
      <c r="Q1122" s="4">
        <v>0</v>
      </c>
      <c r="R1122" s="4" t="b">
        <v>0</v>
      </c>
      <c r="S1122" s="4" t="s">
        <v>49</v>
      </c>
      <c r="T1122" s="4" t="s">
        <v>134</v>
      </c>
      <c r="U1122" s="4" t="s">
        <v>71</v>
      </c>
      <c r="V1122" s="4" t="s">
        <v>672</v>
      </c>
      <c r="W1122" s="4" t="s">
        <v>1121</v>
      </c>
      <c r="X1122" s="4" t="s">
        <v>2372</v>
      </c>
      <c r="Y1122" s="4"/>
      <c r="Z1122" s="12">
        <v>0</v>
      </c>
      <c r="AA1122" s="13" t="s">
        <v>9172</v>
      </c>
      <c r="AB1122" s="13" t="s">
        <v>9160</v>
      </c>
      <c r="AC1122" s="14" t="s">
        <v>9139</v>
      </c>
      <c r="AD1122" s="14" t="s">
        <v>9140</v>
      </c>
      <c r="AE1122" s="14" t="s">
        <v>9140</v>
      </c>
      <c r="AF1122" s="14" t="s">
        <v>672</v>
      </c>
      <c r="AG1122" s="14" t="s">
        <v>2372</v>
      </c>
      <c r="AH1122" s="15" t="s">
        <v>9194</v>
      </c>
      <c r="AI1122" s="15" t="s">
        <v>9175</v>
      </c>
      <c r="AJ1122" s="15" t="s">
        <v>9143</v>
      </c>
      <c r="AK1122" s="15" t="s">
        <v>9194</v>
      </c>
      <c r="AL1122" s="15" t="s">
        <v>9195</v>
      </c>
      <c r="AM1122" s="16" t="s">
        <v>9194</v>
      </c>
      <c r="AN1122" s="16" t="s">
        <v>9196</v>
      </c>
    </row>
    <row r="1123" spans="1:40" x14ac:dyDescent="0.25">
      <c r="A1123" s="4" t="s">
        <v>3299</v>
      </c>
      <c r="B1123" s="4"/>
      <c r="C1123" s="4" t="s">
        <v>39</v>
      </c>
      <c r="D1123" s="4" t="s">
        <v>3300</v>
      </c>
      <c r="E1123" s="4" t="s">
        <v>3301</v>
      </c>
      <c r="F1123" s="10">
        <v>45392</v>
      </c>
      <c r="G1123" s="11">
        <v>0.65069444444444446</v>
      </c>
      <c r="H1123" s="4" t="s">
        <v>1939</v>
      </c>
      <c r="I1123" s="4" t="s">
        <v>3288</v>
      </c>
      <c r="J1123" s="4" t="s">
        <v>615</v>
      </c>
      <c r="K1123" s="4" t="s">
        <v>3302</v>
      </c>
      <c r="L1123" s="4" t="s">
        <v>3303</v>
      </c>
      <c r="M1123" s="4" t="s">
        <v>46</v>
      </c>
      <c r="N1123" s="4"/>
      <c r="O1123" s="4" t="s">
        <v>47</v>
      </c>
      <c r="P1123" s="4" t="s">
        <v>48</v>
      </c>
      <c r="Q1123" s="4">
        <v>0</v>
      </c>
      <c r="R1123" s="4" t="b">
        <v>0</v>
      </c>
      <c r="S1123" s="4" t="s">
        <v>49</v>
      </c>
      <c r="T1123" s="4" t="s">
        <v>70</v>
      </c>
      <c r="U1123" s="4" t="s">
        <v>71</v>
      </c>
      <c r="V1123" s="4" t="s">
        <v>72</v>
      </c>
      <c r="W1123" s="4" t="s">
        <v>97</v>
      </c>
      <c r="X1123" s="4" t="s">
        <v>54</v>
      </c>
      <c r="Y1123" s="4"/>
      <c r="Z1123" s="12">
        <v>0</v>
      </c>
      <c r="AA1123" s="13" t="s">
        <v>9172</v>
      </c>
      <c r="AB1123" s="13" t="s">
        <v>9160</v>
      </c>
      <c r="AC1123" s="14" t="s">
        <v>9139</v>
      </c>
      <c r="AD1123" s="14" t="s">
        <v>9140</v>
      </c>
      <c r="AE1123" s="14" t="s">
        <v>9140</v>
      </c>
      <c r="AF1123" s="14" t="s">
        <v>72</v>
      </c>
      <c r="AG1123" s="14" t="s">
        <v>54</v>
      </c>
      <c r="AH1123" s="15" t="s">
        <v>9194</v>
      </c>
      <c r="AI1123" s="15" t="s">
        <v>9175</v>
      </c>
      <c r="AJ1123" s="15" t="s">
        <v>9143</v>
      </c>
      <c r="AK1123" s="15" t="s">
        <v>9194</v>
      </c>
      <c r="AL1123" s="15" t="s">
        <v>9209</v>
      </c>
      <c r="AM1123" s="16" t="s">
        <v>9194</v>
      </c>
      <c r="AN1123" s="16" t="s">
        <v>9210</v>
      </c>
    </row>
    <row r="1124" spans="1:40" x14ac:dyDescent="0.25">
      <c r="A1124" s="4" t="s">
        <v>8910</v>
      </c>
      <c r="B1124" s="4"/>
      <c r="C1124" s="4" t="s">
        <v>488</v>
      </c>
      <c r="D1124" s="4" t="s">
        <v>8911</v>
      </c>
      <c r="E1124" s="4" t="s">
        <v>8912</v>
      </c>
      <c r="F1124" s="10">
        <v>45392</v>
      </c>
      <c r="G1124" s="11">
        <v>0.5625</v>
      </c>
      <c r="H1124" s="4" t="s">
        <v>4019</v>
      </c>
      <c r="I1124" s="4" t="s">
        <v>8854</v>
      </c>
      <c r="J1124" s="4" t="s">
        <v>8855</v>
      </c>
      <c r="K1124" s="4" t="s">
        <v>8913</v>
      </c>
      <c r="L1124" s="4" t="s">
        <v>8914</v>
      </c>
      <c r="M1124" s="4" t="s">
        <v>46</v>
      </c>
      <c r="N1124" s="4"/>
      <c r="O1124" s="4" t="s">
        <v>47</v>
      </c>
      <c r="P1124" s="4" t="s">
        <v>48</v>
      </c>
      <c r="Q1124" s="4">
        <v>0</v>
      </c>
      <c r="R1124" s="4" t="b">
        <v>0</v>
      </c>
      <c r="S1124" s="4" t="s">
        <v>61</v>
      </c>
      <c r="T1124" s="4" t="s">
        <v>1357</v>
      </c>
      <c r="U1124" s="4" t="s">
        <v>2432</v>
      </c>
      <c r="V1124" s="4" t="s">
        <v>267</v>
      </c>
      <c r="W1124" s="4" t="s">
        <v>2330</v>
      </c>
      <c r="X1124" s="4" t="s">
        <v>54</v>
      </c>
      <c r="Y1124" s="4"/>
      <c r="Z1124" s="12">
        <v>0</v>
      </c>
      <c r="AA1124" s="13" t="s">
        <v>9172</v>
      </c>
      <c r="AB1124" s="13" t="s">
        <v>9160</v>
      </c>
      <c r="AC1124" s="14" t="s">
        <v>9148</v>
      </c>
      <c r="AD1124" s="14" t="s">
        <v>9140</v>
      </c>
      <c r="AE1124" s="14" t="s">
        <v>9140</v>
      </c>
      <c r="AF1124" s="14" t="s">
        <v>267</v>
      </c>
      <c r="AG1124" s="14" t="s">
        <v>54</v>
      </c>
      <c r="AH1124" s="15" t="s">
        <v>9220</v>
      </c>
      <c r="AI1124" s="15" t="s">
        <v>9175</v>
      </c>
      <c r="AJ1124" s="15" t="s">
        <v>9183</v>
      </c>
      <c r="AK1124" s="15" t="s">
        <v>9239</v>
      </c>
      <c r="AL1124" s="15" t="s">
        <v>9240</v>
      </c>
      <c r="AM1124" s="16" t="s">
        <v>9186</v>
      </c>
      <c r="AN1124" s="16" t="s">
        <v>9186</v>
      </c>
    </row>
    <row r="1125" spans="1:40" x14ac:dyDescent="0.25">
      <c r="A1125" s="4" t="s">
        <v>4534</v>
      </c>
      <c r="B1125" s="4">
        <v>6879423</v>
      </c>
      <c r="C1125" s="4" t="s">
        <v>39</v>
      </c>
      <c r="D1125" s="4" t="s">
        <v>4535</v>
      </c>
      <c r="E1125" s="4" t="s">
        <v>4536</v>
      </c>
      <c r="F1125" s="10">
        <v>45392</v>
      </c>
      <c r="G1125" s="11">
        <v>0.59375</v>
      </c>
      <c r="H1125" s="4" t="s">
        <v>4516</v>
      </c>
      <c r="I1125" s="4" t="s">
        <v>4517</v>
      </c>
      <c r="J1125" s="4" t="s">
        <v>2272</v>
      </c>
      <c r="K1125" s="4" t="s">
        <v>4537</v>
      </c>
      <c r="L1125" s="4" t="s">
        <v>4538</v>
      </c>
      <c r="M1125" s="4" t="s">
        <v>28</v>
      </c>
      <c r="N1125" s="4" t="s">
        <v>147</v>
      </c>
      <c r="O1125" s="4" t="s">
        <v>863</v>
      </c>
      <c r="P1125" s="4" t="s">
        <v>60</v>
      </c>
      <c r="Q1125" s="4">
        <v>25</v>
      </c>
      <c r="R1125" s="4" t="b">
        <v>0</v>
      </c>
      <c r="S1125" s="4" t="s">
        <v>114</v>
      </c>
      <c r="T1125" s="4" t="s">
        <v>583</v>
      </c>
      <c r="U1125" s="4" t="s">
        <v>480</v>
      </c>
      <c r="V1125" s="4" t="s">
        <v>52</v>
      </c>
      <c r="W1125" s="4" t="s">
        <v>53</v>
      </c>
      <c r="X1125" s="4" t="s">
        <v>54</v>
      </c>
      <c r="Y1125" s="4"/>
      <c r="Z1125" s="12" t="s">
        <v>60</v>
      </c>
      <c r="AA1125" s="13" t="s">
        <v>9172</v>
      </c>
      <c r="AB1125" s="13" t="s">
        <v>9160</v>
      </c>
      <c r="AC1125" s="14" t="s">
        <v>9157</v>
      </c>
      <c r="AD1125" s="14" t="s">
        <v>28</v>
      </c>
      <c r="AE1125" s="14" t="s">
        <v>9140</v>
      </c>
      <c r="AF1125" s="14" t="s">
        <v>52</v>
      </c>
      <c r="AG1125" s="14" t="s">
        <v>54</v>
      </c>
      <c r="AH1125" s="15" t="s">
        <v>9220</v>
      </c>
      <c r="AI1125" s="15" t="s">
        <v>9188</v>
      </c>
      <c r="AJ1125" s="15" t="s">
        <v>9143</v>
      </c>
      <c r="AK1125" s="15" t="s">
        <v>9221</v>
      </c>
      <c r="AL1125" s="15" t="s">
        <v>9230</v>
      </c>
      <c r="AM1125" s="16" t="s">
        <v>9221</v>
      </c>
      <c r="AN1125" s="16" t="s">
        <v>9231</v>
      </c>
    </row>
    <row r="1126" spans="1:40" x14ac:dyDescent="0.25">
      <c r="A1126" s="4" t="s">
        <v>6889</v>
      </c>
      <c r="B1126" s="4"/>
      <c r="C1126" s="4" t="s">
        <v>39</v>
      </c>
      <c r="D1126" s="4" t="s">
        <v>6882</v>
      </c>
      <c r="E1126" s="4" t="s">
        <v>6883</v>
      </c>
      <c r="F1126" s="10">
        <v>45391</v>
      </c>
      <c r="G1126" s="11">
        <v>0.41666666666666669</v>
      </c>
      <c r="H1126" s="4" t="s">
        <v>4910</v>
      </c>
      <c r="I1126" s="4" t="s">
        <v>6878</v>
      </c>
      <c r="J1126" s="4" t="s">
        <v>3657</v>
      </c>
      <c r="K1126" s="4" t="s">
        <v>6890</v>
      </c>
      <c r="L1126" s="4" t="s">
        <v>6891</v>
      </c>
      <c r="M1126" s="4" t="s">
        <v>46</v>
      </c>
      <c r="N1126" s="4"/>
      <c r="O1126" s="4" t="s">
        <v>47</v>
      </c>
      <c r="P1126" s="4" t="s">
        <v>48</v>
      </c>
      <c r="Q1126" s="4">
        <v>0</v>
      </c>
      <c r="R1126" s="4" t="b">
        <v>0</v>
      </c>
      <c r="S1126" s="4" t="s">
        <v>61</v>
      </c>
      <c r="T1126" s="4" t="s">
        <v>89</v>
      </c>
      <c r="U1126" s="4" t="s">
        <v>62</v>
      </c>
      <c r="V1126" s="4" t="s">
        <v>52</v>
      </c>
      <c r="W1126" s="4" t="s">
        <v>53</v>
      </c>
      <c r="X1126" s="4" t="s">
        <v>54</v>
      </c>
      <c r="Y1126" s="4"/>
      <c r="Z1126" s="12">
        <v>0</v>
      </c>
      <c r="AA1126" s="13" t="s">
        <v>9172</v>
      </c>
      <c r="AB1126" s="13" t="s">
        <v>9160</v>
      </c>
      <c r="AC1126" s="14" t="s">
        <v>9148</v>
      </c>
      <c r="AD1126" s="14" t="s">
        <v>9140</v>
      </c>
      <c r="AE1126" s="14" t="s">
        <v>9140</v>
      </c>
      <c r="AF1126" s="14" t="s">
        <v>52</v>
      </c>
      <c r="AG1126" s="14" t="s">
        <v>54</v>
      </c>
      <c r="AH1126" s="15" t="s">
        <v>9220</v>
      </c>
      <c r="AI1126" s="15" t="s">
        <v>9191</v>
      </c>
      <c r="AJ1126" s="15" t="s">
        <v>9143</v>
      </c>
      <c r="AK1126" s="15" t="s">
        <v>9221</v>
      </c>
      <c r="AL1126" s="15" t="s">
        <v>9234</v>
      </c>
      <c r="AM1126" s="16" t="s">
        <v>9221</v>
      </c>
      <c r="AN1126" s="16" t="s">
        <v>9235</v>
      </c>
    </row>
    <row r="1127" spans="1:40" x14ac:dyDescent="0.25">
      <c r="A1127" s="4" t="s">
        <v>7993</v>
      </c>
      <c r="B1127" s="4"/>
      <c r="C1127" s="4" t="s">
        <v>39</v>
      </c>
      <c r="D1127" s="4" t="s">
        <v>7994</v>
      </c>
      <c r="E1127" s="4" t="s">
        <v>7995</v>
      </c>
      <c r="F1127" s="10">
        <v>45391</v>
      </c>
      <c r="G1127" s="11">
        <v>0.4375</v>
      </c>
      <c r="H1127" s="4" t="s">
        <v>4910</v>
      </c>
      <c r="I1127" s="4" t="s">
        <v>7985</v>
      </c>
      <c r="J1127" s="4" t="s">
        <v>7986</v>
      </c>
      <c r="K1127" s="4" t="s">
        <v>7996</v>
      </c>
      <c r="L1127" s="4" t="s">
        <v>7997</v>
      </c>
      <c r="M1127" s="4" t="s">
        <v>46</v>
      </c>
      <c r="N1127" s="4"/>
      <c r="O1127" s="4" t="s">
        <v>47</v>
      </c>
      <c r="P1127" s="4" t="s">
        <v>48</v>
      </c>
      <c r="Q1127" s="4">
        <v>0</v>
      </c>
      <c r="R1127" s="4" t="b">
        <v>0</v>
      </c>
      <c r="S1127" s="4" t="s">
        <v>61</v>
      </c>
      <c r="T1127" s="4" t="s">
        <v>89</v>
      </c>
      <c r="U1127" s="4" t="s">
        <v>301</v>
      </c>
      <c r="V1127" s="4" t="s">
        <v>123</v>
      </c>
      <c r="W1127" s="4" t="s">
        <v>124</v>
      </c>
      <c r="X1127" s="4" t="s">
        <v>98</v>
      </c>
      <c r="Y1127" s="4" t="s">
        <v>176</v>
      </c>
      <c r="Z1127" s="12">
        <v>0</v>
      </c>
      <c r="AA1127" s="13" t="s">
        <v>9172</v>
      </c>
      <c r="AB1127" s="13" t="s">
        <v>9160</v>
      </c>
      <c r="AC1127" s="14" t="s">
        <v>9148</v>
      </c>
      <c r="AD1127" s="14" t="s">
        <v>9140</v>
      </c>
      <c r="AE1127" s="14" t="s">
        <v>9140</v>
      </c>
      <c r="AF1127" s="14" t="s">
        <v>123</v>
      </c>
      <c r="AG1127" s="14" t="s">
        <v>98</v>
      </c>
      <c r="AH1127" s="15" t="s">
        <v>9220</v>
      </c>
      <c r="AI1127" s="15" t="s">
        <v>9191</v>
      </c>
      <c r="AJ1127" s="15" t="s">
        <v>9143</v>
      </c>
      <c r="AK1127" s="15" t="s">
        <v>9221</v>
      </c>
      <c r="AL1127" s="15" t="s">
        <v>9234</v>
      </c>
      <c r="AM1127" s="16" t="s">
        <v>9221</v>
      </c>
      <c r="AN1127" s="16" t="s">
        <v>9235</v>
      </c>
    </row>
    <row r="1128" spans="1:40" x14ac:dyDescent="0.25">
      <c r="A1128" s="4" t="s">
        <v>4578</v>
      </c>
      <c r="B1128" s="4">
        <v>6713952</v>
      </c>
      <c r="C1128" s="4" t="s">
        <v>39</v>
      </c>
      <c r="D1128" s="4" t="s">
        <v>4579</v>
      </c>
      <c r="E1128" s="4" t="s">
        <v>4580</v>
      </c>
      <c r="F1128" s="10">
        <v>45390</v>
      </c>
      <c r="G1128" s="11">
        <v>0.48472222222222222</v>
      </c>
      <c r="H1128" s="4" t="s">
        <v>4516</v>
      </c>
      <c r="I1128" s="4" t="s">
        <v>4570</v>
      </c>
      <c r="J1128" s="4" t="s">
        <v>3243</v>
      </c>
      <c r="K1128" s="4" t="s">
        <v>4581</v>
      </c>
      <c r="L1128" s="4" t="s">
        <v>4582</v>
      </c>
      <c r="M1128" s="4" t="s">
        <v>46</v>
      </c>
      <c r="N1128" s="4"/>
      <c r="O1128" s="4" t="s">
        <v>174</v>
      </c>
      <c r="P1128" s="4" t="s">
        <v>48</v>
      </c>
      <c r="Q1128" s="4">
        <v>15</v>
      </c>
      <c r="R1128" s="4" t="b">
        <v>0</v>
      </c>
      <c r="S1128" s="4" t="s">
        <v>114</v>
      </c>
      <c r="T1128" s="4" t="s">
        <v>583</v>
      </c>
      <c r="U1128" s="4" t="s">
        <v>148</v>
      </c>
      <c r="V1128" s="4" t="s">
        <v>52</v>
      </c>
      <c r="W1128" s="4" t="s">
        <v>53</v>
      </c>
      <c r="X1128" s="4" t="s">
        <v>54</v>
      </c>
      <c r="Y1128" s="4"/>
      <c r="Z1128" s="12">
        <v>0</v>
      </c>
      <c r="AA1128" s="13" t="s">
        <v>9172</v>
      </c>
      <c r="AB1128" s="13" t="s">
        <v>9160</v>
      </c>
      <c r="AC1128" s="14" t="s">
        <v>9157</v>
      </c>
      <c r="AD1128" s="14" t="s">
        <v>9140</v>
      </c>
      <c r="AE1128" s="14" t="s">
        <v>9140</v>
      </c>
      <c r="AF1128" s="14" t="s">
        <v>52</v>
      </c>
      <c r="AG1128" s="14" t="s">
        <v>54</v>
      </c>
      <c r="AH1128" s="15" t="s">
        <v>9220</v>
      </c>
      <c r="AI1128" s="15" t="s">
        <v>9188</v>
      </c>
      <c r="AJ1128" s="15" t="s">
        <v>9143</v>
      </c>
      <c r="AK1128" s="15" t="s">
        <v>9221</v>
      </c>
      <c r="AL1128" s="15" t="s">
        <v>9230</v>
      </c>
      <c r="AM1128" s="16" t="s">
        <v>9221</v>
      </c>
      <c r="AN1128" s="16" t="s">
        <v>9231</v>
      </c>
    </row>
    <row r="1129" spans="1:40" x14ac:dyDescent="0.25">
      <c r="A1129" s="4" t="s">
        <v>3802</v>
      </c>
      <c r="B1129" s="4"/>
      <c r="C1129" s="4" t="s">
        <v>39</v>
      </c>
      <c r="D1129" s="4" t="s">
        <v>3803</v>
      </c>
      <c r="E1129" s="4" t="s">
        <v>3804</v>
      </c>
      <c r="F1129" s="10">
        <v>45390</v>
      </c>
      <c r="G1129" s="11">
        <v>0.45833333333333331</v>
      </c>
      <c r="H1129" s="4" t="s">
        <v>2017</v>
      </c>
      <c r="I1129" s="4" t="s">
        <v>3805</v>
      </c>
      <c r="J1129" s="4" t="s">
        <v>3806</v>
      </c>
      <c r="K1129" s="4" t="s">
        <v>3807</v>
      </c>
      <c r="L1129" s="4" t="s">
        <v>3808</v>
      </c>
      <c r="M1129" s="4" t="s">
        <v>46</v>
      </c>
      <c r="N1129" s="4"/>
      <c r="O1129" s="4" t="s">
        <v>47</v>
      </c>
      <c r="P1129" s="4" t="s">
        <v>48</v>
      </c>
      <c r="Q1129" s="4">
        <v>0</v>
      </c>
      <c r="R1129" s="4" t="b">
        <v>0</v>
      </c>
      <c r="S1129" s="4" t="s">
        <v>49</v>
      </c>
      <c r="T1129" s="4" t="s">
        <v>89</v>
      </c>
      <c r="U1129" s="4" t="s">
        <v>90</v>
      </c>
      <c r="V1129" s="4" t="s">
        <v>63</v>
      </c>
      <c r="W1129" s="4" t="s">
        <v>108</v>
      </c>
      <c r="X1129" s="4" t="s">
        <v>98</v>
      </c>
      <c r="Y1129" s="4"/>
      <c r="Z1129" s="12">
        <v>0</v>
      </c>
      <c r="AA1129" s="13" t="s">
        <v>9172</v>
      </c>
      <c r="AB1129" s="13" t="s">
        <v>9160</v>
      </c>
      <c r="AC1129" s="14" t="s">
        <v>9139</v>
      </c>
      <c r="AD1129" s="14" t="s">
        <v>9140</v>
      </c>
      <c r="AE1129" s="14" t="s">
        <v>9140</v>
      </c>
      <c r="AF1129" s="14" t="s">
        <v>63</v>
      </c>
      <c r="AG1129" s="14" t="s">
        <v>98</v>
      </c>
      <c r="AH1129" s="15" t="s">
        <v>9194</v>
      </c>
      <c r="AI1129" s="15" t="s">
        <v>9199</v>
      </c>
      <c r="AJ1129" s="15" t="s">
        <v>9143</v>
      </c>
      <c r="AK1129" s="15" t="s">
        <v>9194</v>
      </c>
      <c r="AL1129" s="15" t="s">
        <v>9199</v>
      </c>
      <c r="AM1129" s="16" t="s">
        <v>9194</v>
      </c>
      <c r="AN1129" s="16" t="s">
        <v>9200</v>
      </c>
    </row>
    <row r="1130" spans="1:40" x14ac:dyDescent="0.25">
      <c r="A1130" s="4" t="s">
        <v>1800</v>
      </c>
      <c r="B1130" s="4"/>
      <c r="C1130" s="4" t="s">
        <v>39</v>
      </c>
      <c r="D1130" s="4" t="s">
        <v>1752</v>
      </c>
      <c r="E1130" s="4" t="s">
        <v>1753</v>
      </c>
      <c r="F1130" s="10">
        <v>45389</v>
      </c>
      <c r="G1130" s="11">
        <v>0.51041666666666663</v>
      </c>
      <c r="H1130" s="4" t="s">
        <v>1654</v>
      </c>
      <c r="I1130" s="4">
        <v>9095</v>
      </c>
      <c r="J1130" s="4" t="s">
        <v>1742</v>
      </c>
      <c r="K1130" s="4" t="s">
        <v>1801</v>
      </c>
      <c r="L1130" s="4" t="s">
        <v>1802</v>
      </c>
      <c r="M1130" s="4" t="s">
        <v>46</v>
      </c>
      <c r="N1130" s="4"/>
      <c r="O1130" s="4" t="s">
        <v>47</v>
      </c>
      <c r="P1130" s="4" t="s">
        <v>48</v>
      </c>
      <c r="Q1130" s="4">
        <v>0</v>
      </c>
      <c r="R1130" s="4" t="b">
        <v>0</v>
      </c>
      <c r="S1130" s="4" t="s">
        <v>49</v>
      </c>
      <c r="T1130" s="4" t="s">
        <v>50</v>
      </c>
      <c r="U1130" s="4" t="s">
        <v>373</v>
      </c>
      <c r="V1130" s="4" t="s">
        <v>63</v>
      </c>
      <c r="W1130" s="4" t="s">
        <v>108</v>
      </c>
      <c r="X1130" s="4" t="s">
        <v>98</v>
      </c>
      <c r="Y1130" s="4"/>
      <c r="Z1130" s="12">
        <v>0</v>
      </c>
      <c r="AA1130" s="13" t="s">
        <v>9172</v>
      </c>
      <c r="AB1130" s="13" t="s">
        <v>9160</v>
      </c>
      <c r="AC1130" s="14" t="s">
        <v>9139</v>
      </c>
      <c r="AD1130" s="14" t="s">
        <v>9140</v>
      </c>
      <c r="AE1130" s="14" t="s">
        <v>9140</v>
      </c>
      <c r="AF1130" s="14" t="s">
        <v>63</v>
      </c>
      <c r="AG1130" s="14" t="s">
        <v>98</v>
      </c>
      <c r="AH1130" s="15" t="s">
        <v>9141</v>
      </c>
      <c r="AI1130" s="15" t="s">
        <v>9191</v>
      </c>
      <c r="AJ1130" s="15" t="s">
        <v>9143</v>
      </c>
      <c r="AK1130" s="15" t="s">
        <v>9141</v>
      </c>
      <c r="AL1130" s="15" t="s">
        <v>9191</v>
      </c>
      <c r="AM1130" s="16" t="s">
        <v>9141</v>
      </c>
      <c r="AN1130" s="16" t="s">
        <v>9192</v>
      </c>
    </row>
    <row r="1131" spans="1:40" x14ac:dyDescent="0.25">
      <c r="A1131" s="4" t="s">
        <v>5719</v>
      </c>
      <c r="B1131" s="4" t="s">
        <v>5720</v>
      </c>
      <c r="C1131" s="4" t="s">
        <v>39</v>
      </c>
      <c r="D1131" s="4" t="s">
        <v>5721</v>
      </c>
      <c r="E1131" s="4" t="s">
        <v>5722</v>
      </c>
      <c r="F1131" s="10">
        <v>45389</v>
      </c>
      <c r="G1131" s="11">
        <v>0.62638888888888888</v>
      </c>
      <c r="H1131" s="4" t="s">
        <v>5666</v>
      </c>
      <c r="I1131" s="4" t="s">
        <v>5667</v>
      </c>
      <c r="J1131" s="4" t="s">
        <v>2192</v>
      </c>
      <c r="K1131" s="4" t="s">
        <v>5723</v>
      </c>
      <c r="L1131" s="4" t="s">
        <v>5724</v>
      </c>
      <c r="M1131" s="4" t="s">
        <v>28</v>
      </c>
      <c r="N1131" s="4" t="s">
        <v>183</v>
      </c>
      <c r="O1131" s="4" t="s">
        <v>174</v>
      </c>
      <c r="P1131" s="4" t="s">
        <v>60</v>
      </c>
      <c r="Q1131" s="4">
        <v>5</v>
      </c>
      <c r="R1131" s="4" t="b">
        <v>0</v>
      </c>
      <c r="S1131" s="4" t="s">
        <v>114</v>
      </c>
      <c r="T1131" s="4" t="s">
        <v>89</v>
      </c>
      <c r="U1131" s="4" t="s">
        <v>175</v>
      </c>
      <c r="V1131" s="4" t="s">
        <v>52</v>
      </c>
      <c r="W1131" s="4" t="s">
        <v>53</v>
      </c>
      <c r="X1131" s="4" t="s">
        <v>54</v>
      </c>
      <c r="Y1131" s="4"/>
      <c r="Z1131" s="12" t="s">
        <v>60</v>
      </c>
      <c r="AA1131" s="13" t="s">
        <v>9172</v>
      </c>
      <c r="AB1131" s="13" t="s">
        <v>9160</v>
      </c>
      <c r="AC1131" s="14" t="s">
        <v>9157</v>
      </c>
      <c r="AD1131" s="14" t="s">
        <v>28</v>
      </c>
      <c r="AE1131" s="14" t="s">
        <v>183</v>
      </c>
      <c r="AF1131" s="14" t="s">
        <v>52</v>
      </c>
      <c r="AG1131" s="14" t="s">
        <v>54</v>
      </c>
      <c r="AH1131" s="15" t="s">
        <v>9220</v>
      </c>
      <c r="AI1131" s="15" t="s">
        <v>9199</v>
      </c>
      <c r="AJ1131" s="15" t="s">
        <v>9143</v>
      </c>
      <c r="AK1131" s="15" t="s">
        <v>9221</v>
      </c>
      <c r="AL1131" s="15" t="s">
        <v>9199</v>
      </c>
      <c r="AM1131" s="16" t="s">
        <v>9221</v>
      </c>
      <c r="AN1131" s="16" t="s">
        <v>9238</v>
      </c>
    </row>
    <row r="1132" spans="1:40" x14ac:dyDescent="0.25">
      <c r="A1132" s="4" t="s">
        <v>4398</v>
      </c>
      <c r="B1132" s="4"/>
      <c r="C1132" s="4" t="s">
        <v>39</v>
      </c>
      <c r="D1132" s="4" t="s">
        <v>4399</v>
      </c>
      <c r="E1132" s="4" t="s">
        <v>4400</v>
      </c>
      <c r="F1132" s="10">
        <v>45389</v>
      </c>
      <c r="G1132" s="11">
        <v>0.47916666666666669</v>
      </c>
      <c r="H1132" s="4" t="s">
        <v>4019</v>
      </c>
      <c r="I1132" s="4" t="s">
        <v>4304</v>
      </c>
      <c r="J1132" s="4" t="s">
        <v>1941</v>
      </c>
      <c r="K1132" s="4" t="s">
        <v>4401</v>
      </c>
      <c r="L1132" s="4" t="s">
        <v>4402</v>
      </c>
      <c r="M1132" s="4" t="s">
        <v>46</v>
      </c>
      <c r="N1132" s="4"/>
      <c r="O1132" s="4" t="s">
        <v>47</v>
      </c>
      <c r="P1132" s="4" t="s">
        <v>48</v>
      </c>
      <c r="Q1132" s="4">
        <v>0</v>
      </c>
      <c r="R1132" s="4" t="b">
        <v>0</v>
      </c>
      <c r="S1132" s="4" t="s">
        <v>49</v>
      </c>
      <c r="T1132" s="4" t="s">
        <v>89</v>
      </c>
      <c r="U1132" s="4" t="s">
        <v>148</v>
      </c>
      <c r="V1132" s="4" t="s">
        <v>52</v>
      </c>
      <c r="W1132" s="4" t="s">
        <v>53</v>
      </c>
      <c r="X1132" s="4" t="s">
        <v>98</v>
      </c>
      <c r="Y1132" s="4"/>
      <c r="Z1132" s="12">
        <v>0</v>
      </c>
      <c r="AA1132" s="13" t="s">
        <v>9172</v>
      </c>
      <c r="AB1132" s="13" t="s">
        <v>9160</v>
      </c>
      <c r="AC1132" s="14" t="s">
        <v>9139</v>
      </c>
      <c r="AD1132" s="14" t="s">
        <v>9140</v>
      </c>
      <c r="AE1132" s="14" t="s">
        <v>9140</v>
      </c>
      <c r="AF1132" s="14" t="s">
        <v>52</v>
      </c>
      <c r="AG1132" s="14" t="s">
        <v>98</v>
      </c>
      <c r="AH1132" s="15" t="s">
        <v>9220</v>
      </c>
      <c r="AI1132" s="15" t="s">
        <v>9175</v>
      </c>
      <c r="AJ1132" s="15" t="s">
        <v>9143</v>
      </c>
      <c r="AK1132" s="15" t="s">
        <v>9221</v>
      </c>
      <c r="AL1132" s="15" t="s">
        <v>9222</v>
      </c>
      <c r="AM1132" s="16" t="s">
        <v>9221</v>
      </c>
      <c r="AN1132" s="16" t="s">
        <v>9223</v>
      </c>
    </row>
    <row r="1133" spans="1:40" x14ac:dyDescent="0.25">
      <c r="A1133" s="4" t="s">
        <v>4218</v>
      </c>
      <c r="B1133" s="4"/>
      <c r="C1133" s="4" t="s">
        <v>39</v>
      </c>
      <c r="D1133" s="4" t="s">
        <v>4219</v>
      </c>
      <c r="E1133" s="4" t="s">
        <v>4220</v>
      </c>
      <c r="F1133" s="10">
        <v>45389</v>
      </c>
      <c r="G1133" s="11">
        <v>0.50416666666666665</v>
      </c>
      <c r="H1133" s="4" t="s">
        <v>4019</v>
      </c>
      <c r="I1133" s="4" t="s">
        <v>4221</v>
      </c>
      <c r="J1133" s="4" t="s">
        <v>3090</v>
      </c>
      <c r="K1133" s="4" t="s">
        <v>4222</v>
      </c>
      <c r="L1133" s="4" t="s">
        <v>4223</v>
      </c>
      <c r="M1133" s="4" t="s">
        <v>46</v>
      </c>
      <c r="N1133" s="4"/>
      <c r="O1133" s="4" t="s">
        <v>47</v>
      </c>
      <c r="P1133" s="4" t="s">
        <v>48</v>
      </c>
      <c r="Q1133" s="4">
        <v>0</v>
      </c>
      <c r="R1133" s="4" t="b">
        <v>0</v>
      </c>
      <c r="S1133" s="4" t="s">
        <v>61</v>
      </c>
      <c r="T1133" s="4" t="s">
        <v>50</v>
      </c>
      <c r="U1133" s="4" t="s">
        <v>122</v>
      </c>
      <c r="V1133" s="4" t="s">
        <v>123</v>
      </c>
      <c r="W1133" s="4" t="s">
        <v>124</v>
      </c>
      <c r="X1133" s="4" t="s">
        <v>98</v>
      </c>
      <c r="Y1133" s="4"/>
      <c r="Z1133" s="12">
        <v>0</v>
      </c>
      <c r="AA1133" s="13" t="s">
        <v>9172</v>
      </c>
      <c r="AB1133" s="13" t="s">
        <v>9160</v>
      </c>
      <c r="AC1133" s="14" t="s">
        <v>9148</v>
      </c>
      <c r="AD1133" s="14" t="s">
        <v>9140</v>
      </c>
      <c r="AE1133" s="14" t="s">
        <v>9140</v>
      </c>
      <c r="AF1133" s="14" t="s">
        <v>123</v>
      </c>
      <c r="AG1133" s="14" t="s">
        <v>98</v>
      </c>
      <c r="AH1133" s="15" t="s">
        <v>9220</v>
      </c>
      <c r="AI1133" s="15" t="s">
        <v>9175</v>
      </c>
      <c r="AJ1133" s="15" t="s">
        <v>9143</v>
      </c>
      <c r="AK1133" s="15" t="s">
        <v>9221</v>
      </c>
      <c r="AL1133" s="15" t="s">
        <v>9224</v>
      </c>
      <c r="AM1133" s="16" t="s">
        <v>9221</v>
      </c>
      <c r="AN1133" s="16" t="s">
        <v>9225</v>
      </c>
    </row>
    <row r="1134" spans="1:40" x14ac:dyDescent="0.25">
      <c r="A1134" s="4" t="s">
        <v>1184</v>
      </c>
      <c r="B1134" s="4"/>
      <c r="C1134" s="4" t="s">
        <v>39</v>
      </c>
      <c r="D1134" s="4" t="s">
        <v>1185</v>
      </c>
      <c r="E1134" s="4" t="s">
        <v>1186</v>
      </c>
      <c r="F1134" s="10">
        <v>45387</v>
      </c>
      <c r="G1134" s="11">
        <v>0.69791666666666663</v>
      </c>
      <c r="H1134" s="4" t="s">
        <v>1155</v>
      </c>
      <c r="I1134" s="4">
        <v>4042</v>
      </c>
      <c r="J1134" s="4" t="s">
        <v>1173</v>
      </c>
      <c r="K1134" s="4" t="s">
        <v>1187</v>
      </c>
      <c r="L1134" s="4" t="s">
        <v>1183</v>
      </c>
      <c r="M1134" s="4" t="s">
        <v>46</v>
      </c>
      <c r="N1134" s="4"/>
      <c r="O1134" s="4" t="s">
        <v>47</v>
      </c>
      <c r="P1134" s="4" t="s">
        <v>48</v>
      </c>
      <c r="Q1134" s="4">
        <v>0</v>
      </c>
      <c r="R1134" s="4" t="b">
        <v>0</v>
      </c>
      <c r="S1134" s="4" t="s">
        <v>114</v>
      </c>
      <c r="T1134" s="4" t="s">
        <v>70</v>
      </c>
      <c r="U1134" s="4" t="s">
        <v>80</v>
      </c>
      <c r="V1134" s="4" t="s">
        <v>63</v>
      </c>
      <c r="W1134" s="4" t="s">
        <v>198</v>
      </c>
      <c r="X1134" s="4" t="s">
        <v>98</v>
      </c>
      <c r="Y1134" s="4"/>
      <c r="Z1134" s="12">
        <v>0</v>
      </c>
      <c r="AA1134" s="13" t="s">
        <v>9172</v>
      </c>
      <c r="AB1134" s="13" t="s">
        <v>9160</v>
      </c>
      <c r="AC1134" s="14" t="s">
        <v>9157</v>
      </c>
      <c r="AD1134" s="14" t="s">
        <v>9140</v>
      </c>
      <c r="AE1134" s="14" t="s">
        <v>9140</v>
      </c>
      <c r="AF1134" s="14" t="s">
        <v>63</v>
      </c>
      <c r="AG1134" s="14" t="s">
        <v>98</v>
      </c>
      <c r="AH1134" s="15" t="s">
        <v>9141</v>
      </c>
      <c r="AI1134" s="15" t="s">
        <v>9187</v>
      </c>
      <c r="AJ1134" s="15" t="s">
        <v>9143</v>
      </c>
      <c r="AK1134" s="15" t="s">
        <v>9141</v>
      </c>
      <c r="AL1134" s="15" t="s">
        <v>9144</v>
      </c>
      <c r="AM1134" s="16" t="s">
        <v>9141</v>
      </c>
      <c r="AN1134" s="16" t="s">
        <v>9145</v>
      </c>
    </row>
    <row r="1135" spans="1:40" x14ac:dyDescent="0.25">
      <c r="A1135" s="4" t="s">
        <v>2087</v>
      </c>
      <c r="B1135" s="4"/>
      <c r="C1135" s="4" t="s">
        <v>39</v>
      </c>
      <c r="D1135" s="4" t="s">
        <v>2088</v>
      </c>
      <c r="E1135" s="4" t="s">
        <v>2089</v>
      </c>
      <c r="F1135" s="10">
        <v>45387</v>
      </c>
      <c r="G1135" s="11">
        <v>0.53125</v>
      </c>
      <c r="H1135" s="4" t="s">
        <v>1992</v>
      </c>
      <c r="I1135" s="4" t="s">
        <v>2061</v>
      </c>
      <c r="J1135" s="4" t="s">
        <v>2062</v>
      </c>
      <c r="K1135" s="4" t="s">
        <v>2090</v>
      </c>
      <c r="L1135" s="4" t="s">
        <v>2091</v>
      </c>
      <c r="M1135" s="4" t="s">
        <v>46</v>
      </c>
      <c r="N1135" s="4"/>
      <c r="O1135" s="4" t="s">
        <v>47</v>
      </c>
      <c r="P1135" s="4" t="s">
        <v>48</v>
      </c>
      <c r="Q1135" s="4">
        <v>0</v>
      </c>
      <c r="R1135" s="4" t="b">
        <v>0</v>
      </c>
      <c r="S1135" s="4" t="s">
        <v>114</v>
      </c>
      <c r="T1135" s="4" t="s">
        <v>70</v>
      </c>
      <c r="U1135" s="4" t="s">
        <v>71</v>
      </c>
      <c r="V1135" s="4" t="s">
        <v>63</v>
      </c>
      <c r="W1135" s="4" t="s">
        <v>198</v>
      </c>
      <c r="X1135" s="4" t="s">
        <v>98</v>
      </c>
      <c r="Y1135" s="4"/>
      <c r="Z1135" s="12">
        <v>0</v>
      </c>
      <c r="AA1135" s="13" t="s">
        <v>9172</v>
      </c>
      <c r="AB1135" s="13" t="s">
        <v>9160</v>
      </c>
      <c r="AC1135" s="14" t="s">
        <v>9157</v>
      </c>
      <c r="AD1135" s="14" t="s">
        <v>9140</v>
      </c>
      <c r="AE1135" s="14" t="s">
        <v>9140</v>
      </c>
      <c r="AF1135" s="14" t="s">
        <v>63</v>
      </c>
      <c r="AG1135" s="14" t="s">
        <v>98</v>
      </c>
      <c r="AH1135" s="15" t="s">
        <v>9194</v>
      </c>
      <c r="AI1135" s="15" t="s">
        <v>9191</v>
      </c>
      <c r="AJ1135" s="15" t="s">
        <v>9143</v>
      </c>
      <c r="AK1135" s="15" t="s">
        <v>9194</v>
      </c>
      <c r="AL1135" s="15" t="s">
        <v>9201</v>
      </c>
      <c r="AM1135" s="16" t="s">
        <v>9194</v>
      </c>
      <c r="AN1135" s="16" t="s">
        <v>9202</v>
      </c>
    </row>
    <row r="1136" spans="1:40" x14ac:dyDescent="0.25">
      <c r="A1136" s="4" t="s">
        <v>3572</v>
      </c>
      <c r="B1136" s="4"/>
      <c r="C1136" s="4" t="s">
        <v>39</v>
      </c>
      <c r="D1136" s="4" t="s">
        <v>3573</v>
      </c>
      <c r="E1136" s="4" t="s">
        <v>3574</v>
      </c>
      <c r="F1136" s="10">
        <v>45386</v>
      </c>
      <c r="G1136" s="11">
        <v>0.70833333333333337</v>
      </c>
      <c r="H1136" s="4" t="s">
        <v>2095</v>
      </c>
      <c r="I1136" s="4" t="s">
        <v>3563</v>
      </c>
      <c r="J1136" s="4" t="s">
        <v>3564</v>
      </c>
      <c r="K1136" s="4" t="s">
        <v>3575</v>
      </c>
      <c r="L1136" s="4" t="s">
        <v>3576</v>
      </c>
      <c r="M1136" s="4" t="s">
        <v>46</v>
      </c>
      <c r="N1136" s="4"/>
      <c r="O1136" s="4" t="s">
        <v>47</v>
      </c>
      <c r="P1136" s="4" t="s">
        <v>48</v>
      </c>
      <c r="Q1136" s="4">
        <v>0</v>
      </c>
      <c r="R1136" s="4" t="b">
        <v>0</v>
      </c>
      <c r="S1136" s="4" t="s">
        <v>49</v>
      </c>
      <c r="T1136" s="4" t="s">
        <v>70</v>
      </c>
      <c r="U1136" s="4" t="s">
        <v>1081</v>
      </c>
      <c r="V1136" s="4" t="s">
        <v>63</v>
      </c>
      <c r="W1136" s="4" t="s">
        <v>108</v>
      </c>
      <c r="X1136" s="4" t="s">
        <v>98</v>
      </c>
      <c r="Y1136" s="4"/>
      <c r="Z1136" s="12">
        <v>0</v>
      </c>
      <c r="AA1136" s="13" t="s">
        <v>9172</v>
      </c>
      <c r="AB1136" s="13" t="s">
        <v>9160</v>
      </c>
      <c r="AC1136" s="14" t="s">
        <v>9139</v>
      </c>
      <c r="AD1136" s="14" t="s">
        <v>9140</v>
      </c>
      <c r="AE1136" s="14" t="s">
        <v>9140</v>
      </c>
      <c r="AF1136" s="14" t="s">
        <v>63</v>
      </c>
      <c r="AG1136" s="14" t="s">
        <v>98</v>
      </c>
      <c r="AH1136" s="15" t="s">
        <v>9194</v>
      </c>
      <c r="AI1136" s="15" t="s">
        <v>9188</v>
      </c>
      <c r="AJ1136" s="15" t="s">
        <v>9143</v>
      </c>
      <c r="AK1136" s="15" t="s">
        <v>9194</v>
      </c>
      <c r="AL1136" s="15" t="s">
        <v>9201</v>
      </c>
      <c r="AM1136" s="16" t="s">
        <v>9194</v>
      </c>
      <c r="AN1136" s="16" t="s">
        <v>9202</v>
      </c>
    </row>
    <row r="1137" spans="1:40" x14ac:dyDescent="0.25">
      <c r="A1137" s="4" t="s">
        <v>4495</v>
      </c>
      <c r="B1137" s="4"/>
      <c r="C1137" s="4" t="s">
        <v>39</v>
      </c>
      <c r="D1137" s="4" t="s">
        <v>4486</v>
      </c>
      <c r="E1137" s="4" t="s">
        <v>4487</v>
      </c>
      <c r="F1137" s="10">
        <v>45386</v>
      </c>
      <c r="G1137" s="11">
        <v>0.5625</v>
      </c>
      <c r="H1137" s="4" t="s">
        <v>4019</v>
      </c>
      <c r="I1137" s="4" t="s">
        <v>4472</v>
      </c>
      <c r="J1137" s="4" t="s">
        <v>3707</v>
      </c>
      <c r="K1137" s="4" t="s">
        <v>4496</v>
      </c>
      <c r="L1137" s="4" t="s">
        <v>4497</v>
      </c>
      <c r="M1137" s="4" t="s">
        <v>46</v>
      </c>
      <c r="N1137" s="4"/>
      <c r="O1137" s="4" t="s">
        <v>47</v>
      </c>
      <c r="P1137" s="4" t="s">
        <v>48</v>
      </c>
      <c r="Q1137" s="4">
        <v>0</v>
      </c>
      <c r="R1137" s="4" t="b">
        <v>0</v>
      </c>
      <c r="S1137" s="4" t="s">
        <v>61</v>
      </c>
      <c r="T1137" s="4" t="s">
        <v>89</v>
      </c>
      <c r="U1137" s="4" t="s">
        <v>71</v>
      </c>
      <c r="V1137" s="4" t="s">
        <v>72</v>
      </c>
      <c r="W1137" s="4" t="s">
        <v>73</v>
      </c>
      <c r="X1137" s="4" t="s">
        <v>54</v>
      </c>
      <c r="Y1137" s="4"/>
      <c r="Z1137" s="12">
        <v>0</v>
      </c>
      <c r="AA1137" s="13" t="s">
        <v>9172</v>
      </c>
      <c r="AB1137" s="13" t="s">
        <v>9160</v>
      </c>
      <c r="AC1137" s="14" t="s">
        <v>9148</v>
      </c>
      <c r="AD1137" s="14" t="s">
        <v>9140</v>
      </c>
      <c r="AE1137" s="14" t="s">
        <v>9140</v>
      </c>
      <c r="AF1137" s="14" t="s">
        <v>72</v>
      </c>
      <c r="AG1137" s="14" t="s">
        <v>54</v>
      </c>
      <c r="AH1137" s="15" t="s">
        <v>9220</v>
      </c>
      <c r="AI1137" s="15" t="s">
        <v>9175</v>
      </c>
      <c r="AJ1137" s="15" t="s">
        <v>9143</v>
      </c>
      <c r="AK1137" s="15" t="s">
        <v>9221</v>
      </c>
      <c r="AL1137" s="15" t="s">
        <v>9228</v>
      </c>
      <c r="AM1137" s="16" t="s">
        <v>9221</v>
      </c>
      <c r="AN1137" s="16" t="s">
        <v>9229</v>
      </c>
    </row>
    <row r="1138" spans="1:40" x14ac:dyDescent="0.25">
      <c r="A1138" s="4" t="s">
        <v>7103</v>
      </c>
      <c r="B1138" s="4"/>
      <c r="C1138" s="4" t="s">
        <v>39</v>
      </c>
      <c r="D1138" s="4" t="s">
        <v>7104</v>
      </c>
      <c r="E1138" s="4" t="s">
        <v>7105</v>
      </c>
      <c r="F1138" s="10">
        <v>45386</v>
      </c>
      <c r="G1138" s="11">
        <v>0.71111111111111114</v>
      </c>
      <c r="H1138" s="4" t="s">
        <v>4242</v>
      </c>
      <c r="I1138" s="4" t="s">
        <v>7028</v>
      </c>
      <c r="J1138" s="4" t="s">
        <v>7029</v>
      </c>
      <c r="K1138" s="4" t="s">
        <v>7106</v>
      </c>
      <c r="L1138" s="4" t="s">
        <v>7107</v>
      </c>
      <c r="M1138" s="4" t="s">
        <v>46</v>
      </c>
      <c r="N1138" s="4"/>
      <c r="O1138" s="4" t="s">
        <v>47</v>
      </c>
      <c r="P1138" s="4" t="s">
        <v>48</v>
      </c>
      <c r="Q1138" s="4">
        <v>0</v>
      </c>
      <c r="R1138" s="4" t="b">
        <v>0</v>
      </c>
      <c r="S1138" s="4" t="s">
        <v>61</v>
      </c>
      <c r="T1138" s="4" t="s">
        <v>89</v>
      </c>
      <c r="U1138" s="4" t="s">
        <v>148</v>
      </c>
      <c r="V1138" s="4" t="s">
        <v>123</v>
      </c>
      <c r="W1138" s="4" t="s">
        <v>124</v>
      </c>
      <c r="X1138" s="4" t="s">
        <v>98</v>
      </c>
      <c r="Y1138" s="4"/>
      <c r="Z1138" s="12">
        <v>0</v>
      </c>
      <c r="AA1138" s="13" t="s">
        <v>9172</v>
      </c>
      <c r="AB1138" s="13" t="s">
        <v>9160</v>
      </c>
      <c r="AC1138" s="14" t="s">
        <v>9148</v>
      </c>
      <c r="AD1138" s="14" t="s">
        <v>9140</v>
      </c>
      <c r="AE1138" s="14" t="s">
        <v>9140</v>
      </c>
      <c r="AF1138" s="14" t="s">
        <v>123</v>
      </c>
      <c r="AG1138" s="14" t="s">
        <v>98</v>
      </c>
      <c r="AH1138" s="15" t="s">
        <v>9220</v>
      </c>
      <c r="AI1138" s="15" t="s">
        <v>9187</v>
      </c>
      <c r="AJ1138" s="15" t="s">
        <v>9143</v>
      </c>
      <c r="AK1138" s="15" t="s">
        <v>9221</v>
      </c>
      <c r="AL1138" s="15" t="s">
        <v>9226</v>
      </c>
      <c r="AM1138" s="16" t="s">
        <v>9221</v>
      </c>
      <c r="AN1138" s="16" t="s">
        <v>9227</v>
      </c>
    </row>
    <row r="1139" spans="1:40" x14ac:dyDescent="0.25">
      <c r="A1139" s="4" t="s">
        <v>8062</v>
      </c>
      <c r="B1139" s="4"/>
      <c r="C1139" s="4" t="s">
        <v>39</v>
      </c>
      <c r="D1139" s="4" t="s">
        <v>8063</v>
      </c>
      <c r="E1139" s="4" t="s">
        <v>8064</v>
      </c>
      <c r="F1139" s="10">
        <v>45385</v>
      </c>
      <c r="G1139" s="11">
        <v>0.4513888888888889</v>
      </c>
      <c r="H1139" s="4" t="s">
        <v>4910</v>
      </c>
      <c r="I1139" s="4" t="s">
        <v>8017</v>
      </c>
      <c r="J1139" s="4" t="s">
        <v>8018</v>
      </c>
      <c r="K1139" s="4" t="s">
        <v>5473</v>
      </c>
      <c r="L1139" s="4" t="s">
        <v>8065</v>
      </c>
      <c r="M1139" s="4" t="s">
        <v>46</v>
      </c>
      <c r="N1139" s="4"/>
      <c r="O1139" s="4" t="s">
        <v>47</v>
      </c>
      <c r="P1139" s="4" t="s">
        <v>48</v>
      </c>
      <c r="Q1139" s="4">
        <v>0</v>
      </c>
      <c r="R1139" s="4" t="b">
        <v>0</v>
      </c>
      <c r="S1139" s="4" t="s">
        <v>49</v>
      </c>
      <c r="T1139" s="4" t="s">
        <v>50</v>
      </c>
      <c r="U1139" s="4" t="s">
        <v>140</v>
      </c>
      <c r="V1139" s="4" t="s">
        <v>52</v>
      </c>
      <c r="W1139" s="4" t="s">
        <v>255</v>
      </c>
      <c r="X1139" s="4" t="s">
        <v>98</v>
      </c>
      <c r="Y1139" s="4"/>
      <c r="Z1139" s="12">
        <v>0</v>
      </c>
      <c r="AA1139" s="13" t="s">
        <v>9172</v>
      </c>
      <c r="AB1139" s="13" t="s">
        <v>9160</v>
      </c>
      <c r="AC1139" s="14" t="s">
        <v>9139</v>
      </c>
      <c r="AD1139" s="14" t="s">
        <v>9140</v>
      </c>
      <c r="AE1139" s="14" t="s">
        <v>9140</v>
      </c>
      <c r="AF1139" s="14" t="s">
        <v>52</v>
      </c>
      <c r="AG1139" s="14" t="s">
        <v>98</v>
      </c>
      <c r="AH1139" s="15" t="s">
        <v>9220</v>
      </c>
      <c r="AI1139" s="15" t="s">
        <v>9191</v>
      </c>
      <c r="AJ1139" s="15" t="s">
        <v>9143</v>
      </c>
      <c r="AK1139" s="15" t="s">
        <v>9221</v>
      </c>
      <c r="AL1139" s="15" t="s">
        <v>9234</v>
      </c>
      <c r="AM1139" s="16" t="s">
        <v>9221</v>
      </c>
      <c r="AN1139" s="16" t="s">
        <v>9235</v>
      </c>
    </row>
    <row r="1140" spans="1:40" x14ac:dyDescent="0.25">
      <c r="A1140" s="4" t="s">
        <v>8616</v>
      </c>
      <c r="B1140" s="17"/>
      <c r="C1140" s="4" t="s">
        <v>39</v>
      </c>
      <c r="D1140" s="4" t="s">
        <v>8617</v>
      </c>
      <c r="E1140" s="4" t="s">
        <v>8618</v>
      </c>
      <c r="F1140" s="10">
        <v>45384</v>
      </c>
      <c r="G1140" s="18">
        <v>0.71527777777777779</v>
      </c>
      <c r="H1140" s="4" t="s">
        <v>4516</v>
      </c>
      <c r="I1140" s="4" t="s">
        <v>8612</v>
      </c>
      <c r="J1140" s="4" t="s">
        <v>8613</v>
      </c>
      <c r="K1140" s="4" t="s">
        <v>8619</v>
      </c>
      <c r="L1140" s="4" t="s">
        <v>8620</v>
      </c>
      <c r="M1140" s="4" t="s">
        <v>46</v>
      </c>
      <c r="N1140" s="4"/>
      <c r="O1140" s="4" t="s">
        <v>47</v>
      </c>
      <c r="P1140" s="4" t="s">
        <v>48</v>
      </c>
      <c r="Q1140" s="4">
        <v>0</v>
      </c>
      <c r="R1140" s="4" t="b">
        <v>0</v>
      </c>
      <c r="S1140" s="4" t="s">
        <v>49</v>
      </c>
      <c r="T1140" s="4" t="s">
        <v>89</v>
      </c>
      <c r="U1140" s="4" t="s">
        <v>71</v>
      </c>
      <c r="V1140" s="4" t="s">
        <v>63</v>
      </c>
      <c r="W1140" s="4" t="s">
        <v>312</v>
      </c>
      <c r="X1140" s="4" t="s">
        <v>98</v>
      </c>
      <c r="Y1140" s="4"/>
      <c r="Z1140" s="12">
        <v>0</v>
      </c>
      <c r="AA1140" s="13" t="s">
        <v>9172</v>
      </c>
      <c r="AB1140" s="13" t="s">
        <v>9160</v>
      </c>
      <c r="AC1140" s="14" t="s">
        <v>9139</v>
      </c>
      <c r="AD1140" s="14" t="s">
        <v>9140</v>
      </c>
      <c r="AE1140" s="14" t="s">
        <v>9140</v>
      </c>
      <c r="AF1140" s="14" t="s">
        <v>63</v>
      </c>
      <c r="AG1140" s="14" t="s">
        <v>98</v>
      </c>
      <c r="AH1140" s="15" t="s">
        <v>9220</v>
      </c>
      <c r="AI1140" s="15" t="s">
        <v>9188</v>
      </c>
      <c r="AJ1140" s="15" t="s">
        <v>9143</v>
      </c>
      <c r="AK1140" s="15" t="s">
        <v>9221</v>
      </c>
      <c r="AL1140" s="15" t="s">
        <v>9230</v>
      </c>
      <c r="AM1140" s="16" t="s">
        <v>9221</v>
      </c>
      <c r="AN1140" s="16" t="s">
        <v>9231</v>
      </c>
    </row>
    <row r="1141" spans="1:40" x14ac:dyDescent="0.25">
      <c r="A1141" s="4" t="s">
        <v>7206</v>
      </c>
      <c r="B1141" s="4"/>
      <c r="C1141" s="4" t="s">
        <v>39</v>
      </c>
      <c r="D1141" s="4" t="s">
        <v>7178</v>
      </c>
      <c r="E1141" s="4" t="s">
        <v>7179</v>
      </c>
      <c r="F1141" s="10">
        <v>45384</v>
      </c>
      <c r="G1141" s="11">
        <v>0.27291666666666664</v>
      </c>
      <c r="H1141" s="4" t="s">
        <v>4516</v>
      </c>
      <c r="I1141" s="4" t="s">
        <v>7180</v>
      </c>
      <c r="J1141" s="4" t="s">
        <v>7181</v>
      </c>
      <c r="K1141" s="4" t="s">
        <v>7207</v>
      </c>
      <c r="L1141" s="4" t="s">
        <v>7208</v>
      </c>
      <c r="M1141" s="4" t="s">
        <v>46</v>
      </c>
      <c r="N1141" s="4"/>
      <c r="O1141" s="4" t="s">
        <v>47</v>
      </c>
      <c r="P1141" s="4" t="s">
        <v>48</v>
      </c>
      <c r="Q1141" s="4">
        <v>0</v>
      </c>
      <c r="R1141" s="4" t="b">
        <v>0</v>
      </c>
      <c r="S1141" s="4" t="s">
        <v>61</v>
      </c>
      <c r="T1141" s="4" t="s">
        <v>89</v>
      </c>
      <c r="U1141" s="4" t="s">
        <v>584</v>
      </c>
      <c r="V1141" s="4" t="s">
        <v>52</v>
      </c>
      <c r="W1141" s="4" t="s">
        <v>53</v>
      </c>
      <c r="X1141" s="4" t="s">
        <v>54</v>
      </c>
      <c r="Y1141" s="4"/>
      <c r="Z1141" s="12">
        <v>0</v>
      </c>
      <c r="AA1141" s="13" t="s">
        <v>9172</v>
      </c>
      <c r="AB1141" s="13" t="s">
        <v>9160</v>
      </c>
      <c r="AC1141" s="14" t="s">
        <v>9148</v>
      </c>
      <c r="AD1141" s="14" t="s">
        <v>9140</v>
      </c>
      <c r="AE1141" s="14" t="s">
        <v>9140</v>
      </c>
      <c r="AF1141" s="14" t="s">
        <v>52</v>
      </c>
      <c r="AG1141" s="14" t="s">
        <v>54</v>
      </c>
      <c r="AH1141" s="15" t="s">
        <v>9220</v>
      </c>
      <c r="AI1141" s="15" t="s">
        <v>9188</v>
      </c>
      <c r="AJ1141" s="15" t="s">
        <v>9143</v>
      </c>
      <c r="AK1141" s="15" t="s">
        <v>9221</v>
      </c>
      <c r="AL1141" s="15" t="s">
        <v>9230</v>
      </c>
      <c r="AM1141" s="16" t="s">
        <v>9221</v>
      </c>
      <c r="AN1141" s="16" t="s">
        <v>9231</v>
      </c>
    </row>
    <row r="1142" spans="1:40" x14ac:dyDescent="0.25">
      <c r="A1142" s="4" t="s">
        <v>8404</v>
      </c>
      <c r="B1142" s="4"/>
      <c r="C1142" s="4" t="s">
        <v>39</v>
      </c>
      <c r="D1142" s="4" t="s">
        <v>8405</v>
      </c>
      <c r="E1142" s="4" t="s">
        <v>8406</v>
      </c>
      <c r="F1142" s="10">
        <v>45384</v>
      </c>
      <c r="G1142" s="11">
        <v>0.61111111111111116</v>
      </c>
      <c r="H1142" s="4" t="s">
        <v>4910</v>
      </c>
      <c r="I1142" s="4" t="s">
        <v>8378</v>
      </c>
      <c r="J1142" s="4" t="s">
        <v>3188</v>
      </c>
      <c r="K1142" s="4" t="s">
        <v>8407</v>
      </c>
      <c r="L1142" s="4" t="s">
        <v>8408</v>
      </c>
      <c r="M1142" s="4" t="s">
        <v>46</v>
      </c>
      <c r="N1142" s="4"/>
      <c r="O1142" s="4" t="s">
        <v>47</v>
      </c>
      <c r="P1142" s="4" t="s">
        <v>48</v>
      </c>
      <c r="Q1142" s="4">
        <v>0</v>
      </c>
      <c r="R1142" s="4" t="b">
        <v>0</v>
      </c>
      <c r="S1142" s="4" t="s">
        <v>49</v>
      </c>
      <c r="T1142" s="4" t="s">
        <v>89</v>
      </c>
      <c r="U1142" s="4" t="s">
        <v>51</v>
      </c>
      <c r="V1142" s="4" t="s">
        <v>123</v>
      </c>
      <c r="W1142" s="4" t="s">
        <v>124</v>
      </c>
      <c r="X1142" s="4" t="s">
        <v>54</v>
      </c>
      <c r="Y1142" s="4"/>
      <c r="Z1142" s="12">
        <v>0</v>
      </c>
      <c r="AA1142" s="13" t="s">
        <v>9172</v>
      </c>
      <c r="AB1142" s="13" t="s">
        <v>9160</v>
      </c>
      <c r="AC1142" s="14" t="s">
        <v>9139</v>
      </c>
      <c r="AD1142" s="14" t="s">
        <v>9140</v>
      </c>
      <c r="AE1142" s="14" t="s">
        <v>9140</v>
      </c>
      <c r="AF1142" s="14" t="s">
        <v>123</v>
      </c>
      <c r="AG1142" s="14" t="s">
        <v>54</v>
      </c>
      <c r="AH1142" s="15" t="s">
        <v>9220</v>
      </c>
      <c r="AI1142" s="15" t="s">
        <v>9191</v>
      </c>
      <c r="AJ1142" s="15" t="s">
        <v>9143</v>
      </c>
      <c r="AK1142" s="15" t="s">
        <v>9221</v>
      </c>
      <c r="AL1142" s="15" t="s">
        <v>9226</v>
      </c>
      <c r="AM1142" s="16" t="s">
        <v>9221</v>
      </c>
      <c r="AN1142" s="16" t="s">
        <v>9227</v>
      </c>
    </row>
    <row r="1143" spans="1:40" x14ac:dyDescent="0.25">
      <c r="A1143" s="4" t="s">
        <v>8577</v>
      </c>
      <c r="B1143" s="4"/>
      <c r="C1143" s="4" t="s">
        <v>39</v>
      </c>
      <c r="D1143" s="4" t="s">
        <v>8578</v>
      </c>
      <c r="E1143" s="4" t="s">
        <v>8579</v>
      </c>
      <c r="F1143" s="10">
        <v>45384</v>
      </c>
      <c r="G1143" s="11">
        <v>0.49305555555555558</v>
      </c>
      <c r="H1143" s="4" t="s">
        <v>4910</v>
      </c>
      <c r="I1143" s="4" t="s">
        <v>8580</v>
      </c>
      <c r="J1143" s="4" t="s">
        <v>1896</v>
      </c>
      <c r="K1143" s="4" t="s">
        <v>8581</v>
      </c>
      <c r="L1143" s="4" t="s">
        <v>8582</v>
      </c>
      <c r="M1143" s="4" t="s">
        <v>46</v>
      </c>
      <c r="N1143" s="4"/>
      <c r="O1143" s="4" t="s">
        <v>47</v>
      </c>
      <c r="P1143" s="4" t="s">
        <v>48</v>
      </c>
      <c r="Q1143" s="4">
        <v>0</v>
      </c>
      <c r="R1143" s="4" t="b">
        <v>0</v>
      </c>
      <c r="S1143" s="4" t="s">
        <v>61</v>
      </c>
      <c r="T1143" s="4" t="s">
        <v>89</v>
      </c>
      <c r="U1143" s="4" t="s">
        <v>148</v>
      </c>
      <c r="V1143" s="4" t="s">
        <v>52</v>
      </c>
      <c r="W1143" s="4" t="s">
        <v>255</v>
      </c>
      <c r="X1143" s="4" t="s">
        <v>54</v>
      </c>
      <c r="Y1143" s="4"/>
      <c r="Z1143" s="12">
        <v>0</v>
      </c>
      <c r="AA1143" s="13" t="s">
        <v>9172</v>
      </c>
      <c r="AB1143" s="13" t="s">
        <v>9160</v>
      </c>
      <c r="AC1143" s="14" t="s">
        <v>9148</v>
      </c>
      <c r="AD1143" s="14" t="s">
        <v>9140</v>
      </c>
      <c r="AE1143" s="14" t="s">
        <v>9140</v>
      </c>
      <c r="AF1143" s="14" t="s">
        <v>52</v>
      </c>
      <c r="AG1143" s="14" t="s">
        <v>54</v>
      </c>
      <c r="AH1143" s="15" t="s">
        <v>9220</v>
      </c>
      <c r="AI1143" s="15" t="s">
        <v>9191</v>
      </c>
      <c r="AJ1143" s="15" t="s">
        <v>9143</v>
      </c>
      <c r="AK1143" s="15" t="s">
        <v>9221</v>
      </c>
      <c r="AL1143" s="15" t="s">
        <v>9226</v>
      </c>
      <c r="AM1143" s="16" t="s">
        <v>9221</v>
      </c>
      <c r="AN1143" s="16" t="s">
        <v>9227</v>
      </c>
    </row>
    <row r="1144" spans="1:40" x14ac:dyDescent="0.25">
      <c r="A1144" s="4" t="s">
        <v>828</v>
      </c>
      <c r="B1144" s="4">
        <v>12230088834</v>
      </c>
      <c r="C1144" s="4" t="s">
        <v>39</v>
      </c>
      <c r="D1144" s="4" t="s">
        <v>829</v>
      </c>
      <c r="E1144" s="4" t="s">
        <v>830</v>
      </c>
      <c r="F1144" s="10">
        <v>45383</v>
      </c>
      <c r="G1144" s="11">
        <v>0.54166666666666663</v>
      </c>
      <c r="H1144" s="4" t="s">
        <v>463</v>
      </c>
      <c r="I1144" s="4">
        <v>2028</v>
      </c>
      <c r="J1144" s="4" t="s">
        <v>804</v>
      </c>
      <c r="K1144" s="4" t="s">
        <v>831</v>
      </c>
      <c r="L1144" s="4" t="s">
        <v>832</v>
      </c>
      <c r="M1144" s="4" t="s">
        <v>28</v>
      </c>
      <c r="N1144" s="4" t="s">
        <v>183</v>
      </c>
      <c r="O1144" s="4" t="s">
        <v>174</v>
      </c>
      <c r="P1144" s="4" t="s">
        <v>48</v>
      </c>
      <c r="Q1144" s="4">
        <v>22</v>
      </c>
      <c r="R1144" s="4" t="b">
        <v>0</v>
      </c>
      <c r="S1144" s="4" t="s">
        <v>114</v>
      </c>
      <c r="T1144" s="4" t="s">
        <v>89</v>
      </c>
      <c r="U1144" s="4" t="s">
        <v>90</v>
      </c>
      <c r="V1144" s="4" t="s">
        <v>63</v>
      </c>
      <c r="W1144" s="4" t="s">
        <v>64</v>
      </c>
      <c r="X1144" s="4" t="s">
        <v>54</v>
      </c>
      <c r="Y1144" s="4"/>
      <c r="Z1144" s="12" t="s">
        <v>48</v>
      </c>
      <c r="AA1144" s="13" t="s">
        <v>9172</v>
      </c>
      <c r="AB1144" s="13" t="s">
        <v>9160</v>
      </c>
      <c r="AC1144" s="14" t="s">
        <v>9157</v>
      </c>
      <c r="AD1144" s="14" t="s">
        <v>28</v>
      </c>
      <c r="AE1144" s="14" t="s">
        <v>183</v>
      </c>
      <c r="AF1144" s="14" t="s">
        <v>63</v>
      </c>
      <c r="AG1144" s="14" t="s">
        <v>54</v>
      </c>
      <c r="AH1144" s="15" t="s">
        <v>9141</v>
      </c>
      <c r="AI1144" s="15" t="s">
        <v>9175</v>
      </c>
      <c r="AJ1144" s="15" t="s">
        <v>9143</v>
      </c>
      <c r="AK1144" s="15" t="s">
        <v>9141</v>
      </c>
      <c r="AL1144" s="15" t="s">
        <v>9175</v>
      </c>
      <c r="AM1144" s="16" t="s">
        <v>9141</v>
      </c>
      <c r="AN1144" s="16" t="s">
        <v>9176</v>
      </c>
    </row>
    <row r="1145" spans="1:40" x14ac:dyDescent="0.25">
      <c r="A1145" s="4" t="s">
        <v>1045</v>
      </c>
      <c r="B1145" s="4"/>
      <c r="C1145" s="4" t="s">
        <v>39</v>
      </c>
      <c r="D1145" s="4" t="s">
        <v>1041</v>
      </c>
      <c r="E1145" s="4" t="s">
        <v>1042</v>
      </c>
      <c r="F1145" s="10">
        <v>45381</v>
      </c>
      <c r="G1145" s="11">
        <v>0.32430555555555557</v>
      </c>
      <c r="H1145" s="4" t="s">
        <v>463</v>
      </c>
      <c r="I1145" s="4">
        <v>2045</v>
      </c>
      <c r="J1145" s="4" t="s">
        <v>1037</v>
      </c>
      <c r="K1145" s="4" t="s">
        <v>670</v>
      </c>
      <c r="L1145" s="4" t="s">
        <v>1046</v>
      </c>
      <c r="M1145" s="4" t="s">
        <v>46</v>
      </c>
      <c r="N1145" s="4"/>
      <c r="O1145" s="4" t="s">
        <v>47</v>
      </c>
      <c r="P1145" s="4" t="s">
        <v>48</v>
      </c>
      <c r="Q1145" s="4">
        <v>0</v>
      </c>
      <c r="R1145" s="4" t="b">
        <v>0</v>
      </c>
      <c r="S1145" s="4" t="s">
        <v>61</v>
      </c>
      <c r="T1145" s="4" t="s">
        <v>89</v>
      </c>
      <c r="U1145" s="4" t="s">
        <v>175</v>
      </c>
      <c r="V1145" s="4" t="s">
        <v>52</v>
      </c>
      <c r="W1145" s="4" t="s">
        <v>53</v>
      </c>
      <c r="X1145" s="4" t="s">
        <v>98</v>
      </c>
      <c r="Y1145" s="4"/>
      <c r="Z1145" s="12">
        <v>0</v>
      </c>
      <c r="AA1145" s="13" t="s">
        <v>9172</v>
      </c>
      <c r="AB1145" s="13" t="s">
        <v>9160</v>
      </c>
      <c r="AC1145" s="14" t="s">
        <v>9148</v>
      </c>
      <c r="AD1145" s="14" t="s">
        <v>9140</v>
      </c>
      <c r="AE1145" s="14" t="s">
        <v>9140</v>
      </c>
      <c r="AF1145" s="14" t="s">
        <v>52</v>
      </c>
      <c r="AG1145" s="14" t="s">
        <v>98</v>
      </c>
      <c r="AH1145" s="15" t="s">
        <v>9141</v>
      </c>
      <c r="AI1145" s="15" t="s">
        <v>9175</v>
      </c>
      <c r="AJ1145" s="15" t="s">
        <v>9143</v>
      </c>
      <c r="AK1145" s="15" t="s">
        <v>9141</v>
      </c>
      <c r="AL1145" s="15" t="s">
        <v>9175</v>
      </c>
      <c r="AM1145" s="16" t="s">
        <v>9141</v>
      </c>
      <c r="AN1145" s="16" t="s">
        <v>9176</v>
      </c>
    </row>
    <row r="1146" spans="1:40" x14ac:dyDescent="0.25">
      <c r="A1146" s="4" t="s">
        <v>2449</v>
      </c>
      <c r="B1146" s="4"/>
      <c r="C1146" s="4" t="s">
        <v>39</v>
      </c>
      <c r="D1146" s="4" t="s">
        <v>2450</v>
      </c>
      <c r="E1146" s="4" t="s">
        <v>2451</v>
      </c>
      <c r="F1146" s="10">
        <v>45381</v>
      </c>
      <c r="G1146" s="11">
        <v>0.65972222222222221</v>
      </c>
      <c r="H1146" s="4" t="s">
        <v>1939</v>
      </c>
      <c r="I1146" s="4" t="s">
        <v>2393</v>
      </c>
      <c r="J1146" s="4" t="s">
        <v>2394</v>
      </c>
      <c r="K1146" s="4" t="s">
        <v>2452</v>
      </c>
      <c r="L1146" s="4" t="s">
        <v>2453</v>
      </c>
      <c r="M1146" s="4" t="s">
        <v>46</v>
      </c>
      <c r="N1146" s="4"/>
      <c r="O1146" s="4" t="s">
        <v>47</v>
      </c>
      <c r="P1146" s="4" t="s">
        <v>48</v>
      </c>
      <c r="Q1146" s="4">
        <v>0</v>
      </c>
      <c r="R1146" s="4" t="b">
        <v>0</v>
      </c>
      <c r="S1146" s="4" t="s">
        <v>49</v>
      </c>
      <c r="T1146" s="4" t="s">
        <v>70</v>
      </c>
      <c r="U1146" s="4" t="s">
        <v>71</v>
      </c>
      <c r="V1146" s="4" t="s">
        <v>72</v>
      </c>
      <c r="W1146" s="4" t="s">
        <v>97</v>
      </c>
      <c r="X1146" s="4" t="s">
        <v>54</v>
      </c>
      <c r="Y1146" s="4"/>
      <c r="Z1146" s="12">
        <v>0</v>
      </c>
      <c r="AA1146" s="13" t="s">
        <v>9172</v>
      </c>
      <c r="AB1146" s="13" t="s">
        <v>9160</v>
      </c>
      <c r="AC1146" s="14" t="s">
        <v>9139</v>
      </c>
      <c r="AD1146" s="14" t="s">
        <v>9140</v>
      </c>
      <c r="AE1146" s="14" t="s">
        <v>9140</v>
      </c>
      <c r="AF1146" s="14" t="s">
        <v>72</v>
      </c>
      <c r="AG1146" s="14" t="s">
        <v>54</v>
      </c>
      <c r="AH1146" s="15" t="s">
        <v>9194</v>
      </c>
      <c r="AI1146" s="15" t="s">
        <v>9175</v>
      </c>
      <c r="AJ1146" s="15" t="s">
        <v>9143</v>
      </c>
      <c r="AK1146" s="15" t="s">
        <v>9194</v>
      </c>
      <c r="AL1146" s="15" t="s">
        <v>9195</v>
      </c>
      <c r="AM1146" s="16" t="s">
        <v>9194</v>
      </c>
      <c r="AN1146" s="16" t="s">
        <v>9196</v>
      </c>
    </row>
    <row r="1147" spans="1:40" x14ac:dyDescent="0.25">
      <c r="A1147" s="4" t="s">
        <v>6394</v>
      </c>
      <c r="B1147" s="4"/>
      <c r="C1147" s="4" t="s">
        <v>39</v>
      </c>
      <c r="D1147" s="4" t="s">
        <v>6395</v>
      </c>
      <c r="E1147" s="4" t="s">
        <v>6396</v>
      </c>
      <c r="F1147" s="10">
        <v>45381</v>
      </c>
      <c r="G1147" s="11">
        <v>0.5083333333333333</v>
      </c>
      <c r="H1147" s="4" t="s">
        <v>4659</v>
      </c>
      <c r="I1147" s="4" t="s">
        <v>6379</v>
      </c>
      <c r="J1147" s="4" t="s">
        <v>6380</v>
      </c>
      <c r="K1147" s="4" t="s">
        <v>6397</v>
      </c>
      <c r="L1147" s="4" t="s">
        <v>6398</v>
      </c>
      <c r="M1147" s="4" t="s">
        <v>46</v>
      </c>
      <c r="N1147" s="4"/>
      <c r="O1147" s="4" t="s">
        <v>47</v>
      </c>
      <c r="P1147" s="4" t="s">
        <v>48</v>
      </c>
      <c r="Q1147" s="4">
        <v>0</v>
      </c>
      <c r="R1147" s="4" t="b">
        <v>0</v>
      </c>
      <c r="S1147" s="4" t="s">
        <v>61</v>
      </c>
      <c r="T1147" s="4" t="s">
        <v>89</v>
      </c>
      <c r="U1147" s="4" t="s">
        <v>165</v>
      </c>
      <c r="V1147" s="4" t="s">
        <v>72</v>
      </c>
      <c r="W1147" s="4" t="s">
        <v>73</v>
      </c>
      <c r="X1147" s="4" t="s">
        <v>54</v>
      </c>
      <c r="Y1147" s="4"/>
      <c r="Z1147" s="12">
        <v>0</v>
      </c>
      <c r="AA1147" s="13" t="s">
        <v>9172</v>
      </c>
      <c r="AB1147" s="13" t="s">
        <v>9160</v>
      </c>
      <c r="AC1147" s="14" t="s">
        <v>9148</v>
      </c>
      <c r="AD1147" s="14" t="s">
        <v>9140</v>
      </c>
      <c r="AE1147" s="14" t="s">
        <v>9140</v>
      </c>
      <c r="AF1147" s="14" t="s">
        <v>72</v>
      </c>
      <c r="AG1147" s="14" t="s">
        <v>54</v>
      </c>
      <c r="AH1147" s="15" t="s">
        <v>9220</v>
      </c>
      <c r="AI1147" s="15" t="s">
        <v>9142</v>
      </c>
      <c r="AJ1147" s="15" t="s">
        <v>9143</v>
      </c>
      <c r="AK1147" s="15" t="s">
        <v>9221</v>
      </c>
      <c r="AL1147" s="15" t="s">
        <v>9228</v>
      </c>
      <c r="AM1147" s="16" t="s">
        <v>9221</v>
      </c>
      <c r="AN1147" s="16" t="s">
        <v>9229</v>
      </c>
    </row>
    <row r="1148" spans="1:40" x14ac:dyDescent="0.25">
      <c r="A1148" s="4" t="s">
        <v>6009</v>
      </c>
      <c r="B1148" s="4"/>
      <c r="C1148" s="4" t="s">
        <v>39</v>
      </c>
      <c r="D1148" s="4" t="s">
        <v>5933</v>
      </c>
      <c r="E1148" s="4" t="s">
        <v>5934</v>
      </c>
      <c r="F1148" s="10">
        <v>45381</v>
      </c>
      <c r="G1148" s="11">
        <v>0.4375</v>
      </c>
      <c r="H1148" s="4" t="s">
        <v>4242</v>
      </c>
      <c r="I1148" s="4" t="s">
        <v>5918</v>
      </c>
      <c r="J1148" s="4" t="s">
        <v>5919</v>
      </c>
      <c r="K1148" s="4" t="s">
        <v>6010</v>
      </c>
      <c r="L1148" s="4" t="s">
        <v>6011</v>
      </c>
      <c r="M1148" s="4" t="s">
        <v>46</v>
      </c>
      <c r="N1148" s="4"/>
      <c r="O1148" s="4" t="s">
        <v>47</v>
      </c>
      <c r="P1148" s="4" t="s">
        <v>48</v>
      </c>
      <c r="Q1148" s="4">
        <v>0</v>
      </c>
      <c r="R1148" s="4" t="b">
        <v>0</v>
      </c>
      <c r="S1148" s="4" t="s">
        <v>184</v>
      </c>
      <c r="T1148" s="4" t="s">
        <v>89</v>
      </c>
      <c r="U1148" s="4" t="s">
        <v>71</v>
      </c>
      <c r="V1148" s="4" t="s">
        <v>63</v>
      </c>
      <c r="W1148" s="4" t="s">
        <v>108</v>
      </c>
      <c r="X1148" s="4" t="s">
        <v>98</v>
      </c>
      <c r="Y1148" s="4"/>
      <c r="Z1148" s="12">
        <v>0</v>
      </c>
      <c r="AA1148" s="13" t="s">
        <v>9172</v>
      </c>
      <c r="AB1148" s="13" t="s">
        <v>9160</v>
      </c>
      <c r="AC1148" s="14" t="s">
        <v>9166</v>
      </c>
      <c r="AD1148" s="14" t="s">
        <v>9140</v>
      </c>
      <c r="AE1148" s="14" t="s">
        <v>9140</v>
      </c>
      <c r="AF1148" s="14" t="s">
        <v>63</v>
      </c>
      <c r="AG1148" s="14" t="s">
        <v>98</v>
      </c>
      <c r="AH1148" s="15" t="s">
        <v>9220</v>
      </c>
      <c r="AI1148" s="15" t="s">
        <v>9187</v>
      </c>
      <c r="AJ1148" s="15" t="s">
        <v>9143</v>
      </c>
      <c r="AK1148" s="15" t="s">
        <v>9221</v>
      </c>
      <c r="AL1148" s="15" t="s">
        <v>9226</v>
      </c>
      <c r="AM1148" s="16" t="s">
        <v>9221</v>
      </c>
      <c r="AN1148" s="16" t="s">
        <v>9227</v>
      </c>
    </row>
    <row r="1149" spans="1:40" x14ac:dyDescent="0.25">
      <c r="A1149" s="4" t="s">
        <v>6012</v>
      </c>
      <c r="B1149" s="4"/>
      <c r="C1149" s="4" t="s">
        <v>39</v>
      </c>
      <c r="D1149" s="4" t="s">
        <v>6013</v>
      </c>
      <c r="E1149" s="4" t="s">
        <v>6014</v>
      </c>
      <c r="F1149" s="10">
        <v>45381</v>
      </c>
      <c r="G1149" s="11">
        <v>0.41666666666666669</v>
      </c>
      <c r="H1149" s="4" t="s">
        <v>4242</v>
      </c>
      <c r="I1149" s="4" t="s">
        <v>5918</v>
      </c>
      <c r="J1149" s="4" t="s">
        <v>5919</v>
      </c>
      <c r="K1149" s="4" t="s">
        <v>6015</v>
      </c>
      <c r="L1149" s="4" t="s">
        <v>6016</v>
      </c>
      <c r="M1149" s="4" t="s">
        <v>46</v>
      </c>
      <c r="N1149" s="4"/>
      <c r="O1149" s="4" t="s">
        <v>47</v>
      </c>
      <c r="P1149" s="4" t="s">
        <v>48</v>
      </c>
      <c r="Q1149" s="4">
        <v>0</v>
      </c>
      <c r="R1149" s="4" t="b">
        <v>0</v>
      </c>
      <c r="S1149" s="4" t="s">
        <v>61</v>
      </c>
      <c r="T1149" s="4" t="s">
        <v>89</v>
      </c>
      <c r="U1149" s="4" t="s">
        <v>301</v>
      </c>
      <c r="V1149" s="4" t="s">
        <v>63</v>
      </c>
      <c r="W1149" s="4" t="s">
        <v>108</v>
      </c>
      <c r="X1149" s="4" t="s">
        <v>98</v>
      </c>
      <c r="Y1149" s="4" t="s">
        <v>176</v>
      </c>
      <c r="Z1149" s="12">
        <v>0</v>
      </c>
      <c r="AA1149" s="13" t="s">
        <v>9172</v>
      </c>
      <c r="AB1149" s="13" t="s">
        <v>9160</v>
      </c>
      <c r="AC1149" s="14" t="s">
        <v>9148</v>
      </c>
      <c r="AD1149" s="14" t="s">
        <v>9140</v>
      </c>
      <c r="AE1149" s="14" t="s">
        <v>9140</v>
      </c>
      <c r="AF1149" s="14" t="s">
        <v>63</v>
      </c>
      <c r="AG1149" s="14" t="s">
        <v>98</v>
      </c>
      <c r="AH1149" s="15" t="s">
        <v>9220</v>
      </c>
      <c r="AI1149" s="15" t="s">
        <v>9187</v>
      </c>
      <c r="AJ1149" s="15" t="s">
        <v>9143</v>
      </c>
      <c r="AK1149" s="15" t="s">
        <v>9221</v>
      </c>
      <c r="AL1149" s="15" t="s">
        <v>9226</v>
      </c>
      <c r="AM1149" s="16" t="s">
        <v>9221</v>
      </c>
      <c r="AN1149" s="16" t="s">
        <v>9227</v>
      </c>
    </row>
    <row r="1150" spans="1:40" x14ac:dyDescent="0.25">
      <c r="A1150" s="4" t="s">
        <v>5725</v>
      </c>
      <c r="B1150" s="4"/>
      <c r="C1150" s="4" t="s">
        <v>39</v>
      </c>
      <c r="D1150" s="4" t="s">
        <v>5691</v>
      </c>
      <c r="E1150" s="4" t="s">
        <v>5692</v>
      </c>
      <c r="F1150" s="10">
        <v>45381</v>
      </c>
      <c r="G1150" s="11">
        <v>0.45833333333333331</v>
      </c>
      <c r="H1150" s="4" t="s">
        <v>5666</v>
      </c>
      <c r="I1150" s="4" t="s">
        <v>5667</v>
      </c>
      <c r="J1150" s="4" t="s">
        <v>2192</v>
      </c>
      <c r="K1150" s="4" t="s">
        <v>5726</v>
      </c>
      <c r="L1150" s="4" t="s">
        <v>5727</v>
      </c>
      <c r="M1150" s="4" t="s">
        <v>46</v>
      </c>
      <c r="N1150" s="4"/>
      <c r="O1150" s="4" t="s">
        <v>47</v>
      </c>
      <c r="P1150" s="4" t="s">
        <v>48</v>
      </c>
      <c r="Q1150" s="4">
        <v>0</v>
      </c>
      <c r="R1150" s="4" t="b">
        <v>0</v>
      </c>
      <c r="S1150" s="4" t="s">
        <v>61</v>
      </c>
      <c r="T1150" s="4" t="s">
        <v>89</v>
      </c>
      <c r="U1150" s="4" t="s">
        <v>107</v>
      </c>
      <c r="V1150" s="4" t="s">
        <v>63</v>
      </c>
      <c r="W1150" s="4" t="s">
        <v>198</v>
      </c>
      <c r="X1150" s="4" t="s">
        <v>98</v>
      </c>
      <c r="Y1150" s="4" t="s">
        <v>775</v>
      </c>
      <c r="Z1150" s="12">
        <v>0</v>
      </c>
      <c r="AA1150" s="13" t="s">
        <v>9172</v>
      </c>
      <c r="AB1150" s="13" t="s">
        <v>9160</v>
      </c>
      <c r="AC1150" s="14" t="s">
        <v>9148</v>
      </c>
      <c r="AD1150" s="14" t="s">
        <v>9140</v>
      </c>
      <c r="AE1150" s="14" t="s">
        <v>9140</v>
      </c>
      <c r="AF1150" s="14" t="s">
        <v>63</v>
      </c>
      <c r="AG1150" s="14" t="s">
        <v>98</v>
      </c>
      <c r="AH1150" s="15" t="s">
        <v>9220</v>
      </c>
      <c r="AI1150" s="15" t="s">
        <v>9199</v>
      </c>
      <c r="AJ1150" s="15" t="s">
        <v>9143</v>
      </c>
      <c r="AK1150" s="15" t="s">
        <v>9221</v>
      </c>
      <c r="AL1150" s="15" t="s">
        <v>9199</v>
      </c>
      <c r="AM1150" s="16" t="s">
        <v>9221</v>
      </c>
      <c r="AN1150" s="16" t="s">
        <v>9238</v>
      </c>
    </row>
    <row r="1151" spans="1:40" x14ac:dyDescent="0.25">
      <c r="A1151" s="4" t="s">
        <v>7861</v>
      </c>
      <c r="B1151" s="4"/>
      <c r="C1151" s="4" t="s">
        <v>39</v>
      </c>
      <c r="D1151" s="4" t="s">
        <v>7862</v>
      </c>
      <c r="E1151" s="4" t="s">
        <v>7863</v>
      </c>
      <c r="F1151" s="10">
        <v>45381</v>
      </c>
      <c r="G1151" s="11">
        <v>0.47916666666666669</v>
      </c>
      <c r="H1151" s="4" t="s">
        <v>4516</v>
      </c>
      <c r="I1151" s="4" t="s">
        <v>7852</v>
      </c>
      <c r="J1151" s="4" t="s">
        <v>1537</v>
      </c>
      <c r="K1151" s="4" t="s">
        <v>7864</v>
      </c>
      <c r="L1151" s="4" t="s">
        <v>7865</v>
      </c>
      <c r="M1151" s="4" t="s">
        <v>46</v>
      </c>
      <c r="N1151" s="4"/>
      <c r="O1151" s="4" t="s">
        <v>47</v>
      </c>
      <c r="P1151" s="4" t="s">
        <v>48</v>
      </c>
      <c r="Q1151" s="4">
        <v>0</v>
      </c>
      <c r="R1151" s="4" t="b">
        <v>0</v>
      </c>
      <c r="S1151" s="4" t="s">
        <v>61</v>
      </c>
      <c r="T1151" s="4" t="s">
        <v>89</v>
      </c>
      <c r="U1151" s="4" t="s">
        <v>148</v>
      </c>
      <c r="V1151" s="4" t="s">
        <v>63</v>
      </c>
      <c r="W1151" s="4" t="s">
        <v>108</v>
      </c>
      <c r="X1151" s="4" t="s">
        <v>98</v>
      </c>
      <c r="Y1151" s="4"/>
      <c r="Z1151" s="12">
        <v>0</v>
      </c>
      <c r="AA1151" s="13" t="s">
        <v>9172</v>
      </c>
      <c r="AB1151" s="13" t="s">
        <v>9160</v>
      </c>
      <c r="AC1151" s="14" t="s">
        <v>9148</v>
      </c>
      <c r="AD1151" s="14" t="s">
        <v>9140</v>
      </c>
      <c r="AE1151" s="14" t="s">
        <v>9140</v>
      </c>
      <c r="AF1151" s="14" t="s">
        <v>63</v>
      </c>
      <c r="AG1151" s="14" t="s">
        <v>98</v>
      </c>
      <c r="AH1151" s="15" t="s">
        <v>9220</v>
      </c>
      <c r="AI1151" s="15" t="s">
        <v>9188</v>
      </c>
      <c r="AJ1151" s="15" t="s">
        <v>9143</v>
      </c>
      <c r="AK1151" s="15" t="s">
        <v>9221</v>
      </c>
      <c r="AL1151" s="15" t="s">
        <v>9230</v>
      </c>
      <c r="AM1151" s="16" t="s">
        <v>9221</v>
      </c>
      <c r="AN1151" s="16" t="s">
        <v>9231</v>
      </c>
    </row>
    <row r="1152" spans="1:40" x14ac:dyDescent="0.25">
      <c r="A1152" s="4" t="s">
        <v>7497</v>
      </c>
      <c r="B1152" s="4" t="s">
        <v>7498</v>
      </c>
      <c r="C1152" s="4" t="s">
        <v>39</v>
      </c>
      <c r="D1152" s="4" t="s">
        <v>7499</v>
      </c>
      <c r="E1152" s="4" t="s">
        <v>7500</v>
      </c>
      <c r="F1152" s="10">
        <v>45381</v>
      </c>
      <c r="G1152" s="11">
        <v>0.54166666666666663</v>
      </c>
      <c r="H1152" s="4" t="s">
        <v>4910</v>
      </c>
      <c r="I1152" s="4" t="s">
        <v>7457</v>
      </c>
      <c r="J1152" s="4" t="s">
        <v>2378</v>
      </c>
      <c r="K1152" s="4" t="s">
        <v>836</v>
      </c>
      <c r="L1152" s="4" t="s">
        <v>7501</v>
      </c>
      <c r="M1152" s="4" t="s">
        <v>28</v>
      </c>
      <c r="N1152" s="4" t="s">
        <v>147</v>
      </c>
      <c r="O1152" s="4" t="s">
        <v>174</v>
      </c>
      <c r="P1152" s="4" t="s">
        <v>48</v>
      </c>
      <c r="Q1152" s="4">
        <v>0</v>
      </c>
      <c r="R1152" s="4" t="b">
        <v>0</v>
      </c>
      <c r="S1152" s="4" t="s">
        <v>61</v>
      </c>
      <c r="T1152" s="4" t="s">
        <v>89</v>
      </c>
      <c r="U1152" s="4" t="s">
        <v>373</v>
      </c>
      <c r="V1152" s="4" t="s">
        <v>52</v>
      </c>
      <c r="W1152" s="4" t="s">
        <v>53</v>
      </c>
      <c r="X1152" s="4" t="s">
        <v>98</v>
      </c>
      <c r="Y1152" s="4"/>
      <c r="Z1152" s="12" t="s">
        <v>48</v>
      </c>
      <c r="AA1152" s="13" t="s">
        <v>9172</v>
      </c>
      <c r="AB1152" s="13" t="s">
        <v>9160</v>
      </c>
      <c r="AC1152" s="14" t="s">
        <v>9148</v>
      </c>
      <c r="AD1152" s="14" t="s">
        <v>28</v>
      </c>
      <c r="AE1152" s="14" t="s">
        <v>9140</v>
      </c>
      <c r="AF1152" s="14" t="s">
        <v>52</v>
      </c>
      <c r="AG1152" s="14" t="s">
        <v>98</v>
      </c>
      <c r="AH1152" s="15" t="s">
        <v>9220</v>
      </c>
      <c r="AI1152" s="15" t="s">
        <v>9191</v>
      </c>
      <c r="AJ1152" s="15" t="s">
        <v>9143</v>
      </c>
      <c r="AK1152" s="15" t="s">
        <v>9221</v>
      </c>
      <c r="AL1152" s="15" t="s">
        <v>9226</v>
      </c>
      <c r="AM1152" s="16" t="s">
        <v>9221</v>
      </c>
      <c r="AN1152" s="16" t="s">
        <v>9227</v>
      </c>
    </row>
    <row r="1153" spans="1:40" x14ac:dyDescent="0.25">
      <c r="A1153" s="4" t="s">
        <v>5173</v>
      </c>
      <c r="B1153" s="4"/>
      <c r="C1153" s="4" t="s">
        <v>39</v>
      </c>
      <c r="D1153" s="4" t="s">
        <v>5174</v>
      </c>
      <c r="E1153" s="4" t="s">
        <v>5175</v>
      </c>
      <c r="F1153" s="10">
        <v>45379</v>
      </c>
      <c r="G1153" s="11">
        <v>0.67361111111111116</v>
      </c>
      <c r="H1153" s="4" t="s">
        <v>4910</v>
      </c>
      <c r="I1153" s="4" t="s">
        <v>5121</v>
      </c>
      <c r="J1153" s="4" t="s">
        <v>1994</v>
      </c>
      <c r="K1153" s="4" t="s">
        <v>5176</v>
      </c>
      <c r="L1153" s="4" t="s">
        <v>5177</v>
      </c>
      <c r="M1153" s="4" t="s">
        <v>46</v>
      </c>
      <c r="N1153" s="4"/>
      <c r="O1153" s="4" t="s">
        <v>47</v>
      </c>
      <c r="P1153" s="4" t="s">
        <v>48</v>
      </c>
      <c r="Q1153" s="4">
        <v>0</v>
      </c>
      <c r="R1153" s="4" t="b">
        <v>0</v>
      </c>
      <c r="S1153" s="4" t="s">
        <v>49</v>
      </c>
      <c r="T1153" s="4" t="s">
        <v>50</v>
      </c>
      <c r="U1153" s="4" t="s">
        <v>71</v>
      </c>
      <c r="V1153" s="4" t="s">
        <v>63</v>
      </c>
      <c r="W1153" s="4" t="s">
        <v>312</v>
      </c>
      <c r="X1153" s="4" t="s">
        <v>98</v>
      </c>
      <c r="Y1153" s="4"/>
      <c r="Z1153" s="12">
        <v>0</v>
      </c>
      <c r="AA1153" s="13" t="s">
        <v>9172</v>
      </c>
      <c r="AB1153" s="13" t="s">
        <v>9160</v>
      </c>
      <c r="AC1153" s="14" t="s">
        <v>9139</v>
      </c>
      <c r="AD1153" s="14" t="s">
        <v>9140</v>
      </c>
      <c r="AE1153" s="14" t="s">
        <v>9140</v>
      </c>
      <c r="AF1153" s="14" t="s">
        <v>63</v>
      </c>
      <c r="AG1153" s="14" t="s">
        <v>98</v>
      </c>
      <c r="AH1153" s="15" t="s">
        <v>9220</v>
      </c>
      <c r="AI1153" s="15" t="s">
        <v>9191</v>
      </c>
      <c r="AJ1153" s="15" t="s">
        <v>9143</v>
      </c>
      <c r="AK1153" s="15" t="s">
        <v>9221</v>
      </c>
      <c r="AL1153" s="15" t="s">
        <v>9236</v>
      </c>
      <c r="AM1153" s="16" t="s">
        <v>9221</v>
      </c>
      <c r="AN1153" s="16" t="s">
        <v>9237</v>
      </c>
    </row>
    <row r="1154" spans="1:40" x14ac:dyDescent="0.25">
      <c r="A1154" s="4" t="s">
        <v>7370</v>
      </c>
      <c r="B1154" s="4"/>
      <c r="C1154" s="4" t="s">
        <v>39</v>
      </c>
      <c r="D1154" s="4" t="s">
        <v>7371</v>
      </c>
      <c r="E1154" s="4" t="s">
        <v>7372</v>
      </c>
      <c r="F1154" s="10">
        <v>45379</v>
      </c>
      <c r="G1154" s="11">
        <v>0.43819444444444444</v>
      </c>
      <c r="H1154" s="4" t="s">
        <v>4019</v>
      </c>
      <c r="I1154" s="4" t="s">
        <v>7315</v>
      </c>
      <c r="J1154" s="4" t="s">
        <v>1037</v>
      </c>
      <c r="K1154" s="4" t="s">
        <v>7373</v>
      </c>
      <c r="L1154" s="4" t="s">
        <v>7374</v>
      </c>
      <c r="M1154" s="4" t="s">
        <v>46</v>
      </c>
      <c r="N1154" s="4"/>
      <c r="O1154" s="4" t="s">
        <v>47</v>
      </c>
      <c r="P1154" s="4" t="s">
        <v>48</v>
      </c>
      <c r="Q1154" s="4">
        <v>0</v>
      </c>
      <c r="R1154" s="4" t="b">
        <v>0</v>
      </c>
      <c r="S1154" s="4" t="s">
        <v>61</v>
      </c>
      <c r="T1154" s="4" t="s">
        <v>89</v>
      </c>
      <c r="U1154" s="4" t="s">
        <v>71</v>
      </c>
      <c r="V1154" s="4" t="s">
        <v>72</v>
      </c>
      <c r="W1154" s="4" t="s">
        <v>97</v>
      </c>
      <c r="X1154" s="4" t="s">
        <v>98</v>
      </c>
      <c r="Y1154" s="4"/>
      <c r="Z1154" s="12">
        <v>0</v>
      </c>
      <c r="AA1154" s="13" t="s">
        <v>9172</v>
      </c>
      <c r="AB1154" s="13" t="s">
        <v>9160</v>
      </c>
      <c r="AC1154" s="14" t="s">
        <v>9148</v>
      </c>
      <c r="AD1154" s="14" t="s">
        <v>9140</v>
      </c>
      <c r="AE1154" s="14" t="s">
        <v>9140</v>
      </c>
      <c r="AF1154" s="14" t="s">
        <v>72</v>
      </c>
      <c r="AG1154" s="14" t="s">
        <v>98</v>
      </c>
      <c r="AH1154" s="15" t="s">
        <v>9220</v>
      </c>
      <c r="AI1154" s="15" t="s">
        <v>9175</v>
      </c>
      <c r="AJ1154" s="15" t="s">
        <v>9143</v>
      </c>
      <c r="AK1154" s="15" t="s">
        <v>9221</v>
      </c>
      <c r="AL1154" s="15" t="s">
        <v>9222</v>
      </c>
      <c r="AM1154" s="16" t="s">
        <v>9221</v>
      </c>
      <c r="AN1154" s="16" t="s">
        <v>9223</v>
      </c>
    </row>
    <row r="1155" spans="1:40" x14ac:dyDescent="0.25">
      <c r="A1155" s="4" t="s">
        <v>4267</v>
      </c>
      <c r="B1155" s="4"/>
      <c r="C1155" s="4" t="s">
        <v>39</v>
      </c>
      <c r="D1155" s="4" t="s">
        <v>4268</v>
      </c>
      <c r="E1155" s="4" t="s">
        <v>4269</v>
      </c>
      <c r="F1155" s="10">
        <v>45379</v>
      </c>
      <c r="G1155" s="11">
        <v>0.46527777777777779</v>
      </c>
      <c r="H1155" s="4" t="s">
        <v>4242</v>
      </c>
      <c r="I1155" s="4" t="s">
        <v>4243</v>
      </c>
      <c r="J1155" s="4" t="s">
        <v>1200</v>
      </c>
      <c r="K1155" s="4" t="s">
        <v>4270</v>
      </c>
      <c r="L1155" s="4" t="s">
        <v>4271</v>
      </c>
      <c r="M1155" s="4" t="s">
        <v>46</v>
      </c>
      <c r="N1155" s="4"/>
      <c r="O1155" s="4" t="s">
        <v>47</v>
      </c>
      <c r="P1155" s="4" t="s">
        <v>48</v>
      </c>
      <c r="Q1155" s="4">
        <v>0</v>
      </c>
      <c r="R1155" s="4" t="b">
        <v>0</v>
      </c>
      <c r="S1155" s="4" t="s">
        <v>49</v>
      </c>
      <c r="T1155" s="4" t="s">
        <v>115</v>
      </c>
      <c r="U1155" s="4" t="s">
        <v>1918</v>
      </c>
      <c r="V1155" s="4" t="s">
        <v>72</v>
      </c>
      <c r="W1155" s="4" t="s">
        <v>73</v>
      </c>
      <c r="X1155" s="4" t="s">
        <v>54</v>
      </c>
      <c r="Y1155" s="4"/>
      <c r="Z1155" s="12">
        <v>0</v>
      </c>
      <c r="AA1155" s="13" t="s">
        <v>9172</v>
      </c>
      <c r="AB1155" s="13" t="s">
        <v>9160</v>
      </c>
      <c r="AC1155" s="14" t="s">
        <v>9139</v>
      </c>
      <c r="AD1155" s="14" t="s">
        <v>9140</v>
      </c>
      <c r="AE1155" s="14" t="s">
        <v>9140</v>
      </c>
      <c r="AF1155" s="14" t="s">
        <v>72</v>
      </c>
      <c r="AG1155" s="14" t="s">
        <v>54</v>
      </c>
      <c r="AH1155" s="15" t="s">
        <v>9220</v>
      </c>
      <c r="AI1155" s="15" t="s">
        <v>9187</v>
      </c>
      <c r="AJ1155" s="15" t="s">
        <v>9143</v>
      </c>
      <c r="AK1155" s="15" t="s">
        <v>9221</v>
      </c>
      <c r="AL1155" s="15" t="s">
        <v>9226</v>
      </c>
      <c r="AM1155" s="16" t="s">
        <v>9221</v>
      </c>
      <c r="AN1155" s="16" t="s">
        <v>9227</v>
      </c>
    </row>
    <row r="1156" spans="1:40" x14ac:dyDescent="0.25">
      <c r="A1156" s="4" t="s">
        <v>2584</v>
      </c>
      <c r="B1156" s="4"/>
      <c r="C1156" s="4" t="s">
        <v>39</v>
      </c>
      <c r="D1156" s="4" t="s">
        <v>2585</v>
      </c>
      <c r="E1156" s="4" t="s">
        <v>2586</v>
      </c>
      <c r="F1156" s="10">
        <v>45379</v>
      </c>
      <c r="G1156" s="11">
        <v>0.79861111111111116</v>
      </c>
      <c r="H1156" s="4" t="s">
        <v>1939</v>
      </c>
      <c r="I1156" s="4" t="s">
        <v>2575</v>
      </c>
      <c r="J1156" s="4" t="s">
        <v>2576</v>
      </c>
      <c r="K1156" s="4" t="s">
        <v>2587</v>
      </c>
      <c r="L1156" s="4" t="s">
        <v>2588</v>
      </c>
      <c r="M1156" s="4" t="s">
        <v>46</v>
      </c>
      <c r="N1156" s="4"/>
      <c r="O1156" s="4" t="s">
        <v>47</v>
      </c>
      <c r="P1156" s="4" t="s">
        <v>48</v>
      </c>
      <c r="Q1156" s="4">
        <v>0</v>
      </c>
      <c r="R1156" s="4" t="b">
        <v>0</v>
      </c>
      <c r="S1156" s="4" t="s">
        <v>49</v>
      </c>
      <c r="T1156" s="4" t="s">
        <v>50</v>
      </c>
      <c r="U1156" s="4" t="s">
        <v>71</v>
      </c>
      <c r="V1156" s="4" t="s">
        <v>123</v>
      </c>
      <c r="W1156" s="4" t="s">
        <v>192</v>
      </c>
      <c r="X1156" s="4" t="s">
        <v>98</v>
      </c>
      <c r="Y1156" s="4"/>
      <c r="Z1156" s="12">
        <v>0</v>
      </c>
      <c r="AA1156" s="13" t="s">
        <v>9172</v>
      </c>
      <c r="AB1156" s="13" t="s">
        <v>9160</v>
      </c>
      <c r="AC1156" s="14" t="s">
        <v>9139</v>
      </c>
      <c r="AD1156" s="14" t="s">
        <v>9140</v>
      </c>
      <c r="AE1156" s="14" t="s">
        <v>9140</v>
      </c>
      <c r="AF1156" s="14" t="s">
        <v>123</v>
      </c>
      <c r="AG1156" s="14" t="s">
        <v>98</v>
      </c>
      <c r="AH1156" s="15" t="s">
        <v>9194</v>
      </c>
      <c r="AI1156" s="15" t="s">
        <v>9175</v>
      </c>
      <c r="AJ1156" s="15" t="s">
        <v>9143</v>
      </c>
      <c r="AK1156" s="15" t="s">
        <v>9194</v>
      </c>
      <c r="AL1156" s="15" t="s">
        <v>9209</v>
      </c>
      <c r="AM1156" s="16" t="s">
        <v>9194</v>
      </c>
      <c r="AN1156" s="16" t="s">
        <v>9210</v>
      </c>
    </row>
    <row r="1157" spans="1:40" x14ac:dyDescent="0.25">
      <c r="A1157" s="4" t="s">
        <v>5899</v>
      </c>
      <c r="B1157" s="4"/>
      <c r="C1157" s="4" t="s">
        <v>39</v>
      </c>
      <c r="D1157" s="4" t="s">
        <v>5900</v>
      </c>
      <c r="E1157" s="4" t="s">
        <v>5901</v>
      </c>
      <c r="F1157" s="10">
        <v>45379</v>
      </c>
      <c r="G1157" s="11">
        <v>0.76875000000000004</v>
      </c>
      <c r="H1157" s="4" t="s">
        <v>5666</v>
      </c>
      <c r="I1157" s="4" t="s">
        <v>5876</v>
      </c>
      <c r="J1157" s="4" t="s">
        <v>3313</v>
      </c>
      <c r="K1157" s="4" t="s">
        <v>5902</v>
      </c>
      <c r="L1157" s="4" t="s">
        <v>5903</v>
      </c>
      <c r="M1157" s="4" t="s">
        <v>46</v>
      </c>
      <c r="N1157" s="4"/>
      <c r="O1157" s="4" t="s">
        <v>47</v>
      </c>
      <c r="P1157" s="4" t="s">
        <v>48</v>
      </c>
      <c r="Q1157" s="4">
        <v>0</v>
      </c>
      <c r="R1157" s="4" t="b">
        <v>0</v>
      </c>
      <c r="S1157" s="4" t="s">
        <v>49</v>
      </c>
      <c r="T1157" s="4" t="s">
        <v>89</v>
      </c>
      <c r="U1157" s="4" t="s">
        <v>51</v>
      </c>
      <c r="V1157" s="4" t="s">
        <v>123</v>
      </c>
      <c r="W1157" s="4" t="s">
        <v>124</v>
      </c>
      <c r="X1157" s="4" t="s">
        <v>54</v>
      </c>
      <c r="Y1157" s="4"/>
      <c r="Z1157" s="12">
        <v>0</v>
      </c>
      <c r="AA1157" s="13" t="s">
        <v>9172</v>
      </c>
      <c r="AB1157" s="13" t="s">
        <v>9160</v>
      </c>
      <c r="AC1157" s="14" t="s">
        <v>9139</v>
      </c>
      <c r="AD1157" s="14" t="s">
        <v>9140</v>
      </c>
      <c r="AE1157" s="14" t="s">
        <v>9140</v>
      </c>
      <c r="AF1157" s="14" t="s">
        <v>123</v>
      </c>
      <c r="AG1157" s="14" t="s">
        <v>54</v>
      </c>
      <c r="AH1157" s="15" t="s">
        <v>9220</v>
      </c>
      <c r="AI1157" s="15" t="s">
        <v>9199</v>
      </c>
      <c r="AJ1157" s="15" t="s">
        <v>9143</v>
      </c>
      <c r="AK1157" s="15" t="s">
        <v>9221</v>
      </c>
      <c r="AL1157" s="15" t="s">
        <v>9199</v>
      </c>
      <c r="AM1157" s="16" t="s">
        <v>9221</v>
      </c>
      <c r="AN1157" s="16" t="s">
        <v>9238</v>
      </c>
    </row>
    <row r="1158" spans="1:40" x14ac:dyDescent="0.25">
      <c r="A1158" s="4" t="s">
        <v>3104</v>
      </c>
      <c r="B1158" s="4"/>
      <c r="C1158" s="4" t="s">
        <v>39</v>
      </c>
      <c r="D1158" s="4" t="s">
        <v>3105</v>
      </c>
      <c r="E1158" s="4" t="s">
        <v>3106</v>
      </c>
      <c r="F1158" s="10">
        <v>45378</v>
      </c>
      <c r="G1158" s="11">
        <v>0.61944444444444446</v>
      </c>
      <c r="H1158" s="4" t="s">
        <v>1939</v>
      </c>
      <c r="I1158" s="4" t="s">
        <v>3089</v>
      </c>
      <c r="J1158" s="4" t="s">
        <v>3090</v>
      </c>
      <c r="K1158" s="4" t="s">
        <v>3107</v>
      </c>
      <c r="L1158" s="4" t="s">
        <v>3108</v>
      </c>
      <c r="M1158" s="4" t="s">
        <v>46</v>
      </c>
      <c r="N1158" s="4"/>
      <c r="O1158" s="4" t="s">
        <v>47</v>
      </c>
      <c r="P1158" s="4" t="s">
        <v>48</v>
      </c>
      <c r="Q1158" s="4">
        <v>0</v>
      </c>
      <c r="R1158" s="4" t="b">
        <v>0</v>
      </c>
      <c r="S1158" s="4" t="s">
        <v>61</v>
      </c>
      <c r="T1158" s="4" t="s">
        <v>115</v>
      </c>
      <c r="U1158" s="4" t="s">
        <v>218</v>
      </c>
      <c r="V1158" s="4" t="s">
        <v>63</v>
      </c>
      <c r="W1158" s="4" t="s">
        <v>108</v>
      </c>
      <c r="X1158" s="4" t="s">
        <v>54</v>
      </c>
      <c r="Y1158" s="4"/>
      <c r="Z1158" s="12">
        <v>0</v>
      </c>
      <c r="AA1158" s="13" t="s">
        <v>9172</v>
      </c>
      <c r="AB1158" s="13" t="s">
        <v>9160</v>
      </c>
      <c r="AC1158" s="14" t="s">
        <v>9148</v>
      </c>
      <c r="AD1158" s="14" t="s">
        <v>9140</v>
      </c>
      <c r="AE1158" s="14" t="s">
        <v>9140</v>
      </c>
      <c r="AF1158" s="14" t="s">
        <v>63</v>
      </c>
      <c r="AG1158" s="14" t="s">
        <v>54</v>
      </c>
      <c r="AH1158" s="15" t="s">
        <v>9194</v>
      </c>
      <c r="AI1158" s="15" t="s">
        <v>9175</v>
      </c>
      <c r="AJ1158" s="15" t="s">
        <v>9143</v>
      </c>
      <c r="AK1158" s="15" t="s">
        <v>9194</v>
      </c>
      <c r="AL1158" s="15" t="s">
        <v>9209</v>
      </c>
      <c r="AM1158" s="16" t="s">
        <v>9194</v>
      </c>
      <c r="AN1158" s="16" t="s">
        <v>9210</v>
      </c>
    </row>
    <row r="1159" spans="1:40" x14ac:dyDescent="0.25">
      <c r="A1159" s="4" t="s">
        <v>1526</v>
      </c>
      <c r="B1159" s="4"/>
      <c r="C1159" s="4" t="s">
        <v>39</v>
      </c>
      <c r="D1159" s="4" t="s">
        <v>1518</v>
      </c>
      <c r="E1159" s="4" t="s">
        <v>1519</v>
      </c>
      <c r="F1159" s="10">
        <v>45377</v>
      </c>
      <c r="G1159" s="11">
        <v>0.40972222222222221</v>
      </c>
      <c r="H1159" s="4" t="s">
        <v>1476</v>
      </c>
      <c r="I1159" s="4">
        <v>6065</v>
      </c>
      <c r="J1159" s="4" t="s">
        <v>1508</v>
      </c>
      <c r="K1159" s="4" t="s">
        <v>1527</v>
      </c>
      <c r="L1159" s="4" t="s">
        <v>1528</v>
      </c>
      <c r="M1159" s="4" t="s">
        <v>432</v>
      </c>
      <c r="N1159" s="4"/>
      <c r="O1159" s="4" t="s">
        <v>47</v>
      </c>
      <c r="P1159" s="4" t="s">
        <v>48</v>
      </c>
      <c r="Q1159" s="4">
        <v>0</v>
      </c>
      <c r="R1159" s="4" t="b">
        <v>0</v>
      </c>
      <c r="S1159" s="4" t="s">
        <v>61</v>
      </c>
      <c r="T1159" s="4" t="s">
        <v>115</v>
      </c>
      <c r="U1159" s="4" t="s">
        <v>1253</v>
      </c>
      <c r="V1159" s="4" t="s">
        <v>52</v>
      </c>
      <c r="W1159" s="4" t="s">
        <v>135</v>
      </c>
      <c r="X1159" s="4" t="s">
        <v>54</v>
      </c>
      <c r="Y1159" s="4"/>
      <c r="Z1159" s="12">
        <v>0</v>
      </c>
      <c r="AA1159" s="13" t="s">
        <v>9172</v>
      </c>
      <c r="AB1159" s="13" t="s">
        <v>9160</v>
      </c>
      <c r="AC1159" s="14" t="s">
        <v>9148</v>
      </c>
      <c r="AD1159" s="14" t="s">
        <v>9140</v>
      </c>
      <c r="AE1159" s="14" t="s">
        <v>9140</v>
      </c>
      <c r="AF1159" s="14" t="s">
        <v>52</v>
      </c>
      <c r="AG1159" s="14" t="s">
        <v>54</v>
      </c>
      <c r="AH1159" s="15" t="s">
        <v>9141</v>
      </c>
      <c r="AI1159" s="15" t="s">
        <v>9193</v>
      </c>
      <c r="AJ1159" s="15" t="s">
        <v>9143</v>
      </c>
      <c r="AK1159" s="15" t="s">
        <v>9141</v>
      </c>
      <c r="AL1159" s="15" t="s">
        <v>9189</v>
      </c>
      <c r="AM1159" s="16" t="s">
        <v>9141</v>
      </c>
      <c r="AN1159" s="16" t="s">
        <v>9190</v>
      </c>
    </row>
    <row r="1160" spans="1:40" x14ac:dyDescent="0.25">
      <c r="A1160" s="4" t="s">
        <v>7157</v>
      </c>
      <c r="B1160" s="4"/>
      <c r="C1160" s="4" t="s">
        <v>39</v>
      </c>
      <c r="D1160" s="4" t="s">
        <v>7158</v>
      </c>
      <c r="E1160" s="4" t="s">
        <v>7159</v>
      </c>
      <c r="F1160" s="10">
        <v>45377</v>
      </c>
      <c r="G1160" s="11">
        <v>0.46875</v>
      </c>
      <c r="H1160" s="4" t="s">
        <v>5666</v>
      </c>
      <c r="I1160" s="4" t="s">
        <v>7160</v>
      </c>
      <c r="J1160" s="4" t="s">
        <v>7161</v>
      </c>
      <c r="K1160" s="4" t="s">
        <v>7162</v>
      </c>
      <c r="L1160" s="4" t="s">
        <v>7163</v>
      </c>
      <c r="M1160" s="4" t="s">
        <v>46</v>
      </c>
      <c r="N1160" s="4"/>
      <c r="O1160" s="4" t="s">
        <v>47</v>
      </c>
      <c r="P1160" s="4" t="s">
        <v>48</v>
      </c>
      <c r="Q1160" s="4">
        <v>0</v>
      </c>
      <c r="R1160" s="4" t="b">
        <v>0</v>
      </c>
      <c r="S1160" s="4" t="s">
        <v>61</v>
      </c>
      <c r="T1160" s="4" t="s">
        <v>89</v>
      </c>
      <c r="U1160" s="4" t="s">
        <v>51</v>
      </c>
      <c r="V1160" s="4" t="s">
        <v>123</v>
      </c>
      <c r="W1160" s="4" t="s">
        <v>124</v>
      </c>
      <c r="X1160" s="4" t="s">
        <v>1131</v>
      </c>
      <c r="Y1160" s="4"/>
      <c r="Z1160" s="12">
        <v>0</v>
      </c>
      <c r="AA1160" s="13" t="s">
        <v>9172</v>
      </c>
      <c r="AB1160" s="13" t="s">
        <v>9160</v>
      </c>
      <c r="AC1160" s="14" t="s">
        <v>9148</v>
      </c>
      <c r="AD1160" s="14" t="s">
        <v>9140</v>
      </c>
      <c r="AE1160" s="14" t="s">
        <v>9140</v>
      </c>
      <c r="AF1160" s="14" t="s">
        <v>123</v>
      </c>
      <c r="AG1160" s="14" t="s">
        <v>1131</v>
      </c>
      <c r="AH1160" s="15" t="s">
        <v>9220</v>
      </c>
      <c r="AI1160" s="15" t="s">
        <v>9199</v>
      </c>
      <c r="AJ1160" s="15" t="s">
        <v>9143</v>
      </c>
      <c r="AK1160" s="15" t="s">
        <v>9221</v>
      </c>
      <c r="AL1160" s="15" t="s">
        <v>9199</v>
      </c>
      <c r="AM1160" s="16" t="s">
        <v>9221</v>
      </c>
      <c r="AN1160" s="16" t="s">
        <v>9238</v>
      </c>
    </row>
    <row r="1161" spans="1:40" x14ac:dyDescent="0.25">
      <c r="A1161" s="4" t="s">
        <v>970</v>
      </c>
      <c r="B1161" s="4"/>
      <c r="C1161" s="4" t="s">
        <v>39</v>
      </c>
      <c r="D1161" s="4" t="s">
        <v>971</v>
      </c>
      <c r="E1161" s="4" t="s">
        <v>972</v>
      </c>
      <c r="F1161" s="10">
        <v>45377</v>
      </c>
      <c r="G1161" s="11">
        <v>0.47916666666666669</v>
      </c>
      <c r="H1161" s="4" t="s">
        <v>463</v>
      </c>
      <c r="I1161" s="4">
        <v>2033</v>
      </c>
      <c r="J1161" s="4" t="s">
        <v>952</v>
      </c>
      <c r="K1161" s="4" t="s">
        <v>243</v>
      </c>
      <c r="L1161" s="4" t="s">
        <v>973</v>
      </c>
      <c r="M1161" s="4" t="s">
        <v>46</v>
      </c>
      <c r="N1161" s="4"/>
      <c r="O1161" s="4" t="s">
        <v>174</v>
      </c>
      <c r="P1161" s="4" t="s">
        <v>48</v>
      </c>
      <c r="Q1161" s="4">
        <v>8</v>
      </c>
      <c r="R1161" s="4" t="b">
        <v>0</v>
      </c>
      <c r="S1161" s="4" t="s">
        <v>114</v>
      </c>
      <c r="T1161" s="4" t="s">
        <v>583</v>
      </c>
      <c r="U1161" s="4" t="s">
        <v>51</v>
      </c>
      <c r="V1161" s="4" t="s">
        <v>52</v>
      </c>
      <c r="W1161" s="4" t="s">
        <v>255</v>
      </c>
      <c r="X1161" s="4" t="s">
        <v>54</v>
      </c>
      <c r="Y1161" s="4"/>
      <c r="Z1161" s="12">
        <v>0</v>
      </c>
      <c r="AA1161" s="13" t="s">
        <v>9172</v>
      </c>
      <c r="AB1161" s="13" t="s">
        <v>9160</v>
      </c>
      <c r="AC1161" s="14" t="s">
        <v>9157</v>
      </c>
      <c r="AD1161" s="14" t="s">
        <v>9140</v>
      </c>
      <c r="AE1161" s="14" t="s">
        <v>9140</v>
      </c>
      <c r="AF1161" s="14" t="s">
        <v>52</v>
      </c>
      <c r="AG1161" s="14" t="s">
        <v>54</v>
      </c>
      <c r="AH1161" s="15" t="s">
        <v>9141</v>
      </c>
      <c r="AI1161" s="15" t="s">
        <v>9175</v>
      </c>
      <c r="AJ1161" s="15" t="s">
        <v>9143</v>
      </c>
      <c r="AK1161" s="15" t="s">
        <v>9141</v>
      </c>
      <c r="AL1161" s="15" t="s">
        <v>9175</v>
      </c>
      <c r="AM1161" s="16" t="s">
        <v>9141</v>
      </c>
      <c r="AN1161" s="16" t="s">
        <v>9176</v>
      </c>
    </row>
    <row r="1162" spans="1:40" x14ac:dyDescent="0.25">
      <c r="A1162" s="4" t="s">
        <v>3861</v>
      </c>
      <c r="B1162" s="4"/>
      <c r="C1162" s="4" t="s">
        <v>39</v>
      </c>
      <c r="D1162" s="4" t="s">
        <v>3862</v>
      </c>
      <c r="E1162" s="4" t="s">
        <v>3863</v>
      </c>
      <c r="F1162" s="10">
        <v>45377</v>
      </c>
      <c r="G1162" s="11">
        <v>0.63541666666666663</v>
      </c>
      <c r="H1162" s="4" t="s">
        <v>2095</v>
      </c>
      <c r="I1162" s="4" t="s">
        <v>3864</v>
      </c>
      <c r="J1162" s="4" t="s">
        <v>3865</v>
      </c>
      <c r="K1162" s="4" t="s">
        <v>3866</v>
      </c>
      <c r="L1162" s="4" t="s">
        <v>3867</v>
      </c>
      <c r="M1162" s="4" t="s">
        <v>46</v>
      </c>
      <c r="N1162" s="4"/>
      <c r="O1162" s="4" t="s">
        <v>47</v>
      </c>
      <c r="P1162" s="4" t="s">
        <v>48</v>
      </c>
      <c r="Q1162" s="4">
        <v>0</v>
      </c>
      <c r="R1162" s="4" t="b">
        <v>0</v>
      </c>
      <c r="S1162" s="4" t="s">
        <v>49</v>
      </c>
      <c r="T1162" s="4" t="s">
        <v>89</v>
      </c>
      <c r="U1162" s="4" t="s">
        <v>148</v>
      </c>
      <c r="V1162" s="4" t="s">
        <v>123</v>
      </c>
      <c r="W1162" s="4" t="s">
        <v>124</v>
      </c>
      <c r="X1162" s="4" t="s">
        <v>98</v>
      </c>
      <c r="Y1162" s="4"/>
      <c r="Z1162" s="12">
        <v>0</v>
      </c>
      <c r="AA1162" s="13" t="s">
        <v>9172</v>
      </c>
      <c r="AB1162" s="13" t="s">
        <v>9160</v>
      </c>
      <c r="AC1162" s="14" t="s">
        <v>9139</v>
      </c>
      <c r="AD1162" s="14" t="s">
        <v>9140</v>
      </c>
      <c r="AE1162" s="14" t="s">
        <v>9140</v>
      </c>
      <c r="AF1162" s="14" t="s">
        <v>123</v>
      </c>
      <c r="AG1162" s="14" t="s">
        <v>98</v>
      </c>
      <c r="AH1162" s="15" t="s">
        <v>9194</v>
      </c>
      <c r="AI1162" s="15" t="s">
        <v>9188</v>
      </c>
      <c r="AJ1162" s="15" t="s">
        <v>9143</v>
      </c>
      <c r="AK1162" s="15" t="s">
        <v>9194</v>
      </c>
      <c r="AL1162" s="15" t="s">
        <v>9211</v>
      </c>
      <c r="AM1162" s="16" t="s">
        <v>9194</v>
      </c>
      <c r="AN1162" s="16" t="s">
        <v>9212</v>
      </c>
    </row>
    <row r="1163" spans="1:40" x14ac:dyDescent="0.25">
      <c r="A1163" s="4" t="s">
        <v>5178</v>
      </c>
      <c r="B1163" s="4"/>
      <c r="C1163" s="4" t="s">
        <v>39</v>
      </c>
      <c r="D1163" s="4" t="s">
        <v>5179</v>
      </c>
      <c r="E1163" s="4" t="s">
        <v>5180</v>
      </c>
      <c r="F1163" s="10">
        <v>45377</v>
      </c>
      <c r="G1163" s="11">
        <v>0.47916666666666669</v>
      </c>
      <c r="H1163" s="4" t="s">
        <v>4910</v>
      </c>
      <c r="I1163" s="4" t="s">
        <v>5121</v>
      </c>
      <c r="J1163" s="4" t="s">
        <v>1994</v>
      </c>
      <c r="K1163" s="4" t="s">
        <v>5181</v>
      </c>
      <c r="L1163" s="4" t="s">
        <v>5182</v>
      </c>
      <c r="M1163" s="4" t="s">
        <v>432</v>
      </c>
      <c r="N1163" s="4"/>
      <c r="O1163" s="4" t="s">
        <v>47</v>
      </c>
      <c r="P1163" s="4" t="s">
        <v>48</v>
      </c>
      <c r="Q1163" s="4">
        <v>0</v>
      </c>
      <c r="R1163" s="4" t="b">
        <v>0</v>
      </c>
      <c r="S1163" s="4" t="s">
        <v>61</v>
      </c>
      <c r="T1163" s="4" t="s">
        <v>115</v>
      </c>
      <c r="U1163" s="4" t="s">
        <v>148</v>
      </c>
      <c r="V1163" s="4" t="s">
        <v>72</v>
      </c>
      <c r="W1163" s="4" t="s">
        <v>73</v>
      </c>
      <c r="X1163" s="4" t="s">
        <v>54</v>
      </c>
      <c r="Y1163" s="4"/>
      <c r="Z1163" s="12">
        <v>0</v>
      </c>
      <c r="AA1163" s="13" t="s">
        <v>9172</v>
      </c>
      <c r="AB1163" s="13" t="s">
        <v>9160</v>
      </c>
      <c r="AC1163" s="14" t="s">
        <v>9148</v>
      </c>
      <c r="AD1163" s="14" t="s">
        <v>9140</v>
      </c>
      <c r="AE1163" s="14" t="s">
        <v>9140</v>
      </c>
      <c r="AF1163" s="14" t="s">
        <v>72</v>
      </c>
      <c r="AG1163" s="14" t="s">
        <v>54</v>
      </c>
      <c r="AH1163" s="15" t="s">
        <v>9220</v>
      </c>
      <c r="AI1163" s="15" t="s">
        <v>9191</v>
      </c>
      <c r="AJ1163" s="15" t="s">
        <v>9143</v>
      </c>
      <c r="AK1163" s="15" t="s">
        <v>9221</v>
      </c>
      <c r="AL1163" s="15" t="s">
        <v>9236</v>
      </c>
      <c r="AM1163" s="16" t="s">
        <v>9221</v>
      </c>
      <c r="AN1163" s="16" t="s">
        <v>9237</v>
      </c>
    </row>
    <row r="1164" spans="1:40" x14ac:dyDescent="0.25">
      <c r="A1164" s="4" t="s">
        <v>6988</v>
      </c>
      <c r="B1164" s="4">
        <v>6836472</v>
      </c>
      <c r="C1164" s="4" t="s">
        <v>39</v>
      </c>
      <c r="D1164" s="4" t="s">
        <v>6989</v>
      </c>
      <c r="E1164" s="4" t="s">
        <v>6990</v>
      </c>
      <c r="F1164" s="10">
        <v>45377</v>
      </c>
      <c r="G1164" s="11">
        <v>0.58333333333333337</v>
      </c>
      <c r="H1164" s="4" t="s">
        <v>4516</v>
      </c>
      <c r="I1164" s="4" t="s">
        <v>6985</v>
      </c>
      <c r="J1164" s="4" t="s">
        <v>3890</v>
      </c>
      <c r="K1164" s="4" t="s">
        <v>6991</v>
      </c>
      <c r="L1164" s="4" t="s">
        <v>6992</v>
      </c>
      <c r="M1164" s="4" t="s">
        <v>28</v>
      </c>
      <c r="N1164" s="4" t="s">
        <v>147</v>
      </c>
      <c r="O1164" s="4" t="s">
        <v>191</v>
      </c>
      <c r="P1164" s="4" t="s">
        <v>48</v>
      </c>
      <c r="Q1164" s="4">
        <v>0</v>
      </c>
      <c r="R1164" s="4" t="b">
        <v>0</v>
      </c>
      <c r="S1164" s="4" t="s">
        <v>114</v>
      </c>
      <c r="T1164" s="4" t="s">
        <v>425</v>
      </c>
      <c r="U1164" s="4" t="s">
        <v>6993</v>
      </c>
      <c r="V1164" s="4" t="s">
        <v>52</v>
      </c>
      <c r="W1164" s="4" t="s">
        <v>135</v>
      </c>
      <c r="X1164" s="4" t="s">
        <v>54</v>
      </c>
      <c r="Y1164" s="4"/>
      <c r="Z1164" s="12" t="s">
        <v>48</v>
      </c>
      <c r="AA1164" s="13" t="s">
        <v>9172</v>
      </c>
      <c r="AB1164" s="13" t="s">
        <v>9160</v>
      </c>
      <c r="AC1164" s="14" t="s">
        <v>9157</v>
      </c>
      <c r="AD1164" s="14" t="s">
        <v>28</v>
      </c>
      <c r="AE1164" s="14" t="s">
        <v>9140</v>
      </c>
      <c r="AF1164" s="14" t="s">
        <v>52</v>
      </c>
      <c r="AG1164" s="14" t="s">
        <v>54</v>
      </c>
      <c r="AH1164" s="15" t="s">
        <v>9220</v>
      </c>
      <c r="AI1164" s="15" t="s">
        <v>9188</v>
      </c>
      <c r="AJ1164" s="15" t="s">
        <v>9143</v>
      </c>
      <c r="AK1164" s="15" t="s">
        <v>9221</v>
      </c>
      <c r="AL1164" s="15" t="s">
        <v>9230</v>
      </c>
      <c r="AM1164" s="16" t="s">
        <v>9221</v>
      </c>
      <c r="AN1164" s="16" t="s">
        <v>9231</v>
      </c>
    </row>
    <row r="1165" spans="1:40" x14ac:dyDescent="0.25">
      <c r="A1165" s="4" t="s">
        <v>6752</v>
      </c>
      <c r="B1165" s="4">
        <v>6840714</v>
      </c>
      <c r="C1165" s="4" t="s">
        <v>39</v>
      </c>
      <c r="D1165" s="4" t="s">
        <v>6753</v>
      </c>
      <c r="E1165" s="4" t="s">
        <v>6754</v>
      </c>
      <c r="F1165" s="10">
        <v>45377</v>
      </c>
      <c r="G1165" s="11">
        <v>0.72361111111111109</v>
      </c>
      <c r="H1165" s="4" t="s">
        <v>4516</v>
      </c>
      <c r="I1165" s="4" t="s">
        <v>6736</v>
      </c>
      <c r="J1165" s="4" t="s">
        <v>6737</v>
      </c>
      <c r="K1165" s="4" t="s">
        <v>6755</v>
      </c>
      <c r="L1165" s="4" t="s">
        <v>6756</v>
      </c>
      <c r="M1165" s="4" t="s">
        <v>28</v>
      </c>
      <c r="N1165" s="4" t="s">
        <v>183</v>
      </c>
      <c r="O1165" s="4" t="s">
        <v>191</v>
      </c>
      <c r="P1165" s="4" t="s">
        <v>48</v>
      </c>
      <c r="Q1165" s="4">
        <v>0</v>
      </c>
      <c r="R1165" s="4" t="b">
        <v>0</v>
      </c>
      <c r="S1165" s="4" t="s">
        <v>61</v>
      </c>
      <c r="T1165" s="4" t="s">
        <v>583</v>
      </c>
      <c r="U1165" s="4" t="s">
        <v>175</v>
      </c>
      <c r="V1165" s="4" t="s">
        <v>52</v>
      </c>
      <c r="W1165" s="4" t="s">
        <v>53</v>
      </c>
      <c r="X1165" s="4" t="s">
        <v>54</v>
      </c>
      <c r="Y1165" s="4"/>
      <c r="Z1165" s="12" t="s">
        <v>48</v>
      </c>
      <c r="AA1165" s="13" t="s">
        <v>9172</v>
      </c>
      <c r="AB1165" s="13" t="s">
        <v>9160</v>
      </c>
      <c r="AC1165" s="14" t="s">
        <v>9148</v>
      </c>
      <c r="AD1165" s="14" t="s">
        <v>28</v>
      </c>
      <c r="AE1165" s="14" t="s">
        <v>183</v>
      </c>
      <c r="AF1165" s="14" t="s">
        <v>52</v>
      </c>
      <c r="AG1165" s="14" t="s">
        <v>54</v>
      </c>
      <c r="AH1165" s="15" t="s">
        <v>9220</v>
      </c>
      <c r="AI1165" s="15" t="s">
        <v>9188</v>
      </c>
      <c r="AJ1165" s="15" t="s">
        <v>9143</v>
      </c>
      <c r="AK1165" s="15" t="s">
        <v>9221</v>
      </c>
      <c r="AL1165" s="15" t="s">
        <v>9232</v>
      </c>
      <c r="AM1165" s="16" t="s">
        <v>9221</v>
      </c>
      <c r="AN1165" s="16" t="s">
        <v>9233</v>
      </c>
    </row>
    <row r="1166" spans="1:40" x14ac:dyDescent="0.25">
      <c r="A1166" s="4" t="s">
        <v>6665</v>
      </c>
      <c r="B1166" s="4"/>
      <c r="C1166" s="4" t="s">
        <v>39</v>
      </c>
      <c r="D1166" s="4" t="s">
        <v>6666</v>
      </c>
      <c r="E1166" s="4" t="s">
        <v>6667</v>
      </c>
      <c r="F1166" s="10">
        <v>45376</v>
      </c>
      <c r="G1166" s="11">
        <v>0.62152777777777779</v>
      </c>
      <c r="H1166" s="4" t="s">
        <v>4516</v>
      </c>
      <c r="I1166" s="4" t="s">
        <v>6637</v>
      </c>
      <c r="J1166" s="4" t="s">
        <v>3564</v>
      </c>
      <c r="K1166" s="4" t="s">
        <v>6668</v>
      </c>
      <c r="L1166" s="4" t="s">
        <v>6669</v>
      </c>
      <c r="M1166" s="4" t="s">
        <v>46</v>
      </c>
      <c r="N1166" s="4"/>
      <c r="O1166" s="4" t="s">
        <v>47</v>
      </c>
      <c r="P1166" s="4" t="s">
        <v>48</v>
      </c>
      <c r="Q1166" s="4">
        <v>0</v>
      </c>
      <c r="R1166" s="4" t="b">
        <v>0</v>
      </c>
      <c r="S1166" s="4" t="s">
        <v>49</v>
      </c>
      <c r="T1166" s="4" t="s">
        <v>115</v>
      </c>
      <c r="U1166" s="4" t="s">
        <v>107</v>
      </c>
      <c r="V1166" s="4" t="s">
        <v>63</v>
      </c>
      <c r="W1166" s="4" t="s">
        <v>198</v>
      </c>
      <c r="X1166" s="4" t="s">
        <v>54</v>
      </c>
      <c r="Y1166" s="4"/>
      <c r="Z1166" s="12">
        <v>0</v>
      </c>
      <c r="AA1166" s="13" t="s">
        <v>9172</v>
      </c>
      <c r="AB1166" s="13" t="s">
        <v>9160</v>
      </c>
      <c r="AC1166" s="14" t="s">
        <v>9139</v>
      </c>
      <c r="AD1166" s="14" t="s">
        <v>9140</v>
      </c>
      <c r="AE1166" s="14" t="s">
        <v>9140</v>
      </c>
      <c r="AF1166" s="14" t="s">
        <v>63</v>
      </c>
      <c r="AG1166" s="14" t="s">
        <v>54</v>
      </c>
      <c r="AH1166" s="15" t="s">
        <v>9220</v>
      </c>
      <c r="AI1166" s="15" t="s">
        <v>9188</v>
      </c>
      <c r="AJ1166" s="15" t="s">
        <v>9143</v>
      </c>
      <c r="AK1166" s="15" t="s">
        <v>9221</v>
      </c>
      <c r="AL1166" s="15" t="s">
        <v>9236</v>
      </c>
      <c r="AM1166" s="16" t="s">
        <v>9221</v>
      </c>
      <c r="AN1166" s="16" t="s">
        <v>9237</v>
      </c>
    </row>
    <row r="1167" spans="1:40" x14ac:dyDescent="0.25">
      <c r="A1167" s="4" t="s">
        <v>5595</v>
      </c>
      <c r="B1167" s="4"/>
      <c r="C1167" s="4" t="s">
        <v>39</v>
      </c>
      <c r="D1167" s="4" t="s">
        <v>5596</v>
      </c>
      <c r="E1167" s="4" t="s">
        <v>5597</v>
      </c>
      <c r="F1167" s="10">
        <v>45376</v>
      </c>
      <c r="G1167" s="11">
        <v>0.44722222222222224</v>
      </c>
      <c r="H1167" s="4" t="s">
        <v>4516</v>
      </c>
      <c r="I1167" s="4" t="s">
        <v>5589</v>
      </c>
      <c r="J1167" s="4" t="s">
        <v>5590</v>
      </c>
      <c r="K1167" s="4" t="s">
        <v>5598</v>
      </c>
      <c r="L1167" s="4" t="s">
        <v>5599</v>
      </c>
      <c r="M1167" s="4" t="s">
        <v>46</v>
      </c>
      <c r="N1167" s="4"/>
      <c r="O1167" s="4" t="s">
        <v>47</v>
      </c>
      <c r="P1167" s="4" t="s">
        <v>48</v>
      </c>
      <c r="Q1167" s="4">
        <v>0</v>
      </c>
      <c r="R1167" s="4" t="b">
        <v>0</v>
      </c>
      <c r="S1167" s="4" t="s">
        <v>61</v>
      </c>
      <c r="T1167" s="4" t="s">
        <v>50</v>
      </c>
      <c r="U1167" s="4" t="s">
        <v>527</v>
      </c>
      <c r="V1167" s="4" t="s">
        <v>63</v>
      </c>
      <c r="W1167" s="4" t="s">
        <v>198</v>
      </c>
      <c r="X1167" s="4" t="s">
        <v>54</v>
      </c>
      <c r="Y1167" s="4"/>
      <c r="Z1167" s="12">
        <v>0</v>
      </c>
      <c r="AA1167" s="13" t="s">
        <v>9172</v>
      </c>
      <c r="AB1167" s="13" t="s">
        <v>9160</v>
      </c>
      <c r="AC1167" s="14" t="s">
        <v>9148</v>
      </c>
      <c r="AD1167" s="14" t="s">
        <v>9140</v>
      </c>
      <c r="AE1167" s="14" t="s">
        <v>9140</v>
      </c>
      <c r="AF1167" s="14" t="s">
        <v>63</v>
      </c>
      <c r="AG1167" s="14" t="s">
        <v>54</v>
      </c>
      <c r="AH1167" s="15" t="s">
        <v>9220</v>
      </c>
      <c r="AI1167" s="15" t="s">
        <v>9188</v>
      </c>
      <c r="AJ1167" s="15" t="s">
        <v>9143</v>
      </c>
      <c r="AK1167" s="15" t="s">
        <v>9221</v>
      </c>
      <c r="AL1167" s="15" t="s">
        <v>9236</v>
      </c>
      <c r="AM1167" s="16" t="s">
        <v>9221</v>
      </c>
      <c r="AN1167" s="16" t="s">
        <v>9237</v>
      </c>
    </row>
    <row r="1168" spans="1:40" x14ac:dyDescent="0.25">
      <c r="A1168" s="4" t="s">
        <v>4554</v>
      </c>
      <c r="B1168" s="4"/>
      <c r="C1168" s="4" t="s">
        <v>39</v>
      </c>
      <c r="D1168" s="4" t="s">
        <v>4555</v>
      </c>
      <c r="E1168" s="4" t="s">
        <v>4556</v>
      </c>
      <c r="F1168" s="10">
        <v>45376</v>
      </c>
      <c r="G1168" s="11">
        <v>0.67708333333333337</v>
      </c>
      <c r="H1168" s="4" t="s">
        <v>4516</v>
      </c>
      <c r="I1168" s="4" t="s">
        <v>4546</v>
      </c>
      <c r="J1168" s="4" t="s">
        <v>3163</v>
      </c>
      <c r="K1168" s="4" t="s">
        <v>4557</v>
      </c>
      <c r="L1168" s="4" t="s">
        <v>4558</v>
      </c>
      <c r="M1168" s="4" t="s">
        <v>46</v>
      </c>
      <c r="N1168" s="4"/>
      <c r="O1168" s="4" t="s">
        <v>47</v>
      </c>
      <c r="P1168" s="4" t="s">
        <v>48</v>
      </c>
      <c r="Q1168" s="4">
        <v>0</v>
      </c>
      <c r="R1168" s="4" t="b">
        <v>0</v>
      </c>
      <c r="S1168" s="4" t="s">
        <v>61</v>
      </c>
      <c r="T1168" s="4" t="s">
        <v>583</v>
      </c>
      <c r="U1168" s="4" t="s">
        <v>51</v>
      </c>
      <c r="V1168" s="4" t="s">
        <v>63</v>
      </c>
      <c r="W1168" s="4" t="s">
        <v>64</v>
      </c>
      <c r="X1168" s="4" t="s">
        <v>54</v>
      </c>
      <c r="Y1168" s="4"/>
      <c r="Z1168" s="12">
        <v>0</v>
      </c>
      <c r="AA1168" s="13" t="s">
        <v>9172</v>
      </c>
      <c r="AB1168" s="13" t="s">
        <v>9160</v>
      </c>
      <c r="AC1168" s="14" t="s">
        <v>9148</v>
      </c>
      <c r="AD1168" s="14" t="s">
        <v>9140</v>
      </c>
      <c r="AE1168" s="14" t="s">
        <v>9140</v>
      </c>
      <c r="AF1168" s="14" t="s">
        <v>63</v>
      </c>
      <c r="AG1168" s="14" t="s">
        <v>54</v>
      </c>
      <c r="AH1168" s="15" t="s">
        <v>9220</v>
      </c>
      <c r="AI1168" s="15" t="s">
        <v>9188</v>
      </c>
      <c r="AJ1168" s="15" t="s">
        <v>9143</v>
      </c>
      <c r="AK1168" s="15" t="s">
        <v>9221</v>
      </c>
      <c r="AL1168" s="15" t="s">
        <v>9230</v>
      </c>
      <c r="AM1168" s="16" t="s">
        <v>9221</v>
      </c>
      <c r="AN1168" s="16" t="s">
        <v>9231</v>
      </c>
    </row>
    <row r="1169" spans="1:40" x14ac:dyDescent="0.25">
      <c r="A1169" s="4" t="s">
        <v>4559</v>
      </c>
      <c r="B1169" s="4"/>
      <c r="C1169" s="4" t="s">
        <v>39</v>
      </c>
      <c r="D1169" s="4" t="s">
        <v>4560</v>
      </c>
      <c r="E1169" s="4" t="s">
        <v>4561</v>
      </c>
      <c r="F1169" s="10">
        <v>45376</v>
      </c>
      <c r="G1169" s="11">
        <v>0.72916666666666663</v>
      </c>
      <c r="H1169" s="4" t="s">
        <v>4516</v>
      </c>
      <c r="I1169" s="4" t="s">
        <v>4546</v>
      </c>
      <c r="J1169" s="4" t="s">
        <v>3163</v>
      </c>
      <c r="K1169" s="4" t="s">
        <v>4562</v>
      </c>
      <c r="L1169" s="4" t="s">
        <v>4563</v>
      </c>
      <c r="M1169" s="4" t="s">
        <v>46</v>
      </c>
      <c r="N1169" s="4"/>
      <c r="O1169" s="4" t="s">
        <v>47</v>
      </c>
      <c r="P1169" s="4" t="s">
        <v>48</v>
      </c>
      <c r="Q1169" s="4">
        <v>0</v>
      </c>
      <c r="R1169" s="4" t="b">
        <v>0</v>
      </c>
      <c r="S1169" s="4" t="s">
        <v>61</v>
      </c>
      <c r="T1169" s="4" t="s">
        <v>583</v>
      </c>
      <c r="U1169" s="4" t="s">
        <v>1918</v>
      </c>
      <c r="V1169" s="4" t="s">
        <v>63</v>
      </c>
      <c r="W1169" s="4" t="s">
        <v>64</v>
      </c>
      <c r="X1169" s="4" t="s">
        <v>54</v>
      </c>
      <c r="Y1169" s="4"/>
      <c r="Z1169" s="12">
        <v>0</v>
      </c>
      <c r="AA1169" s="13" t="s">
        <v>9172</v>
      </c>
      <c r="AB1169" s="13" t="s">
        <v>9160</v>
      </c>
      <c r="AC1169" s="14" t="s">
        <v>9148</v>
      </c>
      <c r="AD1169" s="14" t="s">
        <v>9140</v>
      </c>
      <c r="AE1169" s="14" t="s">
        <v>9140</v>
      </c>
      <c r="AF1169" s="14" t="s">
        <v>63</v>
      </c>
      <c r="AG1169" s="14" t="s">
        <v>54</v>
      </c>
      <c r="AH1169" s="15" t="s">
        <v>9220</v>
      </c>
      <c r="AI1169" s="15" t="s">
        <v>9188</v>
      </c>
      <c r="AJ1169" s="15" t="s">
        <v>9143</v>
      </c>
      <c r="AK1169" s="15" t="s">
        <v>9221</v>
      </c>
      <c r="AL1169" s="15" t="s">
        <v>9230</v>
      </c>
      <c r="AM1169" s="16" t="s">
        <v>9221</v>
      </c>
      <c r="AN1169" s="16" t="s">
        <v>9231</v>
      </c>
    </row>
    <row r="1170" spans="1:40" x14ac:dyDescent="0.25">
      <c r="A1170" s="4" t="s">
        <v>1152</v>
      </c>
      <c r="B1170" s="4"/>
      <c r="C1170" s="4" t="s">
        <v>39</v>
      </c>
      <c r="D1170" s="4" t="s">
        <v>1153</v>
      </c>
      <c r="E1170" s="4" t="s">
        <v>1154</v>
      </c>
      <c r="F1170" s="10">
        <v>45376</v>
      </c>
      <c r="G1170" s="11">
        <v>0.38194444444444442</v>
      </c>
      <c r="H1170" s="4" t="s">
        <v>1155</v>
      </c>
      <c r="I1170" s="4">
        <v>4041</v>
      </c>
      <c r="J1170" s="4" t="s">
        <v>1156</v>
      </c>
      <c r="K1170" s="4" t="s">
        <v>1157</v>
      </c>
      <c r="L1170" s="4" t="s">
        <v>1158</v>
      </c>
      <c r="M1170" s="4" t="s">
        <v>46</v>
      </c>
      <c r="N1170" s="4"/>
      <c r="O1170" s="4" t="s">
        <v>47</v>
      </c>
      <c r="P1170" s="4" t="s">
        <v>48</v>
      </c>
      <c r="Q1170" s="4">
        <v>0</v>
      </c>
      <c r="R1170" s="4" t="b">
        <v>0</v>
      </c>
      <c r="S1170" s="4" t="s">
        <v>49</v>
      </c>
      <c r="T1170" s="4" t="s">
        <v>89</v>
      </c>
      <c r="U1170" s="4" t="s">
        <v>301</v>
      </c>
      <c r="V1170" s="4" t="s">
        <v>123</v>
      </c>
      <c r="W1170" s="4" t="s">
        <v>124</v>
      </c>
      <c r="X1170" s="4" t="s">
        <v>98</v>
      </c>
      <c r="Y1170" s="4"/>
      <c r="Z1170" s="12">
        <v>0</v>
      </c>
      <c r="AA1170" s="13" t="s">
        <v>9172</v>
      </c>
      <c r="AB1170" s="13" t="s">
        <v>9160</v>
      </c>
      <c r="AC1170" s="14" t="s">
        <v>9139</v>
      </c>
      <c r="AD1170" s="14" t="s">
        <v>9140</v>
      </c>
      <c r="AE1170" s="14" t="s">
        <v>9140</v>
      </c>
      <c r="AF1170" s="14" t="s">
        <v>123</v>
      </c>
      <c r="AG1170" s="14" t="s">
        <v>98</v>
      </c>
      <c r="AH1170" s="15" t="s">
        <v>9141</v>
      </c>
      <c r="AI1170" s="15" t="s">
        <v>9187</v>
      </c>
      <c r="AJ1170" s="15" t="s">
        <v>9143</v>
      </c>
      <c r="AK1170" s="15" t="s">
        <v>9141</v>
      </c>
      <c r="AL1170" s="15" t="s">
        <v>9144</v>
      </c>
      <c r="AM1170" s="16" t="s">
        <v>9141</v>
      </c>
      <c r="AN1170" s="16" t="s">
        <v>9145</v>
      </c>
    </row>
    <row r="1171" spans="1:40" x14ac:dyDescent="0.25">
      <c r="A1171" s="4" t="s">
        <v>1529</v>
      </c>
      <c r="B1171" s="4"/>
      <c r="C1171" s="4" t="s">
        <v>39</v>
      </c>
      <c r="D1171" s="4" t="s">
        <v>1530</v>
      </c>
      <c r="E1171" s="4" t="s">
        <v>1531</v>
      </c>
      <c r="F1171" s="10">
        <v>45376</v>
      </c>
      <c r="G1171" s="11">
        <v>0.49930555555555556</v>
      </c>
      <c r="H1171" s="4" t="s">
        <v>1476</v>
      </c>
      <c r="I1171" s="4">
        <v>6065</v>
      </c>
      <c r="J1171" s="4" t="s">
        <v>1508</v>
      </c>
      <c r="K1171" s="4" t="s">
        <v>1532</v>
      </c>
      <c r="L1171" s="4" t="s">
        <v>1533</v>
      </c>
      <c r="M1171" s="4" t="s">
        <v>46</v>
      </c>
      <c r="N1171" s="4"/>
      <c r="O1171" s="4" t="s">
        <v>47</v>
      </c>
      <c r="P1171" s="4" t="s">
        <v>48</v>
      </c>
      <c r="Q1171" s="4">
        <v>0</v>
      </c>
      <c r="R1171" s="4" t="b">
        <v>0</v>
      </c>
      <c r="S1171" s="4" t="s">
        <v>61</v>
      </c>
      <c r="T1171" s="4" t="s">
        <v>583</v>
      </c>
      <c r="U1171" s="4" t="s">
        <v>175</v>
      </c>
      <c r="V1171" s="4" t="s">
        <v>52</v>
      </c>
      <c r="W1171" s="4" t="s">
        <v>53</v>
      </c>
      <c r="X1171" s="4" t="s">
        <v>54</v>
      </c>
      <c r="Y1171" s="4"/>
      <c r="Z1171" s="12">
        <v>0</v>
      </c>
      <c r="AA1171" s="13" t="s">
        <v>9172</v>
      </c>
      <c r="AB1171" s="13" t="s">
        <v>9160</v>
      </c>
      <c r="AC1171" s="14" t="s">
        <v>9148</v>
      </c>
      <c r="AD1171" s="14" t="s">
        <v>9140</v>
      </c>
      <c r="AE1171" s="14" t="s">
        <v>9140</v>
      </c>
      <c r="AF1171" s="14" t="s">
        <v>52</v>
      </c>
      <c r="AG1171" s="14" t="s">
        <v>54</v>
      </c>
      <c r="AH1171" s="15" t="s">
        <v>9141</v>
      </c>
      <c r="AI1171" s="15" t="s">
        <v>9193</v>
      </c>
      <c r="AJ1171" s="15" t="s">
        <v>9143</v>
      </c>
      <c r="AK1171" s="15" t="s">
        <v>9141</v>
      </c>
      <c r="AL1171" s="15" t="s">
        <v>9189</v>
      </c>
      <c r="AM1171" s="16" t="s">
        <v>9141</v>
      </c>
      <c r="AN1171" s="16" t="s">
        <v>9190</v>
      </c>
    </row>
    <row r="1172" spans="1:40" x14ac:dyDescent="0.25">
      <c r="A1172" s="4" t="s">
        <v>3461</v>
      </c>
      <c r="B1172" s="4">
        <v>6704894</v>
      </c>
      <c r="C1172" s="4" t="s">
        <v>39</v>
      </c>
      <c r="D1172" s="4" t="s">
        <v>3462</v>
      </c>
      <c r="E1172" s="4" t="s">
        <v>3463</v>
      </c>
      <c r="F1172" s="10">
        <v>45375</v>
      </c>
      <c r="G1172" s="11">
        <v>0.4236111111111111</v>
      </c>
      <c r="H1172" s="4" t="s">
        <v>2095</v>
      </c>
      <c r="I1172" s="4" t="s">
        <v>3452</v>
      </c>
      <c r="J1172" s="4" t="s">
        <v>3453</v>
      </c>
      <c r="K1172" s="4" t="s">
        <v>3464</v>
      </c>
      <c r="L1172" s="4" t="s">
        <v>3465</v>
      </c>
      <c r="M1172" s="4" t="s">
        <v>28</v>
      </c>
      <c r="N1172" s="4" t="s">
        <v>183</v>
      </c>
      <c r="O1172" s="4" t="s">
        <v>174</v>
      </c>
      <c r="P1172" s="4" t="s">
        <v>48</v>
      </c>
      <c r="Q1172" s="4">
        <v>10</v>
      </c>
      <c r="R1172" s="4" t="b">
        <v>0</v>
      </c>
      <c r="S1172" s="4" t="s">
        <v>184</v>
      </c>
      <c r="T1172" s="4" t="s">
        <v>70</v>
      </c>
      <c r="U1172" s="4" t="s">
        <v>71</v>
      </c>
      <c r="V1172" s="4" t="s">
        <v>63</v>
      </c>
      <c r="W1172" s="4" t="s">
        <v>198</v>
      </c>
      <c r="X1172" s="4" t="s">
        <v>54</v>
      </c>
      <c r="Y1172" s="4" t="s">
        <v>211</v>
      </c>
      <c r="Z1172" s="12" t="s">
        <v>48</v>
      </c>
      <c r="AA1172" s="13" t="s">
        <v>9167</v>
      </c>
      <c r="AB1172" s="13" t="s">
        <v>9168</v>
      </c>
      <c r="AC1172" s="14" t="s">
        <v>9166</v>
      </c>
      <c r="AD1172" s="14" t="s">
        <v>28</v>
      </c>
      <c r="AE1172" s="14" t="s">
        <v>183</v>
      </c>
      <c r="AF1172" s="14" t="s">
        <v>63</v>
      </c>
      <c r="AG1172" s="14" t="s">
        <v>54</v>
      </c>
      <c r="AH1172" s="15" t="s">
        <v>9194</v>
      </c>
      <c r="AI1172" s="15" t="s">
        <v>9188</v>
      </c>
      <c r="AJ1172" s="15" t="s">
        <v>9143</v>
      </c>
      <c r="AK1172" s="15" t="s">
        <v>9194</v>
      </c>
      <c r="AL1172" s="15" t="s">
        <v>9203</v>
      </c>
      <c r="AM1172" s="16" t="s">
        <v>9194</v>
      </c>
      <c r="AN1172" s="16" t="s">
        <v>9204</v>
      </c>
    </row>
    <row r="1173" spans="1:40" x14ac:dyDescent="0.25">
      <c r="A1173" s="4" t="s">
        <v>3129</v>
      </c>
      <c r="B1173" s="4"/>
      <c r="C1173" s="4" t="s">
        <v>39</v>
      </c>
      <c r="D1173" s="4" t="s">
        <v>3117</v>
      </c>
      <c r="E1173" s="4" t="s">
        <v>3118</v>
      </c>
      <c r="F1173" s="10">
        <v>45374</v>
      </c>
      <c r="G1173" s="11">
        <v>0.46875</v>
      </c>
      <c r="H1173" s="4" t="s">
        <v>3119</v>
      </c>
      <c r="I1173" s="4" t="s">
        <v>3120</v>
      </c>
      <c r="J1173" s="4" t="s">
        <v>3121</v>
      </c>
      <c r="K1173" s="4" t="s">
        <v>3130</v>
      </c>
      <c r="L1173" s="4" t="s">
        <v>3131</v>
      </c>
      <c r="M1173" s="4" t="s">
        <v>46</v>
      </c>
      <c r="N1173" s="4"/>
      <c r="O1173" s="4" t="s">
        <v>47</v>
      </c>
      <c r="P1173" s="4" t="s">
        <v>48</v>
      </c>
      <c r="Q1173" s="4">
        <v>0</v>
      </c>
      <c r="R1173" s="4" t="b">
        <v>0</v>
      </c>
      <c r="S1173" s="4" t="s">
        <v>49</v>
      </c>
      <c r="T1173" s="4" t="s">
        <v>404</v>
      </c>
      <c r="U1173" s="4" t="s">
        <v>71</v>
      </c>
      <c r="V1173" s="4" t="s">
        <v>81</v>
      </c>
      <c r="W1173" s="4" t="s">
        <v>3132</v>
      </c>
      <c r="X1173" s="4" t="s">
        <v>2811</v>
      </c>
      <c r="Y1173" s="4"/>
      <c r="Z1173" s="12">
        <v>0</v>
      </c>
      <c r="AA1173" s="13" t="s">
        <v>9167</v>
      </c>
      <c r="AB1173" s="13" t="s">
        <v>9168</v>
      </c>
      <c r="AC1173" s="14" t="s">
        <v>9139</v>
      </c>
      <c r="AD1173" s="14" t="s">
        <v>9140</v>
      </c>
      <c r="AE1173" s="14" t="s">
        <v>9140</v>
      </c>
      <c r="AF1173" s="14" t="s">
        <v>81</v>
      </c>
      <c r="AG1173" s="14" t="s">
        <v>2811</v>
      </c>
      <c r="AH1173" s="15" t="s">
        <v>9194</v>
      </c>
      <c r="AI1173" s="15" t="s">
        <v>9213</v>
      </c>
      <c r="AJ1173" s="15" t="s">
        <v>9143</v>
      </c>
      <c r="AK1173" s="15" t="s">
        <v>9194</v>
      </c>
      <c r="AL1173" s="15" t="s">
        <v>9205</v>
      </c>
      <c r="AM1173" s="16" t="s">
        <v>9194</v>
      </c>
      <c r="AN1173" s="16" t="s">
        <v>9206</v>
      </c>
    </row>
    <row r="1174" spans="1:40" x14ac:dyDescent="0.25">
      <c r="A1174" s="4" t="s">
        <v>5533</v>
      </c>
      <c r="B1174" s="4"/>
      <c r="C1174" s="4" t="s">
        <v>39</v>
      </c>
      <c r="D1174" s="4" t="s">
        <v>5534</v>
      </c>
      <c r="E1174" s="4" t="s">
        <v>5535</v>
      </c>
      <c r="F1174" s="10">
        <v>45374</v>
      </c>
      <c r="G1174" s="11">
        <v>0.40625</v>
      </c>
      <c r="H1174" s="4" t="s">
        <v>4910</v>
      </c>
      <c r="I1174" s="4" t="s">
        <v>5502</v>
      </c>
      <c r="J1174" s="4" t="s">
        <v>3354</v>
      </c>
      <c r="K1174" s="4" t="s">
        <v>5536</v>
      </c>
      <c r="L1174" s="4" t="s">
        <v>5537</v>
      </c>
      <c r="M1174" s="4" t="s">
        <v>46</v>
      </c>
      <c r="N1174" s="4"/>
      <c r="O1174" s="4" t="s">
        <v>47</v>
      </c>
      <c r="P1174" s="4" t="s">
        <v>48</v>
      </c>
      <c r="Q1174" s="4">
        <v>0</v>
      </c>
      <c r="R1174" s="4" t="b">
        <v>0</v>
      </c>
      <c r="S1174" s="4" t="s">
        <v>61</v>
      </c>
      <c r="T1174" s="4" t="s">
        <v>50</v>
      </c>
      <c r="U1174" s="4" t="s">
        <v>165</v>
      </c>
      <c r="V1174" s="4" t="s">
        <v>63</v>
      </c>
      <c r="W1174" s="4" t="s">
        <v>108</v>
      </c>
      <c r="X1174" s="4" t="s">
        <v>98</v>
      </c>
      <c r="Y1174" s="4"/>
      <c r="Z1174" s="12">
        <v>0</v>
      </c>
      <c r="AA1174" s="13" t="s">
        <v>9167</v>
      </c>
      <c r="AB1174" s="13" t="s">
        <v>9168</v>
      </c>
      <c r="AC1174" s="14" t="s">
        <v>9148</v>
      </c>
      <c r="AD1174" s="14" t="s">
        <v>9140</v>
      </c>
      <c r="AE1174" s="14" t="s">
        <v>9140</v>
      </c>
      <c r="AF1174" s="14" t="s">
        <v>63</v>
      </c>
      <c r="AG1174" s="14" t="s">
        <v>98</v>
      </c>
      <c r="AH1174" s="15" t="s">
        <v>9220</v>
      </c>
      <c r="AI1174" s="15" t="s">
        <v>9191</v>
      </c>
      <c r="AJ1174" s="15" t="s">
        <v>9143</v>
      </c>
      <c r="AK1174" s="15" t="s">
        <v>9221</v>
      </c>
      <c r="AL1174" s="15" t="s">
        <v>9234</v>
      </c>
      <c r="AM1174" s="16" t="s">
        <v>9221</v>
      </c>
      <c r="AN1174" s="16" t="s">
        <v>9235</v>
      </c>
    </row>
    <row r="1175" spans="1:40" x14ac:dyDescent="0.25">
      <c r="A1175" s="4" t="s">
        <v>6812</v>
      </c>
      <c r="B1175" s="4"/>
      <c r="C1175" s="4" t="s">
        <v>39</v>
      </c>
      <c r="D1175" s="4" t="s">
        <v>6798</v>
      </c>
      <c r="E1175" s="4" t="s">
        <v>6799</v>
      </c>
      <c r="F1175" s="10">
        <v>45373</v>
      </c>
      <c r="G1175" s="11">
        <v>0.5756944444444444</v>
      </c>
      <c r="H1175" s="4" t="s">
        <v>4910</v>
      </c>
      <c r="I1175" s="4" t="s">
        <v>6800</v>
      </c>
      <c r="J1175" s="4" t="s">
        <v>2914</v>
      </c>
      <c r="K1175" s="4" t="s">
        <v>6813</v>
      </c>
      <c r="L1175" s="4" t="s">
        <v>6814</v>
      </c>
      <c r="M1175" s="4" t="s">
        <v>46</v>
      </c>
      <c r="N1175" s="4"/>
      <c r="O1175" s="4" t="s">
        <v>47</v>
      </c>
      <c r="P1175" s="4" t="s">
        <v>48</v>
      </c>
      <c r="Q1175" s="4">
        <v>0</v>
      </c>
      <c r="R1175" s="4" t="b">
        <v>0</v>
      </c>
      <c r="S1175" s="4" t="s">
        <v>114</v>
      </c>
      <c r="T1175" s="4" t="s">
        <v>89</v>
      </c>
      <c r="U1175" s="4" t="s">
        <v>2065</v>
      </c>
      <c r="V1175" s="4" t="s">
        <v>52</v>
      </c>
      <c r="W1175" s="4" t="s">
        <v>53</v>
      </c>
      <c r="X1175" s="4" t="s">
        <v>54</v>
      </c>
      <c r="Y1175" s="4"/>
      <c r="Z1175" s="12">
        <v>0</v>
      </c>
      <c r="AA1175" s="13" t="s">
        <v>9167</v>
      </c>
      <c r="AB1175" s="13" t="s">
        <v>9168</v>
      </c>
      <c r="AC1175" s="14" t="s">
        <v>9157</v>
      </c>
      <c r="AD1175" s="14" t="s">
        <v>9140</v>
      </c>
      <c r="AE1175" s="14" t="s">
        <v>9140</v>
      </c>
      <c r="AF1175" s="14" t="s">
        <v>52</v>
      </c>
      <c r="AG1175" s="14" t="s">
        <v>54</v>
      </c>
      <c r="AH1175" s="15" t="s">
        <v>9220</v>
      </c>
      <c r="AI1175" s="15" t="s">
        <v>9191</v>
      </c>
      <c r="AJ1175" s="15" t="s">
        <v>9143</v>
      </c>
      <c r="AK1175" s="15" t="s">
        <v>9221</v>
      </c>
      <c r="AL1175" s="15" t="s">
        <v>9234</v>
      </c>
      <c r="AM1175" s="16" t="s">
        <v>9221</v>
      </c>
      <c r="AN1175" s="16" t="s">
        <v>9235</v>
      </c>
    </row>
    <row r="1176" spans="1:40" x14ac:dyDescent="0.25">
      <c r="A1176" s="4" t="s">
        <v>7375</v>
      </c>
      <c r="B1176" s="4"/>
      <c r="C1176" s="4" t="s">
        <v>39</v>
      </c>
      <c r="D1176" s="4" t="s">
        <v>7366</v>
      </c>
      <c r="E1176" s="4" t="s">
        <v>7367</v>
      </c>
      <c r="F1176" s="10">
        <v>45373</v>
      </c>
      <c r="G1176" s="11">
        <v>0.43402777777777779</v>
      </c>
      <c r="H1176" s="4" t="s">
        <v>4019</v>
      </c>
      <c r="I1176" s="4" t="s">
        <v>7315</v>
      </c>
      <c r="J1176" s="4" t="s">
        <v>1037</v>
      </c>
      <c r="K1176" s="4" t="s">
        <v>7376</v>
      </c>
      <c r="L1176" s="4" t="s">
        <v>7377</v>
      </c>
      <c r="M1176" s="4" t="s">
        <v>46</v>
      </c>
      <c r="N1176" s="4"/>
      <c r="O1176" s="4" t="s">
        <v>47</v>
      </c>
      <c r="P1176" s="4" t="s">
        <v>48</v>
      </c>
      <c r="Q1176" s="4">
        <v>0</v>
      </c>
      <c r="R1176" s="4" t="b">
        <v>0</v>
      </c>
      <c r="S1176" s="4" t="s">
        <v>61</v>
      </c>
      <c r="T1176" s="4" t="s">
        <v>70</v>
      </c>
      <c r="U1176" s="4" t="s">
        <v>71</v>
      </c>
      <c r="V1176" s="4" t="s">
        <v>72</v>
      </c>
      <c r="W1176" s="4" t="s">
        <v>73</v>
      </c>
      <c r="X1176" s="4" t="s">
        <v>54</v>
      </c>
      <c r="Y1176" s="4"/>
      <c r="Z1176" s="12">
        <v>0</v>
      </c>
      <c r="AA1176" s="13" t="s">
        <v>9167</v>
      </c>
      <c r="AB1176" s="13" t="s">
        <v>9168</v>
      </c>
      <c r="AC1176" s="14" t="s">
        <v>9148</v>
      </c>
      <c r="AD1176" s="14" t="s">
        <v>9140</v>
      </c>
      <c r="AE1176" s="14" t="s">
        <v>9140</v>
      </c>
      <c r="AF1176" s="14" t="s">
        <v>72</v>
      </c>
      <c r="AG1176" s="14" t="s">
        <v>54</v>
      </c>
      <c r="AH1176" s="15" t="s">
        <v>9220</v>
      </c>
      <c r="AI1176" s="15" t="s">
        <v>9175</v>
      </c>
      <c r="AJ1176" s="15" t="s">
        <v>9143</v>
      </c>
      <c r="AK1176" s="15" t="s">
        <v>9221</v>
      </c>
      <c r="AL1176" s="15" t="s">
        <v>9222</v>
      </c>
      <c r="AM1176" s="16" t="s">
        <v>9221</v>
      </c>
      <c r="AN1176" s="16" t="s">
        <v>9223</v>
      </c>
    </row>
    <row r="1177" spans="1:40" x14ac:dyDescent="0.25">
      <c r="A1177" s="4" t="s">
        <v>7378</v>
      </c>
      <c r="B1177" s="4"/>
      <c r="C1177" s="4" t="s">
        <v>39</v>
      </c>
      <c r="D1177" s="4" t="s">
        <v>7379</v>
      </c>
      <c r="E1177" s="4" t="s">
        <v>7380</v>
      </c>
      <c r="F1177" s="10">
        <v>45373</v>
      </c>
      <c r="G1177" s="11">
        <v>0.60416666666666663</v>
      </c>
      <c r="H1177" s="4" t="s">
        <v>4019</v>
      </c>
      <c r="I1177" s="4" t="s">
        <v>7315</v>
      </c>
      <c r="J1177" s="4" t="s">
        <v>1037</v>
      </c>
      <c r="K1177" s="4" t="s">
        <v>7381</v>
      </c>
      <c r="L1177" s="4" t="s">
        <v>7382</v>
      </c>
      <c r="M1177" s="4" t="s">
        <v>46</v>
      </c>
      <c r="N1177" s="4"/>
      <c r="O1177" s="4" t="s">
        <v>47</v>
      </c>
      <c r="P1177" s="4" t="s">
        <v>48</v>
      </c>
      <c r="Q1177" s="4">
        <v>0</v>
      </c>
      <c r="R1177" s="4" t="b">
        <v>0</v>
      </c>
      <c r="S1177" s="4" t="s">
        <v>61</v>
      </c>
      <c r="T1177" s="4" t="s">
        <v>89</v>
      </c>
      <c r="U1177" s="4" t="s">
        <v>140</v>
      </c>
      <c r="V1177" s="4" t="s">
        <v>63</v>
      </c>
      <c r="W1177" s="4" t="s">
        <v>108</v>
      </c>
      <c r="X1177" s="4" t="s">
        <v>98</v>
      </c>
      <c r="Y1177" s="4"/>
      <c r="Z1177" s="12">
        <v>0</v>
      </c>
      <c r="AA1177" s="13" t="s">
        <v>9167</v>
      </c>
      <c r="AB1177" s="13" t="s">
        <v>9168</v>
      </c>
      <c r="AC1177" s="14" t="s">
        <v>9148</v>
      </c>
      <c r="AD1177" s="14" t="s">
        <v>9140</v>
      </c>
      <c r="AE1177" s="14" t="s">
        <v>9140</v>
      </c>
      <c r="AF1177" s="14" t="s">
        <v>63</v>
      </c>
      <c r="AG1177" s="14" t="s">
        <v>98</v>
      </c>
      <c r="AH1177" s="15" t="s">
        <v>9220</v>
      </c>
      <c r="AI1177" s="15" t="s">
        <v>9175</v>
      </c>
      <c r="AJ1177" s="15" t="s">
        <v>9143</v>
      </c>
      <c r="AK1177" s="15" t="s">
        <v>9221</v>
      </c>
      <c r="AL1177" s="15" t="s">
        <v>9222</v>
      </c>
      <c r="AM1177" s="16" t="s">
        <v>9221</v>
      </c>
      <c r="AN1177" s="16" t="s">
        <v>9223</v>
      </c>
    </row>
    <row r="1178" spans="1:40" x14ac:dyDescent="0.25">
      <c r="A1178" s="4" t="s">
        <v>2996</v>
      </c>
      <c r="B1178" s="4"/>
      <c r="C1178" s="4" t="s">
        <v>39</v>
      </c>
      <c r="D1178" s="4" t="s">
        <v>2997</v>
      </c>
      <c r="E1178" s="4" t="s">
        <v>2998</v>
      </c>
      <c r="F1178" s="10">
        <v>45373</v>
      </c>
      <c r="G1178" s="11">
        <v>0.5</v>
      </c>
      <c r="H1178" s="4" t="s">
        <v>1992</v>
      </c>
      <c r="I1178" s="4" t="s">
        <v>2955</v>
      </c>
      <c r="J1178" s="4" t="s">
        <v>2956</v>
      </c>
      <c r="K1178" s="4" t="s">
        <v>2999</v>
      </c>
      <c r="L1178" s="4" t="s">
        <v>3000</v>
      </c>
      <c r="M1178" s="4" t="s">
        <v>46</v>
      </c>
      <c r="N1178" s="4"/>
      <c r="O1178" s="4" t="s">
        <v>47</v>
      </c>
      <c r="P1178" s="4" t="s">
        <v>48</v>
      </c>
      <c r="Q1178" s="4">
        <v>0</v>
      </c>
      <c r="R1178" s="4" t="b">
        <v>0</v>
      </c>
      <c r="S1178" s="4" t="s">
        <v>49</v>
      </c>
      <c r="T1178" s="4" t="s">
        <v>89</v>
      </c>
      <c r="U1178" s="4" t="s">
        <v>71</v>
      </c>
      <c r="V1178" s="4" t="s">
        <v>63</v>
      </c>
      <c r="W1178" s="4" t="s">
        <v>198</v>
      </c>
      <c r="X1178" s="4" t="s">
        <v>98</v>
      </c>
      <c r="Y1178" s="4"/>
      <c r="Z1178" s="12">
        <v>0</v>
      </c>
      <c r="AA1178" s="13" t="s">
        <v>9167</v>
      </c>
      <c r="AB1178" s="13" t="s">
        <v>9168</v>
      </c>
      <c r="AC1178" s="14" t="s">
        <v>9139</v>
      </c>
      <c r="AD1178" s="14" t="s">
        <v>9140</v>
      </c>
      <c r="AE1178" s="14" t="s">
        <v>9140</v>
      </c>
      <c r="AF1178" s="14" t="s">
        <v>63</v>
      </c>
      <c r="AG1178" s="14" t="s">
        <v>98</v>
      </c>
      <c r="AH1178" s="15" t="s">
        <v>9194</v>
      </c>
      <c r="AI1178" s="15" t="s">
        <v>9191</v>
      </c>
      <c r="AJ1178" s="15" t="s">
        <v>9143</v>
      </c>
      <c r="AK1178" s="15" t="s">
        <v>9194</v>
      </c>
      <c r="AL1178" s="15" t="s">
        <v>9205</v>
      </c>
      <c r="AM1178" s="16" t="s">
        <v>9194</v>
      </c>
      <c r="AN1178" s="16" t="s">
        <v>9206</v>
      </c>
    </row>
    <row r="1179" spans="1:40" x14ac:dyDescent="0.25">
      <c r="A1179" s="4" t="s">
        <v>7822</v>
      </c>
      <c r="B1179" s="4"/>
      <c r="C1179" s="4" t="s">
        <v>39</v>
      </c>
      <c r="D1179" s="4" t="s">
        <v>7823</v>
      </c>
      <c r="E1179" s="4" t="s">
        <v>7824</v>
      </c>
      <c r="F1179" s="10">
        <v>45373</v>
      </c>
      <c r="G1179" s="11">
        <v>0.70138888888888884</v>
      </c>
      <c r="H1179" s="4" t="s">
        <v>5666</v>
      </c>
      <c r="I1179" s="4" t="s">
        <v>7793</v>
      </c>
      <c r="J1179" s="4" t="s">
        <v>7794</v>
      </c>
      <c r="K1179" s="4" t="s">
        <v>7825</v>
      </c>
      <c r="L1179" s="4" t="s">
        <v>7826</v>
      </c>
      <c r="M1179" s="4" t="s">
        <v>46</v>
      </c>
      <c r="N1179" s="4"/>
      <c r="O1179" s="4" t="s">
        <v>47</v>
      </c>
      <c r="P1179" s="4" t="s">
        <v>48</v>
      </c>
      <c r="Q1179" s="4">
        <v>0</v>
      </c>
      <c r="R1179" s="4" t="b">
        <v>0</v>
      </c>
      <c r="S1179" s="4" t="s">
        <v>184</v>
      </c>
      <c r="T1179" s="4" t="s">
        <v>89</v>
      </c>
      <c r="U1179" s="4" t="s">
        <v>71</v>
      </c>
      <c r="V1179" s="4" t="s">
        <v>52</v>
      </c>
      <c r="W1179" s="4" t="s">
        <v>53</v>
      </c>
      <c r="X1179" s="4" t="s">
        <v>54</v>
      </c>
      <c r="Y1179" s="4"/>
      <c r="Z1179" s="12">
        <v>0</v>
      </c>
      <c r="AA1179" s="13" t="s">
        <v>9167</v>
      </c>
      <c r="AB1179" s="13" t="s">
        <v>9168</v>
      </c>
      <c r="AC1179" s="14" t="s">
        <v>9166</v>
      </c>
      <c r="AD1179" s="14" t="s">
        <v>9140</v>
      </c>
      <c r="AE1179" s="14" t="s">
        <v>9140</v>
      </c>
      <c r="AF1179" s="14" t="s">
        <v>52</v>
      </c>
      <c r="AG1179" s="14" t="s">
        <v>54</v>
      </c>
      <c r="AH1179" s="15" t="s">
        <v>9220</v>
      </c>
      <c r="AI1179" s="15" t="s">
        <v>9199</v>
      </c>
      <c r="AJ1179" s="15" t="s">
        <v>9143</v>
      </c>
      <c r="AK1179" s="15" t="s">
        <v>9221</v>
      </c>
      <c r="AL1179" s="15" t="s">
        <v>9199</v>
      </c>
      <c r="AM1179" s="16" t="s">
        <v>9221</v>
      </c>
      <c r="AN1179" s="16" t="s">
        <v>9238</v>
      </c>
    </row>
    <row r="1180" spans="1:40" x14ac:dyDescent="0.25">
      <c r="A1180" s="4" t="s">
        <v>1878</v>
      </c>
      <c r="B1180" s="4"/>
      <c r="C1180" s="4" t="s">
        <v>39</v>
      </c>
      <c r="D1180" s="4" t="s">
        <v>1848</v>
      </c>
      <c r="E1180" s="4" t="s">
        <v>1849</v>
      </c>
      <c r="F1180" s="10">
        <v>45373</v>
      </c>
      <c r="G1180" s="11">
        <v>0.375</v>
      </c>
      <c r="H1180" s="4" t="s">
        <v>1654</v>
      </c>
      <c r="I1180" s="4">
        <v>9097</v>
      </c>
      <c r="J1180" s="4" t="s">
        <v>1844</v>
      </c>
      <c r="K1180" s="4" t="s">
        <v>1879</v>
      </c>
      <c r="L1180" s="4" t="s">
        <v>1880</v>
      </c>
      <c r="M1180" s="4" t="s">
        <v>46</v>
      </c>
      <c r="N1180" s="4"/>
      <c r="O1180" s="4" t="s">
        <v>47</v>
      </c>
      <c r="P1180" s="4" t="s">
        <v>48</v>
      </c>
      <c r="Q1180" s="4">
        <v>0</v>
      </c>
      <c r="R1180" s="4" t="b">
        <v>0</v>
      </c>
      <c r="S1180" s="4" t="s">
        <v>49</v>
      </c>
      <c r="T1180" s="4" t="s">
        <v>70</v>
      </c>
      <c r="U1180" s="4" t="s">
        <v>71</v>
      </c>
      <c r="V1180" s="4" t="s">
        <v>72</v>
      </c>
      <c r="W1180" s="4" t="s">
        <v>73</v>
      </c>
      <c r="X1180" s="4" t="s">
        <v>98</v>
      </c>
      <c r="Y1180" s="4"/>
      <c r="Z1180" s="12">
        <v>0</v>
      </c>
      <c r="AA1180" s="13" t="s">
        <v>9167</v>
      </c>
      <c r="AB1180" s="13" t="s">
        <v>9168</v>
      </c>
      <c r="AC1180" s="14" t="s">
        <v>9139</v>
      </c>
      <c r="AD1180" s="14" t="s">
        <v>9140</v>
      </c>
      <c r="AE1180" s="14" t="s">
        <v>9140</v>
      </c>
      <c r="AF1180" s="14" t="s">
        <v>72</v>
      </c>
      <c r="AG1180" s="14" t="s">
        <v>98</v>
      </c>
      <c r="AH1180" s="15" t="s">
        <v>9141</v>
      </c>
      <c r="AI1180" s="15" t="s">
        <v>9191</v>
      </c>
      <c r="AJ1180" s="15" t="s">
        <v>9143</v>
      </c>
      <c r="AK1180" s="15" t="s">
        <v>9141</v>
      </c>
      <c r="AL1180" s="15" t="s">
        <v>9191</v>
      </c>
      <c r="AM1180" s="16" t="s">
        <v>9141</v>
      </c>
      <c r="AN1180" s="16" t="s">
        <v>9192</v>
      </c>
    </row>
    <row r="1181" spans="1:40" x14ac:dyDescent="0.25">
      <c r="A1181" s="4" t="s">
        <v>1400</v>
      </c>
      <c r="B1181" s="4"/>
      <c r="C1181" s="4" t="s">
        <v>39</v>
      </c>
      <c r="D1181" s="4" t="s">
        <v>1383</v>
      </c>
      <c r="E1181" s="4" t="s">
        <v>1384</v>
      </c>
      <c r="F1181" s="10">
        <v>45372</v>
      </c>
      <c r="G1181" s="11">
        <v>0.47916666666666669</v>
      </c>
      <c r="H1181" s="4" t="s">
        <v>1366</v>
      </c>
      <c r="I1181" s="4">
        <v>5054</v>
      </c>
      <c r="J1181" s="4" t="s">
        <v>1385</v>
      </c>
      <c r="K1181" s="4" t="s">
        <v>1401</v>
      </c>
      <c r="L1181" s="4" t="s">
        <v>1402</v>
      </c>
      <c r="M1181" s="4" t="s">
        <v>46</v>
      </c>
      <c r="N1181" s="4"/>
      <c r="O1181" s="4" t="s">
        <v>47</v>
      </c>
      <c r="P1181" s="4" t="s">
        <v>48</v>
      </c>
      <c r="Q1181" s="4">
        <v>0</v>
      </c>
      <c r="R1181" s="4" t="b">
        <v>0</v>
      </c>
      <c r="S1181" s="4" t="s">
        <v>49</v>
      </c>
      <c r="T1181" s="4" t="s">
        <v>89</v>
      </c>
      <c r="U1181" s="4" t="s">
        <v>71</v>
      </c>
      <c r="V1181" s="4" t="s">
        <v>63</v>
      </c>
      <c r="W1181" s="4" t="s">
        <v>312</v>
      </c>
      <c r="X1181" s="4" t="s">
        <v>98</v>
      </c>
      <c r="Y1181" s="4"/>
      <c r="Z1181" s="12">
        <v>0</v>
      </c>
      <c r="AA1181" s="13" t="s">
        <v>9167</v>
      </c>
      <c r="AB1181" s="13" t="s">
        <v>9168</v>
      </c>
      <c r="AC1181" s="14" t="s">
        <v>9139</v>
      </c>
      <c r="AD1181" s="14" t="s">
        <v>9140</v>
      </c>
      <c r="AE1181" s="14" t="s">
        <v>9140</v>
      </c>
      <c r="AF1181" s="14" t="s">
        <v>63</v>
      </c>
      <c r="AG1181" s="14" t="s">
        <v>98</v>
      </c>
      <c r="AH1181" s="15" t="s">
        <v>9141</v>
      </c>
      <c r="AI1181" s="15" t="s">
        <v>9188</v>
      </c>
      <c r="AJ1181" s="15" t="s">
        <v>9143</v>
      </c>
      <c r="AK1181" s="15" t="s">
        <v>9141</v>
      </c>
      <c r="AL1181" s="15" t="s">
        <v>9189</v>
      </c>
      <c r="AM1181" s="16" t="s">
        <v>9141</v>
      </c>
      <c r="AN1181" s="16" t="s">
        <v>9190</v>
      </c>
    </row>
    <row r="1182" spans="1:40" x14ac:dyDescent="0.25">
      <c r="A1182" s="4" t="s">
        <v>8128</v>
      </c>
      <c r="B1182" s="4"/>
      <c r="C1182" s="4" t="s">
        <v>39</v>
      </c>
      <c r="D1182" s="4" t="s">
        <v>8119</v>
      </c>
      <c r="E1182" s="4" t="s">
        <v>8120</v>
      </c>
      <c r="F1182" s="10">
        <v>45372</v>
      </c>
      <c r="G1182" s="11">
        <v>0.62847222222222221</v>
      </c>
      <c r="H1182" s="4" t="s">
        <v>4019</v>
      </c>
      <c r="I1182" s="4" t="s">
        <v>8106</v>
      </c>
      <c r="J1182" s="4" t="s">
        <v>8107</v>
      </c>
      <c r="K1182" s="4" t="s">
        <v>2364</v>
      </c>
      <c r="L1182" s="4" t="s">
        <v>8129</v>
      </c>
      <c r="M1182" s="4" t="s">
        <v>46</v>
      </c>
      <c r="N1182" s="4"/>
      <c r="O1182" s="4" t="s">
        <v>47</v>
      </c>
      <c r="P1182" s="4" t="s">
        <v>48</v>
      </c>
      <c r="Q1182" s="4">
        <v>0</v>
      </c>
      <c r="R1182" s="4" t="b">
        <v>0</v>
      </c>
      <c r="S1182" s="4" t="s">
        <v>61</v>
      </c>
      <c r="T1182" s="4" t="s">
        <v>89</v>
      </c>
      <c r="U1182" s="4" t="s">
        <v>71</v>
      </c>
      <c r="V1182" s="4" t="s">
        <v>63</v>
      </c>
      <c r="W1182" s="4" t="s">
        <v>312</v>
      </c>
      <c r="X1182" s="4" t="s">
        <v>98</v>
      </c>
      <c r="Y1182" s="4" t="s">
        <v>486</v>
      </c>
      <c r="Z1182" s="12">
        <v>0</v>
      </c>
      <c r="AA1182" s="13" t="s">
        <v>9167</v>
      </c>
      <c r="AB1182" s="13" t="s">
        <v>9168</v>
      </c>
      <c r="AC1182" s="14" t="s">
        <v>9148</v>
      </c>
      <c r="AD1182" s="14" t="s">
        <v>9140</v>
      </c>
      <c r="AE1182" s="14" t="s">
        <v>9140</v>
      </c>
      <c r="AF1182" s="14" t="s">
        <v>63</v>
      </c>
      <c r="AG1182" s="14" t="s">
        <v>98</v>
      </c>
      <c r="AH1182" s="15" t="s">
        <v>9220</v>
      </c>
      <c r="AI1182" s="15" t="s">
        <v>9175</v>
      </c>
      <c r="AJ1182" s="15" t="s">
        <v>9143</v>
      </c>
      <c r="AK1182" s="15" t="s">
        <v>9221</v>
      </c>
      <c r="AL1182" s="15" t="s">
        <v>9222</v>
      </c>
      <c r="AM1182" s="16" t="s">
        <v>9221</v>
      </c>
      <c r="AN1182" s="16" t="s">
        <v>9223</v>
      </c>
    </row>
    <row r="1183" spans="1:40" x14ac:dyDescent="0.25">
      <c r="A1183" s="4" t="s">
        <v>7244</v>
      </c>
      <c r="B1183" s="4"/>
      <c r="C1183" s="4" t="s">
        <v>39</v>
      </c>
      <c r="D1183" s="4" t="s">
        <v>7245</v>
      </c>
      <c r="E1183" s="4" t="s">
        <v>7246</v>
      </c>
      <c r="F1183" s="10">
        <v>45372</v>
      </c>
      <c r="G1183" s="11">
        <v>0.85763888888888884</v>
      </c>
      <c r="H1183" s="4" t="s">
        <v>4659</v>
      </c>
      <c r="I1183" s="4" t="s">
        <v>7216</v>
      </c>
      <c r="J1183" s="4" t="s">
        <v>7217</v>
      </c>
      <c r="K1183" s="4" t="s">
        <v>7247</v>
      </c>
      <c r="L1183" s="4" t="s">
        <v>7248</v>
      </c>
      <c r="M1183" s="4" t="s">
        <v>46</v>
      </c>
      <c r="N1183" s="4"/>
      <c r="O1183" s="4" t="s">
        <v>174</v>
      </c>
      <c r="P1183" s="4" t="s">
        <v>48</v>
      </c>
      <c r="Q1183" s="4">
        <v>0</v>
      </c>
      <c r="R1183" s="4" t="b">
        <v>0</v>
      </c>
      <c r="S1183" s="4" t="s">
        <v>114</v>
      </c>
      <c r="T1183" s="4" t="s">
        <v>89</v>
      </c>
      <c r="U1183" s="4" t="s">
        <v>301</v>
      </c>
      <c r="V1183" s="4" t="s">
        <v>123</v>
      </c>
      <c r="W1183" s="4" t="s">
        <v>192</v>
      </c>
      <c r="X1183" s="4" t="s">
        <v>54</v>
      </c>
      <c r="Y1183" s="4"/>
      <c r="Z1183" s="12">
        <v>0</v>
      </c>
      <c r="AA1183" s="13" t="s">
        <v>9167</v>
      </c>
      <c r="AB1183" s="13" t="s">
        <v>9168</v>
      </c>
      <c r="AC1183" s="14" t="s">
        <v>9157</v>
      </c>
      <c r="AD1183" s="14" t="s">
        <v>9140</v>
      </c>
      <c r="AE1183" s="14" t="s">
        <v>9140</v>
      </c>
      <c r="AF1183" s="14" t="s">
        <v>123</v>
      </c>
      <c r="AG1183" s="14" t="s">
        <v>54</v>
      </c>
      <c r="AH1183" s="15" t="s">
        <v>9220</v>
      </c>
      <c r="AI1183" s="15" t="s">
        <v>9142</v>
      </c>
      <c r="AJ1183" s="15" t="s">
        <v>9143</v>
      </c>
      <c r="AK1183" s="15" t="s">
        <v>9221</v>
      </c>
      <c r="AL1183" s="15" t="s">
        <v>9228</v>
      </c>
      <c r="AM1183" s="16" t="s">
        <v>9221</v>
      </c>
      <c r="AN1183" s="16" t="s">
        <v>9229</v>
      </c>
    </row>
    <row r="1184" spans="1:40" x14ac:dyDescent="0.25">
      <c r="A1184" s="4" t="s">
        <v>8217</v>
      </c>
      <c r="B1184" s="4"/>
      <c r="C1184" s="4" t="s">
        <v>39</v>
      </c>
      <c r="D1184" s="4" t="s">
        <v>8206</v>
      </c>
      <c r="E1184" s="4" t="s">
        <v>8207</v>
      </c>
      <c r="F1184" s="10">
        <v>45372</v>
      </c>
      <c r="G1184" s="11">
        <v>0.57638888888888884</v>
      </c>
      <c r="H1184" s="4" t="s">
        <v>4516</v>
      </c>
      <c r="I1184" s="4" t="s">
        <v>8208</v>
      </c>
      <c r="J1184" s="4" t="s">
        <v>8209</v>
      </c>
      <c r="K1184" s="4" t="s">
        <v>8218</v>
      </c>
      <c r="L1184" s="4" t="s">
        <v>8219</v>
      </c>
      <c r="M1184" s="4" t="s">
        <v>46</v>
      </c>
      <c r="N1184" s="4"/>
      <c r="O1184" s="4" t="s">
        <v>174</v>
      </c>
      <c r="P1184" s="4" t="s">
        <v>48</v>
      </c>
      <c r="Q1184" s="4">
        <v>0</v>
      </c>
      <c r="R1184" s="4" t="b">
        <v>0</v>
      </c>
      <c r="S1184" s="4" t="s">
        <v>114</v>
      </c>
      <c r="T1184" s="4" t="s">
        <v>70</v>
      </c>
      <c r="U1184" s="4" t="s">
        <v>71</v>
      </c>
      <c r="V1184" s="4" t="s">
        <v>72</v>
      </c>
      <c r="W1184" s="4" t="s">
        <v>97</v>
      </c>
      <c r="X1184" s="4" t="s">
        <v>54</v>
      </c>
      <c r="Y1184" s="4"/>
      <c r="Z1184" s="12">
        <v>0</v>
      </c>
      <c r="AA1184" s="13" t="s">
        <v>9167</v>
      </c>
      <c r="AB1184" s="13" t="s">
        <v>9168</v>
      </c>
      <c r="AC1184" s="14" t="s">
        <v>9157</v>
      </c>
      <c r="AD1184" s="14" t="s">
        <v>9140</v>
      </c>
      <c r="AE1184" s="14" t="s">
        <v>9140</v>
      </c>
      <c r="AF1184" s="14" t="s">
        <v>72</v>
      </c>
      <c r="AG1184" s="14" t="s">
        <v>54</v>
      </c>
      <c r="AH1184" s="15" t="s">
        <v>9220</v>
      </c>
      <c r="AI1184" s="15" t="s">
        <v>9188</v>
      </c>
      <c r="AJ1184" s="15" t="s">
        <v>9143</v>
      </c>
      <c r="AK1184" s="15" t="s">
        <v>9221</v>
      </c>
      <c r="AL1184" s="15" t="s">
        <v>9232</v>
      </c>
      <c r="AM1184" s="16" t="s">
        <v>9221</v>
      </c>
      <c r="AN1184" s="16" t="s">
        <v>9233</v>
      </c>
    </row>
    <row r="1185" spans="1:40" x14ac:dyDescent="0.25">
      <c r="A1185" s="4" t="s">
        <v>8480</v>
      </c>
      <c r="B1185" s="4"/>
      <c r="C1185" s="4" t="s">
        <v>39</v>
      </c>
      <c r="D1185" s="4" t="s">
        <v>8474</v>
      </c>
      <c r="E1185" s="4" t="s">
        <v>8475</v>
      </c>
      <c r="F1185" s="10">
        <v>45372</v>
      </c>
      <c r="G1185" s="11">
        <v>0.45555555555555555</v>
      </c>
      <c r="H1185" s="4" t="s">
        <v>8476</v>
      </c>
      <c r="I1185" s="4" t="s">
        <v>8477</v>
      </c>
      <c r="J1185" s="4" t="s">
        <v>8478</v>
      </c>
      <c r="K1185" s="4" t="s">
        <v>8481</v>
      </c>
      <c r="L1185" s="4" t="s">
        <v>8482</v>
      </c>
      <c r="M1185" s="4" t="s">
        <v>46</v>
      </c>
      <c r="N1185" s="4"/>
      <c r="O1185" s="4" t="s">
        <v>47</v>
      </c>
      <c r="P1185" s="4" t="s">
        <v>48</v>
      </c>
      <c r="Q1185" s="4">
        <v>0</v>
      </c>
      <c r="R1185" s="4" t="b">
        <v>0</v>
      </c>
      <c r="S1185" s="4" t="s">
        <v>61</v>
      </c>
      <c r="T1185" s="4" t="s">
        <v>89</v>
      </c>
      <c r="U1185" s="4" t="s">
        <v>51</v>
      </c>
      <c r="V1185" s="4" t="s">
        <v>72</v>
      </c>
      <c r="W1185" s="4" t="s">
        <v>73</v>
      </c>
      <c r="X1185" s="4" t="s">
        <v>98</v>
      </c>
      <c r="Y1185" s="4"/>
      <c r="Z1185" s="12">
        <v>0</v>
      </c>
      <c r="AA1185" s="13" t="s">
        <v>9167</v>
      </c>
      <c r="AB1185" s="13" t="s">
        <v>9168</v>
      </c>
      <c r="AC1185" s="14" t="s">
        <v>9148</v>
      </c>
      <c r="AD1185" s="14" t="s">
        <v>9140</v>
      </c>
      <c r="AE1185" s="14" t="s">
        <v>9140</v>
      </c>
      <c r="AF1185" s="14" t="s">
        <v>72</v>
      </c>
      <c r="AG1185" s="14" t="s">
        <v>98</v>
      </c>
      <c r="AH1185" s="15" t="s">
        <v>9220</v>
      </c>
      <c r="AI1185" s="15" t="s">
        <v>9193</v>
      </c>
      <c r="AJ1185" s="15" t="s">
        <v>9143</v>
      </c>
      <c r="AK1185" s="15" t="s">
        <v>9221</v>
      </c>
      <c r="AL1185" s="15" t="s">
        <v>9230</v>
      </c>
      <c r="AM1185" s="16" t="s">
        <v>9221</v>
      </c>
      <c r="AN1185" s="16" t="s">
        <v>9231</v>
      </c>
    </row>
    <row r="1186" spans="1:40" x14ac:dyDescent="0.25">
      <c r="A1186" s="4" t="s">
        <v>6670</v>
      </c>
      <c r="B1186" s="4">
        <v>6702948</v>
      </c>
      <c r="C1186" s="4" t="s">
        <v>39</v>
      </c>
      <c r="D1186" s="4" t="s">
        <v>6671</v>
      </c>
      <c r="E1186" s="4" t="s">
        <v>6672</v>
      </c>
      <c r="F1186" s="10">
        <v>45372</v>
      </c>
      <c r="G1186" s="11">
        <v>0.60902777777777772</v>
      </c>
      <c r="H1186" s="4" t="s">
        <v>4516</v>
      </c>
      <c r="I1186" s="4" t="s">
        <v>6637</v>
      </c>
      <c r="J1186" s="4" t="s">
        <v>3564</v>
      </c>
      <c r="K1186" s="4" t="s">
        <v>6673</v>
      </c>
      <c r="L1186" s="4" t="s">
        <v>6674</v>
      </c>
      <c r="M1186" s="4" t="s">
        <v>28</v>
      </c>
      <c r="N1186" s="4" t="s">
        <v>147</v>
      </c>
      <c r="O1186" s="4" t="s">
        <v>191</v>
      </c>
      <c r="P1186" s="4" t="s">
        <v>48</v>
      </c>
      <c r="Q1186" s="4">
        <v>0</v>
      </c>
      <c r="R1186" s="4" t="b">
        <v>0</v>
      </c>
      <c r="S1186" s="4" t="s">
        <v>114</v>
      </c>
      <c r="T1186" s="4" t="s">
        <v>583</v>
      </c>
      <c r="U1186" s="4" t="s">
        <v>71</v>
      </c>
      <c r="V1186" s="4" t="s">
        <v>52</v>
      </c>
      <c r="W1186" s="4" t="s">
        <v>53</v>
      </c>
      <c r="X1186" s="4" t="s">
        <v>54</v>
      </c>
      <c r="Y1186" s="4"/>
      <c r="Z1186" s="12" t="s">
        <v>48</v>
      </c>
      <c r="AA1186" s="13" t="s">
        <v>9167</v>
      </c>
      <c r="AB1186" s="13" t="s">
        <v>9168</v>
      </c>
      <c r="AC1186" s="14" t="s">
        <v>9157</v>
      </c>
      <c r="AD1186" s="14" t="s">
        <v>28</v>
      </c>
      <c r="AE1186" s="14" t="s">
        <v>9140</v>
      </c>
      <c r="AF1186" s="14" t="s">
        <v>52</v>
      </c>
      <c r="AG1186" s="14" t="s">
        <v>54</v>
      </c>
      <c r="AH1186" s="15" t="s">
        <v>9220</v>
      </c>
      <c r="AI1186" s="15" t="s">
        <v>9188</v>
      </c>
      <c r="AJ1186" s="15" t="s">
        <v>9143</v>
      </c>
      <c r="AK1186" s="15" t="s">
        <v>9221</v>
      </c>
      <c r="AL1186" s="15" t="s">
        <v>9236</v>
      </c>
      <c r="AM1186" s="16" t="s">
        <v>9221</v>
      </c>
      <c r="AN1186" s="16" t="s">
        <v>9237</v>
      </c>
    </row>
    <row r="1187" spans="1:40" x14ac:dyDescent="0.25">
      <c r="A1187" s="4" t="s">
        <v>7949</v>
      </c>
      <c r="B1187" s="4"/>
      <c r="C1187" s="4" t="s">
        <v>39</v>
      </c>
      <c r="D1187" s="4" t="s">
        <v>7920</v>
      </c>
      <c r="E1187" s="4" t="s">
        <v>7921</v>
      </c>
      <c r="F1187" s="10">
        <v>45372</v>
      </c>
      <c r="G1187" s="11">
        <v>0.58750000000000002</v>
      </c>
      <c r="H1187" s="4" t="s">
        <v>4516</v>
      </c>
      <c r="I1187" s="4" t="s">
        <v>7915</v>
      </c>
      <c r="J1187" s="4" t="s">
        <v>7916</v>
      </c>
      <c r="K1187" s="4" t="s">
        <v>7950</v>
      </c>
      <c r="L1187" s="4" t="s">
        <v>7951</v>
      </c>
      <c r="M1187" s="4" t="s">
        <v>46</v>
      </c>
      <c r="N1187" s="4"/>
      <c r="O1187" s="4" t="s">
        <v>47</v>
      </c>
      <c r="P1187" s="4" t="s">
        <v>48</v>
      </c>
      <c r="Q1187" s="4">
        <v>0</v>
      </c>
      <c r="R1187" s="4" t="b">
        <v>0</v>
      </c>
      <c r="S1187" s="4" t="s">
        <v>61</v>
      </c>
      <c r="T1187" s="4" t="s">
        <v>89</v>
      </c>
      <c r="U1187" s="4" t="s">
        <v>301</v>
      </c>
      <c r="V1187" s="4" t="s">
        <v>52</v>
      </c>
      <c r="W1187" s="4" t="s">
        <v>53</v>
      </c>
      <c r="X1187" s="4" t="s">
        <v>54</v>
      </c>
      <c r="Y1187" s="4"/>
      <c r="Z1187" s="12">
        <v>0</v>
      </c>
      <c r="AA1187" s="13" t="s">
        <v>9167</v>
      </c>
      <c r="AB1187" s="13" t="s">
        <v>9168</v>
      </c>
      <c r="AC1187" s="14" t="s">
        <v>9148</v>
      </c>
      <c r="AD1187" s="14" t="s">
        <v>9140</v>
      </c>
      <c r="AE1187" s="14" t="s">
        <v>9140</v>
      </c>
      <c r="AF1187" s="14" t="s">
        <v>52</v>
      </c>
      <c r="AG1187" s="14" t="s">
        <v>54</v>
      </c>
      <c r="AH1187" s="15" t="s">
        <v>9220</v>
      </c>
      <c r="AI1187" s="15" t="s">
        <v>9188</v>
      </c>
      <c r="AJ1187" s="15" t="s">
        <v>9143</v>
      </c>
      <c r="AK1187" s="15" t="s">
        <v>9221</v>
      </c>
      <c r="AL1187" s="15" t="s">
        <v>9230</v>
      </c>
      <c r="AM1187" s="16" t="s">
        <v>9221</v>
      </c>
      <c r="AN1187" s="16" t="s">
        <v>9231</v>
      </c>
    </row>
    <row r="1188" spans="1:40" x14ac:dyDescent="0.25">
      <c r="A1188" s="4" t="s">
        <v>6675</v>
      </c>
      <c r="B1188" s="4">
        <v>6698351</v>
      </c>
      <c r="C1188" s="4" t="s">
        <v>39</v>
      </c>
      <c r="D1188" s="4" t="s">
        <v>6676</v>
      </c>
      <c r="E1188" s="4" t="s">
        <v>6677</v>
      </c>
      <c r="F1188" s="10">
        <v>45371</v>
      </c>
      <c r="G1188" s="11">
        <v>0.56319444444444444</v>
      </c>
      <c r="H1188" s="4" t="s">
        <v>4516</v>
      </c>
      <c r="I1188" s="4" t="s">
        <v>6637</v>
      </c>
      <c r="J1188" s="4" t="s">
        <v>3564</v>
      </c>
      <c r="K1188" s="4" t="s">
        <v>6678</v>
      </c>
      <c r="L1188" s="4" t="s">
        <v>6679</v>
      </c>
      <c r="M1188" s="4" t="s">
        <v>28</v>
      </c>
      <c r="N1188" s="4" t="s">
        <v>183</v>
      </c>
      <c r="O1188" s="4" t="s">
        <v>174</v>
      </c>
      <c r="P1188" s="4" t="s">
        <v>60</v>
      </c>
      <c r="Q1188" s="4">
        <v>154</v>
      </c>
      <c r="R1188" s="4" t="b">
        <v>0</v>
      </c>
      <c r="S1188" s="4" t="s">
        <v>184</v>
      </c>
      <c r="T1188" s="4" t="s">
        <v>89</v>
      </c>
      <c r="U1188" s="4" t="s">
        <v>1081</v>
      </c>
      <c r="V1188" s="4" t="s">
        <v>63</v>
      </c>
      <c r="W1188" s="4" t="s">
        <v>108</v>
      </c>
      <c r="X1188" s="4" t="s">
        <v>98</v>
      </c>
      <c r="Y1188" s="4" t="s">
        <v>176</v>
      </c>
      <c r="Z1188" s="12" t="s">
        <v>60</v>
      </c>
      <c r="AA1188" s="13" t="s">
        <v>9167</v>
      </c>
      <c r="AB1188" s="13" t="s">
        <v>9168</v>
      </c>
      <c r="AC1188" s="14" t="s">
        <v>9166</v>
      </c>
      <c r="AD1188" s="14" t="s">
        <v>28</v>
      </c>
      <c r="AE1188" s="14" t="s">
        <v>183</v>
      </c>
      <c r="AF1188" s="14" t="s">
        <v>63</v>
      </c>
      <c r="AG1188" s="14" t="s">
        <v>98</v>
      </c>
      <c r="AH1188" s="15" t="s">
        <v>9220</v>
      </c>
      <c r="AI1188" s="15" t="s">
        <v>9188</v>
      </c>
      <c r="AJ1188" s="15" t="s">
        <v>9143</v>
      </c>
      <c r="AK1188" s="15" t="s">
        <v>9221</v>
      </c>
      <c r="AL1188" s="15" t="s">
        <v>9236</v>
      </c>
      <c r="AM1188" s="16" t="s">
        <v>9221</v>
      </c>
      <c r="AN1188" s="16" t="s">
        <v>9237</v>
      </c>
    </row>
    <row r="1189" spans="1:40" x14ac:dyDescent="0.25">
      <c r="A1189" s="4" t="s">
        <v>6463</v>
      </c>
      <c r="B1189" s="4"/>
      <c r="C1189" s="4" t="s">
        <v>39</v>
      </c>
      <c r="D1189" s="4" t="s">
        <v>6464</v>
      </c>
      <c r="E1189" s="4" t="s">
        <v>6465</v>
      </c>
      <c r="F1189" s="10">
        <v>45371</v>
      </c>
      <c r="G1189" s="11">
        <v>0.5625</v>
      </c>
      <c r="H1189" s="4" t="s">
        <v>4659</v>
      </c>
      <c r="I1189" s="4" t="s">
        <v>6441</v>
      </c>
      <c r="J1189" s="4" t="s">
        <v>6442</v>
      </c>
      <c r="K1189" s="4" t="s">
        <v>6466</v>
      </c>
      <c r="L1189" s="4" t="s">
        <v>6467</v>
      </c>
      <c r="M1189" s="4" t="s">
        <v>46</v>
      </c>
      <c r="N1189" s="4"/>
      <c r="O1189" s="4" t="s">
        <v>47</v>
      </c>
      <c r="P1189" s="4" t="s">
        <v>48</v>
      </c>
      <c r="Q1189" s="4">
        <v>0</v>
      </c>
      <c r="R1189" s="4" t="b">
        <v>0</v>
      </c>
      <c r="S1189" s="4" t="s">
        <v>61</v>
      </c>
      <c r="T1189" s="4" t="s">
        <v>89</v>
      </c>
      <c r="U1189" s="4" t="s">
        <v>80</v>
      </c>
      <c r="V1189" s="4" t="s">
        <v>72</v>
      </c>
      <c r="W1189" s="4" t="s">
        <v>97</v>
      </c>
      <c r="X1189" s="4" t="s">
        <v>98</v>
      </c>
      <c r="Y1189" s="4"/>
      <c r="Z1189" s="12">
        <v>0</v>
      </c>
      <c r="AA1189" s="13" t="s">
        <v>9167</v>
      </c>
      <c r="AB1189" s="13" t="s">
        <v>9168</v>
      </c>
      <c r="AC1189" s="14" t="s">
        <v>9148</v>
      </c>
      <c r="AD1189" s="14" t="s">
        <v>9140</v>
      </c>
      <c r="AE1189" s="14" t="s">
        <v>9140</v>
      </c>
      <c r="AF1189" s="14" t="s">
        <v>72</v>
      </c>
      <c r="AG1189" s="14" t="s">
        <v>98</v>
      </c>
      <c r="AH1189" s="15" t="s">
        <v>9220</v>
      </c>
      <c r="AI1189" s="15" t="s">
        <v>9142</v>
      </c>
      <c r="AJ1189" s="15" t="s">
        <v>9143</v>
      </c>
      <c r="AK1189" s="15" t="s">
        <v>9221</v>
      </c>
      <c r="AL1189" s="15" t="s">
        <v>9228</v>
      </c>
      <c r="AM1189" s="16" t="s">
        <v>9221</v>
      </c>
      <c r="AN1189" s="16" t="s">
        <v>9229</v>
      </c>
    </row>
    <row r="1190" spans="1:40" x14ac:dyDescent="0.25">
      <c r="A1190" s="4" t="s">
        <v>4702</v>
      </c>
      <c r="B1190" s="4"/>
      <c r="C1190" s="4" t="s">
        <v>39</v>
      </c>
      <c r="D1190" s="4" t="s">
        <v>4703</v>
      </c>
      <c r="E1190" s="4" t="s">
        <v>4704</v>
      </c>
      <c r="F1190" s="10">
        <v>45371</v>
      </c>
      <c r="G1190" s="11">
        <v>0.4513888888888889</v>
      </c>
      <c r="H1190" s="4" t="s">
        <v>4659</v>
      </c>
      <c r="I1190" s="4" t="s">
        <v>4660</v>
      </c>
      <c r="J1190" s="4" t="s">
        <v>4661</v>
      </c>
      <c r="K1190" s="4" t="s">
        <v>4705</v>
      </c>
      <c r="L1190" s="4" t="s">
        <v>4706</v>
      </c>
      <c r="M1190" s="4" t="s">
        <v>46</v>
      </c>
      <c r="N1190" s="4"/>
      <c r="O1190" s="4" t="s">
        <v>47</v>
      </c>
      <c r="P1190" s="4" t="s">
        <v>48</v>
      </c>
      <c r="Q1190" s="4">
        <v>0</v>
      </c>
      <c r="R1190" s="4" t="b">
        <v>0</v>
      </c>
      <c r="S1190" s="4" t="s">
        <v>49</v>
      </c>
      <c r="T1190" s="4" t="s">
        <v>70</v>
      </c>
      <c r="U1190" s="4" t="s">
        <v>71</v>
      </c>
      <c r="V1190" s="4" t="s">
        <v>63</v>
      </c>
      <c r="W1190" s="4" t="s">
        <v>198</v>
      </c>
      <c r="X1190" s="4" t="s">
        <v>54</v>
      </c>
      <c r="Y1190" s="4"/>
      <c r="Z1190" s="12">
        <v>0</v>
      </c>
      <c r="AA1190" s="13" t="s">
        <v>9167</v>
      </c>
      <c r="AB1190" s="13" t="s">
        <v>9168</v>
      </c>
      <c r="AC1190" s="14" t="s">
        <v>9139</v>
      </c>
      <c r="AD1190" s="14" t="s">
        <v>9140</v>
      </c>
      <c r="AE1190" s="14" t="s">
        <v>9140</v>
      </c>
      <c r="AF1190" s="14" t="s">
        <v>63</v>
      </c>
      <c r="AG1190" s="14" t="s">
        <v>54</v>
      </c>
      <c r="AH1190" s="15" t="s">
        <v>9220</v>
      </c>
      <c r="AI1190" s="15" t="s">
        <v>9142</v>
      </c>
      <c r="AJ1190" s="15" t="s">
        <v>9143</v>
      </c>
      <c r="AK1190" s="15" t="s">
        <v>9221</v>
      </c>
      <c r="AL1190" s="15" t="s">
        <v>9228</v>
      </c>
      <c r="AM1190" s="16" t="s">
        <v>9221</v>
      </c>
      <c r="AN1190" s="16" t="s">
        <v>9229</v>
      </c>
    </row>
    <row r="1191" spans="1:40" x14ac:dyDescent="0.25">
      <c r="A1191" s="4" t="s">
        <v>8949</v>
      </c>
      <c r="B1191" s="4"/>
      <c r="C1191" s="4" t="s">
        <v>39</v>
      </c>
      <c r="D1191" s="4" t="s">
        <v>8950</v>
      </c>
      <c r="E1191" s="4" t="s">
        <v>8951</v>
      </c>
      <c r="F1191" s="10">
        <v>45371</v>
      </c>
      <c r="G1191" s="11">
        <v>0.56944444444444442</v>
      </c>
      <c r="H1191" s="4" t="s">
        <v>4019</v>
      </c>
      <c r="I1191" s="4" t="s">
        <v>8952</v>
      </c>
      <c r="J1191" s="4" t="s">
        <v>8953</v>
      </c>
      <c r="K1191" s="4" t="s">
        <v>2482</v>
      </c>
      <c r="L1191" s="4" t="s">
        <v>8954</v>
      </c>
      <c r="M1191" s="4" t="s">
        <v>46</v>
      </c>
      <c r="N1191" s="4"/>
      <c r="O1191" s="4" t="s">
        <v>47</v>
      </c>
      <c r="P1191" s="4" t="s">
        <v>48</v>
      </c>
      <c r="Q1191" s="4">
        <v>0</v>
      </c>
      <c r="R1191" s="4" t="b">
        <v>0</v>
      </c>
      <c r="S1191" s="4" t="s">
        <v>49</v>
      </c>
      <c r="T1191" s="4" t="s">
        <v>89</v>
      </c>
      <c r="U1191" s="4" t="s">
        <v>618</v>
      </c>
      <c r="V1191" s="4" t="s">
        <v>672</v>
      </c>
      <c r="W1191" s="4" t="s">
        <v>673</v>
      </c>
      <c r="X1191" s="4" t="s">
        <v>54</v>
      </c>
      <c r="Y1191" s="4"/>
      <c r="Z1191" s="12">
        <v>0</v>
      </c>
      <c r="AA1191" s="13" t="s">
        <v>9167</v>
      </c>
      <c r="AB1191" s="13" t="s">
        <v>9168</v>
      </c>
      <c r="AC1191" s="14" t="s">
        <v>9139</v>
      </c>
      <c r="AD1191" s="14" t="s">
        <v>9140</v>
      </c>
      <c r="AE1191" s="14" t="s">
        <v>9140</v>
      </c>
      <c r="AF1191" s="14" t="s">
        <v>672</v>
      </c>
      <c r="AG1191" s="14" t="s">
        <v>54</v>
      </c>
      <c r="AH1191" s="15" t="s">
        <v>9220</v>
      </c>
      <c r="AI1191" s="15" t="s">
        <v>9175</v>
      </c>
      <c r="AJ1191" s="15" t="s">
        <v>9183</v>
      </c>
      <c r="AK1191" s="15" t="s">
        <v>9241</v>
      </c>
      <c r="AL1191" s="15" t="s">
        <v>9242</v>
      </c>
      <c r="AM1191" s="16" t="s">
        <v>9186</v>
      </c>
      <c r="AN1191" s="16" t="s">
        <v>9186</v>
      </c>
    </row>
    <row r="1192" spans="1:40" x14ac:dyDescent="0.25">
      <c r="A1192" s="4" t="s">
        <v>6170</v>
      </c>
      <c r="B1192" s="4"/>
      <c r="C1192" s="4" t="s">
        <v>39</v>
      </c>
      <c r="D1192" s="4" t="s">
        <v>5738</v>
      </c>
      <c r="E1192" s="4" t="s">
        <v>5739</v>
      </c>
      <c r="F1192" s="10">
        <v>45371</v>
      </c>
      <c r="G1192" s="11">
        <v>0.50347222222222221</v>
      </c>
      <c r="H1192" s="4" t="s">
        <v>5666</v>
      </c>
      <c r="I1192" s="4" t="s">
        <v>6136</v>
      </c>
      <c r="J1192" s="4" t="s">
        <v>2598</v>
      </c>
      <c r="K1192" s="4" t="s">
        <v>6171</v>
      </c>
      <c r="L1192" s="4" t="s">
        <v>6172</v>
      </c>
      <c r="M1192" s="4" t="s">
        <v>46</v>
      </c>
      <c r="N1192" s="4"/>
      <c r="O1192" s="4" t="s">
        <v>47</v>
      </c>
      <c r="P1192" s="4" t="s">
        <v>48</v>
      </c>
      <c r="Q1192" s="4">
        <v>0</v>
      </c>
      <c r="R1192" s="4" t="b">
        <v>0</v>
      </c>
      <c r="S1192" s="4" t="s">
        <v>49</v>
      </c>
      <c r="T1192" s="4" t="s">
        <v>89</v>
      </c>
      <c r="U1192" s="4" t="s">
        <v>71</v>
      </c>
      <c r="V1192" s="4" t="s">
        <v>52</v>
      </c>
      <c r="W1192" s="4" t="s">
        <v>53</v>
      </c>
      <c r="X1192" s="4" t="s">
        <v>98</v>
      </c>
      <c r="Y1192" s="4"/>
      <c r="Z1192" s="12">
        <v>0</v>
      </c>
      <c r="AA1192" s="13" t="s">
        <v>9167</v>
      </c>
      <c r="AB1192" s="13" t="s">
        <v>9168</v>
      </c>
      <c r="AC1192" s="14" t="s">
        <v>9139</v>
      </c>
      <c r="AD1192" s="14" t="s">
        <v>9140</v>
      </c>
      <c r="AE1192" s="14" t="s">
        <v>9140</v>
      </c>
      <c r="AF1192" s="14" t="s">
        <v>52</v>
      </c>
      <c r="AG1192" s="14" t="s">
        <v>98</v>
      </c>
      <c r="AH1192" s="15" t="s">
        <v>9220</v>
      </c>
      <c r="AI1192" s="15" t="s">
        <v>9199</v>
      </c>
      <c r="AJ1192" s="15" t="s">
        <v>9143</v>
      </c>
      <c r="AK1192" s="15" t="s">
        <v>9221</v>
      </c>
      <c r="AL1192" s="15" t="s">
        <v>9199</v>
      </c>
      <c r="AM1192" s="16" t="s">
        <v>9221</v>
      </c>
      <c r="AN1192" s="16" t="s">
        <v>9238</v>
      </c>
    </row>
    <row r="1193" spans="1:40" x14ac:dyDescent="0.25">
      <c r="A1193" s="4" t="s">
        <v>2849</v>
      </c>
      <c r="B1193" s="4"/>
      <c r="C1193" s="4" t="s">
        <v>39</v>
      </c>
      <c r="D1193" s="4" t="s">
        <v>2850</v>
      </c>
      <c r="E1193" s="4" t="s">
        <v>2851</v>
      </c>
      <c r="F1193" s="10">
        <v>45371</v>
      </c>
      <c r="G1193" s="11">
        <v>0.5625</v>
      </c>
      <c r="H1193" s="4" t="s">
        <v>1939</v>
      </c>
      <c r="I1193" s="4" t="s">
        <v>2830</v>
      </c>
      <c r="J1193" s="4" t="s">
        <v>2831</v>
      </c>
      <c r="K1193" s="4" t="s">
        <v>1291</v>
      </c>
      <c r="L1193" s="4" t="s">
        <v>2852</v>
      </c>
      <c r="M1193" s="4" t="s">
        <v>46</v>
      </c>
      <c r="N1193" s="4"/>
      <c r="O1193" s="4" t="s">
        <v>47</v>
      </c>
      <c r="P1193" s="4" t="s">
        <v>48</v>
      </c>
      <c r="Q1193" s="4">
        <v>0</v>
      </c>
      <c r="R1193" s="4" t="b">
        <v>0</v>
      </c>
      <c r="S1193" s="4" t="s">
        <v>61</v>
      </c>
      <c r="T1193" s="4" t="s">
        <v>70</v>
      </c>
      <c r="U1193" s="4" t="s">
        <v>71</v>
      </c>
      <c r="V1193" s="4" t="s">
        <v>63</v>
      </c>
      <c r="W1193" s="4" t="s">
        <v>312</v>
      </c>
      <c r="X1193" s="4" t="s">
        <v>98</v>
      </c>
      <c r="Y1193" s="4"/>
      <c r="Z1193" s="12">
        <v>0</v>
      </c>
      <c r="AA1193" s="13" t="s">
        <v>9167</v>
      </c>
      <c r="AB1193" s="13" t="s">
        <v>9168</v>
      </c>
      <c r="AC1193" s="14" t="s">
        <v>9148</v>
      </c>
      <c r="AD1193" s="14" t="s">
        <v>9140</v>
      </c>
      <c r="AE1193" s="14" t="s">
        <v>9140</v>
      </c>
      <c r="AF1193" s="14" t="s">
        <v>63</v>
      </c>
      <c r="AG1193" s="14" t="s">
        <v>98</v>
      </c>
      <c r="AH1193" s="15" t="s">
        <v>9194</v>
      </c>
      <c r="AI1193" s="15" t="s">
        <v>9175</v>
      </c>
      <c r="AJ1193" s="15" t="s">
        <v>9143</v>
      </c>
      <c r="AK1193" s="15" t="s">
        <v>9194</v>
      </c>
      <c r="AL1193" s="15" t="s">
        <v>9209</v>
      </c>
      <c r="AM1193" s="16" t="s">
        <v>9194</v>
      </c>
      <c r="AN1193" s="16" t="s">
        <v>9210</v>
      </c>
    </row>
    <row r="1194" spans="1:40" x14ac:dyDescent="0.25">
      <c r="A1194" s="4" t="s">
        <v>3595</v>
      </c>
      <c r="B1194" s="4" t="s">
        <v>3596</v>
      </c>
      <c r="C1194" s="4" t="s">
        <v>39</v>
      </c>
      <c r="D1194" s="4" t="s">
        <v>3597</v>
      </c>
      <c r="E1194" s="4" t="s">
        <v>3598</v>
      </c>
      <c r="F1194" s="10">
        <v>45371</v>
      </c>
      <c r="G1194" s="11">
        <v>0.58125000000000004</v>
      </c>
      <c r="H1194" s="4" t="s">
        <v>2168</v>
      </c>
      <c r="I1194" s="4" t="s">
        <v>3591</v>
      </c>
      <c r="J1194" s="4" t="s">
        <v>3592</v>
      </c>
      <c r="K1194" s="4" t="s">
        <v>3599</v>
      </c>
      <c r="L1194" s="4" t="s">
        <v>3600</v>
      </c>
      <c r="M1194" s="4" t="s">
        <v>28</v>
      </c>
      <c r="N1194" s="4" t="s">
        <v>183</v>
      </c>
      <c r="O1194" s="4" t="s">
        <v>344</v>
      </c>
      <c r="P1194" s="4" t="s">
        <v>60</v>
      </c>
      <c r="Q1194" s="4">
        <v>398</v>
      </c>
      <c r="R1194" s="4" t="b">
        <v>0</v>
      </c>
      <c r="S1194" s="4" t="s">
        <v>61</v>
      </c>
      <c r="T1194" s="4" t="s">
        <v>89</v>
      </c>
      <c r="U1194" s="4" t="s">
        <v>51</v>
      </c>
      <c r="V1194" s="4" t="s">
        <v>123</v>
      </c>
      <c r="W1194" s="4" t="s">
        <v>149</v>
      </c>
      <c r="X1194" s="4" t="s">
        <v>54</v>
      </c>
      <c r="Y1194" s="4"/>
      <c r="Z1194" s="12" t="s">
        <v>60</v>
      </c>
      <c r="AA1194" s="13" t="s">
        <v>9167</v>
      </c>
      <c r="AB1194" s="13" t="s">
        <v>9168</v>
      </c>
      <c r="AC1194" s="14" t="s">
        <v>9148</v>
      </c>
      <c r="AD1194" s="14" t="s">
        <v>28</v>
      </c>
      <c r="AE1194" s="14" t="s">
        <v>183</v>
      </c>
      <c r="AF1194" s="14" t="s">
        <v>123</v>
      </c>
      <c r="AG1194" s="14" t="s">
        <v>54</v>
      </c>
      <c r="AH1194" s="15" t="s">
        <v>9194</v>
      </c>
      <c r="AI1194" s="15" t="s">
        <v>9142</v>
      </c>
      <c r="AJ1194" s="15" t="s">
        <v>9143</v>
      </c>
      <c r="AK1194" s="15" t="s">
        <v>9194</v>
      </c>
      <c r="AL1194" s="15" t="s">
        <v>9207</v>
      </c>
      <c r="AM1194" s="16" t="s">
        <v>9194</v>
      </c>
      <c r="AN1194" s="16" t="s">
        <v>9208</v>
      </c>
    </row>
    <row r="1195" spans="1:40" x14ac:dyDescent="0.25">
      <c r="A1195" s="4" t="s">
        <v>3744</v>
      </c>
      <c r="B1195" s="4"/>
      <c r="C1195" s="4" t="s">
        <v>39</v>
      </c>
      <c r="D1195" s="4" t="s">
        <v>3745</v>
      </c>
      <c r="E1195" s="4" t="s">
        <v>3746</v>
      </c>
      <c r="F1195" s="10">
        <v>45371</v>
      </c>
      <c r="G1195" s="11">
        <v>0.55763888888888891</v>
      </c>
      <c r="H1195" s="4" t="s">
        <v>2168</v>
      </c>
      <c r="I1195" s="4" t="s">
        <v>3735</v>
      </c>
      <c r="J1195" s="4" t="s">
        <v>3736</v>
      </c>
      <c r="K1195" s="4" t="s">
        <v>3747</v>
      </c>
      <c r="L1195" s="4" t="s">
        <v>3748</v>
      </c>
      <c r="M1195" s="4" t="s">
        <v>46</v>
      </c>
      <c r="N1195" s="4"/>
      <c r="O1195" s="4" t="s">
        <v>47</v>
      </c>
      <c r="P1195" s="4" t="s">
        <v>48</v>
      </c>
      <c r="Q1195" s="4">
        <v>0</v>
      </c>
      <c r="R1195" s="4" t="b">
        <v>0</v>
      </c>
      <c r="S1195" s="4" t="s">
        <v>49</v>
      </c>
      <c r="T1195" s="4" t="s">
        <v>89</v>
      </c>
      <c r="U1195" s="4" t="s">
        <v>107</v>
      </c>
      <c r="V1195" s="4" t="s">
        <v>63</v>
      </c>
      <c r="W1195" s="4" t="s">
        <v>108</v>
      </c>
      <c r="X1195" s="4" t="s">
        <v>98</v>
      </c>
      <c r="Y1195" s="4" t="s">
        <v>176</v>
      </c>
      <c r="Z1195" s="12">
        <v>0</v>
      </c>
      <c r="AA1195" s="13" t="s">
        <v>9167</v>
      </c>
      <c r="AB1195" s="13" t="s">
        <v>9168</v>
      </c>
      <c r="AC1195" s="14" t="s">
        <v>9139</v>
      </c>
      <c r="AD1195" s="14" t="s">
        <v>9140</v>
      </c>
      <c r="AE1195" s="14" t="s">
        <v>9140</v>
      </c>
      <c r="AF1195" s="14" t="s">
        <v>63</v>
      </c>
      <c r="AG1195" s="14" t="s">
        <v>98</v>
      </c>
      <c r="AH1195" s="15" t="s">
        <v>9194</v>
      </c>
      <c r="AI1195" s="15" t="s">
        <v>9142</v>
      </c>
      <c r="AJ1195" s="15" t="s">
        <v>9143</v>
      </c>
      <c r="AK1195" s="15" t="s">
        <v>9194</v>
      </c>
      <c r="AL1195" s="15" t="s">
        <v>9207</v>
      </c>
      <c r="AM1195" s="16" t="s">
        <v>9194</v>
      </c>
      <c r="AN1195" s="16" t="s">
        <v>9208</v>
      </c>
    </row>
    <row r="1196" spans="1:40" x14ac:dyDescent="0.25">
      <c r="A1196" s="4" t="s">
        <v>8915</v>
      </c>
      <c r="B1196" s="4"/>
      <c r="C1196" s="4" t="s">
        <v>39</v>
      </c>
      <c r="D1196" s="4" t="s">
        <v>8916</v>
      </c>
      <c r="E1196" s="4" t="s">
        <v>8917</v>
      </c>
      <c r="F1196" s="10">
        <v>45370</v>
      </c>
      <c r="G1196" s="11">
        <v>0.38194444444444442</v>
      </c>
      <c r="H1196" s="4" t="s">
        <v>4019</v>
      </c>
      <c r="I1196" s="4" t="s">
        <v>8854</v>
      </c>
      <c r="J1196" s="4" t="s">
        <v>8855</v>
      </c>
      <c r="K1196" s="4" t="s">
        <v>8918</v>
      </c>
      <c r="L1196" s="4" t="s">
        <v>8919</v>
      </c>
      <c r="M1196" s="4" t="s">
        <v>46</v>
      </c>
      <c r="N1196" s="4"/>
      <c r="O1196" s="4" t="s">
        <v>47</v>
      </c>
      <c r="P1196" s="4" t="s">
        <v>48</v>
      </c>
      <c r="Q1196" s="4">
        <v>0</v>
      </c>
      <c r="R1196" s="4" t="b">
        <v>0</v>
      </c>
      <c r="S1196" s="4" t="s">
        <v>49</v>
      </c>
      <c r="T1196" s="4" t="s">
        <v>1058</v>
      </c>
      <c r="U1196" s="4" t="s">
        <v>71</v>
      </c>
      <c r="V1196" s="4" t="s">
        <v>405</v>
      </c>
      <c r="W1196" s="4" t="s">
        <v>406</v>
      </c>
      <c r="X1196" s="4" t="s">
        <v>54</v>
      </c>
      <c r="Y1196" s="4"/>
      <c r="Z1196" s="12">
        <v>0</v>
      </c>
      <c r="AA1196" s="13" t="s">
        <v>9167</v>
      </c>
      <c r="AB1196" s="13" t="s">
        <v>9168</v>
      </c>
      <c r="AC1196" s="14" t="s">
        <v>9139</v>
      </c>
      <c r="AD1196" s="14" t="s">
        <v>9140</v>
      </c>
      <c r="AE1196" s="14" t="s">
        <v>9140</v>
      </c>
      <c r="AF1196" s="14" t="s">
        <v>405</v>
      </c>
      <c r="AG1196" s="14" t="s">
        <v>54</v>
      </c>
      <c r="AH1196" s="15" t="s">
        <v>9220</v>
      </c>
      <c r="AI1196" s="15" t="s">
        <v>9175</v>
      </c>
      <c r="AJ1196" s="15" t="s">
        <v>9183</v>
      </c>
      <c r="AK1196" s="15" t="s">
        <v>9239</v>
      </c>
      <c r="AL1196" s="15" t="s">
        <v>9240</v>
      </c>
      <c r="AM1196" s="16" t="s">
        <v>9186</v>
      </c>
      <c r="AN1196" s="16" t="s">
        <v>9186</v>
      </c>
    </row>
    <row r="1197" spans="1:40" x14ac:dyDescent="0.25">
      <c r="A1197" s="4" t="s">
        <v>5461</v>
      </c>
      <c r="B1197" s="4"/>
      <c r="C1197" s="4" t="s">
        <v>39</v>
      </c>
      <c r="D1197" s="4" t="s">
        <v>5430</v>
      </c>
      <c r="E1197" s="4" t="s">
        <v>5431</v>
      </c>
      <c r="F1197" s="10">
        <v>45370</v>
      </c>
      <c r="G1197" s="11">
        <v>0.73958333333333337</v>
      </c>
      <c r="H1197" s="4" t="s">
        <v>4659</v>
      </c>
      <c r="I1197" s="4" t="s">
        <v>5425</v>
      </c>
      <c r="J1197" s="4" t="s">
        <v>3736</v>
      </c>
      <c r="K1197" s="4" t="s">
        <v>1232</v>
      </c>
      <c r="L1197" s="4" t="s">
        <v>5462</v>
      </c>
      <c r="M1197" s="4" t="s">
        <v>46</v>
      </c>
      <c r="N1197" s="4"/>
      <c r="O1197" s="4" t="s">
        <v>47</v>
      </c>
      <c r="P1197" s="4" t="s">
        <v>48</v>
      </c>
      <c r="Q1197" s="4">
        <v>0</v>
      </c>
      <c r="R1197" s="4" t="b">
        <v>0</v>
      </c>
      <c r="S1197" s="4" t="s">
        <v>61</v>
      </c>
      <c r="T1197" s="4" t="s">
        <v>89</v>
      </c>
      <c r="U1197" s="4" t="s">
        <v>71</v>
      </c>
      <c r="V1197" s="4" t="s">
        <v>63</v>
      </c>
      <c r="W1197" s="4" t="s">
        <v>312</v>
      </c>
      <c r="X1197" s="4" t="s">
        <v>54</v>
      </c>
      <c r="Y1197" s="4"/>
      <c r="Z1197" s="12">
        <v>0</v>
      </c>
      <c r="AA1197" s="13" t="s">
        <v>9167</v>
      </c>
      <c r="AB1197" s="13" t="s">
        <v>9168</v>
      </c>
      <c r="AC1197" s="14" t="s">
        <v>9148</v>
      </c>
      <c r="AD1197" s="14" t="s">
        <v>9140</v>
      </c>
      <c r="AE1197" s="14" t="s">
        <v>9140</v>
      </c>
      <c r="AF1197" s="14" t="s">
        <v>63</v>
      </c>
      <c r="AG1197" s="14" t="s">
        <v>54</v>
      </c>
      <c r="AH1197" s="15" t="s">
        <v>9220</v>
      </c>
      <c r="AI1197" s="15" t="s">
        <v>9142</v>
      </c>
      <c r="AJ1197" s="15" t="s">
        <v>9143</v>
      </c>
      <c r="AK1197" s="15" t="s">
        <v>9221</v>
      </c>
      <c r="AL1197" s="15" t="s">
        <v>9228</v>
      </c>
      <c r="AM1197" s="16" t="s">
        <v>9221</v>
      </c>
      <c r="AN1197" s="16" t="s">
        <v>9229</v>
      </c>
    </row>
    <row r="1198" spans="1:40" x14ac:dyDescent="0.25">
      <c r="A1198" s="4" t="s">
        <v>5572</v>
      </c>
      <c r="B1198" s="4"/>
      <c r="C1198" s="4" t="s">
        <v>39</v>
      </c>
      <c r="D1198" s="4" t="s">
        <v>5573</v>
      </c>
      <c r="E1198" s="4" t="s">
        <v>5574</v>
      </c>
      <c r="F1198" s="10">
        <v>45370</v>
      </c>
      <c r="G1198" s="11">
        <v>0.46736111111111112</v>
      </c>
      <c r="H1198" s="4" t="s">
        <v>4910</v>
      </c>
      <c r="I1198" s="4" t="s">
        <v>5555</v>
      </c>
      <c r="J1198" s="4" t="s">
        <v>3170</v>
      </c>
      <c r="K1198" s="4" t="s">
        <v>455</v>
      </c>
      <c r="L1198" s="4" t="s">
        <v>5575</v>
      </c>
      <c r="M1198" s="4" t="s">
        <v>46</v>
      </c>
      <c r="N1198" s="4"/>
      <c r="O1198" s="4" t="s">
        <v>47</v>
      </c>
      <c r="P1198" s="4" t="s">
        <v>48</v>
      </c>
      <c r="Q1198" s="4">
        <v>0</v>
      </c>
      <c r="R1198" s="4" t="b">
        <v>0</v>
      </c>
      <c r="S1198" s="4" t="s">
        <v>49</v>
      </c>
      <c r="T1198" s="4" t="s">
        <v>89</v>
      </c>
      <c r="U1198" s="4" t="s">
        <v>148</v>
      </c>
      <c r="V1198" s="4" t="s">
        <v>52</v>
      </c>
      <c r="W1198" s="4" t="s">
        <v>53</v>
      </c>
      <c r="X1198" s="4" t="s">
        <v>54</v>
      </c>
      <c r="Y1198" s="4"/>
      <c r="Z1198" s="12">
        <v>0</v>
      </c>
      <c r="AA1198" s="13" t="s">
        <v>9167</v>
      </c>
      <c r="AB1198" s="13" t="s">
        <v>9168</v>
      </c>
      <c r="AC1198" s="14" t="s">
        <v>9139</v>
      </c>
      <c r="AD1198" s="14" t="s">
        <v>9140</v>
      </c>
      <c r="AE1198" s="14" t="s">
        <v>9140</v>
      </c>
      <c r="AF1198" s="14" t="s">
        <v>52</v>
      </c>
      <c r="AG1198" s="14" t="s">
        <v>54</v>
      </c>
      <c r="AH1198" s="15" t="s">
        <v>9220</v>
      </c>
      <c r="AI1198" s="15" t="s">
        <v>9191</v>
      </c>
      <c r="AJ1198" s="15" t="s">
        <v>9143</v>
      </c>
      <c r="AK1198" s="15" t="s">
        <v>9221</v>
      </c>
      <c r="AL1198" s="15" t="s">
        <v>9234</v>
      </c>
      <c r="AM1198" s="16" t="s">
        <v>9221</v>
      </c>
      <c r="AN1198" s="16" t="s">
        <v>9235</v>
      </c>
    </row>
    <row r="1199" spans="1:40" x14ac:dyDescent="0.25">
      <c r="A1199" s="4" t="s">
        <v>9026</v>
      </c>
      <c r="B1199" s="4"/>
      <c r="C1199" s="4" t="s">
        <v>39</v>
      </c>
      <c r="D1199" s="4" t="s">
        <v>9027</v>
      </c>
      <c r="E1199" s="4" t="s">
        <v>9028</v>
      </c>
      <c r="F1199" s="10">
        <v>45369</v>
      </c>
      <c r="G1199" s="11">
        <v>0.92361111111111116</v>
      </c>
      <c r="H1199" s="4" t="s">
        <v>4019</v>
      </c>
      <c r="I1199" s="4" t="s">
        <v>8971</v>
      </c>
      <c r="J1199" s="4" t="s">
        <v>8972</v>
      </c>
      <c r="K1199" s="4" t="s">
        <v>9029</v>
      </c>
      <c r="L1199" s="4" t="s">
        <v>9030</v>
      </c>
      <c r="M1199" s="4" t="s">
        <v>46</v>
      </c>
      <c r="N1199" s="4"/>
      <c r="O1199" s="4" t="s">
        <v>344</v>
      </c>
      <c r="P1199" s="4" t="s">
        <v>48</v>
      </c>
      <c r="Q1199" s="4">
        <v>4</v>
      </c>
      <c r="R1199" s="4" t="b">
        <v>0</v>
      </c>
      <c r="S1199" s="4" t="s">
        <v>114</v>
      </c>
      <c r="T1199" s="4" t="s">
        <v>89</v>
      </c>
      <c r="U1199" s="4" t="s">
        <v>107</v>
      </c>
      <c r="V1199" s="4" t="s">
        <v>63</v>
      </c>
      <c r="W1199" s="4" t="s">
        <v>312</v>
      </c>
      <c r="X1199" s="4" t="s">
        <v>54</v>
      </c>
      <c r="Y1199" s="4"/>
      <c r="Z1199" s="12">
        <v>0</v>
      </c>
      <c r="AA1199" s="13" t="s">
        <v>9167</v>
      </c>
      <c r="AB1199" s="13" t="s">
        <v>9168</v>
      </c>
      <c r="AC1199" s="14" t="s">
        <v>9157</v>
      </c>
      <c r="AD1199" s="14" t="s">
        <v>9140</v>
      </c>
      <c r="AE1199" s="14" t="s">
        <v>9140</v>
      </c>
      <c r="AF1199" s="14" t="s">
        <v>63</v>
      </c>
      <c r="AG1199" s="14" t="s">
        <v>54</v>
      </c>
      <c r="AH1199" s="15" t="s">
        <v>9220</v>
      </c>
      <c r="AI1199" s="15" t="s">
        <v>9175</v>
      </c>
      <c r="AJ1199" s="15" t="s">
        <v>9181</v>
      </c>
      <c r="AK1199" s="15" t="s">
        <v>9182</v>
      </c>
      <c r="AL1199" s="15" t="s">
        <v>9182</v>
      </c>
      <c r="AM1199" s="16" t="s">
        <v>9182</v>
      </c>
      <c r="AN1199" s="16" t="s">
        <v>9182</v>
      </c>
    </row>
    <row r="1200" spans="1:40" x14ac:dyDescent="0.25">
      <c r="A1200" s="4" t="s">
        <v>4403</v>
      </c>
      <c r="B1200" s="4"/>
      <c r="C1200" s="4" t="s">
        <v>39</v>
      </c>
      <c r="D1200" s="4" t="s">
        <v>4313</v>
      </c>
      <c r="E1200" s="4" t="s">
        <v>4314</v>
      </c>
      <c r="F1200" s="10">
        <v>45369</v>
      </c>
      <c r="G1200" s="11">
        <v>0.59375</v>
      </c>
      <c r="H1200" s="4" t="s">
        <v>4019</v>
      </c>
      <c r="I1200" s="4" t="s">
        <v>4304</v>
      </c>
      <c r="J1200" s="4" t="s">
        <v>1941</v>
      </c>
      <c r="K1200" s="4" t="s">
        <v>4401</v>
      </c>
      <c r="L1200" s="4" t="s">
        <v>4404</v>
      </c>
      <c r="M1200" s="4" t="s">
        <v>46</v>
      </c>
      <c r="N1200" s="4"/>
      <c r="O1200" s="4" t="s">
        <v>47</v>
      </c>
      <c r="P1200" s="4" t="s">
        <v>48</v>
      </c>
      <c r="Q1200" s="4">
        <v>0</v>
      </c>
      <c r="R1200" s="4" t="b">
        <v>0</v>
      </c>
      <c r="S1200" s="4" t="s">
        <v>49</v>
      </c>
      <c r="T1200" s="4" t="s">
        <v>89</v>
      </c>
      <c r="U1200" s="4" t="s">
        <v>148</v>
      </c>
      <c r="V1200" s="4" t="s">
        <v>52</v>
      </c>
      <c r="W1200" s="4" t="s">
        <v>53</v>
      </c>
      <c r="X1200" s="4" t="s">
        <v>98</v>
      </c>
      <c r="Y1200" s="4"/>
      <c r="Z1200" s="12">
        <v>0</v>
      </c>
      <c r="AA1200" s="13" t="s">
        <v>9167</v>
      </c>
      <c r="AB1200" s="13" t="s">
        <v>9168</v>
      </c>
      <c r="AC1200" s="14" t="s">
        <v>9139</v>
      </c>
      <c r="AD1200" s="14" t="s">
        <v>9140</v>
      </c>
      <c r="AE1200" s="14" t="s">
        <v>9140</v>
      </c>
      <c r="AF1200" s="14" t="s">
        <v>52</v>
      </c>
      <c r="AG1200" s="14" t="s">
        <v>98</v>
      </c>
      <c r="AH1200" s="15" t="s">
        <v>9220</v>
      </c>
      <c r="AI1200" s="15" t="s">
        <v>9175</v>
      </c>
      <c r="AJ1200" s="15" t="s">
        <v>9143</v>
      </c>
      <c r="AK1200" s="15" t="s">
        <v>9221</v>
      </c>
      <c r="AL1200" s="15" t="s">
        <v>9222</v>
      </c>
      <c r="AM1200" s="16" t="s">
        <v>9221</v>
      </c>
      <c r="AN1200" s="16" t="s">
        <v>9223</v>
      </c>
    </row>
    <row r="1201" spans="1:40" x14ac:dyDescent="0.25">
      <c r="A1201" s="4" t="s">
        <v>727</v>
      </c>
      <c r="B1201" s="4"/>
      <c r="C1201" s="4" t="s">
        <v>39</v>
      </c>
      <c r="D1201" s="4" t="s">
        <v>723</v>
      </c>
      <c r="E1201" s="4" t="s">
        <v>724</v>
      </c>
      <c r="F1201" s="10">
        <v>45369</v>
      </c>
      <c r="G1201" s="11">
        <v>0.65972222222222221</v>
      </c>
      <c r="H1201" s="4" t="s">
        <v>463</v>
      </c>
      <c r="I1201" s="4">
        <v>2025</v>
      </c>
      <c r="J1201" s="4" t="s">
        <v>701</v>
      </c>
      <c r="K1201" s="4" t="s">
        <v>728</v>
      </c>
      <c r="L1201" s="4" t="s">
        <v>729</v>
      </c>
      <c r="M1201" s="4" t="s">
        <v>46</v>
      </c>
      <c r="N1201" s="4"/>
      <c r="O1201" s="4" t="s">
        <v>47</v>
      </c>
      <c r="P1201" s="4" t="s">
        <v>48</v>
      </c>
      <c r="Q1201" s="4">
        <v>0</v>
      </c>
      <c r="R1201" s="4" t="b">
        <v>0</v>
      </c>
      <c r="S1201" s="4" t="s">
        <v>61</v>
      </c>
      <c r="T1201" s="4" t="s">
        <v>89</v>
      </c>
      <c r="U1201" s="4" t="s">
        <v>71</v>
      </c>
      <c r="V1201" s="4" t="s">
        <v>63</v>
      </c>
      <c r="W1201" s="4" t="s">
        <v>198</v>
      </c>
      <c r="X1201" s="4" t="s">
        <v>54</v>
      </c>
      <c r="Y1201" s="4"/>
      <c r="Z1201" s="12">
        <v>0</v>
      </c>
      <c r="AA1201" s="13" t="s">
        <v>9167</v>
      </c>
      <c r="AB1201" s="13" t="s">
        <v>9168</v>
      </c>
      <c r="AC1201" s="14" t="s">
        <v>9148</v>
      </c>
      <c r="AD1201" s="14" t="s">
        <v>9140</v>
      </c>
      <c r="AE1201" s="14" t="s">
        <v>9140</v>
      </c>
      <c r="AF1201" s="14" t="s">
        <v>63</v>
      </c>
      <c r="AG1201" s="14" t="s">
        <v>54</v>
      </c>
      <c r="AH1201" s="15" t="s">
        <v>9141</v>
      </c>
      <c r="AI1201" s="15" t="s">
        <v>9175</v>
      </c>
      <c r="AJ1201" s="15" t="s">
        <v>9143</v>
      </c>
      <c r="AK1201" s="15" t="s">
        <v>9141</v>
      </c>
      <c r="AL1201" s="15" t="s">
        <v>9175</v>
      </c>
      <c r="AM1201" s="16" t="s">
        <v>9141</v>
      </c>
      <c r="AN1201" s="16" t="s">
        <v>9176</v>
      </c>
    </row>
    <row r="1202" spans="1:40" x14ac:dyDescent="0.25">
      <c r="A1202" s="4" t="s">
        <v>274</v>
      </c>
      <c r="B1202" s="4"/>
      <c r="C1202" s="4" t="s">
        <v>39</v>
      </c>
      <c r="D1202" s="4" t="s">
        <v>251</v>
      </c>
      <c r="E1202" s="4" t="s">
        <v>252</v>
      </c>
      <c r="F1202" s="10">
        <v>45367</v>
      </c>
      <c r="G1202" s="11">
        <v>0.60416666666666663</v>
      </c>
      <c r="H1202" s="4" t="s">
        <v>42</v>
      </c>
      <c r="I1202" s="4">
        <v>1011</v>
      </c>
      <c r="J1202" s="4" t="s">
        <v>215</v>
      </c>
      <c r="K1202" s="4" t="s">
        <v>275</v>
      </c>
      <c r="L1202" s="4" t="s">
        <v>276</v>
      </c>
      <c r="M1202" s="4" t="s">
        <v>46</v>
      </c>
      <c r="N1202" s="4"/>
      <c r="O1202" s="4" t="s">
        <v>47</v>
      </c>
      <c r="P1202" s="4" t="s">
        <v>48</v>
      </c>
      <c r="Q1202" s="4">
        <v>0</v>
      </c>
      <c r="R1202" s="4" t="b">
        <v>0</v>
      </c>
      <c r="S1202" s="4" t="s">
        <v>61</v>
      </c>
      <c r="T1202" s="4" t="s">
        <v>89</v>
      </c>
      <c r="U1202" s="4" t="s">
        <v>71</v>
      </c>
      <c r="V1202" s="4" t="s">
        <v>52</v>
      </c>
      <c r="W1202" s="4" t="s">
        <v>53</v>
      </c>
      <c r="X1202" s="4" t="s">
        <v>98</v>
      </c>
      <c r="Y1202" s="4"/>
      <c r="Z1202" s="12">
        <v>0</v>
      </c>
      <c r="AA1202" s="13" t="s">
        <v>9167</v>
      </c>
      <c r="AB1202" s="13" t="s">
        <v>9168</v>
      </c>
      <c r="AC1202" s="14" t="s">
        <v>9148</v>
      </c>
      <c r="AD1202" s="14" t="s">
        <v>9140</v>
      </c>
      <c r="AE1202" s="14" t="s">
        <v>9140</v>
      </c>
      <c r="AF1202" s="14" t="s">
        <v>52</v>
      </c>
      <c r="AG1202" s="14" t="s">
        <v>98</v>
      </c>
      <c r="AH1202" s="15" t="s">
        <v>9141</v>
      </c>
      <c r="AI1202" s="15" t="s">
        <v>9142</v>
      </c>
      <c r="AJ1202" s="15" t="s">
        <v>9143</v>
      </c>
      <c r="AK1202" s="15" t="s">
        <v>9141</v>
      </c>
      <c r="AL1202" s="15" t="s">
        <v>9144</v>
      </c>
      <c r="AM1202" s="16" t="s">
        <v>9141</v>
      </c>
      <c r="AN1202" s="16" t="s">
        <v>9145</v>
      </c>
    </row>
    <row r="1203" spans="1:40" x14ac:dyDescent="0.25">
      <c r="A1203" s="4" t="s">
        <v>6017</v>
      </c>
      <c r="B1203" s="4"/>
      <c r="C1203" s="4" t="s">
        <v>39</v>
      </c>
      <c r="D1203" s="4" t="s">
        <v>6018</v>
      </c>
      <c r="E1203" s="4" t="s">
        <v>6019</v>
      </c>
      <c r="F1203" s="10">
        <v>45367</v>
      </c>
      <c r="G1203" s="11">
        <v>0.54166666666666663</v>
      </c>
      <c r="H1203" s="4" t="s">
        <v>4242</v>
      </c>
      <c r="I1203" s="4" t="s">
        <v>5918</v>
      </c>
      <c r="J1203" s="4" t="s">
        <v>5919</v>
      </c>
      <c r="K1203" s="4" t="s">
        <v>670</v>
      </c>
      <c r="L1203" s="4" t="s">
        <v>6020</v>
      </c>
      <c r="M1203" s="4" t="s">
        <v>46</v>
      </c>
      <c r="N1203" s="4"/>
      <c r="O1203" s="4" t="s">
        <v>47</v>
      </c>
      <c r="P1203" s="4" t="s">
        <v>48</v>
      </c>
      <c r="Q1203" s="4">
        <v>0</v>
      </c>
      <c r="R1203" s="4" t="b">
        <v>0</v>
      </c>
      <c r="S1203" s="4" t="s">
        <v>61</v>
      </c>
      <c r="T1203" s="4" t="s">
        <v>89</v>
      </c>
      <c r="U1203" s="4" t="s">
        <v>175</v>
      </c>
      <c r="V1203" s="4" t="s">
        <v>63</v>
      </c>
      <c r="W1203" s="4" t="s">
        <v>108</v>
      </c>
      <c r="X1203" s="4" t="s">
        <v>98</v>
      </c>
      <c r="Y1203" s="4"/>
      <c r="Z1203" s="12">
        <v>0</v>
      </c>
      <c r="AA1203" s="13" t="s">
        <v>9167</v>
      </c>
      <c r="AB1203" s="13" t="s">
        <v>9168</v>
      </c>
      <c r="AC1203" s="14" t="s">
        <v>9148</v>
      </c>
      <c r="AD1203" s="14" t="s">
        <v>9140</v>
      </c>
      <c r="AE1203" s="14" t="s">
        <v>9140</v>
      </c>
      <c r="AF1203" s="14" t="s">
        <v>63</v>
      </c>
      <c r="AG1203" s="14" t="s">
        <v>98</v>
      </c>
      <c r="AH1203" s="15" t="s">
        <v>9220</v>
      </c>
      <c r="AI1203" s="15" t="s">
        <v>9187</v>
      </c>
      <c r="AJ1203" s="15" t="s">
        <v>9143</v>
      </c>
      <c r="AK1203" s="15" t="s">
        <v>9221</v>
      </c>
      <c r="AL1203" s="15" t="s">
        <v>9226</v>
      </c>
      <c r="AM1203" s="16" t="s">
        <v>9221</v>
      </c>
      <c r="AN1203" s="16" t="s">
        <v>9227</v>
      </c>
    </row>
    <row r="1204" spans="1:40" x14ac:dyDescent="0.25">
      <c r="A1204" s="4" t="s">
        <v>7502</v>
      </c>
      <c r="B1204" s="4" t="s">
        <v>7503</v>
      </c>
      <c r="C1204" s="4" t="s">
        <v>39</v>
      </c>
      <c r="D1204" s="4" t="s">
        <v>7504</v>
      </c>
      <c r="E1204" s="4" t="s">
        <v>7505</v>
      </c>
      <c r="F1204" s="10">
        <v>45367</v>
      </c>
      <c r="G1204" s="11">
        <v>0</v>
      </c>
      <c r="H1204" s="4" t="s">
        <v>4910</v>
      </c>
      <c r="I1204" s="4" t="s">
        <v>7457</v>
      </c>
      <c r="J1204" s="4" t="s">
        <v>2378</v>
      </c>
      <c r="K1204" s="4" t="s">
        <v>2242</v>
      </c>
      <c r="L1204" s="4" t="s">
        <v>7506</v>
      </c>
      <c r="M1204" s="4" t="s">
        <v>28</v>
      </c>
      <c r="N1204" s="4" t="s">
        <v>183</v>
      </c>
      <c r="O1204" s="4" t="s">
        <v>344</v>
      </c>
      <c r="P1204" s="4" t="s">
        <v>60</v>
      </c>
      <c r="Q1204" s="4">
        <v>318</v>
      </c>
      <c r="R1204" s="4" t="b">
        <v>0</v>
      </c>
      <c r="S1204" s="4" t="s">
        <v>184</v>
      </c>
      <c r="T1204" s="4" t="s">
        <v>583</v>
      </c>
      <c r="U1204" s="4" t="s">
        <v>480</v>
      </c>
      <c r="V1204" s="4" t="s">
        <v>52</v>
      </c>
      <c r="W1204" s="4" t="s">
        <v>53</v>
      </c>
      <c r="X1204" s="4" t="s">
        <v>54</v>
      </c>
      <c r="Y1204" s="4"/>
      <c r="Z1204" s="12" t="s">
        <v>60</v>
      </c>
      <c r="AA1204" s="13" t="s">
        <v>9167</v>
      </c>
      <c r="AB1204" s="13" t="s">
        <v>9168</v>
      </c>
      <c r="AC1204" s="14" t="s">
        <v>9166</v>
      </c>
      <c r="AD1204" s="14" t="s">
        <v>28</v>
      </c>
      <c r="AE1204" s="14" t="s">
        <v>183</v>
      </c>
      <c r="AF1204" s="14" t="s">
        <v>52</v>
      </c>
      <c r="AG1204" s="14" t="s">
        <v>54</v>
      </c>
      <c r="AH1204" s="15" t="s">
        <v>9220</v>
      </c>
      <c r="AI1204" s="15" t="s">
        <v>9191</v>
      </c>
      <c r="AJ1204" s="15" t="s">
        <v>9143</v>
      </c>
      <c r="AK1204" s="15" t="s">
        <v>9221</v>
      </c>
      <c r="AL1204" s="15" t="s">
        <v>9226</v>
      </c>
      <c r="AM1204" s="16" t="s">
        <v>9221</v>
      </c>
      <c r="AN1204" s="16" t="s">
        <v>9227</v>
      </c>
    </row>
    <row r="1205" spans="1:40" x14ac:dyDescent="0.25">
      <c r="A1205" s="4" t="s">
        <v>5183</v>
      </c>
      <c r="B1205" s="4"/>
      <c r="C1205" s="4" t="s">
        <v>39</v>
      </c>
      <c r="D1205" s="4" t="s">
        <v>5184</v>
      </c>
      <c r="E1205" s="4" t="s">
        <v>5185</v>
      </c>
      <c r="F1205" s="10">
        <v>45366</v>
      </c>
      <c r="G1205" s="11">
        <v>0.4375</v>
      </c>
      <c r="H1205" s="4" t="s">
        <v>4910</v>
      </c>
      <c r="I1205" s="4" t="s">
        <v>5121</v>
      </c>
      <c r="J1205" s="4" t="s">
        <v>1994</v>
      </c>
      <c r="K1205" s="4" t="s">
        <v>5186</v>
      </c>
      <c r="L1205" s="4" t="s">
        <v>5187</v>
      </c>
      <c r="M1205" s="4" t="s">
        <v>46</v>
      </c>
      <c r="N1205" s="4"/>
      <c r="O1205" s="4" t="s">
        <v>47</v>
      </c>
      <c r="P1205" s="4" t="s">
        <v>48</v>
      </c>
      <c r="Q1205" s="4">
        <v>0</v>
      </c>
      <c r="R1205" s="4" t="b">
        <v>0</v>
      </c>
      <c r="S1205" s="4" t="s">
        <v>61</v>
      </c>
      <c r="T1205" s="4" t="s">
        <v>89</v>
      </c>
      <c r="U1205" s="4" t="s">
        <v>148</v>
      </c>
      <c r="V1205" s="4" t="s">
        <v>72</v>
      </c>
      <c r="W1205" s="4" t="s">
        <v>73</v>
      </c>
      <c r="X1205" s="4" t="s">
        <v>98</v>
      </c>
      <c r="Y1205" s="4"/>
      <c r="Z1205" s="12">
        <v>0</v>
      </c>
      <c r="AA1205" s="13" t="s">
        <v>9167</v>
      </c>
      <c r="AB1205" s="13" t="s">
        <v>9168</v>
      </c>
      <c r="AC1205" s="14" t="s">
        <v>9148</v>
      </c>
      <c r="AD1205" s="14" t="s">
        <v>9140</v>
      </c>
      <c r="AE1205" s="14" t="s">
        <v>9140</v>
      </c>
      <c r="AF1205" s="14" t="s">
        <v>72</v>
      </c>
      <c r="AG1205" s="14" t="s">
        <v>98</v>
      </c>
      <c r="AH1205" s="15" t="s">
        <v>9220</v>
      </c>
      <c r="AI1205" s="15" t="s">
        <v>9191</v>
      </c>
      <c r="AJ1205" s="15" t="s">
        <v>9143</v>
      </c>
      <c r="AK1205" s="15" t="s">
        <v>9221</v>
      </c>
      <c r="AL1205" s="15" t="s">
        <v>9236</v>
      </c>
      <c r="AM1205" s="16" t="s">
        <v>9221</v>
      </c>
      <c r="AN1205" s="16" t="s">
        <v>9237</v>
      </c>
    </row>
    <row r="1206" spans="1:40" x14ac:dyDescent="0.25">
      <c r="A1206" s="4" t="s">
        <v>6574</v>
      </c>
      <c r="B1206" s="4"/>
      <c r="C1206" s="4" t="s">
        <v>39</v>
      </c>
      <c r="D1206" s="4" t="s">
        <v>6575</v>
      </c>
      <c r="E1206" s="4" t="s">
        <v>6576</v>
      </c>
      <c r="F1206" s="10">
        <v>45365</v>
      </c>
      <c r="G1206" s="11">
        <v>0.8125</v>
      </c>
      <c r="H1206" s="4" t="s">
        <v>4910</v>
      </c>
      <c r="I1206" s="4" t="s">
        <v>6561</v>
      </c>
      <c r="J1206" s="4" t="s">
        <v>1719</v>
      </c>
      <c r="K1206" s="4" t="s">
        <v>2989</v>
      </c>
      <c r="L1206" s="4" t="s">
        <v>6577</v>
      </c>
      <c r="M1206" s="4" t="s">
        <v>46</v>
      </c>
      <c r="N1206" s="4"/>
      <c r="O1206" s="4" t="s">
        <v>47</v>
      </c>
      <c r="P1206" s="4" t="s">
        <v>48</v>
      </c>
      <c r="Q1206" s="4">
        <v>0</v>
      </c>
      <c r="R1206" s="4" t="b">
        <v>0</v>
      </c>
      <c r="S1206" s="4" t="s">
        <v>114</v>
      </c>
      <c r="T1206" s="4" t="s">
        <v>89</v>
      </c>
      <c r="U1206" s="4" t="s">
        <v>71</v>
      </c>
      <c r="V1206" s="4" t="s">
        <v>63</v>
      </c>
      <c r="W1206" s="4" t="s">
        <v>108</v>
      </c>
      <c r="X1206" s="4" t="s">
        <v>98</v>
      </c>
      <c r="Y1206" s="4"/>
      <c r="Z1206" s="12">
        <v>0</v>
      </c>
      <c r="AA1206" s="13" t="s">
        <v>9167</v>
      </c>
      <c r="AB1206" s="13" t="s">
        <v>9168</v>
      </c>
      <c r="AC1206" s="14" t="s">
        <v>9157</v>
      </c>
      <c r="AD1206" s="14" t="s">
        <v>9140</v>
      </c>
      <c r="AE1206" s="14" t="s">
        <v>9140</v>
      </c>
      <c r="AF1206" s="14" t="s">
        <v>63</v>
      </c>
      <c r="AG1206" s="14" t="s">
        <v>98</v>
      </c>
      <c r="AH1206" s="15" t="s">
        <v>9220</v>
      </c>
      <c r="AI1206" s="15" t="s">
        <v>9191</v>
      </c>
      <c r="AJ1206" s="15" t="s">
        <v>9143</v>
      </c>
      <c r="AK1206" s="15" t="s">
        <v>9221</v>
      </c>
      <c r="AL1206" s="15" t="s">
        <v>9226</v>
      </c>
      <c r="AM1206" s="16" t="s">
        <v>9221</v>
      </c>
      <c r="AN1206" s="16" t="s">
        <v>9227</v>
      </c>
    </row>
    <row r="1207" spans="1:40" x14ac:dyDescent="0.25">
      <c r="A1207" s="4" t="s">
        <v>4172</v>
      </c>
      <c r="B1207" s="4"/>
      <c r="C1207" s="4" t="s">
        <v>39</v>
      </c>
      <c r="D1207" s="4" t="s">
        <v>4173</v>
      </c>
      <c r="E1207" s="4" t="s">
        <v>4174</v>
      </c>
      <c r="F1207" s="10">
        <v>45365</v>
      </c>
      <c r="G1207" s="11">
        <v>0.65555555555555556</v>
      </c>
      <c r="H1207" s="4" t="s">
        <v>4019</v>
      </c>
      <c r="I1207" s="4" t="s">
        <v>4149</v>
      </c>
      <c r="J1207" s="4" t="s">
        <v>559</v>
      </c>
      <c r="K1207" s="4" t="s">
        <v>4175</v>
      </c>
      <c r="L1207" s="4" t="s">
        <v>4176</v>
      </c>
      <c r="M1207" s="4" t="s">
        <v>46</v>
      </c>
      <c r="N1207" s="4"/>
      <c r="O1207" s="4" t="s">
        <v>47</v>
      </c>
      <c r="P1207" s="4" t="s">
        <v>48</v>
      </c>
      <c r="Q1207" s="4">
        <v>0</v>
      </c>
      <c r="R1207" s="4" t="b">
        <v>0</v>
      </c>
      <c r="S1207" s="4" t="s">
        <v>49</v>
      </c>
      <c r="T1207" s="4" t="s">
        <v>50</v>
      </c>
      <c r="U1207" s="4" t="s">
        <v>71</v>
      </c>
      <c r="V1207" s="4" t="s">
        <v>72</v>
      </c>
      <c r="W1207" s="4" t="s">
        <v>73</v>
      </c>
      <c r="X1207" s="4" t="s">
        <v>978</v>
      </c>
      <c r="Y1207" s="4" t="s">
        <v>486</v>
      </c>
      <c r="Z1207" s="12">
        <v>0</v>
      </c>
      <c r="AA1207" s="13" t="s">
        <v>9167</v>
      </c>
      <c r="AB1207" s="13" t="s">
        <v>9168</v>
      </c>
      <c r="AC1207" s="14" t="s">
        <v>9139</v>
      </c>
      <c r="AD1207" s="14" t="s">
        <v>9140</v>
      </c>
      <c r="AE1207" s="14" t="s">
        <v>9140</v>
      </c>
      <c r="AF1207" s="14" t="s">
        <v>72</v>
      </c>
      <c r="AG1207" s="14" t="s">
        <v>978</v>
      </c>
      <c r="AH1207" s="15" t="s">
        <v>9220</v>
      </c>
      <c r="AI1207" s="15" t="s">
        <v>9175</v>
      </c>
      <c r="AJ1207" s="15" t="s">
        <v>9143</v>
      </c>
      <c r="AK1207" s="15" t="s">
        <v>9221</v>
      </c>
      <c r="AL1207" s="15" t="s">
        <v>9224</v>
      </c>
      <c r="AM1207" s="16" t="s">
        <v>9221</v>
      </c>
      <c r="AN1207" s="16" t="s">
        <v>9225</v>
      </c>
    </row>
    <row r="1208" spans="1:40" x14ac:dyDescent="0.25">
      <c r="A1208" s="4" t="s">
        <v>1593</v>
      </c>
      <c r="B1208" s="4"/>
      <c r="C1208" s="4" t="s">
        <v>39</v>
      </c>
      <c r="D1208" s="4" t="s">
        <v>1584</v>
      </c>
      <c r="E1208" s="4" t="s">
        <v>1585</v>
      </c>
      <c r="F1208" s="10">
        <v>45365</v>
      </c>
      <c r="G1208" s="11">
        <v>0.56944444444444442</v>
      </c>
      <c r="H1208" s="4" t="s">
        <v>1366</v>
      </c>
      <c r="I1208" s="4">
        <v>6071</v>
      </c>
      <c r="J1208" s="4" t="s">
        <v>1586</v>
      </c>
      <c r="K1208" s="4" t="s">
        <v>1456</v>
      </c>
      <c r="L1208" s="4" t="s">
        <v>1594</v>
      </c>
      <c r="M1208" s="4" t="s">
        <v>46</v>
      </c>
      <c r="N1208" s="4"/>
      <c r="O1208" s="4" t="s">
        <v>47</v>
      </c>
      <c r="P1208" s="4" t="s">
        <v>48</v>
      </c>
      <c r="Q1208" s="4">
        <v>0</v>
      </c>
      <c r="R1208" s="4" t="b">
        <v>0</v>
      </c>
      <c r="S1208" s="4" t="s">
        <v>61</v>
      </c>
      <c r="T1208" s="4" t="s">
        <v>89</v>
      </c>
      <c r="U1208" s="4" t="s">
        <v>140</v>
      </c>
      <c r="V1208" s="4" t="s">
        <v>63</v>
      </c>
      <c r="W1208" s="4" t="s">
        <v>198</v>
      </c>
      <c r="X1208" s="4" t="s">
        <v>98</v>
      </c>
      <c r="Y1208" s="4" t="s">
        <v>486</v>
      </c>
      <c r="Z1208" s="12">
        <v>0</v>
      </c>
      <c r="AA1208" s="13" t="s">
        <v>9167</v>
      </c>
      <c r="AB1208" s="13" t="s">
        <v>9168</v>
      </c>
      <c r="AC1208" s="14" t="s">
        <v>9148</v>
      </c>
      <c r="AD1208" s="14" t="s">
        <v>9140</v>
      </c>
      <c r="AE1208" s="14" t="s">
        <v>9140</v>
      </c>
      <c r="AF1208" s="14" t="s">
        <v>63</v>
      </c>
      <c r="AG1208" s="14" t="s">
        <v>98</v>
      </c>
      <c r="AH1208" s="15" t="s">
        <v>9141</v>
      </c>
      <c r="AI1208" s="15" t="s">
        <v>9188</v>
      </c>
      <c r="AJ1208" s="15" t="s">
        <v>9143</v>
      </c>
      <c r="AK1208" s="15" t="s">
        <v>9141</v>
      </c>
      <c r="AL1208" s="15" t="s">
        <v>9191</v>
      </c>
      <c r="AM1208" s="16" t="s">
        <v>9141</v>
      </c>
      <c r="AN1208" s="16" t="s">
        <v>9192</v>
      </c>
    </row>
    <row r="1209" spans="1:40" x14ac:dyDescent="0.25">
      <c r="A1209" s="4" t="s">
        <v>2236</v>
      </c>
      <c r="B1209" s="4"/>
      <c r="C1209" s="4" t="s">
        <v>39</v>
      </c>
      <c r="D1209" s="4" t="s">
        <v>2237</v>
      </c>
      <c r="E1209" s="4" t="s">
        <v>2238</v>
      </c>
      <c r="F1209" s="10">
        <v>45365</v>
      </c>
      <c r="G1209" s="11">
        <v>0.46666666666666667</v>
      </c>
      <c r="H1209" s="4" t="s">
        <v>2227</v>
      </c>
      <c r="I1209" s="4" t="s">
        <v>2228</v>
      </c>
      <c r="J1209" s="4" t="s">
        <v>1173</v>
      </c>
      <c r="K1209" s="4" t="s">
        <v>2239</v>
      </c>
      <c r="L1209" s="4" t="s">
        <v>2240</v>
      </c>
      <c r="M1209" s="4" t="s">
        <v>46</v>
      </c>
      <c r="N1209" s="4"/>
      <c r="O1209" s="4" t="s">
        <v>47</v>
      </c>
      <c r="P1209" s="4" t="s">
        <v>48</v>
      </c>
      <c r="Q1209" s="4">
        <v>0</v>
      </c>
      <c r="R1209" s="4" t="b">
        <v>0</v>
      </c>
      <c r="S1209" s="4" t="s">
        <v>61</v>
      </c>
      <c r="T1209" s="4" t="s">
        <v>89</v>
      </c>
      <c r="U1209" s="4" t="s">
        <v>71</v>
      </c>
      <c r="V1209" s="4" t="s">
        <v>72</v>
      </c>
      <c r="W1209" s="4" t="s">
        <v>73</v>
      </c>
      <c r="X1209" s="4" t="s">
        <v>54</v>
      </c>
      <c r="Y1209" s="4"/>
      <c r="Z1209" s="12">
        <v>0</v>
      </c>
      <c r="AA1209" s="13" t="s">
        <v>9167</v>
      </c>
      <c r="AB1209" s="13" t="s">
        <v>9168</v>
      </c>
      <c r="AC1209" s="14" t="s">
        <v>9148</v>
      </c>
      <c r="AD1209" s="14" t="s">
        <v>9140</v>
      </c>
      <c r="AE1209" s="14" t="s">
        <v>9140</v>
      </c>
      <c r="AF1209" s="14" t="s">
        <v>72</v>
      </c>
      <c r="AG1209" s="14" t="s">
        <v>54</v>
      </c>
      <c r="AH1209" s="15" t="s">
        <v>9194</v>
      </c>
      <c r="AI1209" s="15" t="s">
        <v>9187</v>
      </c>
      <c r="AJ1209" s="15" t="s">
        <v>9143</v>
      </c>
      <c r="AK1209" s="15" t="s">
        <v>9194</v>
      </c>
      <c r="AL1209" s="15" t="s">
        <v>9209</v>
      </c>
      <c r="AM1209" s="16" t="s">
        <v>9194</v>
      </c>
      <c r="AN1209" s="16" t="s">
        <v>9210</v>
      </c>
    </row>
    <row r="1210" spans="1:40" x14ac:dyDescent="0.25">
      <c r="A1210" s="4" t="s">
        <v>2298</v>
      </c>
      <c r="B1210" s="4">
        <v>6654222</v>
      </c>
      <c r="C1210" s="4" t="s">
        <v>39</v>
      </c>
      <c r="D1210" s="4" t="s">
        <v>2299</v>
      </c>
      <c r="E1210" s="4" t="s">
        <v>2300</v>
      </c>
      <c r="F1210" s="10">
        <v>45364</v>
      </c>
      <c r="G1210" s="11">
        <v>0.48958333333333331</v>
      </c>
      <c r="H1210" s="4" t="s">
        <v>2095</v>
      </c>
      <c r="I1210" s="4" t="s">
        <v>2271</v>
      </c>
      <c r="J1210" s="4" t="s">
        <v>2272</v>
      </c>
      <c r="K1210" s="4" t="s">
        <v>1194</v>
      </c>
      <c r="L1210" s="4" t="s">
        <v>2301</v>
      </c>
      <c r="M1210" s="4" t="s">
        <v>28</v>
      </c>
      <c r="N1210" s="4" t="s">
        <v>183</v>
      </c>
      <c r="O1210" s="4" t="s">
        <v>174</v>
      </c>
      <c r="P1210" s="4" t="s">
        <v>48</v>
      </c>
      <c r="Q1210" s="4">
        <v>20</v>
      </c>
      <c r="R1210" s="4" t="b">
        <v>0</v>
      </c>
      <c r="S1210" s="4" t="s">
        <v>61</v>
      </c>
      <c r="T1210" s="4" t="s">
        <v>89</v>
      </c>
      <c r="U1210" s="4" t="s">
        <v>175</v>
      </c>
      <c r="V1210" s="4" t="s">
        <v>63</v>
      </c>
      <c r="W1210" s="4" t="s">
        <v>108</v>
      </c>
      <c r="X1210" s="4" t="s">
        <v>98</v>
      </c>
      <c r="Y1210" s="4"/>
      <c r="Z1210" s="12" t="s">
        <v>48</v>
      </c>
      <c r="AA1210" s="13" t="s">
        <v>9167</v>
      </c>
      <c r="AB1210" s="13" t="s">
        <v>9168</v>
      </c>
      <c r="AC1210" s="14" t="s">
        <v>9148</v>
      </c>
      <c r="AD1210" s="14" t="s">
        <v>28</v>
      </c>
      <c r="AE1210" s="14" t="s">
        <v>183</v>
      </c>
      <c r="AF1210" s="14" t="s">
        <v>63</v>
      </c>
      <c r="AG1210" s="14" t="s">
        <v>98</v>
      </c>
      <c r="AH1210" s="15" t="s">
        <v>9194</v>
      </c>
      <c r="AI1210" s="15" t="s">
        <v>9188</v>
      </c>
      <c r="AJ1210" s="15" t="s">
        <v>9143</v>
      </c>
      <c r="AK1210" s="15" t="s">
        <v>9194</v>
      </c>
      <c r="AL1210" s="15" t="s">
        <v>9203</v>
      </c>
      <c r="AM1210" s="16" t="s">
        <v>9194</v>
      </c>
      <c r="AN1210" s="16" t="s">
        <v>9204</v>
      </c>
    </row>
    <row r="1211" spans="1:40" x14ac:dyDescent="0.25">
      <c r="A1211" s="4" t="s">
        <v>3133</v>
      </c>
      <c r="B1211" s="4"/>
      <c r="C1211" s="4" t="s">
        <v>39</v>
      </c>
      <c r="D1211" s="4" t="s">
        <v>3125</v>
      </c>
      <c r="E1211" s="4" t="s">
        <v>3126</v>
      </c>
      <c r="F1211" s="10">
        <v>45364</v>
      </c>
      <c r="G1211" s="11">
        <v>0.46458333333333335</v>
      </c>
      <c r="H1211" s="4" t="s">
        <v>3119</v>
      </c>
      <c r="I1211" s="4" t="s">
        <v>3120</v>
      </c>
      <c r="J1211" s="4" t="s">
        <v>3121</v>
      </c>
      <c r="K1211" s="4" t="s">
        <v>3134</v>
      </c>
      <c r="L1211" s="4" t="s">
        <v>3135</v>
      </c>
      <c r="M1211" s="4" t="s">
        <v>46</v>
      </c>
      <c r="N1211" s="4"/>
      <c r="O1211" s="4" t="s">
        <v>47</v>
      </c>
      <c r="P1211" s="4" t="s">
        <v>48</v>
      </c>
      <c r="Q1211" s="4">
        <v>0</v>
      </c>
      <c r="R1211" s="4" t="b">
        <v>0</v>
      </c>
      <c r="S1211" s="4" t="s">
        <v>61</v>
      </c>
      <c r="T1211" s="4" t="s">
        <v>89</v>
      </c>
      <c r="U1211" s="4" t="s">
        <v>148</v>
      </c>
      <c r="V1211" s="4" t="s">
        <v>52</v>
      </c>
      <c r="W1211" s="4" t="s">
        <v>53</v>
      </c>
      <c r="X1211" s="4" t="s">
        <v>54</v>
      </c>
      <c r="Y1211" s="4"/>
      <c r="Z1211" s="12">
        <v>0</v>
      </c>
      <c r="AA1211" s="13" t="s">
        <v>9167</v>
      </c>
      <c r="AB1211" s="13" t="s">
        <v>9168</v>
      </c>
      <c r="AC1211" s="14" t="s">
        <v>9148</v>
      </c>
      <c r="AD1211" s="14" t="s">
        <v>9140</v>
      </c>
      <c r="AE1211" s="14" t="s">
        <v>9140</v>
      </c>
      <c r="AF1211" s="14" t="s">
        <v>52</v>
      </c>
      <c r="AG1211" s="14" t="s">
        <v>54</v>
      </c>
      <c r="AH1211" s="15" t="s">
        <v>9194</v>
      </c>
      <c r="AI1211" s="15" t="s">
        <v>9213</v>
      </c>
      <c r="AJ1211" s="15" t="s">
        <v>9143</v>
      </c>
      <c r="AK1211" s="15" t="s">
        <v>9194</v>
      </c>
      <c r="AL1211" s="15" t="s">
        <v>9205</v>
      </c>
      <c r="AM1211" s="16" t="s">
        <v>9194</v>
      </c>
      <c r="AN1211" s="16" t="s">
        <v>9206</v>
      </c>
    </row>
    <row r="1212" spans="1:40" x14ac:dyDescent="0.25">
      <c r="A1212" s="4" t="s">
        <v>3251</v>
      </c>
      <c r="B1212" s="4"/>
      <c r="C1212" s="4" t="s">
        <v>39</v>
      </c>
      <c r="D1212" s="4" t="s">
        <v>3252</v>
      </c>
      <c r="E1212" s="4" t="s">
        <v>3253</v>
      </c>
      <c r="F1212" s="10">
        <v>45364</v>
      </c>
      <c r="G1212" s="11">
        <v>0.45833333333333331</v>
      </c>
      <c r="H1212" s="4" t="s">
        <v>2095</v>
      </c>
      <c r="I1212" s="4" t="s">
        <v>3242</v>
      </c>
      <c r="J1212" s="4" t="s">
        <v>3243</v>
      </c>
      <c r="K1212" s="4" t="s">
        <v>3254</v>
      </c>
      <c r="L1212" s="4" t="s">
        <v>3255</v>
      </c>
      <c r="M1212" s="4" t="s">
        <v>46</v>
      </c>
      <c r="N1212" s="4"/>
      <c r="O1212" s="4" t="s">
        <v>47</v>
      </c>
      <c r="P1212" s="4" t="s">
        <v>48</v>
      </c>
      <c r="Q1212" s="4">
        <v>0</v>
      </c>
      <c r="R1212" s="4" t="b">
        <v>0</v>
      </c>
      <c r="S1212" s="4" t="s">
        <v>61</v>
      </c>
      <c r="T1212" s="4" t="s">
        <v>89</v>
      </c>
      <c r="U1212" s="4" t="s">
        <v>71</v>
      </c>
      <c r="V1212" s="4" t="s">
        <v>52</v>
      </c>
      <c r="W1212" s="4" t="s">
        <v>53</v>
      </c>
      <c r="X1212" s="4" t="s">
        <v>54</v>
      </c>
      <c r="Y1212" s="4"/>
      <c r="Z1212" s="12">
        <v>0</v>
      </c>
      <c r="AA1212" s="13" t="s">
        <v>9167</v>
      </c>
      <c r="AB1212" s="13" t="s">
        <v>9168</v>
      </c>
      <c r="AC1212" s="14" t="s">
        <v>9148</v>
      </c>
      <c r="AD1212" s="14" t="s">
        <v>9140</v>
      </c>
      <c r="AE1212" s="14" t="s">
        <v>9140</v>
      </c>
      <c r="AF1212" s="14" t="s">
        <v>52</v>
      </c>
      <c r="AG1212" s="14" t="s">
        <v>54</v>
      </c>
      <c r="AH1212" s="15" t="s">
        <v>9194</v>
      </c>
      <c r="AI1212" s="15" t="s">
        <v>9188</v>
      </c>
      <c r="AJ1212" s="15" t="s">
        <v>9143</v>
      </c>
      <c r="AK1212" s="15" t="s">
        <v>9194</v>
      </c>
      <c r="AL1212" s="15" t="s">
        <v>9203</v>
      </c>
      <c r="AM1212" s="16" t="s">
        <v>9194</v>
      </c>
      <c r="AN1212" s="16" t="s">
        <v>9204</v>
      </c>
    </row>
    <row r="1213" spans="1:40" x14ac:dyDescent="0.25">
      <c r="A1213" s="4" t="s">
        <v>277</v>
      </c>
      <c r="B1213" s="4"/>
      <c r="C1213" s="4" t="s">
        <v>39</v>
      </c>
      <c r="D1213" s="4" t="s">
        <v>278</v>
      </c>
      <c r="E1213" s="4" t="s">
        <v>279</v>
      </c>
      <c r="F1213" s="10">
        <v>45364</v>
      </c>
      <c r="G1213" s="11">
        <v>0.4548611111111111</v>
      </c>
      <c r="H1213" s="4" t="s">
        <v>42</v>
      </c>
      <c r="I1213" s="4">
        <v>1011</v>
      </c>
      <c r="J1213" s="4" t="s">
        <v>215</v>
      </c>
      <c r="K1213" s="4" t="s">
        <v>280</v>
      </c>
      <c r="L1213" s="4" t="s">
        <v>281</v>
      </c>
      <c r="M1213" s="4" t="s">
        <v>46</v>
      </c>
      <c r="N1213" s="4"/>
      <c r="O1213" s="4" t="s">
        <v>47</v>
      </c>
      <c r="P1213" s="4" t="s">
        <v>48</v>
      </c>
      <c r="Q1213" s="4">
        <v>0</v>
      </c>
      <c r="R1213" s="4" t="b">
        <v>0</v>
      </c>
      <c r="S1213" s="4" t="s">
        <v>114</v>
      </c>
      <c r="T1213" s="4" t="s">
        <v>89</v>
      </c>
      <c r="U1213" s="4" t="s">
        <v>282</v>
      </c>
      <c r="V1213" s="4" t="s">
        <v>52</v>
      </c>
      <c r="W1213" s="4" t="s">
        <v>53</v>
      </c>
      <c r="X1213" s="4" t="s">
        <v>54</v>
      </c>
      <c r="Y1213" s="4"/>
      <c r="Z1213" s="12">
        <v>0</v>
      </c>
      <c r="AA1213" s="13" t="s">
        <v>9167</v>
      </c>
      <c r="AB1213" s="13" t="s">
        <v>9168</v>
      </c>
      <c r="AC1213" s="14" t="s">
        <v>9157</v>
      </c>
      <c r="AD1213" s="14" t="s">
        <v>9140</v>
      </c>
      <c r="AE1213" s="14" t="s">
        <v>9140</v>
      </c>
      <c r="AF1213" s="14" t="s">
        <v>52</v>
      </c>
      <c r="AG1213" s="14" t="s">
        <v>54</v>
      </c>
      <c r="AH1213" s="15" t="s">
        <v>9141</v>
      </c>
      <c r="AI1213" s="15" t="s">
        <v>9142</v>
      </c>
      <c r="AJ1213" s="15" t="s">
        <v>9143</v>
      </c>
      <c r="AK1213" s="15" t="s">
        <v>9141</v>
      </c>
      <c r="AL1213" s="15" t="s">
        <v>9144</v>
      </c>
      <c r="AM1213" s="16" t="s">
        <v>9141</v>
      </c>
      <c r="AN1213" s="16" t="s">
        <v>9145</v>
      </c>
    </row>
    <row r="1214" spans="1:40" x14ac:dyDescent="0.25">
      <c r="A1214" s="4" t="s">
        <v>4114</v>
      </c>
      <c r="B1214" s="4"/>
      <c r="C1214" s="4" t="s">
        <v>39</v>
      </c>
      <c r="D1214" s="4" t="s">
        <v>4090</v>
      </c>
      <c r="E1214" s="4" t="s">
        <v>4091</v>
      </c>
      <c r="F1214" s="10">
        <v>45364</v>
      </c>
      <c r="G1214" s="11">
        <v>0.69305555555555554</v>
      </c>
      <c r="H1214" s="4" t="s">
        <v>4019</v>
      </c>
      <c r="I1214" s="4" t="s">
        <v>4092</v>
      </c>
      <c r="J1214" s="4" t="s">
        <v>4093</v>
      </c>
      <c r="K1214" s="4" t="s">
        <v>4115</v>
      </c>
      <c r="L1214" s="4" t="s">
        <v>4116</v>
      </c>
      <c r="M1214" s="4" t="s">
        <v>46</v>
      </c>
      <c r="N1214" s="4"/>
      <c r="O1214" s="4" t="s">
        <v>47</v>
      </c>
      <c r="P1214" s="4" t="s">
        <v>48</v>
      </c>
      <c r="Q1214" s="4">
        <v>0</v>
      </c>
      <c r="R1214" s="4" t="b">
        <v>0</v>
      </c>
      <c r="S1214" s="4" t="s">
        <v>49</v>
      </c>
      <c r="T1214" s="4" t="s">
        <v>50</v>
      </c>
      <c r="U1214" s="4" t="s">
        <v>71</v>
      </c>
      <c r="V1214" s="4" t="s">
        <v>72</v>
      </c>
      <c r="W1214" s="4" t="s">
        <v>73</v>
      </c>
      <c r="X1214" s="4" t="s">
        <v>54</v>
      </c>
      <c r="Y1214" s="4"/>
      <c r="Z1214" s="12">
        <v>0</v>
      </c>
      <c r="AA1214" s="13" t="s">
        <v>9167</v>
      </c>
      <c r="AB1214" s="13" t="s">
        <v>9168</v>
      </c>
      <c r="AC1214" s="14" t="s">
        <v>9139</v>
      </c>
      <c r="AD1214" s="14" t="s">
        <v>9140</v>
      </c>
      <c r="AE1214" s="14" t="s">
        <v>9140</v>
      </c>
      <c r="AF1214" s="14" t="s">
        <v>72</v>
      </c>
      <c r="AG1214" s="14" t="s">
        <v>54</v>
      </c>
      <c r="AH1214" s="15" t="s">
        <v>9220</v>
      </c>
      <c r="AI1214" s="15" t="s">
        <v>9175</v>
      </c>
      <c r="AJ1214" s="15" t="s">
        <v>9143</v>
      </c>
      <c r="AK1214" s="15" t="s">
        <v>9221</v>
      </c>
      <c r="AL1214" s="15" t="s">
        <v>9222</v>
      </c>
      <c r="AM1214" s="16" t="s">
        <v>9221</v>
      </c>
      <c r="AN1214" s="16" t="s">
        <v>9223</v>
      </c>
    </row>
    <row r="1215" spans="1:40" x14ac:dyDescent="0.25">
      <c r="A1215" s="4" t="s">
        <v>6323</v>
      </c>
      <c r="B1215" s="4"/>
      <c r="C1215" s="4" t="s">
        <v>39</v>
      </c>
      <c r="D1215" s="4" t="s">
        <v>6305</v>
      </c>
      <c r="E1215" s="4" t="s">
        <v>6306</v>
      </c>
      <c r="F1215" s="10">
        <v>45363</v>
      </c>
      <c r="G1215" s="11">
        <v>0.45347222222222222</v>
      </c>
      <c r="H1215" s="4" t="s">
        <v>4019</v>
      </c>
      <c r="I1215" s="4" t="s">
        <v>6277</v>
      </c>
      <c r="J1215" s="4" t="s">
        <v>988</v>
      </c>
      <c r="K1215" s="4" t="s">
        <v>6324</v>
      </c>
      <c r="L1215" s="4" t="s">
        <v>6325</v>
      </c>
      <c r="M1215" s="4" t="s">
        <v>46</v>
      </c>
      <c r="N1215" s="4"/>
      <c r="O1215" s="4" t="s">
        <v>47</v>
      </c>
      <c r="P1215" s="4" t="s">
        <v>48</v>
      </c>
      <c r="Q1215" s="4">
        <v>0</v>
      </c>
      <c r="R1215" s="4" t="b">
        <v>0</v>
      </c>
      <c r="S1215" s="4" t="s">
        <v>61</v>
      </c>
      <c r="T1215" s="4" t="s">
        <v>89</v>
      </c>
      <c r="U1215" s="4" t="s">
        <v>90</v>
      </c>
      <c r="V1215" s="4" t="s">
        <v>63</v>
      </c>
      <c r="W1215" s="4" t="s">
        <v>108</v>
      </c>
      <c r="X1215" s="4" t="s">
        <v>98</v>
      </c>
      <c r="Y1215" s="4"/>
      <c r="Z1215" s="12">
        <v>0</v>
      </c>
      <c r="AA1215" s="13" t="s">
        <v>9167</v>
      </c>
      <c r="AB1215" s="13" t="s">
        <v>9168</v>
      </c>
      <c r="AC1215" s="14" t="s">
        <v>9148</v>
      </c>
      <c r="AD1215" s="14" t="s">
        <v>9140</v>
      </c>
      <c r="AE1215" s="14" t="s">
        <v>9140</v>
      </c>
      <c r="AF1215" s="14" t="s">
        <v>63</v>
      </c>
      <c r="AG1215" s="14" t="s">
        <v>98</v>
      </c>
      <c r="AH1215" s="15" t="s">
        <v>9220</v>
      </c>
      <c r="AI1215" s="15" t="s">
        <v>9175</v>
      </c>
      <c r="AJ1215" s="15" t="s">
        <v>9143</v>
      </c>
      <c r="AK1215" s="15" t="s">
        <v>9221</v>
      </c>
      <c r="AL1215" s="15" t="s">
        <v>9222</v>
      </c>
      <c r="AM1215" s="16" t="s">
        <v>9221</v>
      </c>
      <c r="AN1215" s="16" t="s">
        <v>9223</v>
      </c>
    </row>
    <row r="1216" spans="1:40" x14ac:dyDescent="0.25">
      <c r="A1216" s="4" t="s">
        <v>6522</v>
      </c>
      <c r="B1216" s="4"/>
      <c r="C1216" s="4" t="s">
        <v>39</v>
      </c>
      <c r="D1216" s="4" t="s">
        <v>6511</v>
      </c>
      <c r="E1216" s="4" t="s">
        <v>6512</v>
      </c>
      <c r="F1216" s="10">
        <v>45363</v>
      </c>
      <c r="G1216" s="11">
        <v>0.40833333333333333</v>
      </c>
      <c r="H1216" s="4" t="s">
        <v>4910</v>
      </c>
      <c r="I1216" s="4" t="s">
        <v>6502</v>
      </c>
      <c r="J1216" s="4" t="s">
        <v>6503</v>
      </c>
      <c r="K1216" s="4" t="s">
        <v>6523</v>
      </c>
      <c r="L1216" s="4" t="s">
        <v>6524</v>
      </c>
      <c r="M1216" s="4" t="s">
        <v>46</v>
      </c>
      <c r="N1216" s="4"/>
      <c r="O1216" s="4" t="s">
        <v>47</v>
      </c>
      <c r="P1216" s="4" t="s">
        <v>48</v>
      </c>
      <c r="Q1216" s="4">
        <v>0</v>
      </c>
      <c r="R1216" s="4" t="b">
        <v>0</v>
      </c>
      <c r="S1216" s="4" t="s">
        <v>49</v>
      </c>
      <c r="T1216" s="4" t="s">
        <v>89</v>
      </c>
      <c r="U1216" s="4" t="s">
        <v>345</v>
      </c>
      <c r="V1216" s="4" t="s">
        <v>123</v>
      </c>
      <c r="W1216" s="4" t="s">
        <v>124</v>
      </c>
      <c r="X1216" s="4" t="s">
        <v>98</v>
      </c>
      <c r="Y1216" s="4"/>
      <c r="Z1216" s="12">
        <v>0</v>
      </c>
      <c r="AA1216" s="13" t="s">
        <v>9167</v>
      </c>
      <c r="AB1216" s="13" t="s">
        <v>9168</v>
      </c>
      <c r="AC1216" s="14" t="s">
        <v>9139</v>
      </c>
      <c r="AD1216" s="14" t="s">
        <v>9140</v>
      </c>
      <c r="AE1216" s="14" t="s">
        <v>9140</v>
      </c>
      <c r="AF1216" s="14" t="s">
        <v>123</v>
      </c>
      <c r="AG1216" s="14" t="s">
        <v>98</v>
      </c>
      <c r="AH1216" s="15" t="s">
        <v>9220</v>
      </c>
      <c r="AI1216" s="15" t="s">
        <v>9191</v>
      </c>
      <c r="AJ1216" s="15" t="s">
        <v>9143</v>
      </c>
      <c r="AK1216" s="15" t="s">
        <v>9221</v>
      </c>
      <c r="AL1216" s="15" t="s">
        <v>9236</v>
      </c>
      <c r="AM1216" s="16" t="s">
        <v>9221</v>
      </c>
      <c r="AN1216" s="16" t="s">
        <v>9237</v>
      </c>
    </row>
    <row r="1217" spans="1:40" x14ac:dyDescent="0.25">
      <c r="A1217" s="4" t="s">
        <v>8152</v>
      </c>
      <c r="B1217" s="4"/>
      <c r="C1217" s="4" t="s">
        <v>39</v>
      </c>
      <c r="D1217" s="4" t="s">
        <v>8153</v>
      </c>
      <c r="E1217" s="4" t="s">
        <v>8154</v>
      </c>
      <c r="F1217" s="10">
        <v>45363</v>
      </c>
      <c r="G1217" s="11">
        <v>0.44791666666666669</v>
      </c>
      <c r="H1217" s="4" t="s">
        <v>4516</v>
      </c>
      <c r="I1217" s="4" t="s">
        <v>8133</v>
      </c>
      <c r="J1217" s="4" t="s">
        <v>8134</v>
      </c>
      <c r="K1217" s="4" t="s">
        <v>8155</v>
      </c>
      <c r="L1217" s="4" t="s">
        <v>8156</v>
      </c>
      <c r="M1217" s="4" t="s">
        <v>46</v>
      </c>
      <c r="N1217" s="4"/>
      <c r="O1217" s="4" t="s">
        <v>47</v>
      </c>
      <c r="P1217" s="4" t="s">
        <v>48</v>
      </c>
      <c r="Q1217" s="4">
        <v>0</v>
      </c>
      <c r="R1217" s="4" t="b">
        <v>0</v>
      </c>
      <c r="S1217" s="4" t="s">
        <v>49</v>
      </c>
      <c r="T1217" s="4" t="s">
        <v>70</v>
      </c>
      <c r="U1217" s="4" t="s">
        <v>71</v>
      </c>
      <c r="V1217" s="4" t="s">
        <v>72</v>
      </c>
      <c r="W1217" s="4" t="s">
        <v>73</v>
      </c>
      <c r="X1217" s="4" t="s">
        <v>98</v>
      </c>
      <c r="Y1217" s="4"/>
      <c r="Z1217" s="12">
        <v>0</v>
      </c>
      <c r="AA1217" s="13" t="s">
        <v>9167</v>
      </c>
      <c r="AB1217" s="13" t="s">
        <v>9168</v>
      </c>
      <c r="AC1217" s="14" t="s">
        <v>9139</v>
      </c>
      <c r="AD1217" s="14" t="s">
        <v>9140</v>
      </c>
      <c r="AE1217" s="14" t="s">
        <v>9140</v>
      </c>
      <c r="AF1217" s="14" t="s">
        <v>72</v>
      </c>
      <c r="AG1217" s="14" t="s">
        <v>98</v>
      </c>
      <c r="AH1217" s="15" t="s">
        <v>9220</v>
      </c>
      <c r="AI1217" s="15" t="s">
        <v>9188</v>
      </c>
      <c r="AJ1217" s="15" t="s">
        <v>9143</v>
      </c>
      <c r="AK1217" s="15" t="s">
        <v>9221</v>
      </c>
      <c r="AL1217" s="15" t="s">
        <v>9230</v>
      </c>
      <c r="AM1217" s="16" t="s">
        <v>9221</v>
      </c>
      <c r="AN1217" s="16" t="s">
        <v>9231</v>
      </c>
    </row>
    <row r="1218" spans="1:40" x14ac:dyDescent="0.25">
      <c r="A1218" s="4" t="s">
        <v>1429</v>
      </c>
      <c r="B1218" s="4"/>
      <c r="C1218" s="4" t="s">
        <v>39</v>
      </c>
      <c r="D1218" s="4" t="s">
        <v>1425</v>
      </c>
      <c r="E1218" s="4" t="s">
        <v>1426</v>
      </c>
      <c r="F1218" s="10">
        <v>45363</v>
      </c>
      <c r="G1218" s="11">
        <v>0.38541666666666669</v>
      </c>
      <c r="H1218" s="4" t="s">
        <v>1366</v>
      </c>
      <c r="I1218" s="4">
        <v>5060</v>
      </c>
      <c r="J1218" s="4" t="s">
        <v>1412</v>
      </c>
      <c r="K1218" s="4" t="s">
        <v>1430</v>
      </c>
      <c r="L1218" s="4" t="s">
        <v>1431</v>
      </c>
      <c r="M1218" s="4" t="s">
        <v>46</v>
      </c>
      <c r="N1218" s="4"/>
      <c r="O1218" s="4" t="s">
        <v>47</v>
      </c>
      <c r="P1218" s="4" t="s">
        <v>48</v>
      </c>
      <c r="Q1218" s="4">
        <v>0</v>
      </c>
      <c r="R1218" s="4" t="b">
        <v>0</v>
      </c>
      <c r="S1218" s="4" t="s">
        <v>61</v>
      </c>
      <c r="T1218" s="4" t="s">
        <v>89</v>
      </c>
      <c r="U1218" s="4" t="s">
        <v>122</v>
      </c>
      <c r="V1218" s="4" t="s">
        <v>123</v>
      </c>
      <c r="W1218" s="4" t="s">
        <v>192</v>
      </c>
      <c r="X1218" s="4" t="s">
        <v>98</v>
      </c>
      <c r="Y1218" s="4"/>
      <c r="Z1218" s="12">
        <v>0</v>
      </c>
      <c r="AA1218" s="13" t="s">
        <v>9167</v>
      </c>
      <c r="AB1218" s="13" t="s">
        <v>9168</v>
      </c>
      <c r="AC1218" s="14" t="s">
        <v>9148</v>
      </c>
      <c r="AD1218" s="14" t="s">
        <v>9140</v>
      </c>
      <c r="AE1218" s="14" t="s">
        <v>9140</v>
      </c>
      <c r="AF1218" s="14" t="s">
        <v>123</v>
      </c>
      <c r="AG1218" s="14" t="s">
        <v>98</v>
      </c>
      <c r="AH1218" s="15" t="s">
        <v>9141</v>
      </c>
      <c r="AI1218" s="15" t="s">
        <v>9188</v>
      </c>
      <c r="AJ1218" s="15" t="s">
        <v>9143</v>
      </c>
      <c r="AK1218" s="15" t="s">
        <v>9141</v>
      </c>
      <c r="AL1218" s="15" t="s">
        <v>9191</v>
      </c>
      <c r="AM1218" s="16" t="s">
        <v>9141</v>
      </c>
      <c r="AN1218" s="16" t="s">
        <v>9192</v>
      </c>
    </row>
    <row r="1219" spans="1:40" x14ac:dyDescent="0.25">
      <c r="A1219" s="4" t="s">
        <v>7164</v>
      </c>
      <c r="B1219" s="4"/>
      <c r="C1219" s="4" t="s">
        <v>39</v>
      </c>
      <c r="D1219" s="4" t="s">
        <v>7165</v>
      </c>
      <c r="E1219" s="4" t="s">
        <v>7166</v>
      </c>
      <c r="F1219" s="10">
        <v>45362</v>
      </c>
      <c r="G1219" s="11">
        <v>0.41666666666666669</v>
      </c>
      <c r="H1219" s="4" t="s">
        <v>5666</v>
      </c>
      <c r="I1219" s="4" t="s">
        <v>7160</v>
      </c>
      <c r="J1219" s="4" t="s">
        <v>7161</v>
      </c>
      <c r="K1219" s="4" t="s">
        <v>7167</v>
      </c>
      <c r="L1219" s="4" t="s">
        <v>7168</v>
      </c>
      <c r="M1219" s="4" t="s">
        <v>46</v>
      </c>
      <c r="N1219" s="4"/>
      <c r="O1219" s="4" t="s">
        <v>47</v>
      </c>
      <c r="P1219" s="4" t="s">
        <v>48</v>
      </c>
      <c r="Q1219" s="4">
        <v>0</v>
      </c>
      <c r="R1219" s="4" t="b">
        <v>0</v>
      </c>
      <c r="S1219" s="4" t="s">
        <v>49</v>
      </c>
      <c r="T1219" s="4" t="s">
        <v>89</v>
      </c>
      <c r="U1219" s="4" t="s">
        <v>373</v>
      </c>
      <c r="V1219" s="4" t="s">
        <v>63</v>
      </c>
      <c r="W1219" s="4" t="s">
        <v>198</v>
      </c>
      <c r="X1219" s="4" t="s">
        <v>98</v>
      </c>
      <c r="Y1219" s="4" t="s">
        <v>486</v>
      </c>
      <c r="Z1219" s="12">
        <v>0</v>
      </c>
      <c r="AA1219" s="13" t="s">
        <v>9167</v>
      </c>
      <c r="AB1219" s="13" t="s">
        <v>9168</v>
      </c>
      <c r="AC1219" s="14" t="s">
        <v>9139</v>
      </c>
      <c r="AD1219" s="14" t="s">
        <v>9140</v>
      </c>
      <c r="AE1219" s="14" t="s">
        <v>9140</v>
      </c>
      <c r="AF1219" s="14" t="s">
        <v>63</v>
      </c>
      <c r="AG1219" s="14" t="s">
        <v>98</v>
      </c>
      <c r="AH1219" s="15" t="s">
        <v>9220</v>
      </c>
      <c r="AI1219" s="15" t="s">
        <v>9199</v>
      </c>
      <c r="AJ1219" s="15" t="s">
        <v>9143</v>
      </c>
      <c r="AK1219" s="15" t="s">
        <v>9221</v>
      </c>
      <c r="AL1219" s="15" t="s">
        <v>9199</v>
      </c>
      <c r="AM1219" s="16" t="s">
        <v>9221</v>
      </c>
      <c r="AN1219" s="16" t="s">
        <v>9238</v>
      </c>
    </row>
    <row r="1220" spans="1:40" x14ac:dyDescent="0.25">
      <c r="A1220" s="4" t="s">
        <v>6578</v>
      </c>
      <c r="B1220" s="4"/>
      <c r="C1220" s="4" t="s">
        <v>39</v>
      </c>
      <c r="D1220" s="4" t="s">
        <v>6559</v>
      </c>
      <c r="E1220" s="4" t="s">
        <v>6560</v>
      </c>
      <c r="F1220" s="10">
        <v>45362</v>
      </c>
      <c r="G1220" s="11">
        <v>0.41666666666666669</v>
      </c>
      <c r="H1220" s="4" t="s">
        <v>4910</v>
      </c>
      <c r="I1220" s="4" t="s">
        <v>6561</v>
      </c>
      <c r="J1220" s="4" t="s">
        <v>1719</v>
      </c>
      <c r="K1220" s="4" t="s">
        <v>6579</v>
      </c>
      <c r="L1220" s="4" t="s">
        <v>6580</v>
      </c>
      <c r="M1220" s="4" t="s">
        <v>46</v>
      </c>
      <c r="N1220" s="4"/>
      <c r="O1220" s="4" t="s">
        <v>47</v>
      </c>
      <c r="P1220" s="4" t="s">
        <v>48</v>
      </c>
      <c r="Q1220" s="4">
        <v>0</v>
      </c>
      <c r="R1220" s="4" t="b">
        <v>0</v>
      </c>
      <c r="S1220" s="4" t="s">
        <v>61</v>
      </c>
      <c r="T1220" s="4" t="s">
        <v>89</v>
      </c>
      <c r="U1220" s="4" t="s">
        <v>107</v>
      </c>
      <c r="V1220" s="4" t="s">
        <v>63</v>
      </c>
      <c r="W1220" s="4" t="s">
        <v>108</v>
      </c>
      <c r="X1220" s="4" t="s">
        <v>98</v>
      </c>
      <c r="Y1220" s="4"/>
      <c r="Z1220" s="12">
        <v>0</v>
      </c>
      <c r="AA1220" s="13" t="s">
        <v>9167</v>
      </c>
      <c r="AB1220" s="13" t="s">
        <v>9168</v>
      </c>
      <c r="AC1220" s="14" t="s">
        <v>9148</v>
      </c>
      <c r="AD1220" s="14" t="s">
        <v>9140</v>
      </c>
      <c r="AE1220" s="14" t="s">
        <v>9140</v>
      </c>
      <c r="AF1220" s="14" t="s">
        <v>63</v>
      </c>
      <c r="AG1220" s="14" t="s">
        <v>98</v>
      </c>
      <c r="AH1220" s="15" t="s">
        <v>9220</v>
      </c>
      <c r="AI1220" s="15" t="s">
        <v>9191</v>
      </c>
      <c r="AJ1220" s="15" t="s">
        <v>9143</v>
      </c>
      <c r="AK1220" s="15" t="s">
        <v>9221</v>
      </c>
      <c r="AL1220" s="15" t="s">
        <v>9226</v>
      </c>
      <c r="AM1220" s="16" t="s">
        <v>9221</v>
      </c>
      <c r="AN1220" s="16" t="s">
        <v>9227</v>
      </c>
    </row>
    <row r="1221" spans="1:40" x14ac:dyDescent="0.25">
      <c r="A1221" s="4" t="s">
        <v>4498</v>
      </c>
      <c r="B1221" s="4"/>
      <c r="C1221" s="4" t="s">
        <v>39</v>
      </c>
      <c r="D1221" s="4" t="s">
        <v>4499</v>
      </c>
      <c r="E1221" s="4" t="s">
        <v>4500</v>
      </c>
      <c r="F1221" s="10">
        <v>45362</v>
      </c>
      <c r="G1221" s="11">
        <v>0.60069444444444442</v>
      </c>
      <c r="H1221" s="4" t="s">
        <v>4019</v>
      </c>
      <c r="I1221" s="4" t="s">
        <v>4472</v>
      </c>
      <c r="J1221" s="4" t="s">
        <v>3707</v>
      </c>
      <c r="K1221" s="4" t="s">
        <v>4501</v>
      </c>
      <c r="L1221" s="4" t="s">
        <v>4502</v>
      </c>
      <c r="M1221" s="4" t="s">
        <v>46</v>
      </c>
      <c r="N1221" s="4"/>
      <c r="O1221" s="4" t="s">
        <v>47</v>
      </c>
      <c r="P1221" s="4" t="s">
        <v>48</v>
      </c>
      <c r="Q1221" s="4">
        <v>0</v>
      </c>
      <c r="R1221" s="4" t="b">
        <v>0</v>
      </c>
      <c r="S1221" s="4" t="s">
        <v>49</v>
      </c>
      <c r="T1221" s="4" t="s">
        <v>89</v>
      </c>
      <c r="U1221" s="4" t="s">
        <v>51</v>
      </c>
      <c r="V1221" s="4" t="s">
        <v>72</v>
      </c>
      <c r="W1221" s="4" t="s">
        <v>73</v>
      </c>
      <c r="X1221" s="4" t="s">
        <v>54</v>
      </c>
      <c r="Y1221" s="4"/>
      <c r="Z1221" s="12">
        <v>0</v>
      </c>
      <c r="AA1221" s="13" t="s">
        <v>9167</v>
      </c>
      <c r="AB1221" s="13" t="s">
        <v>9168</v>
      </c>
      <c r="AC1221" s="14" t="s">
        <v>9139</v>
      </c>
      <c r="AD1221" s="14" t="s">
        <v>9140</v>
      </c>
      <c r="AE1221" s="14" t="s">
        <v>9140</v>
      </c>
      <c r="AF1221" s="14" t="s">
        <v>72</v>
      </c>
      <c r="AG1221" s="14" t="s">
        <v>54</v>
      </c>
      <c r="AH1221" s="15" t="s">
        <v>9220</v>
      </c>
      <c r="AI1221" s="15" t="s">
        <v>9175</v>
      </c>
      <c r="AJ1221" s="15" t="s">
        <v>9143</v>
      </c>
      <c r="AK1221" s="15" t="s">
        <v>9221</v>
      </c>
      <c r="AL1221" s="15" t="s">
        <v>9228</v>
      </c>
      <c r="AM1221" s="16" t="s">
        <v>9221</v>
      </c>
      <c r="AN1221" s="16" t="s">
        <v>9229</v>
      </c>
    </row>
    <row r="1222" spans="1:40" x14ac:dyDescent="0.25">
      <c r="A1222" s="4" t="s">
        <v>1595</v>
      </c>
      <c r="B1222" s="4"/>
      <c r="C1222" s="4" t="s">
        <v>39</v>
      </c>
      <c r="D1222" s="4" t="s">
        <v>1584</v>
      </c>
      <c r="E1222" s="4" t="s">
        <v>1585</v>
      </c>
      <c r="F1222" s="10">
        <v>45361</v>
      </c>
      <c r="G1222" s="11">
        <v>0.62638888888888888</v>
      </c>
      <c r="H1222" s="4" t="s">
        <v>1366</v>
      </c>
      <c r="I1222" s="4">
        <v>6071</v>
      </c>
      <c r="J1222" s="4" t="s">
        <v>1586</v>
      </c>
      <c r="K1222" s="4" t="s">
        <v>1596</v>
      </c>
      <c r="L1222" s="4" t="s">
        <v>1597</v>
      </c>
      <c r="M1222" s="4" t="s">
        <v>46</v>
      </c>
      <c r="N1222" s="4"/>
      <c r="O1222" s="4" t="s">
        <v>47</v>
      </c>
      <c r="P1222" s="4" t="s">
        <v>48</v>
      </c>
      <c r="Q1222" s="4">
        <v>0</v>
      </c>
      <c r="R1222" s="4" t="b">
        <v>0</v>
      </c>
      <c r="S1222" s="4" t="s">
        <v>61</v>
      </c>
      <c r="T1222" s="4" t="s">
        <v>89</v>
      </c>
      <c r="U1222" s="4" t="s">
        <v>90</v>
      </c>
      <c r="V1222" s="4" t="s">
        <v>63</v>
      </c>
      <c r="W1222" s="4" t="s">
        <v>108</v>
      </c>
      <c r="X1222" s="4" t="s">
        <v>54</v>
      </c>
      <c r="Y1222" s="4"/>
      <c r="Z1222" s="12">
        <v>0</v>
      </c>
      <c r="AA1222" s="13" t="s">
        <v>9167</v>
      </c>
      <c r="AB1222" s="13" t="s">
        <v>9168</v>
      </c>
      <c r="AC1222" s="14" t="s">
        <v>9148</v>
      </c>
      <c r="AD1222" s="14" t="s">
        <v>9140</v>
      </c>
      <c r="AE1222" s="14" t="s">
        <v>9140</v>
      </c>
      <c r="AF1222" s="14" t="s">
        <v>63</v>
      </c>
      <c r="AG1222" s="14" t="s">
        <v>54</v>
      </c>
      <c r="AH1222" s="15" t="s">
        <v>9141</v>
      </c>
      <c r="AI1222" s="15" t="s">
        <v>9188</v>
      </c>
      <c r="AJ1222" s="15" t="s">
        <v>9143</v>
      </c>
      <c r="AK1222" s="15" t="s">
        <v>9141</v>
      </c>
      <c r="AL1222" s="15" t="s">
        <v>9191</v>
      </c>
      <c r="AM1222" s="16" t="s">
        <v>9141</v>
      </c>
      <c r="AN1222" s="16" t="s">
        <v>9192</v>
      </c>
    </row>
    <row r="1223" spans="1:40" x14ac:dyDescent="0.25">
      <c r="A1223" s="4" t="s">
        <v>3621</v>
      </c>
      <c r="B1223" s="4"/>
      <c r="C1223" s="4" t="s">
        <v>39</v>
      </c>
      <c r="D1223" s="4" t="s">
        <v>3622</v>
      </c>
      <c r="E1223" s="4" t="s">
        <v>3623</v>
      </c>
      <c r="F1223" s="10">
        <v>45360</v>
      </c>
      <c r="G1223" s="11">
        <v>0.40625</v>
      </c>
      <c r="H1223" s="4" t="s">
        <v>2017</v>
      </c>
      <c r="I1223" s="4" t="s">
        <v>3607</v>
      </c>
      <c r="J1223" s="4" t="s">
        <v>3608</v>
      </c>
      <c r="K1223" s="4" t="s">
        <v>3624</v>
      </c>
      <c r="L1223" s="4" t="s">
        <v>3625</v>
      </c>
      <c r="M1223" s="4" t="s">
        <v>46</v>
      </c>
      <c r="N1223" s="4"/>
      <c r="O1223" s="4" t="s">
        <v>47</v>
      </c>
      <c r="P1223" s="4" t="s">
        <v>48</v>
      </c>
      <c r="Q1223" s="4">
        <v>0</v>
      </c>
      <c r="R1223" s="4" t="b">
        <v>0</v>
      </c>
      <c r="S1223" s="4" t="s">
        <v>114</v>
      </c>
      <c r="T1223" s="4" t="s">
        <v>89</v>
      </c>
      <c r="U1223" s="4" t="s">
        <v>90</v>
      </c>
      <c r="V1223" s="4" t="s">
        <v>123</v>
      </c>
      <c r="W1223" s="4" t="s">
        <v>124</v>
      </c>
      <c r="X1223" s="4"/>
      <c r="Y1223" s="4"/>
      <c r="Z1223" s="12">
        <v>0</v>
      </c>
      <c r="AA1223" s="13" t="s">
        <v>9167</v>
      </c>
      <c r="AB1223" s="13" t="s">
        <v>9168</v>
      </c>
      <c r="AC1223" s="14" t="s">
        <v>9157</v>
      </c>
      <c r="AD1223" s="14" t="s">
        <v>9140</v>
      </c>
      <c r="AE1223" s="14" t="s">
        <v>9140</v>
      </c>
      <c r="AF1223" s="14" t="s">
        <v>123</v>
      </c>
      <c r="AG1223" s="14">
        <v>0</v>
      </c>
      <c r="AH1223" s="15" t="s">
        <v>9194</v>
      </c>
      <c r="AI1223" s="15" t="s">
        <v>9199</v>
      </c>
      <c r="AJ1223" s="15" t="s">
        <v>9143</v>
      </c>
      <c r="AK1223" s="15" t="s">
        <v>9194</v>
      </c>
      <c r="AL1223" s="15" t="s">
        <v>9199</v>
      </c>
      <c r="AM1223" s="16" t="s">
        <v>9194</v>
      </c>
      <c r="AN1223" s="16" t="s">
        <v>9200</v>
      </c>
    </row>
    <row r="1224" spans="1:40" x14ac:dyDescent="0.25">
      <c r="A1224" s="4" t="s">
        <v>6994</v>
      </c>
      <c r="B1224" s="4"/>
      <c r="C1224" s="4" t="s">
        <v>39</v>
      </c>
      <c r="D1224" s="4" t="s">
        <v>6983</v>
      </c>
      <c r="E1224" s="4" t="s">
        <v>6984</v>
      </c>
      <c r="F1224" s="10">
        <v>45360</v>
      </c>
      <c r="G1224" s="11">
        <v>0.58333333333333337</v>
      </c>
      <c r="H1224" s="4" t="s">
        <v>4516</v>
      </c>
      <c r="I1224" s="4" t="s">
        <v>6985</v>
      </c>
      <c r="J1224" s="4" t="s">
        <v>3890</v>
      </c>
      <c r="K1224" s="4" t="s">
        <v>6995</v>
      </c>
      <c r="L1224" s="4" t="s">
        <v>6996</v>
      </c>
      <c r="M1224" s="4" t="s">
        <v>46</v>
      </c>
      <c r="N1224" s="4"/>
      <c r="O1224" s="4" t="s">
        <v>47</v>
      </c>
      <c r="P1224" s="4" t="s">
        <v>48</v>
      </c>
      <c r="Q1224" s="4">
        <v>0</v>
      </c>
      <c r="R1224" s="4" t="b">
        <v>0</v>
      </c>
      <c r="S1224" s="4" t="s">
        <v>61</v>
      </c>
      <c r="T1224" s="4" t="s">
        <v>70</v>
      </c>
      <c r="U1224" s="4" t="s">
        <v>224</v>
      </c>
      <c r="V1224" s="4" t="s">
        <v>72</v>
      </c>
      <c r="W1224" s="4" t="s">
        <v>73</v>
      </c>
      <c r="X1224" s="4" t="s">
        <v>98</v>
      </c>
      <c r="Y1224" s="4" t="s">
        <v>486</v>
      </c>
      <c r="Z1224" s="12">
        <v>0</v>
      </c>
      <c r="AA1224" s="13" t="s">
        <v>9167</v>
      </c>
      <c r="AB1224" s="13" t="s">
        <v>9168</v>
      </c>
      <c r="AC1224" s="14" t="s">
        <v>9148</v>
      </c>
      <c r="AD1224" s="14" t="s">
        <v>9140</v>
      </c>
      <c r="AE1224" s="14" t="s">
        <v>9140</v>
      </c>
      <c r="AF1224" s="14" t="s">
        <v>72</v>
      </c>
      <c r="AG1224" s="14" t="s">
        <v>98</v>
      </c>
      <c r="AH1224" s="15" t="s">
        <v>9220</v>
      </c>
      <c r="AI1224" s="15" t="s">
        <v>9188</v>
      </c>
      <c r="AJ1224" s="15" t="s">
        <v>9143</v>
      </c>
      <c r="AK1224" s="15" t="s">
        <v>9221</v>
      </c>
      <c r="AL1224" s="15" t="s">
        <v>9230</v>
      </c>
      <c r="AM1224" s="16" t="s">
        <v>9221</v>
      </c>
      <c r="AN1224" s="16" t="s">
        <v>9231</v>
      </c>
    </row>
    <row r="1225" spans="1:40" x14ac:dyDescent="0.25">
      <c r="A1225" s="4" t="s">
        <v>8157</v>
      </c>
      <c r="B1225" s="4"/>
      <c r="C1225" s="4" t="s">
        <v>39</v>
      </c>
      <c r="D1225" s="4" t="s">
        <v>8141</v>
      </c>
      <c r="E1225" s="4" t="s">
        <v>8142</v>
      </c>
      <c r="F1225" s="10">
        <v>45359</v>
      </c>
      <c r="G1225" s="11">
        <v>0.45833333333333331</v>
      </c>
      <c r="H1225" s="4" t="s">
        <v>4516</v>
      </c>
      <c r="I1225" s="4" t="s">
        <v>8133</v>
      </c>
      <c r="J1225" s="4" t="s">
        <v>8134</v>
      </c>
      <c r="K1225" s="4" t="s">
        <v>8158</v>
      </c>
      <c r="L1225" s="4" t="s">
        <v>8159</v>
      </c>
      <c r="M1225" s="4" t="s">
        <v>46</v>
      </c>
      <c r="N1225" s="4"/>
      <c r="O1225" s="4" t="s">
        <v>47</v>
      </c>
      <c r="P1225" s="4" t="s">
        <v>48</v>
      </c>
      <c r="Q1225" s="4">
        <v>0</v>
      </c>
      <c r="R1225" s="4" t="b">
        <v>0</v>
      </c>
      <c r="S1225" s="4" t="s">
        <v>61</v>
      </c>
      <c r="T1225" s="4" t="s">
        <v>89</v>
      </c>
      <c r="U1225" s="4" t="s">
        <v>373</v>
      </c>
      <c r="V1225" s="4" t="s">
        <v>52</v>
      </c>
      <c r="W1225" s="4" t="s">
        <v>255</v>
      </c>
      <c r="X1225" s="4" t="s">
        <v>54</v>
      </c>
      <c r="Y1225" s="4"/>
      <c r="Z1225" s="12">
        <v>0</v>
      </c>
      <c r="AA1225" s="13" t="s">
        <v>9167</v>
      </c>
      <c r="AB1225" s="13" t="s">
        <v>9168</v>
      </c>
      <c r="AC1225" s="14" t="s">
        <v>9148</v>
      </c>
      <c r="AD1225" s="14" t="s">
        <v>9140</v>
      </c>
      <c r="AE1225" s="14" t="s">
        <v>9140</v>
      </c>
      <c r="AF1225" s="14" t="s">
        <v>52</v>
      </c>
      <c r="AG1225" s="14" t="s">
        <v>54</v>
      </c>
      <c r="AH1225" s="15" t="s">
        <v>9220</v>
      </c>
      <c r="AI1225" s="15" t="s">
        <v>9188</v>
      </c>
      <c r="AJ1225" s="15" t="s">
        <v>9143</v>
      </c>
      <c r="AK1225" s="15" t="s">
        <v>9221</v>
      </c>
      <c r="AL1225" s="15" t="s">
        <v>9230</v>
      </c>
      <c r="AM1225" s="16" t="s">
        <v>9221</v>
      </c>
      <c r="AN1225" s="16" t="s">
        <v>9231</v>
      </c>
    </row>
    <row r="1226" spans="1:40" x14ac:dyDescent="0.25">
      <c r="A1226" s="4" t="s">
        <v>4405</v>
      </c>
      <c r="B1226" s="4"/>
      <c r="C1226" s="4" t="s">
        <v>39</v>
      </c>
      <c r="D1226" s="4" t="s">
        <v>4394</v>
      </c>
      <c r="E1226" s="4" t="s">
        <v>4395</v>
      </c>
      <c r="F1226" s="10">
        <v>45359</v>
      </c>
      <c r="G1226" s="11">
        <v>0.47916666666666669</v>
      </c>
      <c r="H1226" s="4" t="s">
        <v>4019</v>
      </c>
      <c r="I1226" s="4" t="s">
        <v>4304</v>
      </c>
      <c r="J1226" s="4" t="s">
        <v>1941</v>
      </c>
      <c r="K1226" s="4" t="s">
        <v>4406</v>
      </c>
      <c r="L1226" s="4" t="s">
        <v>4407</v>
      </c>
      <c r="M1226" s="4" t="s">
        <v>46</v>
      </c>
      <c r="N1226" s="4"/>
      <c r="O1226" s="4" t="s">
        <v>47</v>
      </c>
      <c r="P1226" s="4" t="s">
        <v>48</v>
      </c>
      <c r="Q1226" s="4">
        <v>0</v>
      </c>
      <c r="R1226" s="4" t="b">
        <v>0</v>
      </c>
      <c r="S1226" s="4" t="s">
        <v>114</v>
      </c>
      <c r="T1226" s="4" t="s">
        <v>89</v>
      </c>
      <c r="U1226" s="4" t="s">
        <v>224</v>
      </c>
      <c r="V1226" s="4" t="s">
        <v>63</v>
      </c>
      <c r="W1226" s="4" t="s">
        <v>108</v>
      </c>
      <c r="X1226" s="4" t="s">
        <v>98</v>
      </c>
      <c r="Y1226" s="4" t="s">
        <v>176</v>
      </c>
      <c r="Z1226" s="12">
        <v>0</v>
      </c>
      <c r="AA1226" s="13" t="s">
        <v>9167</v>
      </c>
      <c r="AB1226" s="13" t="s">
        <v>9168</v>
      </c>
      <c r="AC1226" s="14" t="s">
        <v>9157</v>
      </c>
      <c r="AD1226" s="14" t="s">
        <v>9140</v>
      </c>
      <c r="AE1226" s="14" t="s">
        <v>9140</v>
      </c>
      <c r="AF1226" s="14" t="s">
        <v>63</v>
      </c>
      <c r="AG1226" s="14" t="s">
        <v>98</v>
      </c>
      <c r="AH1226" s="15" t="s">
        <v>9220</v>
      </c>
      <c r="AI1226" s="15" t="s">
        <v>9175</v>
      </c>
      <c r="AJ1226" s="15" t="s">
        <v>9143</v>
      </c>
      <c r="AK1226" s="15" t="s">
        <v>9221</v>
      </c>
      <c r="AL1226" s="15" t="s">
        <v>9222</v>
      </c>
      <c r="AM1226" s="16" t="s">
        <v>9221</v>
      </c>
      <c r="AN1226" s="16" t="s">
        <v>9223</v>
      </c>
    </row>
    <row r="1227" spans="1:40" x14ac:dyDescent="0.25">
      <c r="A1227" s="4" t="s">
        <v>6021</v>
      </c>
      <c r="B1227" s="4"/>
      <c r="C1227" s="4" t="s">
        <v>39</v>
      </c>
      <c r="D1227" s="4" t="s">
        <v>3823</v>
      </c>
      <c r="E1227" s="4" t="s">
        <v>3824</v>
      </c>
      <c r="F1227" s="10">
        <v>45359</v>
      </c>
      <c r="G1227" s="11">
        <v>0.38611111111111113</v>
      </c>
      <c r="H1227" s="4" t="s">
        <v>4242</v>
      </c>
      <c r="I1227" s="4" t="s">
        <v>5918</v>
      </c>
      <c r="J1227" s="4" t="s">
        <v>5919</v>
      </c>
      <c r="K1227" s="4" t="s">
        <v>1245</v>
      </c>
      <c r="L1227" s="4" t="s">
        <v>6022</v>
      </c>
      <c r="M1227" s="4" t="s">
        <v>46</v>
      </c>
      <c r="N1227" s="4"/>
      <c r="O1227" s="4" t="s">
        <v>47</v>
      </c>
      <c r="P1227" s="4" t="s">
        <v>48</v>
      </c>
      <c r="Q1227" s="4">
        <v>0</v>
      </c>
      <c r="R1227" s="4" t="b">
        <v>0</v>
      </c>
      <c r="S1227" s="4" t="s">
        <v>61</v>
      </c>
      <c r="T1227" s="4" t="s">
        <v>89</v>
      </c>
      <c r="U1227" s="4" t="s">
        <v>148</v>
      </c>
      <c r="V1227" s="4" t="s">
        <v>52</v>
      </c>
      <c r="W1227" s="4" t="s">
        <v>53</v>
      </c>
      <c r="X1227" s="4" t="s">
        <v>54</v>
      </c>
      <c r="Y1227" s="4"/>
      <c r="Z1227" s="12">
        <v>0</v>
      </c>
      <c r="AA1227" s="13" t="s">
        <v>9167</v>
      </c>
      <c r="AB1227" s="13" t="s">
        <v>9168</v>
      </c>
      <c r="AC1227" s="14" t="s">
        <v>9148</v>
      </c>
      <c r="AD1227" s="14" t="s">
        <v>9140</v>
      </c>
      <c r="AE1227" s="14" t="s">
        <v>9140</v>
      </c>
      <c r="AF1227" s="14" t="s">
        <v>52</v>
      </c>
      <c r="AG1227" s="14" t="s">
        <v>54</v>
      </c>
      <c r="AH1227" s="15" t="s">
        <v>9220</v>
      </c>
      <c r="AI1227" s="15" t="s">
        <v>9187</v>
      </c>
      <c r="AJ1227" s="15" t="s">
        <v>9143</v>
      </c>
      <c r="AK1227" s="15" t="s">
        <v>9221</v>
      </c>
      <c r="AL1227" s="15" t="s">
        <v>9226</v>
      </c>
      <c r="AM1227" s="16" t="s">
        <v>9221</v>
      </c>
      <c r="AN1227" s="16" t="s">
        <v>9227</v>
      </c>
    </row>
    <row r="1228" spans="1:40" x14ac:dyDescent="0.25">
      <c r="A1228" s="4" t="s">
        <v>8955</v>
      </c>
      <c r="B1228" s="4"/>
      <c r="C1228" s="4" t="s">
        <v>39</v>
      </c>
      <c r="D1228" s="4" t="s">
        <v>8956</v>
      </c>
      <c r="E1228" s="4" t="s">
        <v>8957</v>
      </c>
      <c r="F1228" s="10">
        <v>45359</v>
      </c>
      <c r="G1228" s="11">
        <v>0.50694444444444442</v>
      </c>
      <c r="H1228" s="4" t="s">
        <v>4019</v>
      </c>
      <c r="I1228" s="4" t="s">
        <v>8952</v>
      </c>
      <c r="J1228" s="4" t="s">
        <v>8953</v>
      </c>
      <c r="K1228" s="4" t="s">
        <v>2442</v>
      </c>
      <c r="L1228" s="4" t="s">
        <v>8958</v>
      </c>
      <c r="M1228" s="4" t="s">
        <v>46</v>
      </c>
      <c r="N1228" s="4"/>
      <c r="O1228" s="4" t="s">
        <v>47</v>
      </c>
      <c r="P1228" s="4" t="s">
        <v>48</v>
      </c>
      <c r="Q1228" s="4">
        <v>0</v>
      </c>
      <c r="R1228" s="4" t="b">
        <v>0</v>
      </c>
      <c r="S1228" s="4" t="s">
        <v>49</v>
      </c>
      <c r="T1228" s="4" t="s">
        <v>89</v>
      </c>
      <c r="U1228" s="4" t="s">
        <v>90</v>
      </c>
      <c r="V1228" s="4" t="s">
        <v>72</v>
      </c>
      <c r="W1228" s="4" t="s">
        <v>73</v>
      </c>
      <c r="X1228" s="4" t="s">
        <v>98</v>
      </c>
      <c r="Y1228" s="4"/>
      <c r="Z1228" s="12">
        <v>0</v>
      </c>
      <c r="AA1228" s="13" t="s">
        <v>9167</v>
      </c>
      <c r="AB1228" s="13" t="s">
        <v>9168</v>
      </c>
      <c r="AC1228" s="14" t="s">
        <v>9139</v>
      </c>
      <c r="AD1228" s="14" t="s">
        <v>9140</v>
      </c>
      <c r="AE1228" s="14" t="s">
        <v>9140</v>
      </c>
      <c r="AF1228" s="14" t="s">
        <v>72</v>
      </c>
      <c r="AG1228" s="14" t="s">
        <v>98</v>
      </c>
      <c r="AH1228" s="15" t="s">
        <v>9220</v>
      </c>
      <c r="AI1228" s="15" t="s">
        <v>9175</v>
      </c>
      <c r="AJ1228" s="15" t="s">
        <v>9183</v>
      </c>
      <c r="AK1228" s="15" t="s">
        <v>9241</v>
      </c>
      <c r="AL1228" s="15" t="s">
        <v>9242</v>
      </c>
      <c r="AM1228" s="16" t="s">
        <v>9186</v>
      </c>
      <c r="AN1228" s="16" t="s">
        <v>9186</v>
      </c>
    </row>
    <row r="1229" spans="1:40" x14ac:dyDescent="0.25">
      <c r="A1229" s="4" t="s">
        <v>6711</v>
      </c>
      <c r="B1229" s="4"/>
      <c r="C1229" s="4" t="s">
        <v>39</v>
      </c>
      <c r="D1229" s="4" t="s">
        <v>6712</v>
      </c>
      <c r="E1229" s="4" t="s">
        <v>6713</v>
      </c>
      <c r="F1229" s="10">
        <v>45359</v>
      </c>
      <c r="G1229" s="11">
        <v>0.41666666666666669</v>
      </c>
      <c r="H1229" s="4" t="s">
        <v>5666</v>
      </c>
      <c r="I1229" s="4" t="s">
        <v>6692</v>
      </c>
      <c r="J1229" s="4" t="s">
        <v>3645</v>
      </c>
      <c r="K1229" s="4" t="s">
        <v>6714</v>
      </c>
      <c r="L1229" s="4" t="s">
        <v>6715</v>
      </c>
      <c r="M1229" s="4" t="s">
        <v>46</v>
      </c>
      <c r="N1229" s="4"/>
      <c r="O1229" s="4" t="s">
        <v>47</v>
      </c>
      <c r="P1229" s="4" t="s">
        <v>48</v>
      </c>
      <c r="Q1229" s="4">
        <v>0</v>
      </c>
      <c r="R1229" s="4" t="b">
        <v>0</v>
      </c>
      <c r="S1229" s="4" t="s">
        <v>61</v>
      </c>
      <c r="T1229" s="4" t="s">
        <v>89</v>
      </c>
      <c r="U1229" s="4" t="s">
        <v>2432</v>
      </c>
      <c r="V1229" s="4" t="s">
        <v>123</v>
      </c>
      <c r="W1229" s="4" t="s">
        <v>124</v>
      </c>
      <c r="X1229" s="4" t="s">
        <v>98</v>
      </c>
      <c r="Y1229" s="4"/>
      <c r="Z1229" s="12">
        <v>0</v>
      </c>
      <c r="AA1229" s="13" t="s">
        <v>9167</v>
      </c>
      <c r="AB1229" s="13" t="s">
        <v>9168</v>
      </c>
      <c r="AC1229" s="14" t="s">
        <v>9148</v>
      </c>
      <c r="AD1229" s="14" t="s">
        <v>9140</v>
      </c>
      <c r="AE1229" s="14" t="s">
        <v>9140</v>
      </c>
      <c r="AF1229" s="14" t="s">
        <v>123</v>
      </c>
      <c r="AG1229" s="14" t="s">
        <v>98</v>
      </c>
      <c r="AH1229" s="15" t="s">
        <v>9220</v>
      </c>
      <c r="AI1229" s="15" t="s">
        <v>9199</v>
      </c>
      <c r="AJ1229" s="15" t="s">
        <v>9143</v>
      </c>
      <c r="AK1229" s="15" t="s">
        <v>9221</v>
      </c>
      <c r="AL1229" s="15" t="s">
        <v>9199</v>
      </c>
      <c r="AM1229" s="16" t="s">
        <v>9221</v>
      </c>
      <c r="AN1229" s="16" t="s">
        <v>9238</v>
      </c>
    </row>
    <row r="1230" spans="1:40" x14ac:dyDescent="0.25">
      <c r="A1230" s="4" t="s">
        <v>8598</v>
      </c>
      <c r="B1230" s="4"/>
      <c r="C1230" s="4" t="s">
        <v>39</v>
      </c>
      <c r="D1230" s="4" t="s">
        <v>8599</v>
      </c>
      <c r="E1230" s="4" t="s">
        <v>8600</v>
      </c>
      <c r="F1230" s="10">
        <v>45358</v>
      </c>
      <c r="G1230" s="11">
        <v>0.85624999999999996</v>
      </c>
      <c r="H1230" s="4" t="s">
        <v>5666</v>
      </c>
      <c r="I1230" s="4" t="s">
        <v>8601</v>
      </c>
      <c r="J1230" s="4" t="s">
        <v>8602</v>
      </c>
      <c r="K1230" s="4" t="s">
        <v>8603</v>
      </c>
      <c r="L1230" s="4" t="s">
        <v>8604</v>
      </c>
      <c r="M1230" s="4" t="s">
        <v>46</v>
      </c>
      <c r="N1230" s="4"/>
      <c r="O1230" s="4" t="s">
        <v>47</v>
      </c>
      <c r="P1230" s="4" t="s">
        <v>48</v>
      </c>
      <c r="Q1230" s="4">
        <v>0</v>
      </c>
      <c r="R1230" s="4" t="b">
        <v>0</v>
      </c>
      <c r="S1230" s="4" t="s">
        <v>61</v>
      </c>
      <c r="T1230" s="4" t="s">
        <v>1240</v>
      </c>
      <c r="U1230" s="4" t="s">
        <v>90</v>
      </c>
      <c r="V1230" s="4" t="s">
        <v>267</v>
      </c>
      <c r="W1230" s="4" t="s">
        <v>268</v>
      </c>
      <c r="X1230" s="4" t="s">
        <v>54</v>
      </c>
      <c r="Y1230" s="4"/>
      <c r="Z1230" s="12">
        <v>0</v>
      </c>
      <c r="AA1230" s="13" t="s">
        <v>9167</v>
      </c>
      <c r="AB1230" s="13" t="s">
        <v>9168</v>
      </c>
      <c r="AC1230" s="14" t="s">
        <v>9148</v>
      </c>
      <c r="AD1230" s="14" t="s">
        <v>9140</v>
      </c>
      <c r="AE1230" s="14" t="s">
        <v>9140</v>
      </c>
      <c r="AF1230" s="14" t="s">
        <v>267</v>
      </c>
      <c r="AG1230" s="14" t="s">
        <v>54</v>
      </c>
      <c r="AH1230" s="15" t="s">
        <v>9220</v>
      </c>
      <c r="AI1230" s="15" t="s">
        <v>9199</v>
      </c>
      <c r="AJ1230" s="15" t="s">
        <v>9143</v>
      </c>
      <c r="AK1230" s="15" t="s">
        <v>9221</v>
      </c>
      <c r="AL1230" s="15" t="s">
        <v>9199</v>
      </c>
      <c r="AM1230" s="16" t="s">
        <v>9221</v>
      </c>
      <c r="AN1230" s="16" t="s">
        <v>9238</v>
      </c>
    </row>
    <row r="1231" spans="1:40" x14ac:dyDescent="0.25">
      <c r="A1231" s="4" t="s">
        <v>6023</v>
      </c>
      <c r="B1231" s="4"/>
      <c r="C1231" s="4" t="s">
        <v>39</v>
      </c>
      <c r="D1231" s="4" t="s">
        <v>5957</v>
      </c>
      <c r="E1231" s="4" t="s">
        <v>5958</v>
      </c>
      <c r="F1231" s="10">
        <v>45358</v>
      </c>
      <c r="G1231" s="11">
        <v>0.52083333333333337</v>
      </c>
      <c r="H1231" s="4" t="s">
        <v>4242</v>
      </c>
      <c r="I1231" s="4" t="s">
        <v>5918</v>
      </c>
      <c r="J1231" s="4" t="s">
        <v>5919</v>
      </c>
      <c r="K1231" s="4" t="s">
        <v>6024</v>
      </c>
      <c r="L1231" s="4" t="s">
        <v>6025</v>
      </c>
      <c r="M1231" s="4" t="s">
        <v>46</v>
      </c>
      <c r="N1231" s="4"/>
      <c r="O1231" s="4" t="s">
        <v>47</v>
      </c>
      <c r="P1231" s="4" t="s">
        <v>48</v>
      </c>
      <c r="Q1231" s="4">
        <v>0</v>
      </c>
      <c r="R1231" s="4" t="b">
        <v>0</v>
      </c>
      <c r="S1231" s="4" t="s">
        <v>61</v>
      </c>
      <c r="T1231" s="4" t="s">
        <v>89</v>
      </c>
      <c r="U1231" s="4" t="s">
        <v>140</v>
      </c>
      <c r="V1231" s="4" t="s">
        <v>63</v>
      </c>
      <c r="W1231" s="4" t="s">
        <v>108</v>
      </c>
      <c r="X1231" s="4" t="s">
        <v>98</v>
      </c>
      <c r="Y1231" s="4"/>
      <c r="Z1231" s="12">
        <v>0</v>
      </c>
      <c r="AA1231" s="13" t="s">
        <v>9167</v>
      </c>
      <c r="AB1231" s="13" t="s">
        <v>9168</v>
      </c>
      <c r="AC1231" s="14" t="s">
        <v>9148</v>
      </c>
      <c r="AD1231" s="14" t="s">
        <v>9140</v>
      </c>
      <c r="AE1231" s="14" t="s">
        <v>9140</v>
      </c>
      <c r="AF1231" s="14" t="s">
        <v>63</v>
      </c>
      <c r="AG1231" s="14" t="s">
        <v>98</v>
      </c>
      <c r="AH1231" s="15" t="s">
        <v>9220</v>
      </c>
      <c r="AI1231" s="15" t="s">
        <v>9187</v>
      </c>
      <c r="AJ1231" s="15" t="s">
        <v>9143</v>
      </c>
      <c r="AK1231" s="15" t="s">
        <v>9221</v>
      </c>
      <c r="AL1231" s="15" t="s">
        <v>9226</v>
      </c>
      <c r="AM1231" s="16" t="s">
        <v>9221</v>
      </c>
      <c r="AN1231" s="16" t="s">
        <v>9227</v>
      </c>
    </row>
    <row r="1232" spans="1:40" x14ac:dyDescent="0.25">
      <c r="A1232" s="4" t="s">
        <v>6997</v>
      </c>
      <c r="B1232" s="4"/>
      <c r="C1232" s="4" t="s">
        <v>39</v>
      </c>
      <c r="D1232" s="4" t="s">
        <v>6998</v>
      </c>
      <c r="E1232" s="4" t="s">
        <v>6999</v>
      </c>
      <c r="F1232" s="10">
        <v>45358</v>
      </c>
      <c r="G1232" s="11">
        <v>0.58333333333333337</v>
      </c>
      <c r="H1232" s="4" t="s">
        <v>4516</v>
      </c>
      <c r="I1232" s="4" t="s">
        <v>6985</v>
      </c>
      <c r="J1232" s="4" t="s">
        <v>3890</v>
      </c>
      <c r="K1232" s="4" t="s">
        <v>1775</v>
      </c>
      <c r="L1232" s="4" t="s">
        <v>7000</v>
      </c>
      <c r="M1232" s="4" t="s">
        <v>46</v>
      </c>
      <c r="N1232" s="4"/>
      <c r="O1232" s="4" t="s">
        <v>47</v>
      </c>
      <c r="P1232" s="4" t="s">
        <v>48</v>
      </c>
      <c r="Q1232" s="4">
        <v>0</v>
      </c>
      <c r="R1232" s="4" t="b">
        <v>0</v>
      </c>
      <c r="S1232" s="4" t="s">
        <v>61</v>
      </c>
      <c r="T1232" s="4" t="s">
        <v>89</v>
      </c>
      <c r="U1232" s="4" t="s">
        <v>71</v>
      </c>
      <c r="V1232" s="4" t="s">
        <v>52</v>
      </c>
      <c r="W1232" s="4" t="s">
        <v>135</v>
      </c>
      <c r="X1232" s="4" t="s">
        <v>54</v>
      </c>
      <c r="Y1232" s="4"/>
      <c r="Z1232" s="12">
        <v>0</v>
      </c>
      <c r="AA1232" s="13" t="s">
        <v>9167</v>
      </c>
      <c r="AB1232" s="13" t="s">
        <v>9168</v>
      </c>
      <c r="AC1232" s="14" t="s">
        <v>9148</v>
      </c>
      <c r="AD1232" s="14" t="s">
        <v>9140</v>
      </c>
      <c r="AE1232" s="14" t="s">
        <v>9140</v>
      </c>
      <c r="AF1232" s="14" t="s">
        <v>52</v>
      </c>
      <c r="AG1232" s="14" t="s">
        <v>54</v>
      </c>
      <c r="AH1232" s="15" t="s">
        <v>9220</v>
      </c>
      <c r="AI1232" s="15" t="s">
        <v>9188</v>
      </c>
      <c r="AJ1232" s="15" t="s">
        <v>9143</v>
      </c>
      <c r="AK1232" s="15" t="s">
        <v>9221</v>
      </c>
      <c r="AL1232" s="15" t="s">
        <v>9230</v>
      </c>
      <c r="AM1232" s="16" t="s">
        <v>9221</v>
      </c>
      <c r="AN1232" s="16" t="s">
        <v>9231</v>
      </c>
    </row>
    <row r="1233" spans="1:40" x14ac:dyDescent="0.25">
      <c r="A1233" s="4" t="s">
        <v>7209</v>
      </c>
      <c r="B1233" s="4">
        <v>6698336</v>
      </c>
      <c r="C1233" s="4" t="s">
        <v>39</v>
      </c>
      <c r="D1233" s="4" t="s">
        <v>7210</v>
      </c>
      <c r="E1233" s="4" t="s">
        <v>7211</v>
      </c>
      <c r="F1233" s="10">
        <v>45358</v>
      </c>
      <c r="G1233" s="11">
        <v>0.78125</v>
      </c>
      <c r="H1233" s="4" t="s">
        <v>4516</v>
      </c>
      <c r="I1233" s="4" t="s">
        <v>7180</v>
      </c>
      <c r="J1233" s="4" t="s">
        <v>7181</v>
      </c>
      <c r="K1233" s="4" t="s">
        <v>1194</v>
      </c>
      <c r="L1233" s="4" t="s">
        <v>7212</v>
      </c>
      <c r="M1233" s="4" t="s">
        <v>28</v>
      </c>
      <c r="N1233" s="4" t="s">
        <v>183</v>
      </c>
      <c r="O1233" s="4" t="s">
        <v>191</v>
      </c>
      <c r="P1233" s="4" t="s">
        <v>48</v>
      </c>
      <c r="Q1233" s="4">
        <v>0</v>
      </c>
      <c r="R1233" s="4" t="b">
        <v>0</v>
      </c>
      <c r="S1233" s="4" t="s">
        <v>114</v>
      </c>
      <c r="T1233" s="4" t="s">
        <v>583</v>
      </c>
      <c r="U1233" s="4" t="s">
        <v>175</v>
      </c>
      <c r="V1233" s="4" t="s">
        <v>63</v>
      </c>
      <c r="W1233" s="4" t="s">
        <v>198</v>
      </c>
      <c r="X1233" s="4" t="s">
        <v>98</v>
      </c>
      <c r="Y1233" s="4" t="s">
        <v>323</v>
      </c>
      <c r="Z1233" s="12" t="s">
        <v>48</v>
      </c>
      <c r="AA1233" s="13" t="s">
        <v>9167</v>
      </c>
      <c r="AB1233" s="13" t="s">
        <v>9168</v>
      </c>
      <c r="AC1233" s="14" t="s">
        <v>9157</v>
      </c>
      <c r="AD1233" s="14" t="s">
        <v>28</v>
      </c>
      <c r="AE1233" s="14" t="s">
        <v>183</v>
      </c>
      <c r="AF1233" s="14" t="s">
        <v>63</v>
      </c>
      <c r="AG1233" s="14" t="s">
        <v>98</v>
      </c>
      <c r="AH1233" s="15" t="s">
        <v>9220</v>
      </c>
      <c r="AI1233" s="15" t="s">
        <v>9188</v>
      </c>
      <c r="AJ1233" s="15" t="s">
        <v>9143</v>
      </c>
      <c r="AK1233" s="15" t="s">
        <v>9221</v>
      </c>
      <c r="AL1233" s="15" t="s">
        <v>9230</v>
      </c>
      <c r="AM1233" s="16" t="s">
        <v>9221</v>
      </c>
      <c r="AN1233" s="16" t="s">
        <v>9231</v>
      </c>
    </row>
    <row r="1234" spans="1:40" x14ac:dyDescent="0.25">
      <c r="A1234" s="4" t="s">
        <v>5600</v>
      </c>
      <c r="B1234" s="4"/>
      <c r="C1234" s="4" t="s">
        <v>39</v>
      </c>
      <c r="D1234" s="4" t="s">
        <v>5601</v>
      </c>
      <c r="E1234" s="4" t="s">
        <v>5602</v>
      </c>
      <c r="F1234" s="10">
        <v>45358</v>
      </c>
      <c r="G1234" s="11">
        <v>0.84375</v>
      </c>
      <c r="H1234" s="4" t="s">
        <v>4516</v>
      </c>
      <c r="I1234" s="4" t="s">
        <v>5589</v>
      </c>
      <c r="J1234" s="4" t="s">
        <v>5590</v>
      </c>
      <c r="K1234" s="4" t="s">
        <v>5603</v>
      </c>
      <c r="L1234" s="4" t="s">
        <v>5604</v>
      </c>
      <c r="M1234" s="4" t="s">
        <v>46</v>
      </c>
      <c r="N1234" s="4"/>
      <c r="O1234" s="4" t="s">
        <v>47</v>
      </c>
      <c r="P1234" s="4" t="s">
        <v>48</v>
      </c>
      <c r="Q1234" s="4">
        <v>0</v>
      </c>
      <c r="R1234" s="4" t="b">
        <v>0</v>
      </c>
      <c r="S1234" s="4" t="s">
        <v>49</v>
      </c>
      <c r="T1234" s="4" t="s">
        <v>89</v>
      </c>
      <c r="U1234" s="4" t="s">
        <v>71</v>
      </c>
      <c r="V1234" s="4" t="s">
        <v>63</v>
      </c>
      <c r="W1234" s="4" t="s">
        <v>312</v>
      </c>
      <c r="X1234" s="4" t="s">
        <v>98</v>
      </c>
      <c r="Y1234" s="4"/>
      <c r="Z1234" s="12">
        <v>0</v>
      </c>
      <c r="AA1234" s="13" t="s">
        <v>9167</v>
      </c>
      <c r="AB1234" s="13" t="s">
        <v>9168</v>
      </c>
      <c r="AC1234" s="14" t="s">
        <v>9139</v>
      </c>
      <c r="AD1234" s="14" t="s">
        <v>9140</v>
      </c>
      <c r="AE1234" s="14" t="s">
        <v>9140</v>
      </c>
      <c r="AF1234" s="14" t="s">
        <v>63</v>
      </c>
      <c r="AG1234" s="14" t="s">
        <v>98</v>
      </c>
      <c r="AH1234" s="15" t="s">
        <v>9220</v>
      </c>
      <c r="AI1234" s="15" t="s">
        <v>9188</v>
      </c>
      <c r="AJ1234" s="15" t="s">
        <v>9143</v>
      </c>
      <c r="AK1234" s="15" t="s">
        <v>9221</v>
      </c>
      <c r="AL1234" s="15" t="s">
        <v>9236</v>
      </c>
      <c r="AM1234" s="16" t="s">
        <v>9221</v>
      </c>
      <c r="AN1234" s="16" t="s">
        <v>9237</v>
      </c>
    </row>
    <row r="1235" spans="1:40" x14ac:dyDescent="0.25">
      <c r="A1235" s="4" t="s">
        <v>5480</v>
      </c>
      <c r="B1235" s="4"/>
      <c r="C1235" s="4" t="s">
        <v>39</v>
      </c>
      <c r="D1235" s="4" t="s">
        <v>5481</v>
      </c>
      <c r="E1235" s="4" t="s">
        <v>5482</v>
      </c>
      <c r="F1235" s="10">
        <v>45357</v>
      </c>
      <c r="G1235" s="11">
        <v>0.58333333333333337</v>
      </c>
      <c r="H1235" s="4" t="s">
        <v>4516</v>
      </c>
      <c r="I1235" s="4" t="s">
        <v>5466</v>
      </c>
      <c r="J1235" s="4" t="s">
        <v>5467</v>
      </c>
      <c r="K1235" s="4" t="s">
        <v>5483</v>
      </c>
      <c r="L1235" s="4" t="s">
        <v>5484</v>
      </c>
      <c r="M1235" s="4" t="s">
        <v>46</v>
      </c>
      <c r="N1235" s="4"/>
      <c r="O1235" s="4" t="s">
        <v>47</v>
      </c>
      <c r="P1235" s="4" t="s">
        <v>48</v>
      </c>
      <c r="Q1235" s="4">
        <v>0</v>
      </c>
      <c r="R1235" s="4" t="b">
        <v>0</v>
      </c>
      <c r="S1235" s="4" t="s">
        <v>49</v>
      </c>
      <c r="T1235" s="4" t="s">
        <v>89</v>
      </c>
      <c r="U1235" s="4" t="s">
        <v>90</v>
      </c>
      <c r="V1235" s="4" t="s">
        <v>63</v>
      </c>
      <c r="W1235" s="4" t="s">
        <v>108</v>
      </c>
      <c r="X1235" s="4" t="s">
        <v>98</v>
      </c>
      <c r="Y1235" s="4"/>
      <c r="Z1235" s="12">
        <v>0</v>
      </c>
      <c r="AA1235" s="13" t="s">
        <v>9167</v>
      </c>
      <c r="AB1235" s="13" t="s">
        <v>9168</v>
      </c>
      <c r="AC1235" s="14" t="s">
        <v>9139</v>
      </c>
      <c r="AD1235" s="14" t="s">
        <v>9140</v>
      </c>
      <c r="AE1235" s="14" t="s">
        <v>9140</v>
      </c>
      <c r="AF1235" s="14" t="s">
        <v>63</v>
      </c>
      <c r="AG1235" s="14" t="s">
        <v>98</v>
      </c>
      <c r="AH1235" s="15" t="s">
        <v>9220</v>
      </c>
      <c r="AI1235" s="15" t="s">
        <v>9188</v>
      </c>
      <c r="AJ1235" s="15" t="s">
        <v>9143</v>
      </c>
      <c r="AK1235" s="15" t="s">
        <v>9221</v>
      </c>
      <c r="AL1235" s="15" t="s">
        <v>9230</v>
      </c>
      <c r="AM1235" s="16" t="s">
        <v>9221</v>
      </c>
      <c r="AN1235" s="16" t="s">
        <v>9231</v>
      </c>
    </row>
    <row r="1236" spans="1:40" x14ac:dyDescent="0.25">
      <c r="A1236" s="4" t="s">
        <v>4503</v>
      </c>
      <c r="B1236" s="4">
        <v>12230081844</v>
      </c>
      <c r="C1236" s="4" t="s">
        <v>39</v>
      </c>
      <c r="D1236" s="4" t="s">
        <v>4504</v>
      </c>
      <c r="E1236" s="4" t="s">
        <v>4505</v>
      </c>
      <c r="F1236" s="10">
        <v>45357</v>
      </c>
      <c r="G1236" s="11">
        <v>0.375</v>
      </c>
      <c r="H1236" s="4" t="s">
        <v>4019</v>
      </c>
      <c r="I1236" s="4" t="s">
        <v>4472</v>
      </c>
      <c r="J1236" s="4" t="s">
        <v>3707</v>
      </c>
      <c r="K1236" s="4" t="s">
        <v>4506</v>
      </c>
      <c r="L1236" s="4" t="s">
        <v>4507</v>
      </c>
      <c r="M1236" s="4" t="s">
        <v>28</v>
      </c>
      <c r="N1236" s="4" t="s">
        <v>183</v>
      </c>
      <c r="O1236" s="4" t="s">
        <v>174</v>
      </c>
      <c r="P1236" s="4" t="s">
        <v>48</v>
      </c>
      <c r="Q1236" s="4">
        <v>33</v>
      </c>
      <c r="R1236" s="4" t="b">
        <v>0</v>
      </c>
      <c r="S1236" s="4" t="s">
        <v>184</v>
      </c>
      <c r="T1236" s="4" t="s">
        <v>2686</v>
      </c>
      <c r="U1236" s="4" t="s">
        <v>122</v>
      </c>
      <c r="V1236" s="4" t="s">
        <v>52</v>
      </c>
      <c r="W1236" s="4" t="s">
        <v>374</v>
      </c>
      <c r="X1236" s="4" t="s">
        <v>54</v>
      </c>
      <c r="Y1236" s="4"/>
      <c r="Z1236" s="12" t="s">
        <v>48</v>
      </c>
      <c r="AA1236" s="13" t="s">
        <v>9167</v>
      </c>
      <c r="AB1236" s="13" t="s">
        <v>9168</v>
      </c>
      <c r="AC1236" s="14" t="s">
        <v>9166</v>
      </c>
      <c r="AD1236" s="14" t="s">
        <v>28</v>
      </c>
      <c r="AE1236" s="14" t="s">
        <v>183</v>
      </c>
      <c r="AF1236" s="14" t="s">
        <v>52</v>
      </c>
      <c r="AG1236" s="14" t="s">
        <v>54</v>
      </c>
      <c r="AH1236" s="15" t="s">
        <v>9220</v>
      </c>
      <c r="AI1236" s="15" t="s">
        <v>9175</v>
      </c>
      <c r="AJ1236" s="15" t="s">
        <v>9143</v>
      </c>
      <c r="AK1236" s="15" t="s">
        <v>9221</v>
      </c>
      <c r="AL1236" s="15" t="s">
        <v>9228</v>
      </c>
      <c r="AM1236" s="16" t="s">
        <v>9221</v>
      </c>
      <c r="AN1236" s="16" t="s">
        <v>9229</v>
      </c>
    </row>
    <row r="1237" spans="1:40" x14ac:dyDescent="0.25">
      <c r="A1237" s="4" t="s">
        <v>3689</v>
      </c>
      <c r="B1237" s="4"/>
      <c r="C1237" s="4" t="s">
        <v>39</v>
      </c>
      <c r="D1237" s="4" t="s">
        <v>3690</v>
      </c>
      <c r="E1237" s="4" t="s">
        <v>3691</v>
      </c>
      <c r="F1237" s="10">
        <v>45357</v>
      </c>
      <c r="G1237" s="11">
        <v>0.73055555555555551</v>
      </c>
      <c r="H1237" s="4" t="s">
        <v>2095</v>
      </c>
      <c r="I1237" s="4" t="s">
        <v>3685</v>
      </c>
      <c r="J1237" s="4" t="s">
        <v>3686</v>
      </c>
      <c r="K1237" s="4" t="s">
        <v>3692</v>
      </c>
      <c r="L1237" s="4" t="s">
        <v>3692</v>
      </c>
      <c r="M1237" s="4" t="s">
        <v>46</v>
      </c>
      <c r="N1237" s="4"/>
      <c r="O1237" s="4" t="s">
        <v>47</v>
      </c>
      <c r="P1237" s="4" t="s">
        <v>48</v>
      </c>
      <c r="Q1237" s="4">
        <v>0</v>
      </c>
      <c r="R1237" s="4" t="b">
        <v>0</v>
      </c>
      <c r="S1237" s="4" t="s">
        <v>61</v>
      </c>
      <c r="T1237" s="4" t="s">
        <v>89</v>
      </c>
      <c r="U1237" s="4" t="s">
        <v>107</v>
      </c>
      <c r="V1237" s="4" t="s">
        <v>123</v>
      </c>
      <c r="W1237" s="4" t="s">
        <v>124</v>
      </c>
      <c r="X1237" s="4" t="s">
        <v>98</v>
      </c>
      <c r="Y1237" s="4"/>
      <c r="Z1237" s="12">
        <v>0</v>
      </c>
      <c r="AA1237" s="13" t="s">
        <v>9167</v>
      </c>
      <c r="AB1237" s="13" t="s">
        <v>9168</v>
      </c>
      <c r="AC1237" s="14" t="s">
        <v>9148</v>
      </c>
      <c r="AD1237" s="14" t="s">
        <v>9140</v>
      </c>
      <c r="AE1237" s="14" t="s">
        <v>9140</v>
      </c>
      <c r="AF1237" s="14" t="s">
        <v>123</v>
      </c>
      <c r="AG1237" s="14" t="s">
        <v>98</v>
      </c>
      <c r="AH1237" s="15" t="s">
        <v>9194</v>
      </c>
      <c r="AI1237" s="15" t="s">
        <v>9188</v>
      </c>
      <c r="AJ1237" s="15" t="s">
        <v>9143</v>
      </c>
      <c r="AK1237" s="15" t="s">
        <v>9194</v>
      </c>
      <c r="AL1237" s="15" t="s">
        <v>9203</v>
      </c>
      <c r="AM1237" s="16" t="s">
        <v>9194</v>
      </c>
      <c r="AN1237" s="16" t="s">
        <v>9204</v>
      </c>
    </row>
    <row r="1238" spans="1:40" x14ac:dyDescent="0.25">
      <c r="A1238" s="4" t="s">
        <v>283</v>
      </c>
      <c r="B1238" s="4"/>
      <c r="C1238" s="4" t="s">
        <v>39</v>
      </c>
      <c r="D1238" s="4" t="s">
        <v>284</v>
      </c>
      <c r="E1238" s="4" t="s">
        <v>285</v>
      </c>
      <c r="F1238" s="10">
        <v>45357</v>
      </c>
      <c r="G1238" s="11">
        <v>0.45833333333333331</v>
      </c>
      <c r="H1238" s="4" t="s">
        <v>42</v>
      </c>
      <c r="I1238" s="4">
        <v>1011</v>
      </c>
      <c r="J1238" s="4" t="s">
        <v>215</v>
      </c>
      <c r="K1238" s="4" t="s">
        <v>286</v>
      </c>
      <c r="L1238" s="4" t="s">
        <v>287</v>
      </c>
      <c r="M1238" s="4" t="s">
        <v>46</v>
      </c>
      <c r="N1238" s="4"/>
      <c r="O1238" s="4" t="s">
        <v>47</v>
      </c>
      <c r="P1238" s="4" t="s">
        <v>48</v>
      </c>
      <c r="Q1238" s="4">
        <v>0</v>
      </c>
      <c r="R1238" s="4" t="b">
        <v>0</v>
      </c>
      <c r="S1238" s="4" t="s">
        <v>61</v>
      </c>
      <c r="T1238" s="4" t="s">
        <v>89</v>
      </c>
      <c r="U1238" s="4" t="s">
        <v>107</v>
      </c>
      <c r="V1238" s="4" t="s">
        <v>72</v>
      </c>
      <c r="W1238" s="4" t="s">
        <v>97</v>
      </c>
      <c r="X1238" s="4" t="s">
        <v>54</v>
      </c>
      <c r="Y1238" s="4"/>
      <c r="Z1238" s="12">
        <v>0</v>
      </c>
      <c r="AA1238" s="13" t="s">
        <v>9167</v>
      </c>
      <c r="AB1238" s="13" t="s">
        <v>9168</v>
      </c>
      <c r="AC1238" s="14" t="s">
        <v>9148</v>
      </c>
      <c r="AD1238" s="14" t="s">
        <v>9140</v>
      </c>
      <c r="AE1238" s="14" t="s">
        <v>9140</v>
      </c>
      <c r="AF1238" s="14" t="s">
        <v>72</v>
      </c>
      <c r="AG1238" s="14" t="s">
        <v>54</v>
      </c>
      <c r="AH1238" s="15" t="s">
        <v>9141</v>
      </c>
      <c r="AI1238" s="15" t="s">
        <v>9142</v>
      </c>
      <c r="AJ1238" s="15" t="s">
        <v>9143</v>
      </c>
      <c r="AK1238" s="15" t="s">
        <v>9141</v>
      </c>
      <c r="AL1238" s="15" t="s">
        <v>9144</v>
      </c>
      <c r="AM1238" s="16" t="s">
        <v>9141</v>
      </c>
      <c r="AN1238" s="16" t="s">
        <v>9145</v>
      </c>
    </row>
    <row r="1239" spans="1:40" x14ac:dyDescent="0.25">
      <c r="A1239" s="4" t="s">
        <v>1159</v>
      </c>
      <c r="B1239" s="4" t="s">
        <v>1160</v>
      </c>
      <c r="C1239" s="4" t="s">
        <v>39</v>
      </c>
      <c r="D1239" s="4" t="s">
        <v>1161</v>
      </c>
      <c r="E1239" s="4" t="s">
        <v>1162</v>
      </c>
      <c r="F1239" s="10">
        <v>45357</v>
      </c>
      <c r="G1239" s="11">
        <v>0.65138888888888891</v>
      </c>
      <c r="H1239" s="4" t="s">
        <v>1155</v>
      </c>
      <c r="I1239" s="4">
        <v>4041</v>
      </c>
      <c r="J1239" s="4" t="s">
        <v>1156</v>
      </c>
      <c r="K1239" s="4" t="s">
        <v>1163</v>
      </c>
      <c r="L1239" s="4" t="s">
        <v>1164</v>
      </c>
      <c r="M1239" s="4" t="s">
        <v>28</v>
      </c>
      <c r="N1239" s="4" t="s">
        <v>183</v>
      </c>
      <c r="O1239" s="4" t="s">
        <v>174</v>
      </c>
      <c r="P1239" s="4" t="s">
        <v>48</v>
      </c>
      <c r="Q1239" s="4">
        <v>100</v>
      </c>
      <c r="R1239" s="4" t="b">
        <v>0</v>
      </c>
      <c r="S1239" s="4" t="s">
        <v>49</v>
      </c>
      <c r="T1239" s="4"/>
      <c r="U1239" s="4" t="s">
        <v>165</v>
      </c>
      <c r="V1239" s="4" t="s">
        <v>63</v>
      </c>
      <c r="W1239" s="4" t="s">
        <v>64</v>
      </c>
      <c r="X1239" s="4" t="s">
        <v>54</v>
      </c>
      <c r="Y1239" s="4"/>
      <c r="Z1239" s="12" t="s">
        <v>48</v>
      </c>
      <c r="AA1239" s="13" t="s">
        <v>9167</v>
      </c>
      <c r="AB1239" s="13" t="s">
        <v>9168</v>
      </c>
      <c r="AC1239" s="14" t="s">
        <v>9139</v>
      </c>
      <c r="AD1239" s="14" t="s">
        <v>28</v>
      </c>
      <c r="AE1239" s="14" t="s">
        <v>183</v>
      </c>
      <c r="AF1239" s="14" t="s">
        <v>63</v>
      </c>
      <c r="AG1239" s="14" t="s">
        <v>54</v>
      </c>
      <c r="AH1239" s="15" t="s">
        <v>9141</v>
      </c>
      <c r="AI1239" s="15" t="s">
        <v>9187</v>
      </c>
      <c r="AJ1239" s="15" t="s">
        <v>9143</v>
      </c>
      <c r="AK1239" s="15" t="s">
        <v>9141</v>
      </c>
      <c r="AL1239" s="15" t="s">
        <v>9144</v>
      </c>
      <c r="AM1239" s="16" t="s">
        <v>9141</v>
      </c>
      <c r="AN1239" s="16" t="s">
        <v>9145</v>
      </c>
    </row>
    <row r="1240" spans="1:40" x14ac:dyDescent="0.25">
      <c r="A1240" s="4" t="s">
        <v>2736</v>
      </c>
      <c r="B1240" s="4"/>
      <c r="C1240" s="4" t="s">
        <v>39</v>
      </c>
      <c r="D1240" s="4" t="s">
        <v>2737</v>
      </c>
      <c r="E1240" s="4" t="s">
        <v>2738</v>
      </c>
      <c r="F1240" s="10">
        <v>45356</v>
      </c>
      <c r="G1240" s="11">
        <v>0.4375</v>
      </c>
      <c r="H1240" s="4" t="s">
        <v>2227</v>
      </c>
      <c r="I1240" s="4" t="s">
        <v>2715</v>
      </c>
      <c r="J1240" s="4" t="s">
        <v>1200</v>
      </c>
      <c r="K1240" s="4" t="s">
        <v>2739</v>
      </c>
      <c r="L1240" s="4" t="s">
        <v>2740</v>
      </c>
      <c r="M1240" s="4" t="s">
        <v>46</v>
      </c>
      <c r="N1240" s="4"/>
      <c r="O1240" s="4" t="s">
        <v>47</v>
      </c>
      <c r="P1240" s="4" t="s">
        <v>48</v>
      </c>
      <c r="Q1240" s="4">
        <v>0</v>
      </c>
      <c r="R1240" s="4" t="b">
        <v>0</v>
      </c>
      <c r="S1240" s="4" t="s">
        <v>49</v>
      </c>
      <c r="T1240" s="4" t="s">
        <v>70</v>
      </c>
      <c r="U1240" s="4" t="s">
        <v>71</v>
      </c>
      <c r="V1240" s="4" t="s">
        <v>72</v>
      </c>
      <c r="W1240" s="4" t="s">
        <v>73</v>
      </c>
      <c r="X1240" s="4" t="s">
        <v>98</v>
      </c>
      <c r="Y1240" s="4" t="s">
        <v>176</v>
      </c>
      <c r="Z1240" s="12">
        <v>0</v>
      </c>
      <c r="AA1240" s="13" t="s">
        <v>9167</v>
      </c>
      <c r="AB1240" s="13" t="s">
        <v>9168</v>
      </c>
      <c r="AC1240" s="14" t="s">
        <v>9139</v>
      </c>
      <c r="AD1240" s="14" t="s">
        <v>9140</v>
      </c>
      <c r="AE1240" s="14" t="s">
        <v>9140</v>
      </c>
      <c r="AF1240" s="14" t="s">
        <v>72</v>
      </c>
      <c r="AG1240" s="14" t="s">
        <v>98</v>
      </c>
      <c r="AH1240" s="15" t="s">
        <v>9194</v>
      </c>
      <c r="AI1240" s="15" t="s">
        <v>9187</v>
      </c>
      <c r="AJ1240" s="15" t="s">
        <v>9143</v>
      </c>
      <c r="AK1240" s="15" t="s">
        <v>9194</v>
      </c>
      <c r="AL1240" s="15" t="s">
        <v>9209</v>
      </c>
      <c r="AM1240" s="16" t="s">
        <v>9194</v>
      </c>
      <c r="AN1240" s="16" t="s">
        <v>9210</v>
      </c>
    </row>
    <row r="1241" spans="1:40" x14ac:dyDescent="0.25">
      <c r="A1241" s="4" t="s">
        <v>9031</v>
      </c>
      <c r="B1241" s="4"/>
      <c r="C1241" s="4" t="s">
        <v>39</v>
      </c>
      <c r="D1241" s="4" t="s">
        <v>9032</v>
      </c>
      <c r="E1241" s="4" t="s">
        <v>9033</v>
      </c>
      <c r="F1241" s="10">
        <v>45356</v>
      </c>
      <c r="G1241" s="11">
        <v>0.91666666666666663</v>
      </c>
      <c r="H1241" s="4" t="s">
        <v>4019</v>
      </c>
      <c r="I1241" s="4" t="s">
        <v>8971</v>
      </c>
      <c r="J1241" s="4" t="s">
        <v>8972</v>
      </c>
      <c r="K1241" s="4" t="s">
        <v>9034</v>
      </c>
      <c r="L1241" s="4" t="s">
        <v>9035</v>
      </c>
      <c r="M1241" s="4" t="s">
        <v>46</v>
      </c>
      <c r="N1241" s="4"/>
      <c r="O1241" s="4" t="s">
        <v>47</v>
      </c>
      <c r="P1241" s="4" t="s">
        <v>48</v>
      </c>
      <c r="Q1241" s="4">
        <v>0</v>
      </c>
      <c r="R1241" s="4" t="b">
        <v>0</v>
      </c>
      <c r="S1241" s="4" t="s">
        <v>49</v>
      </c>
      <c r="T1241" s="4" t="s">
        <v>89</v>
      </c>
      <c r="U1241" s="4" t="s">
        <v>175</v>
      </c>
      <c r="V1241" s="4" t="s">
        <v>52</v>
      </c>
      <c r="W1241" s="4" t="s">
        <v>53</v>
      </c>
      <c r="X1241" s="4" t="s">
        <v>98</v>
      </c>
      <c r="Y1241" s="4" t="s">
        <v>775</v>
      </c>
      <c r="Z1241" s="12">
        <v>0</v>
      </c>
      <c r="AA1241" s="13" t="s">
        <v>9167</v>
      </c>
      <c r="AB1241" s="13" t="s">
        <v>9168</v>
      </c>
      <c r="AC1241" s="14" t="s">
        <v>9139</v>
      </c>
      <c r="AD1241" s="14" t="s">
        <v>9140</v>
      </c>
      <c r="AE1241" s="14" t="s">
        <v>9140</v>
      </c>
      <c r="AF1241" s="14" t="s">
        <v>52</v>
      </c>
      <c r="AG1241" s="14" t="s">
        <v>98</v>
      </c>
      <c r="AH1241" s="15" t="s">
        <v>9220</v>
      </c>
      <c r="AI1241" s="15" t="s">
        <v>9175</v>
      </c>
      <c r="AJ1241" s="15" t="s">
        <v>9181</v>
      </c>
      <c r="AK1241" s="15" t="s">
        <v>9182</v>
      </c>
      <c r="AL1241" s="15" t="s">
        <v>9182</v>
      </c>
      <c r="AM1241" s="16" t="s">
        <v>9182</v>
      </c>
      <c r="AN1241" s="16" t="s">
        <v>9182</v>
      </c>
    </row>
    <row r="1242" spans="1:40" x14ac:dyDescent="0.25">
      <c r="A1242" s="4" t="s">
        <v>6581</v>
      </c>
      <c r="B1242" s="4" t="s">
        <v>6582</v>
      </c>
      <c r="C1242" s="4" t="s">
        <v>39</v>
      </c>
      <c r="D1242" s="4" t="s">
        <v>6583</v>
      </c>
      <c r="E1242" s="4" t="s">
        <v>6584</v>
      </c>
      <c r="F1242" s="10">
        <v>45356</v>
      </c>
      <c r="G1242" s="11">
        <v>0.5625</v>
      </c>
      <c r="H1242" s="4" t="s">
        <v>4910</v>
      </c>
      <c r="I1242" s="4" t="s">
        <v>6561</v>
      </c>
      <c r="J1242" s="4" t="s">
        <v>1719</v>
      </c>
      <c r="K1242" s="4" t="s">
        <v>6585</v>
      </c>
      <c r="L1242" s="4" t="s">
        <v>6586</v>
      </c>
      <c r="M1242" s="4" t="s">
        <v>28</v>
      </c>
      <c r="N1242" s="4" t="s">
        <v>183</v>
      </c>
      <c r="O1242" s="4" t="s">
        <v>174</v>
      </c>
      <c r="P1242" s="4" t="s">
        <v>48</v>
      </c>
      <c r="Q1242" s="4">
        <v>46</v>
      </c>
      <c r="R1242" s="4" t="b">
        <v>0</v>
      </c>
      <c r="S1242" s="4" t="s">
        <v>49</v>
      </c>
      <c r="T1242" s="4" t="s">
        <v>70</v>
      </c>
      <c r="U1242" s="4" t="s">
        <v>80</v>
      </c>
      <c r="V1242" s="4" t="s">
        <v>63</v>
      </c>
      <c r="W1242" s="4" t="s">
        <v>198</v>
      </c>
      <c r="X1242" s="4" t="s">
        <v>98</v>
      </c>
      <c r="Y1242" s="4"/>
      <c r="Z1242" s="12" t="s">
        <v>48</v>
      </c>
      <c r="AA1242" s="13" t="s">
        <v>9167</v>
      </c>
      <c r="AB1242" s="13" t="s">
        <v>9168</v>
      </c>
      <c r="AC1242" s="14" t="s">
        <v>9139</v>
      </c>
      <c r="AD1242" s="14" t="s">
        <v>28</v>
      </c>
      <c r="AE1242" s="14" t="s">
        <v>183</v>
      </c>
      <c r="AF1242" s="14" t="s">
        <v>63</v>
      </c>
      <c r="AG1242" s="14" t="s">
        <v>98</v>
      </c>
      <c r="AH1242" s="15" t="s">
        <v>9220</v>
      </c>
      <c r="AI1242" s="15" t="s">
        <v>9191</v>
      </c>
      <c r="AJ1242" s="15" t="s">
        <v>9143</v>
      </c>
      <c r="AK1242" s="15" t="s">
        <v>9221</v>
      </c>
      <c r="AL1242" s="15" t="s">
        <v>9226</v>
      </c>
      <c r="AM1242" s="16" t="s">
        <v>9221</v>
      </c>
      <c r="AN1242" s="16" t="s">
        <v>9227</v>
      </c>
    </row>
    <row r="1243" spans="1:40" x14ac:dyDescent="0.25">
      <c r="A1243" s="4" t="s">
        <v>2454</v>
      </c>
      <c r="B1243" s="4"/>
      <c r="C1243" s="4" t="s">
        <v>39</v>
      </c>
      <c r="D1243" s="4" t="s">
        <v>2455</v>
      </c>
      <c r="E1243" s="4" t="s">
        <v>2456</v>
      </c>
      <c r="F1243" s="10">
        <v>45355</v>
      </c>
      <c r="G1243" s="11">
        <v>0.58125000000000004</v>
      </c>
      <c r="H1243" s="4" t="s">
        <v>1939</v>
      </c>
      <c r="I1243" s="4" t="s">
        <v>2393</v>
      </c>
      <c r="J1243" s="4" t="s">
        <v>2394</v>
      </c>
      <c r="K1243" s="4" t="s">
        <v>2457</v>
      </c>
      <c r="L1243" s="4" t="s">
        <v>2458</v>
      </c>
      <c r="M1243" s="4" t="s">
        <v>46</v>
      </c>
      <c r="N1243" s="4"/>
      <c r="O1243" s="4" t="s">
        <v>47</v>
      </c>
      <c r="P1243" s="4" t="s">
        <v>48</v>
      </c>
      <c r="Q1243" s="4">
        <v>0</v>
      </c>
      <c r="R1243" s="4" t="b">
        <v>0</v>
      </c>
      <c r="S1243" s="4" t="s">
        <v>49</v>
      </c>
      <c r="T1243" s="4" t="s">
        <v>70</v>
      </c>
      <c r="U1243" s="4" t="s">
        <v>71</v>
      </c>
      <c r="V1243" s="4" t="s">
        <v>63</v>
      </c>
      <c r="W1243" s="4" t="s">
        <v>198</v>
      </c>
      <c r="X1243" s="4" t="s">
        <v>98</v>
      </c>
      <c r="Y1243" s="4"/>
      <c r="Z1243" s="12">
        <v>0</v>
      </c>
      <c r="AA1243" s="13" t="s">
        <v>9167</v>
      </c>
      <c r="AB1243" s="13" t="s">
        <v>9168</v>
      </c>
      <c r="AC1243" s="14" t="s">
        <v>9139</v>
      </c>
      <c r="AD1243" s="14" t="s">
        <v>9140</v>
      </c>
      <c r="AE1243" s="14" t="s">
        <v>9140</v>
      </c>
      <c r="AF1243" s="14" t="s">
        <v>63</v>
      </c>
      <c r="AG1243" s="14" t="s">
        <v>98</v>
      </c>
      <c r="AH1243" s="15" t="s">
        <v>9194</v>
      </c>
      <c r="AI1243" s="15" t="s">
        <v>9175</v>
      </c>
      <c r="AJ1243" s="15" t="s">
        <v>9143</v>
      </c>
      <c r="AK1243" s="15" t="s">
        <v>9194</v>
      </c>
      <c r="AL1243" s="15" t="s">
        <v>9195</v>
      </c>
      <c r="AM1243" s="16" t="s">
        <v>9194</v>
      </c>
      <c r="AN1243" s="16" t="s">
        <v>9196</v>
      </c>
    </row>
    <row r="1244" spans="1:40" x14ac:dyDescent="0.25">
      <c r="A1244" s="4" t="s">
        <v>2459</v>
      </c>
      <c r="B1244" s="4"/>
      <c r="C1244" s="4" t="s">
        <v>39</v>
      </c>
      <c r="D1244" s="4" t="s">
        <v>2455</v>
      </c>
      <c r="E1244" s="4" t="s">
        <v>2456</v>
      </c>
      <c r="F1244" s="10">
        <v>45355</v>
      </c>
      <c r="G1244" s="11">
        <v>0.67083333333333328</v>
      </c>
      <c r="H1244" s="4" t="s">
        <v>1939</v>
      </c>
      <c r="I1244" s="4" t="s">
        <v>2393</v>
      </c>
      <c r="J1244" s="4" t="s">
        <v>2394</v>
      </c>
      <c r="K1244" s="4" t="s">
        <v>2460</v>
      </c>
      <c r="L1244" s="4" t="s">
        <v>2461</v>
      </c>
      <c r="M1244" s="4" t="s">
        <v>46</v>
      </c>
      <c r="N1244" s="4"/>
      <c r="O1244" s="4" t="s">
        <v>47</v>
      </c>
      <c r="P1244" s="4" t="s">
        <v>48</v>
      </c>
      <c r="Q1244" s="4">
        <v>0</v>
      </c>
      <c r="R1244" s="4" t="b">
        <v>0</v>
      </c>
      <c r="S1244" s="4" t="s">
        <v>49</v>
      </c>
      <c r="T1244" s="4" t="s">
        <v>70</v>
      </c>
      <c r="U1244" s="4" t="s">
        <v>71</v>
      </c>
      <c r="V1244" s="4" t="s">
        <v>72</v>
      </c>
      <c r="W1244" s="4" t="s">
        <v>73</v>
      </c>
      <c r="X1244" s="4" t="s">
        <v>98</v>
      </c>
      <c r="Y1244" s="4"/>
      <c r="Z1244" s="12">
        <v>0</v>
      </c>
      <c r="AA1244" s="13" t="s">
        <v>9167</v>
      </c>
      <c r="AB1244" s="13" t="s">
        <v>9168</v>
      </c>
      <c r="AC1244" s="14" t="s">
        <v>9139</v>
      </c>
      <c r="AD1244" s="14" t="s">
        <v>9140</v>
      </c>
      <c r="AE1244" s="14" t="s">
        <v>9140</v>
      </c>
      <c r="AF1244" s="14" t="s">
        <v>72</v>
      </c>
      <c r="AG1244" s="14" t="s">
        <v>98</v>
      </c>
      <c r="AH1244" s="15" t="s">
        <v>9194</v>
      </c>
      <c r="AI1244" s="15" t="s">
        <v>9175</v>
      </c>
      <c r="AJ1244" s="15" t="s">
        <v>9143</v>
      </c>
      <c r="AK1244" s="15" t="s">
        <v>9194</v>
      </c>
      <c r="AL1244" s="15" t="s">
        <v>9195</v>
      </c>
      <c r="AM1244" s="16" t="s">
        <v>9194</v>
      </c>
      <c r="AN1244" s="16" t="s">
        <v>9196</v>
      </c>
    </row>
    <row r="1245" spans="1:40" x14ac:dyDescent="0.25">
      <c r="A1245" s="4" t="s">
        <v>6716</v>
      </c>
      <c r="B1245" s="4"/>
      <c r="C1245" s="4" t="s">
        <v>39</v>
      </c>
      <c r="D1245" s="4" t="s">
        <v>6702</v>
      </c>
      <c r="E1245" s="4" t="s">
        <v>6703</v>
      </c>
      <c r="F1245" s="10">
        <v>45355</v>
      </c>
      <c r="G1245" s="11">
        <v>0.45833333333333331</v>
      </c>
      <c r="H1245" s="4" t="s">
        <v>5666</v>
      </c>
      <c r="I1245" s="4" t="s">
        <v>6692</v>
      </c>
      <c r="J1245" s="4" t="s">
        <v>3645</v>
      </c>
      <c r="K1245" s="4" t="s">
        <v>321</v>
      </c>
      <c r="L1245" s="4" t="s">
        <v>6717</v>
      </c>
      <c r="M1245" s="4" t="s">
        <v>46</v>
      </c>
      <c r="N1245" s="4"/>
      <c r="O1245" s="4" t="s">
        <v>47</v>
      </c>
      <c r="P1245" s="4" t="s">
        <v>48</v>
      </c>
      <c r="Q1245" s="4">
        <v>0</v>
      </c>
      <c r="R1245" s="4" t="b">
        <v>0</v>
      </c>
      <c r="S1245" s="4" t="s">
        <v>114</v>
      </c>
      <c r="T1245" s="4" t="s">
        <v>89</v>
      </c>
      <c r="U1245" s="4" t="s">
        <v>148</v>
      </c>
      <c r="V1245" s="4" t="s">
        <v>52</v>
      </c>
      <c r="W1245" s="4" t="s">
        <v>374</v>
      </c>
      <c r="X1245" s="4" t="s">
        <v>54</v>
      </c>
      <c r="Y1245" s="4"/>
      <c r="Z1245" s="12">
        <v>0</v>
      </c>
      <c r="AA1245" s="13" t="s">
        <v>9167</v>
      </c>
      <c r="AB1245" s="13" t="s">
        <v>9168</v>
      </c>
      <c r="AC1245" s="14" t="s">
        <v>9157</v>
      </c>
      <c r="AD1245" s="14" t="s">
        <v>9140</v>
      </c>
      <c r="AE1245" s="14" t="s">
        <v>9140</v>
      </c>
      <c r="AF1245" s="14" t="s">
        <v>52</v>
      </c>
      <c r="AG1245" s="14" t="s">
        <v>54</v>
      </c>
      <c r="AH1245" s="15" t="s">
        <v>9220</v>
      </c>
      <c r="AI1245" s="15" t="s">
        <v>9199</v>
      </c>
      <c r="AJ1245" s="15" t="s">
        <v>9143</v>
      </c>
      <c r="AK1245" s="15" t="s">
        <v>9221</v>
      </c>
      <c r="AL1245" s="15" t="s">
        <v>9199</v>
      </c>
      <c r="AM1245" s="16" t="s">
        <v>9221</v>
      </c>
      <c r="AN1245" s="16" t="s">
        <v>9238</v>
      </c>
    </row>
    <row r="1246" spans="1:40" x14ac:dyDescent="0.25">
      <c r="A1246" s="4" t="s">
        <v>6173</v>
      </c>
      <c r="B1246" s="4"/>
      <c r="C1246" s="4" t="s">
        <v>39</v>
      </c>
      <c r="D1246" s="4" t="s">
        <v>6144</v>
      </c>
      <c r="E1246" s="4" t="s">
        <v>6145</v>
      </c>
      <c r="F1246" s="10">
        <v>45354</v>
      </c>
      <c r="G1246" s="11">
        <v>0.58680555555555558</v>
      </c>
      <c r="H1246" s="4" t="s">
        <v>5666</v>
      </c>
      <c r="I1246" s="4" t="s">
        <v>6136</v>
      </c>
      <c r="J1246" s="4" t="s">
        <v>2598</v>
      </c>
      <c r="K1246" s="4" t="s">
        <v>6174</v>
      </c>
      <c r="L1246" s="4" t="s">
        <v>6175</v>
      </c>
      <c r="M1246" s="4" t="s">
        <v>46</v>
      </c>
      <c r="N1246" s="4"/>
      <c r="O1246" s="4" t="s">
        <v>47</v>
      </c>
      <c r="P1246" s="4" t="s">
        <v>48</v>
      </c>
      <c r="Q1246" s="4">
        <v>0</v>
      </c>
      <c r="R1246" s="4" t="b">
        <v>0</v>
      </c>
      <c r="S1246" s="4" t="s">
        <v>49</v>
      </c>
      <c r="T1246" s="4" t="s">
        <v>70</v>
      </c>
      <c r="U1246" s="4" t="s">
        <v>80</v>
      </c>
      <c r="V1246" s="4" t="s">
        <v>63</v>
      </c>
      <c r="W1246" s="4" t="s">
        <v>198</v>
      </c>
      <c r="X1246" s="4" t="s">
        <v>98</v>
      </c>
      <c r="Y1246" s="4"/>
      <c r="Z1246" s="12">
        <v>0</v>
      </c>
      <c r="AA1246" s="13" t="s">
        <v>9167</v>
      </c>
      <c r="AB1246" s="13" t="s">
        <v>9168</v>
      </c>
      <c r="AC1246" s="14" t="s">
        <v>9139</v>
      </c>
      <c r="AD1246" s="14" t="s">
        <v>9140</v>
      </c>
      <c r="AE1246" s="14" t="s">
        <v>9140</v>
      </c>
      <c r="AF1246" s="14" t="s">
        <v>63</v>
      </c>
      <c r="AG1246" s="14" t="s">
        <v>98</v>
      </c>
      <c r="AH1246" s="15" t="s">
        <v>9220</v>
      </c>
      <c r="AI1246" s="15" t="s">
        <v>9199</v>
      </c>
      <c r="AJ1246" s="15" t="s">
        <v>9143</v>
      </c>
      <c r="AK1246" s="15" t="s">
        <v>9221</v>
      </c>
      <c r="AL1246" s="15" t="s">
        <v>9199</v>
      </c>
      <c r="AM1246" s="16" t="s">
        <v>9221</v>
      </c>
      <c r="AN1246" s="16" t="s">
        <v>9238</v>
      </c>
    </row>
    <row r="1247" spans="1:40" x14ac:dyDescent="0.25">
      <c r="A1247" s="4" t="s">
        <v>5761</v>
      </c>
      <c r="B1247" s="4">
        <v>6711550</v>
      </c>
      <c r="C1247" s="4" t="s">
        <v>39</v>
      </c>
      <c r="D1247" s="4" t="s">
        <v>5752</v>
      </c>
      <c r="E1247" s="4" t="s">
        <v>5753</v>
      </c>
      <c r="F1247" s="10">
        <v>45353</v>
      </c>
      <c r="G1247" s="11">
        <v>0.44791666666666669</v>
      </c>
      <c r="H1247" s="4" t="s">
        <v>4516</v>
      </c>
      <c r="I1247" s="4" t="s">
        <v>5754</v>
      </c>
      <c r="J1247" s="4" t="s">
        <v>1445</v>
      </c>
      <c r="K1247" s="4" t="s">
        <v>670</v>
      </c>
      <c r="L1247" s="4" t="s">
        <v>5762</v>
      </c>
      <c r="M1247" s="4" t="s">
        <v>28</v>
      </c>
      <c r="N1247" s="4" t="s">
        <v>147</v>
      </c>
      <c r="O1247" s="4" t="s">
        <v>174</v>
      </c>
      <c r="P1247" s="4" t="s">
        <v>48</v>
      </c>
      <c r="Q1247" s="4">
        <v>0</v>
      </c>
      <c r="R1247" s="4" t="b">
        <v>0</v>
      </c>
      <c r="S1247" s="4" t="s">
        <v>49</v>
      </c>
      <c r="T1247" s="4" t="s">
        <v>89</v>
      </c>
      <c r="U1247" s="4" t="s">
        <v>175</v>
      </c>
      <c r="V1247" s="4" t="s">
        <v>52</v>
      </c>
      <c r="W1247" s="4" t="s">
        <v>255</v>
      </c>
      <c r="X1247" s="4" t="s">
        <v>54</v>
      </c>
      <c r="Y1247" s="4"/>
      <c r="Z1247" s="12" t="s">
        <v>48</v>
      </c>
      <c r="AA1247" s="13" t="s">
        <v>9167</v>
      </c>
      <c r="AB1247" s="13" t="s">
        <v>9168</v>
      </c>
      <c r="AC1247" s="14" t="s">
        <v>9139</v>
      </c>
      <c r="AD1247" s="14" t="s">
        <v>28</v>
      </c>
      <c r="AE1247" s="14" t="s">
        <v>9140</v>
      </c>
      <c r="AF1247" s="14" t="s">
        <v>52</v>
      </c>
      <c r="AG1247" s="14" t="s">
        <v>54</v>
      </c>
      <c r="AH1247" s="15" t="s">
        <v>9220</v>
      </c>
      <c r="AI1247" s="15" t="s">
        <v>9188</v>
      </c>
      <c r="AJ1247" s="15" t="s">
        <v>9143</v>
      </c>
      <c r="AK1247" s="15" t="s">
        <v>9221</v>
      </c>
      <c r="AL1247" s="15" t="s">
        <v>9232</v>
      </c>
      <c r="AM1247" s="16" t="s">
        <v>9221</v>
      </c>
      <c r="AN1247" s="16" t="s">
        <v>9233</v>
      </c>
    </row>
    <row r="1248" spans="1:40" x14ac:dyDescent="0.25">
      <c r="A1248" s="4" t="s">
        <v>3320</v>
      </c>
      <c r="B1248" s="4"/>
      <c r="C1248" s="4" t="s">
        <v>39</v>
      </c>
      <c r="D1248" s="4" t="s">
        <v>3321</v>
      </c>
      <c r="E1248" s="4" t="s">
        <v>3322</v>
      </c>
      <c r="F1248" s="10">
        <v>45352</v>
      </c>
      <c r="G1248" s="11">
        <v>0.52708333333333335</v>
      </c>
      <c r="H1248" s="4" t="s">
        <v>2017</v>
      </c>
      <c r="I1248" s="4" t="s">
        <v>3312</v>
      </c>
      <c r="J1248" s="4" t="s">
        <v>3313</v>
      </c>
      <c r="K1248" s="4" t="s">
        <v>3323</v>
      </c>
      <c r="L1248" s="4" t="s">
        <v>3324</v>
      </c>
      <c r="M1248" s="4" t="s">
        <v>46</v>
      </c>
      <c r="N1248" s="4"/>
      <c r="O1248" s="4" t="s">
        <v>47</v>
      </c>
      <c r="P1248" s="4" t="s">
        <v>48</v>
      </c>
      <c r="Q1248" s="4">
        <v>0</v>
      </c>
      <c r="R1248" s="4" t="b">
        <v>0</v>
      </c>
      <c r="S1248" s="4" t="s">
        <v>114</v>
      </c>
      <c r="T1248" s="4" t="s">
        <v>70</v>
      </c>
      <c r="U1248" s="4" t="s">
        <v>600</v>
      </c>
      <c r="V1248" s="4" t="s">
        <v>72</v>
      </c>
      <c r="W1248" s="4" t="s">
        <v>73</v>
      </c>
      <c r="X1248" s="4" t="s">
        <v>54</v>
      </c>
      <c r="Y1248" s="4"/>
      <c r="Z1248" s="12">
        <v>0</v>
      </c>
      <c r="AA1248" s="13" t="s">
        <v>9167</v>
      </c>
      <c r="AB1248" s="13" t="s">
        <v>9168</v>
      </c>
      <c r="AC1248" s="14" t="s">
        <v>9157</v>
      </c>
      <c r="AD1248" s="14" t="s">
        <v>9140</v>
      </c>
      <c r="AE1248" s="14" t="s">
        <v>9140</v>
      </c>
      <c r="AF1248" s="14" t="s">
        <v>72</v>
      </c>
      <c r="AG1248" s="14" t="s">
        <v>54</v>
      </c>
      <c r="AH1248" s="15" t="s">
        <v>9194</v>
      </c>
      <c r="AI1248" s="15" t="s">
        <v>9199</v>
      </c>
      <c r="AJ1248" s="15" t="s">
        <v>9143</v>
      </c>
      <c r="AK1248" s="15" t="s">
        <v>9194</v>
      </c>
      <c r="AL1248" s="15" t="s">
        <v>9199</v>
      </c>
      <c r="AM1248" s="16" t="s">
        <v>9194</v>
      </c>
      <c r="AN1248" s="16" t="s">
        <v>9200</v>
      </c>
    </row>
    <row r="1249" spans="1:40" x14ac:dyDescent="0.25">
      <c r="A1249" s="4" t="s">
        <v>185</v>
      </c>
      <c r="B1249" s="4" t="s">
        <v>186</v>
      </c>
      <c r="C1249" s="4" t="s">
        <v>39</v>
      </c>
      <c r="D1249" s="4" t="s">
        <v>187</v>
      </c>
      <c r="E1249" s="4" t="s">
        <v>188</v>
      </c>
      <c r="F1249" s="10">
        <v>45352</v>
      </c>
      <c r="G1249" s="11">
        <v>0.3576388888888889</v>
      </c>
      <c r="H1249" s="4" t="s">
        <v>42</v>
      </c>
      <c r="I1249" s="4">
        <v>1008</v>
      </c>
      <c r="J1249" s="4" t="s">
        <v>170</v>
      </c>
      <c r="K1249" s="4" t="s">
        <v>189</v>
      </c>
      <c r="L1249" s="4" t="s">
        <v>190</v>
      </c>
      <c r="M1249" s="4" t="s">
        <v>28</v>
      </c>
      <c r="N1249" s="4" t="s">
        <v>183</v>
      </c>
      <c r="O1249" s="4" t="s">
        <v>191</v>
      </c>
      <c r="P1249" s="4" t="s">
        <v>60</v>
      </c>
      <c r="Q1249" s="4">
        <v>27</v>
      </c>
      <c r="R1249" s="4" t="b">
        <v>0</v>
      </c>
      <c r="S1249" s="4" t="s">
        <v>49</v>
      </c>
      <c r="T1249" s="4" t="s">
        <v>50</v>
      </c>
      <c r="U1249" s="4" t="s">
        <v>51</v>
      </c>
      <c r="V1249" s="4" t="s">
        <v>123</v>
      </c>
      <c r="W1249" s="4" t="s">
        <v>192</v>
      </c>
      <c r="X1249" s="4" t="s">
        <v>98</v>
      </c>
      <c r="Y1249" s="4"/>
      <c r="Z1249" s="12" t="s">
        <v>60</v>
      </c>
      <c r="AA1249" s="13" t="s">
        <v>9167</v>
      </c>
      <c r="AB1249" s="13" t="s">
        <v>9168</v>
      </c>
      <c r="AC1249" s="14" t="s">
        <v>9139</v>
      </c>
      <c r="AD1249" s="14" t="s">
        <v>28</v>
      </c>
      <c r="AE1249" s="14" t="s">
        <v>183</v>
      </c>
      <c r="AF1249" s="14" t="s">
        <v>123</v>
      </c>
      <c r="AG1249" s="14" t="s">
        <v>98</v>
      </c>
      <c r="AH1249" s="15" t="s">
        <v>9141</v>
      </c>
      <c r="AI1249" s="15" t="s">
        <v>9142</v>
      </c>
      <c r="AJ1249" s="15" t="s">
        <v>9143</v>
      </c>
      <c r="AK1249" s="15" t="s">
        <v>9141</v>
      </c>
      <c r="AL1249" s="15" t="s">
        <v>9144</v>
      </c>
      <c r="AM1249" s="16" t="s">
        <v>9141</v>
      </c>
      <c r="AN1249" s="16" t="s">
        <v>9145</v>
      </c>
    </row>
    <row r="1250" spans="1:40" x14ac:dyDescent="0.25">
      <c r="A1250" s="4" t="s">
        <v>1881</v>
      </c>
      <c r="B1250" s="4"/>
      <c r="C1250" s="4" t="s">
        <v>39</v>
      </c>
      <c r="D1250" s="4" t="s">
        <v>1882</v>
      </c>
      <c r="E1250" s="4" t="s">
        <v>1883</v>
      </c>
      <c r="F1250" s="10">
        <v>45352</v>
      </c>
      <c r="G1250" s="11">
        <v>0.6791666666666667</v>
      </c>
      <c r="H1250" s="4" t="s">
        <v>1654</v>
      </c>
      <c r="I1250" s="4">
        <v>9097</v>
      </c>
      <c r="J1250" s="4" t="s">
        <v>1844</v>
      </c>
      <c r="K1250" s="4" t="s">
        <v>1863</v>
      </c>
      <c r="L1250" s="4" t="s">
        <v>1884</v>
      </c>
      <c r="M1250" s="4" t="s">
        <v>46</v>
      </c>
      <c r="N1250" s="4"/>
      <c r="O1250" s="4" t="s">
        <v>47</v>
      </c>
      <c r="P1250" s="4" t="s">
        <v>48</v>
      </c>
      <c r="Q1250" s="4">
        <v>0</v>
      </c>
      <c r="R1250" s="4" t="b">
        <v>0</v>
      </c>
      <c r="S1250" s="4" t="s">
        <v>49</v>
      </c>
      <c r="T1250" s="4" t="s">
        <v>70</v>
      </c>
      <c r="U1250" s="4" t="s">
        <v>71</v>
      </c>
      <c r="V1250" s="4" t="s">
        <v>63</v>
      </c>
      <c r="W1250" s="4" t="s">
        <v>108</v>
      </c>
      <c r="X1250" s="4"/>
      <c r="Y1250" s="4"/>
      <c r="Z1250" s="12">
        <v>0</v>
      </c>
      <c r="AA1250" s="13" t="s">
        <v>9167</v>
      </c>
      <c r="AB1250" s="13" t="s">
        <v>9168</v>
      </c>
      <c r="AC1250" s="14" t="s">
        <v>9139</v>
      </c>
      <c r="AD1250" s="14" t="s">
        <v>9140</v>
      </c>
      <c r="AE1250" s="14" t="s">
        <v>9140</v>
      </c>
      <c r="AF1250" s="14" t="s">
        <v>63</v>
      </c>
      <c r="AG1250" s="14">
        <v>0</v>
      </c>
      <c r="AH1250" s="15" t="s">
        <v>9141</v>
      </c>
      <c r="AI1250" s="15" t="s">
        <v>9191</v>
      </c>
      <c r="AJ1250" s="15" t="s">
        <v>9143</v>
      </c>
      <c r="AK1250" s="15" t="s">
        <v>9141</v>
      </c>
      <c r="AL1250" s="15" t="s">
        <v>9191</v>
      </c>
      <c r="AM1250" s="16" t="s">
        <v>9141</v>
      </c>
      <c r="AN1250" s="16" t="s">
        <v>9192</v>
      </c>
    </row>
    <row r="1251" spans="1:40" x14ac:dyDescent="0.25">
      <c r="A1251" s="4" t="s">
        <v>8713</v>
      </c>
      <c r="B1251" s="4"/>
      <c r="C1251" s="4" t="s">
        <v>39</v>
      </c>
      <c r="D1251" s="4" t="s">
        <v>8714</v>
      </c>
      <c r="E1251" s="4" t="s">
        <v>8715</v>
      </c>
      <c r="F1251" s="10">
        <v>45352</v>
      </c>
      <c r="G1251" s="11">
        <v>0.375</v>
      </c>
      <c r="H1251" s="4" t="s">
        <v>4516</v>
      </c>
      <c r="I1251" s="4" t="s">
        <v>8691</v>
      </c>
      <c r="J1251" s="4" t="s">
        <v>3943</v>
      </c>
      <c r="K1251" s="4" t="s">
        <v>8716</v>
      </c>
      <c r="L1251" s="4" t="s">
        <v>8717</v>
      </c>
      <c r="M1251" s="4" t="s">
        <v>46</v>
      </c>
      <c r="N1251" s="4"/>
      <c r="O1251" s="4" t="s">
        <v>47</v>
      </c>
      <c r="P1251" s="4" t="s">
        <v>48</v>
      </c>
      <c r="Q1251" s="4">
        <v>0</v>
      </c>
      <c r="R1251" s="4" t="b">
        <v>0</v>
      </c>
      <c r="S1251" s="4" t="s">
        <v>61</v>
      </c>
      <c r="T1251" s="4" t="s">
        <v>89</v>
      </c>
      <c r="U1251" s="4" t="s">
        <v>175</v>
      </c>
      <c r="V1251" s="4" t="s">
        <v>52</v>
      </c>
      <c r="W1251" s="4" t="s">
        <v>53</v>
      </c>
      <c r="X1251" s="4" t="s">
        <v>54</v>
      </c>
      <c r="Y1251" s="4"/>
      <c r="Z1251" s="12">
        <v>0</v>
      </c>
      <c r="AA1251" s="13" t="s">
        <v>9167</v>
      </c>
      <c r="AB1251" s="13" t="s">
        <v>9168</v>
      </c>
      <c r="AC1251" s="14" t="s">
        <v>9148</v>
      </c>
      <c r="AD1251" s="14" t="s">
        <v>9140</v>
      </c>
      <c r="AE1251" s="14" t="s">
        <v>9140</v>
      </c>
      <c r="AF1251" s="14" t="s">
        <v>52</v>
      </c>
      <c r="AG1251" s="14" t="s">
        <v>54</v>
      </c>
      <c r="AH1251" s="15" t="s">
        <v>9220</v>
      </c>
      <c r="AI1251" s="15" t="s">
        <v>9188</v>
      </c>
      <c r="AJ1251" s="15" t="s">
        <v>9143</v>
      </c>
      <c r="AK1251" s="15" t="s">
        <v>9221</v>
      </c>
      <c r="AL1251" s="15" t="s">
        <v>9230</v>
      </c>
      <c r="AM1251" s="16" t="s">
        <v>9221</v>
      </c>
      <c r="AN1251" s="16" t="s">
        <v>9231</v>
      </c>
    </row>
    <row r="1252" spans="1:40" x14ac:dyDescent="0.25">
      <c r="A1252" s="4" t="s">
        <v>3693</v>
      </c>
      <c r="B1252" s="4"/>
      <c r="C1252" s="4" t="s">
        <v>39</v>
      </c>
      <c r="D1252" s="4" t="s">
        <v>3694</v>
      </c>
      <c r="E1252" s="4" t="s">
        <v>3695</v>
      </c>
      <c r="F1252" s="10">
        <v>45351</v>
      </c>
      <c r="G1252" s="11">
        <v>0.56944444444444442</v>
      </c>
      <c r="H1252" s="4" t="s">
        <v>2095</v>
      </c>
      <c r="I1252" s="4" t="s">
        <v>3685</v>
      </c>
      <c r="J1252" s="4" t="s">
        <v>3686</v>
      </c>
      <c r="K1252" s="4" t="s">
        <v>3696</v>
      </c>
      <c r="L1252" s="4" t="s">
        <v>3697</v>
      </c>
      <c r="M1252" s="4" t="s">
        <v>46</v>
      </c>
      <c r="N1252" s="4"/>
      <c r="O1252" s="4" t="s">
        <v>47</v>
      </c>
      <c r="P1252" s="4" t="s">
        <v>48</v>
      </c>
      <c r="Q1252" s="4">
        <v>0</v>
      </c>
      <c r="R1252" s="4" t="b">
        <v>0</v>
      </c>
      <c r="S1252" s="4" t="s">
        <v>61</v>
      </c>
      <c r="T1252" s="4" t="s">
        <v>89</v>
      </c>
      <c r="U1252" s="4" t="s">
        <v>600</v>
      </c>
      <c r="V1252" s="4" t="s">
        <v>63</v>
      </c>
      <c r="W1252" s="4" t="s">
        <v>64</v>
      </c>
      <c r="X1252" s="4" t="s">
        <v>54</v>
      </c>
      <c r="Y1252" s="4"/>
      <c r="Z1252" s="12">
        <v>0</v>
      </c>
      <c r="AA1252" s="13" t="s">
        <v>9167</v>
      </c>
      <c r="AB1252" s="13" t="s">
        <v>9168</v>
      </c>
      <c r="AC1252" s="14" t="s">
        <v>9148</v>
      </c>
      <c r="AD1252" s="14" t="s">
        <v>9140</v>
      </c>
      <c r="AE1252" s="14" t="s">
        <v>9140</v>
      </c>
      <c r="AF1252" s="14" t="s">
        <v>63</v>
      </c>
      <c r="AG1252" s="14" t="s">
        <v>54</v>
      </c>
      <c r="AH1252" s="15" t="s">
        <v>9194</v>
      </c>
      <c r="AI1252" s="15" t="s">
        <v>9188</v>
      </c>
      <c r="AJ1252" s="15" t="s">
        <v>9143</v>
      </c>
      <c r="AK1252" s="15" t="s">
        <v>9194</v>
      </c>
      <c r="AL1252" s="15" t="s">
        <v>9203</v>
      </c>
      <c r="AM1252" s="16" t="s">
        <v>9194</v>
      </c>
      <c r="AN1252" s="16" t="s">
        <v>9204</v>
      </c>
    </row>
    <row r="1253" spans="1:40" x14ac:dyDescent="0.25">
      <c r="A1253" s="4" t="s">
        <v>2533</v>
      </c>
      <c r="B1253" s="4"/>
      <c r="C1253" s="4" t="s">
        <v>39</v>
      </c>
      <c r="D1253" s="4" t="s">
        <v>2534</v>
      </c>
      <c r="E1253" s="4" t="s">
        <v>2535</v>
      </c>
      <c r="F1253" s="10">
        <v>45351</v>
      </c>
      <c r="G1253" s="11">
        <v>0.58125000000000004</v>
      </c>
      <c r="H1253" s="4" t="s">
        <v>1992</v>
      </c>
      <c r="I1253" s="4" t="s">
        <v>2520</v>
      </c>
      <c r="J1253" s="4" t="s">
        <v>2521</v>
      </c>
      <c r="K1253" s="4" t="s">
        <v>2536</v>
      </c>
      <c r="L1253" s="4" t="s">
        <v>2537</v>
      </c>
      <c r="M1253" s="4" t="s">
        <v>46</v>
      </c>
      <c r="N1253" s="4"/>
      <c r="O1253" s="4" t="s">
        <v>47</v>
      </c>
      <c r="P1253" s="4" t="s">
        <v>48</v>
      </c>
      <c r="Q1253" s="4">
        <v>0</v>
      </c>
      <c r="R1253" s="4" t="b">
        <v>0</v>
      </c>
      <c r="S1253" s="4" t="s">
        <v>61</v>
      </c>
      <c r="T1253" s="4" t="s">
        <v>89</v>
      </c>
      <c r="U1253" s="4" t="s">
        <v>122</v>
      </c>
      <c r="V1253" s="4" t="s">
        <v>225</v>
      </c>
      <c r="W1253" s="4" t="s">
        <v>1714</v>
      </c>
      <c r="X1253" s="4"/>
      <c r="Y1253" s="4"/>
      <c r="Z1253" s="12">
        <v>0</v>
      </c>
      <c r="AA1253" s="13" t="s">
        <v>9167</v>
      </c>
      <c r="AB1253" s="13" t="s">
        <v>9168</v>
      </c>
      <c r="AC1253" s="14" t="s">
        <v>9148</v>
      </c>
      <c r="AD1253" s="14" t="s">
        <v>9140</v>
      </c>
      <c r="AE1253" s="14" t="s">
        <v>9140</v>
      </c>
      <c r="AF1253" s="14" t="s">
        <v>225</v>
      </c>
      <c r="AG1253" s="14">
        <v>0</v>
      </c>
      <c r="AH1253" s="15" t="s">
        <v>9194</v>
      </c>
      <c r="AI1253" s="15" t="s">
        <v>9191</v>
      </c>
      <c r="AJ1253" s="15" t="s">
        <v>9143</v>
      </c>
      <c r="AK1253" s="15" t="s">
        <v>9194</v>
      </c>
      <c r="AL1253" s="15" t="s">
        <v>9201</v>
      </c>
      <c r="AM1253" s="16" t="s">
        <v>9194</v>
      </c>
      <c r="AN1253" s="16" t="s">
        <v>9202</v>
      </c>
    </row>
    <row r="1254" spans="1:40" x14ac:dyDescent="0.25">
      <c r="A1254" s="4" t="s">
        <v>9036</v>
      </c>
      <c r="B1254" s="4">
        <v>12230077214</v>
      </c>
      <c r="C1254" s="4" t="s">
        <v>39</v>
      </c>
      <c r="D1254" s="4" t="s">
        <v>9037</v>
      </c>
      <c r="E1254" s="4" t="s">
        <v>9038</v>
      </c>
      <c r="F1254" s="10">
        <v>45351</v>
      </c>
      <c r="G1254" s="11">
        <v>0.63194444444444442</v>
      </c>
      <c r="H1254" s="4" t="s">
        <v>4019</v>
      </c>
      <c r="I1254" s="4" t="s">
        <v>8971</v>
      </c>
      <c r="J1254" s="4" t="s">
        <v>8972</v>
      </c>
      <c r="K1254" s="4" t="s">
        <v>9039</v>
      </c>
      <c r="L1254" s="4" t="s">
        <v>9040</v>
      </c>
      <c r="M1254" s="4" t="s">
        <v>28</v>
      </c>
      <c r="N1254" s="4" t="s">
        <v>183</v>
      </c>
      <c r="O1254" s="4" t="s">
        <v>191</v>
      </c>
      <c r="P1254" s="4" t="s">
        <v>60</v>
      </c>
      <c r="Q1254" s="4">
        <v>31</v>
      </c>
      <c r="R1254" s="4" t="b">
        <v>0</v>
      </c>
      <c r="S1254" s="4" t="s">
        <v>184</v>
      </c>
      <c r="T1254" s="4" t="s">
        <v>89</v>
      </c>
      <c r="U1254" s="4" t="s">
        <v>1081</v>
      </c>
      <c r="V1254" s="4" t="s">
        <v>63</v>
      </c>
      <c r="W1254" s="4" t="s">
        <v>108</v>
      </c>
      <c r="X1254" s="4" t="s">
        <v>98</v>
      </c>
      <c r="Y1254" s="4"/>
      <c r="Z1254" s="12" t="s">
        <v>60</v>
      </c>
      <c r="AA1254" s="13" t="s">
        <v>9167</v>
      </c>
      <c r="AB1254" s="13" t="s">
        <v>9168</v>
      </c>
      <c r="AC1254" s="14" t="s">
        <v>9166</v>
      </c>
      <c r="AD1254" s="14" t="s">
        <v>28</v>
      </c>
      <c r="AE1254" s="14" t="s">
        <v>183</v>
      </c>
      <c r="AF1254" s="14" t="s">
        <v>63</v>
      </c>
      <c r="AG1254" s="14" t="s">
        <v>98</v>
      </c>
      <c r="AH1254" s="15" t="s">
        <v>9220</v>
      </c>
      <c r="AI1254" s="15" t="s">
        <v>9175</v>
      </c>
      <c r="AJ1254" s="15" t="s">
        <v>9181</v>
      </c>
      <c r="AK1254" s="15" t="s">
        <v>9182</v>
      </c>
      <c r="AL1254" s="15" t="s">
        <v>9182</v>
      </c>
      <c r="AM1254" s="16" t="s">
        <v>9182</v>
      </c>
      <c r="AN1254" s="16" t="s">
        <v>9182</v>
      </c>
    </row>
    <row r="1255" spans="1:40" x14ac:dyDescent="0.25">
      <c r="A1255" s="4" t="s">
        <v>7383</v>
      </c>
      <c r="B1255" s="4"/>
      <c r="C1255" s="4" t="s">
        <v>39</v>
      </c>
      <c r="D1255" s="4" t="s">
        <v>7384</v>
      </c>
      <c r="E1255" s="4" t="s">
        <v>7385</v>
      </c>
      <c r="F1255" s="10">
        <v>45351</v>
      </c>
      <c r="G1255" s="11">
        <v>0.51180555555555551</v>
      </c>
      <c r="H1255" s="4" t="s">
        <v>4019</v>
      </c>
      <c r="I1255" s="4" t="s">
        <v>7315</v>
      </c>
      <c r="J1255" s="4" t="s">
        <v>1037</v>
      </c>
      <c r="K1255" s="4" t="s">
        <v>7386</v>
      </c>
      <c r="L1255" s="4" t="s">
        <v>7387</v>
      </c>
      <c r="M1255" s="4" t="s">
        <v>46</v>
      </c>
      <c r="N1255" s="4"/>
      <c r="O1255" s="4" t="s">
        <v>47</v>
      </c>
      <c r="P1255" s="4" t="s">
        <v>48</v>
      </c>
      <c r="Q1255" s="4">
        <v>0</v>
      </c>
      <c r="R1255" s="4" t="b">
        <v>0</v>
      </c>
      <c r="S1255" s="4" t="s">
        <v>61</v>
      </c>
      <c r="T1255" s="4" t="s">
        <v>70</v>
      </c>
      <c r="U1255" s="4" t="s">
        <v>71</v>
      </c>
      <c r="V1255" s="4" t="s">
        <v>63</v>
      </c>
      <c r="W1255" s="4" t="s">
        <v>198</v>
      </c>
      <c r="X1255" s="4" t="s">
        <v>98</v>
      </c>
      <c r="Y1255" s="4" t="s">
        <v>689</v>
      </c>
      <c r="Z1255" s="12">
        <v>0</v>
      </c>
      <c r="AA1255" s="13" t="s">
        <v>9167</v>
      </c>
      <c r="AB1255" s="13" t="s">
        <v>9168</v>
      </c>
      <c r="AC1255" s="14" t="s">
        <v>9148</v>
      </c>
      <c r="AD1255" s="14" t="s">
        <v>9140</v>
      </c>
      <c r="AE1255" s="14" t="s">
        <v>9140</v>
      </c>
      <c r="AF1255" s="14" t="s">
        <v>63</v>
      </c>
      <c r="AG1255" s="14" t="s">
        <v>98</v>
      </c>
      <c r="AH1255" s="15" t="s">
        <v>9220</v>
      </c>
      <c r="AI1255" s="15" t="s">
        <v>9175</v>
      </c>
      <c r="AJ1255" s="15" t="s">
        <v>9143</v>
      </c>
      <c r="AK1255" s="15" t="s">
        <v>9221</v>
      </c>
      <c r="AL1255" s="15" t="s">
        <v>9222</v>
      </c>
      <c r="AM1255" s="16" t="s">
        <v>9221</v>
      </c>
      <c r="AN1255" s="16" t="s">
        <v>9223</v>
      </c>
    </row>
    <row r="1256" spans="1:40" x14ac:dyDescent="0.25">
      <c r="A1256" s="4" t="s">
        <v>9041</v>
      </c>
      <c r="B1256" s="4"/>
      <c r="C1256" s="4" t="s">
        <v>39</v>
      </c>
      <c r="D1256" s="4"/>
      <c r="E1256" s="4" t="s">
        <v>9042</v>
      </c>
      <c r="F1256" s="10">
        <v>45350</v>
      </c>
      <c r="G1256" s="11">
        <v>0.33402777777777776</v>
      </c>
      <c r="H1256" s="4" t="s">
        <v>4019</v>
      </c>
      <c r="I1256" s="4" t="s">
        <v>8971</v>
      </c>
      <c r="J1256" s="4" t="s">
        <v>8972</v>
      </c>
      <c r="K1256" s="4" t="s">
        <v>7023</v>
      </c>
      <c r="L1256" s="4" t="s">
        <v>9043</v>
      </c>
      <c r="M1256" s="4" t="s">
        <v>46</v>
      </c>
      <c r="N1256" s="4"/>
      <c r="O1256" s="4" t="s">
        <v>47</v>
      </c>
      <c r="P1256" s="4" t="s">
        <v>48</v>
      </c>
      <c r="Q1256" s="4">
        <v>0</v>
      </c>
      <c r="R1256" s="4" t="b">
        <v>0</v>
      </c>
      <c r="S1256" s="4" t="s">
        <v>49</v>
      </c>
      <c r="T1256" s="4" t="s">
        <v>89</v>
      </c>
      <c r="U1256" s="4" t="s">
        <v>148</v>
      </c>
      <c r="V1256" s="4" t="s">
        <v>52</v>
      </c>
      <c r="W1256" s="4" t="s">
        <v>53</v>
      </c>
      <c r="X1256" s="4" t="s">
        <v>54</v>
      </c>
      <c r="Y1256" s="4"/>
      <c r="Z1256" s="12">
        <v>0</v>
      </c>
      <c r="AA1256" s="13" t="s">
        <v>9167</v>
      </c>
      <c r="AB1256" s="13" t="s">
        <v>9168</v>
      </c>
      <c r="AC1256" s="14" t="s">
        <v>9139</v>
      </c>
      <c r="AD1256" s="14" t="s">
        <v>9140</v>
      </c>
      <c r="AE1256" s="14" t="s">
        <v>9140</v>
      </c>
      <c r="AF1256" s="14" t="s">
        <v>52</v>
      </c>
      <c r="AG1256" s="14" t="s">
        <v>54</v>
      </c>
      <c r="AH1256" s="15" t="s">
        <v>9220</v>
      </c>
      <c r="AI1256" s="15" t="s">
        <v>9175</v>
      </c>
      <c r="AJ1256" s="15" t="s">
        <v>9181</v>
      </c>
      <c r="AK1256" s="15" t="s">
        <v>9182</v>
      </c>
      <c r="AL1256" s="15" t="s">
        <v>9182</v>
      </c>
      <c r="AM1256" s="16" t="s">
        <v>9182</v>
      </c>
      <c r="AN1256" s="16" t="s">
        <v>9182</v>
      </c>
    </row>
    <row r="1257" spans="1:40" x14ac:dyDescent="0.25">
      <c r="A1257" s="4" t="s">
        <v>6757</v>
      </c>
      <c r="B1257" s="4">
        <v>6698245</v>
      </c>
      <c r="C1257" s="4" t="s">
        <v>39</v>
      </c>
      <c r="D1257" s="4" t="s">
        <v>6758</v>
      </c>
      <c r="E1257" s="4" t="s">
        <v>6759</v>
      </c>
      <c r="F1257" s="10">
        <v>45350</v>
      </c>
      <c r="G1257" s="11">
        <v>0.45902777777777776</v>
      </c>
      <c r="H1257" s="4" t="s">
        <v>4516</v>
      </c>
      <c r="I1257" s="4" t="s">
        <v>6736</v>
      </c>
      <c r="J1257" s="4" t="s">
        <v>6737</v>
      </c>
      <c r="K1257" s="4" t="s">
        <v>6760</v>
      </c>
      <c r="L1257" s="4" t="s">
        <v>6761</v>
      </c>
      <c r="M1257" s="4" t="s">
        <v>28</v>
      </c>
      <c r="N1257" s="4" t="s">
        <v>183</v>
      </c>
      <c r="O1257" s="4" t="s">
        <v>191</v>
      </c>
      <c r="P1257" s="4" t="s">
        <v>48</v>
      </c>
      <c r="Q1257" s="4">
        <v>4</v>
      </c>
      <c r="R1257" s="4" t="b">
        <v>0</v>
      </c>
      <c r="S1257" s="4" t="s">
        <v>114</v>
      </c>
      <c r="T1257" s="4" t="s">
        <v>89</v>
      </c>
      <c r="U1257" s="4" t="s">
        <v>148</v>
      </c>
      <c r="V1257" s="4" t="s">
        <v>52</v>
      </c>
      <c r="W1257" s="4" t="s">
        <v>53</v>
      </c>
      <c r="X1257" s="4" t="s">
        <v>54</v>
      </c>
      <c r="Y1257" s="4"/>
      <c r="Z1257" s="12" t="s">
        <v>48</v>
      </c>
      <c r="AA1257" s="13" t="s">
        <v>9167</v>
      </c>
      <c r="AB1257" s="13" t="s">
        <v>9168</v>
      </c>
      <c r="AC1257" s="14" t="s">
        <v>9157</v>
      </c>
      <c r="AD1257" s="14" t="s">
        <v>28</v>
      </c>
      <c r="AE1257" s="14" t="s">
        <v>183</v>
      </c>
      <c r="AF1257" s="14" t="s">
        <v>52</v>
      </c>
      <c r="AG1257" s="14" t="s">
        <v>54</v>
      </c>
      <c r="AH1257" s="15" t="s">
        <v>9220</v>
      </c>
      <c r="AI1257" s="15" t="s">
        <v>9188</v>
      </c>
      <c r="AJ1257" s="15" t="s">
        <v>9143</v>
      </c>
      <c r="AK1257" s="15" t="s">
        <v>9221</v>
      </c>
      <c r="AL1257" s="15" t="s">
        <v>9232</v>
      </c>
      <c r="AM1257" s="16" t="s">
        <v>9221</v>
      </c>
      <c r="AN1257" s="16" t="s">
        <v>9233</v>
      </c>
    </row>
    <row r="1258" spans="1:40" x14ac:dyDescent="0.25">
      <c r="A1258" s="4" t="s">
        <v>4887</v>
      </c>
      <c r="B1258" s="4">
        <v>6596217</v>
      </c>
      <c r="C1258" s="4" t="s">
        <v>39</v>
      </c>
      <c r="D1258" s="4" t="s">
        <v>4888</v>
      </c>
      <c r="E1258" s="4" t="s">
        <v>4889</v>
      </c>
      <c r="F1258" s="10">
        <v>45350</v>
      </c>
      <c r="G1258" s="11">
        <v>0.44236111111111109</v>
      </c>
      <c r="H1258" s="4" t="s">
        <v>4516</v>
      </c>
      <c r="I1258" s="4" t="s">
        <v>4869</v>
      </c>
      <c r="J1258" s="4" t="s">
        <v>4870</v>
      </c>
      <c r="K1258" s="4" t="s">
        <v>3361</v>
      </c>
      <c r="L1258" s="4" t="s">
        <v>4890</v>
      </c>
      <c r="M1258" s="4" t="s">
        <v>28</v>
      </c>
      <c r="N1258" s="4" t="s">
        <v>183</v>
      </c>
      <c r="O1258" s="4" t="s">
        <v>863</v>
      </c>
      <c r="P1258" s="4" t="s">
        <v>60</v>
      </c>
      <c r="Q1258" s="4">
        <v>62</v>
      </c>
      <c r="R1258" s="4" t="b">
        <v>0</v>
      </c>
      <c r="S1258" s="4" t="s">
        <v>114</v>
      </c>
      <c r="T1258" s="4" t="s">
        <v>89</v>
      </c>
      <c r="U1258" s="4" t="s">
        <v>148</v>
      </c>
      <c r="V1258" s="4" t="s">
        <v>52</v>
      </c>
      <c r="W1258" s="4" t="s">
        <v>53</v>
      </c>
      <c r="X1258" s="4" t="s">
        <v>54</v>
      </c>
      <c r="Y1258" s="4"/>
      <c r="Z1258" s="12" t="s">
        <v>60</v>
      </c>
      <c r="AA1258" s="13" t="s">
        <v>9167</v>
      </c>
      <c r="AB1258" s="13" t="s">
        <v>9168</v>
      </c>
      <c r="AC1258" s="14" t="s">
        <v>9157</v>
      </c>
      <c r="AD1258" s="14" t="s">
        <v>28</v>
      </c>
      <c r="AE1258" s="14" t="s">
        <v>183</v>
      </c>
      <c r="AF1258" s="14" t="s">
        <v>52</v>
      </c>
      <c r="AG1258" s="14" t="s">
        <v>54</v>
      </c>
      <c r="AH1258" s="15" t="s">
        <v>9220</v>
      </c>
      <c r="AI1258" s="15" t="s">
        <v>9188</v>
      </c>
      <c r="AJ1258" s="15" t="s">
        <v>9143</v>
      </c>
      <c r="AK1258" s="15" t="s">
        <v>9221</v>
      </c>
      <c r="AL1258" s="15" t="s">
        <v>9232</v>
      </c>
      <c r="AM1258" s="16" t="s">
        <v>9221</v>
      </c>
      <c r="AN1258" s="16" t="s">
        <v>9233</v>
      </c>
    </row>
    <row r="1259" spans="1:40" x14ac:dyDescent="0.25">
      <c r="A1259" s="4" t="s">
        <v>1885</v>
      </c>
      <c r="B1259" s="4"/>
      <c r="C1259" s="4" t="s">
        <v>39</v>
      </c>
      <c r="D1259" s="4" t="s">
        <v>1848</v>
      </c>
      <c r="E1259" s="4" t="s">
        <v>1849</v>
      </c>
      <c r="F1259" s="10">
        <v>45350</v>
      </c>
      <c r="G1259" s="11">
        <v>0.37777777777777777</v>
      </c>
      <c r="H1259" s="4" t="s">
        <v>1654</v>
      </c>
      <c r="I1259" s="4">
        <v>9097</v>
      </c>
      <c r="J1259" s="4" t="s">
        <v>1844</v>
      </c>
      <c r="K1259" s="4" t="s">
        <v>1886</v>
      </c>
      <c r="L1259" s="4" t="s">
        <v>1887</v>
      </c>
      <c r="M1259" s="4" t="s">
        <v>46</v>
      </c>
      <c r="N1259" s="4"/>
      <c r="O1259" s="4" t="s">
        <v>47</v>
      </c>
      <c r="P1259" s="4" t="s">
        <v>48</v>
      </c>
      <c r="Q1259" s="4">
        <v>0</v>
      </c>
      <c r="R1259" s="4" t="b">
        <v>0</v>
      </c>
      <c r="S1259" s="4" t="s">
        <v>61</v>
      </c>
      <c r="T1259" s="4" t="s">
        <v>89</v>
      </c>
      <c r="U1259" s="4" t="s">
        <v>71</v>
      </c>
      <c r="V1259" s="4" t="s">
        <v>63</v>
      </c>
      <c r="W1259" s="4" t="s">
        <v>198</v>
      </c>
      <c r="X1259" s="4" t="s">
        <v>774</v>
      </c>
      <c r="Y1259" s="4"/>
      <c r="Z1259" s="12">
        <v>0</v>
      </c>
      <c r="AA1259" s="13" t="s">
        <v>9167</v>
      </c>
      <c r="AB1259" s="13" t="s">
        <v>9168</v>
      </c>
      <c r="AC1259" s="14" t="s">
        <v>9148</v>
      </c>
      <c r="AD1259" s="14" t="s">
        <v>9140</v>
      </c>
      <c r="AE1259" s="14" t="s">
        <v>9140</v>
      </c>
      <c r="AF1259" s="14" t="s">
        <v>63</v>
      </c>
      <c r="AG1259" s="14" t="s">
        <v>774</v>
      </c>
      <c r="AH1259" s="15" t="s">
        <v>9141</v>
      </c>
      <c r="AI1259" s="15" t="s">
        <v>9191</v>
      </c>
      <c r="AJ1259" s="15" t="s">
        <v>9143</v>
      </c>
      <c r="AK1259" s="15" t="s">
        <v>9141</v>
      </c>
      <c r="AL1259" s="15" t="s">
        <v>9191</v>
      </c>
      <c r="AM1259" s="16" t="s">
        <v>9141</v>
      </c>
      <c r="AN1259" s="16" t="s">
        <v>9192</v>
      </c>
    </row>
    <row r="1260" spans="1:40" x14ac:dyDescent="0.25">
      <c r="A1260" s="4" t="s">
        <v>1598</v>
      </c>
      <c r="B1260" s="4"/>
      <c r="C1260" s="4" t="s">
        <v>39</v>
      </c>
      <c r="D1260" s="4" t="s">
        <v>1599</v>
      </c>
      <c r="E1260" s="4" t="s">
        <v>1600</v>
      </c>
      <c r="F1260" s="10">
        <v>45349</v>
      </c>
      <c r="G1260" s="11">
        <v>0.47916666666666669</v>
      </c>
      <c r="H1260" s="4" t="s">
        <v>1366</v>
      </c>
      <c r="I1260" s="4">
        <v>6071</v>
      </c>
      <c r="J1260" s="4" t="s">
        <v>1586</v>
      </c>
      <c r="K1260" s="4" t="s">
        <v>1601</v>
      </c>
      <c r="L1260" s="4" t="s">
        <v>1602</v>
      </c>
      <c r="M1260" s="4" t="s">
        <v>46</v>
      </c>
      <c r="N1260" s="4"/>
      <c r="O1260" s="4" t="s">
        <v>47</v>
      </c>
      <c r="P1260" s="4" t="s">
        <v>48</v>
      </c>
      <c r="Q1260" s="4">
        <v>0</v>
      </c>
      <c r="R1260" s="4" t="b">
        <v>0</v>
      </c>
      <c r="S1260" s="4" t="s">
        <v>61</v>
      </c>
      <c r="T1260" s="4" t="s">
        <v>89</v>
      </c>
      <c r="U1260" s="4" t="s">
        <v>345</v>
      </c>
      <c r="V1260" s="4" t="s">
        <v>123</v>
      </c>
      <c r="W1260" s="4" t="s">
        <v>124</v>
      </c>
      <c r="X1260" s="4" t="s">
        <v>98</v>
      </c>
      <c r="Y1260" s="4"/>
      <c r="Z1260" s="12">
        <v>0</v>
      </c>
      <c r="AA1260" s="13" t="s">
        <v>9167</v>
      </c>
      <c r="AB1260" s="13" t="s">
        <v>9168</v>
      </c>
      <c r="AC1260" s="14" t="s">
        <v>9148</v>
      </c>
      <c r="AD1260" s="14" t="s">
        <v>9140</v>
      </c>
      <c r="AE1260" s="14" t="s">
        <v>9140</v>
      </c>
      <c r="AF1260" s="14" t="s">
        <v>123</v>
      </c>
      <c r="AG1260" s="14" t="s">
        <v>98</v>
      </c>
      <c r="AH1260" s="15" t="s">
        <v>9141</v>
      </c>
      <c r="AI1260" s="15" t="s">
        <v>9188</v>
      </c>
      <c r="AJ1260" s="15" t="s">
        <v>9143</v>
      </c>
      <c r="AK1260" s="15" t="s">
        <v>9141</v>
      </c>
      <c r="AL1260" s="15" t="s">
        <v>9191</v>
      </c>
      <c r="AM1260" s="16" t="s">
        <v>9141</v>
      </c>
      <c r="AN1260" s="16" t="s">
        <v>9192</v>
      </c>
    </row>
    <row r="1261" spans="1:40" x14ac:dyDescent="0.25">
      <c r="A1261" s="4" t="s">
        <v>730</v>
      </c>
      <c r="B1261" s="4"/>
      <c r="C1261" s="4" t="s">
        <v>39</v>
      </c>
      <c r="D1261" s="4" t="s">
        <v>709</v>
      </c>
      <c r="E1261" s="4" t="s">
        <v>710</v>
      </c>
      <c r="F1261" s="10">
        <v>45349</v>
      </c>
      <c r="G1261" s="11">
        <v>0.30972222222222223</v>
      </c>
      <c r="H1261" s="4" t="s">
        <v>463</v>
      </c>
      <c r="I1261" s="4">
        <v>2025</v>
      </c>
      <c r="J1261" s="4" t="s">
        <v>701</v>
      </c>
      <c r="K1261" s="4" t="s">
        <v>455</v>
      </c>
      <c r="L1261" s="4" t="s">
        <v>731</v>
      </c>
      <c r="M1261" s="4" t="s">
        <v>46</v>
      </c>
      <c r="N1261" s="4"/>
      <c r="O1261" s="4" t="s">
        <v>47</v>
      </c>
      <c r="P1261" s="4" t="s">
        <v>48</v>
      </c>
      <c r="Q1261" s="4">
        <v>0</v>
      </c>
      <c r="R1261" s="4" t="b">
        <v>0</v>
      </c>
      <c r="S1261" s="4" t="s">
        <v>61</v>
      </c>
      <c r="T1261" s="4" t="s">
        <v>89</v>
      </c>
      <c r="U1261" s="4" t="s">
        <v>148</v>
      </c>
      <c r="V1261" s="4" t="s">
        <v>52</v>
      </c>
      <c r="W1261" s="4" t="s">
        <v>53</v>
      </c>
      <c r="X1261" s="4" t="s">
        <v>54</v>
      </c>
      <c r="Y1261" s="4"/>
      <c r="Z1261" s="12">
        <v>0</v>
      </c>
      <c r="AA1261" s="13" t="s">
        <v>9167</v>
      </c>
      <c r="AB1261" s="13" t="s">
        <v>9168</v>
      </c>
      <c r="AC1261" s="14" t="s">
        <v>9148</v>
      </c>
      <c r="AD1261" s="14" t="s">
        <v>9140</v>
      </c>
      <c r="AE1261" s="14" t="s">
        <v>9140</v>
      </c>
      <c r="AF1261" s="14" t="s">
        <v>52</v>
      </c>
      <c r="AG1261" s="14" t="s">
        <v>54</v>
      </c>
      <c r="AH1261" s="15" t="s">
        <v>9141</v>
      </c>
      <c r="AI1261" s="15" t="s">
        <v>9175</v>
      </c>
      <c r="AJ1261" s="15" t="s">
        <v>9143</v>
      </c>
      <c r="AK1261" s="15" t="s">
        <v>9141</v>
      </c>
      <c r="AL1261" s="15" t="s">
        <v>9175</v>
      </c>
      <c r="AM1261" s="16" t="s">
        <v>9141</v>
      </c>
      <c r="AN1261" s="16" t="s">
        <v>9176</v>
      </c>
    </row>
    <row r="1262" spans="1:40" x14ac:dyDescent="0.25">
      <c r="A1262" s="4" t="s">
        <v>776</v>
      </c>
      <c r="B1262" s="4"/>
      <c r="C1262" s="4" t="s">
        <v>39</v>
      </c>
      <c r="D1262" s="4" t="s">
        <v>760</v>
      </c>
      <c r="E1262" s="4" t="s">
        <v>761</v>
      </c>
      <c r="F1262" s="10">
        <v>45349</v>
      </c>
      <c r="G1262" s="11">
        <v>0.38194444444444442</v>
      </c>
      <c r="H1262" s="4" t="s">
        <v>463</v>
      </c>
      <c r="I1262" s="4">
        <v>2026</v>
      </c>
      <c r="J1262" s="4" t="s">
        <v>756</v>
      </c>
      <c r="K1262" s="4" t="s">
        <v>777</v>
      </c>
      <c r="L1262" s="4" t="s">
        <v>778</v>
      </c>
      <c r="M1262" s="4" t="s">
        <v>46</v>
      </c>
      <c r="N1262" s="4"/>
      <c r="O1262" s="4" t="s">
        <v>174</v>
      </c>
      <c r="P1262" s="4" t="s">
        <v>48</v>
      </c>
      <c r="Q1262" s="4">
        <v>3</v>
      </c>
      <c r="R1262" s="4" t="b">
        <v>0</v>
      </c>
      <c r="S1262" s="4" t="s">
        <v>49</v>
      </c>
      <c r="T1262" s="4" t="s">
        <v>89</v>
      </c>
      <c r="U1262" s="4" t="s">
        <v>51</v>
      </c>
      <c r="V1262" s="4" t="s">
        <v>123</v>
      </c>
      <c r="W1262" s="4" t="s">
        <v>124</v>
      </c>
      <c r="X1262" s="4" t="s">
        <v>98</v>
      </c>
      <c r="Y1262" s="4"/>
      <c r="Z1262" s="12">
        <v>0</v>
      </c>
      <c r="AA1262" s="13" t="s">
        <v>9167</v>
      </c>
      <c r="AB1262" s="13" t="s">
        <v>9168</v>
      </c>
      <c r="AC1262" s="14" t="s">
        <v>9139</v>
      </c>
      <c r="AD1262" s="14" t="s">
        <v>9140</v>
      </c>
      <c r="AE1262" s="14" t="s">
        <v>9140</v>
      </c>
      <c r="AF1262" s="14" t="s">
        <v>123</v>
      </c>
      <c r="AG1262" s="14" t="s">
        <v>98</v>
      </c>
      <c r="AH1262" s="15" t="s">
        <v>9141</v>
      </c>
      <c r="AI1262" s="15" t="s">
        <v>9175</v>
      </c>
      <c r="AJ1262" s="15" t="s">
        <v>9143</v>
      </c>
      <c r="AK1262" s="15" t="s">
        <v>9141</v>
      </c>
      <c r="AL1262" s="15" t="s">
        <v>9177</v>
      </c>
      <c r="AM1262" s="16" t="s">
        <v>9141</v>
      </c>
      <c r="AN1262" s="16" t="s">
        <v>9178</v>
      </c>
    </row>
    <row r="1263" spans="1:40" x14ac:dyDescent="0.25">
      <c r="A1263" s="4" t="s">
        <v>2302</v>
      </c>
      <c r="B1263" s="4"/>
      <c r="C1263" s="4" t="s">
        <v>39</v>
      </c>
      <c r="D1263" s="4" t="s">
        <v>2295</v>
      </c>
      <c r="E1263" s="4" t="s">
        <v>2296</v>
      </c>
      <c r="F1263" s="10">
        <v>45349</v>
      </c>
      <c r="G1263" s="11">
        <v>0.37847222222222221</v>
      </c>
      <c r="H1263" s="4" t="s">
        <v>2095</v>
      </c>
      <c r="I1263" s="4" t="s">
        <v>2271</v>
      </c>
      <c r="J1263" s="4" t="s">
        <v>2272</v>
      </c>
      <c r="K1263" s="4" t="s">
        <v>2303</v>
      </c>
      <c r="L1263" s="4" t="s">
        <v>2304</v>
      </c>
      <c r="M1263" s="4" t="s">
        <v>46</v>
      </c>
      <c r="N1263" s="4"/>
      <c r="O1263" s="4" t="s">
        <v>47</v>
      </c>
      <c r="P1263" s="4" t="s">
        <v>48</v>
      </c>
      <c r="Q1263" s="4">
        <v>0</v>
      </c>
      <c r="R1263" s="4" t="b">
        <v>0</v>
      </c>
      <c r="S1263" s="4" t="s">
        <v>49</v>
      </c>
      <c r="T1263" s="4" t="s">
        <v>70</v>
      </c>
      <c r="U1263" s="4" t="s">
        <v>618</v>
      </c>
      <c r="V1263" s="4" t="s">
        <v>72</v>
      </c>
      <c r="W1263" s="4" t="s">
        <v>73</v>
      </c>
      <c r="X1263" s="4" t="s">
        <v>98</v>
      </c>
      <c r="Y1263" s="4"/>
      <c r="Z1263" s="12">
        <v>0</v>
      </c>
      <c r="AA1263" s="13" t="s">
        <v>9167</v>
      </c>
      <c r="AB1263" s="13" t="s">
        <v>9168</v>
      </c>
      <c r="AC1263" s="14" t="s">
        <v>9139</v>
      </c>
      <c r="AD1263" s="14" t="s">
        <v>9140</v>
      </c>
      <c r="AE1263" s="14" t="s">
        <v>9140</v>
      </c>
      <c r="AF1263" s="14" t="s">
        <v>72</v>
      </c>
      <c r="AG1263" s="14" t="s">
        <v>98</v>
      </c>
      <c r="AH1263" s="15" t="s">
        <v>9194</v>
      </c>
      <c r="AI1263" s="15" t="s">
        <v>9188</v>
      </c>
      <c r="AJ1263" s="15" t="s">
        <v>9143</v>
      </c>
      <c r="AK1263" s="15" t="s">
        <v>9194</v>
      </c>
      <c r="AL1263" s="15" t="s">
        <v>9203</v>
      </c>
      <c r="AM1263" s="16" t="s">
        <v>9194</v>
      </c>
      <c r="AN1263" s="16" t="s">
        <v>9204</v>
      </c>
    </row>
    <row r="1264" spans="1:40" x14ac:dyDescent="0.25">
      <c r="A1264" s="4" t="s">
        <v>3841</v>
      </c>
      <c r="B1264" s="4"/>
      <c r="C1264" s="4" t="s">
        <v>39</v>
      </c>
      <c r="D1264" s="4" t="s">
        <v>3830</v>
      </c>
      <c r="E1264" s="4" t="s">
        <v>3831</v>
      </c>
      <c r="F1264" s="10">
        <v>45349</v>
      </c>
      <c r="G1264" s="11">
        <v>0.66666666666666663</v>
      </c>
      <c r="H1264" s="4" t="s">
        <v>2017</v>
      </c>
      <c r="I1264" s="4" t="s">
        <v>3832</v>
      </c>
      <c r="J1264" s="4" t="s">
        <v>3833</v>
      </c>
      <c r="K1264" s="4" t="s">
        <v>3842</v>
      </c>
      <c r="L1264" s="4" t="s">
        <v>3843</v>
      </c>
      <c r="M1264" s="4" t="s">
        <v>46</v>
      </c>
      <c r="N1264" s="4"/>
      <c r="O1264" s="4" t="s">
        <v>47</v>
      </c>
      <c r="P1264" s="4" t="s">
        <v>48</v>
      </c>
      <c r="Q1264" s="4">
        <v>0</v>
      </c>
      <c r="R1264" s="4" t="b">
        <v>0</v>
      </c>
      <c r="S1264" s="4" t="s">
        <v>49</v>
      </c>
      <c r="T1264" s="4" t="s">
        <v>583</v>
      </c>
      <c r="U1264" s="4" t="s">
        <v>140</v>
      </c>
      <c r="V1264" s="4" t="s">
        <v>52</v>
      </c>
      <c r="W1264" s="4" t="s">
        <v>135</v>
      </c>
      <c r="X1264" s="4" t="s">
        <v>54</v>
      </c>
      <c r="Y1264" s="4"/>
      <c r="Z1264" s="12">
        <v>0</v>
      </c>
      <c r="AA1264" s="13" t="s">
        <v>9167</v>
      </c>
      <c r="AB1264" s="13" t="s">
        <v>9168</v>
      </c>
      <c r="AC1264" s="14" t="s">
        <v>9139</v>
      </c>
      <c r="AD1264" s="14" t="s">
        <v>9140</v>
      </c>
      <c r="AE1264" s="14" t="s">
        <v>9140</v>
      </c>
      <c r="AF1264" s="14" t="s">
        <v>52</v>
      </c>
      <c r="AG1264" s="14" t="s">
        <v>54</v>
      </c>
      <c r="AH1264" s="15" t="s">
        <v>9194</v>
      </c>
      <c r="AI1264" s="15" t="s">
        <v>9199</v>
      </c>
      <c r="AJ1264" s="15" t="s">
        <v>9143</v>
      </c>
      <c r="AK1264" s="15" t="s">
        <v>9194</v>
      </c>
      <c r="AL1264" s="15" t="s">
        <v>9199</v>
      </c>
      <c r="AM1264" s="16" t="s">
        <v>9194</v>
      </c>
      <c r="AN1264" s="16" t="s">
        <v>9200</v>
      </c>
    </row>
    <row r="1265" spans="1:40" x14ac:dyDescent="0.25">
      <c r="A1265" s="4" t="s">
        <v>288</v>
      </c>
      <c r="B1265" s="4"/>
      <c r="C1265" s="4" t="s">
        <v>39</v>
      </c>
      <c r="D1265" s="4" t="s">
        <v>289</v>
      </c>
      <c r="E1265" s="4" t="s">
        <v>290</v>
      </c>
      <c r="F1265" s="10">
        <v>45348</v>
      </c>
      <c r="G1265" s="11">
        <v>0.51041666666666663</v>
      </c>
      <c r="H1265" s="4" t="s">
        <v>42</v>
      </c>
      <c r="I1265" s="4">
        <v>1011</v>
      </c>
      <c r="J1265" s="4" t="s">
        <v>215</v>
      </c>
      <c r="K1265" s="4" t="s">
        <v>291</v>
      </c>
      <c r="L1265" s="4" t="s">
        <v>292</v>
      </c>
      <c r="M1265" s="4" t="s">
        <v>46</v>
      </c>
      <c r="N1265" s="4"/>
      <c r="O1265" s="4" t="s">
        <v>47</v>
      </c>
      <c r="P1265" s="4" t="s">
        <v>48</v>
      </c>
      <c r="Q1265" s="4">
        <v>0</v>
      </c>
      <c r="R1265" s="4" t="b">
        <v>0</v>
      </c>
      <c r="S1265" s="4" t="s">
        <v>49</v>
      </c>
      <c r="T1265" s="4" t="s">
        <v>115</v>
      </c>
      <c r="U1265" s="4" t="s">
        <v>71</v>
      </c>
      <c r="V1265" s="4" t="s">
        <v>72</v>
      </c>
      <c r="W1265" s="4" t="s">
        <v>97</v>
      </c>
      <c r="X1265" s="4" t="s">
        <v>54</v>
      </c>
      <c r="Y1265" s="4"/>
      <c r="Z1265" s="12">
        <v>0</v>
      </c>
      <c r="AA1265" s="13" t="s">
        <v>9167</v>
      </c>
      <c r="AB1265" s="13" t="s">
        <v>9168</v>
      </c>
      <c r="AC1265" s="14" t="s">
        <v>9139</v>
      </c>
      <c r="AD1265" s="14" t="s">
        <v>9140</v>
      </c>
      <c r="AE1265" s="14" t="s">
        <v>9140</v>
      </c>
      <c r="AF1265" s="14" t="s">
        <v>72</v>
      </c>
      <c r="AG1265" s="14" t="s">
        <v>54</v>
      </c>
      <c r="AH1265" s="15" t="s">
        <v>9141</v>
      </c>
      <c r="AI1265" s="15" t="s">
        <v>9142</v>
      </c>
      <c r="AJ1265" s="15" t="s">
        <v>9143</v>
      </c>
      <c r="AK1265" s="15" t="s">
        <v>9141</v>
      </c>
      <c r="AL1265" s="15" t="s">
        <v>9144</v>
      </c>
      <c r="AM1265" s="16" t="s">
        <v>9141</v>
      </c>
      <c r="AN1265" s="16" t="s">
        <v>9145</v>
      </c>
    </row>
    <row r="1266" spans="1:40" x14ac:dyDescent="0.25">
      <c r="A1266" s="4" t="s">
        <v>674</v>
      </c>
      <c r="B1266" s="4"/>
      <c r="C1266" s="4" t="s">
        <v>39</v>
      </c>
      <c r="D1266" s="4" t="s">
        <v>675</v>
      </c>
      <c r="E1266" s="4" t="s">
        <v>676</v>
      </c>
      <c r="F1266" s="10">
        <v>45347</v>
      </c>
      <c r="G1266" s="11">
        <v>0.69791666666666663</v>
      </c>
      <c r="H1266" s="4" t="s">
        <v>463</v>
      </c>
      <c r="I1266" s="4">
        <v>2024</v>
      </c>
      <c r="J1266" s="4" t="s">
        <v>664</v>
      </c>
      <c r="K1266" s="4" t="s">
        <v>677</v>
      </c>
      <c r="L1266" s="4" t="s">
        <v>678</v>
      </c>
      <c r="M1266" s="4" t="s">
        <v>46</v>
      </c>
      <c r="N1266" s="4"/>
      <c r="O1266" s="4" t="s">
        <v>47</v>
      </c>
      <c r="P1266" s="4" t="s">
        <v>48</v>
      </c>
      <c r="Q1266" s="4">
        <v>0</v>
      </c>
      <c r="R1266" s="4" t="b">
        <v>0</v>
      </c>
      <c r="S1266" s="4" t="s">
        <v>49</v>
      </c>
      <c r="T1266" s="4" t="s">
        <v>89</v>
      </c>
      <c r="U1266" s="4" t="s">
        <v>90</v>
      </c>
      <c r="V1266" s="4" t="s">
        <v>72</v>
      </c>
      <c r="W1266" s="4" t="s">
        <v>73</v>
      </c>
      <c r="X1266" s="4" t="s">
        <v>54</v>
      </c>
      <c r="Y1266" s="4"/>
      <c r="Z1266" s="12">
        <v>0</v>
      </c>
      <c r="AA1266" s="13" t="s">
        <v>9169</v>
      </c>
      <c r="AB1266" s="13" t="s">
        <v>9168</v>
      </c>
      <c r="AC1266" s="14" t="s">
        <v>9139</v>
      </c>
      <c r="AD1266" s="14" t="s">
        <v>9140</v>
      </c>
      <c r="AE1266" s="14" t="s">
        <v>9140</v>
      </c>
      <c r="AF1266" s="14" t="s">
        <v>72</v>
      </c>
      <c r="AG1266" s="14" t="s">
        <v>54</v>
      </c>
      <c r="AH1266" s="15" t="s">
        <v>9141</v>
      </c>
      <c r="AI1266" s="15" t="s">
        <v>9175</v>
      </c>
      <c r="AJ1266" s="15" t="s">
        <v>9143</v>
      </c>
      <c r="AK1266" s="15" t="s">
        <v>9141</v>
      </c>
      <c r="AL1266" s="15" t="s">
        <v>9177</v>
      </c>
      <c r="AM1266" s="16" t="s">
        <v>9141</v>
      </c>
      <c r="AN1266" s="16" t="s">
        <v>9178</v>
      </c>
    </row>
    <row r="1267" spans="1:40" x14ac:dyDescent="0.25">
      <c r="A1267" s="4" t="s">
        <v>1603</v>
      </c>
      <c r="B1267" s="4">
        <v>6581995</v>
      </c>
      <c r="C1267" s="4" t="s">
        <v>39</v>
      </c>
      <c r="D1267" s="4" t="s">
        <v>1604</v>
      </c>
      <c r="E1267" s="4" t="s">
        <v>1605</v>
      </c>
      <c r="F1267" s="10">
        <v>45345</v>
      </c>
      <c r="G1267" s="11">
        <v>0.45833333333333331</v>
      </c>
      <c r="H1267" s="4" t="s">
        <v>1366</v>
      </c>
      <c r="I1267" s="4">
        <v>6071</v>
      </c>
      <c r="J1267" s="4" t="s">
        <v>1586</v>
      </c>
      <c r="K1267" s="4" t="s">
        <v>1606</v>
      </c>
      <c r="L1267" s="4" t="s">
        <v>1607</v>
      </c>
      <c r="M1267" s="4" t="s">
        <v>28</v>
      </c>
      <c r="N1267" s="4" t="s">
        <v>147</v>
      </c>
      <c r="O1267" s="4" t="s">
        <v>174</v>
      </c>
      <c r="P1267" s="4" t="s">
        <v>48</v>
      </c>
      <c r="Q1267" s="4">
        <v>0</v>
      </c>
      <c r="R1267" s="4" t="b">
        <v>0</v>
      </c>
      <c r="S1267" s="4" t="s">
        <v>61</v>
      </c>
      <c r="T1267" s="4" t="s">
        <v>89</v>
      </c>
      <c r="U1267" s="4" t="s">
        <v>51</v>
      </c>
      <c r="V1267" s="4" t="s">
        <v>72</v>
      </c>
      <c r="W1267" s="4" t="s">
        <v>73</v>
      </c>
      <c r="X1267" s="4" t="s">
        <v>98</v>
      </c>
      <c r="Y1267" s="4"/>
      <c r="Z1267" s="12" t="s">
        <v>48</v>
      </c>
      <c r="AA1267" s="13" t="s">
        <v>9169</v>
      </c>
      <c r="AB1267" s="13" t="s">
        <v>9168</v>
      </c>
      <c r="AC1267" s="14" t="s">
        <v>9148</v>
      </c>
      <c r="AD1267" s="14" t="s">
        <v>28</v>
      </c>
      <c r="AE1267" s="14" t="s">
        <v>9140</v>
      </c>
      <c r="AF1267" s="14" t="s">
        <v>72</v>
      </c>
      <c r="AG1267" s="14" t="s">
        <v>98</v>
      </c>
      <c r="AH1267" s="15" t="s">
        <v>9141</v>
      </c>
      <c r="AI1267" s="15" t="s">
        <v>9188</v>
      </c>
      <c r="AJ1267" s="15" t="s">
        <v>9143</v>
      </c>
      <c r="AK1267" s="15" t="s">
        <v>9141</v>
      </c>
      <c r="AL1267" s="15" t="s">
        <v>9191</v>
      </c>
      <c r="AM1267" s="16" t="s">
        <v>9141</v>
      </c>
      <c r="AN1267" s="16" t="s">
        <v>9192</v>
      </c>
    </row>
    <row r="1268" spans="1:40" x14ac:dyDescent="0.25">
      <c r="A1268" s="4" t="s">
        <v>1122</v>
      </c>
      <c r="B1268" s="4"/>
      <c r="C1268" s="4" t="s">
        <v>39</v>
      </c>
      <c r="D1268" s="4" t="s">
        <v>1117</v>
      </c>
      <c r="E1268" s="4" t="s">
        <v>1118</v>
      </c>
      <c r="F1268" s="10">
        <v>45345</v>
      </c>
      <c r="G1268" s="11">
        <v>0.5625</v>
      </c>
      <c r="H1268" s="4" t="s">
        <v>463</v>
      </c>
      <c r="I1268" s="4">
        <v>2059</v>
      </c>
      <c r="J1268" s="4" t="s">
        <v>1101</v>
      </c>
      <c r="K1268" s="4" t="s">
        <v>1123</v>
      </c>
      <c r="L1268" s="4" t="s">
        <v>1124</v>
      </c>
      <c r="M1268" s="4" t="s">
        <v>46</v>
      </c>
      <c r="N1268" s="4"/>
      <c r="O1268" s="4" t="s">
        <v>47</v>
      </c>
      <c r="P1268" s="4" t="s">
        <v>48</v>
      </c>
      <c r="Q1268" s="4">
        <v>0</v>
      </c>
      <c r="R1268" s="4" t="b">
        <v>0</v>
      </c>
      <c r="S1268" s="4" t="s">
        <v>61</v>
      </c>
      <c r="T1268" s="4" t="s">
        <v>583</v>
      </c>
      <c r="U1268" s="4" t="s">
        <v>51</v>
      </c>
      <c r="V1268" s="4" t="s">
        <v>52</v>
      </c>
      <c r="W1268" s="4" t="s">
        <v>135</v>
      </c>
      <c r="X1268" s="4" t="s">
        <v>54</v>
      </c>
      <c r="Y1268" s="4"/>
      <c r="Z1268" s="12">
        <v>0</v>
      </c>
      <c r="AA1268" s="13" t="s">
        <v>9169</v>
      </c>
      <c r="AB1268" s="13" t="s">
        <v>9168</v>
      </c>
      <c r="AC1268" s="14" t="s">
        <v>9148</v>
      </c>
      <c r="AD1268" s="14" t="s">
        <v>9140</v>
      </c>
      <c r="AE1268" s="14" t="s">
        <v>9140</v>
      </c>
      <c r="AF1268" s="14" t="s">
        <v>52</v>
      </c>
      <c r="AG1268" s="14" t="s">
        <v>54</v>
      </c>
      <c r="AH1268" s="15" t="s">
        <v>9141</v>
      </c>
      <c r="AI1268" s="15" t="s">
        <v>9175</v>
      </c>
      <c r="AJ1268" s="15" t="s">
        <v>9143</v>
      </c>
      <c r="AK1268" s="15" t="s">
        <v>9141</v>
      </c>
      <c r="AL1268" s="15" t="s">
        <v>9175</v>
      </c>
      <c r="AM1268" s="16" t="s">
        <v>9141</v>
      </c>
      <c r="AN1268" s="16" t="s">
        <v>9176</v>
      </c>
    </row>
    <row r="1269" spans="1:40" x14ac:dyDescent="0.25">
      <c r="A1269" s="4" t="s">
        <v>2877</v>
      </c>
      <c r="B1269" s="4"/>
      <c r="C1269" s="4" t="s">
        <v>39</v>
      </c>
      <c r="D1269" s="4" t="s">
        <v>2878</v>
      </c>
      <c r="E1269" s="4" t="s">
        <v>2879</v>
      </c>
      <c r="F1269" s="10">
        <v>45345</v>
      </c>
      <c r="G1269" s="11">
        <v>0.45833333333333331</v>
      </c>
      <c r="H1269" s="4" t="s">
        <v>2168</v>
      </c>
      <c r="I1269" s="4" t="s">
        <v>2861</v>
      </c>
      <c r="J1269" s="4" t="s">
        <v>2862</v>
      </c>
      <c r="K1269" s="4" t="s">
        <v>2880</v>
      </c>
      <c r="L1269" s="4" t="s">
        <v>2881</v>
      </c>
      <c r="M1269" s="4" t="s">
        <v>46</v>
      </c>
      <c r="N1269" s="4"/>
      <c r="O1269" s="4" t="s">
        <v>47</v>
      </c>
      <c r="P1269" s="4" t="s">
        <v>48</v>
      </c>
      <c r="Q1269" s="4">
        <v>0</v>
      </c>
      <c r="R1269" s="4" t="b">
        <v>0</v>
      </c>
      <c r="S1269" s="4" t="s">
        <v>61</v>
      </c>
      <c r="T1269" s="4" t="s">
        <v>70</v>
      </c>
      <c r="U1269" s="4" t="s">
        <v>224</v>
      </c>
      <c r="V1269" s="4" t="s">
        <v>63</v>
      </c>
      <c r="W1269" s="4" t="s">
        <v>108</v>
      </c>
      <c r="X1269" s="4" t="s">
        <v>98</v>
      </c>
      <c r="Y1269" s="4"/>
      <c r="Z1269" s="12">
        <v>0</v>
      </c>
      <c r="AA1269" s="13" t="s">
        <v>9169</v>
      </c>
      <c r="AB1269" s="13" t="s">
        <v>9168</v>
      </c>
      <c r="AC1269" s="14" t="s">
        <v>9148</v>
      </c>
      <c r="AD1269" s="14" t="s">
        <v>9140</v>
      </c>
      <c r="AE1269" s="14" t="s">
        <v>9140</v>
      </c>
      <c r="AF1269" s="14" t="s">
        <v>63</v>
      </c>
      <c r="AG1269" s="14" t="s">
        <v>98</v>
      </c>
      <c r="AH1269" s="15" t="s">
        <v>9194</v>
      </c>
      <c r="AI1269" s="15" t="s">
        <v>9142</v>
      </c>
      <c r="AJ1269" s="15" t="s">
        <v>9143</v>
      </c>
      <c r="AK1269" s="15" t="s">
        <v>9194</v>
      </c>
      <c r="AL1269" s="15" t="s">
        <v>9207</v>
      </c>
      <c r="AM1269" s="16" t="s">
        <v>9194</v>
      </c>
      <c r="AN1269" s="16" t="s">
        <v>9208</v>
      </c>
    </row>
    <row r="1270" spans="1:40" x14ac:dyDescent="0.25">
      <c r="A1270" s="4" t="s">
        <v>5904</v>
      </c>
      <c r="B1270" s="4"/>
      <c r="C1270" s="4" t="s">
        <v>39</v>
      </c>
      <c r="D1270" s="4" t="s">
        <v>5874</v>
      </c>
      <c r="E1270" s="4" t="s">
        <v>5875</v>
      </c>
      <c r="F1270" s="10">
        <v>45345</v>
      </c>
      <c r="G1270" s="11">
        <v>0.625</v>
      </c>
      <c r="H1270" s="4" t="s">
        <v>5666</v>
      </c>
      <c r="I1270" s="4" t="s">
        <v>5876</v>
      </c>
      <c r="J1270" s="4" t="s">
        <v>3313</v>
      </c>
      <c r="K1270" s="4" t="s">
        <v>5905</v>
      </c>
      <c r="L1270" s="4" t="s">
        <v>5906</v>
      </c>
      <c r="M1270" s="4" t="s">
        <v>46</v>
      </c>
      <c r="N1270" s="4"/>
      <c r="O1270" s="4" t="s">
        <v>47</v>
      </c>
      <c r="P1270" s="4" t="s">
        <v>48</v>
      </c>
      <c r="Q1270" s="4">
        <v>0</v>
      </c>
      <c r="R1270" s="4" t="b">
        <v>0</v>
      </c>
      <c r="S1270" s="4" t="s">
        <v>114</v>
      </c>
      <c r="T1270" s="4" t="s">
        <v>89</v>
      </c>
      <c r="U1270" s="4" t="s">
        <v>140</v>
      </c>
      <c r="V1270" s="4" t="s">
        <v>52</v>
      </c>
      <c r="W1270" s="4" t="s">
        <v>135</v>
      </c>
      <c r="X1270" s="4" t="s">
        <v>54</v>
      </c>
      <c r="Y1270" s="4"/>
      <c r="Z1270" s="12">
        <v>0</v>
      </c>
      <c r="AA1270" s="13" t="s">
        <v>9169</v>
      </c>
      <c r="AB1270" s="13" t="s">
        <v>9168</v>
      </c>
      <c r="AC1270" s="14" t="s">
        <v>9157</v>
      </c>
      <c r="AD1270" s="14" t="s">
        <v>9140</v>
      </c>
      <c r="AE1270" s="14" t="s">
        <v>9140</v>
      </c>
      <c r="AF1270" s="14" t="s">
        <v>52</v>
      </c>
      <c r="AG1270" s="14" t="s">
        <v>54</v>
      </c>
      <c r="AH1270" s="15" t="s">
        <v>9220</v>
      </c>
      <c r="AI1270" s="15" t="s">
        <v>9199</v>
      </c>
      <c r="AJ1270" s="15" t="s">
        <v>9143</v>
      </c>
      <c r="AK1270" s="15" t="s">
        <v>9221</v>
      </c>
      <c r="AL1270" s="15" t="s">
        <v>9199</v>
      </c>
      <c r="AM1270" s="16" t="s">
        <v>9221</v>
      </c>
      <c r="AN1270" s="16" t="s">
        <v>9238</v>
      </c>
    </row>
    <row r="1271" spans="1:40" x14ac:dyDescent="0.25">
      <c r="A1271" s="4" t="s">
        <v>4788</v>
      </c>
      <c r="B1271" s="4">
        <v>6584759</v>
      </c>
      <c r="C1271" s="4" t="s">
        <v>39</v>
      </c>
      <c r="D1271" s="4" t="s">
        <v>4789</v>
      </c>
      <c r="E1271" s="4" t="s">
        <v>4790</v>
      </c>
      <c r="F1271" s="10">
        <v>45345</v>
      </c>
      <c r="G1271" s="11">
        <v>0.63541666666666663</v>
      </c>
      <c r="H1271" s="4" t="s">
        <v>4516</v>
      </c>
      <c r="I1271" s="4" t="s">
        <v>4774</v>
      </c>
      <c r="J1271" s="4" t="s">
        <v>4775</v>
      </c>
      <c r="K1271" s="4" t="s">
        <v>4791</v>
      </c>
      <c r="L1271" s="4" t="s">
        <v>4792</v>
      </c>
      <c r="M1271" s="4" t="s">
        <v>28</v>
      </c>
      <c r="N1271" s="4" t="s">
        <v>183</v>
      </c>
      <c r="O1271" s="4" t="s">
        <v>174</v>
      </c>
      <c r="P1271" s="4" t="s">
        <v>48</v>
      </c>
      <c r="Q1271" s="4">
        <v>8</v>
      </c>
      <c r="R1271" s="4" t="b">
        <v>0</v>
      </c>
      <c r="S1271" s="4" t="s">
        <v>184</v>
      </c>
      <c r="T1271" s="4" t="s">
        <v>70</v>
      </c>
      <c r="U1271" s="4" t="s">
        <v>165</v>
      </c>
      <c r="V1271" s="4" t="s">
        <v>63</v>
      </c>
      <c r="W1271" s="4" t="s">
        <v>108</v>
      </c>
      <c r="X1271" s="4" t="s">
        <v>54</v>
      </c>
      <c r="Y1271" s="4"/>
      <c r="Z1271" s="12" t="s">
        <v>48</v>
      </c>
      <c r="AA1271" s="13" t="s">
        <v>9169</v>
      </c>
      <c r="AB1271" s="13" t="s">
        <v>9168</v>
      </c>
      <c r="AC1271" s="14" t="s">
        <v>9166</v>
      </c>
      <c r="AD1271" s="14" t="s">
        <v>28</v>
      </c>
      <c r="AE1271" s="14" t="s">
        <v>183</v>
      </c>
      <c r="AF1271" s="14" t="s">
        <v>63</v>
      </c>
      <c r="AG1271" s="14" t="s">
        <v>54</v>
      </c>
      <c r="AH1271" s="15" t="s">
        <v>9220</v>
      </c>
      <c r="AI1271" s="15" t="s">
        <v>9188</v>
      </c>
      <c r="AJ1271" s="15" t="s">
        <v>9143</v>
      </c>
      <c r="AK1271" s="15" t="s">
        <v>9221</v>
      </c>
      <c r="AL1271" s="15" t="s">
        <v>9232</v>
      </c>
      <c r="AM1271" s="16" t="s">
        <v>9221</v>
      </c>
      <c r="AN1271" s="16" t="s">
        <v>9233</v>
      </c>
    </row>
    <row r="1272" spans="1:40" x14ac:dyDescent="0.25">
      <c r="A1272" s="4" t="s">
        <v>4627</v>
      </c>
      <c r="B1272" s="4"/>
      <c r="C1272" s="4" t="s">
        <v>39</v>
      </c>
      <c r="D1272" s="4" t="s">
        <v>4595</v>
      </c>
      <c r="E1272" s="4" t="s">
        <v>4596</v>
      </c>
      <c r="F1272" s="10">
        <v>45345</v>
      </c>
      <c r="G1272" s="11">
        <v>0.45833333333333331</v>
      </c>
      <c r="H1272" s="4" t="s">
        <v>4516</v>
      </c>
      <c r="I1272" s="4" t="s">
        <v>4586</v>
      </c>
      <c r="J1272" s="4" t="s">
        <v>2630</v>
      </c>
      <c r="K1272" s="4" t="s">
        <v>321</v>
      </c>
      <c r="L1272" s="4" t="s">
        <v>4628</v>
      </c>
      <c r="M1272" s="4" t="s">
        <v>46</v>
      </c>
      <c r="N1272" s="4"/>
      <c r="O1272" s="4" t="s">
        <v>47</v>
      </c>
      <c r="P1272" s="4" t="s">
        <v>48</v>
      </c>
      <c r="Q1272" s="4">
        <v>0</v>
      </c>
      <c r="R1272" s="4" t="b">
        <v>0</v>
      </c>
      <c r="S1272" s="4" t="s">
        <v>61</v>
      </c>
      <c r="T1272" s="4" t="s">
        <v>89</v>
      </c>
      <c r="U1272" s="4" t="s">
        <v>148</v>
      </c>
      <c r="V1272" s="4" t="s">
        <v>52</v>
      </c>
      <c r="W1272" s="4" t="s">
        <v>255</v>
      </c>
      <c r="X1272" s="4" t="s">
        <v>54</v>
      </c>
      <c r="Y1272" s="4"/>
      <c r="Z1272" s="12">
        <v>0</v>
      </c>
      <c r="AA1272" s="13" t="s">
        <v>9169</v>
      </c>
      <c r="AB1272" s="13" t="s">
        <v>9168</v>
      </c>
      <c r="AC1272" s="14" t="s">
        <v>9148</v>
      </c>
      <c r="AD1272" s="14" t="s">
        <v>9140</v>
      </c>
      <c r="AE1272" s="14" t="s">
        <v>9140</v>
      </c>
      <c r="AF1272" s="14" t="s">
        <v>52</v>
      </c>
      <c r="AG1272" s="14" t="s">
        <v>54</v>
      </c>
      <c r="AH1272" s="15" t="s">
        <v>9220</v>
      </c>
      <c r="AI1272" s="15" t="s">
        <v>9188</v>
      </c>
      <c r="AJ1272" s="15" t="s">
        <v>9143</v>
      </c>
      <c r="AK1272" s="15" t="s">
        <v>9221</v>
      </c>
      <c r="AL1272" s="15" t="s">
        <v>9232</v>
      </c>
      <c r="AM1272" s="16" t="s">
        <v>9221</v>
      </c>
      <c r="AN1272" s="16" t="s">
        <v>9233</v>
      </c>
    </row>
    <row r="1273" spans="1:40" x14ac:dyDescent="0.25">
      <c r="A1273" s="4" t="s">
        <v>8536</v>
      </c>
      <c r="B1273" s="4"/>
      <c r="C1273" s="4" t="s">
        <v>39</v>
      </c>
      <c r="D1273" s="4" t="s">
        <v>8537</v>
      </c>
      <c r="E1273" s="4" t="s">
        <v>8538</v>
      </c>
      <c r="F1273" s="10">
        <v>45345</v>
      </c>
      <c r="G1273" s="11">
        <v>0.7270833333333333</v>
      </c>
      <c r="H1273" s="4" t="s">
        <v>4910</v>
      </c>
      <c r="I1273" s="4" t="s">
        <v>8527</v>
      </c>
      <c r="J1273" s="4" t="s">
        <v>8528</v>
      </c>
      <c r="K1273" s="4" t="s">
        <v>8539</v>
      </c>
      <c r="L1273" s="4" t="s">
        <v>8540</v>
      </c>
      <c r="M1273" s="4" t="s">
        <v>46</v>
      </c>
      <c r="N1273" s="4"/>
      <c r="O1273" s="4" t="s">
        <v>47</v>
      </c>
      <c r="P1273" s="4" t="s">
        <v>48</v>
      </c>
      <c r="Q1273" s="4">
        <v>0</v>
      </c>
      <c r="R1273" s="4" t="b">
        <v>0</v>
      </c>
      <c r="S1273" s="4" t="s">
        <v>49</v>
      </c>
      <c r="T1273" s="4" t="s">
        <v>89</v>
      </c>
      <c r="U1273" s="4" t="s">
        <v>51</v>
      </c>
      <c r="V1273" s="4" t="s">
        <v>123</v>
      </c>
      <c r="W1273" s="4" t="s">
        <v>124</v>
      </c>
      <c r="X1273" s="4" t="s">
        <v>98</v>
      </c>
      <c r="Y1273" s="4"/>
      <c r="Z1273" s="12">
        <v>0</v>
      </c>
      <c r="AA1273" s="13" t="s">
        <v>9169</v>
      </c>
      <c r="AB1273" s="13" t="s">
        <v>9168</v>
      </c>
      <c r="AC1273" s="14" t="s">
        <v>9139</v>
      </c>
      <c r="AD1273" s="14" t="s">
        <v>9140</v>
      </c>
      <c r="AE1273" s="14" t="s">
        <v>9140</v>
      </c>
      <c r="AF1273" s="14" t="s">
        <v>123</v>
      </c>
      <c r="AG1273" s="14" t="s">
        <v>98</v>
      </c>
      <c r="AH1273" s="15" t="s">
        <v>9220</v>
      </c>
      <c r="AI1273" s="15" t="s">
        <v>9191</v>
      </c>
      <c r="AJ1273" s="15" t="s">
        <v>9143</v>
      </c>
      <c r="AK1273" s="15" t="s">
        <v>9221</v>
      </c>
      <c r="AL1273" s="15" t="s">
        <v>9236</v>
      </c>
      <c r="AM1273" s="16" t="s">
        <v>9221</v>
      </c>
      <c r="AN1273" s="16" t="s">
        <v>9237</v>
      </c>
    </row>
    <row r="1274" spans="1:40" x14ac:dyDescent="0.25">
      <c r="A1274" s="4" t="s">
        <v>6026</v>
      </c>
      <c r="B1274" s="4"/>
      <c r="C1274" s="4" t="s">
        <v>39</v>
      </c>
      <c r="D1274" s="4" t="s">
        <v>5924</v>
      </c>
      <c r="E1274" s="4" t="s">
        <v>5925</v>
      </c>
      <c r="F1274" s="10">
        <v>45345</v>
      </c>
      <c r="G1274" s="11">
        <v>0.51041666666666663</v>
      </c>
      <c r="H1274" s="4" t="s">
        <v>4242</v>
      </c>
      <c r="I1274" s="4" t="s">
        <v>5918</v>
      </c>
      <c r="J1274" s="4" t="s">
        <v>5919</v>
      </c>
      <c r="K1274" s="4" t="s">
        <v>1245</v>
      </c>
      <c r="L1274" s="4" t="s">
        <v>6027</v>
      </c>
      <c r="M1274" s="4" t="s">
        <v>46</v>
      </c>
      <c r="N1274" s="4"/>
      <c r="O1274" s="4" t="s">
        <v>47</v>
      </c>
      <c r="P1274" s="4" t="s">
        <v>48</v>
      </c>
      <c r="Q1274" s="4">
        <v>0</v>
      </c>
      <c r="R1274" s="4" t="b">
        <v>0</v>
      </c>
      <c r="S1274" s="4" t="s">
        <v>61</v>
      </c>
      <c r="T1274" s="4" t="s">
        <v>89</v>
      </c>
      <c r="U1274" s="4" t="s">
        <v>148</v>
      </c>
      <c r="V1274" s="4" t="s">
        <v>123</v>
      </c>
      <c r="W1274" s="4" t="s">
        <v>192</v>
      </c>
      <c r="X1274" s="4" t="s">
        <v>98</v>
      </c>
      <c r="Y1274" s="4" t="s">
        <v>302</v>
      </c>
      <c r="Z1274" s="12">
        <v>0</v>
      </c>
      <c r="AA1274" s="13" t="s">
        <v>9169</v>
      </c>
      <c r="AB1274" s="13" t="s">
        <v>9168</v>
      </c>
      <c r="AC1274" s="14" t="s">
        <v>9148</v>
      </c>
      <c r="AD1274" s="14" t="s">
        <v>9140</v>
      </c>
      <c r="AE1274" s="14" t="s">
        <v>9140</v>
      </c>
      <c r="AF1274" s="14" t="s">
        <v>123</v>
      </c>
      <c r="AG1274" s="14" t="s">
        <v>98</v>
      </c>
      <c r="AH1274" s="15" t="s">
        <v>9220</v>
      </c>
      <c r="AI1274" s="15" t="s">
        <v>9187</v>
      </c>
      <c r="AJ1274" s="15" t="s">
        <v>9143</v>
      </c>
      <c r="AK1274" s="15" t="s">
        <v>9221</v>
      </c>
      <c r="AL1274" s="15" t="s">
        <v>9226</v>
      </c>
      <c r="AM1274" s="16" t="s">
        <v>9221</v>
      </c>
      <c r="AN1274" s="16" t="s">
        <v>9227</v>
      </c>
    </row>
    <row r="1275" spans="1:40" x14ac:dyDescent="0.25">
      <c r="A1275" s="4" t="s">
        <v>7388</v>
      </c>
      <c r="B1275" s="4"/>
      <c r="C1275" s="4" t="s">
        <v>39</v>
      </c>
      <c r="D1275" s="4" t="s">
        <v>7331</v>
      </c>
      <c r="E1275" s="4" t="s">
        <v>7332</v>
      </c>
      <c r="F1275" s="10">
        <v>45345</v>
      </c>
      <c r="G1275" s="11">
        <v>0.625</v>
      </c>
      <c r="H1275" s="4" t="s">
        <v>4019</v>
      </c>
      <c r="I1275" s="4" t="s">
        <v>7315</v>
      </c>
      <c r="J1275" s="4" t="s">
        <v>1037</v>
      </c>
      <c r="K1275" s="4" t="s">
        <v>7389</v>
      </c>
      <c r="L1275" s="4" t="s">
        <v>7390</v>
      </c>
      <c r="M1275" s="4" t="s">
        <v>46</v>
      </c>
      <c r="N1275" s="4"/>
      <c r="O1275" s="4" t="s">
        <v>47</v>
      </c>
      <c r="P1275" s="4" t="s">
        <v>48</v>
      </c>
      <c r="Q1275" s="4">
        <v>0</v>
      </c>
      <c r="R1275" s="4" t="b">
        <v>0</v>
      </c>
      <c r="S1275" s="4" t="s">
        <v>61</v>
      </c>
      <c r="T1275" s="4" t="s">
        <v>70</v>
      </c>
      <c r="U1275" s="4" t="s">
        <v>71</v>
      </c>
      <c r="V1275" s="4" t="s">
        <v>72</v>
      </c>
      <c r="W1275" s="4" t="s">
        <v>73</v>
      </c>
      <c r="X1275" s="4" t="s">
        <v>54</v>
      </c>
      <c r="Y1275" s="4"/>
      <c r="Z1275" s="12">
        <v>0</v>
      </c>
      <c r="AA1275" s="13" t="s">
        <v>9169</v>
      </c>
      <c r="AB1275" s="13" t="s">
        <v>9168</v>
      </c>
      <c r="AC1275" s="14" t="s">
        <v>9148</v>
      </c>
      <c r="AD1275" s="14" t="s">
        <v>9140</v>
      </c>
      <c r="AE1275" s="14" t="s">
        <v>9140</v>
      </c>
      <c r="AF1275" s="14" t="s">
        <v>72</v>
      </c>
      <c r="AG1275" s="14" t="s">
        <v>54</v>
      </c>
      <c r="AH1275" s="15" t="s">
        <v>9220</v>
      </c>
      <c r="AI1275" s="15" t="s">
        <v>9175</v>
      </c>
      <c r="AJ1275" s="15" t="s">
        <v>9143</v>
      </c>
      <c r="AK1275" s="15" t="s">
        <v>9221</v>
      </c>
      <c r="AL1275" s="15" t="s">
        <v>9222</v>
      </c>
      <c r="AM1275" s="16" t="s">
        <v>9221</v>
      </c>
      <c r="AN1275" s="16" t="s">
        <v>9223</v>
      </c>
    </row>
    <row r="1276" spans="1:40" x14ac:dyDescent="0.25">
      <c r="A1276" s="4" t="s">
        <v>8959</v>
      </c>
      <c r="B1276" s="4"/>
      <c r="C1276" s="4" t="s">
        <v>39</v>
      </c>
      <c r="D1276" s="4" t="s">
        <v>8960</v>
      </c>
      <c r="E1276" s="4" t="s">
        <v>8961</v>
      </c>
      <c r="F1276" s="10">
        <v>45344</v>
      </c>
      <c r="G1276" s="11">
        <v>0.39861111111111114</v>
      </c>
      <c r="H1276" s="4" t="s">
        <v>4019</v>
      </c>
      <c r="I1276" s="4" t="s">
        <v>8952</v>
      </c>
      <c r="J1276" s="4" t="s">
        <v>8953</v>
      </c>
      <c r="K1276" s="4" t="s">
        <v>8962</v>
      </c>
      <c r="L1276" s="4" t="s">
        <v>8963</v>
      </c>
      <c r="M1276" s="4" t="s">
        <v>46</v>
      </c>
      <c r="N1276" s="4"/>
      <c r="O1276" s="4" t="s">
        <v>174</v>
      </c>
      <c r="P1276" s="4" t="s">
        <v>48</v>
      </c>
      <c r="Q1276" s="4">
        <v>2</v>
      </c>
      <c r="R1276" s="4" t="b">
        <v>0</v>
      </c>
      <c r="S1276" s="4" t="s">
        <v>184</v>
      </c>
      <c r="T1276" s="4" t="s">
        <v>479</v>
      </c>
      <c r="U1276" s="4" t="s">
        <v>140</v>
      </c>
      <c r="V1276" s="4" t="s">
        <v>123</v>
      </c>
      <c r="W1276" s="4" t="s">
        <v>192</v>
      </c>
      <c r="X1276" s="4" t="s">
        <v>1091</v>
      </c>
      <c r="Y1276" s="4" t="s">
        <v>302</v>
      </c>
      <c r="Z1276" s="12">
        <v>0</v>
      </c>
      <c r="AA1276" s="13" t="s">
        <v>9169</v>
      </c>
      <c r="AB1276" s="13" t="s">
        <v>9168</v>
      </c>
      <c r="AC1276" s="14" t="s">
        <v>9166</v>
      </c>
      <c r="AD1276" s="14" t="s">
        <v>9140</v>
      </c>
      <c r="AE1276" s="14" t="s">
        <v>9140</v>
      </c>
      <c r="AF1276" s="14" t="s">
        <v>123</v>
      </c>
      <c r="AG1276" s="14" t="s">
        <v>1091</v>
      </c>
      <c r="AH1276" s="15" t="s">
        <v>9220</v>
      </c>
      <c r="AI1276" s="15" t="s">
        <v>9175</v>
      </c>
      <c r="AJ1276" s="15" t="s">
        <v>9183</v>
      </c>
      <c r="AK1276" s="15" t="s">
        <v>9241</v>
      </c>
      <c r="AL1276" s="15" t="s">
        <v>9242</v>
      </c>
      <c r="AM1276" s="16" t="s">
        <v>9186</v>
      </c>
      <c r="AN1276" s="16" t="s">
        <v>9186</v>
      </c>
    </row>
    <row r="1277" spans="1:40" x14ac:dyDescent="0.25">
      <c r="A1277" s="4" t="s">
        <v>7108</v>
      </c>
      <c r="B1277" s="4"/>
      <c r="C1277" s="4" t="s">
        <v>39</v>
      </c>
      <c r="D1277" s="4" t="s">
        <v>7038</v>
      </c>
      <c r="E1277" s="4" t="s">
        <v>7039</v>
      </c>
      <c r="F1277" s="10">
        <v>45344</v>
      </c>
      <c r="G1277" s="11">
        <v>0.63055555555555554</v>
      </c>
      <c r="H1277" s="4" t="s">
        <v>4242</v>
      </c>
      <c r="I1277" s="4" t="s">
        <v>7028</v>
      </c>
      <c r="J1277" s="4" t="s">
        <v>7029</v>
      </c>
      <c r="K1277" s="4" t="s">
        <v>7109</v>
      </c>
      <c r="L1277" s="4" t="s">
        <v>7110</v>
      </c>
      <c r="M1277" s="4" t="s">
        <v>46</v>
      </c>
      <c r="N1277" s="4"/>
      <c r="O1277" s="4" t="s">
        <v>47</v>
      </c>
      <c r="P1277" s="4" t="s">
        <v>48</v>
      </c>
      <c r="Q1277" s="4">
        <v>0</v>
      </c>
      <c r="R1277" s="4" t="b">
        <v>0</v>
      </c>
      <c r="S1277" s="4" t="s">
        <v>49</v>
      </c>
      <c r="T1277" s="4" t="s">
        <v>433</v>
      </c>
      <c r="U1277" s="4" t="s">
        <v>224</v>
      </c>
      <c r="V1277" s="4" t="s">
        <v>72</v>
      </c>
      <c r="W1277" s="4" t="s">
        <v>73</v>
      </c>
      <c r="X1277" s="4" t="s">
        <v>54</v>
      </c>
      <c r="Y1277" s="4"/>
      <c r="Z1277" s="12">
        <v>0</v>
      </c>
      <c r="AA1277" s="13" t="s">
        <v>9169</v>
      </c>
      <c r="AB1277" s="13" t="s">
        <v>9168</v>
      </c>
      <c r="AC1277" s="14" t="s">
        <v>9139</v>
      </c>
      <c r="AD1277" s="14" t="s">
        <v>9140</v>
      </c>
      <c r="AE1277" s="14" t="s">
        <v>9140</v>
      </c>
      <c r="AF1277" s="14" t="s">
        <v>72</v>
      </c>
      <c r="AG1277" s="14" t="s">
        <v>54</v>
      </c>
      <c r="AH1277" s="15" t="s">
        <v>9220</v>
      </c>
      <c r="AI1277" s="15" t="s">
        <v>9187</v>
      </c>
      <c r="AJ1277" s="15" t="s">
        <v>9143</v>
      </c>
      <c r="AK1277" s="15" t="s">
        <v>9221</v>
      </c>
      <c r="AL1277" s="15" t="s">
        <v>9226</v>
      </c>
      <c r="AM1277" s="16" t="s">
        <v>9221</v>
      </c>
      <c r="AN1277" s="16" t="s">
        <v>9227</v>
      </c>
    </row>
    <row r="1278" spans="1:40" x14ac:dyDescent="0.25">
      <c r="A1278" s="4" t="s">
        <v>6815</v>
      </c>
      <c r="B1278" s="4"/>
      <c r="C1278" s="4" t="s">
        <v>39</v>
      </c>
      <c r="D1278" s="4" t="s">
        <v>6808</v>
      </c>
      <c r="E1278" s="4" t="s">
        <v>6809</v>
      </c>
      <c r="F1278" s="10">
        <v>45344</v>
      </c>
      <c r="G1278" s="11">
        <v>0.62847222222222221</v>
      </c>
      <c r="H1278" s="4" t="s">
        <v>4910</v>
      </c>
      <c r="I1278" s="4" t="s">
        <v>6800</v>
      </c>
      <c r="J1278" s="4" t="s">
        <v>2914</v>
      </c>
      <c r="K1278" s="4" t="s">
        <v>6816</v>
      </c>
      <c r="L1278" s="4" t="s">
        <v>6817</v>
      </c>
      <c r="M1278" s="4" t="s">
        <v>46</v>
      </c>
      <c r="N1278" s="4"/>
      <c r="O1278" s="4" t="s">
        <v>47</v>
      </c>
      <c r="P1278" s="4" t="s">
        <v>48</v>
      </c>
      <c r="Q1278" s="4">
        <v>0</v>
      </c>
      <c r="R1278" s="4" t="b">
        <v>0</v>
      </c>
      <c r="S1278" s="4" t="s">
        <v>61</v>
      </c>
      <c r="T1278" s="4" t="s">
        <v>89</v>
      </c>
      <c r="U1278" s="4" t="s">
        <v>107</v>
      </c>
      <c r="V1278" s="4" t="s">
        <v>63</v>
      </c>
      <c r="W1278" s="4" t="s">
        <v>108</v>
      </c>
      <c r="X1278" s="4" t="s">
        <v>98</v>
      </c>
      <c r="Y1278" s="4" t="s">
        <v>176</v>
      </c>
      <c r="Z1278" s="12">
        <v>0</v>
      </c>
      <c r="AA1278" s="13" t="s">
        <v>9169</v>
      </c>
      <c r="AB1278" s="13" t="s">
        <v>9168</v>
      </c>
      <c r="AC1278" s="14" t="s">
        <v>9148</v>
      </c>
      <c r="AD1278" s="14" t="s">
        <v>9140</v>
      </c>
      <c r="AE1278" s="14" t="s">
        <v>9140</v>
      </c>
      <c r="AF1278" s="14" t="s">
        <v>63</v>
      </c>
      <c r="AG1278" s="14" t="s">
        <v>98</v>
      </c>
      <c r="AH1278" s="15" t="s">
        <v>9220</v>
      </c>
      <c r="AI1278" s="15" t="s">
        <v>9191</v>
      </c>
      <c r="AJ1278" s="15" t="s">
        <v>9143</v>
      </c>
      <c r="AK1278" s="15" t="s">
        <v>9221</v>
      </c>
      <c r="AL1278" s="15" t="s">
        <v>9234</v>
      </c>
      <c r="AM1278" s="16" t="s">
        <v>9221</v>
      </c>
      <c r="AN1278" s="16" t="s">
        <v>9235</v>
      </c>
    </row>
    <row r="1279" spans="1:40" x14ac:dyDescent="0.25">
      <c r="A1279" s="4" t="s">
        <v>595</v>
      </c>
      <c r="B1279" s="4">
        <v>12230104501</v>
      </c>
      <c r="C1279" s="4" t="s">
        <v>39</v>
      </c>
      <c r="D1279" s="4" t="s">
        <v>596</v>
      </c>
      <c r="E1279" s="4" t="s">
        <v>597</v>
      </c>
      <c r="F1279" s="10">
        <v>45344</v>
      </c>
      <c r="G1279" s="11">
        <v>0.52708333333333335</v>
      </c>
      <c r="H1279" s="4" t="s">
        <v>463</v>
      </c>
      <c r="I1279" s="4">
        <v>2022</v>
      </c>
      <c r="J1279" s="4" t="s">
        <v>565</v>
      </c>
      <c r="K1279" s="4" t="s">
        <v>598</v>
      </c>
      <c r="L1279" s="4" t="s">
        <v>599</v>
      </c>
      <c r="M1279" s="4" t="s">
        <v>28</v>
      </c>
      <c r="N1279" s="4" t="s">
        <v>183</v>
      </c>
      <c r="O1279" s="4" t="s">
        <v>344</v>
      </c>
      <c r="P1279" s="4" t="s">
        <v>60</v>
      </c>
      <c r="Q1279" s="4">
        <v>155</v>
      </c>
      <c r="R1279" s="4" t="b">
        <v>0</v>
      </c>
      <c r="S1279" s="4" t="s">
        <v>114</v>
      </c>
      <c r="T1279" s="4" t="s">
        <v>89</v>
      </c>
      <c r="U1279" s="4" t="s">
        <v>600</v>
      </c>
      <c r="V1279" s="4" t="s">
        <v>52</v>
      </c>
      <c r="W1279" s="4" t="s">
        <v>53</v>
      </c>
      <c r="X1279" s="4" t="s">
        <v>54</v>
      </c>
      <c r="Y1279" s="4"/>
      <c r="Z1279" s="12" t="s">
        <v>60</v>
      </c>
      <c r="AA1279" s="13" t="s">
        <v>9169</v>
      </c>
      <c r="AB1279" s="13" t="s">
        <v>9168</v>
      </c>
      <c r="AC1279" s="14" t="s">
        <v>9157</v>
      </c>
      <c r="AD1279" s="14" t="s">
        <v>28</v>
      </c>
      <c r="AE1279" s="14" t="s">
        <v>183</v>
      </c>
      <c r="AF1279" s="14" t="s">
        <v>52</v>
      </c>
      <c r="AG1279" s="14" t="s">
        <v>54</v>
      </c>
      <c r="AH1279" s="15" t="s">
        <v>9141</v>
      </c>
      <c r="AI1279" s="15" t="s">
        <v>9175</v>
      </c>
      <c r="AJ1279" s="15" t="s">
        <v>9143</v>
      </c>
      <c r="AK1279" s="15" t="s">
        <v>9141</v>
      </c>
      <c r="AL1279" s="15" t="s">
        <v>9175</v>
      </c>
      <c r="AM1279" s="16" t="s">
        <v>9141</v>
      </c>
      <c r="AN1279" s="16" t="s">
        <v>9176</v>
      </c>
    </row>
    <row r="1280" spans="1:40" x14ac:dyDescent="0.25">
      <c r="A1280" s="4" t="s">
        <v>8066</v>
      </c>
      <c r="B1280" s="4"/>
      <c r="C1280" s="4" t="s">
        <v>39</v>
      </c>
      <c r="D1280" s="4" t="s">
        <v>8067</v>
      </c>
      <c r="E1280" s="4" t="s">
        <v>8068</v>
      </c>
      <c r="F1280" s="10">
        <v>45343</v>
      </c>
      <c r="G1280" s="11">
        <v>0.39583333333333331</v>
      </c>
      <c r="H1280" s="4" t="s">
        <v>4910</v>
      </c>
      <c r="I1280" s="4" t="s">
        <v>8017</v>
      </c>
      <c r="J1280" s="4" t="s">
        <v>8018</v>
      </c>
      <c r="K1280" s="4" t="s">
        <v>8069</v>
      </c>
      <c r="L1280" s="4" t="s">
        <v>8070</v>
      </c>
      <c r="M1280" s="4" t="s">
        <v>46</v>
      </c>
      <c r="N1280" s="4"/>
      <c r="O1280" s="4" t="s">
        <v>47</v>
      </c>
      <c r="P1280" s="4" t="s">
        <v>48</v>
      </c>
      <c r="Q1280" s="4">
        <v>0</v>
      </c>
      <c r="R1280" s="4" t="b">
        <v>0</v>
      </c>
      <c r="S1280" s="4" t="s">
        <v>49</v>
      </c>
      <c r="T1280" s="4" t="s">
        <v>79</v>
      </c>
      <c r="U1280" s="4" t="s">
        <v>1918</v>
      </c>
      <c r="V1280" s="4" t="s">
        <v>672</v>
      </c>
      <c r="W1280" s="4" t="s">
        <v>1121</v>
      </c>
      <c r="X1280" s="4" t="s">
        <v>3114</v>
      </c>
      <c r="Y1280" s="4"/>
      <c r="Z1280" s="12">
        <v>0</v>
      </c>
      <c r="AA1280" s="13" t="s">
        <v>9169</v>
      </c>
      <c r="AB1280" s="13" t="s">
        <v>9168</v>
      </c>
      <c r="AC1280" s="14" t="s">
        <v>9139</v>
      </c>
      <c r="AD1280" s="14" t="s">
        <v>9140</v>
      </c>
      <c r="AE1280" s="14" t="s">
        <v>9140</v>
      </c>
      <c r="AF1280" s="14" t="s">
        <v>672</v>
      </c>
      <c r="AG1280" s="14" t="s">
        <v>3114</v>
      </c>
      <c r="AH1280" s="15" t="s">
        <v>9220</v>
      </c>
      <c r="AI1280" s="15" t="s">
        <v>9191</v>
      </c>
      <c r="AJ1280" s="15" t="s">
        <v>9143</v>
      </c>
      <c r="AK1280" s="15" t="s">
        <v>9221</v>
      </c>
      <c r="AL1280" s="15" t="s">
        <v>9234</v>
      </c>
      <c r="AM1280" s="16" t="s">
        <v>9221</v>
      </c>
      <c r="AN1280" s="16" t="s">
        <v>9235</v>
      </c>
    </row>
    <row r="1281" spans="1:40" x14ac:dyDescent="0.25">
      <c r="A1281" s="4" t="s">
        <v>5336</v>
      </c>
      <c r="B1281" s="4"/>
      <c r="C1281" s="4" t="s">
        <v>39</v>
      </c>
      <c r="D1281" s="4" t="s">
        <v>5337</v>
      </c>
      <c r="E1281" s="4" t="s">
        <v>5338</v>
      </c>
      <c r="F1281" s="10">
        <v>45343</v>
      </c>
      <c r="G1281" s="11">
        <v>0.69374999999999998</v>
      </c>
      <c r="H1281" s="4" t="s">
        <v>4516</v>
      </c>
      <c r="I1281" s="4" t="s">
        <v>5275</v>
      </c>
      <c r="J1281" s="4" t="s">
        <v>5276</v>
      </c>
      <c r="K1281" s="4" t="s">
        <v>5339</v>
      </c>
      <c r="L1281" s="4" t="s">
        <v>5340</v>
      </c>
      <c r="M1281" s="4" t="s">
        <v>46</v>
      </c>
      <c r="N1281" s="4"/>
      <c r="O1281" s="4" t="s">
        <v>344</v>
      </c>
      <c r="P1281" s="4" t="s">
        <v>48</v>
      </c>
      <c r="Q1281" s="4">
        <v>2</v>
      </c>
      <c r="R1281" s="4" t="b">
        <v>0</v>
      </c>
      <c r="S1281" s="4" t="s">
        <v>184</v>
      </c>
      <c r="T1281" s="4" t="s">
        <v>70</v>
      </c>
      <c r="U1281" s="4" t="s">
        <v>71</v>
      </c>
      <c r="V1281" s="4" t="s">
        <v>72</v>
      </c>
      <c r="W1281" s="4" t="s">
        <v>73</v>
      </c>
      <c r="X1281" s="4" t="s">
        <v>98</v>
      </c>
      <c r="Y1281" s="4"/>
      <c r="Z1281" s="12">
        <v>0</v>
      </c>
      <c r="AA1281" s="13" t="s">
        <v>9169</v>
      </c>
      <c r="AB1281" s="13" t="s">
        <v>9168</v>
      </c>
      <c r="AC1281" s="14" t="s">
        <v>9166</v>
      </c>
      <c r="AD1281" s="14" t="s">
        <v>9140</v>
      </c>
      <c r="AE1281" s="14" t="s">
        <v>9140</v>
      </c>
      <c r="AF1281" s="14" t="s">
        <v>72</v>
      </c>
      <c r="AG1281" s="14" t="s">
        <v>98</v>
      </c>
      <c r="AH1281" s="15" t="s">
        <v>9220</v>
      </c>
      <c r="AI1281" s="15" t="s">
        <v>9188</v>
      </c>
      <c r="AJ1281" s="15" t="s">
        <v>9143</v>
      </c>
      <c r="AK1281" s="15" t="s">
        <v>9221</v>
      </c>
      <c r="AL1281" s="15" t="s">
        <v>9230</v>
      </c>
      <c r="AM1281" s="16" t="s">
        <v>9221</v>
      </c>
      <c r="AN1281" s="16" t="s">
        <v>9231</v>
      </c>
    </row>
    <row r="1282" spans="1:40" x14ac:dyDescent="0.25">
      <c r="A1282" s="4" t="s">
        <v>4224</v>
      </c>
      <c r="B1282" s="4"/>
      <c r="C1282" s="4" t="s">
        <v>39</v>
      </c>
      <c r="D1282" s="4" t="s">
        <v>4225</v>
      </c>
      <c r="E1282" s="4" t="s">
        <v>4226</v>
      </c>
      <c r="F1282" s="10">
        <v>45343</v>
      </c>
      <c r="G1282" s="11">
        <v>0.64444444444444449</v>
      </c>
      <c r="H1282" s="4" t="s">
        <v>4019</v>
      </c>
      <c r="I1282" s="4" t="s">
        <v>4221</v>
      </c>
      <c r="J1282" s="4" t="s">
        <v>3090</v>
      </c>
      <c r="K1282" s="4" t="s">
        <v>4227</v>
      </c>
      <c r="L1282" s="4" t="s">
        <v>4228</v>
      </c>
      <c r="M1282" s="4" t="s">
        <v>46</v>
      </c>
      <c r="N1282" s="4"/>
      <c r="O1282" s="4" t="s">
        <v>47</v>
      </c>
      <c r="P1282" s="4" t="s">
        <v>48</v>
      </c>
      <c r="Q1282" s="4">
        <v>0</v>
      </c>
      <c r="R1282" s="4" t="b">
        <v>0</v>
      </c>
      <c r="S1282" s="4" t="s">
        <v>49</v>
      </c>
      <c r="T1282" s="4" t="s">
        <v>50</v>
      </c>
      <c r="U1282" s="4" t="s">
        <v>51</v>
      </c>
      <c r="V1282" s="4" t="s">
        <v>123</v>
      </c>
      <c r="W1282" s="4" t="s">
        <v>124</v>
      </c>
      <c r="X1282" s="4" t="s">
        <v>54</v>
      </c>
      <c r="Y1282" s="4"/>
      <c r="Z1282" s="12">
        <v>0</v>
      </c>
      <c r="AA1282" s="13" t="s">
        <v>9169</v>
      </c>
      <c r="AB1282" s="13" t="s">
        <v>9168</v>
      </c>
      <c r="AC1282" s="14" t="s">
        <v>9139</v>
      </c>
      <c r="AD1282" s="14" t="s">
        <v>9140</v>
      </c>
      <c r="AE1282" s="14" t="s">
        <v>9140</v>
      </c>
      <c r="AF1282" s="14" t="s">
        <v>123</v>
      </c>
      <c r="AG1282" s="14" t="s">
        <v>54</v>
      </c>
      <c r="AH1282" s="15" t="s">
        <v>9220</v>
      </c>
      <c r="AI1282" s="15" t="s">
        <v>9175</v>
      </c>
      <c r="AJ1282" s="15" t="s">
        <v>9143</v>
      </c>
      <c r="AK1282" s="15" t="s">
        <v>9221</v>
      </c>
      <c r="AL1282" s="15" t="s">
        <v>9224</v>
      </c>
      <c r="AM1282" s="16" t="s">
        <v>9221</v>
      </c>
      <c r="AN1282" s="16" t="s">
        <v>9225</v>
      </c>
    </row>
    <row r="1283" spans="1:40" x14ac:dyDescent="0.25">
      <c r="A1283" s="4" t="s">
        <v>4842</v>
      </c>
      <c r="B1283" s="4"/>
      <c r="C1283" s="4" t="s">
        <v>39</v>
      </c>
      <c r="D1283" s="4" t="s">
        <v>4843</v>
      </c>
      <c r="E1283" s="4" t="s">
        <v>4844</v>
      </c>
      <c r="F1283" s="10">
        <v>45342</v>
      </c>
      <c r="G1283" s="11">
        <v>0.39583333333333331</v>
      </c>
      <c r="H1283" s="4" t="s">
        <v>4019</v>
      </c>
      <c r="I1283" s="4" t="s">
        <v>4804</v>
      </c>
      <c r="J1283" s="4" t="s">
        <v>756</v>
      </c>
      <c r="K1283" s="4" t="s">
        <v>4845</v>
      </c>
      <c r="L1283" s="4" t="s">
        <v>4846</v>
      </c>
      <c r="M1283" s="4" t="s">
        <v>46</v>
      </c>
      <c r="N1283" s="4"/>
      <c r="O1283" s="4" t="s">
        <v>47</v>
      </c>
      <c r="P1283" s="4" t="s">
        <v>48</v>
      </c>
      <c r="Q1283" s="4">
        <v>0</v>
      </c>
      <c r="R1283" s="4" t="b">
        <v>0</v>
      </c>
      <c r="S1283" s="4" t="s">
        <v>49</v>
      </c>
      <c r="T1283" s="4" t="s">
        <v>2468</v>
      </c>
      <c r="U1283" s="4" t="s">
        <v>4847</v>
      </c>
      <c r="V1283" s="4" t="s">
        <v>405</v>
      </c>
      <c r="W1283" s="4" t="s">
        <v>2469</v>
      </c>
      <c r="X1283" s="4" t="s">
        <v>978</v>
      </c>
      <c r="Y1283" s="4"/>
      <c r="Z1283" s="12">
        <v>0</v>
      </c>
      <c r="AA1283" s="13" t="s">
        <v>9169</v>
      </c>
      <c r="AB1283" s="13" t="s">
        <v>9168</v>
      </c>
      <c r="AC1283" s="14" t="s">
        <v>9139</v>
      </c>
      <c r="AD1283" s="14" t="s">
        <v>9140</v>
      </c>
      <c r="AE1283" s="14" t="s">
        <v>9140</v>
      </c>
      <c r="AF1283" s="14" t="s">
        <v>405</v>
      </c>
      <c r="AG1283" s="14" t="s">
        <v>978</v>
      </c>
      <c r="AH1283" s="15" t="s">
        <v>9220</v>
      </c>
      <c r="AI1283" s="15" t="s">
        <v>9175</v>
      </c>
      <c r="AJ1283" s="15" t="s">
        <v>9143</v>
      </c>
      <c r="AK1283" s="15" t="s">
        <v>9221</v>
      </c>
      <c r="AL1283" s="15" t="s">
        <v>9222</v>
      </c>
      <c r="AM1283" s="16" t="s">
        <v>9221</v>
      </c>
      <c r="AN1283" s="16" t="s">
        <v>9223</v>
      </c>
    </row>
    <row r="1284" spans="1:40" x14ac:dyDescent="0.25">
      <c r="A1284" s="4" t="s">
        <v>293</v>
      </c>
      <c r="B1284" s="4"/>
      <c r="C1284" s="4" t="s">
        <v>39</v>
      </c>
      <c r="D1284" s="4" t="s">
        <v>294</v>
      </c>
      <c r="E1284" s="4" t="s">
        <v>295</v>
      </c>
      <c r="F1284" s="10">
        <v>45342</v>
      </c>
      <c r="G1284" s="11">
        <v>0.44097222222222221</v>
      </c>
      <c r="H1284" s="4" t="s">
        <v>42</v>
      </c>
      <c r="I1284" s="4">
        <v>1011</v>
      </c>
      <c r="J1284" s="4" t="s">
        <v>215</v>
      </c>
      <c r="K1284" s="4" t="s">
        <v>296</v>
      </c>
      <c r="L1284" s="4" t="s">
        <v>297</v>
      </c>
      <c r="M1284" s="4" t="s">
        <v>46</v>
      </c>
      <c r="N1284" s="4"/>
      <c r="O1284" s="4" t="s">
        <v>47</v>
      </c>
      <c r="P1284" s="4" t="s">
        <v>48</v>
      </c>
      <c r="Q1284" s="4">
        <v>0</v>
      </c>
      <c r="R1284" s="4" t="b">
        <v>0</v>
      </c>
      <c r="S1284" s="4" t="s">
        <v>61</v>
      </c>
      <c r="T1284" s="4" t="s">
        <v>89</v>
      </c>
      <c r="U1284" s="4" t="s">
        <v>71</v>
      </c>
      <c r="V1284" s="4" t="s">
        <v>52</v>
      </c>
      <c r="W1284" s="4" t="s">
        <v>255</v>
      </c>
      <c r="X1284" s="4" t="s">
        <v>98</v>
      </c>
      <c r="Y1284" s="4"/>
      <c r="Z1284" s="12">
        <v>0</v>
      </c>
      <c r="AA1284" s="13" t="s">
        <v>9169</v>
      </c>
      <c r="AB1284" s="13" t="s">
        <v>9168</v>
      </c>
      <c r="AC1284" s="14" t="s">
        <v>9148</v>
      </c>
      <c r="AD1284" s="14" t="s">
        <v>9140</v>
      </c>
      <c r="AE1284" s="14" t="s">
        <v>9140</v>
      </c>
      <c r="AF1284" s="14" t="s">
        <v>52</v>
      </c>
      <c r="AG1284" s="14" t="s">
        <v>98</v>
      </c>
      <c r="AH1284" s="15" t="s">
        <v>9141</v>
      </c>
      <c r="AI1284" s="15" t="s">
        <v>9142</v>
      </c>
      <c r="AJ1284" s="15" t="s">
        <v>9143</v>
      </c>
      <c r="AK1284" s="15" t="s">
        <v>9141</v>
      </c>
      <c r="AL1284" s="15" t="s">
        <v>9144</v>
      </c>
      <c r="AM1284" s="16" t="s">
        <v>9141</v>
      </c>
      <c r="AN1284" s="16" t="s">
        <v>9145</v>
      </c>
    </row>
    <row r="1285" spans="1:40" x14ac:dyDescent="0.25">
      <c r="A1285" s="4" t="s">
        <v>8306</v>
      </c>
      <c r="B1285" s="4" t="s">
        <v>8307</v>
      </c>
      <c r="C1285" s="4" t="s">
        <v>39</v>
      </c>
      <c r="D1285" s="4" t="s">
        <v>8308</v>
      </c>
      <c r="E1285" s="4" t="s">
        <v>8309</v>
      </c>
      <c r="F1285" s="10">
        <v>45342</v>
      </c>
      <c r="G1285" s="11">
        <v>0.77083333333333337</v>
      </c>
      <c r="H1285" s="4" t="s">
        <v>5666</v>
      </c>
      <c r="I1285" s="4" t="s">
        <v>8303</v>
      </c>
      <c r="J1285" s="4" t="s">
        <v>3833</v>
      </c>
      <c r="K1285" s="4" t="s">
        <v>8310</v>
      </c>
      <c r="L1285" s="4" t="s">
        <v>8311</v>
      </c>
      <c r="M1285" s="4" t="s">
        <v>28</v>
      </c>
      <c r="N1285" s="4" t="s">
        <v>183</v>
      </c>
      <c r="O1285" s="4" t="s">
        <v>863</v>
      </c>
      <c r="P1285" s="4" t="s">
        <v>60</v>
      </c>
      <c r="Q1285" s="4">
        <v>45</v>
      </c>
      <c r="R1285" s="4" t="b">
        <v>0</v>
      </c>
      <c r="S1285" s="4" t="s">
        <v>61</v>
      </c>
      <c r="T1285" s="4" t="s">
        <v>204</v>
      </c>
      <c r="U1285" s="4" t="s">
        <v>122</v>
      </c>
      <c r="V1285" s="4" t="s">
        <v>63</v>
      </c>
      <c r="W1285" s="4" t="s">
        <v>108</v>
      </c>
      <c r="X1285" s="4" t="s">
        <v>978</v>
      </c>
      <c r="Y1285" s="4"/>
      <c r="Z1285" s="12" t="s">
        <v>60</v>
      </c>
      <c r="AA1285" s="13" t="s">
        <v>9169</v>
      </c>
      <c r="AB1285" s="13" t="s">
        <v>9168</v>
      </c>
      <c r="AC1285" s="14" t="s">
        <v>9148</v>
      </c>
      <c r="AD1285" s="14" t="s">
        <v>28</v>
      </c>
      <c r="AE1285" s="14" t="s">
        <v>183</v>
      </c>
      <c r="AF1285" s="14" t="s">
        <v>63</v>
      </c>
      <c r="AG1285" s="14" t="s">
        <v>978</v>
      </c>
      <c r="AH1285" s="15" t="s">
        <v>9220</v>
      </c>
      <c r="AI1285" s="15" t="s">
        <v>9199</v>
      </c>
      <c r="AJ1285" s="15" t="s">
        <v>9143</v>
      </c>
      <c r="AK1285" s="15" t="s">
        <v>9221</v>
      </c>
      <c r="AL1285" s="15" t="s">
        <v>9199</v>
      </c>
      <c r="AM1285" s="16" t="s">
        <v>9221</v>
      </c>
      <c r="AN1285" s="16" t="s">
        <v>9238</v>
      </c>
    </row>
    <row r="1286" spans="1:40" x14ac:dyDescent="0.25">
      <c r="A1286" s="4" t="s">
        <v>298</v>
      </c>
      <c r="B1286" s="4"/>
      <c r="C1286" s="4" t="s">
        <v>39</v>
      </c>
      <c r="D1286" s="4" t="s">
        <v>220</v>
      </c>
      <c r="E1286" s="4" t="s">
        <v>221</v>
      </c>
      <c r="F1286" s="10">
        <v>45341</v>
      </c>
      <c r="G1286" s="11">
        <v>0.3888888888888889</v>
      </c>
      <c r="H1286" s="4" t="s">
        <v>42</v>
      </c>
      <c r="I1286" s="4">
        <v>1011</v>
      </c>
      <c r="J1286" s="4" t="s">
        <v>215</v>
      </c>
      <c r="K1286" s="4" t="s">
        <v>299</v>
      </c>
      <c r="L1286" s="4" t="s">
        <v>300</v>
      </c>
      <c r="M1286" s="4" t="s">
        <v>46</v>
      </c>
      <c r="N1286" s="4"/>
      <c r="O1286" s="4" t="s">
        <v>47</v>
      </c>
      <c r="P1286" s="4" t="s">
        <v>48</v>
      </c>
      <c r="Q1286" s="4">
        <v>0</v>
      </c>
      <c r="R1286" s="4" t="b">
        <v>0</v>
      </c>
      <c r="S1286" s="4" t="s">
        <v>61</v>
      </c>
      <c r="T1286" s="4" t="s">
        <v>50</v>
      </c>
      <c r="U1286" s="4" t="s">
        <v>301</v>
      </c>
      <c r="V1286" s="4" t="s">
        <v>123</v>
      </c>
      <c r="W1286" s="4" t="s">
        <v>192</v>
      </c>
      <c r="X1286" s="4" t="s">
        <v>98</v>
      </c>
      <c r="Y1286" s="4" t="s">
        <v>302</v>
      </c>
      <c r="Z1286" s="12">
        <v>0</v>
      </c>
      <c r="AA1286" s="13" t="s">
        <v>9169</v>
      </c>
      <c r="AB1286" s="13" t="s">
        <v>9168</v>
      </c>
      <c r="AC1286" s="14" t="s">
        <v>9148</v>
      </c>
      <c r="AD1286" s="14" t="s">
        <v>9140</v>
      </c>
      <c r="AE1286" s="14" t="s">
        <v>9140</v>
      </c>
      <c r="AF1286" s="14" t="s">
        <v>123</v>
      </c>
      <c r="AG1286" s="14" t="s">
        <v>98</v>
      </c>
      <c r="AH1286" s="15" t="s">
        <v>9141</v>
      </c>
      <c r="AI1286" s="15" t="s">
        <v>9142</v>
      </c>
      <c r="AJ1286" s="15" t="s">
        <v>9143</v>
      </c>
      <c r="AK1286" s="15" t="s">
        <v>9141</v>
      </c>
      <c r="AL1286" s="15" t="s">
        <v>9144</v>
      </c>
      <c r="AM1286" s="16" t="s">
        <v>9141</v>
      </c>
      <c r="AN1286" s="16" t="s">
        <v>9145</v>
      </c>
    </row>
    <row r="1287" spans="1:40" x14ac:dyDescent="0.25">
      <c r="A1287" s="4" t="s">
        <v>303</v>
      </c>
      <c r="B1287" s="4"/>
      <c r="C1287" s="4" t="s">
        <v>39</v>
      </c>
      <c r="D1287" s="4" t="s">
        <v>257</v>
      </c>
      <c r="E1287" s="4" t="s">
        <v>258</v>
      </c>
      <c r="F1287" s="10">
        <v>45341</v>
      </c>
      <c r="G1287" s="11">
        <v>0.65625</v>
      </c>
      <c r="H1287" s="4" t="s">
        <v>42</v>
      </c>
      <c r="I1287" s="4">
        <v>1011</v>
      </c>
      <c r="J1287" s="4" t="s">
        <v>215</v>
      </c>
      <c r="K1287" s="4" t="s">
        <v>304</v>
      </c>
      <c r="L1287" s="4" t="s">
        <v>305</v>
      </c>
      <c r="M1287" s="4" t="s">
        <v>46</v>
      </c>
      <c r="N1287" s="4"/>
      <c r="O1287" s="4" t="s">
        <v>47</v>
      </c>
      <c r="P1287" s="4" t="s">
        <v>48</v>
      </c>
      <c r="Q1287" s="4">
        <v>0</v>
      </c>
      <c r="R1287" s="4" t="b">
        <v>0</v>
      </c>
      <c r="S1287" s="4" t="s">
        <v>61</v>
      </c>
      <c r="T1287" s="4" t="s">
        <v>89</v>
      </c>
      <c r="U1287" s="4" t="s">
        <v>165</v>
      </c>
      <c r="V1287" s="4" t="s">
        <v>72</v>
      </c>
      <c r="W1287" s="4" t="s">
        <v>73</v>
      </c>
      <c r="X1287" s="4" t="s">
        <v>54</v>
      </c>
      <c r="Y1287" s="4"/>
      <c r="Z1287" s="12">
        <v>0</v>
      </c>
      <c r="AA1287" s="13" t="s">
        <v>9169</v>
      </c>
      <c r="AB1287" s="13" t="s">
        <v>9168</v>
      </c>
      <c r="AC1287" s="14" t="s">
        <v>9148</v>
      </c>
      <c r="AD1287" s="14" t="s">
        <v>9140</v>
      </c>
      <c r="AE1287" s="14" t="s">
        <v>9140</v>
      </c>
      <c r="AF1287" s="14" t="s">
        <v>72</v>
      </c>
      <c r="AG1287" s="14" t="s">
        <v>54</v>
      </c>
      <c r="AH1287" s="15" t="s">
        <v>9141</v>
      </c>
      <c r="AI1287" s="15" t="s">
        <v>9142</v>
      </c>
      <c r="AJ1287" s="15" t="s">
        <v>9143</v>
      </c>
      <c r="AK1287" s="15" t="s">
        <v>9141</v>
      </c>
      <c r="AL1287" s="15" t="s">
        <v>9144</v>
      </c>
      <c r="AM1287" s="16" t="s">
        <v>9141</v>
      </c>
      <c r="AN1287" s="16" t="s">
        <v>9145</v>
      </c>
    </row>
    <row r="1288" spans="1:40" x14ac:dyDescent="0.25">
      <c r="A1288" s="4" t="s">
        <v>452</v>
      </c>
      <c r="B1288" s="4"/>
      <c r="C1288" s="4" t="s">
        <v>39</v>
      </c>
      <c r="D1288" s="4" t="s">
        <v>453</v>
      </c>
      <c r="E1288" s="4" t="s">
        <v>454</v>
      </c>
      <c r="F1288" s="10">
        <v>45341</v>
      </c>
      <c r="G1288" s="11">
        <v>0.47916666666666669</v>
      </c>
      <c r="H1288" s="4" t="s">
        <v>42</v>
      </c>
      <c r="I1288" s="4">
        <v>1013</v>
      </c>
      <c r="J1288" s="4" t="s">
        <v>422</v>
      </c>
      <c r="K1288" s="4" t="s">
        <v>455</v>
      </c>
      <c r="L1288" s="4" t="s">
        <v>456</v>
      </c>
      <c r="M1288" s="4" t="s">
        <v>46</v>
      </c>
      <c r="N1288" s="4"/>
      <c r="O1288" s="4" t="s">
        <v>47</v>
      </c>
      <c r="P1288" s="4" t="s">
        <v>48</v>
      </c>
      <c r="Q1288" s="4">
        <v>0</v>
      </c>
      <c r="R1288" s="4" t="b">
        <v>0</v>
      </c>
      <c r="S1288" s="4" t="s">
        <v>61</v>
      </c>
      <c r="T1288" s="4" t="s">
        <v>89</v>
      </c>
      <c r="U1288" s="4" t="s">
        <v>148</v>
      </c>
      <c r="V1288" s="4" t="s">
        <v>52</v>
      </c>
      <c r="W1288" s="4" t="s">
        <v>53</v>
      </c>
      <c r="X1288" s="4" t="s">
        <v>54</v>
      </c>
      <c r="Y1288" s="4"/>
      <c r="Z1288" s="12">
        <v>0</v>
      </c>
      <c r="AA1288" s="13" t="s">
        <v>9169</v>
      </c>
      <c r="AB1288" s="13" t="s">
        <v>9168</v>
      </c>
      <c r="AC1288" s="14" t="s">
        <v>9148</v>
      </c>
      <c r="AD1288" s="14" t="s">
        <v>9140</v>
      </c>
      <c r="AE1288" s="14" t="s">
        <v>9140</v>
      </c>
      <c r="AF1288" s="14" t="s">
        <v>52</v>
      </c>
      <c r="AG1288" s="14" t="s">
        <v>54</v>
      </c>
      <c r="AH1288" s="15" t="s">
        <v>9141</v>
      </c>
      <c r="AI1288" s="15" t="s">
        <v>9142</v>
      </c>
      <c r="AJ1288" s="15" t="s">
        <v>9143</v>
      </c>
      <c r="AK1288" s="15" t="s">
        <v>9141</v>
      </c>
      <c r="AL1288" s="15" t="s">
        <v>9144</v>
      </c>
      <c r="AM1288" s="16" t="s">
        <v>9141</v>
      </c>
      <c r="AN1288" s="16" t="s">
        <v>9145</v>
      </c>
    </row>
    <row r="1289" spans="1:40" x14ac:dyDescent="0.25">
      <c r="A1289" s="4" t="s">
        <v>4793</v>
      </c>
      <c r="B1289" s="4"/>
      <c r="C1289" s="4" t="s">
        <v>39</v>
      </c>
      <c r="D1289" s="4" t="s">
        <v>4772</v>
      </c>
      <c r="E1289" s="4" t="s">
        <v>4773</v>
      </c>
      <c r="F1289" s="10">
        <v>45341</v>
      </c>
      <c r="G1289" s="11">
        <v>0.55208333333333337</v>
      </c>
      <c r="H1289" s="4" t="s">
        <v>4516</v>
      </c>
      <c r="I1289" s="4" t="s">
        <v>4774</v>
      </c>
      <c r="J1289" s="4" t="s">
        <v>4775</v>
      </c>
      <c r="K1289" s="4" t="s">
        <v>4794</v>
      </c>
      <c r="L1289" s="4" t="s">
        <v>4795</v>
      </c>
      <c r="M1289" s="4" t="s">
        <v>46</v>
      </c>
      <c r="N1289" s="4"/>
      <c r="O1289" s="4" t="s">
        <v>47</v>
      </c>
      <c r="P1289" s="4" t="s">
        <v>48</v>
      </c>
      <c r="Q1289" s="4">
        <v>0</v>
      </c>
      <c r="R1289" s="4" t="b">
        <v>0</v>
      </c>
      <c r="S1289" s="4" t="s">
        <v>61</v>
      </c>
      <c r="T1289" s="4" t="s">
        <v>479</v>
      </c>
      <c r="U1289" s="4" t="s">
        <v>148</v>
      </c>
      <c r="V1289" s="4" t="s">
        <v>225</v>
      </c>
      <c r="W1289" s="4" t="s">
        <v>1714</v>
      </c>
      <c r="X1289" s="4" t="s">
        <v>1715</v>
      </c>
      <c r="Y1289" s="4"/>
      <c r="Z1289" s="12">
        <v>0</v>
      </c>
      <c r="AA1289" s="13" t="s">
        <v>9169</v>
      </c>
      <c r="AB1289" s="13" t="s">
        <v>9168</v>
      </c>
      <c r="AC1289" s="14" t="s">
        <v>9148</v>
      </c>
      <c r="AD1289" s="14" t="s">
        <v>9140</v>
      </c>
      <c r="AE1289" s="14" t="s">
        <v>9140</v>
      </c>
      <c r="AF1289" s="14" t="s">
        <v>225</v>
      </c>
      <c r="AG1289" s="14" t="s">
        <v>1715</v>
      </c>
      <c r="AH1289" s="15" t="s">
        <v>9220</v>
      </c>
      <c r="AI1289" s="15" t="s">
        <v>9188</v>
      </c>
      <c r="AJ1289" s="15" t="s">
        <v>9143</v>
      </c>
      <c r="AK1289" s="15" t="s">
        <v>9221</v>
      </c>
      <c r="AL1289" s="15" t="s">
        <v>9232</v>
      </c>
      <c r="AM1289" s="16" t="s">
        <v>9221</v>
      </c>
      <c r="AN1289" s="16" t="s">
        <v>9233</v>
      </c>
    </row>
    <row r="1290" spans="1:40" x14ac:dyDescent="0.25">
      <c r="A1290" s="4" t="s">
        <v>6176</v>
      </c>
      <c r="B1290" s="4"/>
      <c r="C1290" s="4" t="s">
        <v>39</v>
      </c>
      <c r="D1290" s="4" t="s">
        <v>6177</v>
      </c>
      <c r="E1290" s="4" t="s">
        <v>6178</v>
      </c>
      <c r="F1290" s="10">
        <v>45340</v>
      </c>
      <c r="G1290" s="11">
        <v>0.4861111111111111</v>
      </c>
      <c r="H1290" s="4" t="s">
        <v>5666</v>
      </c>
      <c r="I1290" s="4" t="s">
        <v>6136</v>
      </c>
      <c r="J1290" s="4" t="s">
        <v>2598</v>
      </c>
      <c r="K1290" s="4" t="s">
        <v>6179</v>
      </c>
      <c r="L1290" s="4" t="s">
        <v>6180</v>
      </c>
      <c r="M1290" s="4" t="s">
        <v>46</v>
      </c>
      <c r="N1290" s="4"/>
      <c r="O1290" s="4" t="s">
        <v>47</v>
      </c>
      <c r="P1290" s="4" t="s">
        <v>48</v>
      </c>
      <c r="Q1290" s="4">
        <v>0</v>
      </c>
      <c r="R1290" s="4" t="b">
        <v>0</v>
      </c>
      <c r="S1290" s="4" t="s">
        <v>49</v>
      </c>
      <c r="T1290" s="4" t="s">
        <v>89</v>
      </c>
      <c r="U1290" s="4" t="s">
        <v>1081</v>
      </c>
      <c r="V1290" s="4" t="s">
        <v>63</v>
      </c>
      <c r="W1290" s="4" t="s">
        <v>108</v>
      </c>
      <c r="X1290" s="4" t="s">
        <v>98</v>
      </c>
      <c r="Y1290" s="4"/>
      <c r="Z1290" s="12">
        <v>0</v>
      </c>
      <c r="AA1290" s="13" t="s">
        <v>9169</v>
      </c>
      <c r="AB1290" s="13" t="s">
        <v>9168</v>
      </c>
      <c r="AC1290" s="14" t="s">
        <v>9139</v>
      </c>
      <c r="AD1290" s="14" t="s">
        <v>9140</v>
      </c>
      <c r="AE1290" s="14" t="s">
        <v>9140</v>
      </c>
      <c r="AF1290" s="14" t="s">
        <v>63</v>
      </c>
      <c r="AG1290" s="14" t="s">
        <v>98</v>
      </c>
      <c r="AH1290" s="15" t="s">
        <v>9220</v>
      </c>
      <c r="AI1290" s="15" t="s">
        <v>9199</v>
      </c>
      <c r="AJ1290" s="15" t="s">
        <v>9143</v>
      </c>
      <c r="AK1290" s="15" t="s">
        <v>9221</v>
      </c>
      <c r="AL1290" s="15" t="s">
        <v>9199</v>
      </c>
      <c r="AM1290" s="16" t="s">
        <v>9221</v>
      </c>
      <c r="AN1290" s="16" t="s">
        <v>9238</v>
      </c>
    </row>
    <row r="1291" spans="1:40" x14ac:dyDescent="0.25">
      <c r="A1291" s="4" t="s">
        <v>5822</v>
      </c>
      <c r="B1291" s="4"/>
      <c r="C1291" s="4" t="s">
        <v>39</v>
      </c>
      <c r="D1291" s="4" t="s">
        <v>5823</v>
      </c>
      <c r="E1291" s="4" t="s">
        <v>5824</v>
      </c>
      <c r="F1291" s="10">
        <v>45339</v>
      </c>
      <c r="G1291" s="11">
        <v>0.5</v>
      </c>
      <c r="H1291" s="4" t="s">
        <v>4910</v>
      </c>
      <c r="I1291" s="4" t="s">
        <v>5811</v>
      </c>
      <c r="J1291" s="4" t="s">
        <v>5812</v>
      </c>
      <c r="K1291" s="4" t="s">
        <v>5825</v>
      </c>
      <c r="L1291" s="4" t="s">
        <v>5826</v>
      </c>
      <c r="M1291" s="4" t="s">
        <v>46</v>
      </c>
      <c r="N1291" s="4"/>
      <c r="O1291" s="4" t="s">
        <v>47</v>
      </c>
      <c r="P1291" s="4" t="s">
        <v>48</v>
      </c>
      <c r="Q1291" s="4">
        <v>0</v>
      </c>
      <c r="R1291" s="4" t="b">
        <v>0</v>
      </c>
      <c r="S1291" s="4" t="s">
        <v>49</v>
      </c>
      <c r="T1291" s="4" t="s">
        <v>433</v>
      </c>
      <c r="U1291" s="4" t="s">
        <v>51</v>
      </c>
      <c r="V1291" s="4" t="s">
        <v>672</v>
      </c>
      <c r="W1291" s="4" t="s">
        <v>1121</v>
      </c>
      <c r="X1291" s="4" t="s">
        <v>3114</v>
      </c>
      <c r="Y1291" s="4"/>
      <c r="Z1291" s="12">
        <v>0</v>
      </c>
      <c r="AA1291" s="13" t="s">
        <v>9169</v>
      </c>
      <c r="AB1291" s="13" t="s">
        <v>9168</v>
      </c>
      <c r="AC1291" s="14" t="s">
        <v>9139</v>
      </c>
      <c r="AD1291" s="14" t="s">
        <v>9140</v>
      </c>
      <c r="AE1291" s="14" t="s">
        <v>9140</v>
      </c>
      <c r="AF1291" s="14" t="s">
        <v>672</v>
      </c>
      <c r="AG1291" s="14" t="s">
        <v>3114</v>
      </c>
      <c r="AH1291" s="15" t="s">
        <v>9220</v>
      </c>
      <c r="AI1291" s="15" t="s">
        <v>9191</v>
      </c>
      <c r="AJ1291" s="15" t="s">
        <v>9143</v>
      </c>
      <c r="AK1291" s="15" t="s">
        <v>9221</v>
      </c>
      <c r="AL1291" s="15" t="s">
        <v>9226</v>
      </c>
      <c r="AM1291" s="16" t="s">
        <v>9221</v>
      </c>
      <c r="AN1291" s="16" t="s">
        <v>9227</v>
      </c>
    </row>
    <row r="1292" spans="1:40" x14ac:dyDescent="0.25">
      <c r="A1292" s="4" t="s">
        <v>5267</v>
      </c>
      <c r="B1292" s="4">
        <v>6562276</v>
      </c>
      <c r="C1292" s="4" t="s">
        <v>39</v>
      </c>
      <c r="D1292" s="4" t="s">
        <v>5268</v>
      </c>
      <c r="E1292" s="4" t="s">
        <v>5269</v>
      </c>
      <c r="F1292" s="10">
        <v>45338</v>
      </c>
      <c r="G1292" s="11">
        <v>0.48958333333333331</v>
      </c>
      <c r="H1292" s="4" t="s">
        <v>4516</v>
      </c>
      <c r="I1292" s="4" t="s">
        <v>5255</v>
      </c>
      <c r="J1292" s="4" t="s">
        <v>3865</v>
      </c>
      <c r="K1292" s="4" t="s">
        <v>5270</v>
      </c>
      <c r="L1292" s="4" t="s">
        <v>5271</v>
      </c>
      <c r="M1292" s="4" t="s">
        <v>28</v>
      </c>
      <c r="N1292" s="4" t="s">
        <v>183</v>
      </c>
      <c r="O1292" s="4" t="s">
        <v>174</v>
      </c>
      <c r="P1292" s="4" t="s">
        <v>48</v>
      </c>
      <c r="Q1292" s="4">
        <v>52</v>
      </c>
      <c r="R1292" s="4" t="b">
        <v>0</v>
      </c>
      <c r="S1292" s="4" t="s">
        <v>114</v>
      </c>
      <c r="T1292" s="4" t="s">
        <v>425</v>
      </c>
      <c r="U1292" s="4" t="s">
        <v>175</v>
      </c>
      <c r="V1292" s="4" t="s">
        <v>123</v>
      </c>
      <c r="W1292" s="4" t="s">
        <v>124</v>
      </c>
      <c r="X1292" s="4" t="s">
        <v>838</v>
      </c>
      <c r="Y1292" s="4" t="s">
        <v>2052</v>
      </c>
      <c r="Z1292" s="12" t="s">
        <v>48</v>
      </c>
      <c r="AA1292" s="13" t="s">
        <v>9169</v>
      </c>
      <c r="AB1292" s="13" t="s">
        <v>9168</v>
      </c>
      <c r="AC1292" s="14" t="s">
        <v>9157</v>
      </c>
      <c r="AD1292" s="14" t="s">
        <v>28</v>
      </c>
      <c r="AE1292" s="14" t="s">
        <v>183</v>
      </c>
      <c r="AF1292" s="14" t="s">
        <v>123</v>
      </c>
      <c r="AG1292" s="14" t="s">
        <v>838</v>
      </c>
      <c r="AH1292" s="15" t="s">
        <v>9220</v>
      </c>
      <c r="AI1292" s="15" t="s">
        <v>9188</v>
      </c>
      <c r="AJ1292" s="15" t="s">
        <v>9143</v>
      </c>
      <c r="AK1292" s="15" t="s">
        <v>9221</v>
      </c>
      <c r="AL1292" s="15" t="s">
        <v>9232</v>
      </c>
      <c r="AM1292" s="16" t="s">
        <v>9221</v>
      </c>
      <c r="AN1292" s="16" t="s">
        <v>9233</v>
      </c>
    </row>
    <row r="1293" spans="1:40" x14ac:dyDescent="0.25">
      <c r="A1293" s="4" t="s">
        <v>8312</v>
      </c>
      <c r="B1293" s="4"/>
      <c r="C1293" s="4" t="s">
        <v>39</v>
      </c>
      <c r="D1293" s="4" t="s">
        <v>8313</v>
      </c>
      <c r="E1293" s="4" t="s">
        <v>8314</v>
      </c>
      <c r="F1293" s="10">
        <v>45338</v>
      </c>
      <c r="G1293" s="11">
        <v>0.64583333333333337</v>
      </c>
      <c r="H1293" s="4" t="s">
        <v>5666</v>
      </c>
      <c r="I1293" s="4" t="s">
        <v>8303</v>
      </c>
      <c r="J1293" s="4" t="s">
        <v>3833</v>
      </c>
      <c r="K1293" s="4" t="s">
        <v>8315</v>
      </c>
      <c r="L1293" s="4" t="s">
        <v>8316</v>
      </c>
      <c r="M1293" s="4" t="s">
        <v>46</v>
      </c>
      <c r="N1293" s="4"/>
      <c r="O1293" s="4" t="s">
        <v>47</v>
      </c>
      <c r="P1293" s="4" t="s">
        <v>48</v>
      </c>
      <c r="Q1293" s="4">
        <v>0</v>
      </c>
      <c r="R1293" s="4" t="b">
        <v>0</v>
      </c>
      <c r="S1293" s="4" t="s">
        <v>49</v>
      </c>
      <c r="T1293" s="4" t="s">
        <v>89</v>
      </c>
      <c r="U1293" s="4" t="s">
        <v>71</v>
      </c>
      <c r="V1293" s="4" t="s">
        <v>63</v>
      </c>
      <c r="W1293" s="4" t="s">
        <v>108</v>
      </c>
      <c r="X1293" s="4" t="s">
        <v>54</v>
      </c>
      <c r="Y1293" s="4"/>
      <c r="Z1293" s="12">
        <v>0</v>
      </c>
      <c r="AA1293" s="13" t="s">
        <v>9169</v>
      </c>
      <c r="AB1293" s="13" t="s">
        <v>9168</v>
      </c>
      <c r="AC1293" s="14" t="s">
        <v>9139</v>
      </c>
      <c r="AD1293" s="14" t="s">
        <v>9140</v>
      </c>
      <c r="AE1293" s="14" t="s">
        <v>9140</v>
      </c>
      <c r="AF1293" s="14" t="s">
        <v>63</v>
      </c>
      <c r="AG1293" s="14" t="s">
        <v>54</v>
      </c>
      <c r="AH1293" s="15" t="s">
        <v>9220</v>
      </c>
      <c r="AI1293" s="15" t="s">
        <v>9199</v>
      </c>
      <c r="AJ1293" s="15" t="s">
        <v>9143</v>
      </c>
      <c r="AK1293" s="15" t="s">
        <v>9221</v>
      </c>
      <c r="AL1293" s="15" t="s">
        <v>9199</v>
      </c>
      <c r="AM1293" s="16" t="s">
        <v>9221</v>
      </c>
      <c r="AN1293" s="16" t="s">
        <v>9238</v>
      </c>
    </row>
    <row r="1294" spans="1:40" x14ac:dyDescent="0.25">
      <c r="A1294" s="4" t="s">
        <v>3698</v>
      </c>
      <c r="B1294" s="4"/>
      <c r="C1294" s="4" t="s">
        <v>39</v>
      </c>
      <c r="D1294" s="4" t="s">
        <v>3699</v>
      </c>
      <c r="E1294" s="4" t="s">
        <v>3700</v>
      </c>
      <c r="F1294" s="10">
        <v>45338</v>
      </c>
      <c r="G1294" s="11">
        <v>0.68472222222222223</v>
      </c>
      <c r="H1294" s="4" t="s">
        <v>2095</v>
      </c>
      <c r="I1294" s="4" t="s">
        <v>3685</v>
      </c>
      <c r="J1294" s="4" t="s">
        <v>3686</v>
      </c>
      <c r="K1294" s="4" t="s">
        <v>3701</v>
      </c>
      <c r="L1294" s="4" t="s">
        <v>3702</v>
      </c>
      <c r="M1294" s="4" t="s">
        <v>46</v>
      </c>
      <c r="N1294" s="4"/>
      <c r="O1294" s="4" t="s">
        <v>47</v>
      </c>
      <c r="P1294" s="4" t="s">
        <v>48</v>
      </c>
      <c r="Q1294" s="4">
        <v>0</v>
      </c>
      <c r="R1294" s="4" t="b">
        <v>0</v>
      </c>
      <c r="S1294" s="4" t="s">
        <v>61</v>
      </c>
      <c r="T1294" s="4" t="s">
        <v>89</v>
      </c>
      <c r="U1294" s="4" t="s">
        <v>373</v>
      </c>
      <c r="V1294" s="4" t="s">
        <v>123</v>
      </c>
      <c r="W1294" s="4" t="s">
        <v>124</v>
      </c>
      <c r="X1294" s="4" t="s">
        <v>98</v>
      </c>
      <c r="Y1294" s="4"/>
      <c r="Z1294" s="12">
        <v>0</v>
      </c>
      <c r="AA1294" s="13" t="s">
        <v>9169</v>
      </c>
      <c r="AB1294" s="13" t="s">
        <v>9168</v>
      </c>
      <c r="AC1294" s="14" t="s">
        <v>9148</v>
      </c>
      <c r="AD1294" s="14" t="s">
        <v>9140</v>
      </c>
      <c r="AE1294" s="14" t="s">
        <v>9140</v>
      </c>
      <c r="AF1294" s="14" t="s">
        <v>123</v>
      </c>
      <c r="AG1294" s="14" t="s">
        <v>98</v>
      </c>
      <c r="AH1294" s="15" t="s">
        <v>9194</v>
      </c>
      <c r="AI1294" s="15" t="s">
        <v>9188</v>
      </c>
      <c r="AJ1294" s="15" t="s">
        <v>9143</v>
      </c>
      <c r="AK1294" s="15" t="s">
        <v>9194</v>
      </c>
      <c r="AL1294" s="15" t="s">
        <v>9203</v>
      </c>
      <c r="AM1294" s="16" t="s">
        <v>9194</v>
      </c>
      <c r="AN1294" s="16" t="s">
        <v>9204</v>
      </c>
    </row>
    <row r="1295" spans="1:40" x14ac:dyDescent="0.25">
      <c r="A1295" s="4" t="s">
        <v>9044</v>
      </c>
      <c r="B1295" s="4"/>
      <c r="C1295" s="4" t="s">
        <v>39</v>
      </c>
      <c r="D1295" s="4"/>
      <c r="E1295" s="4" t="s">
        <v>9045</v>
      </c>
      <c r="F1295" s="10">
        <v>45337</v>
      </c>
      <c r="G1295" s="11">
        <v>0.41736111111111113</v>
      </c>
      <c r="H1295" s="4" t="s">
        <v>4019</v>
      </c>
      <c r="I1295" s="4" t="s">
        <v>8971</v>
      </c>
      <c r="J1295" s="4" t="s">
        <v>8972</v>
      </c>
      <c r="K1295" s="4" t="s">
        <v>7023</v>
      </c>
      <c r="L1295" s="4" t="s">
        <v>9046</v>
      </c>
      <c r="M1295" s="4" t="s">
        <v>46</v>
      </c>
      <c r="N1295" s="4"/>
      <c r="O1295" s="4" t="s">
        <v>47</v>
      </c>
      <c r="P1295" s="4" t="s">
        <v>48</v>
      </c>
      <c r="Q1295" s="4">
        <v>0</v>
      </c>
      <c r="R1295" s="4" t="b">
        <v>0</v>
      </c>
      <c r="S1295" s="4" t="s">
        <v>49</v>
      </c>
      <c r="T1295" s="4" t="s">
        <v>89</v>
      </c>
      <c r="U1295" s="4" t="s">
        <v>148</v>
      </c>
      <c r="V1295" s="4" t="s">
        <v>52</v>
      </c>
      <c r="W1295" s="4" t="s">
        <v>53</v>
      </c>
      <c r="X1295" s="4" t="s">
        <v>54</v>
      </c>
      <c r="Y1295" s="4"/>
      <c r="Z1295" s="12">
        <v>0</v>
      </c>
      <c r="AA1295" s="13" t="s">
        <v>9169</v>
      </c>
      <c r="AB1295" s="13" t="s">
        <v>9168</v>
      </c>
      <c r="AC1295" s="14" t="s">
        <v>9139</v>
      </c>
      <c r="AD1295" s="14" t="s">
        <v>9140</v>
      </c>
      <c r="AE1295" s="14" t="s">
        <v>9140</v>
      </c>
      <c r="AF1295" s="14" t="s">
        <v>52</v>
      </c>
      <c r="AG1295" s="14" t="s">
        <v>54</v>
      </c>
      <c r="AH1295" s="15" t="s">
        <v>9220</v>
      </c>
      <c r="AI1295" s="15" t="s">
        <v>9175</v>
      </c>
      <c r="AJ1295" s="15" t="s">
        <v>9181</v>
      </c>
      <c r="AK1295" s="15" t="s">
        <v>9182</v>
      </c>
      <c r="AL1295" s="15" t="s">
        <v>9182</v>
      </c>
      <c r="AM1295" s="16" t="s">
        <v>9182</v>
      </c>
      <c r="AN1295" s="16" t="s">
        <v>9182</v>
      </c>
    </row>
    <row r="1296" spans="1:40" x14ac:dyDescent="0.25">
      <c r="A1296" s="4" t="s">
        <v>2669</v>
      </c>
      <c r="B1296" s="4"/>
      <c r="C1296" s="4" t="s">
        <v>39</v>
      </c>
      <c r="D1296" s="4" t="s">
        <v>2670</v>
      </c>
      <c r="E1296" s="4" t="s">
        <v>2671</v>
      </c>
      <c r="F1296" s="10">
        <v>45336</v>
      </c>
      <c r="G1296" s="11">
        <v>0.56666666666666665</v>
      </c>
      <c r="H1296" s="4" t="s">
        <v>2095</v>
      </c>
      <c r="I1296" s="4" t="s">
        <v>2660</v>
      </c>
      <c r="J1296" s="4" t="s">
        <v>2661</v>
      </c>
      <c r="K1296" s="4" t="s">
        <v>2672</v>
      </c>
      <c r="L1296" s="4" t="s">
        <v>2673</v>
      </c>
      <c r="M1296" s="4" t="s">
        <v>46</v>
      </c>
      <c r="N1296" s="4"/>
      <c r="O1296" s="4" t="s">
        <v>47</v>
      </c>
      <c r="P1296" s="4" t="s">
        <v>48</v>
      </c>
      <c r="Q1296" s="4">
        <v>0</v>
      </c>
      <c r="R1296" s="4" t="b">
        <v>0</v>
      </c>
      <c r="S1296" s="4" t="s">
        <v>114</v>
      </c>
      <c r="T1296" s="4" t="s">
        <v>50</v>
      </c>
      <c r="U1296" s="4" t="s">
        <v>107</v>
      </c>
      <c r="V1296" s="4" t="s">
        <v>63</v>
      </c>
      <c r="W1296" s="4" t="s">
        <v>198</v>
      </c>
      <c r="X1296" s="4" t="s">
        <v>350</v>
      </c>
      <c r="Y1296" s="4" t="s">
        <v>991</v>
      </c>
      <c r="Z1296" s="12">
        <v>0</v>
      </c>
      <c r="AA1296" s="13" t="s">
        <v>9169</v>
      </c>
      <c r="AB1296" s="13" t="s">
        <v>9168</v>
      </c>
      <c r="AC1296" s="14" t="s">
        <v>9157</v>
      </c>
      <c r="AD1296" s="14" t="s">
        <v>9140</v>
      </c>
      <c r="AE1296" s="14" t="s">
        <v>9140</v>
      </c>
      <c r="AF1296" s="14" t="s">
        <v>63</v>
      </c>
      <c r="AG1296" s="14" t="s">
        <v>350</v>
      </c>
      <c r="AH1296" s="15" t="s">
        <v>9194</v>
      </c>
      <c r="AI1296" s="15" t="s">
        <v>9188</v>
      </c>
      <c r="AJ1296" s="15" t="s">
        <v>9143</v>
      </c>
      <c r="AK1296" s="15" t="s">
        <v>9194</v>
      </c>
      <c r="AL1296" s="15" t="s">
        <v>9211</v>
      </c>
      <c r="AM1296" s="16" t="s">
        <v>9194</v>
      </c>
      <c r="AN1296" s="16" t="s">
        <v>9212</v>
      </c>
    </row>
    <row r="1297" spans="1:40" x14ac:dyDescent="0.25">
      <c r="A1297" s="4" t="s">
        <v>1958</v>
      </c>
      <c r="B1297" s="4"/>
      <c r="C1297" s="4" t="s">
        <v>39</v>
      </c>
      <c r="D1297" s="4" t="s">
        <v>1959</v>
      </c>
      <c r="E1297" s="4" t="s">
        <v>1960</v>
      </c>
      <c r="F1297" s="10">
        <v>45336</v>
      </c>
      <c r="G1297" s="11">
        <v>0.69027777777777777</v>
      </c>
      <c r="H1297" s="4" t="s">
        <v>1939</v>
      </c>
      <c r="I1297" s="4" t="s">
        <v>1940</v>
      </c>
      <c r="J1297" s="4" t="s">
        <v>1941</v>
      </c>
      <c r="K1297" s="4" t="s">
        <v>1961</v>
      </c>
      <c r="L1297" s="4" t="s">
        <v>1962</v>
      </c>
      <c r="M1297" s="4" t="s">
        <v>46</v>
      </c>
      <c r="N1297" s="4"/>
      <c r="O1297" s="4" t="s">
        <v>47</v>
      </c>
      <c r="P1297" s="4" t="s">
        <v>48</v>
      </c>
      <c r="Q1297" s="4">
        <v>0</v>
      </c>
      <c r="R1297" s="4" t="b">
        <v>0</v>
      </c>
      <c r="S1297" s="4" t="s">
        <v>49</v>
      </c>
      <c r="T1297" s="4" t="s">
        <v>70</v>
      </c>
      <c r="U1297" s="4" t="s">
        <v>71</v>
      </c>
      <c r="V1297" s="4" t="s">
        <v>72</v>
      </c>
      <c r="W1297" s="4" t="s">
        <v>73</v>
      </c>
      <c r="X1297" s="4" t="s">
        <v>98</v>
      </c>
      <c r="Y1297" s="4"/>
      <c r="Z1297" s="12">
        <v>0</v>
      </c>
      <c r="AA1297" s="13" t="s">
        <v>9169</v>
      </c>
      <c r="AB1297" s="13" t="s">
        <v>9168</v>
      </c>
      <c r="AC1297" s="14" t="s">
        <v>9139</v>
      </c>
      <c r="AD1297" s="14" t="s">
        <v>9140</v>
      </c>
      <c r="AE1297" s="14" t="s">
        <v>9140</v>
      </c>
      <c r="AF1297" s="14" t="s">
        <v>72</v>
      </c>
      <c r="AG1297" s="14" t="s">
        <v>98</v>
      </c>
      <c r="AH1297" s="15" t="s">
        <v>9194</v>
      </c>
      <c r="AI1297" s="15" t="s">
        <v>9175</v>
      </c>
      <c r="AJ1297" s="15" t="s">
        <v>9143</v>
      </c>
      <c r="AK1297" s="15" t="s">
        <v>9194</v>
      </c>
      <c r="AL1297" s="15" t="s">
        <v>9195</v>
      </c>
      <c r="AM1297" s="16" t="s">
        <v>9194</v>
      </c>
      <c r="AN1297" s="16" t="s">
        <v>9196</v>
      </c>
    </row>
    <row r="1298" spans="1:40" x14ac:dyDescent="0.25">
      <c r="A1298" s="4" t="s">
        <v>5051</v>
      </c>
      <c r="B1298" s="4"/>
      <c r="C1298" s="4" t="s">
        <v>39</v>
      </c>
      <c r="D1298" s="4" t="s">
        <v>5052</v>
      </c>
      <c r="E1298" s="4" t="s">
        <v>5053</v>
      </c>
      <c r="F1298" s="10">
        <v>45335</v>
      </c>
      <c r="G1298" s="11">
        <v>0.64583333333333337</v>
      </c>
      <c r="H1298" s="4" t="s">
        <v>4516</v>
      </c>
      <c r="I1298" s="4" t="s">
        <v>4969</v>
      </c>
      <c r="J1298" s="4" t="s">
        <v>3453</v>
      </c>
      <c r="K1298" s="4" t="s">
        <v>5054</v>
      </c>
      <c r="L1298" s="4" t="s">
        <v>5055</v>
      </c>
      <c r="M1298" s="4" t="s">
        <v>46</v>
      </c>
      <c r="N1298" s="4"/>
      <c r="O1298" s="4" t="s">
        <v>47</v>
      </c>
      <c r="P1298" s="4" t="s">
        <v>48</v>
      </c>
      <c r="Q1298" s="4">
        <v>0</v>
      </c>
      <c r="R1298" s="4" t="b">
        <v>0</v>
      </c>
      <c r="S1298" s="4" t="s">
        <v>49</v>
      </c>
      <c r="T1298" s="4" t="s">
        <v>5056</v>
      </c>
      <c r="U1298" s="4" t="s">
        <v>480</v>
      </c>
      <c r="V1298" s="4" t="s">
        <v>81</v>
      </c>
      <c r="W1298" s="4" t="s">
        <v>2838</v>
      </c>
      <c r="X1298" s="4" t="s">
        <v>3456</v>
      </c>
      <c r="Y1298" s="4"/>
      <c r="Z1298" s="12">
        <v>0</v>
      </c>
      <c r="AA1298" s="13" t="s">
        <v>9169</v>
      </c>
      <c r="AB1298" s="13" t="s">
        <v>9168</v>
      </c>
      <c r="AC1298" s="14" t="s">
        <v>9139</v>
      </c>
      <c r="AD1298" s="14" t="s">
        <v>9140</v>
      </c>
      <c r="AE1298" s="14" t="s">
        <v>9140</v>
      </c>
      <c r="AF1298" s="14" t="s">
        <v>81</v>
      </c>
      <c r="AG1298" s="14" t="s">
        <v>3456</v>
      </c>
      <c r="AH1298" s="15" t="s">
        <v>9220</v>
      </c>
      <c r="AI1298" s="15" t="s">
        <v>9188</v>
      </c>
      <c r="AJ1298" s="15" t="s">
        <v>9143</v>
      </c>
      <c r="AK1298" s="15" t="s">
        <v>9221</v>
      </c>
      <c r="AL1298" s="15" t="s">
        <v>9230</v>
      </c>
      <c r="AM1298" s="16" t="s">
        <v>9221</v>
      </c>
      <c r="AN1298" s="16" t="s">
        <v>9231</v>
      </c>
    </row>
    <row r="1299" spans="1:40" x14ac:dyDescent="0.25">
      <c r="A1299" s="4" t="s">
        <v>5858</v>
      </c>
      <c r="B1299" s="4"/>
      <c r="C1299" s="4" t="s">
        <v>39</v>
      </c>
      <c r="D1299" s="4" t="s">
        <v>5859</v>
      </c>
      <c r="E1299" s="4" t="s">
        <v>5860</v>
      </c>
      <c r="F1299" s="10">
        <v>45335</v>
      </c>
      <c r="G1299" s="11">
        <v>0.4375</v>
      </c>
      <c r="H1299" s="4" t="s">
        <v>5838</v>
      </c>
      <c r="I1299" s="4" t="s">
        <v>5839</v>
      </c>
      <c r="J1299" s="4" t="s">
        <v>3121</v>
      </c>
      <c r="K1299" s="4" t="s">
        <v>5861</v>
      </c>
      <c r="L1299" s="4" t="s">
        <v>5862</v>
      </c>
      <c r="M1299" s="4" t="s">
        <v>46</v>
      </c>
      <c r="N1299" s="4"/>
      <c r="O1299" s="4" t="s">
        <v>47</v>
      </c>
      <c r="P1299" s="4" t="s">
        <v>48</v>
      </c>
      <c r="Q1299" s="4">
        <v>0</v>
      </c>
      <c r="R1299" s="4" t="b">
        <v>0</v>
      </c>
      <c r="S1299" s="4" t="s">
        <v>61</v>
      </c>
      <c r="T1299" s="4" t="s">
        <v>50</v>
      </c>
      <c r="U1299" s="4" t="s">
        <v>2817</v>
      </c>
      <c r="V1299" s="4" t="s">
        <v>123</v>
      </c>
      <c r="W1299" s="4" t="s">
        <v>124</v>
      </c>
      <c r="X1299" s="4" t="s">
        <v>3114</v>
      </c>
      <c r="Y1299" s="4"/>
      <c r="Z1299" s="12">
        <v>0</v>
      </c>
      <c r="AA1299" s="13" t="s">
        <v>9169</v>
      </c>
      <c r="AB1299" s="13" t="s">
        <v>9168</v>
      </c>
      <c r="AC1299" s="14" t="s">
        <v>9148</v>
      </c>
      <c r="AD1299" s="14" t="s">
        <v>9140</v>
      </c>
      <c r="AE1299" s="14" t="s">
        <v>9140</v>
      </c>
      <c r="AF1299" s="14" t="s">
        <v>123</v>
      </c>
      <c r="AG1299" s="14" t="s">
        <v>3114</v>
      </c>
      <c r="AH1299" s="15" t="s">
        <v>9220</v>
      </c>
      <c r="AI1299" s="15" t="s">
        <v>9213</v>
      </c>
      <c r="AJ1299" s="15" t="s">
        <v>9143</v>
      </c>
      <c r="AK1299" s="15" t="s">
        <v>9221</v>
      </c>
      <c r="AL1299" s="15" t="s">
        <v>9228</v>
      </c>
      <c r="AM1299" s="16" t="s">
        <v>9221</v>
      </c>
      <c r="AN1299" s="16" t="s">
        <v>9229</v>
      </c>
    </row>
    <row r="1300" spans="1:40" x14ac:dyDescent="0.25">
      <c r="A1300" s="4" t="s">
        <v>8257</v>
      </c>
      <c r="B1300" s="4" t="s">
        <v>8258</v>
      </c>
      <c r="C1300" s="4" t="s">
        <v>39</v>
      </c>
      <c r="D1300" s="4" t="s">
        <v>8259</v>
      </c>
      <c r="E1300" s="4" t="s">
        <v>8260</v>
      </c>
      <c r="F1300" s="10">
        <v>45334</v>
      </c>
      <c r="G1300" s="11">
        <v>0.58125000000000004</v>
      </c>
      <c r="H1300" s="4" t="s">
        <v>4910</v>
      </c>
      <c r="I1300" s="4" t="s">
        <v>8223</v>
      </c>
      <c r="J1300" s="4" t="s">
        <v>1844</v>
      </c>
      <c r="K1300" s="4" t="s">
        <v>1754</v>
      </c>
      <c r="L1300" s="4" t="s">
        <v>8261</v>
      </c>
      <c r="M1300" s="4" t="s">
        <v>28</v>
      </c>
      <c r="N1300" s="4" t="s">
        <v>147</v>
      </c>
      <c r="O1300" s="4" t="s">
        <v>191</v>
      </c>
      <c r="P1300" s="4" t="s">
        <v>60</v>
      </c>
      <c r="Q1300" s="4">
        <v>0</v>
      </c>
      <c r="R1300" s="4" t="b">
        <v>0</v>
      </c>
      <c r="S1300" s="4" t="s">
        <v>114</v>
      </c>
      <c r="T1300" s="4" t="s">
        <v>89</v>
      </c>
      <c r="U1300" s="4" t="s">
        <v>71</v>
      </c>
      <c r="V1300" s="4" t="s">
        <v>52</v>
      </c>
      <c r="W1300" s="4" t="s">
        <v>374</v>
      </c>
      <c r="X1300" s="4" t="s">
        <v>54</v>
      </c>
      <c r="Y1300" s="4"/>
      <c r="Z1300" s="12" t="s">
        <v>60</v>
      </c>
      <c r="AA1300" s="13" t="s">
        <v>9169</v>
      </c>
      <c r="AB1300" s="13" t="s">
        <v>9168</v>
      </c>
      <c r="AC1300" s="14" t="s">
        <v>9157</v>
      </c>
      <c r="AD1300" s="14" t="s">
        <v>28</v>
      </c>
      <c r="AE1300" s="14" t="s">
        <v>9140</v>
      </c>
      <c r="AF1300" s="14" t="s">
        <v>52</v>
      </c>
      <c r="AG1300" s="14" t="s">
        <v>54</v>
      </c>
      <c r="AH1300" s="15" t="s">
        <v>9220</v>
      </c>
      <c r="AI1300" s="15" t="s">
        <v>9191</v>
      </c>
      <c r="AJ1300" s="15" t="s">
        <v>9143</v>
      </c>
      <c r="AK1300" s="15" t="s">
        <v>9221</v>
      </c>
      <c r="AL1300" s="15" t="s">
        <v>9226</v>
      </c>
      <c r="AM1300" s="16" t="s">
        <v>9221</v>
      </c>
      <c r="AN1300" s="16" t="s">
        <v>9227</v>
      </c>
    </row>
    <row r="1301" spans="1:40" x14ac:dyDescent="0.25">
      <c r="A1301" s="4" t="s">
        <v>3466</v>
      </c>
      <c r="B1301" s="4"/>
      <c r="C1301" s="4" t="s">
        <v>39</v>
      </c>
      <c r="D1301" s="4" t="s">
        <v>3467</v>
      </c>
      <c r="E1301" s="4" t="s">
        <v>3468</v>
      </c>
      <c r="F1301" s="10">
        <v>45334</v>
      </c>
      <c r="G1301" s="11">
        <v>0.44305555555555554</v>
      </c>
      <c r="H1301" s="4" t="s">
        <v>2095</v>
      </c>
      <c r="I1301" s="4" t="s">
        <v>3452</v>
      </c>
      <c r="J1301" s="4" t="s">
        <v>3453</v>
      </c>
      <c r="K1301" s="4" t="s">
        <v>3469</v>
      </c>
      <c r="L1301" s="4" t="s">
        <v>3470</v>
      </c>
      <c r="M1301" s="4" t="s">
        <v>46</v>
      </c>
      <c r="N1301" s="4"/>
      <c r="O1301" s="4" t="s">
        <v>47</v>
      </c>
      <c r="P1301" s="4" t="s">
        <v>48</v>
      </c>
      <c r="Q1301" s="4">
        <v>0</v>
      </c>
      <c r="R1301" s="4" t="b">
        <v>0</v>
      </c>
      <c r="S1301" s="4" t="s">
        <v>61</v>
      </c>
      <c r="T1301" s="4" t="s">
        <v>479</v>
      </c>
      <c r="U1301" s="4" t="s">
        <v>175</v>
      </c>
      <c r="V1301" s="4" t="s">
        <v>52</v>
      </c>
      <c r="W1301" s="4" t="s">
        <v>53</v>
      </c>
      <c r="X1301" s="4" t="s">
        <v>98</v>
      </c>
      <c r="Y1301" s="4"/>
      <c r="Z1301" s="12">
        <v>0</v>
      </c>
      <c r="AA1301" s="13" t="s">
        <v>9169</v>
      </c>
      <c r="AB1301" s="13" t="s">
        <v>9168</v>
      </c>
      <c r="AC1301" s="14" t="s">
        <v>9148</v>
      </c>
      <c r="AD1301" s="14" t="s">
        <v>9140</v>
      </c>
      <c r="AE1301" s="14" t="s">
        <v>9140</v>
      </c>
      <c r="AF1301" s="14" t="s">
        <v>52</v>
      </c>
      <c r="AG1301" s="14" t="s">
        <v>98</v>
      </c>
      <c r="AH1301" s="15" t="s">
        <v>9194</v>
      </c>
      <c r="AI1301" s="15" t="s">
        <v>9188</v>
      </c>
      <c r="AJ1301" s="15" t="s">
        <v>9143</v>
      </c>
      <c r="AK1301" s="15" t="s">
        <v>9194</v>
      </c>
      <c r="AL1301" s="15" t="s">
        <v>9203</v>
      </c>
      <c r="AM1301" s="16" t="s">
        <v>9194</v>
      </c>
      <c r="AN1301" s="16" t="s">
        <v>9204</v>
      </c>
    </row>
    <row r="1302" spans="1:40" x14ac:dyDescent="0.25">
      <c r="A1302" s="4" t="s">
        <v>1608</v>
      </c>
      <c r="B1302" s="4"/>
      <c r="C1302" s="4" t="s">
        <v>39</v>
      </c>
      <c r="D1302" s="4" t="s">
        <v>1609</v>
      </c>
      <c r="E1302" s="4" t="s">
        <v>1610</v>
      </c>
      <c r="F1302" s="10">
        <v>45334</v>
      </c>
      <c r="G1302" s="11">
        <v>0.60416666666666663</v>
      </c>
      <c r="H1302" s="4" t="s">
        <v>1366</v>
      </c>
      <c r="I1302" s="4">
        <v>6071</v>
      </c>
      <c r="J1302" s="4" t="s">
        <v>1586</v>
      </c>
      <c r="K1302" s="4" t="s">
        <v>455</v>
      </c>
      <c r="L1302" s="4" t="s">
        <v>1611</v>
      </c>
      <c r="M1302" s="4" t="s">
        <v>46</v>
      </c>
      <c r="N1302" s="4"/>
      <c r="O1302" s="4" t="s">
        <v>47</v>
      </c>
      <c r="P1302" s="4" t="s">
        <v>48</v>
      </c>
      <c r="Q1302" s="4">
        <v>0</v>
      </c>
      <c r="R1302" s="4" t="b">
        <v>0</v>
      </c>
      <c r="S1302" s="4" t="s">
        <v>61</v>
      </c>
      <c r="T1302" s="4" t="s">
        <v>89</v>
      </c>
      <c r="U1302" s="4" t="s">
        <v>148</v>
      </c>
      <c r="V1302" s="4" t="s">
        <v>52</v>
      </c>
      <c r="W1302" s="4" t="s">
        <v>53</v>
      </c>
      <c r="X1302" s="4" t="s">
        <v>98</v>
      </c>
      <c r="Y1302" s="4"/>
      <c r="Z1302" s="12">
        <v>0</v>
      </c>
      <c r="AA1302" s="13" t="s">
        <v>9169</v>
      </c>
      <c r="AB1302" s="13" t="s">
        <v>9168</v>
      </c>
      <c r="AC1302" s="14" t="s">
        <v>9148</v>
      </c>
      <c r="AD1302" s="14" t="s">
        <v>9140</v>
      </c>
      <c r="AE1302" s="14" t="s">
        <v>9140</v>
      </c>
      <c r="AF1302" s="14" t="s">
        <v>52</v>
      </c>
      <c r="AG1302" s="14" t="s">
        <v>98</v>
      </c>
      <c r="AH1302" s="15" t="s">
        <v>9141</v>
      </c>
      <c r="AI1302" s="15" t="s">
        <v>9188</v>
      </c>
      <c r="AJ1302" s="15" t="s">
        <v>9143</v>
      </c>
      <c r="AK1302" s="15" t="s">
        <v>9141</v>
      </c>
      <c r="AL1302" s="15" t="s">
        <v>9191</v>
      </c>
      <c r="AM1302" s="16" t="s">
        <v>9141</v>
      </c>
      <c r="AN1302" s="16" t="s">
        <v>9192</v>
      </c>
    </row>
    <row r="1303" spans="1:40" x14ac:dyDescent="0.25">
      <c r="A1303" s="4" t="s">
        <v>193</v>
      </c>
      <c r="B1303" s="4"/>
      <c r="C1303" s="4" t="s">
        <v>39</v>
      </c>
      <c r="D1303" s="4" t="s">
        <v>194</v>
      </c>
      <c r="E1303" s="4" t="s">
        <v>195</v>
      </c>
      <c r="F1303" s="10">
        <v>45333</v>
      </c>
      <c r="G1303" s="11">
        <v>0.47916666666666669</v>
      </c>
      <c r="H1303" s="4" t="s">
        <v>42</v>
      </c>
      <c r="I1303" s="4">
        <v>1008</v>
      </c>
      <c r="J1303" s="4" t="s">
        <v>170</v>
      </c>
      <c r="K1303" s="4" t="s">
        <v>196</v>
      </c>
      <c r="L1303" s="4" t="s">
        <v>197</v>
      </c>
      <c r="M1303" s="4" t="s">
        <v>46</v>
      </c>
      <c r="N1303" s="4"/>
      <c r="O1303" s="4" t="s">
        <v>47</v>
      </c>
      <c r="P1303" s="4" t="s">
        <v>48</v>
      </c>
      <c r="Q1303" s="4">
        <v>0</v>
      </c>
      <c r="R1303" s="4" t="b">
        <v>0</v>
      </c>
      <c r="S1303" s="4" t="s">
        <v>49</v>
      </c>
      <c r="T1303" s="4" t="s">
        <v>89</v>
      </c>
      <c r="U1303" s="4" t="s">
        <v>107</v>
      </c>
      <c r="V1303" s="4" t="s">
        <v>63</v>
      </c>
      <c r="W1303" s="4" t="s">
        <v>198</v>
      </c>
      <c r="X1303" s="4" t="s">
        <v>98</v>
      </c>
      <c r="Y1303" s="4"/>
      <c r="Z1303" s="12">
        <v>0</v>
      </c>
      <c r="AA1303" s="13" t="s">
        <v>9169</v>
      </c>
      <c r="AB1303" s="13" t="s">
        <v>9168</v>
      </c>
      <c r="AC1303" s="14" t="s">
        <v>9139</v>
      </c>
      <c r="AD1303" s="14" t="s">
        <v>9140</v>
      </c>
      <c r="AE1303" s="14" t="s">
        <v>9140</v>
      </c>
      <c r="AF1303" s="14" t="s">
        <v>63</v>
      </c>
      <c r="AG1303" s="14" t="s">
        <v>98</v>
      </c>
      <c r="AH1303" s="15" t="s">
        <v>9141</v>
      </c>
      <c r="AI1303" s="15" t="s">
        <v>9142</v>
      </c>
      <c r="AJ1303" s="15" t="s">
        <v>9143</v>
      </c>
      <c r="AK1303" s="15" t="s">
        <v>9141</v>
      </c>
      <c r="AL1303" s="15" t="s">
        <v>9144</v>
      </c>
      <c r="AM1303" s="16" t="s">
        <v>9141</v>
      </c>
      <c r="AN1303" s="16" t="s">
        <v>9145</v>
      </c>
    </row>
    <row r="1304" spans="1:40" x14ac:dyDescent="0.25">
      <c r="A1304" s="4" t="s">
        <v>7391</v>
      </c>
      <c r="B1304" s="4"/>
      <c r="C1304" s="4" t="s">
        <v>39</v>
      </c>
      <c r="D1304" s="4" t="s">
        <v>7313</v>
      </c>
      <c r="E1304" s="4" t="s">
        <v>7314</v>
      </c>
      <c r="F1304" s="10">
        <v>45333</v>
      </c>
      <c r="G1304" s="11">
        <v>0.72222222222222221</v>
      </c>
      <c r="H1304" s="4" t="s">
        <v>4019</v>
      </c>
      <c r="I1304" s="4" t="s">
        <v>7315</v>
      </c>
      <c r="J1304" s="4" t="s">
        <v>1037</v>
      </c>
      <c r="K1304" s="4" t="s">
        <v>7392</v>
      </c>
      <c r="L1304" s="4" t="s">
        <v>7393</v>
      </c>
      <c r="M1304" s="4" t="s">
        <v>46</v>
      </c>
      <c r="N1304" s="4"/>
      <c r="O1304" s="4" t="s">
        <v>47</v>
      </c>
      <c r="P1304" s="4" t="s">
        <v>48</v>
      </c>
      <c r="Q1304" s="4">
        <v>0</v>
      </c>
      <c r="R1304" s="4" t="b">
        <v>0</v>
      </c>
      <c r="S1304" s="4" t="s">
        <v>61</v>
      </c>
      <c r="T1304" s="4" t="s">
        <v>89</v>
      </c>
      <c r="U1304" s="4" t="s">
        <v>71</v>
      </c>
      <c r="V1304" s="4" t="s">
        <v>52</v>
      </c>
      <c r="W1304" s="4" t="s">
        <v>53</v>
      </c>
      <c r="X1304" s="4" t="s">
        <v>54</v>
      </c>
      <c r="Y1304" s="4"/>
      <c r="Z1304" s="12">
        <v>0</v>
      </c>
      <c r="AA1304" s="13" t="s">
        <v>9169</v>
      </c>
      <c r="AB1304" s="13" t="s">
        <v>9168</v>
      </c>
      <c r="AC1304" s="14" t="s">
        <v>9148</v>
      </c>
      <c r="AD1304" s="14" t="s">
        <v>9140</v>
      </c>
      <c r="AE1304" s="14" t="s">
        <v>9140</v>
      </c>
      <c r="AF1304" s="14" t="s">
        <v>52</v>
      </c>
      <c r="AG1304" s="14" t="s">
        <v>54</v>
      </c>
      <c r="AH1304" s="15" t="s">
        <v>9220</v>
      </c>
      <c r="AI1304" s="15" t="s">
        <v>9175</v>
      </c>
      <c r="AJ1304" s="15" t="s">
        <v>9143</v>
      </c>
      <c r="AK1304" s="15" t="s">
        <v>9221</v>
      </c>
      <c r="AL1304" s="15" t="s">
        <v>9222</v>
      </c>
      <c r="AM1304" s="16" t="s">
        <v>9221</v>
      </c>
      <c r="AN1304" s="16" t="s">
        <v>9223</v>
      </c>
    </row>
    <row r="1305" spans="1:40" x14ac:dyDescent="0.25">
      <c r="A1305" s="4" t="s">
        <v>6587</v>
      </c>
      <c r="B1305" s="4"/>
      <c r="C1305" s="4" t="s">
        <v>39</v>
      </c>
      <c r="D1305" s="4" t="s">
        <v>6588</v>
      </c>
      <c r="E1305" s="4" t="s">
        <v>6589</v>
      </c>
      <c r="F1305" s="10">
        <v>45331</v>
      </c>
      <c r="G1305" s="11">
        <v>0.39583333333333331</v>
      </c>
      <c r="H1305" s="4" t="s">
        <v>4910</v>
      </c>
      <c r="I1305" s="4" t="s">
        <v>6561</v>
      </c>
      <c r="J1305" s="4" t="s">
        <v>1719</v>
      </c>
      <c r="K1305" s="4" t="s">
        <v>6590</v>
      </c>
      <c r="L1305" s="4" t="s">
        <v>6591</v>
      </c>
      <c r="M1305" s="4" t="s">
        <v>46</v>
      </c>
      <c r="N1305" s="4"/>
      <c r="O1305" s="4" t="s">
        <v>47</v>
      </c>
      <c r="P1305" s="4" t="s">
        <v>48</v>
      </c>
      <c r="Q1305" s="4">
        <v>0</v>
      </c>
      <c r="R1305" s="4" t="b">
        <v>0</v>
      </c>
      <c r="S1305" s="4" t="s">
        <v>61</v>
      </c>
      <c r="T1305" s="4" t="s">
        <v>204</v>
      </c>
      <c r="U1305" s="4" t="s">
        <v>165</v>
      </c>
      <c r="V1305" s="4" t="s">
        <v>72</v>
      </c>
      <c r="W1305" s="4" t="s">
        <v>97</v>
      </c>
      <c r="X1305" s="4" t="s">
        <v>1715</v>
      </c>
      <c r="Y1305" s="4"/>
      <c r="Z1305" s="12">
        <v>0</v>
      </c>
      <c r="AA1305" s="13" t="s">
        <v>9169</v>
      </c>
      <c r="AB1305" s="13" t="s">
        <v>9168</v>
      </c>
      <c r="AC1305" s="14" t="s">
        <v>9148</v>
      </c>
      <c r="AD1305" s="14" t="s">
        <v>9140</v>
      </c>
      <c r="AE1305" s="14" t="s">
        <v>9140</v>
      </c>
      <c r="AF1305" s="14" t="s">
        <v>72</v>
      </c>
      <c r="AG1305" s="14" t="s">
        <v>1715</v>
      </c>
      <c r="AH1305" s="15" t="s">
        <v>9220</v>
      </c>
      <c r="AI1305" s="15" t="s">
        <v>9191</v>
      </c>
      <c r="AJ1305" s="15" t="s">
        <v>9143</v>
      </c>
      <c r="AK1305" s="15" t="s">
        <v>9221</v>
      </c>
      <c r="AL1305" s="15" t="s">
        <v>9226</v>
      </c>
      <c r="AM1305" s="16" t="s">
        <v>9221</v>
      </c>
      <c r="AN1305" s="16" t="s">
        <v>9227</v>
      </c>
    </row>
    <row r="1306" spans="1:40" x14ac:dyDescent="0.25">
      <c r="A1306" s="4" t="s">
        <v>8920</v>
      </c>
      <c r="B1306" s="4"/>
      <c r="C1306" s="4" t="s">
        <v>39</v>
      </c>
      <c r="D1306" s="4" t="s">
        <v>8921</v>
      </c>
      <c r="E1306" s="4" t="s">
        <v>8922</v>
      </c>
      <c r="F1306" s="10">
        <v>45330</v>
      </c>
      <c r="G1306" s="11">
        <v>0.54861111111111116</v>
      </c>
      <c r="H1306" s="4" t="s">
        <v>4019</v>
      </c>
      <c r="I1306" s="4" t="s">
        <v>8854</v>
      </c>
      <c r="J1306" s="4" t="s">
        <v>8855</v>
      </c>
      <c r="K1306" s="4" t="s">
        <v>8923</v>
      </c>
      <c r="L1306" s="4" t="s">
        <v>8924</v>
      </c>
      <c r="M1306" s="4" t="s">
        <v>46</v>
      </c>
      <c r="N1306" s="4"/>
      <c r="O1306" s="4" t="s">
        <v>47</v>
      </c>
      <c r="P1306" s="4" t="s">
        <v>48</v>
      </c>
      <c r="Q1306" s="4">
        <v>0</v>
      </c>
      <c r="R1306" s="4" t="b">
        <v>0</v>
      </c>
      <c r="S1306" s="4" t="s">
        <v>61</v>
      </c>
      <c r="T1306" s="4" t="s">
        <v>89</v>
      </c>
      <c r="U1306" s="4" t="s">
        <v>373</v>
      </c>
      <c r="V1306" s="4" t="s">
        <v>225</v>
      </c>
      <c r="W1306" s="4" t="s">
        <v>1714</v>
      </c>
      <c r="X1306" s="4" t="s">
        <v>1715</v>
      </c>
      <c r="Y1306" s="4"/>
      <c r="Z1306" s="12">
        <v>0</v>
      </c>
      <c r="AA1306" s="13" t="s">
        <v>9169</v>
      </c>
      <c r="AB1306" s="13" t="s">
        <v>9168</v>
      </c>
      <c r="AC1306" s="14" t="s">
        <v>9148</v>
      </c>
      <c r="AD1306" s="14" t="s">
        <v>9140</v>
      </c>
      <c r="AE1306" s="14" t="s">
        <v>9140</v>
      </c>
      <c r="AF1306" s="14" t="s">
        <v>225</v>
      </c>
      <c r="AG1306" s="14" t="s">
        <v>1715</v>
      </c>
      <c r="AH1306" s="15" t="s">
        <v>9220</v>
      </c>
      <c r="AI1306" s="15" t="s">
        <v>9175</v>
      </c>
      <c r="AJ1306" s="15" t="s">
        <v>9183</v>
      </c>
      <c r="AK1306" s="15" t="s">
        <v>9239</v>
      </c>
      <c r="AL1306" s="15" t="s">
        <v>9240</v>
      </c>
      <c r="AM1306" s="16" t="s">
        <v>9186</v>
      </c>
      <c r="AN1306" s="16" t="s">
        <v>9186</v>
      </c>
    </row>
    <row r="1307" spans="1:40" x14ac:dyDescent="0.25">
      <c r="A1307" s="4" t="s">
        <v>412</v>
      </c>
      <c r="B1307" s="4"/>
      <c r="C1307" s="4" t="s">
        <v>39</v>
      </c>
      <c r="D1307" s="4" t="s">
        <v>413</v>
      </c>
      <c r="E1307" s="4" t="s">
        <v>414</v>
      </c>
      <c r="F1307" s="10">
        <v>45330</v>
      </c>
      <c r="G1307" s="11">
        <v>0.86458333333333337</v>
      </c>
      <c r="H1307" s="4" t="s">
        <v>42</v>
      </c>
      <c r="I1307" s="4">
        <v>1012</v>
      </c>
      <c r="J1307" s="4" t="s">
        <v>401</v>
      </c>
      <c r="K1307" s="4" t="s">
        <v>415</v>
      </c>
      <c r="L1307" s="4" t="s">
        <v>416</v>
      </c>
      <c r="M1307" s="4" t="s">
        <v>46</v>
      </c>
      <c r="N1307" s="4"/>
      <c r="O1307" s="4" t="s">
        <v>174</v>
      </c>
      <c r="P1307" s="4" t="s">
        <v>48</v>
      </c>
      <c r="Q1307" s="4">
        <v>0</v>
      </c>
      <c r="R1307" s="4" t="b">
        <v>0</v>
      </c>
      <c r="S1307" s="4" t="s">
        <v>49</v>
      </c>
      <c r="T1307" s="4" t="s">
        <v>89</v>
      </c>
      <c r="U1307" s="4" t="s">
        <v>417</v>
      </c>
      <c r="V1307" s="4" t="s">
        <v>123</v>
      </c>
      <c r="W1307" s="4" t="s">
        <v>124</v>
      </c>
      <c r="X1307" s="4" t="s">
        <v>54</v>
      </c>
      <c r="Y1307" s="4"/>
      <c r="Z1307" s="12">
        <v>0</v>
      </c>
      <c r="AA1307" s="13" t="s">
        <v>9169</v>
      </c>
      <c r="AB1307" s="13" t="s">
        <v>9168</v>
      </c>
      <c r="AC1307" s="14" t="s">
        <v>9139</v>
      </c>
      <c r="AD1307" s="14" t="s">
        <v>9140</v>
      </c>
      <c r="AE1307" s="14" t="s">
        <v>9140</v>
      </c>
      <c r="AF1307" s="14" t="s">
        <v>123</v>
      </c>
      <c r="AG1307" s="14" t="s">
        <v>54</v>
      </c>
      <c r="AH1307" s="15" t="s">
        <v>9141</v>
      </c>
      <c r="AI1307" s="15" t="s">
        <v>9142</v>
      </c>
      <c r="AJ1307" s="15" t="s">
        <v>9143</v>
      </c>
      <c r="AK1307" s="15" t="s">
        <v>9141</v>
      </c>
      <c r="AL1307" s="15" t="s">
        <v>9144</v>
      </c>
      <c r="AM1307" s="16" t="s">
        <v>9141</v>
      </c>
      <c r="AN1307" s="16" t="s">
        <v>9145</v>
      </c>
    </row>
    <row r="1308" spans="1:40" x14ac:dyDescent="0.25">
      <c r="A1308" s="4" t="s">
        <v>501</v>
      </c>
      <c r="B1308" s="4"/>
      <c r="C1308" s="4" t="s">
        <v>39</v>
      </c>
      <c r="D1308" s="4" t="s">
        <v>502</v>
      </c>
      <c r="E1308" s="4" t="s">
        <v>503</v>
      </c>
      <c r="F1308" s="10">
        <v>45330</v>
      </c>
      <c r="G1308" s="11">
        <v>0.4375</v>
      </c>
      <c r="H1308" s="4" t="s">
        <v>463</v>
      </c>
      <c r="I1308" s="4">
        <v>2017</v>
      </c>
      <c r="J1308" s="4" t="s">
        <v>491</v>
      </c>
      <c r="K1308" s="4" t="s">
        <v>504</v>
      </c>
      <c r="L1308" s="4" t="s">
        <v>505</v>
      </c>
      <c r="M1308" s="4" t="s">
        <v>46</v>
      </c>
      <c r="N1308" s="4"/>
      <c r="O1308" s="4" t="s">
        <v>47</v>
      </c>
      <c r="P1308" s="4" t="s">
        <v>48</v>
      </c>
      <c r="Q1308" s="4">
        <v>0</v>
      </c>
      <c r="R1308" s="4" t="b">
        <v>0</v>
      </c>
      <c r="S1308" s="4" t="s">
        <v>61</v>
      </c>
      <c r="T1308" s="4" t="s">
        <v>349</v>
      </c>
      <c r="U1308" s="4" t="s">
        <v>90</v>
      </c>
      <c r="V1308" s="4" t="s">
        <v>267</v>
      </c>
      <c r="W1308" s="4" t="s">
        <v>495</v>
      </c>
      <c r="X1308" s="4" t="s">
        <v>54</v>
      </c>
      <c r="Y1308" s="4"/>
      <c r="Z1308" s="12">
        <v>0</v>
      </c>
      <c r="AA1308" s="13" t="s">
        <v>9169</v>
      </c>
      <c r="AB1308" s="13" t="s">
        <v>9168</v>
      </c>
      <c r="AC1308" s="14" t="s">
        <v>9148</v>
      </c>
      <c r="AD1308" s="14" t="s">
        <v>9140</v>
      </c>
      <c r="AE1308" s="14" t="s">
        <v>9140</v>
      </c>
      <c r="AF1308" s="14" t="s">
        <v>267</v>
      </c>
      <c r="AG1308" s="14" t="s">
        <v>54</v>
      </c>
      <c r="AH1308" s="15" t="s">
        <v>9141</v>
      </c>
      <c r="AI1308" s="15" t="s">
        <v>9175</v>
      </c>
      <c r="AJ1308" s="15" t="s">
        <v>9143</v>
      </c>
      <c r="AK1308" s="15" t="s">
        <v>9141</v>
      </c>
      <c r="AL1308" s="15" t="s">
        <v>9177</v>
      </c>
      <c r="AM1308" s="16" t="s">
        <v>9141</v>
      </c>
      <c r="AN1308" s="16" t="s">
        <v>9178</v>
      </c>
    </row>
    <row r="1309" spans="1:40" x14ac:dyDescent="0.25">
      <c r="A1309" s="4" t="s">
        <v>1432</v>
      </c>
      <c r="B1309" s="4"/>
      <c r="C1309" s="4" t="s">
        <v>39</v>
      </c>
      <c r="D1309" s="4" t="s">
        <v>1433</v>
      </c>
      <c r="E1309" s="4" t="s">
        <v>1434</v>
      </c>
      <c r="F1309" s="10">
        <v>45330</v>
      </c>
      <c r="G1309" s="11">
        <v>0.4861111111111111</v>
      </c>
      <c r="H1309" s="4" t="s">
        <v>1366</v>
      </c>
      <c r="I1309" s="4">
        <v>5060</v>
      </c>
      <c r="J1309" s="4" t="s">
        <v>1412</v>
      </c>
      <c r="K1309" s="4" t="s">
        <v>1435</v>
      </c>
      <c r="L1309" s="4" t="s">
        <v>1436</v>
      </c>
      <c r="M1309" s="4" t="s">
        <v>46</v>
      </c>
      <c r="N1309" s="4"/>
      <c r="O1309" s="4" t="s">
        <v>47</v>
      </c>
      <c r="P1309" s="4" t="s">
        <v>48</v>
      </c>
      <c r="Q1309" s="4">
        <v>0</v>
      </c>
      <c r="R1309" s="4" t="b">
        <v>0</v>
      </c>
      <c r="S1309" s="4" t="s">
        <v>49</v>
      </c>
      <c r="T1309" s="4" t="s">
        <v>89</v>
      </c>
      <c r="U1309" s="4" t="s">
        <v>165</v>
      </c>
      <c r="V1309" s="4" t="s">
        <v>63</v>
      </c>
      <c r="W1309" s="4" t="s">
        <v>108</v>
      </c>
      <c r="X1309" s="4" t="s">
        <v>98</v>
      </c>
      <c r="Y1309" s="4"/>
      <c r="Z1309" s="12">
        <v>0</v>
      </c>
      <c r="AA1309" s="13" t="s">
        <v>9169</v>
      </c>
      <c r="AB1309" s="13" t="s">
        <v>9168</v>
      </c>
      <c r="AC1309" s="14" t="s">
        <v>9139</v>
      </c>
      <c r="AD1309" s="14" t="s">
        <v>9140</v>
      </c>
      <c r="AE1309" s="14" t="s">
        <v>9140</v>
      </c>
      <c r="AF1309" s="14" t="s">
        <v>63</v>
      </c>
      <c r="AG1309" s="14" t="s">
        <v>98</v>
      </c>
      <c r="AH1309" s="15" t="s">
        <v>9141</v>
      </c>
      <c r="AI1309" s="15" t="s">
        <v>9188</v>
      </c>
      <c r="AJ1309" s="15" t="s">
        <v>9143</v>
      </c>
      <c r="AK1309" s="15" t="s">
        <v>9141</v>
      </c>
      <c r="AL1309" s="15" t="s">
        <v>9191</v>
      </c>
      <c r="AM1309" s="16" t="s">
        <v>9141</v>
      </c>
      <c r="AN1309" s="16" t="s">
        <v>9192</v>
      </c>
    </row>
    <row r="1310" spans="1:40" x14ac:dyDescent="0.25">
      <c r="A1310" s="4" t="s">
        <v>7827</v>
      </c>
      <c r="B1310" s="4"/>
      <c r="C1310" s="4" t="s">
        <v>39</v>
      </c>
      <c r="D1310" s="4" t="s">
        <v>7803</v>
      </c>
      <c r="E1310" s="4" t="s">
        <v>7804</v>
      </c>
      <c r="F1310" s="10">
        <v>45329</v>
      </c>
      <c r="G1310" s="11">
        <v>0.63263888888888886</v>
      </c>
      <c r="H1310" s="4" t="s">
        <v>5666</v>
      </c>
      <c r="I1310" s="4" t="s">
        <v>7793</v>
      </c>
      <c r="J1310" s="4" t="s">
        <v>7794</v>
      </c>
      <c r="K1310" s="4" t="s">
        <v>3546</v>
      </c>
      <c r="L1310" s="4" t="s">
        <v>7828</v>
      </c>
      <c r="M1310" s="4" t="s">
        <v>46</v>
      </c>
      <c r="N1310" s="4"/>
      <c r="O1310" s="4" t="s">
        <v>47</v>
      </c>
      <c r="P1310" s="4" t="s">
        <v>48</v>
      </c>
      <c r="Q1310" s="4">
        <v>0</v>
      </c>
      <c r="R1310" s="4" t="b">
        <v>0</v>
      </c>
      <c r="S1310" s="4" t="s">
        <v>61</v>
      </c>
      <c r="T1310" s="4" t="s">
        <v>50</v>
      </c>
      <c r="U1310" s="4" t="s">
        <v>175</v>
      </c>
      <c r="V1310" s="4" t="s">
        <v>63</v>
      </c>
      <c r="W1310" s="4" t="s">
        <v>108</v>
      </c>
      <c r="X1310" s="4" t="s">
        <v>54</v>
      </c>
      <c r="Y1310" s="4"/>
      <c r="Z1310" s="12">
        <v>0</v>
      </c>
      <c r="AA1310" s="13" t="s">
        <v>9169</v>
      </c>
      <c r="AB1310" s="13" t="s">
        <v>9168</v>
      </c>
      <c r="AC1310" s="14" t="s">
        <v>9148</v>
      </c>
      <c r="AD1310" s="14" t="s">
        <v>9140</v>
      </c>
      <c r="AE1310" s="14" t="s">
        <v>9140</v>
      </c>
      <c r="AF1310" s="14" t="s">
        <v>63</v>
      </c>
      <c r="AG1310" s="14" t="s">
        <v>54</v>
      </c>
      <c r="AH1310" s="15" t="s">
        <v>9220</v>
      </c>
      <c r="AI1310" s="15" t="s">
        <v>9199</v>
      </c>
      <c r="AJ1310" s="15" t="s">
        <v>9143</v>
      </c>
      <c r="AK1310" s="15" t="s">
        <v>9221</v>
      </c>
      <c r="AL1310" s="15" t="s">
        <v>9199</v>
      </c>
      <c r="AM1310" s="16" t="s">
        <v>9221</v>
      </c>
      <c r="AN1310" s="16" t="s">
        <v>9238</v>
      </c>
    </row>
    <row r="1311" spans="1:40" x14ac:dyDescent="0.25">
      <c r="A1311" s="4" t="s">
        <v>3844</v>
      </c>
      <c r="B1311" s="4"/>
      <c r="C1311" s="4" t="s">
        <v>39</v>
      </c>
      <c r="D1311" s="4" t="s">
        <v>3845</v>
      </c>
      <c r="E1311" s="4" t="s">
        <v>3846</v>
      </c>
      <c r="F1311" s="10">
        <v>45329</v>
      </c>
      <c r="G1311" s="11">
        <v>0.65277777777777779</v>
      </c>
      <c r="H1311" s="4" t="s">
        <v>2017</v>
      </c>
      <c r="I1311" s="4" t="s">
        <v>3832</v>
      </c>
      <c r="J1311" s="4" t="s">
        <v>3833</v>
      </c>
      <c r="K1311" s="4" t="s">
        <v>3847</v>
      </c>
      <c r="L1311" s="4" t="s">
        <v>3848</v>
      </c>
      <c r="M1311" s="4" t="s">
        <v>46</v>
      </c>
      <c r="N1311" s="4"/>
      <c r="O1311" s="4" t="s">
        <v>174</v>
      </c>
      <c r="P1311" s="4" t="s">
        <v>48</v>
      </c>
      <c r="Q1311" s="4">
        <v>0</v>
      </c>
      <c r="R1311" s="4" t="b">
        <v>0</v>
      </c>
      <c r="S1311" s="4" t="s">
        <v>49</v>
      </c>
      <c r="T1311" s="4" t="s">
        <v>3849</v>
      </c>
      <c r="U1311" s="4" t="s">
        <v>116</v>
      </c>
      <c r="V1311" s="4" t="s">
        <v>81</v>
      </c>
      <c r="W1311" s="4" t="s">
        <v>82</v>
      </c>
      <c r="X1311" s="4" t="s">
        <v>136</v>
      </c>
      <c r="Y1311" s="4"/>
      <c r="Z1311" s="12">
        <v>0</v>
      </c>
      <c r="AA1311" s="13" t="s">
        <v>9169</v>
      </c>
      <c r="AB1311" s="13" t="s">
        <v>9168</v>
      </c>
      <c r="AC1311" s="14" t="s">
        <v>9139</v>
      </c>
      <c r="AD1311" s="14" t="s">
        <v>9140</v>
      </c>
      <c r="AE1311" s="14" t="s">
        <v>9140</v>
      </c>
      <c r="AF1311" s="14" t="s">
        <v>81</v>
      </c>
      <c r="AG1311" s="14" t="s">
        <v>136</v>
      </c>
      <c r="AH1311" s="15" t="s">
        <v>9194</v>
      </c>
      <c r="AI1311" s="15" t="s">
        <v>9199</v>
      </c>
      <c r="AJ1311" s="15" t="s">
        <v>9143</v>
      </c>
      <c r="AK1311" s="15" t="s">
        <v>9194</v>
      </c>
      <c r="AL1311" s="15" t="s">
        <v>9199</v>
      </c>
      <c r="AM1311" s="16" t="s">
        <v>9194</v>
      </c>
      <c r="AN1311" s="16" t="s">
        <v>9200</v>
      </c>
    </row>
    <row r="1312" spans="1:40" x14ac:dyDescent="0.25">
      <c r="A1312" s="4" t="s">
        <v>3626</v>
      </c>
      <c r="B1312" s="4"/>
      <c r="C1312" s="4" t="s">
        <v>39</v>
      </c>
      <c r="D1312" s="4" t="s">
        <v>3627</v>
      </c>
      <c r="E1312" s="4" t="s">
        <v>3628</v>
      </c>
      <c r="F1312" s="10">
        <v>45329</v>
      </c>
      <c r="G1312" s="11">
        <v>0.55625000000000002</v>
      </c>
      <c r="H1312" s="4" t="s">
        <v>2017</v>
      </c>
      <c r="I1312" s="4" t="s">
        <v>3607</v>
      </c>
      <c r="J1312" s="4" t="s">
        <v>3608</v>
      </c>
      <c r="K1312" s="4" t="s">
        <v>3629</v>
      </c>
      <c r="L1312" s="4" t="s">
        <v>3630</v>
      </c>
      <c r="M1312" s="4" t="s">
        <v>46</v>
      </c>
      <c r="N1312" s="4"/>
      <c r="O1312" s="4" t="s">
        <v>47</v>
      </c>
      <c r="P1312" s="4" t="s">
        <v>48</v>
      </c>
      <c r="Q1312" s="4">
        <v>0</v>
      </c>
      <c r="R1312" s="4" t="b">
        <v>0</v>
      </c>
      <c r="S1312" s="4" t="s">
        <v>61</v>
      </c>
      <c r="T1312" s="4" t="s">
        <v>50</v>
      </c>
      <c r="U1312" s="4" t="s">
        <v>122</v>
      </c>
      <c r="V1312" s="4" t="s">
        <v>63</v>
      </c>
      <c r="W1312" s="4" t="s">
        <v>108</v>
      </c>
      <c r="X1312" s="4" t="s">
        <v>54</v>
      </c>
      <c r="Y1312" s="4"/>
      <c r="Z1312" s="12">
        <v>0</v>
      </c>
      <c r="AA1312" s="13" t="s">
        <v>9169</v>
      </c>
      <c r="AB1312" s="13" t="s">
        <v>9168</v>
      </c>
      <c r="AC1312" s="14" t="s">
        <v>9148</v>
      </c>
      <c r="AD1312" s="14" t="s">
        <v>9140</v>
      </c>
      <c r="AE1312" s="14" t="s">
        <v>9140</v>
      </c>
      <c r="AF1312" s="14" t="s">
        <v>63</v>
      </c>
      <c r="AG1312" s="14" t="s">
        <v>54</v>
      </c>
      <c r="AH1312" s="15" t="s">
        <v>9194</v>
      </c>
      <c r="AI1312" s="15" t="s">
        <v>9199</v>
      </c>
      <c r="AJ1312" s="15" t="s">
        <v>9143</v>
      </c>
      <c r="AK1312" s="15" t="s">
        <v>9194</v>
      </c>
      <c r="AL1312" s="15" t="s">
        <v>9199</v>
      </c>
      <c r="AM1312" s="16" t="s">
        <v>9194</v>
      </c>
      <c r="AN1312" s="16" t="s">
        <v>9200</v>
      </c>
    </row>
    <row r="1313" spans="1:40" x14ac:dyDescent="0.25">
      <c r="A1313" s="4" t="s">
        <v>6326</v>
      </c>
      <c r="B1313" s="4"/>
      <c r="C1313" s="4" t="s">
        <v>39</v>
      </c>
      <c r="D1313" s="4" t="s">
        <v>6314</v>
      </c>
      <c r="E1313" s="4" t="s">
        <v>6315</v>
      </c>
      <c r="F1313" s="10">
        <v>45329</v>
      </c>
      <c r="G1313" s="11">
        <v>0.84722222222222221</v>
      </c>
      <c r="H1313" s="4" t="s">
        <v>4019</v>
      </c>
      <c r="I1313" s="4" t="s">
        <v>6277</v>
      </c>
      <c r="J1313" s="4" t="s">
        <v>988</v>
      </c>
      <c r="K1313" s="4" t="s">
        <v>6327</v>
      </c>
      <c r="L1313" s="4" t="s">
        <v>6328</v>
      </c>
      <c r="M1313" s="4" t="s">
        <v>46</v>
      </c>
      <c r="N1313" s="4"/>
      <c r="O1313" s="4" t="s">
        <v>47</v>
      </c>
      <c r="P1313" s="4" t="s">
        <v>48</v>
      </c>
      <c r="Q1313" s="4">
        <v>0</v>
      </c>
      <c r="R1313" s="4" t="b">
        <v>0</v>
      </c>
      <c r="S1313" s="4" t="s">
        <v>49</v>
      </c>
      <c r="T1313" s="4" t="s">
        <v>479</v>
      </c>
      <c r="U1313" s="4" t="s">
        <v>345</v>
      </c>
      <c r="V1313" s="4" t="s">
        <v>123</v>
      </c>
      <c r="W1313" s="4" t="s">
        <v>149</v>
      </c>
      <c r="X1313" s="4" t="s">
        <v>98</v>
      </c>
      <c r="Y1313" s="4"/>
      <c r="Z1313" s="12">
        <v>0</v>
      </c>
      <c r="AA1313" s="13" t="s">
        <v>9169</v>
      </c>
      <c r="AB1313" s="13" t="s">
        <v>9168</v>
      </c>
      <c r="AC1313" s="14" t="s">
        <v>9139</v>
      </c>
      <c r="AD1313" s="14" t="s">
        <v>9140</v>
      </c>
      <c r="AE1313" s="14" t="s">
        <v>9140</v>
      </c>
      <c r="AF1313" s="14" t="s">
        <v>123</v>
      </c>
      <c r="AG1313" s="14" t="s">
        <v>98</v>
      </c>
      <c r="AH1313" s="15" t="s">
        <v>9220</v>
      </c>
      <c r="AI1313" s="15" t="s">
        <v>9175</v>
      </c>
      <c r="AJ1313" s="15" t="s">
        <v>9143</v>
      </c>
      <c r="AK1313" s="15" t="s">
        <v>9221</v>
      </c>
      <c r="AL1313" s="15" t="s">
        <v>9222</v>
      </c>
      <c r="AM1313" s="16" t="s">
        <v>9221</v>
      </c>
      <c r="AN1313" s="16" t="s">
        <v>9223</v>
      </c>
    </row>
    <row r="1314" spans="1:40" x14ac:dyDescent="0.25">
      <c r="A1314" s="4" t="s">
        <v>5385</v>
      </c>
      <c r="B1314" s="4"/>
      <c r="C1314" s="4" t="s">
        <v>39</v>
      </c>
      <c r="D1314" s="4" t="s">
        <v>5386</v>
      </c>
      <c r="E1314" s="4" t="s">
        <v>5387</v>
      </c>
      <c r="F1314" s="10">
        <v>45329</v>
      </c>
      <c r="G1314" s="11">
        <v>0.58333333333333337</v>
      </c>
      <c r="H1314" s="4" t="s">
        <v>4910</v>
      </c>
      <c r="I1314" s="4" t="s">
        <v>5360</v>
      </c>
      <c r="J1314" s="4" t="s">
        <v>2062</v>
      </c>
      <c r="K1314" s="4" t="s">
        <v>5388</v>
      </c>
      <c r="L1314" s="4" t="s">
        <v>5389</v>
      </c>
      <c r="M1314" s="4" t="s">
        <v>46</v>
      </c>
      <c r="N1314" s="4"/>
      <c r="O1314" s="4" t="s">
        <v>47</v>
      </c>
      <c r="P1314" s="4" t="s">
        <v>48</v>
      </c>
      <c r="Q1314" s="4">
        <v>0</v>
      </c>
      <c r="R1314" s="4" t="b">
        <v>0</v>
      </c>
      <c r="S1314" s="4" t="s">
        <v>61</v>
      </c>
      <c r="T1314" s="4" t="s">
        <v>479</v>
      </c>
      <c r="U1314" s="4" t="s">
        <v>175</v>
      </c>
      <c r="V1314" s="4" t="s">
        <v>63</v>
      </c>
      <c r="W1314" s="4" t="s">
        <v>198</v>
      </c>
      <c r="X1314" s="4" t="s">
        <v>98</v>
      </c>
      <c r="Y1314" s="4"/>
      <c r="Z1314" s="12">
        <v>0</v>
      </c>
      <c r="AA1314" s="13" t="s">
        <v>9169</v>
      </c>
      <c r="AB1314" s="13" t="s">
        <v>9168</v>
      </c>
      <c r="AC1314" s="14" t="s">
        <v>9148</v>
      </c>
      <c r="AD1314" s="14" t="s">
        <v>9140</v>
      </c>
      <c r="AE1314" s="14" t="s">
        <v>9140</v>
      </c>
      <c r="AF1314" s="14" t="s">
        <v>63</v>
      </c>
      <c r="AG1314" s="14" t="s">
        <v>98</v>
      </c>
      <c r="AH1314" s="15" t="s">
        <v>9220</v>
      </c>
      <c r="AI1314" s="15" t="s">
        <v>9191</v>
      </c>
      <c r="AJ1314" s="15" t="s">
        <v>9143</v>
      </c>
      <c r="AK1314" s="15" t="s">
        <v>9221</v>
      </c>
      <c r="AL1314" s="15" t="s">
        <v>9234</v>
      </c>
      <c r="AM1314" s="16" t="s">
        <v>9221</v>
      </c>
      <c r="AN1314" s="16" t="s">
        <v>9235</v>
      </c>
    </row>
    <row r="1315" spans="1:40" x14ac:dyDescent="0.25">
      <c r="A1315" s="4" t="s">
        <v>7001</v>
      </c>
      <c r="B1315" s="4"/>
      <c r="C1315" s="4" t="s">
        <v>39</v>
      </c>
      <c r="D1315" s="4" t="s">
        <v>7002</v>
      </c>
      <c r="E1315" s="4" t="s">
        <v>7003</v>
      </c>
      <c r="F1315" s="10">
        <v>45328</v>
      </c>
      <c r="G1315" s="11">
        <v>0.65972222222222221</v>
      </c>
      <c r="H1315" s="4" t="s">
        <v>4516</v>
      </c>
      <c r="I1315" s="4" t="s">
        <v>6985</v>
      </c>
      <c r="J1315" s="4" t="s">
        <v>3890</v>
      </c>
      <c r="K1315" s="4" t="s">
        <v>2354</v>
      </c>
      <c r="L1315" s="4" t="s">
        <v>7004</v>
      </c>
      <c r="M1315" s="4" t="s">
        <v>46</v>
      </c>
      <c r="N1315" s="4"/>
      <c r="O1315" s="4" t="s">
        <v>47</v>
      </c>
      <c r="P1315" s="4" t="s">
        <v>48</v>
      </c>
      <c r="Q1315" s="4">
        <v>0</v>
      </c>
      <c r="R1315" s="4" t="b">
        <v>0</v>
      </c>
      <c r="S1315" s="4" t="s">
        <v>61</v>
      </c>
      <c r="T1315" s="4" t="s">
        <v>50</v>
      </c>
      <c r="U1315" s="4" t="s">
        <v>90</v>
      </c>
      <c r="V1315" s="4" t="s">
        <v>63</v>
      </c>
      <c r="W1315" s="4" t="s">
        <v>108</v>
      </c>
      <c r="X1315" s="4" t="s">
        <v>98</v>
      </c>
      <c r="Y1315" s="4"/>
      <c r="Z1315" s="12">
        <v>0</v>
      </c>
      <c r="AA1315" s="13" t="s">
        <v>9169</v>
      </c>
      <c r="AB1315" s="13" t="s">
        <v>9168</v>
      </c>
      <c r="AC1315" s="14" t="s">
        <v>9148</v>
      </c>
      <c r="AD1315" s="14" t="s">
        <v>9140</v>
      </c>
      <c r="AE1315" s="14" t="s">
        <v>9140</v>
      </c>
      <c r="AF1315" s="14" t="s">
        <v>63</v>
      </c>
      <c r="AG1315" s="14" t="s">
        <v>98</v>
      </c>
      <c r="AH1315" s="15" t="s">
        <v>9220</v>
      </c>
      <c r="AI1315" s="15" t="s">
        <v>9188</v>
      </c>
      <c r="AJ1315" s="15" t="s">
        <v>9143</v>
      </c>
      <c r="AK1315" s="15" t="s">
        <v>9221</v>
      </c>
      <c r="AL1315" s="15" t="s">
        <v>9230</v>
      </c>
      <c r="AM1315" s="16" t="s">
        <v>9221</v>
      </c>
      <c r="AN1315" s="16" t="s">
        <v>9231</v>
      </c>
    </row>
    <row r="1316" spans="1:40" x14ac:dyDescent="0.25">
      <c r="A1316" s="4" t="s">
        <v>8718</v>
      </c>
      <c r="B1316" s="4"/>
      <c r="C1316" s="4" t="s">
        <v>39</v>
      </c>
      <c r="D1316" s="4" t="s">
        <v>8719</v>
      </c>
      <c r="E1316" s="4" t="s">
        <v>8720</v>
      </c>
      <c r="F1316" s="10">
        <v>45328</v>
      </c>
      <c r="G1316" s="11">
        <v>0.70972222222222225</v>
      </c>
      <c r="H1316" s="4" t="s">
        <v>4516</v>
      </c>
      <c r="I1316" s="4" t="s">
        <v>8691</v>
      </c>
      <c r="J1316" s="4" t="s">
        <v>3943</v>
      </c>
      <c r="K1316" s="4" t="s">
        <v>8721</v>
      </c>
      <c r="L1316" s="4" t="s">
        <v>8722</v>
      </c>
      <c r="M1316" s="4" t="s">
        <v>46</v>
      </c>
      <c r="N1316" s="4"/>
      <c r="O1316" s="4" t="s">
        <v>174</v>
      </c>
      <c r="P1316" s="4" t="s">
        <v>48</v>
      </c>
      <c r="Q1316" s="4">
        <v>4</v>
      </c>
      <c r="R1316" s="4" t="b">
        <v>0</v>
      </c>
      <c r="S1316" s="4" t="s">
        <v>114</v>
      </c>
      <c r="T1316" s="4" t="s">
        <v>50</v>
      </c>
      <c r="U1316" s="4" t="s">
        <v>2767</v>
      </c>
      <c r="V1316" s="4" t="s">
        <v>63</v>
      </c>
      <c r="W1316" s="4" t="s">
        <v>108</v>
      </c>
      <c r="X1316" s="4" t="s">
        <v>98</v>
      </c>
      <c r="Y1316" s="4" t="s">
        <v>176</v>
      </c>
      <c r="Z1316" s="12">
        <v>0</v>
      </c>
      <c r="AA1316" s="13" t="s">
        <v>9169</v>
      </c>
      <c r="AB1316" s="13" t="s">
        <v>9168</v>
      </c>
      <c r="AC1316" s="14" t="s">
        <v>9157</v>
      </c>
      <c r="AD1316" s="14" t="s">
        <v>9140</v>
      </c>
      <c r="AE1316" s="14" t="s">
        <v>9140</v>
      </c>
      <c r="AF1316" s="14" t="s">
        <v>63</v>
      </c>
      <c r="AG1316" s="14" t="s">
        <v>98</v>
      </c>
      <c r="AH1316" s="15" t="s">
        <v>9220</v>
      </c>
      <c r="AI1316" s="15" t="s">
        <v>9188</v>
      </c>
      <c r="AJ1316" s="15" t="s">
        <v>9143</v>
      </c>
      <c r="AK1316" s="15" t="s">
        <v>9221</v>
      </c>
      <c r="AL1316" s="15" t="s">
        <v>9230</v>
      </c>
      <c r="AM1316" s="16" t="s">
        <v>9221</v>
      </c>
      <c r="AN1316" s="16" t="s">
        <v>9231</v>
      </c>
    </row>
    <row r="1317" spans="1:40" x14ac:dyDescent="0.25">
      <c r="A1317" s="4" t="s">
        <v>2706</v>
      </c>
      <c r="B1317" s="4"/>
      <c r="C1317" s="4" t="s">
        <v>39</v>
      </c>
      <c r="D1317" s="4" t="s">
        <v>2707</v>
      </c>
      <c r="E1317" s="4" t="s">
        <v>2708</v>
      </c>
      <c r="F1317" s="10">
        <v>45327</v>
      </c>
      <c r="G1317" s="11">
        <v>0.56874999999999998</v>
      </c>
      <c r="H1317" s="4" t="s">
        <v>2701</v>
      </c>
      <c r="I1317" s="4" t="s">
        <v>2702</v>
      </c>
      <c r="J1317" s="4" t="s">
        <v>2703</v>
      </c>
      <c r="K1317" s="4" t="s">
        <v>2709</v>
      </c>
      <c r="L1317" s="4" t="s">
        <v>2710</v>
      </c>
      <c r="M1317" s="4" t="s">
        <v>46</v>
      </c>
      <c r="N1317" s="4"/>
      <c r="O1317" s="4" t="s">
        <v>47</v>
      </c>
      <c r="P1317" s="4" t="s">
        <v>48</v>
      </c>
      <c r="Q1317" s="4">
        <v>0</v>
      </c>
      <c r="R1317" s="4" t="b">
        <v>0</v>
      </c>
      <c r="S1317" s="4" t="s">
        <v>49</v>
      </c>
      <c r="T1317" s="4" t="s">
        <v>70</v>
      </c>
      <c r="U1317" s="4" t="s">
        <v>218</v>
      </c>
      <c r="V1317" s="4" t="s">
        <v>63</v>
      </c>
      <c r="W1317" s="4" t="s">
        <v>108</v>
      </c>
      <c r="X1317" s="4" t="s">
        <v>54</v>
      </c>
      <c r="Y1317" s="4"/>
      <c r="Z1317" s="12">
        <v>0</v>
      </c>
      <c r="AA1317" s="13" t="s">
        <v>9169</v>
      </c>
      <c r="AB1317" s="13" t="s">
        <v>9168</v>
      </c>
      <c r="AC1317" s="14" t="s">
        <v>9139</v>
      </c>
      <c r="AD1317" s="14" t="s">
        <v>9140</v>
      </c>
      <c r="AE1317" s="14" t="s">
        <v>9140</v>
      </c>
      <c r="AF1317" s="14" t="s">
        <v>63</v>
      </c>
      <c r="AG1317" s="14" t="s">
        <v>54</v>
      </c>
      <c r="AH1317" s="15" t="s">
        <v>9194</v>
      </c>
      <c r="AI1317" s="15" t="s">
        <v>9193</v>
      </c>
      <c r="AJ1317" s="15" t="s">
        <v>9143</v>
      </c>
      <c r="AK1317" s="15" t="s">
        <v>9194</v>
      </c>
      <c r="AL1317" s="15" t="s">
        <v>9207</v>
      </c>
      <c r="AM1317" s="16" t="s">
        <v>9194</v>
      </c>
      <c r="AN1317" s="16" t="s">
        <v>9208</v>
      </c>
    </row>
    <row r="1318" spans="1:40" x14ac:dyDescent="0.25">
      <c r="A1318" s="4" t="s">
        <v>7641</v>
      </c>
      <c r="B1318" s="4"/>
      <c r="C1318" s="4" t="s">
        <v>39</v>
      </c>
      <c r="D1318" s="4" t="s">
        <v>7642</v>
      </c>
      <c r="E1318" s="4" t="s">
        <v>7643</v>
      </c>
      <c r="F1318" s="10">
        <v>45327</v>
      </c>
      <c r="G1318" s="11">
        <v>0.63541666666666663</v>
      </c>
      <c r="H1318" s="4" t="s">
        <v>4910</v>
      </c>
      <c r="I1318" s="4" t="s">
        <v>7611</v>
      </c>
      <c r="J1318" s="4" t="s">
        <v>3335</v>
      </c>
      <c r="K1318" s="4" t="s">
        <v>7644</v>
      </c>
      <c r="L1318" s="4" t="s">
        <v>7645</v>
      </c>
      <c r="M1318" s="4" t="s">
        <v>46</v>
      </c>
      <c r="N1318" s="4"/>
      <c r="O1318" s="4" t="s">
        <v>47</v>
      </c>
      <c r="P1318" s="4" t="s">
        <v>48</v>
      </c>
      <c r="Q1318" s="4">
        <v>0</v>
      </c>
      <c r="R1318" s="4" t="b">
        <v>0</v>
      </c>
      <c r="S1318" s="4" t="s">
        <v>61</v>
      </c>
      <c r="T1318" s="4" t="s">
        <v>479</v>
      </c>
      <c r="U1318" s="4" t="s">
        <v>148</v>
      </c>
      <c r="V1318" s="4" t="s">
        <v>52</v>
      </c>
      <c r="W1318" s="4" t="s">
        <v>53</v>
      </c>
      <c r="X1318" s="4" t="s">
        <v>98</v>
      </c>
      <c r="Y1318" s="4"/>
      <c r="Z1318" s="12">
        <v>0</v>
      </c>
      <c r="AA1318" s="13" t="s">
        <v>9169</v>
      </c>
      <c r="AB1318" s="13" t="s">
        <v>9168</v>
      </c>
      <c r="AC1318" s="14" t="s">
        <v>9148</v>
      </c>
      <c r="AD1318" s="14" t="s">
        <v>9140</v>
      </c>
      <c r="AE1318" s="14" t="s">
        <v>9140</v>
      </c>
      <c r="AF1318" s="14" t="s">
        <v>52</v>
      </c>
      <c r="AG1318" s="14" t="s">
        <v>98</v>
      </c>
      <c r="AH1318" s="15" t="s">
        <v>9220</v>
      </c>
      <c r="AI1318" s="15" t="s">
        <v>9191</v>
      </c>
      <c r="AJ1318" s="15" t="s">
        <v>9143</v>
      </c>
      <c r="AK1318" s="15" t="s">
        <v>9221</v>
      </c>
      <c r="AL1318" s="15" t="s">
        <v>9226</v>
      </c>
      <c r="AM1318" s="16" t="s">
        <v>9221</v>
      </c>
      <c r="AN1318" s="16" t="s">
        <v>9227</v>
      </c>
    </row>
    <row r="1319" spans="1:40" x14ac:dyDescent="0.25">
      <c r="A1319" s="4" t="s">
        <v>4117</v>
      </c>
      <c r="B1319" s="4"/>
      <c r="C1319" s="4" t="s">
        <v>39</v>
      </c>
      <c r="D1319" s="4" t="s">
        <v>4090</v>
      </c>
      <c r="E1319" s="4" t="s">
        <v>4091</v>
      </c>
      <c r="F1319" s="10">
        <v>45327</v>
      </c>
      <c r="G1319" s="11">
        <v>0.73958333333333337</v>
      </c>
      <c r="H1319" s="4" t="s">
        <v>4019</v>
      </c>
      <c r="I1319" s="4" t="s">
        <v>4092</v>
      </c>
      <c r="J1319" s="4" t="s">
        <v>4093</v>
      </c>
      <c r="K1319" s="4" t="s">
        <v>4118</v>
      </c>
      <c r="L1319" s="4" t="s">
        <v>4119</v>
      </c>
      <c r="M1319" s="4" t="s">
        <v>46</v>
      </c>
      <c r="N1319" s="4"/>
      <c r="O1319" s="4" t="s">
        <v>47</v>
      </c>
      <c r="P1319" s="4" t="s">
        <v>48</v>
      </c>
      <c r="Q1319" s="4">
        <v>0</v>
      </c>
      <c r="R1319" s="4" t="b">
        <v>0</v>
      </c>
      <c r="S1319" s="4" t="s">
        <v>61</v>
      </c>
      <c r="T1319" s="4" t="s">
        <v>479</v>
      </c>
      <c r="U1319" s="4" t="s">
        <v>301</v>
      </c>
      <c r="V1319" s="4" t="s">
        <v>52</v>
      </c>
      <c r="W1319" s="4" t="s">
        <v>53</v>
      </c>
      <c r="X1319" s="4" t="s">
        <v>471</v>
      </c>
      <c r="Y1319" s="4"/>
      <c r="Z1319" s="12">
        <v>0</v>
      </c>
      <c r="AA1319" s="13" t="s">
        <v>9169</v>
      </c>
      <c r="AB1319" s="13" t="s">
        <v>9168</v>
      </c>
      <c r="AC1319" s="14" t="s">
        <v>9148</v>
      </c>
      <c r="AD1319" s="14" t="s">
        <v>9140</v>
      </c>
      <c r="AE1319" s="14" t="s">
        <v>9140</v>
      </c>
      <c r="AF1319" s="14" t="s">
        <v>52</v>
      </c>
      <c r="AG1319" s="14" t="s">
        <v>471</v>
      </c>
      <c r="AH1319" s="15" t="s">
        <v>9220</v>
      </c>
      <c r="AI1319" s="15" t="s">
        <v>9175</v>
      </c>
      <c r="AJ1319" s="15" t="s">
        <v>9143</v>
      </c>
      <c r="AK1319" s="15" t="s">
        <v>9221</v>
      </c>
      <c r="AL1319" s="15" t="s">
        <v>9222</v>
      </c>
      <c r="AM1319" s="16" t="s">
        <v>9221</v>
      </c>
      <c r="AN1319" s="16" t="s">
        <v>9223</v>
      </c>
    </row>
    <row r="1320" spans="1:40" x14ac:dyDescent="0.25">
      <c r="A1320" s="4" t="s">
        <v>519</v>
      </c>
      <c r="B1320" s="4"/>
      <c r="C1320" s="4" t="s">
        <v>39</v>
      </c>
      <c r="D1320" s="4" t="s">
        <v>511</v>
      </c>
      <c r="E1320" s="4" t="s">
        <v>512</v>
      </c>
      <c r="F1320" s="10">
        <v>45326</v>
      </c>
      <c r="G1320" s="11">
        <v>0.51041666666666663</v>
      </c>
      <c r="H1320" s="4" t="s">
        <v>463</v>
      </c>
      <c r="I1320" s="4">
        <v>2019</v>
      </c>
      <c r="J1320" s="4" t="s">
        <v>513</v>
      </c>
      <c r="K1320" s="4" t="s">
        <v>520</v>
      </c>
      <c r="L1320" s="4" t="s">
        <v>521</v>
      </c>
      <c r="M1320" s="4" t="s">
        <v>46</v>
      </c>
      <c r="N1320" s="4"/>
      <c r="O1320" s="4" t="s">
        <v>47</v>
      </c>
      <c r="P1320" s="4" t="s">
        <v>48</v>
      </c>
      <c r="Q1320" s="4">
        <v>0</v>
      </c>
      <c r="R1320" s="4" t="b">
        <v>0</v>
      </c>
      <c r="S1320" s="4" t="s">
        <v>61</v>
      </c>
      <c r="T1320" s="4" t="s">
        <v>89</v>
      </c>
      <c r="U1320" s="4" t="s">
        <v>175</v>
      </c>
      <c r="V1320" s="4" t="s">
        <v>52</v>
      </c>
      <c r="W1320" s="4" t="s">
        <v>53</v>
      </c>
      <c r="X1320" s="4" t="s">
        <v>54</v>
      </c>
      <c r="Y1320" s="4"/>
      <c r="Z1320" s="12">
        <v>0</v>
      </c>
      <c r="AA1320" s="13" t="s">
        <v>9169</v>
      </c>
      <c r="AB1320" s="13" t="s">
        <v>9168</v>
      </c>
      <c r="AC1320" s="14" t="s">
        <v>9148</v>
      </c>
      <c r="AD1320" s="14" t="s">
        <v>9140</v>
      </c>
      <c r="AE1320" s="14" t="s">
        <v>9140</v>
      </c>
      <c r="AF1320" s="14" t="s">
        <v>52</v>
      </c>
      <c r="AG1320" s="14" t="s">
        <v>54</v>
      </c>
      <c r="AH1320" s="15" t="s">
        <v>9141</v>
      </c>
      <c r="AI1320" s="15" t="s">
        <v>9175</v>
      </c>
      <c r="AJ1320" s="15" t="s">
        <v>9143</v>
      </c>
      <c r="AK1320" s="15" t="s">
        <v>9141</v>
      </c>
      <c r="AL1320" s="15" t="s">
        <v>9177</v>
      </c>
      <c r="AM1320" s="16" t="s">
        <v>9141</v>
      </c>
      <c r="AN1320" s="16" t="s">
        <v>9178</v>
      </c>
    </row>
    <row r="1321" spans="1:40" x14ac:dyDescent="0.25">
      <c r="A1321" s="4" t="s">
        <v>5485</v>
      </c>
      <c r="B1321" s="4"/>
      <c r="C1321" s="4" t="s">
        <v>39</v>
      </c>
      <c r="D1321" s="4" t="s">
        <v>5486</v>
      </c>
      <c r="E1321" s="4" t="s">
        <v>5487</v>
      </c>
      <c r="F1321" s="10">
        <v>45325</v>
      </c>
      <c r="G1321" s="11">
        <v>0.40555555555555556</v>
      </c>
      <c r="H1321" s="4" t="s">
        <v>4516</v>
      </c>
      <c r="I1321" s="4" t="s">
        <v>5466</v>
      </c>
      <c r="J1321" s="4" t="s">
        <v>5467</v>
      </c>
      <c r="K1321" s="4" t="s">
        <v>5488</v>
      </c>
      <c r="L1321" s="4" t="s">
        <v>5489</v>
      </c>
      <c r="M1321" s="4" t="s">
        <v>46</v>
      </c>
      <c r="N1321" s="4"/>
      <c r="O1321" s="4" t="s">
        <v>47</v>
      </c>
      <c r="P1321" s="4" t="s">
        <v>48</v>
      </c>
      <c r="Q1321" s="4">
        <v>0</v>
      </c>
      <c r="R1321" s="4" t="b">
        <v>0</v>
      </c>
      <c r="S1321" s="4" t="s">
        <v>49</v>
      </c>
      <c r="T1321" s="4" t="s">
        <v>89</v>
      </c>
      <c r="U1321" s="4" t="s">
        <v>80</v>
      </c>
      <c r="V1321" s="4" t="s">
        <v>63</v>
      </c>
      <c r="W1321" s="4" t="s">
        <v>108</v>
      </c>
      <c r="X1321" s="4" t="s">
        <v>98</v>
      </c>
      <c r="Y1321" s="4" t="s">
        <v>176</v>
      </c>
      <c r="Z1321" s="12">
        <v>0</v>
      </c>
      <c r="AA1321" s="13" t="s">
        <v>9169</v>
      </c>
      <c r="AB1321" s="13" t="s">
        <v>9168</v>
      </c>
      <c r="AC1321" s="14" t="s">
        <v>9139</v>
      </c>
      <c r="AD1321" s="14" t="s">
        <v>9140</v>
      </c>
      <c r="AE1321" s="14" t="s">
        <v>9140</v>
      </c>
      <c r="AF1321" s="14" t="s">
        <v>63</v>
      </c>
      <c r="AG1321" s="14" t="s">
        <v>98</v>
      </c>
      <c r="AH1321" s="15" t="s">
        <v>9220</v>
      </c>
      <c r="AI1321" s="15" t="s">
        <v>9188</v>
      </c>
      <c r="AJ1321" s="15" t="s">
        <v>9143</v>
      </c>
      <c r="AK1321" s="15" t="s">
        <v>9221</v>
      </c>
      <c r="AL1321" s="15" t="s">
        <v>9230</v>
      </c>
      <c r="AM1321" s="16" t="s">
        <v>9221</v>
      </c>
      <c r="AN1321" s="16" t="s">
        <v>9231</v>
      </c>
    </row>
    <row r="1322" spans="1:40" x14ac:dyDescent="0.25">
      <c r="A1322" s="4" t="s">
        <v>8661</v>
      </c>
      <c r="B1322" s="4"/>
      <c r="C1322" s="4" t="s">
        <v>39</v>
      </c>
      <c r="D1322" s="4" t="s">
        <v>8662</v>
      </c>
      <c r="E1322" s="4" t="s">
        <v>8663</v>
      </c>
      <c r="F1322" s="10">
        <v>45324</v>
      </c>
      <c r="G1322" s="11">
        <v>0.53125</v>
      </c>
      <c r="H1322" s="4" t="s">
        <v>4516</v>
      </c>
      <c r="I1322" s="4" t="s">
        <v>8639</v>
      </c>
      <c r="J1322" s="4" t="s">
        <v>1406</v>
      </c>
      <c r="K1322" s="4" t="s">
        <v>8664</v>
      </c>
      <c r="L1322" s="4" t="s">
        <v>8665</v>
      </c>
      <c r="M1322" s="4" t="s">
        <v>46</v>
      </c>
      <c r="N1322" s="4"/>
      <c r="O1322" s="4" t="s">
        <v>47</v>
      </c>
      <c r="P1322" s="4" t="s">
        <v>48</v>
      </c>
      <c r="Q1322" s="4">
        <v>0</v>
      </c>
      <c r="R1322" s="4" t="b">
        <v>0</v>
      </c>
      <c r="S1322" s="4" t="s">
        <v>184</v>
      </c>
      <c r="T1322" s="4" t="s">
        <v>89</v>
      </c>
      <c r="U1322" s="4" t="s">
        <v>107</v>
      </c>
      <c r="V1322" s="4" t="s">
        <v>63</v>
      </c>
      <c r="W1322" s="4" t="s">
        <v>108</v>
      </c>
      <c r="X1322" s="4" t="s">
        <v>54</v>
      </c>
      <c r="Y1322" s="4"/>
      <c r="Z1322" s="12">
        <v>0</v>
      </c>
      <c r="AA1322" s="13" t="s">
        <v>9169</v>
      </c>
      <c r="AB1322" s="13" t="s">
        <v>9168</v>
      </c>
      <c r="AC1322" s="14" t="s">
        <v>9166</v>
      </c>
      <c r="AD1322" s="14" t="s">
        <v>9140</v>
      </c>
      <c r="AE1322" s="14" t="s">
        <v>9140</v>
      </c>
      <c r="AF1322" s="14" t="s">
        <v>63</v>
      </c>
      <c r="AG1322" s="14" t="s">
        <v>54</v>
      </c>
      <c r="AH1322" s="15" t="s">
        <v>9220</v>
      </c>
      <c r="AI1322" s="15" t="s">
        <v>9188</v>
      </c>
      <c r="AJ1322" s="15" t="s">
        <v>9143</v>
      </c>
      <c r="AK1322" s="15" t="s">
        <v>9221</v>
      </c>
      <c r="AL1322" s="15" t="s">
        <v>9236</v>
      </c>
      <c r="AM1322" s="16" t="s">
        <v>9221</v>
      </c>
      <c r="AN1322" s="16" t="s">
        <v>9237</v>
      </c>
    </row>
    <row r="1323" spans="1:40" x14ac:dyDescent="0.25">
      <c r="A1323" s="4" t="s">
        <v>4206</v>
      </c>
      <c r="B1323" s="4"/>
      <c r="C1323" s="4" t="s">
        <v>39</v>
      </c>
      <c r="D1323" s="4" t="s">
        <v>4203</v>
      </c>
      <c r="E1323" s="4" t="s">
        <v>4204</v>
      </c>
      <c r="F1323" s="10">
        <v>45324</v>
      </c>
      <c r="G1323" s="11">
        <v>0.54861111111111116</v>
      </c>
      <c r="H1323" s="4" t="s">
        <v>4019</v>
      </c>
      <c r="I1323" s="4" t="s">
        <v>4193</v>
      </c>
      <c r="J1323" s="4" t="s">
        <v>4194</v>
      </c>
      <c r="K1323" s="4" t="s">
        <v>4207</v>
      </c>
      <c r="L1323" s="4" t="s">
        <v>4208</v>
      </c>
      <c r="M1323" s="4" t="s">
        <v>46</v>
      </c>
      <c r="N1323" s="4"/>
      <c r="O1323" s="4" t="s">
        <v>47</v>
      </c>
      <c r="P1323" s="4" t="s">
        <v>48</v>
      </c>
      <c r="Q1323" s="4">
        <v>0</v>
      </c>
      <c r="R1323" s="4" t="b">
        <v>0</v>
      </c>
      <c r="S1323" s="4" t="s">
        <v>49</v>
      </c>
      <c r="T1323" s="4" t="s">
        <v>70</v>
      </c>
      <c r="U1323" s="4" t="s">
        <v>71</v>
      </c>
      <c r="V1323" s="4" t="s">
        <v>72</v>
      </c>
      <c r="W1323" s="4" t="s">
        <v>73</v>
      </c>
      <c r="X1323" s="4" t="s">
        <v>54</v>
      </c>
      <c r="Y1323" s="4"/>
      <c r="Z1323" s="12">
        <v>0</v>
      </c>
      <c r="AA1323" s="13" t="s">
        <v>9169</v>
      </c>
      <c r="AB1323" s="13" t="s">
        <v>9168</v>
      </c>
      <c r="AC1323" s="14" t="s">
        <v>9139</v>
      </c>
      <c r="AD1323" s="14" t="s">
        <v>9140</v>
      </c>
      <c r="AE1323" s="14" t="s">
        <v>9140</v>
      </c>
      <c r="AF1323" s="14" t="s">
        <v>72</v>
      </c>
      <c r="AG1323" s="14" t="s">
        <v>54</v>
      </c>
      <c r="AH1323" s="15" t="s">
        <v>9220</v>
      </c>
      <c r="AI1323" s="15" t="s">
        <v>9175</v>
      </c>
      <c r="AJ1323" s="15" t="s">
        <v>9143</v>
      </c>
      <c r="AK1323" s="15" t="s">
        <v>9221</v>
      </c>
      <c r="AL1323" s="15" t="s">
        <v>9224</v>
      </c>
      <c r="AM1323" s="16" t="s">
        <v>9221</v>
      </c>
      <c r="AN1323" s="16" t="s">
        <v>9225</v>
      </c>
    </row>
    <row r="1324" spans="1:40" x14ac:dyDescent="0.25">
      <c r="A1324" s="4" t="s">
        <v>6028</v>
      </c>
      <c r="B1324" s="4"/>
      <c r="C1324" s="4" t="s">
        <v>39</v>
      </c>
      <c r="D1324" s="4" t="s">
        <v>3823</v>
      </c>
      <c r="E1324" s="4" t="s">
        <v>3824</v>
      </c>
      <c r="F1324" s="10">
        <v>45324</v>
      </c>
      <c r="G1324" s="11">
        <v>0.52847222222222223</v>
      </c>
      <c r="H1324" s="4" t="s">
        <v>4242</v>
      </c>
      <c r="I1324" s="4" t="s">
        <v>5918</v>
      </c>
      <c r="J1324" s="4" t="s">
        <v>5919</v>
      </c>
      <c r="K1324" s="4" t="s">
        <v>6029</v>
      </c>
      <c r="L1324" s="4" t="s">
        <v>6030</v>
      </c>
      <c r="M1324" s="4" t="s">
        <v>46</v>
      </c>
      <c r="N1324" s="4"/>
      <c r="O1324" s="4" t="s">
        <v>47</v>
      </c>
      <c r="P1324" s="4" t="s">
        <v>48</v>
      </c>
      <c r="Q1324" s="4">
        <v>0</v>
      </c>
      <c r="R1324" s="4" t="b">
        <v>0</v>
      </c>
      <c r="S1324" s="4" t="s">
        <v>61</v>
      </c>
      <c r="T1324" s="4" t="s">
        <v>89</v>
      </c>
      <c r="U1324" s="4" t="s">
        <v>71</v>
      </c>
      <c r="V1324" s="4" t="s">
        <v>72</v>
      </c>
      <c r="W1324" s="4" t="s">
        <v>73</v>
      </c>
      <c r="X1324" s="4" t="s">
        <v>54</v>
      </c>
      <c r="Y1324" s="4"/>
      <c r="Z1324" s="12">
        <v>0</v>
      </c>
      <c r="AA1324" s="13" t="s">
        <v>9169</v>
      </c>
      <c r="AB1324" s="13" t="s">
        <v>9168</v>
      </c>
      <c r="AC1324" s="14" t="s">
        <v>9148</v>
      </c>
      <c r="AD1324" s="14" t="s">
        <v>9140</v>
      </c>
      <c r="AE1324" s="14" t="s">
        <v>9140</v>
      </c>
      <c r="AF1324" s="14" t="s">
        <v>72</v>
      </c>
      <c r="AG1324" s="14" t="s">
        <v>54</v>
      </c>
      <c r="AH1324" s="15" t="s">
        <v>9220</v>
      </c>
      <c r="AI1324" s="15" t="s">
        <v>9187</v>
      </c>
      <c r="AJ1324" s="15" t="s">
        <v>9143</v>
      </c>
      <c r="AK1324" s="15" t="s">
        <v>9221</v>
      </c>
      <c r="AL1324" s="15" t="s">
        <v>9226</v>
      </c>
      <c r="AM1324" s="16" t="s">
        <v>9221</v>
      </c>
      <c r="AN1324" s="16" t="s">
        <v>9227</v>
      </c>
    </row>
    <row r="1325" spans="1:40" x14ac:dyDescent="0.25">
      <c r="A1325" s="4" t="s">
        <v>8589</v>
      </c>
      <c r="B1325" s="4"/>
      <c r="C1325" s="4" t="s">
        <v>39</v>
      </c>
      <c r="D1325" s="4" t="s">
        <v>8590</v>
      </c>
      <c r="E1325" s="4" t="s">
        <v>8591</v>
      </c>
      <c r="F1325" s="10">
        <v>45324</v>
      </c>
      <c r="G1325" s="11">
        <v>0.16666666666666666</v>
      </c>
      <c r="H1325" s="4" t="s">
        <v>5666</v>
      </c>
      <c r="I1325" s="4" t="s">
        <v>8586</v>
      </c>
      <c r="J1325" s="4" t="s">
        <v>3532</v>
      </c>
      <c r="K1325" s="4" t="s">
        <v>2346</v>
      </c>
      <c r="L1325" s="4" t="s">
        <v>8592</v>
      </c>
      <c r="M1325" s="4" t="s">
        <v>46</v>
      </c>
      <c r="N1325" s="4"/>
      <c r="O1325" s="4" t="s">
        <v>47</v>
      </c>
      <c r="P1325" s="4" t="s">
        <v>48</v>
      </c>
      <c r="Q1325" s="4">
        <v>0</v>
      </c>
      <c r="R1325" s="4" t="b">
        <v>0</v>
      </c>
      <c r="S1325" s="4" t="s">
        <v>61</v>
      </c>
      <c r="T1325" s="4" t="s">
        <v>89</v>
      </c>
      <c r="U1325" s="4" t="s">
        <v>148</v>
      </c>
      <c r="V1325" s="4" t="s">
        <v>52</v>
      </c>
      <c r="W1325" s="4" t="s">
        <v>255</v>
      </c>
      <c r="X1325" s="4" t="s">
        <v>54</v>
      </c>
      <c r="Y1325" s="4"/>
      <c r="Z1325" s="12">
        <v>0</v>
      </c>
      <c r="AA1325" s="13" t="s">
        <v>9169</v>
      </c>
      <c r="AB1325" s="13" t="s">
        <v>9168</v>
      </c>
      <c r="AC1325" s="14" t="s">
        <v>9148</v>
      </c>
      <c r="AD1325" s="14" t="s">
        <v>9140</v>
      </c>
      <c r="AE1325" s="14" t="s">
        <v>9140</v>
      </c>
      <c r="AF1325" s="14" t="s">
        <v>52</v>
      </c>
      <c r="AG1325" s="14" t="s">
        <v>54</v>
      </c>
      <c r="AH1325" s="15" t="s">
        <v>9220</v>
      </c>
      <c r="AI1325" s="15" t="s">
        <v>9199</v>
      </c>
      <c r="AJ1325" s="15" t="s">
        <v>9143</v>
      </c>
      <c r="AK1325" s="15" t="s">
        <v>9221</v>
      </c>
      <c r="AL1325" s="15" t="s">
        <v>9199</v>
      </c>
      <c r="AM1325" s="16" t="s">
        <v>9221</v>
      </c>
      <c r="AN1325" s="16" t="s">
        <v>9238</v>
      </c>
    </row>
    <row r="1326" spans="1:40" x14ac:dyDescent="0.25">
      <c r="A1326" s="4" t="s">
        <v>2853</v>
      </c>
      <c r="B1326" s="4"/>
      <c r="C1326" s="4" t="s">
        <v>39</v>
      </c>
      <c r="D1326" s="4" t="s">
        <v>2854</v>
      </c>
      <c r="E1326" s="4" t="s">
        <v>2855</v>
      </c>
      <c r="F1326" s="10">
        <v>45324</v>
      </c>
      <c r="G1326" s="11">
        <v>0.54166666666666663</v>
      </c>
      <c r="H1326" s="4" t="s">
        <v>1939</v>
      </c>
      <c r="I1326" s="4" t="s">
        <v>2830</v>
      </c>
      <c r="J1326" s="4" t="s">
        <v>2831</v>
      </c>
      <c r="K1326" s="4" t="s">
        <v>2856</v>
      </c>
      <c r="L1326" s="4" t="s">
        <v>2857</v>
      </c>
      <c r="M1326" s="4" t="s">
        <v>46</v>
      </c>
      <c r="N1326" s="4"/>
      <c r="O1326" s="4" t="s">
        <v>47</v>
      </c>
      <c r="P1326" s="4" t="s">
        <v>48</v>
      </c>
      <c r="Q1326" s="4">
        <v>0</v>
      </c>
      <c r="R1326" s="4" t="b">
        <v>0</v>
      </c>
      <c r="S1326" s="4" t="s">
        <v>49</v>
      </c>
      <c r="T1326" s="4" t="s">
        <v>70</v>
      </c>
      <c r="U1326" s="4" t="s">
        <v>71</v>
      </c>
      <c r="V1326" s="4" t="s">
        <v>63</v>
      </c>
      <c r="W1326" s="4" t="s">
        <v>198</v>
      </c>
      <c r="X1326" s="4" t="s">
        <v>54</v>
      </c>
      <c r="Y1326" s="4" t="s">
        <v>211</v>
      </c>
      <c r="Z1326" s="12">
        <v>0</v>
      </c>
      <c r="AA1326" s="13" t="s">
        <v>9169</v>
      </c>
      <c r="AB1326" s="13" t="s">
        <v>9168</v>
      </c>
      <c r="AC1326" s="14" t="s">
        <v>9139</v>
      </c>
      <c r="AD1326" s="14" t="s">
        <v>9140</v>
      </c>
      <c r="AE1326" s="14" t="s">
        <v>9140</v>
      </c>
      <c r="AF1326" s="14" t="s">
        <v>63</v>
      </c>
      <c r="AG1326" s="14" t="s">
        <v>54</v>
      </c>
      <c r="AH1326" s="15" t="s">
        <v>9194</v>
      </c>
      <c r="AI1326" s="15" t="s">
        <v>9175</v>
      </c>
      <c r="AJ1326" s="15" t="s">
        <v>9143</v>
      </c>
      <c r="AK1326" s="15" t="s">
        <v>9194</v>
      </c>
      <c r="AL1326" s="15" t="s">
        <v>9209</v>
      </c>
      <c r="AM1326" s="16" t="s">
        <v>9194</v>
      </c>
      <c r="AN1326" s="16" t="s">
        <v>9210</v>
      </c>
    </row>
    <row r="1327" spans="1:40" x14ac:dyDescent="0.25">
      <c r="A1327" s="4" t="s">
        <v>6181</v>
      </c>
      <c r="B1327" s="4"/>
      <c r="C1327" s="4" t="s">
        <v>39</v>
      </c>
      <c r="D1327" s="4" t="s">
        <v>6182</v>
      </c>
      <c r="E1327" s="4" t="s">
        <v>6183</v>
      </c>
      <c r="F1327" s="10">
        <v>45323</v>
      </c>
      <c r="G1327" s="11">
        <v>0.62083333333333335</v>
      </c>
      <c r="H1327" s="4" t="s">
        <v>5666</v>
      </c>
      <c r="I1327" s="4" t="s">
        <v>6136</v>
      </c>
      <c r="J1327" s="4" t="s">
        <v>2598</v>
      </c>
      <c r="K1327" s="4" t="s">
        <v>6184</v>
      </c>
      <c r="L1327" s="4" t="s">
        <v>6185</v>
      </c>
      <c r="M1327" s="4" t="s">
        <v>46</v>
      </c>
      <c r="N1327" s="4"/>
      <c r="O1327" s="4" t="s">
        <v>47</v>
      </c>
      <c r="P1327" s="4" t="s">
        <v>48</v>
      </c>
      <c r="Q1327" s="4">
        <v>0</v>
      </c>
      <c r="R1327" s="4" t="b">
        <v>0</v>
      </c>
      <c r="S1327" s="4" t="s">
        <v>49</v>
      </c>
      <c r="T1327" s="4" t="s">
        <v>89</v>
      </c>
      <c r="U1327" s="4" t="s">
        <v>71</v>
      </c>
      <c r="V1327" s="4" t="s">
        <v>72</v>
      </c>
      <c r="W1327" s="4" t="s">
        <v>73</v>
      </c>
      <c r="X1327" s="4" t="s">
        <v>54</v>
      </c>
      <c r="Y1327" s="4"/>
      <c r="Z1327" s="12">
        <v>0</v>
      </c>
      <c r="AA1327" s="13" t="s">
        <v>9169</v>
      </c>
      <c r="AB1327" s="13" t="s">
        <v>9168</v>
      </c>
      <c r="AC1327" s="14" t="s">
        <v>9139</v>
      </c>
      <c r="AD1327" s="14" t="s">
        <v>9140</v>
      </c>
      <c r="AE1327" s="14" t="s">
        <v>9140</v>
      </c>
      <c r="AF1327" s="14" t="s">
        <v>72</v>
      </c>
      <c r="AG1327" s="14" t="s">
        <v>54</v>
      </c>
      <c r="AH1327" s="15" t="s">
        <v>9220</v>
      </c>
      <c r="AI1327" s="15" t="s">
        <v>9199</v>
      </c>
      <c r="AJ1327" s="15" t="s">
        <v>9143</v>
      </c>
      <c r="AK1327" s="15" t="s">
        <v>9221</v>
      </c>
      <c r="AL1327" s="15" t="s">
        <v>9199</v>
      </c>
      <c r="AM1327" s="16" t="s">
        <v>9221</v>
      </c>
      <c r="AN1327" s="16" t="s">
        <v>9238</v>
      </c>
    </row>
    <row r="1328" spans="1:40" x14ac:dyDescent="0.25">
      <c r="A1328" s="4" t="s">
        <v>6186</v>
      </c>
      <c r="B1328" s="4"/>
      <c r="C1328" s="4" t="s">
        <v>39</v>
      </c>
      <c r="D1328" s="4" t="s">
        <v>6158</v>
      </c>
      <c r="E1328" s="4" t="s">
        <v>6159</v>
      </c>
      <c r="F1328" s="10">
        <v>45323</v>
      </c>
      <c r="G1328" s="11">
        <v>0.47222222222222221</v>
      </c>
      <c r="H1328" s="4" t="s">
        <v>5666</v>
      </c>
      <c r="I1328" s="4" t="s">
        <v>6136</v>
      </c>
      <c r="J1328" s="4" t="s">
        <v>2598</v>
      </c>
      <c r="K1328" s="4" t="s">
        <v>6187</v>
      </c>
      <c r="L1328" s="4" t="s">
        <v>6188</v>
      </c>
      <c r="M1328" s="4" t="s">
        <v>46</v>
      </c>
      <c r="N1328" s="4"/>
      <c r="O1328" s="4" t="s">
        <v>47</v>
      </c>
      <c r="P1328" s="4" t="s">
        <v>48</v>
      </c>
      <c r="Q1328" s="4">
        <v>0</v>
      </c>
      <c r="R1328" s="4" t="b">
        <v>0</v>
      </c>
      <c r="S1328" s="4" t="s">
        <v>49</v>
      </c>
      <c r="T1328" s="4" t="s">
        <v>89</v>
      </c>
      <c r="U1328" s="4" t="s">
        <v>71</v>
      </c>
      <c r="V1328" s="4" t="s">
        <v>72</v>
      </c>
      <c r="W1328" s="4" t="s">
        <v>73</v>
      </c>
      <c r="X1328" s="4" t="s">
        <v>471</v>
      </c>
      <c r="Y1328" s="4"/>
      <c r="Z1328" s="12">
        <v>0</v>
      </c>
      <c r="AA1328" s="13" t="s">
        <v>9169</v>
      </c>
      <c r="AB1328" s="13" t="s">
        <v>9168</v>
      </c>
      <c r="AC1328" s="14" t="s">
        <v>9139</v>
      </c>
      <c r="AD1328" s="14" t="s">
        <v>9140</v>
      </c>
      <c r="AE1328" s="14" t="s">
        <v>9140</v>
      </c>
      <c r="AF1328" s="14" t="s">
        <v>72</v>
      </c>
      <c r="AG1328" s="14" t="s">
        <v>471</v>
      </c>
      <c r="AH1328" s="15" t="s">
        <v>9220</v>
      </c>
      <c r="AI1328" s="15" t="s">
        <v>9199</v>
      </c>
      <c r="AJ1328" s="15" t="s">
        <v>9143</v>
      </c>
      <c r="AK1328" s="15" t="s">
        <v>9221</v>
      </c>
      <c r="AL1328" s="15" t="s">
        <v>9199</v>
      </c>
      <c r="AM1328" s="16" t="s">
        <v>9221</v>
      </c>
      <c r="AN1328" s="16" t="s">
        <v>9238</v>
      </c>
    </row>
    <row r="1329" spans="1:40" x14ac:dyDescent="0.25">
      <c r="A1329" s="4" t="s">
        <v>9047</v>
      </c>
      <c r="B1329" s="4"/>
      <c r="C1329" s="4" t="s">
        <v>39</v>
      </c>
      <c r="D1329" s="4" t="s">
        <v>9048</v>
      </c>
      <c r="E1329" s="4" t="s">
        <v>9049</v>
      </c>
      <c r="F1329" s="10">
        <v>45323</v>
      </c>
      <c r="G1329" s="11">
        <v>0.5</v>
      </c>
      <c r="H1329" s="4" t="s">
        <v>4019</v>
      </c>
      <c r="I1329" s="4" t="s">
        <v>8971</v>
      </c>
      <c r="J1329" s="4" t="s">
        <v>8972</v>
      </c>
      <c r="K1329" s="4" t="s">
        <v>9050</v>
      </c>
      <c r="L1329" s="4" t="s">
        <v>9051</v>
      </c>
      <c r="M1329" s="4" t="s">
        <v>46</v>
      </c>
      <c r="N1329" s="4"/>
      <c r="O1329" s="4" t="s">
        <v>47</v>
      </c>
      <c r="P1329" s="4" t="s">
        <v>48</v>
      </c>
      <c r="Q1329" s="4">
        <v>0</v>
      </c>
      <c r="R1329" s="4" t="b">
        <v>0</v>
      </c>
      <c r="S1329" s="4" t="s">
        <v>114</v>
      </c>
      <c r="T1329" s="4" t="s">
        <v>79</v>
      </c>
      <c r="U1329" s="4" t="s">
        <v>80</v>
      </c>
      <c r="V1329" s="4" t="s">
        <v>81</v>
      </c>
      <c r="W1329" s="4" t="s">
        <v>82</v>
      </c>
      <c r="X1329" s="4" t="s">
        <v>1715</v>
      </c>
      <c r="Y1329" s="4"/>
      <c r="Z1329" s="12">
        <v>0</v>
      </c>
      <c r="AA1329" s="13" t="s">
        <v>9169</v>
      </c>
      <c r="AB1329" s="13" t="s">
        <v>9168</v>
      </c>
      <c r="AC1329" s="14" t="s">
        <v>9157</v>
      </c>
      <c r="AD1329" s="14" t="s">
        <v>9140</v>
      </c>
      <c r="AE1329" s="14" t="s">
        <v>9140</v>
      </c>
      <c r="AF1329" s="14" t="s">
        <v>81</v>
      </c>
      <c r="AG1329" s="14" t="s">
        <v>1715</v>
      </c>
      <c r="AH1329" s="15" t="s">
        <v>9220</v>
      </c>
      <c r="AI1329" s="15" t="s">
        <v>9175</v>
      </c>
      <c r="AJ1329" s="15" t="s">
        <v>9181</v>
      </c>
      <c r="AK1329" s="15" t="s">
        <v>9182</v>
      </c>
      <c r="AL1329" s="15" t="s">
        <v>9182</v>
      </c>
      <c r="AM1329" s="16" t="s">
        <v>9182</v>
      </c>
      <c r="AN1329" s="16" t="s">
        <v>9182</v>
      </c>
    </row>
    <row r="1330" spans="1:40" x14ac:dyDescent="0.25">
      <c r="A1330" s="4" t="s">
        <v>9052</v>
      </c>
      <c r="B1330" s="4"/>
      <c r="C1330" s="4" t="s">
        <v>39</v>
      </c>
      <c r="D1330" s="4" t="s">
        <v>9053</v>
      </c>
      <c r="E1330" s="4" t="s">
        <v>9054</v>
      </c>
      <c r="F1330" s="10">
        <v>45323</v>
      </c>
      <c r="G1330" s="11">
        <v>0.51111111111111107</v>
      </c>
      <c r="H1330" s="4" t="s">
        <v>4019</v>
      </c>
      <c r="I1330" s="4" t="s">
        <v>8971</v>
      </c>
      <c r="J1330" s="4" t="s">
        <v>8972</v>
      </c>
      <c r="K1330" s="4" t="s">
        <v>9055</v>
      </c>
      <c r="L1330" s="4" t="s">
        <v>9056</v>
      </c>
      <c r="M1330" s="4" t="s">
        <v>46</v>
      </c>
      <c r="N1330" s="4"/>
      <c r="O1330" s="4" t="s">
        <v>47</v>
      </c>
      <c r="P1330" s="4" t="s">
        <v>48</v>
      </c>
      <c r="Q1330" s="4">
        <v>0</v>
      </c>
      <c r="R1330" s="4" t="b">
        <v>0</v>
      </c>
      <c r="S1330" s="4" t="s">
        <v>61</v>
      </c>
      <c r="T1330" s="4" t="s">
        <v>70</v>
      </c>
      <c r="U1330" s="4" t="s">
        <v>71</v>
      </c>
      <c r="V1330" s="4" t="s">
        <v>72</v>
      </c>
      <c r="W1330" s="4" t="s">
        <v>73</v>
      </c>
      <c r="X1330" s="4" t="s">
        <v>54</v>
      </c>
      <c r="Y1330" s="4"/>
      <c r="Z1330" s="12">
        <v>0</v>
      </c>
      <c r="AA1330" s="13" t="s">
        <v>9169</v>
      </c>
      <c r="AB1330" s="13" t="s">
        <v>9168</v>
      </c>
      <c r="AC1330" s="14" t="s">
        <v>9148</v>
      </c>
      <c r="AD1330" s="14" t="s">
        <v>9140</v>
      </c>
      <c r="AE1330" s="14" t="s">
        <v>9140</v>
      </c>
      <c r="AF1330" s="14" t="s">
        <v>72</v>
      </c>
      <c r="AG1330" s="14" t="s">
        <v>54</v>
      </c>
      <c r="AH1330" s="15" t="s">
        <v>9220</v>
      </c>
      <c r="AI1330" s="15" t="s">
        <v>9175</v>
      </c>
      <c r="AJ1330" s="15" t="s">
        <v>9181</v>
      </c>
      <c r="AK1330" s="15" t="s">
        <v>9182</v>
      </c>
      <c r="AL1330" s="15" t="s">
        <v>9182</v>
      </c>
      <c r="AM1330" s="16" t="s">
        <v>9182</v>
      </c>
      <c r="AN1330" s="16" t="s">
        <v>9182</v>
      </c>
    </row>
    <row r="1331" spans="1:40" x14ac:dyDescent="0.25">
      <c r="A1331" s="4" t="s">
        <v>5827</v>
      </c>
      <c r="B1331" s="4"/>
      <c r="C1331" s="4" t="s">
        <v>39</v>
      </c>
      <c r="D1331" s="4" t="s">
        <v>5809</v>
      </c>
      <c r="E1331" s="4" t="s">
        <v>5810</v>
      </c>
      <c r="F1331" s="10">
        <v>45322</v>
      </c>
      <c r="G1331" s="11">
        <v>0.46875</v>
      </c>
      <c r="H1331" s="4" t="s">
        <v>4910</v>
      </c>
      <c r="I1331" s="4" t="s">
        <v>5811</v>
      </c>
      <c r="J1331" s="4" t="s">
        <v>5812</v>
      </c>
      <c r="K1331" s="4" t="s">
        <v>5828</v>
      </c>
      <c r="L1331" s="4" t="s">
        <v>5829</v>
      </c>
      <c r="M1331" s="4" t="s">
        <v>46</v>
      </c>
      <c r="N1331" s="4"/>
      <c r="O1331" s="4" t="s">
        <v>47</v>
      </c>
      <c r="P1331" s="4" t="s">
        <v>48</v>
      </c>
      <c r="Q1331" s="4">
        <v>0</v>
      </c>
      <c r="R1331" s="4" t="b">
        <v>0</v>
      </c>
      <c r="S1331" s="4" t="s">
        <v>114</v>
      </c>
      <c r="T1331" s="4" t="s">
        <v>50</v>
      </c>
      <c r="U1331" s="4" t="s">
        <v>122</v>
      </c>
      <c r="V1331" s="4" t="s">
        <v>123</v>
      </c>
      <c r="W1331" s="4" t="s">
        <v>124</v>
      </c>
      <c r="X1331" s="4" t="s">
        <v>98</v>
      </c>
      <c r="Y1331" s="4"/>
      <c r="Z1331" s="12">
        <v>0</v>
      </c>
      <c r="AA1331" s="13" t="s">
        <v>9169</v>
      </c>
      <c r="AB1331" s="13" t="s">
        <v>9168</v>
      </c>
      <c r="AC1331" s="14" t="s">
        <v>9157</v>
      </c>
      <c r="AD1331" s="14" t="s">
        <v>9140</v>
      </c>
      <c r="AE1331" s="14" t="s">
        <v>9140</v>
      </c>
      <c r="AF1331" s="14" t="s">
        <v>123</v>
      </c>
      <c r="AG1331" s="14" t="s">
        <v>98</v>
      </c>
      <c r="AH1331" s="15" t="s">
        <v>9220</v>
      </c>
      <c r="AI1331" s="15" t="s">
        <v>9191</v>
      </c>
      <c r="AJ1331" s="15" t="s">
        <v>9143</v>
      </c>
      <c r="AK1331" s="15" t="s">
        <v>9221</v>
      </c>
      <c r="AL1331" s="15" t="s">
        <v>9226</v>
      </c>
      <c r="AM1331" s="16" t="s">
        <v>9221</v>
      </c>
      <c r="AN1331" s="16" t="s">
        <v>9227</v>
      </c>
    </row>
    <row r="1332" spans="1:40" x14ac:dyDescent="0.25">
      <c r="A1332" s="4" t="s">
        <v>3325</v>
      </c>
      <c r="B1332" s="4" t="s">
        <v>3326</v>
      </c>
      <c r="C1332" s="4" t="s">
        <v>39</v>
      </c>
      <c r="D1332" s="4" t="s">
        <v>3327</v>
      </c>
      <c r="E1332" s="4" t="s">
        <v>3328</v>
      </c>
      <c r="F1332" s="10">
        <v>45322</v>
      </c>
      <c r="G1332" s="11">
        <v>0.45069444444444445</v>
      </c>
      <c r="H1332" s="4" t="s">
        <v>2017</v>
      </c>
      <c r="I1332" s="4" t="s">
        <v>3312</v>
      </c>
      <c r="J1332" s="4" t="s">
        <v>3313</v>
      </c>
      <c r="K1332" s="4" t="s">
        <v>3329</v>
      </c>
      <c r="L1332" s="4" t="s">
        <v>3330</v>
      </c>
      <c r="M1332" s="4" t="s">
        <v>28</v>
      </c>
      <c r="N1332" s="4" t="s">
        <v>183</v>
      </c>
      <c r="O1332" s="4" t="s">
        <v>174</v>
      </c>
      <c r="P1332" s="4" t="s">
        <v>48</v>
      </c>
      <c r="Q1332" s="4">
        <v>0</v>
      </c>
      <c r="R1332" s="4" t="b">
        <v>0</v>
      </c>
      <c r="S1332" s="4" t="s">
        <v>114</v>
      </c>
      <c r="T1332" s="4" t="s">
        <v>115</v>
      </c>
      <c r="U1332" s="4" t="s">
        <v>140</v>
      </c>
      <c r="V1332" s="4" t="s">
        <v>52</v>
      </c>
      <c r="W1332" s="4" t="s">
        <v>135</v>
      </c>
      <c r="X1332" s="4" t="s">
        <v>54</v>
      </c>
      <c r="Y1332" s="4"/>
      <c r="Z1332" s="12" t="s">
        <v>48</v>
      </c>
      <c r="AA1332" s="13" t="s">
        <v>9169</v>
      </c>
      <c r="AB1332" s="13" t="s">
        <v>9168</v>
      </c>
      <c r="AC1332" s="14" t="s">
        <v>9157</v>
      </c>
      <c r="AD1332" s="14" t="s">
        <v>28</v>
      </c>
      <c r="AE1332" s="14" t="s">
        <v>183</v>
      </c>
      <c r="AF1332" s="14" t="s">
        <v>52</v>
      </c>
      <c r="AG1332" s="14" t="s">
        <v>54</v>
      </c>
      <c r="AH1332" s="15" t="s">
        <v>9194</v>
      </c>
      <c r="AI1332" s="15" t="s">
        <v>9199</v>
      </c>
      <c r="AJ1332" s="15" t="s">
        <v>9143</v>
      </c>
      <c r="AK1332" s="15" t="s">
        <v>9194</v>
      </c>
      <c r="AL1332" s="15" t="s">
        <v>9199</v>
      </c>
      <c r="AM1332" s="16" t="s">
        <v>9194</v>
      </c>
      <c r="AN1332" s="16" t="s">
        <v>9200</v>
      </c>
    </row>
    <row r="1333" spans="1:40" x14ac:dyDescent="0.25">
      <c r="A1333" s="4" t="s">
        <v>5341</v>
      </c>
      <c r="B1333" s="4"/>
      <c r="C1333" s="4" t="s">
        <v>39</v>
      </c>
      <c r="D1333" s="4" t="s">
        <v>5295</v>
      </c>
      <c r="E1333" s="4" t="s">
        <v>5296</v>
      </c>
      <c r="F1333" s="10">
        <v>45321</v>
      </c>
      <c r="G1333" s="11">
        <v>0.62916666666666665</v>
      </c>
      <c r="H1333" s="4" t="s">
        <v>4516</v>
      </c>
      <c r="I1333" s="4" t="s">
        <v>5275</v>
      </c>
      <c r="J1333" s="4" t="s">
        <v>5276</v>
      </c>
      <c r="K1333" s="4" t="s">
        <v>5342</v>
      </c>
      <c r="L1333" s="4" t="s">
        <v>5343</v>
      </c>
      <c r="M1333" s="4" t="s">
        <v>46</v>
      </c>
      <c r="N1333" s="4"/>
      <c r="O1333" s="4" t="s">
        <v>47</v>
      </c>
      <c r="P1333" s="4" t="s">
        <v>48</v>
      </c>
      <c r="Q1333" s="4">
        <v>0</v>
      </c>
      <c r="R1333" s="4" t="b">
        <v>0</v>
      </c>
      <c r="S1333" s="4" t="s">
        <v>61</v>
      </c>
      <c r="T1333" s="4" t="s">
        <v>1495</v>
      </c>
      <c r="U1333" s="4" t="s">
        <v>373</v>
      </c>
      <c r="V1333" s="4" t="s">
        <v>72</v>
      </c>
      <c r="W1333" s="4" t="s">
        <v>73</v>
      </c>
      <c r="X1333" s="4" t="s">
        <v>54</v>
      </c>
      <c r="Y1333" s="4"/>
      <c r="Z1333" s="12">
        <v>0</v>
      </c>
      <c r="AA1333" s="13" t="s">
        <v>9169</v>
      </c>
      <c r="AB1333" s="13" t="s">
        <v>9168</v>
      </c>
      <c r="AC1333" s="14" t="s">
        <v>9148</v>
      </c>
      <c r="AD1333" s="14" t="s">
        <v>9140</v>
      </c>
      <c r="AE1333" s="14" t="s">
        <v>9140</v>
      </c>
      <c r="AF1333" s="14" t="s">
        <v>72</v>
      </c>
      <c r="AG1333" s="14" t="s">
        <v>54</v>
      </c>
      <c r="AH1333" s="15" t="s">
        <v>9220</v>
      </c>
      <c r="AI1333" s="15" t="s">
        <v>9188</v>
      </c>
      <c r="AJ1333" s="15" t="s">
        <v>9143</v>
      </c>
      <c r="AK1333" s="15" t="s">
        <v>9221</v>
      </c>
      <c r="AL1333" s="15" t="s">
        <v>9230</v>
      </c>
      <c r="AM1333" s="16" t="s">
        <v>9221</v>
      </c>
      <c r="AN1333" s="16" t="s">
        <v>9231</v>
      </c>
    </row>
    <row r="1334" spans="1:40" x14ac:dyDescent="0.25">
      <c r="A1334" s="4" t="s">
        <v>7829</v>
      </c>
      <c r="B1334" s="4"/>
      <c r="C1334" s="4" t="s">
        <v>39</v>
      </c>
      <c r="D1334" s="4" t="s">
        <v>7813</v>
      </c>
      <c r="E1334" s="4" t="s">
        <v>7814</v>
      </c>
      <c r="F1334" s="10">
        <v>45320</v>
      </c>
      <c r="G1334" s="11">
        <v>0.3923611111111111</v>
      </c>
      <c r="H1334" s="4" t="s">
        <v>5666</v>
      </c>
      <c r="I1334" s="4" t="s">
        <v>7793</v>
      </c>
      <c r="J1334" s="4" t="s">
        <v>7794</v>
      </c>
      <c r="K1334" s="4" t="s">
        <v>7830</v>
      </c>
      <c r="L1334" s="4" t="s">
        <v>7831</v>
      </c>
      <c r="M1334" s="4" t="s">
        <v>46</v>
      </c>
      <c r="N1334" s="4"/>
      <c r="O1334" s="4" t="s">
        <v>47</v>
      </c>
      <c r="P1334" s="4" t="s">
        <v>48</v>
      </c>
      <c r="Q1334" s="4">
        <v>0</v>
      </c>
      <c r="R1334" s="4" t="b">
        <v>0</v>
      </c>
      <c r="S1334" s="4" t="s">
        <v>61</v>
      </c>
      <c r="T1334" s="4" t="s">
        <v>89</v>
      </c>
      <c r="U1334" s="4" t="s">
        <v>140</v>
      </c>
      <c r="V1334" s="4" t="s">
        <v>123</v>
      </c>
      <c r="W1334" s="4" t="s">
        <v>149</v>
      </c>
      <c r="X1334" s="4" t="s">
        <v>54</v>
      </c>
      <c r="Y1334" s="4"/>
      <c r="Z1334" s="12">
        <v>0</v>
      </c>
      <c r="AA1334" s="13" t="s">
        <v>9169</v>
      </c>
      <c r="AB1334" s="13" t="s">
        <v>9168</v>
      </c>
      <c r="AC1334" s="14" t="s">
        <v>9148</v>
      </c>
      <c r="AD1334" s="14" t="s">
        <v>9140</v>
      </c>
      <c r="AE1334" s="14" t="s">
        <v>9140</v>
      </c>
      <c r="AF1334" s="14" t="s">
        <v>123</v>
      </c>
      <c r="AG1334" s="14" t="s">
        <v>54</v>
      </c>
      <c r="AH1334" s="15" t="s">
        <v>9220</v>
      </c>
      <c r="AI1334" s="15" t="s">
        <v>9199</v>
      </c>
      <c r="AJ1334" s="15" t="s">
        <v>9143</v>
      </c>
      <c r="AK1334" s="15" t="s">
        <v>9221</v>
      </c>
      <c r="AL1334" s="15" t="s">
        <v>9199</v>
      </c>
      <c r="AM1334" s="16" t="s">
        <v>9221</v>
      </c>
      <c r="AN1334" s="16" t="s">
        <v>9238</v>
      </c>
    </row>
    <row r="1335" spans="1:40" x14ac:dyDescent="0.25">
      <c r="A1335" s="4" t="s">
        <v>2538</v>
      </c>
      <c r="B1335" s="4"/>
      <c r="C1335" s="4" t="s">
        <v>39</v>
      </c>
      <c r="D1335" s="4" t="s">
        <v>2539</v>
      </c>
      <c r="E1335" s="4" t="s">
        <v>2540</v>
      </c>
      <c r="F1335" s="10">
        <v>45319</v>
      </c>
      <c r="G1335" s="11">
        <v>0.56944444444444442</v>
      </c>
      <c r="H1335" s="4" t="s">
        <v>1992</v>
      </c>
      <c r="I1335" s="4" t="s">
        <v>2520</v>
      </c>
      <c r="J1335" s="4" t="s">
        <v>2521</v>
      </c>
      <c r="K1335" s="4" t="s">
        <v>2541</v>
      </c>
      <c r="L1335" s="4" t="s">
        <v>2542</v>
      </c>
      <c r="M1335" s="4" t="s">
        <v>46</v>
      </c>
      <c r="N1335" s="4"/>
      <c r="O1335" s="4" t="s">
        <v>47</v>
      </c>
      <c r="P1335" s="4" t="s">
        <v>48</v>
      </c>
      <c r="Q1335" s="4">
        <v>0</v>
      </c>
      <c r="R1335" s="4" t="b">
        <v>0</v>
      </c>
      <c r="S1335" s="4" t="s">
        <v>61</v>
      </c>
      <c r="T1335" s="4" t="s">
        <v>479</v>
      </c>
      <c r="U1335" s="4" t="s">
        <v>148</v>
      </c>
      <c r="V1335" s="4" t="s">
        <v>52</v>
      </c>
      <c r="W1335" s="4" t="s">
        <v>53</v>
      </c>
      <c r="X1335" s="4" t="s">
        <v>54</v>
      </c>
      <c r="Y1335" s="4"/>
      <c r="Z1335" s="12">
        <v>0</v>
      </c>
      <c r="AA1335" s="13" t="s">
        <v>9169</v>
      </c>
      <c r="AB1335" s="13" t="s">
        <v>9168</v>
      </c>
      <c r="AC1335" s="14" t="s">
        <v>9148</v>
      </c>
      <c r="AD1335" s="14" t="s">
        <v>9140</v>
      </c>
      <c r="AE1335" s="14" t="s">
        <v>9140</v>
      </c>
      <c r="AF1335" s="14" t="s">
        <v>52</v>
      </c>
      <c r="AG1335" s="14" t="s">
        <v>54</v>
      </c>
      <c r="AH1335" s="15" t="s">
        <v>9194</v>
      </c>
      <c r="AI1335" s="15" t="s">
        <v>9191</v>
      </c>
      <c r="AJ1335" s="15" t="s">
        <v>9143</v>
      </c>
      <c r="AK1335" s="15" t="s">
        <v>9194</v>
      </c>
      <c r="AL1335" s="15" t="s">
        <v>9201</v>
      </c>
      <c r="AM1335" s="16" t="s">
        <v>9194</v>
      </c>
      <c r="AN1335" s="16" t="s">
        <v>9202</v>
      </c>
    </row>
    <row r="1336" spans="1:40" x14ac:dyDescent="0.25">
      <c r="A1336" s="4" t="s">
        <v>8723</v>
      </c>
      <c r="B1336" s="4">
        <v>6576599</v>
      </c>
      <c r="C1336" s="4" t="s">
        <v>39</v>
      </c>
      <c r="D1336" s="4" t="s">
        <v>8724</v>
      </c>
      <c r="E1336" s="4" t="s">
        <v>8725</v>
      </c>
      <c r="F1336" s="10">
        <v>45319</v>
      </c>
      <c r="G1336" s="11">
        <v>0.58333333333333337</v>
      </c>
      <c r="H1336" s="4" t="s">
        <v>4516</v>
      </c>
      <c r="I1336" s="4" t="s">
        <v>8691</v>
      </c>
      <c r="J1336" s="4" t="s">
        <v>3943</v>
      </c>
      <c r="K1336" s="4" t="s">
        <v>8726</v>
      </c>
      <c r="L1336" s="4" t="s">
        <v>8727</v>
      </c>
      <c r="M1336" s="4" t="s">
        <v>28</v>
      </c>
      <c r="N1336" s="4" t="s">
        <v>183</v>
      </c>
      <c r="O1336" s="4" t="s">
        <v>344</v>
      </c>
      <c r="P1336" s="4" t="s">
        <v>60</v>
      </c>
      <c r="Q1336" s="4">
        <v>439</v>
      </c>
      <c r="R1336" s="4" t="b">
        <v>0</v>
      </c>
      <c r="S1336" s="4" t="s">
        <v>184</v>
      </c>
      <c r="T1336" s="4" t="s">
        <v>479</v>
      </c>
      <c r="U1336" s="4" t="s">
        <v>175</v>
      </c>
      <c r="V1336" s="4" t="s">
        <v>52</v>
      </c>
      <c r="W1336" s="4" t="s">
        <v>53</v>
      </c>
      <c r="X1336" s="4" t="s">
        <v>98</v>
      </c>
      <c r="Y1336" s="4" t="s">
        <v>176</v>
      </c>
      <c r="Z1336" s="12" t="s">
        <v>60</v>
      </c>
      <c r="AA1336" s="13" t="s">
        <v>9169</v>
      </c>
      <c r="AB1336" s="13" t="s">
        <v>9168</v>
      </c>
      <c r="AC1336" s="14" t="s">
        <v>9166</v>
      </c>
      <c r="AD1336" s="14" t="s">
        <v>28</v>
      </c>
      <c r="AE1336" s="14" t="s">
        <v>183</v>
      </c>
      <c r="AF1336" s="14" t="s">
        <v>52</v>
      </c>
      <c r="AG1336" s="14" t="s">
        <v>98</v>
      </c>
      <c r="AH1336" s="15" t="s">
        <v>9220</v>
      </c>
      <c r="AI1336" s="15" t="s">
        <v>9188</v>
      </c>
      <c r="AJ1336" s="15" t="s">
        <v>9143</v>
      </c>
      <c r="AK1336" s="15" t="s">
        <v>9221</v>
      </c>
      <c r="AL1336" s="15" t="s">
        <v>9230</v>
      </c>
      <c r="AM1336" s="16" t="s">
        <v>9221</v>
      </c>
      <c r="AN1336" s="16" t="s">
        <v>9231</v>
      </c>
    </row>
    <row r="1337" spans="1:40" x14ac:dyDescent="0.25">
      <c r="A1337" s="4" t="s">
        <v>7005</v>
      </c>
      <c r="B1337" s="4"/>
      <c r="C1337" s="4" t="s">
        <v>39</v>
      </c>
      <c r="D1337" s="4" t="s">
        <v>7006</v>
      </c>
      <c r="E1337" s="4" t="s">
        <v>7007</v>
      </c>
      <c r="F1337" s="10">
        <v>45319</v>
      </c>
      <c r="G1337" s="11">
        <v>0.4513888888888889</v>
      </c>
      <c r="H1337" s="4" t="s">
        <v>4516</v>
      </c>
      <c r="I1337" s="4" t="s">
        <v>6985</v>
      </c>
      <c r="J1337" s="4" t="s">
        <v>3890</v>
      </c>
      <c r="K1337" s="4" t="s">
        <v>7008</v>
      </c>
      <c r="L1337" s="4" t="s">
        <v>7009</v>
      </c>
      <c r="M1337" s="4" t="s">
        <v>46</v>
      </c>
      <c r="N1337" s="4"/>
      <c r="O1337" s="4" t="s">
        <v>47</v>
      </c>
      <c r="P1337" s="4" t="s">
        <v>48</v>
      </c>
      <c r="Q1337" s="4">
        <v>0</v>
      </c>
      <c r="R1337" s="4" t="b">
        <v>0</v>
      </c>
      <c r="S1337" s="4" t="s">
        <v>49</v>
      </c>
      <c r="T1337" s="4" t="s">
        <v>89</v>
      </c>
      <c r="U1337" s="4" t="s">
        <v>51</v>
      </c>
      <c r="V1337" s="4" t="s">
        <v>63</v>
      </c>
      <c r="W1337" s="4" t="s">
        <v>312</v>
      </c>
      <c r="X1337" s="4" t="s">
        <v>54</v>
      </c>
      <c r="Y1337" s="4"/>
      <c r="Z1337" s="12">
        <v>0</v>
      </c>
      <c r="AA1337" s="13" t="s">
        <v>9169</v>
      </c>
      <c r="AB1337" s="13" t="s">
        <v>9168</v>
      </c>
      <c r="AC1337" s="14" t="s">
        <v>9139</v>
      </c>
      <c r="AD1337" s="14" t="s">
        <v>9140</v>
      </c>
      <c r="AE1337" s="14" t="s">
        <v>9140</v>
      </c>
      <c r="AF1337" s="14" t="s">
        <v>63</v>
      </c>
      <c r="AG1337" s="14" t="s">
        <v>54</v>
      </c>
      <c r="AH1337" s="15" t="s">
        <v>9220</v>
      </c>
      <c r="AI1337" s="15" t="s">
        <v>9188</v>
      </c>
      <c r="AJ1337" s="15" t="s">
        <v>9143</v>
      </c>
      <c r="AK1337" s="15" t="s">
        <v>9221</v>
      </c>
      <c r="AL1337" s="15" t="s">
        <v>9230</v>
      </c>
      <c r="AM1337" s="16" t="s">
        <v>9221</v>
      </c>
      <c r="AN1337" s="16" t="s">
        <v>9231</v>
      </c>
    </row>
    <row r="1338" spans="1:40" x14ac:dyDescent="0.25">
      <c r="A1338" s="4" t="s">
        <v>5390</v>
      </c>
      <c r="B1338" s="4"/>
      <c r="C1338" s="4" t="s">
        <v>39</v>
      </c>
      <c r="D1338" s="4" t="s">
        <v>5358</v>
      </c>
      <c r="E1338" s="4" t="s">
        <v>5359</v>
      </c>
      <c r="F1338" s="10">
        <v>45319</v>
      </c>
      <c r="G1338" s="11">
        <v>0.4375</v>
      </c>
      <c r="H1338" s="4" t="s">
        <v>4910</v>
      </c>
      <c r="I1338" s="4" t="s">
        <v>5360</v>
      </c>
      <c r="J1338" s="4" t="s">
        <v>2062</v>
      </c>
      <c r="K1338" s="4" t="s">
        <v>5391</v>
      </c>
      <c r="L1338" s="4" t="s">
        <v>5392</v>
      </c>
      <c r="M1338" s="4" t="s">
        <v>46</v>
      </c>
      <c r="N1338" s="4"/>
      <c r="O1338" s="4" t="s">
        <v>47</v>
      </c>
      <c r="P1338" s="4" t="s">
        <v>48</v>
      </c>
      <c r="Q1338" s="4">
        <v>0</v>
      </c>
      <c r="R1338" s="4" t="b">
        <v>0</v>
      </c>
      <c r="S1338" s="4" t="s">
        <v>49</v>
      </c>
      <c r="T1338" s="4" t="s">
        <v>89</v>
      </c>
      <c r="U1338" s="4" t="s">
        <v>1081</v>
      </c>
      <c r="V1338" s="4" t="s">
        <v>72</v>
      </c>
      <c r="W1338" s="4" t="s">
        <v>73</v>
      </c>
      <c r="X1338" s="4" t="s">
        <v>54</v>
      </c>
      <c r="Y1338" s="4"/>
      <c r="Z1338" s="12">
        <v>0</v>
      </c>
      <c r="AA1338" s="13" t="s">
        <v>9169</v>
      </c>
      <c r="AB1338" s="13" t="s">
        <v>9168</v>
      </c>
      <c r="AC1338" s="14" t="s">
        <v>9139</v>
      </c>
      <c r="AD1338" s="14" t="s">
        <v>9140</v>
      </c>
      <c r="AE1338" s="14" t="s">
        <v>9140</v>
      </c>
      <c r="AF1338" s="14" t="s">
        <v>72</v>
      </c>
      <c r="AG1338" s="14" t="s">
        <v>54</v>
      </c>
      <c r="AH1338" s="15" t="s">
        <v>9220</v>
      </c>
      <c r="AI1338" s="15" t="s">
        <v>9191</v>
      </c>
      <c r="AJ1338" s="15" t="s">
        <v>9143</v>
      </c>
      <c r="AK1338" s="15" t="s">
        <v>9221</v>
      </c>
      <c r="AL1338" s="15" t="s">
        <v>9234</v>
      </c>
      <c r="AM1338" s="16" t="s">
        <v>9221</v>
      </c>
      <c r="AN1338" s="16" t="s">
        <v>9235</v>
      </c>
    </row>
    <row r="1339" spans="1:40" x14ac:dyDescent="0.25">
      <c r="A1339" s="4" t="s">
        <v>8071</v>
      </c>
      <c r="B1339" s="4"/>
      <c r="C1339" s="4" t="s">
        <v>39</v>
      </c>
      <c r="D1339" s="4" t="s">
        <v>8072</v>
      </c>
      <c r="E1339" s="4" t="s">
        <v>8073</v>
      </c>
      <c r="F1339" s="10">
        <v>45319</v>
      </c>
      <c r="G1339" s="11">
        <v>0.48680555555555555</v>
      </c>
      <c r="H1339" s="4" t="s">
        <v>4910</v>
      </c>
      <c r="I1339" s="4" t="s">
        <v>8017</v>
      </c>
      <c r="J1339" s="4" t="s">
        <v>8018</v>
      </c>
      <c r="K1339" s="4" t="s">
        <v>851</v>
      </c>
      <c r="L1339" s="4" t="s">
        <v>8074</v>
      </c>
      <c r="M1339" s="4" t="s">
        <v>46</v>
      </c>
      <c r="N1339" s="4"/>
      <c r="O1339" s="4" t="s">
        <v>47</v>
      </c>
      <c r="P1339" s="4" t="s">
        <v>48</v>
      </c>
      <c r="Q1339" s="4">
        <v>0</v>
      </c>
      <c r="R1339" s="4" t="b">
        <v>0</v>
      </c>
      <c r="S1339" s="4" t="s">
        <v>49</v>
      </c>
      <c r="T1339" s="4" t="s">
        <v>89</v>
      </c>
      <c r="U1339" s="4" t="s">
        <v>51</v>
      </c>
      <c r="V1339" s="4" t="s">
        <v>123</v>
      </c>
      <c r="W1339" s="4" t="s">
        <v>124</v>
      </c>
      <c r="X1339" s="4" t="s">
        <v>3114</v>
      </c>
      <c r="Y1339" s="4"/>
      <c r="Z1339" s="12">
        <v>0</v>
      </c>
      <c r="AA1339" s="13" t="s">
        <v>9169</v>
      </c>
      <c r="AB1339" s="13" t="s">
        <v>9168</v>
      </c>
      <c r="AC1339" s="14" t="s">
        <v>9139</v>
      </c>
      <c r="AD1339" s="14" t="s">
        <v>9140</v>
      </c>
      <c r="AE1339" s="14" t="s">
        <v>9140</v>
      </c>
      <c r="AF1339" s="14" t="s">
        <v>123</v>
      </c>
      <c r="AG1339" s="14" t="s">
        <v>3114</v>
      </c>
      <c r="AH1339" s="15" t="s">
        <v>9220</v>
      </c>
      <c r="AI1339" s="15" t="s">
        <v>9191</v>
      </c>
      <c r="AJ1339" s="15" t="s">
        <v>9143</v>
      </c>
      <c r="AK1339" s="15" t="s">
        <v>9221</v>
      </c>
      <c r="AL1339" s="15" t="s">
        <v>9234</v>
      </c>
      <c r="AM1339" s="16" t="s">
        <v>9221</v>
      </c>
      <c r="AN1339" s="16" t="s">
        <v>9235</v>
      </c>
    </row>
    <row r="1340" spans="1:40" x14ac:dyDescent="0.25">
      <c r="A1340" s="4" t="s">
        <v>4707</v>
      </c>
      <c r="B1340" s="4"/>
      <c r="C1340" s="4" t="s">
        <v>39</v>
      </c>
      <c r="D1340" s="4" t="s">
        <v>4703</v>
      </c>
      <c r="E1340" s="4" t="s">
        <v>4704</v>
      </c>
      <c r="F1340" s="10">
        <v>45319</v>
      </c>
      <c r="G1340" s="11">
        <v>0.65972222222222221</v>
      </c>
      <c r="H1340" s="4" t="s">
        <v>4659</v>
      </c>
      <c r="I1340" s="4" t="s">
        <v>4660</v>
      </c>
      <c r="J1340" s="4" t="s">
        <v>4661</v>
      </c>
      <c r="K1340" s="4" t="s">
        <v>4708</v>
      </c>
      <c r="L1340" s="4" t="s">
        <v>4709</v>
      </c>
      <c r="M1340" s="4" t="s">
        <v>46</v>
      </c>
      <c r="N1340" s="4"/>
      <c r="O1340" s="4" t="s">
        <v>47</v>
      </c>
      <c r="P1340" s="4" t="s">
        <v>48</v>
      </c>
      <c r="Q1340" s="4">
        <v>0</v>
      </c>
      <c r="R1340" s="4" t="b">
        <v>0</v>
      </c>
      <c r="S1340" s="4" t="s">
        <v>49</v>
      </c>
      <c r="T1340" s="4" t="s">
        <v>89</v>
      </c>
      <c r="U1340" s="4" t="s">
        <v>107</v>
      </c>
      <c r="V1340" s="4" t="s">
        <v>63</v>
      </c>
      <c r="W1340" s="4" t="s">
        <v>108</v>
      </c>
      <c r="X1340" s="4" t="s">
        <v>98</v>
      </c>
      <c r="Y1340" s="4"/>
      <c r="Z1340" s="12">
        <v>0</v>
      </c>
      <c r="AA1340" s="13" t="s">
        <v>9169</v>
      </c>
      <c r="AB1340" s="13" t="s">
        <v>9168</v>
      </c>
      <c r="AC1340" s="14" t="s">
        <v>9139</v>
      </c>
      <c r="AD1340" s="14" t="s">
        <v>9140</v>
      </c>
      <c r="AE1340" s="14" t="s">
        <v>9140</v>
      </c>
      <c r="AF1340" s="14" t="s">
        <v>63</v>
      </c>
      <c r="AG1340" s="14" t="s">
        <v>98</v>
      </c>
      <c r="AH1340" s="15" t="s">
        <v>9220</v>
      </c>
      <c r="AI1340" s="15" t="s">
        <v>9142</v>
      </c>
      <c r="AJ1340" s="15" t="s">
        <v>9143</v>
      </c>
      <c r="AK1340" s="15" t="s">
        <v>9221</v>
      </c>
      <c r="AL1340" s="15" t="s">
        <v>9228</v>
      </c>
      <c r="AM1340" s="16" t="s">
        <v>9221</v>
      </c>
      <c r="AN1340" s="16" t="s">
        <v>9229</v>
      </c>
    </row>
    <row r="1341" spans="1:40" x14ac:dyDescent="0.25">
      <c r="A1341" s="4" t="s">
        <v>1646</v>
      </c>
      <c r="B1341" s="4"/>
      <c r="C1341" s="4" t="s">
        <v>39</v>
      </c>
      <c r="D1341" s="4" t="s">
        <v>1642</v>
      </c>
      <c r="E1341" s="4" t="s">
        <v>1643</v>
      </c>
      <c r="F1341" s="10">
        <v>45318</v>
      </c>
      <c r="G1341" s="11">
        <v>0.61458333333333337</v>
      </c>
      <c r="H1341" s="4" t="s">
        <v>1366</v>
      </c>
      <c r="I1341" s="4">
        <v>6078</v>
      </c>
      <c r="J1341" s="4" t="s">
        <v>1638</v>
      </c>
      <c r="K1341" s="4" t="s">
        <v>1647</v>
      </c>
      <c r="L1341" s="4" t="s">
        <v>1648</v>
      </c>
      <c r="M1341" s="4" t="s">
        <v>46</v>
      </c>
      <c r="N1341" s="4"/>
      <c r="O1341" s="4" t="s">
        <v>47</v>
      </c>
      <c r="P1341" s="4" t="s">
        <v>48</v>
      </c>
      <c r="Q1341" s="4">
        <v>0</v>
      </c>
      <c r="R1341" s="4" t="b">
        <v>0</v>
      </c>
      <c r="S1341" s="4" t="s">
        <v>49</v>
      </c>
      <c r="T1341" s="4" t="s">
        <v>89</v>
      </c>
      <c r="U1341" s="4" t="s">
        <v>373</v>
      </c>
      <c r="V1341" s="4" t="s">
        <v>63</v>
      </c>
      <c r="W1341" s="4" t="s">
        <v>108</v>
      </c>
      <c r="X1341" s="4" t="s">
        <v>98</v>
      </c>
      <c r="Y1341" s="4"/>
      <c r="Z1341" s="12">
        <v>0</v>
      </c>
      <c r="AA1341" s="13" t="s">
        <v>9169</v>
      </c>
      <c r="AB1341" s="13" t="s">
        <v>9168</v>
      </c>
      <c r="AC1341" s="14" t="s">
        <v>9139</v>
      </c>
      <c r="AD1341" s="14" t="s">
        <v>9140</v>
      </c>
      <c r="AE1341" s="14" t="s">
        <v>9140</v>
      </c>
      <c r="AF1341" s="14" t="s">
        <v>63</v>
      </c>
      <c r="AG1341" s="14" t="s">
        <v>98</v>
      </c>
      <c r="AH1341" s="15" t="s">
        <v>9141</v>
      </c>
      <c r="AI1341" s="15" t="s">
        <v>9188</v>
      </c>
      <c r="AJ1341" s="15" t="s">
        <v>9143</v>
      </c>
      <c r="AK1341" s="15" t="s">
        <v>9141</v>
      </c>
      <c r="AL1341" s="15" t="s">
        <v>9189</v>
      </c>
      <c r="AM1341" s="16" t="s">
        <v>9141</v>
      </c>
      <c r="AN1341" s="16" t="s">
        <v>9190</v>
      </c>
    </row>
    <row r="1342" spans="1:40" x14ac:dyDescent="0.25">
      <c r="A1342" s="4" t="s">
        <v>732</v>
      </c>
      <c r="B1342" s="4">
        <v>12230065624</v>
      </c>
      <c r="C1342" s="4" t="s">
        <v>39</v>
      </c>
      <c r="D1342" s="4" t="s">
        <v>733</v>
      </c>
      <c r="E1342" s="4" t="s">
        <v>734</v>
      </c>
      <c r="F1342" s="10">
        <v>45317</v>
      </c>
      <c r="G1342" s="11">
        <v>0.45833333333333331</v>
      </c>
      <c r="H1342" s="4" t="s">
        <v>463</v>
      </c>
      <c r="I1342" s="4">
        <v>2025</v>
      </c>
      <c r="J1342" s="4" t="s">
        <v>701</v>
      </c>
      <c r="K1342" s="4" t="s">
        <v>735</v>
      </c>
      <c r="L1342" s="4" t="s">
        <v>736</v>
      </c>
      <c r="M1342" s="4" t="s">
        <v>28</v>
      </c>
      <c r="N1342" s="4" t="s">
        <v>372</v>
      </c>
      <c r="O1342" s="4" t="s">
        <v>47</v>
      </c>
      <c r="P1342" s="4" t="s">
        <v>48</v>
      </c>
      <c r="Q1342" s="4">
        <v>0</v>
      </c>
      <c r="R1342" s="4" t="b">
        <v>0</v>
      </c>
      <c r="S1342" s="4" t="s">
        <v>61</v>
      </c>
      <c r="T1342" s="4" t="s">
        <v>89</v>
      </c>
      <c r="U1342" s="4" t="s">
        <v>618</v>
      </c>
      <c r="V1342" s="4" t="s">
        <v>52</v>
      </c>
      <c r="W1342" s="4" t="s">
        <v>135</v>
      </c>
      <c r="X1342" s="4" t="s">
        <v>54</v>
      </c>
      <c r="Y1342" s="4"/>
      <c r="Z1342" s="12" t="s">
        <v>48</v>
      </c>
      <c r="AA1342" s="13" t="s">
        <v>9169</v>
      </c>
      <c r="AB1342" s="13" t="s">
        <v>9168</v>
      </c>
      <c r="AC1342" s="14" t="s">
        <v>9148</v>
      </c>
      <c r="AD1342" s="14" t="s">
        <v>28</v>
      </c>
      <c r="AE1342" s="14" t="s">
        <v>372</v>
      </c>
      <c r="AF1342" s="14" t="s">
        <v>52</v>
      </c>
      <c r="AG1342" s="14" t="s">
        <v>54</v>
      </c>
      <c r="AH1342" s="15" t="s">
        <v>9141</v>
      </c>
      <c r="AI1342" s="15" t="s">
        <v>9175</v>
      </c>
      <c r="AJ1342" s="15" t="s">
        <v>9143</v>
      </c>
      <c r="AK1342" s="15" t="s">
        <v>9141</v>
      </c>
      <c r="AL1342" s="15" t="s">
        <v>9175</v>
      </c>
      <c r="AM1342" s="16" t="s">
        <v>9141</v>
      </c>
      <c r="AN1342" s="16" t="s">
        <v>9176</v>
      </c>
    </row>
    <row r="1343" spans="1:40" x14ac:dyDescent="0.25">
      <c r="A1343" s="4" t="s">
        <v>6892</v>
      </c>
      <c r="B1343" s="4"/>
      <c r="C1343" s="4" t="s">
        <v>39</v>
      </c>
      <c r="D1343" s="4" t="s">
        <v>6893</v>
      </c>
      <c r="E1343" s="4" t="s">
        <v>6894</v>
      </c>
      <c r="F1343" s="10">
        <v>45317</v>
      </c>
      <c r="G1343" s="11">
        <v>0.3923611111111111</v>
      </c>
      <c r="H1343" s="4" t="s">
        <v>4910</v>
      </c>
      <c r="I1343" s="4" t="s">
        <v>6878</v>
      </c>
      <c r="J1343" s="4" t="s">
        <v>3657</v>
      </c>
      <c r="K1343" s="4" t="s">
        <v>6895</v>
      </c>
      <c r="L1343" s="4" t="s">
        <v>6896</v>
      </c>
      <c r="M1343" s="4" t="s">
        <v>46</v>
      </c>
      <c r="N1343" s="4"/>
      <c r="O1343" s="4" t="s">
        <v>47</v>
      </c>
      <c r="P1343" s="4" t="s">
        <v>48</v>
      </c>
      <c r="Q1343" s="4">
        <v>0</v>
      </c>
      <c r="R1343" s="4" t="b">
        <v>0</v>
      </c>
      <c r="S1343" s="4" t="s">
        <v>49</v>
      </c>
      <c r="T1343" s="4" t="s">
        <v>70</v>
      </c>
      <c r="U1343" s="4" t="s">
        <v>71</v>
      </c>
      <c r="V1343" s="4" t="s">
        <v>72</v>
      </c>
      <c r="W1343" s="4" t="s">
        <v>73</v>
      </c>
      <c r="X1343" s="4" t="s">
        <v>54</v>
      </c>
      <c r="Y1343" s="4"/>
      <c r="Z1343" s="12">
        <v>0</v>
      </c>
      <c r="AA1343" s="13" t="s">
        <v>9169</v>
      </c>
      <c r="AB1343" s="13" t="s">
        <v>9168</v>
      </c>
      <c r="AC1343" s="14" t="s">
        <v>9139</v>
      </c>
      <c r="AD1343" s="14" t="s">
        <v>9140</v>
      </c>
      <c r="AE1343" s="14" t="s">
        <v>9140</v>
      </c>
      <c r="AF1343" s="14" t="s">
        <v>72</v>
      </c>
      <c r="AG1343" s="14" t="s">
        <v>54</v>
      </c>
      <c r="AH1343" s="15" t="s">
        <v>9220</v>
      </c>
      <c r="AI1343" s="15" t="s">
        <v>9191</v>
      </c>
      <c r="AJ1343" s="15" t="s">
        <v>9143</v>
      </c>
      <c r="AK1343" s="15" t="s">
        <v>9221</v>
      </c>
      <c r="AL1343" s="15" t="s">
        <v>9234</v>
      </c>
      <c r="AM1343" s="16" t="s">
        <v>9221</v>
      </c>
      <c r="AN1343" s="16" t="s">
        <v>9235</v>
      </c>
    </row>
    <row r="1344" spans="1:40" x14ac:dyDescent="0.25">
      <c r="A1344" s="4" t="s">
        <v>7507</v>
      </c>
      <c r="B1344" s="4"/>
      <c r="C1344" s="4" t="s">
        <v>39</v>
      </c>
      <c r="D1344" s="4" t="s">
        <v>7508</v>
      </c>
      <c r="E1344" s="4" t="s">
        <v>7509</v>
      </c>
      <c r="F1344" s="10">
        <v>45316</v>
      </c>
      <c r="G1344" s="11">
        <v>0.44791666666666669</v>
      </c>
      <c r="H1344" s="4" t="s">
        <v>4910</v>
      </c>
      <c r="I1344" s="4" t="s">
        <v>7457</v>
      </c>
      <c r="J1344" s="4" t="s">
        <v>2378</v>
      </c>
      <c r="K1344" s="4" t="s">
        <v>604</v>
      </c>
      <c r="L1344" s="4" t="s">
        <v>7510</v>
      </c>
      <c r="M1344" s="4" t="s">
        <v>46</v>
      </c>
      <c r="N1344" s="4"/>
      <c r="O1344" s="4" t="s">
        <v>47</v>
      </c>
      <c r="P1344" s="4" t="s">
        <v>48</v>
      </c>
      <c r="Q1344" s="4">
        <v>0</v>
      </c>
      <c r="R1344" s="4" t="b">
        <v>0</v>
      </c>
      <c r="S1344" s="4" t="s">
        <v>61</v>
      </c>
      <c r="T1344" s="4" t="s">
        <v>89</v>
      </c>
      <c r="U1344" s="4" t="s">
        <v>107</v>
      </c>
      <c r="V1344" s="4" t="s">
        <v>63</v>
      </c>
      <c r="W1344" s="4" t="s">
        <v>108</v>
      </c>
      <c r="X1344" s="4" t="s">
        <v>98</v>
      </c>
      <c r="Y1344" s="4"/>
      <c r="Z1344" s="12">
        <v>0</v>
      </c>
      <c r="AA1344" s="13" t="s">
        <v>9169</v>
      </c>
      <c r="AB1344" s="13" t="s">
        <v>9168</v>
      </c>
      <c r="AC1344" s="14" t="s">
        <v>9148</v>
      </c>
      <c r="AD1344" s="14" t="s">
        <v>9140</v>
      </c>
      <c r="AE1344" s="14" t="s">
        <v>9140</v>
      </c>
      <c r="AF1344" s="14" t="s">
        <v>63</v>
      </c>
      <c r="AG1344" s="14" t="s">
        <v>98</v>
      </c>
      <c r="AH1344" s="15" t="s">
        <v>9220</v>
      </c>
      <c r="AI1344" s="15" t="s">
        <v>9191</v>
      </c>
      <c r="AJ1344" s="15" t="s">
        <v>9143</v>
      </c>
      <c r="AK1344" s="15" t="s">
        <v>9221</v>
      </c>
      <c r="AL1344" s="15" t="s">
        <v>9226</v>
      </c>
      <c r="AM1344" s="16" t="s">
        <v>9221</v>
      </c>
      <c r="AN1344" s="16" t="s">
        <v>9227</v>
      </c>
    </row>
    <row r="1345" spans="1:40" x14ac:dyDescent="0.25">
      <c r="A1345" s="4" t="s">
        <v>8666</v>
      </c>
      <c r="B1345" s="4"/>
      <c r="C1345" s="4" t="s">
        <v>39</v>
      </c>
      <c r="D1345" s="4" t="s">
        <v>8667</v>
      </c>
      <c r="E1345" s="4" t="s">
        <v>8668</v>
      </c>
      <c r="F1345" s="10">
        <v>45316</v>
      </c>
      <c r="G1345" s="11">
        <v>0.3125</v>
      </c>
      <c r="H1345" s="4" t="s">
        <v>4516</v>
      </c>
      <c r="I1345" s="4" t="s">
        <v>8639</v>
      </c>
      <c r="J1345" s="4" t="s">
        <v>1406</v>
      </c>
      <c r="K1345" s="4" t="s">
        <v>2442</v>
      </c>
      <c r="L1345" s="4" t="s">
        <v>8669</v>
      </c>
      <c r="M1345" s="4" t="s">
        <v>46</v>
      </c>
      <c r="N1345" s="4"/>
      <c r="O1345" s="4" t="s">
        <v>47</v>
      </c>
      <c r="P1345" s="4" t="s">
        <v>48</v>
      </c>
      <c r="Q1345" s="4">
        <v>0</v>
      </c>
      <c r="R1345" s="4" t="b">
        <v>0</v>
      </c>
      <c r="S1345" s="4" t="s">
        <v>49</v>
      </c>
      <c r="T1345" s="4" t="s">
        <v>70</v>
      </c>
      <c r="U1345" s="4" t="s">
        <v>527</v>
      </c>
      <c r="V1345" s="4" t="s">
        <v>72</v>
      </c>
      <c r="W1345" s="4" t="s">
        <v>73</v>
      </c>
      <c r="X1345" s="4" t="s">
        <v>54</v>
      </c>
      <c r="Y1345" s="4"/>
      <c r="Z1345" s="12">
        <v>0</v>
      </c>
      <c r="AA1345" s="13" t="s">
        <v>9169</v>
      </c>
      <c r="AB1345" s="13" t="s">
        <v>9168</v>
      </c>
      <c r="AC1345" s="14" t="s">
        <v>9139</v>
      </c>
      <c r="AD1345" s="14" t="s">
        <v>9140</v>
      </c>
      <c r="AE1345" s="14" t="s">
        <v>9140</v>
      </c>
      <c r="AF1345" s="14" t="s">
        <v>72</v>
      </c>
      <c r="AG1345" s="14" t="s">
        <v>54</v>
      </c>
      <c r="AH1345" s="15" t="s">
        <v>9220</v>
      </c>
      <c r="AI1345" s="15" t="s">
        <v>9188</v>
      </c>
      <c r="AJ1345" s="15" t="s">
        <v>9143</v>
      </c>
      <c r="AK1345" s="15" t="s">
        <v>9221</v>
      </c>
      <c r="AL1345" s="15" t="s">
        <v>9236</v>
      </c>
      <c r="AM1345" s="16" t="s">
        <v>9221</v>
      </c>
      <c r="AN1345" s="16" t="s">
        <v>9237</v>
      </c>
    </row>
    <row r="1346" spans="1:40" x14ac:dyDescent="0.25">
      <c r="A1346" s="4" t="s">
        <v>1692</v>
      </c>
      <c r="B1346" s="4"/>
      <c r="C1346" s="4" t="s">
        <v>39</v>
      </c>
      <c r="D1346" s="4" t="s">
        <v>1688</v>
      </c>
      <c r="E1346" s="4" t="s">
        <v>1689</v>
      </c>
      <c r="F1346" s="10">
        <v>45316</v>
      </c>
      <c r="G1346" s="11">
        <v>0.76041666666666663</v>
      </c>
      <c r="H1346" s="4" t="s">
        <v>1654</v>
      </c>
      <c r="I1346" s="4">
        <v>9087</v>
      </c>
      <c r="J1346" s="4" t="s">
        <v>1666</v>
      </c>
      <c r="K1346" s="4" t="s">
        <v>1693</v>
      </c>
      <c r="L1346" s="4" t="s">
        <v>1694</v>
      </c>
      <c r="M1346" s="4" t="s">
        <v>46</v>
      </c>
      <c r="N1346" s="4"/>
      <c r="O1346" s="4" t="s">
        <v>47</v>
      </c>
      <c r="P1346" s="4" t="s">
        <v>48</v>
      </c>
      <c r="Q1346" s="4">
        <v>0</v>
      </c>
      <c r="R1346" s="4" t="b">
        <v>0</v>
      </c>
      <c r="S1346" s="4" t="s">
        <v>49</v>
      </c>
      <c r="T1346" s="4" t="s">
        <v>70</v>
      </c>
      <c r="U1346" s="4" t="s">
        <v>71</v>
      </c>
      <c r="V1346" s="4" t="s">
        <v>72</v>
      </c>
      <c r="W1346" s="4" t="s">
        <v>73</v>
      </c>
      <c r="X1346" s="4" t="s">
        <v>98</v>
      </c>
      <c r="Y1346" s="4"/>
      <c r="Z1346" s="12">
        <v>0</v>
      </c>
      <c r="AA1346" s="13" t="s">
        <v>9169</v>
      </c>
      <c r="AB1346" s="13" t="s">
        <v>9168</v>
      </c>
      <c r="AC1346" s="14" t="s">
        <v>9139</v>
      </c>
      <c r="AD1346" s="14" t="s">
        <v>9140</v>
      </c>
      <c r="AE1346" s="14" t="s">
        <v>9140</v>
      </c>
      <c r="AF1346" s="14" t="s">
        <v>72</v>
      </c>
      <c r="AG1346" s="14" t="s">
        <v>98</v>
      </c>
      <c r="AH1346" s="15" t="s">
        <v>9141</v>
      </c>
      <c r="AI1346" s="15" t="s">
        <v>9191</v>
      </c>
      <c r="AJ1346" s="15" t="s">
        <v>9143</v>
      </c>
      <c r="AK1346" s="15" t="s">
        <v>9141</v>
      </c>
      <c r="AL1346" s="15" t="s">
        <v>9191</v>
      </c>
      <c r="AM1346" s="16" t="s">
        <v>9141</v>
      </c>
      <c r="AN1346" s="16" t="s">
        <v>9192</v>
      </c>
    </row>
    <row r="1347" spans="1:40" x14ac:dyDescent="0.25">
      <c r="A1347" s="4" t="s">
        <v>6189</v>
      </c>
      <c r="B1347" s="4"/>
      <c r="C1347" s="4" t="s">
        <v>39</v>
      </c>
      <c r="D1347" s="4" t="s">
        <v>6158</v>
      </c>
      <c r="E1347" s="4" t="s">
        <v>6159</v>
      </c>
      <c r="F1347" s="10">
        <v>45316</v>
      </c>
      <c r="G1347" s="11">
        <v>0.62847222222222221</v>
      </c>
      <c r="H1347" s="4" t="s">
        <v>5666</v>
      </c>
      <c r="I1347" s="4" t="s">
        <v>6136</v>
      </c>
      <c r="J1347" s="4" t="s">
        <v>2598</v>
      </c>
      <c r="K1347" s="4" t="s">
        <v>6190</v>
      </c>
      <c r="L1347" s="4" t="s">
        <v>6191</v>
      </c>
      <c r="M1347" s="4" t="s">
        <v>46</v>
      </c>
      <c r="N1347" s="4"/>
      <c r="O1347" s="4" t="s">
        <v>47</v>
      </c>
      <c r="P1347" s="4" t="s">
        <v>48</v>
      </c>
      <c r="Q1347" s="4">
        <v>0</v>
      </c>
      <c r="R1347" s="4" t="b">
        <v>0</v>
      </c>
      <c r="S1347" s="4" t="s">
        <v>49</v>
      </c>
      <c r="T1347" s="4" t="s">
        <v>70</v>
      </c>
      <c r="U1347" s="4" t="s">
        <v>71</v>
      </c>
      <c r="V1347" s="4" t="s">
        <v>72</v>
      </c>
      <c r="W1347" s="4" t="s">
        <v>73</v>
      </c>
      <c r="X1347" s="4" t="s">
        <v>98</v>
      </c>
      <c r="Y1347" s="4"/>
      <c r="Z1347" s="12">
        <v>0</v>
      </c>
      <c r="AA1347" s="13" t="s">
        <v>9169</v>
      </c>
      <c r="AB1347" s="13" t="s">
        <v>9168</v>
      </c>
      <c r="AC1347" s="14" t="s">
        <v>9139</v>
      </c>
      <c r="AD1347" s="14" t="s">
        <v>9140</v>
      </c>
      <c r="AE1347" s="14" t="s">
        <v>9140</v>
      </c>
      <c r="AF1347" s="14" t="s">
        <v>72</v>
      </c>
      <c r="AG1347" s="14" t="s">
        <v>98</v>
      </c>
      <c r="AH1347" s="15" t="s">
        <v>9220</v>
      </c>
      <c r="AI1347" s="15" t="s">
        <v>9199</v>
      </c>
      <c r="AJ1347" s="15" t="s">
        <v>9143</v>
      </c>
      <c r="AK1347" s="15" t="s">
        <v>9221</v>
      </c>
      <c r="AL1347" s="15" t="s">
        <v>9199</v>
      </c>
      <c r="AM1347" s="16" t="s">
        <v>9221</v>
      </c>
      <c r="AN1347" s="16" t="s">
        <v>9238</v>
      </c>
    </row>
    <row r="1348" spans="1:40" x14ac:dyDescent="0.25">
      <c r="A1348" s="4" t="s">
        <v>6718</v>
      </c>
      <c r="B1348" s="4"/>
      <c r="C1348" s="4" t="s">
        <v>39</v>
      </c>
      <c r="D1348" s="4" t="s">
        <v>6719</v>
      </c>
      <c r="E1348" s="4" t="s">
        <v>6720</v>
      </c>
      <c r="F1348" s="10">
        <v>45315</v>
      </c>
      <c r="G1348" s="11">
        <v>0.57291666666666663</v>
      </c>
      <c r="H1348" s="4" t="s">
        <v>5666</v>
      </c>
      <c r="I1348" s="4" t="s">
        <v>6692</v>
      </c>
      <c r="J1348" s="4" t="s">
        <v>3645</v>
      </c>
      <c r="K1348" s="4" t="s">
        <v>5049</v>
      </c>
      <c r="L1348" s="4" t="s">
        <v>6721</v>
      </c>
      <c r="M1348" s="4" t="s">
        <v>46</v>
      </c>
      <c r="N1348" s="4"/>
      <c r="O1348" s="4" t="s">
        <v>47</v>
      </c>
      <c r="P1348" s="4" t="s">
        <v>48</v>
      </c>
      <c r="Q1348" s="4">
        <v>0</v>
      </c>
      <c r="R1348" s="4" t="b">
        <v>0</v>
      </c>
      <c r="S1348" s="4" t="s">
        <v>114</v>
      </c>
      <c r="T1348" s="4" t="s">
        <v>50</v>
      </c>
      <c r="U1348" s="4" t="s">
        <v>71</v>
      </c>
      <c r="V1348" s="4" t="s">
        <v>72</v>
      </c>
      <c r="W1348" s="4" t="s">
        <v>73</v>
      </c>
      <c r="X1348" s="4" t="s">
        <v>54</v>
      </c>
      <c r="Y1348" s="4"/>
      <c r="Z1348" s="12">
        <v>0</v>
      </c>
      <c r="AA1348" s="13" t="s">
        <v>9169</v>
      </c>
      <c r="AB1348" s="13" t="s">
        <v>9168</v>
      </c>
      <c r="AC1348" s="14" t="s">
        <v>9157</v>
      </c>
      <c r="AD1348" s="14" t="s">
        <v>9140</v>
      </c>
      <c r="AE1348" s="14" t="s">
        <v>9140</v>
      </c>
      <c r="AF1348" s="14" t="s">
        <v>72</v>
      </c>
      <c r="AG1348" s="14" t="s">
        <v>54</v>
      </c>
      <c r="AH1348" s="15" t="s">
        <v>9220</v>
      </c>
      <c r="AI1348" s="15" t="s">
        <v>9199</v>
      </c>
      <c r="AJ1348" s="15" t="s">
        <v>9143</v>
      </c>
      <c r="AK1348" s="15" t="s">
        <v>9221</v>
      </c>
      <c r="AL1348" s="15" t="s">
        <v>9199</v>
      </c>
      <c r="AM1348" s="16" t="s">
        <v>9221</v>
      </c>
      <c r="AN1348" s="16" t="s">
        <v>9238</v>
      </c>
    </row>
    <row r="1349" spans="1:40" x14ac:dyDescent="0.25">
      <c r="A1349" s="4" t="s">
        <v>7646</v>
      </c>
      <c r="B1349" s="4" t="s">
        <v>7647</v>
      </c>
      <c r="C1349" s="4" t="s">
        <v>39</v>
      </c>
      <c r="D1349" s="4" t="s">
        <v>7648</v>
      </c>
      <c r="E1349" s="4" t="s">
        <v>7649</v>
      </c>
      <c r="F1349" s="10">
        <v>45315</v>
      </c>
      <c r="G1349" s="11">
        <v>0.60416666666666663</v>
      </c>
      <c r="H1349" s="4" t="s">
        <v>4910</v>
      </c>
      <c r="I1349" s="4" t="s">
        <v>7611</v>
      </c>
      <c r="J1349" s="4" t="s">
        <v>3335</v>
      </c>
      <c r="K1349" s="4" t="s">
        <v>7650</v>
      </c>
      <c r="L1349" s="4" t="s">
        <v>7651</v>
      </c>
      <c r="M1349" s="4" t="s">
        <v>28</v>
      </c>
      <c r="N1349" s="4" t="s">
        <v>183</v>
      </c>
      <c r="O1349" s="4" t="s">
        <v>191</v>
      </c>
      <c r="P1349" s="4" t="s">
        <v>48</v>
      </c>
      <c r="Q1349" s="4">
        <v>0</v>
      </c>
      <c r="R1349" s="4" t="b">
        <v>0</v>
      </c>
      <c r="S1349" s="4" t="s">
        <v>114</v>
      </c>
      <c r="T1349" s="4" t="s">
        <v>479</v>
      </c>
      <c r="U1349" s="4" t="s">
        <v>584</v>
      </c>
      <c r="V1349" s="4" t="s">
        <v>52</v>
      </c>
      <c r="W1349" s="4" t="s">
        <v>53</v>
      </c>
      <c r="X1349" s="4" t="s">
        <v>98</v>
      </c>
      <c r="Y1349" s="4"/>
      <c r="Z1349" s="12" t="s">
        <v>48</v>
      </c>
      <c r="AA1349" s="13" t="s">
        <v>9169</v>
      </c>
      <c r="AB1349" s="13" t="s">
        <v>9168</v>
      </c>
      <c r="AC1349" s="14" t="s">
        <v>9157</v>
      </c>
      <c r="AD1349" s="14" t="s">
        <v>28</v>
      </c>
      <c r="AE1349" s="14" t="s">
        <v>183</v>
      </c>
      <c r="AF1349" s="14" t="s">
        <v>52</v>
      </c>
      <c r="AG1349" s="14" t="s">
        <v>98</v>
      </c>
      <c r="AH1349" s="15" t="s">
        <v>9220</v>
      </c>
      <c r="AI1349" s="15" t="s">
        <v>9191</v>
      </c>
      <c r="AJ1349" s="15" t="s">
        <v>9143</v>
      </c>
      <c r="AK1349" s="15" t="s">
        <v>9221</v>
      </c>
      <c r="AL1349" s="15" t="s">
        <v>9226</v>
      </c>
      <c r="AM1349" s="16" t="s">
        <v>9221</v>
      </c>
      <c r="AN1349" s="16" t="s">
        <v>9227</v>
      </c>
    </row>
    <row r="1350" spans="1:40" x14ac:dyDescent="0.25">
      <c r="A1350" s="4" t="s">
        <v>4764</v>
      </c>
      <c r="B1350" s="4"/>
      <c r="C1350" s="4" t="s">
        <v>39</v>
      </c>
      <c r="D1350" s="4" t="s">
        <v>4765</v>
      </c>
      <c r="E1350" s="4" t="s">
        <v>4766</v>
      </c>
      <c r="F1350" s="10">
        <v>45314</v>
      </c>
      <c r="G1350" s="11">
        <v>0.60416666666666663</v>
      </c>
      <c r="H1350" s="4" t="s">
        <v>4019</v>
      </c>
      <c r="I1350" s="4" t="s">
        <v>4767</v>
      </c>
      <c r="J1350" s="4" t="s">
        <v>4768</v>
      </c>
      <c r="K1350" s="4" t="s">
        <v>4769</v>
      </c>
      <c r="L1350" s="4" t="s">
        <v>4770</v>
      </c>
      <c r="M1350" s="4" t="s">
        <v>46</v>
      </c>
      <c r="N1350" s="4"/>
      <c r="O1350" s="4" t="s">
        <v>47</v>
      </c>
      <c r="P1350" s="4" t="s">
        <v>48</v>
      </c>
      <c r="Q1350" s="4">
        <v>0</v>
      </c>
      <c r="R1350" s="4" t="b">
        <v>0</v>
      </c>
      <c r="S1350" s="4" t="s">
        <v>61</v>
      </c>
      <c r="T1350" s="4" t="s">
        <v>70</v>
      </c>
      <c r="U1350" s="4" t="s">
        <v>618</v>
      </c>
      <c r="V1350" s="4" t="s">
        <v>72</v>
      </c>
      <c r="W1350" s="4" t="s">
        <v>97</v>
      </c>
      <c r="X1350" s="4" t="s">
        <v>98</v>
      </c>
      <c r="Y1350" s="4"/>
      <c r="Z1350" s="12">
        <v>0</v>
      </c>
      <c r="AA1350" s="13" t="s">
        <v>9169</v>
      </c>
      <c r="AB1350" s="13" t="s">
        <v>9168</v>
      </c>
      <c r="AC1350" s="14" t="s">
        <v>9148</v>
      </c>
      <c r="AD1350" s="14" t="s">
        <v>9140</v>
      </c>
      <c r="AE1350" s="14" t="s">
        <v>9140</v>
      </c>
      <c r="AF1350" s="14" t="s">
        <v>72</v>
      </c>
      <c r="AG1350" s="14" t="s">
        <v>98</v>
      </c>
      <c r="AH1350" s="15" t="s">
        <v>9220</v>
      </c>
      <c r="AI1350" s="15" t="s">
        <v>9175</v>
      </c>
      <c r="AJ1350" s="15" t="s">
        <v>9143</v>
      </c>
      <c r="AK1350" s="15" t="s">
        <v>9221</v>
      </c>
      <c r="AL1350" s="15" t="s">
        <v>9224</v>
      </c>
      <c r="AM1350" s="16" t="s">
        <v>9221</v>
      </c>
      <c r="AN1350" s="16" t="s">
        <v>9225</v>
      </c>
    </row>
    <row r="1351" spans="1:40" x14ac:dyDescent="0.25">
      <c r="A1351" s="4" t="s">
        <v>5907</v>
      </c>
      <c r="B1351" s="4"/>
      <c r="C1351" s="4" t="s">
        <v>39</v>
      </c>
      <c r="D1351" s="4" t="s">
        <v>5908</v>
      </c>
      <c r="E1351" s="4" t="s">
        <v>5909</v>
      </c>
      <c r="F1351" s="10">
        <v>45314</v>
      </c>
      <c r="G1351" s="11">
        <v>0.34722222222222221</v>
      </c>
      <c r="H1351" s="4" t="s">
        <v>5666</v>
      </c>
      <c r="I1351" s="4" t="s">
        <v>5876</v>
      </c>
      <c r="J1351" s="4" t="s">
        <v>3313</v>
      </c>
      <c r="K1351" s="4" t="s">
        <v>5473</v>
      </c>
      <c r="L1351" s="4" t="s">
        <v>5910</v>
      </c>
      <c r="M1351" s="4" t="s">
        <v>46</v>
      </c>
      <c r="N1351" s="4"/>
      <c r="O1351" s="4" t="s">
        <v>47</v>
      </c>
      <c r="P1351" s="4" t="s">
        <v>48</v>
      </c>
      <c r="Q1351" s="4">
        <v>0</v>
      </c>
      <c r="R1351" s="4" t="b">
        <v>0</v>
      </c>
      <c r="S1351" s="4" t="s">
        <v>49</v>
      </c>
      <c r="T1351" s="4" t="s">
        <v>89</v>
      </c>
      <c r="U1351" s="4" t="s">
        <v>140</v>
      </c>
      <c r="V1351" s="4" t="s">
        <v>52</v>
      </c>
      <c r="W1351" s="4" t="s">
        <v>255</v>
      </c>
      <c r="X1351" s="4" t="s">
        <v>54</v>
      </c>
      <c r="Y1351" s="4"/>
      <c r="Z1351" s="12">
        <v>0</v>
      </c>
      <c r="AA1351" s="13" t="s">
        <v>9169</v>
      </c>
      <c r="AB1351" s="13" t="s">
        <v>9168</v>
      </c>
      <c r="AC1351" s="14" t="s">
        <v>9139</v>
      </c>
      <c r="AD1351" s="14" t="s">
        <v>9140</v>
      </c>
      <c r="AE1351" s="14" t="s">
        <v>9140</v>
      </c>
      <c r="AF1351" s="14" t="s">
        <v>52</v>
      </c>
      <c r="AG1351" s="14" t="s">
        <v>54</v>
      </c>
      <c r="AH1351" s="15" t="s">
        <v>9220</v>
      </c>
      <c r="AI1351" s="15" t="s">
        <v>9199</v>
      </c>
      <c r="AJ1351" s="15" t="s">
        <v>9143</v>
      </c>
      <c r="AK1351" s="15" t="s">
        <v>9221</v>
      </c>
      <c r="AL1351" s="15" t="s">
        <v>9199</v>
      </c>
      <c r="AM1351" s="16" t="s">
        <v>9221</v>
      </c>
      <c r="AN1351" s="16" t="s">
        <v>9238</v>
      </c>
    </row>
    <row r="1352" spans="1:40" x14ac:dyDescent="0.25">
      <c r="A1352" s="4" t="s">
        <v>2741</v>
      </c>
      <c r="B1352" s="4" t="s">
        <v>2742</v>
      </c>
      <c r="C1352" s="4" t="s">
        <v>39</v>
      </c>
      <c r="D1352" s="4" t="s">
        <v>2743</v>
      </c>
      <c r="E1352" s="4" t="s">
        <v>2744</v>
      </c>
      <c r="F1352" s="10">
        <v>45314</v>
      </c>
      <c r="G1352" s="11">
        <v>0.54166666666666663</v>
      </c>
      <c r="H1352" s="4" t="s">
        <v>2227</v>
      </c>
      <c r="I1352" s="4" t="s">
        <v>2715</v>
      </c>
      <c r="J1352" s="4" t="s">
        <v>1200</v>
      </c>
      <c r="K1352" s="4" t="s">
        <v>2745</v>
      </c>
      <c r="L1352" s="4" t="s">
        <v>2746</v>
      </c>
      <c r="M1352" s="4" t="s">
        <v>28</v>
      </c>
      <c r="N1352" s="4" t="s">
        <v>183</v>
      </c>
      <c r="O1352" s="4" t="s">
        <v>174</v>
      </c>
      <c r="P1352" s="4" t="s">
        <v>48</v>
      </c>
      <c r="Q1352" s="4">
        <v>0</v>
      </c>
      <c r="R1352" s="4" t="b">
        <v>0</v>
      </c>
      <c r="S1352" s="4" t="s">
        <v>61</v>
      </c>
      <c r="T1352" s="4" t="s">
        <v>89</v>
      </c>
      <c r="U1352" s="4" t="s">
        <v>51</v>
      </c>
      <c r="V1352" s="4" t="s">
        <v>123</v>
      </c>
      <c r="W1352" s="4" t="s">
        <v>124</v>
      </c>
      <c r="X1352" s="4" t="s">
        <v>54</v>
      </c>
      <c r="Y1352" s="4"/>
      <c r="Z1352" s="12" t="s">
        <v>48</v>
      </c>
      <c r="AA1352" s="13" t="s">
        <v>9169</v>
      </c>
      <c r="AB1352" s="13" t="s">
        <v>9168</v>
      </c>
      <c r="AC1352" s="14" t="s">
        <v>9148</v>
      </c>
      <c r="AD1352" s="14" t="s">
        <v>28</v>
      </c>
      <c r="AE1352" s="14" t="s">
        <v>183</v>
      </c>
      <c r="AF1352" s="14" t="s">
        <v>123</v>
      </c>
      <c r="AG1352" s="14" t="s">
        <v>54</v>
      </c>
      <c r="AH1352" s="15" t="s">
        <v>9194</v>
      </c>
      <c r="AI1352" s="15" t="s">
        <v>9187</v>
      </c>
      <c r="AJ1352" s="15" t="s">
        <v>9143</v>
      </c>
      <c r="AK1352" s="15" t="s">
        <v>9194</v>
      </c>
      <c r="AL1352" s="15" t="s">
        <v>9209</v>
      </c>
      <c r="AM1352" s="16" t="s">
        <v>9194</v>
      </c>
      <c r="AN1352" s="16" t="s">
        <v>9210</v>
      </c>
    </row>
    <row r="1353" spans="1:40" x14ac:dyDescent="0.25">
      <c r="A1353" s="4" t="s">
        <v>2241</v>
      </c>
      <c r="B1353" s="4"/>
      <c r="C1353" s="4" t="s">
        <v>39</v>
      </c>
      <c r="D1353" s="4" t="s">
        <v>2232</v>
      </c>
      <c r="E1353" s="4" t="s">
        <v>2233</v>
      </c>
      <c r="F1353" s="10">
        <v>45314</v>
      </c>
      <c r="G1353" s="11">
        <v>0.60416666666666663</v>
      </c>
      <c r="H1353" s="4" t="s">
        <v>2227</v>
      </c>
      <c r="I1353" s="4" t="s">
        <v>2228</v>
      </c>
      <c r="J1353" s="4" t="s">
        <v>1173</v>
      </c>
      <c r="K1353" s="4" t="s">
        <v>2242</v>
      </c>
      <c r="L1353" s="4" t="s">
        <v>2243</v>
      </c>
      <c r="M1353" s="4" t="s">
        <v>46</v>
      </c>
      <c r="N1353" s="4"/>
      <c r="O1353" s="4" t="s">
        <v>47</v>
      </c>
      <c r="P1353" s="4" t="s">
        <v>48</v>
      </c>
      <c r="Q1353" s="4">
        <v>0</v>
      </c>
      <c r="R1353" s="4" t="b">
        <v>0</v>
      </c>
      <c r="S1353" s="4" t="s">
        <v>61</v>
      </c>
      <c r="T1353" s="4" t="s">
        <v>89</v>
      </c>
      <c r="U1353" s="4" t="s">
        <v>618</v>
      </c>
      <c r="V1353" s="4" t="s">
        <v>52</v>
      </c>
      <c r="W1353" s="4" t="s">
        <v>53</v>
      </c>
      <c r="X1353" s="4" t="s">
        <v>54</v>
      </c>
      <c r="Y1353" s="4"/>
      <c r="Z1353" s="12">
        <v>0</v>
      </c>
      <c r="AA1353" s="13" t="s">
        <v>9169</v>
      </c>
      <c r="AB1353" s="13" t="s">
        <v>9168</v>
      </c>
      <c r="AC1353" s="14" t="s">
        <v>9148</v>
      </c>
      <c r="AD1353" s="14" t="s">
        <v>9140</v>
      </c>
      <c r="AE1353" s="14" t="s">
        <v>9140</v>
      </c>
      <c r="AF1353" s="14" t="s">
        <v>52</v>
      </c>
      <c r="AG1353" s="14" t="s">
        <v>54</v>
      </c>
      <c r="AH1353" s="15" t="s">
        <v>9194</v>
      </c>
      <c r="AI1353" s="15" t="s">
        <v>9187</v>
      </c>
      <c r="AJ1353" s="15" t="s">
        <v>9143</v>
      </c>
      <c r="AK1353" s="15" t="s">
        <v>9194</v>
      </c>
      <c r="AL1353" s="15" t="s">
        <v>9209</v>
      </c>
      <c r="AM1353" s="16" t="s">
        <v>9194</v>
      </c>
      <c r="AN1353" s="16" t="s">
        <v>9210</v>
      </c>
    </row>
    <row r="1354" spans="1:40" x14ac:dyDescent="0.25">
      <c r="A1354" s="4" t="s">
        <v>779</v>
      </c>
      <c r="B1354" s="4"/>
      <c r="C1354" s="4" t="s">
        <v>39</v>
      </c>
      <c r="D1354" s="4" t="s">
        <v>780</v>
      </c>
      <c r="E1354" s="4" t="s">
        <v>781</v>
      </c>
      <c r="F1354" s="10">
        <v>45314</v>
      </c>
      <c r="G1354" s="11">
        <v>0.50694444444444442</v>
      </c>
      <c r="H1354" s="4" t="s">
        <v>463</v>
      </c>
      <c r="I1354" s="4">
        <v>2026</v>
      </c>
      <c r="J1354" s="4" t="s">
        <v>756</v>
      </c>
      <c r="K1354" s="4" t="s">
        <v>782</v>
      </c>
      <c r="L1354" s="4" t="s">
        <v>783</v>
      </c>
      <c r="M1354" s="4" t="s">
        <v>432</v>
      </c>
      <c r="N1354" s="4"/>
      <c r="O1354" s="4" t="s">
        <v>47</v>
      </c>
      <c r="P1354" s="4" t="s">
        <v>48</v>
      </c>
      <c r="Q1354" s="4">
        <v>0</v>
      </c>
      <c r="R1354" s="4" t="b">
        <v>0</v>
      </c>
      <c r="S1354" s="4" t="s">
        <v>61</v>
      </c>
      <c r="T1354" s="4" t="s">
        <v>349</v>
      </c>
      <c r="U1354" s="4" t="s">
        <v>90</v>
      </c>
      <c r="V1354" s="4" t="s">
        <v>63</v>
      </c>
      <c r="W1354" s="4" t="s">
        <v>784</v>
      </c>
      <c r="X1354" s="4" t="s">
        <v>785</v>
      </c>
      <c r="Y1354" s="4"/>
      <c r="Z1354" s="12">
        <v>0</v>
      </c>
      <c r="AA1354" s="13" t="s">
        <v>9169</v>
      </c>
      <c r="AB1354" s="13" t="s">
        <v>9168</v>
      </c>
      <c r="AC1354" s="14" t="s">
        <v>9148</v>
      </c>
      <c r="AD1354" s="14" t="s">
        <v>9140</v>
      </c>
      <c r="AE1354" s="14" t="s">
        <v>9140</v>
      </c>
      <c r="AF1354" s="14" t="s">
        <v>63</v>
      </c>
      <c r="AG1354" s="14" t="s">
        <v>785</v>
      </c>
      <c r="AH1354" s="15" t="s">
        <v>9141</v>
      </c>
      <c r="AI1354" s="15" t="s">
        <v>9175</v>
      </c>
      <c r="AJ1354" s="15" t="s">
        <v>9143</v>
      </c>
      <c r="AK1354" s="15" t="s">
        <v>9141</v>
      </c>
      <c r="AL1354" s="15" t="s">
        <v>9177</v>
      </c>
      <c r="AM1354" s="16" t="s">
        <v>9141</v>
      </c>
      <c r="AN1354" s="16" t="s">
        <v>9178</v>
      </c>
    </row>
    <row r="1355" spans="1:40" x14ac:dyDescent="0.25">
      <c r="A1355" s="4" t="s">
        <v>306</v>
      </c>
      <c r="B1355" s="4"/>
      <c r="C1355" s="4" t="s">
        <v>39</v>
      </c>
      <c r="D1355" s="4" t="s">
        <v>294</v>
      </c>
      <c r="E1355" s="4" t="s">
        <v>295</v>
      </c>
      <c r="F1355" s="10">
        <v>45313</v>
      </c>
      <c r="G1355" s="11">
        <v>0.44791666666666669</v>
      </c>
      <c r="H1355" s="4" t="s">
        <v>42</v>
      </c>
      <c r="I1355" s="4">
        <v>1011</v>
      </c>
      <c r="J1355" s="4" t="s">
        <v>215</v>
      </c>
      <c r="K1355" s="4" t="s">
        <v>307</v>
      </c>
      <c r="L1355" s="4" t="s">
        <v>308</v>
      </c>
      <c r="M1355" s="4" t="s">
        <v>46</v>
      </c>
      <c r="N1355" s="4"/>
      <c r="O1355" s="4" t="s">
        <v>47</v>
      </c>
      <c r="P1355" s="4" t="s">
        <v>48</v>
      </c>
      <c r="Q1355" s="4">
        <v>0</v>
      </c>
      <c r="R1355" s="4" t="b">
        <v>0</v>
      </c>
      <c r="S1355" s="4" t="s">
        <v>49</v>
      </c>
      <c r="T1355" s="4" t="s">
        <v>70</v>
      </c>
      <c r="U1355" s="4" t="s">
        <v>71</v>
      </c>
      <c r="V1355" s="4" t="s">
        <v>72</v>
      </c>
      <c r="W1355" s="4" t="s">
        <v>73</v>
      </c>
      <c r="X1355" s="4" t="s">
        <v>98</v>
      </c>
      <c r="Y1355" s="4"/>
      <c r="Z1355" s="12">
        <v>0</v>
      </c>
      <c r="AA1355" s="13" t="s">
        <v>9169</v>
      </c>
      <c r="AB1355" s="13" t="s">
        <v>9168</v>
      </c>
      <c r="AC1355" s="14" t="s">
        <v>9139</v>
      </c>
      <c r="AD1355" s="14" t="s">
        <v>9140</v>
      </c>
      <c r="AE1355" s="14" t="s">
        <v>9140</v>
      </c>
      <c r="AF1355" s="14" t="s">
        <v>72</v>
      </c>
      <c r="AG1355" s="14" t="s">
        <v>98</v>
      </c>
      <c r="AH1355" s="15" t="s">
        <v>9141</v>
      </c>
      <c r="AI1355" s="15" t="s">
        <v>9142</v>
      </c>
      <c r="AJ1355" s="15" t="s">
        <v>9143</v>
      </c>
      <c r="AK1355" s="15" t="s">
        <v>9141</v>
      </c>
      <c r="AL1355" s="15" t="s">
        <v>9144</v>
      </c>
      <c r="AM1355" s="16" t="s">
        <v>9141</v>
      </c>
      <c r="AN1355" s="16" t="s">
        <v>9145</v>
      </c>
    </row>
    <row r="1356" spans="1:40" x14ac:dyDescent="0.25">
      <c r="A1356" s="4" t="s">
        <v>309</v>
      </c>
      <c r="B1356" s="17"/>
      <c r="C1356" s="4" t="s">
        <v>39</v>
      </c>
      <c r="D1356" s="4" t="s">
        <v>257</v>
      </c>
      <c r="E1356" s="4" t="s">
        <v>258</v>
      </c>
      <c r="F1356" s="10">
        <v>45313</v>
      </c>
      <c r="G1356" s="18">
        <v>0.59375</v>
      </c>
      <c r="H1356" s="4" t="s">
        <v>42</v>
      </c>
      <c r="I1356" s="4">
        <v>1011</v>
      </c>
      <c r="J1356" s="4" t="s">
        <v>215</v>
      </c>
      <c r="K1356" s="4" t="s">
        <v>310</v>
      </c>
      <c r="L1356" s="4" t="s">
        <v>311</v>
      </c>
      <c r="M1356" s="4" t="s">
        <v>46</v>
      </c>
      <c r="N1356" s="4"/>
      <c r="O1356" s="4" t="s">
        <v>47</v>
      </c>
      <c r="P1356" s="4" t="s">
        <v>48</v>
      </c>
      <c r="Q1356" s="4">
        <v>0</v>
      </c>
      <c r="R1356" s="4" t="b">
        <v>0</v>
      </c>
      <c r="S1356" s="4" t="s">
        <v>61</v>
      </c>
      <c r="T1356" s="4" t="s">
        <v>89</v>
      </c>
      <c r="U1356" s="4" t="s">
        <v>175</v>
      </c>
      <c r="V1356" s="4" t="s">
        <v>63</v>
      </c>
      <c r="W1356" s="4" t="s">
        <v>312</v>
      </c>
      <c r="X1356" s="4" t="s">
        <v>54</v>
      </c>
      <c r="Y1356" s="4"/>
      <c r="Z1356" s="12">
        <v>0</v>
      </c>
      <c r="AA1356" s="13" t="s">
        <v>9169</v>
      </c>
      <c r="AB1356" s="13" t="s">
        <v>9168</v>
      </c>
      <c r="AC1356" s="14" t="s">
        <v>9148</v>
      </c>
      <c r="AD1356" s="14" t="s">
        <v>9140</v>
      </c>
      <c r="AE1356" s="14" t="s">
        <v>9140</v>
      </c>
      <c r="AF1356" s="14" t="s">
        <v>63</v>
      </c>
      <c r="AG1356" s="14" t="s">
        <v>54</v>
      </c>
      <c r="AH1356" s="15" t="s">
        <v>9141</v>
      </c>
      <c r="AI1356" s="15" t="s">
        <v>9142</v>
      </c>
      <c r="AJ1356" s="15" t="s">
        <v>9143</v>
      </c>
      <c r="AK1356" s="15" t="s">
        <v>9141</v>
      </c>
      <c r="AL1356" s="15" t="s">
        <v>9144</v>
      </c>
      <c r="AM1356" s="16" t="s">
        <v>9141</v>
      </c>
      <c r="AN1356" s="16" t="s">
        <v>9145</v>
      </c>
    </row>
    <row r="1357" spans="1:40" x14ac:dyDescent="0.25">
      <c r="A1357" s="4" t="s">
        <v>3555</v>
      </c>
      <c r="B1357" s="4"/>
      <c r="C1357" s="4" t="s">
        <v>39</v>
      </c>
      <c r="D1357" s="4" t="s">
        <v>3556</v>
      </c>
      <c r="E1357" s="4" t="s">
        <v>3557</v>
      </c>
      <c r="F1357" s="10">
        <v>45313</v>
      </c>
      <c r="G1357" s="11">
        <v>0.54166666666666663</v>
      </c>
      <c r="H1357" s="4" t="s">
        <v>1992</v>
      </c>
      <c r="I1357" s="4" t="s">
        <v>3539</v>
      </c>
      <c r="J1357" s="4" t="s">
        <v>3540</v>
      </c>
      <c r="K1357" s="4" t="s">
        <v>3558</v>
      </c>
      <c r="L1357" s="4" t="s">
        <v>3559</v>
      </c>
      <c r="M1357" s="4" t="s">
        <v>46</v>
      </c>
      <c r="N1357" s="4"/>
      <c r="O1357" s="4" t="s">
        <v>47</v>
      </c>
      <c r="P1357" s="4" t="s">
        <v>48</v>
      </c>
      <c r="Q1357" s="4">
        <v>0</v>
      </c>
      <c r="R1357" s="4" t="b">
        <v>0</v>
      </c>
      <c r="S1357" s="4" t="s">
        <v>49</v>
      </c>
      <c r="T1357" s="4" t="s">
        <v>89</v>
      </c>
      <c r="U1357" s="4" t="s">
        <v>51</v>
      </c>
      <c r="V1357" s="4" t="s">
        <v>52</v>
      </c>
      <c r="W1357" s="4" t="s">
        <v>53</v>
      </c>
      <c r="X1357" s="4" t="s">
        <v>54</v>
      </c>
      <c r="Y1357" s="4"/>
      <c r="Z1357" s="12">
        <v>0</v>
      </c>
      <c r="AA1357" s="13" t="s">
        <v>9169</v>
      </c>
      <c r="AB1357" s="13" t="s">
        <v>9168</v>
      </c>
      <c r="AC1357" s="14" t="s">
        <v>9139</v>
      </c>
      <c r="AD1357" s="14" t="s">
        <v>9140</v>
      </c>
      <c r="AE1357" s="14" t="s">
        <v>9140</v>
      </c>
      <c r="AF1357" s="14" t="s">
        <v>52</v>
      </c>
      <c r="AG1357" s="14" t="s">
        <v>54</v>
      </c>
      <c r="AH1357" s="15" t="s">
        <v>9194</v>
      </c>
      <c r="AI1357" s="15" t="s">
        <v>9191</v>
      </c>
      <c r="AJ1357" s="15" t="s">
        <v>9143</v>
      </c>
      <c r="AK1357" s="15" t="s">
        <v>9194</v>
      </c>
      <c r="AL1357" s="15" t="s">
        <v>9205</v>
      </c>
      <c r="AM1357" s="16" t="s">
        <v>9194</v>
      </c>
      <c r="AN1357" s="16" t="s">
        <v>9206</v>
      </c>
    </row>
    <row r="1358" spans="1:40" x14ac:dyDescent="0.25">
      <c r="A1358" s="4" t="s">
        <v>5105</v>
      </c>
      <c r="B1358" s="4"/>
      <c r="C1358" s="4" t="s">
        <v>39</v>
      </c>
      <c r="D1358" s="4" t="s">
        <v>5106</v>
      </c>
      <c r="E1358" s="4" t="s">
        <v>5107</v>
      </c>
      <c r="F1358" s="10">
        <v>45313</v>
      </c>
      <c r="G1358" s="11">
        <v>0.58472222222222225</v>
      </c>
      <c r="H1358" s="4" t="s">
        <v>4910</v>
      </c>
      <c r="I1358" s="4" t="s">
        <v>5077</v>
      </c>
      <c r="J1358" s="4" t="s">
        <v>2140</v>
      </c>
      <c r="K1358" s="4" t="s">
        <v>5108</v>
      </c>
      <c r="L1358" s="4" t="s">
        <v>5109</v>
      </c>
      <c r="M1358" s="4" t="s">
        <v>46</v>
      </c>
      <c r="N1358" s="4"/>
      <c r="O1358" s="4" t="s">
        <v>47</v>
      </c>
      <c r="P1358" s="4" t="s">
        <v>48</v>
      </c>
      <c r="Q1358" s="4">
        <v>0</v>
      </c>
      <c r="R1358" s="4" t="b">
        <v>0</v>
      </c>
      <c r="S1358" s="4" t="s">
        <v>61</v>
      </c>
      <c r="T1358" s="4" t="s">
        <v>134</v>
      </c>
      <c r="U1358" s="4" t="s">
        <v>122</v>
      </c>
      <c r="V1358" s="4" t="s">
        <v>123</v>
      </c>
      <c r="W1358" s="4" t="s">
        <v>124</v>
      </c>
      <c r="X1358" s="4" t="s">
        <v>54</v>
      </c>
      <c r="Y1358" s="4"/>
      <c r="Z1358" s="12">
        <v>0</v>
      </c>
      <c r="AA1358" s="13" t="s">
        <v>9169</v>
      </c>
      <c r="AB1358" s="13" t="s">
        <v>9168</v>
      </c>
      <c r="AC1358" s="14" t="s">
        <v>9148</v>
      </c>
      <c r="AD1358" s="14" t="s">
        <v>9140</v>
      </c>
      <c r="AE1358" s="14" t="s">
        <v>9140</v>
      </c>
      <c r="AF1358" s="14" t="s">
        <v>123</v>
      </c>
      <c r="AG1358" s="14" t="s">
        <v>54</v>
      </c>
      <c r="AH1358" s="15" t="s">
        <v>9220</v>
      </c>
      <c r="AI1358" s="15" t="s">
        <v>9191</v>
      </c>
      <c r="AJ1358" s="15" t="s">
        <v>9143</v>
      </c>
      <c r="AK1358" s="15" t="s">
        <v>9221</v>
      </c>
      <c r="AL1358" s="15" t="s">
        <v>9226</v>
      </c>
      <c r="AM1358" s="16" t="s">
        <v>9221</v>
      </c>
      <c r="AN1358" s="16" t="s">
        <v>9227</v>
      </c>
    </row>
    <row r="1359" spans="1:40" x14ac:dyDescent="0.25">
      <c r="A1359" s="4" t="s">
        <v>6031</v>
      </c>
      <c r="B1359" s="4"/>
      <c r="C1359" s="4" t="s">
        <v>39</v>
      </c>
      <c r="D1359" s="4" t="s">
        <v>6032</v>
      </c>
      <c r="E1359" s="4" t="s">
        <v>6033</v>
      </c>
      <c r="F1359" s="10">
        <v>45312</v>
      </c>
      <c r="G1359" s="11">
        <v>0.60416666666666663</v>
      </c>
      <c r="H1359" s="4" t="s">
        <v>4242</v>
      </c>
      <c r="I1359" s="4" t="s">
        <v>5918</v>
      </c>
      <c r="J1359" s="4" t="s">
        <v>5919</v>
      </c>
      <c r="K1359" s="4" t="s">
        <v>6034</v>
      </c>
      <c r="L1359" s="4" t="s">
        <v>6035</v>
      </c>
      <c r="M1359" s="4" t="s">
        <v>46</v>
      </c>
      <c r="N1359" s="4"/>
      <c r="O1359" s="4" t="s">
        <v>47</v>
      </c>
      <c r="P1359" s="4" t="s">
        <v>48</v>
      </c>
      <c r="Q1359" s="4">
        <v>0</v>
      </c>
      <c r="R1359" s="4" t="b">
        <v>0</v>
      </c>
      <c r="S1359" s="4" t="s">
        <v>61</v>
      </c>
      <c r="T1359" s="4" t="s">
        <v>89</v>
      </c>
      <c r="U1359" s="4" t="s">
        <v>116</v>
      </c>
      <c r="V1359" s="4" t="s">
        <v>52</v>
      </c>
      <c r="W1359" s="4" t="s">
        <v>255</v>
      </c>
      <c r="X1359" s="4" t="s">
        <v>54</v>
      </c>
      <c r="Y1359" s="4"/>
      <c r="Z1359" s="12">
        <v>0</v>
      </c>
      <c r="AA1359" s="13" t="s">
        <v>9170</v>
      </c>
      <c r="AB1359" s="13" t="s">
        <v>9168</v>
      </c>
      <c r="AC1359" s="14" t="s">
        <v>9148</v>
      </c>
      <c r="AD1359" s="14" t="s">
        <v>9140</v>
      </c>
      <c r="AE1359" s="14" t="s">
        <v>9140</v>
      </c>
      <c r="AF1359" s="14" t="s">
        <v>52</v>
      </c>
      <c r="AG1359" s="14" t="s">
        <v>54</v>
      </c>
      <c r="AH1359" s="15" t="s">
        <v>9220</v>
      </c>
      <c r="AI1359" s="15" t="s">
        <v>9187</v>
      </c>
      <c r="AJ1359" s="15" t="s">
        <v>9143</v>
      </c>
      <c r="AK1359" s="15" t="s">
        <v>9221</v>
      </c>
      <c r="AL1359" s="15" t="s">
        <v>9226</v>
      </c>
      <c r="AM1359" s="16" t="s">
        <v>9221</v>
      </c>
      <c r="AN1359" s="16" t="s">
        <v>9227</v>
      </c>
    </row>
    <row r="1360" spans="1:40" x14ac:dyDescent="0.25">
      <c r="A1360" s="4" t="s">
        <v>4408</v>
      </c>
      <c r="B1360" s="4"/>
      <c r="C1360" s="4" t="s">
        <v>39</v>
      </c>
      <c r="D1360" s="4" t="s">
        <v>4409</v>
      </c>
      <c r="E1360" s="4" t="s">
        <v>4410</v>
      </c>
      <c r="F1360" s="10">
        <v>45311</v>
      </c>
      <c r="G1360" s="11">
        <v>0.64583333333333337</v>
      </c>
      <c r="H1360" s="4" t="s">
        <v>4019</v>
      </c>
      <c r="I1360" s="4" t="s">
        <v>4304</v>
      </c>
      <c r="J1360" s="4" t="s">
        <v>1941</v>
      </c>
      <c r="K1360" s="4" t="s">
        <v>4411</v>
      </c>
      <c r="L1360" s="4" t="s">
        <v>4412</v>
      </c>
      <c r="M1360" s="4" t="s">
        <v>46</v>
      </c>
      <c r="N1360" s="4"/>
      <c r="O1360" s="4" t="s">
        <v>47</v>
      </c>
      <c r="P1360" s="4" t="s">
        <v>48</v>
      </c>
      <c r="Q1360" s="4">
        <v>0</v>
      </c>
      <c r="R1360" s="4" t="b">
        <v>0</v>
      </c>
      <c r="S1360" s="4" t="s">
        <v>49</v>
      </c>
      <c r="T1360" s="4" t="s">
        <v>89</v>
      </c>
      <c r="U1360" s="4" t="s">
        <v>90</v>
      </c>
      <c r="V1360" s="4" t="s">
        <v>72</v>
      </c>
      <c r="W1360" s="4" t="s">
        <v>73</v>
      </c>
      <c r="X1360" s="4" t="s">
        <v>54</v>
      </c>
      <c r="Y1360" s="4"/>
      <c r="Z1360" s="12">
        <v>0</v>
      </c>
      <c r="AA1360" s="13" t="s">
        <v>9170</v>
      </c>
      <c r="AB1360" s="13" t="s">
        <v>9168</v>
      </c>
      <c r="AC1360" s="14" t="s">
        <v>9139</v>
      </c>
      <c r="AD1360" s="14" t="s">
        <v>9140</v>
      </c>
      <c r="AE1360" s="14" t="s">
        <v>9140</v>
      </c>
      <c r="AF1360" s="14" t="s">
        <v>72</v>
      </c>
      <c r="AG1360" s="14" t="s">
        <v>54</v>
      </c>
      <c r="AH1360" s="15" t="s">
        <v>9220</v>
      </c>
      <c r="AI1360" s="15" t="s">
        <v>9175</v>
      </c>
      <c r="AJ1360" s="15" t="s">
        <v>9143</v>
      </c>
      <c r="AK1360" s="15" t="s">
        <v>9221</v>
      </c>
      <c r="AL1360" s="15" t="s">
        <v>9222</v>
      </c>
      <c r="AM1360" s="16" t="s">
        <v>9221</v>
      </c>
      <c r="AN1360" s="16" t="s">
        <v>9223</v>
      </c>
    </row>
    <row r="1361" spans="1:40" x14ac:dyDescent="0.25">
      <c r="A1361" s="4" t="s">
        <v>2244</v>
      </c>
      <c r="B1361" s="4"/>
      <c r="C1361" s="4" t="s">
        <v>39</v>
      </c>
      <c r="D1361" s="4" t="s">
        <v>2225</v>
      </c>
      <c r="E1361" s="4" t="s">
        <v>2226</v>
      </c>
      <c r="F1361" s="10">
        <v>45311</v>
      </c>
      <c r="G1361" s="11">
        <v>0.44027777777777777</v>
      </c>
      <c r="H1361" s="4" t="s">
        <v>2227</v>
      </c>
      <c r="I1361" s="4" t="s">
        <v>2228</v>
      </c>
      <c r="J1361" s="4" t="s">
        <v>1173</v>
      </c>
      <c r="K1361" s="4" t="s">
        <v>2245</v>
      </c>
      <c r="L1361" s="4" t="s">
        <v>2246</v>
      </c>
      <c r="M1361" s="4" t="s">
        <v>46</v>
      </c>
      <c r="N1361" s="4"/>
      <c r="O1361" s="4" t="s">
        <v>47</v>
      </c>
      <c r="P1361" s="4" t="s">
        <v>48</v>
      </c>
      <c r="Q1361" s="4">
        <v>0</v>
      </c>
      <c r="R1361" s="4" t="b">
        <v>0</v>
      </c>
      <c r="S1361" s="4" t="s">
        <v>49</v>
      </c>
      <c r="T1361" s="4" t="s">
        <v>70</v>
      </c>
      <c r="U1361" s="4" t="s">
        <v>71</v>
      </c>
      <c r="V1361" s="4" t="s">
        <v>72</v>
      </c>
      <c r="W1361" s="4" t="s">
        <v>97</v>
      </c>
      <c r="X1361" s="4" t="s">
        <v>838</v>
      </c>
      <c r="Y1361" s="4"/>
      <c r="Z1361" s="12">
        <v>0</v>
      </c>
      <c r="AA1361" s="13" t="s">
        <v>9170</v>
      </c>
      <c r="AB1361" s="13" t="s">
        <v>9168</v>
      </c>
      <c r="AC1361" s="14" t="s">
        <v>9139</v>
      </c>
      <c r="AD1361" s="14" t="s">
        <v>9140</v>
      </c>
      <c r="AE1361" s="14" t="s">
        <v>9140</v>
      </c>
      <c r="AF1361" s="14" t="s">
        <v>72</v>
      </c>
      <c r="AG1361" s="14" t="s">
        <v>838</v>
      </c>
      <c r="AH1361" s="15" t="s">
        <v>9194</v>
      </c>
      <c r="AI1361" s="15" t="s">
        <v>9187</v>
      </c>
      <c r="AJ1361" s="15" t="s">
        <v>9143</v>
      </c>
      <c r="AK1361" s="15" t="s">
        <v>9194</v>
      </c>
      <c r="AL1361" s="15" t="s">
        <v>9209</v>
      </c>
      <c r="AM1361" s="16" t="s">
        <v>9194</v>
      </c>
      <c r="AN1361" s="16" t="s">
        <v>9210</v>
      </c>
    </row>
    <row r="1362" spans="1:40" x14ac:dyDescent="0.25">
      <c r="A1362" s="4" t="s">
        <v>8728</v>
      </c>
      <c r="B1362" s="4"/>
      <c r="C1362" s="4" t="s">
        <v>39</v>
      </c>
      <c r="D1362" s="4" t="s">
        <v>8729</v>
      </c>
      <c r="E1362" s="4" t="s">
        <v>8730</v>
      </c>
      <c r="F1362" s="10">
        <v>45311</v>
      </c>
      <c r="G1362" s="11">
        <v>0.7</v>
      </c>
      <c r="H1362" s="4" t="s">
        <v>4516</v>
      </c>
      <c r="I1362" s="4" t="s">
        <v>8691</v>
      </c>
      <c r="J1362" s="4" t="s">
        <v>3943</v>
      </c>
      <c r="K1362" s="4" t="s">
        <v>373</v>
      </c>
      <c r="L1362" s="4" t="s">
        <v>8731</v>
      </c>
      <c r="M1362" s="4" t="s">
        <v>46</v>
      </c>
      <c r="N1362" s="4"/>
      <c r="O1362" s="4" t="s">
        <v>47</v>
      </c>
      <c r="P1362" s="4" t="s">
        <v>48</v>
      </c>
      <c r="Q1362" s="4">
        <v>0</v>
      </c>
      <c r="R1362" s="4" t="b">
        <v>0</v>
      </c>
      <c r="S1362" s="4" t="s">
        <v>49</v>
      </c>
      <c r="T1362" s="4" t="s">
        <v>89</v>
      </c>
      <c r="U1362" s="4" t="s">
        <v>71</v>
      </c>
      <c r="V1362" s="4" t="s">
        <v>63</v>
      </c>
      <c r="W1362" s="4" t="s">
        <v>108</v>
      </c>
      <c r="X1362" s="4" t="s">
        <v>54</v>
      </c>
      <c r="Y1362" s="4"/>
      <c r="Z1362" s="12">
        <v>0</v>
      </c>
      <c r="AA1362" s="13" t="s">
        <v>9170</v>
      </c>
      <c r="AB1362" s="13" t="s">
        <v>9168</v>
      </c>
      <c r="AC1362" s="14" t="s">
        <v>9139</v>
      </c>
      <c r="AD1362" s="14" t="s">
        <v>9140</v>
      </c>
      <c r="AE1362" s="14" t="s">
        <v>9140</v>
      </c>
      <c r="AF1362" s="14" t="s">
        <v>63</v>
      </c>
      <c r="AG1362" s="14" t="s">
        <v>54</v>
      </c>
      <c r="AH1362" s="15" t="s">
        <v>9220</v>
      </c>
      <c r="AI1362" s="15" t="s">
        <v>9188</v>
      </c>
      <c r="AJ1362" s="15" t="s">
        <v>9143</v>
      </c>
      <c r="AK1362" s="15" t="s">
        <v>9221</v>
      </c>
      <c r="AL1362" s="15" t="s">
        <v>9230</v>
      </c>
      <c r="AM1362" s="16" t="s">
        <v>9221</v>
      </c>
      <c r="AN1362" s="16" t="s">
        <v>9231</v>
      </c>
    </row>
    <row r="1363" spans="1:40" x14ac:dyDescent="0.25">
      <c r="A1363" s="4" t="s">
        <v>1658</v>
      </c>
      <c r="B1363" s="4"/>
      <c r="C1363" s="4" t="s">
        <v>39</v>
      </c>
      <c r="D1363" s="4" t="s">
        <v>1659</v>
      </c>
      <c r="E1363" s="4" t="s">
        <v>1660</v>
      </c>
      <c r="F1363" s="10">
        <v>45310</v>
      </c>
      <c r="G1363" s="11">
        <v>0.43333333333333335</v>
      </c>
      <c r="H1363" s="4" t="s">
        <v>1654</v>
      </c>
      <c r="I1363" s="4">
        <v>9086</v>
      </c>
      <c r="J1363" s="4" t="s">
        <v>1655</v>
      </c>
      <c r="K1363" s="4" t="s">
        <v>1661</v>
      </c>
      <c r="L1363" s="4" t="s">
        <v>1662</v>
      </c>
      <c r="M1363" s="4" t="s">
        <v>46</v>
      </c>
      <c r="N1363" s="4"/>
      <c r="O1363" s="4" t="s">
        <v>47</v>
      </c>
      <c r="P1363" s="4" t="s">
        <v>48</v>
      </c>
      <c r="Q1363" s="4">
        <v>0</v>
      </c>
      <c r="R1363" s="4" t="b">
        <v>0</v>
      </c>
      <c r="S1363" s="4" t="s">
        <v>49</v>
      </c>
      <c r="T1363" s="4" t="s">
        <v>70</v>
      </c>
      <c r="U1363" s="4" t="s">
        <v>618</v>
      </c>
      <c r="V1363" s="4" t="s">
        <v>72</v>
      </c>
      <c r="W1363" s="4" t="s">
        <v>73</v>
      </c>
      <c r="X1363" s="4" t="s">
        <v>54</v>
      </c>
      <c r="Y1363" s="4"/>
      <c r="Z1363" s="12">
        <v>0</v>
      </c>
      <c r="AA1363" s="13" t="s">
        <v>9170</v>
      </c>
      <c r="AB1363" s="13" t="s">
        <v>9168</v>
      </c>
      <c r="AC1363" s="14" t="s">
        <v>9139</v>
      </c>
      <c r="AD1363" s="14" t="s">
        <v>9140</v>
      </c>
      <c r="AE1363" s="14" t="s">
        <v>9140</v>
      </c>
      <c r="AF1363" s="14" t="s">
        <v>72</v>
      </c>
      <c r="AG1363" s="14" t="s">
        <v>54</v>
      </c>
      <c r="AH1363" s="15" t="s">
        <v>9141</v>
      </c>
      <c r="AI1363" s="15" t="s">
        <v>9191</v>
      </c>
      <c r="AJ1363" s="15" t="s">
        <v>9143</v>
      </c>
      <c r="AK1363" s="15" t="s">
        <v>9141</v>
      </c>
      <c r="AL1363" s="15" t="s">
        <v>9191</v>
      </c>
      <c r="AM1363" s="16" t="s">
        <v>9141</v>
      </c>
      <c r="AN1363" s="16" t="s">
        <v>9192</v>
      </c>
    </row>
    <row r="1364" spans="1:40" x14ac:dyDescent="0.25">
      <c r="A1364" s="4" t="s">
        <v>1630</v>
      </c>
      <c r="B1364" s="4"/>
      <c r="C1364" s="4" t="s">
        <v>39</v>
      </c>
      <c r="D1364" s="4" t="s">
        <v>1631</v>
      </c>
      <c r="E1364" s="4" t="s">
        <v>1632</v>
      </c>
      <c r="F1364" s="10">
        <v>45310</v>
      </c>
      <c r="G1364" s="11">
        <v>0.375</v>
      </c>
      <c r="H1364" s="4" t="s">
        <v>1366</v>
      </c>
      <c r="I1364" s="4">
        <v>6076</v>
      </c>
      <c r="J1364" s="4" t="s">
        <v>1627</v>
      </c>
      <c r="K1364" s="4" t="s">
        <v>1633</v>
      </c>
      <c r="L1364" s="4" t="s">
        <v>1634</v>
      </c>
      <c r="M1364" s="4" t="s">
        <v>46</v>
      </c>
      <c r="N1364" s="4"/>
      <c r="O1364" s="4" t="s">
        <v>47</v>
      </c>
      <c r="P1364" s="4" t="s">
        <v>48</v>
      </c>
      <c r="Q1364" s="4">
        <v>0</v>
      </c>
      <c r="R1364" s="4" t="b">
        <v>0</v>
      </c>
      <c r="S1364" s="4" t="s">
        <v>49</v>
      </c>
      <c r="T1364" s="4" t="s">
        <v>89</v>
      </c>
      <c r="U1364" s="4" t="s">
        <v>71</v>
      </c>
      <c r="V1364" s="4" t="s">
        <v>123</v>
      </c>
      <c r="W1364" s="4" t="s">
        <v>124</v>
      </c>
      <c r="X1364" s="4" t="s">
        <v>838</v>
      </c>
      <c r="Y1364" s="4" t="s">
        <v>486</v>
      </c>
      <c r="Z1364" s="12">
        <v>0</v>
      </c>
      <c r="AA1364" s="13" t="s">
        <v>9170</v>
      </c>
      <c r="AB1364" s="13" t="s">
        <v>9168</v>
      </c>
      <c r="AC1364" s="14" t="s">
        <v>9139</v>
      </c>
      <c r="AD1364" s="14" t="s">
        <v>9140</v>
      </c>
      <c r="AE1364" s="14" t="s">
        <v>9140</v>
      </c>
      <c r="AF1364" s="14" t="s">
        <v>123</v>
      </c>
      <c r="AG1364" s="14" t="s">
        <v>838</v>
      </c>
      <c r="AH1364" s="15" t="s">
        <v>9141</v>
      </c>
      <c r="AI1364" s="15" t="s">
        <v>9188</v>
      </c>
      <c r="AJ1364" s="15" t="s">
        <v>9143</v>
      </c>
      <c r="AK1364" s="15" t="s">
        <v>9141</v>
      </c>
      <c r="AL1364" s="15" t="s">
        <v>9189</v>
      </c>
      <c r="AM1364" s="16" t="s">
        <v>9141</v>
      </c>
      <c r="AN1364" s="16" t="s">
        <v>9190</v>
      </c>
    </row>
    <row r="1365" spans="1:40" x14ac:dyDescent="0.25">
      <c r="A1365" s="4" t="s">
        <v>1374</v>
      </c>
      <c r="B1365" s="4"/>
      <c r="C1365" s="4" t="s">
        <v>39</v>
      </c>
      <c r="D1365" s="4" t="s">
        <v>1370</v>
      </c>
      <c r="E1365" s="4" t="s">
        <v>1371</v>
      </c>
      <c r="F1365" s="10">
        <v>45310</v>
      </c>
      <c r="G1365" s="11">
        <v>0.59375</v>
      </c>
      <c r="H1365" s="4" t="s">
        <v>1366</v>
      </c>
      <c r="I1365" s="4">
        <v>5053</v>
      </c>
      <c r="J1365" s="4" t="s">
        <v>1367</v>
      </c>
      <c r="K1365" s="4" t="s">
        <v>1375</v>
      </c>
      <c r="L1365" s="4" t="s">
        <v>1376</v>
      </c>
      <c r="M1365" s="4" t="s">
        <v>46</v>
      </c>
      <c r="N1365" s="4"/>
      <c r="O1365" s="4" t="s">
        <v>47</v>
      </c>
      <c r="P1365" s="4" t="s">
        <v>48</v>
      </c>
      <c r="Q1365" s="4">
        <v>0</v>
      </c>
      <c r="R1365" s="4" t="b">
        <v>0</v>
      </c>
      <c r="S1365" s="4" t="s">
        <v>61</v>
      </c>
      <c r="T1365" s="4" t="s">
        <v>89</v>
      </c>
      <c r="U1365" s="4" t="s">
        <v>107</v>
      </c>
      <c r="V1365" s="4" t="s">
        <v>123</v>
      </c>
      <c r="W1365" s="4" t="s">
        <v>124</v>
      </c>
      <c r="X1365" s="4" t="s">
        <v>98</v>
      </c>
      <c r="Y1365" s="4"/>
      <c r="Z1365" s="12">
        <v>0</v>
      </c>
      <c r="AA1365" s="13" t="s">
        <v>9170</v>
      </c>
      <c r="AB1365" s="13" t="s">
        <v>9168</v>
      </c>
      <c r="AC1365" s="14" t="s">
        <v>9148</v>
      </c>
      <c r="AD1365" s="14" t="s">
        <v>9140</v>
      </c>
      <c r="AE1365" s="14" t="s">
        <v>9140</v>
      </c>
      <c r="AF1365" s="14" t="s">
        <v>123</v>
      </c>
      <c r="AG1365" s="14" t="s">
        <v>98</v>
      </c>
      <c r="AH1365" s="15" t="s">
        <v>9141</v>
      </c>
      <c r="AI1365" s="15" t="s">
        <v>9188</v>
      </c>
      <c r="AJ1365" s="15" t="s">
        <v>9143</v>
      </c>
      <c r="AK1365" s="15" t="s">
        <v>9141</v>
      </c>
      <c r="AL1365" s="15" t="s">
        <v>9189</v>
      </c>
      <c r="AM1365" s="16" t="s">
        <v>9141</v>
      </c>
      <c r="AN1365" s="16" t="s">
        <v>9190</v>
      </c>
    </row>
    <row r="1366" spans="1:40" x14ac:dyDescent="0.25">
      <c r="A1366" s="4" t="s">
        <v>2366</v>
      </c>
      <c r="B1366" s="4"/>
      <c r="C1366" s="4" t="s">
        <v>39</v>
      </c>
      <c r="D1366" s="4" t="s">
        <v>2367</v>
      </c>
      <c r="E1366" s="4" t="s">
        <v>2368</v>
      </c>
      <c r="F1366" s="10">
        <v>45310</v>
      </c>
      <c r="G1366" s="11">
        <v>0.73750000000000004</v>
      </c>
      <c r="H1366" s="4" t="s">
        <v>2095</v>
      </c>
      <c r="I1366" s="4" t="s">
        <v>2362</v>
      </c>
      <c r="J1366" s="4" t="s">
        <v>2363</v>
      </c>
      <c r="K1366" s="4" t="s">
        <v>2369</v>
      </c>
      <c r="L1366" s="4" t="s">
        <v>2370</v>
      </c>
      <c r="M1366" s="4" t="s">
        <v>46</v>
      </c>
      <c r="N1366" s="4"/>
      <c r="O1366" s="4" t="s">
        <v>47</v>
      </c>
      <c r="P1366" s="4" t="s">
        <v>48</v>
      </c>
      <c r="Q1366" s="4">
        <v>0</v>
      </c>
      <c r="R1366" s="4" t="b">
        <v>0</v>
      </c>
      <c r="S1366" s="4" t="s">
        <v>49</v>
      </c>
      <c r="T1366" s="4" t="s">
        <v>2371</v>
      </c>
      <c r="U1366" s="4" t="s">
        <v>71</v>
      </c>
      <c r="V1366" s="4" t="s">
        <v>72</v>
      </c>
      <c r="W1366" s="4" t="s">
        <v>73</v>
      </c>
      <c r="X1366" s="4" t="s">
        <v>2372</v>
      </c>
      <c r="Y1366" s="4"/>
      <c r="Z1366" s="12">
        <v>0</v>
      </c>
      <c r="AA1366" s="13" t="s">
        <v>9170</v>
      </c>
      <c r="AB1366" s="13" t="s">
        <v>9168</v>
      </c>
      <c r="AC1366" s="14" t="s">
        <v>9139</v>
      </c>
      <c r="AD1366" s="14" t="s">
        <v>9140</v>
      </c>
      <c r="AE1366" s="14" t="s">
        <v>9140</v>
      </c>
      <c r="AF1366" s="14" t="s">
        <v>72</v>
      </c>
      <c r="AG1366" s="14" t="s">
        <v>2372</v>
      </c>
      <c r="AH1366" s="15" t="s">
        <v>9194</v>
      </c>
      <c r="AI1366" s="15" t="s">
        <v>9188</v>
      </c>
      <c r="AJ1366" s="15" t="s">
        <v>9143</v>
      </c>
      <c r="AK1366" s="15" t="s">
        <v>9194</v>
      </c>
      <c r="AL1366" s="15" t="s">
        <v>9203</v>
      </c>
      <c r="AM1366" s="16" t="s">
        <v>9194</v>
      </c>
      <c r="AN1366" s="16" t="s">
        <v>9204</v>
      </c>
    </row>
    <row r="1367" spans="1:40" x14ac:dyDescent="0.25">
      <c r="A1367" s="4" t="s">
        <v>4120</v>
      </c>
      <c r="B1367" s="4"/>
      <c r="C1367" s="4" t="s">
        <v>39</v>
      </c>
      <c r="D1367" s="4" t="s">
        <v>4121</v>
      </c>
      <c r="E1367" s="4" t="s">
        <v>4122</v>
      </c>
      <c r="F1367" s="10">
        <v>45310</v>
      </c>
      <c r="G1367" s="11">
        <v>0.86458333333333337</v>
      </c>
      <c r="H1367" s="4" t="s">
        <v>4019</v>
      </c>
      <c r="I1367" s="4" t="s">
        <v>4092</v>
      </c>
      <c r="J1367" s="4" t="s">
        <v>4093</v>
      </c>
      <c r="K1367" s="4" t="s">
        <v>905</v>
      </c>
      <c r="L1367" s="4" t="s">
        <v>4123</v>
      </c>
      <c r="M1367" s="4" t="s">
        <v>46</v>
      </c>
      <c r="N1367" s="4"/>
      <c r="O1367" s="4" t="s">
        <v>47</v>
      </c>
      <c r="P1367" s="4" t="s">
        <v>48</v>
      </c>
      <c r="Q1367" s="4">
        <v>0</v>
      </c>
      <c r="R1367" s="4" t="b">
        <v>0</v>
      </c>
      <c r="S1367" s="4" t="s">
        <v>49</v>
      </c>
      <c r="T1367" s="4" t="s">
        <v>89</v>
      </c>
      <c r="U1367" s="4" t="s">
        <v>175</v>
      </c>
      <c r="V1367" s="4" t="s">
        <v>63</v>
      </c>
      <c r="W1367" s="4" t="s">
        <v>64</v>
      </c>
      <c r="X1367" s="4" t="s">
        <v>54</v>
      </c>
      <c r="Y1367" s="4"/>
      <c r="Z1367" s="12">
        <v>0</v>
      </c>
      <c r="AA1367" s="13" t="s">
        <v>9170</v>
      </c>
      <c r="AB1367" s="13" t="s">
        <v>9168</v>
      </c>
      <c r="AC1367" s="14" t="s">
        <v>9139</v>
      </c>
      <c r="AD1367" s="14" t="s">
        <v>9140</v>
      </c>
      <c r="AE1367" s="14" t="s">
        <v>9140</v>
      </c>
      <c r="AF1367" s="14" t="s">
        <v>63</v>
      </c>
      <c r="AG1367" s="14" t="s">
        <v>54</v>
      </c>
      <c r="AH1367" s="15" t="s">
        <v>9220</v>
      </c>
      <c r="AI1367" s="15" t="s">
        <v>9175</v>
      </c>
      <c r="AJ1367" s="15" t="s">
        <v>9143</v>
      </c>
      <c r="AK1367" s="15" t="s">
        <v>9221</v>
      </c>
      <c r="AL1367" s="15" t="s">
        <v>9222</v>
      </c>
      <c r="AM1367" s="16" t="s">
        <v>9221</v>
      </c>
      <c r="AN1367" s="16" t="s">
        <v>9223</v>
      </c>
    </row>
    <row r="1368" spans="1:40" x14ac:dyDescent="0.25">
      <c r="A1368" s="4" t="s">
        <v>8564</v>
      </c>
      <c r="B1368" s="4"/>
      <c r="C1368" s="4" t="s">
        <v>39</v>
      </c>
      <c r="D1368" s="4" t="s">
        <v>8565</v>
      </c>
      <c r="E1368" s="4" t="s">
        <v>8566</v>
      </c>
      <c r="F1368" s="10">
        <v>45310</v>
      </c>
      <c r="G1368" s="11">
        <v>0.3888888888888889</v>
      </c>
      <c r="H1368" s="4" t="s">
        <v>4019</v>
      </c>
      <c r="I1368" s="4" t="s">
        <v>8552</v>
      </c>
      <c r="J1368" s="4" t="s">
        <v>8553</v>
      </c>
      <c r="K1368" s="4" t="s">
        <v>8567</v>
      </c>
      <c r="L1368" s="4" t="s">
        <v>8568</v>
      </c>
      <c r="M1368" s="4" t="s">
        <v>46</v>
      </c>
      <c r="N1368" s="4"/>
      <c r="O1368" s="4" t="s">
        <v>47</v>
      </c>
      <c r="P1368" s="4" t="s">
        <v>48</v>
      </c>
      <c r="Q1368" s="4">
        <v>0</v>
      </c>
      <c r="R1368" s="4" t="b">
        <v>0</v>
      </c>
      <c r="S1368" s="4" t="s">
        <v>61</v>
      </c>
      <c r="T1368" s="4" t="s">
        <v>50</v>
      </c>
      <c r="U1368" s="4" t="s">
        <v>224</v>
      </c>
      <c r="V1368" s="4" t="s">
        <v>63</v>
      </c>
      <c r="W1368" s="4" t="s">
        <v>108</v>
      </c>
      <c r="X1368" s="4" t="s">
        <v>98</v>
      </c>
      <c r="Y1368" s="4"/>
      <c r="Z1368" s="12">
        <v>0</v>
      </c>
      <c r="AA1368" s="13" t="s">
        <v>9170</v>
      </c>
      <c r="AB1368" s="13" t="s">
        <v>9168</v>
      </c>
      <c r="AC1368" s="14" t="s">
        <v>9148</v>
      </c>
      <c r="AD1368" s="14" t="s">
        <v>9140</v>
      </c>
      <c r="AE1368" s="14" t="s">
        <v>9140</v>
      </c>
      <c r="AF1368" s="14" t="s">
        <v>63</v>
      </c>
      <c r="AG1368" s="14" t="s">
        <v>98</v>
      </c>
      <c r="AH1368" s="15" t="s">
        <v>9220</v>
      </c>
      <c r="AI1368" s="15" t="s">
        <v>9175</v>
      </c>
      <c r="AJ1368" s="15" t="s">
        <v>9143</v>
      </c>
      <c r="AK1368" s="15" t="s">
        <v>9221</v>
      </c>
      <c r="AL1368" s="15" t="s">
        <v>9222</v>
      </c>
      <c r="AM1368" s="16" t="s">
        <v>9221</v>
      </c>
      <c r="AN1368" s="16" t="s">
        <v>9223</v>
      </c>
    </row>
    <row r="1369" spans="1:40" x14ac:dyDescent="0.25">
      <c r="A1369" s="4" t="s">
        <v>6629</v>
      </c>
      <c r="B1369" s="4"/>
      <c r="C1369" s="4" t="s">
        <v>39</v>
      </c>
      <c r="D1369" s="4" t="s">
        <v>6630</v>
      </c>
      <c r="E1369" s="4" t="s">
        <v>6631</v>
      </c>
      <c r="F1369" s="10">
        <v>45310</v>
      </c>
      <c r="G1369" s="11">
        <v>0.44444444444444442</v>
      </c>
      <c r="H1369" s="4" t="s">
        <v>4516</v>
      </c>
      <c r="I1369" s="4" t="s">
        <v>6599</v>
      </c>
      <c r="J1369" s="4" t="s">
        <v>6600</v>
      </c>
      <c r="K1369" s="4" t="s">
        <v>6632</v>
      </c>
      <c r="L1369" s="4" t="s">
        <v>6633</v>
      </c>
      <c r="M1369" s="4" t="s">
        <v>46</v>
      </c>
      <c r="N1369" s="4"/>
      <c r="O1369" s="4" t="s">
        <v>47</v>
      </c>
      <c r="P1369" s="4" t="s">
        <v>48</v>
      </c>
      <c r="Q1369" s="4">
        <v>0</v>
      </c>
      <c r="R1369" s="4" t="b">
        <v>0</v>
      </c>
      <c r="S1369" s="4" t="s">
        <v>61</v>
      </c>
      <c r="T1369" s="4" t="s">
        <v>89</v>
      </c>
      <c r="U1369" s="4" t="s">
        <v>345</v>
      </c>
      <c r="V1369" s="4" t="s">
        <v>123</v>
      </c>
      <c r="W1369" s="4" t="s">
        <v>124</v>
      </c>
      <c r="X1369" s="4" t="s">
        <v>98</v>
      </c>
      <c r="Y1369" s="4"/>
      <c r="Z1369" s="12">
        <v>0</v>
      </c>
      <c r="AA1369" s="13" t="s">
        <v>9170</v>
      </c>
      <c r="AB1369" s="13" t="s">
        <v>9168</v>
      </c>
      <c r="AC1369" s="14" t="s">
        <v>9148</v>
      </c>
      <c r="AD1369" s="14" t="s">
        <v>9140</v>
      </c>
      <c r="AE1369" s="14" t="s">
        <v>9140</v>
      </c>
      <c r="AF1369" s="14" t="s">
        <v>123</v>
      </c>
      <c r="AG1369" s="14" t="s">
        <v>98</v>
      </c>
      <c r="AH1369" s="15" t="s">
        <v>9220</v>
      </c>
      <c r="AI1369" s="15" t="s">
        <v>9188</v>
      </c>
      <c r="AJ1369" s="15" t="s">
        <v>9143</v>
      </c>
      <c r="AK1369" s="15" t="s">
        <v>9221</v>
      </c>
      <c r="AL1369" s="15" t="s">
        <v>9232</v>
      </c>
      <c r="AM1369" s="16" t="s">
        <v>9221</v>
      </c>
      <c r="AN1369" s="16" t="s">
        <v>9233</v>
      </c>
    </row>
    <row r="1370" spans="1:40" x14ac:dyDescent="0.25">
      <c r="A1370" s="4" t="s">
        <v>9057</v>
      </c>
      <c r="B1370" s="4"/>
      <c r="C1370" s="4" t="s">
        <v>39</v>
      </c>
      <c r="D1370" s="4"/>
      <c r="E1370" s="4" t="s">
        <v>9058</v>
      </c>
      <c r="F1370" s="10">
        <v>45309</v>
      </c>
      <c r="G1370" s="11">
        <v>0.34375</v>
      </c>
      <c r="H1370" s="4" t="s">
        <v>4019</v>
      </c>
      <c r="I1370" s="4" t="s">
        <v>8971</v>
      </c>
      <c r="J1370" s="4" t="s">
        <v>8972</v>
      </c>
      <c r="K1370" s="4" t="s">
        <v>9059</v>
      </c>
      <c r="L1370" s="4" t="s">
        <v>9060</v>
      </c>
      <c r="M1370" s="4" t="s">
        <v>46</v>
      </c>
      <c r="N1370" s="4"/>
      <c r="O1370" s="4" t="s">
        <v>47</v>
      </c>
      <c r="P1370" s="4" t="s">
        <v>48</v>
      </c>
      <c r="Q1370" s="4">
        <v>0</v>
      </c>
      <c r="R1370" s="4" t="b">
        <v>0</v>
      </c>
      <c r="S1370" s="4" t="s">
        <v>61</v>
      </c>
      <c r="T1370" s="4" t="s">
        <v>89</v>
      </c>
      <c r="U1370" s="4" t="s">
        <v>224</v>
      </c>
      <c r="V1370" s="4" t="s">
        <v>63</v>
      </c>
      <c r="W1370" s="4" t="s">
        <v>784</v>
      </c>
      <c r="X1370" s="4" t="s">
        <v>54</v>
      </c>
      <c r="Y1370" s="4"/>
      <c r="Z1370" s="12">
        <v>0</v>
      </c>
      <c r="AA1370" s="13" t="s">
        <v>9170</v>
      </c>
      <c r="AB1370" s="13" t="s">
        <v>9168</v>
      </c>
      <c r="AC1370" s="14" t="s">
        <v>9148</v>
      </c>
      <c r="AD1370" s="14" t="s">
        <v>9140</v>
      </c>
      <c r="AE1370" s="14" t="s">
        <v>9140</v>
      </c>
      <c r="AF1370" s="14" t="s">
        <v>63</v>
      </c>
      <c r="AG1370" s="14" t="s">
        <v>54</v>
      </c>
      <c r="AH1370" s="15" t="s">
        <v>9220</v>
      </c>
      <c r="AI1370" s="15" t="s">
        <v>9175</v>
      </c>
      <c r="AJ1370" s="15" t="s">
        <v>9181</v>
      </c>
      <c r="AK1370" s="15" t="s">
        <v>9182</v>
      </c>
      <c r="AL1370" s="15" t="s">
        <v>9182</v>
      </c>
      <c r="AM1370" s="16" t="s">
        <v>9182</v>
      </c>
      <c r="AN1370" s="16" t="s">
        <v>9182</v>
      </c>
    </row>
    <row r="1371" spans="1:40" x14ac:dyDescent="0.25">
      <c r="A1371" s="4" t="s">
        <v>3001</v>
      </c>
      <c r="B1371" s="4"/>
      <c r="C1371" s="4" t="s">
        <v>39</v>
      </c>
      <c r="D1371" s="4" t="s">
        <v>3002</v>
      </c>
      <c r="E1371" s="4" t="s">
        <v>3003</v>
      </c>
      <c r="F1371" s="10">
        <v>45309</v>
      </c>
      <c r="G1371" s="11">
        <v>0.52777777777777779</v>
      </c>
      <c r="H1371" s="4" t="s">
        <v>1992</v>
      </c>
      <c r="I1371" s="4" t="s">
        <v>2955</v>
      </c>
      <c r="J1371" s="4" t="s">
        <v>2956</v>
      </c>
      <c r="K1371" s="4" t="s">
        <v>3004</v>
      </c>
      <c r="L1371" s="4" t="s">
        <v>3005</v>
      </c>
      <c r="M1371" s="4" t="s">
        <v>46</v>
      </c>
      <c r="N1371" s="4"/>
      <c r="O1371" s="4" t="s">
        <v>47</v>
      </c>
      <c r="P1371" s="4" t="s">
        <v>48</v>
      </c>
      <c r="Q1371" s="4">
        <v>0</v>
      </c>
      <c r="R1371" s="4" t="b">
        <v>0</v>
      </c>
      <c r="S1371" s="4" t="s">
        <v>61</v>
      </c>
      <c r="T1371" s="4" t="s">
        <v>89</v>
      </c>
      <c r="U1371" s="4" t="s">
        <v>90</v>
      </c>
      <c r="V1371" s="4" t="s">
        <v>72</v>
      </c>
      <c r="W1371" s="4" t="s">
        <v>73</v>
      </c>
      <c r="X1371" s="4" t="s">
        <v>54</v>
      </c>
      <c r="Y1371" s="4"/>
      <c r="Z1371" s="12">
        <v>0</v>
      </c>
      <c r="AA1371" s="13" t="s">
        <v>9170</v>
      </c>
      <c r="AB1371" s="13" t="s">
        <v>9168</v>
      </c>
      <c r="AC1371" s="14" t="s">
        <v>9148</v>
      </c>
      <c r="AD1371" s="14" t="s">
        <v>9140</v>
      </c>
      <c r="AE1371" s="14" t="s">
        <v>9140</v>
      </c>
      <c r="AF1371" s="14" t="s">
        <v>72</v>
      </c>
      <c r="AG1371" s="14" t="s">
        <v>54</v>
      </c>
      <c r="AH1371" s="15" t="s">
        <v>9194</v>
      </c>
      <c r="AI1371" s="15" t="s">
        <v>9191</v>
      </c>
      <c r="AJ1371" s="15" t="s">
        <v>9143</v>
      </c>
      <c r="AK1371" s="15" t="s">
        <v>9194</v>
      </c>
      <c r="AL1371" s="15" t="s">
        <v>9205</v>
      </c>
      <c r="AM1371" s="16" t="s">
        <v>9194</v>
      </c>
      <c r="AN1371" s="16" t="s">
        <v>9206</v>
      </c>
    </row>
    <row r="1372" spans="1:40" x14ac:dyDescent="0.25">
      <c r="A1372" s="4" t="s">
        <v>3577</v>
      </c>
      <c r="B1372" s="4"/>
      <c r="C1372" s="4" t="s">
        <v>39</v>
      </c>
      <c r="D1372" s="4" t="s">
        <v>3578</v>
      </c>
      <c r="E1372" s="4" t="s">
        <v>3579</v>
      </c>
      <c r="F1372" s="10">
        <v>45309</v>
      </c>
      <c r="G1372" s="11">
        <v>0.64444444444444449</v>
      </c>
      <c r="H1372" s="4" t="s">
        <v>2095</v>
      </c>
      <c r="I1372" s="4" t="s">
        <v>3563</v>
      </c>
      <c r="J1372" s="4" t="s">
        <v>3564</v>
      </c>
      <c r="K1372" s="4" t="s">
        <v>3580</v>
      </c>
      <c r="L1372" s="4" t="s">
        <v>3581</v>
      </c>
      <c r="M1372" s="4" t="s">
        <v>46</v>
      </c>
      <c r="N1372" s="4"/>
      <c r="O1372" s="4" t="s">
        <v>191</v>
      </c>
      <c r="P1372" s="4" t="s">
        <v>48</v>
      </c>
      <c r="Q1372" s="4">
        <v>2</v>
      </c>
      <c r="R1372" s="4" t="b">
        <v>0</v>
      </c>
      <c r="S1372" s="4" t="s">
        <v>114</v>
      </c>
      <c r="T1372" s="4" t="s">
        <v>70</v>
      </c>
      <c r="U1372" s="4" t="s">
        <v>71</v>
      </c>
      <c r="V1372" s="4" t="s">
        <v>63</v>
      </c>
      <c r="W1372" s="4" t="s">
        <v>198</v>
      </c>
      <c r="X1372" s="4" t="s">
        <v>54</v>
      </c>
      <c r="Y1372" s="4"/>
      <c r="Z1372" s="12">
        <v>0</v>
      </c>
      <c r="AA1372" s="13" t="s">
        <v>9170</v>
      </c>
      <c r="AB1372" s="13" t="s">
        <v>9168</v>
      </c>
      <c r="AC1372" s="14" t="s">
        <v>9157</v>
      </c>
      <c r="AD1372" s="14" t="s">
        <v>9140</v>
      </c>
      <c r="AE1372" s="14" t="s">
        <v>9140</v>
      </c>
      <c r="AF1372" s="14" t="s">
        <v>63</v>
      </c>
      <c r="AG1372" s="14" t="s">
        <v>54</v>
      </c>
      <c r="AH1372" s="15" t="s">
        <v>9194</v>
      </c>
      <c r="AI1372" s="15" t="s">
        <v>9188</v>
      </c>
      <c r="AJ1372" s="15" t="s">
        <v>9143</v>
      </c>
      <c r="AK1372" s="15" t="s">
        <v>9194</v>
      </c>
      <c r="AL1372" s="15" t="s">
        <v>9201</v>
      </c>
      <c r="AM1372" s="16" t="s">
        <v>9194</v>
      </c>
      <c r="AN1372" s="16" t="s">
        <v>9202</v>
      </c>
    </row>
    <row r="1373" spans="1:40" x14ac:dyDescent="0.25">
      <c r="A1373" s="4" t="s">
        <v>3527</v>
      </c>
      <c r="B1373" s="4" t="s">
        <v>3528</v>
      </c>
      <c r="C1373" s="4" t="s">
        <v>39</v>
      </c>
      <c r="D1373" s="4" t="s">
        <v>3529</v>
      </c>
      <c r="E1373" s="4" t="s">
        <v>3530</v>
      </c>
      <c r="F1373" s="10">
        <v>45309</v>
      </c>
      <c r="G1373" s="11">
        <v>0.42708333333333331</v>
      </c>
      <c r="H1373" s="4" t="s">
        <v>2017</v>
      </c>
      <c r="I1373" s="4" t="s">
        <v>3531</v>
      </c>
      <c r="J1373" s="4" t="s">
        <v>3532</v>
      </c>
      <c r="K1373" s="4" t="s">
        <v>3533</v>
      </c>
      <c r="L1373" s="4" t="s">
        <v>3534</v>
      </c>
      <c r="M1373" s="4" t="s">
        <v>28</v>
      </c>
      <c r="N1373" s="4" t="s">
        <v>183</v>
      </c>
      <c r="O1373" s="4" t="s">
        <v>863</v>
      </c>
      <c r="P1373" s="4" t="s">
        <v>60</v>
      </c>
      <c r="Q1373" s="4">
        <v>15</v>
      </c>
      <c r="R1373" s="4" t="b">
        <v>0</v>
      </c>
      <c r="S1373" s="4" t="s">
        <v>114</v>
      </c>
      <c r="T1373" s="4" t="s">
        <v>89</v>
      </c>
      <c r="U1373" s="4" t="s">
        <v>2065</v>
      </c>
      <c r="V1373" s="4" t="s">
        <v>52</v>
      </c>
      <c r="W1373" s="4" t="s">
        <v>53</v>
      </c>
      <c r="X1373" s="4" t="s">
        <v>98</v>
      </c>
      <c r="Y1373" s="4"/>
      <c r="Z1373" s="12" t="s">
        <v>60</v>
      </c>
      <c r="AA1373" s="13" t="s">
        <v>9170</v>
      </c>
      <c r="AB1373" s="13" t="s">
        <v>9168</v>
      </c>
      <c r="AC1373" s="14" t="s">
        <v>9157</v>
      </c>
      <c r="AD1373" s="14" t="s">
        <v>28</v>
      </c>
      <c r="AE1373" s="14" t="s">
        <v>183</v>
      </c>
      <c r="AF1373" s="14" t="s">
        <v>52</v>
      </c>
      <c r="AG1373" s="14" t="s">
        <v>98</v>
      </c>
      <c r="AH1373" s="15" t="s">
        <v>9194</v>
      </c>
      <c r="AI1373" s="15" t="s">
        <v>9199</v>
      </c>
      <c r="AJ1373" s="15" t="s">
        <v>9143</v>
      </c>
      <c r="AK1373" s="15" t="s">
        <v>9194</v>
      </c>
      <c r="AL1373" s="15" t="s">
        <v>9199</v>
      </c>
      <c r="AM1373" s="16" t="s">
        <v>9194</v>
      </c>
      <c r="AN1373" s="16" t="s">
        <v>9200</v>
      </c>
    </row>
    <row r="1374" spans="1:40" x14ac:dyDescent="0.25">
      <c r="A1374" s="4" t="s">
        <v>3984</v>
      </c>
      <c r="B1374" s="4"/>
      <c r="C1374" s="4" t="s">
        <v>39</v>
      </c>
      <c r="D1374" s="4" t="s">
        <v>3985</v>
      </c>
      <c r="E1374" s="4" t="s">
        <v>3986</v>
      </c>
      <c r="F1374" s="10">
        <v>45309</v>
      </c>
      <c r="G1374" s="11">
        <v>0.80555555555555558</v>
      </c>
      <c r="H1374" s="4" t="s">
        <v>1939</v>
      </c>
      <c r="I1374" s="4" t="s">
        <v>3981</v>
      </c>
      <c r="J1374" s="4" t="s">
        <v>3982</v>
      </c>
      <c r="K1374" s="4" t="s">
        <v>3987</v>
      </c>
      <c r="L1374" s="4" t="s">
        <v>3988</v>
      </c>
      <c r="M1374" s="4" t="s">
        <v>46</v>
      </c>
      <c r="N1374" s="4"/>
      <c r="O1374" s="4" t="s">
        <v>47</v>
      </c>
      <c r="P1374" s="4" t="s">
        <v>48</v>
      </c>
      <c r="Q1374" s="4">
        <v>0</v>
      </c>
      <c r="R1374" s="4" t="b">
        <v>0</v>
      </c>
      <c r="S1374" s="4" t="s">
        <v>114</v>
      </c>
      <c r="T1374" s="4" t="s">
        <v>204</v>
      </c>
      <c r="U1374" s="4" t="s">
        <v>3989</v>
      </c>
      <c r="V1374" s="4" t="s">
        <v>225</v>
      </c>
      <c r="W1374" s="4" t="s">
        <v>1714</v>
      </c>
      <c r="X1374" s="4" t="s">
        <v>1715</v>
      </c>
      <c r="Y1374" s="4"/>
      <c r="Z1374" s="12">
        <v>0</v>
      </c>
      <c r="AA1374" s="13" t="s">
        <v>9170</v>
      </c>
      <c r="AB1374" s="13" t="s">
        <v>9168</v>
      </c>
      <c r="AC1374" s="14" t="s">
        <v>9157</v>
      </c>
      <c r="AD1374" s="14" t="s">
        <v>9140</v>
      </c>
      <c r="AE1374" s="14" t="s">
        <v>9140</v>
      </c>
      <c r="AF1374" s="14" t="s">
        <v>225</v>
      </c>
      <c r="AG1374" s="14" t="s">
        <v>1715</v>
      </c>
      <c r="AH1374" s="15" t="s">
        <v>9194</v>
      </c>
      <c r="AI1374" s="15" t="s">
        <v>9175</v>
      </c>
      <c r="AJ1374" s="15" t="s">
        <v>9183</v>
      </c>
      <c r="AK1374" s="15" t="s">
        <v>9214</v>
      </c>
      <c r="AL1374" s="15" t="s">
        <v>9215</v>
      </c>
      <c r="AM1374" s="16" t="s">
        <v>9186</v>
      </c>
      <c r="AN1374" s="16" t="s">
        <v>9186</v>
      </c>
    </row>
    <row r="1375" spans="1:40" x14ac:dyDescent="0.25">
      <c r="A1375" s="4" t="s">
        <v>3815</v>
      </c>
      <c r="B1375" s="4"/>
      <c r="C1375" s="4" t="s">
        <v>39</v>
      </c>
      <c r="D1375" s="4" t="s">
        <v>3816</v>
      </c>
      <c r="E1375" s="4" t="s">
        <v>3817</v>
      </c>
      <c r="F1375" s="10">
        <v>45309</v>
      </c>
      <c r="G1375" s="11">
        <v>0.70833333333333337</v>
      </c>
      <c r="H1375" s="4" t="s">
        <v>1992</v>
      </c>
      <c r="I1375" s="4" t="s">
        <v>3818</v>
      </c>
      <c r="J1375" s="4" t="s">
        <v>3819</v>
      </c>
      <c r="K1375" s="4" t="s">
        <v>3820</v>
      </c>
      <c r="L1375" s="4" t="s">
        <v>3821</v>
      </c>
      <c r="M1375" s="4" t="s">
        <v>46</v>
      </c>
      <c r="N1375" s="4"/>
      <c r="O1375" s="4" t="s">
        <v>174</v>
      </c>
      <c r="P1375" s="4" t="s">
        <v>48</v>
      </c>
      <c r="Q1375" s="4">
        <v>0</v>
      </c>
      <c r="R1375" s="4" t="b">
        <v>0</v>
      </c>
      <c r="S1375" s="4" t="s">
        <v>114</v>
      </c>
      <c r="T1375" s="4" t="s">
        <v>70</v>
      </c>
      <c r="U1375" s="4" t="s">
        <v>71</v>
      </c>
      <c r="V1375" s="4" t="s">
        <v>72</v>
      </c>
      <c r="W1375" s="4" t="s">
        <v>73</v>
      </c>
      <c r="X1375" s="4" t="s">
        <v>54</v>
      </c>
      <c r="Y1375" s="4"/>
      <c r="Z1375" s="12">
        <v>0</v>
      </c>
      <c r="AA1375" s="13" t="s">
        <v>9170</v>
      </c>
      <c r="AB1375" s="13" t="s">
        <v>9168</v>
      </c>
      <c r="AC1375" s="14" t="s">
        <v>9157</v>
      </c>
      <c r="AD1375" s="14" t="s">
        <v>9140</v>
      </c>
      <c r="AE1375" s="14" t="s">
        <v>9140</v>
      </c>
      <c r="AF1375" s="14" t="s">
        <v>72</v>
      </c>
      <c r="AG1375" s="14" t="s">
        <v>54</v>
      </c>
      <c r="AH1375" s="15" t="s">
        <v>9194</v>
      </c>
      <c r="AI1375" s="15" t="s">
        <v>9191</v>
      </c>
      <c r="AJ1375" s="15" t="s">
        <v>9143</v>
      </c>
      <c r="AK1375" s="15" t="s">
        <v>9194</v>
      </c>
      <c r="AL1375" s="15" t="s">
        <v>9197</v>
      </c>
      <c r="AM1375" s="16" t="s">
        <v>9194</v>
      </c>
      <c r="AN1375" s="16" t="s">
        <v>9198</v>
      </c>
    </row>
    <row r="1376" spans="1:40" x14ac:dyDescent="0.25">
      <c r="A1376" s="4" t="s">
        <v>3710</v>
      </c>
      <c r="B1376" s="4"/>
      <c r="C1376" s="4" t="s">
        <v>39</v>
      </c>
      <c r="D1376" s="4" t="s">
        <v>3711</v>
      </c>
      <c r="E1376" s="4" t="s">
        <v>3712</v>
      </c>
      <c r="F1376" s="10">
        <v>45308</v>
      </c>
      <c r="G1376" s="11">
        <v>0.55555555555555558</v>
      </c>
      <c r="H1376" s="4" t="s">
        <v>1939</v>
      </c>
      <c r="I1376" s="4" t="s">
        <v>3706</v>
      </c>
      <c r="J1376" s="4" t="s">
        <v>3707</v>
      </c>
      <c r="K1376" s="4" t="s">
        <v>3713</v>
      </c>
      <c r="L1376" s="4" t="s">
        <v>3714</v>
      </c>
      <c r="M1376" s="4" t="s">
        <v>46</v>
      </c>
      <c r="N1376" s="4"/>
      <c r="O1376" s="4" t="s">
        <v>47</v>
      </c>
      <c r="P1376" s="4" t="s">
        <v>48</v>
      </c>
      <c r="Q1376" s="4">
        <v>0</v>
      </c>
      <c r="R1376" s="4" t="b">
        <v>0</v>
      </c>
      <c r="S1376" s="4" t="s">
        <v>49</v>
      </c>
      <c r="T1376" s="4" t="s">
        <v>70</v>
      </c>
      <c r="U1376" s="4" t="s">
        <v>51</v>
      </c>
      <c r="V1376" s="4" t="s">
        <v>72</v>
      </c>
      <c r="W1376" s="4" t="s">
        <v>73</v>
      </c>
      <c r="X1376" s="4" t="s">
        <v>838</v>
      </c>
      <c r="Y1376" s="4"/>
      <c r="Z1376" s="12">
        <v>0</v>
      </c>
      <c r="AA1376" s="13" t="s">
        <v>9170</v>
      </c>
      <c r="AB1376" s="13" t="s">
        <v>9168</v>
      </c>
      <c r="AC1376" s="14" t="s">
        <v>9139</v>
      </c>
      <c r="AD1376" s="14" t="s">
        <v>9140</v>
      </c>
      <c r="AE1376" s="14" t="s">
        <v>9140</v>
      </c>
      <c r="AF1376" s="14" t="s">
        <v>72</v>
      </c>
      <c r="AG1376" s="14" t="s">
        <v>838</v>
      </c>
      <c r="AH1376" s="15" t="s">
        <v>9194</v>
      </c>
      <c r="AI1376" s="15" t="s">
        <v>9175</v>
      </c>
      <c r="AJ1376" s="15" t="s">
        <v>9143</v>
      </c>
      <c r="AK1376" s="15" t="s">
        <v>9194</v>
      </c>
      <c r="AL1376" s="15" t="s">
        <v>9209</v>
      </c>
      <c r="AM1376" s="16" t="s">
        <v>9194</v>
      </c>
      <c r="AN1376" s="16" t="s">
        <v>9210</v>
      </c>
    </row>
    <row r="1377" spans="1:40" x14ac:dyDescent="0.25">
      <c r="A1377" s="4" t="s">
        <v>1803</v>
      </c>
      <c r="B1377" s="4" t="s">
        <v>1804</v>
      </c>
      <c r="C1377" s="4" t="s">
        <v>39</v>
      </c>
      <c r="D1377" s="4" t="s">
        <v>1760</v>
      </c>
      <c r="E1377" s="4" t="s">
        <v>1761</v>
      </c>
      <c r="F1377" s="10">
        <v>45308</v>
      </c>
      <c r="G1377" s="11">
        <v>0.52083333333333337</v>
      </c>
      <c r="H1377" s="4" t="s">
        <v>1654</v>
      </c>
      <c r="I1377" s="4">
        <v>9095</v>
      </c>
      <c r="J1377" s="4" t="s">
        <v>1742</v>
      </c>
      <c r="K1377" s="4" t="s">
        <v>851</v>
      </c>
      <c r="L1377" s="4" t="s">
        <v>1805</v>
      </c>
      <c r="M1377" s="4" t="s">
        <v>28</v>
      </c>
      <c r="N1377" s="4" t="s">
        <v>147</v>
      </c>
      <c r="O1377" s="4" t="s">
        <v>174</v>
      </c>
      <c r="P1377" s="4" t="s">
        <v>48</v>
      </c>
      <c r="Q1377" s="4">
        <v>0</v>
      </c>
      <c r="R1377" s="4" t="b">
        <v>0</v>
      </c>
      <c r="S1377" s="4" t="s">
        <v>114</v>
      </c>
      <c r="T1377" s="4" t="s">
        <v>89</v>
      </c>
      <c r="U1377" s="4" t="s">
        <v>51</v>
      </c>
      <c r="V1377" s="4" t="s">
        <v>52</v>
      </c>
      <c r="W1377" s="4" t="s">
        <v>53</v>
      </c>
      <c r="X1377" s="4" t="s">
        <v>54</v>
      </c>
      <c r="Y1377" s="4" t="s">
        <v>176</v>
      </c>
      <c r="Z1377" s="12" t="s">
        <v>48</v>
      </c>
      <c r="AA1377" s="13" t="s">
        <v>9170</v>
      </c>
      <c r="AB1377" s="13" t="s">
        <v>9168</v>
      </c>
      <c r="AC1377" s="14" t="s">
        <v>9157</v>
      </c>
      <c r="AD1377" s="14" t="s">
        <v>28</v>
      </c>
      <c r="AE1377" s="14" t="s">
        <v>9140</v>
      </c>
      <c r="AF1377" s="14" t="s">
        <v>52</v>
      </c>
      <c r="AG1377" s="14" t="s">
        <v>54</v>
      </c>
      <c r="AH1377" s="15" t="s">
        <v>9141</v>
      </c>
      <c r="AI1377" s="15" t="s">
        <v>9191</v>
      </c>
      <c r="AJ1377" s="15" t="s">
        <v>9143</v>
      </c>
      <c r="AK1377" s="15" t="s">
        <v>9141</v>
      </c>
      <c r="AL1377" s="15" t="s">
        <v>9191</v>
      </c>
      <c r="AM1377" s="16" t="s">
        <v>9141</v>
      </c>
      <c r="AN1377" s="16" t="s">
        <v>9192</v>
      </c>
    </row>
    <row r="1378" spans="1:40" x14ac:dyDescent="0.25">
      <c r="A1378" s="4" t="s">
        <v>6258</v>
      </c>
      <c r="B1378" s="4"/>
      <c r="C1378" s="4" t="s">
        <v>39</v>
      </c>
      <c r="D1378" s="4" t="s">
        <v>6259</v>
      </c>
      <c r="E1378" s="4" t="s">
        <v>6260</v>
      </c>
      <c r="F1378" s="10">
        <v>45308</v>
      </c>
      <c r="G1378" s="11">
        <v>0.75</v>
      </c>
      <c r="H1378" s="4" t="s">
        <v>4910</v>
      </c>
      <c r="I1378" s="4" t="s">
        <v>6256</v>
      </c>
      <c r="J1378" s="4" t="s">
        <v>3927</v>
      </c>
      <c r="K1378" s="4" t="s">
        <v>6261</v>
      </c>
      <c r="L1378" s="4" t="s">
        <v>6262</v>
      </c>
      <c r="M1378" s="4" t="s">
        <v>46</v>
      </c>
      <c r="N1378" s="4"/>
      <c r="O1378" s="4" t="s">
        <v>47</v>
      </c>
      <c r="P1378" s="4" t="s">
        <v>48</v>
      </c>
      <c r="Q1378" s="4">
        <v>0</v>
      </c>
      <c r="R1378" s="4" t="b">
        <v>0</v>
      </c>
      <c r="S1378" s="4" t="s">
        <v>61</v>
      </c>
      <c r="T1378" s="4" t="s">
        <v>134</v>
      </c>
      <c r="U1378" s="4" t="s">
        <v>90</v>
      </c>
      <c r="V1378" s="4" t="s">
        <v>63</v>
      </c>
      <c r="W1378" s="4" t="s">
        <v>108</v>
      </c>
      <c r="X1378" s="4" t="s">
        <v>98</v>
      </c>
      <c r="Y1378" s="4"/>
      <c r="Z1378" s="12">
        <v>0</v>
      </c>
      <c r="AA1378" s="13" t="s">
        <v>9170</v>
      </c>
      <c r="AB1378" s="13" t="s">
        <v>9168</v>
      </c>
      <c r="AC1378" s="14" t="s">
        <v>9148</v>
      </c>
      <c r="AD1378" s="14" t="s">
        <v>9140</v>
      </c>
      <c r="AE1378" s="14" t="s">
        <v>9140</v>
      </c>
      <c r="AF1378" s="14" t="s">
        <v>63</v>
      </c>
      <c r="AG1378" s="14" t="s">
        <v>98</v>
      </c>
      <c r="AH1378" s="15" t="s">
        <v>9220</v>
      </c>
      <c r="AI1378" s="15" t="s">
        <v>9191</v>
      </c>
      <c r="AJ1378" s="15" t="s">
        <v>9143</v>
      </c>
      <c r="AK1378" s="15" t="s">
        <v>9221</v>
      </c>
      <c r="AL1378" s="15" t="s">
        <v>9226</v>
      </c>
      <c r="AM1378" s="16" t="s">
        <v>9221</v>
      </c>
      <c r="AN1378" s="16" t="s">
        <v>9227</v>
      </c>
    </row>
    <row r="1379" spans="1:40" x14ac:dyDescent="0.25">
      <c r="A1379" s="4" t="s">
        <v>6468</v>
      </c>
      <c r="B1379" s="4"/>
      <c r="C1379" s="4" t="s">
        <v>39</v>
      </c>
      <c r="D1379" s="4" t="s">
        <v>6469</v>
      </c>
      <c r="E1379" s="4" t="s">
        <v>6470</v>
      </c>
      <c r="F1379" s="10">
        <v>45307</v>
      </c>
      <c r="G1379" s="11">
        <v>0.7</v>
      </c>
      <c r="H1379" s="4" t="s">
        <v>4659</v>
      </c>
      <c r="I1379" s="4" t="s">
        <v>6441</v>
      </c>
      <c r="J1379" s="4" t="s">
        <v>6442</v>
      </c>
      <c r="K1379" s="4" t="s">
        <v>6471</v>
      </c>
      <c r="L1379" s="4" t="s">
        <v>6472</v>
      </c>
      <c r="M1379" s="4" t="s">
        <v>46</v>
      </c>
      <c r="N1379" s="4"/>
      <c r="O1379" s="4" t="s">
        <v>47</v>
      </c>
      <c r="P1379" s="4" t="s">
        <v>48</v>
      </c>
      <c r="Q1379" s="4">
        <v>0</v>
      </c>
      <c r="R1379" s="4" t="b">
        <v>0</v>
      </c>
      <c r="S1379" s="4" t="s">
        <v>61</v>
      </c>
      <c r="T1379" s="4" t="s">
        <v>89</v>
      </c>
      <c r="U1379" s="4" t="s">
        <v>140</v>
      </c>
      <c r="V1379" s="4" t="s">
        <v>123</v>
      </c>
      <c r="W1379" s="4" t="s">
        <v>124</v>
      </c>
      <c r="X1379" s="4" t="s">
        <v>838</v>
      </c>
      <c r="Y1379" s="4"/>
      <c r="Z1379" s="12">
        <v>0</v>
      </c>
      <c r="AA1379" s="13" t="s">
        <v>9170</v>
      </c>
      <c r="AB1379" s="13" t="s">
        <v>9168</v>
      </c>
      <c r="AC1379" s="14" t="s">
        <v>9148</v>
      </c>
      <c r="AD1379" s="14" t="s">
        <v>9140</v>
      </c>
      <c r="AE1379" s="14" t="s">
        <v>9140</v>
      </c>
      <c r="AF1379" s="14" t="s">
        <v>123</v>
      </c>
      <c r="AG1379" s="14" t="s">
        <v>838</v>
      </c>
      <c r="AH1379" s="15" t="s">
        <v>9220</v>
      </c>
      <c r="AI1379" s="15" t="s">
        <v>9142</v>
      </c>
      <c r="AJ1379" s="15" t="s">
        <v>9143</v>
      </c>
      <c r="AK1379" s="15" t="s">
        <v>9221</v>
      </c>
      <c r="AL1379" s="15" t="s">
        <v>9228</v>
      </c>
      <c r="AM1379" s="16" t="s">
        <v>9221</v>
      </c>
      <c r="AN1379" s="16" t="s">
        <v>9229</v>
      </c>
    </row>
    <row r="1380" spans="1:40" x14ac:dyDescent="0.25">
      <c r="A1380" s="4" t="s">
        <v>7751</v>
      </c>
      <c r="B1380" s="4">
        <v>12230064065</v>
      </c>
      <c r="C1380" s="4" t="s">
        <v>39</v>
      </c>
      <c r="D1380" s="4" t="s">
        <v>7752</v>
      </c>
      <c r="E1380" s="4" t="s">
        <v>7753</v>
      </c>
      <c r="F1380" s="10">
        <v>45304</v>
      </c>
      <c r="G1380" s="11">
        <v>0.49652777777777779</v>
      </c>
      <c r="H1380" s="4" t="s">
        <v>4019</v>
      </c>
      <c r="I1380" s="4" t="s">
        <v>7754</v>
      </c>
      <c r="J1380" s="4" t="s">
        <v>2576</v>
      </c>
      <c r="K1380" s="4" t="s">
        <v>7755</v>
      </c>
      <c r="L1380" s="4" t="s">
        <v>7756</v>
      </c>
      <c r="M1380" s="4" t="s">
        <v>28</v>
      </c>
      <c r="N1380" s="4" t="s">
        <v>183</v>
      </c>
      <c r="O1380" s="4" t="s">
        <v>174</v>
      </c>
      <c r="P1380" s="4" t="s">
        <v>48</v>
      </c>
      <c r="Q1380" s="4">
        <v>3</v>
      </c>
      <c r="R1380" s="4" t="b">
        <v>0</v>
      </c>
      <c r="S1380" s="4" t="s">
        <v>61</v>
      </c>
      <c r="T1380" s="4" t="s">
        <v>89</v>
      </c>
      <c r="U1380" s="4" t="s">
        <v>122</v>
      </c>
      <c r="V1380" s="4" t="s">
        <v>123</v>
      </c>
      <c r="W1380" s="4" t="s">
        <v>124</v>
      </c>
      <c r="X1380" s="4" t="s">
        <v>54</v>
      </c>
      <c r="Y1380" s="4"/>
      <c r="Z1380" s="12" t="s">
        <v>48</v>
      </c>
      <c r="AA1380" s="13" t="s">
        <v>9170</v>
      </c>
      <c r="AB1380" s="13" t="s">
        <v>9168</v>
      </c>
      <c r="AC1380" s="14" t="s">
        <v>9148</v>
      </c>
      <c r="AD1380" s="14" t="s">
        <v>28</v>
      </c>
      <c r="AE1380" s="14" t="s">
        <v>183</v>
      </c>
      <c r="AF1380" s="14" t="s">
        <v>123</v>
      </c>
      <c r="AG1380" s="14" t="s">
        <v>54</v>
      </c>
      <c r="AH1380" s="15" t="s">
        <v>9220</v>
      </c>
      <c r="AI1380" s="15" t="s">
        <v>9175</v>
      </c>
      <c r="AJ1380" s="15" t="s">
        <v>9143</v>
      </c>
      <c r="AK1380" s="15" t="s">
        <v>9221</v>
      </c>
      <c r="AL1380" s="15" t="s">
        <v>9224</v>
      </c>
      <c r="AM1380" s="16" t="s">
        <v>9221</v>
      </c>
      <c r="AN1380" s="16" t="s">
        <v>9225</v>
      </c>
    </row>
    <row r="1381" spans="1:40" x14ac:dyDescent="0.25">
      <c r="A1381" s="4" t="s">
        <v>7580</v>
      </c>
      <c r="B1381" s="4"/>
      <c r="C1381" s="4" t="s">
        <v>39</v>
      </c>
      <c r="D1381" s="4" t="s">
        <v>7581</v>
      </c>
      <c r="E1381" s="4" t="s">
        <v>7582</v>
      </c>
      <c r="F1381" s="10">
        <v>45303</v>
      </c>
      <c r="G1381" s="11">
        <v>0.63541666666666663</v>
      </c>
      <c r="H1381" s="4" t="s">
        <v>4019</v>
      </c>
      <c r="I1381" s="4" t="s">
        <v>7562</v>
      </c>
      <c r="J1381" s="4" t="s">
        <v>7563</v>
      </c>
      <c r="K1381" s="4" t="s">
        <v>3443</v>
      </c>
      <c r="L1381" s="4" t="s">
        <v>7583</v>
      </c>
      <c r="M1381" s="4" t="s">
        <v>46</v>
      </c>
      <c r="N1381" s="4"/>
      <c r="O1381" s="4" t="s">
        <v>47</v>
      </c>
      <c r="P1381" s="4" t="s">
        <v>48</v>
      </c>
      <c r="Q1381" s="4">
        <v>0</v>
      </c>
      <c r="R1381" s="4" t="b">
        <v>0</v>
      </c>
      <c r="S1381" s="4" t="s">
        <v>49</v>
      </c>
      <c r="T1381" s="4" t="s">
        <v>50</v>
      </c>
      <c r="U1381" s="4" t="s">
        <v>618</v>
      </c>
      <c r="V1381" s="4" t="s">
        <v>63</v>
      </c>
      <c r="W1381" s="4" t="s">
        <v>108</v>
      </c>
      <c r="X1381" s="4" t="s">
        <v>471</v>
      </c>
      <c r="Y1381" s="4"/>
      <c r="Z1381" s="12">
        <v>0</v>
      </c>
      <c r="AA1381" s="13" t="s">
        <v>9170</v>
      </c>
      <c r="AB1381" s="13" t="s">
        <v>9168</v>
      </c>
      <c r="AC1381" s="14" t="s">
        <v>9139</v>
      </c>
      <c r="AD1381" s="14" t="s">
        <v>9140</v>
      </c>
      <c r="AE1381" s="14" t="s">
        <v>9140</v>
      </c>
      <c r="AF1381" s="14" t="s">
        <v>63</v>
      </c>
      <c r="AG1381" s="14" t="s">
        <v>471</v>
      </c>
      <c r="AH1381" s="15" t="s">
        <v>9220</v>
      </c>
      <c r="AI1381" s="15" t="s">
        <v>9175</v>
      </c>
      <c r="AJ1381" s="15" t="s">
        <v>9143</v>
      </c>
      <c r="AK1381" s="15" t="s">
        <v>9221</v>
      </c>
      <c r="AL1381" s="15" t="s">
        <v>9224</v>
      </c>
      <c r="AM1381" s="16" t="s">
        <v>9221</v>
      </c>
      <c r="AN1381" s="16" t="s">
        <v>9225</v>
      </c>
    </row>
    <row r="1382" spans="1:40" x14ac:dyDescent="0.25">
      <c r="A1382" s="4" t="s">
        <v>1806</v>
      </c>
      <c r="B1382" s="4"/>
      <c r="C1382" s="4" t="s">
        <v>39</v>
      </c>
      <c r="D1382" s="4" t="s">
        <v>1807</v>
      </c>
      <c r="E1382" s="4" t="s">
        <v>1808</v>
      </c>
      <c r="F1382" s="10">
        <v>45303</v>
      </c>
      <c r="G1382" s="11">
        <v>0.36458333333333331</v>
      </c>
      <c r="H1382" s="4" t="s">
        <v>1654</v>
      </c>
      <c r="I1382" s="4">
        <v>9095</v>
      </c>
      <c r="J1382" s="4" t="s">
        <v>1742</v>
      </c>
      <c r="K1382" s="4" t="s">
        <v>1194</v>
      </c>
      <c r="L1382" s="4" t="s">
        <v>1809</v>
      </c>
      <c r="M1382" s="4" t="s">
        <v>46</v>
      </c>
      <c r="N1382" s="4"/>
      <c r="O1382" s="4" t="s">
        <v>47</v>
      </c>
      <c r="P1382" s="4" t="s">
        <v>48</v>
      </c>
      <c r="Q1382" s="4">
        <v>0</v>
      </c>
      <c r="R1382" s="4" t="b">
        <v>0</v>
      </c>
      <c r="S1382" s="4" t="s">
        <v>61</v>
      </c>
      <c r="T1382" s="4" t="s">
        <v>89</v>
      </c>
      <c r="U1382" s="4" t="s">
        <v>175</v>
      </c>
      <c r="V1382" s="4" t="s">
        <v>52</v>
      </c>
      <c r="W1382" s="4" t="s">
        <v>53</v>
      </c>
      <c r="X1382" s="4" t="s">
        <v>54</v>
      </c>
      <c r="Y1382" s="4"/>
      <c r="Z1382" s="12">
        <v>0</v>
      </c>
      <c r="AA1382" s="13" t="s">
        <v>9170</v>
      </c>
      <c r="AB1382" s="13" t="s">
        <v>9168</v>
      </c>
      <c r="AC1382" s="14" t="s">
        <v>9148</v>
      </c>
      <c r="AD1382" s="14" t="s">
        <v>9140</v>
      </c>
      <c r="AE1382" s="14" t="s">
        <v>9140</v>
      </c>
      <c r="AF1382" s="14" t="s">
        <v>52</v>
      </c>
      <c r="AG1382" s="14" t="s">
        <v>54</v>
      </c>
      <c r="AH1382" s="15" t="s">
        <v>9141</v>
      </c>
      <c r="AI1382" s="15" t="s">
        <v>9191</v>
      </c>
      <c r="AJ1382" s="15" t="s">
        <v>9143</v>
      </c>
      <c r="AK1382" s="15" t="s">
        <v>9141</v>
      </c>
      <c r="AL1382" s="15" t="s">
        <v>9191</v>
      </c>
      <c r="AM1382" s="16" t="s">
        <v>9141</v>
      </c>
      <c r="AN1382" s="16" t="s">
        <v>9192</v>
      </c>
    </row>
    <row r="1383" spans="1:40" x14ac:dyDescent="0.25">
      <c r="A1383" s="4" t="s">
        <v>1810</v>
      </c>
      <c r="B1383" s="4"/>
      <c r="C1383" s="4" t="s">
        <v>39</v>
      </c>
      <c r="D1383" s="4" t="s">
        <v>1811</v>
      </c>
      <c r="E1383" s="4" t="s">
        <v>1812</v>
      </c>
      <c r="F1383" s="10">
        <v>45302</v>
      </c>
      <c r="G1383" s="11">
        <v>0.34375</v>
      </c>
      <c r="H1383" s="4" t="s">
        <v>1654</v>
      </c>
      <c r="I1383" s="4">
        <v>9095</v>
      </c>
      <c r="J1383" s="4" t="s">
        <v>1742</v>
      </c>
      <c r="K1383" s="4" t="s">
        <v>1813</v>
      </c>
      <c r="L1383" s="4" t="s">
        <v>1814</v>
      </c>
      <c r="M1383" s="4" t="s">
        <v>46</v>
      </c>
      <c r="N1383" s="4"/>
      <c r="O1383" s="4" t="s">
        <v>47</v>
      </c>
      <c r="P1383" s="4" t="s">
        <v>48</v>
      </c>
      <c r="Q1383" s="4">
        <v>0</v>
      </c>
      <c r="R1383" s="4" t="b">
        <v>0</v>
      </c>
      <c r="S1383" s="4" t="s">
        <v>61</v>
      </c>
      <c r="T1383" s="4" t="s">
        <v>89</v>
      </c>
      <c r="U1383" s="4" t="s">
        <v>148</v>
      </c>
      <c r="V1383" s="4" t="s">
        <v>123</v>
      </c>
      <c r="W1383" s="4" t="s">
        <v>192</v>
      </c>
      <c r="X1383" s="4" t="s">
        <v>54</v>
      </c>
      <c r="Y1383" s="4"/>
      <c r="Z1383" s="12">
        <v>0</v>
      </c>
      <c r="AA1383" s="13" t="s">
        <v>9170</v>
      </c>
      <c r="AB1383" s="13" t="s">
        <v>9168</v>
      </c>
      <c r="AC1383" s="14" t="s">
        <v>9148</v>
      </c>
      <c r="AD1383" s="14" t="s">
        <v>9140</v>
      </c>
      <c r="AE1383" s="14" t="s">
        <v>9140</v>
      </c>
      <c r="AF1383" s="14" t="s">
        <v>123</v>
      </c>
      <c r="AG1383" s="14" t="s">
        <v>54</v>
      </c>
      <c r="AH1383" s="15" t="s">
        <v>9141</v>
      </c>
      <c r="AI1383" s="15" t="s">
        <v>9191</v>
      </c>
      <c r="AJ1383" s="15" t="s">
        <v>9143</v>
      </c>
      <c r="AK1383" s="15" t="s">
        <v>9141</v>
      </c>
      <c r="AL1383" s="15" t="s">
        <v>9191</v>
      </c>
      <c r="AM1383" s="16" t="s">
        <v>9141</v>
      </c>
      <c r="AN1383" s="16" t="s">
        <v>9192</v>
      </c>
    </row>
    <row r="1384" spans="1:40" x14ac:dyDescent="0.25">
      <c r="A1384" s="4" t="s">
        <v>601</v>
      </c>
      <c r="B1384" s="4"/>
      <c r="C1384" s="4" t="s">
        <v>39</v>
      </c>
      <c r="D1384" s="4" t="s">
        <v>602</v>
      </c>
      <c r="E1384" s="4" t="s">
        <v>603</v>
      </c>
      <c r="F1384" s="10">
        <v>45302</v>
      </c>
      <c r="G1384" s="11">
        <v>0.69791666666666663</v>
      </c>
      <c r="H1384" s="4" t="s">
        <v>463</v>
      </c>
      <c r="I1384" s="4">
        <v>2022</v>
      </c>
      <c r="J1384" s="4" t="s">
        <v>565</v>
      </c>
      <c r="K1384" s="4" t="s">
        <v>604</v>
      </c>
      <c r="L1384" s="4" t="s">
        <v>605</v>
      </c>
      <c r="M1384" s="4" t="s">
        <v>46</v>
      </c>
      <c r="N1384" s="4"/>
      <c r="O1384" s="4" t="s">
        <v>47</v>
      </c>
      <c r="P1384" s="4" t="s">
        <v>48</v>
      </c>
      <c r="Q1384" s="4">
        <v>0</v>
      </c>
      <c r="R1384" s="4" t="b">
        <v>0</v>
      </c>
      <c r="S1384" s="4" t="s">
        <v>61</v>
      </c>
      <c r="T1384" s="4" t="s">
        <v>89</v>
      </c>
      <c r="U1384" s="4" t="s">
        <v>107</v>
      </c>
      <c r="V1384" s="4" t="s">
        <v>63</v>
      </c>
      <c r="W1384" s="4" t="s">
        <v>312</v>
      </c>
      <c r="X1384" s="4" t="s">
        <v>54</v>
      </c>
      <c r="Y1384" s="4"/>
      <c r="Z1384" s="12">
        <v>0</v>
      </c>
      <c r="AA1384" s="13" t="s">
        <v>9170</v>
      </c>
      <c r="AB1384" s="13" t="s">
        <v>9168</v>
      </c>
      <c r="AC1384" s="14" t="s">
        <v>9148</v>
      </c>
      <c r="AD1384" s="14" t="s">
        <v>9140</v>
      </c>
      <c r="AE1384" s="14" t="s">
        <v>9140</v>
      </c>
      <c r="AF1384" s="14" t="s">
        <v>63</v>
      </c>
      <c r="AG1384" s="14" t="s">
        <v>54</v>
      </c>
      <c r="AH1384" s="15" t="s">
        <v>9141</v>
      </c>
      <c r="AI1384" s="15" t="s">
        <v>9175</v>
      </c>
      <c r="AJ1384" s="15" t="s">
        <v>9143</v>
      </c>
      <c r="AK1384" s="15" t="s">
        <v>9141</v>
      </c>
      <c r="AL1384" s="15" t="s">
        <v>9175</v>
      </c>
      <c r="AM1384" s="16" t="s">
        <v>9141</v>
      </c>
      <c r="AN1384" s="16" t="s">
        <v>9176</v>
      </c>
    </row>
    <row r="1385" spans="1:40" x14ac:dyDescent="0.25">
      <c r="A1385" s="4" t="s">
        <v>8732</v>
      </c>
      <c r="B1385" s="4"/>
      <c r="C1385" s="4" t="s">
        <v>39</v>
      </c>
      <c r="D1385" s="4" t="s">
        <v>8733</v>
      </c>
      <c r="E1385" s="4" t="s">
        <v>8734</v>
      </c>
      <c r="F1385" s="10">
        <v>45302</v>
      </c>
      <c r="G1385" s="11">
        <v>0.43888888888888888</v>
      </c>
      <c r="H1385" s="4" t="s">
        <v>4516</v>
      </c>
      <c r="I1385" s="4" t="s">
        <v>8691</v>
      </c>
      <c r="J1385" s="4" t="s">
        <v>3943</v>
      </c>
      <c r="K1385" s="4" t="s">
        <v>8735</v>
      </c>
      <c r="L1385" s="4" t="s">
        <v>8736</v>
      </c>
      <c r="M1385" s="4" t="s">
        <v>46</v>
      </c>
      <c r="N1385" s="4"/>
      <c r="O1385" s="4" t="s">
        <v>47</v>
      </c>
      <c r="P1385" s="4" t="s">
        <v>48</v>
      </c>
      <c r="Q1385" s="4">
        <v>0</v>
      </c>
      <c r="R1385" s="4" t="b">
        <v>0</v>
      </c>
      <c r="S1385" s="4" t="s">
        <v>49</v>
      </c>
      <c r="T1385" s="4" t="s">
        <v>479</v>
      </c>
      <c r="U1385" s="4" t="s">
        <v>122</v>
      </c>
      <c r="V1385" s="4" t="s">
        <v>63</v>
      </c>
      <c r="W1385" s="4" t="s">
        <v>108</v>
      </c>
      <c r="X1385" s="4" t="s">
        <v>98</v>
      </c>
      <c r="Y1385" s="4"/>
      <c r="Z1385" s="12">
        <v>0</v>
      </c>
      <c r="AA1385" s="13" t="s">
        <v>9170</v>
      </c>
      <c r="AB1385" s="13" t="s">
        <v>9168</v>
      </c>
      <c r="AC1385" s="14" t="s">
        <v>9139</v>
      </c>
      <c r="AD1385" s="14" t="s">
        <v>9140</v>
      </c>
      <c r="AE1385" s="14" t="s">
        <v>9140</v>
      </c>
      <c r="AF1385" s="14" t="s">
        <v>63</v>
      </c>
      <c r="AG1385" s="14" t="s">
        <v>98</v>
      </c>
      <c r="AH1385" s="15" t="s">
        <v>9220</v>
      </c>
      <c r="AI1385" s="15" t="s">
        <v>9188</v>
      </c>
      <c r="AJ1385" s="15" t="s">
        <v>9143</v>
      </c>
      <c r="AK1385" s="15" t="s">
        <v>9221</v>
      </c>
      <c r="AL1385" s="15" t="s">
        <v>9230</v>
      </c>
      <c r="AM1385" s="16" t="s">
        <v>9221</v>
      </c>
      <c r="AN1385" s="16" t="s">
        <v>9231</v>
      </c>
    </row>
    <row r="1386" spans="1:40" x14ac:dyDescent="0.25">
      <c r="A1386" s="4" t="s">
        <v>3067</v>
      </c>
      <c r="B1386" s="4"/>
      <c r="C1386" s="4" t="s">
        <v>39</v>
      </c>
      <c r="D1386" s="4" t="s">
        <v>3068</v>
      </c>
      <c r="E1386" s="4" t="s">
        <v>3069</v>
      </c>
      <c r="F1386" s="10">
        <v>45302</v>
      </c>
      <c r="G1386" s="11">
        <v>0.53819444444444442</v>
      </c>
      <c r="H1386" s="4" t="s">
        <v>1939</v>
      </c>
      <c r="I1386" s="4" t="s">
        <v>3053</v>
      </c>
      <c r="J1386" s="4" t="s">
        <v>3054</v>
      </c>
      <c r="K1386" s="4" t="s">
        <v>3070</v>
      </c>
      <c r="L1386" s="4" t="s">
        <v>3071</v>
      </c>
      <c r="M1386" s="4" t="s">
        <v>46</v>
      </c>
      <c r="N1386" s="4"/>
      <c r="O1386" s="4" t="s">
        <v>47</v>
      </c>
      <c r="P1386" s="4" t="s">
        <v>48</v>
      </c>
      <c r="Q1386" s="4">
        <v>0</v>
      </c>
      <c r="R1386" s="4" t="b">
        <v>0</v>
      </c>
      <c r="S1386" s="4" t="s">
        <v>114</v>
      </c>
      <c r="T1386" s="4" t="s">
        <v>70</v>
      </c>
      <c r="U1386" s="4" t="s">
        <v>71</v>
      </c>
      <c r="V1386" s="4" t="s">
        <v>72</v>
      </c>
      <c r="W1386" s="4" t="s">
        <v>73</v>
      </c>
      <c r="X1386" s="4" t="s">
        <v>54</v>
      </c>
      <c r="Y1386" s="4"/>
      <c r="Z1386" s="12">
        <v>0</v>
      </c>
      <c r="AA1386" s="13" t="s">
        <v>9170</v>
      </c>
      <c r="AB1386" s="13" t="s">
        <v>9168</v>
      </c>
      <c r="AC1386" s="14" t="s">
        <v>9157</v>
      </c>
      <c r="AD1386" s="14" t="s">
        <v>9140</v>
      </c>
      <c r="AE1386" s="14" t="s">
        <v>9140</v>
      </c>
      <c r="AF1386" s="14" t="s">
        <v>72</v>
      </c>
      <c r="AG1386" s="14" t="s">
        <v>54</v>
      </c>
      <c r="AH1386" s="15" t="s">
        <v>9194</v>
      </c>
      <c r="AI1386" s="15" t="s">
        <v>9175</v>
      </c>
      <c r="AJ1386" s="15" t="s">
        <v>9143</v>
      </c>
      <c r="AK1386" s="15" t="s">
        <v>9194</v>
      </c>
      <c r="AL1386" s="15" t="s">
        <v>9209</v>
      </c>
      <c r="AM1386" s="16" t="s">
        <v>9194</v>
      </c>
      <c r="AN1386" s="16" t="s">
        <v>9210</v>
      </c>
    </row>
    <row r="1387" spans="1:40" x14ac:dyDescent="0.25">
      <c r="A1387" s="4" t="s">
        <v>6098</v>
      </c>
      <c r="B1387" s="4"/>
      <c r="C1387" s="4" t="s">
        <v>39</v>
      </c>
      <c r="D1387" s="4" t="s">
        <v>6099</v>
      </c>
      <c r="E1387" s="4" t="s">
        <v>6100</v>
      </c>
      <c r="F1387" s="10">
        <v>45302</v>
      </c>
      <c r="G1387" s="11">
        <v>0.60972222222222228</v>
      </c>
      <c r="H1387" s="4" t="s">
        <v>5666</v>
      </c>
      <c r="I1387" s="4" t="s">
        <v>6073</v>
      </c>
      <c r="J1387" s="4" t="s">
        <v>3608</v>
      </c>
      <c r="K1387" s="4" t="s">
        <v>6101</v>
      </c>
      <c r="L1387" s="4" t="s">
        <v>6102</v>
      </c>
      <c r="M1387" s="4" t="s">
        <v>46</v>
      </c>
      <c r="N1387" s="4"/>
      <c r="O1387" s="4" t="s">
        <v>47</v>
      </c>
      <c r="P1387" s="4" t="s">
        <v>48</v>
      </c>
      <c r="Q1387" s="4">
        <v>0</v>
      </c>
      <c r="R1387" s="4" t="b">
        <v>0</v>
      </c>
      <c r="S1387" s="4" t="s">
        <v>49</v>
      </c>
      <c r="T1387" s="4" t="s">
        <v>50</v>
      </c>
      <c r="U1387" s="4" t="s">
        <v>650</v>
      </c>
      <c r="V1387" s="4" t="s">
        <v>123</v>
      </c>
      <c r="W1387" s="4" t="s">
        <v>149</v>
      </c>
      <c r="X1387" s="4" t="s">
        <v>98</v>
      </c>
      <c r="Y1387" s="4"/>
      <c r="Z1387" s="12">
        <v>0</v>
      </c>
      <c r="AA1387" s="13" t="s">
        <v>9170</v>
      </c>
      <c r="AB1387" s="13" t="s">
        <v>9168</v>
      </c>
      <c r="AC1387" s="14" t="s">
        <v>9139</v>
      </c>
      <c r="AD1387" s="14" t="s">
        <v>9140</v>
      </c>
      <c r="AE1387" s="14" t="s">
        <v>9140</v>
      </c>
      <c r="AF1387" s="14" t="s">
        <v>123</v>
      </c>
      <c r="AG1387" s="14" t="s">
        <v>98</v>
      </c>
      <c r="AH1387" s="15" t="s">
        <v>9220</v>
      </c>
      <c r="AI1387" s="15" t="s">
        <v>9199</v>
      </c>
      <c r="AJ1387" s="15" t="s">
        <v>9143</v>
      </c>
      <c r="AK1387" s="15" t="s">
        <v>9221</v>
      </c>
      <c r="AL1387" s="15" t="s">
        <v>9199</v>
      </c>
      <c r="AM1387" s="16" t="s">
        <v>9221</v>
      </c>
      <c r="AN1387" s="16" t="s">
        <v>9238</v>
      </c>
    </row>
    <row r="1388" spans="1:40" x14ac:dyDescent="0.25">
      <c r="A1388" s="4" t="s">
        <v>6036</v>
      </c>
      <c r="B1388" s="4"/>
      <c r="C1388" s="4" t="s">
        <v>39</v>
      </c>
      <c r="D1388" s="4" t="s">
        <v>3823</v>
      </c>
      <c r="E1388" s="4" t="s">
        <v>3824</v>
      </c>
      <c r="F1388" s="10">
        <v>45302</v>
      </c>
      <c r="G1388" s="11">
        <v>0.51041666666666663</v>
      </c>
      <c r="H1388" s="4" t="s">
        <v>4242</v>
      </c>
      <c r="I1388" s="4" t="s">
        <v>5918</v>
      </c>
      <c r="J1388" s="4" t="s">
        <v>5919</v>
      </c>
      <c r="K1388" s="4" t="s">
        <v>6007</v>
      </c>
      <c r="L1388" s="4" t="s">
        <v>6037</v>
      </c>
      <c r="M1388" s="4" t="s">
        <v>46</v>
      </c>
      <c r="N1388" s="4"/>
      <c r="O1388" s="4" t="s">
        <v>47</v>
      </c>
      <c r="P1388" s="4" t="s">
        <v>48</v>
      </c>
      <c r="Q1388" s="4">
        <v>0</v>
      </c>
      <c r="R1388" s="4" t="b">
        <v>0</v>
      </c>
      <c r="S1388" s="4" t="s">
        <v>61</v>
      </c>
      <c r="T1388" s="4" t="s">
        <v>70</v>
      </c>
      <c r="U1388" s="4" t="s">
        <v>71</v>
      </c>
      <c r="V1388" s="4" t="s">
        <v>72</v>
      </c>
      <c r="W1388" s="4" t="s">
        <v>73</v>
      </c>
      <c r="X1388" s="4" t="s">
        <v>54</v>
      </c>
      <c r="Y1388" s="4"/>
      <c r="Z1388" s="12">
        <v>0</v>
      </c>
      <c r="AA1388" s="13" t="s">
        <v>9170</v>
      </c>
      <c r="AB1388" s="13" t="s">
        <v>9168</v>
      </c>
      <c r="AC1388" s="14" t="s">
        <v>9148</v>
      </c>
      <c r="AD1388" s="14" t="s">
        <v>9140</v>
      </c>
      <c r="AE1388" s="14" t="s">
        <v>9140</v>
      </c>
      <c r="AF1388" s="14" t="s">
        <v>72</v>
      </c>
      <c r="AG1388" s="14" t="s">
        <v>54</v>
      </c>
      <c r="AH1388" s="15" t="s">
        <v>9220</v>
      </c>
      <c r="AI1388" s="15" t="s">
        <v>9187</v>
      </c>
      <c r="AJ1388" s="15" t="s">
        <v>9143</v>
      </c>
      <c r="AK1388" s="15" t="s">
        <v>9221</v>
      </c>
      <c r="AL1388" s="15" t="s">
        <v>9226</v>
      </c>
      <c r="AM1388" s="16" t="s">
        <v>9221</v>
      </c>
      <c r="AN1388" s="16" t="s">
        <v>9227</v>
      </c>
    </row>
    <row r="1389" spans="1:40" x14ac:dyDescent="0.25">
      <c r="A1389" s="4" t="s">
        <v>6038</v>
      </c>
      <c r="B1389" s="4"/>
      <c r="C1389" s="4" t="s">
        <v>39</v>
      </c>
      <c r="D1389" s="4" t="s">
        <v>5950</v>
      </c>
      <c r="E1389" s="4" t="s">
        <v>5951</v>
      </c>
      <c r="F1389" s="10">
        <v>45302</v>
      </c>
      <c r="G1389" s="11">
        <v>0.68055555555555558</v>
      </c>
      <c r="H1389" s="4" t="s">
        <v>4242</v>
      </c>
      <c r="I1389" s="4" t="s">
        <v>5918</v>
      </c>
      <c r="J1389" s="4" t="s">
        <v>5919</v>
      </c>
      <c r="K1389" s="4" t="s">
        <v>980</v>
      </c>
      <c r="L1389" s="4" t="s">
        <v>6039</v>
      </c>
      <c r="M1389" s="4" t="s">
        <v>46</v>
      </c>
      <c r="N1389" s="4"/>
      <c r="O1389" s="4" t="s">
        <v>47</v>
      </c>
      <c r="P1389" s="4" t="s">
        <v>48</v>
      </c>
      <c r="Q1389" s="4">
        <v>0</v>
      </c>
      <c r="R1389" s="4" t="b">
        <v>0</v>
      </c>
      <c r="S1389" s="4" t="s">
        <v>49</v>
      </c>
      <c r="T1389" s="4" t="s">
        <v>50</v>
      </c>
      <c r="U1389" s="4" t="s">
        <v>140</v>
      </c>
      <c r="V1389" s="4" t="s">
        <v>63</v>
      </c>
      <c r="W1389" s="4" t="s">
        <v>108</v>
      </c>
      <c r="X1389" s="4" t="s">
        <v>98</v>
      </c>
      <c r="Y1389" s="4"/>
      <c r="Z1389" s="12">
        <v>0</v>
      </c>
      <c r="AA1389" s="13" t="s">
        <v>9170</v>
      </c>
      <c r="AB1389" s="13" t="s">
        <v>9168</v>
      </c>
      <c r="AC1389" s="14" t="s">
        <v>9139</v>
      </c>
      <c r="AD1389" s="14" t="s">
        <v>9140</v>
      </c>
      <c r="AE1389" s="14" t="s">
        <v>9140</v>
      </c>
      <c r="AF1389" s="14" t="s">
        <v>63</v>
      </c>
      <c r="AG1389" s="14" t="s">
        <v>98</v>
      </c>
      <c r="AH1389" s="15" t="s">
        <v>9220</v>
      </c>
      <c r="AI1389" s="15" t="s">
        <v>9187</v>
      </c>
      <c r="AJ1389" s="15" t="s">
        <v>9143</v>
      </c>
      <c r="AK1389" s="15" t="s">
        <v>9221</v>
      </c>
      <c r="AL1389" s="15" t="s">
        <v>9226</v>
      </c>
      <c r="AM1389" s="16" t="s">
        <v>9221</v>
      </c>
      <c r="AN1389" s="16" t="s">
        <v>9227</v>
      </c>
    </row>
    <row r="1390" spans="1:40" x14ac:dyDescent="0.25">
      <c r="A1390" s="4" t="s">
        <v>5393</v>
      </c>
      <c r="B1390" s="4"/>
      <c r="C1390" s="4" t="s">
        <v>39</v>
      </c>
      <c r="D1390" s="4" t="s">
        <v>5358</v>
      </c>
      <c r="E1390" s="4" t="s">
        <v>5359</v>
      </c>
      <c r="F1390" s="10">
        <v>45302</v>
      </c>
      <c r="G1390" s="11">
        <v>0.67222222222222228</v>
      </c>
      <c r="H1390" s="4" t="s">
        <v>4910</v>
      </c>
      <c r="I1390" s="4" t="s">
        <v>5360</v>
      </c>
      <c r="J1390" s="4" t="s">
        <v>2062</v>
      </c>
      <c r="K1390" s="4" t="s">
        <v>5394</v>
      </c>
      <c r="L1390" s="4" t="s">
        <v>5395</v>
      </c>
      <c r="M1390" s="4" t="s">
        <v>46</v>
      </c>
      <c r="N1390" s="4"/>
      <c r="O1390" s="4" t="s">
        <v>47</v>
      </c>
      <c r="P1390" s="4" t="s">
        <v>48</v>
      </c>
      <c r="Q1390" s="4">
        <v>0</v>
      </c>
      <c r="R1390" s="4" t="b">
        <v>0</v>
      </c>
      <c r="S1390" s="4" t="s">
        <v>61</v>
      </c>
      <c r="T1390" s="4" t="s">
        <v>266</v>
      </c>
      <c r="U1390" s="4" t="s">
        <v>330</v>
      </c>
      <c r="V1390" s="4" t="s">
        <v>267</v>
      </c>
      <c r="W1390" s="4" t="s">
        <v>2330</v>
      </c>
      <c r="X1390" s="4" t="s">
        <v>54</v>
      </c>
      <c r="Y1390" s="4"/>
      <c r="Z1390" s="12">
        <v>0</v>
      </c>
      <c r="AA1390" s="13" t="s">
        <v>9170</v>
      </c>
      <c r="AB1390" s="13" t="s">
        <v>9168</v>
      </c>
      <c r="AC1390" s="14" t="s">
        <v>9148</v>
      </c>
      <c r="AD1390" s="14" t="s">
        <v>9140</v>
      </c>
      <c r="AE1390" s="14" t="s">
        <v>9140</v>
      </c>
      <c r="AF1390" s="14" t="s">
        <v>267</v>
      </c>
      <c r="AG1390" s="14" t="s">
        <v>54</v>
      </c>
      <c r="AH1390" s="15" t="s">
        <v>9220</v>
      </c>
      <c r="AI1390" s="15" t="s">
        <v>9191</v>
      </c>
      <c r="AJ1390" s="15" t="s">
        <v>9143</v>
      </c>
      <c r="AK1390" s="15" t="s">
        <v>9221</v>
      </c>
      <c r="AL1390" s="15" t="s">
        <v>9234</v>
      </c>
      <c r="AM1390" s="16" t="s">
        <v>9221</v>
      </c>
      <c r="AN1390" s="16" t="s">
        <v>9235</v>
      </c>
    </row>
    <row r="1391" spans="1:40" x14ac:dyDescent="0.25">
      <c r="A1391" s="4" t="s">
        <v>7785</v>
      </c>
      <c r="B1391" s="4"/>
      <c r="C1391" s="4" t="s">
        <v>39</v>
      </c>
      <c r="D1391" s="4" t="s">
        <v>7786</v>
      </c>
      <c r="E1391" s="4" t="s">
        <v>7787</v>
      </c>
      <c r="F1391" s="10">
        <v>45302</v>
      </c>
      <c r="G1391" s="11">
        <v>0.56180555555555556</v>
      </c>
      <c r="H1391" s="4" t="s">
        <v>4516</v>
      </c>
      <c r="I1391" s="4" t="s">
        <v>7760</v>
      </c>
      <c r="J1391" s="4" t="s">
        <v>7761</v>
      </c>
      <c r="K1391" s="4" t="s">
        <v>3361</v>
      </c>
      <c r="L1391" s="4" t="s">
        <v>7788</v>
      </c>
      <c r="M1391" s="4" t="s">
        <v>46</v>
      </c>
      <c r="N1391" s="4"/>
      <c r="O1391" s="4" t="s">
        <v>47</v>
      </c>
      <c r="P1391" s="4" t="s">
        <v>48</v>
      </c>
      <c r="Q1391" s="4">
        <v>0</v>
      </c>
      <c r="R1391" s="4" t="b">
        <v>0</v>
      </c>
      <c r="S1391" s="4" t="s">
        <v>49</v>
      </c>
      <c r="T1391" s="4" t="s">
        <v>479</v>
      </c>
      <c r="U1391" s="4" t="s">
        <v>148</v>
      </c>
      <c r="V1391" s="4" t="s">
        <v>123</v>
      </c>
      <c r="W1391" s="4" t="s">
        <v>124</v>
      </c>
      <c r="X1391" s="4" t="s">
        <v>54</v>
      </c>
      <c r="Y1391" s="4"/>
      <c r="Z1391" s="12">
        <v>0</v>
      </c>
      <c r="AA1391" s="13" t="s">
        <v>9170</v>
      </c>
      <c r="AB1391" s="13" t="s">
        <v>9168</v>
      </c>
      <c r="AC1391" s="14" t="s">
        <v>9139</v>
      </c>
      <c r="AD1391" s="14" t="s">
        <v>9140</v>
      </c>
      <c r="AE1391" s="14" t="s">
        <v>9140</v>
      </c>
      <c r="AF1391" s="14" t="s">
        <v>123</v>
      </c>
      <c r="AG1391" s="14" t="s">
        <v>54</v>
      </c>
      <c r="AH1391" s="15" t="s">
        <v>9220</v>
      </c>
      <c r="AI1391" s="15" t="s">
        <v>9188</v>
      </c>
      <c r="AJ1391" s="15" t="s">
        <v>9143</v>
      </c>
      <c r="AK1391" s="15" t="s">
        <v>9221</v>
      </c>
      <c r="AL1391" s="15" t="s">
        <v>9230</v>
      </c>
      <c r="AM1391" s="16" t="s">
        <v>9221</v>
      </c>
      <c r="AN1391" s="16" t="s">
        <v>9231</v>
      </c>
    </row>
    <row r="1392" spans="1:40" x14ac:dyDescent="0.25">
      <c r="A1392" s="4" t="s">
        <v>8160</v>
      </c>
      <c r="B1392" s="4"/>
      <c r="C1392" s="4" t="s">
        <v>39</v>
      </c>
      <c r="D1392" s="4" t="s">
        <v>8161</v>
      </c>
      <c r="E1392" s="4" t="s">
        <v>8162</v>
      </c>
      <c r="F1392" s="10">
        <v>45302</v>
      </c>
      <c r="G1392" s="11">
        <v>0.4375</v>
      </c>
      <c r="H1392" s="4" t="s">
        <v>4516</v>
      </c>
      <c r="I1392" s="4" t="s">
        <v>8133</v>
      </c>
      <c r="J1392" s="4" t="s">
        <v>8134</v>
      </c>
      <c r="K1392" s="4" t="s">
        <v>8163</v>
      </c>
      <c r="L1392" s="4" t="s">
        <v>8164</v>
      </c>
      <c r="M1392" s="4" t="s">
        <v>46</v>
      </c>
      <c r="N1392" s="4"/>
      <c r="O1392" s="4" t="s">
        <v>47</v>
      </c>
      <c r="P1392" s="4" t="s">
        <v>48</v>
      </c>
      <c r="Q1392" s="4">
        <v>0</v>
      </c>
      <c r="R1392" s="4" t="b">
        <v>0</v>
      </c>
      <c r="S1392" s="4" t="s">
        <v>61</v>
      </c>
      <c r="T1392" s="4" t="s">
        <v>1495</v>
      </c>
      <c r="U1392" s="4" t="s">
        <v>618</v>
      </c>
      <c r="V1392" s="4" t="s">
        <v>225</v>
      </c>
      <c r="W1392" s="4" t="s">
        <v>226</v>
      </c>
      <c r="X1392" s="4" t="s">
        <v>2372</v>
      </c>
      <c r="Y1392" s="4"/>
      <c r="Z1392" s="12">
        <v>0</v>
      </c>
      <c r="AA1392" s="13" t="s">
        <v>9170</v>
      </c>
      <c r="AB1392" s="13" t="s">
        <v>9168</v>
      </c>
      <c r="AC1392" s="14" t="s">
        <v>9148</v>
      </c>
      <c r="AD1392" s="14" t="s">
        <v>9140</v>
      </c>
      <c r="AE1392" s="14" t="s">
        <v>9140</v>
      </c>
      <c r="AF1392" s="14" t="s">
        <v>225</v>
      </c>
      <c r="AG1392" s="14" t="s">
        <v>2372</v>
      </c>
      <c r="AH1392" s="15" t="s">
        <v>9220</v>
      </c>
      <c r="AI1392" s="15" t="s">
        <v>9188</v>
      </c>
      <c r="AJ1392" s="15" t="s">
        <v>9143</v>
      </c>
      <c r="AK1392" s="15" t="s">
        <v>9221</v>
      </c>
      <c r="AL1392" s="15" t="s">
        <v>9230</v>
      </c>
      <c r="AM1392" s="16" t="s">
        <v>9221</v>
      </c>
      <c r="AN1392" s="16" t="s">
        <v>9231</v>
      </c>
    </row>
    <row r="1393" spans="1:40" x14ac:dyDescent="0.25">
      <c r="A1393" s="4" t="s">
        <v>8165</v>
      </c>
      <c r="B1393" s="4"/>
      <c r="C1393" s="4" t="s">
        <v>39</v>
      </c>
      <c r="D1393" s="4" t="s">
        <v>8141</v>
      </c>
      <c r="E1393" s="4" t="s">
        <v>8142</v>
      </c>
      <c r="F1393" s="10">
        <v>45301</v>
      </c>
      <c r="G1393" s="11">
        <v>0.71875</v>
      </c>
      <c r="H1393" s="4" t="s">
        <v>4516</v>
      </c>
      <c r="I1393" s="4" t="s">
        <v>8133</v>
      </c>
      <c r="J1393" s="4" t="s">
        <v>8134</v>
      </c>
      <c r="K1393" s="4" t="s">
        <v>8166</v>
      </c>
      <c r="L1393" s="4" t="s">
        <v>8167</v>
      </c>
      <c r="M1393" s="4" t="s">
        <v>46</v>
      </c>
      <c r="N1393" s="4"/>
      <c r="O1393" s="4" t="s">
        <v>47</v>
      </c>
      <c r="P1393" s="4" t="s">
        <v>48</v>
      </c>
      <c r="Q1393" s="4">
        <v>0</v>
      </c>
      <c r="R1393" s="4" t="b">
        <v>0</v>
      </c>
      <c r="S1393" s="4" t="s">
        <v>61</v>
      </c>
      <c r="T1393" s="4" t="s">
        <v>479</v>
      </c>
      <c r="U1393" s="4" t="s">
        <v>148</v>
      </c>
      <c r="V1393" s="4" t="s">
        <v>123</v>
      </c>
      <c r="W1393" s="4" t="s">
        <v>192</v>
      </c>
      <c r="X1393" s="4" t="s">
        <v>54</v>
      </c>
      <c r="Y1393" s="4"/>
      <c r="Z1393" s="12">
        <v>0</v>
      </c>
      <c r="AA1393" s="13" t="s">
        <v>9170</v>
      </c>
      <c r="AB1393" s="13" t="s">
        <v>9168</v>
      </c>
      <c r="AC1393" s="14" t="s">
        <v>9148</v>
      </c>
      <c r="AD1393" s="14" t="s">
        <v>9140</v>
      </c>
      <c r="AE1393" s="14" t="s">
        <v>9140</v>
      </c>
      <c r="AF1393" s="14" t="s">
        <v>123</v>
      </c>
      <c r="AG1393" s="14" t="s">
        <v>54</v>
      </c>
      <c r="AH1393" s="15" t="s">
        <v>9220</v>
      </c>
      <c r="AI1393" s="15" t="s">
        <v>9188</v>
      </c>
      <c r="AJ1393" s="15" t="s">
        <v>9143</v>
      </c>
      <c r="AK1393" s="15" t="s">
        <v>9221</v>
      </c>
      <c r="AL1393" s="15" t="s">
        <v>9230</v>
      </c>
      <c r="AM1393" s="16" t="s">
        <v>9221</v>
      </c>
      <c r="AN1393" s="16" t="s">
        <v>9231</v>
      </c>
    </row>
    <row r="1394" spans="1:40" x14ac:dyDescent="0.25">
      <c r="A1394" s="4" t="s">
        <v>4629</v>
      </c>
      <c r="B1394" s="4"/>
      <c r="C1394" s="4" t="s">
        <v>39</v>
      </c>
      <c r="D1394" s="4" t="s">
        <v>4630</v>
      </c>
      <c r="E1394" s="4" t="s">
        <v>4631</v>
      </c>
      <c r="F1394" s="10">
        <v>45301</v>
      </c>
      <c r="G1394" s="11">
        <v>0.58333333333333337</v>
      </c>
      <c r="H1394" s="4" t="s">
        <v>4516</v>
      </c>
      <c r="I1394" s="4" t="s">
        <v>4586</v>
      </c>
      <c r="J1394" s="4" t="s">
        <v>2630</v>
      </c>
      <c r="K1394" s="4" t="s">
        <v>4632</v>
      </c>
      <c r="L1394" s="4" t="s">
        <v>4633</v>
      </c>
      <c r="M1394" s="4" t="s">
        <v>46</v>
      </c>
      <c r="N1394" s="4"/>
      <c r="O1394" s="4" t="s">
        <v>47</v>
      </c>
      <c r="P1394" s="4" t="s">
        <v>48</v>
      </c>
      <c r="Q1394" s="4">
        <v>0</v>
      </c>
      <c r="R1394" s="4" t="b">
        <v>0</v>
      </c>
      <c r="S1394" s="4" t="s">
        <v>61</v>
      </c>
      <c r="T1394" s="4" t="s">
        <v>479</v>
      </c>
      <c r="U1394" s="4" t="s">
        <v>175</v>
      </c>
      <c r="V1394" s="4" t="s">
        <v>52</v>
      </c>
      <c r="W1394" s="4" t="s">
        <v>53</v>
      </c>
      <c r="X1394" s="4" t="s">
        <v>54</v>
      </c>
      <c r="Y1394" s="4"/>
      <c r="Z1394" s="12">
        <v>0</v>
      </c>
      <c r="AA1394" s="13" t="s">
        <v>9170</v>
      </c>
      <c r="AB1394" s="13" t="s">
        <v>9168</v>
      </c>
      <c r="AC1394" s="14" t="s">
        <v>9148</v>
      </c>
      <c r="AD1394" s="14" t="s">
        <v>9140</v>
      </c>
      <c r="AE1394" s="14" t="s">
        <v>9140</v>
      </c>
      <c r="AF1394" s="14" t="s">
        <v>52</v>
      </c>
      <c r="AG1394" s="14" t="s">
        <v>54</v>
      </c>
      <c r="AH1394" s="15" t="s">
        <v>9220</v>
      </c>
      <c r="AI1394" s="15" t="s">
        <v>9188</v>
      </c>
      <c r="AJ1394" s="15" t="s">
        <v>9143</v>
      </c>
      <c r="AK1394" s="15" t="s">
        <v>9221</v>
      </c>
      <c r="AL1394" s="15" t="s">
        <v>9232</v>
      </c>
      <c r="AM1394" s="16" t="s">
        <v>9221</v>
      </c>
      <c r="AN1394" s="16" t="s">
        <v>9233</v>
      </c>
    </row>
    <row r="1395" spans="1:40" x14ac:dyDescent="0.25">
      <c r="A1395" s="4" t="s">
        <v>6818</v>
      </c>
      <c r="B1395" s="4" t="s">
        <v>6819</v>
      </c>
      <c r="C1395" s="4" t="s">
        <v>39</v>
      </c>
      <c r="D1395" s="4" t="s">
        <v>6820</v>
      </c>
      <c r="E1395" s="4" t="s">
        <v>6821</v>
      </c>
      <c r="F1395" s="10">
        <v>45301</v>
      </c>
      <c r="G1395" s="11">
        <v>0.73750000000000004</v>
      </c>
      <c r="H1395" s="4" t="s">
        <v>4910</v>
      </c>
      <c r="I1395" s="4" t="s">
        <v>6800</v>
      </c>
      <c r="J1395" s="4" t="s">
        <v>2914</v>
      </c>
      <c r="K1395" s="4" t="s">
        <v>6822</v>
      </c>
      <c r="L1395" s="4" t="s">
        <v>6823</v>
      </c>
      <c r="M1395" s="4" t="s">
        <v>28</v>
      </c>
      <c r="N1395" s="4" t="s">
        <v>183</v>
      </c>
      <c r="O1395" s="4" t="s">
        <v>174</v>
      </c>
      <c r="P1395" s="4" t="s">
        <v>48</v>
      </c>
      <c r="Q1395" s="4">
        <v>22</v>
      </c>
      <c r="R1395" s="4" t="b">
        <v>0</v>
      </c>
      <c r="S1395" s="4" t="s">
        <v>184</v>
      </c>
      <c r="T1395" s="4" t="s">
        <v>89</v>
      </c>
      <c r="U1395" s="4" t="s">
        <v>148</v>
      </c>
      <c r="V1395" s="4" t="s">
        <v>52</v>
      </c>
      <c r="W1395" s="4" t="s">
        <v>53</v>
      </c>
      <c r="X1395" s="4" t="s">
        <v>98</v>
      </c>
      <c r="Y1395" s="4" t="s">
        <v>323</v>
      </c>
      <c r="Z1395" s="12" t="s">
        <v>48</v>
      </c>
      <c r="AA1395" s="13" t="s">
        <v>9170</v>
      </c>
      <c r="AB1395" s="13" t="s">
        <v>9168</v>
      </c>
      <c r="AC1395" s="14" t="s">
        <v>9166</v>
      </c>
      <c r="AD1395" s="14" t="s">
        <v>28</v>
      </c>
      <c r="AE1395" s="14" t="s">
        <v>183</v>
      </c>
      <c r="AF1395" s="14" t="s">
        <v>52</v>
      </c>
      <c r="AG1395" s="14" t="s">
        <v>98</v>
      </c>
      <c r="AH1395" s="15" t="s">
        <v>9220</v>
      </c>
      <c r="AI1395" s="15" t="s">
        <v>9191</v>
      </c>
      <c r="AJ1395" s="15" t="s">
        <v>9143</v>
      </c>
      <c r="AK1395" s="15" t="s">
        <v>9221</v>
      </c>
      <c r="AL1395" s="15" t="s">
        <v>9234</v>
      </c>
      <c r="AM1395" s="16" t="s">
        <v>9221</v>
      </c>
      <c r="AN1395" s="16" t="s">
        <v>9235</v>
      </c>
    </row>
    <row r="1396" spans="1:40" x14ac:dyDescent="0.25">
      <c r="A1396" s="4" t="s">
        <v>5911</v>
      </c>
      <c r="B1396" s="4"/>
      <c r="C1396" s="4" t="s">
        <v>39</v>
      </c>
      <c r="D1396" s="4" t="s">
        <v>5912</v>
      </c>
      <c r="E1396" s="4" t="s">
        <v>5913</v>
      </c>
      <c r="F1396" s="10">
        <v>45301</v>
      </c>
      <c r="G1396" s="11">
        <v>0.41666666666666669</v>
      </c>
      <c r="H1396" s="4" t="s">
        <v>5666</v>
      </c>
      <c r="I1396" s="4" t="s">
        <v>5876</v>
      </c>
      <c r="J1396" s="4" t="s">
        <v>3313</v>
      </c>
      <c r="K1396" s="4" t="s">
        <v>5914</v>
      </c>
      <c r="L1396" s="4" t="s">
        <v>5915</v>
      </c>
      <c r="M1396" s="4" t="s">
        <v>46</v>
      </c>
      <c r="N1396" s="4"/>
      <c r="O1396" s="4" t="s">
        <v>47</v>
      </c>
      <c r="P1396" s="4" t="s">
        <v>48</v>
      </c>
      <c r="Q1396" s="4">
        <v>0</v>
      </c>
      <c r="R1396" s="4" t="b">
        <v>0</v>
      </c>
      <c r="S1396" s="4" t="s">
        <v>114</v>
      </c>
      <c r="T1396" s="4" t="s">
        <v>89</v>
      </c>
      <c r="U1396" s="4" t="s">
        <v>618</v>
      </c>
      <c r="V1396" s="4" t="s">
        <v>63</v>
      </c>
      <c r="W1396" s="4" t="s">
        <v>108</v>
      </c>
      <c r="X1396" s="4" t="s">
        <v>98</v>
      </c>
      <c r="Y1396" s="4"/>
      <c r="Z1396" s="12">
        <v>0</v>
      </c>
      <c r="AA1396" s="13" t="s">
        <v>9170</v>
      </c>
      <c r="AB1396" s="13" t="s">
        <v>9168</v>
      </c>
      <c r="AC1396" s="14" t="s">
        <v>9157</v>
      </c>
      <c r="AD1396" s="14" t="s">
        <v>9140</v>
      </c>
      <c r="AE1396" s="14" t="s">
        <v>9140</v>
      </c>
      <c r="AF1396" s="14" t="s">
        <v>63</v>
      </c>
      <c r="AG1396" s="14" t="s">
        <v>98</v>
      </c>
      <c r="AH1396" s="15" t="s">
        <v>9220</v>
      </c>
      <c r="AI1396" s="15" t="s">
        <v>9199</v>
      </c>
      <c r="AJ1396" s="15" t="s">
        <v>9143</v>
      </c>
      <c r="AK1396" s="15" t="s">
        <v>9221</v>
      </c>
      <c r="AL1396" s="15" t="s">
        <v>9199</v>
      </c>
      <c r="AM1396" s="16" t="s">
        <v>9221</v>
      </c>
      <c r="AN1396" s="16" t="s">
        <v>9238</v>
      </c>
    </row>
    <row r="1397" spans="1:40" x14ac:dyDescent="0.25">
      <c r="A1397" s="4" t="s">
        <v>833</v>
      </c>
      <c r="B1397" s="4"/>
      <c r="C1397" s="4" t="s">
        <v>39</v>
      </c>
      <c r="D1397" s="4" t="s">
        <v>834</v>
      </c>
      <c r="E1397" s="4" t="s">
        <v>835</v>
      </c>
      <c r="F1397" s="10">
        <v>45300</v>
      </c>
      <c r="G1397" s="11">
        <v>0.50624999999999998</v>
      </c>
      <c r="H1397" s="4" t="s">
        <v>463</v>
      </c>
      <c r="I1397" s="4">
        <v>2028</v>
      </c>
      <c r="J1397" s="4" t="s">
        <v>804</v>
      </c>
      <c r="K1397" s="4" t="s">
        <v>836</v>
      </c>
      <c r="L1397" s="4" t="s">
        <v>837</v>
      </c>
      <c r="M1397" s="4" t="s">
        <v>46</v>
      </c>
      <c r="N1397" s="4"/>
      <c r="O1397" s="4" t="s">
        <v>47</v>
      </c>
      <c r="P1397" s="4" t="s">
        <v>48</v>
      </c>
      <c r="Q1397" s="4">
        <v>0</v>
      </c>
      <c r="R1397" s="4" t="b">
        <v>0</v>
      </c>
      <c r="S1397" s="4" t="s">
        <v>61</v>
      </c>
      <c r="T1397" s="4" t="s">
        <v>89</v>
      </c>
      <c r="U1397" s="4" t="s">
        <v>373</v>
      </c>
      <c r="V1397" s="4" t="s">
        <v>63</v>
      </c>
      <c r="W1397" s="4" t="s">
        <v>108</v>
      </c>
      <c r="X1397" s="4" t="s">
        <v>838</v>
      </c>
      <c r="Y1397" s="4" t="s">
        <v>486</v>
      </c>
      <c r="Z1397" s="12">
        <v>0</v>
      </c>
      <c r="AA1397" s="13" t="s">
        <v>9170</v>
      </c>
      <c r="AB1397" s="13" t="s">
        <v>9168</v>
      </c>
      <c r="AC1397" s="14" t="s">
        <v>9148</v>
      </c>
      <c r="AD1397" s="14" t="s">
        <v>9140</v>
      </c>
      <c r="AE1397" s="14" t="s">
        <v>9140</v>
      </c>
      <c r="AF1397" s="14" t="s">
        <v>63</v>
      </c>
      <c r="AG1397" s="14" t="s">
        <v>838</v>
      </c>
      <c r="AH1397" s="15" t="s">
        <v>9141</v>
      </c>
      <c r="AI1397" s="15" t="s">
        <v>9175</v>
      </c>
      <c r="AJ1397" s="15" t="s">
        <v>9143</v>
      </c>
      <c r="AK1397" s="15" t="s">
        <v>9141</v>
      </c>
      <c r="AL1397" s="15" t="s">
        <v>9175</v>
      </c>
      <c r="AM1397" s="16" t="s">
        <v>9141</v>
      </c>
      <c r="AN1397" s="16" t="s">
        <v>9176</v>
      </c>
    </row>
    <row r="1398" spans="1:40" x14ac:dyDescent="0.25">
      <c r="A1398" s="4" t="s">
        <v>7511</v>
      </c>
      <c r="B1398" s="4"/>
      <c r="C1398" s="4" t="s">
        <v>39</v>
      </c>
      <c r="D1398" s="4" t="s">
        <v>7461</v>
      </c>
      <c r="E1398" s="4" t="s">
        <v>7462</v>
      </c>
      <c r="F1398" s="10">
        <v>45300</v>
      </c>
      <c r="G1398" s="11">
        <v>0.69791666666666663</v>
      </c>
      <c r="H1398" s="4" t="s">
        <v>4910</v>
      </c>
      <c r="I1398" s="4" t="s">
        <v>7457</v>
      </c>
      <c r="J1398" s="4" t="s">
        <v>2378</v>
      </c>
      <c r="K1398" s="4" t="s">
        <v>7512</v>
      </c>
      <c r="L1398" s="4" t="s">
        <v>7513</v>
      </c>
      <c r="M1398" s="4" t="s">
        <v>46</v>
      </c>
      <c r="N1398" s="4"/>
      <c r="O1398" s="4" t="s">
        <v>47</v>
      </c>
      <c r="P1398" s="4" t="s">
        <v>48</v>
      </c>
      <c r="Q1398" s="4">
        <v>0</v>
      </c>
      <c r="R1398" s="4" t="b">
        <v>0</v>
      </c>
      <c r="S1398" s="4" t="s">
        <v>61</v>
      </c>
      <c r="T1398" s="4" t="s">
        <v>479</v>
      </c>
      <c r="U1398" s="4" t="s">
        <v>122</v>
      </c>
      <c r="V1398" s="4" t="s">
        <v>52</v>
      </c>
      <c r="W1398" s="4" t="s">
        <v>255</v>
      </c>
      <c r="X1398" s="4" t="s">
        <v>98</v>
      </c>
      <c r="Y1398" s="4"/>
      <c r="Z1398" s="12">
        <v>0</v>
      </c>
      <c r="AA1398" s="13" t="s">
        <v>9170</v>
      </c>
      <c r="AB1398" s="13" t="s">
        <v>9168</v>
      </c>
      <c r="AC1398" s="14" t="s">
        <v>9148</v>
      </c>
      <c r="AD1398" s="14" t="s">
        <v>9140</v>
      </c>
      <c r="AE1398" s="14" t="s">
        <v>9140</v>
      </c>
      <c r="AF1398" s="14" t="s">
        <v>52</v>
      </c>
      <c r="AG1398" s="14" t="s">
        <v>98</v>
      </c>
      <c r="AH1398" s="15" t="s">
        <v>9220</v>
      </c>
      <c r="AI1398" s="15" t="s">
        <v>9191</v>
      </c>
      <c r="AJ1398" s="15" t="s">
        <v>9143</v>
      </c>
      <c r="AK1398" s="15" t="s">
        <v>9221</v>
      </c>
      <c r="AL1398" s="15" t="s">
        <v>9226</v>
      </c>
      <c r="AM1398" s="16" t="s">
        <v>9221</v>
      </c>
      <c r="AN1398" s="16" t="s">
        <v>9227</v>
      </c>
    </row>
    <row r="1399" spans="1:40" x14ac:dyDescent="0.25">
      <c r="A1399" s="4" t="s">
        <v>8168</v>
      </c>
      <c r="B1399" s="4"/>
      <c r="C1399" s="4" t="s">
        <v>39</v>
      </c>
      <c r="D1399" s="4" t="s">
        <v>8169</v>
      </c>
      <c r="E1399" s="4" t="s">
        <v>8170</v>
      </c>
      <c r="F1399" s="10">
        <v>45300</v>
      </c>
      <c r="G1399" s="11">
        <v>0.67708333333333337</v>
      </c>
      <c r="H1399" s="4" t="s">
        <v>4516</v>
      </c>
      <c r="I1399" s="4" t="s">
        <v>8133</v>
      </c>
      <c r="J1399" s="4" t="s">
        <v>8134</v>
      </c>
      <c r="K1399" s="4" t="s">
        <v>8171</v>
      </c>
      <c r="L1399" s="4" t="s">
        <v>8172</v>
      </c>
      <c r="M1399" s="4" t="s">
        <v>46</v>
      </c>
      <c r="N1399" s="4"/>
      <c r="O1399" s="4" t="s">
        <v>47</v>
      </c>
      <c r="P1399" s="4" t="s">
        <v>48</v>
      </c>
      <c r="Q1399" s="4">
        <v>0</v>
      </c>
      <c r="R1399" s="4" t="b">
        <v>0</v>
      </c>
      <c r="S1399" s="4" t="s">
        <v>49</v>
      </c>
      <c r="T1399" s="4" t="s">
        <v>70</v>
      </c>
      <c r="U1399" s="4" t="s">
        <v>527</v>
      </c>
      <c r="V1399" s="4" t="s">
        <v>63</v>
      </c>
      <c r="W1399" s="4" t="s">
        <v>108</v>
      </c>
      <c r="X1399" s="4" t="s">
        <v>98</v>
      </c>
      <c r="Y1399" s="4"/>
      <c r="Z1399" s="12">
        <v>0</v>
      </c>
      <c r="AA1399" s="13" t="s">
        <v>9170</v>
      </c>
      <c r="AB1399" s="13" t="s">
        <v>9168</v>
      </c>
      <c r="AC1399" s="14" t="s">
        <v>9139</v>
      </c>
      <c r="AD1399" s="14" t="s">
        <v>9140</v>
      </c>
      <c r="AE1399" s="14" t="s">
        <v>9140</v>
      </c>
      <c r="AF1399" s="14" t="s">
        <v>63</v>
      </c>
      <c r="AG1399" s="14" t="s">
        <v>98</v>
      </c>
      <c r="AH1399" s="15" t="s">
        <v>9220</v>
      </c>
      <c r="AI1399" s="15" t="s">
        <v>9188</v>
      </c>
      <c r="AJ1399" s="15" t="s">
        <v>9143</v>
      </c>
      <c r="AK1399" s="15" t="s">
        <v>9221</v>
      </c>
      <c r="AL1399" s="15" t="s">
        <v>9230</v>
      </c>
      <c r="AM1399" s="16" t="s">
        <v>9221</v>
      </c>
      <c r="AN1399" s="16" t="s">
        <v>9231</v>
      </c>
    </row>
    <row r="1400" spans="1:40" x14ac:dyDescent="0.25">
      <c r="A1400" s="4" t="s">
        <v>4634</v>
      </c>
      <c r="B1400" s="4"/>
      <c r="C1400" s="4" t="s">
        <v>39</v>
      </c>
      <c r="D1400" s="4" t="s">
        <v>4604</v>
      </c>
      <c r="E1400" s="4" t="s">
        <v>4605</v>
      </c>
      <c r="F1400" s="10">
        <v>45299</v>
      </c>
      <c r="G1400" s="11">
        <v>0.78680555555555554</v>
      </c>
      <c r="H1400" s="4" t="s">
        <v>4516</v>
      </c>
      <c r="I1400" s="4" t="s">
        <v>4586</v>
      </c>
      <c r="J1400" s="4" t="s">
        <v>2630</v>
      </c>
      <c r="K1400" s="4" t="s">
        <v>4635</v>
      </c>
      <c r="L1400" s="4" t="s">
        <v>4636</v>
      </c>
      <c r="M1400" s="4" t="s">
        <v>46</v>
      </c>
      <c r="N1400" s="4"/>
      <c r="O1400" s="4" t="s">
        <v>47</v>
      </c>
      <c r="P1400" s="4" t="s">
        <v>48</v>
      </c>
      <c r="Q1400" s="4">
        <v>0</v>
      </c>
      <c r="R1400" s="4" t="b">
        <v>0</v>
      </c>
      <c r="S1400" s="4" t="s">
        <v>61</v>
      </c>
      <c r="T1400" s="4" t="s">
        <v>479</v>
      </c>
      <c r="U1400" s="4" t="s">
        <v>148</v>
      </c>
      <c r="V1400" s="4" t="s">
        <v>52</v>
      </c>
      <c r="W1400" s="4" t="s">
        <v>53</v>
      </c>
      <c r="X1400" s="4" t="s">
        <v>54</v>
      </c>
      <c r="Y1400" s="4"/>
      <c r="Z1400" s="12">
        <v>0</v>
      </c>
      <c r="AA1400" s="13" t="s">
        <v>9170</v>
      </c>
      <c r="AB1400" s="13" t="s">
        <v>9168</v>
      </c>
      <c r="AC1400" s="14" t="s">
        <v>9148</v>
      </c>
      <c r="AD1400" s="14" t="s">
        <v>9140</v>
      </c>
      <c r="AE1400" s="14" t="s">
        <v>9140</v>
      </c>
      <c r="AF1400" s="14" t="s">
        <v>52</v>
      </c>
      <c r="AG1400" s="14" t="s">
        <v>54</v>
      </c>
      <c r="AH1400" s="15" t="s">
        <v>9220</v>
      </c>
      <c r="AI1400" s="15" t="s">
        <v>9188</v>
      </c>
      <c r="AJ1400" s="15" t="s">
        <v>9143</v>
      </c>
      <c r="AK1400" s="15" t="s">
        <v>9221</v>
      </c>
      <c r="AL1400" s="15" t="s">
        <v>9232</v>
      </c>
      <c r="AM1400" s="16" t="s">
        <v>9221</v>
      </c>
      <c r="AN1400" s="16" t="s">
        <v>9233</v>
      </c>
    </row>
    <row r="1401" spans="1:40" x14ac:dyDescent="0.25">
      <c r="A1401" s="4" t="s">
        <v>3358</v>
      </c>
      <c r="B1401" s="4"/>
      <c r="C1401" s="4" t="s">
        <v>39</v>
      </c>
      <c r="D1401" s="4" t="s">
        <v>3359</v>
      </c>
      <c r="E1401" s="4" t="s">
        <v>3360</v>
      </c>
      <c r="F1401" s="10">
        <v>45299</v>
      </c>
      <c r="G1401" s="11">
        <v>0.67013888888888884</v>
      </c>
      <c r="H1401" s="4" t="s">
        <v>1992</v>
      </c>
      <c r="I1401" s="4" t="s">
        <v>3353</v>
      </c>
      <c r="J1401" s="4" t="s">
        <v>3354</v>
      </c>
      <c r="K1401" s="4" t="s">
        <v>3361</v>
      </c>
      <c r="L1401" s="4" t="s">
        <v>3362</v>
      </c>
      <c r="M1401" s="4" t="s">
        <v>46</v>
      </c>
      <c r="N1401" s="4"/>
      <c r="O1401" s="4" t="s">
        <v>47</v>
      </c>
      <c r="P1401" s="4" t="s">
        <v>48</v>
      </c>
      <c r="Q1401" s="4">
        <v>0</v>
      </c>
      <c r="R1401" s="4" t="b">
        <v>0</v>
      </c>
      <c r="S1401" s="4" t="s">
        <v>114</v>
      </c>
      <c r="T1401" s="4" t="s">
        <v>479</v>
      </c>
      <c r="U1401" s="4" t="s">
        <v>148</v>
      </c>
      <c r="V1401" s="4" t="s">
        <v>52</v>
      </c>
      <c r="W1401" s="4" t="s">
        <v>53</v>
      </c>
      <c r="X1401" s="4" t="s">
        <v>54</v>
      </c>
      <c r="Y1401" s="4"/>
      <c r="Z1401" s="12">
        <v>0</v>
      </c>
      <c r="AA1401" s="13" t="s">
        <v>9170</v>
      </c>
      <c r="AB1401" s="13" t="s">
        <v>9168</v>
      </c>
      <c r="AC1401" s="14" t="s">
        <v>9157</v>
      </c>
      <c r="AD1401" s="14" t="s">
        <v>9140</v>
      </c>
      <c r="AE1401" s="14" t="s">
        <v>9140</v>
      </c>
      <c r="AF1401" s="14" t="s">
        <v>52</v>
      </c>
      <c r="AG1401" s="14" t="s">
        <v>54</v>
      </c>
      <c r="AH1401" s="15" t="s">
        <v>9194</v>
      </c>
      <c r="AI1401" s="15" t="s">
        <v>9191</v>
      </c>
      <c r="AJ1401" s="15" t="s">
        <v>9143</v>
      </c>
      <c r="AK1401" s="15" t="s">
        <v>9194</v>
      </c>
      <c r="AL1401" s="15" t="s">
        <v>9205</v>
      </c>
      <c r="AM1401" s="16" t="s">
        <v>9194</v>
      </c>
      <c r="AN1401" s="16" t="s">
        <v>9206</v>
      </c>
    </row>
    <row r="1402" spans="1:40" x14ac:dyDescent="0.25">
      <c r="A1402" s="4" t="s">
        <v>313</v>
      </c>
      <c r="B1402" s="4"/>
      <c r="C1402" s="4" t="s">
        <v>39</v>
      </c>
      <c r="D1402" s="4" t="s">
        <v>314</v>
      </c>
      <c r="E1402" s="4" t="s">
        <v>315</v>
      </c>
      <c r="F1402" s="10">
        <v>45298</v>
      </c>
      <c r="G1402" s="11">
        <v>0.64583333333333337</v>
      </c>
      <c r="H1402" s="4" t="s">
        <v>42</v>
      </c>
      <c r="I1402" s="4">
        <v>1011</v>
      </c>
      <c r="J1402" s="4" t="s">
        <v>215</v>
      </c>
      <c r="K1402" s="4" t="s">
        <v>316</v>
      </c>
      <c r="L1402" s="4" t="s">
        <v>317</v>
      </c>
      <c r="M1402" s="4" t="s">
        <v>46</v>
      </c>
      <c r="N1402" s="4"/>
      <c r="O1402" s="4" t="s">
        <v>47</v>
      </c>
      <c r="P1402" s="4" t="s">
        <v>48</v>
      </c>
      <c r="Q1402" s="4">
        <v>0</v>
      </c>
      <c r="R1402" s="4" t="b">
        <v>0</v>
      </c>
      <c r="S1402" s="4" t="s">
        <v>49</v>
      </c>
      <c r="T1402" s="4" t="s">
        <v>70</v>
      </c>
      <c r="U1402" s="4" t="s">
        <v>71</v>
      </c>
      <c r="V1402" s="4" t="s">
        <v>72</v>
      </c>
      <c r="W1402" s="4" t="s">
        <v>73</v>
      </c>
      <c r="X1402" s="4" t="s">
        <v>98</v>
      </c>
      <c r="Y1402" s="4" t="s">
        <v>176</v>
      </c>
      <c r="Z1402" s="12">
        <v>0</v>
      </c>
      <c r="AA1402" s="13" t="s">
        <v>9170</v>
      </c>
      <c r="AB1402" s="13" t="s">
        <v>9168</v>
      </c>
      <c r="AC1402" s="14" t="s">
        <v>9139</v>
      </c>
      <c r="AD1402" s="14" t="s">
        <v>9140</v>
      </c>
      <c r="AE1402" s="14" t="s">
        <v>9140</v>
      </c>
      <c r="AF1402" s="14" t="s">
        <v>72</v>
      </c>
      <c r="AG1402" s="14" t="s">
        <v>98</v>
      </c>
      <c r="AH1402" s="15" t="s">
        <v>9141</v>
      </c>
      <c r="AI1402" s="15" t="s">
        <v>9142</v>
      </c>
      <c r="AJ1402" s="15" t="s">
        <v>9143</v>
      </c>
      <c r="AK1402" s="15" t="s">
        <v>9141</v>
      </c>
      <c r="AL1402" s="15" t="s">
        <v>9144</v>
      </c>
      <c r="AM1402" s="16" t="s">
        <v>9141</v>
      </c>
      <c r="AN1402" s="16" t="s">
        <v>9145</v>
      </c>
    </row>
    <row r="1403" spans="1:40" x14ac:dyDescent="0.25">
      <c r="A1403" s="4" t="s">
        <v>3233</v>
      </c>
      <c r="B1403" s="4" t="s">
        <v>3234</v>
      </c>
      <c r="C1403" s="4" t="s">
        <v>39</v>
      </c>
      <c r="D1403" s="4" t="s">
        <v>3235</v>
      </c>
      <c r="E1403" s="4" t="s">
        <v>3236</v>
      </c>
      <c r="F1403" s="10">
        <v>45297</v>
      </c>
      <c r="G1403" s="11">
        <v>0.41319444444444442</v>
      </c>
      <c r="H1403" s="4" t="s">
        <v>1992</v>
      </c>
      <c r="I1403" s="4" t="s">
        <v>3225</v>
      </c>
      <c r="J1403" s="4" t="s">
        <v>3226</v>
      </c>
      <c r="K1403" s="4" t="s">
        <v>3237</v>
      </c>
      <c r="L1403" s="4" t="s">
        <v>3238</v>
      </c>
      <c r="M1403" s="4" t="s">
        <v>28</v>
      </c>
      <c r="N1403" s="4" t="s">
        <v>183</v>
      </c>
      <c r="O1403" s="4" t="s">
        <v>191</v>
      </c>
      <c r="P1403" s="4" t="s">
        <v>48</v>
      </c>
      <c r="Q1403" s="4">
        <v>3</v>
      </c>
      <c r="R1403" s="4" t="b">
        <v>0</v>
      </c>
      <c r="S1403" s="4" t="s">
        <v>184</v>
      </c>
      <c r="T1403" s="4" t="s">
        <v>89</v>
      </c>
      <c r="U1403" s="4" t="s">
        <v>600</v>
      </c>
      <c r="V1403" s="4" t="s">
        <v>123</v>
      </c>
      <c r="W1403" s="4" t="s">
        <v>124</v>
      </c>
      <c r="X1403" s="4" t="s">
        <v>98</v>
      </c>
      <c r="Y1403" s="4" t="s">
        <v>176</v>
      </c>
      <c r="Z1403" s="12" t="s">
        <v>48</v>
      </c>
      <c r="AA1403" s="13" t="s">
        <v>9170</v>
      </c>
      <c r="AB1403" s="13" t="s">
        <v>9168</v>
      </c>
      <c r="AC1403" s="14" t="s">
        <v>9166</v>
      </c>
      <c r="AD1403" s="14" t="s">
        <v>28</v>
      </c>
      <c r="AE1403" s="14" t="s">
        <v>183</v>
      </c>
      <c r="AF1403" s="14" t="s">
        <v>123</v>
      </c>
      <c r="AG1403" s="14" t="s">
        <v>98</v>
      </c>
      <c r="AH1403" s="15" t="s">
        <v>9194</v>
      </c>
      <c r="AI1403" s="15" t="s">
        <v>9191</v>
      </c>
      <c r="AJ1403" s="15" t="s">
        <v>9143</v>
      </c>
      <c r="AK1403" s="15" t="s">
        <v>9194</v>
      </c>
      <c r="AL1403" s="15" t="s">
        <v>9197</v>
      </c>
      <c r="AM1403" s="16" t="s">
        <v>9194</v>
      </c>
      <c r="AN1403" s="16" t="s">
        <v>9198</v>
      </c>
    </row>
    <row r="1404" spans="1:40" x14ac:dyDescent="0.25">
      <c r="A1404" s="4" t="s">
        <v>6824</v>
      </c>
      <c r="B1404" s="4" t="s">
        <v>6825</v>
      </c>
      <c r="C1404" s="4" t="s">
        <v>39</v>
      </c>
      <c r="D1404" s="4" t="s">
        <v>6826</v>
      </c>
      <c r="E1404" s="4" t="s">
        <v>6827</v>
      </c>
      <c r="F1404" s="10">
        <v>45297</v>
      </c>
      <c r="G1404" s="11">
        <v>0.65138888888888891</v>
      </c>
      <c r="H1404" s="4" t="s">
        <v>4910</v>
      </c>
      <c r="I1404" s="4" t="s">
        <v>6800</v>
      </c>
      <c r="J1404" s="4" t="s">
        <v>2914</v>
      </c>
      <c r="K1404" s="4" t="s">
        <v>6828</v>
      </c>
      <c r="L1404" s="4" t="s">
        <v>6829</v>
      </c>
      <c r="M1404" s="4" t="s">
        <v>28</v>
      </c>
      <c r="N1404" s="4" t="s">
        <v>183</v>
      </c>
      <c r="O1404" s="4" t="s">
        <v>191</v>
      </c>
      <c r="P1404" s="4" t="s">
        <v>48</v>
      </c>
      <c r="Q1404" s="4">
        <v>15</v>
      </c>
      <c r="R1404" s="4" t="b">
        <v>0</v>
      </c>
      <c r="S1404" s="4" t="s">
        <v>184</v>
      </c>
      <c r="T1404" s="4" t="s">
        <v>479</v>
      </c>
      <c r="U1404" s="4" t="s">
        <v>175</v>
      </c>
      <c r="V1404" s="4" t="s">
        <v>52</v>
      </c>
      <c r="W1404" s="4" t="s">
        <v>53</v>
      </c>
      <c r="X1404" s="4" t="s">
        <v>98</v>
      </c>
      <c r="Y1404" s="4" t="s">
        <v>176</v>
      </c>
      <c r="Z1404" s="12" t="s">
        <v>48</v>
      </c>
      <c r="AA1404" s="13" t="s">
        <v>9170</v>
      </c>
      <c r="AB1404" s="13" t="s">
        <v>9168</v>
      </c>
      <c r="AC1404" s="14" t="s">
        <v>9166</v>
      </c>
      <c r="AD1404" s="14" t="s">
        <v>28</v>
      </c>
      <c r="AE1404" s="14" t="s">
        <v>183</v>
      </c>
      <c r="AF1404" s="14" t="s">
        <v>52</v>
      </c>
      <c r="AG1404" s="14" t="s">
        <v>98</v>
      </c>
      <c r="AH1404" s="15" t="s">
        <v>9220</v>
      </c>
      <c r="AI1404" s="15" t="s">
        <v>9191</v>
      </c>
      <c r="AJ1404" s="15" t="s">
        <v>9143</v>
      </c>
      <c r="AK1404" s="15" t="s">
        <v>9221</v>
      </c>
      <c r="AL1404" s="15" t="s">
        <v>9234</v>
      </c>
      <c r="AM1404" s="16" t="s">
        <v>9221</v>
      </c>
      <c r="AN1404" s="16" t="s">
        <v>9235</v>
      </c>
    </row>
    <row r="1405" spans="1:40" x14ac:dyDescent="0.25">
      <c r="A1405" s="4" t="s">
        <v>5605</v>
      </c>
      <c r="B1405" s="4"/>
      <c r="C1405" s="4" t="s">
        <v>39</v>
      </c>
      <c r="D1405" s="4" t="s">
        <v>5606</v>
      </c>
      <c r="E1405" s="4" t="s">
        <v>5607</v>
      </c>
      <c r="F1405" s="10">
        <v>45296</v>
      </c>
      <c r="G1405" s="11">
        <v>0.5805555555555556</v>
      </c>
      <c r="H1405" s="4" t="s">
        <v>4516</v>
      </c>
      <c r="I1405" s="4" t="s">
        <v>5589</v>
      </c>
      <c r="J1405" s="4" t="s">
        <v>5590</v>
      </c>
      <c r="K1405" s="4" t="s">
        <v>5608</v>
      </c>
      <c r="L1405" s="4" t="s">
        <v>5609</v>
      </c>
      <c r="M1405" s="4" t="s">
        <v>46</v>
      </c>
      <c r="N1405" s="4"/>
      <c r="O1405" s="4" t="s">
        <v>47</v>
      </c>
      <c r="P1405" s="4" t="s">
        <v>48</v>
      </c>
      <c r="Q1405" s="4">
        <v>0</v>
      </c>
      <c r="R1405" s="4" t="b">
        <v>0</v>
      </c>
      <c r="S1405" s="4" t="s">
        <v>49</v>
      </c>
      <c r="T1405" s="4" t="s">
        <v>70</v>
      </c>
      <c r="U1405" s="4" t="s">
        <v>527</v>
      </c>
      <c r="V1405" s="4" t="s">
        <v>63</v>
      </c>
      <c r="W1405" s="4" t="s">
        <v>108</v>
      </c>
      <c r="X1405" s="4" t="s">
        <v>54</v>
      </c>
      <c r="Y1405" s="4"/>
      <c r="Z1405" s="12">
        <v>0</v>
      </c>
      <c r="AA1405" s="13" t="s">
        <v>9170</v>
      </c>
      <c r="AB1405" s="13" t="s">
        <v>9168</v>
      </c>
      <c r="AC1405" s="14" t="s">
        <v>9139</v>
      </c>
      <c r="AD1405" s="14" t="s">
        <v>9140</v>
      </c>
      <c r="AE1405" s="14" t="s">
        <v>9140</v>
      </c>
      <c r="AF1405" s="14" t="s">
        <v>63</v>
      </c>
      <c r="AG1405" s="14" t="s">
        <v>54</v>
      </c>
      <c r="AH1405" s="15" t="s">
        <v>9220</v>
      </c>
      <c r="AI1405" s="15" t="s">
        <v>9188</v>
      </c>
      <c r="AJ1405" s="15" t="s">
        <v>9143</v>
      </c>
      <c r="AK1405" s="15" t="s">
        <v>9221</v>
      </c>
      <c r="AL1405" s="15" t="s">
        <v>9236</v>
      </c>
      <c r="AM1405" s="16" t="s">
        <v>9221</v>
      </c>
      <c r="AN1405" s="16" t="s">
        <v>9237</v>
      </c>
    </row>
    <row r="1406" spans="1:40" x14ac:dyDescent="0.25">
      <c r="A1406" s="4" t="s">
        <v>4124</v>
      </c>
      <c r="B1406" s="4"/>
      <c r="C1406" s="4" t="s">
        <v>39</v>
      </c>
      <c r="D1406" s="4" t="s">
        <v>4125</v>
      </c>
      <c r="E1406" s="4" t="s">
        <v>4126</v>
      </c>
      <c r="F1406" s="10">
        <v>45296</v>
      </c>
      <c r="G1406" s="11">
        <v>0.52777777777777779</v>
      </c>
      <c r="H1406" s="4" t="s">
        <v>4019</v>
      </c>
      <c r="I1406" s="4" t="s">
        <v>4092</v>
      </c>
      <c r="J1406" s="4" t="s">
        <v>4093</v>
      </c>
      <c r="K1406" s="4" t="s">
        <v>4127</v>
      </c>
      <c r="L1406" s="4" t="s">
        <v>4128</v>
      </c>
      <c r="M1406" s="4" t="s">
        <v>46</v>
      </c>
      <c r="N1406" s="4"/>
      <c r="O1406" s="4" t="s">
        <v>47</v>
      </c>
      <c r="P1406" s="4" t="s">
        <v>48</v>
      </c>
      <c r="Q1406" s="4">
        <v>0</v>
      </c>
      <c r="R1406" s="4" t="b">
        <v>0</v>
      </c>
      <c r="S1406" s="4" t="s">
        <v>61</v>
      </c>
      <c r="T1406" s="4" t="s">
        <v>89</v>
      </c>
      <c r="U1406" s="4" t="s">
        <v>426</v>
      </c>
      <c r="V1406" s="4" t="s">
        <v>72</v>
      </c>
      <c r="W1406" s="4" t="s">
        <v>73</v>
      </c>
      <c r="X1406" s="4" t="s">
        <v>54</v>
      </c>
      <c r="Y1406" s="4"/>
      <c r="Z1406" s="12">
        <v>0</v>
      </c>
      <c r="AA1406" s="13" t="s">
        <v>9170</v>
      </c>
      <c r="AB1406" s="13" t="s">
        <v>9168</v>
      </c>
      <c r="AC1406" s="14" t="s">
        <v>9148</v>
      </c>
      <c r="AD1406" s="14" t="s">
        <v>9140</v>
      </c>
      <c r="AE1406" s="14" t="s">
        <v>9140</v>
      </c>
      <c r="AF1406" s="14" t="s">
        <v>72</v>
      </c>
      <c r="AG1406" s="14" t="s">
        <v>54</v>
      </c>
      <c r="AH1406" s="15" t="s">
        <v>9220</v>
      </c>
      <c r="AI1406" s="15" t="s">
        <v>9175</v>
      </c>
      <c r="AJ1406" s="15" t="s">
        <v>9143</v>
      </c>
      <c r="AK1406" s="15" t="s">
        <v>9221</v>
      </c>
      <c r="AL1406" s="15" t="s">
        <v>9222</v>
      </c>
      <c r="AM1406" s="16" t="s">
        <v>9221</v>
      </c>
      <c r="AN1406" s="16" t="s">
        <v>9223</v>
      </c>
    </row>
    <row r="1407" spans="1:40" x14ac:dyDescent="0.25">
      <c r="A1407" s="4" t="s">
        <v>3665</v>
      </c>
      <c r="B1407" s="4"/>
      <c r="C1407" s="4" t="s">
        <v>39</v>
      </c>
      <c r="D1407" s="4" t="s">
        <v>3666</v>
      </c>
      <c r="E1407" s="4" t="s">
        <v>3667</v>
      </c>
      <c r="F1407" s="10">
        <v>45296</v>
      </c>
      <c r="G1407" s="11">
        <v>0.58333333333333337</v>
      </c>
      <c r="H1407" s="4" t="s">
        <v>1992</v>
      </c>
      <c r="I1407" s="4" t="s">
        <v>3656</v>
      </c>
      <c r="J1407" s="4" t="s">
        <v>3657</v>
      </c>
      <c r="K1407" s="4" t="s">
        <v>1922</v>
      </c>
      <c r="L1407" s="4" t="s">
        <v>3668</v>
      </c>
      <c r="M1407" s="4" t="s">
        <v>46</v>
      </c>
      <c r="N1407" s="4"/>
      <c r="O1407" s="4" t="s">
        <v>47</v>
      </c>
      <c r="P1407" s="4" t="s">
        <v>48</v>
      </c>
      <c r="Q1407" s="4">
        <v>0</v>
      </c>
      <c r="R1407" s="4" t="b">
        <v>0</v>
      </c>
      <c r="S1407" s="4" t="s">
        <v>49</v>
      </c>
      <c r="T1407" s="4" t="s">
        <v>50</v>
      </c>
      <c r="U1407" s="4" t="s">
        <v>527</v>
      </c>
      <c r="V1407" s="4" t="s">
        <v>72</v>
      </c>
      <c r="W1407" s="4" t="s">
        <v>73</v>
      </c>
      <c r="X1407" s="4" t="s">
        <v>54</v>
      </c>
      <c r="Y1407" s="4"/>
      <c r="Z1407" s="12">
        <v>0</v>
      </c>
      <c r="AA1407" s="13" t="s">
        <v>9170</v>
      </c>
      <c r="AB1407" s="13" t="s">
        <v>9168</v>
      </c>
      <c r="AC1407" s="14" t="s">
        <v>9139</v>
      </c>
      <c r="AD1407" s="14" t="s">
        <v>9140</v>
      </c>
      <c r="AE1407" s="14" t="s">
        <v>9140</v>
      </c>
      <c r="AF1407" s="14" t="s">
        <v>72</v>
      </c>
      <c r="AG1407" s="14" t="s">
        <v>54</v>
      </c>
      <c r="AH1407" s="15" t="s">
        <v>9194</v>
      </c>
      <c r="AI1407" s="15" t="s">
        <v>9191</v>
      </c>
      <c r="AJ1407" s="15" t="s">
        <v>9143</v>
      </c>
      <c r="AK1407" s="15" t="s">
        <v>9194</v>
      </c>
      <c r="AL1407" s="15" t="s">
        <v>9205</v>
      </c>
      <c r="AM1407" s="16" t="s">
        <v>9194</v>
      </c>
      <c r="AN1407" s="16" t="s">
        <v>9206</v>
      </c>
    </row>
    <row r="1408" spans="1:40" x14ac:dyDescent="0.25">
      <c r="A1408" s="4" t="s">
        <v>3440</v>
      </c>
      <c r="B1408" s="4"/>
      <c r="C1408" s="4" t="s">
        <v>39</v>
      </c>
      <c r="D1408" s="4" t="s">
        <v>3441</v>
      </c>
      <c r="E1408" s="4" t="s">
        <v>3442</v>
      </c>
      <c r="F1408" s="10">
        <v>45296</v>
      </c>
      <c r="G1408" s="11">
        <v>0.36805555555555558</v>
      </c>
      <c r="H1408" s="4" t="s">
        <v>2095</v>
      </c>
      <c r="I1408" s="4" t="s">
        <v>3415</v>
      </c>
      <c r="J1408" s="4" t="s">
        <v>3416</v>
      </c>
      <c r="K1408" s="4" t="s">
        <v>3443</v>
      </c>
      <c r="L1408" s="4" t="s">
        <v>3444</v>
      </c>
      <c r="M1408" s="4" t="s">
        <v>46</v>
      </c>
      <c r="N1408" s="4"/>
      <c r="O1408" s="4" t="s">
        <v>47</v>
      </c>
      <c r="P1408" s="4" t="s">
        <v>48</v>
      </c>
      <c r="Q1408" s="4">
        <v>0</v>
      </c>
      <c r="R1408" s="4" t="b">
        <v>0</v>
      </c>
      <c r="S1408" s="4" t="s">
        <v>61</v>
      </c>
      <c r="T1408" s="4" t="s">
        <v>479</v>
      </c>
      <c r="U1408" s="4" t="s">
        <v>618</v>
      </c>
      <c r="V1408" s="4" t="s">
        <v>52</v>
      </c>
      <c r="W1408" s="4" t="s">
        <v>53</v>
      </c>
      <c r="X1408" s="4" t="s">
        <v>54</v>
      </c>
      <c r="Y1408" s="4"/>
      <c r="Z1408" s="12">
        <v>0</v>
      </c>
      <c r="AA1408" s="13" t="s">
        <v>9170</v>
      </c>
      <c r="AB1408" s="13" t="s">
        <v>9168</v>
      </c>
      <c r="AC1408" s="14" t="s">
        <v>9148</v>
      </c>
      <c r="AD1408" s="14" t="s">
        <v>9140</v>
      </c>
      <c r="AE1408" s="14" t="s">
        <v>9140</v>
      </c>
      <c r="AF1408" s="14" t="s">
        <v>52</v>
      </c>
      <c r="AG1408" s="14" t="s">
        <v>54</v>
      </c>
      <c r="AH1408" s="15" t="s">
        <v>9194</v>
      </c>
      <c r="AI1408" s="15" t="s">
        <v>9188</v>
      </c>
      <c r="AJ1408" s="15" t="s">
        <v>9143</v>
      </c>
      <c r="AK1408" s="15" t="s">
        <v>9194</v>
      </c>
      <c r="AL1408" s="15" t="s">
        <v>9211</v>
      </c>
      <c r="AM1408" s="16" t="s">
        <v>9194</v>
      </c>
      <c r="AN1408" s="16" t="s">
        <v>9212</v>
      </c>
    </row>
    <row r="1409" spans="1:40" x14ac:dyDescent="0.25">
      <c r="A1409" s="4" t="s">
        <v>1188</v>
      </c>
      <c r="B1409" s="4"/>
      <c r="C1409" s="4" t="s">
        <v>39</v>
      </c>
      <c r="D1409" s="4" t="s">
        <v>1189</v>
      </c>
      <c r="E1409" s="4" t="s">
        <v>1190</v>
      </c>
      <c r="F1409" s="10">
        <v>45296</v>
      </c>
      <c r="G1409" s="11">
        <v>0.51041666666666663</v>
      </c>
      <c r="H1409" s="4" t="s">
        <v>1155</v>
      </c>
      <c r="I1409" s="4">
        <v>4042</v>
      </c>
      <c r="J1409" s="4" t="s">
        <v>1173</v>
      </c>
      <c r="K1409" s="4" t="s">
        <v>1191</v>
      </c>
      <c r="L1409" s="4" t="s">
        <v>1192</v>
      </c>
      <c r="M1409" s="4" t="s">
        <v>46</v>
      </c>
      <c r="N1409" s="4"/>
      <c r="O1409" s="4" t="s">
        <v>47</v>
      </c>
      <c r="P1409" s="4" t="s">
        <v>48</v>
      </c>
      <c r="Q1409" s="4">
        <v>0</v>
      </c>
      <c r="R1409" s="4" t="b">
        <v>0</v>
      </c>
      <c r="S1409" s="4" t="s">
        <v>49</v>
      </c>
      <c r="T1409" s="4" t="s">
        <v>70</v>
      </c>
      <c r="U1409" s="4" t="s">
        <v>71</v>
      </c>
      <c r="V1409" s="4" t="s">
        <v>72</v>
      </c>
      <c r="W1409" s="4" t="s">
        <v>73</v>
      </c>
      <c r="X1409" s="4" t="s">
        <v>98</v>
      </c>
      <c r="Y1409" s="4"/>
      <c r="Z1409" s="12">
        <v>0</v>
      </c>
      <c r="AA1409" s="13" t="s">
        <v>9170</v>
      </c>
      <c r="AB1409" s="13" t="s">
        <v>9168</v>
      </c>
      <c r="AC1409" s="14" t="s">
        <v>9139</v>
      </c>
      <c r="AD1409" s="14" t="s">
        <v>9140</v>
      </c>
      <c r="AE1409" s="14" t="s">
        <v>9140</v>
      </c>
      <c r="AF1409" s="14" t="s">
        <v>72</v>
      </c>
      <c r="AG1409" s="14" t="s">
        <v>98</v>
      </c>
      <c r="AH1409" s="15" t="s">
        <v>9141</v>
      </c>
      <c r="AI1409" s="15" t="s">
        <v>9187</v>
      </c>
      <c r="AJ1409" s="15" t="s">
        <v>9143</v>
      </c>
      <c r="AK1409" s="15" t="s">
        <v>9141</v>
      </c>
      <c r="AL1409" s="15" t="s">
        <v>9144</v>
      </c>
      <c r="AM1409" s="16" t="s">
        <v>9141</v>
      </c>
      <c r="AN1409" s="16" t="s">
        <v>9145</v>
      </c>
    </row>
    <row r="1410" spans="1:40" x14ac:dyDescent="0.25">
      <c r="A1410" s="4" t="s">
        <v>1024</v>
      </c>
      <c r="B1410" s="4"/>
      <c r="C1410" s="4" t="s">
        <v>39</v>
      </c>
      <c r="D1410" s="4" t="s">
        <v>1025</v>
      </c>
      <c r="E1410" s="4" t="s">
        <v>1026</v>
      </c>
      <c r="F1410" s="10">
        <v>45295</v>
      </c>
      <c r="G1410" s="11">
        <v>0.30555555555555558</v>
      </c>
      <c r="H1410" s="4" t="s">
        <v>463</v>
      </c>
      <c r="I1410" s="4">
        <v>2042</v>
      </c>
      <c r="J1410" s="4" t="s">
        <v>1015</v>
      </c>
      <c r="K1410" s="4" t="s">
        <v>1027</v>
      </c>
      <c r="L1410" s="4" t="s">
        <v>1028</v>
      </c>
      <c r="M1410" s="4" t="s">
        <v>46</v>
      </c>
      <c r="N1410" s="4"/>
      <c r="O1410" s="4" t="s">
        <v>47</v>
      </c>
      <c r="P1410" s="4" t="s">
        <v>48</v>
      </c>
      <c r="Q1410" s="4">
        <v>0</v>
      </c>
      <c r="R1410" s="4" t="b">
        <v>0</v>
      </c>
      <c r="S1410" s="4" t="s">
        <v>49</v>
      </c>
      <c r="T1410" s="4" t="s">
        <v>50</v>
      </c>
      <c r="U1410" s="4" t="s">
        <v>107</v>
      </c>
      <c r="V1410" s="4" t="s">
        <v>63</v>
      </c>
      <c r="W1410" s="4" t="s">
        <v>198</v>
      </c>
      <c r="X1410" s="4" t="s">
        <v>54</v>
      </c>
      <c r="Y1410" s="4" t="s">
        <v>323</v>
      </c>
      <c r="Z1410" s="12">
        <v>0</v>
      </c>
      <c r="AA1410" s="13" t="s">
        <v>9170</v>
      </c>
      <c r="AB1410" s="13" t="s">
        <v>9168</v>
      </c>
      <c r="AC1410" s="14" t="s">
        <v>9139</v>
      </c>
      <c r="AD1410" s="14" t="s">
        <v>9140</v>
      </c>
      <c r="AE1410" s="14" t="s">
        <v>9140</v>
      </c>
      <c r="AF1410" s="14" t="s">
        <v>63</v>
      </c>
      <c r="AG1410" s="14" t="s">
        <v>54</v>
      </c>
      <c r="AH1410" s="15" t="s">
        <v>9141</v>
      </c>
      <c r="AI1410" s="15" t="s">
        <v>9175</v>
      </c>
      <c r="AJ1410" s="15" t="s">
        <v>9143</v>
      </c>
      <c r="AK1410" s="15" t="s">
        <v>9141</v>
      </c>
      <c r="AL1410" s="15" t="s">
        <v>9175</v>
      </c>
      <c r="AM1410" s="16" t="s">
        <v>9141</v>
      </c>
      <c r="AN1410" s="16" t="s">
        <v>9176</v>
      </c>
    </row>
    <row r="1411" spans="1:40" x14ac:dyDescent="0.25">
      <c r="A1411" s="4" t="s">
        <v>907</v>
      </c>
      <c r="B1411" s="4"/>
      <c r="C1411" s="4" t="s">
        <v>39</v>
      </c>
      <c r="D1411" s="4" t="s">
        <v>894</v>
      </c>
      <c r="E1411" s="4" t="s">
        <v>895</v>
      </c>
      <c r="F1411" s="10">
        <v>45295</v>
      </c>
      <c r="G1411" s="11">
        <v>0.625</v>
      </c>
      <c r="H1411" s="4" t="s">
        <v>463</v>
      </c>
      <c r="I1411" s="4">
        <v>2030</v>
      </c>
      <c r="J1411" s="4" t="s">
        <v>876</v>
      </c>
      <c r="K1411" s="4" t="s">
        <v>908</v>
      </c>
      <c r="L1411" s="4" t="s">
        <v>909</v>
      </c>
      <c r="M1411" s="4" t="s">
        <v>46</v>
      </c>
      <c r="N1411" s="4"/>
      <c r="O1411" s="4" t="s">
        <v>47</v>
      </c>
      <c r="P1411" s="4" t="s">
        <v>48</v>
      </c>
      <c r="Q1411" s="4">
        <v>0</v>
      </c>
      <c r="R1411" s="4" t="b">
        <v>0</v>
      </c>
      <c r="S1411" s="4" t="s">
        <v>49</v>
      </c>
      <c r="T1411" s="4" t="s">
        <v>50</v>
      </c>
      <c r="U1411" s="4" t="s">
        <v>527</v>
      </c>
      <c r="V1411" s="4" t="s">
        <v>63</v>
      </c>
      <c r="W1411" s="4" t="s">
        <v>108</v>
      </c>
      <c r="X1411" s="4" t="s">
        <v>98</v>
      </c>
      <c r="Y1411" s="4"/>
      <c r="Z1411" s="12">
        <v>0</v>
      </c>
      <c r="AA1411" s="13" t="s">
        <v>9170</v>
      </c>
      <c r="AB1411" s="13" t="s">
        <v>9168</v>
      </c>
      <c r="AC1411" s="14" t="s">
        <v>9139</v>
      </c>
      <c r="AD1411" s="14" t="s">
        <v>9140</v>
      </c>
      <c r="AE1411" s="14" t="s">
        <v>9140</v>
      </c>
      <c r="AF1411" s="14" t="s">
        <v>63</v>
      </c>
      <c r="AG1411" s="14" t="s">
        <v>98</v>
      </c>
      <c r="AH1411" s="15" t="s">
        <v>9141</v>
      </c>
      <c r="AI1411" s="15" t="s">
        <v>9175</v>
      </c>
      <c r="AJ1411" s="15" t="s">
        <v>9143</v>
      </c>
      <c r="AK1411" s="15" t="s">
        <v>9141</v>
      </c>
      <c r="AL1411" s="15" t="s">
        <v>9177</v>
      </c>
      <c r="AM1411" s="16" t="s">
        <v>9141</v>
      </c>
      <c r="AN1411" s="16" t="s">
        <v>9178</v>
      </c>
    </row>
    <row r="1412" spans="1:40" x14ac:dyDescent="0.25">
      <c r="A1412" s="4" t="s">
        <v>8605</v>
      </c>
      <c r="B1412" s="4"/>
      <c r="C1412" s="4" t="s">
        <v>39</v>
      </c>
      <c r="D1412" s="4" t="s">
        <v>8606</v>
      </c>
      <c r="E1412" s="4" t="s">
        <v>8607</v>
      </c>
      <c r="F1412" s="10">
        <v>45295</v>
      </c>
      <c r="G1412" s="11">
        <v>0.67777777777777781</v>
      </c>
      <c r="H1412" s="4" t="s">
        <v>5666</v>
      </c>
      <c r="I1412" s="4" t="s">
        <v>8601</v>
      </c>
      <c r="J1412" s="4" t="s">
        <v>8602</v>
      </c>
      <c r="K1412" s="4" t="s">
        <v>7023</v>
      </c>
      <c r="L1412" s="4" t="s">
        <v>8608</v>
      </c>
      <c r="M1412" s="4" t="s">
        <v>46</v>
      </c>
      <c r="N1412" s="4"/>
      <c r="O1412" s="4" t="s">
        <v>47</v>
      </c>
      <c r="P1412" s="4" t="s">
        <v>48</v>
      </c>
      <c r="Q1412" s="4">
        <v>0</v>
      </c>
      <c r="R1412" s="4" t="b">
        <v>0</v>
      </c>
      <c r="S1412" s="4" t="s">
        <v>114</v>
      </c>
      <c r="T1412" s="4" t="s">
        <v>89</v>
      </c>
      <c r="U1412" s="4" t="s">
        <v>148</v>
      </c>
      <c r="V1412" s="4" t="s">
        <v>52</v>
      </c>
      <c r="W1412" s="4" t="s">
        <v>53</v>
      </c>
      <c r="X1412" s="4" t="s">
        <v>54</v>
      </c>
      <c r="Y1412" s="4"/>
      <c r="Z1412" s="12">
        <v>0</v>
      </c>
      <c r="AA1412" s="13" t="s">
        <v>9170</v>
      </c>
      <c r="AB1412" s="13" t="s">
        <v>9168</v>
      </c>
      <c r="AC1412" s="14" t="s">
        <v>9157</v>
      </c>
      <c r="AD1412" s="14" t="s">
        <v>9140</v>
      </c>
      <c r="AE1412" s="14" t="s">
        <v>9140</v>
      </c>
      <c r="AF1412" s="14" t="s">
        <v>52</v>
      </c>
      <c r="AG1412" s="14" t="s">
        <v>54</v>
      </c>
      <c r="AH1412" s="15" t="s">
        <v>9220</v>
      </c>
      <c r="AI1412" s="15" t="s">
        <v>9199</v>
      </c>
      <c r="AJ1412" s="15" t="s">
        <v>9143</v>
      </c>
      <c r="AK1412" s="15" t="s">
        <v>9221</v>
      </c>
      <c r="AL1412" s="15" t="s">
        <v>9199</v>
      </c>
      <c r="AM1412" s="16" t="s">
        <v>9221</v>
      </c>
      <c r="AN1412" s="16" t="s">
        <v>9238</v>
      </c>
    </row>
    <row r="1413" spans="1:40" x14ac:dyDescent="0.25">
      <c r="A1413" s="4" t="s">
        <v>3715</v>
      </c>
      <c r="B1413" s="4"/>
      <c r="C1413" s="4" t="s">
        <v>39</v>
      </c>
      <c r="D1413" s="4" t="s">
        <v>3716</v>
      </c>
      <c r="E1413" s="4" t="s">
        <v>3717</v>
      </c>
      <c r="F1413" s="10">
        <v>45295</v>
      </c>
      <c r="G1413" s="11">
        <v>0.46736111111111112</v>
      </c>
      <c r="H1413" s="4" t="s">
        <v>1939</v>
      </c>
      <c r="I1413" s="4" t="s">
        <v>3706</v>
      </c>
      <c r="J1413" s="4" t="s">
        <v>3707</v>
      </c>
      <c r="K1413" s="4" t="s">
        <v>2442</v>
      </c>
      <c r="L1413" s="4" t="s">
        <v>3718</v>
      </c>
      <c r="M1413" s="4" t="s">
        <v>46</v>
      </c>
      <c r="N1413" s="4"/>
      <c r="O1413" s="4" t="s">
        <v>174</v>
      </c>
      <c r="P1413" s="4" t="s">
        <v>48</v>
      </c>
      <c r="Q1413" s="4">
        <v>0</v>
      </c>
      <c r="R1413" s="4" t="b">
        <v>0</v>
      </c>
      <c r="S1413" s="4" t="s">
        <v>49</v>
      </c>
      <c r="T1413" s="4" t="s">
        <v>50</v>
      </c>
      <c r="U1413" s="4" t="s">
        <v>527</v>
      </c>
      <c r="V1413" s="4" t="s">
        <v>72</v>
      </c>
      <c r="W1413" s="4" t="s">
        <v>73</v>
      </c>
      <c r="X1413" s="4" t="s">
        <v>54</v>
      </c>
      <c r="Y1413" s="4"/>
      <c r="Z1413" s="12">
        <v>0</v>
      </c>
      <c r="AA1413" s="13" t="s">
        <v>9170</v>
      </c>
      <c r="AB1413" s="13" t="s">
        <v>9168</v>
      </c>
      <c r="AC1413" s="14" t="s">
        <v>9139</v>
      </c>
      <c r="AD1413" s="14" t="s">
        <v>9140</v>
      </c>
      <c r="AE1413" s="14" t="s">
        <v>9140</v>
      </c>
      <c r="AF1413" s="14" t="s">
        <v>72</v>
      </c>
      <c r="AG1413" s="14" t="s">
        <v>54</v>
      </c>
      <c r="AH1413" s="15" t="s">
        <v>9194</v>
      </c>
      <c r="AI1413" s="15" t="s">
        <v>9175</v>
      </c>
      <c r="AJ1413" s="15" t="s">
        <v>9143</v>
      </c>
      <c r="AK1413" s="15" t="s">
        <v>9194</v>
      </c>
      <c r="AL1413" s="15" t="s">
        <v>9209</v>
      </c>
      <c r="AM1413" s="16" t="s">
        <v>9194</v>
      </c>
      <c r="AN1413" s="16" t="s">
        <v>9210</v>
      </c>
    </row>
    <row r="1414" spans="1:40" x14ac:dyDescent="0.25">
      <c r="A1414" s="4" t="s">
        <v>974</v>
      </c>
      <c r="B1414" s="4"/>
      <c r="C1414" s="4" t="s">
        <v>39</v>
      </c>
      <c r="D1414" s="4" t="s">
        <v>975</v>
      </c>
      <c r="E1414" s="4" t="s">
        <v>976</v>
      </c>
      <c r="F1414" s="10">
        <v>45294</v>
      </c>
      <c r="G1414" s="11">
        <v>0.38958333333333334</v>
      </c>
      <c r="H1414" s="4" t="s">
        <v>463</v>
      </c>
      <c r="I1414" s="4">
        <v>2033</v>
      </c>
      <c r="J1414" s="4" t="s">
        <v>952</v>
      </c>
      <c r="K1414" s="4" t="s">
        <v>851</v>
      </c>
      <c r="L1414" s="4" t="s">
        <v>977</v>
      </c>
      <c r="M1414" s="4" t="s">
        <v>46</v>
      </c>
      <c r="N1414" s="4"/>
      <c r="O1414" s="4" t="s">
        <v>47</v>
      </c>
      <c r="P1414" s="4" t="s">
        <v>48</v>
      </c>
      <c r="Q1414" s="4">
        <v>0</v>
      </c>
      <c r="R1414" s="4" t="b">
        <v>0</v>
      </c>
      <c r="S1414" s="4" t="s">
        <v>49</v>
      </c>
      <c r="T1414" s="4" t="s">
        <v>479</v>
      </c>
      <c r="U1414" s="4" t="s">
        <v>51</v>
      </c>
      <c r="V1414" s="4" t="s">
        <v>123</v>
      </c>
      <c r="W1414" s="4" t="s">
        <v>124</v>
      </c>
      <c r="X1414" s="4" t="s">
        <v>978</v>
      </c>
      <c r="Y1414" s="4"/>
      <c r="Z1414" s="12">
        <v>0</v>
      </c>
      <c r="AA1414" s="13" t="s">
        <v>9170</v>
      </c>
      <c r="AB1414" s="13" t="s">
        <v>9168</v>
      </c>
      <c r="AC1414" s="14" t="s">
        <v>9139</v>
      </c>
      <c r="AD1414" s="14" t="s">
        <v>9140</v>
      </c>
      <c r="AE1414" s="14" t="s">
        <v>9140</v>
      </c>
      <c r="AF1414" s="14" t="s">
        <v>123</v>
      </c>
      <c r="AG1414" s="14" t="s">
        <v>978</v>
      </c>
      <c r="AH1414" s="15" t="s">
        <v>9141</v>
      </c>
      <c r="AI1414" s="15" t="s">
        <v>9175</v>
      </c>
      <c r="AJ1414" s="15" t="s">
        <v>9143</v>
      </c>
      <c r="AK1414" s="15" t="s">
        <v>9141</v>
      </c>
      <c r="AL1414" s="15" t="s">
        <v>9175</v>
      </c>
      <c r="AM1414" s="16" t="s">
        <v>9141</v>
      </c>
      <c r="AN1414" s="16" t="s">
        <v>9176</v>
      </c>
    </row>
    <row r="1415" spans="1:40" x14ac:dyDescent="0.25">
      <c r="A1415" s="4" t="s">
        <v>8433</v>
      </c>
      <c r="B1415" s="4"/>
      <c r="C1415" s="4" t="s">
        <v>39</v>
      </c>
      <c r="D1415" s="4" t="s">
        <v>8434</v>
      </c>
      <c r="E1415" s="4" t="s">
        <v>8435</v>
      </c>
      <c r="F1415" s="10">
        <v>45294</v>
      </c>
      <c r="G1415" s="11">
        <v>0.64583333333333337</v>
      </c>
      <c r="H1415" s="4" t="s">
        <v>4516</v>
      </c>
      <c r="I1415" s="4" t="s">
        <v>8419</v>
      </c>
      <c r="J1415" s="4" t="s">
        <v>8420</v>
      </c>
      <c r="K1415" s="4" t="s">
        <v>8436</v>
      </c>
      <c r="L1415" s="4" t="s">
        <v>8437</v>
      </c>
      <c r="M1415" s="4" t="s">
        <v>46</v>
      </c>
      <c r="N1415" s="4"/>
      <c r="O1415" s="4" t="s">
        <v>47</v>
      </c>
      <c r="P1415" s="4" t="s">
        <v>48</v>
      </c>
      <c r="Q1415" s="4">
        <v>0</v>
      </c>
      <c r="R1415" s="4" t="b">
        <v>0</v>
      </c>
      <c r="S1415" s="4" t="s">
        <v>49</v>
      </c>
      <c r="T1415" s="4" t="s">
        <v>50</v>
      </c>
      <c r="U1415" s="4" t="s">
        <v>71</v>
      </c>
      <c r="V1415" s="4" t="s">
        <v>72</v>
      </c>
      <c r="W1415" s="4" t="s">
        <v>73</v>
      </c>
      <c r="X1415" s="4" t="s">
        <v>54</v>
      </c>
      <c r="Y1415" s="4"/>
      <c r="Z1415" s="12">
        <v>0</v>
      </c>
      <c r="AA1415" s="13" t="s">
        <v>9170</v>
      </c>
      <c r="AB1415" s="13" t="s">
        <v>9168</v>
      </c>
      <c r="AC1415" s="14" t="s">
        <v>9139</v>
      </c>
      <c r="AD1415" s="14" t="s">
        <v>9140</v>
      </c>
      <c r="AE1415" s="14" t="s">
        <v>9140</v>
      </c>
      <c r="AF1415" s="14" t="s">
        <v>72</v>
      </c>
      <c r="AG1415" s="14" t="s">
        <v>54</v>
      </c>
      <c r="AH1415" s="15" t="s">
        <v>9220</v>
      </c>
      <c r="AI1415" s="15" t="s">
        <v>9188</v>
      </c>
      <c r="AJ1415" s="15" t="s">
        <v>9143</v>
      </c>
      <c r="AK1415" s="15" t="s">
        <v>9221</v>
      </c>
      <c r="AL1415" s="15" t="s">
        <v>9232</v>
      </c>
      <c r="AM1415" s="16" t="s">
        <v>9221</v>
      </c>
      <c r="AN1415" s="16" t="s">
        <v>9233</v>
      </c>
    </row>
    <row r="1416" spans="1:40" x14ac:dyDescent="0.25">
      <c r="A1416" s="4" t="s">
        <v>7514</v>
      </c>
      <c r="B1416" s="4"/>
      <c r="C1416" s="4" t="s">
        <v>39</v>
      </c>
      <c r="D1416" s="4" t="s">
        <v>7515</v>
      </c>
      <c r="E1416" s="4" t="s">
        <v>7516</v>
      </c>
      <c r="F1416" s="10">
        <v>45293</v>
      </c>
      <c r="G1416" s="11">
        <v>0.70833333333333337</v>
      </c>
      <c r="H1416" s="4" t="s">
        <v>4910</v>
      </c>
      <c r="I1416" s="4" t="s">
        <v>7457</v>
      </c>
      <c r="J1416" s="4" t="s">
        <v>2378</v>
      </c>
      <c r="K1416" s="4" t="s">
        <v>7517</v>
      </c>
      <c r="L1416" s="4" t="s">
        <v>7518</v>
      </c>
      <c r="M1416" s="4" t="s">
        <v>46</v>
      </c>
      <c r="N1416" s="4"/>
      <c r="O1416" s="4" t="s">
        <v>47</v>
      </c>
      <c r="P1416" s="4" t="s">
        <v>48</v>
      </c>
      <c r="Q1416" s="4">
        <v>0</v>
      </c>
      <c r="R1416" s="4" t="b">
        <v>0</v>
      </c>
      <c r="S1416" s="4" t="s">
        <v>61</v>
      </c>
      <c r="T1416" s="4" t="s">
        <v>479</v>
      </c>
      <c r="U1416" s="4" t="s">
        <v>148</v>
      </c>
      <c r="V1416" s="4" t="s">
        <v>52</v>
      </c>
      <c r="W1416" s="4" t="s">
        <v>135</v>
      </c>
      <c r="X1416" s="4" t="s">
        <v>54</v>
      </c>
      <c r="Y1416" s="4"/>
      <c r="Z1416" s="12">
        <v>0</v>
      </c>
      <c r="AA1416" s="13" t="s">
        <v>9170</v>
      </c>
      <c r="AB1416" s="13" t="s">
        <v>9168</v>
      </c>
      <c r="AC1416" s="14" t="s">
        <v>9148</v>
      </c>
      <c r="AD1416" s="14" t="s">
        <v>9140</v>
      </c>
      <c r="AE1416" s="14" t="s">
        <v>9140</v>
      </c>
      <c r="AF1416" s="14" t="s">
        <v>52</v>
      </c>
      <c r="AG1416" s="14" t="s">
        <v>54</v>
      </c>
      <c r="AH1416" s="15" t="s">
        <v>9220</v>
      </c>
      <c r="AI1416" s="15" t="s">
        <v>9191</v>
      </c>
      <c r="AJ1416" s="15" t="s">
        <v>9143</v>
      </c>
      <c r="AK1416" s="15" t="s">
        <v>9221</v>
      </c>
      <c r="AL1416" s="15" t="s">
        <v>9226</v>
      </c>
      <c r="AM1416" s="16" t="s">
        <v>9221</v>
      </c>
      <c r="AN1416" s="16" t="s">
        <v>9227</v>
      </c>
    </row>
    <row r="1417" spans="1:40" x14ac:dyDescent="0.25">
      <c r="A1417" s="4" t="s">
        <v>6040</v>
      </c>
      <c r="B1417" s="4"/>
      <c r="C1417" s="4" t="s">
        <v>39</v>
      </c>
      <c r="D1417" s="4" t="s">
        <v>3823</v>
      </c>
      <c r="E1417" s="4" t="s">
        <v>3824</v>
      </c>
      <c r="F1417" s="10">
        <v>45293</v>
      </c>
      <c r="G1417" s="11">
        <v>0.52083333333333337</v>
      </c>
      <c r="H1417" s="4" t="s">
        <v>4242</v>
      </c>
      <c r="I1417" s="4" t="s">
        <v>5918</v>
      </c>
      <c r="J1417" s="4" t="s">
        <v>5919</v>
      </c>
      <c r="K1417" s="4" t="s">
        <v>6041</v>
      </c>
      <c r="L1417" s="4" t="s">
        <v>6042</v>
      </c>
      <c r="M1417" s="4" t="s">
        <v>46</v>
      </c>
      <c r="N1417" s="4"/>
      <c r="O1417" s="4" t="s">
        <v>47</v>
      </c>
      <c r="P1417" s="4" t="s">
        <v>48</v>
      </c>
      <c r="Q1417" s="4">
        <v>0</v>
      </c>
      <c r="R1417" s="4" t="b">
        <v>0</v>
      </c>
      <c r="S1417" s="4" t="s">
        <v>61</v>
      </c>
      <c r="T1417" s="4" t="s">
        <v>50</v>
      </c>
      <c r="U1417" s="4" t="s">
        <v>107</v>
      </c>
      <c r="V1417" s="4" t="s">
        <v>63</v>
      </c>
      <c r="W1417" s="4" t="s">
        <v>198</v>
      </c>
      <c r="X1417" s="4" t="s">
        <v>54</v>
      </c>
      <c r="Y1417" s="4" t="s">
        <v>991</v>
      </c>
      <c r="Z1417" s="12">
        <v>0</v>
      </c>
      <c r="AA1417" s="13" t="s">
        <v>9170</v>
      </c>
      <c r="AB1417" s="13" t="s">
        <v>9168</v>
      </c>
      <c r="AC1417" s="14" t="s">
        <v>9148</v>
      </c>
      <c r="AD1417" s="14" t="s">
        <v>9140</v>
      </c>
      <c r="AE1417" s="14" t="s">
        <v>9140</v>
      </c>
      <c r="AF1417" s="14" t="s">
        <v>63</v>
      </c>
      <c r="AG1417" s="14" t="s">
        <v>54</v>
      </c>
      <c r="AH1417" s="15" t="s">
        <v>9220</v>
      </c>
      <c r="AI1417" s="15" t="s">
        <v>9187</v>
      </c>
      <c r="AJ1417" s="15" t="s">
        <v>9143</v>
      </c>
      <c r="AK1417" s="15" t="s">
        <v>9221</v>
      </c>
      <c r="AL1417" s="15" t="s">
        <v>9226</v>
      </c>
      <c r="AM1417" s="16" t="s">
        <v>9221</v>
      </c>
      <c r="AN1417" s="16" t="s">
        <v>9227</v>
      </c>
    </row>
    <row r="1418" spans="1:40" x14ac:dyDescent="0.25">
      <c r="A1418" s="4" t="s">
        <v>6329</v>
      </c>
      <c r="B1418" s="4"/>
      <c r="C1418" s="4" t="s">
        <v>39</v>
      </c>
      <c r="D1418" s="4" t="s">
        <v>6311</v>
      </c>
      <c r="E1418" s="4" t="s">
        <v>6312</v>
      </c>
      <c r="F1418" s="10">
        <v>45292</v>
      </c>
      <c r="G1418" s="11">
        <v>0.43402777777777779</v>
      </c>
      <c r="H1418" s="4" t="s">
        <v>4019</v>
      </c>
      <c r="I1418" s="4" t="s">
        <v>6277</v>
      </c>
      <c r="J1418" s="4" t="s">
        <v>988</v>
      </c>
      <c r="K1418" s="4" t="s">
        <v>6330</v>
      </c>
      <c r="L1418" s="4" t="s">
        <v>6331</v>
      </c>
      <c r="M1418" s="4" t="s">
        <v>46</v>
      </c>
      <c r="N1418" s="4"/>
      <c r="O1418" s="4" t="s">
        <v>47</v>
      </c>
      <c r="P1418" s="4" t="s">
        <v>48</v>
      </c>
      <c r="Q1418" s="4">
        <v>0</v>
      </c>
      <c r="R1418" s="4" t="b">
        <v>0</v>
      </c>
      <c r="S1418" s="4" t="s">
        <v>61</v>
      </c>
      <c r="T1418" s="4" t="s">
        <v>479</v>
      </c>
      <c r="U1418" s="4" t="s">
        <v>148</v>
      </c>
      <c r="V1418" s="4" t="s">
        <v>52</v>
      </c>
      <c r="W1418" s="4" t="s">
        <v>53</v>
      </c>
      <c r="X1418" s="4" t="s">
        <v>54</v>
      </c>
      <c r="Y1418" s="4"/>
      <c r="Z1418" s="12">
        <v>0</v>
      </c>
      <c r="AA1418" s="13" t="s">
        <v>9170</v>
      </c>
      <c r="AB1418" s="13" t="s">
        <v>9168</v>
      </c>
      <c r="AC1418" s="14" t="s">
        <v>9148</v>
      </c>
      <c r="AD1418" s="14" t="s">
        <v>9140</v>
      </c>
      <c r="AE1418" s="14" t="s">
        <v>9140</v>
      </c>
      <c r="AF1418" s="14" t="s">
        <v>52</v>
      </c>
      <c r="AG1418" s="14" t="s">
        <v>54</v>
      </c>
      <c r="AH1418" s="15" t="s">
        <v>9220</v>
      </c>
      <c r="AI1418" s="15" t="s">
        <v>9175</v>
      </c>
      <c r="AJ1418" s="15" t="s">
        <v>9143</v>
      </c>
      <c r="AK1418" s="15" t="s">
        <v>9221</v>
      </c>
      <c r="AL1418" s="15" t="s">
        <v>9222</v>
      </c>
      <c r="AM1418" s="16" t="s">
        <v>9221</v>
      </c>
      <c r="AN1418" s="16" t="s">
        <v>9223</v>
      </c>
    </row>
    <row r="1419" spans="1:40" x14ac:dyDescent="0.25">
      <c r="A1419" s="4" t="s">
        <v>7584</v>
      </c>
      <c r="B1419" s="4">
        <v>12240011927</v>
      </c>
      <c r="C1419" s="4" t="s">
        <v>39</v>
      </c>
      <c r="D1419" s="4" t="s">
        <v>7585</v>
      </c>
      <c r="E1419" s="4" t="s">
        <v>7586</v>
      </c>
      <c r="F1419" s="10">
        <v>45291</v>
      </c>
      <c r="G1419" s="11">
        <v>0.63472222222222219</v>
      </c>
      <c r="H1419" s="4" t="s">
        <v>4019</v>
      </c>
      <c r="I1419" s="4" t="s">
        <v>7562</v>
      </c>
      <c r="J1419" s="4" t="s">
        <v>7563</v>
      </c>
      <c r="K1419" s="4" t="s">
        <v>2312</v>
      </c>
      <c r="L1419" s="4" t="s">
        <v>7587</v>
      </c>
      <c r="M1419" s="4" t="s">
        <v>28</v>
      </c>
      <c r="N1419" s="4" t="s">
        <v>183</v>
      </c>
      <c r="O1419" s="4" t="s">
        <v>174</v>
      </c>
      <c r="P1419" s="4" t="s">
        <v>48</v>
      </c>
      <c r="Q1419" s="4">
        <v>5</v>
      </c>
      <c r="R1419" s="4" t="b">
        <v>0</v>
      </c>
      <c r="S1419" s="4" t="s">
        <v>184</v>
      </c>
      <c r="T1419" s="4" t="s">
        <v>50</v>
      </c>
      <c r="U1419" s="4" t="s">
        <v>527</v>
      </c>
      <c r="V1419" s="4" t="s">
        <v>63</v>
      </c>
      <c r="W1419" s="4" t="s">
        <v>108</v>
      </c>
      <c r="X1419" s="4" t="s">
        <v>54</v>
      </c>
      <c r="Y1419" s="4"/>
      <c r="Z1419" s="12" t="s">
        <v>48</v>
      </c>
      <c r="AA1419" s="13" t="s">
        <v>9170</v>
      </c>
      <c r="AB1419" s="13" t="s">
        <v>9168</v>
      </c>
      <c r="AC1419" s="14" t="s">
        <v>9166</v>
      </c>
      <c r="AD1419" s="14" t="s">
        <v>28</v>
      </c>
      <c r="AE1419" s="14" t="s">
        <v>183</v>
      </c>
      <c r="AF1419" s="14" t="s">
        <v>63</v>
      </c>
      <c r="AG1419" s="14" t="s">
        <v>54</v>
      </c>
      <c r="AH1419" s="15" t="s">
        <v>9220</v>
      </c>
      <c r="AI1419" s="15" t="s">
        <v>9175</v>
      </c>
      <c r="AJ1419" s="15" t="s">
        <v>9143</v>
      </c>
      <c r="AK1419" s="15" t="s">
        <v>9221</v>
      </c>
      <c r="AL1419" s="15" t="s">
        <v>9224</v>
      </c>
      <c r="AM1419" s="16" t="s">
        <v>9221</v>
      </c>
      <c r="AN1419" s="16" t="s">
        <v>9225</v>
      </c>
    </row>
    <row r="1420" spans="1:40" x14ac:dyDescent="0.25">
      <c r="A1420" s="4" t="s">
        <v>7736</v>
      </c>
      <c r="B1420" s="4"/>
      <c r="C1420" s="4" t="s">
        <v>39</v>
      </c>
      <c r="D1420" s="4" t="s">
        <v>7737</v>
      </c>
      <c r="E1420" s="4" t="s">
        <v>7738</v>
      </c>
      <c r="F1420" s="10">
        <v>45291</v>
      </c>
      <c r="G1420" s="11">
        <v>2.7083333333333334E-2</v>
      </c>
      <c r="H1420" s="4" t="s">
        <v>4659</v>
      </c>
      <c r="I1420" s="4" t="s">
        <v>7729</v>
      </c>
      <c r="J1420" s="4" t="s">
        <v>3592</v>
      </c>
      <c r="K1420" s="4" t="s">
        <v>7739</v>
      </c>
      <c r="L1420" s="4" t="s">
        <v>7740</v>
      </c>
      <c r="M1420" s="4" t="s">
        <v>46</v>
      </c>
      <c r="N1420" s="4"/>
      <c r="O1420" s="4" t="s">
        <v>47</v>
      </c>
      <c r="P1420" s="4" t="s">
        <v>48</v>
      </c>
      <c r="Q1420" s="4">
        <v>0</v>
      </c>
      <c r="R1420" s="4" t="b">
        <v>0</v>
      </c>
      <c r="S1420" s="4" t="s">
        <v>49</v>
      </c>
      <c r="T1420" s="4" t="s">
        <v>134</v>
      </c>
      <c r="U1420" s="4" t="s">
        <v>107</v>
      </c>
      <c r="V1420" s="4" t="s">
        <v>52</v>
      </c>
      <c r="W1420" s="4" t="s">
        <v>135</v>
      </c>
      <c r="X1420" s="4" t="s">
        <v>136</v>
      </c>
      <c r="Y1420" s="4"/>
      <c r="Z1420" s="12">
        <v>0</v>
      </c>
      <c r="AA1420" s="13" t="s">
        <v>9170</v>
      </c>
      <c r="AB1420" s="13" t="s">
        <v>9168</v>
      </c>
      <c r="AC1420" s="14" t="s">
        <v>9139</v>
      </c>
      <c r="AD1420" s="14" t="s">
        <v>9140</v>
      </c>
      <c r="AE1420" s="14" t="s">
        <v>9140</v>
      </c>
      <c r="AF1420" s="14" t="s">
        <v>52</v>
      </c>
      <c r="AG1420" s="14" t="s">
        <v>136</v>
      </c>
      <c r="AH1420" s="15" t="s">
        <v>9220</v>
      </c>
      <c r="AI1420" s="15" t="s">
        <v>9142</v>
      </c>
      <c r="AJ1420" s="15" t="s">
        <v>9143</v>
      </c>
      <c r="AK1420" s="15" t="s">
        <v>9221</v>
      </c>
      <c r="AL1420" s="15" t="s">
        <v>9228</v>
      </c>
      <c r="AM1420" s="16" t="s">
        <v>9221</v>
      </c>
      <c r="AN1420" s="16" t="s">
        <v>9229</v>
      </c>
    </row>
    <row r="1421" spans="1:40" x14ac:dyDescent="0.25">
      <c r="A1421" s="4" t="s">
        <v>6830</v>
      </c>
      <c r="B1421" s="4"/>
      <c r="C1421" s="4" t="s">
        <v>39</v>
      </c>
      <c r="D1421" s="4" t="s">
        <v>6808</v>
      </c>
      <c r="E1421" s="4" t="s">
        <v>6809</v>
      </c>
      <c r="F1421" s="10">
        <v>45291</v>
      </c>
      <c r="G1421" s="11">
        <v>0.69374999999999998</v>
      </c>
      <c r="H1421" s="4" t="s">
        <v>4910</v>
      </c>
      <c r="I1421" s="4" t="s">
        <v>6800</v>
      </c>
      <c r="J1421" s="4" t="s">
        <v>2914</v>
      </c>
      <c r="K1421" s="4" t="s">
        <v>6831</v>
      </c>
      <c r="L1421" s="4" t="s">
        <v>6832</v>
      </c>
      <c r="M1421" s="4" t="s">
        <v>46</v>
      </c>
      <c r="N1421" s="4"/>
      <c r="O1421" s="4" t="s">
        <v>47</v>
      </c>
      <c r="P1421" s="4" t="s">
        <v>48</v>
      </c>
      <c r="Q1421" s="4">
        <v>0</v>
      </c>
      <c r="R1421" s="4" t="b">
        <v>0</v>
      </c>
      <c r="S1421" s="4" t="s">
        <v>61</v>
      </c>
      <c r="T1421" s="4" t="s">
        <v>134</v>
      </c>
      <c r="U1421" s="4" t="s">
        <v>224</v>
      </c>
      <c r="V1421" s="4" t="s">
        <v>63</v>
      </c>
      <c r="W1421" s="4" t="s">
        <v>108</v>
      </c>
      <c r="X1421" s="4" t="s">
        <v>98</v>
      </c>
      <c r="Y1421" s="4"/>
      <c r="Z1421" s="12">
        <v>0</v>
      </c>
      <c r="AA1421" s="13" t="s">
        <v>9170</v>
      </c>
      <c r="AB1421" s="13" t="s">
        <v>9168</v>
      </c>
      <c r="AC1421" s="14" t="s">
        <v>9148</v>
      </c>
      <c r="AD1421" s="14" t="s">
        <v>9140</v>
      </c>
      <c r="AE1421" s="14" t="s">
        <v>9140</v>
      </c>
      <c r="AF1421" s="14" t="s">
        <v>63</v>
      </c>
      <c r="AG1421" s="14" t="s">
        <v>98</v>
      </c>
      <c r="AH1421" s="15" t="s">
        <v>9220</v>
      </c>
      <c r="AI1421" s="15" t="s">
        <v>9191</v>
      </c>
      <c r="AJ1421" s="15" t="s">
        <v>9143</v>
      </c>
      <c r="AK1421" s="15" t="s">
        <v>9221</v>
      </c>
      <c r="AL1421" s="15" t="s">
        <v>9234</v>
      </c>
      <c r="AM1421" s="16" t="s">
        <v>9221</v>
      </c>
      <c r="AN1421" s="16" t="s">
        <v>9235</v>
      </c>
    </row>
    <row r="1422" spans="1:40" x14ac:dyDescent="0.25">
      <c r="A1422" s="4" t="s">
        <v>5344</v>
      </c>
      <c r="B1422" s="4"/>
      <c r="C1422" s="4" t="s">
        <v>39</v>
      </c>
      <c r="D1422" s="4" t="s">
        <v>5345</v>
      </c>
      <c r="E1422" s="4" t="s">
        <v>5346</v>
      </c>
      <c r="F1422" s="10">
        <v>45291</v>
      </c>
      <c r="G1422" s="11">
        <v>0.70833333333333337</v>
      </c>
      <c r="H1422" s="4" t="s">
        <v>4516</v>
      </c>
      <c r="I1422" s="4" t="s">
        <v>5275</v>
      </c>
      <c r="J1422" s="4" t="s">
        <v>5276</v>
      </c>
      <c r="K1422" s="4" t="s">
        <v>5347</v>
      </c>
      <c r="L1422" s="4" t="s">
        <v>5348</v>
      </c>
      <c r="M1422" s="4" t="s">
        <v>46</v>
      </c>
      <c r="N1422" s="4"/>
      <c r="O1422" s="4" t="s">
        <v>47</v>
      </c>
      <c r="P1422" s="4" t="s">
        <v>48</v>
      </c>
      <c r="Q1422" s="4">
        <v>0</v>
      </c>
      <c r="R1422" s="4" t="b">
        <v>0</v>
      </c>
      <c r="S1422" s="4" t="s">
        <v>61</v>
      </c>
      <c r="T1422" s="4" t="s">
        <v>70</v>
      </c>
      <c r="U1422" s="4" t="s">
        <v>71</v>
      </c>
      <c r="V1422" s="4" t="s">
        <v>72</v>
      </c>
      <c r="W1422" s="4" t="s">
        <v>73</v>
      </c>
      <c r="X1422" s="4" t="s">
        <v>54</v>
      </c>
      <c r="Y1422" s="4"/>
      <c r="Z1422" s="12">
        <v>0</v>
      </c>
      <c r="AA1422" s="13" t="s">
        <v>9170</v>
      </c>
      <c r="AB1422" s="13" t="s">
        <v>9168</v>
      </c>
      <c r="AC1422" s="14" t="s">
        <v>9148</v>
      </c>
      <c r="AD1422" s="14" t="s">
        <v>9140</v>
      </c>
      <c r="AE1422" s="14" t="s">
        <v>9140</v>
      </c>
      <c r="AF1422" s="14" t="s">
        <v>72</v>
      </c>
      <c r="AG1422" s="14" t="s">
        <v>54</v>
      </c>
      <c r="AH1422" s="15" t="s">
        <v>9220</v>
      </c>
      <c r="AI1422" s="15" t="s">
        <v>9188</v>
      </c>
      <c r="AJ1422" s="15" t="s">
        <v>9143</v>
      </c>
      <c r="AK1422" s="15" t="s">
        <v>9221</v>
      </c>
      <c r="AL1422" s="15" t="s">
        <v>9230</v>
      </c>
      <c r="AM1422" s="16" t="s">
        <v>9221</v>
      </c>
      <c r="AN1422" s="16" t="s">
        <v>9231</v>
      </c>
    </row>
    <row r="1423" spans="1:40" x14ac:dyDescent="0.25">
      <c r="A1423" s="4" t="s">
        <v>2343</v>
      </c>
      <c r="B1423" s="4"/>
      <c r="C1423" s="4" t="s">
        <v>39</v>
      </c>
      <c r="D1423" s="4" t="s">
        <v>2344</v>
      </c>
      <c r="E1423" s="4" t="s">
        <v>2345</v>
      </c>
      <c r="F1423" s="10">
        <v>45290</v>
      </c>
      <c r="G1423" s="11">
        <v>0.70972222222222225</v>
      </c>
      <c r="H1423" s="4" t="s">
        <v>1939</v>
      </c>
      <c r="I1423" s="4" t="s">
        <v>2322</v>
      </c>
      <c r="J1423" s="4" t="s">
        <v>1037</v>
      </c>
      <c r="K1423" s="4" t="s">
        <v>2346</v>
      </c>
      <c r="L1423" s="4" t="s">
        <v>2347</v>
      </c>
      <c r="M1423" s="4" t="s">
        <v>46</v>
      </c>
      <c r="N1423" s="4"/>
      <c r="O1423" s="4" t="s">
        <v>174</v>
      </c>
      <c r="P1423" s="4" t="s">
        <v>48</v>
      </c>
      <c r="Q1423" s="4">
        <v>0</v>
      </c>
      <c r="R1423" s="4" t="b">
        <v>0</v>
      </c>
      <c r="S1423" s="4" t="s">
        <v>114</v>
      </c>
      <c r="T1423" s="4" t="s">
        <v>479</v>
      </c>
      <c r="U1423" s="4" t="s">
        <v>148</v>
      </c>
      <c r="V1423" s="4" t="s">
        <v>52</v>
      </c>
      <c r="W1423" s="4" t="s">
        <v>135</v>
      </c>
      <c r="X1423" s="4" t="s">
        <v>54</v>
      </c>
      <c r="Y1423" s="4"/>
      <c r="Z1423" s="12">
        <v>0</v>
      </c>
      <c r="AA1423" s="13" t="s">
        <v>9170</v>
      </c>
      <c r="AB1423" s="13" t="s">
        <v>9168</v>
      </c>
      <c r="AC1423" s="14" t="s">
        <v>9157</v>
      </c>
      <c r="AD1423" s="14" t="s">
        <v>9140</v>
      </c>
      <c r="AE1423" s="14" t="s">
        <v>9140</v>
      </c>
      <c r="AF1423" s="14" t="s">
        <v>52</v>
      </c>
      <c r="AG1423" s="14" t="s">
        <v>54</v>
      </c>
      <c r="AH1423" s="15" t="s">
        <v>9194</v>
      </c>
      <c r="AI1423" s="15" t="s">
        <v>9175</v>
      </c>
      <c r="AJ1423" s="15" t="s">
        <v>9143</v>
      </c>
      <c r="AK1423" s="15" t="s">
        <v>9194</v>
      </c>
      <c r="AL1423" s="15" t="s">
        <v>9195</v>
      </c>
      <c r="AM1423" s="16" t="s">
        <v>9194</v>
      </c>
      <c r="AN1423" s="16" t="s">
        <v>9196</v>
      </c>
    </row>
    <row r="1424" spans="1:40" x14ac:dyDescent="0.25">
      <c r="A1424" s="4" t="s">
        <v>3177</v>
      </c>
      <c r="B1424" s="4" t="s">
        <v>3178</v>
      </c>
      <c r="C1424" s="4" t="s">
        <v>39</v>
      </c>
      <c r="D1424" s="4" t="s">
        <v>3179</v>
      </c>
      <c r="E1424" s="4" t="s">
        <v>3180</v>
      </c>
      <c r="F1424" s="10">
        <v>45290</v>
      </c>
      <c r="G1424" s="11">
        <v>0.375</v>
      </c>
      <c r="H1424" s="4" t="s">
        <v>1992</v>
      </c>
      <c r="I1424" s="4" t="s">
        <v>3169</v>
      </c>
      <c r="J1424" s="4" t="s">
        <v>3170</v>
      </c>
      <c r="K1424" s="4" t="s">
        <v>3181</v>
      </c>
      <c r="L1424" s="4" t="s">
        <v>3182</v>
      </c>
      <c r="M1424" s="4" t="s">
        <v>28</v>
      </c>
      <c r="N1424" s="4" t="s">
        <v>183</v>
      </c>
      <c r="O1424" s="4" t="s">
        <v>191</v>
      </c>
      <c r="P1424" s="4" t="s">
        <v>48</v>
      </c>
      <c r="Q1424" s="4">
        <v>10</v>
      </c>
      <c r="R1424" s="4" t="b">
        <v>0</v>
      </c>
      <c r="S1424" s="4" t="s">
        <v>114</v>
      </c>
      <c r="T1424" s="4" t="s">
        <v>204</v>
      </c>
      <c r="U1424" s="4" t="s">
        <v>650</v>
      </c>
      <c r="V1424" s="4" t="s">
        <v>225</v>
      </c>
      <c r="W1424" s="4" t="s">
        <v>1714</v>
      </c>
      <c r="X1424" s="4" t="s">
        <v>3183</v>
      </c>
      <c r="Y1424" s="4"/>
      <c r="Z1424" s="12" t="s">
        <v>48</v>
      </c>
      <c r="AA1424" s="13" t="s">
        <v>9170</v>
      </c>
      <c r="AB1424" s="13" t="s">
        <v>9168</v>
      </c>
      <c r="AC1424" s="14" t="s">
        <v>9157</v>
      </c>
      <c r="AD1424" s="14" t="s">
        <v>28</v>
      </c>
      <c r="AE1424" s="14" t="s">
        <v>183</v>
      </c>
      <c r="AF1424" s="14" t="s">
        <v>225</v>
      </c>
      <c r="AG1424" s="14" t="s">
        <v>3183</v>
      </c>
      <c r="AH1424" s="15" t="s">
        <v>9194</v>
      </c>
      <c r="AI1424" s="15" t="s">
        <v>9191</v>
      </c>
      <c r="AJ1424" s="15" t="s">
        <v>9143</v>
      </c>
      <c r="AK1424" s="15" t="s">
        <v>9194</v>
      </c>
      <c r="AL1424" s="15" t="s">
        <v>9205</v>
      </c>
      <c r="AM1424" s="16" t="s">
        <v>9194</v>
      </c>
      <c r="AN1424" s="16" t="s">
        <v>9206</v>
      </c>
    </row>
    <row r="1425" spans="1:40" x14ac:dyDescent="0.25">
      <c r="A1425" s="4" t="s">
        <v>318</v>
      </c>
      <c r="B1425" s="4"/>
      <c r="C1425" s="4" t="s">
        <v>39</v>
      </c>
      <c r="D1425" s="4" t="s">
        <v>319</v>
      </c>
      <c r="E1425" s="4" t="s">
        <v>320</v>
      </c>
      <c r="F1425" s="10">
        <v>45289</v>
      </c>
      <c r="G1425" s="11">
        <v>0.58333333333333337</v>
      </c>
      <c r="H1425" s="4" t="s">
        <v>42</v>
      </c>
      <c r="I1425" s="4">
        <v>1011</v>
      </c>
      <c r="J1425" s="4" t="s">
        <v>215</v>
      </c>
      <c r="K1425" s="4" t="s">
        <v>321</v>
      </c>
      <c r="L1425" s="4" t="s">
        <v>322</v>
      </c>
      <c r="M1425" s="4" t="s">
        <v>46</v>
      </c>
      <c r="N1425" s="4"/>
      <c r="O1425" s="4" t="s">
        <v>47</v>
      </c>
      <c r="P1425" s="4" t="s">
        <v>48</v>
      </c>
      <c r="Q1425" s="4">
        <v>0</v>
      </c>
      <c r="R1425" s="4" t="b">
        <v>0</v>
      </c>
      <c r="S1425" s="4" t="s">
        <v>49</v>
      </c>
      <c r="T1425" s="4" t="s">
        <v>50</v>
      </c>
      <c r="U1425" s="4" t="s">
        <v>148</v>
      </c>
      <c r="V1425" s="4" t="s">
        <v>63</v>
      </c>
      <c r="W1425" s="4" t="s">
        <v>198</v>
      </c>
      <c r="X1425" s="4" t="s">
        <v>54</v>
      </c>
      <c r="Y1425" s="4" t="s">
        <v>323</v>
      </c>
      <c r="Z1425" s="12">
        <v>0</v>
      </c>
      <c r="AA1425" s="13" t="s">
        <v>9170</v>
      </c>
      <c r="AB1425" s="13" t="s">
        <v>9168</v>
      </c>
      <c r="AC1425" s="14" t="s">
        <v>9139</v>
      </c>
      <c r="AD1425" s="14" t="s">
        <v>9140</v>
      </c>
      <c r="AE1425" s="14" t="s">
        <v>9140</v>
      </c>
      <c r="AF1425" s="14" t="s">
        <v>63</v>
      </c>
      <c r="AG1425" s="14" t="s">
        <v>54</v>
      </c>
      <c r="AH1425" s="15" t="s">
        <v>9141</v>
      </c>
      <c r="AI1425" s="15" t="s">
        <v>9142</v>
      </c>
      <c r="AJ1425" s="15" t="s">
        <v>9143</v>
      </c>
      <c r="AK1425" s="15" t="s">
        <v>9141</v>
      </c>
      <c r="AL1425" s="15" t="s">
        <v>9144</v>
      </c>
      <c r="AM1425" s="16" t="s">
        <v>9141</v>
      </c>
      <c r="AN1425" s="16" t="s">
        <v>9145</v>
      </c>
    </row>
    <row r="1426" spans="1:40" x14ac:dyDescent="0.25">
      <c r="A1426" s="4" t="s">
        <v>199</v>
      </c>
      <c r="B1426" s="4"/>
      <c r="C1426" s="4" t="s">
        <v>39</v>
      </c>
      <c r="D1426" s="4" t="s">
        <v>200</v>
      </c>
      <c r="E1426" s="4" t="s">
        <v>201</v>
      </c>
      <c r="F1426" s="10">
        <v>45289</v>
      </c>
      <c r="G1426" s="11">
        <v>0.36805555555555558</v>
      </c>
      <c r="H1426" s="4" t="s">
        <v>42</v>
      </c>
      <c r="I1426" s="4">
        <v>1008</v>
      </c>
      <c r="J1426" s="4" t="s">
        <v>170</v>
      </c>
      <c r="K1426" s="4" t="s">
        <v>202</v>
      </c>
      <c r="L1426" s="4" t="s">
        <v>203</v>
      </c>
      <c r="M1426" s="4" t="s">
        <v>46</v>
      </c>
      <c r="N1426" s="4"/>
      <c r="O1426" s="4" t="s">
        <v>47</v>
      </c>
      <c r="P1426" s="4" t="s">
        <v>48</v>
      </c>
      <c r="Q1426" s="4">
        <v>0</v>
      </c>
      <c r="R1426" s="4" t="b">
        <v>0</v>
      </c>
      <c r="S1426" s="4" t="s">
        <v>114</v>
      </c>
      <c r="T1426" s="4" t="s">
        <v>204</v>
      </c>
      <c r="U1426" s="4" t="s">
        <v>122</v>
      </c>
      <c r="V1426" s="4" t="s">
        <v>123</v>
      </c>
      <c r="W1426" s="4" t="s">
        <v>124</v>
      </c>
      <c r="X1426" s="4" t="s">
        <v>54</v>
      </c>
      <c r="Y1426" s="4"/>
      <c r="Z1426" s="12">
        <v>0</v>
      </c>
      <c r="AA1426" s="13" t="s">
        <v>9170</v>
      </c>
      <c r="AB1426" s="13" t="s">
        <v>9168</v>
      </c>
      <c r="AC1426" s="14" t="s">
        <v>9157</v>
      </c>
      <c r="AD1426" s="14" t="s">
        <v>9140</v>
      </c>
      <c r="AE1426" s="14" t="s">
        <v>9140</v>
      </c>
      <c r="AF1426" s="14" t="s">
        <v>123</v>
      </c>
      <c r="AG1426" s="14" t="s">
        <v>54</v>
      </c>
      <c r="AH1426" s="15" t="s">
        <v>9141</v>
      </c>
      <c r="AI1426" s="15" t="s">
        <v>9142</v>
      </c>
      <c r="AJ1426" s="15" t="s">
        <v>9143</v>
      </c>
      <c r="AK1426" s="15" t="s">
        <v>9141</v>
      </c>
      <c r="AL1426" s="15" t="s">
        <v>9144</v>
      </c>
      <c r="AM1426" s="16" t="s">
        <v>9141</v>
      </c>
      <c r="AN1426" s="16" t="s">
        <v>9145</v>
      </c>
    </row>
    <row r="1427" spans="1:40" x14ac:dyDescent="0.25">
      <c r="A1427" s="4" t="s">
        <v>6939</v>
      </c>
      <c r="B1427" s="4"/>
      <c r="C1427" s="4" t="s">
        <v>39</v>
      </c>
      <c r="D1427" s="4" t="s">
        <v>6940</v>
      </c>
      <c r="E1427" s="4" t="s">
        <v>6941</v>
      </c>
      <c r="F1427" s="10">
        <v>45289</v>
      </c>
      <c r="G1427" s="11">
        <v>0.5</v>
      </c>
      <c r="H1427" s="4" t="s">
        <v>4019</v>
      </c>
      <c r="I1427" s="4" t="s">
        <v>6911</v>
      </c>
      <c r="J1427" s="4" t="s">
        <v>6912</v>
      </c>
      <c r="K1427" s="4" t="s">
        <v>6942</v>
      </c>
      <c r="L1427" s="4" t="s">
        <v>6943</v>
      </c>
      <c r="M1427" s="4" t="s">
        <v>46</v>
      </c>
      <c r="N1427" s="4"/>
      <c r="O1427" s="4" t="s">
        <v>47</v>
      </c>
      <c r="P1427" s="4" t="s">
        <v>48</v>
      </c>
      <c r="Q1427" s="4">
        <v>0</v>
      </c>
      <c r="R1427" s="4" t="b">
        <v>0</v>
      </c>
      <c r="S1427" s="4" t="s">
        <v>114</v>
      </c>
      <c r="T1427" s="4" t="s">
        <v>479</v>
      </c>
      <c r="U1427" s="4" t="s">
        <v>175</v>
      </c>
      <c r="V1427" s="4" t="s">
        <v>52</v>
      </c>
      <c r="W1427" s="4" t="s">
        <v>255</v>
      </c>
      <c r="X1427" s="4" t="s">
        <v>98</v>
      </c>
      <c r="Y1427" s="4"/>
      <c r="Z1427" s="12">
        <v>0</v>
      </c>
      <c r="AA1427" s="13" t="s">
        <v>9170</v>
      </c>
      <c r="AB1427" s="13" t="s">
        <v>9168</v>
      </c>
      <c r="AC1427" s="14" t="s">
        <v>9157</v>
      </c>
      <c r="AD1427" s="14" t="s">
        <v>9140</v>
      </c>
      <c r="AE1427" s="14" t="s">
        <v>9140</v>
      </c>
      <c r="AF1427" s="14" t="s">
        <v>52</v>
      </c>
      <c r="AG1427" s="14" t="s">
        <v>98</v>
      </c>
      <c r="AH1427" s="15" t="s">
        <v>9220</v>
      </c>
      <c r="AI1427" s="15" t="s">
        <v>9175</v>
      </c>
      <c r="AJ1427" s="15" t="s">
        <v>9143</v>
      </c>
      <c r="AK1427" s="15" t="s">
        <v>9221</v>
      </c>
      <c r="AL1427" s="15" t="s">
        <v>9224</v>
      </c>
      <c r="AM1427" s="16" t="s">
        <v>9221</v>
      </c>
      <c r="AN1427" s="16" t="s">
        <v>9225</v>
      </c>
    </row>
    <row r="1428" spans="1:40" x14ac:dyDescent="0.25">
      <c r="A1428" s="4" t="s">
        <v>4041</v>
      </c>
      <c r="B1428" s="4"/>
      <c r="C1428" s="4" t="s">
        <v>39</v>
      </c>
      <c r="D1428" s="4" t="s">
        <v>4042</v>
      </c>
      <c r="E1428" s="4" t="s">
        <v>4043</v>
      </c>
      <c r="F1428" s="10">
        <v>45288</v>
      </c>
      <c r="G1428" s="11">
        <v>0.36319444444444443</v>
      </c>
      <c r="H1428" s="4" t="s">
        <v>4019</v>
      </c>
      <c r="I1428" s="4" t="s">
        <v>4020</v>
      </c>
      <c r="J1428" s="4" t="s">
        <v>3083</v>
      </c>
      <c r="K1428" s="4" t="s">
        <v>4044</v>
      </c>
      <c r="L1428" s="4" t="s">
        <v>4045</v>
      </c>
      <c r="M1428" s="4" t="s">
        <v>46</v>
      </c>
      <c r="N1428" s="4"/>
      <c r="O1428" s="4" t="s">
        <v>47</v>
      </c>
      <c r="P1428" s="4" t="s">
        <v>48</v>
      </c>
      <c r="Q1428" s="4">
        <v>0</v>
      </c>
      <c r="R1428" s="4" t="b">
        <v>0</v>
      </c>
      <c r="S1428" s="4" t="s">
        <v>49</v>
      </c>
      <c r="T1428" s="4" t="s">
        <v>134</v>
      </c>
      <c r="U1428" s="4" t="s">
        <v>51</v>
      </c>
      <c r="V1428" s="4" t="s">
        <v>123</v>
      </c>
      <c r="W1428" s="4" t="s">
        <v>124</v>
      </c>
      <c r="X1428" s="4" t="s">
        <v>98</v>
      </c>
      <c r="Y1428" s="4"/>
      <c r="Z1428" s="12">
        <v>0</v>
      </c>
      <c r="AA1428" s="13" t="s">
        <v>9170</v>
      </c>
      <c r="AB1428" s="13" t="s">
        <v>9168</v>
      </c>
      <c r="AC1428" s="14" t="s">
        <v>9139</v>
      </c>
      <c r="AD1428" s="14" t="s">
        <v>9140</v>
      </c>
      <c r="AE1428" s="14" t="s">
        <v>9140</v>
      </c>
      <c r="AF1428" s="14" t="s">
        <v>123</v>
      </c>
      <c r="AG1428" s="14" t="s">
        <v>98</v>
      </c>
      <c r="AH1428" s="15" t="s">
        <v>9220</v>
      </c>
      <c r="AI1428" s="15" t="s">
        <v>9175</v>
      </c>
      <c r="AJ1428" s="15" t="s">
        <v>9143</v>
      </c>
      <c r="AK1428" s="15" t="s">
        <v>9221</v>
      </c>
      <c r="AL1428" s="15" t="s">
        <v>9222</v>
      </c>
      <c r="AM1428" s="16" t="s">
        <v>9221</v>
      </c>
      <c r="AN1428" s="16" t="s">
        <v>9223</v>
      </c>
    </row>
    <row r="1429" spans="1:40" x14ac:dyDescent="0.25">
      <c r="A1429" s="4" t="s">
        <v>5610</v>
      </c>
      <c r="B1429" s="4"/>
      <c r="C1429" s="4" t="s">
        <v>39</v>
      </c>
      <c r="D1429" s="4" t="s">
        <v>5601</v>
      </c>
      <c r="E1429" s="4" t="s">
        <v>5602</v>
      </c>
      <c r="F1429" s="10">
        <v>45288</v>
      </c>
      <c r="G1429" s="11">
        <v>0.67013888888888884</v>
      </c>
      <c r="H1429" s="4" t="s">
        <v>4516</v>
      </c>
      <c r="I1429" s="4" t="s">
        <v>5589</v>
      </c>
      <c r="J1429" s="4" t="s">
        <v>5590</v>
      </c>
      <c r="K1429" s="4" t="s">
        <v>5611</v>
      </c>
      <c r="L1429" s="4" t="s">
        <v>5612</v>
      </c>
      <c r="M1429" s="4" t="s">
        <v>46</v>
      </c>
      <c r="N1429" s="4"/>
      <c r="O1429" s="4" t="s">
        <v>47</v>
      </c>
      <c r="P1429" s="4" t="s">
        <v>48</v>
      </c>
      <c r="Q1429" s="4">
        <v>0</v>
      </c>
      <c r="R1429" s="4" t="b">
        <v>0</v>
      </c>
      <c r="S1429" s="4" t="s">
        <v>61</v>
      </c>
      <c r="T1429" s="4" t="s">
        <v>50</v>
      </c>
      <c r="U1429" s="4" t="s">
        <v>584</v>
      </c>
      <c r="V1429" s="4" t="s">
        <v>63</v>
      </c>
      <c r="W1429" s="4" t="s">
        <v>108</v>
      </c>
      <c r="X1429" s="4" t="s">
        <v>54</v>
      </c>
      <c r="Y1429" s="4" t="s">
        <v>302</v>
      </c>
      <c r="Z1429" s="12">
        <v>0</v>
      </c>
      <c r="AA1429" s="13" t="s">
        <v>9170</v>
      </c>
      <c r="AB1429" s="13" t="s">
        <v>9168</v>
      </c>
      <c r="AC1429" s="14" t="s">
        <v>9148</v>
      </c>
      <c r="AD1429" s="14" t="s">
        <v>9140</v>
      </c>
      <c r="AE1429" s="14" t="s">
        <v>9140</v>
      </c>
      <c r="AF1429" s="14" t="s">
        <v>63</v>
      </c>
      <c r="AG1429" s="14" t="s">
        <v>54</v>
      </c>
      <c r="AH1429" s="15" t="s">
        <v>9220</v>
      </c>
      <c r="AI1429" s="15" t="s">
        <v>9188</v>
      </c>
      <c r="AJ1429" s="15" t="s">
        <v>9143</v>
      </c>
      <c r="AK1429" s="15" t="s">
        <v>9221</v>
      </c>
      <c r="AL1429" s="15" t="s">
        <v>9236</v>
      </c>
      <c r="AM1429" s="16" t="s">
        <v>9221</v>
      </c>
      <c r="AN1429" s="16" t="s">
        <v>9237</v>
      </c>
    </row>
    <row r="1430" spans="1:40" x14ac:dyDescent="0.25">
      <c r="A1430" s="4" t="s">
        <v>7832</v>
      </c>
      <c r="B1430" s="4"/>
      <c r="C1430" s="4" t="s">
        <v>39</v>
      </c>
      <c r="D1430" s="4" t="s">
        <v>7833</v>
      </c>
      <c r="E1430" s="4" t="s">
        <v>7834</v>
      </c>
      <c r="F1430" s="10">
        <v>45288</v>
      </c>
      <c r="G1430" s="11">
        <v>0.64444444444444449</v>
      </c>
      <c r="H1430" s="4" t="s">
        <v>5666</v>
      </c>
      <c r="I1430" s="4" t="s">
        <v>7793</v>
      </c>
      <c r="J1430" s="4" t="s">
        <v>7794</v>
      </c>
      <c r="K1430" s="4" t="s">
        <v>7835</v>
      </c>
      <c r="L1430" s="4" t="s">
        <v>7836</v>
      </c>
      <c r="M1430" s="4" t="s">
        <v>46</v>
      </c>
      <c r="N1430" s="4"/>
      <c r="O1430" s="4" t="s">
        <v>47</v>
      </c>
      <c r="P1430" s="4" t="s">
        <v>48</v>
      </c>
      <c r="Q1430" s="4">
        <v>0</v>
      </c>
      <c r="R1430" s="4" t="b">
        <v>0</v>
      </c>
      <c r="S1430" s="4" t="s">
        <v>61</v>
      </c>
      <c r="T1430" s="4" t="s">
        <v>50</v>
      </c>
      <c r="U1430" s="4" t="s">
        <v>527</v>
      </c>
      <c r="V1430" s="4" t="s">
        <v>72</v>
      </c>
      <c r="W1430" s="4" t="s">
        <v>73</v>
      </c>
      <c r="X1430" s="4" t="s">
        <v>54</v>
      </c>
      <c r="Y1430" s="4" t="s">
        <v>991</v>
      </c>
      <c r="Z1430" s="12">
        <v>0</v>
      </c>
      <c r="AA1430" s="13" t="s">
        <v>9170</v>
      </c>
      <c r="AB1430" s="13" t="s">
        <v>9168</v>
      </c>
      <c r="AC1430" s="14" t="s">
        <v>9148</v>
      </c>
      <c r="AD1430" s="14" t="s">
        <v>9140</v>
      </c>
      <c r="AE1430" s="14" t="s">
        <v>9140</v>
      </c>
      <c r="AF1430" s="14" t="s">
        <v>72</v>
      </c>
      <c r="AG1430" s="14" t="s">
        <v>54</v>
      </c>
      <c r="AH1430" s="15" t="s">
        <v>9220</v>
      </c>
      <c r="AI1430" s="15" t="s">
        <v>9199</v>
      </c>
      <c r="AJ1430" s="15" t="s">
        <v>9143</v>
      </c>
      <c r="AK1430" s="15" t="s">
        <v>9221</v>
      </c>
      <c r="AL1430" s="15" t="s">
        <v>9199</v>
      </c>
      <c r="AM1430" s="16" t="s">
        <v>9221</v>
      </c>
      <c r="AN1430" s="16" t="s">
        <v>9238</v>
      </c>
    </row>
    <row r="1431" spans="1:40" x14ac:dyDescent="0.25">
      <c r="A1431" s="4" t="s">
        <v>2118</v>
      </c>
      <c r="B1431" s="4"/>
      <c r="C1431" s="4" t="s">
        <v>39</v>
      </c>
      <c r="D1431" s="4" t="s">
        <v>2106</v>
      </c>
      <c r="E1431" s="4" t="s">
        <v>2107</v>
      </c>
      <c r="F1431" s="10">
        <v>45288</v>
      </c>
      <c r="G1431" s="11">
        <v>0.66319444444444442</v>
      </c>
      <c r="H1431" s="4" t="s">
        <v>2095</v>
      </c>
      <c r="I1431" s="4" t="s">
        <v>2096</v>
      </c>
      <c r="J1431" s="4" t="s">
        <v>2097</v>
      </c>
      <c r="K1431" s="4" t="s">
        <v>2119</v>
      </c>
      <c r="L1431" s="4" t="s">
        <v>2120</v>
      </c>
      <c r="M1431" s="4" t="s">
        <v>46</v>
      </c>
      <c r="N1431" s="4"/>
      <c r="O1431" s="4" t="s">
        <v>47</v>
      </c>
      <c r="P1431" s="4" t="s">
        <v>48</v>
      </c>
      <c r="Q1431" s="4">
        <v>0</v>
      </c>
      <c r="R1431" s="4" t="b">
        <v>0</v>
      </c>
      <c r="S1431" s="4" t="s">
        <v>49</v>
      </c>
      <c r="T1431" s="4" t="s">
        <v>433</v>
      </c>
      <c r="U1431" s="4" t="s">
        <v>600</v>
      </c>
      <c r="V1431" s="4" t="s">
        <v>123</v>
      </c>
      <c r="W1431" s="4" t="s">
        <v>124</v>
      </c>
      <c r="X1431" s="4" t="s">
        <v>54</v>
      </c>
      <c r="Y1431" s="4"/>
      <c r="Z1431" s="12">
        <v>0</v>
      </c>
      <c r="AA1431" s="13" t="s">
        <v>9170</v>
      </c>
      <c r="AB1431" s="13" t="s">
        <v>9168</v>
      </c>
      <c r="AC1431" s="14" t="s">
        <v>9139</v>
      </c>
      <c r="AD1431" s="14" t="s">
        <v>9140</v>
      </c>
      <c r="AE1431" s="14" t="s">
        <v>9140</v>
      </c>
      <c r="AF1431" s="14" t="s">
        <v>123</v>
      </c>
      <c r="AG1431" s="14" t="s">
        <v>54</v>
      </c>
      <c r="AH1431" s="15" t="s">
        <v>9194</v>
      </c>
      <c r="AI1431" s="15" t="s">
        <v>9188</v>
      </c>
      <c r="AJ1431" s="15" t="s">
        <v>9143</v>
      </c>
      <c r="AK1431" s="15" t="s">
        <v>9194</v>
      </c>
      <c r="AL1431" s="15" t="s">
        <v>9203</v>
      </c>
      <c r="AM1431" s="16" t="s">
        <v>9194</v>
      </c>
      <c r="AN1431" s="16" t="s">
        <v>9204</v>
      </c>
    </row>
    <row r="1432" spans="1:40" x14ac:dyDescent="0.25">
      <c r="A1432" s="4" t="s">
        <v>1963</v>
      </c>
      <c r="B1432" s="4"/>
      <c r="C1432" s="4" t="s">
        <v>39</v>
      </c>
      <c r="D1432" s="4" t="s">
        <v>1964</v>
      </c>
      <c r="E1432" s="4" t="s">
        <v>1965</v>
      </c>
      <c r="F1432" s="10">
        <v>45287</v>
      </c>
      <c r="G1432" s="11">
        <v>0.625</v>
      </c>
      <c r="H1432" s="4" t="s">
        <v>1939</v>
      </c>
      <c r="I1432" s="4" t="s">
        <v>1940</v>
      </c>
      <c r="J1432" s="4" t="s">
        <v>1941</v>
      </c>
      <c r="K1432" s="4" t="s">
        <v>1966</v>
      </c>
      <c r="L1432" s="4" t="s">
        <v>1966</v>
      </c>
      <c r="M1432" s="4" t="s">
        <v>46</v>
      </c>
      <c r="N1432" s="4"/>
      <c r="O1432" s="4" t="s">
        <v>47</v>
      </c>
      <c r="P1432" s="4" t="s">
        <v>48</v>
      </c>
      <c r="Q1432" s="4">
        <v>0</v>
      </c>
      <c r="R1432" s="4" t="b">
        <v>0</v>
      </c>
      <c r="S1432" s="4" t="s">
        <v>114</v>
      </c>
      <c r="T1432" s="4" t="s">
        <v>479</v>
      </c>
      <c r="U1432" s="4" t="s">
        <v>148</v>
      </c>
      <c r="V1432" s="4" t="s">
        <v>52</v>
      </c>
      <c r="W1432" s="4" t="s">
        <v>53</v>
      </c>
      <c r="X1432" s="4" t="s">
        <v>54</v>
      </c>
      <c r="Y1432" s="4"/>
      <c r="Z1432" s="12">
        <v>0</v>
      </c>
      <c r="AA1432" s="13" t="s">
        <v>9170</v>
      </c>
      <c r="AB1432" s="13" t="s">
        <v>9168</v>
      </c>
      <c r="AC1432" s="14" t="s">
        <v>9157</v>
      </c>
      <c r="AD1432" s="14" t="s">
        <v>9140</v>
      </c>
      <c r="AE1432" s="14" t="s">
        <v>9140</v>
      </c>
      <c r="AF1432" s="14" t="s">
        <v>52</v>
      </c>
      <c r="AG1432" s="14" t="s">
        <v>54</v>
      </c>
      <c r="AH1432" s="15" t="s">
        <v>9194</v>
      </c>
      <c r="AI1432" s="15" t="s">
        <v>9175</v>
      </c>
      <c r="AJ1432" s="15" t="s">
        <v>9143</v>
      </c>
      <c r="AK1432" s="15" t="s">
        <v>9194</v>
      </c>
      <c r="AL1432" s="15" t="s">
        <v>9195</v>
      </c>
      <c r="AM1432" s="16" t="s">
        <v>9194</v>
      </c>
      <c r="AN1432" s="16" t="s">
        <v>9196</v>
      </c>
    </row>
    <row r="1433" spans="1:40" x14ac:dyDescent="0.25">
      <c r="A1433" s="4" t="s">
        <v>324</v>
      </c>
      <c r="B1433" s="4"/>
      <c r="C1433" s="4" t="s">
        <v>39</v>
      </c>
      <c r="D1433" s="4" t="s">
        <v>236</v>
      </c>
      <c r="E1433" s="4" t="s">
        <v>237</v>
      </c>
      <c r="F1433" s="10">
        <v>45287</v>
      </c>
      <c r="G1433" s="11">
        <v>0.65277777777777779</v>
      </c>
      <c r="H1433" s="4" t="s">
        <v>42</v>
      </c>
      <c r="I1433" s="4">
        <v>1011</v>
      </c>
      <c r="J1433" s="4" t="s">
        <v>215</v>
      </c>
      <c r="K1433" s="4" t="s">
        <v>325</v>
      </c>
      <c r="L1433" s="4" t="s">
        <v>326</v>
      </c>
      <c r="M1433" s="4" t="s">
        <v>46</v>
      </c>
      <c r="N1433" s="4"/>
      <c r="O1433" s="4" t="s">
        <v>47</v>
      </c>
      <c r="P1433" s="4" t="s">
        <v>48</v>
      </c>
      <c r="Q1433" s="4">
        <v>0</v>
      </c>
      <c r="R1433" s="4" t="b">
        <v>0</v>
      </c>
      <c r="S1433" s="4" t="s">
        <v>49</v>
      </c>
      <c r="T1433" s="4" t="s">
        <v>70</v>
      </c>
      <c r="U1433" s="4" t="s">
        <v>71</v>
      </c>
      <c r="V1433" s="4" t="s">
        <v>63</v>
      </c>
      <c r="W1433" s="4" t="s">
        <v>198</v>
      </c>
      <c r="X1433" s="4" t="s">
        <v>98</v>
      </c>
      <c r="Y1433" s="4"/>
      <c r="Z1433" s="12">
        <v>0</v>
      </c>
      <c r="AA1433" s="13" t="s">
        <v>9170</v>
      </c>
      <c r="AB1433" s="13" t="s">
        <v>9168</v>
      </c>
      <c r="AC1433" s="14" t="s">
        <v>9139</v>
      </c>
      <c r="AD1433" s="14" t="s">
        <v>9140</v>
      </c>
      <c r="AE1433" s="14" t="s">
        <v>9140</v>
      </c>
      <c r="AF1433" s="14" t="s">
        <v>63</v>
      </c>
      <c r="AG1433" s="14" t="s">
        <v>98</v>
      </c>
      <c r="AH1433" s="15" t="s">
        <v>9141</v>
      </c>
      <c r="AI1433" s="15" t="s">
        <v>9142</v>
      </c>
      <c r="AJ1433" s="15" t="s">
        <v>9143</v>
      </c>
      <c r="AK1433" s="15" t="s">
        <v>9141</v>
      </c>
      <c r="AL1433" s="15" t="s">
        <v>9144</v>
      </c>
      <c r="AM1433" s="16" t="s">
        <v>9141</v>
      </c>
      <c r="AN1433" s="16" t="s">
        <v>9145</v>
      </c>
    </row>
    <row r="1434" spans="1:40" x14ac:dyDescent="0.25">
      <c r="A1434" s="4" t="s">
        <v>1815</v>
      </c>
      <c r="B1434" s="4"/>
      <c r="C1434" s="4" t="s">
        <v>39</v>
      </c>
      <c r="D1434" s="4" t="s">
        <v>1752</v>
      </c>
      <c r="E1434" s="4" t="s">
        <v>1753</v>
      </c>
      <c r="F1434" s="10">
        <v>45287</v>
      </c>
      <c r="G1434" s="11">
        <v>0.67708333333333337</v>
      </c>
      <c r="H1434" s="4" t="s">
        <v>1654</v>
      </c>
      <c r="I1434" s="4">
        <v>9095</v>
      </c>
      <c r="J1434" s="4" t="s">
        <v>1742</v>
      </c>
      <c r="K1434" s="4" t="s">
        <v>1816</v>
      </c>
      <c r="L1434" s="4" t="s">
        <v>1817</v>
      </c>
      <c r="M1434" s="4" t="s">
        <v>46</v>
      </c>
      <c r="N1434" s="4"/>
      <c r="O1434" s="4" t="s">
        <v>47</v>
      </c>
      <c r="P1434" s="4" t="s">
        <v>48</v>
      </c>
      <c r="Q1434" s="4">
        <v>0</v>
      </c>
      <c r="R1434" s="4" t="b">
        <v>0</v>
      </c>
      <c r="S1434" s="4" t="s">
        <v>49</v>
      </c>
      <c r="T1434" s="4" t="s">
        <v>50</v>
      </c>
      <c r="U1434" s="4" t="s">
        <v>373</v>
      </c>
      <c r="V1434" s="4" t="s">
        <v>72</v>
      </c>
      <c r="W1434" s="4" t="s">
        <v>73</v>
      </c>
      <c r="X1434" s="4" t="s">
        <v>54</v>
      </c>
      <c r="Y1434" s="4"/>
      <c r="Z1434" s="12">
        <v>0</v>
      </c>
      <c r="AA1434" s="13" t="s">
        <v>9170</v>
      </c>
      <c r="AB1434" s="13" t="s">
        <v>9168</v>
      </c>
      <c r="AC1434" s="14" t="s">
        <v>9139</v>
      </c>
      <c r="AD1434" s="14" t="s">
        <v>9140</v>
      </c>
      <c r="AE1434" s="14" t="s">
        <v>9140</v>
      </c>
      <c r="AF1434" s="14" t="s">
        <v>72</v>
      </c>
      <c r="AG1434" s="14" t="s">
        <v>54</v>
      </c>
      <c r="AH1434" s="15" t="s">
        <v>9141</v>
      </c>
      <c r="AI1434" s="15" t="s">
        <v>9191</v>
      </c>
      <c r="AJ1434" s="15" t="s">
        <v>9143</v>
      </c>
      <c r="AK1434" s="15" t="s">
        <v>9141</v>
      </c>
      <c r="AL1434" s="15" t="s">
        <v>9191</v>
      </c>
      <c r="AM1434" s="16" t="s">
        <v>9141</v>
      </c>
      <c r="AN1434" s="16" t="s">
        <v>9192</v>
      </c>
    </row>
    <row r="1435" spans="1:40" x14ac:dyDescent="0.25">
      <c r="A1435" s="4" t="s">
        <v>6525</v>
      </c>
      <c r="B1435" s="4"/>
      <c r="C1435" s="4" t="s">
        <v>39</v>
      </c>
      <c r="D1435" s="4" t="s">
        <v>6526</v>
      </c>
      <c r="E1435" s="4" t="s">
        <v>6527</v>
      </c>
      <c r="F1435" s="10">
        <v>45287</v>
      </c>
      <c r="G1435" s="11">
        <v>0.51388888888888884</v>
      </c>
      <c r="H1435" s="4" t="s">
        <v>4910</v>
      </c>
      <c r="I1435" s="4" t="s">
        <v>6502</v>
      </c>
      <c r="J1435" s="4" t="s">
        <v>6503</v>
      </c>
      <c r="K1435" s="4" t="s">
        <v>6528</v>
      </c>
      <c r="L1435" s="4" t="s">
        <v>6529</v>
      </c>
      <c r="M1435" s="4" t="s">
        <v>46</v>
      </c>
      <c r="N1435" s="4"/>
      <c r="O1435" s="4" t="s">
        <v>47</v>
      </c>
      <c r="P1435" s="4" t="s">
        <v>48</v>
      </c>
      <c r="Q1435" s="4">
        <v>0</v>
      </c>
      <c r="R1435" s="4" t="b">
        <v>0</v>
      </c>
      <c r="S1435" s="4" t="s">
        <v>49</v>
      </c>
      <c r="T1435" s="4" t="s">
        <v>50</v>
      </c>
      <c r="U1435" s="4" t="s">
        <v>165</v>
      </c>
      <c r="V1435" s="4" t="s">
        <v>63</v>
      </c>
      <c r="W1435" s="4" t="s">
        <v>108</v>
      </c>
      <c r="X1435" s="4" t="s">
        <v>54</v>
      </c>
      <c r="Y1435" s="4"/>
      <c r="Z1435" s="12">
        <v>0</v>
      </c>
      <c r="AA1435" s="13" t="s">
        <v>9170</v>
      </c>
      <c r="AB1435" s="13" t="s">
        <v>9168</v>
      </c>
      <c r="AC1435" s="14" t="s">
        <v>9139</v>
      </c>
      <c r="AD1435" s="14" t="s">
        <v>9140</v>
      </c>
      <c r="AE1435" s="14" t="s">
        <v>9140</v>
      </c>
      <c r="AF1435" s="14" t="s">
        <v>63</v>
      </c>
      <c r="AG1435" s="14" t="s">
        <v>54</v>
      </c>
      <c r="AH1435" s="15" t="s">
        <v>9220</v>
      </c>
      <c r="AI1435" s="15" t="s">
        <v>9191</v>
      </c>
      <c r="AJ1435" s="15" t="s">
        <v>9143</v>
      </c>
      <c r="AK1435" s="15" t="s">
        <v>9221</v>
      </c>
      <c r="AL1435" s="15" t="s">
        <v>9236</v>
      </c>
      <c r="AM1435" s="16" t="s">
        <v>9221</v>
      </c>
      <c r="AN1435" s="16" t="s">
        <v>9237</v>
      </c>
    </row>
    <row r="1436" spans="1:40" x14ac:dyDescent="0.25">
      <c r="A1436" s="4" t="s">
        <v>7394</v>
      </c>
      <c r="B1436" s="4">
        <v>12230058385</v>
      </c>
      <c r="C1436" s="4" t="s">
        <v>39</v>
      </c>
      <c r="D1436" s="4" t="s">
        <v>7341</v>
      </c>
      <c r="E1436" s="4" t="s">
        <v>7342</v>
      </c>
      <c r="F1436" s="10">
        <v>45287</v>
      </c>
      <c r="G1436" s="11">
        <v>0.52083333333333337</v>
      </c>
      <c r="H1436" s="4" t="s">
        <v>4019</v>
      </c>
      <c r="I1436" s="4" t="s">
        <v>7315</v>
      </c>
      <c r="J1436" s="4" t="s">
        <v>1037</v>
      </c>
      <c r="K1436" s="4" t="s">
        <v>7395</v>
      </c>
      <c r="L1436" s="4" t="s">
        <v>7396</v>
      </c>
      <c r="M1436" s="4" t="s">
        <v>28</v>
      </c>
      <c r="N1436" s="4" t="s">
        <v>183</v>
      </c>
      <c r="O1436" s="4" t="s">
        <v>174</v>
      </c>
      <c r="P1436" s="4" t="s">
        <v>48</v>
      </c>
      <c r="Q1436" s="4">
        <v>7</v>
      </c>
      <c r="R1436" s="4" t="b">
        <v>0</v>
      </c>
      <c r="S1436" s="4" t="s">
        <v>184</v>
      </c>
      <c r="T1436" s="4" t="s">
        <v>50</v>
      </c>
      <c r="U1436" s="4" t="s">
        <v>224</v>
      </c>
      <c r="V1436" s="4" t="s">
        <v>123</v>
      </c>
      <c r="W1436" s="4" t="s">
        <v>124</v>
      </c>
      <c r="X1436" s="4" t="s">
        <v>98</v>
      </c>
      <c r="Y1436" s="4"/>
      <c r="Z1436" s="12" t="s">
        <v>48</v>
      </c>
      <c r="AA1436" s="13" t="s">
        <v>9170</v>
      </c>
      <c r="AB1436" s="13" t="s">
        <v>9168</v>
      </c>
      <c r="AC1436" s="14" t="s">
        <v>9166</v>
      </c>
      <c r="AD1436" s="14" t="s">
        <v>28</v>
      </c>
      <c r="AE1436" s="14" t="s">
        <v>183</v>
      </c>
      <c r="AF1436" s="14" t="s">
        <v>123</v>
      </c>
      <c r="AG1436" s="14" t="s">
        <v>98</v>
      </c>
      <c r="AH1436" s="15" t="s">
        <v>9220</v>
      </c>
      <c r="AI1436" s="15" t="s">
        <v>9175</v>
      </c>
      <c r="AJ1436" s="15" t="s">
        <v>9143</v>
      </c>
      <c r="AK1436" s="15" t="s">
        <v>9221</v>
      </c>
      <c r="AL1436" s="15" t="s">
        <v>9222</v>
      </c>
      <c r="AM1436" s="16" t="s">
        <v>9221</v>
      </c>
      <c r="AN1436" s="16" t="s">
        <v>9223</v>
      </c>
    </row>
    <row r="1437" spans="1:40" x14ac:dyDescent="0.25">
      <c r="A1437" s="4" t="s">
        <v>8409</v>
      </c>
      <c r="B1437" s="4" t="s">
        <v>8410</v>
      </c>
      <c r="C1437" s="4" t="s">
        <v>39</v>
      </c>
      <c r="D1437" s="4" t="s">
        <v>8400</v>
      </c>
      <c r="E1437" s="4" t="s">
        <v>8401</v>
      </c>
      <c r="F1437" s="10">
        <v>45286</v>
      </c>
      <c r="G1437" s="11">
        <v>0.56736111111111109</v>
      </c>
      <c r="H1437" s="4" t="s">
        <v>4910</v>
      </c>
      <c r="I1437" s="4" t="s">
        <v>8378</v>
      </c>
      <c r="J1437" s="4" t="s">
        <v>3188</v>
      </c>
      <c r="K1437" s="4" t="s">
        <v>8411</v>
      </c>
      <c r="L1437" s="4" t="s">
        <v>8412</v>
      </c>
      <c r="M1437" s="4" t="s">
        <v>28</v>
      </c>
      <c r="N1437" s="4" t="s">
        <v>183</v>
      </c>
      <c r="O1437" s="4" t="s">
        <v>174</v>
      </c>
      <c r="P1437" s="4" t="s">
        <v>48</v>
      </c>
      <c r="Q1437" s="4">
        <v>0</v>
      </c>
      <c r="R1437" s="4" t="b">
        <v>0</v>
      </c>
      <c r="S1437" s="4" t="s">
        <v>114</v>
      </c>
      <c r="T1437" s="4" t="s">
        <v>50</v>
      </c>
      <c r="U1437" s="4" t="s">
        <v>51</v>
      </c>
      <c r="V1437" s="4" t="s">
        <v>63</v>
      </c>
      <c r="W1437" s="4" t="s">
        <v>198</v>
      </c>
      <c r="X1437" s="4" t="s">
        <v>7493</v>
      </c>
      <c r="Y1437" s="4" t="s">
        <v>1944</v>
      </c>
      <c r="Z1437" s="12" t="s">
        <v>48</v>
      </c>
      <c r="AA1437" s="13" t="s">
        <v>9170</v>
      </c>
      <c r="AB1437" s="13" t="s">
        <v>9168</v>
      </c>
      <c r="AC1437" s="14" t="s">
        <v>9157</v>
      </c>
      <c r="AD1437" s="14" t="s">
        <v>28</v>
      </c>
      <c r="AE1437" s="14" t="s">
        <v>183</v>
      </c>
      <c r="AF1437" s="14" t="s">
        <v>63</v>
      </c>
      <c r="AG1437" s="14" t="s">
        <v>7493</v>
      </c>
      <c r="AH1437" s="15" t="s">
        <v>9220</v>
      </c>
      <c r="AI1437" s="15" t="s">
        <v>9191</v>
      </c>
      <c r="AJ1437" s="15" t="s">
        <v>9143</v>
      </c>
      <c r="AK1437" s="15" t="s">
        <v>9221</v>
      </c>
      <c r="AL1437" s="15" t="s">
        <v>9226</v>
      </c>
      <c r="AM1437" s="16" t="s">
        <v>9221</v>
      </c>
      <c r="AN1437" s="16" t="s">
        <v>9227</v>
      </c>
    </row>
    <row r="1438" spans="1:40" x14ac:dyDescent="0.25">
      <c r="A1438" s="4" t="s">
        <v>3719</v>
      </c>
      <c r="B1438" s="4">
        <v>12230056840</v>
      </c>
      <c r="C1438" s="4" t="s">
        <v>39</v>
      </c>
      <c r="D1438" s="4" t="s">
        <v>3720</v>
      </c>
      <c r="E1438" s="4" t="s">
        <v>3721</v>
      </c>
      <c r="F1438" s="10">
        <v>45286</v>
      </c>
      <c r="G1438" s="11">
        <v>0.54027777777777775</v>
      </c>
      <c r="H1438" s="4" t="s">
        <v>1939</v>
      </c>
      <c r="I1438" s="4" t="s">
        <v>3706</v>
      </c>
      <c r="J1438" s="4" t="s">
        <v>3707</v>
      </c>
      <c r="K1438" s="4" t="s">
        <v>484</v>
      </c>
      <c r="L1438" s="4" t="s">
        <v>3722</v>
      </c>
      <c r="M1438" s="4" t="s">
        <v>28</v>
      </c>
      <c r="N1438" s="4" t="s">
        <v>183</v>
      </c>
      <c r="O1438" s="4" t="s">
        <v>344</v>
      </c>
      <c r="P1438" s="4" t="s">
        <v>48</v>
      </c>
      <c r="Q1438" s="4">
        <v>8</v>
      </c>
      <c r="R1438" s="4" t="b">
        <v>0</v>
      </c>
      <c r="S1438" s="4" t="s">
        <v>184</v>
      </c>
      <c r="T1438" s="4" t="s">
        <v>50</v>
      </c>
      <c r="U1438" s="4" t="s">
        <v>107</v>
      </c>
      <c r="V1438" s="4" t="s">
        <v>63</v>
      </c>
      <c r="W1438" s="4" t="s">
        <v>108</v>
      </c>
      <c r="X1438" s="4" t="s">
        <v>98</v>
      </c>
      <c r="Y1438" s="4"/>
      <c r="Z1438" s="12" t="s">
        <v>48</v>
      </c>
      <c r="AA1438" s="13" t="s">
        <v>9170</v>
      </c>
      <c r="AB1438" s="13" t="s">
        <v>9168</v>
      </c>
      <c r="AC1438" s="14" t="s">
        <v>9166</v>
      </c>
      <c r="AD1438" s="14" t="s">
        <v>28</v>
      </c>
      <c r="AE1438" s="14" t="s">
        <v>183</v>
      </c>
      <c r="AF1438" s="14" t="s">
        <v>63</v>
      </c>
      <c r="AG1438" s="14" t="s">
        <v>98</v>
      </c>
      <c r="AH1438" s="15" t="s">
        <v>9194</v>
      </c>
      <c r="AI1438" s="15" t="s">
        <v>9175</v>
      </c>
      <c r="AJ1438" s="15" t="s">
        <v>9143</v>
      </c>
      <c r="AK1438" s="15" t="s">
        <v>9194</v>
      </c>
      <c r="AL1438" s="15" t="s">
        <v>9209</v>
      </c>
      <c r="AM1438" s="16" t="s">
        <v>9194</v>
      </c>
      <c r="AN1438" s="16" t="s">
        <v>9210</v>
      </c>
    </row>
    <row r="1439" spans="1:40" x14ac:dyDescent="0.25">
      <c r="A1439" s="4" t="s">
        <v>3006</v>
      </c>
      <c r="B1439" s="4"/>
      <c r="C1439" s="4" t="s">
        <v>39</v>
      </c>
      <c r="D1439" s="4" t="s">
        <v>2980</v>
      </c>
      <c r="E1439" s="4" t="s">
        <v>2981</v>
      </c>
      <c r="F1439" s="10">
        <v>45283</v>
      </c>
      <c r="G1439" s="11">
        <v>0.5</v>
      </c>
      <c r="H1439" s="4" t="s">
        <v>1992</v>
      </c>
      <c r="I1439" s="4" t="s">
        <v>2955</v>
      </c>
      <c r="J1439" s="4" t="s">
        <v>2956</v>
      </c>
      <c r="K1439" s="4" t="s">
        <v>3007</v>
      </c>
      <c r="L1439" s="4" t="s">
        <v>3008</v>
      </c>
      <c r="M1439" s="4" t="s">
        <v>46</v>
      </c>
      <c r="N1439" s="4"/>
      <c r="O1439" s="4" t="s">
        <v>47</v>
      </c>
      <c r="P1439" s="4" t="s">
        <v>48</v>
      </c>
      <c r="Q1439" s="4">
        <v>0</v>
      </c>
      <c r="R1439" s="4" t="b">
        <v>0</v>
      </c>
      <c r="S1439" s="4" t="s">
        <v>114</v>
      </c>
      <c r="T1439" s="4" t="s">
        <v>3009</v>
      </c>
      <c r="U1439" s="4" t="s">
        <v>80</v>
      </c>
      <c r="V1439" s="4" t="s">
        <v>81</v>
      </c>
      <c r="W1439" s="4" t="s">
        <v>82</v>
      </c>
      <c r="X1439" s="4" t="s">
        <v>3010</v>
      </c>
      <c r="Y1439" s="4"/>
      <c r="Z1439" s="12">
        <v>0</v>
      </c>
      <c r="AA1439" s="13" t="s">
        <v>9149</v>
      </c>
      <c r="AB1439" s="13" t="s">
        <v>9150</v>
      </c>
      <c r="AC1439" s="14" t="s">
        <v>9157</v>
      </c>
      <c r="AD1439" s="14" t="s">
        <v>9140</v>
      </c>
      <c r="AE1439" s="14" t="s">
        <v>9140</v>
      </c>
      <c r="AF1439" s="14" t="s">
        <v>81</v>
      </c>
      <c r="AG1439" s="14" t="s">
        <v>3010</v>
      </c>
      <c r="AH1439" s="15" t="s">
        <v>9194</v>
      </c>
      <c r="AI1439" s="15" t="s">
        <v>9191</v>
      </c>
      <c r="AJ1439" s="15" t="s">
        <v>9143</v>
      </c>
      <c r="AK1439" s="15" t="s">
        <v>9194</v>
      </c>
      <c r="AL1439" s="15" t="s">
        <v>9205</v>
      </c>
      <c r="AM1439" s="16" t="s">
        <v>9194</v>
      </c>
      <c r="AN1439" s="16" t="s">
        <v>9206</v>
      </c>
    </row>
    <row r="1440" spans="1:40" x14ac:dyDescent="0.25">
      <c r="A1440" s="4" t="s">
        <v>3011</v>
      </c>
      <c r="B1440" s="4"/>
      <c r="C1440" s="4" t="s">
        <v>39</v>
      </c>
      <c r="D1440" s="4" t="s">
        <v>3012</v>
      </c>
      <c r="E1440" s="4" t="s">
        <v>3013</v>
      </c>
      <c r="F1440" s="10">
        <v>45283</v>
      </c>
      <c r="G1440" s="11">
        <v>0.58680555555555558</v>
      </c>
      <c r="H1440" s="4" t="s">
        <v>1992</v>
      </c>
      <c r="I1440" s="4" t="s">
        <v>2955</v>
      </c>
      <c r="J1440" s="4" t="s">
        <v>2956</v>
      </c>
      <c r="K1440" s="4" t="s">
        <v>3014</v>
      </c>
      <c r="L1440" s="4" t="s">
        <v>3015</v>
      </c>
      <c r="M1440" s="4" t="s">
        <v>46</v>
      </c>
      <c r="N1440" s="4"/>
      <c r="O1440" s="4" t="s">
        <v>47</v>
      </c>
      <c r="P1440" s="4" t="s">
        <v>48</v>
      </c>
      <c r="Q1440" s="4">
        <v>0</v>
      </c>
      <c r="R1440" s="4" t="b">
        <v>0</v>
      </c>
      <c r="S1440" s="4" t="s">
        <v>114</v>
      </c>
      <c r="T1440" s="4" t="s">
        <v>134</v>
      </c>
      <c r="U1440" s="4" t="s">
        <v>90</v>
      </c>
      <c r="V1440" s="4" t="s">
        <v>225</v>
      </c>
      <c r="W1440" s="4" t="s">
        <v>226</v>
      </c>
      <c r="X1440" s="4" t="s">
        <v>54</v>
      </c>
      <c r="Y1440" s="4"/>
      <c r="Z1440" s="12">
        <v>0</v>
      </c>
      <c r="AA1440" s="13" t="s">
        <v>9149</v>
      </c>
      <c r="AB1440" s="13" t="s">
        <v>9150</v>
      </c>
      <c r="AC1440" s="14" t="s">
        <v>9157</v>
      </c>
      <c r="AD1440" s="14" t="s">
        <v>9140</v>
      </c>
      <c r="AE1440" s="14" t="s">
        <v>9140</v>
      </c>
      <c r="AF1440" s="14" t="s">
        <v>225</v>
      </c>
      <c r="AG1440" s="14" t="s">
        <v>54</v>
      </c>
      <c r="AH1440" s="15" t="s">
        <v>9194</v>
      </c>
      <c r="AI1440" s="15" t="s">
        <v>9191</v>
      </c>
      <c r="AJ1440" s="15" t="s">
        <v>9143</v>
      </c>
      <c r="AK1440" s="15" t="s">
        <v>9194</v>
      </c>
      <c r="AL1440" s="15" t="s">
        <v>9205</v>
      </c>
      <c r="AM1440" s="16" t="s">
        <v>9194</v>
      </c>
      <c r="AN1440" s="16" t="s">
        <v>9206</v>
      </c>
    </row>
    <row r="1441" spans="1:40" x14ac:dyDescent="0.25">
      <c r="A1441" s="4" t="s">
        <v>327</v>
      </c>
      <c r="B1441" s="4"/>
      <c r="C1441" s="4" t="s">
        <v>39</v>
      </c>
      <c r="D1441" s="4" t="s">
        <v>262</v>
      </c>
      <c r="E1441" s="4" t="s">
        <v>263</v>
      </c>
      <c r="F1441" s="10">
        <v>45283</v>
      </c>
      <c r="G1441" s="11">
        <v>0.46875</v>
      </c>
      <c r="H1441" s="4" t="s">
        <v>42</v>
      </c>
      <c r="I1441" s="4">
        <v>1011</v>
      </c>
      <c r="J1441" s="4" t="s">
        <v>215</v>
      </c>
      <c r="K1441" s="4" t="s">
        <v>328</v>
      </c>
      <c r="L1441" s="4" t="s">
        <v>329</v>
      </c>
      <c r="M1441" s="4" t="s">
        <v>46</v>
      </c>
      <c r="N1441" s="4"/>
      <c r="O1441" s="4" t="s">
        <v>47</v>
      </c>
      <c r="P1441" s="4" t="s">
        <v>48</v>
      </c>
      <c r="Q1441" s="4">
        <v>0</v>
      </c>
      <c r="R1441" s="4" t="b">
        <v>0</v>
      </c>
      <c r="S1441" s="4" t="s">
        <v>61</v>
      </c>
      <c r="T1441" s="4" t="s">
        <v>266</v>
      </c>
      <c r="U1441" s="4" t="s">
        <v>330</v>
      </c>
      <c r="V1441" s="4" t="s">
        <v>267</v>
      </c>
      <c r="W1441" s="4" t="s">
        <v>331</v>
      </c>
      <c r="X1441" s="4" t="s">
        <v>54</v>
      </c>
      <c r="Y1441" s="4"/>
      <c r="Z1441" s="12">
        <v>0</v>
      </c>
      <c r="AA1441" s="13" t="s">
        <v>9149</v>
      </c>
      <c r="AB1441" s="13" t="s">
        <v>9150</v>
      </c>
      <c r="AC1441" s="14" t="s">
        <v>9148</v>
      </c>
      <c r="AD1441" s="14" t="s">
        <v>9140</v>
      </c>
      <c r="AE1441" s="14" t="s">
        <v>9140</v>
      </c>
      <c r="AF1441" s="14" t="s">
        <v>267</v>
      </c>
      <c r="AG1441" s="14" t="s">
        <v>54</v>
      </c>
      <c r="AH1441" s="15" t="s">
        <v>9141</v>
      </c>
      <c r="AI1441" s="15" t="s">
        <v>9142</v>
      </c>
      <c r="AJ1441" s="15" t="s">
        <v>9143</v>
      </c>
      <c r="AK1441" s="15" t="s">
        <v>9141</v>
      </c>
      <c r="AL1441" s="15" t="s">
        <v>9144</v>
      </c>
      <c r="AM1441" s="16" t="s">
        <v>9141</v>
      </c>
      <c r="AN1441" s="16" t="s">
        <v>9145</v>
      </c>
    </row>
    <row r="1442" spans="1:40" x14ac:dyDescent="0.25">
      <c r="A1442" s="4" t="s">
        <v>4848</v>
      </c>
      <c r="B1442" s="4"/>
      <c r="C1442" s="4" t="s">
        <v>39</v>
      </c>
      <c r="D1442" s="4" t="s">
        <v>4849</v>
      </c>
      <c r="E1442" s="4" t="s">
        <v>4850</v>
      </c>
      <c r="F1442" s="10">
        <v>45283</v>
      </c>
      <c r="G1442" s="11">
        <v>0.45833333333333331</v>
      </c>
      <c r="H1442" s="4" t="s">
        <v>4019</v>
      </c>
      <c r="I1442" s="4" t="s">
        <v>4804</v>
      </c>
      <c r="J1442" s="4" t="s">
        <v>756</v>
      </c>
      <c r="K1442" s="4" t="s">
        <v>4851</v>
      </c>
      <c r="L1442" s="4" t="s">
        <v>4852</v>
      </c>
      <c r="M1442" s="4" t="s">
        <v>46</v>
      </c>
      <c r="N1442" s="4"/>
      <c r="O1442" s="4" t="s">
        <v>47</v>
      </c>
      <c r="P1442" s="4" t="s">
        <v>48</v>
      </c>
      <c r="Q1442" s="4">
        <v>0</v>
      </c>
      <c r="R1442" s="4" t="b">
        <v>0</v>
      </c>
      <c r="S1442" s="4" t="s">
        <v>61</v>
      </c>
      <c r="T1442" s="4" t="s">
        <v>404</v>
      </c>
      <c r="U1442" s="4" t="s">
        <v>165</v>
      </c>
      <c r="V1442" s="4" t="s">
        <v>81</v>
      </c>
      <c r="W1442" s="4" t="s">
        <v>82</v>
      </c>
      <c r="X1442" s="4" t="s">
        <v>83</v>
      </c>
      <c r="Y1442" s="4"/>
      <c r="Z1442" s="12">
        <v>0</v>
      </c>
      <c r="AA1442" s="13" t="s">
        <v>9149</v>
      </c>
      <c r="AB1442" s="13" t="s">
        <v>9150</v>
      </c>
      <c r="AC1442" s="14" t="s">
        <v>9148</v>
      </c>
      <c r="AD1442" s="14" t="s">
        <v>9140</v>
      </c>
      <c r="AE1442" s="14" t="s">
        <v>9140</v>
      </c>
      <c r="AF1442" s="14" t="s">
        <v>81</v>
      </c>
      <c r="AG1442" s="14" t="s">
        <v>83</v>
      </c>
      <c r="AH1442" s="15" t="s">
        <v>9220</v>
      </c>
      <c r="AI1442" s="15" t="s">
        <v>9175</v>
      </c>
      <c r="AJ1442" s="15" t="s">
        <v>9143</v>
      </c>
      <c r="AK1442" s="15" t="s">
        <v>9221</v>
      </c>
      <c r="AL1442" s="15" t="s">
        <v>9222</v>
      </c>
      <c r="AM1442" s="16" t="s">
        <v>9221</v>
      </c>
      <c r="AN1442" s="16" t="s">
        <v>9223</v>
      </c>
    </row>
    <row r="1443" spans="1:40" x14ac:dyDescent="0.25">
      <c r="A1443" s="4" t="s">
        <v>6332</v>
      </c>
      <c r="B1443" s="4"/>
      <c r="C1443" s="4" t="s">
        <v>39</v>
      </c>
      <c r="D1443" s="4" t="s">
        <v>6333</v>
      </c>
      <c r="E1443" s="4" t="s">
        <v>6334</v>
      </c>
      <c r="F1443" s="10">
        <v>45282</v>
      </c>
      <c r="G1443" s="11">
        <v>0.81805555555555554</v>
      </c>
      <c r="H1443" s="4" t="s">
        <v>4019</v>
      </c>
      <c r="I1443" s="4" t="s">
        <v>6277</v>
      </c>
      <c r="J1443" s="4" t="s">
        <v>988</v>
      </c>
      <c r="K1443" s="4" t="s">
        <v>6335</v>
      </c>
      <c r="L1443" s="4" t="s">
        <v>6336</v>
      </c>
      <c r="M1443" s="4" t="s">
        <v>46</v>
      </c>
      <c r="N1443" s="4"/>
      <c r="O1443" s="4" t="s">
        <v>47</v>
      </c>
      <c r="P1443" s="4" t="s">
        <v>48</v>
      </c>
      <c r="Q1443" s="4">
        <v>0</v>
      </c>
      <c r="R1443" s="4" t="b">
        <v>0</v>
      </c>
      <c r="S1443" s="4" t="s">
        <v>61</v>
      </c>
      <c r="T1443" s="4" t="s">
        <v>50</v>
      </c>
      <c r="U1443" s="4" t="s">
        <v>107</v>
      </c>
      <c r="V1443" s="4" t="s">
        <v>63</v>
      </c>
      <c r="W1443" s="4" t="s">
        <v>108</v>
      </c>
      <c r="X1443" s="4" t="s">
        <v>54</v>
      </c>
      <c r="Y1443" s="4"/>
      <c r="Z1443" s="12">
        <v>0</v>
      </c>
      <c r="AA1443" s="13" t="s">
        <v>9149</v>
      </c>
      <c r="AB1443" s="13" t="s">
        <v>9150</v>
      </c>
      <c r="AC1443" s="14" t="s">
        <v>9148</v>
      </c>
      <c r="AD1443" s="14" t="s">
        <v>9140</v>
      </c>
      <c r="AE1443" s="14" t="s">
        <v>9140</v>
      </c>
      <c r="AF1443" s="14" t="s">
        <v>63</v>
      </c>
      <c r="AG1443" s="14" t="s">
        <v>54</v>
      </c>
      <c r="AH1443" s="15" t="s">
        <v>9220</v>
      </c>
      <c r="AI1443" s="15" t="s">
        <v>9175</v>
      </c>
      <c r="AJ1443" s="15" t="s">
        <v>9143</v>
      </c>
      <c r="AK1443" s="15" t="s">
        <v>9221</v>
      </c>
      <c r="AL1443" s="15" t="s">
        <v>9222</v>
      </c>
      <c r="AM1443" s="16" t="s">
        <v>9221</v>
      </c>
      <c r="AN1443" s="16" t="s">
        <v>9223</v>
      </c>
    </row>
    <row r="1444" spans="1:40" x14ac:dyDescent="0.25">
      <c r="A1444" s="4" t="s">
        <v>979</v>
      </c>
      <c r="B1444" s="4"/>
      <c r="C1444" s="4" t="s">
        <v>39</v>
      </c>
      <c r="D1444" s="4" t="s">
        <v>971</v>
      </c>
      <c r="E1444" s="4" t="s">
        <v>972</v>
      </c>
      <c r="F1444" s="10">
        <v>45282</v>
      </c>
      <c r="G1444" s="11">
        <v>0.51388888888888884</v>
      </c>
      <c r="H1444" s="4" t="s">
        <v>463</v>
      </c>
      <c r="I1444" s="4">
        <v>2033</v>
      </c>
      <c r="J1444" s="4" t="s">
        <v>952</v>
      </c>
      <c r="K1444" s="4" t="s">
        <v>980</v>
      </c>
      <c r="L1444" s="4" t="s">
        <v>981</v>
      </c>
      <c r="M1444" s="4" t="s">
        <v>46</v>
      </c>
      <c r="N1444" s="4"/>
      <c r="O1444" s="4" t="s">
        <v>47</v>
      </c>
      <c r="P1444" s="4" t="s">
        <v>48</v>
      </c>
      <c r="Q1444" s="4">
        <v>0</v>
      </c>
      <c r="R1444" s="4" t="b">
        <v>0</v>
      </c>
      <c r="S1444" s="4" t="s">
        <v>49</v>
      </c>
      <c r="T1444" s="4" t="s">
        <v>134</v>
      </c>
      <c r="U1444" s="4" t="s">
        <v>107</v>
      </c>
      <c r="V1444" s="4" t="s">
        <v>63</v>
      </c>
      <c r="W1444" s="4" t="s">
        <v>108</v>
      </c>
      <c r="X1444" s="4" t="s">
        <v>98</v>
      </c>
      <c r="Y1444" s="4"/>
      <c r="Z1444" s="12">
        <v>0</v>
      </c>
      <c r="AA1444" s="13" t="s">
        <v>9149</v>
      </c>
      <c r="AB1444" s="13" t="s">
        <v>9150</v>
      </c>
      <c r="AC1444" s="14" t="s">
        <v>9139</v>
      </c>
      <c r="AD1444" s="14" t="s">
        <v>9140</v>
      </c>
      <c r="AE1444" s="14" t="s">
        <v>9140</v>
      </c>
      <c r="AF1444" s="14" t="s">
        <v>63</v>
      </c>
      <c r="AG1444" s="14" t="s">
        <v>98</v>
      </c>
      <c r="AH1444" s="15" t="s">
        <v>9141</v>
      </c>
      <c r="AI1444" s="15" t="s">
        <v>9175</v>
      </c>
      <c r="AJ1444" s="15" t="s">
        <v>9143</v>
      </c>
      <c r="AK1444" s="15" t="s">
        <v>9141</v>
      </c>
      <c r="AL1444" s="15" t="s">
        <v>9175</v>
      </c>
      <c r="AM1444" s="16" t="s">
        <v>9141</v>
      </c>
      <c r="AN1444" s="16" t="s">
        <v>9176</v>
      </c>
    </row>
    <row r="1445" spans="1:40" x14ac:dyDescent="0.25">
      <c r="A1445" s="4" t="s">
        <v>915</v>
      </c>
      <c r="B1445" s="4">
        <v>12230058217</v>
      </c>
      <c r="C1445" s="4" t="s">
        <v>39</v>
      </c>
      <c r="D1445" s="4" t="s">
        <v>916</v>
      </c>
      <c r="E1445" s="4" t="s">
        <v>917</v>
      </c>
      <c r="F1445" s="10">
        <v>45282</v>
      </c>
      <c r="G1445" s="11">
        <v>0.52083333333333337</v>
      </c>
      <c r="H1445" s="4" t="s">
        <v>463</v>
      </c>
      <c r="I1445" s="4">
        <v>2031</v>
      </c>
      <c r="J1445" s="4" t="s">
        <v>918</v>
      </c>
      <c r="K1445" s="4" t="s">
        <v>919</v>
      </c>
      <c r="L1445" s="4" t="s">
        <v>920</v>
      </c>
      <c r="M1445" s="4" t="s">
        <v>28</v>
      </c>
      <c r="N1445" s="4" t="s">
        <v>183</v>
      </c>
      <c r="O1445" s="4" t="s">
        <v>174</v>
      </c>
      <c r="P1445" s="4" t="s">
        <v>60</v>
      </c>
      <c r="Q1445" s="4">
        <v>126</v>
      </c>
      <c r="R1445" s="4" t="b">
        <v>0</v>
      </c>
      <c r="S1445" s="4" t="s">
        <v>184</v>
      </c>
      <c r="T1445" s="4" t="s">
        <v>89</v>
      </c>
      <c r="U1445" s="4" t="s">
        <v>71</v>
      </c>
      <c r="V1445" s="4" t="s">
        <v>52</v>
      </c>
      <c r="W1445" s="4" t="s">
        <v>135</v>
      </c>
      <c r="X1445" s="4" t="s">
        <v>54</v>
      </c>
      <c r="Y1445" s="4"/>
      <c r="Z1445" s="12" t="s">
        <v>60</v>
      </c>
      <c r="AA1445" s="13" t="s">
        <v>9149</v>
      </c>
      <c r="AB1445" s="13" t="s">
        <v>9150</v>
      </c>
      <c r="AC1445" s="14" t="s">
        <v>9166</v>
      </c>
      <c r="AD1445" s="14" t="s">
        <v>28</v>
      </c>
      <c r="AE1445" s="14" t="s">
        <v>183</v>
      </c>
      <c r="AF1445" s="14" t="s">
        <v>52</v>
      </c>
      <c r="AG1445" s="14" t="s">
        <v>54</v>
      </c>
      <c r="AH1445" s="15" t="s">
        <v>9141</v>
      </c>
      <c r="AI1445" s="15" t="s">
        <v>9175</v>
      </c>
      <c r="AJ1445" s="15" t="s">
        <v>9143</v>
      </c>
      <c r="AK1445" s="15" t="s">
        <v>9141</v>
      </c>
      <c r="AL1445" s="15" t="s">
        <v>9177</v>
      </c>
      <c r="AM1445" s="16" t="s">
        <v>9141</v>
      </c>
      <c r="AN1445" s="16" t="s">
        <v>9178</v>
      </c>
    </row>
    <row r="1446" spans="1:40" x14ac:dyDescent="0.25">
      <c r="A1446" s="4" t="s">
        <v>2806</v>
      </c>
      <c r="B1446" s="4"/>
      <c r="C1446" s="4" t="s">
        <v>39</v>
      </c>
      <c r="D1446" s="4" t="s">
        <v>2775</v>
      </c>
      <c r="E1446" s="4" t="s">
        <v>2776</v>
      </c>
      <c r="F1446" s="10">
        <v>45282</v>
      </c>
      <c r="G1446" s="11">
        <v>0.5625</v>
      </c>
      <c r="H1446" s="4" t="s">
        <v>2095</v>
      </c>
      <c r="I1446" s="4" t="s">
        <v>2777</v>
      </c>
      <c r="J1446" s="4" t="s">
        <v>1406</v>
      </c>
      <c r="K1446" s="4" t="s">
        <v>2807</v>
      </c>
      <c r="L1446" s="4" t="s">
        <v>2808</v>
      </c>
      <c r="M1446" s="4" t="s">
        <v>46</v>
      </c>
      <c r="N1446" s="4"/>
      <c r="O1446" s="4" t="s">
        <v>47</v>
      </c>
      <c r="P1446" s="4" t="s">
        <v>48</v>
      </c>
      <c r="Q1446" s="4">
        <v>0</v>
      </c>
      <c r="R1446" s="4" t="b">
        <v>0</v>
      </c>
      <c r="S1446" s="4" t="s">
        <v>49</v>
      </c>
      <c r="T1446" s="4" t="s">
        <v>2809</v>
      </c>
      <c r="U1446" s="4" t="s">
        <v>2810</v>
      </c>
      <c r="V1446" s="4" t="s">
        <v>81</v>
      </c>
      <c r="W1446" s="4" t="s">
        <v>82</v>
      </c>
      <c r="X1446" s="4" t="s">
        <v>2811</v>
      </c>
      <c r="Y1446" s="4"/>
      <c r="Z1446" s="12">
        <v>0</v>
      </c>
      <c r="AA1446" s="13" t="s">
        <v>9149</v>
      </c>
      <c r="AB1446" s="13" t="s">
        <v>9150</v>
      </c>
      <c r="AC1446" s="14" t="s">
        <v>9139</v>
      </c>
      <c r="AD1446" s="14" t="s">
        <v>9140</v>
      </c>
      <c r="AE1446" s="14" t="s">
        <v>9140</v>
      </c>
      <c r="AF1446" s="14" t="s">
        <v>81</v>
      </c>
      <c r="AG1446" s="14" t="s">
        <v>2811</v>
      </c>
      <c r="AH1446" s="15" t="s">
        <v>9194</v>
      </c>
      <c r="AI1446" s="15" t="s">
        <v>9188</v>
      </c>
      <c r="AJ1446" s="15" t="s">
        <v>9143</v>
      </c>
      <c r="AK1446" s="15" t="s">
        <v>9194</v>
      </c>
      <c r="AL1446" s="15" t="s">
        <v>9211</v>
      </c>
      <c r="AM1446" s="16" t="s">
        <v>9194</v>
      </c>
      <c r="AN1446" s="16" t="s">
        <v>9212</v>
      </c>
    </row>
    <row r="1447" spans="1:40" x14ac:dyDescent="0.25">
      <c r="A1447" s="4" t="s">
        <v>2003</v>
      </c>
      <c r="B1447" s="4"/>
      <c r="C1447" s="4" t="s">
        <v>39</v>
      </c>
      <c r="D1447" s="4" t="s">
        <v>2004</v>
      </c>
      <c r="E1447" s="4" t="s">
        <v>2005</v>
      </c>
      <c r="F1447" s="10">
        <v>45281</v>
      </c>
      <c r="G1447" s="11">
        <v>0.77569444444444446</v>
      </c>
      <c r="H1447" s="4" t="s">
        <v>1992</v>
      </c>
      <c r="I1447" s="4" t="s">
        <v>1993</v>
      </c>
      <c r="J1447" s="4" t="s">
        <v>1994</v>
      </c>
      <c r="K1447" s="4" t="s">
        <v>2006</v>
      </c>
      <c r="L1447" s="4" t="s">
        <v>2007</v>
      </c>
      <c r="M1447" s="4" t="s">
        <v>46</v>
      </c>
      <c r="N1447" s="4"/>
      <c r="O1447" s="4" t="s">
        <v>47</v>
      </c>
      <c r="P1447" s="4" t="s">
        <v>48</v>
      </c>
      <c r="Q1447" s="4">
        <v>0</v>
      </c>
      <c r="R1447" s="4" t="b">
        <v>0</v>
      </c>
      <c r="S1447" s="4" t="s">
        <v>49</v>
      </c>
      <c r="T1447" s="4" t="s">
        <v>70</v>
      </c>
      <c r="U1447" s="4" t="s">
        <v>527</v>
      </c>
      <c r="V1447" s="4" t="s">
        <v>72</v>
      </c>
      <c r="W1447" s="4" t="s">
        <v>73</v>
      </c>
      <c r="X1447" s="4" t="s">
        <v>54</v>
      </c>
      <c r="Y1447" s="4"/>
      <c r="Z1447" s="12">
        <v>0</v>
      </c>
      <c r="AA1447" s="13" t="s">
        <v>9149</v>
      </c>
      <c r="AB1447" s="13" t="s">
        <v>9150</v>
      </c>
      <c r="AC1447" s="14" t="s">
        <v>9139</v>
      </c>
      <c r="AD1447" s="14" t="s">
        <v>9140</v>
      </c>
      <c r="AE1447" s="14" t="s">
        <v>9140</v>
      </c>
      <c r="AF1447" s="14" t="s">
        <v>72</v>
      </c>
      <c r="AG1447" s="14" t="s">
        <v>54</v>
      </c>
      <c r="AH1447" s="15" t="s">
        <v>9194</v>
      </c>
      <c r="AI1447" s="15" t="s">
        <v>9191</v>
      </c>
      <c r="AJ1447" s="15" t="s">
        <v>9143</v>
      </c>
      <c r="AK1447" s="15" t="s">
        <v>9194</v>
      </c>
      <c r="AL1447" s="15" t="s">
        <v>9197</v>
      </c>
      <c r="AM1447" s="16" t="s">
        <v>9194</v>
      </c>
      <c r="AN1447" s="16" t="s">
        <v>9198</v>
      </c>
    </row>
    <row r="1448" spans="1:40" x14ac:dyDescent="0.25">
      <c r="A1448" s="4" t="s">
        <v>5728</v>
      </c>
      <c r="B1448" s="4"/>
      <c r="C1448" s="4" t="s">
        <v>39</v>
      </c>
      <c r="D1448" s="4" t="s">
        <v>5729</v>
      </c>
      <c r="E1448" s="4" t="s">
        <v>5730</v>
      </c>
      <c r="F1448" s="10">
        <v>45281</v>
      </c>
      <c r="G1448" s="11">
        <v>0.47916666666666669</v>
      </c>
      <c r="H1448" s="4" t="s">
        <v>5666</v>
      </c>
      <c r="I1448" s="4" t="s">
        <v>5667</v>
      </c>
      <c r="J1448" s="4" t="s">
        <v>2192</v>
      </c>
      <c r="K1448" s="4" t="s">
        <v>5731</v>
      </c>
      <c r="L1448" s="4" t="s">
        <v>5732</v>
      </c>
      <c r="M1448" s="4" t="s">
        <v>46</v>
      </c>
      <c r="N1448" s="4"/>
      <c r="O1448" s="4" t="s">
        <v>47</v>
      </c>
      <c r="P1448" s="4" t="s">
        <v>48</v>
      </c>
      <c r="Q1448" s="4">
        <v>0</v>
      </c>
      <c r="R1448" s="4" t="b">
        <v>0</v>
      </c>
      <c r="S1448" s="4" t="s">
        <v>61</v>
      </c>
      <c r="T1448" s="4" t="s">
        <v>134</v>
      </c>
      <c r="U1448" s="4" t="s">
        <v>71</v>
      </c>
      <c r="V1448" s="4" t="s">
        <v>72</v>
      </c>
      <c r="W1448" s="4" t="s">
        <v>73</v>
      </c>
      <c r="X1448" s="4" t="s">
        <v>98</v>
      </c>
      <c r="Y1448" s="4" t="s">
        <v>176</v>
      </c>
      <c r="Z1448" s="12">
        <v>0</v>
      </c>
      <c r="AA1448" s="13" t="s">
        <v>9149</v>
      </c>
      <c r="AB1448" s="13" t="s">
        <v>9150</v>
      </c>
      <c r="AC1448" s="14" t="s">
        <v>9148</v>
      </c>
      <c r="AD1448" s="14" t="s">
        <v>9140</v>
      </c>
      <c r="AE1448" s="14" t="s">
        <v>9140</v>
      </c>
      <c r="AF1448" s="14" t="s">
        <v>72</v>
      </c>
      <c r="AG1448" s="14" t="s">
        <v>98</v>
      </c>
      <c r="AH1448" s="15" t="s">
        <v>9220</v>
      </c>
      <c r="AI1448" s="15" t="s">
        <v>9199</v>
      </c>
      <c r="AJ1448" s="15" t="s">
        <v>9143</v>
      </c>
      <c r="AK1448" s="15" t="s">
        <v>9221</v>
      </c>
      <c r="AL1448" s="15" t="s">
        <v>9199</v>
      </c>
      <c r="AM1448" s="16" t="s">
        <v>9221</v>
      </c>
      <c r="AN1448" s="16" t="s">
        <v>9238</v>
      </c>
    </row>
    <row r="1449" spans="1:40" x14ac:dyDescent="0.25">
      <c r="A1449" s="4" t="s">
        <v>4413</v>
      </c>
      <c r="B1449" s="4"/>
      <c r="C1449" s="4" t="s">
        <v>39</v>
      </c>
      <c r="D1449" s="4" t="s">
        <v>4414</v>
      </c>
      <c r="E1449" s="4" t="s">
        <v>4415</v>
      </c>
      <c r="F1449" s="10">
        <v>45281</v>
      </c>
      <c r="G1449" s="11">
        <v>0.71319444444444446</v>
      </c>
      <c r="H1449" s="4" t="s">
        <v>4019</v>
      </c>
      <c r="I1449" s="4" t="s">
        <v>4304</v>
      </c>
      <c r="J1449" s="4" t="s">
        <v>1941</v>
      </c>
      <c r="K1449" s="4" t="s">
        <v>4416</v>
      </c>
      <c r="L1449" s="4" t="s">
        <v>4417</v>
      </c>
      <c r="M1449" s="4" t="s">
        <v>46</v>
      </c>
      <c r="N1449" s="4"/>
      <c r="O1449" s="4" t="s">
        <v>47</v>
      </c>
      <c r="P1449" s="4" t="s">
        <v>48</v>
      </c>
      <c r="Q1449" s="4">
        <v>0</v>
      </c>
      <c r="R1449" s="4" t="b">
        <v>0</v>
      </c>
      <c r="S1449" s="4" t="s">
        <v>49</v>
      </c>
      <c r="T1449" s="4" t="s">
        <v>50</v>
      </c>
      <c r="U1449" s="4" t="s">
        <v>122</v>
      </c>
      <c r="V1449" s="4" t="s">
        <v>123</v>
      </c>
      <c r="W1449" s="4" t="s">
        <v>124</v>
      </c>
      <c r="X1449" s="4" t="s">
        <v>54</v>
      </c>
      <c r="Y1449" s="4"/>
      <c r="Z1449" s="12">
        <v>0</v>
      </c>
      <c r="AA1449" s="13" t="s">
        <v>9149</v>
      </c>
      <c r="AB1449" s="13" t="s">
        <v>9150</v>
      </c>
      <c r="AC1449" s="14" t="s">
        <v>9139</v>
      </c>
      <c r="AD1449" s="14" t="s">
        <v>9140</v>
      </c>
      <c r="AE1449" s="14" t="s">
        <v>9140</v>
      </c>
      <c r="AF1449" s="14" t="s">
        <v>123</v>
      </c>
      <c r="AG1449" s="14" t="s">
        <v>54</v>
      </c>
      <c r="AH1449" s="15" t="s">
        <v>9220</v>
      </c>
      <c r="AI1449" s="15" t="s">
        <v>9175</v>
      </c>
      <c r="AJ1449" s="15" t="s">
        <v>9143</v>
      </c>
      <c r="AK1449" s="15" t="s">
        <v>9221</v>
      </c>
      <c r="AL1449" s="15" t="s">
        <v>9222</v>
      </c>
      <c r="AM1449" s="16" t="s">
        <v>9221</v>
      </c>
      <c r="AN1449" s="16" t="s">
        <v>9223</v>
      </c>
    </row>
    <row r="1450" spans="1:40" x14ac:dyDescent="0.25">
      <c r="A1450" s="4" t="s">
        <v>8541</v>
      </c>
      <c r="B1450" s="4"/>
      <c r="C1450" s="4" t="s">
        <v>39</v>
      </c>
      <c r="D1450" s="4" t="s">
        <v>8537</v>
      </c>
      <c r="E1450" s="4" t="s">
        <v>8538</v>
      </c>
      <c r="F1450" s="10">
        <v>45281</v>
      </c>
      <c r="G1450" s="11">
        <v>0.43958333333333333</v>
      </c>
      <c r="H1450" s="4" t="s">
        <v>4910</v>
      </c>
      <c r="I1450" s="4" t="s">
        <v>8527</v>
      </c>
      <c r="J1450" s="4" t="s">
        <v>8528</v>
      </c>
      <c r="K1450" s="4" t="s">
        <v>8542</v>
      </c>
      <c r="L1450" s="4" t="s">
        <v>8543</v>
      </c>
      <c r="M1450" s="4" t="s">
        <v>46</v>
      </c>
      <c r="N1450" s="4"/>
      <c r="O1450" s="4" t="s">
        <v>47</v>
      </c>
      <c r="P1450" s="4" t="s">
        <v>48</v>
      </c>
      <c r="Q1450" s="4">
        <v>0</v>
      </c>
      <c r="R1450" s="4" t="b">
        <v>0</v>
      </c>
      <c r="S1450" s="4" t="s">
        <v>61</v>
      </c>
      <c r="T1450" s="4" t="s">
        <v>479</v>
      </c>
      <c r="U1450" s="4" t="s">
        <v>51</v>
      </c>
      <c r="V1450" s="4" t="s">
        <v>52</v>
      </c>
      <c r="W1450" s="4" t="s">
        <v>135</v>
      </c>
      <c r="X1450" s="4" t="s">
        <v>54</v>
      </c>
      <c r="Y1450" s="4"/>
      <c r="Z1450" s="12">
        <v>0</v>
      </c>
      <c r="AA1450" s="13" t="s">
        <v>9149</v>
      </c>
      <c r="AB1450" s="13" t="s">
        <v>9150</v>
      </c>
      <c r="AC1450" s="14" t="s">
        <v>9148</v>
      </c>
      <c r="AD1450" s="14" t="s">
        <v>9140</v>
      </c>
      <c r="AE1450" s="14" t="s">
        <v>9140</v>
      </c>
      <c r="AF1450" s="14" t="s">
        <v>52</v>
      </c>
      <c r="AG1450" s="14" t="s">
        <v>54</v>
      </c>
      <c r="AH1450" s="15" t="s">
        <v>9220</v>
      </c>
      <c r="AI1450" s="15" t="s">
        <v>9191</v>
      </c>
      <c r="AJ1450" s="15" t="s">
        <v>9143</v>
      </c>
      <c r="AK1450" s="15" t="s">
        <v>9221</v>
      </c>
      <c r="AL1450" s="15" t="s">
        <v>9236</v>
      </c>
      <c r="AM1450" s="16" t="s">
        <v>9221</v>
      </c>
      <c r="AN1450" s="16" t="s">
        <v>9237</v>
      </c>
    </row>
    <row r="1451" spans="1:40" x14ac:dyDescent="0.25">
      <c r="A1451" s="4" t="s">
        <v>4923</v>
      </c>
      <c r="B1451" s="4"/>
      <c r="C1451" s="4" t="s">
        <v>39</v>
      </c>
      <c r="D1451" s="4" t="s">
        <v>4924</v>
      </c>
      <c r="E1451" s="4" t="s">
        <v>4925</v>
      </c>
      <c r="F1451" s="10">
        <v>45281</v>
      </c>
      <c r="G1451" s="11">
        <v>0.6875</v>
      </c>
      <c r="H1451" s="4" t="s">
        <v>4910</v>
      </c>
      <c r="I1451" s="4" t="s">
        <v>4911</v>
      </c>
      <c r="J1451" s="4" t="s">
        <v>2049</v>
      </c>
      <c r="K1451" s="4" t="s">
        <v>4926</v>
      </c>
      <c r="L1451" s="4" t="s">
        <v>4927</v>
      </c>
      <c r="M1451" s="4" t="s">
        <v>46</v>
      </c>
      <c r="N1451" s="4"/>
      <c r="O1451" s="4" t="s">
        <v>47</v>
      </c>
      <c r="P1451" s="4" t="s">
        <v>48</v>
      </c>
      <c r="Q1451" s="4">
        <v>0</v>
      </c>
      <c r="R1451" s="4" t="b">
        <v>0</v>
      </c>
      <c r="S1451" s="4" t="s">
        <v>49</v>
      </c>
      <c r="T1451" s="4" t="s">
        <v>134</v>
      </c>
      <c r="U1451" s="4" t="s">
        <v>107</v>
      </c>
      <c r="V1451" s="4" t="s">
        <v>63</v>
      </c>
      <c r="W1451" s="4" t="s">
        <v>198</v>
      </c>
      <c r="X1451" s="4" t="s">
        <v>350</v>
      </c>
      <c r="Y1451" s="4" t="s">
        <v>775</v>
      </c>
      <c r="Z1451" s="12">
        <v>0</v>
      </c>
      <c r="AA1451" s="13" t="s">
        <v>9149</v>
      </c>
      <c r="AB1451" s="13" t="s">
        <v>9150</v>
      </c>
      <c r="AC1451" s="14" t="s">
        <v>9139</v>
      </c>
      <c r="AD1451" s="14" t="s">
        <v>9140</v>
      </c>
      <c r="AE1451" s="14" t="s">
        <v>9140</v>
      </c>
      <c r="AF1451" s="14" t="s">
        <v>63</v>
      </c>
      <c r="AG1451" s="14" t="s">
        <v>350</v>
      </c>
      <c r="AH1451" s="15" t="s">
        <v>9220</v>
      </c>
      <c r="AI1451" s="15" t="s">
        <v>9191</v>
      </c>
      <c r="AJ1451" s="15" t="s">
        <v>9143</v>
      </c>
      <c r="AK1451" s="15" t="s">
        <v>9221</v>
      </c>
      <c r="AL1451" s="15" t="s">
        <v>9234</v>
      </c>
      <c r="AM1451" s="16" t="s">
        <v>9221</v>
      </c>
      <c r="AN1451" s="16" t="s">
        <v>9235</v>
      </c>
    </row>
    <row r="1452" spans="1:40" x14ac:dyDescent="0.25">
      <c r="A1452" s="4" t="s">
        <v>8262</v>
      </c>
      <c r="B1452" s="4"/>
      <c r="C1452" s="4" t="s">
        <v>39</v>
      </c>
      <c r="D1452" s="4" t="s">
        <v>8236</v>
      </c>
      <c r="E1452" s="4" t="s">
        <v>8237</v>
      </c>
      <c r="F1452" s="10">
        <v>45280</v>
      </c>
      <c r="G1452" s="11">
        <v>0.55972222222222223</v>
      </c>
      <c r="H1452" s="4" t="s">
        <v>4910</v>
      </c>
      <c r="I1452" s="4" t="s">
        <v>8223</v>
      </c>
      <c r="J1452" s="4" t="s">
        <v>1844</v>
      </c>
      <c r="K1452" s="4" t="s">
        <v>8263</v>
      </c>
      <c r="L1452" s="4" t="s">
        <v>8264</v>
      </c>
      <c r="M1452" s="4" t="s">
        <v>46</v>
      </c>
      <c r="N1452" s="4"/>
      <c r="O1452" s="4" t="s">
        <v>47</v>
      </c>
      <c r="P1452" s="4" t="s">
        <v>48</v>
      </c>
      <c r="Q1452" s="4">
        <v>0</v>
      </c>
      <c r="R1452" s="4" t="b">
        <v>0</v>
      </c>
      <c r="S1452" s="4" t="s">
        <v>61</v>
      </c>
      <c r="T1452" s="4" t="s">
        <v>134</v>
      </c>
      <c r="U1452" s="4" t="s">
        <v>373</v>
      </c>
      <c r="V1452" s="4" t="s">
        <v>72</v>
      </c>
      <c r="W1452" s="4" t="s">
        <v>73</v>
      </c>
      <c r="X1452" s="4" t="s">
        <v>54</v>
      </c>
      <c r="Y1452" s="4"/>
      <c r="Z1452" s="12">
        <v>0</v>
      </c>
      <c r="AA1452" s="13" t="s">
        <v>9149</v>
      </c>
      <c r="AB1452" s="13" t="s">
        <v>9150</v>
      </c>
      <c r="AC1452" s="14" t="s">
        <v>9148</v>
      </c>
      <c r="AD1452" s="14" t="s">
        <v>9140</v>
      </c>
      <c r="AE1452" s="14" t="s">
        <v>9140</v>
      </c>
      <c r="AF1452" s="14" t="s">
        <v>72</v>
      </c>
      <c r="AG1452" s="14" t="s">
        <v>54</v>
      </c>
      <c r="AH1452" s="15" t="s">
        <v>9220</v>
      </c>
      <c r="AI1452" s="15" t="s">
        <v>9191</v>
      </c>
      <c r="AJ1452" s="15" t="s">
        <v>9143</v>
      </c>
      <c r="AK1452" s="15" t="s">
        <v>9221</v>
      </c>
      <c r="AL1452" s="15" t="s">
        <v>9226</v>
      </c>
      <c r="AM1452" s="16" t="s">
        <v>9221</v>
      </c>
      <c r="AN1452" s="16" t="s">
        <v>9227</v>
      </c>
    </row>
    <row r="1453" spans="1:40" x14ac:dyDescent="0.25">
      <c r="A1453" s="4" t="s">
        <v>1612</v>
      </c>
      <c r="B1453" s="4"/>
      <c r="C1453" s="4" t="s">
        <v>39</v>
      </c>
      <c r="D1453" s="4" t="s">
        <v>1599</v>
      </c>
      <c r="E1453" s="4" t="s">
        <v>1600</v>
      </c>
      <c r="F1453" s="10">
        <v>45280</v>
      </c>
      <c r="G1453" s="11">
        <v>0.5625</v>
      </c>
      <c r="H1453" s="4" t="s">
        <v>1366</v>
      </c>
      <c r="I1453" s="4">
        <v>6071</v>
      </c>
      <c r="J1453" s="4" t="s">
        <v>1586</v>
      </c>
      <c r="K1453" s="4" t="s">
        <v>1613</v>
      </c>
      <c r="L1453" s="4" t="s">
        <v>1614</v>
      </c>
      <c r="M1453" s="4" t="s">
        <v>46</v>
      </c>
      <c r="N1453" s="4"/>
      <c r="O1453" s="4" t="s">
        <v>47</v>
      </c>
      <c r="P1453" s="4" t="s">
        <v>48</v>
      </c>
      <c r="Q1453" s="4">
        <v>0</v>
      </c>
      <c r="R1453" s="4" t="b">
        <v>0</v>
      </c>
      <c r="S1453" s="4" t="s">
        <v>49</v>
      </c>
      <c r="T1453" s="4" t="s">
        <v>50</v>
      </c>
      <c r="U1453" s="4" t="s">
        <v>140</v>
      </c>
      <c r="V1453" s="4" t="s">
        <v>63</v>
      </c>
      <c r="W1453" s="4" t="s">
        <v>198</v>
      </c>
      <c r="X1453" s="4" t="s">
        <v>54</v>
      </c>
      <c r="Y1453" s="4" t="s">
        <v>486</v>
      </c>
      <c r="Z1453" s="12">
        <v>0</v>
      </c>
      <c r="AA1453" s="13" t="s">
        <v>9149</v>
      </c>
      <c r="AB1453" s="13" t="s">
        <v>9150</v>
      </c>
      <c r="AC1453" s="14" t="s">
        <v>9139</v>
      </c>
      <c r="AD1453" s="14" t="s">
        <v>9140</v>
      </c>
      <c r="AE1453" s="14" t="s">
        <v>9140</v>
      </c>
      <c r="AF1453" s="14" t="s">
        <v>63</v>
      </c>
      <c r="AG1453" s="14" t="s">
        <v>54</v>
      </c>
      <c r="AH1453" s="15" t="s">
        <v>9141</v>
      </c>
      <c r="AI1453" s="15" t="s">
        <v>9188</v>
      </c>
      <c r="AJ1453" s="15" t="s">
        <v>9143</v>
      </c>
      <c r="AK1453" s="15" t="s">
        <v>9141</v>
      </c>
      <c r="AL1453" s="15" t="s">
        <v>9191</v>
      </c>
      <c r="AM1453" s="16" t="s">
        <v>9141</v>
      </c>
      <c r="AN1453" s="16" t="s">
        <v>9192</v>
      </c>
    </row>
    <row r="1454" spans="1:40" x14ac:dyDescent="0.25">
      <c r="A1454" s="4" t="s">
        <v>522</v>
      </c>
      <c r="B1454" s="4"/>
      <c r="C1454" s="4" t="s">
        <v>39</v>
      </c>
      <c r="D1454" s="4" t="s">
        <v>523</v>
      </c>
      <c r="E1454" s="4" t="s">
        <v>524</v>
      </c>
      <c r="F1454" s="10">
        <v>45280</v>
      </c>
      <c r="G1454" s="11">
        <v>0.70138888888888884</v>
      </c>
      <c r="H1454" s="4" t="s">
        <v>463</v>
      </c>
      <c r="I1454" s="4">
        <v>2019</v>
      </c>
      <c r="J1454" s="4" t="s">
        <v>513</v>
      </c>
      <c r="K1454" s="4" t="s">
        <v>525</v>
      </c>
      <c r="L1454" s="4" t="s">
        <v>526</v>
      </c>
      <c r="M1454" s="4" t="s">
        <v>46</v>
      </c>
      <c r="N1454" s="4"/>
      <c r="O1454" s="4" t="s">
        <v>47</v>
      </c>
      <c r="P1454" s="4" t="s">
        <v>48</v>
      </c>
      <c r="Q1454" s="4">
        <v>0</v>
      </c>
      <c r="R1454" s="4" t="b">
        <v>0</v>
      </c>
      <c r="S1454" s="4" t="s">
        <v>49</v>
      </c>
      <c r="T1454" s="4" t="s">
        <v>50</v>
      </c>
      <c r="U1454" s="4" t="s">
        <v>527</v>
      </c>
      <c r="V1454" s="4" t="s">
        <v>63</v>
      </c>
      <c r="W1454" s="4" t="s">
        <v>108</v>
      </c>
      <c r="X1454" s="4" t="s">
        <v>98</v>
      </c>
      <c r="Y1454" s="4" t="s">
        <v>176</v>
      </c>
      <c r="Z1454" s="12">
        <v>0</v>
      </c>
      <c r="AA1454" s="13" t="s">
        <v>9149</v>
      </c>
      <c r="AB1454" s="13" t="s">
        <v>9150</v>
      </c>
      <c r="AC1454" s="14" t="s">
        <v>9139</v>
      </c>
      <c r="AD1454" s="14" t="s">
        <v>9140</v>
      </c>
      <c r="AE1454" s="14" t="s">
        <v>9140</v>
      </c>
      <c r="AF1454" s="14" t="s">
        <v>63</v>
      </c>
      <c r="AG1454" s="14" t="s">
        <v>98</v>
      </c>
      <c r="AH1454" s="15" t="s">
        <v>9141</v>
      </c>
      <c r="AI1454" s="15" t="s">
        <v>9175</v>
      </c>
      <c r="AJ1454" s="15" t="s">
        <v>9143</v>
      </c>
      <c r="AK1454" s="15" t="s">
        <v>9141</v>
      </c>
      <c r="AL1454" s="15" t="s">
        <v>9177</v>
      </c>
      <c r="AM1454" s="16" t="s">
        <v>9141</v>
      </c>
      <c r="AN1454" s="16" t="s">
        <v>9178</v>
      </c>
    </row>
    <row r="1455" spans="1:40" x14ac:dyDescent="0.25">
      <c r="A1455" s="4" t="s">
        <v>1257</v>
      </c>
      <c r="B1455" s="4"/>
      <c r="C1455" s="4" t="s">
        <v>39</v>
      </c>
      <c r="D1455" s="4" t="s">
        <v>1258</v>
      </c>
      <c r="E1455" s="4" t="s">
        <v>1259</v>
      </c>
      <c r="F1455" s="10">
        <v>45280</v>
      </c>
      <c r="G1455" s="11">
        <v>0.63888888888888884</v>
      </c>
      <c r="H1455" s="4" t="s">
        <v>1155</v>
      </c>
      <c r="I1455" s="4">
        <v>4043</v>
      </c>
      <c r="J1455" s="4" t="s">
        <v>1200</v>
      </c>
      <c r="K1455" s="4" t="s">
        <v>1260</v>
      </c>
      <c r="L1455" s="4" t="s">
        <v>1261</v>
      </c>
      <c r="M1455" s="4" t="s">
        <v>46</v>
      </c>
      <c r="N1455" s="4"/>
      <c r="O1455" s="4" t="s">
        <v>47</v>
      </c>
      <c r="P1455" s="4" t="s">
        <v>48</v>
      </c>
      <c r="Q1455" s="4">
        <v>0</v>
      </c>
      <c r="R1455" s="4" t="b">
        <v>0</v>
      </c>
      <c r="S1455" s="4" t="s">
        <v>61</v>
      </c>
      <c r="T1455" s="4" t="s">
        <v>89</v>
      </c>
      <c r="U1455" s="4" t="s">
        <v>148</v>
      </c>
      <c r="V1455" s="4" t="s">
        <v>123</v>
      </c>
      <c r="W1455" s="4" t="s">
        <v>124</v>
      </c>
      <c r="X1455" s="4" t="s">
        <v>98</v>
      </c>
      <c r="Y1455" s="4"/>
      <c r="Z1455" s="12">
        <v>0</v>
      </c>
      <c r="AA1455" s="13" t="s">
        <v>9149</v>
      </c>
      <c r="AB1455" s="13" t="s">
        <v>9150</v>
      </c>
      <c r="AC1455" s="14" t="s">
        <v>9148</v>
      </c>
      <c r="AD1455" s="14" t="s">
        <v>9140</v>
      </c>
      <c r="AE1455" s="14" t="s">
        <v>9140</v>
      </c>
      <c r="AF1455" s="14" t="s">
        <v>123</v>
      </c>
      <c r="AG1455" s="14" t="s">
        <v>98</v>
      </c>
      <c r="AH1455" s="15" t="s">
        <v>9141</v>
      </c>
      <c r="AI1455" s="15" t="s">
        <v>9187</v>
      </c>
      <c r="AJ1455" s="15" t="s">
        <v>9143</v>
      </c>
      <c r="AK1455" s="15" t="s">
        <v>9141</v>
      </c>
      <c r="AL1455" s="15" t="s">
        <v>9144</v>
      </c>
      <c r="AM1455" s="16" t="s">
        <v>9141</v>
      </c>
      <c r="AN1455" s="16" t="s">
        <v>9145</v>
      </c>
    </row>
    <row r="1456" spans="1:40" x14ac:dyDescent="0.25">
      <c r="A1456" s="4" t="s">
        <v>5110</v>
      </c>
      <c r="B1456" s="4"/>
      <c r="C1456" s="4" t="s">
        <v>39</v>
      </c>
      <c r="D1456" s="4" t="s">
        <v>5111</v>
      </c>
      <c r="E1456" s="4" t="s">
        <v>5112</v>
      </c>
      <c r="F1456" s="10">
        <v>45279</v>
      </c>
      <c r="G1456" s="11">
        <v>0.61111111111111116</v>
      </c>
      <c r="H1456" s="4" t="s">
        <v>4910</v>
      </c>
      <c r="I1456" s="4" t="s">
        <v>5077</v>
      </c>
      <c r="J1456" s="4" t="s">
        <v>2140</v>
      </c>
      <c r="K1456" s="4" t="s">
        <v>2354</v>
      </c>
      <c r="L1456" s="4" t="s">
        <v>5113</v>
      </c>
      <c r="M1456" s="4" t="s">
        <v>46</v>
      </c>
      <c r="N1456" s="4"/>
      <c r="O1456" s="4" t="s">
        <v>47</v>
      </c>
      <c r="P1456" s="4" t="s">
        <v>48</v>
      </c>
      <c r="Q1456" s="4">
        <v>0</v>
      </c>
      <c r="R1456" s="4" t="b">
        <v>0</v>
      </c>
      <c r="S1456" s="4" t="s">
        <v>61</v>
      </c>
      <c r="T1456" s="4" t="s">
        <v>50</v>
      </c>
      <c r="U1456" s="4" t="s">
        <v>90</v>
      </c>
      <c r="V1456" s="4" t="s">
        <v>63</v>
      </c>
      <c r="W1456" s="4" t="s">
        <v>108</v>
      </c>
      <c r="X1456" s="4" t="s">
        <v>98</v>
      </c>
      <c r="Y1456" s="4"/>
      <c r="Z1456" s="12">
        <v>0</v>
      </c>
      <c r="AA1456" s="13" t="s">
        <v>9149</v>
      </c>
      <c r="AB1456" s="13" t="s">
        <v>9150</v>
      </c>
      <c r="AC1456" s="14" t="s">
        <v>9148</v>
      </c>
      <c r="AD1456" s="14" t="s">
        <v>9140</v>
      </c>
      <c r="AE1456" s="14" t="s">
        <v>9140</v>
      </c>
      <c r="AF1456" s="14" t="s">
        <v>63</v>
      </c>
      <c r="AG1456" s="14" t="s">
        <v>98</v>
      </c>
      <c r="AH1456" s="15" t="s">
        <v>9220</v>
      </c>
      <c r="AI1456" s="15" t="s">
        <v>9191</v>
      </c>
      <c r="AJ1456" s="15" t="s">
        <v>9143</v>
      </c>
      <c r="AK1456" s="15" t="s">
        <v>9221</v>
      </c>
      <c r="AL1456" s="15" t="s">
        <v>9226</v>
      </c>
      <c r="AM1456" s="16" t="s">
        <v>9221</v>
      </c>
      <c r="AN1456" s="16" t="s">
        <v>9227</v>
      </c>
    </row>
    <row r="1457" spans="1:40" x14ac:dyDescent="0.25">
      <c r="A1457" s="4" t="s">
        <v>9061</v>
      </c>
      <c r="B1457" s="4">
        <v>12230055278</v>
      </c>
      <c r="C1457" s="4" t="s">
        <v>39</v>
      </c>
      <c r="D1457" s="4" t="s">
        <v>9062</v>
      </c>
      <c r="E1457" s="4" t="s">
        <v>9063</v>
      </c>
      <c r="F1457" s="10">
        <v>45278</v>
      </c>
      <c r="G1457" s="11">
        <v>0.27777777777777779</v>
      </c>
      <c r="H1457" s="4" t="s">
        <v>4019</v>
      </c>
      <c r="I1457" s="4" t="s">
        <v>8971</v>
      </c>
      <c r="J1457" s="4" t="s">
        <v>8972</v>
      </c>
      <c r="K1457" s="4" t="s">
        <v>9064</v>
      </c>
      <c r="L1457" s="4" t="s">
        <v>9065</v>
      </c>
      <c r="M1457" s="4" t="s">
        <v>28</v>
      </c>
      <c r="N1457" s="4" t="s">
        <v>183</v>
      </c>
      <c r="O1457" s="4" t="s">
        <v>191</v>
      </c>
      <c r="P1457" s="4" t="s">
        <v>48</v>
      </c>
      <c r="Q1457" s="4">
        <v>14</v>
      </c>
      <c r="R1457" s="4" t="b">
        <v>0</v>
      </c>
      <c r="S1457" s="4" t="s">
        <v>184</v>
      </c>
      <c r="T1457" s="4" t="s">
        <v>89</v>
      </c>
      <c r="U1457" s="4" t="s">
        <v>148</v>
      </c>
      <c r="V1457" s="4" t="s">
        <v>52</v>
      </c>
      <c r="W1457" s="4" t="s">
        <v>53</v>
      </c>
      <c r="X1457" s="4" t="s">
        <v>54</v>
      </c>
      <c r="Y1457" s="4"/>
      <c r="Z1457" s="12" t="s">
        <v>48</v>
      </c>
      <c r="AA1457" s="13" t="s">
        <v>9149</v>
      </c>
      <c r="AB1457" s="13" t="s">
        <v>9150</v>
      </c>
      <c r="AC1457" s="14" t="s">
        <v>9166</v>
      </c>
      <c r="AD1457" s="14" t="s">
        <v>28</v>
      </c>
      <c r="AE1457" s="14" t="s">
        <v>183</v>
      </c>
      <c r="AF1457" s="14" t="s">
        <v>52</v>
      </c>
      <c r="AG1457" s="14" t="s">
        <v>54</v>
      </c>
      <c r="AH1457" s="15" t="s">
        <v>9220</v>
      </c>
      <c r="AI1457" s="15" t="s">
        <v>9175</v>
      </c>
      <c r="AJ1457" s="15" t="s">
        <v>9181</v>
      </c>
      <c r="AK1457" s="15" t="s">
        <v>9182</v>
      </c>
      <c r="AL1457" s="15" t="s">
        <v>9182</v>
      </c>
      <c r="AM1457" s="16" t="s">
        <v>9182</v>
      </c>
      <c r="AN1457" s="16" t="s">
        <v>9182</v>
      </c>
    </row>
    <row r="1458" spans="1:40" x14ac:dyDescent="0.25">
      <c r="A1458" s="4" t="s">
        <v>9066</v>
      </c>
      <c r="B1458" s="4"/>
      <c r="C1458" s="4" t="s">
        <v>39</v>
      </c>
      <c r="D1458" s="4" t="s">
        <v>9067</v>
      </c>
      <c r="E1458" s="4" t="s">
        <v>9068</v>
      </c>
      <c r="F1458" s="10">
        <v>45278</v>
      </c>
      <c r="G1458" s="11">
        <v>0.3125</v>
      </c>
      <c r="H1458" s="4" t="s">
        <v>4019</v>
      </c>
      <c r="I1458" s="4" t="s">
        <v>8971</v>
      </c>
      <c r="J1458" s="4" t="s">
        <v>8972</v>
      </c>
      <c r="K1458" s="4" t="s">
        <v>9069</v>
      </c>
      <c r="L1458" s="4" t="s">
        <v>9070</v>
      </c>
      <c r="M1458" s="4" t="s">
        <v>46</v>
      </c>
      <c r="N1458" s="4"/>
      <c r="O1458" s="4" t="s">
        <v>47</v>
      </c>
      <c r="P1458" s="4" t="s">
        <v>48</v>
      </c>
      <c r="Q1458" s="4">
        <v>0</v>
      </c>
      <c r="R1458" s="4" t="b">
        <v>0</v>
      </c>
      <c r="S1458" s="4" t="s">
        <v>49</v>
      </c>
      <c r="T1458" s="4" t="s">
        <v>89</v>
      </c>
      <c r="U1458" s="4" t="s">
        <v>224</v>
      </c>
      <c r="V1458" s="4" t="s">
        <v>72</v>
      </c>
      <c r="W1458" s="4" t="s">
        <v>73</v>
      </c>
      <c r="X1458" s="4" t="s">
        <v>98</v>
      </c>
      <c r="Y1458" s="4" t="s">
        <v>775</v>
      </c>
      <c r="Z1458" s="12">
        <v>0</v>
      </c>
      <c r="AA1458" s="13" t="s">
        <v>9149</v>
      </c>
      <c r="AB1458" s="13" t="s">
        <v>9150</v>
      </c>
      <c r="AC1458" s="14" t="s">
        <v>9139</v>
      </c>
      <c r="AD1458" s="14" t="s">
        <v>9140</v>
      </c>
      <c r="AE1458" s="14" t="s">
        <v>9140</v>
      </c>
      <c r="AF1458" s="14" t="s">
        <v>72</v>
      </c>
      <c r="AG1458" s="14" t="s">
        <v>98</v>
      </c>
      <c r="AH1458" s="15" t="s">
        <v>9220</v>
      </c>
      <c r="AI1458" s="15" t="s">
        <v>9175</v>
      </c>
      <c r="AJ1458" s="15" t="s">
        <v>9181</v>
      </c>
      <c r="AK1458" s="15" t="s">
        <v>9182</v>
      </c>
      <c r="AL1458" s="15" t="s">
        <v>9182</v>
      </c>
      <c r="AM1458" s="16" t="s">
        <v>9182</v>
      </c>
      <c r="AN1458" s="16" t="s">
        <v>9182</v>
      </c>
    </row>
    <row r="1459" spans="1:40" x14ac:dyDescent="0.25">
      <c r="A1459" s="4" t="s">
        <v>7588</v>
      </c>
      <c r="B1459" s="4"/>
      <c r="C1459" s="4" t="s">
        <v>39</v>
      </c>
      <c r="D1459" s="4" t="s">
        <v>7560</v>
      </c>
      <c r="E1459" s="4" t="s">
        <v>7561</v>
      </c>
      <c r="F1459" s="10">
        <v>45278</v>
      </c>
      <c r="G1459" s="11">
        <v>0.84166666666666667</v>
      </c>
      <c r="H1459" s="4" t="s">
        <v>4019</v>
      </c>
      <c r="I1459" s="4" t="s">
        <v>7562</v>
      </c>
      <c r="J1459" s="4" t="s">
        <v>7563</v>
      </c>
      <c r="K1459" s="4" t="s">
        <v>5969</v>
      </c>
      <c r="L1459" s="4" t="s">
        <v>7589</v>
      </c>
      <c r="M1459" s="4" t="s">
        <v>46</v>
      </c>
      <c r="N1459" s="4"/>
      <c r="O1459" s="4" t="s">
        <v>47</v>
      </c>
      <c r="P1459" s="4" t="s">
        <v>48</v>
      </c>
      <c r="Q1459" s="4">
        <v>0</v>
      </c>
      <c r="R1459" s="4" t="b">
        <v>0</v>
      </c>
      <c r="S1459" s="4" t="s">
        <v>49</v>
      </c>
      <c r="T1459" s="4" t="s">
        <v>89</v>
      </c>
      <c r="U1459" s="4" t="s">
        <v>90</v>
      </c>
      <c r="V1459" s="4" t="s">
        <v>63</v>
      </c>
      <c r="W1459" s="4" t="s">
        <v>108</v>
      </c>
      <c r="X1459" s="4" t="s">
        <v>838</v>
      </c>
      <c r="Y1459" s="4" t="s">
        <v>176</v>
      </c>
      <c r="Z1459" s="12">
        <v>0</v>
      </c>
      <c r="AA1459" s="13" t="s">
        <v>9149</v>
      </c>
      <c r="AB1459" s="13" t="s">
        <v>9150</v>
      </c>
      <c r="AC1459" s="14" t="s">
        <v>9139</v>
      </c>
      <c r="AD1459" s="14" t="s">
        <v>9140</v>
      </c>
      <c r="AE1459" s="14" t="s">
        <v>9140</v>
      </c>
      <c r="AF1459" s="14" t="s">
        <v>63</v>
      </c>
      <c r="AG1459" s="14" t="s">
        <v>838</v>
      </c>
      <c r="AH1459" s="15" t="s">
        <v>9220</v>
      </c>
      <c r="AI1459" s="15" t="s">
        <v>9175</v>
      </c>
      <c r="AJ1459" s="15" t="s">
        <v>9143</v>
      </c>
      <c r="AK1459" s="15" t="s">
        <v>9221</v>
      </c>
      <c r="AL1459" s="15" t="s">
        <v>9224</v>
      </c>
      <c r="AM1459" s="16" t="s">
        <v>9221</v>
      </c>
      <c r="AN1459" s="16" t="s">
        <v>9225</v>
      </c>
    </row>
    <row r="1460" spans="1:40" x14ac:dyDescent="0.25">
      <c r="A1460" s="4" t="s">
        <v>332</v>
      </c>
      <c r="B1460" s="4"/>
      <c r="C1460" s="4" t="s">
        <v>39</v>
      </c>
      <c r="D1460" s="4" t="s">
        <v>213</v>
      </c>
      <c r="E1460" s="4" t="s">
        <v>214</v>
      </c>
      <c r="F1460" s="10">
        <v>45278</v>
      </c>
      <c r="G1460" s="11">
        <v>0.46875</v>
      </c>
      <c r="H1460" s="4" t="s">
        <v>42</v>
      </c>
      <c r="I1460" s="4">
        <v>1011</v>
      </c>
      <c r="J1460" s="4" t="s">
        <v>215</v>
      </c>
      <c r="K1460" s="4" t="s">
        <v>333</v>
      </c>
      <c r="L1460" s="4" t="s">
        <v>334</v>
      </c>
      <c r="M1460" s="4" t="s">
        <v>46</v>
      </c>
      <c r="N1460" s="4"/>
      <c r="O1460" s="4" t="s">
        <v>47</v>
      </c>
      <c r="P1460" s="4" t="s">
        <v>48</v>
      </c>
      <c r="Q1460" s="4">
        <v>0</v>
      </c>
      <c r="R1460" s="4" t="b">
        <v>0</v>
      </c>
      <c r="S1460" s="4" t="s">
        <v>49</v>
      </c>
      <c r="T1460" s="4" t="s">
        <v>70</v>
      </c>
      <c r="U1460" s="4" t="s">
        <v>71</v>
      </c>
      <c r="V1460" s="4" t="s">
        <v>72</v>
      </c>
      <c r="W1460" s="4" t="s">
        <v>73</v>
      </c>
      <c r="X1460" s="4" t="s">
        <v>54</v>
      </c>
      <c r="Y1460" s="4"/>
      <c r="Z1460" s="12">
        <v>0</v>
      </c>
      <c r="AA1460" s="13" t="s">
        <v>9149</v>
      </c>
      <c r="AB1460" s="13" t="s">
        <v>9150</v>
      </c>
      <c r="AC1460" s="14" t="s">
        <v>9139</v>
      </c>
      <c r="AD1460" s="14" t="s">
        <v>9140</v>
      </c>
      <c r="AE1460" s="14" t="s">
        <v>9140</v>
      </c>
      <c r="AF1460" s="14" t="s">
        <v>72</v>
      </c>
      <c r="AG1460" s="14" t="s">
        <v>54</v>
      </c>
      <c r="AH1460" s="15" t="s">
        <v>9141</v>
      </c>
      <c r="AI1460" s="15" t="s">
        <v>9142</v>
      </c>
      <c r="AJ1460" s="15" t="s">
        <v>9143</v>
      </c>
      <c r="AK1460" s="15" t="s">
        <v>9141</v>
      </c>
      <c r="AL1460" s="15" t="s">
        <v>9144</v>
      </c>
      <c r="AM1460" s="16" t="s">
        <v>9141</v>
      </c>
      <c r="AN1460" s="16" t="s">
        <v>9145</v>
      </c>
    </row>
    <row r="1461" spans="1:40" x14ac:dyDescent="0.25">
      <c r="A1461" s="4" t="s">
        <v>3159</v>
      </c>
      <c r="B1461" s="4"/>
      <c r="C1461" s="4" t="s">
        <v>39</v>
      </c>
      <c r="D1461" s="4" t="s">
        <v>3160</v>
      </c>
      <c r="E1461" s="4" t="s">
        <v>3161</v>
      </c>
      <c r="F1461" s="10">
        <v>45278</v>
      </c>
      <c r="G1461" s="11">
        <v>0.71180555555555558</v>
      </c>
      <c r="H1461" s="4" t="s">
        <v>2095</v>
      </c>
      <c r="I1461" s="4" t="s">
        <v>3162</v>
      </c>
      <c r="J1461" s="4" t="s">
        <v>3163</v>
      </c>
      <c r="K1461" s="4" t="s">
        <v>3164</v>
      </c>
      <c r="L1461" s="4" t="s">
        <v>3165</v>
      </c>
      <c r="M1461" s="4" t="s">
        <v>46</v>
      </c>
      <c r="N1461" s="4"/>
      <c r="O1461" s="4" t="s">
        <v>47</v>
      </c>
      <c r="P1461" s="4" t="s">
        <v>48</v>
      </c>
      <c r="Q1461" s="4">
        <v>0</v>
      </c>
      <c r="R1461" s="4" t="b">
        <v>0</v>
      </c>
      <c r="S1461" s="4" t="s">
        <v>61</v>
      </c>
      <c r="T1461" s="4" t="s">
        <v>50</v>
      </c>
      <c r="U1461" s="4" t="s">
        <v>51</v>
      </c>
      <c r="V1461" s="4" t="s">
        <v>123</v>
      </c>
      <c r="W1461" s="4" t="s">
        <v>124</v>
      </c>
      <c r="X1461" s="4" t="s">
        <v>978</v>
      </c>
      <c r="Y1461" s="4"/>
      <c r="Z1461" s="12">
        <v>0</v>
      </c>
      <c r="AA1461" s="13" t="s">
        <v>9149</v>
      </c>
      <c r="AB1461" s="13" t="s">
        <v>9150</v>
      </c>
      <c r="AC1461" s="14" t="s">
        <v>9148</v>
      </c>
      <c r="AD1461" s="14" t="s">
        <v>9140</v>
      </c>
      <c r="AE1461" s="14" t="s">
        <v>9140</v>
      </c>
      <c r="AF1461" s="14" t="s">
        <v>123</v>
      </c>
      <c r="AG1461" s="14" t="s">
        <v>978</v>
      </c>
      <c r="AH1461" s="15" t="s">
        <v>9194</v>
      </c>
      <c r="AI1461" s="15" t="s">
        <v>9188</v>
      </c>
      <c r="AJ1461" s="15" t="s">
        <v>9143</v>
      </c>
      <c r="AK1461" s="15" t="s">
        <v>9194</v>
      </c>
      <c r="AL1461" s="15" t="s">
        <v>9203</v>
      </c>
      <c r="AM1461" s="16" t="s">
        <v>9194</v>
      </c>
      <c r="AN1461" s="16" t="s">
        <v>9204</v>
      </c>
    </row>
    <row r="1462" spans="1:40" x14ac:dyDescent="0.25">
      <c r="A1462" s="4" t="s">
        <v>1463</v>
      </c>
      <c r="B1462" s="4"/>
      <c r="C1462" s="4" t="s">
        <v>39</v>
      </c>
      <c r="D1462" s="4" t="s">
        <v>1464</v>
      </c>
      <c r="E1462" s="4" t="s">
        <v>1465</v>
      </c>
      <c r="F1462" s="10">
        <v>45278</v>
      </c>
      <c r="G1462" s="11">
        <v>0.73263888888888884</v>
      </c>
      <c r="H1462" s="4" t="s">
        <v>1366</v>
      </c>
      <c r="I1462" s="4">
        <v>5089</v>
      </c>
      <c r="J1462" s="4" t="s">
        <v>1445</v>
      </c>
      <c r="K1462" s="4" t="s">
        <v>1466</v>
      </c>
      <c r="L1462" s="4" t="s">
        <v>1467</v>
      </c>
      <c r="M1462" s="4" t="s">
        <v>46</v>
      </c>
      <c r="N1462" s="4"/>
      <c r="O1462" s="4" t="s">
        <v>174</v>
      </c>
      <c r="P1462" s="4" t="s">
        <v>48</v>
      </c>
      <c r="Q1462" s="4">
        <v>0</v>
      </c>
      <c r="R1462" s="4" t="b">
        <v>0</v>
      </c>
      <c r="S1462" s="4" t="s">
        <v>114</v>
      </c>
      <c r="T1462" s="4" t="s">
        <v>89</v>
      </c>
      <c r="U1462" s="4" t="s">
        <v>224</v>
      </c>
      <c r="V1462" s="4" t="s">
        <v>123</v>
      </c>
      <c r="W1462" s="4" t="s">
        <v>149</v>
      </c>
      <c r="X1462" s="4" t="s">
        <v>54</v>
      </c>
      <c r="Y1462" s="4"/>
      <c r="Z1462" s="12">
        <v>0</v>
      </c>
      <c r="AA1462" s="13" t="s">
        <v>9149</v>
      </c>
      <c r="AB1462" s="13" t="s">
        <v>9150</v>
      </c>
      <c r="AC1462" s="14" t="s">
        <v>9157</v>
      </c>
      <c r="AD1462" s="14" t="s">
        <v>9140</v>
      </c>
      <c r="AE1462" s="14" t="s">
        <v>9140</v>
      </c>
      <c r="AF1462" s="14" t="s">
        <v>123</v>
      </c>
      <c r="AG1462" s="14" t="s">
        <v>54</v>
      </c>
      <c r="AH1462" s="15" t="s">
        <v>9141</v>
      </c>
      <c r="AI1462" s="15" t="s">
        <v>9188</v>
      </c>
      <c r="AJ1462" s="15" t="s">
        <v>9143</v>
      </c>
      <c r="AK1462" s="15" t="s">
        <v>9141</v>
      </c>
      <c r="AL1462" s="15" t="s">
        <v>9189</v>
      </c>
      <c r="AM1462" s="16" t="s">
        <v>9141</v>
      </c>
      <c r="AN1462" s="16" t="s">
        <v>9190</v>
      </c>
    </row>
    <row r="1463" spans="1:40" x14ac:dyDescent="0.25">
      <c r="A1463" s="4" t="s">
        <v>3850</v>
      </c>
      <c r="B1463" s="4"/>
      <c r="C1463" s="4" t="s">
        <v>39</v>
      </c>
      <c r="D1463" s="4" t="s">
        <v>3845</v>
      </c>
      <c r="E1463" s="4" t="s">
        <v>3846</v>
      </c>
      <c r="F1463" s="10">
        <v>45277</v>
      </c>
      <c r="G1463" s="11">
        <v>0.4375</v>
      </c>
      <c r="H1463" s="4" t="s">
        <v>2017</v>
      </c>
      <c r="I1463" s="4" t="s">
        <v>3832</v>
      </c>
      <c r="J1463" s="4" t="s">
        <v>3833</v>
      </c>
      <c r="K1463" s="4" t="s">
        <v>3851</v>
      </c>
      <c r="L1463" s="4" t="s">
        <v>3852</v>
      </c>
      <c r="M1463" s="4" t="s">
        <v>46</v>
      </c>
      <c r="N1463" s="4"/>
      <c r="O1463" s="4" t="s">
        <v>47</v>
      </c>
      <c r="P1463" s="4" t="s">
        <v>48</v>
      </c>
      <c r="Q1463" s="4">
        <v>0</v>
      </c>
      <c r="R1463" s="4" t="b">
        <v>0</v>
      </c>
      <c r="S1463" s="4" t="s">
        <v>61</v>
      </c>
      <c r="T1463" s="4" t="s">
        <v>89</v>
      </c>
      <c r="U1463" s="4" t="s">
        <v>107</v>
      </c>
      <c r="V1463" s="4" t="s">
        <v>63</v>
      </c>
      <c r="W1463" s="4" t="s">
        <v>108</v>
      </c>
      <c r="X1463" s="4" t="s">
        <v>98</v>
      </c>
      <c r="Y1463" s="4"/>
      <c r="Z1463" s="12">
        <v>0</v>
      </c>
      <c r="AA1463" s="13" t="s">
        <v>9149</v>
      </c>
      <c r="AB1463" s="13" t="s">
        <v>9150</v>
      </c>
      <c r="AC1463" s="14" t="s">
        <v>9148</v>
      </c>
      <c r="AD1463" s="14" t="s">
        <v>9140</v>
      </c>
      <c r="AE1463" s="14" t="s">
        <v>9140</v>
      </c>
      <c r="AF1463" s="14" t="s">
        <v>63</v>
      </c>
      <c r="AG1463" s="14" t="s">
        <v>98</v>
      </c>
      <c r="AH1463" s="15" t="s">
        <v>9194</v>
      </c>
      <c r="AI1463" s="15" t="s">
        <v>9199</v>
      </c>
      <c r="AJ1463" s="15" t="s">
        <v>9143</v>
      </c>
      <c r="AK1463" s="15" t="s">
        <v>9194</v>
      </c>
      <c r="AL1463" s="15" t="s">
        <v>9199</v>
      </c>
      <c r="AM1463" s="16" t="s">
        <v>9194</v>
      </c>
      <c r="AN1463" s="16" t="s">
        <v>9200</v>
      </c>
    </row>
    <row r="1464" spans="1:40" x14ac:dyDescent="0.25">
      <c r="A1464" s="4" t="s">
        <v>2008</v>
      </c>
      <c r="B1464" s="4" t="s">
        <v>2009</v>
      </c>
      <c r="C1464" s="4" t="s">
        <v>39</v>
      </c>
      <c r="D1464" s="4" t="s">
        <v>2010</v>
      </c>
      <c r="E1464" s="4" t="s">
        <v>2011</v>
      </c>
      <c r="F1464" s="10">
        <v>45277</v>
      </c>
      <c r="G1464" s="11">
        <v>0.67500000000000004</v>
      </c>
      <c r="H1464" s="4" t="s">
        <v>1992</v>
      </c>
      <c r="I1464" s="4" t="s">
        <v>1993</v>
      </c>
      <c r="J1464" s="4" t="s">
        <v>1994</v>
      </c>
      <c r="K1464" s="4" t="s">
        <v>2012</v>
      </c>
      <c r="L1464" s="4" t="s">
        <v>2013</v>
      </c>
      <c r="M1464" s="4" t="s">
        <v>28</v>
      </c>
      <c r="N1464" s="4" t="s">
        <v>183</v>
      </c>
      <c r="O1464" s="4" t="s">
        <v>174</v>
      </c>
      <c r="P1464" s="4" t="s">
        <v>48</v>
      </c>
      <c r="Q1464" s="4">
        <v>120</v>
      </c>
      <c r="R1464" s="4" t="b">
        <v>0</v>
      </c>
      <c r="S1464" s="4" t="s">
        <v>184</v>
      </c>
      <c r="T1464" s="4" t="s">
        <v>479</v>
      </c>
      <c r="U1464" s="4" t="s">
        <v>51</v>
      </c>
      <c r="V1464" s="4" t="s">
        <v>52</v>
      </c>
      <c r="W1464" s="4" t="s">
        <v>135</v>
      </c>
      <c r="X1464" s="4" t="s">
        <v>54</v>
      </c>
      <c r="Y1464" s="4"/>
      <c r="Z1464" s="12" t="s">
        <v>48</v>
      </c>
      <c r="AA1464" s="13" t="s">
        <v>9149</v>
      </c>
      <c r="AB1464" s="13" t="s">
        <v>9150</v>
      </c>
      <c r="AC1464" s="14" t="s">
        <v>9166</v>
      </c>
      <c r="AD1464" s="14" t="s">
        <v>28</v>
      </c>
      <c r="AE1464" s="14" t="s">
        <v>183</v>
      </c>
      <c r="AF1464" s="14" t="s">
        <v>52</v>
      </c>
      <c r="AG1464" s="14" t="s">
        <v>54</v>
      </c>
      <c r="AH1464" s="15" t="s">
        <v>9194</v>
      </c>
      <c r="AI1464" s="15" t="s">
        <v>9191</v>
      </c>
      <c r="AJ1464" s="15" t="s">
        <v>9143</v>
      </c>
      <c r="AK1464" s="15" t="s">
        <v>9194</v>
      </c>
      <c r="AL1464" s="15" t="s">
        <v>9197</v>
      </c>
      <c r="AM1464" s="16" t="s">
        <v>9194</v>
      </c>
      <c r="AN1464" s="16" t="s">
        <v>9198</v>
      </c>
    </row>
    <row r="1465" spans="1:40" x14ac:dyDescent="0.25">
      <c r="A1465" s="4" t="s">
        <v>3471</v>
      </c>
      <c r="B1465" s="4"/>
      <c r="C1465" s="4" t="s">
        <v>39</v>
      </c>
      <c r="D1465" s="4" t="s">
        <v>3450</v>
      </c>
      <c r="E1465" s="4" t="s">
        <v>3451</v>
      </c>
      <c r="F1465" s="10">
        <v>45277</v>
      </c>
      <c r="G1465" s="11">
        <v>0.57361111111111107</v>
      </c>
      <c r="H1465" s="4" t="s">
        <v>2095</v>
      </c>
      <c r="I1465" s="4" t="s">
        <v>3452</v>
      </c>
      <c r="J1465" s="4" t="s">
        <v>3453</v>
      </c>
      <c r="K1465" s="4" t="s">
        <v>3472</v>
      </c>
      <c r="L1465" s="4" t="s">
        <v>3473</v>
      </c>
      <c r="M1465" s="4" t="s">
        <v>46</v>
      </c>
      <c r="N1465" s="4"/>
      <c r="O1465" s="4" t="s">
        <v>47</v>
      </c>
      <c r="P1465" s="4" t="s">
        <v>48</v>
      </c>
      <c r="Q1465" s="4">
        <v>0</v>
      </c>
      <c r="R1465" s="4" t="b">
        <v>0</v>
      </c>
      <c r="S1465" s="4" t="s">
        <v>49</v>
      </c>
      <c r="T1465" s="4" t="s">
        <v>70</v>
      </c>
      <c r="U1465" s="4" t="s">
        <v>71</v>
      </c>
      <c r="V1465" s="4" t="s">
        <v>63</v>
      </c>
      <c r="W1465" s="4" t="s">
        <v>198</v>
      </c>
      <c r="X1465" s="4" t="s">
        <v>54</v>
      </c>
      <c r="Y1465" s="4" t="s">
        <v>211</v>
      </c>
      <c r="Z1465" s="12">
        <v>0</v>
      </c>
      <c r="AA1465" s="13" t="s">
        <v>9149</v>
      </c>
      <c r="AB1465" s="13" t="s">
        <v>9150</v>
      </c>
      <c r="AC1465" s="14" t="s">
        <v>9139</v>
      </c>
      <c r="AD1465" s="14" t="s">
        <v>9140</v>
      </c>
      <c r="AE1465" s="14" t="s">
        <v>9140</v>
      </c>
      <c r="AF1465" s="14" t="s">
        <v>63</v>
      </c>
      <c r="AG1465" s="14" t="s">
        <v>54</v>
      </c>
      <c r="AH1465" s="15" t="s">
        <v>9194</v>
      </c>
      <c r="AI1465" s="15" t="s">
        <v>9188</v>
      </c>
      <c r="AJ1465" s="15" t="s">
        <v>9143</v>
      </c>
      <c r="AK1465" s="15" t="s">
        <v>9194</v>
      </c>
      <c r="AL1465" s="15" t="s">
        <v>9203</v>
      </c>
      <c r="AM1465" s="16" t="s">
        <v>9194</v>
      </c>
      <c r="AN1465" s="16" t="s">
        <v>9204</v>
      </c>
    </row>
    <row r="1466" spans="1:40" x14ac:dyDescent="0.25">
      <c r="A1466" s="4" t="s">
        <v>335</v>
      </c>
      <c r="B1466" s="4"/>
      <c r="C1466" s="4" t="s">
        <v>39</v>
      </c>
      <c r="D1466" s="4" t="s">
        <v>213</v>
      </c>
      <c r="E1466" s="4" t="s">
        <v>214</v>
      </c>
      <c r="F1466" s="10">
        <v>45275</v>
      </c>
      <c r="G1466" s="11">
        <v>0.75</v>
      </c>
      <c r="H1466" s="4" t="s">
        <v>42</v>
      </c>
      <c r="I1466" s="4">
        <v>1011</v>
      </c>
      <c r="J1466" s="4" t="s">
        <v>215</v>
      </c>
      <c r="K1466" s="4" t="s">
        <v>336</v>
      </c>
      <c r="L1466" s="4" t="s">
        <v>337</v>
      </c>
      <c r="M1466" s="4" t="s">
        <v>46</v>
      </c>
      <c r="N1466" s="4"/>
      <c r="O1466" s="4" t="s">
        <v>47</v>
      </c>
      <c r="P1466" s="4" t="s">
        <v>48</v>
      </c>
      <c r="Q1466" s="4">
        <v>0</v>
      </c>
      <c r="R1466" s="4" t="b">
        <v>0</v>
      </c>
      <c r="S1466" s="4" t="s">
        <v>61</v>
      </c>
      <c r="T1466" s="4" t="s">
        <v>89</v>
      </c>
      <c r="U1466" s="4" t="s">
        <v>175</v>
      </c>
      <c r="V1466" s="4" t="s">
        <v>52</v>
      </c>
      <c r="W1466" s="4" t="s">
        <v>53</v>
      </c>
      <c r="X1466" s="4" t="s">
        <v>54</v>
      </c>
      <c r="Y1466" s="4"/>
      <c r="Z1466" s="12">
        <v>0</v>
      </c>
      <c r="AA1466" s="13" t="s">
        <v>9149</v>
      </c>
      <c r="AB1466" s="13" t="s">
        <v>9150</v>
      </c>
      <c r="AC1466" s="14" t="s">
        <v>9148</v>
      </c>
      <c r="AD1466" s="14" t="s">
        <v>9140</v>
      </c>
      <c r="AE1466" s="14" t="s">
        <v>9140</v>
      </c>
      <c r="AF1466" s="14" t="s">
        <v>52</v>
      </c>
      <c r="AG1466" s="14" t="s">
        <v>54</v>
      </c>
      <c r="AH1466" s="15" t="s">
        <v>9141</v>
      </c>
      <c r="AI1466" s="15" t="s">
        <v>9142</v>
      </c>
      <c r="AJ1466" s="15" t="s">
        <v>9143</v>
      </c>
      <c r="AK1466" s="15" t="s">
        <v>9141</v>
      </c>
      <c r="AL1466" s="15" t="s">
        <v>9144</v>
      </c>
      <c r="AM1466" s="16" t="s">
        <v>9141</v>
      </c>
      <c r="AN1466" s="16" t="s">
        <v>9145</v>
      </c>
    </row>
    <row r="1467" spans="1:40" x14ac:dyDescent="0.25">
      <c r="A1467" s="4" t="s">
        <v>1006</v>
      </c>
      <c r="B1467" s="4"/>
      <c r="C1467" s="4" t="s">
        <v>39</v>
      </c>
      <c r="D1467" s="4" t="s">
        <v>802</v>
      </c>
      <c r="E1467" s="4" t="s">
        <v>803</v>
      </c>
      <c r="F1467" s="10">
        <v>45275</v>
      </c>
      <c r="G1467" s="11">
        <v>0.60555555555555551</v>
      </c>
      <c r="H1467" s="4" t="s">
        <v>463</v>
      </c>
      <c r="I1467" s="4">
        <v>2039</v>
      </c>
      <c r="J1467" s="4" t="s">
        <v>988</v>
      </c>
      <c r="K1467" s="4" t="s">
        <v>1007</v>
      </c>
      <c r="L1467" s="4" t="s">
        <v>1008</v>
      </c>
      <c r="M1467" s="4" t="s">
        <v>46</v>
      </c>
      <c r="N1467" s="4"/>
      <c r="O1467" s="4" t="s">
        <v>47</v>
      </c>
      <c r="P1467" s="4" t="s">
        <v>48</v>
      </c>
      <c r="Q1467" s="4">
        <v>0</v>
      </c>
      <c r="R1467" s="4" t="b">
        <v>0</v>
      </c>
      <c r="S1467" s="4" t="s">
        <v>49</v>
      </c>
      <c r="T1467" s="4" t="s">
        <v>70</v>
      </c>
      <c r="U1467" s="4" t="s">
        <v>224</v>
      </c>
      <c r="V1467" s="4" t="s">
        <v>72</v>
      </c>
      <c r="W1467" s="4" t="s">
        <v>73</v>
      </c>
      <c r="X1467" s="4" t="s">
        <v>54</v>
      </c>
      <c r="Y1467" s="4"/>
      <c r="Z1467" s="12">
        <v>0</v>
      </c>
      <c r="AA1467" s="13" t="s">
        <v>9149</v>
      </c>
      <c r="AB1467" s="13" t="s">
        <v>9150</v>
      </c>
      <c r="AC1467" s="14" t="s">
        <v>9139</v>
      </c>
      <c r="AD1467" s="14" t="s">
        <v>9140</v>
      </c>
      <c r="AE1467" s="14" t="s">
        <v>9140</v>
      </c>
      <c r="AF1467" s="14" t="s">
        <v>72</v>
      </c>
      <c r="AG1467" s="14" t="s">
        <v>54</v>
      </c>
      <c r="AH1467" s="15" t="s">
        <v>9141</v>
      </c>
      <c r="AI1467" s="15" t="s">
        <v>9175</v>
      </c>
      <c r="AJ1467" s="15" t="s">
        <v>9143</v>
      </c>
      <c r="AK1467" s="15" t="s">
        <v>9141</v>
      </c>
      <c r="AL1467" s="15" t="s">
        <v>9175</v>
      </c>
      <c r="AM1467" s="16" t="s">
        <v>9141</v>
      </c>
      <c r="AN1467" s="16" t="s">
        <v>9176</v>
      </c>
    </row>
    <row r="1468" spans="1:40" x14ac:dyDescent="0.25">
      <c r="A1468" s="4" t="s">
        <v>6337</v>
      </c>
      <c r="B1468" s="4"/>
      <c r="C1468" s="4" t="s">
        <v>39</v>
      </c>
      <c r="D1468" s="4" t="s">
        <v>6300</v>
      </c>
      <c r="E1468" s="4" t="s">
        <v>6301</v>
      </c>
      <c r="F1468" s="10">
        <v>45275</v>
      </c>
      <c r="G1468" s="11">
        <v>0.44444444444444442</v>
      </c>
      <c r="H1468" s="4" t="s">
        <v>4019</v>
      </c>
      <c r="I1468" s="4" t="s">
        <v>6277</v>
      </c>
      <c r="J1468" s="4" t="s">
        <v>988</v>
      </c>
      <c r="K1468" s="4" t="s">
        <v>6338</v>
      </c>
      <c r="L1468" s="4" t="s">
        <v>6339</v>
      </c>
      <c r="M1468" s="4" t="s">
        <v>46</v>
      </c>
      <c r="N1468" s="4"/>
      <c r="O1468" s="4" t="s">
        <v>47</v>
      </c>
      <c r="P1468" s="4" t="s">
        <v>48</v>
      </c>
      <c r="Q1468" s="4">
        <v>0</v>
      </c>
      <c r="R1468" s="4" t="b">
        <v>0</v>
      </c>
      <c r="S1468" s="4" t="s">
        <v>49</v>
      </c>
      <c r="T1468" s="4"/>
      <c r="U1468" s="4"/>
      <c r="V1468" s="4"/>
      <c r="W1468" s="4"/>
      <c r="X1468" s="4"/>
      <c r="Y1468" s="4"/>
      <c r="Z1468" s="12">
        <v>0</v>
      </c>
      <c r="AA1468" s="13" t="s">
        <v>9149</v>
      </c>
      <c r="AB1468" s="13" t="s">
        <v>9150</v>
      </c>
      <c r="AC1468" s="14" t="s">
        <v>9139</v>
      </c>
      <c r="AD1468" s="14" t="s">
        <v>9140</v>
      </c>
      <c r="AE1468" s="14" t="s">
        <v>9140</v>
      </c>
      <c r="AF1468" s="14">
        <v>0</v>
      </c>
      <c r="AG1468" s="14">
        <v>0</v>
      </c>
      <c r="AH1468" s="15" t="s">
        <v>9220</v>
      </c>
      <c r="AI1468" s="15" t="s">
        <v>9175</v>
      </c>
      <c r="AJ1468" s="15" t="s">
        <v>9143</v>
      </c>
      <c r="AK1468" s="15" t="s">
        <v>9221</v>
      </c>
      <c r="AL1468" s="15" t="s">
        <v>9222</v>
      </c>
      <c r="AM1468" s="16" t="s">
        <v>9221</v>
      </c>
      <c r="AN1468" s="16" t="s">
        <v>9223</v>
      </c>
    </row>
    <row r="1469" spans="1:40" x14ac:dyDescent="0.25">
      <c r="A1469" s="4" t="s">
        <v>6944</v>
      </c>
      <c r="B1469" s="4"/>
      <c r="C1469" s="4" t="s">
        <v>39</v>
      </c>
      <c r="D1469" s="4" t="s">
        <v>6945</v>
      </c>
      <c r="E1469" s="4" t="s">
        <v>6946</v>
      </c>
      <c r="F1469" s="10">
        <v>45275</v>
      </c>
      <c r="G1469" s="11">
        <v>0.80555555555555558</v>
      </c>
      <c r="H1469" s="4" t="s">
        <v>4019</v>
      </c>
      <c r="I1469" s="4" t="s">
        <v>6911</v>
      </c>
      <c r="J1469" s="4" t="s">
        <v>6912</v>
      </c>
      <c r="K1469" s="4" t="s">
        <v>6947</v>
      </c>
      <c r="L1469" s="4" t="s">
        <v>6948</v>
      </c>
      <c r="M1469" s="4" t="s">
        <v>46</v>
      </c>
      <c r="N1469" s="4"/>
      <c r="O1469" s="4" t="s">
        <v>47</v>
      </c>
      <c r="P1469" s="4" t="s">
        <v>48</v>
      </c>
      <c r="Q1469" s="4">
        <v>0</v>
      </c>
      <c r="R1469" s="4" t="b">
        <v>0</v>
      </c>
      <c r="S1469" s="4" t="s">
        <v>61</v>
      </c>
      <c r="T1469" s="4" t="s">
        <v>479</v>
      </c>
      <c r="U1469" s="4" t="s">
        <v>175</v>
      </c>
      <c r="V1469" s="4" t="s">
        <v>52</v>
      </c>
      <c r="W1469" s="4" t="s">
        <v>53</v>
      </c>
      <c r="X1469" s="4" t="s">
        <v>978</v>
      </c>
      <c r="Y1469" s="4" t="s">
        <v>176</v>
      </c>
      <c r="Z1469" s="12">
        <v>0</v>
      </c>
      <c r="AA1469" s="13" t="s">
        <v>9149</v>
      </c>
      <c r="AB1469" s="13" t="s">
        <v>9150</v>
      </c>
      <c r="AC1469" s="14" t="s">
        <v>9148</v>
      </c>
      <c r="AD1469" s="14" t="s">
        <v>9140</v>
      </c>
      <c r="AE1469" s="14" t="s">
        <v>9140</v>
      </c>
      <c r="AF1469" s="14" t="s">
        <v>52</v>
      </c>
      <c r="AG1469" s="14" t="s">
        <v>978</v>
      </c>
      <c r="AH1469" s="15" t="s">
        <v>9220</v>
      </c>
      <c r="AI1469" s="15" t="s">
        <v>9175</v>
      </c>
      <c r="AJ1469" s="15" t="s">
        <v>9143</v>
      </c>
      <c r="AK1469" s="15" t="s">
        <v>9221</v>
      </c>
      <c r="AL1469" s="15" t="s">
        <v>9224</v>
      </c>
      <c r="AM1469" s="16" t="s">
        <v>9221</v>
      </c>
      <c r="AN1469" s="16" t="s">
        <v>9225</v>
      </c>
    </row>
    <row r="1470" spans="1:40" x14ac:dyDescent="0.25">
      <c r="A1470" s="4" t="s">
        <v>4129</v>
      </c>
      <c r="B1470" s="4"/>
      <c r="C1470" s="4" t="s">
        <v>39</v>
      </c>
      <c r="D1470" s="4" t="s">
        <v>4125</v>
      </c>
      <c r="E1470" s="4" t="s">
        <v>4126</v>
      </c>
      <c r="F1470" s="10">
        <v>45273</v>
      </c>
      <c r="G1470" s="11">
        <v>0.60416666666666663</v>
      </c>
      <c r="H1470" s="4" t="s">
        <v>4019</v>
      </c>
      <c r="I1470" s="4" t="s">
        <v>4092</v>
      </c>
      <c r="J1470" s="4" t="s">
        <v>4093</v>
      </c>
      <c r="K1470" s="4" t="s">
        <v>243</v>
      </c>
      <c r="L1470" s="4" t="s">
        <v>4130</v>
      </c>
      <c r="M1470" s="4" t="s">
        <v>46</v>
      </c>
      <c r="N1470" s="4"/>
      <c r="O1470" s="4" t="s">
        <v>47</v>
      </c>
      <c r="P1470" s="4" t="s">
        <v>48</v>
      </c>
      <c r="Q1470" s="4">
        <v>0</v>
      </c>
      <c r="R1470" s="4" t="b">
        <v>0</v>
      </c>
      <c r="S1470" s="4" t="s">
        <v>61</v>
      </c>
      <c r="T1470" s="4" t="s">
        <v>89</v>
      </c>
      <c r="U1470" s="4" t="s">
        <v>51</v>
      </c>
      <c r="V1470" s="4" t="s">
        <v>72</v>
      </c>
      <c r="W1470" s="4" t="s">
        <v>73</v>
      </c>
      <c r="X1470" s="4" t="s">
        <v>54</v>
      </c>
      <c r="Y1470" s="4"/>
      <c r="Z1470" s="12">
        <v>0</v>
      </c>
      <c r="AA1470" s="13" t="s">
        <v>9149</v>
      </c>
      <c r="AB1470" s="13" t="s">
        <v>9150</v>
      </c>
      <c r="AC1470" s="14" t="s">
        <v>9148</v>
      </c>
      <c r="AD1470" s="14" t="s">
        <v>9140</v>
      </c>
      <c r="AE1470" s="14" t="s">
        <v>9140</v>
      </c>
      <c r="AF1470" s="14" t="s">
        <v>72</v>
      </c>
      <c r="AG1470" s="14" t="s">
        <v>54</v>
      </c>
      <c r="AH1470" s="15" t="s">
        <v>9220</v>
      </c>
      <c r="AI1470" s="15" t="s">
        <v>9175</v>
      </c>
      <c r="AJ1470" s="15" t="s">
        <v>9143</v>
      </c>
      <c r="AK1470" s="15" t="s">
        <v>9221</v>
      </c>
      <c r="AL1470" s="15" t="s">
        <v>9222</v>
      </c>
      <c r="AM1470" s="16" t="s">
        <v>9221</v>
      </c>
      <c r="AN1470" s="16" t="s">
        <v>9223</v>
      </c>
    </row>
    <row r="1471" spans="1:40" x14ac:dyDescent="0.25">
      <c r="A1471" s="4" t="s">
        <v>3512</v>
      </c>
      <c r="B1471" s="4"/>
      <c r="C1471" s="4" t="s">
        <v>39</v>
      </c>
      <c r="D1471" s="4" t="s">
        <v>3500</v>
      </c>
      <c r="E1471" s="4" t="s">
        <v>3501</v>
      </c>
      <c r="F1471" s="10">
        <v>45273</v>
      </c>
      <c r="G1471" s="11">
        <v>0.56597222222222221</v>
      </c>
      <c r="H1471" s="4" t="s">
        <v>2017</v>
      </c>
      <c r="I1471" s="4" t="s">
        <v>3502</v>
      </c>
      <c r="J1471" s="4" t="s">
        <v>3503</v>
      </c>
      <c r="K1471" s="4" t="s">
        <v>3513</v>
      </c>
      <c r="L1471" s="4" t="s">
        <v>3514</v>
      </c>
      <c r="M1471" s="4" t="s">
        <v>46</v>
      </c>
      <c r="N1471" s="4"/>
      <c r="O1471" s="4" t="s">
        <v>47</v>
      </c>
      <c r="P1471" s="4" t="s">
        <v>48</v>
      </c>
      <c r="Q1471" s="4">
        <v>0</v>
      </c>
      <c r="R1471" s="4" t="b">
        <v>0</v>
      </c>
      <c r="S1471" s="4" t="s">
        <v>61</v>
      </c>
      <c r="T1471" s="4" t="s">
        <v>89</v>
      </c>
      <c r="U1471" s="4" t="s">
        <v>175</v>
      </c>
      <c r="V1471" s="4" t="s">
        <v>63</v>
      </c>
      <c r="W1471" s="4" t="s">
        <v>108</v>
      </c>
      <c r="X1471" s="4" t="s">
        <v>98</v>
      </c>
      <c r="Y1471" s="4"/>
      <c r="Z1471" s="12">
        <v>0</v>
      </c>
      <c r="AA1471" s="13" t="s">
        <v>9149</v>
      </c>
      <c r="AB1471" s="13" t="s">
        <v>9150</v>
      </c>
      <c r="AC1471" s="14" t="s">
        <v>9148</v>
      </c>
      <c r="AD1471" s="14" t="s">
        <v>9140</v>
      </c>
      <c r="AE1471" s="14" t="s">
        <v>9140</v>
      </c>
      <c r="AF1471" s="14" t="s">
        <v>63</v>
      </c>
      <c r="AG1471" s="14" t="s">
        <v>98</v>
      </c>
      <c r="AH1471" s="15" t="s">
        <v>9194</v>
      </c>
      <c r="AI1471" s="15" t="s">
        <v>9199</v>
      </c>
      <c r="AJ1471" s="15" t="s">
        <v>9143</v>
      </c>
      <c r="AK1471" s="15" t="s">
        <v>9194</v>
      </c>
      <c r="AL1471" s="15" t="s">
        <v>9199</v>
      </c>
      <c r="AM1471" s="16" t="s">
        <v>9194</v>
      </c>
      <c r="AN1471" s="16" t="s">
        <v>9200</v>
      </c>
    </row>
    <row r="1472" spans="1:40" x14ac:dyDescent="0.25">
      <c r="A1472" s="4" t="s">
        <v>2247</v>
      </c>
      <c r="B1472" s="4"/>
      <c r="C1472" s="4" t="s">
        <v>39</v>
      </c>
      <c r="D1472" s="4" t="s">
        <v>2248</v>
      </c>
      <c r="E1472" s="4" t="s">
        <v>2249</v>
      </c>
      <c r="F1472" s="10">
        <v>45273</v>
      </c>
      <c r="G1472" s="11">
        <v>0.49305555555555558</v>
      </c>
      <c r="H1472" s="4" t="s">
        <v>2227</v>
      </c>
      <c r="I1472" s="4" t="s">
        <v>2228</v>
      </c>
      <c r="J1472" s="4" t="s">
        <v>1173</v>
      </c>
      <c r="K1472" s="4" t="s">
        <v>2250</v>
      </c>
      <c r="L1472" s="4" t="s">
        <v>2251</v>
      </c>
      <c r="M1472" s="4" t="s">
        <v>46</v>
      </c>
      <c r="N1472" s="4"/>
      <c r="O1472" s="4" t="s">
        <v>47</v>
      </c>
      <c r="P1472" s="4" t="s">
        <v>48</v>
      </c>
      <c r="Q1472" s="4">
        <v>0</v>
      </c>
      <c r="R1472" s="4" t="b">
        <v>0</v>
      </c>
      <c r="S1472" s="4" t="s">
        <v>49</v>
      </c>
      <c r="T1472" s="4" t="s">
        <v>70</v>
      </c>
      <c r="U1472" s="4" t="s">
        <v>71</v>
      </c>
      <c r="V1472" s="4" t="s">
        <v>72</v>
      </c>
      <c r="W1472" s="4" t="s">
        <v>97</v>
      </c>
      <c r="X1472" s="4" t="s">
        <v>54</v>
      </c>
      <c r="Y1472" s="4"/>
      <c r="Z1472" s="12">
        <v>0</v>
      </c>
      <c r="AA1472" s="13" t="s">
        <v>9149</v>
      </c>
      <c r="AB1472" s="13" t="s">
        <v>9150</v>
      </c>
      <c r="AC1472" s="14" t="s">
        <v>9139</v>
      </c>
      <c r="AD1472" s="14" t="s">
        <v>9140</v>
      </c>
      <c r="AE1472" s="14" t="s">
        <v>9140</v>
      </c>
      <c r="AF1472" s="14" t="s">
        <v>72</v>
      </c>
      <c r="AG1472" s="14" t="s">
        <v>54</v>
      </c>
      <c r="AH1472" s="15" t="s">
        <v>9194</v>
      </c>
      <c r="AI1472" s="15" t="s">
        <v>9187</v>
      </c>
      <c r="AJ1472" s="15" t="s">
        <v>9143</v>
      </c>
      <c r="AK1472" s="15" t="s">
        <v>9194</v>
      </c>
      <c r="AL1472" s="15" t="s">
        <v>9209</v>
      </c>
      <c r="AM1472" s="16" t="s">
        <v>9194</v>
      </c>
      <c r="AN1472" s="16" t="s">
        <v>9210</v>
      </c>
    </row>
    <row r="1473" spans="1:40" x14ac:dyDescent="0.25">
      <c r="A1473" s="4" t="s">
        <v>2747</v>
      </c>
      <c r="B1473" s="4"/>
      <c r="C1473" s="4" t="s">
        <v>39</v>
      </c>
      <c r="D1473" s="4" t="s">
        <v>2748</v>
      </c>
      <c r="E1473" s="4" t="s">
        <v>2749</v>
      </c>
      <c r="F1473" s="10">
        <v>45272</v>
      </c>
      <c r="G1473" s="11">
        <v>0.48194444444444445</v>
      </c>
      <c r="H1473" s="4" t="s">
        <v>2227</v>
      </c>
      <c r="I1473" s="4" t="s">
        <v>2715</v>
      </c>
      <c r="J1473" s="4" t="s">
        <v>1200</v>
      </c>
      <c r="K1473" s="4" t="s">
        <v>2750</v>
      </c>
      <c r="L1473" s="4" t="s">
        <v>2751</v>
      </c>
      <c r="M1473" s="4" t="s">
        <v>46</v>
      </c>
      <c r="N1473" s="4"/>
      <c r="O1473" s="4" t="s">
        <v>191</v>
      </c>
      <c r="P1473" s="4" t="s">
        <v>48</v>
      </c>
      <c r="Q1473" s="4">
        <v>0</v>
      </c>
      <c r="R1473" s="4" t="b">
        <v>0</v>
      </c>
      <c r="S1473" s="4" t="s">
        <v>114</v>
      </c>
      <c r="T1473" s="4" t="s">
        <v>479</v>
      </c>
      <c r="U1473" s="4" t="s">
        <v>301</v>
      </c>
      <c r="V1473" s="4" t="s">
        <v>52</v>
      </c>
      <c r="W1473" s="4" t="s">
        <v>374</v>
      </c>
      <c r="X1473" s="4" t="s">
        <v>54</v>
      </c>
      <c r="Y1473" s="4"/>
      <c r="Z1473" s="12">
        <v>0</v>
      </c>
      <c r="AA1473" s="13" t="s">
        <v>9149</v>
      </c>
      <c r="AB1473" s="13" t="s">
        <v>9150</v>
      </c>
      <c r="AC1473" s="14" t="s">
        <v>9157</v>
      </c>
      <c r="AD1473" s="14" t="s">
        <v>9140</v>
      </c>
      <c r="AE1473" s="14" t="s">
        <v>9140</v>
      </c>
      <c r="AF1473" s="14" t="s">
        <v>52</v>
      </c>
      <c r="AG1473" s="14" t="s">
        <v>54</v>
      </c>
      <c r="AH1473" s="15" t="s">
        <v>9194</v>
      </c>
      <c r="AI1473" s="15" t="s">
        <v>9187</v>
      </c>
      <c r="AJ1473" s="15" t="s">
        <v>9143</v>
      </c>
      <c r="AK1473" s="15" t="s">
        <v>9194</v>
      </c>
      <c r="AL1473" s="15" t="s">
        <v>9209</v>
      </c>
      <c r="AM1473" s="16" t="s">
        <v>9194</v>
      </c>
      <c r="AN1473" s="16" t="s">
        <v>9210</v>
      </c>
    </row>
    <row r="1474" spans="1:40" x14ac:dyDescent="0.25">
      <c r="A1474" s="4" t="s">
        <v>2462</v>
      </c>
      <c r="B1474" s="4"/>
      <c r="C1474" s="4" t="s">
        <v>39</v>
      </c>
      <c r="D1474" s="4" t="s">
        <v>2455</v>
      </c>
      <c r="E1474" s="4" t="s">
        <v>2456</v>
      </c>
      <c r="F1474" s="10">
        <v>45272</v>
      </c>
      <c r="G1474" s="11">
        <v>0.65625</v>
      </c>
      <c r="H1474" s="4" t="s">
        <v>1939</v>
      </c>
      <c r="I1474" s="4" t="s">
        <v>2393</v>
      </c>
      <c r="J1474" s="4" t="s">
        <v>2394</v>
      </c>
      <c r="K1474" s="4" t="s">
        <v>2463</v>
      </c>
      <c r="L1474" s="4" t="s">
        <v>2464</v>
      </c>
      <c r="M1474" s="4" t="s">
        <v>46</v>
      </c>
      <c r="N1474" s="4"/>
      <c r="O1474" s="4" t="s">
        <v>47</v>
      </c>
      <c r="P1474" s="4" t="s">
        <v>48</v>
      </c>
      <c r="Q1474" s="4">
        <v>0</v>
      </c>
      <c r="R1474" s="4" t="b">
        <v>0</v>
      </c>
      <c r="S1474" s="4" t="s">
        <v>49</v>
      </c>
      <c r="T1474" s="4" t="s">
        <v>70</v>
      </c>
      <c r="U1474" s="4" t="s">
        <v>71</v>
      </c>
      <c r="V1474" s="4" t="s">
        <v>72</v>
      </c>
      <c r="W1474" s="4" t="s">
        <v>73</v>
      </c>
      <c r="X1474" s="4" t="s">
        <v>54</v>
      </c>
      <c r="Y1474" s="4"/>
      <c r="Z1474" s="12">
        <v>0</v>
      </c>
      <c r="AA1474" s="13" t="s">
        <v>9149</v>
      </c>
      <c r="AB1474" s="13" t="s">
        <v>9150</v>
      </c>
      <c r="AC1474" s="14" t="s">
        <v>9139</v>
      </c>
      <c r="AD1474" s="14" t="s">
        <v>9140</v>
      </c>
      <c r="AE1474" s="14" t="s">
        <v>9140</v>
      </c>
      <c r="AF1474" s="14" t="s">
        <v>72</v>
      </c>
      <c r="AG1474" s="14" t="s">
        <v>54</v>
      </c>
      <c r="AH1474" s="15" t="s">
        <v>9194</v>
      </c>
      <c r="AI1474" s="15" t="s">
        <v>9175</v>
      </c>
      <c r="AJ1474" s="15" t="s">
        <v>9143</v>
      </c>
      <c r="AK1474" s="15" t="s">
        <v>9194</v>
      </c>
      <c r="AL1474" s="15" t="s">
        <v>9195</v>
      </c>
      <c r="AM1474" s="16" t="s">
        <v>9194</v>
      </c>
      <c r="AN1474" s="16" t="s">
        <v>9196</v>
      </c>
    </row>
    <row r="1475" spans="1:40" x14ac:dyDescent="0.25">
      <c r="A1475" s="4" t="s">
        <v>2465</v>
      </c>
      <c r="B1475" s="4"/>
      <c r="C1475" s="4" t="s">
        <v>39</v>
      </c>
      <c r="D1475" s="4" t="s">
        <v>2320</v>
      </c>
      <c r="E1475" s="4" t="s">
        <v>2321</v>
      </c>
      <c r="F1475" s="10">
        <v>45272</v>
      </c>
      <c r="G1475" s="11">
        <v>0.6875</v>
      </c>
      <c r="H1475" s="4" t="s">
        <v>1939</v>
      </c>
      <c r="I1475" s="4" t="s">
        <v>2393</v>
      </c>
      <c r="J1475" s="4" t="s">
        <v>2394</v>
      </c>
      <c r="K1475" s="4" t="s">
        <v>2466</v>
      </c>
      <c r="L1475" s="4" t="s">
        <v>2467</v>
      </c>
      <c r="M1475" s="4" t="s">
        <v>46</v>
      </c>
      <c r="N1475" s="4"/>
      <c r="O1475" s="4" t="s">
        <v>47</v>
      </c>
      <c r="P1475" s="4" t="s">
        <v>48</v>
      </c>
      <c r="Q1475" s="4">
        <v>0</v>
      </c>
      <c r="R1475" s="4" t="b">
        <v>0</v>
      </c>
      <c r="S1475" s="4" t="s">
        <v>49</v>
      </c>
      <c r="T1475" s="4" t="s">
        <v>2468</v>
      </c>
      <c r="U1475" s="4" t="s">
        <v>90</v>
      </c>
      <c r="V1475" s="4" t="s">
        <v>405</v>
      </c>
      <c r="W1475" s="4" t="s">
        <v>2469</v>
      </c>
      <c r="X1475" s="4" t="s">
        <v>54</v>
      </c>
      <c r="Y1475" s="4"/>
      <c r="Z1475" s="12">
        <v>0</v>
      </c>
      <c r="AA1475" s="13" t="s">
        <v>9149</v>
      </c>
      <c r="AB1475" s="13" t="s">
        <v>9150</v>
      </c>
      <c r="AC1475" s="14" t="s">
        <v>9139</v>
      </c>
      <c r="AD1475" s="14" t="s">
        <v>9140</v>
      </c>
      <c r="AE1475" s="14" t="s">
        <v>9140</v>
      </c>
      <c r="AF1475" s="14" t="s">
        <v>405</v>
      </c>
      <c r="AG1475" s="14" t="s">
        <v>54</v>
      </c>
      <c r="AH1475" s="15" t="s">
        <v>9194</v>
      </c>
      <c r="AI1475" s="15" t="s">
        <v>9175</v>
      </c>
      <c r="AJ1475" s="15" t="s">
        <v>9143</v>
      </c>
      <c r="AK1475" s="15" t="s">
        <v>9194</v>
      </c>
      <c r="AL1475" s="15" t="s">
        <v>9195</v>
      </c>
      <c r="AM1475" s="16" t="s">
        <v>9194</v>
      </c>
      <c r="AN1475" s="16" t="s">
        <v>9196</v>
      </c>
    </row>
    <row r="1476" spans="1:40" x14ac:dyDescent="0.25">
      <c r="A1476" s="4" t="s">
        <v>3474</v>
      </c>
      <c r="B1476" s="4"/>
      <c r="C1476" s="4" t="s">
        <v>39</v>
      </c>
      <c r="D1476" s="4" t="s">
        <v>3462</v>
      </c>
      <c r="E1476" s="4" t="s">
        <v>3463</v>
      </c>
      <c r="F1476" s="10">
        <v>45272</v>
      </c>
      <c r="G1476" s="11">
        <v>0.58333333333333337</v>
      </c>
      <c r="H1476" s="4" t="s">
        <v>2095</v>
      </c>
      <c r="I1476" s="4" t="s">
        <v>3452</v>
      </c>
      <c r="J1476" s="4" t="s">
        <v>3453</v>
      </c>
      <c r="K1476" s="4" t="s">
        <v>3475</v>
      </c>
      <c r="L1476" s="4" t="s">
        <v>3476</v>
      </c>
      <c r="M1476" s="4" t="s">
        <v>46</v>
      </c>
      <c r="N1476" s="4"/>
      <c r="O1476" s="4" t="s">
        <v>47</v>
      </c>
      <c r="P1476" s="4" t="s">
        <v>48</v>
      </c>
      <c r="Q1476" s="4">
        <v>0</v>
      </c>
      <c r="R1476" s="4" t="b">
        <v>0</v>
      </c>
      <c r="S1476" s="4" t="s">
        <v>49</v>
      </c>
      <c r="T1476" s="4" t="s">
        <v>50</v>
      </c>
      <c r="U1476" s="4" t="s">
        <v>51</v>
      </c>
      <c r="V1476" s="4" t="s">
        <v>72</v>
      </c>
      <c r="W1476" s="4" t="s">
        <v>73</v>
      </c>
      <c r="X1476" s="4" t="s">
        <v>54</v>
      </c>
      <c r="Y1476" s="4"/>
      <c r="Z1476" s="12">
        <v>0</v>
      </c>
      <c r="AA1476" s="13" t="s">
        <v>9149</v>
      </c>
      <c r="AB1476" s="13" t="s">
        <v>9150</v>
      </c>
      <c r="AC1476" s="14" t="s">
        <v>9139</v>
      </c>
      <c r="AD1476" s="14" t="s">
        <v>9140</v>
      </c>
      <c r="AE1476" s="14" t="s">
        <v>9140</v>
      </c>
      <c r="AF1476" s="14" t="s">
        <v>72</v>
      </c>
      <c r="AG1476" s="14" t="s">
        <v>54</v>
      </c>
      <c r="AH1476" s="15" t="s">
        <v>9194</v>
      </c>
      <c r="AI1476" s="15" t="s">
        <v>9188</v>
      </c>
      <c r="AJ1476" s="15" t="s">
        <v>9143</v>
      </c>
      <c r="AK1476" s="15" t="s">
        <v>9194</v>
      </c>
      <c r="AL1476" s="15" t="s">
        <v>9203</v>
      </c>
      <c r="AM1476" s="16" t="s">
        <v>9194</v>
      </c>
      <c r="AN1476" s="16" t="s">
        <v>9204</v>
      </c>
    </row>
    <row r="1477" spans="1:40" x14ac:dyDescent="0.25">
      <c r="A1477" s="4" t="s">
        <v>8333</v>
      </c>
      <c r="B1477" s="4"/>
      <c r="C1477" s="4" t="s">
        <v>39</v>
      </c>
      <c r="D1477" s="4" t="s">
        <v>8334</v>
      </c>
      <c r="E1477" s="4" t="s">
        <v>8335</v>
      </c>
      <c r="F1477" s="10">
        <v>45272</v>
      </c>
      <c r="G1477" s="11">
        <v>0.8125</v>
      </c>
      <c r="H1477" s="4" t="s">
        <v>4910</v>
      </c>
      <c r="I1477" s="4" t="s">
        <v>8320</v>
      </c>
      <c r="J1477" s="4" t="s">
        <v>8321</v>
      </c>
      <c r="K1477" s="4" t="s">
        <v>8336</v>
      </c>
      <c r="L1477" s="4" t="s">
        <v>8337</v>
      </c>
      <c r="M1477" s="4" t="s">
        <v>46</v>
      </c>
      <c r="N1477" s="4"/>
      <c r="O1477" s="4" t="s">
        <v>47</v>
      </c>
      <c r="P1477" s="4" t="s">
        <v>48</v>
      </c>
      <c r="Q1477" s="4">
        <v>0</v>
      </c>
      <c r="R1477" s="4" t="b">
        <v>0</v>
      </c>
      <c r="S1477" s="4" t="s">
        <v>61</v>
      </c>
      <c r="T1477" s="4" t="s">
        <v>89</v>
      </c>
      <c r="U1477" s="4" t="s">
        <v>107</v>
      </c>
      <c r="V1477" s="4" t="s">
        <v>123</v>
      </c>
      <c r="W1477" s="4" t="s">
        <v>149</v>
      </c>
      <c r="X1477" s="4" t="s">
        <v>98</v>
      </c>
      <c r="Y1477" s="4" t="s">
        <v>2052</v>
      </c>
      <c r="Z1477" s="12">
        <v>0</v>
      </c>
      <c r="AA1477" s="13" t="s">
        <v>9149</v>
      </c>
      <c r="AB1477" s="13" t="s">
        <v>9150</v>
      </c>
      <c r="AC1477" s="14" t="s">
        <v>9148</v>
      </c>
      <c r="AD1477" s="14" t="s">
        <v>9140</v>
      </c>
      <c r="AE1477" s="14" t="s">
        <v>9140</v>
      </c>
      <c r="AF1477" s="14" t="s">
        <v>123</v>
      </c>
      <c r="AG1477" s="14" t="s">
        <v>98</v>
      </c>
      <c r="AH1477" s="15" t="s">
        <v>9220</v>
      </c>
      <c r="AI1477" s="15" t="s">
        <v>9191</v>
      </c>
      <c r="AJ1477" s="15" t="s">
        <v>9143</v>
      </c>
      <c r="AK1477" s="15" t="s">
        <v>9221</v>
      </c>
      <c r="AL1477" s="15" t="s">
        <v>9234</v>
      </c>
      <c r="AM1477" s="16" t="s">
        <v>9221</v>
      </c>
      <c r="AN1477" s="16" t="s">
        <v>9235</v>
      </c>
    </row>
    <row r="1478" spans="1:40" x14ac:dyDescent="0.25">
      <c r="A1478" s="4" t="s">
        <v>8621</v>
      </c>
      <c r="B1478" s="4"/>
      <c r="C1478" s="4" t="s">
        <v>39</v>
      </c>
      <c r="D1478" s="4" t="s">
        <v>8622</v>
      </c>
      <c r="E1478" s="4" t="s">
        <v>8623</v>
      </c>
      <c r="F1478" s="10">
        <v>45272</v>
      </c>
      <c r="G1478" s="11">
        <v>0.5</v>
      </c>
      <c r="H1478" s="4" t="s">
        <v>4516</v>
      </c>
      <c r="I1478" s="4" t="s">
        <v>8612</v>
      </c>
      <c r="J1478" s="4" t="s">
        <v>8613</v>
      </c>
      <c r="K1478" s="4" t="s">
        <v>8624</v>
      </c>
      <c r="L1478" s="4" t="s">
        <v>8625</v>
      </c>
      <c r="M1478" s="4" t="s">
        <v>46</v>
      </c>
      <c r="N1478" s="4"/>
      <c r="O1478" s="4" t="s">
        <v>47</v>
      </c>
      <c r="P1478" s="4" t="s">
        <v>48</v>
      </c>
      <c r="Q1478" s="4">
        <v>0</v>
      </c>
      <c r="R1478" s="4" t="b">
        <v>0</v>
      </c>
      <c r="S1478" s="4" t="s">
        <v>49</v>
      </c>
      <c r="T1478" s="4" t="s">
        <v>89</v>
      </c>
      <c r="U1478" s="4" t="s">
        <v>148</v>
      </c>
      <c r="V1478" s="4" t="s">
        <v>52</v>
      </c>
      <c r="W1478" s="4" t="s">
        <v>53</v>
      </c>
      <c r="X1478" s="4" t="s">
        <v>54</v>
      </c>
      <c r="Y1478" s="4" t="s">
        <v>176</v>
      </c>
      <c r="Z1478" s="12">
        <v>0</v>
      </c>
      <c r="AA1478" s="13" t="s">
        <v>9149</v>
      </c>
      <c r="AB1478" s="13" t="s">
        <v>9150</v>
      </c>
      <c r="AC1478" s="14" t="s">
        <v>9139</v>
      </c>
      <c r="AD1478" s="14" t="s">
        <v>9140</v>
      </c>
      <c r="AE1478" s="14" t="s">
        <v>9140</v>
      </c>
      <c r="AF1478" s="14" t="s">
        <v>52</v>
      </c>
      <c r="AG1478" s="14" t="s">
        <v>54</v>
      </c>
      <c r="AH1478" s="15" t="s">
        <v>9220</v>
      </c>
      <c r="AI1478" s="15" t="s">
        <v>9188</v>
      </c>
      <c r="AJ1478" s="15" t="s">
        <v>9143</v>
      </c>
      <c r="AK1478" s="15" t="s">
        <v>9221</v>
      </c>
      <c r="AL1478" s="15" t="s">
        <v>9230</v>
      </c>
      <c r="AM1478" s="16" t="s">
        <v>9221</v>
      </c>
      <c r="AN1478" s="16" t="s">
        <v>9231</v>
      </c>
    </row>
    <row r="1479" spans="1:40" x14ac:dyDescent="0.25">
      <c r="A1479" s="4" t="s">
        <v>7652</v>
      </c>
      <c r="B1479" s="4"/>
      <c r="C1479" s="4" t="s">
        <v>39</v>
      </c>
      <c r="D1479" s="4" t="s">
        <v>7642</v>
      </c>
      <c r="E1479" s="4" t="s">
        <v>7643</v>
      </c>
      <c r="F1479" s="10">
        <v>45272</v>
      </c>
      <c r="G1479" s="11">
        <v>0.5</v>
      </c>
      <c r="H1479" s="4" t="s">
        <v>4910</v>
      </c>
      <c r="I1479" s="4" t="s">
        <v>7611</v>
      </c>
      <c r="J1479" s="4" t="s">
        <v>3335</v>
      </c>
      <c r="K1479" s="4" t="s">
        <v>7653</v>
      </c>
      <c r="L1479" s="4" t="s">
        <v>7654</v>
      </c>
      <c r="M1479" s="4" t="s">
        <v>46</v>
      </c>
      <c r="N1479" s="4"/>
      <c r="O1479" s="4" t="s">
        <v>47</v>
      </c>
      <c r="P1479" s="4" t="s">
        <v>48</v>
      </c>
      <c r="Q1479" s="4">
        <v>0</v>
      </c>
      <c r="R1479" s="4" t="b">
        <v>0</v>
      </c>
      <c r="S1479" s="4" t="s">
        <v>61</v>
      </c>
      <c r="T1479" s="4" t="s">
        <v>70</v>
      </c>
      <c r="U1479" s="4" t="s">
        <v>71</v>
      </c>
      <c r="V1479" s="4" t="s">
        <v>72</v>
      </c>
      <c r="W1479" s="4" t="s">
        <v>97</v>
      </c>
      <c r="X1479" s="4" t="s">
        <v>98</v>
      </c>
      <c r="Y1479" s="4"/>
      <c r="Z1479" s="12">
        <v>0</v>
      </c>
      <c r="AA1479" s="13" t="s">
        <v>9149</v>
      </c>
      <c r="AB1479" s="13" t="s">
        <v>9150</v>
      </c>
      <c r="AC1479" s="14" t="s">
        <v>9148</v>
      </c>
      <c r="AD1479" s="14" t="s">
        <v>9140</v>
      </c>
      <c r="AE1479" s="14" t="s">
        <v>9140</v>
      </c>
      <c r="AF1479" s="14" t="s">
        <v>72</v>
      </c>
      <c r="AG1479" s="14" t="s">
        <v>98</v>
      </c>
      <c r="AH1479" s="15" t="s">
        <v>9220</v>
      </c>
      <c r="AI1479" s="15" t="s">
        <v>9191</v>
      </c>
      <c r="AJ1479" s="15" t="s">
        <v>9143</v>
      </c>
      <c r="AK1479" s="15" t="s">
        <v>9221</v>
      </c>
      <c r="AL1479" s="15" t="s">
        <v>9226</v>
      </c>
      <c r="AM1479" s="16" t="s">
        <v>9221</v>
      </c>
      <c r="AN1479" s="16" t="s">
        <v>9227</v>
      </c>
    </row>
    <row r="1480" spans="1:40" x14ac:dyDescent="0.25">
      <c r="A1480" s="4" t="s">
        <v>6833</v>
      </c>
      <c r="B1480" s="4"/>
      <c r="C1480" s="4" t="s">
        <v>39</v>
      </c>
      <c r="D1480" s="4" t="s">
        <v>6834</v>
      </c>
      <c r="E1480" s="4" t="s">
        <v>6835</v>
      </c>
      <c r="F1480" s="10">
        <v>45272</v>
      </c>
      <c r="G1480" s="11">
        <v>0.56597222222222221</v>
      </c>
      <c r="H1480" s="4" t="s">
        <v>4910</v>
      </c>
      <c r="I1480" s="4" t="s">
        <v>6800</v>
      </c>
      <c r="J1480" s="4" t="s">
        <v>2914</v>
      </c>
      <c r="K1480" s="4" t="s">
        <v>6836</v>
      </c>
      <c r="L1480" s="4" t="s">
        <v>6837</v>
      </c>
      <c r="M1480" s="4" t="s">
        <v>46</v>
      </c>
      <c r="N1480" s="4"/>
      <c r="O1480" s="4" t="s">
        <v>47</v>
      </c>
      <c r="P1480" s="4" t="s">
        <v>48</v>
      </c>
      <c r="Q1480" s="4">
        <v>0</v>
      </c>
      <c r="R1480" s="4" t="b">
        <v>0</v>
      </c>
      <c r="S1480" s="4" t="s">
        <v>49</v>
      </c>
      <c r="T1480" s="4" t="s">
        <v>70</v>
      </c>
      <c r="U1480" s="4" t="s">
        <v>71</v>
      </c>
      <c r="V1480" s="4" t="s">
        <v>63</v>
      </c>
      <c r="W1480" s="4" t="s">
        <v>198</v>
      </c>
      <c r="X1480" s="4" t="s">
        <v>54</v>
      </c>
      <c r="Y1480" s="4" t="s">
        <v>211</v>
      </c>
      <c r="Z1480" s="12">
        <v>0</v>
      </c>
      <c r="AA1480" s="13" t="s">
        <v>9149</v>
      </c>
      <c r="AB1480" s="13" t="s">
        <v>9150</v>
      </c>
      <c r="AC1480" s="14" t="s">
        <v>9139</v>
      </c>
      <c r="AD1480" s="14" t="s">
        <v>9140</v>
      </c>
      <c r="AE1480" s="14" t="s">
        <v>9140</v>
      </c>
      <c r="AF1480" s="14" t="s">
        <v>63</v>
      </c>
      <c r="AG1480" s="14" t="s">
        <v>54</v>
      </c>
      <c r="AH1480" s="15" t="s">
        <v>9220</v>
      </c>
      <c r="AI1480" s="15" t="s">
        <v>9191</v>
      </c>
      <c r="AJ1480" s="15" t="s">
        <v>9143</v>
      </c>
      <c r="AK1480" s="15" t="s">
        <v>9221</v>
      </c>
      <c r="AL1480" s="15" t="s">
        <v>9234</v>
      </c>
      <c r="AM1480" s="16" t="s">
        <v>9221</v>
      </c>
      <c r="AN1480" s="16" t="s">
        <v>9235</v>
      </c>
    </row>
    <row r="1481" spans="1:40" x14ac:dyDescent="0.25">
      <c r="A1481" s="4" t="s">
        <v>8767</v>
      </c>
      <c r="B1481" s="4"/>
      <c r="C1481" s="4" t="s">
        <v>39</v>
      </c>
      <c r="D1481" s="4" t="s">
        <v>8768</v>
      </c>
      <c r="E1481" s="4" t="s">
        <v>8769</v>
      </c>
      <c r="F1481" s="10">
        <v>45271</v>
      </c>
      <c r="G1481" s="11">
        <v>0.66666666666666663</v>
      </c>
      <c r="H1481" s="4" t="s">
        <v>4910</v>
      </c>
      <c r="I1481" s="4" t="s">
        <v>8758</v>
      </c>
      <c r="J1481" s="4" t="s">
        <v>8759</v>
      </c>
      <c r="K1481" s="4" t="s">
        <v>8341</v>
      </c>
      <c r="L1481" s="4" t="s">
        <v>8770</v>
      </c>
      <c r="M1481" s="4" t="s">
        <v>46</v>
      </c>
      <c r="N1481" s="4"/>
      <c r="O1481" s="4" t="s">
        <v>174</v>
      </c>
      <c r="P1481" s="4" t="s">
        <v>48</v>
      </c>
      <c r="Q1481" s="4">
        <v>9</v>
      </c>
      <c r="R1481" s="4" t="b">
        <v>0</v>
      </c>
      <c r="S1481" s="4" t="s">
        <v>184</v>
      </c>
      <c r="T1481" s="4" t="s">
        <v>70</v>
      </c>
      <c r="U1481" s="4" t="s">
        <v>71</v>
      </c>
      <c r="V1481" s="4" t="s">
        <v>72</v>
      </c>
      <c r="W1481" s="4" t="s">
        <v>97</v>
      </c>
      <c r="X1481" s="4" t="s">
        <v>54</v>
      </c>
      <c r="Y1481" s="4" t="s">
        <v>4246</v>
      </c>
      <c r="Z1481" s="12">
        <v>0</v>
      </c>
      <c r="AA1481" s="13" t="s">
        <v>9149</v>
      </c>
      <c r="AB1481" s="13" t="s">
        <v>9150</v>
      </c>
      <c r="AC1481" s="14" t="s">
        <v>9166</v>
      </c>
      <c r="AD1481" s="14" t="s">
        <v>9140</v>
      </c>
      <c r="AE1481" s="14" t="s">
        <v>9140</v>
      </c>
      <c r="AF1481" s="14" t="s">
        <v>72</v>
      </c>
      <c r="AG1481" s="14" t="s">
        <v>54</v>
      </c>
      <c r="AH1481" s="15" t="s">
        <v>9220</v>
      </c>
      <c r="AI1481" s="15" t="s">
        <v>9191</v>
      </c>
      <c r="AJ1481" s="15" t="s">
        <v>9143</v>
      </c>
      <c r="AK1481" s="15" t="s">
        <v>9221</v>
      </c>
      <c r="AL1481" s="15" t="s">
        <v>9236</v>
      </c>
      <c r="AM1481" s="16" t="s">
        <v>9221</v>
      </c>
      <c r="AN1481" s="16" t="s">
        <v>9237</v>
      </c>
    </row>
    <row r="1482" spans="1:40" x14ac:dyDescent="0.25">
      <c r="A1482" s="4" t="s">
        <v>3016</v>
      </c>
      <c r="B1482" s="4"/>
      <c r="C1482" s="4" t="s">
        <v>39</v>
      </c>
      <c r="D1482" s="4" t="s">
        <v>2963</v>
      </c>
      <c r="E1482" s="4" t="s">
        <v>2964</v>
      </c>
      <c r="F1482" s="10">
        <v>45270</v>
      </c>
      <c r="G1482" s="11">
        <v>0.375</v>
      </c>
      <c r="H1482" s="4" t="s">
        <v>1992</v>
      </c>
      <c r="I1482" s="4" t="s">
        <v>2955</v>
      </c>
      <c r="J1482" s="4" t="s">
        <v>2956</v>
      </c>
      <c r="K1482" s="4" t="s">
        <v>3017</v>
      </c>
      <c r="L1482" s="4" t="s">
        <v>3018</v>
      </c>
      <c r="M1482" s="4" t="s">
        <v>46</v>
      </c>
      <c r="N1482" s="4"/>
      <c r="O1482" s="4" t="s">
        <v>174</v>
      </c>
      <c r="P1482" s="4" t="s">
        <v>48</v>
      </c>
      <c r="Q1482" s="4">
        <v>0</v>
      </c>
      <c r="R1482" s="4" t="b">
        <v>0</v>
      </c>
      <c r="S1482" s="4" t="s">
        <v>114</v>
      </c>
      <c r="T1482" s="4" t="s">
        <v>50</v>
      </c>
      <c r="U1482" s="4" t="s">
        <v>90</v>
      </c>
      <c r="V1482" s="4" t="s">
        <v>63</v>
      </c>
      <c r="W1482" s="4" t="s">
        <v>108</v>
      </c>
      <c r="X1482" s="4" t="s">
        <v>774</v>
      </c>
      <c r="Y1482" s="4" t="s">
        <v>486</v>
      </c>
      <c r="Z1482" s="12">
        <v>0</v>
      </c>
      <c r="AA1482" s="13" t="s">
        <v>9149</v>
      </c>
      <c r="AB1482" s="13" t="s">
        <v>9150</v>
      </c>
      <c r="AC1482" s="14" t="s">
        <v>9157</v>
      </c>
      <c r="AD1482" s="14" t="s">
        <v>9140</v>
      </c>
      <c r="AE1482" s="14" t="s">
        <v>9140</v>
      </c>
      <c r="AF1482" s="14" t="s">
        <v>63</v>
      </c>
      <c r="AG1482" s="14" t="s">
        <v>774</v>
      </c>
      <c r="AH1482" s="15" t="s">
        <v>9194</v>
      </c>
      <c r="AI1482" s="15" t="s">
        <v>9191</v>
      </c>
      <c r="AJ1482" s="15" t="s">
        <v>9143</v>
      </c>
      <c r="AK1482" s="15" t="s">
        <v>9194</v>
      </c>
      <c r="AL1482" s="15" t="s">
        <v>9205</v>
      </c>
      <c r="AM1482" s="16" t="s">
        <v>9194</v>
      </c>
      <c r="AN1482" s="16" t="s">
        <v>9206</v>
      </c>
    </row>
    <row r="1483" spans="1:40" x14ac:dyDescent="0.25">
      <c r="A1483" s="4" t="s">
        <v>2348</v>
      </c>
      <c r="B1483" s="4"/>
      <c r="C1483" s="4" t="s">
        <v>39</v>
      </c>
      <c r="D1483" s="4" t="s">
        <v>2326</v>
      </c>
      <c r="E1483" s="4" t="s">
        <v>2327</v>
      </c>
      <c r="F1483" s="10">
        <v>45270</v>
      </c>
      <c r="G1483" s="11">
        <v>0.68402777777777779</v>
      </c>
      <c r="H1483" s="4" t="s">
        <v>1939</v>
      </c>
      <c r="I1483" s="4" t="s">
        <v>2322</v>
      </c>
      <c r="J1483" s="4" t="s">
        <v>1037</v>
      </c>
      <c r="K1483" s="4" t="s">
        <v>2349</v>
      </c>
      <c r="L1483" s="4" t="s">
        <v>2350</v>
      </c>
      <c r="M1483" s="4" t="s">
        <v>46</v>
      </c>
      <c r="N1483" s="4"/>
      <c r="O1483" s="4" t="s">
        <v>47</v>
      </c>
      <c r="P1483" s="4" t="s">
        <v>48</v>
      </c>
      <c r="Q1483" s="4">
        <v>0</v>
      </c>
      <c r="R1483" s="4" t="b">
        <v>0</v>
      </c>
      <c r="S1483" s="4" t="s">
        <v>114</v>
      </c>
      <c r="T1483" s="4" t="s">
        <v>89</v>
      </c>
      <c r="U1483" s="4" t="s">
        <v>90</v>
      </c>
      <c r="V1483" s="4" t="s">
        <v>63</v>
      </c>
      <c r="W1483" s="4" t="s">
        <v>64</v>
      </c>
      <c r="X1483" s="4" t="s">
        <v>54</v>
      </c>
      <c r="Y1483" s="4"/>
      <c r="Z1483" s="12">
        <v>0</v>
      </c>
      <c r="AA1483" s="13" t="s">
        <v>9149</v>
      </c>
      <c r="AB1483" s="13" t="s">
        <v>9150</v>
      </c>
      <c r="AC1483" s="14" t="s">
        <v>9157</v>
      </c>
      <c r="AD1483" s="14" t="s">
        <v>9140</v>
      </c>
      <c r="AE1483" s="14" t="s">
        <v>9140</v>
      </c>
      <c r="AF1483" s="14" t="s">
        <v>63</v>
      </c>
      <c r="AG1483" s="14" t="s">
        <v>54</v>
      </c>
      <c r="AH1483" s="15" t="s">
        <v>9194</v>
      </c>
      <c r="AI1483" s="15" t="s">
        <v>9175</v>
      </c>
      <c r="AJ1483" s="15" t="s">
        <v>9143</v>
      </c>
      <c r="AK1483" s="15" t="s">
        <v>9194</v>
      </c>
      <c r="AL1483" s="15" t="s">
        <v>9195</v>
      </c>
      <c r="AM1483" s="16" t="s">
        <v>9194</v>
      </c>
      <c r="AN1483" s="16" t="s">
        <v>9196</v>
      </c>
    </row>
    <row r="1484" spans="1:40" x14ac:dyDescent="0.25">
      <c r="A1484" s="4" t="s">
        <v>2752</v>
      </c>
      <c r="B1484" s="4"/>
      <c r="C1484" s="4" t="s">
        <v>39</v>
      </c>
      <c r="D1484" s="4" t="s">
        <v>2753</v>
      </c>
      <c r="E1484" s="4" t="s">
        <v>2754</v>
      </c>
      <c r="F1484" s="10">
        <v>45269</v>
      </c>
      <c r="G1484" s="11">
        <v>0.5</v>
      </c>
      <c r="H1484" s="4" t="s">
        <v>2227</v>
      </c>
      <c r="I1484" s="4" t="s">
        <v>2715</v>
      </c>
      <c r="J1484" s="4" t="s">
        <v>1200</v>
      </c>
      <c r="K1484" s="4" t="s">
        <v>2755</v>
      </c>
      <c r="L1484" s="4" t="s">
        <v>2756</v>
      </c>
      <c r="M1484" s="4" t="s">
        <v>46</v>
      </c>
      <c r="N1484" s="4"/>
      <c r="O1484" s="4" t="s">
        <v>47</v>
      </c>
      <c r="P1484" s="4" t="s">
        <v>48</v>
      </c>
      <c r="Q1484" s="4">
        <v>0</v>
      </c>
      <c r="R1484" s="4" t="b">
        <v>0</v>
      </c>
      <c r="S1484" s="4" t="s">
        <v>49</v>
      </c>
      <c r="T1484" s="4" t="s">
        <v>70</v>
      </c>
      <c r="U1484" s="4" t="s">
        <v>71</v>
      </c>
      <c r="V1484" s="4" t="s">
        <v>72</v>
      </c>
      <c r="W1484" s="4" t="s">
        <v>73</v>
      </c>
      <c r="X1484" s="4" t="s">
        <v>838</v>
      </c>
      <c r="Y1484" s="4"/>
      <c r="Z1484" s="12">
        <v>0</v>
      </c>
      <c r="AA1484" s="13" t="s">
        <v>9149</v>
      </c>
      <c r="AB1484" s="13" t="s">
        <v>9150</v>
      </c>
      <c r="AC1484" s="14" t="s">
        <v>9139</v>
      </c>
      <c r="AD1484" s="14" t="s">
        <v>9140</v>
      </c>
      <c r="AE1484" s="14" t="s">
        <v>9140</v>
      </c>
      <c r="AF1484" s="14" t="s">
        <v>72</v>
      </c>
      <c r="AG1484" s="14" t="s">
        <v>838</v>
      </c>
      <c r="AH1484" s="15" t="s">
        <v>9194</v>
      </c>
      <c r="AI1484" s="15" t="s">
        <v>9187</v>
      </c>
      <c r="AJ1484" s="15" t="s">
        <v>9143</v>
      </c>
      <c r="AK1484" s="15" t="s">
        <v>9194</v>
      </c>
      <c r="AL1484" s="15" t="s">
        <v>9209</v>
      </c>
      <c r="AM1484" s="16" t="s">
        <v>9194</v>
      </c>
      <c r="AN1484" s="16" t="s">
        <v>9210</v>
      </c>
    </row>
    <row r="1485" spans="1:40" x14ac:dyDescent="0.25">
      <c r="A1485" s="4" t="s">
        <v>528</v>
      </c>
      <c r="B1485" s="17"/>
      <c r="C1485" s="4" t="s">
        <v>39</v>
      </c>
      <c r="D1485" s="4" t="s">
        <v>529</v>
      </c>
      <c r="E1485" s="4" t="s">
        <v>530</v>
      </c>
      <c r="F1485" s="10">
        <v>45269</v>
      </c>
      <c r="G1485" s="18">
        <v>0.65277777777777779</v>
      </c>
      <c r="H1485" s="4" t="s">
        <v>463</v>
      </c>
      <c r="I1485" s="4">
        <v>2019</v>
      </c>
      <c r="J1485" s="4" t="s">
        <v>513</v>
      </c>
      <c r="K1485" s="4" t="s">
        <v>531</v>
      </c>
      <c r="L1485" s="4" t="s">
        <v>532</v>
      </c>
      <c r="M1485" s="4" t="s">
        <v>46</v>
      </c>
      <c r="N1485" s="4"/>
      <c r="O1485" s="4" t="s">
        <v>47</v>
      </c>
      <c r="P1485" s="4" t="s">
        <v>48</v>
      </c>
      <c r="Q1485" s="4">
        <v>0</v>
      </c>
      <c r="R1485" s="4" t="b">
        <v>0</v>
      </c>
      <c r="S1485" s="4" t="s">
        <v>61</v>
      </c>
      <c r="T1485" s="4" t="s">
        <v>89</v>
      </c>
      <c r="U1485" s="4" t="s">
        <v>51</v>
      </c>
      <c r="V1485" s="4" t="s">
        <v>123</v>
      </c>
      <c r="W1485" s="4" t="s">
        <v>124</v>
      </c>
      <c r="X1485" s="4" t="s">
        <v>98</v>
      </c>
      <c r="Y1485" s="4" t="s">
        <v>176</v>
      </c>
      <c r="Z1485" s="12">
        <v>0</v>
      </c>
      <c r="AA1485" s="13" t="s">
        <v>9149</v>
      </c>
      <c r="AB1485" s="13" t="s">
        <v>9150</v>
      </c>
      <c r="AC1485" s="14" t="s">
        <v>9148</v>
      </c>
      <c r="AD1485" s="14" t="s">
        <v>9140</v>
      </c>
      <c r="AE1485" s="14" t="s">
        <v>9140</v>
      </c>
      <c r="AF1485" s="14" t="s">
        <v>123</v>
      </c>
      <c r="AG1485" s="14" t="s">
        <v>98</v>
      </c>
      <c r="AH1485" s="15" t="s">
        <v>9141</v>
      </c>
      <c r="AI1485" s="15" t="s">
        <v>9175</v>
      </c>
      <c r="AJ1485" s="15" t="s">
        <v>9143</v>
      </c>
      <c r="AK1485" s="15" t="s">
        <v>9141</v>
      </c>
      <c r="AL1485" s="15" t="s">
        <v>9177</v>
      </c>
      <c r="AM1485" s="16" t="s">
        <v>9141</v>
      </c>
      <c r="AN1485" s="16" t="s">
        <v>9178</v>
      </c>
    </row>
    <row r="1486" spans="1:40" x14ac:dyDescent="0.25">
      <c r="A1486" s="4" t="s">
        <v>5349</v>
      </c>
      <c r="B1486" s="4"/>
      <c r="C1486" s="4" t="s">
        <v>39</v>
      </c>
      <c r="D1486" s="4" t="s">
        <v>5350</v>
      </c>
      <c r="E1486" s="4" t="s">
        <v>5351</v>
      </c>
      <c r="F1486" s="10">
        <v>45269</v>
      </c>
      <c r="G1486" s="11">
        <v>0.51041666666666663</v>
      </c>
      <c r="H1486" s="4" t="s">
        <v>4516</v>
      </c>
      <c r="I1486" s="4" t="s">
        <v>5275</v>
      </c>
      <c r="J1486" s="4" t="s">
        <v>5276</v>
      </c>
      <c r="K1486" s="4" t="s">
        <v>5352</v>
      </c>
      <c r="L1486" s="4" t="s">
        <v>5353</v>
      </c>
      <c r="M1486" s="4" t="s">
        <v>46</v>
      </c>
      <c r="N1486" s="4"/>
      <c r="O1486" s="4" t="s">
        <v>47</v>
      </c>
      <c r="P1486" s="4" t="s">
        <v>48</v>
      </c>
      <c r="Q1486" s="4">
        <v>0</v>
      </c>
      <c r="R1486" s="4" t="b">
        <v>0</v>
      </c>
      <c r="S1486" s="4" t="s">
        <v>114</v>
      </c>
      <c r="T1486" s="4" t="s">
        <v>89</v>
      </c>
      <c r="U1486" s="4" t="s">
        <v>71</v>
      </c>
      <c r="V1486" s="4" t="s">
        <v>72</v>
      </c>
      <c r="W1486" s="4" t="s">
        <v>73</v>
      </c>
      <c r="X1486" s="4" t="s">
        <v>98</v>
      </c>
      <c r="Y1486" s="4"/>
      <c r="Z1486" s="12">
        <v>0</v>
      </c>
      <c r="AA1486" s="13" t="s">
        <v>9149</v>
      </c>
      <c r="AB1486" s="13" t="s">
        <v>9150</v>
      </c>
      <c r="AC1486" s="14" t="s">
        <v>9157</v>
      </c>
      <c r="AD1486" s="14" t="s">
        <v>9140</v>
      </c>
      <c r="AE1486" s="14" t="s">
        <v>9140</v>
      </c>
      <c r="AF1486" s="14" t="s">
        <v>72</v>
      </c>
      <c r="AG1486" s="14" t="s">
        <v>98</v>
      </c>
      <c r="AH1486" s="15" t="s">
        <v>9220</v>
      </c>
      <c r="AI1486" s="15" t="s">
        <v>9188</v>
      </c>
      <c r="AJ1486" s="15" t="s">
        <v>9143</v>
      </c>
      <c r="AK1486" s="15" t="s">
        <v>9221</v>
      </c>
      <c r="AL1486" s="15" t="s">
        <v>9230</v>
      </c>
      <c r="AM1486" s="16" t="s">
        <v>9221</v>
      </c>
      <c r="AN1486" s="16" t="s">
        <v>9231</v>
      </c>
    </row>
    <row r="1487" spans="1:40" x14ac:dyDescent="0.25">
      <c r="A1487" s="4" t="s">
        <v>8438</v>
      </c>
      <c r="B1487" s="4"/>
      <c r="C1487" s="4" t="s">
        <v>39</v>
      </c>
      <c r="D1487" s="4" t="s">
        <v>8439</v>
      </c>
      <c r="E1487" s="4" t="s">
        <v>8440</v>
      </c>
      <c r="F1487" s="10">
        <v>45268</v>
      </c>
      <c r="G1487" s="11">
        <v>0.4375</v>
      </c>
      <c r="H1487" s="4" t="s">
        <v>4516</v>
      </c>
      <c r="I1487" s="4" t="s">
        <v>8419</v>
      </c>
      <c r="J1487" s="4" t="s">
        <v>8420</v>
      </c>
      <c r="K1487" s="4" t="s">
        <v>8441</v>
      </c>
      <c r="L1487" s="4" t="s">
        <v>8442</v>
      </c>
      <c r="M1487" s="4" t="s">
        <v>46</v>
      </c>
      <c r="N1487" s="4"/>
      <c r="O1487" s="4" t="s">
        <v>47</v>
      </c>
      <c r="P1487" s="4" t="s">
        <v>48</v>
      </c>
      <c r="Q1487" s="4">
        <v>0</v>
      </c>
      <c r="R1487" s="4" t="b">
        <v>0</v>
      </c>
      <c r="S1487" s="4" t="s">
        <v>61</v>
      </c>
      <c r="T1487" s="4" t="s">
        <v>70</v>
      </c>
      <c r="U1487" s="4" t="s">
        <v>71</v>
      </c>
      <c r="V1487" s="4" t="s">
        <v>72</v>
      </c>
      <c r="W1487" s="4" t="s">
        <v>73</v>
      </c>
      <c r="X1487" s="4" t="s">
        <v>98</v>
      </c>
      <c r="Y1487" s="4"/>
      <c r="Z1487" s="12">
        <v>0</v>
      </c>
      <c r="AA1487" s="13" t="s">
        <v>9149</v>
      </c>
      <c r="AB1487" s="13" t="s">
        <v>9150</v>
      </c>
      <c r="AC1487" s="14" t="s">
        <v>9148</v>
      </c>
      <c r="AD1487" s="14" t="s">
        <v>9140</v>
      </c>
      <c r="AE1487" s="14" t="s">
        <v>9140</v>
      </c>
      <c r="AF1487" s="14" t="s">
        <v>72</v>
      </c>
      <c r="AG1487" s="14" t="s">
        <v>98</v>
      </c>
      <c r="AH1487" s="15" t="s">
        <v>9220</v>
      </c>
      <c r="AI1487" s="15" t="s">
        <v>9188</v>
      </c>
      <c r="AJ1487" s="15" t="s">
        <v>9143</v>
      </c>
      <c r="AK1487" s="15" t="s">
        <v>9221</v>
      </c>
      <c r="AL1487" s="15" t="s">
        <v>9232</v>
      </c>
      <c r="AM1487" s="16" t="s">
        <v>9221</v>
      </c>
      <c r="AN1487" s="16" t="s">
        <v>9233</v>
      </c>
    </row>
    <row r="1488" spans="1:40" x14ac:dyDescent="0.25">
      <c r="A1488" s="4" t="s">
        <v>4272</v>
      </c>
      <c r="B1488" s="4"/>
      <c r="C1488" s="4" t="s">
        <v>39</v>
      </c>
      <c r="D1488" s="4" t="s">
        <v>4273</v>
      </c>
      <c r="E1488" s="4" t="s">
        <v>4274</v>
      </c>
      <c r="F1488" s="10">
        <v>45268</v>
      </c>
      <c r="G1488" s="11">
        <v>0.4861111111111111</v>
      </c>
      <c r="H1488" s="4" t="s">
        <v>4242</v>
      </c>
      <c r="I1488" s="4" t="s">
        <v>4243</v>
      </c>
      <c r="J1488" s="4" t="s">
        <v>1200</v>
      </c>
      <c r="K1488" s="4" t="s">
        <v>4275</v>
      </c>
      <c r="L1488" s="4" t="s">
        <v>4276</v>
      </c>
      <c r="M1488" s="4" t="s">
        <v>46</v>
      </c>
      <c r="N1488" s="4"/>
      <c r="O1488" s="4" t="s">
        <v>47</v>
      </c>
      <c r="P1488" s="4" t="s">
        <v>48</v>
      </c>
      <c r="Q1488" s="4">
        <v>0</v>
      </c>
      <c r="R1488" s="4" t="b">
        <v>0</v>
      </c>
      <c r="S1488" s="4" t="s">
        <v>49</v>
      </c>
      <c r="T1488" s="4" t="s">
        <v>433</v>
      </c>
      <c r="U1488" s="4" t="s">
        <v>71</v>
      </c>
      <c r="V1488" s="4" t="s">
        <v>52</v>
      </c>
      <c r="W1488" s="4" t="s">
        <v>255</v>
      </c>
      <c r="X1488" s="4" t="s">
        <v>2037</v>
      </c>
      <c r="Y1488" s="4" t="s">
        <v>775</v>
      </c>
      <c r="Z1488" s="12">
        <v>0</v>
      </c>
      <c r="AA1488" s="13" t="s">
        <v>9149</v>
      </c>
      <c r="AB1488" s="13" t="s">
        <v>9150</v>
      </c>
      <c r="AC1488" s="14" t="s">
        <v>9139</v>
      </c>
      <c r="AD1488" s="14" t="s">
        <v>9140</v>
      </c>
      <c r="AE1488" s="14" t="s">
        <v>9140</v>
      </c>
      <c r="AF1488" s="14" t="s">
        <v>52</v>
      </c>
      <c r="AG1488" s="14" t="s">
        <v>2037</v>
      </c>
      <c r="AH1488" s="15" t="s">
        <v>9220</v>
      </c>
      <c r="AI1488" s="15" t="s">
        <v>9187</v>
      </c>
      <c r="AJ1488" s="15" t="s">
        <v>9143</v>
      </c>
      <c r="AK1488" s="15" t="s">
        <v>9221</v>
      </c>
      <c r="AL1488" s="15" t="s">
        <v>9226</v>
      </c>
      <c r="AM1488" s="16" t="s">
        <v>9221</v>
      </c>
      <c r="AN1488" s="16" t="s">
        <v>9227</v>
      </c>
    </row>
    <row r="1489" spans="1:40" x14ac:dyDescent="0.25">
      <c r="A1489" s="4" t="s">
        <v>7111</v>
      </c>
      <c r="B1489" s="4"/>
      <c r="C1489" s="4" t="s">
        <v>39</v>
      </c>
      <c r="D1489" s="4" t="s">
        <v>7112</v>
      </c>
      <c r="E1489" s="4" t="s">
        <v>7113</v>
      </c>
      <c r="F1489" s="10">
        <v>45268</v>
      </c>
      <c r="G1489" s="11">
        <v>0.83333333333333337</v>
      </c>
      <c r="H1489" s="4" t="s">
        <v>4242</v>
      </c>
      <c r="I1489" s="4" t="s">
        <v>7028</v>
      </c>
      <c r="J1489" s="4" t="s">
        <v>7029</v>
      </c>
      <c r="K1489" s="4" t="s">
        <v>7114</v>
      </c>
      <c r="L1489" s="4" t="s">
        <v>7115</v>
      </c>
      <c r="M1489" s="4" t="s">
        <v>46</v>
      </c>
      <c r="N1489" s="4"/>
      <c r="O1489" s="4" t="s">
        <v>47</v>
      </c>
      <c r="P1489" s="4" t="s">
        <v>48</v>
      </c>
      <c r="Q1489" s="4">
        <v>0</v>
      </c>
      <c r="R1489" s="4" t="b">
        <v>0</v>
      </c>
      <c r="S1489" s="4" t="s">
        <v>49</v>
      </c>
      <c r="T1489" s="4" t="s">
        <v>89</v>
      </c>
      <c r="U1489" s="4" t="s">
        <v>71</v>
      </c>
      <c r="V1489" s="4" t="s">
        <v>63</v>
      </c>
      <c r="W1489" s="4" t="s">
        <v>108</v>
      </c>
      <c r="X1489" s="4" t="s">
        <v>54</v>
      </c>
      <c r="Y1489" s="4"/>
      <c r="Z1489" s="12">
        <v>0</v>
      </c>
      <c r="AA1489" s="13" t="s">
        <v>9149</v>
      </c>
      <c r="AB1489" s="13" t="s">
        <v>9150</v>
      </c>
      <c r="AC1489" s="14" t="s">
        <v>9139</v>
      </c>
      <c r="AD1489" s="14" t="s">
        <v>9140</v>
      </c>
      <c r="AE1489" s="14" t="s">
        <v>9140</v>
      </c>
      <c r="AF1489" s="14" t="s">
        <v>63</v>
      </c>
      <c r="AG1489" s="14" t="s">
        <v>54</v>
      </c>
      <c r="AH1489" s="15" t="s">
        <v>9220</v>
      </c>
      <c r="AI1489" s="15" t="s">
        <v>9187</v>
      </c>
      <c r="AJ1489" s="15" t="s">
        <v>9143</v>
      </c>
      <c r="AK1489" s="15" t="s">
        <v>9221</v>
      </c>
      <c r="AL1489" s="15" t="s">
        <v>9226</v>
      </c>
      <c r="AM1489" s="16" t="s">
        <v>9221</v>
      </c>
      <c r="AN1489" s="16" t="s">
        <v>9227</v>
      </c>
    </row>
    <row r="1490" spans="1:40" x14ac:dyDescent="0.25">
      <c r="A1490" s="4" t="s">
        <v>4131</v>
      </c>
      <c r="B1490" s="4"/>
      <c r="C1490" s="4" t="s">
        <v>39</v>
      </c>
      <c r="D1490" s="4" t="s">
        <v>4125</v>
      </c>
      <c r="E1490" s="4" t="s">
        <v>4126</v>
      </c>
      <c r="F1490" s="10">
        <v>45268</v>
      </c>
      <c r="G1490" s="11">
        <v>0.62847222222222221</v>
      </c>
      <c r="H1490" s="4" t="s">
        <v>4019</v>
      </c>
      <c r="I1490" s="4" t="s">
        <v>4092</v>
      </c>
      <c r="J1490" s="4" t="s">
        <v>4093</v>
      </c>
      <c r="K1490" s="4" t="s">
        <v>4132</v>
      </c>
      <c r="L1490" s="4" t="s">
        <v>4133</v>
      </c>
      <c r="M1490" s="4" t="s">
        <v>46</v>
      </c>
      <c r="N1490" s="4"/>
      <c r="O1490" s="4" t="s">
        <v>47</v>
      </c>
      <c r="P1490" s="4" t="s">
        <v>48</v>
      </c>
      <c r="Q1490" s="4">
        <v>0</v>
      </c>
      <c r="R1490" s="4" t="b">
        <v>0</v>
      </c>
      <c r="S1490" s="4" t="s">
        <v>61</v>
      </c>
      <c r="T1490" s="4" t="s">
        <v>89</v>
      </c>
      <c r="U1490" s="4" t="s">
        <v>224</v>
      </c>
      <c r="V1490" s="4" t="s">
        <v>123</v>
      </c>
      <c r="W1490" s="4" t="s">
        <v>124</v>
      </c>
      <c r="X1490" s="4" t="s">
        <v>98</v>
      </c>
      <c r="Y1490" s="4"/>
      <c r="Z1490" s="12">
        <v>0</v>
      </c>
      <c r="AA1490" s="13" t="s">
        <v>9149</v>
      </c>
      <c r="AB1490" s="13" t="s">
        <v>9150</v>
      </c>
      <c r="AC1490" s="14" t="s">
        <v>9148</v>
      </c>
      <c r="AD1490" s="14" t="s">
        <v>9140</v>
      </c>
      <c r="AE1490" s="14" t="s">
        <v>9140</v>
      </c>
      <c r="AF1490" s="14" t="s">
        <v>123</v>
      </c>
      <c r="AG1490" s="14" t="s">
        <v>98</v>
      </c>
      <c r="AH1490" s="15" t="s">
        <v>9220</v>
      </c>
      <c r="AI1490" s="15" t="s">
        <v>9175</v>
      </c>
      <c r="AJ1490" s="15" t="s">
        <v>9143</v>
      </c>
      <c r="AK1490" s="15" t="s">
        <v>9221</v>
      </c>
      <c r="AL1490" s="15" t="s">
        <v>9222</v>
      </c>
      <c r="AM1490" s="16" t="s">
        <v>9221</v>
      </c>
      <c r="AN1490" s="16" t="s">
        <v>9223</v>
      </c>
    </row>
    <row r="1491" spans="1:40" x14ac:dyDescent="0.25">
      <c r="A1491" s="4" t="s">
        <v>6340</v>
      </c>
      <c r="B1491" s="4"/>
      <c r="C1491" s="4" t="s">
        <v>39</v>
      </c>
      <c r="D1491" s="4" t="s">
        <v>6275</v>
      </c>
      <c r="E1491" s="4" t="s">
        <v>6276</v>
      </c>
      <c r="F1491" s="10">
        <v>45268</v>
      </c>
      <c r="G1491" s="11">
        <v>0.72222222222222221</v>
      </c>
      <c r="H1491" s="4" t="s">
        <v>4019</v>
      </c>
      <c r="I1491" s="4" t="s">
        <v>6277</v>
      </c>
      <c r="J1491" s="4" t="s">
        <v>988</v>
      </c>
      <c r="K1491" s="4" t="s">
        <v>6341</v>
      </c>
      <c r="L1491" s="4" t="s">
        <v>6342</v>
      </c>
      <c r="M1491" s="4" t="s">
        <v>46</v>
      </c>
      <c r="N1491" s="4"/>
      <c r="O1491" s="4" t="s">
        <v>47</v>
      </c>
      <c r="P1491" s="4" t="s">
        <v>48</v>
      </c>
      <c r="Q1491" s="4">
        <v>0</v>
      </c>
      <c r="R1491" s="4" t="b">
        <v>0</v>
      </c>
      <c r="S1491" s="4" t="s">
        <v>61</v>
      </c>
      <c r="T1491" s="4" t="s">
        <v>433</v>
      </c>
      <c r="U1491" s="4" t="s">
        <v>90</v>
      </c>
      <c r="V1491" s="4" t="s">
        <v>72</v>
      </c>
      <c r="W1491" s="4" t="s">
        <v>73</v>
      </c>
      <c r="X1491" s="4" t="s">
        <v>54</v>
      </c>
      <c r="Y1491" s="4"/>
      <c r="Z1491" s="12">
        <v>0</v>
      </c>
      <c r="AA1491" s="13" t="s">
        <v>9149</v>
      </c>
      <c r="AB1491" s="13" t="s">
        <v>9150</v>
      </c>
      <c r="AC1491" s="14" t="s">
        <v>9148</v>
      </c>
      <c r="AD1491" s="14" t="s">
        <v>9140</v>
      </c>
      <c r="AE1491" s="14" t="s">
        <v>9140</v>
      </c>
      <c r="AF1491" s="14" t="s">
        <v>72</v>
      </c>
      <c r="AG1491" s="14" t="s">
        <v>54</v>
      </c>
      <c r="AH1491" s="15" t="s">
        <v>9220</v>
      </c>
      <c r="AI1491" s="15" t="s">
        <v>9175</v>
      </c>
      <c r="AJ1491" s="15" t="s">
        <v>9143</v>
      </c>
      <c r="AK1491" s="15" t="s">
        <v>9221</v>
      </c>
      <c r="AL1491" s="15" t="s">
        <v>9222</v>
      </c>
      <c r="AM1491" s="16" t="s">
        <v>9221</v>
      </c>
      <c r="AN1491" s="16" t="s">
        <v>9223</v>
      </c>
    </row>
    <row r="1492" spans="1:40" x14ac:dyDescent="0.25">
      <c r="A1492" s="4" t="s">
        <v>6949</v>
      </c>
      <c r="B1492" s="4"/>
      <c r="C1492" s="4" t="s">
        <v>39</v>
      </c>
      <c r="D1492" s="4" t="s">
        <v>6940</v>
      </c>
      <c r="E1492" s="4" t="s">
        <v>6941</v>
      </c>
      <c r="F1492" s="10">
        <v>45267</v>
      </c>
      <c r="G1492" s="11">
        <v>0.41458333333333336</v>
      </c>
      <c r="H1492" s="4" t="s">
        <v>4019</v>
      </c>
      <c r="I1492" s="4" t="s">
        <v>6911</v>
      </c>
      <c r="J1492" s="4" t="s">
        <v>6912</v>
      </c>
      <c r="K1492" s="4" t="s">
        <v>6950</v>
      </c>
      <c r="L1492" s="4" t="s">
        <v>6951</v>
      </c>
      <c r="M1492" s="4" t="s">
        <v>46</v>
      </c>
      <c r="N1492" s="4"/>
      <c r="O1492" s="4" t="s">
        <v>47</v>
      </c>
      <c r="P1492" s="4" t="s">
        <v>48</v>
      </c>
      <c r="Q1492" s="4">
        <v>0</v>
      </c>
      <c r="R1492" s="4" t="b">
        <v>0</v>
      </c>
      <c r="S1492" s="4" t="s">
        <v>61</v>
      </c>
      <c r="T1492" s="4" t="s">
        <v>89</v>
      </c>
      <c r="U1492" s="4" t="s">
        <v>480</v>
      </c>
      <c r="V1492" s="4" t="s">
        <v>63</v>
      </c>
      <c r="W1492" s="4" t="s">
        <v>108</v>
      </c>
      <c r="X1492" s="4" t="s">
        <v>978</v>
      </c>
      <c r="Y1492" s="4"/>
      <c r="Z1492" s="12">
        <v>0</v>
      </c>
      <c r="AA1492" s="13" t="s">
        <v>9149</v>
      </c>
      <c r="AB1492" s="13" t="s">
        <v>9150</v>
      </c>
      <c r="AC1492" s="14" t="s">
        <v>9148</v>
      </c>
      <c r="AD1492" s="14" t="s">
        <v>9140</v>
      </c>
      <c r="AE1492" s="14" t="s">
        <v>9140</v>
      </c>
      <c r="AF1492" s="14" t="s">
        <v>63</v>
      </c>
      <c r="AG1492" s="14" t="s">
        <v>978</v>
      </c>
      <c r="AH1492" s="15" t="s">
        <v>9220</v>
      </c>
      <c r="AI1492" s="15" t="s">
        <v>9175</v>
      </c>
      <c r="AJ1492" s="15" t="s">
        <v>9143</v>
      </c>
      <c r="AK1492" s="15" t="s">
        <v>9221</v>
      </c>
      <c r="AL1492" s="15" t="s">
        <v>9224</v>
      </c>
      <c r="AM1492" s="16" t="s">
        <v>9221</v>
      </c>
      <c r="AN1492" s="16" t="s">
        <v>9225</v>
      </c>
    </row>
    <row r="1493" spans="1:40" x14ac:dyDescent="0.25">
      <c r="A1493" s="4" t="s">
        <v>9071</v>
      </c>
      <c r="B1493" s="4"/>
      <c r="C1493" s="4" t="s">
        <v>39</v>
      </c>
      <c r="D1493" s="4"/>
      <c r="E1493" s="4" t="s">
        <v>9072</v>
      </c>
      <c r="F1493" s="10">
        <v>45267</v>
      </c>
      <c r="G1493" s="11">
        <v>0.43402777777777779</v>
      </c>
      <c r="H1493" s="4" t="s">
        <v>4019</v>
      </c>
      <c r="I1493" s="4" t="s">
        <v>8971</v>
      </c>
      <c r="J1493" s="4" t="s">
        <v>8972</v>
      </c>
      <c r="K1493" s="4" t="s">
        <v>9073</v>
      </c>
      <c r="L1493" s="4" t="s">
        <v>9074</v>
      </c>
      <c r="M1493" s="4" t="s">
        <v>46</v>
      </c>
      <c r="N1493" s="4"/>
      <c r="O1493" s="4" t="s">
        <v>47</v>
      </c>
      <c r="P1493" s="4" t="s">
        <v>48</v>
      </c>
      <c r="Q1493" s="4">
        <v>0</v>
      </c>
      <c r="R1493" s="4" t="b">
        <v>0</v>
      </c>
      <c r="S1493" s="4" t="s">
        <v>61</v>
      </c>
      <c r="T1493" s="4" t="s">
        <v>89</v>
      </c>
      <c r="U1493" s="4" t="s">
        <v>90</v>
      </c>
      <c r="V1493" s="4" t="s">
        <v>63</v>
      </c>
      <c r="W1493" s="4" t="s">
        <v>108</v>
      </c>
      <c r="X1493" s="4" t="s">
        <v>98</v>
      </c>
      <c r="Y1493" s="4"/>
      <c r="Z1493" s="12">
        <v>0</v>
      </c>
      <c r="AA1493" s="13" t="s">
        <v>9149</v>
      </c>
      <c r="AB1493" s="13" t="s">
        <v>9150</v>
      </c>
      <c r="AC1493" s="14" t="s">
        <v>9148</v>
      </c>
      <c r="AD1493" s="14" t="s">
        <v>9140</v>
      </c>
      <c r="AE1493" s="14" t="s">
        <v>9140</v>
      </c>
      <c r="AF1493" s="14" t="s">
        <v>63</v>
      </c>
      <c r="AG1493" s="14" t="s">
        <v>98</v>
      </c>
      <c r="AH1493" s="15" t="s">
        <v>9220</v>
      </c>
      <c r="AI1493" s="15" t="s">
        <v>9175</v>
      </c>
      <c r="AJ1493" s="15" t="s">
        <v>9181</v>
      </c>
      <c r="AK1493" s="15" t="s">
        <v>9182</v>
      </c>
      <c r="AL1493" s="15" t="s">
        <v>9182</v>
      </c>
      <c r="AM1493" s="16" t="s">
        <v>9182</v>
      </c>
      <c r="AN1493" s="16" t="s">
        <v>9182</v>
      </c>
    </row>
    <row r="1494" spans="1:40" x14ac:dyDescent="0.25">
      <c r="A1494" s="4" t="s">
        <v>9075</v>
      </c>
      <c r="B1494" s="4">
        <v>12230054994</v>
      </c>
      <c r="C1494" s="4" t="s">
        <v>39</v>
      </c>
      <c r="D1494" s="4" t="s">
        <v>9048</v>
      </c>
      <c r="E1494" s="4" t="s">
        <v>9049</v>
      </c>
      <c r="F1494" s="10">
        <v>45267</v>
      </c>
      <c r="G1494" s="11">
        <v>0.26527777777777778</v>
      </c>
      <c r="H1494" s="4" t="s">
        <v>4019</v>
      </c>
      <c r="I1494" s="4" t="s">
        <v>8971</v>
      </c>
      <c r="J1494" s="4" t="s">
        <v>8972</v>
      </c>
      <c r="K1494" s="4" t="s">
        <v>9076</v>
      </c>
      <c r="L1494" s="4" t="s">
        <v>9077</v>
      </c>
      <c r="M1494" s="4" t="s">
        <v>28</v>
      </c>
      <c r="N1494" s="4" t="s">
        <v>183</v>
      </c>
      <c r="O1494" s="4" t="s">
        <v>174</v>
      </c>
      <c r="P1494" s="4" t="s">
        <v>48</v>
      </c>
      <c r="Q1494" s="4">
        <v>3</v>
      </c>
      <c r="R1494" s="4" t="b">
        <v>0</v>
      </c>
      <c r="S1494" s="4" t="s">
        <v>184</v>
      </c>
      <c r="T1494" s="4" t="s">
        <v>9078</v>
      </c>
      <c r="U1494" s="4" t="s">
        <v>1546</v>
      </c>
      <c r="V1494" s="4" t="s">
        <v>1547</v>
      </c>
      <c r="W1494" s="4" t="s">
        <v>9079</v>
      </c>
      <c r="X1494" s="4" t="s">
        <v>4922</v>
      </c>
      <c r="Y1494" s="4" t="s">
        <v>9080</v>
      </c>
      <c r="Z1494" s="12" t="s">
        <v>48</v>
      </c>
      <c r="AA1494" s="13" t="s">
        <v>9149</v>
      </c>
      <c r="AB1494" s="13" t="s">
        <v>9150</v>
      </c>
      <c r="AC1494" s="14" t="s">
        <v>9166</v>
      </c>
      <c r="AD1494" s="14" t="s">
        <v>28</v>
      </c>
      <c r="AE1494" s="14" t="s">
        <v>183</v>
      </c>
      <c r="AF1494" s="14" t="s">
        <v>1547</v>
      </c>
      <c r="AG1494" s="14" t="s">
        <v>4922</v>
      </c>
      <c r="AH1494" s="15" t="s">
        <v>9220</v>
      </c>
      <c r="AI1494" s="15" t="s">
        <v>9175</v>
      </c>
      <c r="AJ1494" s="15" t="s">
        <v>9181</v>
      </c>
      <c r="AK1494" s="15" t="s">
        <v>9182</v>
      </c>
      <c r="AL1494" s="15" t="s">
        <v>9182</v>
      </c>
      <c r="AM1494" s="16" t="s">
        <v>9182</v>
      </c>
      <c r="AN1494" s="16" t="s">
        <v>9182</v>
      </c>
    </row>
    <row r="1495" spans="1:40" x14ac:dyDescent="0.25">
      <c r="A1495" s="4" t="s">
        <v>7249</v>
      </c>
      <c r="B1495" s="4"/>
      <c r="C1495" s="4" t="s">
        <v>39</v>
      </c>
      <c r="D1495" s="4" t="s">
        <v>7250</v>
      </c>
      <c r="E1495" s="4" t="s">
        <v>7251</v>
      </c>
      <c r="F1495" s="10">
        <v>45267</v>
      </c>
      <c r="G1495" s="11">
        <v>0.79166666666666663</v>
      </c>
      <c r="H1495" s="4" t="s">
        <v>4659</v>
      </c>
      <c r="I1495" s="4" t="s">
        <v>7216</v>
      </c>
      <c r="J1495" s="4" t="s">
        <v>7217</v>
      </c>
      <c r="K1495" s="4" t="s">
        <v>7252</v>
      </c>
      <c r="L1495" s="4" t="s">
        <v>7253</v>
      </c>
      <c r="M1495" s="4" t="s">
        <v>46</v>
      </c>
      <c r="N1495" s="4"/>
      <c r="O1495" s="4" t="s">
        <v>47</v>
      </c>
      <c r="P1495" s="4" t="s">
        <v>48</v>
      </c>
      <c r="Q1495" s="4">
        <v>0</v>
      </c>
      <c r="R1495" s="4" t="b">
        <v>0</v>
      </c>
      <c r="S1495" s="4" t="s">
        <v>49</v>
      </c>
      <c r="T1495" s="4" t="s">
        <v>89</v>
      </c>
      <c r="U1495" s="4" t="s">
        <v>480</v>
      </c>
      <c r="V1495" s="4" t="s">
        <v>52</v>
      </c>
      <c r="W1495" s="4" t="s">
        <v>53</v>
      </c>
      <c r="X1495" s="4" t="s">
        <v>774</v>
      </c>
      <c r="Y1495" s="4"/>
      <c r="Z1495" s="12">
        <v>0</v>
      </c>
      <c r="AA1495" s="13" t="s">
        <v>9149</v>
      </c>
      <c r="AB1495" s="13" t="s">
        <v>9150</v>
      </c>
      <c r="AC1495" s="14" t="s">
        <v>9139</v>
      </c>
      <c r="AD1495" s="14" t="s">
        <v>9140</v>
      </c>
      <c r="AE1495" s="14" t="s">
        <v>9140</v>
      </c>
      <c r="AF1495" s="14" t="s">
        <v>52</v>
      </c>
      <c r="AG1495" s="14" t="s">
        <v>774</v>
      </c>
      <c r="AH1495" s="15" t="s">
        <v>9220</v>
      </c>
      <c r="AI1495" s="15" t="s">
        <v>9142</v>
      </c>
      <c r="AJ1495" s="15" t="s">
        <v>9143</v>
      </c>
      <c r="AK1495" s="15" t="s">
        <v>9221</v>
      </c>
      <c r="AL1495" s="15" t="s">
        <v>9228</v>
      </c>
      <c r="AM1495" s="16" t="s">
        <v>9221</v>
      </c>
      <c r="AN1495" s="16" t="s">
        <v>9229</v>
      </c>
    </row>
    <row r="1496" spans="1:40" x14ac:dyDescent="0.25">
      <c r="A1496" s="4" t="s">
        <v>7998</v>
      </c>
      <c r="B1496" s="4"/>
      <c r="C1496" s="4" t="s">
        <v>39</v>
      </c>
      <c r="D1496" s="4" t="s">
        <v>7990</v>
      </c>
      <c r="E1496" s="4" t="s">
        <v>7991</v>
      </c>
      <c r="F1496" s="10">
        <v>45267</v>
      </c>
      <c r="G1496" s="11">
        <v>0.81666666666666665</v>
      </c>
      <c r="H1496" s="4" t="s">
        <v>4910</v>
      </c>
      <c r="I1496" s="4" t="s">
        <v>7985</v>
      </c>
      <c r="J1496" s="4" t="s">
        <v>7986</v>
      </c>
      <c r="K1496" s="4" t="s">
        <v>7999</v>
      </c>
      <c r="L1496" s="4" t="s">
        <v>8000</v>
      </c>
      <c r="M1496" s="4" t="s">
        <v>46</v>
      </c>
      <c r="N1496" s="4"/>
      <c r="O1496" s="4" t="s">
        <v>47</v>
      </c>
      <c r="P1496" s="4" t="s">
        <v>48</v>
      </c>
      <c r="Q1496" s="4">
        <v>0</v>
      </c>
      <c r="R1496" s="4" t="b">
        <v>0</v>
      </c>
      <c r="S1496" s="4" t="s">
        <v>49</v>
      </c>
      <c r="T1496" s="4" t="s">
        <v>70</v>
      </c>
      <c r="U1496" s="4" t="s">
        <v>71</v>
      </c>
      <c r="V1496" s="4" t="s">
        <v>72</v>
      </c>
      <c r="W1496" s="4" t="s">
        <v>73</v>
      </c>
      <c r="X1496" s="4" t="s">
        <v>98</v>
      </c>
      <c r="Y1496" s="4"/>
      <c r="Z1496" s="12">
        <v>0</v>
      </c>
      <c r="AA1496" s="13" t="s">
        <v>9149</v>
      </c>
      <c r="AB1496" s="13" t="s">
        <v>9150</v>
      </c>
      <c r="AC1496" s="14" t="s">
        <v>9139</v>
      </c>
      <c r="AD1496" s="14" t="s">
        <v>9140</v>
      </c>
      <c r="AE1496" s="14" t="s">
        <v>9140</v>
      </c>
      <c r="AF1496" s="14" t="s">
        <v>72</v>
      </c>
      <c r="AG1496" s="14" t="s">
        <v>98</v>
      </c>
      <c r="AH1496" s="15" t="s">
        <v>9220</v>
      </c>
      <c r="AI1496" s="15" t="s">
        <v>9191</v>
      </c>
      <c r="AJ1496" s="15" t="s">
        <v>9143</v>
      </c>
      <c r="AK1496" s="15" t="s">
        <v>9221</v>
      </c>
      <c r="AL1496" s="15" t="s">
        <v>9234</v>
      </c>
      <c r="AM1496" s="16" t="s">
        <v>9221</v>
      </c>
      <c r="AN1496" s="16" t="s">
        <v>9235</v>
      </c>
    </row>
    <row r="1497" spans="1:40" x14ac:dyDescent="0.25">
      <c r="A1497" s="4" t="s">
        <v>1695</v>
      </c>
      <c r="B1497" s="4"/>
      <c r="C1497" s="4" t="s">
        <v>39</v>
      </c>
      <c r="D1497" s="4" t="s">
        <v>1688</v>
      </c>
      <c r="E1497" s="4" t="s">
        <v>1689</v>
      </c>
      <c r="F1497" s="10">
        <v>45267</v>
      </c>
      <c r="G1497" s="11">
        <v>0.54513888888888884</v>
      </c>
      <c r="H1497" s="4" t="s">
        <v>1654</v>
      </c>
      <c r="I1497" s="4">
        <v>9087</v>
      </c>
      <c r="J1497" s="4" t="s">
        <v>1666</v>
      </c>
      <c r="K1497" s="4" t="s">
        <v>1696</v>
      </c>
      <c r="L1497" s="4" t="s">
        <v>1697</v>
      </c>
      <c r="M1497" s="4" t="s">
        <v>46</v>
      </c>
      <c r="N1497" s="4"/>
      <c r="O1497" s="4" t="s">
        <v>47</v>
      </c>
      <c r="P1497" s="4" t="s">
        <v>48</v>
      </c>
      <c r="Q1497" s="4">
        <v>0</v>
      </c>
      <c r="R1497" s="4" t="b">
        <v>0</v>
      </c>
      <c r="S1497" s="4" t="s">
        <v>61</v>
      </c>
      <c r="T1497" s="4" t="s">
        <v>70</v>
      </c>
      <c r="U1497" s="4" t="s">
        <v>71</v>
      </c>
      <c r="V1497" s="4" t="s">
        <v>72</v>
      </c>
      <c r="W1497" s="4" t="s">
        <v>73</v>
      </c>
      <c r="X1497" s="4" t="s">
        <v>98</v>
      </c>
      <c r="Y1497" s="4" t="s">
        <v>689</v>
      </c>
      <c r="Z1497" s="12">
        <v>0</v>
      </c>
      <c r="AA1497" s="13" t="s">
        <v>9149</v>
      </c>
      <c r="AB1497" s="13" t="s">
        <v>9150</v>
      </c>
      <c r="AC1497" s="14" t="s">
        <v>9148</v>
      </c>
      <c r="AD1497" s="14" t="s">
        <v>9140</v>
      </c>
      <c r="AE1497" s="14" t="s">
        <v>9140</v>
      </c>
      <c r="AF1497" s="14" t="s">
        <v>72</v>
      </c>
      <c r="AG1497" s="14" t="s">
        <v>98</v>
      </c>
      <c r="AH1497" s="15" t="s">
        <v>9141</v>
      </c>
      <c r="AI1497" s="15" t="s">
        <v>9191</v>
      </c>
      <c r="AJ1497" s="15" t="s">
        <v>9143</v>
      </c>
      <c r="AK1497" s="15" t="s">
        <v>9141</v>
      </c>
      <c r="AL1497" s="15" t="s">
        <v>9191</v>
      </c>
      <c r="AM1497" s="16" t="s">
        <v>9141</v>
      </c>
      <c r="AN1497" s="16" t="s">
        <v>9192</v>
      </c>
    </row>
    <row r="1498" spans="1:40" x14ac:dyDescent="0.25">
      <c r="A1498" s="4" t="s">
        <v>2470</v>
      </c>
      <c r="B1498" s="4"/>
      <c r="C1498" s="4" t="s">
        <v>39</v>
      </c>
      <c r="D1498" s="4" t="s">
        <v>2391</v>
      </c>
      <c r="E1498" s="4" t="s">
        <v>2392</v>
      </c>
      <c r="F1498" s="10">
        <v>45267</v>
      </c>
      <c r="G1498" s="11">
        <v>0.38541666666666669</v>
      </c>
      <c r="H1498" s="4" t="s">
        <v>1939</v>
      </c>
      <c r="I1498" s="4" t="s">
        <v>2393</v>
      </c>
      <c r="J1498" s="4" t="s">
        <v>2394</v>
      </c>
      <c r="K1498" s="4" t="s">
        <v>2471</v>
      </c>
      <c r="L1498" s="4" t="s">
        <v>2472</v>
      </c>
      <c r="M1498" s="4" t="s">
        <v>46</v>
      </c>
      <c r="N1498" s="4"/>
      <c r="O1498" s="4" t="s">
        <v>47</v>
      </c>
      <c r="P1498" s="4" t="s">
        <v>48</v>
      </c>
      <c r="Q1498" s="4">
        <v>0</v>
      </c>
      <c r="R1498" s="4" t="b">
        <v>0</v>
      </c>
      <c r="S1498" s="4" t="s">
        <v>49</v>
      </c>
      <c r="T1498" s="4" t="s">
        <v>50</v>
      </c>
      <c r="U1498" s="4" t="s">
        <v>867</v>
      </c>
      <c r="V1498" s="4" t="s">
        <v>72</v>
      </c>
      <c r="W1498" s="4" t="s">
        <v>73</v>
      </c>
      <c r="X1498" s="4" t="s">
        <v>54</v>
      </c>
      <c r="Y1498" s="4"/>
      <c r="Z1498" s="12">
        <v>0</v>
      </c>
      <c r="AA1498" s="13" t="s">
        <v>9149</v>
      </c>
      <c r="AB1498" s="13" t="s">
        <v>9150</v>
      </c>
      <c r="AC1498" s="14" t="s">
        <v>9139</v>
      </c>
      <c r="AD1498" s="14" t="s">
        <v>9140</v>
      </c>
      <c r="AE1498" s="14" t="s">
        <v>9140</v>
      </c>
      <c r="AF1498" s="14" t="s">
        <v>72</v>
      </c>
      <c r="AG1498" s="14" t="s">
        <v>54</v>
      </c>
      <c r="AH1498" s="15" t="s">
        <v>9194</v>
      </c>
      <c r="AI1498" s="15" t="s">
        <v>9175</v>
      </c>
      <c r="AJ1498" s="15" t="s">
        <v>9143</v>
      </c>
      <c r="AK1498" s="15" t="s">
        <v>9194</v>
      </c>
      <c r="AL1498" s="15" t="s">
        <v>9195</v>
      </c>
      <c r="AM1498" s="16" t="s">
        <v>9194</v>
      </c>
      <c r="AN1498" s="16" t="s">
        <v>9196</v>
      </c>
    </row>
    <row r="1499" spans="1:40" x14ac:dyDescent="0.25">
      <c r="A1499" s="4" t="s">
        <v>2473</v>
      </c>
      <c r="B1499" s="4"/>
      <c r="C1499" s="4" t="s">
        <v>39</v>
      </c>
      <c r="D1499" s="4" t="s">
        <v>2474</v>
      </c>
      <c r="E1499" s="4" t="s">
        <v>2475</v>
      </c>
      <c r="F1499" s="10">
        <v>45267</v>
      </c>
      <c r="G1499" s="11">
        <v>0.55902777777777779</v>
      </c>
      <c r="H1499" s="4" t="s">
        <v>1939</v>
      </c>
      <c r="I1499" s="4" t="s">
        <v>2393</v>
      </c>
      <c r="J1499" s="4" t="s">
        <v>2394</v>
      </c>
      <c r="K1499" s="4" t="s">
        <v>2476</v>
      </c>
      <c r="L1499" s="4" t="s">
        <v>2477</v>
      </c>
      <c r="M1499" s="4" t="s">
        <v>46</v>
      </c>
      <c r="N1499" s="4"/>
      <c r="O1499" s="4" t="s">
        <v>47</v>
      </c>
      <c r="P1499" s="4" t="s">
        <v>48</v>
      </c>
      <c r="Q1499" s="4">
        <v>0</v>
      </c>
      <c r="R1499" s="4" t="b">
        <v>0</v>
      </c>
      <c r="S1499" s="4" t="s">
        <v>61</v>
      </c>
      <c r="T1499" s="4" t="s">
        <v>50</v>
      </c>
      <c r="U1499" s="4" t="s">
        <v>107</v>
      </c>
      <c r="V1499" s="4" t="s">
        <v>63</v>
      </c>
      <c r="W1499" s="4" t="s">
        <v>108</v>
      </c>
      <c r="X1499" s="4" t="s">
        <v>98</v>
      </c>
      <c r="Y1499" s="4"/>
      <c r="Z1499" s="12">
        <v>0</v>
      </c>
      <c r="AA1499" s="13" t="s">
        <v>9149</v>
      </c>
      <c r="AB1499" s="13" t="s">
        <v>9150</v>
      </c>
      <c r="AC1499" s="14" t="s">
        <v>9148</v>
      </c>
      <c r="AD1499" s="14" t="s">
        <v>9140</v>
      </c>
      <c r="AE1499" s="14" t="s">
        <v>9140</v>
      </c>
      <c r="AF1499" s="14" t="s">
        <v>63</v>
      </c>
      <c r="AG1499" s="14" t="s">
        <v>98</v>
      </c>
      <c r="AH1499" s="15" t="s">
        <v>9194</v>
      </c>
      <c r="AI1499" s="15" t="s">
        <v>9175</v>
      </c>
      <c r="AJ1499" s="15" t="s">
        <v>9143</v>
      </c>
      <c r="AK1499" s="15" t="s">
        <v>9194</v>
      </c>
      <c r="AL1499" s="15" t="s">
        <v>9195</v>
      </c>
      <c r="AM1499" s="16" t="s">
        <v>9194</v>
      </c>
      <c r="AN1499" s="16" t="s">
        <v>9196</v>
      </c>
    </row>
    <row r="1500" spans="1:40" x14ac:dyDescent="0.25">
      <c r="A1500" s="4" t="s">
        <v>3793</v>
      </c>
      <c r="B1500" s="4"/>
      <c r="C1500" s="4" t="s">
        <v>39</v>
      </c>
      <c r="D1500" s="4" t="s">
        <v>3794</v>
      </c>
      <c r="E1500" s="4" t="s">
        <v>3795</v>
      </c>
      <c r="F1500" s="10">
        <v>45266</v>
      </c>
      <c r="G1500" s="11">
        <v>0.40277777777777779</v>
      </c>
      <c r="H1500" s="4" t="s">
        <v>1992</v>
      </c>
      <c r="I1500" s="4" t="s">
        <v>3772</v>
      </c>
      <c r="J1500" s="4" t="s">
        <v>3773</v>
      </c>
      <c r="K1500" s="4" t="s">
        <v>3796</v>
      </c>
      <c r="L1500" s="4" t="s">
        <v>3797</v>
      </c>
      <c r="M1500" s="4" t="s">
        <v>46</v>
      </c>
      <c r="N1500" s="4"/>
      <c r="O1500" s="4" t="s">
        <v>47</v>
      </c>
      <c r="P1500" s="4" t="s">
        <v>48</v>
      </c>
      <c r="Q1500" s="4">
        <v>0</v>
      </c>
      <c r="R1500" s="4" t="b">
        <v>0</v>
      </c>
      <c r="S1500" s="4" t="s">
        <v>61</v>
      </c>
      <c r="T1500" s="4" t="s">
        <v>479</v>
      </c>
      <c r="U1500" s="4" t="s">
        <v>373</v>
      </c>
      <c r="V1500" s="4" t="s">
        <v>52</v>
      </c>
      <c r="W1500" s="4" t="s">
        <v>53</v>
      </c>
      <c r="X1500" s="4" t="s">
        <v>98</v>
      </c>
      <c r="Y1500" s="4"/>
      <c r="Z1500" s="12">
        <v>0</v>
      </c>
      <c r="AA1500" s="13" t="s">
        <v>9149</v>
      </c>
      <c r="AB1500" s="13" t="s">
        <v>9150</v>
      </c>
      <c r="AC1500" s="14" t="s">
        <v>9148</v>
      </c>
      <c r="AD1500" s="14" t="s">
        <v>9140</v>
      </c>
      <c r="AE1500" s="14" t="s">
        <v>9140</v>
      </c>
      <c r="AF1500" s="14" t="s">
        <v>52</v>
      </c>
      <c r="AG1500" s="14" t="s">
        <v>98</v>
      </c>
      <c r="AH1500" s="15" t="s">
        <v>9194</v>
      </c>
      <c r="AI1500" s="15" t="s">
        <v>9191</v>
      </c>
      <c r="AJ1500" s="15" t="s">
        <v>9143</v>
      </c>
      <c r="AK1500" s="15" t="s">
        <v>9194</v>
      </c>
      <c r="AL1500" s="15" t="s">
        <v>9201</v>
      </c>
      <c r="AM1500" s="16" t="s">
        <v>9194</v>
      </c>
      <c r="AN1500" s="16" t="s">
        <v>9202</v>
      </c>
    </row>
    <row r="1501" spans="1:40" x14ac:dyDescent="0.25">
      <c r="A1501" s="4" t="s">
        <v>3445</v>
      </c>
      <c r="B1501" s="4"/>
      <c r="C1501" s="4" t="s">
        <v>39</v>
      </c>
      <c r="D1501" s="4" t="s">
        <v>3446</v>
      </c>
      <c r="E1501" s="4" t="s">
        <v>3447</v>
      </c>
      <c r="F1501" s="10">
        <v>45266</v>
      </c>
      <c r="G1501" s="11">
        <v>0.49305555555555558</v>
      </c>
      <c r="H1501" s="4" t="s">
        <v>2095</v>
      </c>
      <c r="I1501" s="4" t="s">
        <v>3415</v>
      </c>
      <c r="J1501" s="4" t="s">
        <v>3416</v>
      </c>
      <c r="K1501" s="4" t="s">
        <v>2971</v>
      </c>
      <c r="L1501" s="4" t="s">
        <v>3448</v>
      </c>
      <c r="M1501" s="4" t="s">
        <v>46</v>
      </c>
      <c r="N1501" s="4"/>
      <c r="O1501" s="4" t="s">
        <v>47</v>
      </c>
      <c r="P1501" s="4" t="s">
        <v>48</v>
      </c>
      <c r="Q1501" s="4">
        <v>0</v>
      </c>
      <c r="R1501" s="4" t="b">
        <v>0</v>
      </c>
      <c r="S1501" s="4" t="s">
        <v>49</v>
      </c>
      <c r="T1501" s="4" t="s">
        <v>70</v>
      </c>
      <c r="U1501" s="4" t="s">
        <v>71</v>
      </c>
      <c r="V1501" s="4" t="s">
        <v>72</v>
      </c>
      <c r="W1501" s="4" t="s">
        <v>73</v>
      </c>
      <c r="X1501" s="4" t="s">
        <v>54</v>
      </c>
      <c r="Y1501" s="4" t="s">
        <v>486</v>
      </c>
      <c r="Z1501" s="12">
        <v>0</v>
      </c>
      <c r="AA1501" s="13" t="s">
        <v>9149</v>
      </c>
      <c r="AB1501" s="13" t="s">
        <v>9150</v>
      </c>
      <c r="AC1501" s="14" t="s">
        <v>9139</v>
      </c>
      <c r="AD1501" s="14" t="s">
        <v>9140</v>
      </c>
      <c r="AE1501" s="14" t="s">
        <v>9140</v>
      </c>
      <c r="AF1501" s="14" t="s">
        <v>72</v>
      </c>
      <c r="AG1501" s="14" t="s">
        <v>54</v>
      </c>
      <c r="AH1501" s="15" t="s">
        <v>9194</v>
      </c>
      <c r="AI1501" s="15" t="s">
        <v>9188</v>
      </c>
      <c r="AJ1501" s="15" t="s">
        <v>9143</v>
      </c>
      <c r="AK1501" s="15" t="s">
        <v>9194</v>
      </c>
      <c r="AL1501" s="15" t="s">
        <v>9211</v>
      </c>
      <c r="AM1501" s="16" t="s">
        <v>9194</v>
      </c>
      <c r="AN1501" s="16" t="s">
        <v>9212</v>
      </c>
    </row>
    <row r="1502" spans="1:40" x14ac:dyDescent="0.25">
      <c r="A1502" s="4" t="s">
        <v>737</v>
      </c>
      <c r="B1502" s="4"/>
      <c r="C1502" s="4" t="s">
        <v>39</v>
      </c>
      <c r="D1502" s="4" t="s">
        <v>738</v>
      </c>
      <c r="E1502" s="4" t="s">
        <v>739</v>
      </c>
      <c r="F1502" s="10">
        <v>45266</v>
      </c>
      <c r="G1502" s="11">
        <v>0.51041666666666663</v>
      </c>
      <c r="H1502" s="4" t="s">
        <v>463</v>
      </c>
      <c r="I1502" s="4">
        <v>2025</v>
      </c>
      <c r="J1502" s="4" t="s">
        <v>701</v>
      </c>
      <c r="K1502" s="4" t="s">
        <v>363</v>
      </c>
      <c r="L1502" s="4" t="s">
        <v>740</v>
      </c>
      <c r="M1502" s="4" t="s">
        <v>46</v>
      </c>
      <c r="N1502" s="4"/>
      <c r="O1502" s="4" t="s">
        <v>47</v>
      </c>
      <c r="P1502" s="4" t="s">
        <v>48</v>
      </c>
      <c r="Q1502" s="4">
        <v>0</v>
      </c>
      <c r="R1502" s="4" t="b">
        <v>0</v>
      </c>
      <c r="S1502" s="4" t="s">
        <v>61</v>
      </c>
      <c r="T1502" s="4" t="s">
        <v>89</v>
      </c>
      <c r="U1502" s="4" t="s">
        <v>175</v>
      </c>
      <c r="V1502" s="4" t="s">
        <v>72</v>
      </c>
      <c r="W1502" s="4" t="s">
        <v>73</v>
      </c>
      <c r="X1502" s="4" t="s">
        <v>54</v>
      </c>
      <c r="Y1502" s="4"/>
      <c r="Z1502" s="12">
        <v>0</v>
      </c>
      <c r="AA1502" s="13" t="s">
        <v>9149</v>
      </c>
      <c r="AB1502" s="13" t="s">
        <v>9150</v>
      </c>
      <c r="AC1502" s="14" t="s">
        <v>9148</v>
      </c>
      <c r="AD1502" s="14" t="s">
        <v>9140</v>
      </c>
      <c r="AE1502" s="14" t="s">
        <v>9140</v>
      </c>
      <c r="AF1502" s="14" t="s">
        <v>72</v>
      </c>
      <c r="AG1502" s="14" t="s">
        <v>54</v>
      </c>
      <c r="AH1502" s="15" t="s">
        <v>9141</v>
      </c>
      <c r="AI1502" s="15" t="s">
        <v>9175</v>
      </c>
      <c r="AJ1502" s="15" t="s">
        <v>9143</v>
      </c>
      <c r="AK1502" s="15" t="s">
        <v>9141</v>
      </c>
      <c r="AL1502" s="15" t="s">
        <v>9175</v>
      </c>
      <c r="AM1502" s="16" t="s">
        <v>9141</v>
      </c>
      <c r="AN1502" s="16" t="s">
        <v>9176</v>
      </c>
    </row>
    <row r="1503" spans="1:40" x14ac:dyDescent="0.25">
      <c r="A1503" s="4" t="s">
        <v>3917</v>
      </c>
      <c r="B1503" s="4"/>
      <c r="C1503" s="4" t="s">
        <v>39</v>
      </c>
      <c r="D1503" s="4" t="s">
        <v>3918</v>
      </c>
      <c r="E1503" s="4" t="s">
        <v>3919</v>
      </c>
      <c r="F1503" s="10">
        <v>45266</v>
      </c>
      <c r="G1503" s="11">
        <v>0.56944444444444442</v>
      </c>
      <c r="H1503" s="4" t="s">
        <v>1992</v>
      </c>
      <c r="I1503" s="4" t="s">
        <v>3920</v>
      </c>
      <c r="J1503" s="4" t="s">
        <v>1844</v>
      </c>
      <c r="K1503" s="4" t="s">
        <v>3921</v>
      </c>
      <c r="L1503" s="4" t="s">
        <v>3922</v>
      </c>
      <c r="M1503" s="4" t="s">
        <v>46</v>
      </c>
      <c r="N1503" s="4"/>
      <c r="O1503" s="4" t="s">
        <v>47</v>
      </c>
      <c r="P1503" s="4" t="s">
        <v>48</v>
      </c>
      <c r="Q1503" s="4">
        <v>0</v>
      </c>
      <c r="R1503" s="4" t="b">
        <v>0</v>
      </c>
      <c r="S1503" s="4" t="s">
        <v>114</v>
      </c>
      <c r="T1503" s="4" t="s">
        <v>134</v>
      </c>
      <c r="U1503" s="4" t="s">
        <v>116</v>
      </c>
      <c r="V1503" s="4" t="s">
        <v>225</v>
      </c>
      <c r="W1503" s="4" t="s">
        <v>226</v>
      </c>
      <c r="X1503" s="4" t="s">
        <v>54</v>
      </c>
      <c r="Y1503" s="4"/>
      <c r="Z1503" s="12">
        <v>0</v>
      </c>
      <c r="AA1503" s="13" t="s">
        <v>9149</v>
      </c>
      <c r="AB1503" s="13" t="s">
        <v>9150</v>
      </c>
      <c r="AC1503" s="14" t="s">
        <v>9157</v>
      </c>
      <c r="AD1503" s="14" t="s">
        <v>9140</v>
      </c>
      <c r="AE1503" s="14" t="s">
        <v>9140</v>
      </c>
      <c r="AF1503" s="14" t="s">
        <v>225</v>
      </c>
      <c r="AG1503" s="14" t="s">
        <v>54</v>
      </c>
      <c r="AH1503" s="15" t="s">
        <v>9194</v>
      </c>
      <c r="AI1503" s="15" t="s">
        <v>9191</v>
      </c>
      <c r="AJ1503" s="15" t="s">
        <v>9143</v>
      </c>
      <c r="AK1503" s="15" t="s">
        <v>9194</v>
      </c>
      <c r="AL1503" s="15" t="s">
        <v>9197</v>
      </c>
      <c r="AM1503" s="16" t="s">
        <v>9194</v>
      </c>
      <c r="AN1503" s="16" t="s">
        <v>9198</v>
      </c>
    </row>
    <row r="1504" spans="1:40" x14ac:dyDescent="0.25">
      <c r="A1504" s="4" t="s">
        <v>1437</v>
      </c>
      <c r="B1504" s="4"/>
      <c r="C1504" s="4" t="s">
        <v>39</v>
      </c>
      <c r="D1504" s="4" t="s">
        <v>1438</v>
      </c>
      <c r="E1504" s="4" t="s">
        <v>1439</v>
      </c>
      <c r="F1504" s="10">
        <v>45266</v>
      </c>
      <c r="G1504" s="11">
        <v>0.40833333333333333</v>
      </c>
      <c r="H1504" s="4" t="s">
        <v>1366</v>
      </c>
      <c r="I1504" s="4">
        <v>5060</v>
      </c>
      <c r="J1504" s="4" t="s">
        <v>1412</v>
      </c>
      <c r="K1504" s="4" t="s">
        <v>1440</v>
      </c>
      <c r="L1504" s="4" t="s">
        <v>1441</v>
      </c>
      <c r="M1504" s="4" t="s">
        <v>46</v>
      </c>
      <c r="N1504" s="4"/>
      <c r="O1504" s="4" t="s">
        <v>47</v>
      </c>
      <c r="P1504" s="4" t="s">
        <v>48</v>
      </c>
      <c r="Q1504" s="4">
        <v>0</v>
      </c>
      <c r="R1504" s="4" t="b">
        <v>0</v>
      </c>
      <c r="S1504" s="4" t="s">
        <v>114</v>
      </c>
      <c r="T1504" s="4" t="s">
        <v>89</v>
      </c>
      <c r="U1504" s="4" t="s">
        <v>148</v>
      </c>
      <c r="V1504" s="4" t="s">
        <v>52</v>
      </c>
      <c r="W1504" s="4" t="s">
        <v>53</v>
      </c>
      <c r="X1504" s="4" t="s">
        <v>54</v>
      </c>
      <c r="Y1504" s="4"/>
      <c r="Z1504" s="12">
        <v>0</v>
      </c>
      <c r="AA1504" s="13" t="s">
        <v>9149</v>
      </c>
      <c r="AB1504" s="13" t="s">
        <v>9150</v>
      </c>
      <c r="AC1504" s="14" t="s">
        <v>9157</v>
      </c>
      <c r="AD1504" s="14" t="s">
        <v>9140</v>
      </c>
      <c r="AE1504" s="14" t="s">
        <v>9140</v>
      </c>
      <c r="AF1504" s="14" t="s">
        <v>52</v>
      </c>
      <c r="AG1504" s="14" t="s">
        <v>54</v>
      </c>
      <c r="AH1504" s="15" t="s">
        <v>9141</v>
      </c>
      <c r="AI1504" s="15" t="s">
        <v>9188</v>
      </c>
      <c r="AJ1504" s="15" t="s">
        <v>9143</v>
      </c>
      <c r="AK1504" s="15" t="s">
        <v>9141</v>
      </c>
      <c r="AL1504" s="15" t="s">
        <v>9191</v>
      </c>
      <c r="AM1504" s="16" t="s">
        <v>9141</v>
      </c>
      <c r="AN1504" s="16" t="s">
        <v>9192</v>
      </c>
    </row>
    <row r="1505" spans="1:40" x14ac:dyDescent="0.25">
      <c r="A1505" s="4" t="s">
        <v>338</v>
      </c>
      <c r="B1505" s="4" t="s">
        <v>339</v>
      </c>
      <c r="C1505" s="4" t="s">
        <v>39</v>
      </c>
      <c r="D1505" s="4" t="s">
        <v>340</v>
      </c>
      <c r="E1505" s="4" t="s">
        <v>341</v>
      </c>
      <c r="F1505" s="10">
        <v>45266</v>
      </c>
      <c r="G1505" s="11">
        <v>0.52083333333333337</v>
      </c>
      <c r="H1505" s="4" t="s">
        <v>42</v>
      </c>
      <c r="I1505" s="4">
        <v>1011</v>
      </c>
      <c r="J1505" s="4" t="s">
        <v>215</v>
      </c>
      <c r="K1505" s="4" t="s">
        <v>342</v>
      </c>
      <c r="L1505" s="4" t="s">
        <v>343</v>
      </c>
      <c r="M1505" s="4" t="s">
        <v>28</v>
      </c>
      <c r="N1505" s="4" t="s">
        <v>183</v>
      </c>
      <c r="O1505" s="4" t="s">
        <v>344</v>
      </c>
      <c r="P1505" s="4" t="s">
        <v>60</v>
      </c>
      <c r="Q1505" s="4">
        <v>326</v>
      </c>
      <c r="R1505" s="4" t="b">
        <v>0</v>
      </c>
      <c r="S1505" s="4" t="s">
        <v>184</v>
      </c>
      <c r="T1505" s="4" t="s">
        <v>89</v>
      </c>
      <c r="U1505" s="4" t="s">
        <v>345</v>
      </c>
      <c r="V1505" s="4" t="s">
        <v>52</v>
      </c>
      <c r="W1505" s="4" t="s">
        <v>255</v>
      </c>
      <c r="X1505" s="4" t="s">
        <v>54</v>
      </c>
      <c r="Y1505" s="4"/>
      <c r="Z1505" s="12" t="s">
        <v>60</v>
      </c>
      <c r="AA1505" s="13" t="s">
        <v>9149</v>
      </c>
      <c r="AB1505" s="13" t="s">
        <v>9150</v>
      </c>
      <c r="AC1505" s="14" t="s">
        <v>9166</v>
      </c>
      <c r="AD1505" s="14" t="s">
        <v>28</v>
      </c>
      <c r="AE1505" s="14" t="s">
        <v>183</v>
      </c>
      <c r="AF1505" s="14" t="s">
        <v>52</v>
      </c>
      <c r="AG1505" s="14" t="s">
        <v>54</v>
      </c>
      <c r="AH1505" s="15" t="s">
        <v>9141</v>
      </c>
      <c r="AI1505" s="15" t="s">
        <v>9142</v>
      </c>
      <c r="AJ1505" s="15" t="s">
        <v>9143</v>
      </c>
      <c r="AK1505" s="15" t="s">
        <v>9141</v>
      </c>
      <c r="AL1505" s="15" t="s">
        <v>9144</v>
      </c>
      <c r="AM1505" s="16" t="s">
        <v>9141</v>
      </c>
      <c r="AN1505" s="16" t="s">
        <v>9145</v>
      </c>
    </row>
    <row r="1506" spans="1:40" x14ac:dyDescent="0.25">
      <c r="A1506" s="4" t="s">
        <v>457</v>
      </c>
      <c r="B1506" s="4"/>
      <c r="C1506" s="4" t="s">
        <v>39</v>
      </c>
      <c r="D1506" s="4" t="s">
        <v>435</v>
      </c>
      <c r="E1506" s="4" t="s">
        <v>436</v>
      </c>
      <c r="F1506" s="10">
        <v>45266</v>
      </c>
      <c r="G1506" s="11">
        <v>0.58472222222222225</v>
      </c>
      <c r="H1506" s="4" t="s">
        <v>42</v>
      </c>
      <c r="I1506" s="4">
        <v>1013</v>
      </c>
      <c r="J1506" s="4" t="s">
        <v>422</v>
      </c>
      <c r="K1506" s="4" t="s">
        <v>458</v>
      </c>
      <c r="L1506" s="4" t="s">
        <v>459</v>
      </c>
      <c r="M1506" s="4" t="s">
        <v>46</v>
      </c>
      <c r="N1506" s="4"/>
      <c r="O1506" s="4" t="s">
        <v>47</v>
      </c>
      <c r="P1506" s="4" t="s">
        <v>48</v>
      </c>
      <c r="Q1506" s="4">
        <v>0</v>
      </c>
      <c r="R1506" s="4" t="b">
        <v>0</v>
      </c>
      <c r="S1506" s="4" t="s">
        <v>61</v>
      </c>
      <c r="T1506" s="4" t="s">
        <v>89</v>
      </c>
      <c r="U1506" s="4" t="s">
        <v>218</v>
      </c>
      <c r="V1506" s="4" t="s">
        <v>63</v>
      </c>
      <c r="W1506" s="4" t="s">
        <v>108</v>
      </c>
      <c r="X1506" s="4" t="s">
        <v>98</v>
      </c>
      <c r="Y1506" s="4"/>
      <c r="Z1506" s="12">
        <v>0</v>
      </c>
      <c r="AA1506" s="13" t="s">
        <v>9149</v>
      </c>
      <c r="AB1506" s="13" t="s">
        <v>9150</v>
      </c>
      <c r="AC1506" s="14" t="s">
        <v>9148</v>
      </c>
      <c r="AD1506" s="14" t="s">
        <v>9140</v>
      </c>
      <c r="AE1506" s="14" t="s">
        <v>9140</v>
      </c>
      <c r="AF1506" s="14" t="s">
        <v>63</v>
      </c>
      <c r="AG1506" s="14" t="s">
        <v>98</v>
      </c>
      <c r="AH1506" s="15" t="s">
        <v>9141</v>
      </c>
      <c r="AI1506" s="15" t="s">
        <v>9142</v>
      </c>
      <c r="AJ1506" s="15" t="s">
        <v>9143</v>
      </c>
      <c r="AK1506" s="15" t="s">
        <v>9141</v>
      </c>
      <c r="AL1506" s="15" t="s">
        <v>9144</v>
      </c>
      <c r="AM1506" s="16" t="s">
        <v>9141</v>
      </c>
      <c r="AN1506" s="16" t="s">
        <v>9145</v>
      </c>
    </row>
    <row r="1507" spans="1:40" x14ac:dyDescent="0.25">
      <c r="A1507" s="4" t="s">
        <v>7397</v>
      </c>
      <c r="B1507" s="4"/>
      <c r="C1507" s="4" t="s">
        <v>39</v>
      </c>
      <c r="D1507" s="4" t="s">
        <v>7371</v>
      </c>
      <c r="E1507" s="4" t="s">
        <v>7372</v>
      </c>
      <c r="F1507" s="10">
        <v>45266</v>
      </c>
      <c r="G1507" s="11">
        <v>0.45833333333333331</v>
      </c>
      <c r="H1507" s="4" t="s">
        <v>4019</v>
      </c>
      <c r="I1507" s="4" t="s">
        <v>7315</v>
      </c>
      <c r="J1507" s="4" t="s">
        <v>1037</v>
      </c>
      <c r="K1507" s="4" t="s">
        <v>7398</v>
      </c>
      <c r="L1507" s="4" t="s">
        <v>7399</v>
      </c>
      <c r="M1507" s="4" t="s">
        <v>46</v>
      </c>
      <c r="N1507" s="4"/>
      <c r="O1507" s="4" t="s">
        <v>47</v>
      </c>
      <c r="P1507" s="4" t="s">
        <v>48</v>
      </c>
      <c r="Q1507" s="4">
        <v>0</v>
      </c>
      <c r="R1507" s="4" t="b">
        <v>0</v>
      </c>
      <c r="S1507" s="4" t="s">
        <v>61</v>
      </c>
      <c r="T1507" s="4" t="s">
        <v>1303</v>
      </c>
      <c r="U1507" s="4" t="s">
        <v>148</v>
      </c>
      <c r="V1507" s="4" t="s">
        <v>52</v>
      </c>
      <c r="W1507" s="4" t="s">
        <v>374</v>
      </c>
      <c r="X1507" s="4" t="s">
        <v>54</v>
      </c>
      <c r="Y1507" s="4"/>
      <c r="Z1507" s="12">
        <v>0</v>
      </c>
      <c r="AA1507" s="13" t="s">
        <v>9149</v>
      </c>
      <c r="AB1507" s="13" t="s">
        <v>9150</v>
      </c>
      <c r="AC1507" s="14" t="s">
        <v>9148</v>
      </c>
      <c r="AD1507" s="14" t="s">
        <v>9140</v>
      </c>
      <c r="AE1507" s="14" t="s">
        <v>9140</v>
      </c>
      <c r="AF1507" s="14" t="s">
        <v>52</v>
      </c>
      <c r="AG1507" s="14" t="s">
        <v>54</v>
      </c>
      <c r="AH1507" s="15" t="s">
        <v>9220</v>
      </c>
      <c r="AI1507" s="15" t="s">
        <v>9175</v>
      </c>
      <c r="AJ1507" s="15" t="s">
        <v>9143</v>
      </c>
      <c r="AK1507" s="15" t="s">
        <v>9221</v>
      </c>
      <c r="AL1507" s="15" t="s">
        <v>9222</v>
      </c>
      <c r="AM1507" s="16" t="s">
        <v>9221</v>
      </c>
      <c r="AN1507" s="16" t="s">
        <v>9223</v>
      </c>
    </row>
    <row r="1508" spans="1:40" x14ac:dyDescent="0.25">
      <c r="A1508" s="4" t="s">
        <v>4134</v>
      </c>
      <c r="B1508" s="4"/>
      <c r="C1508" s="4" t="s">
        <v>39</v>
      </c>
      <c r="D1508" s="4" t="s">
        <v>4090</v>
      </c>
      <c r="E1508" s="4" t="s">
        <v>4091</v>
      </c>
      <c r="F1508" s="10">
        <v>45266</v>
      </c>
      <c r="G1508" s="11">
        <v>0.53819444444444442</v>
      </c>
      <c r="H1508" s="4" t="s">
        <v>4019</v>
      </c>
      <c r="I1508" s="4" t="s">
        <v>4092</v>
      </c>
      <c r="J1508" s="4" t="s">
        <v>4093</v>
      </c>
      <c r="K1508" s="4" t="s">
        <v>4135</v>
      </c>
      <c r="L1508" s="4" t="s">
        <v>4136</v>
      </c>
      <c r="M1508" s="4" t="s">
        <v>46</v>
      </c>
      <c r="N1508" s="4"/>
      <c r="O1508" s="4" t="s">
        <v>47</v>
      </c>
      <c r="P1508" s="4" t="s">
        <v>48</v>
      </c>
      <c r="Q1508" s="4">
        <v>0</v>
      </c>
      <c r="R1508" s="4" t="b">
        <v>0</v>
      </c>
      <c r="S1508" s="4" t="s">
        <v>49</v>
      </c>
      <c r="T1508" s="4" t="s">
        <v>89</v>
      </c>
      <c r="U1508" s="4" t="s">
        <v>107</v>
      </c>
      <c r="V1508" s="4" t="s">
        <v>63</v>
      </c>
      <c r="W1508" s="4" t="s">
        <v>108</v>
      </c>
      <c r="X1508" s="4" t="s">
        <v>98</v>
      </c>
      <c r="Y1508" s="4"/>
      <c r="Z1508" s="12">
        <v>0</v>
      </c>
      <c r="AA1508" s="13" t="s">
        <v>9149</v>
      </c>
      <c r="AB1508" s="13" t="s">
        <v>9150</v>
      </c>
      <c r="AC1508" s="14" t="s">
        <v>9139</v>
      </c>
      <c r="AD1508" s="14" t="s">
        <v>9140</v>
      </c>
      <c r="AE1508" s="14" t="s">
        <v>9140</v>
      </c>
      <c r="AF1508" s="14" t="s">
        <v>63</v>
      </c>
      <c r="AG1508" s="14" t="s">
        <v>98</v>
      </c>
      <c r="AH1508" s="15" t="s">
        <v>9220</v>
      </c>
      <c r="AI1508" s="15" t="s">
        <v>9175</v>
      </c>
      <c r="AJ1508" s="15" t="s">
        <v>9143</v>
      </c>
      <c r="AK1508" s="15" t="s">
        <v>9221</v>
      </c>
      <c r="AL1508" s="15" t="s">
        <v>9222</v>
      </c>
      <c r="AM1508" s="16" t="s">
        <v>9221</v>
      </c>
      <c r="AN1508" s="16" t="s">
        <v>9223</v>
      </c>
    </row>
    <row r="1509" spans="1:40" x14ac:dyDescent="0.25">
      <c r="A1509" s="4" t="s">
        <v>6952</v>
      </c>
      <c r="B1509" s="4"/>
      <c r="C1509" s="4" t="s">
        <v>39</v>
      </c>
      <c r="D1509" s="4" t="s">
        <v>6953</v>
      </c>
      <c r="E1509" s="4" t="s">
        <v>6954</v>
      </c>
      <c r="F1509" s="10">
        <v>45265</v>
      </c>
      <c r="G1509" s="11">
        <v>0.35416666666666669</v>
      </c>
      <c r="H1509" s="4" t="s">
        <v>4019</v>
      </c>
      <c r="I1509" s="4" t="s">
        <v>6911</v>
      </c>
      <c r="J1509" s="4" t="s">
        <v>6912</v>
      </c>
      <c r="K1509" s="4" t="s">
        <v>6955</v>
      </c>
      <c r="L1509" s="4" t="s">
        <v>6956</v>
      </c>
      <c r="M1509" s="4" t="s">
        <v>46</v>
      </c>
      <c r="N1509" s="4"/>
      <c r="O1509" s="4" t="s">
        <v>47</v>
      </c>
      <c r="P1509" s="4" t="s">
        <v>48</v>
      </c>
      <c r="Q1509" s="4">
        <v>0</v>
      </c>
      <c r="R1509" s="4" t="b">
        <v>0</v>
      </c>
      <c r="S1509" s="4" t="s">
        <v>49</v>
      </c>
      <c r="T1509" s="4" t="s">
        <v>89</v>
      </c>
      <c r="U1509" s="4" t="s">
        <v>71</v>
      </c>
      <c r="V1509" s="4" t="s">
        <v>63</v>
      </c>
      <c r="W1509" s="4" t="s">
        <v>198</v>
      </c>
      <c r="X1509" s="4" t="s">
        <v>54</v>
      </c>
      <c r="Y1509" s="4" t="s">
        <v>486</v>
      </c>
      <c r="Z1509" s="12">
        <v>0</v>
      </c>
      <c r="AA1509" s="13" t="s">
        <v>9149</v>
      </c>
      <c r="AB1509" s="13" t="s">
        <v>9150</v>
      </c>
      <c r="AC1509" s="14" t="s">
        <v>9139</v>
      </c>
      <c r="AD1509" s="14" t="s">
        <v>9140</v>
      </c>
      <c r="AE1509" s="14" t="s">
        <v>9140</v>
      </c>
      <c r="AF1509" s="14" t="s">
        <v>63</v>
      </c>
      <c r="AG1509" s="14" t="s">
        <v>54</v>
      </c>
      <c r="AH1509" s="15" t="s">
        <v>9220</v>
      </c>
      <c r="AI1509" s="15" t="s">
        <v>9175</v>
      </c>
      <c r="AJ1509" s="15" t="s">
        <v>9143</v>
      </c>
      <c r="AK1509" s="15" t="s">
        <v>9221</v>
      </c>
      <c r="AL1509" s="15" t="s">
        <v>9224</v>
      </c>
      <c r="AM1509" s="16" t="s">
        <v>9221</v>
      </c>
      <c r="AN1509" s="16" t="s">
        <v>9225</v>
      </c>
    </row>
    <row r="1510" spans="1:40" x14ac:dyDescent="0.25">
      <c r="A1510" s="4" t="s">
        <v>4418</v>
      </c>
      <c r="B1510" s="4"/>
      <c r="C1510" s="4" t="s">
        <v>39</v>
      </c>
      <c r="D1510" s="4" t="s">
        <v>4355</v>
      </c>
      <c r="E1510" s="4" t="s">
        <v>4356</v>
      </c>
      <c r="F1510" s="10">
        <v>45264</v>
      </c>
      <c r="G1510" s="11">
        <v>0.6875</v>
      </c>
      <c r="H1510" s="4" t="s">
        <v>4019</v>
      </c>
      <c r="I1510" s="4" t="s">
        <v>4304</v>
      </c>
      <c r="J1510" s="4" t="s">
        <v>1941</v>
      </c>
      <c r="K1510" s="4" t="s">
        <v>4419</v>
      </c>
      <c r="L1510" s="4" t="s">
        <v>4420</v>
      </c>
      <c r="M1510" s="4" t="s">
        <v>46</v>
      </c>
      <c r="N1510" s="4"/>
      <c r="O1510" s="4" t="s">
        <v>47</v>
      </c>
      <c r="P1510" s="4" t="s">
        <v>48</v>
      </c>
      <c r="Q1510" s="4">
        <v>0</v>
      </c>
      <c r="R1510" s="4" t="b">
        <v>0</v>
      </c>
      <c r="S1510" s="4" t="s">
        <v>49</v>
      </c>
      <c r="T1510" s="4" t="s">
        <v>89</v>
      </c>
      <c r="U1510" s="4" t="s">
        <v>140</v>
      </c>
      <c r="V1510" s="4" t="s">
        <v>63</v>
      </c>
      <c r="W1510" s="4" t="s">
        <v>108</v>
      </c>
      <c r="X1510" s="4" t="s">
        <v>98</v>
      </c>
      <c r="Y1510" s="4"/>
      <c r="Z1510" s="12">
        <v>0</v>
      </c>
      <c r="AA1510" s="13" t="s">
        <v>9149</v>
      </c>
      <c r="AB1510" s="13" t="s">
        <v>9150</v>
      </c>
      <c r="AC1510" s="14" t="s">
        <v>9139</v>
      </c>
      <c r="AD1510" s="14" t="s">
        <v>9140</v>
      </c>
      <c r="AE1510" s="14" t="s">
        <v>9140</v>
      </c>
      <c r="AF1510" s="14" t="s">
        <v>63</v>
      </c>
      <c r="AG1510" s="14" t="s">
        <v>98</v>
      </c>
      <c r="AH1510" s="15" t="s">
        <v>9220</v>
      </c>
      <c r="AI1510" s="15" t="s">
        <v>9175</v>
      </c>
      <c r="AJ1510" s="15" t="s">
        <v>9143</v>
      </c>
      <c r="AK1510" s="15" t="s">
        <v>9221</v>
      </c>
      <c r="AL1510" s="15" t="s">
        <v>9222</v>
      </c>
      <c r="AM1510" s="16" t="s">
        <v>9221</v>
      </c>
      <c r="AN1510" s="16" t="s">
        <v>9223</v>
      </c>
    </row>
    <row r="1511" spans="1:40" x14ac:dyDescent="0.25">
      <c r="A1511" s="4" t="s">
        <v>4421</v>
      </c>
      <c r="B1511" s="4"/>
      <c r="C1511" s="4" t="s">
        <v>39</v>
      </c>
      <c r="D1511" s="4" t="s">
        <v>4422</v>
      </c>
      <c r="E1511" s="4" t="s">
        <v>4423</v>
      </c>
      <c r="F1511" s="10">
        <v>45264</v>
      </c>
      <c r="G1511" s="11">
        <v>0.68055555555555558</v>
      </c>
      <c r="H1511" s="4" t="s">
        <v>4019</v>
      </c>
      <c r="I1511" s="4" t="s">
        <v>4304</v>
      </c>
      <c r="J1511" s="4" t="s">
        <v>1941</v>
      </c>
      <c r="K1511" s="4" t="s">
        <v>4315</v>
      </c>
      <c r="L1511" s="4" t="s">
        <v>4424</v>
      </c>
      <c r="M1511" s="4" t="s">
        <v>46</v>
      </c>
      <c r="N1511" s="4"/>
      <c r="O1511" s="4" t="s">
        <v>47</v>
      </c>
      <c r="P1511" s="4" t="s">
        <v>48</v>
      </c>
      <c r="Q1511" s="4">
        <v>0</v>
      </c>
      <c r="R1511" s="4" t="b">
        <v>0</v>
      </c>
      <c r="S1511" s="4" t="s">
        <v>61</v>
      </c>
      <c r="T1511" s="4" t="s">
        <v>89</v>
      </c>
      <c r="U1511" s="4" t="s">
        <v>148</v>
      </c>
      <c r="V1511" s="4" t="s">
        <v>52</v>
      </c>
      <c r="W1511" s="4" t="s">
        <v>53</v>
      </c>
      <c r="X1511" s="4" t="s">
        <v>54</v>
      </c>
      <c r="Y1511" s="4"/>
      <c r="Z1511" s="12">
        <v>0</v>
      </c>
      <c r="AA1511" s="13" t="s">
        <v>9149</v>
      </c>
      <c r="AB1511" s="13" t="s">
        <v>9150</v>
      </c>
      <c r="AC1511" s="14" t="s">
        <v>9148</v>
      </c>
      <c r="AD1511" s="14" t="s">
        <v>9140</v>
      </c>
      <c r="AE1511" s="14" t="s">
        <v>9140</v>
      </c>
      <c r="AF1511" s="14" t="s">
        <v>52</v>
      </c>
      <c r="AG1511" s="14" t="s">
        <v>54</v>
      </c>
      <c r="AH1511" s="15" t="s">
        <v>9220</v>
      </c>
      <c r="AI1511" s="15" t="s">
        <v>9175</v>
      </c>
      <c r="AJ1511" s="15" t="s">
        <v>9143</v>
      </c>
      <c r="AK1511" s="15" t="s">
        <v>9221</v>
      </c>
      <c r="AL1511" s="15" t="s">
        <v>9222</v>
      </c>
      <c r="AM1511" s="16" t="s">
        <v>9221</v>
      </c>
      <c r="AN1511" s="16" t="s">
        <v>9223</v>
      </c>
    </row>
    <row r="1512" spans="1:40" x14ac:dyDescent="0.25">
      <c r="A1512" s="4" t="s">
        <v>346</v>
      </c>
      <c r="B1512" s="4"/>
      <c r="C1512" s="4" t="s">
        <v>39</v>
      </c>
      <c r="D1512" s="4" t="s">
        <v>294</v>
      </c>
      <c r="E1512" s="4" t="s">
        <v>295</v>
      </c>
      <c r="F1512" s="10">
        <v>45264</v>
      </c>
      <c r="G1512" s="11">
        <v>0.63402777777777775</v>
      </c>
      <c r="H1512" s="4" t="s">
        <v>42</v>
      </c>
      <c r="I1512" s="4">
        <v>1011</v>
      </c>
      <c r="J1512" s="4" t="s">
        <v>215</v>
      </c>
      <c r="K1512" s="4" t="s">
        <v>347</v>
      </c>
      <c r="L1512" s="4" t="s">
        <v>348</v>
      </c>
      <c r="M1512" s="4" t="s">
        <v>46</v>
      </c>
      <c r="N1512" s="4"/>
      <c r="O1512" s="4" t="s">
        <v>47</v>
      </c>
      <c r="P1512" s="4" t="s">
        <v>48</v>
      </c>
      <c r="Q1512" s="4">
        <v>0</v>
      </c>
      <c r="R1512" s="4" t="b">
        <v>0</v>
      </c>
      <c r="S1512" s="4" t="s">
        <v>61</v>
      </c>
      <c r="T1512" s="4" t="s">
        <v>349</v>
      </c>
      <c r="U1512" s="4" t="s">
        <v>90</v>
      </c>
      <c r="V1512" s="4" t="s">
        <v>267</v>
      </c>
      <c r="W1512" s="4" t="s">
        <v>268</v>
      </c>
      <c r="X1512" s="4" t="s">
        <v>350</v>
      </c>
      <c r="Y1512" s="4"/>
      <c r="Z1512" s="12">
        <v>0</v>
      </c>
      <c r="AA1512" s="13" t="s">
        <v>9149</v>
      </c>
      <c r="AB1512" s="13" t="s">
        <v>9150</v>
      </c>
      <c r="AC1512" s="14" t="s">
        <v>9148</v>
      </c>
      <c r="AD1512" s="14" t="s">
        <v>9140</v>
      </c>
      <c r="AE1512" s="14" t="s">
        <v>9140</v>
      </c>
      <c r="AF1512" s="14" t="s">
        <v>267</v>
      </c>
      <c r="AG1512" s="14" t="s">
        <v>350</v>
      </c>
      <c r="AH1512" s="15" t="s">
        <v>9141</v>
      </c>
      <c r="AI1512" s="15" t="s">
        <v>9142</v>
      </c>
      <c r="AJ1512" s="15" t="s">
        <v>9143</v>
      </c>
      <c r="AK1512" s="15" t="s">
        <v>9141</v>
      </c>
      <c r="AL1512" s="15" t="s">
        <v>9144</v>
      </c>
      <c r="AM1512" s="16" t="s">
        <v>9141</v>
      </c>
      <c r="AN1512" s="16" t="s">
        <v>9145</v>
      </c>
    </row>
    <row r="1513" spans="1:40" x14ac:dyDescent="0.25">
      <c r="A1513" s="4" t="s">
        <v>1703</v>
      </c>
      <c r="B1513" s="4"/>
      <c r="C1513" s="4" t="s">
        <v>39</v>
      </c>
      <c r="D1513" s="4" t="s">
        <v>1704</v>
      </c>
      <c r="E1513" s="4" t="s">
        <v>1705</v>
      </c>
      <c r="F1513" s="10">
        <v>45264</v>
      </c>
      <c r="G1513" s="11">
        <v>0.30555555555555558</v>
      </c>
      <c r="H1513" s="4" t="s">
        <v>1654</v>
      </c>
      <c r="I1513" s="4">
        <v>9088</v>
      </c>
      <c r="J1513" s="4" t="s">
        <v>1701</v>
      </c>
      <c r="K1513" s="4" t="s">
        <v>1706</v>
      </c>
      <c r="L1513" s="4" t="s">
        <v>1707</v>
      </c>
      <c r="M1513" s="4" t="s">
        <v>46</v>
      </c>
      <c r="N1513" s="4"/>
      <c r="O1513" s="4" t="s">
        <v>47</v>
      </c>
      <c r="P1513" s="4" t="s">
        <v>48</v>
      </c>
      <c r="Q1513" s="4">
        <v>0</v>
      </c>
      <c r="R1513" s="4" t="b">
        <v>0</v>
      </c>
      <c r="S1513" s="4" t="s">
        <v>49</v>
      </c>
      <c r="T1513" s="4" t="s">
        <v>89</v>
      </c>
      <c r="U1513" s="4" t="s">
        <v>90</v>
      </c>
      <c r="V1513" s="4" t="s">
        <v>72</v>
      </c>
      <c r="W1513" s="4" t="s">
        <v>73</v>
      </c>
      <c r="X1513" s="4" t="s">
        <v>54</v>
      </c>
      <c r="Y1513" s="4"/>
      <c r="Z1513" s="12">
        <v>0</v>
      </c>
      <c r="AA1513" s="13" t="s">
        <v>9149</v>
      </c>
      <c r="AB1513" s="13" t="s">
        <v>9150</v>
      </c>
      <c r="AC1513" s="14" t="s">
        <v>9139</v>
      </c>
      <c r="AD1513" s="14" t="s">
        <v>9140</v>
      </c>
      <c r="AE1513" s="14" t="s">
        <v>9140</v>
      </c>
      <c r="AF1513" s="14" t="s">
        <v>72</v>
      </c>
      <c r="AG1513" s="14" t="s">
        <v>54</v>
      </c>
      <c r="AH1513" s="15" t="s">
        <v>9141</v>
      </c>
      <c r="AI1513" s="15" t="s">
        <v>9191</v>
      </c>
      <c r="AJ1513" s="15" t="s">
        <v>9143</v>
      </c>
      <c r="AK1513" s="15" t="s">
        <v>9141</v>
      </c>
      <c r="AL1513" s="15" t="s">
        <v>9191</v>
      </c>
      <c r="AM1513" s="16" t="s">
        <v>9141</v>
      </c>
      <c r="AN1513" s="16" t="s">
        <v>9192</v>
      </c>
    </row>
    <row r="1514" spans="1:40" x14ac:dyDescent="0.25">
      <c r="A1514" s="4" t="s">
        <v>4277</v>
      </c>
      <c r="B1514" s="4"/>
      <c r="C1514" s="4" t="s">
        <v>39</v>
      </c>
      <c r="D1514" s="4" t="s">
        <v>4278</v>
      </c>
      <c r="E1514" s="4" t="s">
        <v>4279</v>
      </c>
      <c r="F1514" s="10">
        <v>45263</v>
      </c>
      <c r="G1514" s="11">
        <v>0.52777777777777779</v>
      </c>
      <c r="H1514" s="4" t="s">
        <v>4242</v>
      </c>
      <c r="I1514" s="4" t="s">
        <v>4243</v>
      </c>
      <c r="J1514" s="4" t="s">
        <v>1200</v>
      </c>
      <c r="K1514" s="4" t="s">
        <v>4280</v>
      </c>
      <c r="L1514" s="4" t="s">
        <v>4281</v>
      </c>
      <c r="M1514" s="4" t="s">
        <v>46</v>
      </c>
      <c r="N1514" s="4"/>
      <c r="O1514" s="4" t="s">
        <v>47</v>
      </c>
      <c r="P1514" s="4" t="s">
        <v>48</v>
      </c>
      <c r="Q1514" s="4">
        <v>0</v>
      </c>
      <c r="R1514" s="4" t="b">
        <v>0</v>
      </c>
      <c r="S1514" s="4" t="s">
        <v>114</v>
      </c>
      <c r="T1514" s="4" t="s">
        <v>583</v>
      </c>
      <c r="U1514" s="4" t="s">
        <v>71</v>
      </c>
      <c r="V1514" s="4" t="s">
        <v>52</v>
      </c>
      <c r="W1514" s="4" t="s">
        <v>374</v>
      </c>
      <c r="X1514" s="4" t="s">
        <v>54</v>
      </c>
      <c r="Y1514" s="4"/>
      <c r="Z1514" s="12">
        <v>0</v>
      </c>
      <c r="AA1514" s="13" t="s">
        <v>9149</v>
      </c>
      <c r="AB1514" s="13" t="s">
        <v>9150</v>
      </c>
      <c r="AC1514" s="14" t="s">
        <v>9157</v>
      </c>
      <c r="AD1514" s="14" t="s">
        <v>9140</v>
      </c>
      <c r="AE1514" s="14" t="s">
        <v>9140</v>
      </c>
      <c r="AF1514" s="14" t="s">
        <v>52</v>
      </c>
      <c r="AG1514" s="14" t="s">
        <v>54</v>
      </c>
      <c r="AH1514" s="15" t="s">
        <v>9220</v>
      </c>
      <c r="AI1514" s="15" t="s">
        <v>9187</v>
      </c>
      <c r="AJ1514" s="15" t="s">
        <v>9143</v>
      </c>
      <c r="AK1514" s="15" t="s">
        <v>9221</v>
      </c>
      <c r="AL1514" s="15" t="s">
        <v>9226</v>
      </c>
      <c r="AM1514" s="16" t="s">
        <v>9221</v>
      </c>
      <c r="AN1514" s="16" t="s">
        <v>9227</v>
      </c>
    </row>
    <row r="1515" spans="1:40" x14ac:dyDescent="0.25">
      <c r="A1515" s="4" t="s">
        <v>4750</v>
      </c>
      <c r="B1515" s="4"/>
      <c r="C1515" s="4" t="s">
        <v>39</v>
      </c>
      <c r="D1515" s="4" t="s">
        <v>4751</v>
      </c>
      <c r="E1515" s="4" t="s">
        <v>4752</v>
      </c>
      <c r="F1515" s="10">
        <v>45262</v>
      </c>
      <c r="G1515" s="11">
        <v>0.51388888888888884</v>
      </c>
      <c r="H1515" s="4" t="s">
        <v>4019</v>
      </c>
      <c r="I1515" s="4" t="s">
        <v>4713</v>
      </c>
      <c r="J1515" s="4" t="s">
        <v>4714</v>
      </c>
      <c r="K1515" s="4" t="s">
        <v>4753</v>
      </c>
      <c r="L1515" s="4" t="s">
        <v>4754</v>
      </c>
      <c r="M1515" s="4" t="s">
        <v>46</v>
      </c>
      <c r="N1515" s="4"/>
      <c r="O1515" s="4" t="s">
        <v>47</v>
      </c>
      <c r="P1515" s="4" t="s">
        <v>48</v>
      </c>
      <c r="Q1515" s="4">
        <v>0</v>
      </c>
      <c r="R1515" s="4" t="b">
        <v>0</v>
      </c>
      <c r="S1515" s="4" t="s">
        <v>49</v>
      </c>
      <c r="T1515" s="4" t="s">
        <v>70</v>
      </c>
      <c r="U1515" s="4" t="s">
        <v>71</v>
      </c>
      <c r="V1515" s="4" t="s">
        <v>72</v>
      </c>
      <c r="W1515" s="4" t="s">
        <v>97</v>
      </c>
      <c r="X1515" s="4" t="s">
        <v>98</v>
      </c>
      <c r="Y1515" s="4" t="s">
        <v>4246</v>
      </c>
      <c r="Z1515" s="12">
        <v>0</v>
      </c>
      <c r="AA1515" s="13" t="s">
        <v>9149</v>
      </c>
      <c r="AB1515" s="13" t="s">
        <v>9150</v>
      </c>
      <c r="AC1515" s="14" t="s">
        <v>9139</v>
      </c>
      <c r="AD1515" s="14" t="s">
        <v>9140</v>
      </c>
      <c r="AE1515" s="14" t="s">
        <v>9140</v>
      </c>
      <c r="AF1515" s="14" t="s">
        <v>72</v>
      </c>
      <c r="AG1515" s="14" t="s">
        <v>98</v>
      </c>
      <c r="AH1515" s="15" t="s">
        <v>9220</v>
      </c>
      <c r="AI1515" s="15" t="s">
        <v>9175</v>
      </c>
      <c r="AJ1515" s="15" t="s">
        <v>9143</v>
      </c>
      <c r="AK1515" s="15" t="s">
        <v>9221</v>
      </c>
      <c r="AL1515" s="15" t="s">
        <v>9224</v>
      </c>
      <c r="AM1515" s="16" t="s">
        <v>9221</v>
      </c>
      <c r="AN1515" s="16" t="s">
        <v>9225</v>
      </c>
    </row>
    <row r="1516" spans="1:40" x14ac:dyDescent="0.25">
      <c r="A1516" s="4" t="s">
        <v>5396</v>
      </c>
      <c r="B1516" s="4"/>
      <c r="C1516" s="4" t="s">
        <v>39</v>
      </c>
      <c r="D1516" s="4" t="s">
        <v>5397</v>
      </c>
      <c r="E1516" s="4" t="s">
        <v>5398</v>
      </c>
      <c r="F1516" s="10">
        <v>45262</v>
      </c>
      <c r="G1516" s="11">
        <v>0.60416666666666663</v>
      </c>
      <c r="H1516" s="4" t="s">
        <v>4910</v>
      </c>
      <c r="I1516" s="4" t="s">
        <v>5360</v>
      </c>
      <c r="J1516" s="4" t="s">
        <v>2062</v>
      </c>
      <c r="K1516" s="4" t="s">
        <v>5399</v>
      </c>
      <c r="L1516" s="4" t="s">
        <v>5400</v>
      </c>
      <c r="M1516" s="4" t="s">
        <v>46</v>
      </c>
      <c r="N1516" s="4"/>
      <c r="O1516" s="4" t="s">
        <v>47</v>
      </c>
      <c r="P1516" s="4" t="s">
        <v>48</v>
      </c>
      <c r="Q1516" s="4">
        <v>0</v>
      </c>
      <c r="R1516" s="4" t="b">
        <v>0</v>
      </c>
      <c r="S1516" s="4" t="s">
        <v>61</v>
      </c>
      <c r="T1516" s="4" t="s">
        <v>479</v>
      </c>
      <c r="U1516" s="4" t="s">
        <v>140</v>
      </c>
      <c r="V1516" s="4" t="s">
        <v>52</v>
      </c>
      <c r="W1516" s="4" t="s">
        <v>135</v>
      </c>
      <c r="X1516" s="4" t="s">
        <v>54</v>
      </c>
      <c r="Y1516" s="4"/>
      <c r="Z1516" s="12">
        <v>0</v>
      </c>
      <c r="AA1516" s="13" t="s">
        <v>9149</v>
      </c>
      <c r="AB1516" s="13" t="s">
        <v>9150</v>
      </c>
      <c r="AC1516" s="14" t="s">
        <v>9148</v>
      </c>
      <c r="AD1516" s="14" t="s">
        <v>9140</v>
      </c>
      <c r="AE1516" s="14" t="s">
        <v>9140</v>
      </c>
      <c r="AF1516" s="14" t="s">
        <v>52</v>
      </c>
      <c r="AG1516" s="14" t="s">
        <v>54</v>
      </c>
      <c r="AH1516" s="15" t="s">
        <v>9220</v>
      </c>
      <c r="AI1516" s="15" t="s">
        <v>9191</v>
      </c>
      <c r="AJ1516" s="15" t="s">
        <v>9143</v>
      </c>
      <c r="AK1516" s="15" t="s">
        <v>9221</v>
      </c>
      <c r="AL1516" s="15" t="s">
        <v>9234</v>
      </c>
      <c r="AM1516" s="16" t="s">
        <v>9221</v>
      </c>
      <c r="AN1516" s="16" t="s">
        <v>9235</v>
      </c>
    </row>
    <row r="1517" spans="1:40" x14ac:dyDescent="0.25">
      <c r="A1517" s="4" t="s">
        <v>1708</v>
      </c>
      <c r="B1517" s="4" t="s">
        <v>1709</v>
      </c>
      <c r="C1517" s="4" t="s">
        <v>39</v>
      </c>
      <c r="D1517" s="4" t="s">
        <v>1710</v>
      </c>
      <c r="E1517" s="4" t="s">
        <v>1711</v>
      </c>
      <c r="F1517" s="10">
        <v>45262</v>
      </c>
      <c r="G1517" s="11">
        <v>0.36458333333333331</v>
      </c>
      <c r="H1517" s="4" t="s">
        <v>1654</v>
      </c>
      <c r="I1517" s="4">
        <v>9088</v>
      </c>
      <c r="J1517" s="4" t="s">
        <v>1701</v>
      </c>
      <c r="K1517" s="4" t="s">
        <v>1712</v>
      </c>
      <c r="L1517" s="4" t="s">
        <v>1713</v>
      </c>
      <c r="M1517" s="4" t="s">
        <v>28</v>
      </c>
      <c r="N1517" s="4" t="s">
        <v>183</v>
      </c>
      <c r="O1517" s="4" t="s">
        <v>156</v>
      </c>
      <c r="P1517" s="4" t="s">
        <v>48</v>
      </c>
      <c r="Q1517" s="4">
        <v>0</v>
      </c>
      <c r="R1517" s="4" t="b">
        <v>0</v>
      </c>
      <c r="S1517" s="4" t="s">
        <v>114</v>
      </c>
      <c r="T1517" s="4" t="s">
        <v>89</v>
      </c>
      <c r="U1517" s="4" t="s">
        <v>584</v>
      </c>
      <c r="V1517" s="4" t="s">
        <v>225</v>
      </c>
      <c r="W1517" s="4" t="s">
        <v>1714</v>
      </c>
      <c r="X1517" s="4" t="s">
        <v>1715</v>
      </c>
      <c r="Y1517" s="4"/>
      <c r="Z1517" s="12" t="s">
        <v>48</v>
      </c>
      <c r="AA1517" s="13" t="s">
        <v>9149</v>
      </c>
      <c r="AB1517" s="13" t="s">
        <v>9150</v>
      </c>
      <c r="AC1517" s="14" t="s">
        <v>9157</v>
      </c>
      <c r="AD1517" s="14" t="s">
        <v>28</v>
      </c>
      <c r="AE1517" s="14" t="s">
        <v>183</v>
      </c>
      <c r="AF1517" s="14" t="s">
        <v>225</v>
      </c>
      <c r="AG1517" s="14" t="s">
        <v>1715</v>
      </c>
      <c r="AH1517" s="15" t="s">
        <v>9141</v>
      </c>
      <c r="AI1517" s="15" t="s">
        <v>9191</v>
      </c>
      <c r="AJ1517" s="15" t="s">
        <v>9143</v>
      </c>
      <c r="AK1517" s="15" t="s">
        <v>9141</v>
      </c>
      <c r="AL1517" s="15" t="s">
        <v>9191</v>
      </c>
      <c r="AM1517" s="16" t="s">
        <v>9141</v>
      </c>
      <c r="AN1517" s="16" t="s">
        <v>9192</v>
      </c>
    </row>
    <row r="1518" spans="1:40" x14ac:dyDescent="0.25">
      <c r="A1518" s="4" t="s">
        <v>606</v>
      </c>
      <c r="B1518" s="4"/>
      <c r="C1518" s="4" t="s">
        <v>39</v>
      </c>
      <c r="D1518" s="4" t="s">
        <v>586</v>
      </c>
      <c r="E1518" s="4" t="s">
        <v>587</v>
      </c>
      <c r="F1518" s="10">
        <v>45262</v>
      </c>
      <c r="G1518" s="11">
        <v>0.69374999999999998</v>
      </c>
      <c r="H1518" s="4" t="s">
        <v>463</v>
      </c>
      <c r="I1518" s="4">
        <v>2022</v>
      </c>
      <c r="J1518" s="4" t="s">
        <v>565</v>
      </c>
      <c r="K1518" s="4" t="s">
        <v>607</v>
      </c>
      <c r="L1518" s="4" t="s">
        <v>608</v>
      </c>
      <c r="M1518" s="4" t="s">
        <v>46</v>
      </c>
      <c r="N1518" s="4"/>
      <c r="O1518" s="4" t="s">
        <v>47</v>
      </c>
      <c r="P1518" s="4" t="s">
        <v>48</v>
      </c>
      <c r="Q1518" s="4">
        <v>0</v>
      </c>
      <c r="R1518" s="4" t="b">
        <v>0</v>
      </c>
      <c r="S1518" s="4" t="s">
        <v>49</v>
      </c>
      <c r="T1518" s="4" t="s">
        <v>70</v>
      </c>
      <c r="U1518" s="4" t="s">
        <v>71</v>
      </c>
      <c r="V1518" s="4" t="s">
        <v>72</v>
      </c>
      <c r="W1518" s="4" t="s">
        <v>73</v>
      </c>
      <c r="X1518" s="4" t="s">
        <v>54</v>
      </c>
      <c r="Y1518" s="4"/>
      <c r="Z1518" s="12">
        <v>0</v>
      </c>
      <c r="AA1518" s="13" t="s">
        <v>9149</v>
      </c>
      <c r="AB1518" s="13" t="s">
        <v>9150</v>
      </c>
      <c r="AC1518" s="14" t="s">
        <v>9139</v>
      </c>
      <c r="AD1518" s="14" t="s">
        <v>9140</v>
      </c>
      <c r="AE1518" s="14" t="s">
        <v>9140</v>
      </c>
      <c r="AF1518" s="14" t="s">
        <v>72</v>
      </c>
      <c r="AG1518" s="14" t="s">
        <v>54</v>
      </c>
      <c r="AH1518" s="15" t="s">
        <v>9141</v>
      </c>
      <c r="AI1518" s="15" t="s">
        <v>9175</v>
      </c>
      <c r="AJ1518" s="15" t="s">
        <v>9143</v>
      </c>
      <c r="AK1518" s="15" t="s">
        <v>9141</v>
      </c>
      <c r="AL1518" s="15" t="s">
        <v>9175</v>
      </c>
      <c r="AM1518" s="16" t="s">
        <v>9141</v>
      </c>
      <c r="AN1518" s="16" t="s">
        <v>9176</v>
      </c>
    </row>
    <row r="1519" spans="1:40" x14ac:dyDescent="0.25">
      <c r="A1519" s="4" t="s">
        <v>3277</v>
      </c>
      <c r="B1519" s="4"/>
      <c r="C1519" s="4" t="s">
        <v>39</v>
      </c>
      <c r="D1519" s="4" t="s">
        <v>3269</v>
      </c>
      <c r="E1519" s="4" t="s">
        <v>3270</v>
      </c>
      <c r="F1519" s="10">
        <v>45261</v>
      </c>
      <c r="G1519" s="11">
        <v>0.4375</v>
      </c>
      <c r="H1519" s="4" t="s">
        <v>2095</v>
      </c>
      <c r="I1519" s="4" t="s">
        <v>3264</v>
      </c>
      <c r="J1519" s="4" t="s">
        <v>3265</v>
      </c>
      <c r="K1519" s="4" t="s">
        <v>3278</v>
      </c>
      <c r="L1519" s="4" t="s">
        <v>3279</v>
      </c>
      <c r="M1519" s="4" t="s">
        <v>46</v>
      </c>
      <c r="N1519" s="4"/>
      <c r="O1519" s="4" t="s">
        <v>47</v>
      </c>
      <c r="P1519" s="4" t="s">
        <v>48</v>
      </c>
      <c r="Q1519" s="4">
        <v>0</v>
      </c>
      <c r="R1519" s="4" t="b">
        <v>0</v>
      </c>
      <c r="S1519" s="4" t="s">
        <v>61</v>
      </c>
      <c r="T1519" s="4" t="s">
        <v>479</v>
      </c>
      <c r="U1519" s="4" t="s">
        <v>175</v>
      </c>
      <c r="V1519" s="4" t="s">
        <v>63</v>
      </c>
      <c r="W1519" s="4" t="s">
        <v>108</v>
      </c>
      <c r="X1519" s="4" t="s">
        <v>54</v>
      </c>
      <c r="Y1519" s="4"/>
      <c r="Z1519" s="12">
        <v>0</v>
      </c>
      <c r="AA1519" s="13" t="s">
        <v>9149</v>
      </c>
      <c r="AB1519" s="13" t="s">
        <v>9150</v>
      </c>
      <c r="AC1519" s="14" t="s">
        <v>9148</v>
      </c>
      <c r="AD1519" s="14" t="s">
        <v>9140</v>
      </c>
      <c r="AE1519" s="14" t="s">
        <v>9140</v>
      </c>
      <c r="AF1519" s="14" t="s">
        <v>63</v>
      </c>
      <c r="AG1519" s="14" t="s">
        <v>54</v>
      </c>
      <c r="AH1519" s="15" t="s">
        <v>9194</v>
      </c>
      <c r="AI1519" s="15" t="s">
        <v>9188</v>
      </c>
      <c r="AJ1519" s="15" t="s">
        <v>9143</v>
      </c>
      <c r="AK1519" s="15" t="s">
        <v>9194</v>
      </c>
      <c r="AL1519" s="15" t="s">
        <v>9211</v>
      </c>
      <c r="AM1519" s="16" t="s">
        <v>9194</v>
      </c>
      <c r="AN1519" s="16" t="s">
        <v>9212</v>
      </c>
    </row>
    <row r="1520" spans="1:40" x14ac:dyDescent="0.25">
      <c r="A1520" s="4" t="s">
        <v>2757</v>
      </c>
      <c r="B1520" s="4"/>
      <c r="C1520" s="4" t="s">
        <v>39</v>
      </c>
      <c r="D1520" s="4" t="s">
        <v>2758</v>
      </c>
      <c r="E1520" s="4" t="s">
        <v>2759</v>
      </c>
      <c r="F1520" s="10">
        <v>45261</v>
      </c>
      <c r="G1520" s="11">
        <v>0.69930555555555551</v>
      </c>
      <c r="H1520" s="4" t="s">
        <v>2227</v>
      </c>
      <c r="I1520" s="4" t="s">
        <v>2715</v>
      </c>
      <c r="J1520" s="4" t="s">
        <v>1200</v>
      </c>
      <c r="K1520" s="4" t="s">
        <v>2760</v>
      </c>
      <c r="L1520" s="4" t="s">
        <v>2761</v>
      </c>
      <c r="M1520" s="4" t="s">
        <v>46</v>
      </c>
      <c r="N1520" s="4"/>
      <c r="O1520" s="4" t="s">
        <v>47</v>
      </c>
      <c r="P1520" s="4" t="s">
        <v>48</v>
      </c>
      <c r="Q1520" s="4">
        <v>0</v>
      </c>
      <c r="R1520" s="4" t="b">
        <v>0</v>
      </c>
      <c r="S1520" s="4" t="s">
        <v>61</v>
      </c>
      <c r="T1520" s="4" t="s">
        <v>50</v>
      </c>
      <c r="U1520" s="4" t="s">
        <v>107</v>
      </c>
      <c r="V1520" s="4" t="s">
        <v>63</v>
      </c>
      <c r="W1520" s="4" t="s">
        <v>198</v>
      </c>
      <c r="X1520" s="4" t="s">
        <v>471</v>
      </c>
      <c r="Y1520" s="4"/>
      <c r="Z1520" s="12">
        <v>0</v>
      </c>
      <c r="AA1520" s="13" t="s">
        <v>9149</v>
      </c>
      <c r="AB1520" s="13" t="s">
        <v>9150</v>
      </c>
      <c r="AC1520" s="14" t="s">
        <v>9148</v>
      </c>
      <c r="AD1520" s="14" t="s">
        <v>9140</v>
      </c>
      <c r="AE1520" s="14" t="s">
        <v>9140</v>
      </c>
      <c r="AF1520" s="14" t="s">
        <v>63</v>
      </c>
      <c r="AG1520" s="14" t="s">
        <v>471</v>
      </c>
      <c r="AH1520" s="15" t="s">
        <v>9194</v>
      </c>
      <c r="AI1520" s="15" t="s">
        <v>9187</v>
      </c>
      <c r="AJ1520" s="15" t="s">
        <v>9143</v>
      </c>
      <c r="AK1520" s="15" t="s">
        <v>9194</v>
      </c>
      <c r="AL1520" s="15" t="s">
        <v>9209</v>
      </c>
      <c r="AM1520" s="16" t="s">
        <v>9194</v>
      </c>
      <c r="AN1520" s="16" t="s">
        <v>9210</v>
      </c>
    </row>
    <row r="1521" spans="1:40" x14ac:dyDescent="0.25">
      <c r="A1521" s="4" t="s">
        <v>8265</v>
      </c>
      <c r="B1521" s="4"/>
      <c r="C1521" s="4" t="s">
        <v>39</v>
      </c>
      <c r="D1521" s="4" t="s">
        <v>8266</v>
      </c>
      <c r="E1521" s="4" t="s">
        <v>8267</v>
      </c>
      <c r="F1521" s="10">
        <v>45261</v>
      </c>
      <c r="G1521" s="11">
        <v>0.53125</v>
      </c>
      <c r="H1521" s="4" t="s">
        <v>4910</v>
      </c>
      <c r="I1521" s="4" t="s">
        <v>8223</v>
      </c>
      <c r="J1521" s="4" t="s">
        <v>1844</v>
      </c>
      <c r="K1521" s="4" t="s">
        <v>8268</v>
      </c>
      <c r="L1521" s="4" t="s">
        <v>8269</v>
      </c>
      <c r="M1521" s="4" t="s">
        <v>46</v>
      </c>
      <c r="N1521" s="4"/>
      <c r="O1521" s="4" t="s">
        <v>47</v>
      </c>
      <c r="P1521" s="4" t="s">
        <v>48</v>
      </c>
      <c r="Q1521" s="4">
        <v>0</v>
      </c>
      <c r="R1521" s="4" t="b">
        <v>0</v>
      </c>
      <c r="S1521" s="4" t="s">
        <v>49</v>
      </c>
      <c r="T1521" s="4" t="s">
        <v>50</v>
      </c>
      <c r="U1521" s="4" t="s">
        <v>107</v>
      </c>
      <c r="V1521" s="4" t="s">
        <v>63</v>
      </c>
      <c r="W1521" s="4" t="s">
        <v>108</v>
      </c>
      <c r="X1521" s="4" t="s">
        <v>98</v>
      </c>
      <c r="Y1521" s="4"/>
      <c r="Z1521" s="12">
        <v>0</v>
      </c>
      <c r="AA1521" s="13" t="s">
        <v>9149</v>
      </c>
      <c r="AB1521" s="13" t="s">
        <v>9150</v>
      </c>
      <c r="AC1521" s="14" t="s">
        <v>9139</v>
      </c>
      <c r="AD1521" s="14" t="s">
        <v>9140</v>
      </c>
      <c r="AE1521" s="14" t="s">
        <v>9140</v>
      </c>
      <c r="AF1521" s="14" t="s">
        <v>63</v>
      </c>
      <c r="AG1521" s="14" t="s">
        <v>98</v>
      </c>
      <c r="AH1521" s="15" t="s">
        <v>9220</v>
      </c>
      <c r="AI1521" s="15" t="s">
        <v>9191</v>
      </c>
      <c r="AJ1521" s="15" t="s">
        <v>9143</v>
      </c>
      <c r="AK1521" s="15" t="s">
        <v>9221</v>
      </c>
      <c r="AL1521" s="15" t="s">
        <v>9226</v>
      </c>
      <c r="AM1521" s="16" t="s">
        <v>9221</v>
      </c>
      <c r="AN1521" s="16" t="s">
        <v>9227</v>
      </c>
    </row>
    <row r="1522" spans="1:40" x14ac:dyDescent="0.25">
      <c r="A1522" s="4" t="s">
        <v>4046</v>
      </c>
      <c r="B1522" s="4"/>
      <c r="C1522" s="4" t="s">
        <v>39</v>
      </c>
      <c r="D1522" s="4" t="s">
        <v>4047</v>
      </c>
      <c r="E1522" s="4" t="s">
        <v>4048</v>
      </c>
      <c r="F1522" s="10">
        <v>45261</v>
      </c>
      <c r="G1522" s="11">
        <v>0.47569444444444442</v>
      </c>
      <c r="H1522" s="4" t="s">
        <v>4019</v>
      </c>
      <c r="I1522" s="4" t="s">
        <v>4020</v>
      </c>
      <c r="J1522" s="4" t="s">
        <v>3083</v>
      </c>
      <c r="K1522" s="4" t="s">
        <v>4049</v>
      </c>
      <c r="L1522" s="4" t="s">
        <v>4050</v>
      </c>
      <c r="M1522" s="4" t="s">
        <v>46</v>
      </c>
      <c r="N1522" s="4"/>
      <c r="O1522" s="4" t="s">
        <v>47</v>
      </c>
      <c r="P1522" s="4" t="s">
        <v>48</v>
      </c>
      <c r="Q1522" s="4">
        <v>0</v>
      </c>
      <c r="R1522" s="4" t="b">
        <v>0</v>
      </c>
      <c r="S1522" s="4" t="s">
        <v>61</v>
      </c>
      <c r="T1522" s="4" t="s">
        <v>50</v>
      </c>
      <c r="U1522" s="4" t="s">
        <v>224</v>
      </c>
      <c r="V1522" s="4" t="s">
        <v>72</v>
      </c>
      <c r="W1522" s="4" t="s">
        <v>73</v>
      </c>
      <c r="X1522" s="4" t="s">
        <v>98</v>
      </c>
      <c r="Y1522" s="4" t="s">
        <v>486</v>
      </c>
      <c r="Z1522" s="12">
        <v>0</v>
      </c>
      <c r="AA1522" s="13" t="s">
        <v>9149</v>
      </c>
      <c r="AB1522" s="13" t="s">
        <v>9150</v>
      </c>
      <c r="AC1522" s="14" t="s">
        <v>9148</v>
      </c>
      <c r="AD1522" s="14" t="s">
        <v>9140</v>
      </c>
      <c r="AE1522" s="14" t="s">
        <v>9140</v>
      </c>
      <c r="AF1522" s="14" t="s">
        <v>72</v>
      </c>
      <c r="AG1522" s="14" t="s">
        <v>98</v>
      </c>
      <c r="AH1522" s="15" t="s">
        <v>9220</v>
      </c>
      <c r="AI1522" s="15" t="s">
        <v>9175</v>
      </c>
      <c r="AJ1522" s="15" t="s">
        <v>9143</v>
      </c>
      <c r="AK1522" s="15" t="s">
        <v>9221</v>
      </c>
      <c r="AL1522" s="15" t="s">
        <v>9222</v>
      </c>
      <c r="AM1522" s="16" t="s">
        <v>9221</v>
      </c>
      <c r="AN1522" s="16" t="s">
        <v>9223</v>
      </c>
    </row>
    <row r="1523" spans="1:40" x14ac:dyDescent="0.25">
      <c r="A1523" s="4" t="s">
        <v>8925</v>
      </c>
      <c r="B1523" s="4"/>
      <c r="C1523" s="4" t="s">
        <v>39</v>
      </c>
      <c r="D1523" s="4" t="s">
        <v>8926</v>
      </c>
      <c r="E1523" s="4" t="s">
        <v>8927</v>
      </c>
      <c r="F1523" s="10">
        <v>45260</v>
      </c>
      <c r="G1523" s="11">
        <v>0.32291666666666669</v>
      </c>
      <c r="H1523" s="4" t="s">
        <v>4019</v>
      </c>
      <c r="I1523" s="4" t="s">
        <v>8854</v>
      </c>
      <c r="J1523" s="4" t="s">
        <v>8855</v>
      </c>
      <c r="K1523" s="4" t="s">
        <v>8928</v>
      </c>
      <c r="L1523" s="4" t="s">
        <v>8929</v>
      </c>
      <c r="M1523" s="4" t="s">
        <v>46</v>
      </c>
      <c r="N1523" s="4"/>
      <c r="O1523" s="4" t="s">
        <v>47</v>
      </c>
      <c r="P1523" s="4" t="s">
        <v>48</v>
      </c>
      <c r="Q1523" s="4">
        <v>0</v>
      </c>
      <c r="R1523" s="4" t="b">
        <v>0</v>
      </c>
      <c r="S1523" s="4" t="s">
        <v>61</v>
      </c>
      <c r="T1523" s="4" t="s">
        <v>89</v>
      </c>
      <c r="U1523" s="4" t="s">
        <v>71</v>
      </c>
      <c r="V1523" s="4" t="s">
        <v>63</v>
      </c>
      <c r="W1523" s="4" t="s">
        <v>108</v>
      </c>
      <c r="X1523" s="4" t="s">
        <v>98</v>
      </c>
      <c r="Y1523" s="4"/>
      <c r="Z1523" s="12">
        <v>0</v>
      </c>
      <c r="AA1523" s="13" t="s">
        <v>9149</v>
      </c>
      <c r="AB1523" s="13" t="s">
        <v>9150</v>
      </c>
      <c r="AC1523" s="14" t="s">
        <v>9148</v>
      </c>
      <c r="AD1523" s="14" t="s">
        <v>9140</v>
      </c>
      <c r="AE1523" s="14" t="s">
        <v>9140</v>
      </c>
      <c r="AF1523" s="14" t="s">
        <v>63</v>
      </c>
      <c r="AG1523" s="14" t="s">
        <v>98</v>
      </c>
      <c r="AH1523" s="15" t="s">
        <v>9220</v>
      </c>
      <c r="AI1523" s="15" t="s">
        <v>9175</v>
      </c>
      <c r="AJ1523" s="15" t="s">
        <v>9183</v>
      </c>
      <c r="AK1523" s="15" t="s">
        <v>9239</v>
      </c>
      <c r="AL1523" s="15" t="s">
        <v>9240</v>
      </c>
      <c r="AM1523" s="16" t="s">
        <v>9186</v>
      </c>
      <c r="AN1523" s="16" t="s">
        <v>9186</v>
      </c>
    </row>
    <row r="1524" spans="1:40" x14ac:dyDescent="0.25">
      <c r="A1524" s="4" t="s">
        <v>4425</v>
      </c>
      <c r="B1524" s="4"/>
      <c r="C1524" s="4" t="s">
        <v>39</v>
      </c>
      <c r="D1524" s="4" t="s">
        <v>4426</v>
      </c>
      <c r="E1524" s="4" t="s">
        <v>4427</v>
      </c>
      <c r="F1524" s="10">
        <v>45260</v>
      </c>
      <c r="G1524" s="11">
        <v>0.39583333333333331</v>
      </c>
      <c r="H1524" s="4" t="s">
        <v>4019</v>
      </c>
      <c r="I1524" s="4" t="s">
        <v>4304</v>
      </c>
      <c r="J1524" s="4" t="s">
        <v>1941</v>
      </c>
      <c r="K1524" s="4" t="s">
        <v>4428</v>
      </c>
      <c r="L1524" s="4" t="s">
        <v>4429</v>
      </c>
      <c r="M1524" s="4" t="s">
        <v>46</v>
      </c>
      <c r="N1524" s="4"/>
      <c r="O1524" s="4" t="s">
        <v>47</v>
      </c>
      <c r="P1524" s="4" t="s">
        <v>48</v>
      </c>
      <c r="Q1524" s="4">
        <v>0</v>
      </c>
      <c r="R1524" s="4" t="b">
        <v>0</v>
      </c>
      <c r="S1524" s="4" t="s">
        <v>49</v>
      </c>
      <c r="T1524" s="4" t="s">
        <v>50</v>
      </c>
      <c r="U1524" s="4" t="s">
        <v>107</v>
      </c>
      <c r="V1524" s="4" t="s">
        <v>63</v>
      </c>
      <c r="W1524" s="4" t="s">
        <v>108</v>
      </c>
      <c r="X1524" s="4" t="s">
        <v>98</v>
      </c>
      <c r="Y1524" s="4"/>
      <c r="Z1524" s="12">
        <v>0</v>
      </c>
      <c r="AA1524" s="13" t="s">
        <v>9149</v>
      </c>
      <c r="AB1524" s="13" t="s">
        <v>9150</v>
      </c>
      <c r="AC1524" s="14" t="s">
        <v>9139</v>
      </c>
      <c r="AD1524" s="14" t="s">
        <v>9140</v>
      </c>
      <c r="AE1524" s="14" t="s">
        <v>9140</v>
      </c>
      <c r="AF1524" s="14" t="s">
        <v>63</v>
      </c>
      <c r="AG1524" s="14" t="s">
        <v>98</v>
      </c>
      <c r="AH1524" s="15" t="s">
        <v>9220</v>
      </c>
      <c r="AI1524" s="15" t="s">
        <v>9175</v>
      </c>
      <c r="AJ1524" s="15" t="s">
        <v>9143</v>
      </c>
      <c r="AK1524" s="15" t="s">
        <v>9221</v>
      </c>
      <c r="AL1524" s="15" t="s">
        <v>9222</v>
      </c>
      <c r="AM1524" s="16" t="s">
        <v>9221</v>
      </c>
      <c r="AN1524" s="16" t="s">
        <v>9223</v>
      </c>
    </row>
    <row r="1525" spans="1:40" x14ac:dyDescent="0.25">
      <c r="A1525" s="4" t="s">
        <v>5733</v>
      </c>
      <c r="B1525" s="4"/>
      <c r="C1525" s="4" t="s">
        <v>39</v>
      </c>
      <c r="D1525" s="4" t="s">
        <v>5734</v>
      </c>
      <c r="E1525" s="4" t="s">
        <v>5735</v>
      </c>
      <c r="F1525" s="10">
        <v>45260</v>
      </c>
      <c r="G1525" s="11">
        <v>0.76736111111111116</v>
      </c>
      <c r="H1525" s="4" t="s">
        <v>5666</v>
      </c>
      <c r="I1525" s="4" t="s">
        <v>5667</v>
      </c>
      <c r="J1525" s="4" t="s">
        <v>2192</v>
      </c>
      <c r="K1525" s="4" t="s">
        <v>525</v>
      </c>
      <c r="L1525" s="4" t="s">
        <v>5736</v>
      </c>
      <c r="M1525" s="4" t="s">
        <v>46</v>
      </c>
      <c r="N1525" s="4"/>
      <c r="O1525" s="4" t="s">
        <v>47</v>
      </c>
      <c r="P1525" s="4" t="s">
        <v>48</v>
      </c>
      <c r="Q1525" s="4">
        <v>0</v>
      </c>
      <c r="R1525" s="4" t="b">
        <v>0</v>
      </c>
      <c r="S1525" s="4" t="s">
        <v>61</v>
      </c>
      <c r="T1525" s="4" t="s">
        <v>50</v>
      </c>
      <c r="U1525" s="4" t="s">
        <v>90</v>
      </c>
      <c r="V1525" s="4" t="s">
        <v>63</v>
      </c>
      <c r="W1525" s="4" t="s">
        <v>198</v>
      </c>
      <c r="X1525" s="4" t="s">
        <v>978</v>
      </c>
      <c r="Y1525" s="4"/>
      <c r="Z1525" s="12">
        <v>0</v>
      </c>
      <c r="AA1525" s="13" t="s">
        <v>9149</v>
      </c>
      <c r="AB1525" s="13" t="s">
        <v>9150</v>
      </c>
      <c r="AC1525" s="14" t="s">
        <v>9148</v>
      </c>
      <c r="AD1525" s="14" t="s">
        <v>9140</v>
      </c>
      <c r="AE1525" s="14" t="s">
        <v>9140</v>
      </c>
      <c r="AF1525" s="14" t="s">
        <v>63</v>
      </c>
      <c r="AG1525" s="14" t="s">
        <v>978</v>
      </c>
      <c r="AH1525" s="15" t="s">
        <v>9220</v>
      </c>
      <c r="AI1525" s="15" t="s">
        <v>9199</v>
      </c>
      <c r="AJ1525" s="15" t="s">
        <v>9143</v>
      </c>
      <c r="AK1525" s="15" t="s">
        <v>9221</v>
      </c>
      <c r="AL1525" s="15" t="s">
        <v>9199</v>
      </c>
      <c r="AM1525" s="16" t="s">
        <v>9221</v>
      </c>
      <c r="AN1525" s="16" t="s">
        <v>9238</v>
      </c>
    </row>
    <row r="1526" spans="1:40" x14ac:dyDescent="0.25">
      <c r="A1526" s="4" t="s">
        <v>3280</v>
      </c>
      <c r="B1526" s="4"/>
      <c r="C1526" s="4" t="s">
        <v>39</v>
      </c>
      <c r="D1526" s="4" t="s">
        <v>3281</v>
      </c>
      <c r="E1526" s="4" t="s">
        <v>3282</v>
      </c>
      <c r="F1526" s="10">
        <v>45260</v>
      </c>
      <c r="G1526" s="11">
        <v>0.75</v>
      </c>
      <c r="H1526" s="4" t="s">
        <v>2095</v>
      </c>
      <c r="I1526" s="4" t="s">
        <v>3264</v>
      </c>
      <c r="J1526" s="4" t="s">
        <v>3265</v>
      </c>
      <c r="K1526" s="4" t="s">
        <v>3283</v>
      </c>
      <c r="L1526" s="4" t="s">
        <v>3284</v>
      </c>
      <c r="M1526" s="4" t="s">
        <v>46</v>
      </c>
      <c r="N1526" s="4"/>
      <c r="O1526" s="4" t="s">
        <v>47</v>
      </c>
      <c r="P1526" s="4" t="s">
        <v>48</v>
      </c>
      <c r="Q1526" s="4">
        <v>0</v>
      </c>
      <c r="R1526" s="4" t="b">
        <v>0</v>
      </c>
      <c r="S1526" s="4" t="s">
        <v>61</v>
      </c>
      <c r="T1526" s="4" t="s">
        <v>50</v>
      </c>
      <c r="U1526" s="4" t="s">
        <v>90</v>
      </c>
      <c r="V1526" s="4" t="s">
        <v>72</v>
      </c>
      <c r="W1526" s="4" t="s">
        <v>73</v>
      </c>
      <c r="X1526" s="4" t="s">
        <v>54</v>
      </c>
      <c r="Y1526" s="4"/>
      <c r="Z1526" s="12">
        <v>0</v>
      </c>
      <c r="AA1526" s="13" t="s">
        <v>9149</v>
      </c>
      <c r="AB1526" s="13" t="s">
        <v>9150</v>
      </c>
      <c r="AC1526" s="14" t="s">
        <v>9148</v>
      </c>
      <c r="AD1526" s="14" t="s">
        <v>9140</v>
      </c>
      <c r="AE1526" s="14" t="s">
        <v>9140</v>
      </c>
      <c r="AF1526" s="14" t="s">
        <v>72</v>
      </c>
      <c r="AG1526" s="14" t="s">
        <v>54</v>
      </c>
      <c r="AH1526" s="15" t="s">
        <v>9194</v>
      </c>
      <c r="AI1526" s="15" t="s">
        <v>9188</v>
      </c>
      <c r="AJ1526" s="15" t="s">
        <v>9143</v>
      </c>
      <c r="AK1526" s="15" t="s">
        <v>9194</v>
      </c>
      <c r="AL1526" s="15" t="s">
        <v>9211</v>
      </c>
      <c r="AM1526" s="16" t="s">
        <v>9194</v>
      </c>
      <c r="AN1526" s="16" t="s">
        <v>9212</v>
      </c>
    </row>
    <row r="1527" spans="1:40" x14ac:dyDescent="0.25">
      <c r="A1527" s="4" t="s">
        <v>1193</v>
      </c>
      <c r="B1527" s="4"/>
      <c r="C1527" s="4" t="s">
        <v>39</v>
      </c>
      <c r="D1527" s="4" t="s">
        <v>1180</v>
      </c>
      <c r="E1527" s="4" t="s">
        <v>1181</v>
      </c>
      <c r="F1527" s="10">
        <v>45260</v>
      </c>
      <c r="G1527" s="11">
        <v>0.625</v>
      </c>
      <c r="H1527" s="4" t="s">
        <v>1155</v>
      </c>
      <c r="I1527" s="4">
        <v>4042</v>
      </c>
      <c r="J1527" s="4" t="s">
        <v>1173</v>
      </c>
      <c r="K1527" s="4" t="s">
        <v>1194</v>
      </c>
      <c r="L1527" s="4" t="s">
        <v>1195</v>
      </c>
      <c r="M1527" s="4" t="s">
        <v>46</v>
      </c>
      <c r="N1527" s="4"/>
      <c r="O1527" s="4" t="s">
        <v>47</v>
      </c>
      <c r="P1527" s="4" t="s">
        <v>48</v>
      </c>
      <c r="Q1527" s="4">
        <v>0</v>
      </c>
      <c r="R1527" s="4" t="b">
        <v>0</v>
      </c>
      <c r="S1527" s="4" t="s">
        <v>61</v>
      </c>
      <c r="T1527" s="4" t="s">
        <v>89</v>
      </c>
      <c r="U1527" s="4" t="s">
        <v>175</v>
      </c>
      <c r="V1527" s="4" t="s">
        <v>63</v>
      </c>
      <c r="W1527" s="4" t="s">
        <v>784</v>
      </c>
      <c r="X1527" s="4" t="s">
        <v>471</v>
      </c>
      <c r="Y1527" s="4"/>
      <c r="Z1527" s="12">
        <v>0</v>
      </c>
      <c r="AA1527" s="13" t="s">
        <v>9149</v>
      </c>
      <c r="AB1527" s="13" t="s">
        <v>9150</v>
      </c>
      <c r="AC1527" s="14" t="s">
        <v>9148</v>
      </c>
      <c r="AD1527" s="14" t="s">
        <v>9140</v>
      </c>
      <c r="AE1527" s="14" t="s">
        <v>9140</v>
      </c>
      <c r="AF1527" s="14" t="s">
        <v>63</v>
      </c>
      <c r="AG1527" s="14" t="s">
        <v>471</v>
      </c>
      <c r="AH1527" s="15" t="s">
        <v>9141</v>
      </c>
      <c r="AI1527" s="15" t="s">
        <v>9187</v>
      </c>
      <c r="AJ1527" s="15" t="s">
        <v>9143</v>
      </c>
      <c r="AK1527" s="15" t="s">
        <v>9141</v>
      </c>
      <c r="AL1527" s="15" t="s">
        <v>9144</v>
      </c>
      <c r="AM1527" s="16" t="s">
        <v>9141</v>
      </c>
      <c r="AN1527" s="16" t="s">
        <v>9145</v>
      </c>
    </row>
    <row r="1528" spans="1:40" x14ac:dyDescent="0.25">
      <c r="A1528" s="4" t="s">
        <v>205</v>
      </c>
      <c r="B1528" s="17"/>
      <c r="C1528" s="4" t="s">
        <v>39</v>
      </c>
      <c r="D1528" s="4" t="s">
        <v>206</v>
      </c>
      <c r="E1528" s="4" t="s">
        <v>207</v>
      </c>
      <c r="F1528" s="10">
        <v>45260</v>
      </c>
      <c r="G1528" s="18">
        <v>0.71527777777777779</v>
      </c>
      <c r="H1528" s="4" t="s">
        <v>42</v>
      </c>
      <c r="I1528" s="4">
        <v>1010</v>
      </c>
      <c r="J1528" s="4" t="s">
        <v>208</v>
      </c>
      <c r="K1528" s="4" t="s">
        <v>209</v>
      </c>
      <c r="L1528" s="4" t="s">
        <v>210</v>
      </c>
      <c r="M1528" s="4" t="s">
        <v>46</v>
      </c>
      <c r="N1528" s="4"/>
      <c r="O1528" s="4" t="s">
        <v>47</v>
      </c>
      <c r="P1528" s="4" t="s">
        <v>48</v>
      </c>
      <c r="Q1528" s="4">
        <v>0</v>
      </c>
      <c r="R1528" s="4" t="b">
        <v>0</v>
      </c>
      <c r="S1528" s="4" t="s">
        <v>49</v>
      </c>
      <c r="T1528" s="4" t="s">
        <v>70</v>
      </c>
      <c r="U1528" s="4" t="s">
        <v>71</v>
      </c>
      <c r="V1528" s="4" t="s">
        <v>72</v>
      </c>
      <c r="W1528" s="4" t="s">
        <v>73</v>
      </c>
      <c r="X1528" s="4" t="s">
        <v>98</v>
      </c>
      <c r="Y1528" s="4" t="s">
        <v>211</v>
      </c>
      <c r="Z1528" s="12">
        <v>0</v>
      </c>
      <c r="AA1528" s="13" t="s">
        <v>9149</v>
      </c>
      <c r="AB1528" s="13" t="s">
        <v>9150</v>
      </c>
      <c r="AC1528" s="14" t="s">
        <v>9139</v>
      </c>
      <c r="AD1528" s="14" t="s">
        <v>9140</v>
      </c>
      <c r="AE1528" s="14" t="s">
        <v>9140</v>
      </c>
      <c r="AF1528" s="14" t="s">
        <v>72</v>
      </c>
      <c r="AG1528" s="14" t="s">
        <v>98</v>
      </c>
      <c r="AH1528" s="15" t="s">
        <v>9141</v>
      </c>
      <c r="AI1528" s="15" t="s">
        <v>9142</v>
      </c>
      <c r="AJ1528" s="15" t="s">
        <v>9143</v>
      </c>
      <c r="AK1528" s="15" t="s">
        <v>9141</v>
      </c>
      <c r="AL1528" s="15" t="s">
        <v>9144</v>
      </c>
      <c r="AM1528" s="16" t="s">
        <v>9141</v>
      </c>
      <c r="AN1528" s="16" t="s">
        <v>9145</v>
      </c>
    </row>
    <row r="1529" spans="1:40" x14ac:dyDescent="0.25">
      <c r="A1529" s="4" t="s">
        <v>1888</v>
      </c>
      <c r="B1529" s="4"/>
      <c r="C1529" s="4" t="s">
        <v>39</v>
      </c>
      <c r="D1529" s="4" t="s">
        <v>1889</v>
      </c>
      <c r="E1529" s="4" t="s">
        <v>1890</v>
      </c>
      <c r="F1529" s="10">
        <v>45260</v>
      </c>
      <c r="G1529" s="11">
        <v>0.625</v>
      </c>
      <c r="H1529" s="4" t="s">
        <v>1654</v>
      </c>
      <c r="I1529" s="4">
        <v>9097</v>
      </c>
      <c r="J1529" s="4" t="s">
        <v>1844</v>
      </c>
      <c r="K1529" s="4" t="s">
        <v>1891</v>
      </c>
      <c r="L1529" s="4" t="s">
        <v>1892</v>
      </c>
      <c r="M1529" s="4" t="s">
        <v>46</v>
      </c>
      <c r="N1529" s="4"/>
      <c r="O1529" s="4" t="s">
        <v>47</v>
      </c>
      <c r="P1529" s="4" t="s">
        <v>48</v>
      </c>
      <c r="Q1529" s="4">
        <v>0</v>
      </c>
      <c r="R1529" s="4" t="b">
        <v>0</v>
      </c>
      <c r="S1529" s="4" t="s">
        <v>114</v>
      </c>
      <c r="T1529" s="4" t="s">
        <v>79</v>
      </c>
      <c r="U1529" s="4" t="s">
        <v>80</v>
      </c>
      <c r="V1529" s="4" t="s">
        <v>63</v>
      </c>
      <c r="W1529" s="4" t="s">
        <v>108</v>
      </c>
      <c r="X1529" s="4" t="s">
        <v>98</v>
      </c>
      <c r="Y1529" s="4"/>
      <c r="Z1529" s="12">
        <v>0</v>
      </c>
      <c r="AA1529" s="13" t="s">
        <v>9149</v>
      </c>
      <c r="AB1529" s="13" t="s">
        <v>9150</v>
      </c>
      <c r="AC1529" s="14" t="s">
        <v>9157</v>
      </c>
      <c r="AD1529" s="14" t="s">
        <v>9140</v>
      </c>
      <c r="AE1529" s="14" t="s">
        <v>9140</v>
      </c>
      <c r="AF1529" s="14" t="s">
        <v>63</v>
      </c>
      <c r="AG1529" s="14" t="s">
        <v>98</v>
      </c>
      <c r="AH1529" s="15" t="s">
        <v>9141</v>
      </c>
      <c r="AI1529" s="15" t="s">
        <v>9191</v>
      </c>
      <c r="AJ1529" s="15" t="s">
        <v>9143</v>
      </c>
      <c r="AK1529" s="15" t="s">
        <v>9141</v>
      </c>
      <c r="AL1529" s="15" t="s">
        <v>9191</v>
      </c>
      <c r="AM1529" s="16" t="s">
        <v>9141</v>
      </c>
      <c r="AN1529" s="16" t="s">
        <v>9192</v>
      </c>
    </row>
    <row r="1530" spans="1:40" x14ac:dyDescent="0.25">
      <c r="A1530" s="4" t="s">
        <v>1615</v>
      </c>
      <c r="B1530" s="4"/>
      <c r="C1530" s="4" t="s">
        <v>39</v>
      </c>
      <c r="D1530" s="4" t="s">
        <v>1616</v>
      </c>
      <c r="E1530" s="4" t="s">
        <v>1617</v>
      </c>
      <c r="F1530" s="10">
        <v>45259</v>
      </c>
      <c r="G1530" s="11">
        <v>0.5</v>
      </c>
      <c r="H1530" s="4" t="s">
        <v>1366</v>
      </c>
      <c r="I1530" s="4">
        <v>6071</v>
      </c>
      <c r="J1530" s="4" t="s">
        <v>1586</v>
      </c>
      <c r="K1530" s="4" t="s">
        <v>1618</v>
      </c>
      <c r="L1530" s="4" t="s">
        <v>1619</v>
      </c>
      <c r="M1530" s="4" t="s">
        <v>46</v>
      </c>
      <c r="N1530" s="4"/>
      <c r="O1530" s="4" t="s">
        <v>47</v>
      </c>
      <c r="P1530" s="4" t="s">
        <v>48</v>
      </c>
      <c r="Q1530" s="4">
        <v>0</v>
      </c>
      <c r="R1530" s="4" t="b">
        <v>0</v>
      </c>
      <c r="S1530" s="4" t="s">
        <v>61</v>
      </c>
      <c r="T1530" s="4" t="s">
        <v>89</v>
      </c>
      <c r="U1530" s="4" t="s">
        <v>71</v>
      </c>
      <c r="V1530" s="4" t="s">
        <v>63</v>
      </c>
      <c r="W1530" s="4" t="s">
        <v>108</v>
      </c>
      <c r="X1530" s="4" t="s">
        <v>98</v>
      </c>
      <c r="Y1530" s="4"/>
      <c r="Z1530" s="12">
        <v>0</v>
      </c>
      <c r="AA1530" s="13" t="s">
        <v>9149</v>
      </c>
      <c r="AB1530" s="13" t="s">
        <v>9150</v>
      </c>
      <c r="AC1530" s="14" t="s">
        <v>9148</v>
      </c>
      <c r="AD1530" s="14" t="s">
        <v>9140</v>
      </c>
      <c r="AE1530" s="14" t="s">
        <v>9140</v>
      </c>
      <c r="AF1530" s="14" t="s">
        <v>63</v>
      </c>
      <c r="AG1530" s="14" t="s">
        <v>98</v>
      </c>
      <c r="AH1530" s="15" t="s">
        <v>9141</v>
      </c>
      <c r="AI1530" s="15" t="s">
        <v>9188</v>
      </c>
      <c r="AJ1530" s="15" t="s">
        <v>9143</v>
      </c>
      <c r="AK1530" s="15" t="s">
        <v>9141</v>
      </c>
      <c r="AL1530" s="15" t="s">
        <v>9191</v>
      </c>
      <c r="AM1530" s="16" t="s">
        <v>9141</v>
      </c>
      <c r="AN1530" s="16" t="s">
        <v>9192</v>
      </c>
    </row>
    <row r="1531" spans="1:40" x14ac:dyDescent="0.25">
      <c r="A1531" s="4" t="s">
        <v>1818</v>
      </c>
      <c r="B1531" s="4" t="s">
        <v>1819</v>
      </c>
      <c r="C1531" s="4" t="s">
        <v>39</v>
      </c>
      <c r="D1531" s="4" t="s">
        <v>1820</v>
      </c>
      <c r="E1531" s="4" t="s">
        <v>1821</v>
      </c>
      <c r="F1531" s="10">
        <v>45259</v>
      </c>
      <c r="G1531" s="11">
        <v>0.58333333333333337</v>
      </c>
      <c r="H1531" s="4" t="s">
        <v>1654</v>
      </c>
      <c r="I1531" s="4">
        <v>9095</v>
      </c>
      <c r="J1531" s="4" t="s">
        <v>1742</v>
      </c>
      <c r="K1531" s="4" t="s">
        <v>1822</v>
      </c>
      <c r="L1531" s="4" t="s">
        <v>1823</v>
      </c>
      <c r="M1531" s="4" t="s">
        <v>28</v>
      </c>
      <c r="N1531" s="4" t="s">
        <v>183</v>
      </c>
      <c r="O1531" s="4" t="s">
        <v>191</v>
      </c>
      <c r="P1531" s="4" t="s">
        <v>48</v>
      </c>
      <c r="Q1531" s="4">
        <v>24</v>
      </c>
      <c r="R1531" s="4" t="b">
        <v>0</v>
      </c>
      <c r="S1531" s="4" t="s">
        <v>114</v>
      </c>
      <c r="T1531" s="4" t="s">
        <v>89</v>
      </c>
      <c r="U1531" s="4" t="s">
        <v>148</v>
      </c>
      <c r="V1531" s="4" t="s">
        <v>52</v>
      </c>
      <c r="W1531" s="4" t="s">
        <v>53</v>
      </c>
      <c r="X1531" s="4" t="s">
        <v>54</v>
      </c>
      <c r="Y1531" s="4"/>
      <c r="Z1531" s="12" t="s">
        <v>48</v>
      </c>
      <c r="AA1531" s="13" t="s">
        <v>9149</v>
      </c>
      <c r="AB1531" s="13" t="s">
        <v>9150</v>
      </c>
      <c r="AC1531" s="14" t="s">
        <v>9157</v>
      </c>
      <c r="AD1531" s="14" t="s">
        <v>28</v>
      </c>
      <c r="AE1531" s="14" t="s">
        <v>183</v>
      </c>
      <c r="AF1531" s="14" t="s">
        <v>52</v>
      </c>
      <c r="AG1531" s="14" t="s">
        <v>54</v>
      </c>
      <c r="AH1531" s="15" t="s">
        <v>9141</v>
      </c>
      <c r="AI1531" s="15" t="s">
        <v>9191</v>
      </c>
      <c r="AJ1531" s="15" t="s">
        <v>9143</v>
      </c>
      <c r="AK1531" s="15" t="s">
        <v>9141</v>
      </c>
      <c r="AL1531" s="15" t="s">
        <v>9191</v>
      </c>
      <c r="AM1531" s="16" t="s">
        <v>9141</v>
      </c>
      <c r="AN1531" s="16" t="s">
        <v>9192</v>
      </c>
    </row>
    <row r="1532" spans="1:40" x14ac:dyDescent="0.25">
      <c r="A1532" s="4" t="s">
        <v>2121</v>
      </c>
      <c r="B1532" s="4"/>
      <c r="C1532" s="4" t="s">
        <v>39</v>
      </c>
      <c r="D1532" s="4" t="s">
        <v>2122</v>
      </c>
      <c r="E1532" s="4" t="s">
        <v>2123</v>
      </c>
      <c r="F1532" s="10">
        <v>45259</v>
      </c>
      <c r="G1532" s="11">
        <v>0.48958333333333331</v>
      </c>
      <c r="H1532" s="4" t="s">
        <v>2095</v>
      </c>
      <c r="I1532" s="4" t="s">
        <v>2096</v>
      </c>
      <c r="J1532" s="4" t="s">
        <v>2097</v>
      </c>
      <c r="K1532" s="4" t="s">
        <v>2124</v>
      </c>
      <c r="L1532" s="4" t="s">
        <v>2125</v>
      </c>
      <c r="M1532" s="4" t="s">
        <v>46</v>
      </c>
      <c r="N1532" s="4"/>
      <c r="O1532" s="4" t="s">
        <v>47</v>
      </c>
      <c r="P1532" s="4" t="s">
        <v>48</v>
      </c>
      <c r="Q1532" s="4">
        <v>0</v>
      </c>
      <c r="R1532" s="4" t="b">
        <v>0</v>
      </c>
      <c r="S1532" s="4" t="s">
        <v>49</v>
      </c>
      <c r="T1532" s="4" t="s">
        <v>479</v>
      </c>
      <c r="U1532" s="4" t="s">
        <v>373</v>
      </c>
      <c r="V1532" s="4" t="s">
        <v>123</v>
      </c>
      <c r="W1532" s="4" t="s">
        <v>192</v>
      </c>
      <c r="X1532" s="4" t="s">
        <v>54</v>
      </c>
      <c r="Y1532" s="4"/>
      <c r="Z1532" s="12">
        <v>0</v>
      </c>
      <c r="AA1532" s="13" t="s">
        <v>9149</v>
      </c>
      <c r="AB1532" s="13" t="s">
        <v>9150</v>
      </c>
      <c r="AC1532" s="14" t="s">
        <v>9139</v>
      </c>
      <c r="AD1532" s="14" t="s">
        <v>9140</v>
      </c>
      <c r="AE1532" s="14" t="s">
        <v>9140</v>
      </c>
      <c r="AF1532" s="14" t="s">
        <v>123</v>
      </c>
      <c r="AG1532" s="14" t="s">
        <v>54</v>
      </c>
      <c r="AH1532" s="15" t="s">
        <v>9194</v>
      </c>
      <c r="AI1532" s="15" t="s">
        <v>9188</v>
      </c>
      <c r="AJ1532" s="15" t="s">
        <v>9143</v>
      </c>
      <c r="AK1532" s="15" t="s">
        <v>9194</v>
      </c>
      <c r="AL1532" s="15" t="s">
        <v>9203</v>
      </c>
      <c r="AM1532" s="16" t="s">
        <v>9194</v>
      </c>
      <c r="AN1532" s="16" t="s">
        <v>9204</v>
      </c>
    </row>
    <row r="1533" spans="1:40" x14ac:dyDescent="0.25">
      <c r="A1533" s="4" t="s">
        <v>2762</v>
      </c>
      <c r="B1533" s="4"/>
      <c r="C1533" s="4" t="s">
        <v>39</v>
      </c>
      <c r="D1533" s="4" t="s">
        <v>2763</v>
      </c>
      <c r="E1533" s="4" t="s">
        <v>2764</v>
      </c>
      <c r="F1533" s="10">
        <v>45259</v>
      </c>
      <c r="G1533" s="11">
        <v>0.53472222222222221</v>
      </c>
      <c r="H1533" s="4" t="s">
        <v>2227</v>
      </c>
      <c r="I1533" s="4" t="s">
        <v>2715</v>
      </c>
      <c r="J1533" s="4" t="s">
        <v>1200</v>
      </c>
      <c r="K1533" s="4" t="s">
        <v>2765</v>
      </c>
      <c r="L1533" s="4" t="s">
        <v>2766</v>
      </c>
      <c r="M1533" s="4" t="s">
        <v>46</v>
      </c>
      <c r="N1533" s="4"/>
      <c r="O1533" s="4" t="s">
        <v>47</v>
      </c>
      <c r="P1533" s="4" t="s">
        <v>48</v>
      </c>
      <c r="Q1533" s="4">
        <v>0</v>
      </c>
      <c r="R1533" s="4" t="b">
        <v>0</v>
      </c>
      <c r="S1533" s="4" t="s">
        <v>61</v>
      </c>
      <c r="T1533" s="4" t="s">
        <v>50</v>
      </c>
      <c r="U1533" s="4" t="s">
        <v>2767</v>
      </c>
      <c r="V1533" s="4" t="s">
        <v>63</v>
      </c>
      <c r="W1533" s="4" t="s">
        <v>108</v>
      </c>
      <c r="X1533" s="4" t="s">
        <v>978</v>
      </c>
      <c r="Y1533" s="4"/>
      <c r="Z1533" s="12">
        <v>0</v>
      </c>
      <c r="AA1533" s="13" t="s">
        <v>9149</v>
      </c>
      <c r="AB1533" s="13" t="s">
        <v>9150</v>
      </c>
      <c r="AC1533" s="14" t="s">
        <v>9148</v>
      </c>
      <c r="AD1533" s="14" t="s">
        <v>9140</v>
      </c>
      <c r="AE1533" s="14" t="s">
        <v>9140</v>
      </c>
      <c r="AF1533" s="14" t="s">
        <v>63</v>
      </c>
      <c r="AG1533" s="14" t="s">
        <v>978</v>
      </c>
      <c r="AH1533" s="15" t="s">
        <v>9194</v>
      </c>
      <c r="AI1533" s="15" t="s">
        <v>9187</v>
      </c>
      <c r="AJ1533" s="15" t="s">
        <v>9143</v>
      </c>
      <c r="AK1533" s="15" t="s">
        <v>9194</v>
      </c>
      <c r="AL1533" s="15" t="s">
        <v>9209</v>
      </c>
      <c r="AM1533" s="16" t="s">
        <v>9194</v>
      </c>
      <c r="AN1533" s="16" t="s">
        <v>9210</v>
      </c>
    </row>
    <row r="1534" spans="1:40" x14ac:dyDescent="0.25">
      <c r="A1534" s="4" t="s">
        <v>3515</v>
      </c>
      <c r="B1534" s="4"/>
      <c r="C1534" s="4" t="s">
        <v>39</v>
      </c>
      <c r="D1534" s="4" t="s">
        <v>3516</v>
      </c>
      <c r="E1534" s="4" t="s">
        <v>3517</v>
      </c>
      <c r="F1534" s="10">
        <v>45259</v>
      </c>
      <c r="G1534" s="11">
        <v>0.59722222222222221</v>
      </c>
      <c r="H1534" s="4" t="s">
        <v>2017</v>
      </c>
      <c r="I1534" s="4" t="s">
        <v>3502</v>
      </c>
      <c r="J1534" s="4" t="s">
        <v>3503</v>
      </c>
      <c r="K1534" s="4" t="s">
        <v>3518</v>
      </c>
      <c r="L1534" s="4" t="s">
        <v>3519</v>
      </c>
      <c r="M1534" s="4" t="s">
        <v>46</v>
      </c>
      <c r="N1534" s="4"/>
      <c r="O1534" s="4" t="s">
        <v>47</v>
      </c>
      <c r="P1534" s="4" t="s">
        <v>48</v>
      </c>
      <c r="Q1534" s="4">
        <v>0</v>
      </c>
      <c r="R1534" s="4" t="b">
        <v>0</v>
      </c>
      <c r="S1534" s="4" t="s">
        <v>49</v>
      </c>
      <c r="T1534" s="4" t="s">
        <v>89</v>
      </c>
      <c r="U1534" s="4" t="s">
        <v>107</v>
      </c>
      <c r="V1534" s="4" t="s">
        <v>63</v>
      </c>
      <c r="W1534" s="4" t="s">
        <v>108</v>
      </c>
      <c r="X1534" s="4" t="s">
        <v>98</v>
      </c>
      <c r="Y1534" s="4"/>
      <c r="Z1534" s="12">
        <v>0</v>
      </c>
      <c r="AA1534" s="13" t="s">
        <v>9149</v>
      </c>
      <c r="AB1534" s="13" t="s">
        <v>9150</v>
      </c>
      <c r="AC1534" s="14" t="s">
        <v>9139</v>
      </c>
      <c r="AD1534" s="14" t="s">
        <v>9140</v>
      </c>
      <c r="AE1534" s="14" t="s">
        <v>9140</v>
      </c>
      <c r="AF1534" s="14" t="s">
        <v>63</v>
      </c>
      <c r="AG1534" s="14" t="s">
        <v>98</v>
      </c>
      <c r="AH1534" s="15" t="s">
        <v>9194</v>
      </c>
      <c r="AI1534" s="15" t="s">
        <v>9199</v>
      </c>
      <c r="AJ1534" s="15" t="s">
        <v>9143</v>
      </c>
      <c r="AK1534" s="15" t="s">
        <v>9194</v>
      </c>
      <c r="AL1534" s="15" t="s">
        <v>9199</v>
      </c>
      <c r="AM1534" s="16" t="s">
        <v>9194</v>
      </c>
      <c r="AN1534" s="16" t="s">
        <v>9200</v>
      </c>
    </row>
    <row r="1535" spans="1:40" x14ac:dyDescent="0.25">
      <c r="A1535" s="4" t="s">
        <v>6530</v>
      </c>
      <c r="B1535" s="4" t="s">
        <v>6531</v>
      </c>
      <c r="C1535" s="4" t="s">
        <v>39</v>
      </c>
      <c r="D1535" s="4" t="s">
        <v>6532</v>
      </c>
      <c r="E1535" s="4" t="s">
        <v>6533</v>
      </c>
      <c r="F1535" s="10">
        <v>45259</v>
      </c>
      <c r="G1535" s="11">
        <v>0.61527777777777781</v>
      </c>
      <c r="H1535" s="4" t="s">
        <v>4910</v>
      </c>
      <c r="I1535" s="4" t="s">
        <v>6502</v>
      </c>
      <c r="J1535" s="4" t="s">
        <v>6503</v>
      </c>
      <c r="K1535" s="4" t="s">
        <v>6534</v>
      </c>
      <c r="L1535" s="4" t="s">
        <v>6535</v>
      </c>
      <c r="M1535" s="4" t="s">
        <v>28</v>
      </c>
      <c r="N1535" s="4" t="s">
        <v>183</v>
      </c>
      <c r="O1535" s="4" t="s">
        <v>344</v>
      </c>
      <c r="P1535" s="4" t="s">
        <v>48</v>
      </c>
      <c r="Q1535" s="4">
        <v>73</v>
      </c>
      <c r="R1535" s="4" t="b">
        <v>0</v>
      </c>
      <c r="S1535" s="4" t="s">
        <v>114</v>
      </c>
      <c r="T1535" s="4" t="s">
        <v>479</v>
      </c>
      <c r="U1535" s="4" t="s">
        <v>51</v>
      </c>
      <c r="V1535" s="4" t="s">
        <v>52</v>
      </c>
      <c r="W1535" s="4" t="s">
        <v>53</v>
      </c>
      <c r="X1535" s="4" t="s">
        <v>54</v>
      </c>
      <c r="Y1535" s="4"/>
      <c r="Z1535" s="12" t="s">
        <v>48</v>
      </c>
      <c r="AA1535" s="13" t="s">
        <v>9149</v>
      </c>
      <c r="AB1535" s="13" t="s">
        <v>9150</v>
      </c>
      <c r="AC1535" s="14" t="s">
        <v>9157</v>
      </c>
      <c r="AD1535" s="14" t="s">
        <v>28</v>
      </c>
      <c r="AE1535" s="14" t="s">
        <v>183</v>
      </c>
      <c r="AF1535" s="14" t="s">
        <v>52</v>
      </c>
      <c r="AG1535" s="14" t="s">
        <v>54</v>
      </c>
      <c r="AH1535" s="15" t="s">
        <v>9220</v>
      </c>
      <c r="AI1535" s="15" t="s">
        <v>9191</v>
      </c>
      <c r="AJ1535" s="15" t="s">
        <v>9143</v>
      </c>
      <c r="AK1535" s="15" t="s">
        <v>9221</v>
      </c>
      <c r="AL1535" s="15" t="s">
        <v>9236</v>
      </c>
      <c r="AM1535" s="16" t="s">
        <v>9221</v>
      </c>
      <c r="AN1535" s="16" t="s">
        <v>9237</v>
      </c>
    </row>
    <row r="1536" spans="1:40" x14ac:dyDescent="0.25">
      <c r="A1536" s="4" t="s">
        <v>6762</v>
      </c>
      <c r="B1536" s="4">
        <v>6340202</v>
      </c>
      <c r="C1536" s="4" t="s">
        <v>39</v>
      </c>
      <c r="D1536" s="4" t="s">
        <v>6763</v>
      </c>
      <c r="E1536" s="4" t="s">
        <v>6764</v>
      </c>
      <c r="F1536" s="10">
        <v>45258</v>
      </c>
      <c r="G1536" s="11">
        <v>0.45833333333333331</v>
      </c>
      <c r="H1536" s="4" t="s">
        <v>4516</v>
      </c>
      <c r="I1536" s="4" t="s">
        <v>6736</v>
      </c>
      <c r="J1536" s="4" t="s">
        <v>6737</v>
      </c>
      <c r="K1536" s="4" t="s">
        <v>6765</v>
      </c>
      <c r="L1536" s="4" t="s">
        <v>6766</v>
      </c>
      <c r="M1536" s="4" t="s">
        <v>28</v>
      </c>
      <c r="N1536" s="4" t="s">
        <v>183</v>
      </c>
      <c r="O1536" s="4" t="s">
        <v>863</v>
      </c>
      <c r="P1536" s="4" t="s">
        <v>48</v>
      </c>
      <c r="Q1536" s="4">
        <v>29</v>
      </c>
      <c r="R1536" s="4" t="b">
        <v>0</v>
      </c>
      <c r="S1536" s="4" t="s">
        <v>184</v>
      </c>
      <c r="T1536" s="4" t="s">
        <v>89</v>
      </c>
      <c r="U1536" s="4" t="s">
        <v>107</v>
      </c>
      <c r="V1536" s="4" t="s">
        <v>63</v>
      </c>
      <c r="W1536" s="4" t="s">
        <v>198</v>
      </c>
      <c r="X1536" s="4" t="s">
        <v>3183</v>
      </c>
      <c r="Y1536" s="4" t="s">
        <v>991</v>
      </c>
      <c r="Z1536" s="12" t="s">
        <v>48</v>
      </c>
      <c r="AA1536" s="13" t="s">
        <v>9149</v>
      </c>
      <c r="AB1536" s="13" t="s">
        <v>9150</v>
      </c>
      <c r="AC1536" s="14" t="s">
        <v>9166</v>
      </c>
      <c r="AD1536" s="14" t="s">
        <v>28</v>
      </c>
      <c r="AE1536" s="14" t="s">
        <v>183</v>
      </c>
      <c r="AF1536" s="14" t="s">
        <v>63</v>
      </c>
      <c r="AG1536" s="14" t="s">
        <v>3183</v>
      </c>
      <c r="AH1536" s="15" t="s">
        <v>9220</v>
      </c>
      <c r="AI1536" s="15" t="s">
        <v>9188</v>
      </c>
      <c r="AJ1536" s="15" t="s">
        <v>9143</v>
      </c>
      <c r="AK1536" s="15" t="s">
        <v>9221</v>
      </c>
      <c r="AL1536" s="15" t="s">
        <v>9232</v>
      </c>
      <c r="AM1536" s="16" t="s">
        <v>9221</v>
      </c>
      <c r="AN1536" s="16" t="s">
        <v>9233</v>
      </c>
    </row>
    <row r="1537" spans="1:40" x14ac:dyDescent="0.25">
      <c r="A1537" s="4" t="s">
        <v>3363</v>
      </c>
      <c r="B1537" s="4"/>
      <c r="C1537" s="4" t="s">
        <v>39</v>
      </c>
      <c r="D1537" s="4" t="s">
        <v>3364</v>
      </c>
      <c r="E1537" s="4" t="s">
        <v>3365</v>
      </c>
      <c r="F1537" s="10">
        <v>45258</v>
      </c>
      <c r="G1537" s="11">
        <v>0.69305555555555554</v>
      </c>
      <c r="H1537" s="4" t="s">
        <v>1992</v>
      </c>
      <c r="I1537" s="4" t="s">
        <v>3353</v>
      </c>
      <c r="J1537" s="4" t="s">
        <v>3354</v>
      </c>
      <c r="K1537" s="4" t="s">
        <v>711</v>
      </c>
      <c r="L1537" s="4" t="s">
        <v>3366</v>
      </c>
      <c r="M1537" s="4" t="s">
        <v>46</v>
      </c>
      <c r="N1537" s="4"/>
      <c r="O1537" s="4" t="s">
        <v>47</v>
      </c>
      <c r="P1537" s="4" t="s">
        <v>48</v>
      </c>
      <c r="Q1537" s="4">
        <v>0</v>
      </c>
      <c r="R1537" s="4" t="b">
        <v>0</v>
      </c>
      <c r="S1537" s="4" t="s">
        <v>61</v>
      </c>
      <c r="T1537" s="4" t="s">
        <v>89</v>
      </c>
      <c r="U1537" s="4" t="s">
        <v>90</v>
      </c>
      <c r="V1537" s="4" t="s">
        <v>72</v>
      </c>
      <c r="W1537" s="4" t="s">
        <v>73</v>
      </c>
      <c r="X1537" s="4" t="s">
        <v>54</v>
      </c>
      <c r="Y1537" s="4" t="s">
        <v>991</v>
      </c>
      <c r="Z1537" s="12">
        <v>0</v>
      </c>
      <c r="AA1537" s="13" t="s">
        <v>9149</v>
      </c>
      <c r="AB1537" s="13" t="s">
        <v>9150</v>
      </c>
      <c r="AC1537" s="14" t="s">
        <v>9148</v>
      </c>
      <c r="AD1537" s="14" t="s">
        <v>9140</v>
      </c>
      <c r="AE1537" s="14" t="s">
        <v>9140</v>
      </c>
      <c r="AF1537" s="14" t="s">
        <v>72</v>
      </c>
      <c r="AG1537" s="14" t="s">
        <v>54</v>
      </c>
      <c r="AH1537" s="15" t="s">
        <v>9194</v>
      </c>
      <c r="AI1537" s="15" t="s">
        <v>9191</v>
      </c>
      <c r="AJ1537" s="15" t="s">
        <v>9143</v>
      </c>
      <c r="AK1537" s="15" t="s">
        <v>9194</v>
      </c>
      <c r="AL1537" s="15" t="s">
        <v>9205</v>
      </c>
      <c r="AM1537" s="16" t="s">
        <v>9194</v>
      </c>
      <c r="AN1537" s="16" t="s">
        <v>9206</v>
      </c>
    </row>
    <row r="1538" spans="1:40" x14ac:dyDescent="0.25">
      <c r="A1538" s="4" t="s">
        <v>2305</v>
      </c>
      <c r="B1538" s="4"/>
      <c r="C1538" s="4" t="s">
        <v>39</v>
      </c>
      <c r="D1538" s="4" t="s">
        <v>2295</v>
      </c>
      <c r="E1538" s="4" t="s">
        <v>2296</v>
      </c>
      <c r="F1538" s="10">
        <v>45258</v>
      </c>
      <c r="G1538" s="11">
        <v>0.50347222222222221</v>
      </c>
      <c r="H1538" s="4" t="s">
        <v>2095</v>
      </c>
      <c r="I1538" s="4" t="s">
        <v>2271</v>
      </c>
      <c r="J1538" s="4" t="s">
        <v>2272</v>
      </c>
      <c r="K1538" s="4" t="s">
        <v>2306</v>
      </c>
      <c r="L1538" s="4" t="s">
        <v>2307</v>
      </c>
      <c r="M1538" s="4" t="s">
        <v>46</v>
      </c>
      <c r="N1538" s="4"/>
      <c r="O1538" s="4" t="s">
        <v>47</v>
      </c>
      <c r="P1538" s="4" t="s">
        <v>48</v>
      </c>
      <c r="Q1538" s="4">
        <v>0</v>
      </c>
      <c r="R1538" s="4" t="b">
        <v>0</v>
      </c>
      <c r="S1538" s="4" t="s">
        <v>61</v>
      </c>
      <c r="T1538" s="4" t="s">
        <v>479</v>
      </c>
      <c r="U1538" s="4" t="s">
        <v>148</v>
      </c>
      <c r="V1538" s="4" t="s">
        <v>52</v>
      </c>
      <c r="W1538" s="4" t="s">
        <v>255</v>
      </c>
      <c r="X1538" s="4" t="s">
        <v>98</v>
      </c>
      <c r="Y1538" s="4"/>
      <c r="Z1538" s="12">
        <v>0</v>
      </c>
      <c r="AA1538" s="13" t="s">
        <v>9149</v>
      </c>
      <c r="AB1538" s="13" t="s">
        <v>9150</v>
      </c>
      <c r="AC1538" s="14" t="s">
        <v>9148</v>
      </c>
      <c r="AD1538" s="14" t="s">
        <v>9140</v>
      </c>
      <c r="AE1538" s="14" t="s">
        <v>9140</v>
      </c>
      <c r="AF1538" s="14" t="s">
        <v>52</v>
      </c>
      <c r="AG1538" s="14" t="s">
        <v>98</v>
      </c>
      <c r="AH1538" s="15" t="s">
        <v>9194</v>
      </c>
      <c r="AI1538" s="15" t="s">
        <v>9188</v>
      </c>
      <c r="AJ1538" s="15" t="s">
        <v>9143</v>
      </c>
      <c r="AK1538" s="15" t="s">
        <v>9194</v>
      </c>
      <c r="AL1538" s="15" t="s">
        <v>9203</v>
      </c>
      <c r="AM1538" s="16" t="s">
        <v>9194</v>
      </c>
      <c r="AN1538" s="16" t="s">
        <v>9204</v>
      </c>
    </row>
    <row r="1539" spans="1:40" x14ac:dyDescent="0.25">
      <c r="A1539" s="4" t="s">
        <v>3582</v>
      </c>
      <c r="B1539" s="4"/>
      <c r="C1539" s="4" t="s">
        <v>39</v>
      </c>
      <c r="D1539" s="4" t="s">
        <v>3573</v>
      </c>
      <c r="E1539" s="4" t="s">
        <v>3574</v>
      </c>
      <c r="F1539" s="10">
        <v>45258</v>
      </c>
      <c r="G1539" s="11">
        <v>0.66666666666666663</v>
      </c>
      <c r="H1539" s="4" t="s">
        <v>2095</v>
      </c>
      <c r="I1539" s="4" t="s">
        <v>3563</v>
      </c>
      <c r="J1539" s="4" t="s">
        <v>3564</v>
      </c>
      <c r="K1539" s="4" t="s">
        <v>3583</v>
      </c>
      <c r="L1539" s="4" t="s">
        <v>3584</v>
      </c>
      <c r="M1539" s="4" t="s">
        <v>46</v>
      </c>
      <c r="N1539" s="4"/>
      <c r="O1539" s="4" t="s">
        <v>47</v>
      </c>
      <c r="P1539" s="4" t="s">
        <v>48</v>
      </c>
      <c r="Q1539" s="4">
        <v>0</v>
      </c>
      <c r="R1539" s="4" t="b">
        <v>0</v>
      </c>
      <c r="S1539" s="4" t="s">
        <v>49</v>
      </c>
      <c r="T1539" s="4" t="s">
        <v>70</v>
      </c>
      <c r="U1539" s="4" t="s">
        <v>107</v>
      </c>
      <c r="V1539" s="4" t="s">
        <v>72</v>
      </c>
      <c r="W1539" s="4" t="s">
        <v>73</v>
      </c>
      <c r="X1539" s="4" t="s">
        <v>978</v>
      </c>
      <c r="Y1539" s="4" t="s">
        <v>689</v>
      </c>
      <c r="Z1539" s="12">
        <v>0</v>
      </c>
      <c r="AA1539" s="13" t="s">
        <v>9149</v>
      </c>
      <c r="AB1539" s="13" t="s">
        <v>9150</v>
      </c>
      <c r="AC1539" s="14" t="s">
        <v>9139</v>
      </c>
      <c r="AD1539" s="14" t="s">
        <v>9140</v>
      </c>
      <c r="AE1539" s="14" t="s">
        <v>9140</v>
      </c>
      <c r="AF1539" s="14" t="s">
        <v>72</v>
      </c>
      <c r="AG1539" s="14" t="s">
        <v>978</v>
      </c>
      <c r="AH1539" s="15" t="s">
        <v>9194</v>
      </c>
      <c r="AI1539" s="15" t="s">
        <v>9188</v>
      </c>
      <c r="AJ1539" s="15" t="s">
        <v>9143</v>
      </c>
      <c r="AK1539" s="15" t="s">
        <v>9194</v>
      </c>
      <c r="AL1539" s="15" t="s">
        <v>9201</v>
      </c>
      <c r="AM1539" s="16" t="s">
        <v>9194</v>
      </c>
      <c r="AN1539" s="16" t="s">
        <v>9202</v>
      </c>
    </row>
    <row r="1540" spans="1:40" x14ac:dyDescent="0.25">
      <c r="A1540" s="4" t="s">
        <v>1347</v>
      </c>
      <c r="B1540" s="4"/>
      <c r="C1540" s="4" t="s">
        <v>39</v>
      </c>
      <c r="D1540" s="4" t="s">
        <v>1348</v>
      </c>
      <c r="E1540" s="4" t="s">
        <v>1349</v>
      </c>
      <c r="F1540" s="10">
        <v>45258</v>
      </c>
      <c r="G1540" s="11">
        <v>0.61388888888888893</v>
      </c>
      <c r="H1540" s="4" t="s">
        <v>1155</v>
      </c>
      <c r="I1540" s="4">
        <v>4045</v>
      </c>
      <c r="J1540" s="4" t="s">
        <v>1329</v>
      </c>
      <c r="K1540" s="4" t="s">
        <v>1350</v>
      </c>
      <c r="L1540" s="4" t="s">
        <v>1351</v>
      </c>
      <c r="M1540" s="4" t="s">
        <v>46</v>
      </c>
      <c r="N1540" s="4"/>
      <c r="O1540" s="4" t="s">
        <v>47</v>
      </c>
      <c r="P1540" s="4" t="s">
        <v>48</v>
      </c>
      <c r="Q1540" s="4">
        <v>0</v>
      </c>
      <c r="R1540" s="4" t="b">
        <v>0</v>
      </c>
      <c r="S1540" s="4" t="s">
        <v>61</v>
      </c>
      <c r="T1540" s="4" t="s">
        <v>266</v>
      </c>
      <c r="U1540" s="4" t="s">
        <v>90</v>
      </c>
      <c r="V1540" s="4" t="s">
        <v>267</v>
      </c>
      <c r="W1540" s="4" t="s">
        <v>268</v>
      </c>
      <c r="X1540" s="4" t="s">
        <v>54</v>
      </c>
      <c r="Y1540" s="4"/>
      <c r="Z1540" s="12">
        <v>0</v>
      </c>
      <c r="AA1540" s="13" t="s">
        <v>9149</v>
      </c>
      <c r="AB1540" s="13" t="s">
        <v>9150</v>
      </c>
      <c r="AC1540" s="14" t="s">
        <v>9148</v>
      </c>
      <c r="AD1540" s="14" t="s">
        <v>9140</v>
      </c>
      <c r="AE1540" s="14" t="s">
        <v>9140</v>
      </c>
      <c r="AF1540" s="14" t="s">
        <v>267</v>
      </c>
      <c r="AG1540" s="14" t="s">
        <v>54</v>
      </c>
      <c r="AH1540" s="15" t="s">
        <v>9141</v>
      </c>
      <c r="AI1540" s="15" t="s">
        <v>9187</v>
      </c>
      <c r="AJ1540" s="15" t="s">
        <v>9143</v>
      </c>
      <c r="AK1540" s="15" t="s">
        <v>9141</v>
      </c>
      <c r="AL1540" s="15" t="s">
        <v>9144</v>
      </c>
      <c r="AM1540" s="16" t="s">
        <v>9141</v>
      </c>
      <c r="AN1540" s="16" t="s">
        <v>9145</v>
      </c>
    </row>
    <row r="1541" spans="1:40" x14ac:dyDescent="0.25">
      <c r="A1541" s="4" t="s">
        <v>1142</v>
      </c>
      <c r="B1541" s="4"/>
      <c r="C1541" s="4" t="s">
        <v>39</v>
      </c>
      <c r="D1541" s="4" t="s">
        <v>1143</v>
      </c>
      <c r="E1541" s="4" t="s">
        <v>1144</v>
      </c>
      <c r="F1541" s="10">
        <v>45258</v>
      </c>
      <c r="G1541" s="11">
        <v>0.63541666666666663</v>
      </c>
      <c r="H1541" s="4" t="s">
        <v>463</v>
      </c>
      <c r="I1541" s="4">
        <v>2900</v>
      </c>
      <c r="J1541" s="4" t="s">
        <v>1128</v>
      </c>
      <c r="K1541" s="4" t="s">
        <v>1145</v>
      </c>
      <c r="L1541" s="4" t="s">
        <v>1146</v>
      </c>
      <c r="M1541" s="4" t="s">
        <v>46</v>
      </c>
      <c r="N1541" s="4"/>
      <c r="O1541" s="4" t="s">
        <v>47</v>
      </c>
      <c r="P1541" s="4" t="s">
        <v>48</v>
      </c>
      <c r="Q1541" s="4">
        <v>0</v>
      </c>
      <c r="R1541" s="4" t="b">
        <v>0</v>
      </c>
      <c r="S1541" s="4" t="s">
        <v>61</v>
      </c>
      <c r="T1541" s="4" t="s">
        <v>89</v>
      </c>
      <c r="U1541" s="4" t="s">
        <v>584</v>
      </c>
      <c r="V1541" s="4" t="s">
        <v>123</v>
      </c>
      <c r="W1541" s="4" t="s">
        <v>124</v>
      </c>
      <c r="X1541" s="4" t="s">
        <v>98</v>
      </c>
      <c r="Y1541" s="4"/>
      <c r="Z1541" s="12">
        <v>0</v>
      </c>
      <c r="AA1541" s="13" t="s">
        <v>9149</v>
      </c>
      <c r="AB1541" s="13" t="s">
        <v>9150</v>
      </c>
      <c r="AC1541" s="14" t="s">
        <v>9148</v>
      </c>
      <c r="AD1541" s="14" t="s">
        <v>9140</v>
      </c>
      <c r="AE1541" s="14" t="s">
        <v>9140</v>
      </c>
      <c r="AF1541" s="14" t="s">
        <v>123</v>
      </c>
      <c r="AG1541" s="14" t="s">
        <v>98</v>
      </c>
      <c r="AH1541" s="15" t="s">
        <v>9141</v>
      </c>
      <c r="AI1541" s="15" t="s">
        <v>9175</v>
      </c>
      <c r="AJ1541" s="15" t="s">
        <v>9183</v>
      </c>
      <c r="AK1541" s="15" t="s">
        <v>9184</v>
      </c>
      <c r="AL1541" s="15" t="s">
        <v>9185</v>
      </c>
      <c r="AM1541" s="16" t="s">
        <v>9186</v>
      </c>
      <c r="AN1541" s="16" t="s">
        <v>9186</v>
      </c>
    </row>
    <row r="1542" spans="1:40" x14ac:dyDescent="0.25">
      <c r="A1542" s="4" t="s">
        <v>65</v>
      </c>
      <c r="B1542" s="4"/>
      <c r="C1542" s="4" t="s">
        <v>39</v>
      </c>
      <c r="D1542" s="4" t="s">
        <v>66</v>
      </c>
      <c r="E1542" s="4" t="s">
        <v>67</v>
      </c>
      <c r="F1542" s="10">
        <v>45257</v>
      </c>
      <c r="G1542" s="11">
        <v>0.46875</v>
      </c>
      <c r="H1542" s="4" t="s">
        <v>42</v>
      </c>
      <c r="I1542" s="4">
        <v>1005</v>
      </c>
      <c r="J1542" s="4" t="s">
        <v>43</v>
      </c>
      <c r="K1542" s="4" t="s">
        <v>68</v>
      </c>
      <c r="L1542" s="4" t="s">
        <v>69</v>
      </c>
      <c r="M1542" s="4" t="s">
        <v>46</v>
      </c>
      <c r="N1542" s="4"/>
      <c r="O1542" s="4" t="s">
        <v>47</v>
      </c>
      <c r="P1542" s="4" t="s">
        <v>48</v>
      </c>
      <c r="Q1542" s="4">
        <v>0</v>
      </c>
      <c r="R1542" s="4" t="b">
        <v>0</v>
      </c>
      <c r="S1542" s="4" t="s">
        <v>49</v>
      </c>
      <c r="T1542" s="4" t="s">
        <v>70</v>
      </c>
      <c r="U1542" s="4" t="s">
        <v>71</v>
      </c>
      <c r="V1542" s="4" t="s">
        <v>72</v>
      </c>
      <c r="W1542" s="4" t="s">
        <v>73</v>
      </c>
      <c r="X1542" s="4" t="s">
        <v>54</v>
      </c>
      <c r="Y1542" s="4"/>
      <c r="Z1542" s="12">
        <v>0</v>
      </c>
      <c r="AA1542" s="13" t="s">
        <v>9149</v>
      </c>
      <c r="AB1542" s="13" t="s">
        <v>9150</v>
      </c>
      <c r="AC1542" s="14" t="s">
        <v>9139</v>
      </c>
      <c r="AD1542" s="14" t="s">
        <v>9140</v>
      </c>
      <c r="AE1542" s="14" t="s">
        <v>9140</v>
      </c>
      <c r="AF1542" s="14" t="s">
        <v>72</v>
      </c>
      <c r="AG1542" s="14" t="s">
        <v>54</v>
      </c>
      <c r="AH1542" s="15" t="s">
        <v>9141</v>
      </c>
      <c r="AI1542" s="15" t="s">
        <v>9142</v>
      </c>
      <c r="AJ1542" s="15" t="s">
        <v>9143</v>
      </c>
      <c r="AK1542" s="15" t="s">
        <v>9141</v>
      </c>
      <c r="AL1542" s="15" t="s">
        <v>9144</v>
      </c>
      <c r="AM1542" s="16" t="s">
        <v>9141</v>
      </c>
      <c r="AN1542" s="16" t="s">
        <v>9145</v>
      </c>
    </row>
    <row r="1543" spans="1:40" x14ac:dyDescent="0.25">
      <c r="A1543" s="4" t="s">
        <v>3477</v>
      </c>
      <c r="B1543" s="4"/>
      <c r="C1543" s="4" t="s">
        <v>39</v>
      </c>
      <c r="D1543" s="4" t="s">
        <v>3478</v>
      </c>
      <c r="E1543" s="4" t="s">
        <v>3479</v>
      </c>
      <c r="F1543" s="10">
        <v>45257</v>
      </c>
      <c r="G1543" s="11">
        <v>0.55069444444444449</v>
      </c>
      <c r="H1543" s="4" t="s">
        <v>2095</v>
      </c>
      <c r="I1543" s="4" t="s">
        <v>3452</v>
      </c>
      <c r="J1543" s="4" t="s">
        <v>3453</v>
      </c>
      <c r="K1543" s="4" t="s">
        <v>181</v>
      </c>
      <c r="L1543" s="4" t="s">
        <v>3480</v>
      </c>
      <c r="M1543" s="4" t="s">
        <v>46</v>
      </c>
      <c r="N1543" s="4"/>
      <c r="O1543" s="4" t="s">
        <v>47</v>
      </c>
      <c r="P1543" s="4" t="s">
        <v>48</v>
      </c>
      <c r="Q1543" s="4">
        <v>0</v>
      </c>
      <c r="R1543" s="4" t="b">
        <v>0</v>
      </c>
      <c r="S1543" s="4" t="s">
        <v>61</v>
      </c>
      <c r="T1543" s="4" t="s">
        <v>134</v>
      </c>
      <c r="U1543" s="4" t="s">
        <v>175</v>
      </c>
      <c r="V1543" s="4" t="s">
        <v>63</v>
      </c>
      <c r="W1543" s="4" t="s">
        <v>108</v>
      </c>
      <c r="X1543" s="4" t="s">
        <v>98</v>
      </c>
      <c r="Y1543" s="4"/>
      <c r="Z1543" s="12">
        <v>0</v>
      </c>
      <c r="AA1543" s="13" t="s">
        <v>9149</v>
      </c>
      <c r="AB1543" s="13" t="s">
        <v>9150</v>
      </c>
      <c r="AC1543" s="14" t="s">
        <v>9148</v>
      </c>
      <c r="AD1543" s="14" t="s">
        <v>9140</v>
      </c>
      <c r="AE1543" s="14" t="s">
        <v>9140</v>
      </c>
      <c r="AF1543" s="14" t="s">
        <v>63</v>
      </c>
      <c r="AG1543" s="14" t="s">
        <v>98</v>
      </c>
      <c r="AH1543" s="15" t="s">
        <v>9194</v>
      </c>
      <c r="AI1543" s="15" t="s">
        <v>9188</v>
      </c>
      <c r="AJ1543" s="15" t="s">
        <v>9143</v>
      </c>
      <c r="AK1543" s="15" t="s">
        <v>9194</v>
      </c>
      <c r="AL1543" s="15" t="s">
        <v>9203</v>
      </c>
      <c r="AM1543" s="16" t="s">
        <v>9194</v>
      </c>
      <c r="AN1543" s="16" t="s">
        <v>9204</v>
      </c>
    </row>
    <row r="1544" spans="1:40" x14ac:dyDescent="0.25">
      <c r="A1544" s="4" t="s">
        <v>1967</v>
      </c>
      <c r="B1544" s="4"/>
      <c r="C1544" s="4" t="s">
        <v>39</v>
      </c>
      <c r="D1544" s="4" t="s">
        <v>1959</v>
      </c>
      <c r="E1544" s="4" t="s">
        <v>1960</v>
      </c>
      <c r="F1544" s="10">
        <v>45257</v>
      </c>
      <c r="G1544" s="11">
        <v>0.31597222222222221</v>
      </c>
      <c r="H1544" s="4" t="s">
        <v>1939</v>
      </c>
      <c r="I1544" s="4" t="s">
        <v>1940</v>
      </c>
      <c r="J1544" s="4" t="s">
        <v>1941</v>
      </c>
      <c r="K1544" s="4" t="s">
        <v>1968</v>
      </c>
      <c r="L1544" s="4" t="s">
        <v>1969</v>
      </c>
      <c r="M1544" s="4" t="s">
        <v>46</v>
      </c>
      <c r="N1544" s="4"/>
      <c r="O1544" s="4" t="s">
        <v>47</v>
      </c>
      <c r="P1544" s="4" t="s">
        <v>48</v>
      </c>
      <c r="Q1544" s="4">
        <v>0</v>
      </c>
      <c r="R1544" s="4" t="b">
        <v>0</v>
      </c>
      <c r="S1544" s="4" t="s">
        <v>61</v>
      </c>
      <c r="T1544" s="4" t="s">
        <v>89</v>
      </c>
      <c r="U1544" s="4" t="s">
        <v>175</v>
      </c>
      <c r="V1544" s="4" t="s">
        <v>52</v>
      </c>
      <c r="W1544" s="4" t="s">
        <v>53</v>
      </c>
      <c r="X1544" s="4" t="s">
        <v>98</v>
      </c>
      <c r="Y1544" s="4"/>
      <c r="Z1544" s="12">
        <v>0</v>
      </c>
      <c r="AA1544" s="13" t="s">
        <v>9149</v>
      </c>
      <c r="AB1544" s="13" t="s">
        <v>9150</v>
      </c>
      <c r="AC1544" s="14" t="s">
        <v>9148</v>
      </c>
      <c r="AD1544" s="14" t="s">
        <v>9140</v>
      </c>
      <c r="AE1544" s="14" t="s">
        <v>9140</v>
      </c>
      <c r="AF1544" s="14" t="s">
        <v>52</v>
      </c>
      <c r="AG1544" s="14" t="s">
        <v>98</v>
      </c>
      <c r="AH1544" s="15" t="s">
        <v>9194</v>
      </c>
      <c r="AI1544" s="15" t="s">
        <v>9175</v>
      </c>
      <c r="AJ1544" s="15" t="s">
        <v>9143</v>
      </c>
      <c r="AK1544" s="15" t="s">
        <v>9194</v>
      </c>
      <c r="AL1544" s="15" t="s">
        <v>9195</v>
      </c>
      <c r="AM1544" s="16" t="s">
        <v>9194</v>
      </c>
      <c r="AN1544" s="16" t="s">
        <v>9196</v>
      </c>
    </row>
    <row r="1545" spans="1:40" x14ac:dyDescent="0.25">
      <c r="A1545" s="4" t="s">
        <v>8670</v>
      </c>
      <c r="B1545" s="4"/>
      <c r="C1545" s="4" t="s">
        <v>39</v>
      </c>
      <c r="D1545" s="4" t="s">
        <v>8671</v>
      </c>
      <c r="E1545" s="4" t="s">
        <v>8672</v>
      </c>
      <c r="F1545" s="10">
        <v>45257</v>
      </c>
      <c r="G1545" s="11">
        <v>0.35416666666666669</v>
      </c>
      <c r="H1545" s="4" t="s">
        <v>4516</v>
      </c>
      <c r="I1545" s="4" t="s">
        <v>8639</v>
      </c>
      <c r="J1545" s="4" t="s">
        <v>1406</v>
      </c>
      <c r="K1545" s="4" t="s">
        <v>2442</v>
      </c>
      <c r="L1545" s="4" t="s">
        <v>8673</v>
      </c>
      <c r="M1545" s="4" t="s">
        <v>46</v>
      </c>
      <c r="N1545" s="4"/>
      <c r="O1545" s="4" t="s">
        <v>47</v>
      </c>
      <c r="P1545" s="4" t="s">
        <v>48</v>
      </c>
      <c r="Q1545" s="4">
        <v>0</v>
      </c>
      <c r="R1545" s="4" t="b">
        <v>0</v>
      </c>
      <c r="S1545" s="4" t="s">
        <v>49</v>
      </c>
      <c r="T1545" s="4" t="s">
        <v>70</v>
      </c>
      <c r="U1545" s="4" t="s">
        <v>90</v>
      </c>
      <c r="V1545" s="4" t="s">
        <v>63</v>
      </c>
      <c r="W1545" s="4" t="s">
        <v>108</v>
      </c>
      <c r="X1545" s="4" t="s">
        <v>98</v>
      </c>
      <c r="Y1545" s="4"/>
      <c r="Z1545" s="12">
        <v>0</v>
      </c>
      <c r="AA1545" s="13" t="s">
        <v>9149</v>
      </c>
      <c r="AB1545" s="13" t="s">
        <v>9150</v>
      </c>
      <c r="AC1545" s="14" t="s">
        <v>9139</v>
      </c>
      <c r="AD1545" s="14" t="s">
        <v>9140</v>
      </c>
      <c r="AE1545" s="14" t="s">
        <v>9140</v>
      </c>
      <c r="AF1545" s="14" t="s">
        <v>63</v>
      </c>
      <c r="AG1545" s="14" t="s">
        <v>98</v>
      </c>
      <c r="AH1545" s="15" t="s">
        <v>9220</v>
      </c>
      <c r="AI1545" s="15" t="s">
        <v>9188</v>
      </c>
      <c r="AJ1545" s="15" t="s">
        <v>9143</v>
      </c>
      <c r="AK1545" s="15" t="s">
        <v>9221</v>
      </c>
      <c r="AL1545" s="15" t="s">
        <v>9236</v>
      </c>
      <c r="AM1545" s="16" t="s">
        <v>9221</v>
      </c>
      <c r="AN1545" s="16" t="s">
        <v>9237</v>
      </c>
    </row>
    <row r="1546" spans="1:40" x14ac:dyDescent="0.25">
      <c r="A1546" s="4" t="s">
        <v>4853</v>
      </c>
      <c r="B1546" s="4"/>
      <c r="C1546" s="4" t="s">
        <v>39</v>
      </c>
      <c r="D1546" s="4" t="s">
        <v>4808</v>
      </c>
      <c r="E1546" s="4" t="s">
        <v>4809</v>
      </c>
      <c r="F1546" s="10">
        <v>45257</v>
      </c>
      <c r="G1546" s="11">
        <v>0.625</v>
      </c>
      <c r="H1546" s="4" t="s">
        <v>4019</v>
      </c>
      <c r="I1546" s="4" t="s">
        <v>4804</v>
      </c>
      <c r="J1546" s="4" t="s">
        <v>756</v>
      </c>
      <c r="K1546" s="4" t="s">
        <v>4854</v>
      </c>
      <c r="L1546" s="4" t="s">
        <v>4855</v>
      </c>
      <c r="M1546" s="4" t="s">
        <v>46</v>
      </c>
      <c r="N1546" s="4"/>
      <c r="O1546" s="4" t="s">
        <v>47</v>
      </c>
      <c r="P1546" s="4" t="s">
        <v>48</v>
      </c>
      <c r="Q1546" s="4">
        <v>0</v>
      </c>
      <c r="R1546" s="4" t="b">
        <v>0</v>
      </c>
      <c r="S1546" s="4" t="s">
        <v>61</v>
      </c>
      <c r="T1546" s="4" t="s">
        <v>50</v>
      </c>
      <c r="U1546" s="4" t="s">
        <v>301</v>
      </c>
      <c r="V1546" s="4" t="s">
        <v>72</v>
      </c>
      <c r="W1546" s="4" t="s">
        <v>73</v>
      </c>
      <c r="X1546" s="4" t="s">
        <v>98</v>
      </c>
      <c r="Y1546" s="4"/>
      <c r="Z1546" s="12">
        <v>0</v>
      </c>
      <c r="AA1546" s="13" t="s">
        <v>9149</v>
      </c>
      <c r="AB1546" s="13" t="s">
        <v>9150</v>
      </c>
      <c r="AC1546" s="14" t="s">
        <v>9148</v>
      </c>
      <c r="AD1546" s="14" t="s">
        <v>9140</v>
      </c>
      <c r="AE1546" s="14" t="s">
        <v>9140</v>
      </c>
      <c r="AF1546" s="14" t="s">
        <v>72</v>
      </c>
      <c r="AG1546" s="14" t="s">
        <v>98</v>
      </c>
      <c r="AH1546" s="15" t="s">
        <v>9220</v>
      </c>
      <c r="AI1546" s="15" t="s">
        <v>9175</v>
      </c>
      <c r="AJ1546" s="15" t="s">
        <v>9143</v>
      </c>
      <c r="AK1546" s="15" t="s">
        <v>9221</v>
      </c>
      <c r="AL1546" s="15" t="s">
        <v>9222</v>
      </c>
      <c r="AM1546" s="16" t="s">
        <v>9221</v>
      </c>
      <c r="AN1546" s="16" t="s">
        <v>9223</v>
      </c>
    </row>
    <row r="1547" spans="1:40" x14ac:dyDescent="0.25">
      <c r="A1547" s="4" t="s">
        <v>8930</v>
      </c>
      <c r="B1547" s="4"/>
      <c r="C1547" s="4" t="s">
        <v>39</v>
      </c>
      <c r="D1547" s="4" t="s">
        <v>8931</v>
      </c>
      <c r="E1547" s="4" t="s">
        <v>8932</v>
      </c>
      <c r="F1547" s="10">
        <v>45257</v>
      </c>
      <c r="G1547" s="11">
        <v>0.51041666666666663</v>
      </c>
      <c r="H1547" s="4" t="s">
        <v>4019</v>
      </c>
      <c r="I1547" s="4" t="s">
        <v>8854</v>
      </c>
      <c r="J1547" s="4" t="s">
        <v>8855</v>
      </c>
      <c r="K1547" s="4" t="s">
        <v>8933</v>
      </c>
      <c r="L1547" s="4" t="s">
        <v>8934</v>
      </c>
      <c r="M1547" s="4" t="s">
        <v>46</v>
      </c>
      <c r="N1547" s="4"/>
      <c r="O1547" s="4" t="s">
        <v>47</v>
      </c>
      <c r="P1547" s="4" t="s">
        <v>48</v>
      </c>
      <c r="Q1547" s="4">
        <v>0</v>
      </c>
      <c r="R1547" s="4" t="b">
        <v>0</v>
      </c>
      <c r="S1547" s="4" t="s">
        <v>49</v>
      </c>
      <c r="T1547" s="4" t="s">
        <v>89</v>
      </c>
      <c r="U1547" s="4" t="s">
        <v>71</v>
      </c>
      <c r="V1547" s="4" t="s">
        <v>72</v>
      </c>
      <c r="W1547" s="4" t="s">
        <v>73</v>
      </c>
      <c r="X1547" s="4" t="s">
        <v>54</v>
      </c>
      <c r="Y1547" s="4"/>
      <c r="Z1547" s="12">
        <v>0</v>
      </c>
      <c r="AA1547" s="13" t="s">
        <v>9149</v>
      </c>
      <c r="AB1547" s="13" t="s">
        <v>9150</v>
      </c>
      <c r="AC1547" s="14" t="s">
        <v>9139</v>
      </c>
      <c r="AD1547" s="14" t="s">
        <v>9140</v>
      </c>
      <c r="AE1547" s="14" t="s">
        <v>9140</v>
      </c>
      <c r="AF1547" s="14" t="s">
        <v>72</v>
      </c>
      <c r="AG1547" s="14" t="s">
        <v>54</v>
      </c>
      <c r="AH1547" s="15" t="s">
        <v>9220</v>
      </c>
      <c r="AI1547" s="15" t="s">
        <v>9175</v>
      </c>
      <c r="AJ1547" s="15" t="s">
        <v>9183</v>
      </c>
      <c r="AK1547" s="15" t="s">
        <v>9239</v>
      </c>
      <c r="AL1547" s="15" t="s">
        <v>9240</v>
      </c>
      <c r="AM1547" s="16" t="s">
        <v>9186</v>
      </c>
      <c r="AN1547" s="16" t="s">
        <v>9186</v>
      </c>
    </row>
    <row r="1548" spans="1:40" x14ac:dyDescent="0.25">
      <c r="A1548" s="4" t="s">
        <v>4076</v>
      </c>
      <c r="B1548" s="4"/>
      <c r="C1548" s="4" t="s">
        <v>39</v>
      </c>
      <c r="D1548" s="4" t="s">
        <v>4077</v>
      </c>
      <c r="E1548" s="4" t="s">
        <v>4078</v>
      </c>
      <c r="F1548" s="10">
        <v>45256</v>
      </c>
      <c r="G1548" s="11">
        <v>0.4548611111111111</v>
      </c>
      <c r="H1548" s="4" t="s">
        <v>4019</v>
      </c>
      <c r="I1548" s="4" t="s">
        <v>4060</v>
      </c>
      <c r="J1548" s="4" t="s">
        <v>4061</v>
      </c>
      <c r="K1548" s="4" t="s">
        <v>4079</v>
      </c>
      <c r="L1548" s="4" t="s">
        <v>4080</v>
      </c>
      <c r="M1548" s="4" t="s">
        <v>46</v>
      </c>
      <c r="N1548" s="4"/>
      <c r="O1548" s="4" t="s">
        <v>47</v>
      </c>
      <c r="P1548" s="4" t="s">
        <v>48</v>
      </c>
      <c r="Q1548" s="4">
        <v>0</v>
      </c>
      <c r="R1548" s="4" t="b">
        <v>0</v>
      </c>
      <c r="S1548" s="4" t="s">
        <v>61</v>
      </c>
      <c r="T1548" s="4" t="s">
        <v>89</v>
      </c>
      <c r="U1548" s="4" t="s">
        <v>345</v>
      </c>
      <c r="V1548" s="4" t="s">
        <v>123</v>
      </c>
      <c r="W1548" s="4" t="s">
        <v>124</v>
      </c>
      <c r="X1548" s="4" t="s">
        <v>54</v>
      </c>
      <c r="Y1548" s="4"/>
      <c r="Z1548" s="12">
        <v>0</v>
      </c>
      <c r="AA1548" s="13" t="s">
        <v>9162</v>
      </c>
      <c r="AB1548" s="13" t="s">
        <v>9150</v>
      </c>
      <c r="AC1548" s="14" t="s">
        <v>9148</v>
      </c>
      <c r="AD1548" s="14" t="s">
        <v>9140</v>
      </c>
      <c r="AE1548" s="14" t="s">
        <v>9140</v>
      </c>
      <c r="AF1548" s="14" t="s">
        <v>123</v>
      </c>
      <c r="AG1548" s="14" t="s">
        <v>54</v>
      </c>
      <c r="AH1548" s="15" t="s">
        <v>9220</v>
      </c>
      <c r="AI1548" s="15" t="s">
        <v>9175</v>
      </c>
      <c r="AJ1548" s="15" t="s">
        <v>9143</v>
      </c>
      <c r="AK1548" s="15" t="s">
        <v>9221</v>
      </c>
      <c r="AL1548" s="15" t="s">
        <v>9222</v>
      </c>
      <c r="AM1548" s="16" t="s">
        <v>9221</v>
      </c>
      <c r="AN1548" s="16" t="s">
        <v>9223</v>
      </c>
    </row>
    <row r="1549" spans="1:40" x14ac:dyDescent="0.25">
      <c r="A1549" s="4" t="s">
        <v>2543</v>
      </c>
      <c r="B1549" s="4"/>
      <c r="C1549" s="4" t="s">
        <v>39</v>
      </c>
      <c r="D1549" s="4" t="s">
        <v>2544</v>
      </c>
      <c r="E1549" s="4" t="s">
        <v>2545</v>
      </c>
      <c r="F1549" s="10">
        <v>45256</v>
      </c>
      <c r="G1549" s="11">
        <v>0.67708333333333337</v>
      </c>
      <c r="H1549" s="4" t="s">
        <v>1992</v>
      </c>
      <c r="I1549" s="4" t="s">
        <v>2520</v>
      </c>
      <c r="J1549" s="4" t="s">
        <v>2521</v>
      </c>
      <c r="K1549" s="4" t="s">
        <v>2546</v>
      </c>
      <c r="L1549" s="4" t="s">
        <v>2547</v>
      </c>
      <c r="M1549" s="4" t="s">
        <v>46</v>
      </c>
      <c r="N1549" s="4"/>
      <c r="O1549" s="4" t="s">
        <v>47</v>
      </c>
      <c r="P1549" s="4" t="s">
        <v>48</v>
      </c>
      <c r="Q1549" s="4">
        <v>0</v>
      </c>
      <c r="R1549" s="4" t="b">
        <v>0</v>
      </c>
      <c r="S1549" s="4" t="s">
        <v>49</v>
      </c>
      <c r="T1549" s="4" t="s">
        <v>70</v>
      </c>
      <c r="U1549" s="4" t="s">
        <v>71</v>
      </c>
      <c r="V1549" s="4" t="s">
        <v>72</v>
      </c>
      <c r="W1549" s="4" t="s">
        <v>73</v>
      </c>
      <c r="X1549" s="4" t="s">
        <v>98</v>
      </c>
      <c r="Y1549" s="4" t="s">
        <v>486</v>
      </c>
      <c r="Z1549" s="12">
        <v>0</v>
      </c>
      <c r="AA1549" s="13" t="s">
        <v>9162</v>
      </c>
      <c r="AB1549" s="13" t="s">
        <v>9150</v>
      </c>
      <c r="AC1549" s="14" t="s">
        <v>9139</v>
      </c>
      <c r="AD1549" s="14" t="s">
        <v>9140</v>
      </c>
      <c r="AE1549" s="14" t="s">
        <v>9140</v>
      </c>
      <c r="AF1549" s="14" t="s">
        <v>72</v>
      </c>
      <c r="AG1549" s="14" t="s">
        <v>98</v>
      </c>
      <c r="AH1549" s="15" t="s">
        <v>9194</v>
      </c>
      <c r="AI1549" s="15" t="s">
        <v>9191</v>
      </c>
      <c r="AJ1549" s="15" t="s">
        <v>9143</v>
      </c>
      <c r="AK1549" s="15" t="s">
        <v>9194</v>
      </c>
      <c r="AL1549" s="15" t="s">
        <v>9201</v>
      </c>
      <c r="AM1549" s="16" t="s">
        <v>9194</v>
      </c>
      <c r="AN1549" s="16" t="s">
        <v>9202</v>
      </c>
    </row>
    <row r="1550" spans="1:40" x14ac:dyDescent="0.25">
      <c r="A1550" s="4" t="s">
        <v>2937</v>
      </c>
      <c r="B1550" s="4"/>
      <c r="C1550" s="4" t="s">
        <v>39</v>
      </c>
      <c r="D1550" s="4" t="s">
        <v>2938</v>
      </c>
      <c r="E1550" s="4" t="s">
        <v>2939</v>
      </c>
      <c r="F1550" s="10">
        <v>45254</v>
      </c>
      <c r="G1550" s="11">
        <v>0.60416666666666663</v>
      </c>
      <c r="H1550" s="4" t="s">
        <v>1992</v>
      </c>
      <c r="I1550" s="4" t="s">
        <v>2913</v>
      </c>
      <c r="J1550" s="4" t="s">
        <v>2914</v>
      </c>
      <c r="K1550" s="4" t="s">
        <v>2940</v>
      </c>
      <c r="L1550" s="4" t="s">
        <v>2941</v>
      </c>
      <c r="M1550" s="4" t="s">
        <v>46</v>
      </c>
      <c r="N1550" s="4"/>
      <c r="O1550" s="4" t="s">
        <v>47</v>
      </c>
      <c r="P1550" s="4" t="s">
        <v>48</v>
      </c>
      <c r="Q1550" s="4">
        <v>0</v>
      </c>
      <c r="R1550" s="4" t="b">
        <v>0</v>
      </c>
      <c r="S1550" s="4" t="s">
        <v>61</v>
      </c>
      <c r="T1550" s="4" t="s">
        <v>70</v>
      </c>
      <c r="U1550" s="4" t="s">
        <v>867</v>
      </c>
      <c r="V1550" s="4" t="s">
        <v>63</v>
      </c>
      <c r="W1550" s="4" t="s">
        <v>108</v>
      </c>
      <c r="X1550" s="4" t="s">
        <v>54</v>
      </c>
      <c r="Y1550" s="4"/>
      <c r="Z1550" s="12">
        <v>0</v>
      </c>
      <c r="AA1550" s="13" t="s">
        <v>9162</v>
      </c>
      <c r="AB1550" s="13" t="s">
        <v>9150</v>
      </c>
      <c r="AC1550" s="14" t="s">
        <v>9148</v>
      </c>
      <c r="AD1550" s="14" t="s">
        <v>9140</v>
      </c>
      <c r="AE1550" s="14" t="s">
        <v>9140</v>
      </c>
      <c r="AF1550" s="14" t="s">
        <v>63</v>
      </c>
      <c r="AG1550" s="14" t="s">
        <v>54</v>
      </c>
      <c r="AH1550" s="15" t="s">
        <v>9194</v>
      </c>
      <c r="AI1550" s="15" t="s">
        <v>9191</v>
      </c>
      <c r="AJ1550" s="15" t="s">
        <v>9143</v>
      </c>
      <c r="AK1550" s="15" t="s">
        <v>9194</v>
      </c>
      <c r="AL1550" s="15" t="s">
        <v>9201</v>
      </c>
      <c r="AM1550" s="16" t="s">
        <v>9194</v>
      </c>
      <c r="AN1550" s="16" t="s">
        <v>9202</v>
      </c>
    </row>
    <row r="1551" spans="1:40" x14ac:dyDescent="0.25">
      <c r="A1551" s="4" t="s">
        <v>1562</v>
      </c>
      <c r="B1551" s="4"/>
      <c r="C1551" s="4" t="s">
        <v>39</v>
      </c>
      <c r="D1551" s="4" t="s">
        <v>1563</v>
      </c>
      <c r="E1551" s="4" t="s">
        <v>1564</v>
      </c>
      <c r="F1551" s="10">
        <v>45254</v>
      </c>
      <c r="G1551" s="11">
        <v>0.35416666666666669</v>
      </c>
      <c r="H1551" s="4" t="s">
        <v>1366</v>
      </c>
      <c r="I1551" s="4">
        <v>6068</v>
      </c>
      <c r="J1551" s="4" t="s">
        <v>1537</v>
      </c>
      <c r="K1551" s="4" t="s">
        <v>1565</v>
      </c>
      <c r="L1551" s="4" t="s">
        <v>1566</v>
      </c>
      <c r="M1551" s="4" t="s">
        <v>46</v>
      </c>
      <c r="N1551" s="4"/>
      <c r="O1551" s="4" t="s">
        <v>47</v>
      </c>
      <c r="P1551" s="4" t="s">
        <v>48</v>
      </c>
      <c r="Q1551" s="4">
        <v>0</v>
      </c>
      <c r="R1551" s="4" t="b">
        <v>0</v>
      </c>
      <c r="S1551" s="4" t="s">
        <v>61</v>
      </c>
      <c r="T1551" s="4" t="s">
        <v>89</v>
      </c>
      <c r="U1551" s="4" t="s">
        <v>165</v>
      </c>
      <c r="V1551" s="4" t="s">
        <v>63</v>
      </c>
      <c r="W1551" s="4" t="s">
        <v>108</v>
      </c>
      <c r="X1551" s="4" t="s">
        <v>98</v>
      </c>
      <c r="Y1551" s="4"/>
      <c r="Z1551" s="12">
        <v>0</v>
      </c>
      <c r="AA1551" s="13" t="s">
        <v>9162</v>
      </c>
      <c r="AB1551" s="13" t="s">
        <v>9150</v>
      </c>
      <c r="AC1551" s="14" t="s">
        <v>9148</v>
      </c>
      <c r="AD1551" s="14" t="s">
        <v>9140</v>
      </c>
      <c r="AE1551" s="14" t="s">
        <v>9140</v>
      </c>
      <c r="AF1551" s="14" t="s">
        <v>63</v>
      </c>
      <c r="AG1551" s="14" t="s">
        <v>98</v>
      </c>
      <c r="AH1551" s="15" t="s">
        <v>9141</v>
      </c>
      <c r="AI1551" s="15" t="s">
        <v>9188</v>
      </c>
      <c r="AJ1551" s="15" t="s">
        <v>9143</v>
      </c>
      <c r="AK1551" s="15" t="s">
        <v>9141</v>
      </c>
      <c r="AL1551" s="15" t="s">
        <v>9189</v>
      </c>
      <c r="AM1551" s="16" t="s">
        <v>9141</v>
      </c>
      <c r="AN1551" s="16" t="s">
        <v>9190</v>
      </c>
    </row>
    <row r="1552" spans="1:40" x14ac:dyDescent="0.25">
      <c r="A1552" s="4" t="s">
        <v>9081</v>
      </c>
      <c r="B1552" s="4"/>
      <c r="C1552" s="4" t="s">
        <v>39</v>
      </c>
      <c r="D1552" s="4" t="s">
        <v>9082</v>
      </c>
      <c r="E1552" s="4" t="s">
        <v>9083</v>
      </c>
      <c r="F1552" s="10">
        <v>45254</v>
      </c>
      <c r="G1552" s="11">
        <v>0.60416666666666663</v>
      </c>
      <c r="H1552" s="4" t="s">
        <v>4019</v>
      </c>
      <c r="I1552" s="4" t="s">
        <v>8971</v>
      </c>
      <c r="J1552" s="4" t="s">
        <v>8972</v>
      </c>
      <c r="K1552" s="4" t="s">
        <v>9084</v>
      </c>
      <c r="L1552" s="4" t="s">
        <v>9085</v>
      </c>
      <c r="M1552" s="4" t="s">
        <v>46</v>
      </c>
      <c r="N1552" s="4"/>
      <c r="O1552" s="4" t="s">
        <v>47</v>
      </c>
      <c r="P1552" s="4" t="s">
        <v>48</v>
      </c>
      <c r="Q1552" s="4">
        <v>0</v>
      </c>
      <c r="R1552" s="4" t="b">
        <v>0</v>
      </c>
      <c r="S1552" s="4" t="s">
        <v>61</v>
      </c>
      <c r="T1552" s="4" t="s">
        <v>3009</v>
      </c>
      <c r="U1552" s="4" t="s">
        <v>345</v>
      </c>
      <c r="V1552" s="4" t="s">
        <v>81</v>
      </c>
      <c r="W1552" s="4" t="s">
        <v>82</v>
      </c>
      <c r="X1552" s="4" t="s">
        <v>3554</v>
      </c>
      <c r="Y1552" s="4"/>
      <c r="Z1552" s="12">
        <v>0</v>
      </c>
      <c r="AA1552" s="13" t="s">
        <v>9162</v>
      </c>
      <c r="AB1552" s="13" t="s">
        <v>9150</v>
      </c>
      <c r="AC1552" s="14" t="s">
        <v>9148</v>
      </c>
      <c r="AD1552" s="14" t="s">
        <v>9140</v>
      </c>
      <c r="AE1552" s="14" t="s">
        <v>9140</v>
      </c>
      <c r="AF1552" s="14" t="s">
        <v>81</v>
      </c>
      <c r="AG1552" s="14" t="s">
        <v>3554</v>
      </c>
      <c r="AH1552" s="15" t="s">
        <v>9220</v>
      </c>
      <c r="AI1552" s="15" t="s">
        <v>9175</v>
      </c>
      <c r="AJ1552" s="15" t="s">
        <v>9181</v>
      </c>
      <c r="AK1552" s="15" t="s">
        <v>9182</v>
      </c>
      <c r="AL1552" s="15" t="s">
        <v>9182</v>
      </c>
      <c r="AM1552" s="16" t="s">
        <v>9182</v>
      </c>
      <c r="AN1552" s="16" t="s">
        <v>9182</v>
      </c>
    </row>
    <row r="1553" spans="1:40" x14ac:dyDescent="0.25">
      <c r="A1553" s="4" t="s">
        <v>9086</v>
      </c>
      <c r="B1553" s="4"/>
      <c r="C1553" s="4" t="s">
        <v>39</v>
      </c>
      <c r="D1553" s="4" t="s">
        <v>9087</v>
      </c>
      <c r="E1553" s="4" t="s">
        <v>9088</v>
      </c>
      <c r="F1553" s="10">
        <v>45254</v>
      </c>
      <c r="G1553" s="11">
        <v>0.60416666666666663</v>
      </c>
      <c r="H1553" s="4" t="s">
        <v>4019</v>
      </c>
      <c r="I1553" s="4" t="s">
        <v>8971</v>
      </c>
      <c r="J1553" s="4" t="s">
        <v>8972</v>
      </c>
      <c r="K1553" s="4" t="s">
        <v>9089</v>
      </c>
      <c r="L1553" s="4" t="s">
        <v>9090</v>
      </c>
      <c r="M1553" s="4" t="s">
        <v>46</v>
      </c>
      <c r="N1553" s="4"/>
      <c r="O1553" s="4" t="s">
        <v>47</v>
      </c>
      <c r="P1553" s="4" t="s">
        <v>48</v>
      </c>
      <c r="Q1553" s="4">
        <v>0</v>
      </c>
      <c r="R1553" s="4" t="b">
        <v>0</v>
      </c>
      <c r="S1553" s="4" t="s">
        <v>61</v>
      </c>
      <c r="T1553" s="4" t="s">
        <v>3009</v>
      </c>
      <c r="U1553" s="4" t="s">
        <v>224</v>
      </c>
      <c r="V1553" s="4" t="s">
        <v>81</v>
      </c>
      <c r="W1553" s="4" t="s">
        <v>9091</v>
      </c>
      <c r="X1553" s="4" t="s">
        <v>2811</v>
      </c>
      <c r="Y1553" s="4"/>
      <c r="Z1553" s="12">
        <v>0</v>
      </c>
      <c r="AA1553" s="13" t="s">
        <v>9162</v>
      </c>
      <c r="AB1553" s="13" t="s">
        <v>9150</v>
      </c>
      <c r="AC1553" s="14" t="s">
        <v>9148</v>
      </c>
      <c r="AD1553" s="14" t="s">
        <v>9140</v>
      </c>
      <c r="AE1553" s="14" t="s">
        <v>9140</v>
      </c>
      <c r="AF1553" s="14" t="s">
        <v>81</v>
      </c>
      <c r="AG1553" s="14" t="s">
        <v>2811</v>
      </c>
      <c r="AH1553" s="15" t="s">
        <v>9220</v>
      </c>
      <c r="AI1553" s="15" t="s">
        <v>9175</v>
      </c>
      <c r="AJ1553" s="15" t="s">
        <v>9181</v>
      </c>
      <c r="AK1553" s="15" t="s">
        <v>9182</v>
      </c>
      <c r="AL1553" s="15" t="s">
        <v>9182</v>
      </c>
      <c r="AM1553" s="16" t="s">
        <v>9182</v>
      </c>
      <c r="AN1553" s="16" t="s">
        <v>9182</v>
      </c>
    </row>
    <row r="1554" spans="1:40" x14ac:dyDescent="0.25">
      <c r="A1554" s="4" t="s">
        <v>5576</v>
      </c>
      <c r="B1554" s="4"/>
      <c r="C1554" s="4" t="s">
        <v>39</v>
      </c>
      <c r="D1554" s="4" t="s">
        <v>5577</v>
      </c>
      <c r="E1554" s="4" t="s">
        <v>5578</v>
      </c>
      <c r="F1554" s="10">
        <v>45254</v>
      </c>
      <c r="G1554" s="11">
        <v>0.64861111111111114</v>
      </c>
      <c r="H1554" s="4" t="s">
        <v>4910</v>
      </c>
      <c r="I1554" s="4" t="s">
        <v>5555</v>
      </c>
      <c r="J1554" s="4" t="s">
        <v>3170</v>
      </c>
      <c r="K1554" s="4" t="s">
        <v>5579</v>
      </c>
      <c r="L1554" s="4" t="s">
        <v>5580</v>
      </c>
      <c r="M1554" s="4" t="s">
        <v>46</v>
      </c>
      <c r="N1554" s="4"/>
      <c r="O1554" s="4" t="s">
        <v>47</v>
      </c>
      <c r="P1554" s="4" t="s">
        <v>48</v>
      </c>
      <c r="Q1554" s="4">
        <v>0</v>
      </c>
      <c r="R1554" s="4" t="b">
        <v>0</v>
      </c>
      <c r="S1554" s="4" t="s">
        <v>61</v>
      </c>
      <c r="T1554" s="4" t="s">
        <v>479</v>
      </c>
      <c r="U1554" s="4" t="s">
        <v>122</v>
      </c>
      <c r="V1554" s="4" t="s">
        <v>52</v>
      </c>
      <c r="W1554" s="4" t="s">
        <v>53</v>
      </c>
      <c r="X1554" s="4" t="s">
        <v>54</v>
      </c>
      <c r="Y1554" s="4"/>
      <c r="Z1554" s="12">
        <v>0</v>
      </c>
      <c r="AA1554" s="13" t="s">
        <v>9162</v>
      </c>
      <c r="AB1554" s="13" t="s">
        <v>9150</v>
      </c>
      <c r="AC1554" s="14" t="s">
        <v>9148</v>
      </c>
      <c r="AD1554" s="14" t="s">
        <v>9140</v>
      </c>
      <c r="AE1554" s="14" t="s">
        <v>9140</v>
      </c>
      <c r="AF1554" s="14" t="s">
        <v>52</v>
      </c>
      <c r="AG1554" s="14" t="s">
        <v>54</v>
      </c>
      <c r="AH1554" s="15" t="s">
        <v>9220</v>
      </c>
      <c r="AI1554" s="15" t="s">
        <v>9191</v>
      </c>
      <c r="AJ1554" s="15" t="s">
        <v>9143</v>
      </c>
      <c r="AK1554" s="15" t="s">
        <v>9221</v>
      </c>
      <c r="AL1554" s="15" t="s">
        <v>9234</v>
      </c>
      <c r="AM1554" s="16" t="s">
        <v>9221</v>
      </c>
      <c r="AN1554" s="16" t="s">
        <v>9235</v>
      </c>
    </row>
    <row r="1555" spans="1:40" x14ac:dyDescent="0.25">
      <c r="A1555" s="4" t="s">
        <v>6897</v>
      </c>
      <c r="B1555" s="4"/>
      <c r="C1555" s="4" t="s">
        <v>39</v>
      </c>
      <c r="D1555" s="4" t="s">
        <v>6893</v>
      </c>
      <c r="E1555" s="4" t="s">
        <v>6894</v>
      </c>
      <c r="F1555" s="10">
        <v>45254</v>
      </c>
      <c r="G1555" s="11">
        <v>0.5444444444444444</v>
      </c>
      <c r="H1555" s="4" t="s">
        <v>4910</v>
      </c>
      <c r="I1555" s="4" t="s">
        <v>6878</v>
      </c>
      <c r="J1555" s="4" t="s">
        <v>3657</v>
      </c>
      <c r="K1555" s="4" t="s">
        <v>6898</v>
      </c>
      <c r="L1555" s="4" t="s">
        <v>6899</v>
      </c>
      <c r="M1555" s="4" t="s">
        <v>46</v>
      </c>
      <c r="N1555" s="4"/>
      <c r="O1555" s="4" t="s">
        <v>47</v>
      </c>
      <c r="P1555" s="4" t="s">
        <v>48</v>
      </c>
      <c r="Q1555" s="4">
        <v>0</v>
      </c>
      <c r="R1555" s="4" t="b">
        <v>0</v>
      </c>
      <c r="S1555" s="4" t="s">
        <v>61</v>
      </c>
      <c r="T1555" s="4" t="s">
        <v>50</v>
      </c>
      <c r="U1555" s="4" t="s">
        <v>122</v>
      </c>
      <c r="V1555" s="4" t="s">
        <v>123</v>
      </c>
      <c r="W1555" s="4" t="s">
        <v>124</v>
      </c>
      <c r="X1555" s="4" t="s">
        <v>98</v>
      </c>
      <c r="Y1555" s="4"/>
      <c r="Z1555" s="12">
        <v>0</v>
      </c>
      <c r="AA1555" s="13" t="s">
        <v>9162</v>
      </c>
      <c r="AB1555" s="13" t="s">
        <v>9150</v>
      </c>
      <c r="AC1555" s="14" t="s">
        <v>9148</v>
      </c>
      <c r="AD1555" s="14" t="s">
        <v>9140</v>
      </c>
      <c r="AE1555" s="14" t="s">
        <v>9140</v>
      </c>
      <c r="AF1555" s="14" t="s">
        <v>123</v>
      </c>
      <c r="AG1555" s="14" t="s">
        <v>98</v>
      </c>
      <c r="AH1555" s="15" t="s">
        <v>9220</v>
      </c>
      <c r="AI1555" s="15" t="s">
        <v>9191</v>
      </c>
      <c r="AJ1555" s="15" t="s">
        <v>9143</v>
      </c>
      <c r="AK1555" s="15" t="s">
        <v>9221</v>
      </c>
      <c r="AL1555" s="15" t="s">
        <v>9234</v>
      </c>
      <c r="AM1555" s="16" t="s">
        <v>9221</v>
      </c>
      <c r="AN1555" s="16" t="s">
        <v>9235</v>
      </c>
    </row>
    <row r="1556" spans="1:40" x14ac:dyDescent="0.25">
      <c r="A1556" s="4" t="s">
        <v>7971</v>
      </c>
      <c r="B1556" s="4">
        <v>6405658</v>
      </c>
      <c r="C1556" s="4" t="s">
        <v>488</v>
      </c>
      <c r="D1556" s="4" t="s">
        <v>7972</v>
      </c>
      <c r="E1556" s="4" t="s">
        <v>7973</v>
      </c>
      <c r="F1556" s="10">
        <v>45254</v>
      </c>
      <c r="G1556" s="11">
        <v>0.48819444444444443</v>
      </c>
      <c r="H1556" s="4" t="s">
        <v>4516</v>
      </c>
      <c r="I1556" s="4" t="s">
        <v>7968</v>
      </c>
      <c r="J1556" s="4" t="s">
        <v>7969</v>
      </c>
      <c r="K1556" s="4" t="s">
        <v>7974</v>
      </c>
      <c r="L1556" s="4" t="s">
        <v>7975</v>
      </c>
      <c r="M1556" s="4" t="s">
        <v>28</v>
      </c>
      <c r="N1556" s="4" t="s">
        <v>183</v>
      </c>
      <c r="O1556" s="4" t="s">
        <v>47</v>
      </c>
      <c r="P1556" s="4" t="s">
        <v>48</v>
      </c>
      <c r="Q1556" s="4">
        <v>0</v>
      </c>
      <c r="R1556" s="4" t="b">
        <v>0</v>
      </c>
      <c r="S1556" s="4" t="s">
        <v>114</v>
      </c>
      <c r="T1556" s="4" t="s">
        <v>7976</v>
      </c>
      <c r="U1556" s="4" t="s">
        <v>90</v>
      </c>
      <c r="V1556" s="4" t="s">
        <v>267</v>
      </c>
      <c r="W1556" s="4" t="s">
        <v>2730</v>
      </c>
      <c r="X1556" s="4" t="s">
        <v>54</v>
      </c>
      <c r="Y1556" s="4"/>
      <c r="Z1556" s="12" t="s">
        <v>48</v>
      </c>
      <c r="AA1556" s="13" t="s">
        <v>9162</v>
      </c>
      <c r="AB1556" s="13" t="s">
        <v>9150</v>
      </c>
      <c r="AC1556" s="14" t="s">
        <v>9157</v>
      </c>
      <c r="AD1556" s="14" t="s">
        <v>28</v>
      </c>
      <c r="AE1556" s="14" t="s">
        <v>183</v>
      </c>
      <c r="AF1556" s="14" t="s">
        <v>267</v>
      </c>
      <c r="AG1556" s="14" t="s">
        <v>54</v>
      </c>
      <c r="AH1556" s="15" t="s">
        <v>9220</v>
      </c>
      <c r="AI1556" s="15" t="s">
        <v>9188</v>
      </c>
      <c r="AJ1556" s="15" t="s">
        <v>9143</v>
      </c>
      <c r="AK1556" s="15" t="s">
        <v>9221</v>
      </c>
      <c r="AL1556" s="15" t="s">
        <v>9236</v>
      </c>
      <c r="AM1556" s="16" t="s">
        <v>9221</v>
      </c>
      <c r="AN1556" s="16" t="s">
        <v>9237</v>
      </c>
    </row>
    <row r="1557" spans="1:40" x14ac:dyDescent="0.25">
      <c r="A1557" s="4" t="s">
        <v>7952</v>
      </c>
      <c r="B1557" s="4"/>
      <c r="C1557" s="4" t="s">
        <v>39</v>
      </c>
      <c r="D1557" s="4" t="s">
        <v>7953</v>
      </c>
      <c r="E1557" s="4" t="s">
        <v>7954</v>
      </c>
      <c r="F1557" s="10">
        <v>45253</v>
      </c>
      <c r="G1557" s="11">
        <v>0.63541666666666663</v>
      </c>
      <c r="H1557" s="4" t="s">
        <v>4516</v>
      </c>
      <c r="I1557" s="4" t="s">
        <v>7915</v>
      </c>
      <c r="J1557" s="4" t="s">
        <v>7916</v>
      </c>
      <c r="K1557" s="4" t="s">
        <v>877</v>
      </c>
      <c r="L1557" s="4" t="s">
        <v>7955</v>
      </c>
      <c r="M1557" s="4" t="s">
        <v>46</v>
      </c>
      <c r="N1557" s="4"/>
      <c r="O1557" s="4" t="s">
        <v>47</v>
      </c>
      <c r="P1557" s="4" t="s">
        <v>48</v>
      </c>
      <c r="Q1557" s="4">
        <v>0</v>
      </c>
      <c r="R1557" s="4" t="b">
        <v>0</v>
      </c>
      <c r="S1557" s="4" t="s">
        <v>61</v>
      </c>
      <c r="T1557" s="4" t="s">
        <v>479</v>
      </c>
      <c r="U1557" s="4" t="s">
        <v>140</v>
      </c>
      <c r="V1557" s="4" t="s">
        <v>123</v>
      </c>
      <c r="W1557" s="4" t="s">
        <v>124</v>
      </c>
      <c r="X1557" s="4" t="s">
        <v>54</v>
      </c>
      <c r="Y1557" s="4"/>
      <c r="Z1557" s="12">
        <v>0</v>
      </c>
      <c r="AA1557" s="13" t="s">
        <v>9162</v>
      </c>
      <c r="AB1557" s="13" t="s">
        <v>9150</v>
      </c>
      <c r="AC1557" s="14" t="s">
        <v>9148</v>
      </c>
      <c r="AD1557" s="14" t="s">
        <v>9140</v>
      </c>
      <c r="AE1557" s="14" t="s">
        <v>9140</v>
      </c>
      <c r="AF1557" s="14" t="s">
        <v>123</v>
      </c>
      <c r="AG1557" s="14" t="s">
        <v>54</v>
      </c>
      <c r="AH1557" s="15" t="s">
        <v>9220</v>
      </c>
      <c r="AI1557" s="15" t="s">
        <v>9188</v>
      </c>
      <c r="AJ1557" s="15" t="s">
        <v>9143</v>
      </c>
      <c r="AK1557" s="15" t="s">
        <v>9221</v>
      </c>
      <c r="AL1557" s="15" t="s">
        <v>9230</v>
      </c>
      <c r="AM1557" s="16" t="s">
        <v>9221</v>
      </c>
      <c r="AN1557" s="16" t="s">
        <v>9231</v>
      </c>
    </row>
    <row r="1558" spans="1:40" x14ac:dyDescent="0.25">
      <c r="A1558" s="4" t="s">
        <v>6263</v>
      </c>
      <c r="B1558" s="4"/>
      <c r="C1558" s="4" t="s">
        <v>39</v>
      </c>
      <c r="D1558" s="4" t="s">
        <v>6264</v>
      </c>
      <c r="E1558" s="4" t="s">
        <v>6265</v>
      </c>
      <c r="F1558" s="10">
        <v>45253</v>
      </c>
      <c r="G1558" s="11">
        <v>0.5</v>
      </c>
      <c r="H1558" s="4" t="s">
        <v>4910</v>
      </c>
      <c r="I1558" s="4" t="s">
        <v>6256</v>
      </c>
      <c r="J1558" s="4" t="s">
        <v>3927</v>
      </c>
      <c r="K1558" s="4" t="s">
        <v>6266</v>
      </c>
      <c r="L1558" s="4" t="s">
        <v>6267</v>
      </c>
      <c r="M1558" s="4" t="s">
        <v>28</v>
      </c>
      <c r="N1558" s="4" t="s">
        <v>183</v>
      </c>
      <c r="O1558" s="4" t="s">
        <v>174</v>
      </c>
      <c r="P1558" s="4" t="s">
        <v>48</v>
      </c>
      <c r="Q1558" s="4">
        <v>4</v>
      </c>
      <c r="R1558" s="4" t="b">
        <v>0</v>
      </c>
      <c r="S1558" s="4" t="s">
        <v>184</v>
      </c>
      <c r="T1558" s="4" t="s">
        <v>6268</v>
      </c>
      <c r="U1558" s="4" t="s">
        <v>107</v>
      </c>
      <c r="V1558" s="4" t="s">
        <v>72</v>
      </c>
      <c r="W1558" s="4" t="s">
        <v>2410</v>
      </c>
      <c r="X1558" s="4" t="s">
        <v>98</v>
      </c>
      <c r="Y1558" s="4"/>
      <c r="Z1558" s="12" t="s">
        <v>48</v>
      </c>
      <c r="AA1558" s="13" t="s">
        <v>9162</v>
      </c>
      <c r="AB1558" s="13" t="s">
        <v>9150</v>
      </c>
      <c r="AC1558" s="14" t="s">
        <v>9166</v>
      </c>
      <c r="AD1558" s="14" t="s">
        <v>28</v>
      </c>
      <c r="AE1558" s="14" t="s">
        <v>183</v>
      </c>
      <c r="AF1558" s="14" t="s">
        <v>72</v>
      </c>
      <c r="AG1558" s="14" t="s">
        <v>98</v>
      </c>
      <c r="AH1558" s="15" t="s">
        <v>9220</v>
      </c>
      <c r="AI1558" s="15" t="s">
        <v>9191</v>
      </c>
      <c r="AJ1558" s="15" t="s">
        <v>9143</v>
      </c>
      <c r="AK1558" s="15" t="s">
        <v>9221</v>
      </c>
      <c r="AL1558" s="15" t="s">
        <v>9226</v>
      </c>
      <c r="AM1558" s="16" t="s">
        <v>9221</v>
      </c>
      <c r="AN1558" s="16" t="s">
        <v>9227</v>
      </c>
    </row>
    <row r="1559" spans="1:40" x14ac:dyDescent="0.25">
      <c r="A1559" s="4" t="s">
        <v>1970</v>
      </c>
      <c r="B1559" s="4"/>
      <c r="C1559" s="4" t="s">
        <v>39</v>
      </c>
      <c r="D1559" s="4" t="s">
        <v>1971</v>
      </c>
      <c r="E1559" s="4" t="s">
        <v>1972</v>
      </c>
      <c r="F1559" s="10">
        <v>45253</v>
      </c>
      <c r="G1559" s="11">
        <v>0.72222222222222221</v>
      </c>
      <c r="H1559" s="4" t="s">
        <v>1939</v>
      </c>
      <c r="I1559" s="4" t="s">
        <v>1940</v>
      </c>
      <c r="J1559" s="4" t="s">
        <v>1941</v>
      </c>
      <c r="K1559" s="4" t="s">
        <v>1973</v>
      </c>
      <c r="L1559" s="4" t="s">
        <v>1974</v>
      </c>
      <c r="M1559" s="4" t="s">
        <v>46</v>
      </c>
      <c r="N1559" s="4"/>
      <c r="O1559" s="4" t="s">
        <v>47</v>
      </c>
      <c r="P1559" s="4" t="s">
        <v>48</v>
      </c>
      <c r="Q1559" s="4">
        <v>0</v>
      </c>
      <c r="R1559" s="4" t="b">
        <v>0</v>
      </c>
      <c r="S1559" s="4" t="s">
        <v>49</v>
      </c>
      <c r="T1559" s="4" t="s">
        <v>89</v>
      </c>
      <c r="U1559" s="4" t="s">
        <v>71</v>
      </c>
      <c r="V1559" s="4" t="s">
        <v>72</v>
      </c>
      <c r="W1559" s="4" t="s">
        <v>73</v>
      </c>
      <c r="X1559" s="4" t="s">
        <v>54</v>
      </c>
      <c r="Y1559" s="4"/>
      <c r="Z1559" s="12">
        <v>0</v>
      </c>
      <c r="AA1559" s="13" t="s">
        <v>9162</v>
      </c>
      <c r="AB1559" s="13" t="s">
        <v>9150</v>
      </c>
      <c r="AC1559" s="14" t="s">
        <v>9139</v>
      </c>
      <c r="AD1559" s="14" t="s">
        <v>9140</v>
      </c>
      <c r="AE1559" s="14" t="s">
        <v>9140</v>
      </c>
      <c r="AF1559" s="14" t="s">
        <v>72</v>
      </c>
      <c r="AG1559" s="14" t="s">
        <v>54</v>
      </c>
      <c r="AH1559" s="15" t="s">
        <v>9194</v>
      </c>
      <c r="AI1559" s="15" t="s">
        <v>9175</v>
      </c>
      <c r="AJ1559" s="15" t="s">
        <v>9143</v>
      </c>
      <c r="AK1559" s="15" t="s">
        <v>9194</v>
      </c>
      <c r="AL1559" s="15" t="s">
        <v>9195</v>
      </c>
      <c r="AM1559" s="16" t="s">
        <v>9194</v>
      </c>
      <c r="AN1559" s="16" t="s">
        <v>9196</v>
      </c>
    </row>
    <row r="1560" spans="1:40" x14ac:dyDescent="0.25">
      <c r="A1560" s="4" t="s">
        <v>3401</v>
      </c>
      <c r="B1560" s="4" t="s">
        <v>3402</v>
      </c>
      <c r="C1560" s="4" t="s">
        <v>39</v>
      </c>
      <c r="D1560" s="4" t="s">
        <v>3403</v>
      </c>
      <c r="E1560" s="4" t="s">
        <v>3404</v>
      </c>
      <c r="F1560" s="10">
        <v>45253</v>
      </c>
      <c r="G1560" s="11">
        <v>0.34722222222222221</v>
      </c>
      <c r="H1560" s="4" t="s">
        <v>2227</v>
      </c>
      <c r="I1560" s="4" t="s">
        <v>3381</v>
      </c>
      <c r="J1560" s="4" t="s">
        <v>1285</v>
      </c>
      <c r="K1560" s="4" t="s">
        <v>3405</v>
      </c>
      <c r="L1560" s="4" t="s">
        <v>3406</v>
      </c>
      <c r="M1560" s="4" t="s">
        <v>28</v>
      </c>
      <c r="N1560" s="4" t="s">
        <v>183</v>
      </c>
      <c r="O1560" s="4" t="s">
        <v>191</v>
      </c>
      <c r="P1560" s="4" t="s">
        <v>48</v>
      </c>
      <c r="Q1560" s="4">
        <v>71</v>
      </c>
      <c r="R1560" s="4" t="b">
        <v>0</v>
      </c>
      <c r="S1560" s="4" t="s">
        <v>184</v>
      </c>
      <c r="T1560" s="4" t="s">
        <v>89</v>
      </c>
      <c r="U1560" s="4" t="s">
        <v>887</v>
      </c>
      <c r="V1560" s="4" t="s">
        <v>123</v>
      </c>
      <c r="W1560" s="4" t="s">
        <v>124</v>
      </c>
      <c r="X1560" s="4" t="s">
        <v>978</v>
      </c>
      <c r="Y1560" s="4"/>
      <c r="Z1560" s="12" t="s">
        <v>48</v>
      </c>
      <c r="AA1560" s="13" t="s">
        <v>9162</v>
      </c>
      <c r="AB1560" s="13" t="s">
        <v>9150</v>
      </c>
      <c r="AC1560" s="14" t="s">
        <v>9166</v>
      </c>
      <c r="AD1560" s="14" t="s">
        <v>28</v>
      </c>
      <c r="AE1560" s="14" t="s">
        <v>183</v>
      </c>
      <c r="AF1560" s="14" t="s">
        <v>123</v>
      </c>
      <c r="AG1560" s="14" t="s">
        <v>978</v>
      </c>
      <c r="AH1560" s="15" t="s">
        <v>9194</v>
      </c>
      <c r="AI1560" s="15" t="s">
        <v>9187</v>
      </c>
      <c r="AJ1560" s="15" t="s">
        <v>9143</v>
      </c>
      <c r="AK1560" s="15" t="s">
        <v>9194</v>
      </c>
      <c r="AL1560" s="15" t="s">
        <v>9209</v>
      </c>
      <c r="AM1560" s="16" t="s">
        <v>9194</v>
      </c>
      <c r="AN1560" s="16" t="s">
        <v>9210</v>
      </c>
    </row>
    <row r="1561" spans="1:40" x14ac:dyDescent="0.25">
      <c r="A1561" s="4" t="s">
        <v>2351</v>
      </c>
      <c r="B1561" s="4"/>
      <c r="C1561" s="4" t="s">
        <v>39</v>
      </c>
      <c r="D1561" s="4" t="s">
        <v>2352</v>
      </c>
      <c r="E1561" s="4" t="s">
        <v>2353</v>
      </c>
      <c r="F1561" s="10">
        <v>45252</v>
      </c>
      <c r="G1561" s="11">
        <v>0.625</v>
      </c>
      <c r="H1561" s="4" t="s">
        <v>1939</v>
      </c>
      <c r="I1561" s="4" t="s">
        <v>2322</v>
      </c>
      <c r="J1561" s="4" t="s">
        <v>1037</v>
      </c>
      <c r="K1561" s="4" t="s">
        <v>2354</v>
      </c>
      <c r="L1561" s="4" t="s">
        <v>2355</v>
      </c>
      <c r="M1561" s="4" t="s">
        <v>46</v>
      </c>
      <c r="N1561" s="4"/>
      <c r="O1561" s="4" t="s">
        <v>47</v>
      </c>
      <c r="P1561" s="4" t="s">
        <v>48</v>
      </c>
      <c r="Q1561" s="4">
        <v>0</v>
      </c>
      <c r="R1561" s="4" t="b">
        <v>0</v>
      </c>
      <c r="S1561" s="4" t="s">
        <v>61</v>
      </c>
      <c r="T1561" s="4" t="s">
        <v>89</v>
      </c>
      <c r="U1561" s="4" t="s">
        <v>90</v>
      </c>
      <c r="V1561" s="4" t="s">
        <v>72</v>
      </c>
      <c r="W1561" s="4" t="s">
        <v>73</v>
      </c>
      <c r="X1561" s="4" t="s">
        <v>54</v>
      </c>
      <c r="Y1561" s="4"/>
      <c r="Z1561" s="12">
        <v>0</v>
      </c>
      <c r="AA1561" s="13" t="s">
        <v>9162</v>
      </c>
      <c r="AB1561" s="13" t="s">
        <v>9150</v>
      </c>
      <c r="AC1561" s="14" t="s">
        <v>9148</v>
      </c>
      <c r="AD1561" s="14" t="s">
        <v>9140</v>
      </c>
      <c r="AE1561" s="14" t="s">
        <v>9140</v>
      </c>
      <c r="AF1561" s="14" t="s">
        <v>72</v>
      </c>
      <c r="AG1561" s="14" t="s">
        <v>54</v>
      </c>
      <c r="AH1561" s="15" t="s">
        <v>9194</v>
      </c>
      <c r="AI1561" s="15" t="s">
        <v>9175</v>
      </c>
      <c r="AJ1561" s="15" t="s">
        <v>9143</v>
      </c>
      <c r="AK1561" s="15" t="s">
        <v>9194</v>
      </c>
      <c r="AL1561" s="15" t="s">
        <v>9195</v>
      </c>
      <c r="AM1561" s="16" t="s">
        <v>9194</v>
      </c>
      <c r="AN1561" s="16" t="s">
        <v>9196</v>
      </c>
    </row>
    <row r="1562" spans="1:40" x14ac:dyDescent="0.25">
      <c r="A1562" s="4" t="s">
        <v>2478</v>
      </c>
      <c r="B1562" s="4"/>
      <c r="C1562" s="4" t="s">
        <v>39</v>
      </c>
      <c r="D1562" s="4" t="s">
        <v>2455</v>
      </c>
      <c r="E1562" s="4" t="s">
        <v>2456</v>
      </c>
      <c r="F1562" s="10">
        <v>45252</v>
      </c>
      <c r="G1562" s="11">
        <v>0.67013888888888884</v>
      </c>
      <c r="H1562" s="4" t="s">
        <v>1939</v>
      </c>
      <c r="I1562" s="4" t="s">
        <v>2393</v>
      </c>
      <c r="J1562" s="4" t="s">
        <v>2394</v>
      </c>
      <c r="K1562" s="4" t="s">
        <v>2479</v>
      </c>
      <c r="L1562" s="4" t="s">
        <v>2480</v>
      </c>
      <c r="M1562" s="4" t="s">
        <v>46</v>
      </c>
      <c r="N1562" s="4"/>
      <c r="O1562" s="4" t="s">
        <v>47</v>
      </c>
      <c r="P1562" s="4" t="s">
        <v>48</v>
      </c>
      <c r="Q1562" s="4">
        <v>0</v>
      </c>
      <c r="R1562" s="4" t="b">
        <v>0</v>
      </c>
      <c r="S1562" s="4" t="s">
        <v>49</v>
      </c>
      <c r="T1562" s="4" t="s">
        <v>50</v>
      </c>
      <c r="U1562" s="4" t="s">
        <v>71</v>
      </c>
      <c r="V1562" s="4" t="s">
        <v>72</v>
      </c>
      <c r="W1562" s="4" t="s">
        <v>73</v>
      </c>
      <c r="X1562" s="4" t="s">
        <v>98</v>
      </c>
      <c r="Y1562" s="4"/>
      <c r="Z1562" s="12">
        <v>0</v>
      </c>
      <c r="AA1562" s="13" t="s">
        <v>9162</v>
      </c>
      <c r="AB1562" s="13" t="s">
        <v>9150</v>
      </c>
      <c r="AC1562" s="14" t="s">
        <v>9139</v>
      </c>
      <c r="AD1562" s="14" t="s">
        <v>9140</v>
      </c>
      <c r="AE1562" s="14" t="s">
        <v>9140</v>
      </c>
      <c r="AF1562" s="14" t="s">
        <v>72</v>
      </c>
      <c r="AG1562" s="14" t="s">
        <v>98</v>
      </c>
      <c r="AH1562" s="15" t="s">
        <v>9194</v>
      </c>
      <c r="AI1562" s="15" t="s">
        <v>9175</v>
      </c>
      <c r="AJ1562" s="15" t="s">
        <v>9143</v>
      </c>
      <c r="AK1562" s="15" t="s">
        <v>9194</v>
      </c>
      <c r="AL1562" s="15" t="s">
        <v>9195</v>
      </c>
      <c r="AM1562" s="16" t="s">
        <v>9194</v>
      </c>
      <c r="AN1562" s="16" t="s">
        <v>9196</v>
      </c>
    </row>
    <row r="1563" spans="1:40" x14ac:dyDescent="0.25">
      <c r="A1563" s="4" t="s">
        <v>6192</v>
      </c>
      <c r="B1563" s="4"/>
      <c r="C1563" s="4" t="s">
        <v>39</v>
      </c>
      <c r="D1563" s="4" t="s">
        <v>6182</v>
      </c>
      <c r="E1563" s="4" t="s">
        <v>6183</v>
      </c>
      <c r="F1563" s="10">
        <v>45252</v>
      </c>
      <c r="G1563" s="11">
        <v>0.4548611111111111</v>
      </c>
      <c r="H1563" s="4" t="s">
        <v>5666</v>
      </c>
      <c r="I1563" s="4" t="s">
        <v>6136</v>
      </c>
      <c r="J1563" s="4" t="s">
        <v>2598</v>
      </c>
      <c r="K1563" s="4" t="s">
        <v>6193</v>
      </c>
      <c r="L1563" s="4" t="s">
        <v>6194</v>
      </c>
      <c r="M1563" s="4" t="s">
        <v>46</v>
      </c>
      <c r="N1563" s="4"/>
      <c r="O1563" s="4" t="s">
        <v>47</v>
      </c>
      <c r="P1563" s="4" t="s">
        <v>48</v>
      </c>
      <c r="Q1563" s="4">
        <v>0</v>
      </c>
      <c r="R1563" s="4" t="b">
        <v>0</v>
      </c>
      <c r="S1563" s="4" t="s">
        <v>61</v>
      </c>
      <c r="T1563" s="4" t="s">
        <v>89</v>
      </c>
      <c r="U1563" s="4" t="s">
        <v>1918</v>
      </c>
      <c r="V1563" s="4" t="s">
        <v>123</v>
      </c>
      <c r="W1563" s="4" t="s">
        <v>149</v>
      </c>
      <c r="X1563" s="4" t="s">
        <v>54</v>
      </c>
      <c r="Y1563" s="4"/>
      <c r="Z1563" s="12">
        <v>0</v>
      </c>
      <c r="AA1563" s="13" t="s">
        <v>9162</v>
      </c>
      <c r="AB1563" s="13" t="s">
        <v>9150</v>
      </c>
      <c r="AC1563" s="14" t="s">
        <v>9148</v>
      </c>
      <c r="AD1563" s="14" t="s">
        <v>9140</v>
      </c>
      <c r="AE1563" s="14" t="s">
        <v>9140</v>
      </c>
      <c r="AF1563" s="14" t="s">
        <v>123</v>
      </c>
      <c r="AG1563" s="14" t="s">
        <v>54</v>
      </c>
      <c r="AH1563" s="15" t="s">
        <v>9220</v>
      </c>
      <c r="AI1563" s="15" t="s">
        <v>9199</v>
      </c>
      <c r="AJ1563" s="15" t="s">
        <v>9143</v>
      </c>
      <c r="AK1563" s="15" t="s">
        <v>9221</v>
      </c>
      <c r="AL1563" s="15" t="s">
        <v>9199</v>
      </c>
      <c r="AM1563" s="16" t="s">
        <v>9221</v>
      </c>
      <c r="AN1563" s="16" t="s">
        <v>9238</v>
      </c>
    </row>
    <row r="1564" spans="1:40" x14ac:dyDescent="0.25">
      <c r="A1564" s="4" t="s">
        <v>9092</v>
      </c>
      <c r="B1564" s="4"/>
      <c r="C1564" s="4" t="s">
        <v>39</v>
      </c>
      <c r="D1564" s="4" t="s">
        <v>9093</v>
      </c>
      <c r="E1564" s="4" t="s">
        <v>9094</v>
      </c>
      <c r="F1564" s="10">
        <v>45252</v>
      </c>
      <c r="G1564" s="11">
        <v>0.47916666666666669</v>
      </c>
      <c r="H1564" s="4" t="s">
        <v>4019</v>
      </c>
      <c r="I1564" s="4" t="s">
        <v>8971</v>
      </c>
      <c r="J1564" s="4" t="s">
        <v>8972</v>
      </c>
      <c r="K1564" s="4" t="s">
        <v>9095</v>
      </c>
      <c r="L1564" s="4" t="s">
        <v>9096</v>
      </c>
      <c r="M1564" s="4" t="s">
        <v>46</v>
      </c>
      <c r="N1564" s="4"/>
      <c r="O1564" s="4" t="s">
        <v>47</v>
      </c>
      <c r="P1564" s="4" t="s">
        <v>48</v>
      </c>
      <c r="Q1564" s="4">
        <v>0</v>
      </c>
      <c r="R1564" s="4" t="b">
        <v>0</v>
      </c>
      <c r="S1564" s="4" t="s">
        <v>49</v>
      </c>
      <c r="T1564" s="4" t="s">
        <v>89</v>
      </c>
      <c r="U1564" s="4" t="s">
        <v>140</v>
      </c>
      <c r="V1564" s="4" t="s">
        <v>63</v>
      </c>
      <c r="W1564" s="4" t="s">
        <v>198</v>
      </c>
      <c r="X1564" s="4" t="s">
        <v>98</v>
      </c>
      <c r="Y1564" s="4" t="s">
        <v>323</v>
      </c>
      <c r="Z1564" s="12">
        <v>0</v>
      </c>
      <c r="AA1564" s="13" t="s">
        <v>9162</v>
      </c>
      <c r="AB1564" s="13" t="s">
        <v>9150</v>
      </c>
      <c r="AC1564" s="14" t="s">
        <v>9139</v>
      </c>
      <c r="AD1564" s="14" t="s">
        <v>9140</v>
      </c>
      <c r="AE1564" s="14" t="s">
        <v>9140</v>
      </c>
      <c r="AF1564" s="14" t="s">
        <v>63</v>
      </c>
      <c r="AG1564" s="14" t="s">
        <v>98</v>
      </c>
      <c r="AH1564" s="15" t="s">
        <v>9220</v>
      </c>
      <c r="AI1564" s="15" t="s">
        <v>9175</v>
      </c>
      <c r="AJ1564" s="15" t="s">
        <v>9181</v>
      </c>
      <c r="AK1564" s="15" t="s">
        <v>9182</v>
      </c>
      <c r="AL1564" s="15" t="s">
        <v>9182</v>
      </c>
      <c r="AM1564" s="16" t="s">
        <v>9182</v>
      </c>
      <c r="AN1564" s="16" t="s">
        <v>9182</v>
      </c>
    </row>
    <row r="1565" spans="1:40" x14ac:dyDescent="0.25">
      <c r="A1565" s="4" t="s">
        <v>7116</v>
      </c>
      <c r="B1565" s="4"/>
      <c r="C1565" s="4" t="s">
        <v>39</v>
      </c>
      <c r="D1565" s="4" t="s">
        <v>7068</v>
      </c>
      <c r="E1565" s="4" t="s">
        <v>7069</v>
      </c>
      <c r="F1565" s="10">
        <v>45252</v>
      </c>
      <c r="G1565" s="11">
        <v>0.58333333333333337</v>
      </c>
      <c r="H1565" s="4" t="s">
        <v>4242</v>
      </c>
      <c r="I1565" s="4" t="s">
        <v>7028</v>
      </c>
      <c r="J1565" s="4" t="s">
        <v>7029</v>
      </c>
      <c r="K1565" s="4" t="s">
        <v>7117</v>
      </c>
      <c r="L1565" s="4" t="s">
        <v>7118</v>
      </c>
      <c r="M1565" s="4" t="s">
        <v>46</v>
      </c>
      <c r="N1565" s="4"/>
      <c r="O1565" s="4" t="s">
        <v>47</v>
      </c>
      <c r="P1565" s="4" t="s">
        <v>48</v>
      </c>
      <c r="Q1565" s="4">
        <v>0</v>
      </c>
      <c r="R1565" s="4" t="b">
        <v>0</v>
      </c>
      <c r="S1565" s="4" t="s">
        <v>61</v>
      </c>
      <c r="T1565" s="4" t="s">
        <v>89</v>
      </c>
      <c r="U1565" s="4" t="s">
        <v>90</v>
      </c>
      <c r="V1565" s="4" t="s">
        <v>63</v>
      </c>
      <c r="W1565" s="4" t="s">
        <v>198</v>
      </c>
      <c r="X1565" s="4" t="s">
        <v>54</v>
      </c>
      <c r="Y1565" s="4"/>
      <c r="Z1565" s="12">
        <v>0</v>
      </c>
      <c r="AA1565" s="13" t="s">
        <v>9162</v>
      </c>
      <c r="AB1565" s="13" t="s">
        <v>9150</v>
      </c>
      <c r="AC1565" s="14" t="s">
        <v>9148</v>
      </c>
      <c r="AD1565" s="14" t="s">
        <v>9140</v>
      </c>
      <c r="AE1565" s="14" t="s">
        <v>9140</v>
      </c>
      <c r="AF1565" s="14" t="s">
        <v>63</v>
      </c>
      <c r="AG1565" s="14" t="s">
        <v>54</v>
      </c>
      <c r="AH1565" s="15" t="s">
        <v>9220</v>
      </c>
      <c r="AI1565" s="15" t="s">
        <v>9187</v>
      </c>
      <c r="AJ1565" s="15" t="s">
        <v>9143</v>
      </c>
      <c r="AK1565" s="15" t="s">
        <v>9221</v>
      </c>
      <c r="AL1565" s="15" t="s">
        <v>9226</v>
      </c>
      <c r="AM1565" s="16" t="s">
        <v>9221</v>
      </c>
      <c r="AN1565" s="16" t="s">
        <v>9227</v>
      </c>
    </row>
    <row r="1566" spans="1:40" x14ac:dyDescent="0.25">
      <c r="A1566" s="4" t="s">
        <v>4856</v>
      </c>
      <c r="B1566" s="4"/>
      <c r="C1566" s="4" t="s">
        <v>39</v>
      </c>
      <c r="D1566" s="4" t="s">
        <v>4857</v>
      </c>
      <c r="E1566" s="4" t="s">
        <v>4858</v>
      </c>
      <c r="F1566" s="10">
        <v>45251</v>
      </c>
      <c r="G1566" s="11">
        <v>0.5</v>
      </c>
      <c r="H1566" s="4" t="s">
        <v>4019</v>
      </c>
      <c r="I1566" s="4" t="s">
        <v>4804</v>
      </c>
      <c r="J1566" s="4" t="s">
        <v>756</v>
      </c>
      <c r="K1566" s="4" t="s">
        <v>4859</v>
      </c>
      <c r="L1566" s="4" t="s">
        <v>4860</v>
      </c>
      <c r="M1566" s="4" t="s">
        <v>46</v>
      </c>
      <c r="N1566" s="4"/>
      <c r="O1566" s="4" t="s">
        <v>47</v>
      </c>
      <c r="P1566" s="4" t="s">
        <v>48</v>
      </c>
      <c r="Q1566" s="4">
        <v>0</v>
      </c>
      <c r="R1566" s="4" t="b">
        <v>0</v>
      </c>
      <c r="S1566" s="4" t="s">
        <v>61</v>
      </c>
      <c r="T1566" s="4" t="s">
        <v>50</v>
      </c>
      <c r="U1566" s="4" t="s">
        <v>527</v>
      </c>
      <c r="V1566" s="4" t="s">
        <v>72</v>
      </c>
      <c r="W1566" s="4" t="s">
        <v>73</v>
      </c>
      <c r="X1566" s="4" t="s">
        <v>54</v>
      </c>
      <c r="Y1566" s="4"/>
      <c r="Z1566" s="12">
        <v>0</v>
      </c>
      <c r="AA1566" s="13" t="s">
        <v>9162</v>
      </c>
      <c r="AB1566" s="13" t="s">
        <v>9150</v>
      </c>
      <c r="AC1566" s="14" t="s">
        <v>9148</v>
      </c>
      <c r="AD1566" s="14" t="s">
        <v>9140</v>
      </c>
      <c r="AE1566" s="14" t="s">
        <v>9140</v>
      </c>
      <c r="AF1566" s="14" t="s">
        <v>72</v>
      </c>
      <c r="AG1566" s="14" t="s">
        <v>54</v>
      </c>
      <c r="AH1566" s="15" t="s">
        <v>9220</v>
      </c>
      <c r="AI1566" s="15" t="s">
        <v>9175</v>
      </c>
      <c r="AJ1566" s="15" t="s">
        <v>9143</v>
      </c>
      <c r="AK1566" s="15" t="s">
        <v>9221</v>
      </c>
      <c r="AL1566" s="15" t="s">
        <v>9222</v>
      </c>
      <c r="AM1566" s="16" t="s">
        <v>9221</v>
      </c>
      <c r="AN1566" s="16" t="s">
        <v>9223</v>
      </c>
    </row>
    <row r="1567" spans="1:40" x14ac:dyDescent="0.25">
      <c r="A1567" s="4" t="s">
        <v>8626</v>
      </c>
      <c r="B1567" s="4"/>
      <c r="C1567" s="4" t="s">
        <v>39</v>
      </c>
      <c r="D1567" s="4" t="s">
        <v>8627</v>
      </c>
      <c r="E1567" s="4" t="s">
        <v>8628</v>
      </c>
      <c r="F1567" s="10">
        <v>45251</v>
      </c>
      <c r="G1567" s="11">
        <v>0.60416666666666663</v>
      </c>
      <c r="H1567" s="4" t="s">
        <v>4516</v>
      </c>
      <c r="I1567" s="4" t="s">
        <v>8612</v>
      </c>
      <c r="J1567" s="4" t="s">
        <v>8613</v>
      </c>
      <c r="K1567" s="4" t="s">
        <v>8629</v>
      </c>
      <c r="L1567" s="4" t="s">
        <v>8630</v>
      </c>
      <c r="M1567" s="4" t="s">
        <v>46</v>
      </c>
      <c r="N1567" s="4"/>
      <c r="O1567" s="4" t="s">
        <v>47</v>
      </c>
      <c r="P1567" s="4" t="s">
        <v>48</v>
      </c>
      <c r="Q1567" s="4">
        <v>0</v>
      </c>
      <c r="R1567" s="4" t="b">
        <v>0</v>
      </c>
      <c r="S1567" s="4" t="s">
        <v>61</v>
      </c>
      <c r="T1567" s="4" t="s">
        <v>479</v>
      </c>
      <c r="U1567" s="4" t="s">
        <v>224</v>
      </c>
      <c r="V1567" s="4" t="s">
        <v>52</v>
      </c>
      <c r="W1567" s="4" t="s">
        <v>255</v>
      </c>
      <c r="X1567" s="4" t="s">
        <v>978</v>
      </c>
      <c r="Y1567" s="4"/>
      <c r="Z1567" s="12">
        <v>0</v>
      </c>
      <c r="AA1567" s="13" t="s">
        <v>9162</v>
      </c>
      <c r="AB1567" s="13" t="s">
        <v>9150</v>
      </c>
      <c r="AC1567" s="14" t="s">
        <v>9148</v>
      </c>
      <c r="AD1567" s="14" t="s">
        <v>9140</v>
      </c>
      <c r="AE1567" s="14" t="s">
        <v>9140</v>
      </c>
      <c r="AF1567" s="14" t="s">
        <v>52</v>
      </c>
      <c r="AG1567" s="14" t="s">
        <v>978</v>
      </c>
      <c r="AH1567" s="15" t="s">
        <v>9220</v>
      </c>
      <c r="AI1567" s="15" t="s">
        <v>9188</v>
      </c>
      <c r="AJ1567" s="15" t="s">
        <v>9143</v>
      </c>
      <c r="AK1567" s="15" t="s">
        <v>9221</v>
      </c>
      <c r="AL1567" s="15" t="s">
        <v>9230</v>
      </c>
      <c r="AM1567" s="16" t="s">
        <v>9221</v>
      </c>
      <c r="AN1567" s="16" t="s">
        <v>9231</v>
      </c>
    </row>
    <row r="1568" spans="1:40" x14ac:dyDescent="0.25">
      <c r="A1568" s="4" t="s">
        <v>3136</v>
      </c>
      <c r="B1568" s="4"/>
      <c r="C1568" s="4" t="s">
        <v>39</v>
      </c>
      <c r="D1568" s="4" t="s">
        <v>3137</v>
      </c>
      <c r="E1568" s="4" t="s">
        <v>3138</v>
      </c>
      <c r="F1568" s="10">
        <v>45251</v>
      </c>
      <c r="G1568" s="11">
        <v>0.65694444444444444</v>
      </c>
      <c r="H1568" s="4" t="s">
        <v>3119</v>
      </c>
      <c r="I1568" s="4" t="s">
        <v>3120</v>
      </c>
      <c r="J1568" s="4" t="s">
        <v>3121</v>
      </c>
      <c r="K1568" s="4" t="s">
        <v>3139</v>
      </c>
      <c r="L1568" s="4" t="s">
        <v>3140</v>
      </c>
      <c r="M1568" s="4" t="s">
        <v>46</v>
      </c>
      <c r="N1568" s="4"/>
      <c r="O1568" s="4" t="s">
        <v>47</v>
      </c>
      <c r="P1568" s="4" t="s">
        <v>48</v>
      </c>
      <c r="Q1568" s="4">
        <v>0</v>
      </c>
      <c r="R1568" s="4" t="b">
        <v>0</v>
      </c>
      <c r="S1568" s="4" t="s">
        <v>61</v>
      </c>
      <c r="T1568" s="4" t="s">
        <v>89</v>
      </c>
      <c r="U1568" s="4" t="s">
        <v>867</v>
      </c>
      <c r="V1568" s="4" t="s">
        <v>63</v>
      </c>
      <c r="W1568" s="4" t="s">
        <v>108</v>
      </c>
      <c r="X1568" s="4" t="s">
        <v>98</v>
      </c>
      <c r="Y1568" s="4" t="s">
        <v>176</v>
      </c>
      <c r="Z1568" s="12">
        <v>0</v>
      </c>
      <c r="AA1568" s="13" t="s">
        <v>9162</v>
      </c>
      <c r="AB1568" s="13" t="s">
        <v>9150</v>
      </c>
      <c r="AC1568" s="14" t="s">
        <v>9148</v>
      </c>
      <c r="AD1568" s="14" t="s">
        <v>9140</v>
      </c>
      <c r="AE1568" s="14" t="s">
        <v>9140</v>
      </c>
      <c r="AF1568" s="14" t="s">
        <v>63</v>
      </c>
      <c r="AG1568" s="14" t="s">
        <v>98</v>
      </c>
      <c r="AH1568" s="15" t="s">
        <v>9194</v>
      </c>
      <c r="AI1568" s="15" t="s">
        <v>9213</v>
      </c>
      <c r="AJ1568" s="15" t="s">
        <v>9143</v>
      </c>
      <c r="AK1568" s="15" t="s">
        <v>9194</v>
      </c>
      <c r="AL1568" s="15" t="s">
        <v>9205</v>
      </c>
      <c r="AM1568" s="16" t="s">
        <v>9194</v>
      </c>
      <c r="AN1568" s="16" t="s">
        <v>9206</v>
      </c>
    </row>
    <row r="1569" spans="1:40" x14ac:dyDescent="0.25">
      <c r="A1569" s="4" t="s">
        <v>2209</v>
      </c>
      <c r="B1569" s="4"/>
      <c r="C1569" s="4" t="s">
        <v>39</v>
      </c>
      <c r="D1569" s="4" t="s">
        <v>2210</v>
      </c>
      <c r="E1569" s="4" t="s">
        <v>2211</v>
      </c>
      <c r="F1569" s="10">
        <v>45251</v>
      </c>
      <c r="G1569" s="11">
        <v>0.6479166666666667</v>
      </c>
      <c r="H1569" s="4" t="s">
        <v>2017</v>
      </c>
      <c r="I1569" s="4" t="s">
        <v>2191</v>
      </c>
      <c r="J1569" s="4" t="s">
        <v>2192</v>
      </c>
      <c r="K1569" s="4" t="s">
        <v>2212</v>
      </c>
      <c r="L1569" s="4" t="s">
        <v>2213</v>
      </c>
      <c r="M1569" s="4" t="s">
        <v>46</v>
      </c>
      <c r="N1569" s="4"/>
      <c r="O1569" s="4" t="s">
        <v>47</v>
      </c>
      <c r="P1569" s="4" t="s">
        <v>48</v>
      </c>
      <c r="Q1569" s="4">
        <v>0</v>
      </c>
      <c r="R1569" s="4" t="b">
        <v>0</v>
      </c>
      <c r="S1569" s="4" t="s">
        <v>49</v>
      </c>
      <c r="T1569" s="4" t="s">
        <v>89</v>
      </c>
      <c r="U1569" s="4" t="s">
        <v>140</v>
      </c>
      <c r="V1569" s="4" t="s">
        <v>123</v>
      </c>
      <c r="W1569" s="4" t="s">
        <v>192</v>
      </c>
      <c r="X1569" s="4" t="s">
        <v>54</v>
      </c>
      <c r="Y1569" s="4"/>
      <c r="Z1569" s="12">
        <v>0</v>
      </c>
      <c r="AA1569" s="13" t="s">
        <v>9162</v>
      </c>
      <c r="AB1569" s="13" t="s">
        <v>9150</v>
      </c>
      <c r="AC1569" s="14" t="s">
        <v>9139</v>
      </c>
      <c r="AD1569" s="14" t="s">
        <v>9140</v>
      </c>
      <c r="AE1569" s="14" t="s">
        <v>9140</v>
      </c>
      <c r="AF1569" s="14" t="s">
        <v>123</v>
      </c>
      <c r="AG1569" s="14" t="s">
        <v>54</v>
      </c>
      <c r="AH1569" s="15" t="s">
        <v>9194</v>
      </c>
      <c r="AI1569" s="15" t="s">
        <v>9199</v>
      </c>
      <c r="AJ1569" s="15" t="s">
        <v>9143</v>
      </c>
      <c r="AK1569" s="15" t="s">
        <v>9194</v>
      </c>
      <c r="AL1569" s="15" t="s">
        <v>9199</v>
      </c>
      <c r="AM1569" s="16" t="s">
        <v>9194</v>
      </c>
      <c r="AN1569" s="16" t="s">
        <v>9200</v>
      </c>
    </row>
    <row r="1570" spans="1:40" x14ac:dyDescent="0.25">
      <c r="A1570" s="4" t="s">
        <v>351</v>
      </c>
      <c r="B1570" s="4"/>
      <c r="C1570" s="4" t="s">
        <v>39</v>
      </c>
      <c r="D1570" s="4" t="s">
        <v>352</v>
      </c>
      <c r="E1570" s="4" t="s">
        <v>353</v>
      </c>
      <c r="F1570" s="10">
        <v>45251</v>
      </c>
      <c r="G1570" s="11">
        <v>0.40277777777777779</v>
      </c>
      <c r="H1570" s="4" t="s">
        <v>42</v>
      </c>
      <c r="I1570" s="4">
        <v>1011</v>
      </c>
      <c r="J1570" s="4" t="s">
        <v>215</v>
      </c>
      <c r="K1570" s="4" t="s">
        <v>354</v>
      </c>
      <c r="L1570" s="4" t="s">
        <v>355</v>
      </c>
      <c r="M1570" s="4" t="s">
        <v>46</v>
      </c>
      <c r="N1570" s="4"/>
      <c r="O1570" s="4" t="s">
        <v>47</v>
      </c>
      <c r="P1570" s="4" t="s">
        <v>48</v>
      </c>
      <c r="Q1570" s="4">
        <v>0</v>
      </c>
      <c r="R1570" s="4" t="b">
        <v>0</v>
      </c>
      <c r="S1570" s="4" t="s">
        <v>49</v>
      </c>
      <c r="T1570" s="4" t="s">
        <v>70</v>
      </c>
      <c r="U1570" s="4" t="s">
        <v>71</v>
      </c>
      <c r="V1570" s="4" t="s">
        <v>52</v>
      </c>
      <c r="W1570" s="4" t="s">
        <v>135</v>
      </c>
      <c r="X1570" s="4" t="s">
        <v>54</v>
      </c>
      <c r="Y1570" s="4"/>
      <c r="Z1570" s="12">
        <v>0</v>
      </c>
      <c r="AA1570" s="13" t="s">
        <v>9162</v>
      </c>
      <c r="AB1570" s="13" t="s">
        <v>9150</v>
      </c>
      <c r="AC1570" s="14" t="s">
        <v>9139</v>
      </c>
      <c r="AD1570" s="14" t="s">
        <v>9140</v>
      </c>
      <c r="AE1570" s="14" t="s">
        <v>9140</v>
      </c>
      <c r="AF1570" s="14" t="s">
        <v>52</v>
      </c>
      <c r="AG1570" s="14" t="s">
        <v>54</v>
      </c>
      <c r="AH1570" s="15" t="s">
        <v>9141</v>
      </c>
      <c r="AI1570" s="15" t="s">
        <v>9142</v>
      </c>
      <c r="AJ1570" s="15" t="s">
        <v>9143</v>
      </c>
      <c r="AK1570" s="15" t="s">
        <v>9141</v>
      </c>
      <c r="AL1570" s="15" t="s">
        <v>9144</v>
      </c>
      <c r="AM1570" s="16" t="s">
        <v>9141</v>
      </c>
      <c r="AN1570" s="16" t="s">
        <v>9145</v>
      </c>
    </row>
    <row r="1571" spans="1:40" x14ac:dyDescent="0.25">
      <c r="A1571" s="4" t="s">
        <v>786</v>
      </c>
      <c r="B1571" s="4"/>
      <c r="C1571" s="4" t="s">
        <v>39</v>
      </c>
      <c r="D1571" s="4" t="s">
        <v>787</v>
      </c>
      <c r="E1571" s="4" t="s">
        <v>788</v>
      </c>
      <c r="F1571" s="10">
        <v>45251</v>
      </c>
      <c r="G1571" s="11">
        <v>0.50069444444444444</v>
      </c>
      <c r="H1571" s="4" t="s">
        <v>463</v>
      </c>
      <c r="I1571" s="4">
        <v>2026</v>
      </c>
      <c r="J1571" s="4" t="s">
        <v>756</v>
      </c>
      <c r="K1571" s="4" t="s">
        <v>455</v>
      </c>
      <c r="L1571" s="4" t="s">
        <v>789</v>
      </c>
      <c r="M1571" s="4" t="s">
        <v>46</v>
      </c>
      <c r="N1571" s="4"/>
      <c r="O1571" s="4" t="s">
        <v>47</v>
      </c>
      <c r="P1571" s="4" t="s">
        <v>48</v>
      </c>
      <c r="Q1571" s="4">
        <v>0</v>
      </c>
      <c r="R1571" s="4" t="b">
        <v>0</v>
      </c>
      <c r="S1571" s="4" t="s">
        <v>61</v>
      </c>
      <c r="T1571" s="4" t="s">
        <v>89</v>
      </c>
      <c r="U1571" s="4" t="s">
        <v>148</v>
      </c>
      <c r="V1571" s="4" t="s">
        <v>123</v>
      </c>
      <c r="W1571" s="4" t="s">
        <v>149</v>
      </c>
      <c r="X1571" s="4" t="s">
        <v>98</v>
      </c>
      <c r="Y1571" s="4"/>
      <c r="Z1571" s="12">
        <v>0</v>
      </c>
      <c r="AA1571" s="13" t="s">
        <v>9162</v>
      </c>
      <c r="AB1571" s="13" t="s">
        <v>9150</v>
      </c>
      <c r="AC1571" s="14" t="s">
        <v>9148</v>
      </c>
      <c r="AD1571" s="14" t="s">
        <v>9140</v>
      </c>
      <c r="AE1571" s="14" t="s">
        <v>9140</v>
      </c>
      <c r="AF1571" s="14" t="s">
        <v>123</v>
      </c>
      <c r="AG1571" s="14" t="s">
        <v>98</v>
      </c>
      <c r="AH1571" s="15" t="s">
        <v>9141</v>
      </c>
      <c r="AI1571" s="15" t="s">
        <v>9175</v>
      </c>
      <c r="AJ1571" s="15" t="s">
        <v>9143</v>
      </c>
      <c r="AK1571" s="15" t="s">
        <v>9141</v>
      </c>
      <c r="AL1571" s="15" t="s">
        <v>9177</v>
      </c>
      <c r="AM1571" s="16" t="s">
        <v>9141</v>
      </c>
      <c r="AN1571" s="16" t="s">
        <v>9178</v>
      </c>
    </row>
    <row r="1572" spans="1:40" x14ac:dyDescent="0.25">
      <c r="A1572" s="4" t="s">
        <v>864</v>
      </c>
      <c r="B1572" s="4"/>
      <c r="C1572" s="4" t="s">
        <v>39</v>
      </c>
      <c r="D1572" s="4" t="s">
        <v>849</v>
      </c>
      <c r="E1572" s="4" t="s">
        <v>850</v>
      </c>
      <c r="F1572" s="10">
        <v>45251</v>
      </c>
      <c r="G1572" s="11">
        <v>0.73055555555555551</v>
      </c>
      <c r="H1572" s="4" t="s">
        <v>463</v>
      </c>
      <c r="I1572" s="4">
        <v>2029</v>
      </c>
      <c r="J1572" s="4" t="s">
        <v>845</v>
      </c>
      <c r="K1572" s="4" t="s">
        <v>865</v>
      </c>
      <c r="L1572" s="4" t="s">
        <v>866</v>
      </c>
      <c r="M1572" s="4" t="s">
        <v>46</v>
      </c>
      <c r="N1572" s="4"/>
      <c r="O1572" s="4" t="s">
        <v>47</v>
      </c>
      <c r="P1572" s="4" t="s">
        <v>48</v>
      </c>
      <c r="Q1572" s="4">
        <v>0</v>
      </c>
      <c r="R1572" s="4" t="b">
        <v>0</v>
      </c>
      <c r="S1572" s="4" t="s">
        <v>61</v>
      </c>
      <c r="T1572" s="4" t="s">
        <v>70</v>
      </c>
      <c r="U1572" s="4" t="s">
        <v>867</v>
      </c>
      <c r="V1572" s="4" t="s">
        <v>123</v>
      </c>
      <c r="W1572" s="4" t="s">
        <v>124</v>
      </c>
      <c r="X1572" s="4" t="s">
        <v>54</v>
      </c>
      <c r="Y1572" s="4"/>
      <c r="Z1572" s="12">
        <v>0</v>
      </c>
      <c r="AA1572" s="13" t="s">
        <v>9162</v>
      </c>
      <c r="AB1572" s="13" t="s">
        <v>9150</v>
      </c>
      <c r="AC1572" s="14" t="s">
        <v>9148</v>
      </c>
      <c r="AD1572" s="14" t="s">
        <v>9140</v>
      </c>
      <c r="AE1572" s="14" t="s">
        <v>9140</v>
      </c>
      <c r="AF1572" s="14" t="s">
        <v>123</v>
      </c>
      <c r="AG1572" s="14" t="s">
        <v>54</v>
      </c>
      <c r="AH1572" s="15" t="s">
        <v>9141</v>
      </c>
      <c r="AI1572" s="15" t="s">
        <v>9175</v>
      </c>
      <c r="AJ1572" s="15" t="s">
        <v>9143</v>
      </c>
      <c r="AK1572" s="15" t="s">
        <v>9141</v>
      </c>
      <c r="AL1572" s="15" t="s">
        <v>9177</v>
      </c>
      <c r="AM1572" s="16" t="s">
        <v>9141</v>
      </c>
      <c r="AN1572" s="16" t="s">
        <v>9178</v>
      </c>
    </row>
    <row r="1573" spans="1:40" x14ac:dyDescent="0.25">
      <c r="A1573" s="4" t="s">
        <v>3809</v>
      </c>
      <c r="B1573" s="4"/>
      <c r="C1573" s="4" t="s">
        <v>39</v>
      </c>
      <c r="D1573" s="4" t="s">
        <v>3803</v>
      </c>
      <c r="E1573" s="4" t="s">
        <v>3804</v>
      </c>
      <c r="F1573" s="10">
        <v>45251</v>
      </c>
      <c r="G1573" s="11">
        <v>0.50347222222222221</v>
      </c>
      <c r="H1573" s="4" t="s">
        <v>2017</v>
      </c>
      <c r="I1573" s="4" t="s">
        <v>3805</v>
      </c>
      <c r="J1573" s="4" t="s">
        <v>3806</v>
      </c>
      <c r="K1573" s="4" t="s">
        <v>3810</v>
      </c>
      <c r="L1573" s="4" t="s">
        <v>3811</v>
      </c>
      <c r="M1573" s="4" t="s">
        <v>46</v>
      </c>
      <c r="N1573" s="4"/>
      <c r="O1573" s="4" t="s">
        <v>47</v>
      </c>
      <c r="P1573" s="4" t="s">
        <v>48</v>
      </c>
      <c r="Q1573" s="4">
        <v>0</v>
      </c>
      <c r="R1573" s="4" t="b">
        <v>0</v>
      </c>
      <c r="S1573" s="4" t="s">
        <v>49</v>
      </c>
      <c r="T1573" s="4" t="s">
        <v>50</v>
      </c>
      <c r="U1573" s="4" t="s">
        <v>218</v>
      </c>
      <c r="V1573" s="4" t="s">
        <v>63</v>
      </c>
      <c r="W1573" s="4" t="s">
        <v>108</v>
      </c>
      <c r="X1573" s="4" t="s">
        <v>98</v>
      </c>
      <c r="Y1573" s="4" t="s">
        <v>176</v>
      </c>
      <c r="Z1573" s="12">
        <v>0</v>
      </c>
      <c r="AA1573" s="13" t="s">
        <v>9162</v>
      </c>
      <c r="AB1573" s="13" t="s">
        <v>9150</v>
      </c>
      <c r="AC1573" s="14" t="s">
        <v>9139</v>
      </c>
      <c r="AD1573" s="14" t="s">
        <v>9140</v>
      </c>
      <c r="AE1573" s="14" t="s">
        <v>9140</v>
      </c>
      <c r="AF1573" s="14" t="s">
        <v>63</v>
      </c>
      <c r="AG1573" s="14" t="s">
        <v>98</v>
      </c>
      <c r="AH1573" s="15" t="s">
        <v>9194</v>
      </c>
      <c r="AI1573" s="15" t="s">
        <v>9199</v>
      </c>
      <c r="AJ1573" s="15" t="s">
        <v>9143</v>
      </c>
      <c r="AK1573" s="15" t="s">
        <v>9194</v>
      </c>
      <c r="AL1573" s="15" t="s">
        <v>9199</v>
      </c>
      <c r="AM1573" s="16" t="s">
        <v>9194</v>
      </c>
      <c r="AN1573" s="16" t="s">
        <v>9200</v>
      </c>
    </row>
    <row r="1574" spans="1:40" x14ac:dyDescent="0.25">
      <c r="A1574" s="4" t="s">
        <v>3749</v>
      </c>
      <c r="B1574" s="4"/>
      <c r="C1574" s="4" t="s">
        <v>39</v>
      </c>
      <c r="D1574" s="4" t="s">
        <v>3750</v>
      </c>
      <c r="E1574" s="4" t="s">
        <v>3751</v>
      </c>
      <c r="F1574" s="10">
        <v>45250</v>
      </c>
      <c r="G1574" s="11">
        <v>0.5</v>
      </c>
      <c r="H1574" s="4" t="s">
        <v>2168</v>
      </c>
      <c r="I1574" s="4" t="s">
        <v>3735</v>
      </c>
      <c r="J1574" s="4" t="s">
        <v>3736</v>
      </c>
      <c r="K1574" s="4" t="s">
        <v>3752</v>
      </c>
      <c r="L1574" s="4" t="s">
        <v>3753</v>
      </c>
      <c r="M1574" s="4" t="s">
        <v>46</v>
      </c>
      <c r="N1574" s="4"/>
      <c r="O1574" s="4" t="s">
        <v>47</v>
      </c>
      <c r="P1574" s="4" t="s">
        <v>48</v>
      </c>
      <c r="Q1574" s="4">
        <v>0</v>
      </c>
      <c r="R1574" s="4" t="b">
        <v>0</v>
      </c>
      <c r="S1574" s="4" t="s">
        <v>49</v>
      </c>
      <c r="T1574" s="4" t="s">
        <v>89</v>
      </c>
      <c r="U1574" s="4" t="s">
        <v>71</v>
      </c>
      <c r="V1574" s="4" t="s">
        <v>72</v>
      </c>
      <c r="W1574" s="4" t="s">
        <v>73</v>
      </c>
      <c r="X1574" s="4" t="s">
        <v>54</v>
      </c>
      <c r="Y1574" s="4" t="s">
        <v>323</v>
      </c>
      <c r="Z1574" s="12">
        <v>0</v>
      </c>
      <c r="AA1574" s="13" t="s">
        <v>9162</v>
      </c>
      <c r="AB1574" s="13" t="s">
        <v>9150</v>
      </c>
      <c r="AC1574" s="14" t="s">
        <v>9139</v>
      </c>
      <c r="AD1574" s="14" t="s">
        <v>9140</v>
      </c>
      <c r="AE1574" s="14" t="s">
        <v>9140</v>
      </c>
      <c r="AF1574" s="14" t="s">
        <v>72</v>
      </c>
      <c r="AG1574" s="14" t="s">
        <v>54</v>
      </c>
      <c r="AH1574" s="15" t="s">
        <v>9194</v>
      </c>
      <c r="AI1574" s="15" t="s">
        <v>9142</v>
      </c>
      <c r="AJ1574" s="15" t="s">
        <v>9143</v>
      </c>
      <c r="AK1574" s="15" t="s">
        <v>9194</v>
      </c>
      <c r="AL1574" s="15" t="s">
        <v>9207</v>
      </c>
      <c r="AM1574" s="16" t="s">
        <v>9194</v>
      </c>
      <c r="AN1574" s="16" t="s">
        <v>9208</v>
      </c>
    </row>
    <row r="1575" spans="1:40" x14ac:dyDescent="0.25">
      <c r="A1575" s="4" t="s">
        <v>6195</v>
      </c>
      <c r="B1575" s="4"/>
      <c r="C1575" s="4" t="s">
        <v>39</v>
      </c>
      <c r="D1575" s="4" t="s">
        <v>6196</v>
      </c>
      <c r="E1575" s="4" t="s">
        <v>6197</v>
      </c>
      <c r="F1575" s="10">
        <v>45249</v>
      </c>
      <c r="G1575" s="11">
        <v>0.39583333333333331</v>
      </c>
      <c r="H1575" s="4" t="s">
        <v>5666</v>
      </c>
      <c r="I1575" s="4" t="s">
        <v>6136</v>
      </c>
      <c r="J1575" s="4" t="s">
        <v>2598</v>
      </c>
      <c r="K1575" s="4" t="s">
        <v>6198</v>
      </c>
      <c r="L1575" s="4" t="s">
        <v>6199</v>
      </c>
      <c r="M1575" s="4" t="s">
        <v>46</v>
      </c>
      <c r="N1575" s="4"/>
      <c r="O1575" s="4" t="s">
        <v>47</v>
      </c>
      <c r="P1575" s="4" t="s">
        <v>48</v>
      </c>
      <c r="Q1575" s="4">
        <v>0</v>
      </c>
      <c r="R1575" s="4" t="b">
        <v>0</v>
      </c>
      <c r="S1575" s="4" t="s">
        <v>49</v>
      </c>
      <c r="T1575" s="4" t="s">
        <v>89</v>
      </c>
      <c r="U1575" s="4" t="s">
        <v>71</v>
      </c>
      <c r="V1575" s="4" t="s">
        <v>72</v>
      </c>
      <c r="W1575" s="4" t="s">
        <v>73</v>
      </c>
      <c r="X1575" s="4" t="s">
        <v>98</v>
      </c>
      <c r="Y1575" s="4" t="s">
        <v>486</v>
      </c>
      <c r="Z1575" s="12">
        <v>0</v>
      </c>
      <c r="AA1575" s="13" t="s">
        <v>9162</v>
      </c>
      <c r="AB1575" s="13" t="s">
        <v>9150</v>
      </c>
      <c r="AC1575" s="14" t="s">
        <v>9139</v>
      </c>
      <c r="AD1575" s="14" t="s">
        <v>9140</v>
      </c>
      <c r="AE1575" s="14" t="s">
        <v>9140</v>
      </c>
      <c r="AF1575" s="14" t="s">
        <v>72</v>
      </c>
      <c r="AG1575" s="14" t="s">
        <v>98</v>
      </c>
      <c r="AH1575" s="15" t="s">
        <v>9220</v>
      </c>
      <c r="AI1575" s="15" t="s">
        <v>9199</v>
      </c>
      <c r="AJ1575" s="15" t="s">
        <v>9143</v>
      </c>
      <c r="AK1575" s="15" t="s">
        <v>9221</v>
      </c>
      <c r="AL1575" s="15" t="s">
        <v>9199</v>
      </c>
      <c r="AM1575" s="16" t="s">
        <v>9221</v>
      </c>
      <c r="AN1575" s="16" t="s">
        <v>9238</v>
      </c>
    </row>
    <row r="1576" spans="1:40" x14ac:dyDescent="0.25">
      <c r="A1576" s="4" t="s">
        <v>4508</v>
      </c>
      <c r="B1576" s="4"/>
      <c r="C1576" s="4" t="s">
        <v>39</v>
      </c>
      <c r="D1576" s="4" t="s">
        <v>4509</v>
      </c>
      <c r="E1576" s="4" t="s">
        <v>4510</v>
      </c>
      <c r="F1576" s="10">
        <v>45249</v>
      </c>
      <c r="G1576" s="11">
        <v>0.51041666666666663</v>
      </c>
      <c r="H1576" s="4" t="s">
        <v>4019</v>
      </c>
      <c r="I1576" s="4" t="s">
        <v>4472</v>
      </c>
      <c r="J1576" s="4" t="s">
        <v>3707</v>
      </c>
      <c r="K1576" s="4" t="s">
        <v>4511</v>
      </c>
      <c r="L1576" s="4" t="s">
        <v>4512</v>
      </c>
      <c r="M1576" s="4" t="s">
        <v>46</v>
      </c>
      <c r="N1576" s="4"/>
      <c r="O1576" s="4" t="s">
        <v>47</v>
      </c>
      <c r="P1576" s="4" t="s">
        <v>48</v>
      </c>
      <c r="Q1576" s="4">
        <v>0</v>
      </c>
      <c r="R1576" s="4" t="b">
        <v>0</v>
      </c>
      <c r="S1576" s="4" t="s">
        <v>49</v>
      </c>
      <c r="T1576" s="4" t="s">
        <v>70</v>
      </c>
      <c r="U1576" s="4" t="s">
        <v>71</v>
      </c>
      <c r="V1576" s="4" t="s">
        <v>72</v>
      </c>
      <c r="W1576" s="4" t="s">
        <v>97</v>
      </c>
      <c r="X1576" s="4" t="s">
        <v>98</v>
      </c>
      <c r="Y1576" s="4"/>
      <c r="Z1576" s="12">
        <v>0</v>
      </c>
      <c r="AA1576" s="13" t="s">
        <v>9162</v>
      </c>
      <c r="AB1576" s="13" t="s">
        <v>9150</v>
      </c>
      <c r="AC1576" s="14" t="s">
        <v>9139</v>
      </c>
      <c r="AD1576" s="14" t="s">
        <v>9140</v>
      </c>
      <c r="AE1576" s="14" t="s">
        <v>9140</v>
      </c>
      <c r="AF1576" s="14" t="s">
        <v>72</v>
      </c>
      <c r="AG1576" s="14" t="s">
        <v>98</v>
      </c>
      <c r="AH1576" s="15" t="s">
        <v>9220</v>
      </c>
      <c r="AI1576" s="15" t="s">
        <v>9175</v>
      </c>
      <c r="AJ1576" s="15" t="s">
        <v>9143</v>
      </c>
      <c r="AK1576" s="15" t="s">
        <v>9221</v>
      </c>
      <c r="AL1576" s="15" t="s">
        <v>9228</v>
      </c>
      <c r="AM1576" s="16" t="s">
        <v>9221</v>
      </c>
      <c r="AN1576" s="16" t="s">
        <v>9229</v>
      </c>
    </row>
    <row r="1577" spans="1:40" x14ac:dyDescent="0.25">
      <c r="A1577" s="4" t="s">
        <v>3331</v>
      </c>
      <c r="B1577" s="4"/>
      <c r="C1577" s="4" t="s">
        <v>39</v>
      </c>
      <c r="D1577" s="4" t="s">
        <v>3332</v>
      </c>
      <c r="E1577" s="4" t="s">
        <v>3333</v>
      </c>
      <c r="F1577" s="10">
        <v>45248</v>
      </c>
      <c r="G1577" s="11">
        <v>0.46319444444444446</v>
      </c>
      <c r="H1577" s="4" t="s">
        <v>1992</v>
      </c>
      <c r="I1577" s="4" t="s">
        <v>3334</v>
      </c>
      <c r="J1577" s="4" t="s">
        <v>3335</v>
      </c>
      <c r="K1577" s="4" t="s">
        <v>3336</v>
      </c>
      <c r="L1577" s="4" t="s">
        <v>3337</v>
      </c>
      <c r="M1577" s="4" t="s">
        <v>46</v>
      </c>
      <c r="N1577" s="4"/>
      <c r="O1577" s="4" t="s">
        <v>47</v>
      </c>
      <c r="P1577" s="4" t="s">
        <v>48</v>
      </c>
      <c r="Q1577" s="4">
        <v>0</v>
      </c>
      <c r="R1577" s="4" t="b">
        <v>0</v>
      </c>
      <c r="S1577" s="4" t="s">
        <v>49</v>
      </c>
      <c r="T1577" s="4" t="s">
        <v>89</v>
      </c>
      <c r="U1577" s="4" t="s">
        <v>345</v>
      </c>
      <c r="V1577" s="4" t="s">
        <v>63</v>
      </c>
      <c r="W1577" s="4" t="s">
        <v>108</v>
      </c>
      <c r="X1577" s="4" t="s">
        <v>98</v>
      </c>
      <c r="Y1577" s="4"/>
      <c r="Z1577" s="12">
        <v>0</v>
      </c>
      <c r="AA1577" s="13" t="s">
        <v>9162</v>
      </c>
      <c r="AB1577" s="13" t="s">
        <v>9150</v>
      </c>
      <c r="AC1577" s="14" t="s">
        <v>9139</v>
      </c>
      <c r="AD1577" s="14" t="s">
        <v>9140</v>
      </c>
      <c r="AE1577" s="14" t="s">
        <v>9140</v>
      </c>
      <c r="AF1577" s="14" t="s">
        <v>63</v>
      </c>
      <c r="AG1577" s="14" t="s">
        <v>98</v>
      </c>
      <c r="AH1577" s="15" t="s">
        <v>9194</v>
      </c>
      <c r="AI1577" s="15" t="s">
        <v>9191</v>
      </c>
      <c r="AJ1577" s="15" t="s">
        <v>9143</v>
      </c>
      <c r="AK1577" s="15" t="s">
        <v>9194</v>
      </c>
      <c r="AL1577" s="15" t="s">
        <v>9205</v>
      </c>
      <c r="AM1577" s="16" t="s">
        <v>9194</v>
      </c>
      <c r="AN1577" s="16" t="s">
        <v>9206</v>
      </c>
    </row>
    <row r="1578" spans="1:40" x14ac:dyDescent="0.25">
      <c r="A1578" s="4" t="s">
        <v>3723</v>
      </c>
      <c r="B1578" s="4"/>
      <c r="C1578" s="4" t="s">
        <v>39</v>
      </c>
      <c r="D1578" s="4" t="s">
        <v>3724</v>
      </c>
      <c r="E1578" s="4" t="s">
        <v>3725</v>
      </c>
      <c r="F1578" s="10">
        <v>45248</v>
      </c>
      <c r="G1578" s="11">
        <v>0.375</v>
      </c>
      <c r="H1578" s="4" t="s">
        <v>1939</v>
      </c>
      <c r="I1578" s="4" t="s">
        <v>3706</v>
      </c>
      <c r="J1578" s="4" t="s">
        <v>3707</v>
      </c>
      <c r="K1578" s="4" t="s">
        <v>3726</v>
      </c>
      <c r="L1578" s="4" t="s">
        <v>3727</v>
      </c>
      <c r="M1578" s="4" t="s">
        <v>46</v>
      </c>
      <c r="N1578" s="4"/>
      <c r="O1578" s="4" t="s">
        <v>47</v>
      </c>
      <c r="P1578" s="4" t="s">
        <v>48</v>
      </c>
      <c r="Q1578" s="4">
        <v>0</v>
      </c>
      <c r="R1578" s="4" t="b">
        <v>0</v>
      </c>
      <c r="S1578" s="4" t="s">
        <v>49</v>
      </c>
      <c r="T1578" s="4" t="s">
        <v>50</v>
      </c>
      <c r="U1578" s="4" t="s">
        <v>584</v>
      </c>
      <c r="V1578" s="4" t="s">
        <v>63</v>
      </c>
      <c r="W1578" s="4" t="s">
        <v>108</v>
      </c>
      <c r="X1578" s="4" t="s">
        <v>98</v>
      </c>
      <c r="Y1578" s="4"/>
      <c r="Z1578" s="12">
        <v>0</v>
      </c>
      <c r="AA1578" s="13" t="s">
        <v>9162</v>
      </c>
      <c r="AB1578" s="13" t="s">
        <v>9150</v>
      </c>
      <c r="AC1578" s="14" t="s">
        <v>9139</v>
      </c>
      <c r="AD1578" s="14" t="s">
        <v>9140</v>
      </c>
      <c r="AE1578" s="14" t="s">
        <v>9140</v>
      </c>
      <c r="AF1578" s="14" t="s">
        <v>63</v>
      </c>
      <c r="AG1578" s="14" t="s">
        <v>98</v>
      </c>
      <c r="AH1578" s="15" t="s">
        <v>9194</v>
      </c>
      <c r="AI1578" s="15" t="s">
        <v>9175</v>
      </c>
      <c r="AJ1578" s="15" t="s">
        <v>9143</v>
      </c>
      <c r="AK1578" s="15" t="s">
        <v>9194</v>
      </c>
      <c r="AL1578" s="15" t="s">
        <v>9209</v>
      </c>
      <c r="AM1578" s="16" t="s">
        <v>9194</v>
      </c>
      <c r="AN1578" s="16" t="s">
        <v>9210</v>
      </c>
    </row>
    <row r="1579" spans="1:40" x14ac:dyDescent="0.25">
      <c r="A1579" s="4" t="s">
        <v>1567</v>
      </c>
      <c r="B1579" s="4"/>
      <c r="C1579" s="4" t="s">
        <v>39</v>
      </c>
      <c r="D1579" s="4" t="s">
        <v>1568</v>
      </c>
      <c r="E1579" s="4" t="s">
        <v>1569</v>
      </c>
      <c r="F1579" s="10">
        <v>45248</v>
      </c>
      <c r="G1579" s="11">
        <v>0.48194444444444445</v>
      </c>
      <c r="H1579" s="4" t="s">
        <v>1366</v>
      </c>
      <c r="I1579" s="4">
        <v>6068</v>
      </c>
      <c r="J1579" s="4" t="s">
        <v>1537</v>
      </c>
      <c r="K1579" s="4" t="s">
        <v>1570</v>
      </c>
      <c r="L1579" s="4" t="s">
        <v>1571</v>
      </c>
      <c r="M1579" s="4" t="s">
        <v>46</v>
      </c>
      <c r="N1579" s="4"/>
      <c r="O1579" s="4" t="s">
        <v>47</v>
      </c>
      <c r="P1579" s="4" t="s">
        <v>48</v>
      </c>
      <c r="Q1579" s="4">
        <v>0</v>
      </c>
      <c r="R1579" s="4" t="b">
        <v>0</v>
      </c>
      <c r="S1579" s="4" t="s">
        <v>49</v>
      </c>
      <c r="T1579" s="4" t="s">
        <v>70</v>
      </c>
      <c r="U1579" s="4" t="s">
        <v>107</v>
      </c>
      <c r="V1579" s="4" t="s">
        <v>72</v>
      </c>
      <c r="W1579" s="4" t="s">
        <v>73</v>
      </c>
      <c r="X1579" s="4" t="s">
        <v>54</v>
      </c>
      <c r="Y1579" s="4"/>
      <c r="Z1579" s="12">
        <v>0</v>
      </c>
      <c r="AA1579" s="13" t="s">
        <v>9162</v>
      </c>
      <c r="AB1579" s="13" t="s">
        <v>9150</v>
      </c>
      <c r="AC1579" s="14" t="s">
        <v>9139</v>
      </c>
      <c r="AD1579" s="14" t="s">
        <v>9140</v>
      </c>
      <c r="AE1579" s="14" t="s">
        <v>9140</v>
      </c>
      <c r="AF1579" s="14" t="s">
        <v>72</v>
      </c>
      <c r="AG1579" s="14" t="s">
        <v>54</v>
      </c>
      <c r="AH1579" s="15" t="s">
        <v>9141</v>
      </c>
      <c r="AI1579" s="15" t="s">
        <v>9188</v>
      </c>
      <c r="AJ1579" s="15" t="s">
        <v>9143</v>
      </c>
      <c r="AK1579" s="15" t="s">
        <v>9141</v>
      </c>
      <c r="AL1579" s="15" t="s">
        <v>9189</v>
      </c>
      <c r="AM1579" s="16" t="s">
        <v>9141</v>
      </c>
      <c r="AN1579" s="16" t="s">
        <v>9190</v>
      </c>
    </row>
    <row r="1580" spans="1:40" x14ac:dyDescent="0.25">
      <c r="A1580" s="4" t="s">
        <v>356</v>
      </c>
      <c r="B1580" s="4"/>
      <c r="C1580" s="4" t="s">
        <v>39</v>
      </c>
      <c r="D1580" s="4" t="s">
        <v>294</v>
      </c>
      <c r="E1580" s="4" t="s">
        <v>295</v>
      </c>
      <c r="F1580" s="10">
        <v>45247</v>
      </c>
      <c r="G1580" s="11">
        <v>0.625</v>
      </c>
      <c r="H1580" s="4" t="s">
        <v>42</v>
      </c>
      <c r="I1580" s="4">
        <v>1011</v>
      </c>
      <c r="J1580" s="4" t="s">
        <v>215</v>
      </c>
      <c r="K1580" s="4" t="s">
        <v>357</v>
      </c>
      <c r="L1580" s="4" t="s">
        <v>358</v>
      </c>
      <c r="M1580" s="4" t="s">
        <v>46</v>
      </c>
      <c r="N1580" s="4"/>
      <c r="O1580" s="4" t="s">
        <v>47</v>
      </c>
      <c r="P1580" s="4" t="s">
        <v>48</v>
      </c>
      <c r="Q1580" s="4">
        <v>0</v>
      </c>
      <c r="R1580" s="4" t="b">
        <v>0</v>
      </c>
      <c r="S1580" s="4" t="s">
        <v>49</v>
      </c>
      <c r="T1580" s="4" t="s">
        <v>70</v>
      </c>
      <c r="U1580" s="4" t="s">
        <v>71</v>
      </c>
      <c r="V1580" s="4" t="s">
        <v>72</v>
      </c>
      <c r="W1580" s="4" t="s">
        <v>73</v>
      </c>
      <c r="X1580" s="4" t="s">
        <v>54</v>
      </c>
      <c r="Y1580" s="4"/>
      <c r="Z1580" s="12">
        <v>0</v>
      </c>
      <c r="AA1580" s="13" t="s">
        <v>9162</v>
      </c>
      <c r="AB1580" s="13" t="s">
        <v>9150</v>
      </c>
      <c r="AC1580" s="14" t="s">
        <v>9139</v>
      </c>
      <c r="AD1580" s="14" t="s">
        <v>9140</v>
      </c>
      <c r="AE1580" s="14" t="s">
        <v>9140</v>
      </c>
      <c r="AF1580" s="14" t="s">
        <v>72</v>
      </c>
      <c r="AG1580" s="14" t="s">
        <v>54</v>
      </c>
      <c r="AH1580" s="15" t="s">
        <v>9141</v>
      </c>
      <c r="AI1580" s="15" t="s">
        <v>9142</v>
      </c>
      <c r="AJ1580" s="15" t="s">
        <v>9143</v>
      </c>
      <c r="AK1580" s="15" t="s">
        <v>9141</v>
      </c>
      <c r="AL1580" s="15" t="s">
        <v>9144</v>
      </c>
      <c r="AM1580" s="16" t="s">
        <v>9141</v>
      </c>
      <c r="AN1580" s="16" t="s">
        <v>9145</v>
      </c>
    </row>
    <row r="1581" spans="1:40" x14ac:dyDescent="0.25">
      <c r="A1581" s="4" t="s">
        <v>868</v>
      </c>
      <c r="B1581" s="4"/>
      <c r="C1581" s="4" t="s">
        <v>39</v>
      </c>
      <c r="D1581" s="4" t="s">
        <v>869</v>
      </c>
      <c r="E1581" s="4" t="s">
        <v>870</v>
      </c>
      <c r="F1581" s="10">
        <v>45247</v>
      </c>
      <c r="G1581" s="11">
        <v>0.57638888888888884</v>
      </c>
      <c r="H1581" s="4" t="s">
        <v>463</v>
      </c>
      <c r="I1581" s="4">
        <v>2029</v>
      </c>
      <c r="J1581" s="4" t="s">
        <v>845</v>
      </c>
      <c r="K1581" s="4" t="s">
        <v>871</v>
      </c>
      <c r="L1581" s="4" t="s">
        <v>872</v>
      </c>
      <c r="M1581" s="4" t="s">
        <v>46</v>
      </c>
      <c r="N1581" s="4"/>
      <c r="O1581" s="4" t="s">
        <v>47</v>
      </c>
      <c r="P1581" s="4" t="s">
        <v>48</v>
      </c>
      <c r="Q1581" s="4">
        <v>0</v>
      </c>
      <c r="R1581" s="4" t="b">
        <v>0</v>
      </c>
      <c r="S1581" s="4" t="s">
        <v>49</v>
      </c>
      <c r="T1581" s="4" t="s">
        <v>70</v>
      </c>
      <c r="U1581" s="4" t="s">
        <v>373</v>
      </c>
      <c r="V1581" s="4" t="s">
        <v>123</v>
      </c>
      <c r="W1581" s="4" t="s">
        <v>124</v>
      </c>
      <c r="X1581" s="4" t="s">
        <v>54</v>
      </c>
      <c r="Y1581" s="4"/>
      <c r="Z1581" s="12">
        <v>0</v>
      </c>
      <c r="AA1581" s="13" t="s">
        <v>9162</v>
      </c>
      <c r="AB1581" s="13" t="s">
        <v>9150</v>
      </c>
      <c r="AC1581" s="14" t="s">
        <v>9139</v>
      </c>
      <c r="AD1581" s="14" t="s">
        <v>9140</v>
      </c>
      <c r="AE1581" s="14" t="s">
        <v>9140</v>
      </c>
      <c r="AF1581" s="14" t="s">
        <v>123</v>
      </c>
      <c r="AG1581" s="14" t="s">
        <v>54</v>
      </c>
      <c r="AH1581" s="15" t="s">
        <v>9141</v>
      </c>
      <c r="AI1581" s="15" t="s">
        <v>9175</v>
      </c>
      <c r="AJ1581" s="15" t="s">
        <v>9143</v>
      </c>
      <c r="AK1581" s="15" t="s">
        <v>9141</v>
      </c>
      <c r="AL1581" s="15" t="s">
        <v>9177</v>
      </c>
      <c r="AM1581" s="16" t="s">
        <v>9141</v>
      </c>
      <c r="AN1581" s="16" t="s">
        <v>9178</v>
      </c>
    </row>
    <row r="1582" spans="1:40" x14ac:dyDescent="0.25">
      <c r="A1582" s="4" t="s">
        <v>7169</v>
      </c>
      <c r="B1582" s="4"/>
      <c r="C1582" s="4" t="s">
        <v>39</v>
      </c>
      <c r="D1582" s="4" t="s">
        <v>7165</v>
      </c>
      <c r="E1582" s="4" t="s">
        <v>7166</v>
      </c>
      <c r="F1582" s="10">
        <v>45247</v>
      </c>
      <c r="G1582" s="11">
        <v>0.48958333333333331</v>
      </c>
      <c r="H1582" s="4" t="s">
        <v>5666</v>
      </c>
      <c r="I1582" s="4" t="s">
        <v>7160</v>
      </c>
      <c r="J1582" s="4" t="s">
        <v>7161</v>
      </c>
      <c r="K1582" s="4" t="s">
        <v>7170</v>
      </c>
      <c r="L1582" s="4" t="s">
        <v>7171</v>
      </c>
      <c r="M1582" s="4" t="s">
        <v>46</v>
      </c>
      <c r="N1582" s="4"/>
      <c r="O1582" s="4" t="s">
        <v>47</v>
      </c>
      <c r="P1582" s="4" t="s">
        <v>48</v>
      </c>
      <c r="Q1582" s="4">
        <v>0</v>
      </c>
      <c r="R1582" s="4" t="b">
        <v>0</v>
      </c>
      <c r="S1582" s="4" t="s">
        <v>61</v>
      </c>
      <c r="T1582" s="4" t="s">
        <v>50</v>
      </c>
      <c r="U1582" s="4" t="s">
        <v>71</v>
      </c>
      <c r="V1582" s="4" t="s">
        <v>72</v>
      </c>
      <c r="W1582" s="4" t="s">
        <v>73</v>
      </c>
      <c r="X1582" s="4" t="s">
        <v>54</v>
      </c>
      <c r="Y1582" s="4"/>
      <c r="Z1582" s="12">
        <v>0</v>
      </c>
      <c r="AA1582" s="13" t="s">
        <v>9162</v>
      </c>
      <c r="AB1582" s="13" t="s">
        <v>9150</v>
      </c>
      <c r="AC1582" s="14" t="s">
        <v>9148</v>
      </c>
      <c r="AD1582" s="14" t="s">
        <v>9140</v>
      </c>
      <c r="AE1582" s="14" t="s">
        <v>9140</v>
      </c>
      <c r="AF1582" s="14" t="s">
        <v>72</v>
      </c>
      <c r="AG1582" s="14" t="s">
        <v>54</v>
      </c>
      <c r="AH1582" s="15" t="s">
        <v>9220</v>
      </c>
      <c r="AI1582" s="15" t="s">
        <v>9199</v>
      </c>
      <c r="AJ1582" s="15" t="s">
        <v>9143</v>
      </c>
      <c r="AK1582" s="15" t="s">
        <v>9221</v>
      </c>
      <c r="AL1582" s="15" t="s">
        <v>9199</v>
      </c>
      <c r="AM1582" s="16" t="s">
        <v>9221</v>
      </c>
      <c r="AN1582" s="16" t="s">
        <v>9238</v>
      </c>
    </row>
    <row r="1583" spans="1:40" x14ac:dyDescent="0.25">
      <c r="A1583" s="4" t="s">
        <v>8935</v>
      </c>
      <c r="B1583" s="4">
        <v>12230047969</v>
      </c>
      <c r="C1583" s="4" t="s">
        <v>39</v>
      </c>
      <c r="D1583" s="4" t="s">
        <v>8936</v>
      </c>
      <c r="E1583" s="4" t="s">
        <v>8937</v>
      </c>
      <c r="F1583" s="10">
        <v>45247</v>
      </c>
      <c r="G1583" s="11">
        <v>0.49930555555555556</v>
      </c>
      <c r="H1583" s="4" t="s">
        <v>4019</v>
      </c>
      <c r="I1583" s="4" t="s">
        <v>8854</v>
      </c>
      <c r="J1583" s="4" t="s">
        <v>8855</v>
      </c>
      <c r="K1583" s="4" t="s">
        <v>8880</v>
      </c>
      <c r="L1583" s="4" t="s">
        <v>8938</v>
      </c>
      <c r="M1583" s="4" t="s">
        <v>28</v>
      </c>
      <c r="N1583" s="4" t="s">
        <v>183</v>
      </c>
      <c r="O1583" s="4" t="s">
        <v>344</v>
      </c>
      <c r="P1583" s="4" t="s">
        <v>48</v>
      </c>
      <c r="Q1583" s="4">
        <v>81</v>
      </c>
      <c r="R1583" s="4" t="b">
        <v>0</v>
      </c>
      <c r="S1583" s="4" t="s">
        <v>184</v>
      </c>
      <c r="T1583" s="4" t="s">
        <v>266</v>
      </c>
      <c r="U1583" s="4" t="s">
        <v>90</v>
      </c>
      <c r="V1583" s="4" t="s">
        <v>267</v>
      </c>
      <c r="W1583" s="4" t="s">
        <v>268</v>
      </c>
      <c r="X1583" s="4" t="s">
        <v>54</v>
      </c>
      <c r="Y1583" s="4"/>
      <c r="Z1583" s="12" t="s">
        <v>48</v>
      </c>
      <c r="AA1583" s="13" t="s">
        <v>9162</v>
      </c>
      <c r="AB1583" s="13" t="s">
        <v>9150</v>
      </c>
      <c r="AC1583" s="14" t="s">
        <v>9166</v>
      </c>
      <c r="AD1583" s="14" t="s">
        <v>28</v>
      </c>
      <c r="AE1583" s="14" t="s">
        <v>183</v>
      </c>
      <c r="AF1583" s="14" t="s">
        <v>267</v>
      </c>
      <c r="AG1583" s="14" t="s">
        <v>54</v>
      </c>
      <c r="AH1583" s="15" t="s">
        <v>9220</v>
      </c>
      <c r="AI1583" s="15" t="s">
        <v>9175</v>
      </c>
      <c r="AJ1583" s="15" t="s">
        <v>9183</v>
      </c>
      <c r="AK1583" s="15" t="s">
        <v>9239</v>
      </c>
      <c r="AL1583" s="15" t="s">
        <v>9240</v>
      </c>
      <c r="AM1583" s="16" t="s">
        <v>9186</v>
      </c>
      <c r="AN1583" s="16" t="s">
        <v>9186</v>
      </c>
    </row>
    <row r="1584" spans="1:40" x14ac:dyDescent="0.25">
      <c r="A1584" s="4" t="s">
        <v>7119</v>
      </c>
      <c r="B1584" s="4"/>
      <c r="C1584" s="4" t="s">
        <v>39</v>
      </c>
      <c r="D1584" s="4" t="s">
        <v>7112</v>
      </c>
      <c r="E1584" s="4" t="s">
        <v>7113</v>
      </c>
      <c r="F1584" s="10">
        <v>45246</v>
      </c>
      <c r="G1584" s="11">
        <v>0.66666666666666663</v>
      </c>
      <c r="H1584" s="4" t="s">
        <v>4242</v>
      </c>
      <c r="I1584" s="4" t="s">
        <v>7028</v>
      </c>
      <c r="J1584" s="4" t="s">
        <v>7029</v>
      </c>
      <c r="K1584" s="4" t="s">
        <v>7120</v>
      </c>
      <c r="L1584" s="4" t="s">
        <v>7121</v>
      </c>
      <c r="M1584" s="4" t="s">
        <v>46</v>
      </c>
      <c r="N1584" s="4"/>
      <c r="O1584" s="4" t="s">
        <v>47</v>
      </c>
      <c r="P1584" s="4" t="s">
        <v>48</v>
      </c>
      <c r="Q1584" s="4">
        <v>0</v>
      </c>
      <c r="R1584" s="4" t="b">
        <v>0</v>
      </c>
      <c r="S1584" s="4" t="s">
        <v>61</v>
      </c>
      <c r="T1584" s="4" t="s">
        <v>70</v>
      </c>
      <c r="U1584" s="4" t="s">
        <v>71</v>
      </c>
      <c r="V1584" s="4" t="s">
        <v>72</v>
      </c>
      <c r="W1584" s="4" t="s">
        <v>73</v>
      </c>
      <c r="X1584" s="4" t="s">
        <v>54</v>
      </c>
      <c r="Y1584" s="4"/>
      <c r="Z1584" s="12">
        <v>0</v>
      </c>
      <c r="AA1584" s="13" t="s">
        <v>9162</v>
      </c>
      <c r="AB1584" s="13" t="s">
        <v>9150</v>
      </c>
      <c r="AC1584" s="14" t="s">
        <v>9148</v>
      </c>
      <c r="AD1584" s="14" t="s">
        <v>9140</v>
      </c>
      <c r="AE1584" s="14" t="s">
        <v>9140</v>
      </c>
      <c r="AF1584" s="14" t="s">
        <v>72</v>
      </c>
      <c r="AG1584" s="14" t="s">
        <v>54</v>
      </c>
      <c r="AH1584" s="15" t="s">
        <v>9220</v>
      </c>
      <c r="AI1584" s="15" t="s">
        <v>9187</v>
      </c>
      <c r="AJ1584" s="15" t="s">
        <v>9143</v>
      </c>
      <c r="AK1584" s="15" t="s">
        <v>9221</v>
      </c>
      <c r="AL1584" s="15" t="s">
        <v>9226</v>
      </c>
      <c r="AM1584" s="16" t="s">
        <v>9221</v>
      </c>
      <c r="AN1584" s="16" t="s">
        <v>9227</v>
      </c>
    </row>
    <row r="1585" spans="1:40" x14ac:dyDescent="0.25">
      <c r="A1585" s="4" t="s">
        <v>7122</v>
      </c>
      <c r="B1585" s="4" t="s">
        <v>7123</v>
      </c>
      <c r="C1585" s="4" t="s">
        <v>39</v>
      </c>
      <c r="D1585" s="4" t="s">
        <v>7124</v>
      </c>
      <c r="E1585" s="4" t="s">
        <v>7125</v>
      </c>
      <c r="F1585" s="10">
        <v>45246</v>
      </c>
      <c r="G1585" s="11">
        <v>0.6875</v>
      </c>
      <c r="H1585" s="4" t="s">
        <v>4242</v>
      </c>
      <c r="I1585" s="4" t="s">
        <v>7028</v>
      </c>
      <c r="J1585" s="4" t="s">
        <v>7029</v>
      </c>
      <c r="K1585" s="4" t="s">
        <v>7126</v>
      </c>
      <c r="L1585" s="4" t="s">
        <v>7127</v>
      </c>
      <c r="M1585" s="4" t="s">
        <v>28</v>
      </c>
      <c r="N1585" s="4" t="s">
        <v>183</v>
      </c>
      <c r="O1585" s="4" t="s">
        <v>174</v>
      </c>
      <c r="P1585" s="4" t="s">
        <v>48</v>
      </c>
      <c r="Q1585" s="4">
        <v>0</v>
      </c>
      <c r="R1585" s="4" t="b">
        <v>0</v>
      </c>
      <c r="S1585" s="4" t="s">
        <v>61</v>
      </c>
      <c r="T1585" s="4" t="s">
        <v>89</v>
      </c>
      <c r="U1585" s="4" t="s">
        <v>51</v>
      </c>
      <c r="V1585" s="4" t="s">
        <v>123</v>
      </c>
      <c r="W1585" s="4" t="s">
        <v>149</v>
      </c>
      <c r="X1585" s="4" t="s">
        <v>54</v>
      </c>
      <c r="Y1585" s="4"/>
      <c r="Z1585" s="12" t="s">
        <v>48</v>
      </c>
      <c r="AA1585" s="13" t="s">
        <v>9162</v>
      </c>
      <c r="AB1585" s="13" t="s">
        <v>9150</v>
      </c>
      <c r="AC1585" s="14" t="s">
        <v>9148</v>
      </c>
      <c r="AD1585" s="14" t="s">
        <v>28</v>
      </c>
      <c r="AE1585" s="14" t="s">
        <v>183</v>
      </c>
      <c r="AF1585" s="14" t="s">
        <v>123</v>
      </c>
      <c r="AG1585" s="14" t="s">
        <v>54</v>
      </c>
      <c r="AH1585" s="15" t="s">
        <v>9220</v>
      </c>
      <c r="AI1585" s="15" t="s">
        <v>9187</v>
      </c>
      <c r="AJ1585" s="15" t="s">
        <v>9143</v>
      </c>
      <c r="AK1585" s="15" t="s">
        <v>9221</v>
      </c>
      <c r="AL1585" s="15" t="s">
        <v>9226</v>
      </c>
      <c r="AM1585" s="16" t="s">
        <v>9221</v>
      </c>
      <c r="AN1585" s="16" t="s">
        <v>9227</v>
      </c>
    </row>
    <row r="1586" spans="1:40" x14ac:dyDescent="0.25">
      <c r="A1586" s="4" t="s">
        <v>6343</v>
      </c>
      <c r="B1586" s="4"/>
      <c r="C1586" s="4" t="s">
        <v>39</v>
      </c>
      <c r="D1586" s="4" t="s">
        <v>6344</v>
      </c>
      <c r="E1586" s="4" t="s">
        <v>6345</v>
      </c>
      <c r="F1586" s="10">
        <v>45246</v>
      </c>
      <c r="G1586" s="11">
        <v>0.66666666666666663</v>
      </c>
      <c r="H1586" s="4" t="s">
        <v>4019</v>
      </c>
      <c r="I1586" s="4" t="s">
        <v>6277</v>
      </c>
      <c r="J1586" s="4" t="s">
        <v>988</v>
      </c>
      <c r="K1586" s="4" t="s">
        <v>856</v>
      </c>
      <c r="L1586" s="4" t="s">
        <v>6346</v>
      </c>
      <c r="M1586" s="4" t="s">
        <v>46</v>
      </c>
      <c r="N1586" s="4"/>
      <c r="O1586" s="4" t="s">
        <v>47</v>
      </c>
      <c r="P1586" s="4" t="s">
        <v>48</v>
      </c>
      <c r="Q1586" s="4">
        <v>0</v>
      </c>
      <c r="R1586" s="4" t="b">
        <v>0</v>
      </c>
      <c r="S1586" s="4" t="s">
        <v>61</v>
      </c>
      <c r="T1586" s="4" t="s">
        <v>70</v>
      </c>
      <c r="U1586" s="4" t="s">
        <v>71</v>
      </c>
      <c r="V1586" s="4" t="s">
        <v>72</v>
      </c>
      <c r="W1586" s="4" t="s">
        <v>73</v>
      </c>
      <c r="X1586" s="4" t="s">
        <v>98</v>
      </c>
      <c r="Y1586" s="4"/>
      <c r="Z1586" s="12">
        <v>0</v>
      </c>
      <c r="AA1586" s="13" t="s">
        <v>9162</v>
      </c>
      <c r="AB1586" s="13" t="s">
        <v>9150</v>
      </c>
      <c r="AC1586" s="14" t="s">
        <v>9148</v>
      </c>
      <c r="AD1586" s="14" t="s">
        <v>9140</v>
      </c>
      <c r="AE1586" s="14" t="s">
        <v>9140</v>
      </c>
      <c r="AF1586" s="14" t="s">
        <v>72</v>
      </c>
      <c r="AG1586" s="14" t="s">
        <v>98</v>
      </c>
      <c r="AH1586" s="15" t="s">
        <v>9220</v>
      </c>
      <c r="AI1586" s="15" t="s">
        <v>9175</v>
      </c>
      <c r="AJ1586" s="15" t="s">
        <v>9143</v>
      </c>
      <c r="AK1586" s="15" t="s">
        <v>9221</v>
      </c>
      <c r="AL1586" s="15" t="s">
        <v>9222</v>
      </c>
      <c r="AM1586" s="16" t="s">
        <v>9221</v>
      </c>
      <c r="AN1586" s="16" t="s">
        <v>9223</v>
      </c>
    </row>
    <row r="1587" spans="1:40" x14ac:dyDescent="0.25">
      <c r="A1587" s="4" t="s">
        <v>679</v>
      </c>
      <c r="B1587" s="4"/>
      <c r="C1587" s="4" t="s">
        <v>39</v>
      </c>
      <c r="D1587" s="4" t="s">
        <v>680</v>
      </c>
      <c r="E1587" s="4" t="s">
        <v>681</v>
      </c>
      <c r="F1587" s="10">
        <v>45246</v>
      </c>
      <c r="G1587" s="11">
        <v>0.81944444444444442</v>
      </c>
      <c r="H1587" s="4" t="s">
        <v>463</v>
      </c>
      <c r="I1587" s="4">
        <v>2024</v>
      </c>
      <c r="J1587" s="4" t="s">
        <v>664</v>
      </c>
      <c r="K1587" s="4" t="s">
        <v>682</v>
      </c>
      <c r="L1587" s="4" t="s">
        <v>683</v>
      </c>
      <c r="M1587" s="4" t="s">
        <v>46</v>
      </c>
      <c r="N1587" s="4"/>
      <c r="O1587" s="4" t="s">
        <v>47</v>
      </c>
      <c r="P1587" s="4" t="s">
        <v>48</v>
      </c>
      <c r="Q1587" s="4">
        <v>0</v>
      </c>
      <c r="R1587" s="4" t="b">
        <v>0</v>
      </c>
      <c r="S1587" s="4" t="s">
        <v>61</v>
      </c>
      <c r="T1587" s="4"/>
      <c r="U1587" s="4"/>
      <c r="V1587" s="4"/>
      <c r="W1587" s="4"/>
      <c r="X1587" s="4"/>
      <c r="Y1587" s="4"/>
      <c r="Z1587" s="12">
        <v>0</v>
      </c>
      <c r="AA1587" s="13" t="s">
        <v>9162</v>
      </c>
      <c r="AB1587" s="13" t="s">
        <v>9150</v>
      </c>
      <c r="AC1587" s="14" t="s">
        <v>9148</v>
      </c>
      <c r="AD1587" s="14" t="s">
        <v>9140</v>
      </c>
      <c r="AE1587" s="14" t="s">
        <v>9140</v>
      </c>
      <c r="AF1587" s="14">
        <v>0</v>
      </c>
      <c r="AG1587" s="14">
        <v>0</v>
      </c>
      <c r="AH1587" s="15" t="s">
        <v>9141</v>
      </c>
      <c r="AI1587" s="15" t="s">
        <v>9175</v>
      </c>
      <c r="AJ1587" s="15" t="s">
        <v>9143</v>
      </c>
      <c r="AK1587" s="15" t="s">
        <v>9141</v>
      </c>
      <c r="AL1587" s="15" t="s">
        <v>9177</v>
      </c>
      <c r="AM1587" s="16" t="s">
        <v>9141</v>
      </c>
      <c r="AN1587" s="16" t="s">
        <v>9178</v>
      </c>
    </row>
    <row r="1588" spans="1:40" x14ac:dyDescent="0.25">
      <c r="A1588" s="4" t="s">
        <v>3853</v>
      </c>
      <c r="B1588" s="4"/>
      <c r="C1588" s="4" t="s">
        <v>39</v>
      </c>
      <c r="D1588" s="4" t="s">
        <v>3830</v>
      </c>
      <c r="E1588" s="4" t="s">
        <v>3831</v>
      </c>
      <c r="F1588" s="10">
        <v>45245</v>
      </c>
      <c r="G1588" s="11">
        <v>0.47916666666666669</v>
      </c>
      <c r="H1588" s="4" t="s">
        <v>2017</v>
      </c>
      <c r="I1588" s="4" t="s">
        <v>3832</v>
      </c>
      <c r="J1588" s="4" t="s">
        <v>3833</v>
      </c>
      <c r="K1588" s="4" t="s">
        <v>3854</v>
      </c>
      <c r="L1588" s="4" t="s">
        <v>3855</v>
      </c>
      <c r="M1588" s="4" t="s">
        <v>46</v>
      </c>
      <c r="N1588" s="4"/>
      <c r="O1588" s="4" t="s">
        <v>47</v>
      </c>
      <c r="P1588" s="4" t="s">
        <v>48</v>
      </c>
      <c r="Q1588" s="4">
        <v>0</v>
      </c>
      <c r="R1588" s="4" t="b">
        <v>0</v>
      </c>
      <c r="S1588" s="4" t="s">
        <v>114</v>
      </c>
      <c r="T1588" s="4" t="s">
        <v>583</v>
      </c>
      <c r="U1588" s="4" t="s">
        <v>71</v>
      </c>
      <c r="V1588" s="4" t="s">
        <v>72</v>
      </c>
      <c r="W1588" s="4" t="s">
        <v>73</v>
      </c>
      <c r="X1588" s="4" t="s">
        <v>98</v>
      </c>
      <c r="Y1588" s="4"/>
      <c r="Z1588" s="12">
        <v>0</v>
      </c>
      <c r="AA1588" s="13" t="s">
        <v>9162</v>
      </c>
      <c r="AB1588" s="13" t="s">
        <v>9150</v>
      </c>
      <c r="AC1588" s="14" t="s">
        <v>9157</v>
      </c>
      <c r="AD1588" s="14" t="s">
        <v>9140</v>
      </c>
      <c r="AE1588" s="14" t="s">
        <v>9140</v>
      </c>
      <c r="AF1588" s="14" t="s">
        <v>72</v>
      </c>
      <c r="AG1588" s="14" t="s">
        <v>98</v>
      </c>
      <c r="AH1588" s="15" t="s">
        <v>9194</v>
      </c>
      <c r="AI1588" s="15" t="s">
        <v>9199</v>
      </c>
      <c r="AJ1588" s="15" t="s">
        <v>9143</v>
      </c>
      <c r="AK1588" s="15" t="s">
        <v>9194</v>
      </c>
      <c r="AL1588" s="15" t="s">
        <v>9199</v>
      </c>
      <c r="AM1588" s="16" t="s">
        <v>9194</v>
      </c>
      <c r="AN1588" s="16" t="s">
        <v>9200</v>
      </c>
    </row>
    <row r="1589" spans="1:40" x14ac:dyDescent="0.25">
      <c r="A1589" s="4" t="s">
        <v>4430</v>
      </c>
      <c r="B1589" s="4"/>
      <c r="C1589" s="4" t="s">
        <v>39</v>
      </c>
      <c r="D1589" s="4" t="s">
        <v>4431</v>
      </c>
      <c r="E1589" s="4" t="s">
        <v>4432</v>
      </c>
      <c r="F1589" s="10">
        <v>45245</v>
      </c>
      <c r="G1589" s="11">
        <v>0.54513888888888884</v>
      </c>
      <c r="H1589" s="4" t="s">
        <v>4019</v>
      </c>
      <c r="I1589" s="4" t="s">
        <v>4304</v>
      </c>
      <c r="J1589" s="4" t="s">
        <v>1941</v>
      </c>
      <c r="K1589" s="4" t="s">
        <v>4433</v>
      </c>
      <c r="L1589" s="4" t="s">
        <v>4434</v>
      </c>
      <c r="M1589" s="4" t="s">
        <v>46</v>
      </c>
      <c r="N1589" s="4"/>
      <c r="O1589" s="4" t="s">
        <v>47</v>
      </c>
      <c r="P1589" s="4" t="s">
        <v>48</v>
      </c>
      <c r="Q1589" s="4">
        <v>0</v>
      </c>
      <c r="R1589" s="4" t="b">
        <v>0</v>
      </c>
      <c r="S1589" s="4" t="s">
        <v>49</v>
      </c>
      <c r="T1589" s="4" t="s">
        <v>89</v>
      </c>
      <c r="U1589" s="4" t="s">
        <v>140</v>
      </c>
      <c r="V1589" s="4" t="s">
        <v>63</v>
      </c>
      <c r="W1589" s="4" t="s">
        <v>108</v>
      </c>
      <c r="X1589" s="4" t="s">
        <v>98</v>
      </c>
      <c r="Y1589" s="4"/>
      <c r="Z1589" s="12">
        <v>0</v>
      </c>
      <c r="AA1589" s="13" t="s">
        <v>9162</v>
      </c>
      <c r="AB1589" s="13" t="s">
        <v>9150</v>
      </c>
      <c r="AC1589" s="14" t="s">
        <v>9139</v>
      </c>
      <c r="AD1589" s="14" t="s">
        <v>9140</v>
      </c>
      <c r="AE1589" s="14" t="s">
        <v>9140</v>
      </c>
      <c r="AF1589" s="14" t="s">
        <v>63</v>
      </c>
      <c r="AG1589" s="14" t="s">
        <v>98</v>
      </c>
      <c r="AH1589" s="15" t="s">
        <v>9220</v>
      </c>
      <c r="AI1589" s="15" t="s">
        <v>9175</v>
      </c>
      <c r="AJ1589" s="15" t="s">
        <v>9143</v>
      </c>
      <c r="AK1589" s="15" t="s">
        <v>9221</v>
      </c>
      <c r="AL1589" s="15" t="s">
        <v>9222</v>
      </c>
      <c r="AM1589" s="16" t="s">
        <v>9221</v>
      </c>
      <c r="AN1589" s="16" t="s">
        <v>9223</v>
      </c>
    </row>
    <row r="1590" spans="1:40" x14ac:dyDescent="0.25">
      <c r="A1590" s="4" t="s">
        <v>4435</v>
      </c>
      <c r="B1590" s="4"/>
      <c r="C1590" s="4" t="s">
        <v>39</v>
      </c>
      <c r="D1590" s="4" t="s">
        <v>4313</v>
      </c>
      <c r="E1590" s="4" t="s">
        <v>4314</v>
      </c>
      <c r="F1590" s="10">
        <v>45245</v>
      </c>
      <c r="G1590" s="11">
        <v>0.50069444444444444</v>
      </c>
      <c r="H1590" s="4" t="s">
        <v>4019</v>
      </c>
      <c r="I1590" s="4" t="s">
        <v>4304</v>
      </c>
      <c r="J1590" s="4" t="s">
        <v>1941</v>
      </c>
      <c r="K1590" s="4" t="s">
        <v>4436</v>
      </c>
      <c r="L1590" s="4" t="s">
        <v>4437</v>
      </c>
      <c r="M1590" s="4" t="s">
        <v>46</v>
      </c>
      <c r="N1590" s="4"/>
      <c r="O1590" s="4" t="s">
        <v>47</v>
      </c>
      <c r="P1590" s="4" t="s">
        <v>48</v>
      </c>
      <c r="Q1590" s="4">
        <v>0</v>
      </c>
      <c r="R1590" s="4" t="b">
        <v>0</v>
      </c>
      <c r="S1590" s="4" t="s">
        <v>61</v>
      </c>
      <c r="T1590" s="4" t="s">
        <v>89</v>
      </c>
      <c r="U1590" s="4" t="s">
        <v>148</v>
      </c>
      <c r="V1590" s="4" t="s">
        <v>52</v>
      </c>
      <c r="W1590" s="4" t="s">
        <v>53</v>
      </c>
      <c r="X1590" s="4" t="s">
        <v>54</v>
      </c>
      <c r="Y1590" s="4"/>
      <c r="Z1590" s="12">
        <v>0</v>
      </c>
      <c r="AA1590" s="13" t="s">
        <v>9162</v>
      </c>
      <c r="AB1590" s="13" t="s">
        <v>9150</v>
      </c>
      <c r="AC1590" s="14" t="s">
        <v>9148</v>
      </c>
      <c r="AD1590" s="14" t="s">
        <v>9140</v>
      </c>
      <c r="AE1590" s="14" t="s">
        <v>9140</v>
      </c>
      <c r="AF1590" s="14" t="s">
        <v>52</v>
      </c>
      <c r="AG1590" s="14" t="s">
        <v>54</v>
      </c>
      <c r="AH1590" s="15" t="s">
        <v>9220</v>
      </c>
      <c r="AI1590" s="15" t="s">
        <v>9175</v>
      </c>
      <c r="AJ1590" s="15" t="s">
        <v>9143</v>
      </c>
      <c r="AK1590" s="15" t="s">
        <v>9221</v>
      </c>
      <c r="AL1590" s="15" t="s">
        <v>9222</v>
      </c>
      <c r="AM1590" s="16" t="s">
        <v>9221</v>
      </c>
      <c r="AN1590" s="16" t="s">
        <v>9223</v>
      </c>
    </row>
    <row r="1591" spans="1:40" x14ac:dyDescent="0.25">
      <c r="A1591" s="4" t="s">
        <v>3798</v>
      </c>
      <c r="B1591" s="4"/>
      <c r="C1591" s="4" t="s">
        <v>39</v>
      </c>
      <c r="D1591" s="4" t="s">
        <v>3799</v>
      </c>
      <c r="E1591" s="4" t="s">
        <v>3800</v>
      </c>
      <c r="F1591" s="10">
        <v>45244</v>
      </c>
      <c r="G1591" s="11">
        <v>0.66736111111111107</v>
      </c>
      <c r="H1591" s="4" t="s">
        <v>1992</v>
      </c>
      <c r="I1591" s="4" t="s">
        <v>3772</v>
      </c>
      <c r="J1591" s="4" t="s">
        <v>3773</v>
      </c>
      <c r="K1591" s="4" t="s">
        <v>3783</v>
      </c>
      <c r="L1591" s="4" t="s">
        <v>3801</v>
      </c>
      <c r="M1591" s="4" t="s">
        <v>46</v>
      </c>
      <c r="N1591" s="4"/>
      <c r="O1591" s="4" t="s">
        <v>47</v>
      </c>
      <c r="P1591" s="4" t="s">
        <v>48</v>
      </c>
      <c r="Q1591" s="4">
        <v>0</v>
      </c>
      <c r="R1591" s="4" t="b">
        <v>0</v>
      </c>
      <c r="S1591" s="4" t="s">
        <v>114</v>
      </c>
      <c r="T1591" s="4" t="s">
        <v>89</v>
      </c>
      <c r="U1591" s="4" t="s">
        <v>148</v>
      </c>
      <c r="V1591" s="4" t="s">
        <v>123</v>
      </c>
      <c r="W1591" s="4" t="s">
        <v>149</v>
      </c>
      <c r="X1591" s="4" t="s">
        <v>54</v>
      </c>
      <c r="Y1591" s="4"/>
      <c r="Z1591" s="12">
        <v>0</v>
      </c>
      <c r="AA1591" s="13" t="s">
        <v>9162</v>
      </c>
      <c r="AB1591" s="13" t="s">
        <v>9150</v>
      </c>
      <c r="AC1591" s="14" t="s">
        <v>9157</v>
      </c>
      <c r="AD1591" s="14" t="s">
        <v>9140</v>
      </c>
      <c r="AE1591" s="14" t="s">
        <v>9140</v>
      </c>
      <c r="AF1591" s="14" t="s">
        <v>123</v>
      </c>
      <c r="AG1591" s="14" t="s">
        <v>54</v>
      </c>
      <c r="AH1591" s="15" t="s">
        <v>9194</v>
      </c>
      <c r="AI1591" s="15" t="s">
        <v>9191</v>
      </c>
      <c r="AJ1591" s="15" t="s">
        <v>9143</v>
      </c>
      <c r="AK1591" s="15" t="s">
        <v>9194</v>
      </c>
      <c r="AL1591" s="15" t="s">
        <v>9201</v>
      </c>
      <c r="AM1591" s="16" t="s">
        <v>9194</v>
      </c>
      <c r="AN1591" s="16" t="s">
        <v>9202</v>
      </c>
    </row>
    <row r="1592" spans="1:40" x14ac:dyDescent="0.25">
      <c r="A1592" s="4" t="s">
        <v>533</v>
      </c>
      <c r="B1592" s="4">
        <v>12240077534</v>
      </c>
      <c r="C1592" s="4" t="s">
        <v>488</v>
      </c>
      <c r="D1592" s="4" t="s">
        <v>511</v>
      </c>
      <c r="E1592" s="4" t="s">
        <v>512</v>
      </c>
      <c r="F1592" s="10">
        <v>45244</v>
      </c>
      <c r="G1592" s="11">
        <v>0.5</v>
      </c>
      <c r="H1592" s="4" t="s">
        <v>463</v>
      </c>
      <c r="I1592" s="4">
        <v>2019</v>
      </c>
      <c r="J1592" s="4" t="s">
        <v>513</v>
      </c>
      <c r="K1592" s="4" t="s">
        <v>492</v>
      </c>
      <c r="L1592" s="4" t="s">
        <v>534</v>
      </c>
      <c r="M1592" s="4" t="s">
        <v>28</v>
      </c>
      <c r="N1592" s="4" t="s">
        <v>478</v>
      </c>
      <c r="O1592" s="4" t="s">
        <v>344</v>
      </c>
      <c r="P1592" s="4" t="s">
        <v>60</v>
      </c>
      <c r="Q1592" s="4">
        <v>96</v>
      </c>
      <c r="R1592" s="4" t="b">
        <v>0</v>
      </c>
      <c r="S1592" s="4" t="s">
        <v>114</v>
      </c>
      <c r="T1592" s="4" t="s">
        <v>266</v>
      </c>
      <c r="U1592" s="4" t="s">
        <v>330</v>
      </c>
      <c r="V1592" s="4" t="s">
        <v>267</v>
      </c>
      <c r="W1592" s="4" t="s">
        <v>495</v>
      </c>
      <c r="X1592" s="4" t="s">
        <v>54</v>
      </c>
      <c r="Y1592" s="4"/>
      <c r="Z1592" s="12" t="s">
        <v>60</v>
      </c>
      <c r="AA1592" s="13" t="s">
        <v>9162</v>
      </c>
      <c r="AB1592" s="13" t="s">
        <v>9150</v>
      </c>
      <c r="AC1592" s="14" t="s">
        <v>9157</v>
      </c>
      <c r="AD1592" s="14" t="s">
        <v>28</v>
      </c>
      <c r="AE1592" s="14" t="s">
        <v>478</v>
      </c>
      <c r="AF1592" s="14" t="s">
        <v>267</v>
      </c>
      <c r="AG1592" s="14" t="s">
        <v>54</v>
      </c>
      <c r="AH1592" s="15" t="s">
        <v>9141</v>
      </c>
      <c r="AI1592" s="15" t="s">
        <v>9175</v>
      </c>
      <c r="AJ1592" s="15" t="s">
        <v>9143</v>
      </c>
      <c r="AK1592" s="15" t="s">
        <v>9141</v>
      </c>
      <c r="AL1592" s="15" t="s">
        <v>9177</v>
      </c>
      <c r="AM1592" s="16" t="s">
        <v>9141</v>
      </c>
      <c r="AN1592" s="16" t="s">
        <v>9178</v>
      </c>
    </row>
    <row r="1593" spans="1:40" x14ac:dyDescent="0.25">
      <c r="A1593" s="4" t="s">
        <v>741</v>
      </c>
      <c r="B1593" s="4"/>
      <c r="C1593" s="4" t="s">
        <v>39</v>
      </c>
      <c r="D1593" s="4" t="s">
        <v>733</v>
      </c>
      <c r="E1593" s="4" t="s">
        <v>734</v>
      </c>
      <c r="F1593" s="10">
        <v>45243</v>
      </c>
      <c r="G1593" s="11">
        <v>0.69444444444444442</v>
      </c>
      <c r="H1593" s="4" t="s">
        <v>463</v>
      </c>
      <c r="I1593" s="4">
        <v>2025</v>
      </c>
      <c r="J1593" s="4" t="s">
        <v>701</v>
      </c>
      <c r="K1593" s="4" t="s">
        <v>742</v>
      </c>
      <c r="L1593" s="4" t="s">
        <v>743</v>
      </c>
      <c r="M1593" s="4" t="s">
        <v>46</v>
      </c>
      <c r="N1593" s="4"/>
      <c r="O1593" s="4" t="s">
        <v>47</v>
      </c>
      <c r="P1593" s="4" t="s">
        <v>48</v>
      </c>
      <c r="Q1593" s="4">
        <v>0</v>
      </c>
      <c r="R1593" s="4" t="b">
        <v>0</v>
      </c>
      <c r="S1593" s="4" t="s">
        <v>61</v>
      </c>
      <c r="T1593" s="4" t="s">
        <v>89</v>
      </c>
      <c r="U1593" s="4" t="s">
        <v>107</v>
      </c>
      <c r="V1593" s="4" t="s">
        <v>63</v>
      </c>
      <c r="W1593" s="4" t="s">
        <v>108</v>
      </c>
      <c r="X1593" s="4" t="s">
        <v>98</v>
      </c>
      <c r="Y1593" s="4"/>
      <c r="Z1593" s="12">
        <v>0</v>
      </c>
      <c r="AA1593" s="13" t="s">
        <v>9162</v>
      </c>
      <c r="AB1593" s="13" t="s">
        <v>9150</v>
      </c>
      <c r="AC1593" s="14" t="s">
        <v>9148</v>
      </c>
      <c r="AD1593" s="14" t="s">
        <v>9140</v>
      </c>
      <c r="AE1593" s="14" t="s">
        <v>9140</v>
      </c>
      <c r="AF1593" s="14" t="s">
        <v>63</v>
      </c>
      <c r="AG1593" s="14" t="s">
        <v>98</v>
      </c>
      <c r="AH1593" s="15" t="s">
        <v>9141</v>
      </c>
      <c r="AI1593" s="15" t="s">
        <v>9175</v>
      </c>
      <c r="AJ1593" s="15" t="s">
        <v>9143</v>
      </c>
      <c r="AK1593" s="15" t="s">
        <v>9141</v>
      </c>
      <c r="AL1593" s="15" t="s">
        <v>9175</v>
      </c>
      <c r="AM1593" s="16" t="s">
        <v>9141</v>
      </c>
      <c r="AN1593" s="16" t="s">
        <v>9176</v>
      </c>
    </row>
    <row r="1594" spans="1:40" x14ac:dyDescent="0.25">
      <c r="A1594" s="4" t="s">
        <v>6231</v>
      </c>
      <c r="B1594" s="4"/>
      <c r="C1594" s="4" t="s">
        <v>39</v>
      </c>
      <c r="D1594" s="4" t="s">
        <v>6099</v>
      </c>
      <c r="E1594" s="4" t="s">
        <v>6100</v>
      </c>
      <c r="F1594" s="10">
        <v>45243</v>
      </c>
      <c r="G1594" s="11">
        <v>0.64652777777777781</v>
      </c>
      <c r="H1594" s="4" t="s">
        <v>5666</v>
      </c>
      <c r="I1594" s="4" t="s">
        <v>6217</v>
      </c>
      <c r="J1594" s="4" t="s">
        <v>3503</v>
      </c>
      <c r="K1594" s="4" t="s">
        <v>6232</v>
      </c>
      <c r="L1594" s="4" t="s">
        <v>6233</v>
      </c>
      <c r="M1594" s="4" t="s">
        <v>46</v>
      </c>
      <c r="N1594" s="4"/>
      <c r="O1594" s="4" t="s">
        <v>47</v>
      </c>
      <c r="P1594" s="4" t="s">
        <v>48</v>
      </c>
      <c r="Q1594" s="4">
        <v>0</v>
      </c>
      <c r="R1594" s="4" t="b">
        <v>0</v>
      </c>
      <c r="S1594" s="4" t="s">
        <v>61</v>
      </c>
      <c r="T1594" s="4" t="s">
        <v>89</v>
      </c>
      <c r="U1594" s="4" t="s">
        <v>600</v>
      </c>
      <c r="V1594" s="4" t="s">
        <v>72</v>
      </c>
      <c r="W1594" s="4" t="s">
        <v>73</v>
      </c>
      <c r="X1594" s="4" t="s">
        <v>54</v>
      </c>
      <c r="Y1594" s="4"/>
      <c r="Z1594" s="12">
        <v>0</v>
      </c>
      <c r="AA1594" s="13" t="s">
        <v>9162</v>
      </c>
      <c r="AB1594" s="13" t="s">
        <v>9150</v>
      </c>
      <c r="AC1594" s="14" t="s">
        <v>9148</v>
      </c>
      <c r="AD1594" s="14" t="s">
        <v>9140</v>
      </c>
      <c r="AE1594" s="14" t="s">
        <v>9140</v>
      </c>
      <c r="AF1594" s="14" t="s">
        <v>72</v>
      </c>
      <c r="AG1594" s="14" t="s">
        <v>54</v>
      </c>
      <c r="AH1594" s="15" t="s">
        <v>9220</v>
      </c>
      <c r="AI1594" s="15" t="s">
        <v>9199</v>
      </c>
      <c r="AJ1594" s="15" t="s">
        <v>9143</v>
      </c>
      <c r="AK1594" s="15" t="s">
        <v>9221</v>
      </c>
      <c r="AL1594" s="15" t="s">
        <v>9199</v>
      </c>
      <c r="AM1594" s="16" t="s">
        <v>9221</v>
      </c>
      <c r="AN1594" s="16" t="s">
        <v>9238</v>
      </c>
    </row>
    <row r="1595" spans="1:40" x14ac:dyDescent="0.25">
      <c r="A1595" s="4" t="s">
        <v>5237</v>
      </c>
      <c r="B1595" s="4">
        <v>6311906</v>
      </c>
      <c r="C1595" s="4" t="s">
        <v>39</v>
      </c>
      <c r="D1595" s="4" t="s">
        <v>5238</v>
      </c>
      <c r="E1595" s="4" t="s">
        <v>5239</v>
      </c>
      <c r="F1595" s="10">
        <v>45243</v>
      </c>
      <c r="G1595" s="11">
        <v>0.59027777777777779</v>
      </c>
      <c r="H1595" s="4" t="s">
        <v>4516</v>
      </c>
      <c r="I1595" s="4" t="s">
        <v>5215</v>
      </c>
      <c r="J1595" s="4" t="s">
        <v>5216</v>
      </c>
      <c r="K1595" s="4" t="s">
        <v>5240</v>
      </c>
      <c r="L1595" s="4" t="s">
        <v>5241</v>
      </c>
      <c r="M1595" s="4" t="s">
        <v>28</v>
      </c>
      <c r="N1595" s="4" t="s">
        <v>183</v>
      </c>
      <c r="O1595" s="4" t="s">
        <v>344</v>
      </c>
      <c r="P1595" s="4" t="s">
        <v>60</v>
      </c>
      <c r="Q1595" s="4">
        <v>189</v>
      </c>
      <c r="R1595" s="4" t="b">
        <v>0</v>
      </c>
      <c r="S1595" s="4" t="s">
        <v>184</v>
      </c>
      <c r="T1595" s="4" t="s">
        <v>89</v>
      </c>
      <c r="U1595" s="4" t="s">
        <v>175</v>
      </c>
      <c r="V1595" s="4" t="s">
        <v>52</v>
      </c>
      <c r="W1595" s="4" t="s">
        <v>135</v>
      </c>
      <c r="X1595" s="4" t="s">
        <v>54</v>
      </c>
      <c r="Y1595" s="4"/>
      <c r="Z1595" s="12" t="s">
        <v>60</v>
      </c>
      <c r="AA1595" s="13" t="s">
        <v>9162</v>
      </c>
      <c r="AB1595" s="13" t="s">
        <v>9150</v>
      </c>
      <c r="AC1595" s="14" t="s">
        <v>9166</v>
      </c>
      <c r="AD1595" s="14" t="s">
        <v>28</v>
      </c>
      <c r="AE1595" s="14" t="s">
        <v>183</v>
      </c>
      <c r="AF1595" s="14" t="s">
        <v>52</v>
      </c>
      <c r="AG1595" s="14" t="s">
        <v>54</v>
      </c>
      <c r="AH1595" s="15" t="s">
        <v>9220</v>
      </c>
      <c r="AI1595" s="15" t="s">
        <v>9188</v>
      </c>
      <c r="AJ1595" s="15" t="s">
        <v>9143</v>
      </c>
      <c r="AK1595" s="15" t="s">
        <v>9221</v>
      </c>
      <c r="AL1595" s="15" t="s">
        <v>9232</v>
      </c>
      <c r="AM1595" s="16" t="s">
        <v>9221</v>
      </c>
      <c r="AN1595" s="16" t="s">
        <v>9233</v>
      </c>
    </row>
    <row r="1596" spans="1:40" x14ac:dyDescent="0.25">
      <c r="A1596" s="4" t="s">
        <v>3367</v>
      </c>
      <c r="B1596" s="4"/>
      <c r="C1596" s="4" t="s">
        <v>39</v>
      </c>
      <c r="D1596" s="4" t="s">
        <v>3368</v>
      </c>
      <c r="E1596" s="4" t="s">
        <v>3369</v>
      </c>
      <c r="F1596" s="10">
        <v>45242</v>
      </c>
      <c r="G1596" s="11">
        <v>0.48541666666666666</v>
      </c>
      <c r="H1596" s="4" t="s">
        <v>1992</v>
      </c>
      <c r="I1596" s="4" t="s">
        <v>3353</v>
      </c>
      <c r="J1596" s="4" t="s">
        <v>3354</v>
      </c>
      <c r="K1596" s="4" t="s">
        <v>3370</v>
      </c>
      <c r="L1596" s="4" t="s">
        <v>3371</v>
      </c>
      <c r="M1596" s="4" t="s">
        <v>46</v>
      </c>
      <c r="N1596" s="4"/>
      <c r="O1596" s="4" t="s">
        <v>47</v>
      </c>
      <c r="P1596" s="4" t="s">
        <v>48</v>
      </c>
      <c r="Q1596" s="4">
        <v>0</v>
      </c>
      <c r="R1596" s="4" t="b">
        <v>0</v>
      </c>
      <c r="S1596" s="4" t="s">
        <v>61</v>
      </c>
      <c r="T1596" s="4" t="s">
        <v>89</v>
      </c>
      <c r="U1596" s="4" t="s">
        <v>2065</v>
      </c>
      <c r="V1596" s="4" t="s">
        <v>52</v>
      </c>
      <c r="W1596" s="4" t="s">
        <v>53</v>
      </c>
      <c r="X1596" s="4" t="s">
        <v>54</v>
      </c>
      <c r="Y1596" s="4"/>
      <c r="Z1596" s="12">
        <v>0</v>
      </c>
      <c r="AA1596" s="13" t="s">
        <v>9162</v>
      </c>
      <c r="AB1596" s="13" t="s">
        <v>9150</v>
      </c>
      <c r="AC1596" s="14" t="s">
        <v>9148</v>
      </c>
      <c r="AD1596" s="14" t="s">
        <v>9140</v>
      </c>
      <c r="AE1596" s="14" t="s">
        <v>9140</v>
      </c>
      <c r="AF1596" s="14" t="s">
        <v>52</v>
      </c>
      <c r="AG1596" s="14" t="s">
        <v>54</v>
      </c>
      <c r="AH1596" s="15" t="s">
        <v>9194</v>
      </c>
      <c r="AI1596" s="15" t="s">
        <v>9191</v>
      </c>
      <c r="AJ1596" s="15" t="s">
        <v>9143</v>
      </c>
      <c r="AK1596" s="15" t="s">
        <v>9194</v>
      </c>
      <c r="AL1596" s="15" t="s">
        <v>9205</v>
      </c>
      <c r="AM1596" s="16" t="s">
        <v>9194</v>
      </c>
      <c r="AN1596" s="16" t="s">
        <v>9206</v>
      </c>
    </row>
    <row r="1597" spans="1:40" x14ac:dyDescent="0.25">
      <c r="A1597" s="4" t="s">
        <v>744</v>
      </c>
      <c r="B1597" s="4"/>
      <c r="C1597" s="4" t="s">
        <v>39</v>
      </c>
      <c r="D1597" s="4" t="s">
        <v>745</v>
      </c>
      <c r="E1597" s="4" t="s">
        <v>746</v>
      </c>
      <c r="F1597" s="10">
        <v>45241</v>
      </c>
      <c r="G1597" s="11">
        <v>0.70486111111111116</v>
      </c>
      <c r="H1597" s="4" t="s">
        <v>463</v>
      </c>
      <c r="I1597" s="4">
        <v>2025</v>
      </c>
      <c r="J1597" s="4" t="s">
        <v>701</v>
      </c>
      <c r="K1597" s="4" t="s">
        <v>747</v>
      </c>
      <c r="L1597" s="4" t="s">
        <v>748</v>
      </c>
      <c r="M1597" s="4" t="s">
        <v>46</v>
      </c>
      <c r="N1597" s="4"/>
      <c r="O1597" s="4" t="s">
        <v>47</v>
      </c>
      <c r="P1597" s="4" t="s">
        <v>48</v>
      </c>
      <c r="Q1597" s="4">
        <v>0</v>
      </c>
      <c r="R1597" s="4" t="b">
        <v>0</v>
      </c>
      <c r="S1597" s="4" t="s">
        <v>61</v>
      </c>
      <c r="T1597" s="4" t="s">
        <v>89</v>
      </c>
      <c r="U1597" s="4" t="s">
        <v>51</v>
      </c>
      <c r="V1597" s="4" t="s">
        <v>123</v>
      </c>
      <c r="W1597" s="4" t="s">
        <v>124</v>
      </c>
      <c r="X1597" s="4" t="s">
        <v>98</v>
      </c>
      <c r="Y1597" s="4"/>
      <c r="Z1597" s="12">
        <v>0</v>
      </c>
      <c r="AA1597" s="13" t="s">
        <v>9162</v>
      </c>
      <c r="AB1597" s="13" t="s">
        <v>9150</v>
      </c>
      <c r="AC1597" s="14" t="s">
        <v>9148</v>
      </c>
      <c r="AD1597" s="14" t="s">
        <v>9140</v>
      </c>
      <c r="AE1597" s="14" t="s">
        <v>9140</v>
      </c>
      <c r="AF1597" s="14" t="s">
        <v>123</v>
      </c>
      <c r="AG1597" s="14" t="s">
        <v>98</v>
      </c>
      <c r="AH1597" s="15" t="s">
        <v>9141</v>
      </c>
      <c r="AI1597" s="15" t="s">
        <v>9175</v>
      </c>
      <c r="AJ1597" s="15" t="s">
        <v>9143</v>
      </c>
      <c r="AK1597" s="15" t="s">
        <v>9141</v>
      </c>
      <c r="AL1597" s="15" t="s">
        <v>9175</v>
      </c>
      <c r="AM1597" s="16" t="s">
        <v>9141</v>
      </c>
      <c r="AN1597" s="16" t="s">
        <v>9176</v>
      </c>
    </row>
    <row r="1598" spans="1:40" x14ac:dyDescent="0.25">
      <c r="A1598" s="4" t="s">
        <v>647</v>
      </c>
      <c r="B1598" s="4"/>
      <c r="C1598" s="4" t="s">
        <v>39</v>
      </c>
      <c r="D1598" s="4" t="s">
        <v>638</v>
      </c>
      <c r="E1598" s="4" t="s">
        <v>639</v>
      </c>
      <c r="F1598" s="10">
        <v>45241</v>
      </c>
      <c r="G1598" s="11">
        <v>0.58333333333333337</v>
      </c>
      <c r="H1598" s="4" t="s">
        <v>463</v>
      </c>
      <c r="I1598" s="4">
        <v>2023</v>
      </c>
      <c r="J1598" s="4" t="s">
        <v>615</v>
      </c>
      <c r="K1598" s="4" t="s">
        <v>648</v>
      </c>
      <c r="L1598" s="4" t="s">
        <v>649</v>
      </c>
      <c r="M1598" s="4" t="s">
        <v>46</v>
      </c>
      <c r="N1598" s="4"/>
      <c r="O1598" s="4" t="s">
        <v>47</v>
      </c>
      <c r="P1598" s="4" t="s">
        <v>48</v>
      </c>
      <c r="Q1598" s="4">
        <v>0</v>
      </c>
      <c r="R1598" s="4" t="b">
        <v>0</v>
      </c>
      <c r="S1598" s="4" t="s">
        <v>61</v>
      </c>
      <c r="T1598" s="4" t="s">
        <v>89</v>
      </c>
      <c r="U1598" s="4" t="s">
        <v>650</v>
      </c>
      <c r="V1598" s="4" t="s">
        <v>123</v>
      </c>
      <c r="W1598" s="4" t="s">
        <v>124</v>
      </c>
      <c r="X1598" s="4" t="s">
        <v>98</v>
      </c>
      <c r="Y1598" s="4"/>
      <c r="Z1598" s="12">
        <v>0</v>
      </c>
      <c r="AA1598" s="13" t="s">
        <v>9162</v>
      </c>
      <c r="AB1598" s="13" t="s">
        <v>9150</v>
      </c>
      <c r="AC1598" s="14" t="s">
        <v>9148</v>
      </c>
      <c r="AD1598" s="14" t="s">
        <v>9140</v>
      </c>
      <c r="AE1598" s="14" t="s">
        <v>9140</v>
      </c>
      <c r="AF1598" s="14" t="s">
        <v>123</v>
      </c>
      <c r="AG1598" s="14" t="s">
        <v>98</v>
      </c>
      <c r="AH1598" s="15" t="s">
        <v>9141</v>
      </c>
      <c r="AI1598" s="15" t="s">
        <v>9175</v>
      </c>
      <c r="AJ1598" s="15" t="s">
        <v>9143</v>
      </c>
      <c r="AK1598" s="15" t="s">
        <v>9141</v>
      </c>
      <c r="AL1598" s="15" t="s">
        <v>9177</v>
      </c>
      <c r="AM1598" s="16" t="s">
        <v>9141</v>
      </c>
      <c r="AN1598" s="16" t="s">
        <v>9178</v>
      </c>
    </row>
    <row r="1599" spans="1:40" x14ac:dyDescent="0.25">
      <c r="A1599" s="4" t="s">
        <v>1352</v>
      </c>
      <c r="B1599" s="4"/>
      <c r="C1599" s="4" t="s">
        <v>39</v>
      </c>
      <c r="D1599" s="4" t="s">
        <v>1353</v>
      </c>
      <c r="E1599" s="4" t="s">
        <v>1354</v>
      </c>
      <c r="F1599" s="10">
        <v>45241</v>
      </c>
      <c r="G1599" s="11">
        <v>0.54861111111111116</v>
      </c>
      <c r="H1599" s="4" t="s">
        <v>1155</v>
      </c>
      <c r="I1599" s="4">
        <v>4045</v>
      </c>
      <c r="J1599" s="4" t="s">
        <v>1329</v>
      </c>
      <c r="K1599" s="4" t="s">
        <v>1355</v>
      </c>
      <c r="L1599" s="4" t="s">
        <v>1356</v>
      </c>
      <c r="M1599" s="4" t="s">
        <v>46</v>
      </c>
      <c r="N1599" s="4"/>
      <c r="O1599" s="4" t="s">
        <v>47</v>
      </c>
      <c r="P1599" s="4" t="s">
        <v>48</v>
      </c>
      <c r="Q1599" s="4">
        <v>0</v>
      </c>
      <c r="R1599" s="4" t="b">
        <v>0</v>
      </c>
      <c r="S1599" s="4" t="s">
        <v>61</v>
      </c>
      <c r="T1599" s="4" t="s">
        <v>1357</v>
      </c>
      <c r="U1599" s="4" t="s">
        <v>90</v>
      </c>
      <c r="V1599" s="4" t="s">
        <v>267</v>
      </c>
      <c r="W1599" s="4" t="s">
        <v>331</v>
      </c>
      <c r="X1599" s="4" t="s">
        <v>54</v>
      </c>
      <c r="Y1599" s="4"/>
      <c r="Z1599" s="12">
        <v>0</v>
      </c>
      <c r="AA1599" s="13" t="s">
        <v>9162</v>
      </c>
      <c r="AB1599" s="13" t="s">
        <v>9150</v>
      </c>
      <c r="AC1599" s="14" t="s">
        <v>9148</v>
      </c>
      <c r="AD1599" s="14" t="s">
        <v>9140</v>
      </c>
      <c r="AE1599" s="14" t="s">
        <v>9140</v>
      </c>
      <c r="AF1599" s="14" t="s">
        <v>267</v>
      </c>
      <c r="AG1599" s="14" t="s">
        <v>54</v>
      </c>
      <c r="AH1599" s="15" t="s">
        <v>9141</v>
      </c>
      <c r="AI1599" s="15" t="s">
        <v>9187</v>
      </c>
      <c r="AJ1599" s="15" t="s">
        <v>9143</v>
      </c>
      <c r="AK1599" s="15" t="s">
        <v>9141</v>
      </c>
      <c r="AL1599" s="15" t="s">
        <v>9144</v>
      </c>
      <c r="AM1599" s="16" t="s">
        <v>9141</v>
      </c>
      <c r="AN1599" s="16" t="s">
        <v>9145</v>
      </c>
    </row>
    <row r="1600" spans="1:40" x14ac:dyDescent="0.25">
      <c r="A1600" s="4" t="s">
        <v>5354</v>
      </c>
      <c r="B1600" s="4"/>
      <c r="C1600" s="4" t="s">
        <v>39</v>
      </c>
      <c r="D1600" s="4" t="s">
        <v>5313</v>
      </c>
      <c r="E1600" s="4" t="s">
        <v>5314</v>
      </c>
      <c r="F1600" s="10">
        <v>45241</v>
      </c>
      <c r="G1600" s="11">
        <v>0.5</v>
      </c>
      <c r="H1600" s="4" t="s">
        <v>4516</v>
      </c>
      <c r="I1600" s="4" t="s">
        <v>5275</v>
      </c>
      <c r="J1600" s="4" t="s">
        <v>5276</v>
      </c>
      <c r="K1600" s="4" t="s">
        <v>5355</v>
      </c>
      <c r="L1600" s="4" t="s">
        <v>5356</v>
      </c>
      <c r="M1600" s="4" t="s">
        <v>46</v>
      </c>
      <c r="N1600" s="4"/>
      <c r="O1600" s="4" t="s">
        <v>47</v>
      </c>
      <c r="P1600" s="4" t="s">
        <v>48</v>
      </c>
      <c r="Q1600" s="4">
        <v>0</v>
      </c>
      <c r="R1600" s="4" t="b">
        <v>0</v>
      </c>
      <c r="S1600" s="4" t="s">
        <v>61</v>
      </c>
      <c r="T1600" s="4" t="s">
        <v>479</v>
      </c>
      <c r="U1600" s="4" t="s">
        <v>618</v>
      </c>
      <c r="V1600" s="4" t="s">
        <v>52</v>
      </c>
      <c r="W1600" s="4" t="s">
        <v>53</v>
      </c>
      <c r="X1600" s="4" t="s">
        <v>98</v>
      </c>
      <c r="Y1600" s="4"/>
      <c r="Z1600" s="12">
        <v>0</v>
      </c>
      <c r="AA1600" s="13" t="s">
        <v>9162</v>
      </c>
      <c r="AB1600" s="13" t="s">
        <v>9150</v>
      </c>
      <c r="AC1600" s="14" t="s">
        <v>9148</v>
      </c>
      <c r="AD1600" s="14" t="s">
        <v>9140</v>
      </c>
      <c r="AE1600" s="14" t="s">
        <v>9140</v>
      </c>
      <c r="AF1600" s="14" t="s">
        <v>52</v>
      </c>
      <c r="AG1600" s="14" t="s">
        <v>98</v>
      </c>
      <c r="AH1600" s="15" t="s">
        <v>9220</v>
      </c>
      <c r="AI1600" s="15" t="s">
        <v>9188</v>
      </c>
      <c r="AJ1600" s="15" t="s">
        <v>9143</v>
      </c>
      <c r="AK1600" s="15" t="s">
        <v>9221</v>
      </c>
      <c r="AL1600" s="15" t="s">
        <v>9230</v>
      </c>
      <c r="AM1600" s="16" t="s">
        <v>9221</v>
      </c>
      <c r="AN1600" s="16" t="s">
        <v>9231</v>
      </c>
    </row>
    <row r="1601" spans="1:40" x14ac:dyDescent="0.25">
      <c r="A1601" s="4" t="s">
        <v>4438</v>
      </c>
      <c r="B1601" s="4"/>
      <c r="C1601" s="4" t="s">
        <v>39</v>
      </c>
      <c r="D1601" s="4" t="s">
        <v>4313</v>
      </c>
      <c r="E1601" s="4" t="s">
        <v>4314</v>
      </c>
      <c r="F1601" s="10">
        <v>45241</v>
      </c>
      <c r="G1601" s="11">
        <v>0.5</v>
      </c>
      <c r="H1601" s="4" t="s">
        <v>4019</v>
      </c>
      <c r="I1601" s="4" t="s">
        <v>4304</v>
      </c>
      <c r="J1601" s="4" t="s">
        <v>1941</v>
      </c>
      <c r="K1601" s="4" t="s">
        <v>4381</v>
      </c>
      <c r="L1601" s="4" t="s">
        <v>4439</v>
      </c>
      <c r="M1601" s="4" t="s">
        <v>46</v>
      </c>
      <c r="N1601" s="4"/>
      <c r="O1601" s="4" t="s">
        <v>47</v>
      </c>
      <c r="P1601" s="4" t="s">
        <v>48</v>
      </c>
      <c r="Q1601" s="4">
        <v>0</v>
      </c>
      <c r="R1601" s="4" t="b">
        <v>0</v>
      </c>
      <c r="S1601" s="4" t="s">
        <v>61</v>
      </c>
      <c r="T1601" s="4" t="s">
        <v>89</v>
      </c>
      <c r="U1601" s="4" t="s">
        <v>148</v>
      </c>
      <c r="V1601" s="4" t="s">
        <v>52</v>
      </c>
      <c r="W1601" s="4" t="s">
        <v>53</v>
      </c>
      <c r="X1601" s="4" t="s">
        <v>54</v>
      </c>
      <c r="Y1601" s="4"/>
      <c r="Z1601" s="12">
        <v>0</v>
      </c>
      <c r="AA1601" s="13" t="s">
        <v>9162</v>
      </c>
      <c r="AB1601" s="13" t="s">
        <v>9150</v>
      </c>
      <c r="AC1601" s="14" t="s">
        <v>9148</v>
      </c>
      <c r="AD1601" s="14" t="s">
        <v>9140</v>
      </c>
      <c r="AE1601" s="14" t="s">
        <v>9140</v>
      </c>
      <c r="AF1601" s="14" t="s">
        <v>52</v>
      </c>
      <c r="AG1601" s="14" t="s">
        <v>54</v>
      </c>
      <c r="AH1601" s="15" t="s">
        <v>9220</v>
      </c>
      <c r="AI1601" s="15" t="s">
        <v>9175</v>
      </c>
      <c r="AJ1601" s="15" t="s">
        <v>9143</v>
      </c>
      <c r="AK1601" s="15" t="s">
        <v>9221</v>
      </c>
      <c r="AL1601" s="15" t="s">
        <v>9222</v>
      </c>
      <c r="AM1601" s="16" t="s">
        <v>9221</v>
      </c>
      <c r="AN1601" s="16" t="s">
        <v>9223</v>
      </c>
    </row>
    <row r="1602" spans="1:40" x14ac:dyDescent="0.25">
      <c r="A1602" s="4" t="s">
        <v>5188</v>
      </c>
      <c r="B1602" s="4"/>
      <c r="C1602" s="4" t="s">
        <v>39</v>
      </c>
      <c r="D1602" s="4" t="s">
        <v>5131</v>
      </c>
      <c r="E1602" s="4" t="s">
        <v>5132</v>
      </c>
      <c r="F1602" s="10">
        <v>45240</v>
      </c>
      <c r="G1602" s="11">
        <v>0.57291666666666663</v>
      </c>
      <c r="H1602" s="4" t="s">
        <v>4910</v>
      </c>
      <c r="I1602" s="4" t="s">
        <v>5121</v>
      </c>
      <c r="J1602" s="4" t="s">
        <v>1994</v>
      </c>
      <c r="K1602" s="4" t="s">
        <v>5189</v>
      </c>
      <c r="L1602" s="4" t="s">
        <v>5190</v>
      </c>
      <c r="M1602" s="4" t="s">
        <v>46</v>
      </c>
      <c r="N1602" s="4"/>
      <c r="O1602" s="4" t="s">
        <v>47</v>
      </c>
      <c r="P1602" s="4" t="s">
        <v>48</v>
      </c>
      <c r="Q1602" s="4">
        <v>0</v>
      </c>
      <c r="R1602" s="4" t="b">
        <v>0</v>
      </c>
      <c r="S1602" s="4" t="s">
        <v>49</v>
      </c>
      <c r="T1602" s="4" t="s">
        <v>70</v>
      </c>
      <c r="U1602" s="4" t="s">
        <v>71</v>
      </c>
      <c r="V1602" s="4" t="s">
        <v>72</v>
      </c>
      <c r="W1602" s="4" t="s">
        <v>73</v>
      </c>
      <c r="X1602" s="4" t="s">
        <v>98</v>
      </c>
      <c r="Y1602" s="4"/>
      <c r="Z1602" s="12">
        <v>0</v>
      </c>
      <c r="AA1602" s="13" t="s">
        <v>9162</v>
      </c>
      <c r="AB1602" s="13" t="s">
        <v>9150</v>
      </c>
      <c r="AC1602" s="14" t="s">
        <v>9139</v>
      </c>
      <c r="AD1602" s="14" t="s">
        <v>9140</v>
      </c>
      <c r="AE1602" s="14" t="s">
        <v>9140</v>
      </c>
      <c r="AF1602" s="14" t="s">
        <v>72</v>
      </c>
      <c r="AG1602" s="14" t="s">
        <v>98</v>
      </c>
      <c r="AH1602" s="15" t="s">
        <v>9220</v>
      </c>
      <c r="AI1602" s="15" t="s">
        <v>9191</v>
      </c>
      <c r="AJ1602" s="15" t="s">
        <v>9143</v>
      </c>
      <c r="AK1602" s="15" t="s">
        <v>9221</v>
      </c>
      <c r="AL1602" s="15" t="s">
        <v>9236</v>
      </c>
      <c r="AM1602" s="16" t="s">
        <v>9221</v>
      </c>
      <c r="AN1602" s="16" t="s">
        <v>9237</v>
      </c>
    </row>
    <row r="1603" spans="1:40" x14ac:dyDescent="0.25">
      <c r="A1603" s="4" t="s">
        <v>556</v>
      </c>
      <c r="B1603" s="4"/>
      <c r="C1603" s="4" t="s">
        <v>39</v>
      </c>
      <c r="D1603" s="4" t="s">
        <v>557</v>
      </c>
      <c r="E1603" s="4" t="s">
        <v>558</v>
      </c>
      <c r="F1603" s="10">
        <v>45240</v>
      </c>
      <c r="G1603" s="11">
        <v>0.6875</v>
      </c>
      <c r="H1603" s="4" t="s">
        <v>463</v>
      </c>
      <c r="I1603" s="4">
        <v>2021</v>
      </c>
      <c r="J1603" s="4" t="s">
        <v>559</v>
      </c>
      <c r="K1603" s="4" t="s">
        <v>560</v>
      </c>
      <c r="L1603" s="4" t="s">
        <v>561</v>
      </c>
      <c r="M1603" s="4" t="s">
        <v>46</v>
      </c>
      <c r="N1603" s="4"/>
      <c r="O1603" s="4" t="s">
        <v>47</v>
      </c>
      <c r="P1603" s="4" t="s">
        <v>48</v>
      </c>
      <c r="Q1603" s="4">
        <v>0</v>
      </c>
      <c r="R1603" s="4" t="b">
        <v>0</v>
      </c>
      <c r="S1603" s="4" t="s">
        <v>114</v>
      </c>
      <c r="T1603" s="4" t="s">
        <v>89</v>
      </c>
      <c r="U1603" s="4" t="s">
        <v>224</v>
      </c>
      <c r="V1603" s="4" t="s">
        <v>52</v>
      </c>
      <c r="W1603" s="4" t="s">
        <v>135</v>
      </c>
      <c r="X1603" s="4" t="s">
        <v>54</v>
      </c>
      <c r="Y1603" s="4"/>
      <c r="Z1603" s="12">
        <v>0</v>
      </c>
      <c r="AA1603" s="13" t="s">
        <v>9162</v>
      </c>
      <c r="AB1603" s="13" t="s">
        <v>9150</v>
      </c>
      <c r="AC1603" s="14" t="s">
        <v>9157</v>
      </c>
      <c r="AD1603" s="14" t="s">
        <v>9140</v>
      </c>
      <c r="AE1603" s="14" t="s">
        <v>9140</v>
      </c>
      <c r="AF1603" s="14" t="s">
        <v>52</v>
      </c>
      <c r="AG1603" s="14" t="s">
        <v>54</v>
      </c>
      <c r="AH1603" s="15" t="s">
        <v>9141</v>
      </c>
      <c r="AI1603" s="15" t="s">
        <v>9175</v>
      </c>
      <c r="AJ1603" s="15" t="s">
        <v>9143</v>
      </c>
      <c r="AK1603" s="15" t="s">
        <v>9141</v>
      </c>
      <c r="AL1603" s="15" t="s">
        <v>9177</v>
      </c>
      <c r="AM1603" s="16" t="s">
        <v>9141</v>
      </c>
      <c r="AN1603" s="16" t="s">
        <v>9178</v>
      </c>
    </row>
    <row r="1604" spans="1:40" x14ac:dyDescent="0.25">
      <c r="A1604" s="4" t="s">
        <v>6420</v>
      </c>
      <c r="B1604" s="4"/>
      <c r="C1604" s="4" t="s">
        <v>39</v>
      </c>
      <c r="D1604" s="4" t="s">
        <v>6421</v>
      </c>
      <c r="E1604" s="4" t="s">
        <v>6422</v>
      </c>
      <c r="F1604" s="10">
        <v>45239</v>
      </c>
      <c r="G1604" s="11">
        <v>0.375</v>
      </c>
      <c r="H1604" s="4" t="s">
        <v>5666</v>
      </c>
      <c r="I1604" s="4" t="s">
        <v>6414</v>
      </c>
      <c r="J1604" s="4" t="s">
        <v>2019</v>
      </c>
      <c r="K1604" s="4" t="s">
        <v>4044</v>
      </c>
      <c r="L1604" s="4" t="s">
        <v>6423</v>
      </c>
      <c r="M1604" s="4" t="s">
        <v>46</v>
      </c>
      <c r="N1604" s="4"/>
      <c r="O1604" s="4" t="s">
        <v>47</v>
      </c>
      <c r="P1604" s="4" t="s">
        <v>48</v>
      </c>
      <c r="Q1604" s="4">
        <v>0</v>
      </c>
      <c r="R1604" s="4" t="b">
        <v>0</v>
      </c>
      <c r="S1604" s="4" t="s">
        <v>61</v>
      </c>
      <c r="T1604" s="4" t="s">
        <v>433</v>
      </c>
      <c r="U1604" s="4" t="s">
        <v>51</v>
      </c>
      <c r="V1604" s="4" t="s">
        <v>123</v>
      </c>
      <c r="W1604" s="4" t="s">
        <v>149</v>
      </c>
      <c r="X1604" s="4" t="s">
        <v>978</v>
      </c>
      <c r="Y1604" s="4"/>
      <c r="Z1604" s="12">
        <v>0</v>
      </c>
      <c r="AA1604" s="13" t="s">
        <v>9162</v>
      </c>
      <c r="AB1604" s="13" t="s">
        <v>9150</v>
      </c>
      <c r="AC1604" s="14" t="s">
        <v>9148</v>
      </c>
      <c r="AD1604" s="14" t="s">
        <v>9140</v>
      </c>
      <c r="AE1604" s="14" t="s">
        <v>9140</v>
      </c>
      <c r="AF1604" s="14" t="s">
        <v>123</v>
      </c>
      <c r="AG1604" s="14" t="s">
        <v>978</v>
      </c>
      <c r="AH1604" s="15" t="s">
        <v>9220</v>
      </c>
      <c r="AI1604" s="15" t="s">
        <v>9199</v>
      </c>
      <c r="AJ1604" s="15" t="s">
        <v>9143</v>
      </c>
      <c r="AK1604" s="15" t="s">
        <v>9221</v>
      </c>
      <c r="AL1604" s="15" t="s">
        <v>9199</v>
      </c>
      <c r="AM1604" s="16" t="s">
        <v>9221</v>
      </c>
      <c r="AN1604" s="16" t="s">
        <v>9238</v>
      </c>
    </row>
    <row r="1605" spans="1:40" x14ac:dyDescent="0.25">
      <c r="A1605" s="4" t="s">
        <v>7837</v>
      </c>
      <c r="B1605" s="4"/>
      <c r="C1605" s="4" t="s">
        <v>39</v>
      </c>
      <c r="D1605" s="4" t="s">
        <v>7838</v>
      </c>
      <c r="E1605" s="4" t="s">
        <v>7839</v>
      </c>
      <c r="F1605" s="10">
        <v>45239</v>
      </c>
      <c r="G1605" s="11">
        <v>0.86111111111111116</v>
      </c>
      <c r="H1605" s="4" t="s">
        <v>5666</v>
      </c>
      <c r="I1605" s="4" t="s">
        <v>7793</v>
      </c>
      <c r="J1605" s="4" t="s">
        <v>7794</v>
      </c>
      <c r="K1605" s="4" t="s">
        <v>7820</v>
      </c>
      <c r="L1605" s="4" t="s">
        <v>7840</v>
      </c>
      <c r="M1605" s="4" t="s">
        <v>46</v>
      </c>
      <c r="N1605" s="4"/>
      <c r="O1605" s="4" t="s">
        <v>47</v>
      </c>
      <c r="P1605" s="4" t="s">
        <v>48</v>
      </c>
      <c r="Q1605" s="4">
        <v>0</v>
      </c>
      <c r="R1605" s="4" t="b">
        <v>0</v>
      </c>
      <c r="S1605" s="4" t="s">
        <v>49</v>
      </c>
      <c r="T1605" s="4" t="s">
        <v>70</v>
      </c>
      <c r="U1605" s="4" t="s">
        <v>71</v>
      </c>
      <c r="V1605" s="4" t="s">
        <v>63</v>
      </c>
      <c r="W1605" s="4" t="s">
        <v>108</v>
      </c>
      <c r="X1605" s="4" t="s">
        <v>54</v>
      </c>
      <c r="Y1605" s="4"/>
      <c r="Z1605" s="12">
        <v>0</v>
      </c>
      <c r="AA1605" s="13" t="s">
        <v>9162</v>
      </c>
      <c r="AB1605" s="13" t="s">
        <v>9150</v>
      </c>
      <c r="AC1605" s="14" t="s">
        <v>9139</v>
      </c>
      <c r="AD1605" s="14" t="s">
        <v>9140</v>
      </c>
      <c r="AE1605" s="14" t="s">
        <v>9140</v>
      </c>
      <c r="AF1605" s="14" t="s">
        <v>63</v>
      </c>
      <c r="AG1605" s="14" t="s">
        <v>54</v>
      </c>
      <c r="AH1605" s="15" t="s">
        <v>9220</v>
      </c>
      <c r="AI1605" s="15" t="s">
        <v>9199</v>
      </c>
      <c r="AJ1605" s="15" t="s">
        <v>9143</v>
      </c>
      <c r="AK1605" s="15" t="s">
        <v>9221</v>
      </c>
      <c r="AL1605" s="15" t="s">
        <v>9199</v>
      </c>
      <c r="AM1605" s="16" t="s">
        <v>9221</v>
      </c>
      <c r="AN1605" s="16" t="s">
        <v>9238</v>
      </c>
    </row>
    <row r="1606" spans="1:40" x14ac:dyDescent="0.25">
      <c r="A1606" s="4" t="s">
        <v>5401</v>
      </c>
      <c r="B1606" s="4"/>
      <c r="C1606" s="4" t="s">
        <v>39</v>
      </c>
      <c r="D1606" s="4" t="s">
        <v>5358</v>
      </c>
      <c r="E1606" s="4" t="s">
        <v>5359</v>
      </c>
      <c r="F1606" s="10">
        <v>45239</v>
      </c>
      <c r="G1606" s="11">
        <v>0.53125</v>
      </c>
      <c r="H1606" s="4" t="s">
        <v>4910</v>
      </c>
      <c r="I1606" s="4" t="s">
        <v>5360</v>
      </c>
      <c r="J1606" s="4" t="s">
        <v>2062</v>
      </c>
      <c r="K1606" s="4" t="s">
        <v>5402</v>
      </c>
      <c r="L1606" s="4" t="s">
        <v>5403</v>
      </c>
      <c r="M1606" s="4" t="s">
        <v>46</v>
      </c>
      <c r="N1606" s="4"/>
      <c r="O1606" s="4" t="s">
        <v>47</v>
      </c>
      <c r="P1606" s="4" t="s">
        <v>48</v>
      </c>
      <c r="Q1606" s="4">
        <v>0</v>
      </c>
      <c r="R1606" s="4" t="b">
        <v>0</v>
      </c>
      <c r="S1606" s="4" t="s">
        <v>61</v>
      </c>
      <c r="T1606" s="4" t="s">
        <v>50</v>
      </c>
      <c r="U1606" s="4" t="s">
        <v>90</v>
      </c>
      <c r="V1606" s="4" t="s">
        <v>63</v>
      </c>
      <c r="W1606" s="4" t="s">
        <v>108</v>
      </c>
      <c r="X1606" s="4" t="s">
        <v>98</v>
      </c>
      <c r="Y1606" s="4"/>
      <c r="Z1606" s="12">
        <v>0</v>
      </c>
      <c r="AA1606" s="13" t="s">
        <v>9162</v>
      </c>
      <c r="AB1606" s="13" t="s">
        <v>9150</v>
      </c>
      <c r="AC1606" s="14" t="s">
        <v>9148</v>
      </c>
      <c r="AD1606" s="14" t="s">
        <v>9140</v>
      </c>
      <c r="AE1606" s="14" t="s">
        <v>9140</v>
      </c>
      <c r="AF1606" s="14" t="s">
        <v>63</v>
      </c>
      <c r="AG1606" s="14" t="s">
        <v>98</v>
      </c>
      <c r="AH1606" s="15" t="s">
        <v>9220</v>
      </c>
      <c r="AI1606" s="15" t="s">
        <v>9191</v>
      </c>
      <c r="AJ1606" s="15" t="s">
        <v>9143</v>
      </c>
      <c r="AK1606" s="15" t="s">
        <v>9221</v>
      </c>
      <c r="AL1606" s="15" t="s">
        <v>9234</v>
      </c>
      <c r="AM1606" s="16" t="s">
        <v>9221</v>
      </c>
      <c r="AN1606" s="16" t="s">
        <v>9235</v>
      </c>
    </row>
    <row r="1607" spans="1:40" x14ac:dyDescent="0.25">
      <c r="A1607" s="4" t="s">
        <v>7519</v>
      </c>
      <c r="B1607" s="4" t="s">
        <v>7520</v>
      </c>
      <c r="C1607" s="4" t="s">
        <v>39</v>
      </c>
      <c r="D1607" s="4" t="s">
        <v>7521</v>
      </c>
      <c r="E1607" s="4" t="s">
        <v>7522</v>
      </c>
      <c r="F1607" s="10">
        <v>45239</v>
      </c>
      <c r="G1607" s="11">
        <v>0.45833333333333331</v>
      </c>
      <c r="H1607" s="4" t="s">
        <v>4910</v>
      </c>
      <c r="I1607" s="4" t="s">
        <v>7457</v>
      </c>
      <c r="J1607" s="4" t="s">
        <v>2378</v>
      </c>
      <c r="K1607" s="4" t="s">
        <v>7523</v>
      </c>
      <c r="L1607" s="4" t="s">
        <v>7524</v>
      </c>
      <c r="M1607" s="4" t="s">
        <v>28</v>
      </c>
      <c r="N1607" s="4" t="s">
        <v>183</v>
      </c>
      <c r="O1607" s="4" t="s">
        <v>174</v>
      </c>
      <c r="P1607" s="4" t="s">
        <v>60</v>
      </c>
      <c r="Q1607" s="4">
        <v>56</v>
      </c>
      <c r="R1607" s="4" t="b">
        <v>0</v>
      </c>
      <c r="S1607" s="4" t="s">
        <v>184</v>
      </c>
      <c r="T1607" s="4" t="s">
        <v>479</v>
      </c>
      <c r="U1607" s="4" t="s">
        <v>373</v>
      </c>
      <c r="V1607" s="4" t="s">
        <v>52</v>
      </c>
      <c r="W1607" s="4" t="s">
        <v>53</v>
      </c>
      <c r="X1607" s="4" t="s">
        <v>98</v>
      </c>
      <c r="Y1607" s="4"/>
      <c r="Z1607" s="12" t="s">
        <v>60</v>
      </c>
      <c r="AA1607" s="13" t="s">
        <v>9162</v>
      </c>
      <c r="AB1607" s="13" t="s">
        <v>9150</v>
      </c>
      <c r="AC1607" s="14" t="s">
        <v>9166</v>
      </c>
      <c r="AD1607" s="14" t="s">
        <v>28</v>
      </c>
      <c r="AE1607" s="14" t="s">
        <v>183</v>
      </c>
      <c r="AF1607" s="14" t="s">
        <v>52</v>
      </c>
      <c r="AG1607" s="14" t="s">
        <v>98</v>
      </c>
      <c r="AH1607" s="15" t="s">
        <v>9220</v>
      </c>
      <c r="AI1607" s="15" t="s">
        <v>9191</v>
      </c>
      <c r="AJ1607" s="15" t="s">
        <v>9143</v>
      </c>
      <c r="AK1607" s="15" t="s">
        <v>9221</v>
      </c>
      <c r="AL1607" s="15" t="s">
        <v>9226</v>
      </c>
      <c r="AM1607" s="16" t="s">
        <v>9221</v>
      </c>
      <c r="AN1607" s="16" t="s">
        <v>9227</v>
      </c>
    </row>
    <row r="1608" spans="1:40" x14ac:dyDescent="0.25">
      <c r="A1608" s="4" t="s">
        <v>7977</v>
      </c>
      <c r="B1608" s="4">
        <v>6368518</v>
      </c>
      <c r="C1608" s="4" t="s">
        <v>488</v>
      </c>
      <c r="D1608" s="4" t="s">
        <v>7978</v>
      </c>
      <c r="E1608" s="4" t="s">
        <v>7979</v>
      </c>
      <c r="F1608" s="10">
        <v>45239</v>
      </c>
      <c r="G1608" s="11">
        <v>0.5</v>
      </c>
      <c r="H1608" s="4" t="s">
        <v>4516</v>
      </c>
      <c r="I1608" s="4" t="s">
        <v>7968</v>
      </c>
      <c r="J1608" s="4" t="s">
        <v>7969</v>
      </c>
      <c r="K1608" s="4" t="s">
        <v>7980</v>
      </c>
      <c r="L1608" s="4" t="s">
        <v>7981</v>
      </c>
      <c r="M1608" s="4" t="s">
        <v>28</v>
      </c>
      <c r="N1608" s="4" t="s">
        <v>183</v>
      </c>
      <c r="O1608" s="4" t="s">
        <v>344</v>
      </c>
      <c r="P1608" s="4" t="s">
        <v>48</v>
      </c>
      <c r="Q1608" s="4">
        <v>76</v>
      </c>
      <c r="R1608" s="4" t="b">
        <v>0</v>
      </c>
      <c r="S1608" s="4" t="s">
        <v>114</v>
      </c>
      <c r="T1608" s="4" t="s">
        <v>266</v>
      </c>
      <c r="U1608" s="4" t="s">
        <v>90</v>
      </c>
      <c r="V1608" s="4" t="s">
        <v>267</v>
      </c>
      <c r="W1608" s="4" t="s">
        <v>495</v>
      </c>
      <c r="X1608" s="4" t="s">
        <v>54</v>
      </c>
      <c r="Y1608" s="4"/>
      <c r="Z1608" s="12" t="s">
        <v>48</v>
      </c>
      <c r="AA1608" s="13" t="s">
        <v>9162</v>
      </c>
      <c r="AB1608" s="13" t="s">
        <v>9150</v>
      </c>
      <c r="AC1608" s="14" t="s">
        <v>9157</v>
      </c>
      <c r="AD1608" s="14" t="s">
        <v>28</v>
      </c>
      <c r="AE1608" s="14" t="s">
        <v>183</v>
      </c>
      <c r="AF1608" s="14" t="s">
        <v>267</v>
      </c>
      <c r="AG1608" s="14" t="s">
        <v>54</v>
      </c>
      <c r="AH1608" s="15" t="s">
        <v>9220</v>
      </c>
      <c r="AI1608" s="15" t="s">
        <v>9188</v>
      </c>
      <c r="AJ1608" s="15" t="s">
        <v>9143</v>
      </c>
      <c r="AK1608" s="15" t="s">
        <v>9221</v>
      </c>
      <c r="AL1608" s="15" t="s">
        <v>9236</v>
      </c>
      <c r="AM1608" s="16" t="s">
        <v>9221</v>
      </c>
      <c r="AN1608" s="16" t="s">
        <v>9237</v>
      </c>
    </row>
    <row r="1609" spans="1:40" x14ac:dyDescent="0.25">
      <c r="A1609" s="4" t="s">
        <v>7289</v>
      </c>
      <c r="B1609" s="4" t="s">
        <v>7290</v>
      </c>
      <c r="C1609" s="4" t="s">
        <v>39</v>
      </c>
      <c r="D1609" s="4" t="s">
        <v>7269</v>
      </c>
      <c r="E1609" s="4" t="s">
        <v>7270</v>
      </c>
      <c r="F1609" s="10">
        <v>45238</v>
      </c>
      <c r="G1609" s="11">
        <v>0.33958333333333335</v>
      </c>
      <c r="H1609" s="4" t="s">
        <v>5666</v>
      </c>
      <c r="I1609" s="4" t="s">
        <v>7264</v>
      </c>
      <c r="J1609" s="4" t="s">
        <v>7265</v>
      </c>
      <c r="K1609" s="4" t="s">
        <v>7277</v>
      </c>
      <c r="L1609" s="4" t="s">
        <v>7291</v>
      </c>
      <c r="M1609" s="4" t="s">
        <v>28</v>
      </c>
      <c r="N1609" s="4" t="s">
        <v>183</v>
      </c>
      <c r="O1609" s="4" t="s">
        <v>174</v>
      </c>
      <c r="P1609" s="4" t="s">
        <v>48</v>
      </c>
      <c r="Q1609" s="4">
        <v>16</v>
      </c>
      <c r="R1609" s="4" t="b">
        <v>0</v>
      </c>
      <c r="S1609" s="4" t="s">
        <v>184</v>
      </c>
      <c r="T1609" s="4" t="s">
        <v>70</v>
      </c>
      <c r="U1609" s="4" t="s">
        <v>71</v>
      </c>
      <c r="V1609" s="4" t="s">
        <v>63</v>
      </c>
      <c r="W1609" s="4" t="s">
        <v>198</v>
      </c>
      <c r="X1609" s="4" t="s">
        <v>54</v>
      </c>
      <c r="Y1609" s="4" t="s">
        <v>4246</v>
      </c>
      <c r="Z1609" s="12" t="s">
        <v>48</v>
      </c>
      <c r="AA1609" s="13" t="s">
        <v>9162</v>
      </c>
      <c r="AB1609" s="13" t="s">
        <v>9150</v>
      </c>
      <c r="AC1609" s="14" t="s">
        <v>9166</v>
      </c>
      <c r="AD1609" s="14" t="s">
        <v>28</v>
      </c>
      <c r="AE1609" s="14" t="s">
        <v>183</v>
      </c>
      <c r="AF1609" s="14" t="s">
        <v>63</v>
      </c>
      <c r="AG1609" s="14" t="s">
        <v>54</v>
      </c>
      <c r="AH1609" s="15" t="s">
        <v>9220</v>
      </c>
      <c r="AI1609" s="15" t="s">
        <v>9199</v>
      </c>
      <c r="AJ1609" s="15" t="s">
        <v>9143</v>
      </c>
      <c r="AK1609" s="15" t="s">
        <v>9221</v>
      </c>
      <c r="AL1609" s="15" t="s">
        <v>9199</v>
      </c>
      <c r="AM1609" s="16" t="s">
        <v>9221</v>
      </c>
      <c r="AN1609" s="16" t="s">
        <v>9238</v>
      </c>
    </row>
    <row r="1610" spans="1:40" x14ac:dyDescent="0.25">
      <c r="A1610" s="4" t="s">
        <v>2942</v>
      </c>
      <c r="B1610" s="4"/>
      <c r="C1610" s="4" t="s">
        <v>39</v>
      </c>
      <c r="D1610" s="4" t="s">
        <v>2943</v>
      </c>
      <c r="E1610" s="4" t="s">
        <v>2944</v>
      </c>
      <c r="F1610" s="10">
        <v>45238</v>
      </c>
      <c r="G1610" s="11">
        <v>0.52083333333333337</v>
      </c>
      <c r="H1610" s="4" t="s">
        <v>1992</v>
      </c>
      <c r="I1610" s="4" t="s">
        <v>2913</v>
      </c>
      <c r="J1610" s="4" t="s">
        <v>2914</v>
      </c>
      <c r="K1610" s="4" t="s">
        <v>2945</v>
      </c>
      <c r="L1610" s="4" t="s">
        <v>2946</v>
      </c>
      <c r="M1610" s="4" t="s">
        <v>46</v>
      </c>
      <c r="N1610" s="4"/>
      <c r="O1610" s="4" t="s">
        <v>47</v>
      </c>
      <c r="P1610" s="4" t="s">
        <v>48</v>
      </c>
      <c r="Q1610" s="4">
        <v>0</v>
      </c>
      <c r="R1610" s="4" t="b">
        <v>0</v>
      </c>
      <c r="S1610" s="4" t="s">
        <v>61</v>
      </c>
      <c r="T1610" s="4" t="s">
        <v>479</v>
      </c>
      <c r="U1610" s="4" t="s">
        <v>107</v>
      </c>
      <c r="V1610" s="4" t="s">
        <v>63</v>
      </c>
      <c r="W1610" s="4" t="s">
        <v>108</v>
      </c>
      <c r="X1610" s="4" t="s">
        <v>54</v>
      </c>
      <c r="Y1610" s="4"/>
      <c r="Z1610" s="12">
        <v>0</v>
      </c>
      <c r="AA1610" s="13" t="s">
        <v>9162</v>
      </c>
      <c r="AB1610" s="13" t="s">
        <v>9150</v>
      </c>
      <c r="AC1610" s="14" t="s">
        <v>9148</v>
      </c>
      <c r="AD1610" s="14" t="s">
        <v>9140</v>
      </c>
      <c r="AE1610" s="14" t="s">
        <v>9140</v>
      </c>
      <c r="AF1610" s="14" t="s">
        <v>63</v>
      </c>
      <c r="AG1610" s="14" t="s">
        <v>54</v>
      </c>
      <c r="AH1610" s="15" t="s">
        <v>9194</v>
      </c>
      <c r="AI1610" s="15" t="s">
        <v>9191</v>
      </c>
      <c r="AJ1610" s="15" t="s">
        <v>9143</v>
      </c>
      <c r="AK1610" s="15" t="s">
        <v>9194</v>
      </c>
      <c r="AL1610" s="15" t="s">
        <v>9201</v>
      </c>
      <c r="AM1610" s="16" t="s">
        <v>9194</v>
      </c>
      <c r="AN1610" s="16" t="s">
        <v>9202</v>
      </c>
    </row>
    <row r="1611" spans="1:40" x14ac:dyDescent="0.25">
      <c r="A1611" s="4" t="s">
        <v>2812</v>
      </c>
      <c r="B1611" s="4"/>
      <c r="C1611" s="4" t="s">
        <v>39</v>
      </c>
      <c r="D1611" s="4" t="s">
        <v>2813</v>
      </c>
      <c r="E1611" s="4" t="s">
        <v>2814</v>
      </c>
      <c r="F1611" s="10">
        <v>45237</v>
      </c>
      <c r="G1611" s="11">
        <v>0.41666666666666669</v>
      </c>
      <c r="H1611" s="4" t="s">
        <v>2095</v>
      </c>
      <c r="I1611" s="4" t="s">
        <v>2777</v>
      </c>
      <c r="J1611" s="4" t="s">
        <v>1406</v>
      </c>
      <c r="K1611" s="4" t="s">
        <v>2815</v>
      </c>
      <c r="L1611" s="4" t="s">
        <v>2816</v>
      </c>
      <c r="M1611" s="4" t="s">
        <v>46</v>
      </c>
      <c r="N1611" s="4"/>
      <c r="O1611" s="4" t="s">
        <v>47</v>
      </c>
      <c r="P1611" s="4" t="s">
        <v>48</v>
      </c>
      <c r="Q1611" s="4">
        <v>0</v>
      </c>
      <c r="R1611" s="4" t="b">
        <v>0</v>
      </c>
      <c r="S1611" s="4" t="s">
        <v>114</v>
      </c>
      <c r="T1611" s="4" t="s">
        <v>479</v>
      </c>
      <c r="U1611" s="4" t="s">
        <v>2817</v>
      </c>
      <c r="V1611" s="4" t="s">
        <v>52</v>
      </c>
      <c r="W1611" s="4" t="s">
        <v>53</v>
      </c>
      <c r="X1611" s="4" t="s">
        <v>54</v>
      </c>
      <c r="Y1611" s="4"/>
      <c r="Z1611" s="12">
        <v>0</v>
      </c>
      <c r="AA1611" s="13" t="s">
        <v>9162</v>
      </c>
      <c r="AB1611" s="13" t="s">
        <v>9150</v>
      </c>
      <c r="AC1611" s="14" t="s">
        <v>9157</v>
      </c>
      <c r="AD1611" s="14" t="s">
        <v>9140</v>
      </c>
      <c r="AE1611" s="14" t="s">
        <v>9140</v>
      </c>
      <c r="AF1611" s="14" t="s">
        <v>52</v>
      </c>
      <c r="AG1611" s="14" t="s">
        <v>54</v>
      </c>
      <c r="AH1611" s="15" t="s">
        <v>9194</v>
      </c>
      <c r="AI1611" s="15" t="s">
        <v>9188</v>
      </c>
      <c r="AJ1611" s="15" t="s">
        <v>9143</v>
      </c>
      <c r="AK1611" s="15" t="s">
        <v>9194</v>
      </c>
      <c r="AL1611" s="15" t="s">
        <v>9211</v>
      </c>
      <c r="AM1611" s="16" t="s">
        <v>9194</v>
      </c>
      <c r="AN1611" s="16" t="s">
        <v>9212</v>
      </c>
    </row>
    <row r="1612" spans="1:40" x14ac:dyDescent="0.25">
      <c r="A1612" s="4" t="s">
        <v>3372</v>
      </c>
      <c r="B1612" s="4"/>
      <c r="C1612" s="4" t="s">
        <v>39</v>
      </c>
      <c r="D1612" s="4" t="s">
        <v>3364</v>
      </c>
      <c r="E1612" s="4" t="s">
        <v>3365</v>
      </c>
      <c r="F1612" s="10">
        <v>45237</v>
      </c>
      <c r="G1612" s="11">
        <v>0.36805555555555558</v>
      </c>
      <c r="H1612" s="4" t="s">
        <v>1992</v>
      </c>
      <c r="I1612" s="4" t="s">
        <v>3353</v>
      </c>
      <c r="J1612" s="4" t="s">
        <v>3354</v>
      </c>
      <c r="K1612" s="4" t="s">
        <v>3373</v>
      </c>
      <c r="L1612" s="4" t="s">
        <v>3374</v>
      </c>
      <c r="M1612" s="4" t="s">
        <v>46</v>
      </c>
      <c r="N1612" s="4"/>
      <c r="O1612" s="4" t="s">
        <v>47</v>
      </c>
      <c r="P1612" s="4" t="s">
        <v>48</v>
      </c>
      <c r="Q1612" s="4">
        <v>0</v>
      </c>
      <c r="R1612" s="4" t="b">
        <v>0</v>
      </c>
      <c r="S1612" s="4" t="s">
        <v>114</v>
      </c>
      <c r="T1612" s="4" t="s">
        <v>70</v>
      </c>
      <c r="U1612" s="4" t="s">
        <v>618</v>
      </c>
      <c r="V1612" s="4" t="s">
        <v>63</v>
      </c>
      <c r="W1612" s="4" t="s">
        <v>198</v>
      </c>
      <c r="X1612" s="4" t="s">
        <v>54</v>
      </c>
      <c r="Y1612" s="4"/>
      <c r="Z1612" s="12">
        <v>0</v>
      </c>
      <c r="AA1612" s="13" t="s">
        <v>9162</v>
      </c>
      <c r="AB1612" s="13" t="s">
        <v>9150</v>
      </c>
      <c r="AC1612" s="14" t="s">
        <v>9157</v>
      </c>
      <c r="AD1612" s="14" t="s">
        <v>9140</v>
      </c>
      <c r="AE1612" s="14" t="s">
        <v>9140</v>
      </c>
      <c r="AF1612" s="14" t="s">
        <v>63</v>
      </c>
      <c r="AG1612" s="14" t="s">
        <v>54</v>
      </c>
      <c r="AH1612" s="15" t="s">
        <v>9194</v>
      </c>
      <c r="AI1612" s="15" t="s">
        <v>9191</v>
      </c>
      <c r="AJ1612" s="15" t="s">
        <v>9143</v>
      </c>
      <c r="AK1612" s="15" t="s">
        <v>9194</v>
      </c>
      <c r="AL1612" s="15" t="s">
        <v>9205</v>
      </c>
      <c r="AM1612" s="16" t="s">
        <v>9194</v>
      </c>
      <c r="AN1612" s="16" t="s">
        <v>9206</v>
      </c>
    </row>
    <row r="1613" spans="1:40" x14ac:dyDescent="0.25">
      <c r="A1613" s="4" t="s">
        <v>359</v>
      </c>
      <c r="B1613" s="4"/>
      <c r="C1613" s="4" t="s">
        <v>39</v>
      </c>
      <c r="D1613" s="4" t="s">
        <v>220</v>
      </c>
      <c r="E1613" s="4" t="s">
        <v>221</v>
      </c>
      <c r="F1613" s="10">
        <v>45236</v>
      </c>
      <c r="G1613" s="11">
        <v>0.6875</v>
      </c>
      <c r="H1613" s="4" t="s">
        <v>42</v>
      </c>
      <c r="I1613" s="4">
        <v>1011</v>
      </c>
      <c r="J1613" s="4" t="s">
        <v>215</v>
      </c>
      <c r="K1613" s="4" t="s">
        <v>360</v>
      </c>
      <c r="L1613" s="4" t="s">
        <v>361</v>
      </c>
      <c r="M1613" s="4" t="s">
        <v>46</v>
      </c>
      <c r="N1613" s="4"/>
      <c r="O1613" s="4" t="s">
        <v>47</v>
      </c>
      <c r="P1613" s="4" t="s">
        <v>48</v>
      </c>
      <c r="Q1613" s="4">
        <v>0</v>
      </c>
      <c r="R1613" s="4" t="b">
        <v>0</v>
      </c>
      <c r="S1613" s="4" t="s">
        <v>49</v>
      </c>
      <c r="T1613" s="4" t="s">
        <v>89</v>
      </c>
      <c r="U1613" s="4" t="s">
        <v>71</v>
      </c>
      <c r="V1613" s="4" t="s">
        <v>52</v>
      </c>
      <c r="W1613" s="4" t="s">
        <v>53</v>
      </c>
      <c r="X1613" s="4" t="s">
        <v>54</v>
      </c>
      <c r="Y1613" s="4"/>
      <c r="Z1613" s="12">
        <v>0</v>
      </c>
      <c r="AA1613" s="13" t="s">
        <v>9162</v>
      </c>
      <c r="AB1613" s="13" t="s">
        <v>9150</v>
      </c>
      <c r="AC1613" s="14" t="s">
        <v>9139</v>
      </c>
      <c r="AD1613" s="14" t="s">
        <v>9140</v>
      </c>
      <c r="AE1613" s="14" t="s">
        <v>9140</v>
      </c>
      <c r="AF1613" s="14" t="s">
        <v>52</v>
      </c>
      <c r="AG1613" s="14" t="s">
        <v>54</v>
      </c>
      <c r="AH1613" s="15" t="s">
        <v>9141</v>
      </c>
      <c r="AI1613" s="15" t="s">
        <v>9142</v>
      </c>
      <c r="AJ1613" s="15" t="s">
        <v>9143</v>
      </c>
      <c r="AK1613" s="15" t="s">
        <v>9141</v>
      </c>
      <c r="AL1613" s="15" t="s">
        <v>9144</v>
      </c>
      <c r="AM1613" s="16" t="s">
        <v>9141</v>
      </c>
      <c r="AN1613" s="16" t="s">
        <v>9145</v>
      </c>
    </row>
    <row r="1614" spans="1:40" x14ac:dyDescent="0.25">
      <c r="A1614" s="4" t="s">
        <v>1029</v>
      </c>
      <c r="B1614" s="4"/>
      <c r="C1614" s="4" t="s">
        <v>39</v>
      </c>
      <c r="D1614" s="4" t="s">
        <v>1030</v>
      </c>
      <c r="E1614" s="4" t="s">
        <v>1031</v>
      </c>
      <c r="F1614" s="10">
        <v>45235</v>
      </c>
      <c r="G1614" s="11">
        <v>0.52777777777777779</v>
      </c>
      <c r="H1614" s="4" t="s">
        <v>463</v>
      </c>
      <c r="I1614" s="4">
        <v>2042</v>
      </c>
      <c r="J1614" s="4" t="s">
        <v>1015</v>
      </c>
      <c r="K1614" s="4" t="s">
        <v>1032</v>
      </c>
      <c r="L1614" s="4" t="s">
        <v>1033</v>
      </c>
      <c r="M1614" s="4" t="s">
        <v>46</v>
      </c>
      <c r="N1614" s="4"/>
      <c r="O1614" s="4" t="s">
        <v>174</v>
      </c>
      <c r="P1614" s="4" t="s">
        <v>48</v>
      </c>
      <c r="Q1614" s="4">
        <v>0</v>
      </c>
      <c r="R1614" s="4" t="b">
        <v>0</v>
      </c>
      <c r="S1614" s="4" t="s">
        <v>114</v>
      </c>
      <c r="T1614" s="4" t="s">
        <v>70</v>
      </c>
      <c r="U1614" s="4" t="s">
        <v>71</v>
      </c>
      <c r="V1614" s="4" t="s">
        <v>72</v>
      </c>
      <c r="W1614" s="4" t="s">
        <v>73</v>
      </c>
      <c r="X1614" s="4" t="s">
        <v>54</v>
      </c>
      <c r="Y1614" s="4"/>
      <c r="Z1614" s="12">
        <v>0</v>
      </c>
      <c r="AA1614" s="13" t="s">
        <v>9162</v>
      </c>
      <c r="AB1614" s="13" t="s">
        <v>9150</v>
      </c>
      <c r="AC1614" s="14" t="s">
        <v>9157</v>
      </c>
      <c r="AD1614" s="14" t="s">
        <v>9140</v>
      </c>
      <c r="AE1614" s="14" t="s">
        <v>9140</v>
      </c>
      <c r="AF1614" s="14" t="s">
        <v>72</v>
      </c>
      <c r="AG1614" s="14" t="s">
        <v>54</v>
      </c>
      <c r="AH1614" s="15" t="s">
        <v>9141</v>
      </c>
      <c r="AI1614" s="15" t="s">
        <v>9175</v>
      </c>
      <c r="AJ1614" s="15" t="s">
        <v>9143</v>
      </c>
      <c r="AK1614" s="15" t="s">
        <v>9141</v>
      </c>
      <c r="AL1614" s="15" t="s">
        <v>9175</v>
      </c>
      <c r="AM1614" s="16" t="s">
        <v>9141</v>
      </c>
      <c r="AN1614" s="16" t="s">
        <v>9176</v>
      </c>
    </row>
    <row r="1615" spans="1:40" x14ac:dyDescent="0.25">
      <c r="A1615" s="4" t="s">
        <v>3494</v>
      </c>
      <c r="B1615" s="4"/>
      <c r="C1615" s="4" t="s">
        <v>39</v>
      </c>
      <c r="D1615" s="4" t="s">
        <v>3495</v>
      </c>
      <c r="E1615" s="4" t="s">
        <v>3496</v>
      </c>
      <c r="F1615" s="10">
        <v>45235</v>
      </c>
      <c r="G1615" s="11">
        <v>0.51736111111111116</v>
      </c>
      <c r="H1615" s="4" t="s">
        <v>1992</v>
      </c>
      <c r="I1615" s="4" t="s">
        <v>3486</v>
      </c>
      <c r="J1615" s="4" t="s">
        <v>1719</v>
      </c>
      <c r="K1615" s="4" t="s">
        <v>3497</v>
      </c>
      <c r="L1615" s="4" t="s">
        <v>3498</v>
      </c>
      <c r="M1615" s="4" t="s">
        <v>28</v>
      </c>
      <c r="N1615" s="4" t="s">
        <v>183</v>
      </c>
      <c r="O1615" s="4" t="s">
        <v>174</v>
      </c>
      <c r="P1615" s="4" t="s">
        <v>48</v>
      </c>
      <c r="Q1615" s="4">
        <v>7</v>
      </c>
      <c r="R1615" s="4" t="b">
        <v>0</v>
      </c>
      <c r="S1615" s="4" t="s">
        <v>184</v>
      </c>
      <c r="T1615" s="4" t="s">
        <v>479</v>
      </c>
      <c r="U1615" s="4" t="s">
        <v>51</v>
      </c>
      <c r="V1615" s="4" t="s">
        <v>63</v>
      </c>
      <c r="W1615" s="4" t="s">
        <v>108</v>
      </c>
      <c r="X1615" s="4" t="s">
        <v>54</v>
      </c>
      <c r="Y1615" s="4"/>
      <c r="Z1615" s="12" t="s">
        <v>48</v>
      </c>
      <c r="AA1615" s="13" t="s">
        <v>9162</v>
      </c>
      <c r="AB1615" s="13" t="s">
        <v>9150</v>
      </c>
      <c r="AC1615" s="14" t="s">
        <v>9166</v>
      </c>
      <c r="AD1615" s="14" t="s">
        <v>28</v>
      </c>
      <c r="AE1615" s="14" t="s">
        <v>183</v>
      </c>
      <c r="AF1615" s="14" t="s">
        <v>63</v>
      </c>
      <c r="AG1615" s="14" t="s">
        <v>54</v>
      </c>
      <c r="AH1615" s="15" t="s">
        <v>9194</v>
      </c>
      <c r="AI1615" s="15" t="s">
        <v>9191</v>
      </c>
      <c r="AJ1615" s="15" t="s">
        <v>9143</v>
      </c>
      <c r="AK1615" s="15" t="s">
        <v>9194</v>
      </c>
      <c r="AL1615" s="15" t="s">
        <v>9201</v>
      </c>
      <c r="AM1615" s="16" t="s">
        <v>9194</v>
      </c>
      <c r="AN1615" s="16" t="s">
        <v>9202</v>
      </c>
    </row>
    <row r="1616" spans="1:40" x14ac:dyDescent="0.25">
      <c r="A1616" s="4" t="s">
        <v>2126</v>
      </c>
      <c r="B1616" s="4"/>
      <c r="C1616" s="4" t="s">
        <v>39</v>
      </c>
      <c r="D1616" s="4" t="s">
        <v>2127</v>
      </c>
      <c r="E1616" s="4" t="s">
        <v>2128</v>
      </c>
      <c r="F1616" s="10">
        <v>45235</v>
      </c>
      <c r="G1616" s="11">
        <v>0.48958333333333331</v>
      </c>
      <c r="H1616" s="4" t="s">
        <v>2095</v>
      </c>
      <c r="I1616" s="4" t="s">
        <v>2096</v>
      </c>
      <c r="J1616" s="4" t="s">
        <v>2097</v>
      </c>
      <c r="K1616" s="4" t="s">
        <v>2129</v>
      </c>
      <c r="L1616" s="4" t="s">
        <v>2130</v>
      </c>
      <c r="M1616" s="4" t="s">
        <v>46</v>
      </c>
      <c r="N1616" s="4"/>
      <c r="O1616" s="4" t="s">
        <v>47</v>
      </c>
      <c r="P1616" s="4" t="s">
        <v>48</v>
      </c>
      <c r="Q1616" s="4">
        <v>0</v>
      </c>
      <c r="R1616" s="4" t="b">
        <v>0</v>
      </c>
      <c r="S1616" s="4" t="s">
        <v>49</v>
      </c>
      <c r="T1616" s="4" t="s">
        <v>89</v>
      </c>
      <c r="U1616" s="4" t="s">
        <v>107</v>
      </c>
      <c r="V1616" s="4" t="s">
        <v>63</v>
      </c>
      <c r="W1616" s="4" t="s">
        <v>108</v>
      </c>
      <c r="X1616" s="4" t="s">
        <v>98</v>
      </c>
      <c r="Y1616" s="4" t="s">
        <v>176</v>
      </c>
      <c r="Z1616" s="12">
        <v>0</v>
      </c>
      <c r="AA1616" s="13" t="s">
        <v>9162</v>
      </c>
      <c r="AB1616" s="13" t="s">
        <v>9150</v>
      </c>
      <c r="AC1616" s="14" t="s">
        <v>9139</v>
      </c>
      <c r="AD1616" s="14" t="s">
        <v>9140</v>
      </c>
      <c r="AE1616" s="14" t="s">
        <v>9140</v>
      </c>
      <c r="AF1616" s="14" t="s">
        <v>63</v>
      </c>
      <c r="AG1616" s="14" t="s">
        <v>98</v>
      </c>
      <c r="AH1616" s="15" t="s">
        <v>9194</v>
      </c>
      <c r="AI1616" s="15" t="s">
        <v>9188</v>
      </c>
      <c r="AJ1616" s="15" t="s">
        <v>9143</v>
      </c>
      <c r="AK1616" s="15" t="s">
        <v>9194</v>
      </c>
      <c r="AL1616" s="15" t="s">
        <v>9203</v>
      </c>
      <c r="AM1616" s="16" t="s">
        <v>9194</v>
      </c>
      <c r="AN1616" s="16" t="s">
        <v>9204</v>
      </c>
    </row>
    <row r="1617" spans="1:40" x14ac:dyDescent="0.25">
      <c r="A1617" s="4" t="s">
        <v>4755</v>
      </c>
      <c r="B1617" s="4"/>
      <c r="C1617" s="4" t="s">
        <v>39</v>
      </c>
      <c r="D1617" s="4" t="s">
        <v>4756</v>
      </c>
      <c r="E1617" s="4" t="s">
        <v>4757</v>
      </c>
      <c r="F1617" s="10">
        <v>45235</v>
      </c>
      <c r="G1617" s="11">
        <v>0.45833333333333331</v>
      </c>
      <c r="H1617" s="4" t="s">
        <v>4019</v>
      </c>
      <c r="I1617" s="4" t="s">
        <v>4713</v>
      </c>
      <c r="J1617" s="4" t="s">
        <v>4714</v>
      </c>
      <c r="K1617" s="4" t="s">
        <v>80</v>
      </c>
      <c r="L1617" s="4" t="s">
        <v>4758</v>
      </c>
      <c r="M1617" s="4" t="s">
        <v>46</v>
      </c>
      <c r="N1617" s="4"/>
      <c r="O1617" s="4" t="s">
        <v>47</v>
      </c>
      <c r="P1617" s="4" t="s">
        <v>48</v>
      </c>
      <c r="Q1617" s="4">
        <v>0</v>
      </c>
      <c r="R1617" s="4" t="b">
        <v>0</v>
      </c>
      <c r="S1617" s="4" t="s">
        <v>61</v>
      </c>
      <c r="T1617" s="4" t="s">
        <v>70</v>
      </c>
      <c r="U1617" s="4" t="s">
        <v>80</v>
      </c>
      <c r="V1617" s="4" t="s">
        <v>63</v>
      </c>
      <c r="W1617" s="4" t="s">
        <v>108</v>
      </c>
      <c r="X1617" s="4" t="s">
        <v>54</v>
      </c>
      <c r="Y1617" s="4"/>
      <c r="Z1617" s="12">
        <v>0</v>
      </c>
      <c r="AA1617" s="13" t="s">
        <v>9162</v>
      </c>
      <c r="AB1617" s="13" t="s">
        <v>9150</v>
      </c>
      <c r="AC1617" s="14" t="s">
        <v>9148</v>
      </c>
      <c r="AD1617" s="14" t="s">
        <v>9140</v>
      </c>
      <c r="AE1617" s="14" t="s">
        <v>9140</v>
      </c>
      <c r="AF1617" s="14" t="s">
        <v>63</v>
      </c>
      <c r="AG1617" s="14" t="s">
        <v>54</v>
      </c>
      <c r="AH1617" s="15" t="s">
        <v>9220</v>
      </c>
      <c r="AI1617" s="15" t="s">
        <v>9175</v>
      </c>
      <c r="AJ1617" s="15" t="s">
        <v>9143</v>
      </c>
      <c r="AK1617" s="15" t="s">
        <v>9221</v>
      </c>
      <c r="AL1617" s="15" t="s">
        <v>9224</v>
      </c>
      <c r="AM1617" s="16" t="s">
        <v>9221</v>
      </c>
      <c r="AN1617" s="16" t="s">
        <v>9225</v>
      </c>
    </row>
    <row r="1618" spans="1:40" x14ac:dyDescent="0.25">
      <c r="A1618" s="4" t="s">
        <v>9097</v>
      </c>
      <c r="B1618" s="4"/>
      <c r="C1618" s="4" t="s">
        <v>39</v>
      </c>
      <c r="D1618" s="4" t="s">
        <v>9098</v>
      </c>
      <c r="E1618" s="4" t="s">
        <v>9099</v>
      </c>
      <c r="F1618" s="10">
        <v>45234</v>
      </c>
      <c r="G1618" s="11">
        <v>0.41388888888888886</v>
      </c>
      <c r="H1618" s="4" t="s">
        <v>4019</v>
      </c>
      <c r="I1618" s="4" t="s">
        <v>8971</v>
      </c>
      <c r="J1618" s="4" t="s">
        <v>8972</v>
      </c>
      <c r="K1618" s="4" t="s">
        <v>9100</v>
      </c>
      <c r="L1618" s="4" t="s">
        <v>9101</v>
      </c>
      <c r="M1618" s="4" t="s">
        <v>46</v>
      </c>
      <c r="N1618" s="4"/>
      <c r="O1618" s="4" t="s">
        <v>47</v>
      </c>
      <c r="P1618" s="4" t="s">
        <v>48</v>
      </c>
      <c r="Q1618" s="4">
        <v>0</v>
      </c>
      <c r="R1618" s="4" t="b">
        <v>0</v>
      </c>
      <c r="S1618" s="4" t="s">
        <v>49</v>
      </c>
      <c r="T1618" s="4" t="s">
        <v>70</v>
      </c>
      <c r="U1618" s="4" t="s">
        <v>71</v>
      </c>
      <c r="V1618" s="4" t="s">
        <v>72</v>
      </c>
      <c r="W1618" s="4" t="s">
        <v>73</v>
      </c>
      <c r="X1618" s="4" t="s">
        <v>98</v>
      </c>
      <c r="Y1618" s="4"/>
      <c r="Z1618" s="12">
        <v>0</v>
      </c>
      <c r="AA1618" s="13" t="s">
        <v>9162</v>
      </c>
      <c r="AB1618" s="13" t="s">
        <v>9150</v>
      </c>
      <c r="AC1618" s="14" t="s">
        <v>9139</v>
      </c>
      <c r="AD1618" s="14" t="s">
        <v>9140</v>
      </c>
      <c r="AE1618" s="14" t="s">
        <v>9140</v>
      </c>
      <c r="AF1618" s="14" t="s">
        <v>72</v>
      </c>
      <c r="AG1618" s="14" t="s">
        <v>98</v>
      </c>
      <c r="AH1618" s="15" t="s">
        <v>9220</v>
      </c>
      <c r="AI1618" s="15" t="s">
        <v>9175</v>
      </c>
      <c r="AJ1618" s="15" t="s">
        <v>9181</v>
      </c>
      <c r="AK1618" s="15" t="s">
        <v>9182</v>
      </c>
      <c r="AL1618" s="15" t="s">
        <v>9182</v>
      </c>
      <c r="AM1618" s="16" t="s">
        <v>9182</v>
      </c>
      <c r="AN1618" s="16" t="s">
        <v>9182</v>
      </c>
    </row>
    <row r="1619" spans="1:40" x14ac:dyDescent="0.25">
      <c r="A1619" s="4" t="s">
        <v>6957</v>
      </c>
      <c r="B1619" s="4"/>
      <c r="C1619" s="4" t="s">
        <v>39</v>
      </c>
      <c r="D1619" s="4" t="s">
        <v>6958</v>
      </c>
      <c r="E1619" s="4" t="s">
        <v>6959</v>
      </c>
      <c r="F1619" s="10">
        <v>45233</v>
      </c>
      <c r="G1619" s="11">
        <v>0.51041666666666663</v>
      </c>
      <c r="H1619" s="4" t="s">
        <v>4019</v>
      </c>
      <c r="I1619" s="4" t="s">
        <v>6911</v>
      </c>
      <c r="J1619" s="4" t="s">
        <v>6912</v>
      </c>
      <c r="K1619" s="4" t="s">
        <v>6960</v>
      </c>
      <c r="L1619" s="4" t="s">
        <v>6961</v>
      </c>
      <c r="M1619" s="4" t="s">
        <v>46</v>
      </c>
      <c r="N1619" s="4"/>
      <c r="O1619" s="4" t="s">
        <v>47</v>
      </c>
      <c r="P1619" s="4" t="s">
        <v>48</v>
      </c>
      <c r="Q1619" s="4">
        <v>0</v>
      </c>
      <c r="R1619" s="4" t="b">
        <v>0</v>
      </c>
      <c r="S1619" s="4" t="s">
        <v>114</v>
      </c>
      <c r="T1619" s="4" t="s">
        <v>89</v>
      </c>
      <c r="U1619" s="4" t="s">
        <v>887</v>
      </c>
      <c r="V1619" s="4" t="s">
        <v>52</v>
      </c>
      <c r="W1619" s="4" t="s">
        <v>255</v>
      </c>
      <c r="X1619" s="4" t="s">
        <v>54</v>
      </c>
      <c r="Y1619" s="4"/>
      <c r="Z1619" s="12">
        <v>0</v>
      </c>
      <c r="AA1619" s="13" t="s">
        <v>9162</v>
      </c>
      <c r="AB1619" s="13" t="s">
        <v>9150</v>
      </c>
      <c r="AC1619" s="14" t="s">
        <v>9157</v>
      </c>
      <c r="AD1619" s="14" t="s">
        <v>9140</v>
      </c>
      <c r="AE1619" s="14" t="s">
        <v>9140</v>
      </c>
      <c r="AF1619" s="14" t="s">
        <v>52</v>
      </c>
      <c r="AG1619" s="14" t="s">
        <v>54</v>
      </c>
      <c r="AH1619" s="15" t="s">
        <v>9220</v>
      </c>
      <c r="AI1619" s="15" t="s">
        <v>9175</v>
      </c>
      <c r="AJ1619" s="15" t="s">
        <v>9143</v>
      </c>
      <c r="AK1619" s="15" t="s">
        <v>9221</v>
      </c>
      <c r="AL1619" s="15" t="s">
        <v>9224</v>
      </c>
      <c r="AM1619" s="16" t="s">
        <v>9221</v>
      </c>
      <c r="AN1619" s="16" t="s">
        <v>9225</v>
      </c>
    </row>
    <row r="1620" spans="1:40" x14ac:dyDescent="0.25">
      <c r="A1620" s="4" t="s">
        <v>8483</v>
      </c>
      <c r="B1620" s="4"/>
      <c r="C1620" s="4" t="s">
        <v>39</v>
      </c>
      <c r="D1620" s="4" t="s">
        <v>8484</v>
      </c>
      <c r="E1620" s="4" t="s">
        <v>8485</v>
      </c>
      <c r="F1620" s="10">
        <v>45233</v>
      </c>
      <c r="G1620" s="11">
        <v>0.4597222222222222</v>
      </c>
      <c r="H1620" s="4" t="s">
        <v>8476</v>
      </c>
      <c r="I1620" s="4" t="s">
        <v>8477</v>
      </c>
      <c r="J1620" s="4" t="s">
        <v>8478</v>
      </c>
      <c r="K1620" s="4" t="s">
        <v>1775</v>
      </c>
      <c r="L1620" s="4" t="s">
        <v>8486</v>
      </c>
      <c r="M1620" s="4" t="s">
        <v>46</v>
      </c>
      <c r="N1620" s="4"/>
      <c r="O1620" s="4" t="s">
        <v>47</v>
      </c>
      <c r="P1620" s="4" t="s">
        <v>48</v>
      </c>
      <c r="Q1620" s="4">
        <v>0</v>
      </c>
      <c r="R1620" s="4" t="b">
        <v>0</v>
      </c>
      <c r="S1620" s="4" t="s">
        <v>61</v>
      </c>
      <c r="T1620" s="4" t="s">
        <v>89</v>
      </c>
      <c r="U1620" s="4" t="s">
        <v>71</v>
      </c>
      <c r="V1620" s="4" t="s">
        <v>63</v>
      </c>
      <c r="W1620" s="4" t="s">
        <v>108</v>
      </c>
      <c r="X1620" s="4" t="s">
        <v>98</v>
      </c>
      <c r="Y1620" s="4"/>
      <c r="Z1620" s="12">
        <v>0</v>
      </c>
      <c r="AA1620" s="13" t="s">
        <v>9162</v>
      </c>
      <c r="AB1620" s="13" t="s">
        <v>9150</v>
      </c>
      <c r="AC1620" s="14" t="s">
        <v>9148</v>
      </c>
      <c r="AD1620" s="14" t="s">
        <v>9140</v>
      </c>
      <c r="AE1620" s="14" t="s">
        <v>9140</v>
      </c>
      <c r="AF1620" s="14" t="s">
        <v>63</v>
      </c>
      <c r="AG1620" s="14" t="s">
        <v>98</v>
      </c>
      <c r="AH1620" s="15" t="s">
        <v>9220</v>
      </c>
      <c r="AI1620" s="15" t="s">
        <v>9193</v>
      </c>
      <c r="AJ1620" s="15" t="s">
        <v>9143</v>
      </c>
      <c r="AK1620" s="15" t="s">
        <v>9221</v>
      </c>
      <c r="AL1620" s="15" t="s">
        <v>9230</v>
      </c>
      <c r="AM1620" s="16" t="s">
        <v>9221</v>
      </c>
      <c r="AN1620" s="16" t="s">
        <v>9231</v>
      </c>
    </row>
    <row r="1621" spans="1:40" x14ac:dyDescent="0.25">
      <c r="A1621" s="4" t="s">
        <v>5191</v>
      </c>
      <c r="B1621" s="4"/>
      <c r="C1621" s="4" t="s">
        <v>39</v>
      </c>
      <c r="D1621" s="4" t="s">
        <v>5192</v>
      </c>
      <c r="E1621" s="4" t="s">
        <v>5193</v>
      </c>
      <c r="F1621" s="10">
        <v>45233</v>
      </c>
      <c r="G1621" s="11">
        <v>0.71180555555555558</v>
      </c>
      <c r="H1621" s="4" t="s">
        <v>4910</v>
      </c>
      <c r="I1621" s="4" t="s">
        <v>5121</v>
      </c>
      <c r="J1621" s="4" t="s">
        <v>1994</v>
      </c>
      <c r="K1621" s="4" t="s">
        <v>5194</v>
      </c>
      <c r="L1621" s="4" t="s">
        <v>5195</v>
      </c>
      <c r="M1621" s="4" t="s">
        <v>46</v>
      </c>
      <c r="N1621" s="4"/>
      <c r="O1621" s="4" t="s">
        <v>47</v>
      </c>
      <c r="P1621" s="4" t="s">
        <v>48</v>
      </c>
      <c r="Q1621" s="4">
        <v>0</v>
      </c>
      <c r="R1621" s="4" t="b">
        <v>0</v>
      </c>
      <c r="S1621" s="4" t="s">
        <v>49</v>
      </c>
      <c r="T1621" s="4" t="s">
        <v>1495</v>
      </c>
      <c r="U1621" s="4" t="s">
        <v>80</v>
      </c>
      <c r="V1621" s="4" t="s">
        <v>81</v>
      </c>
      <c r="W1621" s="4" t="s">
        <v>82</v>
      </c>
      <c r="X1621" s="4" t="s">
        <v>3010</v>
      </c>
      <c r="Y1621" s="4"/>
      <c r="Z1621" s="12">
        <v>0</v>
      </c>
      <c r="AA1621" s="13" t="s">
        <v>9162</v>
      </c>
      <c r="AB1621" s="13" t="s">
        <v>9150</v>
      </c>
      <c r="AC1621" s="14" t="s">
        <v>9139</v>
      </c>
      <c r="AD1621" s="14" t="s">
        <v>9140</v>
      </c>
      <c r="AE1621" s="14" t="s">
        <v>9140</v>
      </c>
      <c r="AF1621" s="14" t="s">
        <v>81</v>
      </c>
      <c r="AG1621" s="14" t="s">
        <v>3010</v>
      </c>
      <c r="AH1621" s="15" t="s">
        <v>9220</v>
      </c>
      <c r="AI1621" s="15" t="s">
        <v>9191</v>
      </c>
      <c r="AJ1621" s="15" t="s">
        <v>9143</v>
      </c>
      <c r="AK1621" s="15" t="s">
        <v>9221</v>
      </c>
      <c r="AL1621" s="15" t="s">
        <v>9236</v>
      </c>
      <c r="AM1621" s="16" t="s">
        <v>9221</v>
      </c>
      <c r="AN1621" s="16" t="s">
        <v>9237</v>
      </c>
    </row>
    <row r="1622" spans="1:40" x14ac:dyDescent="0.25">
      <c r="A1622" s="4" t="s">
        <v>1262</v>
      </c>
      <c r="B1622" s="4"/>
      <c r="C1622" s="4" t="s">
        <v>39</v>
      </c>
      <c r="D1622" s="4" t="s">
        <v>1198</v>
      </c>
      <c r="E1622" s="4" t="s">
        <v>1199</v>
      </c>
      <c r="F1622" s="10">
        <v>45233</v>
      </c>
      <c r="G1622" s="11">
        <v>0.68055555555555558</v>
      </c>
      <c r="H1622" s="4" t="s">
        <v>1155</v>
      </c>
      <c r="I1622" s="4">
        <v>4043</v>
      </c>
      <c r="J1622" s="4" t="s">
        <v>1200</v>
      </c>
      <c r="K1622" s="4" t="s">
        <v>1263</v>
      </c>
      <c r="L1622" s="4" t="s">
        <v>1264</v>
      </c>
      <c r="M1622" s="4" t="s">
        <v>46</v>
      </c>
      <c r="N1622" s="4"/>
      <c r="O1622" s="4" t="s">
        <v>47</v>
      </c>
      <c r="P1622" s="4" t="s">
        <v>48</v>
      </c>
      <c r="Q1622" s="4">
        <v>0</v>
      </c>
      <c r="R1622" s="4" t="b">
        <v>0</v>
      </c>
      <c r="S1622" s="4" t="s">
        <v>49</v>
      </c>
      <c r="T1622" s="4" t="s">
        <v>70</v>
      </c>
      <c r="U1622" s="4" t="s">
        <v>80</v>
      </c>
      <c r="V1622" s="4" t="s">
        <v>63</v>
      </c>
      <c r="W1622" s="4" t="s">
        <v>108</v>
      </c>
      <c r="X1622" s="4" t="s">
        <v>98</v>
      </c>
      <c r="Y1622" s="4"/>
      <c r="Z1622" s="12">
        <v>0</v>
      </c>
      <c r="AA1622" s="13" t="s">
        <v>9162</v>
      </c>
      <c r="AB1622" s="13" t="s">
        <v>9150</v>
      </c>
      <c r="AC1622" s="14" t="s">
        <v>9139</v>
      </c>
      <c r="AD1622" s="14" t="s">
        <v>9140</v>
      </c>
      <c r="AE1622" s="14" t="s">
        <v>9140</v>
      </c>
      <c r="AF1622" s="14" t="s">
        <v>63</v>
      </c>
      <c r="AG1622" s="14" t="s">
        <v>98</v>
      </c>
      <c r="AH1622" s="15" t="s">
        <v>9141</v>
      </c>
      <c r="AI1622" s="15" t="s">
        <v>9187</v>
      </c>
      <c r="AJ1622" s="15" t="s">
        <v>9143</v>
      </c>
      <c r="AK1622" s="15" t="s">
        <v>9141</v>
      </c>
      <c r="AL1622" s="15" t="s">
        <v>9144</v>
      </c>
      <c r="AM1622" s="16" t="s">
        <v>9141</v>
      </c>
      <c r="AN1622" s="16" t="s">
        <v>9145</v>
      </c>
    </row>
    <row r="1623" spans="1:40" x14ac:dyDescent="0.25">
      <c r="A1623" s="4" t="s">
        <v>8443</v>
      </c>
      <c r="B1623" s="4"/>
      <c r="C1623" s="4" t="s">
        <v>39</v>
      </c>
      <c r="D1623" s="4" t="s">
        <v>8444</v>
      </c>
      <c r="E1623" s="4" t="s">
        <v>8445</v>
      </c>
      <c r="F1623" s="10">
        <v>45232</v>
      </c>
      <c r="G1623" s="11">
        <v>0.8354166666666667</v>
      </c>
      <c r="H1623" s="4" t="s">
        <v>4516</v>
      </c>
      <c r="I1623" s="4" t="s">
        <v>8419</v>
      </c>
      <c r="J1623" s="4" t="s">
        <v>8420</v>
      </c>
      <c r="K1623" s="4" t="s">
        <v>8446</v>
      </c>
      <c r="L1623" s="4" t="s">
        <v>8447</v>
      </c>
      <c r="M1623" s="4" t="s">
        <v>46</v>
      </c>
      <c r="N1623" s="4"/>
      <c r="O1623" s="4" t="s">
        <v>47</v>
      </c>
      <c r="P1623" s="4" t="s">
        <v>48</v>
      </c>
      <c r="Q1623" s="4">
        <v>0</v>
      </c>
      <c r="R1623" s="4" t="b">
        <v>0</v>
      </c>
      <c r="S1623" s="4" t="s">
        <v>49</v>
      </c>
      <c r="T1623" s="4" t="s">
        <v>70</v>
      </c>
      <c r="U1623" s="4" t="s">
        <v>71</v>
      </c>
      <c r="V1623" s="4" t="s">
        <v>72</v>
      </c>
      <c r="W1623" s="4" t="s">
        <v>73</v>
      </c>
      <c r="X1623" s="4" t="s">
        <v>54</v>
      </c>
      <c r="Y1623" s="4"/>
      <c r="Z1623" s="12">
        <v>0</v>
      </c>
      <c r="AA1623" s="13" t="s">
        <v>9162</v>
      </c>
      <c r="AB1623" s="13" t="s">
        <v>9150</v>
      </c>
      <c r="AC1623" s="14" t="s">
        <v>9139</v>
      </c>
      <c r="AD1623" s="14" t="s">
        <v>9140</v>
      </c>
      <c r="AE1623" s="14" t="s">
        <v>9140</v>
      </c>
      <c r="AF1623" s="14" t="s">
        <v>72</v>
      </c>
      <c r="AG1623" s="14" t="s">
        <v>54</v>
      </c>
      <c r="AH1623" s="15" t="s">
        <v>9220</v>
      </c>
      <c r="AI1623" s="15" t="s">
        <v>9188</v>
      </c>
      <c r="AJ1623" s="15" t="s">
        <v>9143</v>
      </c>
      <c r="AK1623" s="15" t="s">
        <v>9221</v>
      </c>
      <c r="AL1623" s="15" t="s">
        <v>9232</v>
      </c>
      <c r="AM1623" s="16" t="s">
        <v>9221</v>
      </c>
      <c r="AN1623" s="16" t="s">
        <v>9233</v>
      </c>
    </row>
    <row r="1624" spans="1:40" x14ac:dyDescent="0.25">
      <c r="A1624" s="4" t="s">
        <v>6900</v>
      </c>
      <c r="B1624" s="4"/>
      <c r="C1624" s="4" t="s">
        <v>39</v>
      </c>
      <c r="D1624" s="4" t="s">
        <v>6901</v>
      </c>
      <c r="E1624" s="4" t="s">
        <v>6902</v>
      </c>
      <c r="F1624" s="10">
        <v>45232</v>
      </c>
      <c r="G1624" s="11">
        <v>0.85416666666666663</v>
      </c>
      <c r="H1624" s="4" t="s">
        <v>4910</v>
      </c>
      <c r="I1624" s="4" t="s">
        <v>6878</v>
      </c>
      <c r="J1624" s="4" t="s">
        <v>3657</v>
      </c>
      <c r="K1624" s="4" t="s">
        <v>6903</v>
      </c>
      <c r="L1624" s="4" t="s">
        <v>6904</v>
      </c>
      <c r="M1624" s="4" t="s">
        <v>46</v>
      </c>
      <c r="N1624" s="4"/>
      <c r="O1624" s="4" t="s">
        <v>47</v>
      </c>
      <c r="P1624" s="4" t="s">
        <v>48</v>
      </c>
      <c r="Q1624" s="4">
        <v>0</v>
      </c>
      <c r="R1624" s="4" t="b">
        <v>0</v>
      </c>
      <c r="S1624" s="4" t="s">
        <v>61</v>
      </c>
      <c r="T1624" s="4" t="s">
        <v>134</v>
      </c>
      <c r="U1624" s="4" t="s">
        <v>122</v>
      </c>
      <c r="V1624" s="4" t="s">
        <v>123</v>
      </c>
      <c r="W1624" s="4" t="s">
        <v>124</v>
      </c>
      <c r="X1624" s="4" t="s">
        <v>774</v>
      </c>
      <c r="Y1624" s="4" t="s">
        <v>323</v>
      </c>
      <c r="Z1624" s="12">
        <v>0</v>
      </c>
      <c r="AA1624" s="13" t="s">
        <v>9162</v>
      </c>
      <c r="AB1624" s="13" t="s">
        <v>9150</v>
      </c>
      <c r="AC1624" s="14" t="s">
        <v>9148</v>
      </c>
      <c r="AD1624" s="14" t="s">
        <v>9140</v>
      </c>
      <c r="AE1624" s="14" t="s">
        <v>9140</v>
      </c>
      <c r="AF1624" s="14" t="s">
        <v>123</v>
      </c>
      <c r="AG1624" s="14" t="s">
        <v>774</v>
      </c>
      <c r="AH1624" s="15" t="s">
        <v>9220</v>
      </c>
      <c r="AI1624" s="15" t="s">
        <v>9191</v>
      </c>
      <c r="AJ1624" s="15" t="s">
        <v>9143</v>
      </c>
      <c r="AK1624" s="15" t="s">
        <v>9221</v>
      </c>
      <c r="AL1624" s="15" t="s">
        <v>9234</v>
      </c>
      <c r="AM1624" s="16" t="s">
        <v>9221</v>
      </c>
      <c r="AN1624" s="16" t="s">
        <v>9235</v>
      </c>
    </row>
    <row r="1625" spans="1:40" x14ac:dyDescent="0.25">
      <c r="A1625" s="4" t="s">
        <v>6962</v>
      </c>
      <c r="B1625" s="4"/>
      <c r="C1625" s="4" t="s">
        <v>39</v>
      </c>
      <c r="D1625" s="4" t="s">
        <v>6963</v>
      </c>
      <c r="E1625" s="4" t="s">
        <v>6964</v>
      </c>
      <c r="F1625" s="10">
        <v>45232</v>
      </c>
      <c r="G1625" s="11">
        <v>0.36458333333333331</v>
      </c>
      <c r="H1625" s="4" t="s">
        <v>4019</v>
      </c>
      <c r="I1625" s="4" t="s">
        <v>6911</v>
      </c>
      <c r="J1625" s="4" t="s">
        <v>6912</v>
      </c>
      <c r="K1625" s="4" t="s">
        <v>6965</v>
      </c>
      <c r="L1625" s="4" t="s">
        <v>6966</v>
      </c>
      <c r="M1625" s="4" t="s">
        <v>46</v>
      </c>
      <c r="N1625" s="4"/>
      <c r="O1625" s="4" t="s">
        <v>47</v>
      </c>
      <c r="P1625" s="4" t="s">
        <v>48</v>
      </c>
      <c r="Q1625" s="4">
        <v>0</v>
      </c>
      <c r="R1625" s="4" t="b">
        <v>0</v>
      </c>
      <c r="S1625" s="4" t="s">
        <v>61</v>
      </c>
      <c r="T1625" s="4" t="s">
        <v>50</v>
      </c>
      <c r="U1625" s="4" t="s">
        <v>650</v>
      </c>
      <c r="V1625" s="4" t="s">
        <v>123</v>
      </c>
      <c r="W1625" s="4" t="s">
        <v>149</v>
      </c>
      <c r="X1625" s="4" t="s">
        <v>978</v>
      </c>
      <c r="Y1625" s="4" t="s">
        <v>991</v>
      </c>
      <c r="Z1625" s="12">
        <v>0</v>
      </c>
      <c r="AA1625" s="13" t="s">
        <v>9162</v>
      </c>
      <c r="AB1625" s="13" t="s">
        <v>9150</v>
      </c>
      <c r="AC1625" s="14" t="s">
        <v>9148</v>
      </c>
      <c r="AD1625" s="14" t="s">
        <v>9140</v>
      </c>
      <c r="AE1625" s="14" t="s">
        <v>9140</v>
      </c>
      <c r="AF1625" s="14" t="s">
        <v>123</v>
      </c>
      <c r="AG1625" s="14" t="s">
        <v>978</v>
      </c>
      <c r="AH1625" s="15" t="s">
        <v>9220</v>
      </c>
      <c r="AI1625" s="15" t="s">
        <v>9175</v>
      </c>
      <c r="AJ1625" s="15" t="s">
        <v>9143</v>
      </c>
      <c r="AK1625" s="15" t="s">
        <v>9221</v>
      </c>
      <c r="AL1625" s="15" t="s">
        <v>9224</v>
      </c>
      <c r="AM1625" s="16" t="s">
        <v>9221</v>
      </c>
      <c r="AN1625" s="16" t="s">
        <v>9225</v>
      </c>
    </row>
    <row r="1626" spans="1:40" x14ac:dyDescent="0.25">
      <c r="A1626" s="4" t="s">
        <v>7898</v>
      </c>
      <c r="B1626" s="4"/>
      <c r="C1626" s="4" t="s">
        <v>39</v>
      </c>
      <c r="D1626" s="4" t="s">
        <v>7871</v>
      </c>
      <c r="E1626" s="4" t="s">
        <v>7872</v>
      </c>
      <c r="F1626" s="10">
        <v>45232</v>
      </c>
      <c r="G1626" s="11">
        <v>0.54861111111111116</v>
      </c>
      <c r="H1626" s="4" t="s">
        <v>4659</v>
      </c>
      <c r="I1626" s="4" t="s">
        <v>7873</v>
      </c>
      <c r="J1626" s="4" t="s">
        <v>7874</v>
      </c>
      <c r="K1626" s="4" t="s">
        <v>4396</v>
      </c>
      <c r="L1626" s="4" t="s">
        <v>7899</v>
      </c>
      <c r="M1626" s="4" t="s">
        <v>46</v>
      </c>
      <c r="N1626" s="4"/>
      <c r="O1626" s="4" t="s">
        <v>47</v>
      </c>
      <c r="P1626" s="4" t="s">
        <v>48</v>
      </c>
      <c r="Q1626" s="4">
        <v>0</v>
      </c>
      <c r="R1626" s="4" t="b">
        <v>0</v>
      </c>
      <c r="S1626" s="4" t="s">
        <v>61</v>
      </c>
      <c r="T1626" s="4" t="s">
        <v>89</v>
      </c>
      <c r="U1626" s="4" t="s">
        <v>175</v>
      </c>
      <c r="V1626" s="4" t="s">
        <v>123</v>
      </c>
      <c r="W1626" s="4" t="s">
        <v>149</v>
      </c>
      <c r="X1626" s="4" t="s">
        <v>54</v>
      </c>
      <c r="Y1626" s="4" t="s">
        <v>302</v>
      </c>
      <c r="Z1626" s="12">
        <v>0</v>
      </c>
      <c r="AA1626" s="13" t="s">
        <v>9162</v>
      </c>
      <c r="AB1626" s="13" t="s">
        <v>9150</v>
      </c>
      <c r="AC1626" s="14" t="s">
        <v>9148</v>
      </c>
      <c r="AD1626" s="14" t="s">
        <v>9140</v>
      </c>
      <c r="AE1626" s="14" t="s">
        <v>9140</v>
      </c>
      <c r="AF1626" s="14" t="s">
        <v>123</v>
      </c>
      <c r="AG1626" s="14" t="s">
        <v>54</v>
      </c>
      <c r="AH1626" s="15" t="s">
        <v>9220</v>
      </c>
      <c r="AI1626" s="15" t="s">
        <v>9142</v>
      </c>
      <c r="AJ1626" s="15" t="s">
        <v>9143</v>
      </c>
      <c r="AK1626" s="15" t="s">
        <v>9221</v>
      </c>
      <c r="AL1626" s="15" t="s">
        <v>9228</v>
      </c>
      <c r="AM1626" s="16" t="s">
        <v>9221</v>
      </c>
      <c r="AN1626" s="16" t="s">
        <v>9229</v>
      </c>
    </row>
    <row r="1627" spans="1:40" x14ac:dyDescent="0.25">
      <c r="A1627" s="4" t="s">
        <v>6473</v>
      </c>
      <c r="B1627" s="4"/>
      <c r="C1627" s="4" t="s">
        <v>39</v>
      </c>
      <c r="D1627" s="4" t="s">
        <v>6474</v>
      </c>
      <c r="E1627" s="4" t="s">
        <v>6475</v>
      </c>
      <c r="F1627" s="10">
        <v>45231</v>
      </c>
      <c r="G1627" s="11">
        <v>0.6875</v>
      </c>
      <c r="H1627" s="4" t="s">
        <v>4659</v>
      </c>
      <c r="I1627" s="4" t="s">
        <v>6441</v>
      </c>
      <c r="J1627" s="4" t="s">
        <v>6442</v>
      </c>
      <c r="K1627" s="4" t="s">
        <v>6476</v>
      </c>
      <c r="L1627" s="4" t="s">
        <v>6477</v>
      </c>
      <c r="M1627" s="4" t="s">
        <v>46</v>
      </c>
      <c r="N1627" s="4"/>
      <c r="O1627" s="4" t="s">
        <v>47</v>
      </c>
      <c r="P1627" s="4" t="s">
        <v>48</v>
      </c>
      <c r="Q1627" s="4">
        <v>0</v>
      </c>
      <c r="R1627" s="4" t="b">
        <v>0</v>
      </c>
      <c r="S1627" s="4" t="s">
        <v>61</v>
      </c>
      <c r="T1627" s="4" t="s">
        <v>50</v>
      </c>
      <c r="U1627" s="4" t="s">
        <v>71</v>
      </c>
      <c r="V1627" s="4" t="s">
        <v>72</v>
      </c>
      <c r="W1627" s="4" t="s">
        <v>73</v>
      </c>
      <c r="X1627" s="4" t="s">
        <v>54</v>
      </c>
      <c r="Y1627" s="4"/>
      <c r="Z1627" s="12">
        <v>0</v>
      </c>
      <c r="AA1627" s="13" t="s">
        <v>9162</v>
      </c>
      <c r="AB1627" s="13" t="s">
        <v>9150</v>
      </c>
      <c r="AC1627" s="14" t="s">
        <v>9148</v>
      </c>
      <c r="AD1627" s="14" t="s">
        <v>9140</v>
      </c>
      <c r="AE1627" s="14" t="s">
        <v>9140</v>
      </c>
      <c r="AF1627" s="14" t="s">
        <v>72</v>
      </c>
      <c r="AG1627" s="14" t="s">
        <v>54</v>
      </c>
      <c r="AH1627" s="15" t="s">
        <v>9220</v>
      </c>
      <c r="AI1627" s="15" t="s">
        <v>9142</v>
      </c>
      <c r="AJ1627" s="15" t="s">
        <v>9143</v>
      </c>
      <c r="AK1627" s="15" t="s">
        <v>9221</v>
      </c>
      <c r="AL1627" s="15" t="s">
        <v>9228</v>
      </c>
      <c r="AM1627" s="16" t="s">
        <v>9221</v>
      </c>
      <c r="AN1627" s="16" t="s">
        <v>9229</v>
      </c>
    </row>
    <row r="1628" spans="1:40" x14ac:dyDescent="0.25">
      <c r="A1628" s="4" t="s">
        <v>7400</v>
      </c>
      <c r="B1628" s="17"/>
      <c r="C1628" s="4" t="s">
        <v>39</v>
      </c>
      <c r="D1628" s="4" t="s">
        <v>7379</v>
      </c>
      <c r="E1628" s="4" t="s">
        <v>7380</v>
      </c>
      <c r="F1628" s="10">
        <v>45230</v>
      </c>
      <c r="G1628" s="18">
        <v>0.82222222222222219</v>
      </c>
      <c r="H1628" s="4" t="s">
        <v>4019</v>
      </c>
      <c r="I1628" s="4" t="s">
        <v>7315</v>
      </c>
      <c r="J1628" s="4" t="s">
        <v>1037</v>
      </c>
      <c r="K1628" s="4" t="s">
        <v>7401</v>
      </c>
      <c r="L1628" s="4" t="s">
        <v>7402</v>
      </c>
      <c r="M1628" s="4" t="s">
        <v>46</v>
      </c>
      <c r="N1628" s="4"/>
      <c r="O1628" s="4" t="s">
        <v>47</v>
      </c>
      <c r="P1628" s="4" t="s">
        <v>48</v>
      </c>
      <c r="Q1628" s="4">
        <v>0</v>
      </c>
      <c r="R1628" s="4" t="b">
        <v>0</v>
      </c>
      <c r="S1628" s="4" t="s">
        <v>61</v>
      </c>
      <c r="T1628" s="4" t="s">
        <v>70</v>
      </c>
      <c r="U1628" s="4" t="s">
        <v>1081</v>
      </c>
      <c r="V1628" s="4" t="s">
        <v>63</v>
      </c>
      <c r="W1628" s="4" t="s">
        <v>108</v>
      </c>
      <c r="X1628" s="4" t="s">
        <v>98</v>
      </c>
      <c r="Y1628" s="4"/>
      <c r="Z1628" s="12">
        <v>0</v>
      </c>
      <c r="AA1628" s="13" t="s">
        <v>9162</v>
      </c>
      <c r="AB1628" s="13" t="s">
        <v>9150</v>
      </c>
      <c r="AC1628" s="14" t="s">
        <v>9148</v>
      </c>
      <c r="AD1628" s="14" t="s">
        <v>9140</v>
      </c>
      <c r="AE1628" s="14" t="s">
        <v>9140</v>
      </c>
      <c r="AF1628" s="14" t="s">
        <v>63</v>
      </c>
      <c r="AG1628" s="14" t="s">
        <v>98</v>
      </c>
      <c r="AH1628" s="15" t="s">
        <v>9220</v>
      </c>
      <c r="AI1628" s="15" t="s">
        <v>9175</v>
      </c>
      <c r="AJ1628" s="15" t="s">
        <v>9143</v>
      </c>
      <c r="AK1628" s="15" t="s">
        <v>9221</v>
      </c>
      <c r="AL1628" s="15" t="s">
        <v>9222</v>
      </c>
      <c r="AM1628" s="16" t="s">
        <v>9221</v>
      </c>
      <c r="AN1628" s="16" t="s">
        <v>9223</v>
      </c>
    </row>
    <row r="1629" spans="1:40" x14ac:dyDescent="0.25">
      <c r="A1629" s="4" t="s">
        <v>4209</v>
      </c>
      <c r="B1629" s="4"/>
      <c r="C1629" s="4" t="s">
        <v>39</v>
      </c>
      <c r="D1629" s="4" t="s">
        <v>4210</v>
      </c>
      <c r="E1629" s="4" t="s">
        <v>4211</v>
      </c>
      <c r="F1629" s="10">
        <v>45230</v>
      </c>
      <c r="G1629" s="11">
        <v>0.73472222222222228</v>
      </c>
      <c r="H1629" s="4" t="s">
        <v>4019</v>
      </c>
      <c r="I1629" s="4" t="s">
        <v>4193</v>
      </c>
      <c r="J1629" s="4" t="s">
        <v>4194</v>
      </c>
      <c r="K1629" s="4" t="s">
        <v>604</v>
      </c>
      <c r="L1629" s="4" t="s">
        <v>4212</v>
      </c>
      <c r="M1629" s="4" t="s">
        <v>46</v>
      </c>
      <c r="N1629" s="4"/>
      <c r="O1629" s="4" t="s">
        <v>47</v>
      </c>
      <c r="P1629" s="4" t="s">
        <v>48</v>
      </c>
      <c r="Q1629" s="4">
        <v>0</v>
      </c>
      <c r="R1629" s="4" t="b">
        <v>0</v>
      </c>
      <c r="S1629" s="4" t="s">
        <v>61</v>
      </c>
      <c r="T1629" s="4" t="s">
        <v>50</v>
      </c>
      <c r="U1629" s="4" t="s">
        <v>107</v>
      </c>
      <c r="V1629" s="4" t="s">
        <v>63</v>
      </c>
      <c r="W1629" s="4" t="s">
        <v>198</v>
      </c>
      <c r="X1629" s="4" t="s">
        <v>774</v>
      </c>
      <c r="Y1629" s="4" t="s">
        <v>775</v>
      </c>
      <c r="Z1629" s="12">
        <v>0</v>
      </c>
      <c r="AA1629" s="13" t="s">
        <v>9162</v>
      </c>
      <c r="AB1629" s="13" t="s">
        <v>9150</v>
      </c>
      <c r="AC1629" s="14" t="s">
        <v>9148</v>
      </c>
      <c r="AD1629" s="14" t="s">
        <v>9140</v>
      </c>
      <c r="AE1629" s="14" t="s">
        <v>9140</v>
      </c>
      <c r="AF1629" s="14" t="s">
        <v>63</v>
      </c>
      <c r="AG1629" s="14" t="s">
        <v>774</v>
      </c>
      <c r="AH1629" s="15" t="s">
        <v>9220</v>
      </c>
      <c r="AI1629" s="15" t="s">
        <v>9175</v>
      </c>
      <c r="AJ1629" s="15" t="s">
        <v>9143</v>
      </c>
      <c r="AK1629" s="15" t="s">
        <v>9221</v>
      </c>
      <c r="AL1629" s="15" t="s">
        <v>9224</v>
      </c>
      <c r="AM1629" s="16" t="s">
        <v>9221</v>
      </c>
      <c r="AN1629" s="16" t="s">
        <v>9225</v>
      </c>
    </row>
    <row r="1630" spans="1:40" x14ac:dyDescent="0.25">
      <c r="A1630" s="4" t="s">
        <v>1924</v>
      </c>
      <c r="B1630" s="4"/>
      <c r="C1630" s="4" t="s">
        <v>39</v>
      </c>
      <c r="D1630" s="4" t="s">
        <v>1925</v>
      </c>
      <c r="E1630" s="4" t="s">
        <v>1926</v>
      </c>
      <c r="F1630" s="10">
        <v>45230</v>
      </c>
      <c r="G1630" s="11">
        <v>0.5625</v>
      </c>
      <c r="H1630" s="4" t="s">
        <v>1654</v>
      </c>
      <c r="I1630" s="4">
        <v>9098</v>
      </c>
      <c r="J1630" s="4" t="s">
        <v>1896</v>
      </c>
      <c r="K1630" s="4" t="s">
        <v>1913</v>
      </c>
      <c r="L1630" s="4" t="s">
        <v>1927</v>
      </c>
      <c r="M1630" s="4" t="s">
        <v>46</v>
      </c>
      <c r="N1630" s="4"/>
      <c r="O1630" s="4" t="s">
        <v>47</v>
      </c>
      <c r="P1630" s="4" t="s">
        <v>48</v>
      </c>
      <c r="Q1630" s="4">
        <v>0</v>
      </c>
      <c r="R1630" s="4" t="b">
        <v>0</v>
      </c>
      <c r="S1630" s="4" t="s">
        <v>61</v>
      </c>
      <c r="T1630" s="4" t="s">
        <v>89</v>
      </c>
      <c r="U1630" s="4" t="s">
        <v>148</v>
      </c>
      <c r="V1630" s="4" t="s">
        <v>52</v>
      </c>
      <c r="W1630" s="4" t="s">
        <v>53</v>
      </c>
      <c r="X1630" s="4" t="s">
        <v>54</v>
      </c>
      <c r="Y1630" s="4"/>
      <c r="Z1630" s="12">
        <v>0</v>
      </c>
      <c r="AA1630" s="13" t="s">
        <v>9162</v>
      </c>
      <c r="AB1630" s="13" t="s">
        <v>9150</v>
      </c>
      <c r="AC1630" s="14" t="s">
        <v>9148</v>
      </c>
      <c r="AD1630" s="14" t="s">
        <v>9140</v>
      </c>
      <c r="AE1630" s="14" t="s">
        <v>9140</v>
      </c>
      <c r="AF1630" s="14" t="s">
        <v>52</v>
      </c>
      <c r="AG1630" s="14" t="s">
        <v>54</v>
      </c>
      <c r="AH1630" s="15" t="s">
        <v>9141</v>
      </c>
      <c r="AI1630" s="15" t="s">
        <v>9191</v>
      </c>
      <c r="AJ1630" s="15" t="s">
        <v>9143</v>
      </c>
      <c r="AK1630" s="15" t="s">
        <v>9141</v>
      </c>
      <c r="AL1630" s="15" t="s">
        <v>9191</v>
      </c>
      <c r="AM1630" s="16" t="s">
        <v>9141</v>
      </c>
      <c r="AN1630" s="16" t="s">
        <v>9192</v>
      </c>
    </row>
    <row r="1631" spans="1:40" x14ac:dyDescent="0.25">
      <c r="A1631" s="4" t="s">
        <v>2548</v>
      </c>
      <c r="B1631" s="4" t="s">
        <v>2549</v>
      </c>
      <c r="C1631" s="4" t="s">
        <v>39</v>
      </c>
      <c r="D1631" s="4" t="s">
        <v>2550</v>
      </c>
      <c r="E1631" s="4" t="s">
        <v>2551</v>
      </c>
      <c r="F1631" s="10">
        <v>45230</v>
      </c>
      <c r="G1631" s="11">
        <v>0.54166666666666663</v>
      </c>
      <c r="H1631" s="4" t="s">
        <v>1992</v>
      </c>
      <c r="I1631" s="4" t="s">
        <v>2520</v>
      </c>
      <c r="J1631" s="4" t="s">
        <v>2521</v>
      </c>
      <c r="K1631" s="4" t="s">
        <v>2552</v>
      </c>
      <c r="L1631" s="4" t="s">
        <v>2553</v>
      </c>
      <c r="M1631" s="4" t="s">
        <v>28</v>
      </c>
      <c r="N1631" s="4" t="s">
        <v>183</v>
      </c>
      <c r="O1631" s="4" t="s">
        <v>344</v>
      </c>
      <c r="P1631" s="4" t="s">
        <v>48</v>
      </c>
      <c r="Q1631" s="4">
        <v>125</v>
      </c>
      <c r="R1631" s="4" t="b">
        <v>0</v>
      </c>
      <c r="S1631" s="4" t="s">
        <v>114</v>
      </c>
      <c r="T1631" s="4" t="s">
        <v>89</v>
      </c>
      <c r="U1631" s="4" t="s">
        <v>175</v>
      </c>
      <c r="V1631" s="4" t="s">
        <v>52</v>
      </c>
      <c r="W1631" s="4" t="s">
        <v>53</v>
      </c>
      <c r="X1631" s="4" t="s">
        <v>54</v>
      </c>
      <c r="Y1631" s="4"/>
      <c r="Z1631" s="12" t="s">
        <v>48</v>
      </c>
      <c r="AA1631" s="13" t="s">
        <v>9162</v>
      </c>
      <c r="AB1631" s="13" t="s">
        <v>9150</v>
      </c>
      <c r="AC1631" s="14" t="s">
        <v>9157</v>
      </c>
      <c r="AD1631" s="14" t="s">
        <v>28</v>
      </c>
      <c r="AE1631" s="14" t="s">
        <v>183</v>
      </c>
      <c r="AF1631" s="14" t="s">
        <v>52</v>
      </c>
      <c r="AG1631" s="14" t="s">
        <v>54</v>
      </c>
      <c r="AH1631" s="15" t="s">
        <v>9194</v>
      </c>
      <c r="AI1631" s="15" t="s">
        <v>9191</v>
      </c>
      <c r="AJ1631" s="15" t="s">
        <v>9143</v>
      </c>
      <c r="AK1631" s="15" t="s">
        <v>9194</v>
      </c>
      <c r="AL1631" s="15" t="s">
        <v>9201</v>
      </c>
      <c r="AM1631" s="16" t="s">
        <v>9194</v>
      </c>
      <c r="AN1631" s="16" t="s">
        <v>9202</v>
      </c>
    </row>
    <row r="1632" spans="1:40" x14ac:dyDescent="0.25">
      <c r="A1632" s="4" t="s">
        <v>150</v>
      </c>
      <c r="B1632" s="17" t="s">
        <v>151</v>
      </c>
      <c r="C1632" s="4" t="s">
        <v>39</v>
      </c>
      <c r="D1632" s="4" t="s">
        <v>152</v>
      </c>
      <c r="E1632" s="4" t="s">
        <v>153</v>
      </c>
      <c r="F1632" s="10">
        <v>45229</v>
      </c>
      <c r="G1632" s="18">
        <v>0.56527777777777777</v>
      </c>
      <c r="H1632" s="4" t="s">
        <v>42</v>
      </c>
      <c r="I1632" s="4">
        <v>1006</v>
      </c>
      <c r="J1632" s="4" t="s">
        <v>94</v>
      </c>
      <c r="K1632" s="4" t="s">
        <v>154</v>
      </c>
      <c r="L1632" s="4" t="s">
        <v>155</v>
      </c>
      <c r="M1632" s="4" t="s">
        <v>28</v>
      </c>
      <c r="N1632" s="4" t="s">
        <v>147</v>
      </c>
      <c r="O1632" s="4" t="s">
        <v>156</v>
      </c>
      <c r="P1632" s="4" t="s">
        <v>48</v>
      </c>
      <c r="Q1632" s="4">
        <v>0</v>
      </c>
      <c r="R1632" s="4" t="b">
        <v>0</v>
      </c>
      <c r="S1632" s="4" t="s">
        <v>114</v>
      </c>
      <c r="T1632" s="4" t="s">
        <v>89</v>
      </c>
      <c r="U1632" s="4" t="s">
        <v>148</v>
      </c>
      <c r="V1632" s="4" t="s">
        <v>52</v>
      </c>
      <c r="W1632" s="4" t="s">
        <v>135</v>
      </c>
      <c r="X1632" s="4" t="s">
        <v>54</v>
      </c>
      <c r="Y1632" s="4"/>
      <c r="Z1632" s="12" t="s">
        <v>48</v>
      </c>
      <c r="AA1632" s="13" t="s">
        <v>9162</v>
      </c>
      <c r="AB1632" s="13" t="s">
        <v>9150</v>
      </c>
      <c r="AC1632" s="14" t="s">
        <v>9157</v>
      </c>
      <c r="AD1632" s="14" t="s">
        <v>28</v>
      </c>
      <c r="AE1632" s="14" t="s">
        <v>9140</v>
      </c>
      <c r="AF1632" s="14" t="s">
        <v>52</v>
      </c>
      <c r="AG1632" s="14" t="s">
        <v>54</v>
      </c>
      <c r="AH1632" s="15" t="s">
        <v>9141</v>
      </c>
      <c r="AI1632" s="15" t="s">
        <v>9142</v>
      </c>
      <c r="AJ1632" s="15" t="s">
        <v>9143</v>
      </c>
      <c r="AK1632" s="15" t="s">
        <v>9141</v>
      </c>
      <c r="AL1632" s="15" t="s">
        <v>9144</v>
      </c>
      <c r="AM1632" s="16" t="s">
        <v>9141</v>
      </c>
      <c r="AN1632" s="16" t="s">
        <v>9145</v>
      </c>
    </row>
    <row r="1633" spans="1:40" x14ac:dyDescent="0.25">
      <c r="A1633" s="4" t="s">
        <v>8448</v>
      </c>
      <c r="B1633" s="4"/>
      <c r="C1633" s="4" t="s">
        <v>39</v>
      </c>
      <c r="D1633" s="4" t="s">
        <v>8449</v>
      </c>
      <c r="E1633" s="4" t="s">
        <v>8450</v>
      </c>
      <c r="F1633" s="10">
        <v>45228</v>
      </c>
      <c r="G1633" s="11">
        <v>0.65555555555555556</v>
      </c>
      <c r="H1633" s="4" t="s">
        <v>4516</v>
      </c>
      <c r="I1633" s="4" t="s">
        <v>8419</v>
      </c>
      <c r="J1633" s="4" t="s">
        <v>8420</v>
      </c>
      <c r="K1633" s="4" t="s">
        <v>8451</v>
      </c>
      <c r="L1633" s="4" t="s">
        <v>8452</v>
      </c>
      <c r="M1633" s="4" t="s">
        <v>46</v>
      </c>
      <c r="N1633" s="4"/>
      <c r="O1633" s="4" t="s">
        <v>47</v>
      </c>
      <c r="P1633" s="4" t="s">
        <v>48</v>
      </c>
      <c r="Q1633" s="4">
        <v>0</v>
      </c>
      <c r="R1633" s="4" t="b">
        <v>0</v>
      </c>
      <c r="S1633" s="4" t="s">
        <v>49</v>
      </c>
      <c r="T1633" s="4" t="s">
        <v>70</v>
      </c>
      <c r="U1633" s="4" t="s">
        <v>71</v>
      </c>
      <c r="V1633" s="4" t="s">
        <v>72</v>
      </c>
      <c r="W1633" s="4" t="s">
        <v>73</v>
      </c>
      <c r="X1633" s="4" t="s">
        <v>98</v>
      </c>
      <c r="Y1633" s="4"/>
      <c r="Z1633" s="12">
        <v>0</v>
      </c>
      <c r="AA1633" s="13" t="s">
        <v>9162</v>
      </c>
      <c r="AB1633" s="13" t="s">
        <v>9150</v>
      </c>
      <c r="AC1633" s="14" t="s">
        <v>9139</v>
      </c>
      <c r="AD1633" s="14" t="s">
        <v>9140</v>
      </c>
      <c r="AE1633" s="14" t="s">
        <v>9140</v>
      </c>
      <c r="AF1633" s="14" t="s">
        <v>72</v>
      </c>
      <c r="AG1633" s="14" t="s">
        <v>98</v>
      </c>
      <c r="AH1633" s="15" t="s">
        <v>9220</v>
      </c>
      <c r="AI1633" s="15" t="s">
        <v>9188</v>
      </c>
      <c r="AJ1633" s="15" t="s">
        <v>9143</v>
      </c>
      <c r="AK1633" s="15" t="s">
        <v>9221</v>
      </c>
      <c r="AL1633" s="15" t="s">
        <v>9232</v>
      </c>
      <c r="AM1633" s="16" t="s">
        <v>9221</v>
      </c>
      <c r="AN1633" s="16" t="s">
        <v>9233</v>
      </c>
    </row>
    <row r="1634" spans="1:40" x14ac:dyDescent="0.25">
      <c r="A1634" s="4" t="s">
        <v>5737</v>
      </c>
      <c r="B1634" s="4"/>
      <c r="C1634" s="4" t="s">
        <v>39</v>
      </c>
      <c r="D1634" s="4" t="s">
        <v>5738</v>
      </c>
      <c r="E1634" s="4" t="s">
        <v>5739</v>
      </c>
      <c r="F1634" s="10">
        <v>45227</v>
      </c>
      <c r="G1634" s="11">
        <v>0.5</v>
      </c>
      <c r="H1634" s="4" t="s">
        <v>5666</v>
      </c>
      <c r="I1634" s="4" t="s">
        <v>5667</v>
      </c>
      <c r="J1634" s="4" t="s">
        <v>2192</v>
      </c>
      <c r="K1634" s="4" t="s">
        <v>102</v>
      </c>
      <c r="L1634" s="4" t="s">
        <v>5740</v>
      </c>
      <c r="M1634" s="4" t="s">
        <v>46</v>
      </c>
      <c r="N1634" s="4"/>
      <c r="O1634" s="4" t="s">
        <v>47</v>
      </c>
      <c r="P1634" s="4" t="s">
        <v>48</v>
      </c>
      <c r="Q1634" s="4">
        <v>0</v>
      </c>
      <c r="R1634" s="4" t="b">
        <v>0</v>
      </c>
      <c r="S1634" s="4" t="s">
        <v>49</v>
      </c>
      <c r="T1634" s="4" t="s">
        <v>70</v>
      </c>
      <c r="U1634" s="4" t="s">
        <v>71</v>
      </c>
      <c r="V1634" s="4" t="s">
        <v>72</v>
      </c>
      <c r="W1634" s="4" t="s">
        <v>73</v>
      </c>
      <c r="X1634" s="4" t="s">
        <v>98</v>
      </c>
      <c r="Y1634" s="4"/>
      <c r="Z1634" s="12">
        <v>0</v>
      </c>
      <c r="AA1634" s="13" t="s">
        <v>9162</v>
      </c>
      <c r="AB1634" s="13" t="s">
        <v>9150</v>
      </c>
      <c r="AC1634" s="14" t="s">
        <v>9139</v>
      </c>
      <c r="AD1634" s="14" t="s">
        <v>9140</v>
      </c>
      <c r="AE1634" s="14" t="s">
        <v>9140</v>
      </c>
      <c r="AF1634" s="14" t="s">
        <v>72</v>
      </c>
      <c r="AG1634" s="14" t="s">
        <v>98</v>
      </c>
      <c r="AH1634" s="15" t="s">
        <v>9220</v>
      </c>
      <c r="AI1634" s="15" t="s">
        <v>9199</v>
      </c>
      <c r="AJ1634" s="15" t="s">
        <v>9143</v>
      </c>
      <c r="AK1634" s="15" t="s">
        <v>9221</v>
      </c>
      <c r="AL1634" s="15" t="s">
        <v>9199</v>
      </c>
      <c r="AM1634" s="16" t="s">
        <v>9221</v>
      </c>
      <c r="AN1634" s="16" t="s">
        <v>9238</v>
      </c>
    </row>
    <row r="1635" spans="1:40" x14ac:dyDescent="0.25">
      <c r="A1635" s="4" t="s">
        <v>3754</v>
      </c>
      <c r="B1635" s="4"/>
      <c r="C1635" s="4" t="s">
        <v>39</v>
      </c>
      <c r="D1635" s="4" t="s">
        <v>3755</v>
      </c>
      <c r="E1635" s="4" t="s">
        <v>3756</v>
      </c>
      <c r="F1635" s="10">
        <v>45227</v>
      </c>
      <c r="G1635" s="11">
        <v>0.58333333333333337</v>
      </c>
      <c r="H1635" s="4" t="s">
        <v>2168</v>
      </c>
      <c r="I1635" s="4" t="s">
        <v>3735</v>
      </c>
      <c r="J1635" s="4" t="s">
        <v>3736</v>
      </c>
      <c r="K1635" s="4" t="s">
        <v>3757</v>
      </c>
      <c r="L1635" s="4" t="s">
        <v>3758</v>
      </c>
      <c r="M1635" s="4" t="s">
        <v>46</v>
      </c>
      <c r="N1635" s="4"/>
      <c r="O1635" s="4" t="s">
        <v>47</v>
      </c>
      <c r="P1635" s="4" t="s">
        <v>48</v>
      </c>
      <c r="Q1635" s="4">
        <v>0</v>
      </c>
      <c r="R1635" s="4" t="b">
        <v>0</v>
      </c>
      <c r="S1635" s="4" t="s">
        <v>61</v>
      </c>
      <c r="T1635" s="4" t="s">
        <v>583</v>
      </c>
      <c r="U1635" s="4" t="s">
        <v>51</v>
      </c>
      <c r="V1635" s="4" t="s">
        <v>52</v>
      </c>
      <c r="W1635" s="4" t="s">
        <v>255</v>
      </c>
      <c r="X1635" s="4" t="s">
        <v>54</v>
      </c>
      <c r="Y1635" s="4"/>
      <c r="Z1635" s="12">
        <v>0</v>
      </c>
      <c r="AA1635" s="13" t="s">
        <v>9162</v>
      </c>
      <c r="AB1635" s="13" t="s">
        <v>9150</v>
      </c>
      <c r="AC1635" s="14" t="s">
        <v>9148</v>
      </c>
      <c r="AD1635" s="14" t="s">
        <v>9140</v>
      </c>
      <c r="AE1635" s="14" t="s">
        <v>9140</v>
      </c>
      <c r="AF1635" s="14" t="s">
        <v>52</v>
      </c>
      <c r="AG1635" s="14" t="s">
        <v>54</v>
      </c>
      <c r="AH1635" s="15" t="s">
        <v>9194</v>
      </c>
      <c r="AI1635" s="15" t="s">
        <v>9142</v>
      </c>
      <c r="AJ1635" s="15" t="s">
        <v>9143</v>
      </c>
      <c r="AK1635" s="15" t="s">
        <v>9194</v>
      </c>
      <c r="AL1635" s="15" t="s">
        <v>9207</v>
      </c>
      <c r="AM1635" s="16" t="s">
        <v>9194</v>
      </c>
      <c r="AN1635" s="16" t="s">
        <v>9208</v>
      </c>
    </row>
    <row r="1636" spans="1:40" x14ac:dyDescent="0.25">
      <c r="A1636" s="4" t="s">
        <v>8569</v>
      </c>
      <c r="B1636" s="17"/>
      <c r="C1636" s="4" t="s">
        <v>39</v>
      </c>
      <c r="D1636" s="4" t="s">
        <v>8570</v>
      </c>
      <c r="E1636" s="4" t="s">
        <v>8571</v>
      </c>
      <c r="F1636" s="10">
        <v>45226</v>
      </c>
      <c r="G1636" s="18">
        <v>0.51041666666666663</v>
      </c>
      <c r="H1636" s="4" t="s">
        <v>4019</v>
      </c>
      <c r="I1636" s="4" t="s">
        <v>8552</v>
      </c>
      <c r="J1636" s="4" t="s">
        <v>8553</v>
      </c>
      <c r="K1636" s="4" t="s">
        <v>8572</v>
      </c>
      <c r="L1636" s="4" t="s">
        <v>8573</v>
      </c>
      <c r="M1636" s="4" t="s">
        <v>46</v>
      </c>
      <c r="N1636" s="4"/>
      <c r="O1636" s="4" t="s">
        <v>47</v>
      </c>
      <c r="P1636" s="4" t="s">
        <v>48</v>
      </c>
      <c r="Q1636" s="4">
        <v>0</v>
      </c>
      <c r="R1636" s="4" t="b">
        <v>0</v>
      </c>
      <c r="S1636" s="4" t="s">
        <v>49</v>
      </c>
      <c r="T1636" s="4" t="s">
        <v>70</v>
      </c>
      <c r="U1636" s="4" t="s">
        <v>480</v>
      </c>
      <c r="V1636" s="4" t="s">
        <v>72</v>
      </c>
      <c r="W1636" s="4" t="s">
        <v>73</v>
      </c>
      <c r="X1636" s="4" t="s">
        <v>98</v>
      </c>
      <c r="Y1636" s="4"/>
      <c r="Z1636" s="12">
        <v>0</v>
      </c>
      <c r="AA1636" s="13" t="s">
        <v>9162</v>
      </c>
      <c r="AB1636" s="13" t="s">
        <v>9150</v>
      </c>
      <c r="AC1636" s="14" t="s">
        <v>9139</v>
      </c>
      <c r="AD1636" s="14" t="s">
        <v>9140</v>
      </c>
      <c r="AE1636" s="14" t="s">
        <v>9140</v>
      </c>
      <c r="AF1636" s="14" t="s">
        <v>72</v>
      </c>
      <c r="AG1636" s="14" t="s">
        <v>98</v>
      </c>
      <c r="AH1636" s="15" t="s">
        <v>9220</v>
      </c>
      <c r="AI1636" s="15" t="s">
        <v>9175</v>
      </c>
      <c r="AJ1636" s="15" t="s">
        <v>9143</v>
      </c>
      <c r="AK1636" s="15" t="s">
        <v>9221</v>
      </c>
      <c r="AL1636" s="15" t="s">
        <v>9222</v>
      </c>
      <c r="AM1636" s="16" t="s">
        <v>9221</v>
      </c>
      <c r="AN1636" s="16" t="s">
        <v>9223</v>
      </c>
    </row>
    <row r="1637" spans="1:40" x14ac:dyDescent="0.25">
      <c r="A1637" s="4" t="s">
        <v>7403</v>
      </c>
      <c r="B1637" s="17"/>
      <c r="C1637" s="4" t="s">
        <v>39</v>
      </c>
      <c r="D1637" s="4" t="s">
        <v>7346</v>
      </c>
      <c r="E1637" s="4" t="s">
        <v>7347</v>
      </c>
      <c r="F1637" s="10">
        <v>45226</v>
      </c>
      <c r="G1637" s="18">
        <v>0.5625</v>
      </c>
      <c r="H1637" s="4" t="s">
        <v>4019</v>
      </c>
      <c r="I1637" s="4" t="s">
        <v>7315</v>
      </c>
      <c r="J1637" s="4" t="s">
        <v>1037</v>
      </c>
      <c r="K1637" s="4" t="s">
        <v>7404</v>
      </c>
      <c r="L1637" s="4" t="s">
        <v>7405</v>
      </c>
      <c r="M1637" s="4" t="s">
        <v>46</v>
      </c>
      <c r="N1637" s="4"/>
      <c r="O1637" s="4" t="s">
        <v>47</v>
      </c>
      <c r="P1637" s="4" t="s">
        <v>48</v>
      </c>
      <c r="Q1637" s="4">
        <v>0</v>
      </c>
      <c r="R1637" s="4" t="b">
        <v>0</v>
      </c>
      <c r="S1637" s="4" t="s">
        <v>49</v>
      </c>
      <c r="T1637" s="4" t="s">
        <v>50</v>
      </c>
      <c r="U1637" s="4" t="s">
        <v>71</v>
      </c>
      <c r="V1637" s="4" t="s">
        <v>72</v>
      </c>
      <c r="W1637" s="4" t="s">
        <v>73</v>
      </c>
      <c r="X1637" s="4" t="s">
        <v>978</v>
      </c>
      <c r="Y1637" s="4" t="s">
        <v>323</v>
      </c>
      <c r="Z1637" s="12">
        <v>0</v>
      </c>
      <c r="AA1637" s="13" t="s">
        <v>9162</v>
      </c>
      <c r="AB1637" s="13" t="s">
        <v>9150</v>
      </c>
      <c r="AC1637" s="14" t="s">
        <v>9139</v>
      </c>
      <c r="AD1637" s="14" t="s">
        <v>9140</v>
      </c>
      <c r="AE1637" s="14" t="s">
        <v>9140</v>
      </c>
      <c r="AF1637" s="14" t="s">
        <v>72</v>
      </c>
      <c r="AG1637" s="14" t="s">
        <v>978</v>
      </c>
      <c r="AH1637" s="15" t="s">
        <v>9220</v>
      </c>
      <c r="AI1637" s="15" t="s">
        <v>9175</v>
      </c>
      <c r="AJ1637" s="15" t="s">
        <v>9143</v>
      </c>
      <c r="AK1637" s="15" t="s">
        <v>9221</v>
      </c>
      <c r="AL1637" s="15" t="s">
        <v>9222</v>
      </c>
      <c r="AM1637" s="16" t="s">
        <v>9221</v>
      </c>
      <c r="AN1637" s="16" t="s">
        <v>9223</v>
      </c>
    </row>
    <row r="1638" spans="1:40" x14ac:dyDescent="0.25">
      <c r="A1638" s="4" t="s">
        <v>7254</v>
      </c>
      <c r="B1638" s="17"/>
      <c r="C1638" s="4" t="s">
        <v>39</v>
      </c>
      <c r="D1638" s="4" t="s">
        <v>7255</v>
      </c>
      <c r="E1638" s="4" t="s">
        <v>7256</v>
      </c>
      <c r="F1638" s="10">
        <v>45226</v>
      </c>
      <c r="G1638" s="18">
        <v>0.62916666666666665</v>
      </c>
      <c r="H1638" s="4" t="s">
        <v>4659</v>
      </c>
      <c r="I1638" s="4" t="s">
        <v>7216</v>
      </c>
      <c r="J1638" s="4" t="s">
        <v>7217</v>
      </c>
      <c r="K1638" s="4" t="s">
        <v>7257</v>
      </c>
      <c r="L1638" s="4" t="s">
        <v>7258</v>
      </c>
      <c r="M1638" s="4" t="s">
        <v>46</v>
      </c>
      <c r="N1638" s="4"/>
      <c r="O1638" s="4" t="s">
        <v>47</v>
      </c>
      <c r="P1638" s="4" t="s">
        <v>48</v>
      </c>
      <c r="Q1638" s="4">
        <v>0</v>
      </c>
      <c r="R1638" s="4" t="b">
        <v>0</v>
      </c>
      <c r="S1638" s="4" t="s">
        <v>49</v>
      </c>
      <c r="T1638" s="4" t="s">
        <v>89</v>
      </c>
      <c r="U1638" s="4" t="s">
        <v>71</v>
      </c>
      <c r="V1638" s="4" t="s">
        <v>52</v>
      </c>
      <c r="W1638" s="4" t="s">
        <v>53</v>
      </c>
      <c r="X1638" s="4" t="s">
        <v>98</v>
      </c>
      <c r="Y1638" s="4"/>
      <c r="Z1638" s="12">
        <v>0</v>
      </c>
      <c r="AA1638" s="13" t="s">
        <v>9162</v>
      </c>
      <c r="AB1638" s="13" t="s">
        <v>9150</v>
      </c>
      <c r="AC1638" s="14" t="s">
        <v>9139</v>
      </c>
      <c r="AD1638" s="14" t="s">
        <v>9140</v>
      </c>
      <c r="AE1638" s="14" t="s">
        <v>9140</v>
      </c>
      <c r="AF1638" s="14" t="s">
        <v>52</v>
      </c>
      <c r="AG1638" s="14" t="s">
        <v>98</v>
      </c>
      <c r="AH1638" s="15" t="s">
        <v>9220</v>
      </c>
      <c r="AI1638" s="15" t="s">
        <v>9142</v>
      </c>
      <c r="AJ1638" s="15" t="s">
        <v>9143</v>
      </c>
      <c r="AK1638" s="15" t="s">
        <v>9221</v>
      </c>
      <c r="AL1638" s="15" t="s">
        <v>9228</v>
      </c>
      <c r="AM1638" s="16" t="s">
        <v>9221</v>
      </c>
      <c r="AN1638" s="16" t="s">
        <v>9229</v>
      </c>
    </row>
    <row r="1639" spans="1:40" x14ac:dyDescent="0.25">
      <c r="A1639" s="4" t="s">
        <v>5763</v>
      </c>
      <c r="B1639" s="17"/>
      <c r="C1639" s="4" t="s">
        <v>39</v>
      </c>
      <c r="D1639" s="4" t="s">
        <v>5764</v>
      </c>
      <c r="E1639" s="4" t="s">
        <v>5765</v>
      </c>
      <c r="F1639" s="10">
        <v>45225</v>
      </c>
      <c r="G1639" s="18">
        <v>0.88541666666666663</v>
      </c>
      <c r="H1639" s="4" t="s">
        <v>4516</v>
      </c>
      <c r="I1639" s="4" t="s">
        <v>5754</v>
      </c>
      <c r="J1639" s="4" t="s">
        <v>1445</v>
      </c>
      <c r="K1639" s="4" t="s">
        <v>5766</v>
      </c>
      <c r="L1639" s="4" t="s">
        <v>5767</v>
      </c>
      <c r="M1639" s="4" t="s">
        <v>46</v>
      </c>
      <c r="N1639" s="4"/>
      <c r="O1639" s="4" t="s">
        <v>47</v>
      </c>
      <c r="P1639" s="4" t="s">
        <v>48</v>
      </c>
      <c r="Q1639" s="4">
        <v>0</v>
      </c>
      <c r="R1639" s="4" t="b">
        <v>0</v>
      </c>
      <c r="S1639" s="4" t="s">
        <v>61</v>
      </c>
      <c r="T1639" s="4" t="s">
        <v>479</v>
      </c>
      <c r="U1639" s="4" t="s">
        <v>122</v>
      </c>
      <c r="V1639" s="4" t="s">
        <v>123</v>
      </c>
      <c r="W1639" s="4" t="s">
        <v>124</v>
      </c>
      <c r="X1639" s="4" t="s">
        <v>978</v>
      </c>
      <c r="Y1639" s="4"/>
      <c r="Z1639" s="12">
        <v>0</v>
      </c>
      <c r="AA1639" s="13" t="s">
        <v>9162</v>
      </c>
      <c r="AB1639" s="13" t="s">
        <v>9150</v>
      </c>
      <c r="AC1639" s="14" t="s">
        <v>9148</v>
      </c>
      <c r="AD1639" s="14" t="s">
        <v>9140</v>
      </c>
      <c r="AE1639" s="14" t="s">
        <v>9140</v>
      </c>
      <c r="AF1639" s="14" t="s">
        <v>123</v>
      </c>
      <c r="AG1639" s="14" t="s">
        <v>978</v>
      </c>
      <c r="AH1639" s="15" t="s">
        <v>9220</v>
      </c>
      <c r="AI1639" s="15" t="s">
        <v>9188</v>
      </c>
      <c r="AJ1639" s="15" t="s">
        <v>9143</v>
      </c>
      <c r="AK1639" s="15" t="s">
        <v>9221</v>
      </c>
      <c r="AL1639" s="15" t="s">
        <v>9232</v>
      </c>
      <c r="AM1639" s="16" t="s">
        <v>9221</v>
      </c>
      <c r="AN1639" s="16" t="s">
        <v>9233</v>
      </c>
    </row>
    <row r="1640" spans="1:40" x14ac:dyDescent="0.25">
      <c r="A1640" s="4" t="s">
        <v>8075</v>
      </c>
      <c r="B1640" s="17"/>
      <c r="C1640" s="4" t="s">
        <v>39</v>
      </c>
      <c r="D1640" s="4" t="s">
        <v>8043</v>
      </c>
      <c r="E1640" s="4" t="s">
        <v>8044</v>
      </c>
      <c r="F1640" s="10">
        <v>45224</v>
      </c>
      <c r="G1640" s="18">
        <v>0.59236111111111112</v>
      </c>
      <c r="H1640" s="4" t="s">
        <v>4910</v>
      </c>
      <c r="I1640" s="4" t="s">
        <v>8017</v>
      </c>
      <c r="J1640" s="4" t="s">
        <v>8018</v>
      </c>
      <c r="K1640" s="4" t="s">
        <v>8076</v>
      </c>
      <c r="L1640" s="4" t="s">
        <v>8077</v>
      </c>
      <c r="M1640" s="4" t="s">
        <v>46</v>
      </c>
      <c r="N1640" s="4"/>
      <c r="O1640" s="4" t="s">
        <v>47</v>
      </c>
      <c r="P1640" s="4" t="s">
        <v>48</v>
      </c>
      <c r="Q1640" s="4">
        <v>0</v>
      </c>
      <c r="R1640" s="4" t="b">
        <v>0</v>
      </c>
      <c r="S1640" s="4" t="s">
        <v>61</v>
      </c>
      <c r="T1640" s="4" t="s">
        <v>1303</v>
      </c>
      <c r="U1640" s="4" t="s">
        <v>345</v>
      </c>
      <c r="V1640" s="4" t="s">
        <v>63</v>
      </c>
      <c r="W1640" s="4" t="s">
        <v>108</v>
      </c>
      <c r="X1640" s="4" t="s">
        <v>98</v>
      </c>
      <c r="Y1640" s="4"/>
      <c r="Z1640" s="12">
        <v>0</v>
      </c>
      <c r="AA1640" s="13" t="s">
        <v>9162</v>
      </c>
      <c r="AB1640" s="13" t="s">
        <v>9150</v>
      </c>
      <c r="AC1640" s="14" t="s">
        <v>9148</v>
      </c>
      <c r="AD1640" s="14" t="s">
        <v>9140</v>
      </c>
      <c r="AE1640" s="14" t="s">
        <v>9140</v>
      </c>
      <c r="AF1640" s="14" t="s">
        <v>63</v>
      </c>
      <c r="AG1640" s="14" t="s">
        <v>98</v>
      </c>
      <c r="AH1640" s="15" t="s">
        <v>9220</v>
      </c>
      <c r="AI1640" s="15" t="s">
        <v>9191</v>
      </c>
      <c r="AJ1640" s="15" t="s">
        <v>9143</v>
      </c>
      <c r="AK1640" s="15" t="s">
        <v>9221</v>
      </c>
      <c r="AL1640" s="15" t="s">
        <v>9234</v>
      </c>
      <c r="AM1640" s="16" t="s">
        <v>9221</v>
      </c>
      <c r="AN1640" s="16" t="s">
        <v>9235</v>
      </c>
    </row>
    <row r="1641" spans="1:40" x14ac:dyDescent="0.25">
      <c r="A1641" s="4" t="s">
        <v>8078</v>
      </c>
      <c r="B1641" s="17"/>
      <c r="C1641" s="4" t="s">
        <v>39</v>
      </c>
      <c r="D1641" s="4" t="s">
        <v>8043</v>
      </c>
      <c r="E1641" s="4" t="s">
        <v>8044</v>
      </c>
      <c r="F1641" s="10">
        <v>45224</v>
      </c>
      <c r="G1641" s="18">
        <v>0.43055555555555558</v>
      </c>
      <c r="H1641" s="4" t="s">
        <v>4910</v>
      </c>
      <c r="I1641" s="4" t="s">
        <v>8017</v>
      </c>
      <c r="J1641" s="4" t="s">
        <v>8018</v>
      </c>
      <c r="K1641" s="4" t="s">
        <v>8079</v>
      </c>
      <c r="L1641" s="4" t="s">
        <v>8080</v>
      </c>
      <c r="M1641" s="4" t="s">
        <v>46</v>
      </c>
      <c r="N1641" s="4"/>
      <c r="O1641" s="4" t="s">
        <v>47</v>
      </c>
      <c r="P1641" s="4" t="s">
        <v>48</v>
      </c>
      <c r="Q1641" s="4">
        <v>0</v>
      </c>
      <c r="R1641" s="4" t="b">
        <v>0</v>
      </c>
      <c r="S1641" s="4" t="s">
        <v>61</v>
      </c>
      <c r="T1641" s="4" t="s">
        <v>1303</v>
      </c>
      <c r="U1641" s="4" t="s">
        <v>51</v>
      </c>
      <c r="V1641" s="4" t="s">
        <v>123</v>
      </c>
      <c r="W1641" s="4" t="s">
        <v>149</v>
      </c>
      <c r="X1641" s="4" t="s">
        <v>98</v>
      </c>
      <c r="Y1641" s="4"/>
      <c r="Z1641" s="12">
        <v>0</v>
      </c>
      <c r="AA1641" s="13" t="s">
        <v>9162</v>
      </c>
      <c r="AB1641" s="13" t="s">
        <v>9150</v>
      </c>
      <c r="AC1641" s="14" t="s">
        <v>9148</v>
      </c>
      <c r="AD1641" s="14" t="s">
        <v>9140</v>
      </c>
      <c r="AE1641" s="14" t="s">
        <v>9140</v>
      </c>
      <c r="AF1641" s="14" t="s">
        <v>123</v>
      </c>
      <c r="AG1641" s="14" t="s">
        <v>98</v>
      </c>
      <c r="AH1641" s="15" t="s">
        <v>9220</v>
      </c>
      <c r="AI1641" s="15" t="s">
        <v>9191</v>
      </c>
      <c r="AJ1641" s="15" t="s">
        <v>9143</v>
      </c>
      <c r="AK1641" s="15" t="s">
        <v>9221</v>
      </c>
      <c r="AL1641" s="15" t="s">
        <v>9234</v>
      </c>
      <c r="AM1641" s="16" t="s">
        <v>9221</v>
      </c>
      <c r="AN1641" s="16" t="s">
        <v>9235</v>
      </c>
    </row>
    <row r="1642" spans="1:40" x14ac:dyDescent="0.25">
      <c r="A1642" s="4" t="s">
        <v>8338</v>
      </c>
      <c r="B1642" s="17"/>
      <c r="C1642" s="4" t="s">
        <v>39</v>
      </c>
      <c r="D1642" s="4" t="s">
        <v>8339</v>
      </c>
      <c r="E1642" s="4" t="s">
        <v>8340</v>
      </c>
      <c r="F1642" s="10">
        <v>45224</v>
      </c>
      <c r="G1642" s="18">
        <v>0.53472222222222221</v>
      </c>
      <c r="H1642" s="4" t="s">
        <v>4910</v>
      </c>
      <c r="I1642" s="4" t="s">
        <v>8320</v>
      </c>
      <c r="J1642" s="4" t="s">
        <v>8321</v>
      </c>
      <c r="K1642" s="4" t="s">
        <v>8341</v>
      </c>
      <c r="L1642" s="4" t="s">
        <v>8342</v>
      </c>
      <c r="M1642" s="4" t="s">
        <v>46</v>
      </c>
      <c r="N1642" s="4"/>
      <c r="O1642" s="4" t="s">
        <v>47</v>
      </c>
      <c r="P1642" s="4" t="s">
        <v>48</v>
      </c>
      <c r="Q1642" s="4">
        <v>0</v>
      </c>
      <c r="R1642" s="4" t="b">
        <v>0</v>
      </c>
      <c r="S1642" s="4" t="s">
        <v>114</v>
      </c>
      <c r="T1642" s="4" t="s">
        <v>70</v>
      </c>
      <c r="U1642" s="4" t="s">
        <v>71</v>
      </c>
      <c r="V1642" s="4" t="s">
        <v>72</v>
      </c>
      <c r="W1642" s="4" t="s">
        <v>73</v>
      </c>
      <c r="X1642" s="4" t="s">
        <v>54</v>
      </c>
      <c r="Y1642" s="4"/>
      <c r="Z1642" s="12">
        <v>0</v>
      </c>
      <c r="AA1642" s="13" t="s">
        <v>9162</v>
      </c>
      <c r="AB1642" s="13" t="s">
        <v>9150</v>
      </c>
      <c r="AC1642" s="14" t="s">
        <v>9157</v>
      </c>
      <c r="AD1642" s="14" t="s">
        <v>9140</v>
      </c>
      <c r="AE1642" s="14" t="s">
        <v>9140</v>
      </c>
      <c r="AF1642" s="14" t="s">
        <v>72</v>
      </c>
      <c r="AG1642" s="14" t="s">
        <v>54</v>
      </c>
      <c r="AH1642" s="15" t="s">
        <v>9220</v>
      </c>
      <c r="AI1642" s="15" t="s">
        <v>9191</v>
      </c>
      <c r="AJ1642" s="15" t="s">
        <v>9143</v>
      </c>
      <c r="AK1642" s="15" t="s">
        <v>9221</v>
      </c>
      <c r="AL1642" s="15" t="s">
        <v>9234</v>
      </c>
      <c r="AM1642" s="16" t="s">
        <v>9221</v>
      </c>
      <c r="AN1642" s="16" t="s">
        <v>9235</v>
      </c>
    </row>
    <row r="1643" spans="1:40" x14ac:dyDescent="0.25">
      <c r="A1643" s="4" t="s">
        <v>3898</v>
      </c>
      <c r="B1643" s="17"/>
      <c r="C1643" s="4" t="s">
        <v>39</v>
      </c>
      <c r="D1643" s="4" t="s">
        <v>3899</v>
      </c>
      <c r="E1643" s="4" t="s">
        <v>3900</v>
      </c>
      <c r="F1643" s="10">
        <v>45224</v>
      </c>
      <c r="G1643" s="18">
        <v>0.41249999999999998</v>
      </c>
      <c r="H1643" s="4" t="s">
        <v>2095</v>
      </c>
      <c r="I1643" s="4" t="s">
        <v>3889</v>
      </c>
      <c r="J1643" s="4" t="s">
        <v>3890</v>
      </c>
      <c r="K1643" s="4" t="s">
        <v>3901</v>
      </c>
      <c r="L1643" s="4" t="s">
        <v>3902</v>
      </c>
      <c r="M1643" s="4" t="s">
        <v>46</v>
      </c>
      <c r="N1643" s="4"/>
      <c r="O1643" s="4" t="s">
        <v>47</v>
      </c>
      <c r="P1643" s="4" t="s">
        <v>48</v>
      </c>
      <c r="Q1643" s="4">
        <v>0</v>
      </c>
      <c r="R1643" s="4" t="b">
        <v>0</v>
      </c>
      <c r="S1643" s="4" t="s">
        <v>49</v>
      </c>
      <c r="T1643" s="4" t="s">
        <v>70</v>
      </c>
      <c r="U1643" s="4" t="s">
        <v>71</v>
      </c>
      <c r="V1643" s="4" t="s">
        <v>72</v>
      </c>
      <c r="W1643" s="4" t="s">
        <v>73</v>
      </c>
      <c r="X1643" s="4" t="s">
        <v>54</v>
      </c>
      <c r="Y1643" s="4"/>
      <c r="Z1643" s="12">
        <v>0</v>
      </c>
      <c r="AA1643" s="13" t="s">
        <v>9162</v>
      </c>
      <c r="AB1643" s="13" t="s">
        <v>9150</v>
      </c>
      <c r="AC1643" s="14" t="s">
        <v>9139</v>
      </c>
      <c r="AD1643" s="14" t="s">
        <v>9140</v>
      </c>
      <c r="AE1643" s="14" t="s">
        <v>9140</v>
      </c>
      <c r="AF1643" s="14" t="s">
        <v>72</v>
      </c>
      <c r="AG1643" s="14" t="s">
        <v>54</v>
      </c>
      <c r="AH1643" s="15" t="s">
        <v>9194</v>
      </c>
      <c r="AI1643" s="15" t="s">
        <v>9188</v>
      </c>
      <c r="AJ1643" s="15" t="s">
        <v>9143</v>
      </c>
      <c r="AK1643" s="15" t="s">
        <v>9194</v>
      </c>
      <c r="AL1643" s="15" t="s">
        <v>9203</v>
      </c>
      <c r="AM1643" s="16" t="s">
        <v>9194</v>
      </c>
      <c r="AN1643" s="16" t="s">
        <v>9204</v>
      </c>
    </row>
    <row r="1644" spans="1:40" x14ac:dyDescent="0.25">
      <c r="A1644" s="4" t="s">
        <v>3903</v>
      </c>
      <c r="B1644" s="17"/>
      <c r="C1644" s="4" t="s">
        <v>39</v>
      </c>
      <c r="D1644" s="4" t="s">
        <v>3904</v>
      </c>
      <c r="E1644" s="4" t="s">
        <v>3905</v>
      </c>
      <c r="F1644" s="10">
        <v>45224</v>
      </c>
      <c r="G1644" s="18">
        <v>0.62916666666666665</v>
      </c>
      <c r="H1644" s="4" t="s">
        <v>2095</v>
      </c>
      <c r="I1644" s="4" t="s">
        <v>3889</v>
      </c>
      <c r="J1644" s="4" t="s">
        <v>3890</v>
      </c>
      <c r="K1644" s="4" t="s">
        <v>3906</v>
      </c>
      <c r="L1644" s="4" t="s">
        <v>3907</v>
      </c>
      <c r="M1644" s="4" t="s">
        <v>46</v>
      </c>
      <c r="N1644" s="4"/>
      <c r="O1644" s="4" t="s">
        <v>47</v>
      </c>
      <c r="P1644" s="4" t="s">
        <v>48</v>
      </c>
      <c r="Q1644" s="4">
        <v>0</v>
      </c>
      <c r="R1644" s="4" t="b">
        <v>0</v>
      </c>
      <c r="S1644" s="4" t="s">
        <v>49</v>
      </c>
      <c r="T1644" s="4" t="s">
        <v>50</v>
      </c>
      <c r="U1644" s="4" t="s">
        <v>600</v>
      </c>
      <c r="V1644" s="4" t="s">
        <v>72</v>
      </c>
      <c r="W1644" s="4" t="s">
        <v>73</v>
      </c>
      <c r="X1644" s="4" t="s">
        <v>54</v>
      </c>
      <c r="Y1644" s="4"/>
      <c r="Z1644" s="12">
        <v>0</v>
      </c>
      <c r="AA1644" s="13" t="s">
        <v>9162</v>
      </c>
      <c r="AB1644" s="13" t="s">
        <v>9150</v>
      </c>
      <c r="AC1644" s="14" t="s">
        <v>9139</v>
      </c>
      <c r="AD1644" s="14" t="s">
        <v>9140</v>
      </c>
      <c r="AE1644" s="14" t="s">
        <v>9140</v>
      </c>
      <c r="AF1644" s="14" t="s">
        <v>72</v>
      </c>
      <c r="AG1644" s="14" t="s">
        <v>54</v>
      </c>
      <c r="AH1644" s="15" t="s">
        <v>9194</v>
      </c>
      <c r="AI1644" s="15" t="s">
        <v>9188</v>
      </c>
      <c r="AJ1644" s="15" t="s">
        <v>9143</v>
      </c>
      <c r="AK1644" s="15" t="s">
        <v>9194</v>
      </c>
      <c r="AL1644" s="15" t="s">
        <v>9203</v>
      </c>
      <c r="AM1644" s="16" t="s">
        <v>9194</v>
      </c>
      <c r="AN1644" s="16" t="s">
        <v>9204</v>
      </c>
    </row>
    <row r="1645" spans="1:40" x14ac:dyDescent="0.25">
      <c r="A1645" s="4" t="s">
        <v>2252</v>
      </c>
      <c r="B1645" s="17"/>
      <c r="C1645" s="4" t="s">
        <v>39</v>
      </c>
      <c r="D1645" s="4" t="s">
        <v>2253</v>
      </c>
      <c r="E1645" s="4" t="s">
        <v>2254</v>
      </c>
      <c r="F1645" s="10">
        <v>45223</v>
      </c>
      <c r="G1645" s="18">
        <v>0.61805555555555558</v>
      </c>
      <c r="H1645" s="4" t="s">
        <v>2227</v>
      </c>
      <c r="I1645" s="4" t="s">
        <v>2228</v>
      </c>
      <c r="J1645" s="4" t="s">
        <v>1173</v>
      </c>
      <c r="K1645" s="4" t="s">
        <v>2255</v>
      </c>
      <c r="L1645" s="4" t="s">
        <v>2256</v>
      </c>
      <c r="M1645" s="4" t="s">
        <v>46</v>
      </c>
      <c r="N1645" s="4"/>
      <c r="O1645" s="4" t="s">
        <v>47</v>
      </c>
      <c r="P1645" s="4" t="s">
        <v>48</v>
      </c>
      <c r="Q1645" s="4">
        <v>0</v>
      </c>
      <c r="R1645" s="4" t="b">
        <v>0</v>
      </c>
      <c r="S1645" s="4" t="s">
        <v>49</v>
      </c>
      <c r="T1645" s="4" t="s">
        <v>89</v>
      </c>
      <c r="U1645" s="4" t="s">
        <v>71</v>
      </c>
      <c r="V1645" s="4" t="s">
        <v>63</v>
      </c>
      <c r="W1645" s="4" t="s">
        <v>198</v>
      </c>
      <c r="X1645" s="4" t="s">
        <v>98</v>
      </c>
      <c r="Y1645" s="4"/>
      <c r="Z1645" s="12">
        <v>0</v>
      </c>
      <c r="AA1645" s="13" t="s">
        <v>9162</v>
      </c>
      <c r="AB1645" s="13" t="s">
        <v>9150</v>
      </c>
      <c r="AC1645" s="14" t="s">
        <v>9139</v>
      </c>
      <c r="AD1645" s="14" t="s">
        <v>9140</v>
      </c>
      <c r="AE1645" s="14" t="s">
        <v>9140</v>
      </c>
      <c r="AF1645" s="14" t="s">
        <v>63</v>
      </c>
      <c r="AG1645" s="14" t="s">
        <v>98</v>
      </c>
      <c r="AH1645" s="15" t="s">
        <v>9194</v>
      </c>
      <c r="AI1645" s="15" t="s">
        <v>9187</v>
      </c>
      <c r="AJ1645" s="15" t="s">
        <v>9143</v>
      </c>
      <c r="AK1645" s="15" t="s">
        <v>9194</v>
      </c>
      <c r="AL1645" s="15" t="s">
        <v>9209</v>
      </c>
      <c r="AM1645" s="16" t="s">
        <v>9194</v>
      </c>
      <c r="AN1645" s="16" t="s">
        <v>9210</v>
      </c>
    </row>
    <row r="1646" spans="1:40" x14ac:dyDescent="0.25">
      <c r="A1646" s="4" t="s">
        <v>2589</v>
      </c>
      <c r="B1646" s="17"/>
      <c r="C1646" s="4" t="s">
        <v>39</v>
      </c>
      <c r="D1646" s="4" t="s">
        <v>2590</v>
      </c>
      <c r="E1646" s="4" t="s">
        <v>2591</v>
      </c>
      <c r="F1646" s="10">
        <v>45223</v>
      </c>
      <c r="G1646" s="18">
        <v>0.52777777777777779</v>
      </c>
      <c r="H1646" s="4" t="s">
        <v>1939</v>
      </c>
      <c r="I1646" s="4" t="s">
        <v>2575</v>
      </c>
      <c r="J1646" s="4" t="s">
        <v>2576</v>
      </c>
      <c r="K1646" s="4" t="s">
        <v>2592</v>
      </c>
      <c r="L1646" s="4" t="s">
        <v>2593</v>
      </c>
      <c r="M1646" s="4" t="s">
        <v>46</v>
      </c>
      <c r="N1646" s="4"/>
      <c r="O1646" s="4" t="s">
        <v>47</v>
      </c>
      <c r="P1646" s="4" t="s">
        <v>48</v>
      </c>
      <c r="Q1646" s="4">
        <v>0</v>
      </c>
      <c r="R1646" s="4" t="b">
        <v>0</v>
      </c>
      <c r="S1646" s="4" t="s">
        <v>184</v>
      </c>
      <c r="T1646" s="4" t="s">
        <v>89</v>
      </c>
      <c r="U1646" s="4" t="s">
        <v>71</v>
      </c>
      <c r="V1646" s="4" t="s">
        <v>72</v>
      </c>
      <c r="W1646" s="4" t="s">
        <v>73</v>
      </c>
      <c r="X1646" s="4" t="s">
        <v>54</v>
      </c>
      <c r="Y1646" s="4"/>
      <c r="Z1646" s="12">
        <v>0</v>
      </c>
      <c r="AA1646" s="13" t="s">
        <v>9162</v>
      </c>
      <c r="AB1646" s="13" t="s">
        <v>9150</v>
      </c>
      <c r="AC1646" s="14" t="s">
        <v>9166</v>
      </c>
      <c r="AD1646" s="14" t="s">
        <v>9140</v>
      </c>
      <c r="AE1646" s="14" t="s">
        <v>9140</v>
      </c>
      <c r="AF1646" s="14" t="s">
        <v>72</v>
      </c>
      <c r="AG1646" s="14" t="s">
        <v>54</v>
      </c>
      <c r="AH1646" s="15" t="s">
        <v>9194</v>
      </c>
      <c r="AI1646" s="15" t="s">
        <v>9175</v>
      </c>
      <c r="AJ1646" s="15" t="s">
        <v>9143</v>
      </c>
      <c r="AK1646" s="15" t="s">
        <v>9194</v>
      </c>
      <c r="AL1646" s="15" t="s">
        <v>9209</v>
      </c>
      <c r="AM1646" s="16" t="s">
        <v>9194</v>
      </c>
      <c r="AN1646" s="16" t="s">
        <v>9210</v>
      </c>
    </row>
    <row r="1647" spans="1:40" x14ac:dyDescent="0.25">
      <c r="A1647" s="4" t="s">
        <v>5741</v>
      </c>
      <c r="B1647" s="17"/>
      <c r="C1647" s="4" t="s">
        <v>39</v>
      </c>
      <c r="D1647" s="4" t="s">
        <v>5691</v>
      </c>
      <c r="E1647" s="4" t="s">
        <v>5692</v>
      </c>
      <c r="F1647" s="10">
        <v>45223</v>
      </c>
      <c r="G1647" s="18">
        <v>0.45</v>
      </c>
      <c r="H1647" s="4" t="s">
        <v>5666</v>
      </c>
      <c r="I1647" s="4" t="s">
        <v>5667</v>
      </c>
      <c r="J1647" s="4" t="s">
        <v>2192</v>
      </c>
      <c r="K1647" s="4" t="s">
        <v>5742</v>
      </c>
      <c r="L1647" s="4" t="s">
        <v>5743</v>
      </c>
      <c r="M1647" s="4" t="s">
        <v>46</v>
      </c>
      <c r="N1647" s="4"/>
      <c r="O1647" s="4" t="s">
        <v>47</v>
      </c>
      <c r="P1647" s="4" t="s">
        <v>48</v>
      </c>
      <c r="Q1647" s="4">
        <v>0</v>
      </c>
      <c r="R1647" s="4" t="b">
        <v>0</v>
      </c>
      <c r="S1647" s="4" t="s">
        <v>49</v>
      </c>
      <c r="T1647" s="4" t="s">
        <v>89</v>
      </c>
      <c r="U1647" s="4" t="s">
        <v>51</v>
      </c>
      <c r="V1647" s="4" t="s">
        <v>63</v>
      </c>
      <c r="W1647" s="4" t="s">
        <v>108</v>
      </c>
      <c r="X1647" s="4" t="s">
        <v>98</v>
      </c>
      <c r="Y1647" s="4"/>
      <c r="Z1647" s="12">
        <v>0</v>
      </c>
      <c r="AA1647" s="13" t="s">
        <v>9162</v>
      </c>
      <c r="AB1647" s="13" t="s">
        <v>9150</v>
      </c>
      <c r="AC1647" s="14" t="s">
        <v>9139</v>
      </c>
      <c r="AD1647" s="14" t="s">
        <v>9140</v>
      </c>
      <c r="AE1647" s="14" t="s">
        <v>9140</v>
      </c>
      <c r="AF1647" s="14" t="s">
        <v>63</v>
      </c>
      <c r="AG1647" s="14" t="s">
        <v>98</v>
      </c>
      <c r="AH1647" s="15" t="s">
        <v>9220</v>
      </c>
      <c r="AI1647" s="15" t="s">
        <v>9199</v>
      </c>
      <c r="AJ1647" s="15" t="s">
        <v>9143</v>
      </c>
      <c r="AK1647" s="15" t="s">
        <v>9221</v>
      </c>
      <c r="AL1647" s="15" t="s">
        <v>9199</v>
      </c>
      <c r="AM1647" s="16" t="s">
        <v>9221</v>
      </c>
      <c r="AN1647" s="16" t="s">
        <v>9238</v>
      </c>
    </row>
    <row r="1648" spans="1:40" x14ac:dyDescent="0.25">
      <c r="A1648" s="4" t="s">
        <v>8291</v>
      </c>
      <c r="B1648" s="17"/>
      <c r="C1648" s="4" t="s">
        <v>39</v>
      </c>
      <c r="D1648" s="4" t="s">
        <v>8292</v>
      </c>
      <c r="E1648" s="4" t="s">
        <v>8288</v>
      </c>
      <c r="F1648" s="10">
        <v>45223</v>
      </c>
      <c r="G1648" s="18">
        <v>0.45833333333333331</v>
      </c>
      <c r="H1648" s="4" t="s">
        <v>4019</v>
      </c>
      <c r="I1648" s="4" t="s">
        <v>8282</v>
      </c>
      <c r="J1648" s="4" t="s">
        <v>8283</v>
      </c>
      <c r="K1648" s="4" t="s">
        <v>8293</v>
      </c>
      <c r="L1648" s="4" t="s">
        <v>8294</v>
      </c>
      <c r="M1648" s="4" t="s">
        <v>46</v>
      </c>
      <c r="N1648" s="4"/>
      <c r="O1648" s="4" t="s">
        <v>47</v>
      </c>
      <c r="P1648" s="4" t="s">
        <v>48</v>
      </c>
      <c r="Q1648" s="4">
        <v>0</v>
      </c>
      <c r="R1648" s="4" t="b">
        <v>0</v>
      </c>
      <c r="S1648" s="4" t="s">
        <v>61</v>
      </c>
      <c r="T1648" s="4" t="s">
        <v>115</v>
      </c>
      <c r="U1648" s="4" t="s">
        <v>175</v>
      </c>
      <c r="V1648" s="4" t="s">
        <v>52</v>
      </c>
      <c r="W1648" s="4" t="s">
        <v>53</v>
      </c>
      <c r="X1648" s="4" t="s">
        <v>98</v>
      </c>
      <c r="Y1648" s="4"/>
      <c r="Z1648" s="12">
        <v>0</v>
      </c>
      <c r="AA1648" s="13" t="s">
        <v>9162</v>
      </c>
      <c r="AB1648" s="13" t="s">
        <v>9150</v>
      </c>
      <c r="AC1648" s="14" t="s">
        <v>9148</v>
      </c>
      <c r="AD1648" s="14" t="s">
        <v>9140</v>
      </c>
      <c r="AE1648" s="14" t="s">
        <v>9140</v>
      </c>
      <c r="AF1648" s="14" t="s">
        <v>52</v>
      </c>
      <c r="AG1648" s="14" t="s">
        <v>98</v>
      </c>
      <c r="AH1648" s="15" t="s">
        <v>9220</v>
      </c>
      <c r="AI1648" s="15" t="s">
        <v>9175</v>
      </c>
      <c r="AJ1648" s="15" t="s">
        <v>9143</v>
      </c>
      <c r="AK1648" s="15" t="s">
        <v>9221</v>
      </c>
      <c r="AL1648" s="15" t="s">
        <v>9224</v>
      </c>
      <c r="AM1648" s="16" t="s">
        <v>9221</v>
      </c>
      <c r="AN1648" s="16" t="s">
        <v>9225</v>
      </c>
    </row>
    <row r="1649" spans="1:40" x14ac:dyDescent="0.25">
      <c r="A1649" s="4" t="s">
        <v>7701</v>
      </c>
      <c r="B1649" s="17"/>
      <c r="C1649" s="4" t="s">
        <v>39</v>
      </c>
      <c r="D1649" s="4" t="s">
        <v>7702</v>
      </c>
      <c r="E1649" s="4" t="s">
        <v>7703</v>
      </c>
      <c r="F1649" s="10">
        <v>45223</v>
      </c>
      <c r="G1649" s="18">
        <v>0.3888888888888889</v>
      </c>
      <c r="H1649" s="4" t="s">
        <v>4910</v>
      </c>
      <c r="I1649" s="4" t="s">
        <v>7681</v>
      </c>
      <c r="J1649" s="4" t="s">
        <v>2956</v>
      </c>
      <c r="K1649" s="4" t="s">
        <v>7704</v>
      </c>
      <c r="L1649" s="4" t="s">
        <v>7705</v>
      </c>
      <c r="M1649" s="4" t="s">
        <v>28</v>
      </c>
      <c r="N1649" s="4" t="s">
        <v>183</v>
      </c>
      <c r="O1649" s="4" t="s">
        <v>174</v>
      </c>
      <c r="P1649" s="4" t="s">
        <v>48</v>
      </c>
      <c r="Q1649" s="4">
        <v>7</v>
      </c>
      <c r="R1649" s="4" t="b">
        <v>0</v>
      </c>
      <c r="S1649" s="4" t="s">
        <v>184</v>
      </c>
      <c r="T1649" s="4" t="s">
        <v>479</v>
      </c>
      <c r="U1649" s="4" t="s">
        <v>373</v>
      </c>
      <c r="V1649" s="4" t="s">
        <v>123</v>
      </c>
      <c r="W1649" s="4" t="s">
        <v>124</v>
      </c>
      <c r="X1649" s="4" t="s">
        <v>54</v>
      </c>
      <c r="Y1649" s="4"/>
      <c r="Z1649" s="12" t="s">
        <v>48</v>
      </c>
      <c r="AA1649" s="13" t="s">
        <v>9162</v>
      </c>
      <c r="AB1649" s="13" t="s">
        <v>9150</v>
      </c>
      <c r="AC1649" s="14" t="s">
        <v>9166</v>
      </c>
      <c r="AD1649" s="14" t="s">
        <v>28</v>
      </c>
      <c r="AE1649" s="14" t="s">
        <v>183</v>
      </c>
      <c r="AF1649" s="14" t="s">
        <v>123</v>
      </c>
      <c r="AG1649" s="14" t="s">
        <v>54</v>
      </c>
      <c r="AH1649" s="15" t="s">
        <v>9220</v>
      </c>
      <c r="AI1649" s="15" t="s">
        <v>9191</v>
      </c>
      <c r="AJ1649" s="15" t="s">
        <v>9143</v>
      </c>
      <c r="AK1649" s="15" t="s">
        <v>9221</v>
      </c>
      <c r="AL1649" s="15" t="s">
        <v>9234</v>
      </c>
      <c r="AM1649" s="16" t="s">
        <v>9221</v>
      </c>
      <c r="AN1649" s="16" t="s">
        <v>9235</v>
      </c>
    </row>
    <row r="1650" spans="1:40" x14ac:dyDescent="0.25">
      <c r="A1650" s="4" t="s">
        <v>6536</v>
      </c>
      <c r="B1650" s="17"/>
      <c r="C1650" s="4" t="s">
        <v>39</v>
      </c>
      <c r="D1650" s="4" t="s">
        <v>6537</v>
      </c>
      <c r="E1650" s="4" t="s">
        <v>6538</v>
      </c>
      <c r="F1650" s="10">
        <v>45223</v>
      </c>
      <c r="G1650" s="18">
        <v>0.36249999999999999</v>
      </c>
      <c r="H1650" s="4" t="s">
        <v>4910</v>
      </c>
      <c r="I1650" s="4" t="s">
        <v>6502</v>
      </c>
      <c r="J1650" s="4" t="s">
        <v>6503</v>
      </c>
      <c r="K1650" s="4" t="s">
        <v>6539</v>
      </c>
      <c r="L1650" s="4" t="s">
        <v>6540</v>
      </c>
      <c r="M1650" s="4" t="s">
        <v>46</v>
      </c>
      <c r="N1650" s="4"/>
      <c r="O1650" s="4" t="s">
        <v>47</v>
      </c>
      <c r="P1650" s="4" t="s">
        <v>48</v>
      </c>
      <c r="Q1650" s="4">
        <v>0</v>
      </c>
      <c r="R1650" s="4" t="b">
        <v>0</v>
      </c>
      <c r="S1650" s="4" t="s">
        <v>49</v>
      </c>
      <c r="T1650" s="4" t="s">
        <v>479</v>
      </c>
      <c r="U1650" s="4" t="s">
        <v>140</v>
      </c>
      <c r="V1650" s="4" t="s">
        <v>123</v>
      </c>
      <c r="W1650" s="4" t="s">
        <v>149</v>
      </c>
      <c r="X1650" s="4" t="s">
        <v>98</v>
      </c>
      <c r="Y1650" s="4"/>
      <c r="Z1650" s="12">
        <v>0</v>
      </c>
      <c r="AA1650" s="13" t="s">
        <v>9162</v>
      </c>
      <c r="AB1650" s="13" t="s">
        <v>9150</v>
      </c>
      <c r="AC1650" s="14" t="s">
        <v>9139</v>
      </c>
      <c r="AD1650" s="14" t="s">
        <v>9140</v>
      </c>
      <c r="AE1650" s="14" t="s">
        <v>9140</v>
      </c>
      <c r="AF1650" s="14" t="s">
        <v>123</v>
      </c>
      <c r="AG1650" s="14" t="s">
        <v>98</v>
      </c>
      <c r="AH1650" s="15" t="s">
        <v>9220</v>
      </c>
      <c r="AI1650" s="15" t="s">
        <v>9191</v>
      </c>
      <c r="AJ1650" s="15" t="s">
        <v>9143</v>
      </c>
      <c r="AK1650" s="15" t="s">
        <v>9221</v>
      </c>
      <c r="AL1650" s="15" t="s">
        <v>9236</v>
      </c>
      <c r="AM1650" s="16" t="s">
        <v>9221</v>
      </c>
      <c r="AN1650" s="16" t="s">
        <v>9237</v>
      </c>
    </row>
    <row r="1651" spans="1:40" x14ac:dyDescent="0.25">
      <c r="A1651" s="4" t="s">
        <v>4539</v>
      </c>
      <c r="B1651" s="17"/>
      <c r="C1651" s="4" t="s">
        <v>39</v>
      </c>
      <c r="D1651" s="4" t="s">
        <v>4530</v>
      </c>
      <c r="E1651" s="4" t="s">
        <v>4540</v>
      </c>
      <c r="F1651" s="10">
        <v>45223</v>
      </c>
      <c r="G1651" s="18">
        <v>0.67708333333333337</v>
      </c>
      <c r="H1651" s="4" t="s">
        <v>4516</v>
      </c>
      <c r="I1651" s="4" t="s">
        <v>4517</v>
      </c>
      <c r="J1651" s="4" t="s">
        <v>2272</v>
      </c>
      <c r="K1651" s="4" t="s">
        <v>4541</v>
      </c>
      <c r="L1651" s="4" t="s">
        <v>4542</v>
      </c>
      <c r="M1651" s="4" t="s">
        <v>46</v>
      </c>
      <c r="N1651" s="4"/>
      <c r="O1651" s="4" t="s">
        <v>47</v>
      </c>
      <c r="P1651" s="4" t="s">
        <v>48</v>
      </c>
      <c r="Q1651" s="4">
        <v>0</v>
      </c>
      <c r="R1651" s="4" t="b">
        <v>0</v>
      </c>
      <c r="S1651" s="4" t="s">
        <v>49</v>
      </c>
      <c r="T1651" s="4" t="s">
        <v>134</v>
      </c>
      <c r="U1651" s="4" t="s">
        <v>80</v>
      </c>
      <c r="V1651" s="4" t="s">
        <v>63</v>
      </c>
      <c r="W1651" s="4" t="s">
        <v>198</v>
      </c>
      <c r="X1651" s="4" t="s">
        <v>54</v>
      </c>
      <c r="Y1651" s="4" t="s">
        <v>176</v>
      </c>
      <c r="Z1651" s="12">
        <v>0</v>
      </c>
      <c r="AA1651" s="13" t="s">
        <v>9162</v>
      </c>
      <c r="AB1651" s="13" t="s">
        <v>9150</v>
      </c>
      <c r="AC1651" s="14" t="s">
        <v>9139</v>
      </c>
      <c r="AD1651" s="14" t="s">
        <v>9140</v>
      </c>
      <c r="AE1651" s="14" t="s">
        <v>9140</v>
      </c>
      <c r="AF1651" s="14" t="s">
        <v>63</v>
      </c>
      <c r="AG1651" s="14" t="s">
        <v>54</v>
      </c>
      <c r="AH1651" s="15" t="s">
        <v>9220</v>
      </c>
      <c r="AI1651" s="15" t="s">
        <v>9188</v>
      </c>
      <c r="AJ1651" s="15" t="s">
        <v>9143</v>
      </c>
      <c r="AK1651" s="15" t="s">
        <v>9221</v>
      </c>
      <c r="AL1651" s="15" t="s">
        <v>9230</v>
      </c>
      <c r="AM1651" s="16" t="s">
        <v>9221</v>
      </c>
      <c r="AN1651" s="16" t="s">
        <v>9231</v>
      </c>
    </row>
    <row r="1652" spans="1:40" x14ac:dyDescent="0.25">
      <c r="A1652" s="4" t="s">
        <v>4891</v>
      </c>
      <c r="B1652" s="17"/>
      <c r="C1652" s="4" t="s">
        <v>39</v>
      </c>
      <c r="D1652" s="4" t="s">
        <v>4892</v>
      </c>
      <c r="E1652" s="4" t="s">
        <v>4893</v>
      </c>
      <c r="F1652" s="10">
        <v>45222</v>
      </c>
      <c r="G1652" s="18">
        <v>0.65833333333333333</v>
      </c>
      <c r="H1652" s="4" t="s">
        <v>4516</v>
      </c>
      <c r="I1652" s="4" t="s">
        <v>4869</v>
      </c>
      <c r="J1652" s="4" t="s">
        <v>4870</v>
      </c>
      <c r="K1652" s="4" t="s">
        <v>4894</v>
      </c>
      <c r="L1652" s="4" t="s">
        <v>4895</v>
      </c>
      <c r="M1652" s="4" t="s">
        <v>46</v>
      </c>
      <c r="N1652" s="4"/>
      <c r="O1652" s="4" t="s">
        <v>47</v>
      </c>
      <c r="P1652" s="4" t="s">
        <v>48</v>
      </c>
      <c r="Q1652" s="4">
        <v>0</v>
      </c>
      <c r="R1652" s="4" t="b">
        <v>0</v>
      </c>
      <c r="S1652" s="4" t="s">
        <v>114</v>
      </c>
      <c r="T1652" s="4" t="s">
        <v>583</v>
      </c>
      <c r="U1652" s="4" t="s">
        <v>71</v>
      </c>
      <c r="V1652" s="4" t="s">
        <v>63</v>
      </c>
      <c r="W1652" s="4" t="s">
        <v>312</v>
      </c>
      <c r="X1652" s="4" t="s">
        <v>54</v>
      </c>
      <c r="Y1652" s="4"/>
      <c r="Z1652" s="12">
        <v>0</v>
      </c>
      <c r="AA1652" s="13" t="s">
        <v>9162</v>
      </c>
      <c r="AB1652" s="13" t="s">
        <v>9150</v>
      </c>
      <c r="AC1652" s="14" t="s">
        <v>9157</v>
      </c>
      <c r="AD1652" s="14" t="s">
        <v>9140</v>
      </c>
      <c r="AE1652" s="14" t="s">
        <v>9140</v>
      </c>
      <c r="AF1652" s="14" t="s">
        <v>63</v>
      </c>
      <c r="AG1652" s="14" t="s">
        <v>54</v>
      </c>
      <c r="AH1652" s="15" t="s">
        <v>9220</v>
      </c>
      <c r="AI1652" s="15" t="s">
        <v>9188</v>
      </c>
      <c r="AJ1652" s="15" t="s">
        <v>9143</v>
      </c>
      <c r="AK1652" s="15" t="s">
        <v>9221</v>
      </c>
      <c r="AL1652" s="15" t="s">
        <v>9232</v>
      </c>
      <c r="AM1652" s="16" t="s">
        <v>9221</v>
      </c>
      <c r="AN1652" s="16" t="s">
        <v>9233</v>
      </c>
    </row>
    <row r="1653" spans="1:40" x14ac:dyDescent="0.25">
      <c r="A1653" s="4" t="s">
        <v>2165</v>
      </c>
      <c r="B1653" s="17"/>
      <c r="C1653" s="4" t="s">
        <v>39</v>
      </c>
      <c r="D1653" s="4" t="s">
        <v>2166</v>
      </c>
      <c r="E1653" s="4" t="s">
        <v>2167</v>
      </c>
      <c r="F1653" s="10">
        <v>45222</v>
      </c>
      <c r="G1653" s="18">
        <v>0.6118055555555556</v>
      </c>
      <c r="H1653" s="4" t="s">
        <v>2168</v>
      </c>
      <c r="I1653" s="4" t="s">
        <v>2169</v>
      </c>
      <c r="J1653" s="4" t="s">
        <v>2170</v>
      </c>
      <c r="K1653" s="4" t="s">
        <v>2171</v>
      </c>
      <c r="L1653" s="4" t="s">
        <v>2172</v>
      </c>
      <c r="M1653" s="4" t="s">
        <v>46</v>
      </c>
      <c r="N1653" s="4"/>
      <c r="O1653" s="4" t="s">
        <v>47</v>
      </c>
      <c r="P1653" s="4" t="s">
        <v>48</v>
      </c>
      <c r="Q1653" s="4">
        <v>0</v>
      </c>
      <c r="R1653" s="4" t="b">
        <v>0</v>
      </c>
      <c r="S1653" s="4" t="s">
        <v>61</v>
      </c>
      <c r="T1653" s="4" t="s">
        <v>89</v>
      </c>
      <c r="U1653" s="4" t="s">
        <v>107</v>
      </c>
      <c r="V1653" s="4" t="s">
        <v>52</v>
      </c>
      <c r="W1653" s="4" t="s">
        <v>53</v>
      </c>
      <c r="X1653" s="4" t="s">
        <v>98</v>
      </c>
      <c r="Y1653" s="4"/>
      <c r="Z1653" s="12">
        <v>0</v>
      </c>
      <c r="AA1653" s="13" t="s">
        <v>9162</v>
      </c>
      <c r="AB1653" s="13" t="s">
        <v>9150</v>
      </c>
      <c r="AC1653" s="14" t="s">
        <v>9148</v>
      </c>
      <c r="AD1653" s="14" t="s">
        <v>9140</v>
      </c>
      <c r="AE1653" s="14" t="s">
        <v>9140</v>
      </c>
      <c r="AF1653" s="14" t="s">
        <v>52</v>
      </c>
      <c r="AG1653" s="14" t="s">
        <v>98</v>
      </c>
      <c r="AH1653" s="15" t="s">
        <v>9194</v>
      </c>
      <c r="AI1653" s="15" t="s">
        <v>9142</v>
      </c>
      <c r="AJ1653" s="15" t="s">
        <v>9143</v>
      </c>
      <c r="AK1653" s="15" t="s">
        <v>9194</v>
      </c>
      <c r="AL1653" s="15" t="s">
        <v>9207</v>
      </c>
      <c r="AM1653" s="16" t="s">
        <v>9194</v>
      </c>
      <c r="AN1653" s="16" t="s">
        <v>9208</v>
      </c>
    </row>
    <row r="1654" spans="1:40" x14ac:dyDescent="0.25">
      <c r="A1654" s="4" t="s">
        <v>6424</v>
      </c>
      <c r="B1654" s="17"/>
      <c r="C1654" s="4" t="s">
        <v>39</v>
      </c>
      <c r="D1654" s="4" t="s">
        <v>6425</v>
      </c>
      <c r="E1654" s="4" t="s">
        <v>6426</v>
      </c>
      <c r="F1654" s="10">
        <v>45222</v>
      </c>
      <c r="G1654" s="18">
        <v>0.64583333333333337</v>
      </c>
      <c r="H1654" s="4" t="s">
        <v>5666</v>
      </c>
      <c r="I1654" s="4" t="s">
        <v>6414</v>
      </c>
      <c r="J1654" s="4" t="s">
        <v>2019</v>
      </c>
      <c r="K1654" s="4" t="s">
        <v>6427</v>
      </c>
      <c r="L1654" s="4" t="s">
        <v>6428</v>
      </c>
      <c r="M1654" s="4" t="s">
        <v>46</v>
      </c>
      <c r="N1654" s="4"/>
      <c r="O1654" s="4" t="s">
        <v>47</v>
      </c>
      <c r="P1654" s="4" t="s">
        <v>48</v>
      </c>
      <c r="Q1654" s="4">
        <v>0</v>
      </c>
      <c r="R1654" s="4" t="b">
        <v>0</v>
      </c>
      <c r="S1654" s="4" t="s">
        <v>61</v>
      </c>
      <c r="T1654" s="4" t="s">
        <v>89</v>
      </c>
      <c r="U1654" s="4" t="s">
        <v>148</v>
      </c>
      <c r="V1654" s="4" t="s">
        <v>123</v>
      </c>
      <c r="W1654" s="4" t="s">
        <v>124</v>
      </c>
      <c r="X1654" s="4" t="s">
        <v>98</v>
      </c>
      <c r="Y1654" s="4"/>
      <c r="Z1654" s="12">
        <v>0</v>
      </c>
      <c r="AA1654" s="13" t="s">
        <v>9162</v>
      </c>
      <c r="AB1654" s="13" t="s">
        <v>9150</v>
      </c>
      <c r="AC1654" s="14" t="s">
        <v>9148</v>
      </c>
      <c r="AD1654" s="14" t="s">
        <v>9140</v>
      </c>
      <c r="AE1654" s="14" t="s">
        <v>9140</v>
      </c>
      <c r="AF1654" s="14" t="s">
        <v>123</v>
      </c>
      <c r="AG1654" s="14" t="s">
        <v>98</v>
      </c>
      <c r="AH1654" s="15" t="s">
        <v>9220</v>
      </c>
      <c r="AI1654" s="15" t="s">
        <v>9199</v>
      </c>
      <c r="AJ1654" s="15" t="s">
        <v>9143</v>
      </c>
      <c r="AK1654" s="15" t="s">
        <v>9221</v>
      </c>
      <c r="AL1654" s="15" t="s">
        <v>9199</v>
      </c>
      <c r="AM1654" s="16" t="s">
        <v>9221</v>
      </c>
      <c r="AN1654" s="16" t="s">
        <v>9238</v>
      </c>
    </row>
    <row r="1655" spans="1:40" x14ac:dyDescent="0.25">
      <c r="A1655" s="4" t="s">
        <v>6429</v>
      </c>
      <c r="B1655" s="17"/>
      <c r="C1655" s="4" t="s">
        <v>39</v>
      </c>
      <c r="D1655" s="4" t="s">
        <v>6430</v>
      </c>
      <c r="E1655" s="4" t="s">
        <v>6431</v>
      </c>
      <c r="F1655" s="10">
        <v>45221</v>
      </c>
      <c r="G1655" s="18">
        <v>0.61944444444444446</v>
      </c>
      <c r="H1655" s="4" t="s">
        <v>5666</v>
      </c>
      <c r="I1655" s="4" t="s">
        <v>6414</v>
      </c>
      <c r="J1655" s="4" t="s">
        <v>2019</v>
      </c>
      <c r="K1655" s="4" t="s">
        <v>711</v>
      </c>
      <c r="L1655" s="4" t="s">
        <v>6432</v>
      </c>
      <c r="M1655" s="4" t="s">
        <v>46</v>
      </c>
      <c r="N1655" s="4"/>
      <c r="O1655" s="4" t="s">
        <v>47</v>
      </c>
      <c r="P1655" s="4" t="s">
        <v>48</v>
      </c>
      <c r="Q1655" s="4">
        <v>0</v>
      </c>
      <c r="R1655" s="4" t="b">
        <v>0</v>
      </c>
      <c r="S1655" s="4" t="s">
        <v>61</v>
      </c>
      <c r="T1655" s="4" t="s">
        <v>89</v>
      </c>
      <c r="U1655" s="4" t="s">
        <v>90</v>
      </c>
      <c r="V1655" s="4" t="s">
        <v>123</v>
      </c>
      <c r="W1655" s="4" t="s">
        <v>124</v>
      </c>
      <c r="X1655" s="4" t="s">
        <v>54</v>
      </c>
      <c r="Y1655" s="4"/>
      <c r="Z1655" s="12">
        <v>0</v>
      </c>
      <c r="AA1655" s="13" t="s">
        <v>9151</v>
      </c>
      <c r="AB1655" s="13" t="s">
        <v>9150</v>
      </c>
      <c r="AC1655" s="14" t="s">
        <v>9148</v>
      </c>
      <c r="AD1655" s="14" t="s">
        <v>9140</v>
      </c>
      <c r="AE1655" s="14" t="s">
        <v>9140</v>
      </c>
      <c r="AF1655" s="14" t="s">
        <v>123</v>
      </c>
      <c r="AG1655" s="14" t="s">
        <v>54</v>
      </c>
      <c r="AH1655" s="15" t="s">
        <v>9220</v>
      </c>
      <c r="AI1655" s="15" t="s">
        <v>9199</v>
      </c>
      <c r="AJ1655" s="15" t="s">
        <v>9143</v>
      </c>
      <c r="AK1655" s="15" t="s">
        <v>9221</v>
      </c>
      <c r="AL1655" s="15" t="s">
        <v>9199</v>
      </c>
      <c r="AM1655" s="16" t="s">
        <v>9221</v>
      </c>
      <c r="AN1655" s="16" t="s">
        <v>9238</v>
      </c>
    </row>
    <row r="1656" spans="1:40" x14ac:dyDescent="0.25">
      <c r="A1656" s="4" t="s">
        <v>6433</v>
      </c>
      <c r="B1656" s="17"/>
      <c r="C1656" s="4" t="s">
        <v>39</v>
      </c>
      <c r="D1656" s="4" t="s">
        <v>6434</v>
      </c>
      <c r="E1656" s="4" t="s">
        <v>6435</v>
      </c>
      <c r="F1656" s="10">
        <v>45221</v>
      </c>
      <c r="G1656" s="18">
        <v>0.62638888888888888</v>
      </c>
      <c r="H1656" s="4" t="s">
        <v>5666</v>
      </c>
      <c r="I1656" s="4" t="s">
        <v>6414</v>
      </c>
      <c r="J1656" s="4" t="s">
        <v>2019</v>
      </c>
      <c r="K1656" s="4" t="s">
        <v>6436</v>
      </c>
      <c r="L1656" s="4" t="s">
        <v>6437</v>
      </c>
      <c r="M1656" s="4" t="s">
        <v>46</v>
      </c>
      <c r="N1656" s="4"/>
      <c r="O1656" s="4" t="s">
        <v>344</v>
      </c>
      <c r="P1656" s="4" t="s">
        <v>48</v>
      </c>
      <c r="Q1656" s="4">
        <v>12</v>
      </c>
      <c r="R1656" s="4" t="b">
        <v>0</v>
      </c>
      <c r="S1656" s="4" t="s">
        <v>49</v>
      </c>
      <c r="T1656" s="4" t="s">
        <v>89</v>
      </c>
      <c r="U1656" s="4" t="s">
        <v>175</v>
      </c>
      <c r="V1656" s="4" t="s">
        <v>63</v>
      </c>
      <c r="W1656" s="4" t="s">
        <v>108</v>
      </c>
      <c r="X1656" s="4" t="s">
        <v>98</v>
      </c>
      <c r="Y1656" s="4"/>
      <c r="Z1656" s="12">
        <v>0</v>
      </c>
      <c r="AA1656" s="13" t="s">
        <v>9151</v>
      </c>
      <c r="AB1656" s="13" t="s">
        <v>9150</v>
      </c>
      <c r="AC1656" s="14" t="s">
        <v>9139</v>
      </c>
      <c r="AD1656" s="14" t="s">
        <v>9140</v>
      </c>
      <c r="AE1656" s="14" t="s">
        <v>9140</v>
      </c>
      <c r="AF1656" s="14" t="s">
        <v>63</v>
      </c>
      <c r="AG1656" s="14" t="s">
        <v>98</v>
      </c>
      <c r="AH1656" s="15" t="s">
        <v>9220</v>
      </c>
      <c r="AI1656" s="15" t="s">
        <v>9199</v>
      </c>
      <c r="AJ1656" s="15" t="s">
        <v>9143</v>
      </c>
      <c r="AK1656" s="15" t="s">
        <v>9221</v>
      </c>
      <c r="AL1656" s="15" t="s">
        <v>9199</v>
      </c>
      <c r="AM1656" s="16" t="s">
        <v>9221</v>
      </c>
      <c r="AN1656" s="16" t="s">
        <v>9238</v>
      </c>
    </row>
    <row r="1657" spans="1:40" x14ac:dyDescent="0.25">
      <c r="A1657" s="4" t="s">
        <v>1620</v>
      </c>
      <c r="B1657" s="17"/>
      <c r="C1657" s="4" t="s">
        <v>39</v>
      </c>
      <c r="D1657" s="4" t="s">
        <v>1584</v>
      </c>
      <c r="E1657" s="4" t="s">
        <v>1585</v>
      </c>
      <c r="F1657" s="10">
        <v>45221</v>
      </c>
      <c r="G1657" s="18">
        <v>0.55069444444444449</v>
      </c>
      <c r="H1657" s="4" t="s">
        <v>1366</v>
      </c>
      <c r="I1657" s="4">
        <v>6071</v>
      </c>
      <c r="J1657" s="4" t="s">
        <v>1586</v>
      </c>
      <c r="K1657" s="4" t="s">
        <v>980</v>
      </c>
      <c r="L1657" s="4" t="s">
        <v>1621</v>
      </c>
      <c r="M1657" s="4" t="s">
        <v>46</v>
      </c>
      <c r="N1657" s="4"/>
      <c r="O1657" s="4" t="s">
        <v>47</v>
      </c>
      <c r="P1657" s="4" t="s">
        <v>48</v>
      </c>
      <c r="Q1657" s="4">
        <v>0</v>
      </c>
      <c r="R1657" s="4" t="b">
        <v>0</v>
      </c>
      <c r="S1657" s="4" t="s">
        <v>61</v>
      </c>
      <c r="T1657" s="4" t="s">
        <v>89</v>
      </c>
      <c r="U1657" s="4" t="s">
        <v>107</v>
      </c>
      <c r="V1657" s="4" t="s">
        <v>63</v>
      </c>
      <c r="W1657" s="4" t="s">
        <v>108</v>
      </c>
      <c r="X1657" s="4" t="s">
        <v>98</v>
      </c>
      <c r="Y1657" s="4"/>
      <c r="Z1657" s="12">
        <v>0</v>
      </c>
      <c r="AA1657" s="13" t="s">
        <v>9151</v>
      </c>
      <c r="AB1657" s="13" t="s">
        <v>9150</v>
      </c>
      <c r="AC1657" s="14" t="s">
        <v>9148</v>
      </c>
      <c r="AD1657" s="14" t="s">
        <v>9140</v>
      </c>
      <c r="AE1657" s="14" t="s">
        <v>9140</v>
      </c>
      <c r="AF1657" s="14" t="s">
        <v>63</v>
      </c>
      <c r="AG1657" s="14" t="s">
        <v>98</v>
      </c>
      <c r="AH1657" s="15" t="s">
        <v>9141</v>
      </c>
      <c r="AI1657" s="15" t="s">
        <v>9188</v>
      </c>
      <c r="AJ1657" s="15" t="s">
        <v>9143</v>
      </c>
      <c r="AK1657" s="15" t="s">
        <v>9141</v>
      </c>
      <c r="AL1657" s="15" t="s">
        <v>9191</v>
      </c>
      <c r="AM1657" s="16" t="s">
        <v>9141</v>
      </c>
      <c r="AN1657" s="16" t="s">
        <v>9192</v>
      </c>
    </row>
    <row r="1658" spans="1:40" x14ac:dyDescent="0.25">
      <c r="A1658" s="4" t="s">
        <v>5744</v>
      </c>
      <c r="B1658" s="17"/>
      <c r="C1658" s="4" t="s">
        <v>39</v>
      </c>
      <c r="D1658" s="4" t="s">
        <v>5691</v>
      </c>
      <c r="E1658" s="4" t="s">
        <v>5692</v>
      </c>
      <c r="F1658" s="10">
        <v>45221</v>
      </c>
      <c r="G1658" s="18">
        <v>0.53125</v>
      </c>
      <c r="H1658" s="4" t="s">
        <v>5666</v>
      </c>
      <c r="I1658" s="4" t="s">
        <v>5667</v>
      </c>
      <c r="J1658" s="4" t="s">
        <v>2192</v>
      </c>
      <c r="K1658" s="4" t="s">
        <v>5745</v>
      </c>
      <c r="L1658" s="4" t="s">
        <v>5746</v>
      </c>
      <c r="M1658" s="4" t="s">
        <v>46</v>
      </c>
      <c r="N1658" s="4"/>
      <c r="O1658" s="4" t="s">
        <v>47</v>
      </c>
      <c r="P1658" s="4" t="s">
        <v>48</v>
      </c>
      <c r="Q1658" s="4">
        <v>0</v>
      </c>
      <c r="R1658" s="4" t="b">
        <v>0</v>
      </c>
      <c r="S1658" s="4" t="s">
        <v>49</v>
      </c>
      <c r="T1658" s="4" t="s">
        <v>70</v>
      </c>
      <c r="U1658" s="4" t="s">
        <v>71</v>
      </c>
      <c r="V1658" s="4" t="s">
        <v>72</v>
      </c>
      <c r="W1658" s="4" t="s">
        <v>73</v>
      </c>
      <c r="X1658" s="4" t="s">
        <v>98</v>
      </c>
      <c r="Y1658" s="4"/>
      <c r="Z1658" s="12">
        <v>0</v>
      </c>
      <c r="AA1658" s="13" t="s">
        <v>9151</v>
      </c>
      <c r="AB1658" s="13" t="s">
        <v>9150</v>
      </c>
      <c r="AC1658" s="14" t="s">
        <v>9139</v>
      </c>
      <c r="AD1658" s="14" t="s">
        <v>9140</v>
      </c>
      <c r="AE1658" s="14" t="s">
        <v>9140</v>
      </c>
      <c r="AF1658" s="14" t="s">
        <v>72</v>
      </c>
      <c r="AG1658" s="14" t="s">
        <v>98</v>
      </c>
      <c r="AH1658" s="15" t="s">
        <v>9220</v>
      </c>
      <c r="AI1658" s="15" t="s">
        <v>9199</v>
      </c>
      <c r="AJ1658" s="15" t="s">
        <v>9143</v>
      </c>
      <c r="AK1658" s="15" t="s">
        <v>9221</v>
      </c>
      <c r="AL1658" s="15" t="s">
        <v>9199</v>
      </c>
      <c r="AM1658" s="16" t="s">
        <v>9221</v>
      </c>
      <c r="AN1658" s="16" t="s">
        <v>9238</v>
      </c>
    </row>
    <row r="1659" spans="1:40" x14ac:dyDescent="0.25">
      <c r="A1659" s="4" t="s">
        <v>8100</v>
      </c>
      <c r="B1659" s="17"/>
      <c r="C1659" s="4" t="s">
        <v>39</v>
      </c>
      <c r="D1659" s="4" t="s">
        <v>8091</v>
      </c>
      <c r="E1659" s="4" t="s">
        <v>8092</v>
      </c>
      <c r="F1659" s="10">
        <v>45221</v>
      </c>
      <c r="G1659" s="18">
        <v>0.625</v>
      </c>
      <c r="H1659" s="4" t="s">
        <v>4019</v>
      </c>
      <c r="I1659" s="4" t="s">
        <v>8093</v>
      </c>
      <c r="J1659" s="4" t="s">
        <v>8094</v>
      </c>
      <c r="K1659" s="4" t="s">
        <v>8101</v>
      </c>
      <c r="L1659" s="4" t="s">
        <v>8102</v>
      </c>
      <c r="M1659" s="4" t="s">
        <v>46</v>
      </c>
      <c r="N1659" s="4"/>
      <c r="O1659" s="4" t="s">
        <v>47</v>
      </c>
      <c r="P1659" s="4" t="s">
        <v>48</v>
      </c>
      <c r="Q1659" s="4">
        <v>0</v>
      </c>
      <c r="R1659" s="4" t="b">
        <v>0</v>
      </c>
      <c r="S1659" s="4" t="s">
        <v>61</v>
      </c>
      <c r="T1659" s="4" t="s">
        <v>89</v>
      </c>
      <c r="U1659" s="4" t="s">
        <v>224</v>
      </c>
      <c r="V1659" s="4" t="s">
        <v>123</v>
      </c>
      <c r="W1659" s="4" t="s">
        <v>124</v>
      </c>
      <c r="X1659" s="4" t="s">
        <v>98</v>
      </c>
      <c r="Y1659" s="4" t="s">
        <v>991</v>
      </c>
      <c r="Z1659" s="12">
        <v>0</v>
      </c>
      <c r="AA1659" s="13" t="s">
        <v>9151</v>
      </c>
      <c r="AB1659" s="13" t="s">
        <v>9150</v>
      </c>
      <c r="AC1659" s="14" t="s">
        <v>9148</v>
      </c>
      <c r="AD1659" s="14" t="s">
        <v>9140</v>
      </c>
      <c r="AE1659" s="14" t="s">
        <v>9140</v>
      </c>
      <c r="AF1659" s="14" t="s">
        <v>123</v>
      </c>
      <c r="AG1659" s="14" t="s">
        <v>98</v>
      </c>
      <c r="AH1659" s="15" t="s">
        <v>9220</v>
      </c>
      <c r="AI1659" s="15" t="s">
        <v>9175</v>
      </c>
      <c r="AJ1659" s="15" t="s">
        <v>9143</v>
      </c>
      <c r="AK1659" s="15" t="s">
        <v>9221</v>
      </c>
      <c r="AL1659" s="15" t="s">
        <v>9222</v>
      </c>
      <c r="AM1659" s="16" t="s">
        <v>9221</v>
      </c>
      <c r="AN1659" s="16" t="s">
        <v>9223</v>
      </c>
    </row>
    <row r="1660" spans="1:40" x14ac:dyDescent="0.25">
      <c r="A1660" s="4" t="s">
        <v>8001</v>
      </c>
      <c r="B1660" s="17"/>
      <c r="C1660" s="4" t="s">
        <v>39</v>
      </c>
      <c r="D1660" s="4" t="s">
        <v>8002</v>
      </c>
      <c r="E1660" s="4" t="s">
        <v>8003</v>
      </c>
      <c r="F1660" s="10">
        <v>45220</v>
      </c>
      <c r="G1660" s="18">
        <v>0.70833333333333337</v>
      </c>
      <c r="H1660" s="4" t="s">
        <v>4910</v>
      </c>
      <c r="I1660" s="4" t="s">
        <v>7985</v>
      </c>
      <c r="J1660" s="4" t="s">
        <v>7986</v>
      </c>
      <c r="K1660" s="4" t="s">
        <v>8004</v>
      </c>
      <c r="L1660" s="4" t="s">
        <v>8005</v>
      </c>
      <c r="M1660" s="4" t="s">
        <v>46</v>
      </c>
      <c r="N1660" s="4"/>
      <c r="O1660" s="4" t="s">
        <v>47</v>
      </c>
      <c r="P1660" s="4" t="s">
        <v>48</v>
      </c>
      <c r="Q1660" s="4">
        <v>0</v>
      </c>
      <c r="R1660" s="4" t="b">
        <v>0</v>
      </c>
      <c r="S1660" s="4" t="s">
        <v>61</v>
      </c>
      <c r="T1660" s="4" t="s">
        <v>479</v>
      </c>
      <c r="U1660" s="4" t="s">
        <v>107</v>
      </c>
      <c r="V1660" s="4" t="s">
        <v>123</v>
      </c>
      <c r="W1660" s="4" t="s">
        <v>192</v>
      </c>
      <c r="X1660" s="4" t="s">
        <v>54</v>
      </c>
      <c r="Y1660" s="4" t="s">
        <v>176</v>
      </c>
      <c r="Z1660" s="12">
        <v>0</v>
      </c>
      <c r="AA1660" s="13" t="s">
        <v>9151</v>
      </c>
      <c r="AB1660" s="13" t="s">
        <v>9150</v>
      </c>
      <c r="AC1660" s="14" t="s">
        <v>9148</v>
      </c>
      <c r="AD1660" s="14" t="s">
        <v>9140</v>
      </c>
      <c r="AE1660" s="14" t="s">
        <v>9140</v>
      </c>
      <c r="AF1660" s="14" t="s">
        <v>123</v>
      </c>
      <c r="AG1660" s="14" t="s">
        <v>54</v>
      </c>
      <c r="AH1660" s="15" t="s">
        <v>9220</v>
      </c>
      <c r="AI1660" s="15" t="s">
        <v>9191</v>
      </c>
      <c r="AJ1660" s="15" t="s">
        <v>9143</v>
      </c>
      <c r="AK1660" s="15" t="s">
        <v>9221</v>
      </c>
      <c r="AL1660" s="15" t="s">
        <v>9234</v>
      </c>
      <c r="AM1660" s="16" t="s">
        <v>9221</v>
      </c>
      <c r="AN1660" s="16" t="s">
        <v>9235</v>
      </c>
    </row>
    <row r="1661" spans="1:40" x14ac:dyDescent="0.25">
      <c r="A1661" s="4" t="s">
        <v>6838</v>
      </c>
      <c r="B1661" s="17"/>
      <c r="C1661" s="4" t="s">
        <v>39</v>
      </c>
      <c r="D1661" s="4" t="s">
        <v>6839</v>
      </c>
      <c r="E1661" s="4" t="s">
        <v>6840</v>
      </c>
      <c r="F1661" s="10">
        <v>45219</v>
      </c>
      <c r="G1661" s="18">
        <v>0.6875</v>
      </c>
      <c r="H1661" s="4" t="s">
        <v>4910</v>
      </c>
      <c r="I1661" s="4" t="s">
        <v>6800</v>
      </c>
      <c r="J1661" s="4" t="s">
        <v>2914</v>
      </c>
      <c r="K1661" s="4" t="s">
        <v>6841</v>
      </c>
      <c r="L1661" s="4" t="s">
        <v>6842</v>
      </c>
      <c r="M1661" s="4" t="s">
        <v>46</v>
      </c>
      <c r="N1661" s="4"/>
      <c r="O1661" s="4" t="s">
        <v>47</v>
      </c>
      <c r="P1661" s="4" t="s">
        <v>48</v>
      </c>
      <c r="Q1661" s="4">
        <v>0</v>
      </c>
      <c r="R1661" s="4" t="b">
        <v>0</v>
      </c>
      <c r="S1661" s="4" t="s">
        <v>61</v>
      </c>
      <c r="T1661" s="4" t="s">
        <v>89</v>
      </c>
      <c r="U1661" s="4" t="s">
        <v>51</v>
      </c>
      <c r="V1661" s="4" t="s">
        <v>52</v>
      </c>
      <c r="W1661" s="4" t="s">
        <v>53</v>
      </c>
      <c r="X1661" s="4" t="s">
        <v>54</v>
      </c>
      <c r="Y1661" s="4"/>
      <c r="Z1661" s="12">
        <v>0</v>
      </c>
      <c r="AA1661" s="13" t="s">
        <v>9151</v>
      </c>
      <c r="AB1661" s="13" t="s">
        <v>9150</v>
      </c>
      <c r="AC1661" s="14" t="s">
        <v>9148</v>
      </c>
      <c r="AD1661" s="14" t="s">
        <v>9140</v>
      </c>
      <c r="AE1661" s="14" t="s">
        <v>9140</v>
      </c>
      <c r="AF1661" s="14" t="s">
        <v>52</v>
      </c>
      <c r="AG1661" s="14" t="s">
        <v>54</v>
      </c>
      <c r="AH1661" s="15" t="s">
        <v>9220</v>
      </c>
      <c r="AI1661" s="15" t="s">
        <v>9191</v>
      </c>
      <c r="AJ1661" s="15" t="s">
        <v>9143</v>
      </c>
      <c r="AK1661" s="15" t="s">
        <v>9221</v>
      </c>
      <c r="AL1661" s="15" t="s">
        <v>9234</v>
      </c>
      <c r="AM1661" s="16" t="s">
        <v>9221</v>
      </c>
      <c r="AN1661" s="16" t="s">
        <v>9235</v>
      </c>
    </row>
    <row r="1662" spans="1:40" x14ac:dyDescent="0.25">
      <c r="A1662" s="4" t="s">
        <v>7406</v>
      </c>
      <c r="B1662" s="17"/>
      <c r="C1662" s="4" t="s">
        <v>39</v>
      </c>
      <c r="D1662" s="4" t="s">
        <v>7346</v>
      </c>
      <c r="E1662" s="4" t="s">
        <v>7347</v>
      </c>
      <c r="F1662" s="10">
        <v>45219</v>
      </c>
      <c r="G1662" s="18">
        <v>0.56944444444444442</v>
      </c>
      <c r="H1662" s="4" t="s">
        <v>4019</v>
      </c>
      <c r="I1662" s="4" t="s">
        <v>7315</v>
      </c>
      <c r="J1662" s="4" t="s">
        <v>1037</v>
      </c>
      <c r="K1662" s="4" t="s">
        <v>7407</v>
      </c>
      <c r="L1662" s="4" t="s">
        <v>7408</v>
      </c>
      <c r="M1662" s="4" t="s">
        <v>46</v>
      </c>
      <c r="N1662" s="4"/>
      <c r="O1662" s="4" t="s">
        <v>47</v>
      </c>
      <c r="P1662" s="4" t="s">
        <v>48</v>
      </c>
      <c r="Q1662" s="4">
        <v>0</v>
      </c>
      <c r="R1662" s="4" t="b">
        <v>0</v>
      </c>
      <c r="S1662" s="4" t="s">
        <v>49</v>
      </c>
      <c r="T1662" s="4" t="s">
        <v>89</v>
      </c>
      <c r="U1662" s="4" t="s">
        <v>71</v>
      </c>
      <c r="V1662" s="4" t="s">
        <v>52</v>
      </c>
      <c r="W1662" s="4" t="s">
        <v>255</v>
      </c>
      <c r="X1662" s="4" t="s">
        <v>98</v>
      </c>
      <c r="Y1662" s="4"/>
      <c r="Z1662" s="12">
        <v>0</v>
      </c>
      <c r="AA1662" s="13" t="s">
        <v>9151</v>
      </c>
      <c r="AB1662" s="13" t="s">
        <v>9150</v>
      </c>
      <c r="AC1662" s="14" t="s">
        <v>9139</v>
      </c>
      <c r="AD1662" s="14" t="s">
        <v>9140</v>
      </c>
      <c r="AE1662" s="14" t="s">
        <v>9140</v>
      </c>
      <c r="AF1662" s="14" t="s">
        <v>52</v>
      </c>
      <c r="AG1662" s="14" t="s">
        <v>98</v>
      </c>
      <c r="AH1662" s="15" t="s">
        <v>9220</v>
      </c>
      <c r="AI1662" s="15" t="s">
        <v>9175</v>
      </c>
      <c r="AJ1662" s="15" t="s">
        <v>9143</v>
      </c>
      <c r="AK1662" s="15" t="s">
        <v>9221</v>
      </c>
      <c r="AL1662" s="15" t="s">
        <v>9222</v>
      </c>
      <c r="AM1662" s="16" t="s">
        <v>9221</v>
      </c>
      <c r="AN1662" s="16" t="s">
        <v>9223</v>
      </c>
    </row>
    <row r="1663" spans="1:40" x14ac:dyDescent="0.25">
      <c r="A1663" s="4" t="s">
        <v>3304</v>
      </c>
      <c r="B1663" s="17"/>
      <c r="C1663" s="4" t="s">
        <v>39</v>
      </c>
      <c r="D1663" s="4" t="s">
        <v>3305</v>
      </c>
      <c r="E1663" s="4" t="s">
        <v>3306</v>
      </c>
      <c r="F1663" s="10">
        <v>45219</v>
      </c>
      <c r="G1663" s="18">
        <v>0.4861111111111111</v>
      </c>
      <c r="H1663" s="4" t="s">
        <v>1939</v>
      </c>
      <c r="I1663" s="4" t="s">
        <v>3288</v>
      </c>
      <c r="J1663" s="4" t="s">
        <v>615</v>
      </c>
      <c r="K1663" s="4" t="s">
        <v>3307</v>
      </c>
      <c r="L1663" s="4" t="s">
        <v>3308</v>
      </c>
      <c r="M1663" s="4" t="s">
        <v>46</v>
      </c>
      <c r="N1663" s="4"/>
      <c r="O1663" s="4" t="s">
        <v>47</v>
      </c>
      <c r="P1663" s="4" t="s">
        <v>48</v>
      </c>
      <c r="Q1663" s="4">
        <v>0</v>
      </c>
      <c r="R1663" s="4" t="b">
        <v>0</v>
      </c>
      <c r="S1663" s="4" t="s">
        <v>49</v>
      </c>
      <c r="T1663" s="4" t="s">
        <v>134</v>
      </c>
      <c r="U1663" s="4" t="s">
        <v>90</v>
      </c>
      <c r="V1663" s="4" t="s">
        <v>123</v>
      </c>
      <c r="W1663" s="4" t="s">
        <v>124</v>
      </c>
      <c r="X1663" s="4" t="s">
        <v>54</v>
      </c>
      <c r="Y1663" s="4"/>
      <c r="Z1663" s="12">
        <v>0</v>
      </c>
      <c r="AA1663" s="13" t="s">
        <v>9151</v>
      </c>
      <c r="AB1663" s="13" t="s">
        <v>9150</v>
      </c>
      <c r="AC1663" s="14" t="s">
        <v>9139</v>
      </c>
      <c r="AD1663" s="14" t="s">
        <v>9140</v>
      </c>
      <c r="AE1663" s="14" t="s">
        <v>9140</v>
      </c>
      <c r="AF1663" s="14" t="s">
        <v>123</v>
      </c>
      <c r="AG1663" s="14" t="s">
        <v>54</v>
      </c>
      <c r="AH1663" s="15" t="s">
        <v>9194</v>
      </c>
      <c r="AI1663" s="15" t="s">
        <v>9175</v>
      </c>
      <c r="AJ1663" s="15" t="s">
        <v>9143</v>
      </c>
      <c r="AK1663" s="15" t="s">
        <v>9194</v>
      </c>
      <c r="AL1663" s="15" t="s">
        <v>9209</v>
      </c>
      <c r="AM1663" s="16" t="s">
        <v>9194</v>
      </c>
      <c r="AN1663" s="16" t="s">
        <v>9210</v>
      </c>
    </row>
    <row r="1664" spans="1:40" x14ac:dyDescent="0.25">
      <c r="A1664" s="4" t="s">
        <v>2621</v>
      </c>
      <c r="B1664" s="17"/>
      <c r="C1664" s="4" t="s">
        <v>39</v>
      </c>
      <c r="D1664" s="4" t="s">
        <v>2622</v>
      </c>
      <c r="E1664" s="4" t="s">
        <v>2623</v>
      </c>
      <c r="F1664" s="10">
        <v>45218</v>
      </c>
      <c r="G1664" s="18">
        <v>0.51388888888888884</v>
      </c>
      <c r="H1664" s="4" t="s">
        <v>2017</v>
      </c>
      <c r="I1664" s="4" t="s">
        <v>2597</v>
      </c>
      <c r="J1664" s="4" t="s">
        <v>2598</v>
      </c>
      <c r="K1664" s="4" t="s">
        <v>2624</v>
      </c>
      <c r="L1664" s="4" t="s">
        <v>2625</v>
      </c>
      <c r="M1664" s="4" t="s">
        <v>46</v>
      </c>
      <c r="N1664" s="4"/>
      <c r="O1664" s="4" t="s">
        <v>47</v>
      </c>
      <c r="P1664" s="4" t="s">
        <v>48</v>
      </c>
      <c r="Q1664" s="4">
        <v>0</v>
      </c>
      <c r="R1664" s="4" t="b">
        <v>0</v>
      </c>
      <c r="S1664" s="4" t="s">
        <v>114</v>
      </c>
      <c r="T1664" s="4" t="s">
        <v>89</v>
      </c>
      <c r="U1664" s="4" t="s">
        <v>107</v>
      </c>
      <c r="V1664" s="4" t="s">
        <v>63</v>
      </c>
      <c r="W1664" s="4" t="s">
        <v>108</v>
      </c>
      <c r="X1664" s="4" t="s">
        <v>98</v>
      </c>
      <c r="Y1664" s="4"/>
      <c r="Z1664" s="12">
        <v>0</v>
      </c>
      <c r="AA1664" s="13" t="s">
        <v>9151</v>
      </c>
      <c r="AB1664" s="13" t="s">
        <v>9150</v>
      </c>
      <c r="AC1664" s="14" t="s">
        <v>9157</v>
      </c>
      <c r="AD1664" s="14" t="s">
        <v>9140</v>
      </c>
      <c r="AE1664" s="14" t="s">
        <v>9140</v>
      </c>
      <c r="AF1664" s="14" t="s">
        <v>63</v>
      </c>
      <c r="AG1664" s="14" t="s">
        <v>98</v>
      </c>
      <c r="AH1664" s="15" t="s">
        <v>9194</v>
      </c>
      <c r="AI1664" s="15" t="s">
        <v>9199</v>
      </c>
      <c r="AJ1664" s="15" t="s">
        <v>9143</v>
      </c>
      <c r="AK1664" s="15" t="s">
        <v>9194</v>
      </c>
      <c r="AL1664" s="15" t="s">
        <v>9199</v>
      </c>
      <c r="AM1664" s="16" t="s">
        <v>9194</v>
      </c>
      <c r="AN1664" s="16" t="s">
        <v>9200</v>
      </c>
    </row>
    <row r="1665" spans="1:40" x14ac:dyDescent="0.25">
      <c r="A1665" s="4" t="s">
        <v>2131</v>
      </c>
      <c r="B1665" s="17">
        <v>6263495</v>
      </c>
      <c r="C1665" s="4" t="s">
        <v>39</v>
      </c>
      <c r="D1665" s="4" t="s">
        <v>2132</v>
      </c>
      <c r="E1665" s="4" t="s">
        <v>2133</v>
      </c>
      <c r="F1665" s="10">
        <v>45218</v>
      </c>
      <c r="G1665" s="18">
        <v>0.33333333333333331</v>
      </c>
      <c r="H1665" s="4" t="s">
        <v>2095</v>
      </c>
      <c r="I1665" s="4" t="s">
        <v>2096</v>
      </c>
      <c r="J1665" s="4" t="s">
        <v>2097</v>
      </c>
      <c r="K1665" s="4" t="s">
        <v>2134</v>
      </c>
      <c r="L1665" s="4" t="s">
        <v>2135</v>
      </c>
      <c r="M1665" s="4" t="s">
        <v>28</v>
      </c>
      <c r="N1665" s="4" t="s">
        <v>183</v>
      </c>
      <c r="O1665" s="4" t="s">
        <v>174</v>
      </c>
      <c r="P1665" s="4" t="s">
        <v>48</v>
      </c>
      <c r="Q1665" s="4">
        <v>79</v>
      </c>
      <c r="R1665" s="4" t="b">
        <v>0</v>
      </c>
      <c r="S1665" s="4" t="s">
        <v>184</v>
      </c>
      <c r="T1665" s="4" t="s">
        <v>89</v>
      </c>
      <c r="U1665" s="4" t="s">
        <v>148</v>
      </c>
      <c r="V1665" s="4" t="s">
        <v>123</v>
      </c>
      <c r="W1665" s="4" t="s">
        <v>124</v>
      </c>
      <c r="X1665" s="4" t="s">
        <v>54</v>
      </c>
      <c r="Y1665" s="4"/>
      <c r="Z1665" s="12" t="s">
        <v>48</v>
      </c>
      <c r="AA1665" s="13" t="s">
        <v>9151</v>
      </c>
      <c r="AB1665" s="13" t="s">
        <v>9150</v>
      </c>
      <c r="AC1665" s="14" t="s">
        <v>9166</v>
      </c>
      <c r="AD1665" s="14" t="s">
        <v>28</v>
      </c>
      <c r="AE1665" s="14" t="s">
        <v>183</v>
      </c>
      <c r="AF1665" s="14" t="s">
        <v>123</v>
      </c>
      <c r="AG1665" s="14" t="s">
        <v>54</v>
      </c>
      <c r="AH1665" s="15" t="s">
        <v>9194</v>
      </c>
      <c r="AI1665" s="15" t="s">
        <v>9188</v>
      </c>
      <c r="AJ1665" s="15" t="s">
        <v>9143</v>
      </c>
      <c r="AK1665" s="15" t="s">
        <v>9194</v>
      </c>
      <c r="AL1665" s="15" t="s">
        <v>9203</v>
      </c>
      <c r="AM1665" s="16" t="s">
        <v>9194</v>
      </c>
      <c r="AN1665" s="16" t="s">
        <v>9204</v>
      </c>
    </row>
    <row r="1666" spans="1:40" x14ac:dyDescent="0.25">
      <c r="A1666" s="4" t="s">
        <v>7671</v>
      </c>
      <c r="B1666" s="17"/>
      <c r="C1666" s="4" t="s">
        <v>39</v>
      </c>
      <c r="D1666" s="4" t="s">
        <v>7667</v>
      </c>
      <c r="E1666" s="4" t="s">
        <v>7668</v>
      </c>
      <c r="F1666" s="10">
        <v>45218</v>
      </c>
      <c r="G1666" s="18">
        <v>0.55972222222222223</v>
      </c>
      <c r="H1666" s="4" t="s">
        <v>4659</v>
      </c>
      <c r="I1666" s="4" t="s">
        <v>7663</v>
      </c>
      <c r="J1666" s="4" t="s">
        <v>2886</v>
      </c>
      <c r="K1666" s="4" t="s">
        <v>7672</v>
      </c>
      <c r="L1666" s="4" t="s">
        <v>7672</v>
      </c>
      <c r="M1666" s="4" t="s">
        <v>46</v>
      </c>
      <c r="N1666" s="4"/>
      <c r="O1666" s="4" t="s">
        <v>47</v>
      </c>
      <c r="P1666" s="4" t="s">
        <v>48</v>
      </c>
      <c r="Q1666" s="4">
        <v>0</v>
      </c>
      <c r="R1666" s="4" t="b">
        <v>0</v>
      </c>
      <c r="S1666" s="4" t="s">
        <v>61</v>
      </c>
      <c r="T1666" s="4" t="s">
        <v>89</v>
      </c>
      <c r="U1666" s="4" t="s">
        <v>175</v>
      </c>
      <c r="V1666" s="4" t="s">
        <v>52</v>
      </c>
      <c r="W1666" s="4" t="s">
        <v>53</v>
      </c>
      <c r="X1666" s="4" t="s">
        <v>54</v>
      </c>
      <c r="Y1666" s="4"/>
      <c r="Z1666" s="12">
        <v>0</v>
      </c>
      <c r="AA1666" s="13" t="s">
        <v>9151</v>
      </c>
      <c r="AB1666" s="13" t="s">
        <v>9150</v>
      </c>
      <c r="AC1666" s="14" t="s">
        <v>9148</v>
      </c>
      <c r="AD1666" s="14" t="s">
        <v>9140</v>
      </c>
      <c r="AE1666" s="14" t="s">
        <v>9140</v>
      </c>
      <c r="AF1666" s="14" t="s">
        <v>52</v>
      </c>
      <c r="AG1666" s="14" t="s">
        <v>54</v>
      </c>
      <c r="AH1666" s="15" t="s">
        <v>9220</v>
      </c>
      <c r="AI1666" s="15" t="s">
        <v>9142</v>
      </c>
      <c r="AJ1666" s="15" t="s">
        <v>9143</v>
      </c>
      <c r="AK1666" s="15" t="s">
        <v>9221</v>
      </c>
      <c r="AL1666" s="15" t="s">
        <v>9228</v>
      </c>
      <c r="AM1666" s="16" t="s">
        <v>9221</v>
      </c>
      <c r="AN1666" s="16" t="s">
        <v>9229</v>
      </c>
    </row>
    <row r="1667" spans="1:40" x14ac:dyDescent="0.25">
      <c r="A1667" s="4" t="s">
        <v>5768</v>
      </c>
      <c r="B1667" s="17"/>
      <c r="C1667" s="4" t="s">
        <v>39</v>
      </c>
      <c r="D1667" s="4" t="s">
        <v>5769</v>
      </c>
      <c r="E1667" s="4" t="s">
        <v>5770</v>
      </c>
      <c r="F1667" s="10">
        <v>45218</v>
      </c>
      <c r="G1667" s="18">
        <v>0.66666666666666663</v>
      </c>
      <c r="H1667" s="4" t="s">
        <v>4516</v>
      </c>
      <c r="I1667" s="4" t="s">
        <v>5754</v>
      </c>
      <c r="J1667" s="4" t="s">
        <v>1445</v>
      </c>
      <c r="K1667" s="4" t="s">
        <v>5771</v>
      </c>
      <c r="L1667" s="4" t="s">
        <v>5772</v>
      </c>
      <c r="M1667" s="4" t="s">
        <v>46</v>
      </c>
      <c r="N1667" s="4"/>
      <c r="O1667" s="4" t="s">
        <v>47</v>
      </c>
      <c r="P1667" s="4" t="s">
        <v>48</v>
      </c>
      <c r="Q1667" s="4">
        <v>0</v>
      </c>
      <c r="R1667" s="4" t="b">
        <v>0</v>
      </c>
      <c r="S1667" s="4" t="s">
        <v>49</v>
      </c>
      <c r="T1667" s="4" t="s">
        <v>134</v>
      </c>
      <c r="U1667" s="4" t="s">
        <v>218</v>
      </c>
      <c r="V1667" s="4" t="s">
        <v>63</v>
      </c>
      <c r="W1667" s="4" t="s">
        <v>198</v>
      </c>
      <c r="X1667" s="4" t="s">
        <v>54</v>
      </c>
      <c r="Y1667" s="4"/>
      <c r="Z1667" s="12">
        <v>0</v>
      </c>
      <c r="AA1667" s="13" t="s">
        <v>9151</v>
      </c>
      <c r="AB1667" s="13" t="s">
        <v>9150</v>
      </c>
      <c r="AC1667" s="14" t="s">
        <v>9139</v>
      </c>
      <c r="AD1667" s="14" t="s">
        <v>9140</v>
      </c>
      <c r="AE1667" s="14" t="s">
        <v>9140</v>
      </c>
      <c r="AF1667" s="14" t="s">
        <v>63</v>
      </c>
      <c r="AG1667" s="14" t="s">
        <v>54</v>
      </c>
      <c r="AH1667" s="15" t="s">
        <v>9220</v>
      </c>
      <c r="AI1667" s="15" t="s">
        <v>9188</v>
      </c>
      <c r="AJ1667" s="15" t="s">
        <v>9143</v>
      </c>
      <c r="AK1667" s="15" t="s">
        <v>9221</v>
      </c>
      <c r="AL1667" s="15" t="s">
        <v>9232</v>
      </c>
      <c r="AM1667" s="16" t="s">
        <v>9221</v>
      </c>
      <c r="AN1667" s="16" t="s">
        <v>9233</v>
      </c>
    </row>
    <row r="1668" spans="1:40" x14ac:dyDescent="0.25">
      <c r="A1668" s="4" t="s">
        <v>5655</v>
      </c>
      <c r="B1668" s="17"/>
      <c r="C1668" s="4" t="s">
        <v>39</v>
      </c>
      <c r="D1668" s="4" t="s">
        <v>5631</v>
      </c>
      <c r="E1668" s="4" t="s">
        <v>5632</v>
      </c>
      <c r="F1668" s="10">
        <v>45218</v>
      </c>
      <c r="G1668" s="18">
        <v>0.5625</v>
      </c>
      <c r="H1668" s="4" t="s">
        <v>4516</v>
      </c>
      <c r="I1668" s="4" t="s">
        <v>5633</v>
      </c>
      <c r="J1668" s="4" t="s">
        <v>2661</v>
      </c>
      <c r="K1668" s="4" t="s">
        <v>5656</v>
      </c>
      <c r="L1668" s="4" t="s">
        <v>5657</v>
      </c>
      <c r="M1668" s="4" t="s">
        <v>46</v>
      </c>
      <c r="N1668" s="4"/>
      <c r="O1668" s="4" t="s">
        <v>47</v>
      </c>
      <c r="P1668" s="4" t="s">
        <v>48</v>
      </c>
      <c r="Q1668" s="4">
        <v>0</v>
      </c>
      <c r="R1668" s="4" t="b">
        <v>0</v>
      </c>
      <c r="S1668" s="4" t="s">
        <v>61</v>
      </c>
      <c r="T1668" s="4" t="s">
        <v>479</v>
      </c>
      <c r="U1668" s="4" t="s">
        <v>122</v>
      </c>
      <c r="V1668" s="4" t="s">
        <v>63</v>
      </c>
      <c r="W1668" s="4" t="s">
        <v>198</v>
      </c>
      <c r="X1668" s="4" t="s">
        <v>98</v>
      </c>
      <c r="Y1668" s="4" t="s">
        <v>323</v>
      </c>
      <c r="Z1668" s="12">
        <v>0</v>
      </c>
      <c r="AA1668" s="13" t="s">
        <v>9151</v>
      </c>
      <c r="AB1668" s="13" t="s">
        <v>9150</v>
      </c>
      <c r="AC1668" s="14" t="s">
        <v>9148</v>
      </c>
      <c r="AD1668" s="14" t="s">
        <v>9140</v>
      </c>
      <c r="AE1668" s="14" t="s">
        <v>9140</v>
      </c>
      <c r="AF1668" s="14" t="s">
        <v>63</v>
      </c>
      <c r="AG1668" s="14" t="s">
        <v>98</v>
      </c>
      <c r="AH1668" s="15" t="s">
        <v>9220</v>
      </c>
      <c r="AI1668" s="15" t="s">
        <v>9188</v>
      </c>
      <c r="AJ1668" s="15" t="s">
        <v>9143</v>
      </c>
      <c r="AK1668" s="15" t="s">
        <v>9221</v>
      </c>
      <c r="AL1668" s="15" t="s">
        <v>9232</v>
      </c>
      <c r="AM1668" s="16" t="s">
        <v>9221</v>
      </c>
      <c r="AN1668" s="16" t="s">
        <v>9233</v>
      </c>
    </row>
    <row r="1669" spans="1:40" x14ac:dyDescent="0.25">
      <c r="A1669" s="4" t="s">
        <v>6843</v>
      </c>
      <c r="B1669" s="17" t="s">
        <v>6844</v>
      </c>
      <c r="C1669" s="4" t="s">
        <v>39</v>
      </c>
      <c r="D1669" s="4" t="s">
        <v>6845</v>
      </c>
      <c r="E1669" s="4" t="s">
        <v>6846</v>
      </c>
      <c r="F1669" s="10">
        <v>45217</v>
      </c>
      <c r="G1669" s="18">
        <v>0.74861111111111112</v>
      </c>
      <c r="H1669" s="4" t="s">
        <v>4910</v>
      </c>
      <c r="I1669" s="4" t="s">
        <v>6800</v>
      </c>
      <c r="J1669" s="4" t="s">
        <v>2914</v>
      </c>
      <c r="K1669" s="4" t="s">
        <v>6847</v>
      </c>
      <c r="L1669" s="4" t="s">
        <v>6848</v>
      </c>
      <c r="M1669" s="4" t="s">
        <v>28</v>
      </c>
      <c r="N1669" s="4" t="s">
        <v>372</v>
      </c>
      <c r="O1669" s="4" t="s">
        <v>47</v>
      </c>
      <c r="P1669" s="4" t="s">
        <v>48</v>
      </c>
      <c r="Q1669" s="4">
        <v>0</v>
      </c>
      <c r="R1669" s="4" t="b">
        <v>0</v>
      </c>
      <c r="S1669" s="4" t="s">
        <v>114</v>
      </c>
      <c r="T1669" s="4" t="s">
        <v>89</v>
      </c>
      <c r="U1669" s="4" t="s">
        <v>2065</v>
      </c>
      <c r="V1669" s="4" t="s">
        <v>52</v>
      </c>
      <c r="W1669" s="4" t="s">
        <v>53</v>
      </c>
      <c r="X1669" s="4" t="s">
        <v>54</v>
      </c>
      <c r="Y1669" s="4"/>
      <c r="Z1669" s="12" t="s">
        <v>48</v>
      </c>
      <c r="AA1669" s="13" t="s">
        <v>9151</v>
      </c>
      <c r="AB1669" s="13" t="s">
        <v>9150</v>
      </c>
      <c r="AC1669" s="14" t="s">
        <v>9157</v>
      </c>
      <c r="AD1669" s="14" t="s">
        <v>28</v>
      </c>
      <c r="AE1669" s="14" t="s">
        <v>372</v>
      </c>
      <c r="AF1669" s="14" t="s">
        <v>52</v>
      </c>
      <c r="AG1669" s="14" t="s">
        <v>54</v>
      </c>
      <c r="AH1669" s="15" t="s">
        <v>9220</v>
      </c>
      <c r="AI1669" s="15" t="s">
        <v>9191</v>
      </c>
      <c r="AJ1669" s="15" t="s">
        <v>9143</v>
      </c>
      <c r="AK1669" s="15" t="s">
        <v>9221</v>
      </c>
      <c r="AL1669" s="15" t="s">
        <v>9234</v>
      </c>
      <c r="AM1669" s="16" t="s">
        <v>9221</v>
      </c>
      <c r="AN1669" s="16" t="s">
        <v>9235</v>
      </c>
    </row>
    <row r="1670" spans="1:40" x14ac:dyDescent="0.25">
      <c r="A1670" s="4" t="s">
        <v>5538</v>
      </c>
      <c r="B1670" s="17"/>
      <c r="C1670" s="4" t="s">
        <v>39</v>
      </c>
      <c r="D1670" s="4" t="s">
        <v>5539</v>
      </c>
      <c r="E1670" s="4" t="s">
        <v>5540</v>
      </c>
      <c r="F1670" s="10">
        <v>45217</v>
      </c>
      <c r="G1670" s="18">
        <v>0.6166666666666667</v>
      </c>
      <c r="H1670" s="4" t="s">
        <v>4910</v>
      </c>
      <c r="I1670" s="4" t="s">
        <v>5502</v>
      </c>
      <c r="J1670" s="4" t="s">
        <v>3354</v>
      </c>
      <c r="K1670" s="4" t="s">
        <v>5541</v>
      </c>
      <c r="L1670" s="4" t="s">
        <v>5542</v>
      </c>
      <c r="M1670" s="4" t="s">
        <v>46</v>
      </c>
      <c r="N1670" s="4"/>
      <c r="O1670" s="4" t="s">
        <v>174</v>
      </c>
      <c r="P1670" s="4" t="s">
        <v>48</v>
      </c>
      <c r="Q1670" s="4">
        <v>10</v>
      </c>
      <c r="R1670" s="4" t="b">
        <v>0</v>
      </c>
      <c r="S1670" s="4" t="s">
        <v>49</v>
      </c>
      <c r="T1670" s="4" t="s">
        <v>70</v>
      </c>
      <c r="U1670" s="4" t="s">
        <v>71</v>
      </c>
      <c r="V1670" s="4" t="s">
        <v>63</v>
      </c>
      <c r="W1670" s="4" t="s">
        <v>108</v>
      </c>
      <c r="X1670" s="4" t="s">
        <v>54</v>
      </c>
      <c r="Y1670" s="4"/>
      <c r="Z1670" s="12">
        <v>0</v>
      </c>
      <c r="AA1670" s="13" t="s">
        <v>9151</v>
      </c>
      <c r="AB1670" s="13" t="s">
        <v>9150</v>
      </c>
      <c r="AC1670" s="14" t="s">
        <v>9139</v>
      </c>
      <c r="AD1670" s="14" t="s">
        <v>9140</v>
      </c>
      <c r="AE1670" s="14" t="s">
        <v>9140</v>
      </c>
      <c r="AF1670" s="14" t="s">
        <v>63</v>
      </c>
      <c r="AG1670" s="14" t="s">
        <v>54</v>
      </c>
      <c r="AH1670" s="15" t="s">
        <v>9220</v>
      </c>
      <c r="AI1670" s="15" t="s">
        <v>9191</v>
      </c>
      <c r="AJ1670" s="15" t="s">
        <v>9143</v>
      </c>
      <c r="AK1670" s="15" t="s">
        <v>9221</v>
      </c>
      <c r="AL1670" s="15" t="s">
        <v>9234</v>
      </c>
      <c r="AM1670" s="16" t="s">
        <v>9221</v>
      </c>
      <c r="AN1670" s="16" t="s">
        <v>9235</v>
      </c>
    </row>
    <row r="1671" spans="1:40" x14ac:dyDescent="0.25">
      <c r="A1671" s="4" t="s">
        <v>3996</v>
      </c>
      <c r="B1671" s="17"/>
      <c r="C1671" s="4" t="s">
        <v>39</v>
      </c>
      <c r="D1671" s="4" t="s">
        <v>3997</v>
      </c>
      <c r="E1671" s="4" t="s">
        <v>3998</v>
      </c>
      <c r="F1671" s="10">
        <v>45217</v>
      </c>
      <c r="G1671" s="18">
        <v>0.55208333333333337</v>
      </c>
      <c r="H1671" s="4" t="s">
        <v>3995</v>
      </c>
      <c r="I1671" s="4" t="s">
        <v>3999</v>
      </c>
      <c r="J1671" s="4" t="s">
        <v>4000</v>
      </c>
      <c r="K1671" s="4" t="s">
        <v>4001</v>
      </c>
      <c r="L1671" s="4" t="s">
        <v>4002</v>
      </c>
      <c r="M1671" s="4" t="s">
        <v>46</v>
      </c>
      <c r="N1671" s="4"/>
      <c r="O1671" s="4" t="s">
        <v>47</v>
      </c>
      <c r="P1671" s="4" t="s">
        <v>48</v>
      </c>
      <c r="Q1671" s="4">
        <v>0</v>
      </c>
      <c r="R1671" s="4" t="b">
        <v>0</v>
      </c>
      <c r="S1671" s="4" t="s">
        <v>49</v>
      </c>
      <c r="T1671" s="4" t="s">
        <v>50</v>
      </c>
      <c r="U1671" s="4" t="s">
        <v>90</v>
      </c>
      <c r="V1671" s="4" t="s">
        <v>72</v>
      </c>
      <c r="W1671" s="4" t="s">
        <v>73</v>
      </c>
      <c r="X1671" s="4" t="s">
        <v>54</v>
      </c>
      <c r="Y1671" s="4"/>
      <c r="Z1671" s="12">
        <v>0</v>
      </c>
      <c r="AA1671" s="13" t="s">
        <v>9151</v>
      </c>
      <c r="AB1671" s="13" t="s">
        <v>9150</v>
      </c>
      <c r="AC1671" s="14" t="s">
        <v>9139</v>
      </c>
      <c r="AD1671" s="14" t="s">
        <v>9140</v>
      </c>
      <c r="AE1671" s="14" t="s">
        <v>9140</v>
      </c>
      <c r="AF1671" s="14" t="s">
        <v>72</v>
      </c>
      <c r="AG1671" s="14" t="s">
        <v>54</v>
      </c>
      <c r="AH1671" s="15" t="s">
        <v>9216</v>
      </c>
      <c r="AI1671" s="15" t="s">
        <v>9175</v>
      </c>
      <c r="AJ1671" s="15" t="s">
        <v>9183</v>
      </c>
      <c r="AK1671" s="15" t="s">
        <v>9217</v>
      </c>
      <c r="AL1671" s="15" t="s">
        <v>9216</v>
      </c>
      <c r="AM1671" s="16" t="s">
        <v>9186</v>
      </c>
      <c r="AN1671" s="16" t="s">
        <v>9186</v>
      </c>
    </row>
    <row r="1672" spans="1:40" x14ac:dyDescent="0.25">
      <c r="A1672" s="4" t="s">
        <v>362</v>
      </c>
      <c r="B1672" s="17"/>
      <c r="C1672" s="4" t="s">
        <v>39</v>
      </c>
      <c r="D1672" s="4" t="s">
        <v>289</v>
      </c>
      <c r="E1672" s="4" t="s">
        <v>290</v>
      </c>
      <c r="F1672" s="10">
        <v>45217</v>
      </c>
      <c r="G1672" s="18">
        <v>0.53819444444444442</v>
      </c>
      <c r="H1672" s="4" t="s">
        <v>42</v>
      </c>
      <c r="I1672" s="4">
        <v>1011</v>
      </c>
      <c r="J1672" s="4" t="s">
        <v>215</v>
      </c>
      <c r="K1672" s="4" t="s">
        <v>363</v>
      </c>
      <c r="L1672" s="4" t="s">
        <v>364</v>
      </c>
      <c r="M1672" s="4" t="s">
        <v>46</v>
      </c>
      <c r="N1672" s="4"/>
      <c r="O1672" s="4" t="s">
        <v>47</v>
      </c>
      <c r="P1672" s="4" t="s">
        <v>48</v>
      </c>
      <c r="Q1672" s="4">
        <v>0</v>
      </c>
      <c r="R1672" s="4" t="b">
        <v>0</v>
      </c>
      <c r="S1672" s="4" t="s">
        <v>61</v>
      </c>
      <c r="T1672" s="4" t="s">
        <v>89</v>
      </c>
      <c r="U1672" s="4" t="s">
        <v>175</v>
      </c>
      <c r="V1672" s="4" t="s">
        <v>52</v>
      </c>
      <c r="W1672" s="4" t="s">
        <v>53</v>
      </c>
      <c r="X1672" s="4" t="s">
        <v>98</v>
      </c>
      <c r="Y1672" s="4"/>
      <c r="Z1672" s="12">
        <v>0</v>
      </c>
      <c r="AA1672" s="13" t="s">
        <v>9151</v>
      </c>
      <c r="AB1672" s="13" t="s">
        <v>9150</v>
      </c>
      <c r="AC1672" s="14" t="s">
        <v>9148</v>
      </c>
      <c r="AD1672" s="14" t="s">
        <v>9140</v>
      </c>
      <c r="AE1672" s="14" t="s">
        <v>9140</v>
      </c>
      <c r="AF1672" s="14" t="s">
        <v>52</v>
      </c>
      <c r="AG1672" s="14" t="s">
        <v>98</v>
      </c>
      <c r="AH1672" s="15" t="s">
        <v>9141</v>
      </c>
      <c r="AI1672" s="15" t="s">
        <v>9142</v>
      </c>
      <c r="AJ1672" s="15" t="s">
        <v>9143</v>
      </c>
      <c r="AK1672" s="15" t="s">
        <v>9141</v>
      </c>
      <c r="AL1672" s="15" t="s">
        <v>9144</v>
      </c>
      <c r="AM1672" s="16" t="s">
        <v>9141</v>
      </c>
      <c r="AN1672" s="16" t="s">
        <v>9145</v>
      </c>
    </row>
    <row r="1673" spans="1:40" x14ac:dyDescent="0.25">
      <c r="A1673" s="4" t="s">
        <v>2214</v>
      </c>
      <c r="B1673" s="17"/>
      <c r="C1673" s="4" t="s">
        <v>39</v>
      </c>
      <c r="D1673" s="4" t="s">
        <v>2215</v>
      </c>
      <c r="E1673" s="4" t="s">
        <v>2216</v>
      </c>
      <c r="F1673" s="10">
        <v>45216</v>
      </c>
      <c r="G1673" s="18">
        <v>0.39583333333333331</v>
      </c>
      <c r="H1673" s="4" t="s">
        <v>2017</v>
      </c>
      <c r="I1673" s="4" t="s">
        <v>2191</v>
      </c>
      <c r="J1673" s="4" t="s">
        <v>2192</v>
      </c>
      <c r="K1673" s="4" t="s">
        <v>2217</v>
      </c>
      <c r="L1673" s="4" t="s">
        <v>2218</v>
      </c>
      <c r="M1673" s="4" t="s">
        <v>46</v>
      </c>
      <c r="N1673" s="4"/>
      <c r="O1673" s="4" t="s">
        <v>47</v>
      </c>
      <c r="P1673" s="4" t="s">
        <v>48</v>
      </c>
      <c r="Q1673" s="4">
        <v>0</v>
      </c>
      <c r="R1673" s="4" t="b">
        <v>0</v>
      </c>
      <c r="S1673" s="4" t="s">
        <v>49</v>
      </c>
      <c r="T1673" s="4" t="s">
        <v>89</v>
      </c>
      <c r="U1673" s="4" t="s">
        <v>71</v>
      </c>
      <c r="V1673" s="4" t="s">
        <v>52</v>
      </c>
      <c r="W1673" s="4" t="s">
        <v>53</v>
      </c>
      <c r="X1673" s="4" t="s">
        <v>54</v>
      </c>
      <c r="Y1673" s="4"/>
      <c r="Z1673" s="12">
        <v>0</v>
      </c>
      <c r="AA1673" s="13" t="s">
        <v>9151</v>
      </c>
      <c r="AB1673" s="13" t="s">
        <v>9150</v>
      </c>
      <c r="AC1673" s="14" t="s">
        <v>9139</v>
      </c>
      <c r="AD1673" s="14" t="s">
        <v>9140</v>
      </c>
      <c r="AE1673" s="14" t="s">
        <v>9140</v>
      </c>
      <c r="AF1673" s="14" t="s">
        <v>52</v>
      </c>
      <c r="AG1673" s="14" t="s">
        <v>54</v>
      </c>
      <c r="AH1673" s="15" t="s">
        <v>9194</v>
      </c>
      <c r="AI1673" s="15" t="s">
        <v>9199</v>
      </c>
      <c r="AJ1673" s="15" t="s">
        <v>9143</v>
      </c>
      <c r="AK1673" s="15" t="s">
        <v>9194</v>
      </c>
      <c r="AL1673" s="15" t="s">
        <v>9199</v>
      </c>
      <c r="AM1673" s="16" t="s">
        <v>9194</v>
      </c>
      <c r="AN1673" s="16" t="s">
        <v>9200</v>
      </c>
    </row>
    <row r="1674" spans="1:40" x14ac:dyDescent="0.25">
      <c r="A1674" s="4" t="s">
        <v>1975</v>
      </c>
      <c r="B1674" s="17"/>
      <c r="C1674" s="4" t="s">
        <v>39</v>
      </c>
      <c r="D1674" s="4" t="s">
        <v>1976</v>
      </c>
      <c r="E1674" s="4" t="s">
        <v>1977</v>
      </c>
      <c r="F1674" s="10">
        <v>45216</v>
      </c>
      <c r="G1674" s="18">
        <v>0.72361111111111109</v>
      </c>
      <c r="H1674" s="4" t="s">
        <v>1939</v>
      </c>
      <c r="I1674" s="4" t="s">
        <v>1940</v>
      </c>
      <c r="J1674" s="4" t="s">
        <v>1941</v>
      </c>
      <c r="K1674" s="4" t="s">
        <v>1978</v>
      </c>
      <c r="L1674" s="4" t="s">
        <v>1979</v>
      </c>
      <c r="M1674" s="4" t="s">
        <v>46</v>
      </c>
      <c r="N1674" s="4"/>
      <c r="O1674" s="4" t="s">
        <v>47</v>
      </c>
      <c r="P1674" s="4" t="s">
        <v>48</v>
      </c>
      <c r="Q1674" s="4">
        <v>0</v>
      </c>
      <c r="R1674" s="4" t="b">
        <v>0</v>
      </c>
      <c r="S1674" s="4" t="s">
        <v>61</v>
      </c>
      <c r="T1674" s="4" t="s">
        <v>89</v>
      </c>
      <c r="U1674" s="4" t="s">
        <v>148</v>
      </c>
      <c r="V1674" s="4" t="s">
        <v>52</v>
      </c>
      <c r="W1674" s="4" t="s">
        <v>53</v>
      </c>
      <c r="X1674" s="4" t="s">
        <v>54</v>
      </c>
      <c r="Y1674" s="4"/>
      <c r="Z1674" s="12">
        <v>0</v>
      </c>
      <c r="AA1674" s="13" t="s">
        <v>9151</v>
      </c>
      <c r="AB1674" s="13" t="s">
        <v>9150</v>
      </c>
      <c r="AC1674" s="14" t="s">
        <v>9148</v>
      </c>
      <c r="AD1674" s="14" t="s">
        <v>9140</v>
      </c>
      <c r="AE1674" s="14" t="s">
        <v>9140</v>
      </c>
      <c r="AF1674" s="14" t="s">
        <v>52</v>
      </c>
      <c r="AG1674" s="14" t="s">
        <v>54</v>
      </c>
      <c r="AH1674" s="15" t="s">
        <v>9194</v>
      </c>
      <c r="AI1674" s="15" t="s">
        <v>9175</v>
      </c>
      <c r="AJ1674" s="15" t="s">
        <v>9143</v>
      </c>
      <c r="AK1674" s="15" t="s">
        <v>9194</v>
      </c>
      <c r="AL1674" s="15" t="s">
        <v>9195</v>
      </c>
      <c r="AM1674" s="16" t="s">
        <v>9194</v>
      </c>
      <c r="AN1674" s="16" t="s">
        <v>9196</v>
      </c>
    </row>
    <row r="1675" spans="1:40" x14ac:dyDescent="0.25">
      <c r="A1675" s="4" t="s">
        <v>4950</v>
      </c>
      <c r="B1675" s="17"/>
      <c r="C1675" s="4" t="s">
        <v>39</v>
      </c>
      <c r="D1675" s="4" t="s">
        <v>4951</v>
      </c>
      <c r="E1675" s="4" t="s">
        <v>4952</v>
      </c>
      <c r="F1675" s="10">
        <v>45216</v>
      </c>
      <c r="G1675" s="18">
        <v>0.54722222222222228</v>
      </c>
      <c r="H1675" s="4" t="s">
        <v>4910</v>
      </c>
      <c r="I1675" s="4" t="s">
        <v>4939</v>
      </c>
      <c r="J1675" s="4" t="s">
        <v>4940</v>
      </c>
      <c r="K1675" s="4" t="s">
        <v>4953</v>
      </c>
      <c r="L1675" s="4" t="s">
        <v>4954</v>
      </c>
      <c r="M1675" s="4" t="s">
        <v>46</v>
      </c>
      <c r="N1675" s="4"/>
      <c r="O1675" s="4" t="s">
        <v>47</v>
      </c>
      <c r="P1675" s="4" t="s">
        <v>48</v>
      </c>
      <c r="Q1675" s="4">
        <v>0</v>
      </c>
      <c r="R1675" s="4" t="b">
        <v>0</v>
      </c>
      <c r="S1675" s="4" t="s">
        <v>61</v>
      </c>
      <c r="T1675" s="4" t="s">
        <v>134</v>
      </c>
      <c r="U1675" s="4" t="s">
        <v>2767</v>
      </c>
      <c r="V1675" s="4" t="s">
        <v>123</v>
      </c>
      <c r="W1675" s="4" t="s">
        <v>124</v>
      </c>
      <c r="X1675" s="4" t="s">
        <v>98</v>
      </c>
      <c r="Y1675" s="4" t="s">
        <v>176</v>
      </c>
      <c r="Z1675" s="12">
        <v>0</v>
      </c>
      <c r="AA1675" s="13" t="s">
        <v>9151</v>
      </c>
      <c r="AB1675" s="13" t="s">
        <v>9150</v>
      </c>
      <c r="AC1675" s="14" t="s">
        <v>9148</v>
      </c>
      <c r="AD1675" s="14" t="s">
        <v>9140</v>
      </c>
      <c r="AE1675" s="14" t="s">
        <v>9140</v>
      </c>
      <c r="AF1675" s="14" t="s">
        <v>123</v>
      </c>
      <c r="AG1675" s="14" t="s">
        <v>98</v>
      </c>
      <c r="AH1675" s="15" t="s">
        <v>9220</v>
      </c>
      <c r="AI1675" s="15" t="s">
        <v>9191</v>
      </c>
      <c r="AJ1675" s="15" t="s">
        <v>9143</v>
      </c>
      <c r="AK1675" s="15" t="s">
        <v>9221</v>
      </c>
      <c r="AL1675" s="15" t="s">
        <v>9234</v>
      </c>
      <c r="AM1675" s="16" t="s">
        <v>9221</v>
      </c>
      <c r="AN1675" s="16" t="s">
        <v>9235</v>
      </c>
    </row>
    <row r="1676" spans="1:40" x14ac:dyDescent="0.25">
      <c r="A1676" s="4" t="s">
        <v>5057</v>
      </c>
      <c r="B1676" s="17"/>
      <c r="C1676" s="4" t="s">
        <v>39</v>
      </c>
      <c r="D1676" s="4" t="s">
        <v>5012</v>
      </c>
      <c r="E1676" s="4" t="s">
        <v>5013</v>
      </c>
      <c r="F1676" s="10">
        <v>45216</v>
      </c>
      <c r="G1676" s="18">
        <v>0.86111111111111116</v>
      </c>
      <c r="H1676" s="4" t="s">
        <v>4516</v>
      </c>
      <c r="I1676" s="4" t="s">
        <v>4969</v>
      </c>
      <c r="J1676" s="4" t="s">
        <v>3453</v>
      </c>
      <c r="K1676" s="4" t="s">
        <v>5058</v>
      </c>
      <c r="L1676" s="4" t="s">
        <v>5059</v>
      </c>
      <c r="M1676" s="4" t="s">
        <v>46</v>
      </c>
      <c r="N1676" s="4"/>
      <c r="O1676" s="4" t="s">
        <v>47</v>
      </c>
      <c r="P1676" s="4" t="s">
        <v>48</v>
      </c>
      <c r="Q1676" s="4">
        <v>0</v>
      </c>
      <c r="R1676" s="4" t="b">
        <v>0</v>
      </c>
      <c r="S1676" s="4" t="s">
        <v>61</v>
      </c>
      <c r="T1676" s="4" t="s">
        <v>479</v>
      </c>
      <c r="U1676" s="4" t="s">
        <v>71</v>
      </c>
      <c r="V1676" s="4" t="s">
        <v>52</v>
      </c>
      <c r="W1676" s="4" t="s">
        <v>53</v>
      </c>
      <c r="X1676" s="4" t="s">
        <v>54</v>
      </c>
      <c r="Y1676" s="4"/>
      <c r="Z1676" s="12">
        <v>0</v>
      </c>
      <c r="AA1676" s="13" t="s">
        <v>9151</v>
      </c>
      <c r="AB1676" s="13" t="s">
        <v>9150</v>
      </c>
      <c r="AC1676" s="14" t="s">
        <v>9148</v>
      </c>
      <c r="AD1676" s="14" t="s">
        <v>9140</v>
      </c>
      <c r="AE1676" s="14" t="s">
        <v>9140</v>
      </c>
      <c r="AF1676" s="14" t="s">
        <v>52</v>
      </c>
      <c r="AG1676" s="14" t="s">
        <v>54</v>
      </c>
      <c r="AH1676" s="15" t="s">
        <v>9220</v>
      </c>
      <c r="AI1676" s="15" t="s">
        <v>9188</v>
      </c>
      <c r="AJ1676" s="15" t="s">
        <v>9143</v>
      </c>
      <c r="AK1676" s="15" t="s">
        <v>9221</v>
      </c>
      <c r="AL1676" s="15" t="s">
        <v>9230</v>
      </c>
      <c r="AM1676" s="16" t="s">
        <v>9221</v>
      </c>
      <c r="AN1676" s="16" t="s">
        <v>9231</v>
      </c>
    </row>
    <row r="1677" spans="1:40" x14ac:dyDescent="0.25">
      <c r="A1677" s="4" t="s">
        <v>6043</v>
      </c>
      <c r="B1677" s="17"/>
      <c r="C1677" s="4" t="s">
        <v>39</v>
      </c>
      <c r="D1677" s="4" t="s">
        <v>6018</v>
      </c>
      <c r="E1677" s="4" t="s">
        <v>6019</v>
      </c>
      <c r="F1677" s="10">
        <v>45216</v>
      </c>
      <c r="G1677" s="18">
        <v>0.67708333333333337</v>
      </c>
      <c r="H1677" s="4" t="s">
        <v>4242</v>
      </c>
      <c r="I1677" s="4" t="s">
        <v>5918</v>
      </c>
      <c r="J1677" s="4" t="s">
        <v>5919</v>
      </c>
      <c r="K1677" s="4" t="s">
        <v>6044</v>
      </c>
      <c r="L1677" s="4" t="s">
        <v>6045</v>
      </c>
      <c r="M1677" s="4" t="s">
        <v>46</v>
      </c>
      <c r="N1677" s="4"/>
      <c r="O1677" s="4" t="s">
        <v>47</v>
      </c>
      <c r="P1677" s="4" t="s">
        <v>48</v>
      </c>
      <c r="Q1677" s="4">
        <v>0</v>
      </c>
      <c r="R1677" s="4" t="b">
        <v>0</v>
      </c>
      <c r="S1677" s="4" t="s">
        <v>49</v>
      </c>
      <c r="T1677" s="4" t="s">
        <v>89</v>
      </c>
      <c r="U1677" s="4" t="s">
        <v>373</v>
      </c>
      <c r="V1677" s="4" t="s">
        <v>52</v>
      </c>
      <c r="W1677" s="4" t="s">
        <v>53</v>
      </c>
      <c r="X1677" s="4" t="s">
        <v>54</v>
      </c>
      <c r="Y1677" s="4"/>
      <c r="Z1677" s="12">
        <v>0</v>
      </c>
      <c r="AA1677" s="13" t="s">
        <v>9151</v>
      </c>
      <c r="AB1677" s="13" t="s">
        <v>9150</v>
      </c>
      <c r="AC1677" s="14" t="s">
        <v>9139</v>
      </c>
      <c r="AD1677" s="14" t="s">
        <v>9140</v>
      </c>
      <c r="AE1677" s="14" t="s">
        <v>9140</v>
      </c>
      <c r="AF1677" s="14" t="s">
        <v>52</v>
      </c>
      <c r="AG1677" s="14" t="s">
        <v>54</v>
      </c>
      <c r="AH1677" s="15" t="s">
        <v>9220</v>
      </c>
      <c r="AI1677" s="15" t="s">
        <v>9187</v>
      </c>
      <c r="AJ1677" s="15" t="s">
        <v>9143</v>
      </c>
      <c r="AK1677" s="15" t="s">
        <v>9221</v>
      </c>
      <c r="AL1677" s="15" t="s">
        <v>9226</v>
      </c>
      <c r="AM1677" s="16" t="s">
        <v>9221</v>
      </c>
      <c r="AN1677" s="16" t="s">
        <v>9227</v>
      </c>
    </row>
    <row r="1678" spans="1:40" x14ac:dyDescent="0.25">
      <c r="A1678" s="4" t="s">
        <v>8939</v>
      </c>
      <c r="B1678" s="17"/>
      <c r="C1678" s="4" t="s">
        <v>39</v>
      </c>
      <c r="D1678" s="4" t="s">
        <v>8940</v>
      </c>
      <c r="E1678" s="4" t="s">
        <v>8941</v>
      </c>
      <c r="F1678" s="10">
        <v>45216</v>
      </c>
      <c r="G1678" s="18">
        <v>0.43333333333333335</v>
      </c>
      <c r="H1678" s="4" t="s">
        <v>4019</v>
      </c>
      <c r="I1678" s="4" t="s">
        <v>8854</v>
      </c>
      <c r="J1678" s="4" t="s">
        <v>8855</v>
      </c>
      <c r="K1678" s="4" t="s">
        <v>8942</v>
      </c>
      <c r="L1678" s="4" t="s">
        <v>8943</v>
      </c>
      <c r="M1678" s="4" t="s">
        <v>46</v>
      </c>
      <c r="N1678" s="4"/>
      <c r="O1678" s="4" t="s">
        <v>47</v>
      </c>
      <c r="P1678" s="4" t="s">
        <v>48</v>
      </c>
      <c r="Q1678" s="4">
        <v>0</v>
      </c>
      <c r="R1678" s="4" t="b">
        <v>0</v>
      </c>
      <c r="S1678" s="4" t="s">
        <v>61</v>
      </c>
      <c r="T1678" s="4" t="s">
        <v>50</v>
      </c>
      <c r="U1678" s="4" t="s">
        <v>224</v>
      </c>
      <c r="V1678" s="4" t="s">
        <v>72</v>
      </c>
      <c r="W1678" s="4" t="s">
        <v>73</v>
      </c>
      <c r="X1678" s="4" t="s">
        <v>54</v>
      </c>
      <c r="Y1678" s="4"/>
      <c r="Z1678" s="12">
        <v>0</v>
      </c>
      <c r="AA1678" s="13" t="s">
        <v>9151</v>
      </c>
      <c r="AB1678" s="13" t="s">
        <v>9150</v>
      </c>
      <c r="AC1678" s="14" t="s">
        <v>9148</v>
      </c>
      <c r="AD1678" s="14" t="s">
        <v>9140</v>
      </c>
      <c r="AE1678" s="14" t="s">
        <v>9140</v>
      </c>
      <c r="AF1678" s="14" t="s">
        <v>72</v>
      </c>
      <c r="AG1678" s="14" t="s">
        <v>54</v>
      </c>
      <c r="AH1678" s="15" t="s">
        <v>9220</v>
      </c>
      <c r="AI1678" s="15" t="s">
        <v>9175</v>
      </c>
      <c r="AJ1678" s="15" t="s">
        <v>9183</v>
      </c>
      <c r="AK1678" s="15" t="s">
        <v>9239</v>
      </c>
      <c r="AL1678" s="15" t="s">
        <v>9240</v>
      </c>
      <c r="AM1678" s="16" t="s">
        <v>9186</v>
      </c>
      <c r="AN1678" s="16" t="s">
        <v>9186</v>
      </c>
    </row>
    <row r="1679" spans="1:40" x14ac:dyDescent="0.25">
      <c r="A1679" s="4" t="s">
        <v>8631</v>
      </c>
      <c r="B1679" s="17"/>
      <c r="C1679" s="4" t="s">
        <v>39</v>
      </c>
      <c r="D1679" s="4" t="s">
        <v>8632</v>
      </c>
      <c r="E1679" s="4" t="s">
        <v>8633</v>
      </c>
      <c r="F1679" s="10">
        <v>45215</v>
      </c>
      <c r="G1679" s="18">
        <v>0.64583333333333337</v>
      </c>
      <c r="H1679" s="4" t="s">
        <v>4516</v>
      </c>
      <c r="I1679" s="4" t="s">
        <v>8612</v>
      </c>
      <c r="J1679" s="4" t="s">
        <v>8613</v>
      </c>
      <c r="K1679" s="4" t="s">
        <v>8634</v>
      </c>
      <c r="L1679" s="4" t="s">
        <v>8635</v>
      </c>
      <c r="M1679" s="4" t="s">
        <v>46</v>
      </c>
      <c r="N1679" s="4"/>
      <c r="O1679" s="4" t="s">
        <v>47</v>
      </c>
      <c r="P1679" s="4" t="s">
        <v>48</v>
      </c>
      <c r="Q1679" s="4">
        <v>0</v>
      </c>
      <c r="R1679" s="4" t="b">
        <v>0</v>
      </c>
      <c r="S1679" s="4" t="s">
        <v>114</v>
      </c>
      <c r="T1679" s="4" t="s">
        <v>89</v>
      </c>
      <c r="U1679" s="4" t="s">
        <v>148</v>
      </c>
      <c r="V1679" s="4" t="s">
        <v>52</v>
      </c>
      <c r="W1679" s="4" t="s">
        <v>135</v>
      </c>
      <c r="X1679" s="4" t="s">
        <v>54</v>
      </c>
      <c r="Y1679" s="4"/>
      <c r="Z1679" s="12">
        <v>0</v>
      </c>
      <c r="AA1679" s="13" t="s">
        <v>9151</v>
      </c>
      <c r="AB1679" s="13" t="s">
        <v>9150</v>
      </c>
      <c r="AC1679" s="14" t="s">
        <v>9157</v>
      </c>
      <c r="AD1679" s="14" t="s">
        <v>9140</v>
      </c>
      <c r="AE1679" s="14" t="s">
        <v>9140</v>
      </c>
      <c r="AF1679" s="14" t="s">
        <v>52</v>
      </c>
      <c r="AG1679" s="14" t="s">
        <v>54</v>
      </c>
      <c r="AH1679" s="15" t="s">
        <v>9220</v>
      </c>
      <c r="AI1679" s="15" t="s">
        <v>9188</v>
      </c>
      <c r="AJ1679" s="15" t="s">
        <v>9143</v>
      </c>
      <c r="AK1679" s="15" t="s">
        <v>9221</v>
      </c>
      <c r="AL1679" s="15" t="s">
        <v>9230</v>
      </c>
      <c r="AM1679" s="16" t="s">
        <v>9221</v>
      </c>
      <c r="AN1679" s="16" t="s">
        <v>9231</v>
      </c>
    </row>
    <row r="1680" spans="1:40" x14ac:dyDescent="0.25">
      <c r="A1680" s="4" t="s">
        <v>2161</v>
      </c>
      <c r="B1680" s="17"/>
      <c r="C1680" s="4" t="s">
        <v>39</v>
      </c>
      <c r="D1680" s="4" t="s">
        <v>2162</v>
      </c>
      <c r="E1680" s="4" t="s">
        <v>2163</v>
      </c>
      <c r="F1680" s="10">
        <v>45215</v>
      </c>
      <c r="G1680" s="18">
        <v>0.51041666666666663</v>
      </c>
      <c r="H1680" s="4" t="s">
        <v>1992</v>
      </c>
      <c r="I1680" s="4" t="s">
        <v>2139</v>
      </c>
      <c r="J1680" s="4" t="s">
        <v>2140</v>
      </c>
      <c r="K1680" s="4" t="s">
        <v>944</v>
      </c>
      <c r="L1680" s="4" t="s">
        <v>2164</v>
      </c>
      <c r="M1680" s="4" t="s">
        <v>46</v>
      </c>
      <c r="N1680" s="4"/>
      <c r="O1680" s="4" t="s">
        <v>47</v>
      </c>
      <c r="P1680" s="4" t="s">
        <v>48</v>
      </c>
      <c r="Q1680" s="4">
        <v>0</v>
      </c>
      <c r="R1680" s="4" t="b">
        <v>0</v>
      </c>
      <c r="S1680" s="4" t="s">
        <v>49</v>
      </c>
      <c r="T1680" s="4" t="s">
        <v>70</v>
      </c>
      <c r="U1680" s="4" t="s">
        <v>71</v>
      </c>
      <c r="V1680" s="4" t="s">
        <v>72</v>
      </c>
      <c r="W1680" s="4" t="s">
        <v>73</v>
      </c>
      <c r="X1680" s="4" t="s">
        <v>54</v>
      </c>
      <c r="Y1680" s="4"/>
      <c r="Z1680" s="12">
        <v>0</v>
      </c>
      <c r="AA1680" s="13" t="s">
        <v>9151</v>
      </c>
      <c r="AB1680" s="13" t="s">
        <v>9150</v>
      </c>
      <c r="AC1680" s="14" t="s">
        <v>9139</v>
      </c>
      <c r="AD1680" s="14" t="s">
        <v>9140</v>
      </c>
      <c r="AE1680" s="14" t="s">
        <v>9140</v>
      </c>
      <c r="AF1680" s="14" t="s">
        <v>72</v>
      </c>
      <c r="AG1680" s="14" t="s">
        <v>54</v>
      </c>
      <c r="AH1680" s="15" t="s">
        <v>9194</v>
      </c>
      <c r="AI1680" s="15" t="s">
        <v>9191</v>
      </c>
      <c r="AJ1680" s="15" t="s">
        <v>9143</v>
      </c>
      <c r="AK1680" s="15" t="s">
        <v>9194</v>
      </c>
      <c r="AL1680" s="15" t="s">
        <v>9205</v>
      </c>
      <c r="AM1680" s="16" t="s">
        <v>9194</v>
      </c>
      <c r="AN1680" s="16" t="s">
        <v>9206</v>
      </c>
    </row>
    <row r="1681" spans="1:40" x14ac:dyDescent="0.25">
      <c r="A1681" s="4" t="s">
        <v>3204</v>
      </c>
      <c r="B1681" s="17"/>
      <c r="C1681" s="4" t="s">
        <v>39</v>
      </c>
      <c r="D1681" s="4" t="s">
        <v>3205</v>
      </c>
      <c r="E1681" s="4" t="s">
        <v>3206</v>
      </c>
      <c r="F1681" s="10">
        <v>45215</v>
      </c>
      <c r="G1681" s="18">
        <v>0.56388888888888888</v>
      </c>
      <c r="H1681" s="4" t="s">
        <v>1992</v>
      </c>
      <c r="I1681" s="4" t="s">
        <v>3187</v>
      </c>
      <c r="J1681" s="4" t="s">
        <v>3188</v>
      </c>
      <c r="K1681" s="4" t="s">
        <v>3207</v>
      </c>
      <c r="L1681" s="4" t="s">
        <v>3208</v>
      </c>
      <c r="M1681" s="4" t="s">
        <v>46</v>
      </c>
      <c r="N1681" s="4"/>
      <c r="O1681" s="4" t="s">
        <v>47</v>
      </c>
      <c r="P1681" s="4" t="s">
        <v>48</v>
      </c>
      <c r="Q1681" s="4">
        <v>0</v>
      </c>
      <c r="R1681" s="4" t="b">
        <v>0</v>
      </c>
      <c r="S1681" s="4" t="s">
        <v>61</v>
      </c>
      <c r="T1681" s="4" t="s">
        <v>134</v>
      </c>
      <c r="U1681" s="4" t="s">
        <v>51</v>
      </c>
      <c r="V1681" s="4" t="s">
        <v>123</v>
      </c>
      <c r="W1681" s="4" t="s">
        <v>124</v>
      </c>
      <c r="X1681" s="4" t="s">
        <v>54</v>
      </c>
      <c r="Y1681" s="4"/>
      <c r="Z1681" s="12">
        <v>0</v>
      </c>
      <c r="AA1681" s="13" t="s">
        <v>9151</v>
      </c>
      <c r="AB1681" s="13" t="s">
        <v>9150</v>
      </c>
      <c r="AC1681" s="14" t="s">
        <v>9148</v>
      </c>
      <c r="AD1681" s="14" t="s">
        <v>9140</v>
      </c>
      <c r="AE1681" s="14" t="s">
        <v>9140</v>
      </c>
      <c r="AF1681" s="14" t="s">
        <v>123</v>
      </c>
      <c r="AG1681" s="14" t="s">
        <v>54</v>
      </c>
      <c r="AH1681" s="15" t="s">
        <v>9194</v>
      </c>
      <c r="AI1681" s="15" t="s">
        <v>9191</v>
      </c>
      <c r="AJ1681" s="15" t="s">
        <v>9143</v>
      </c>
      <c r="AK1681" s="15" t="s">
        <v>9194</v>
      </c>
      <c r="AL1681" s="15" t="s">
        <v>9197</v>
      </c>
      <c r="AM1681" s="16" t="s">
        <v>9194</v>
      </c>
      <c r="AN1681" s="16" t="s">
        <v>9198</v>
      </c>
    </row>
    <row r="1682" spans="1:40" x14ac:dyDescent="0.25">
      <c r="A1682" s="4" t="s">
        <v>3141</v>
      </c>
      <c r="B1682" s="17" t="s">
        <v>3142</v>
      </c>
      <c r="C1682" s="4" t="s">
        <v>39</v>
      </c>
      <c r="D1682" s="4" t="s">
        <v>3143</v>
      </c>
      <c r="E1682" s="4" t="s">
        <v>3144</v>
      </c>
      <c r="F1682" s="10">
        <v>45214</v>
      </c>
      <c r="G1682" s="18">
        <v>0.58333333333333337</v>
      </c>
      <c r="H1682" s="4" t="s">
        <v>3119</v>
      </c>
      <c r="I1682" s="4" t="s">
        <v>3120</v>
      </c>
      <c r="J1682" s="4" t="s">
        <v>3121</v>
      </c>
      <c r="K1682" s="4" t="s">
        <v>3145</v>
      </c>
      <c r="L1682" s="4" t="s">
        <v>3146</v>
      </c>
      <c r="M1682" s="4" t="s">
        <v>28</v>
      </c>
      <c r="N1682" s="4" t="s">
        <v>183</v>
      </c>
      <c r="O1682" s="4" t="s">
        <v>191</v>
      </c>
      <c r="P1682" s="4" t="s">
        <v>48</v>
      </c>
      <c r="Q1682" s="4">
        <v>15</v>
      </c>
      <c r="R1682" s="4" t="b">
        <v>0</v>
      </c>
      <c r="S1682" s="4" t="s">
        <v>114</v>
      </c>
      <c r="T1682" s="4" t="s">
        <v>479</v>
      </c>
      <c r="U1682" s="4" t="s">
        <v>373</v>
      </c>
      <c r="V1682" s="4" t="s">
        <v>52</v>
      </c>
      <c r="W1682" s="4" t="s">
        <v>255</v>
      </c>
      <c r="X1682" s="4" t="s">
        <v>54</v>
      </c>
      <c r="Y1682" s="4"/>
      <c r="Z1682" s="12" t="s">
        <v>48</v>
      </c>
      <c r="AA1682" s="13" t="s">
        <v>9151</v>
      </c>
      <c r="AB1682" s="13" t="s">
        <v>9150</v>
      </c>
      <c r="AC1682" s="14" t="s">
        <v>9157</v>
      </c>
      <c r="AD1682" s="14" t="s">
        <v>28</v>
      </c>
      <c r="AE1682" s="14" t="s">
        <v>183</v>
      </c>
      <c r="AF1682" s="14" t="s">
        <v>52</v>
      </c>
      <c r="AG1682" s="14" t="s">
        <v>54</v>
      </c>
      <c r="AH1682" s="15" t="s">
        <v>9194</v>
      </c>
      <c r="AI1682" s="15" t="s">
        <v>9213</v>
      </c>
      <c r="AJ1682" s="15" t="s">
        <v>9143</v>
      </c>
      <c r="AK1682" s="15" t="s">
        <v>9194</v>
      </c>
      <c r="AL1682" s="15" t="s">
        <v>9205</v>
      </c>
      <c r="AM1682" s="16" t="s">
        <v>9194</v>
      </c>
      <c r="AN1682" s="16" t="s">
        <v>9206</v>
      </c>
    </row>
    <row r="1683" spans="1:40" x14ac:dyDescent="0.25">
      <c r="A1683" s="4" t="s">
        <v>2257</v>
      </c>
      <c r="B1683" s="17"/>
      <c r="C1683" s="4" t="s">
        <v>39</v>
      </c>
      <c r="D1683" s="4" t="s">
        <v>2258</v>
      </c>
      <c r="E1683" s="4" t="s">
        <v>2259</v>
      </c>
      <c r="F1683" s="10">
        <v>45214</v>
      </c>
      <c r="G1683" s="18">
        <v>0.56180555555555556</v>
      </c>
      <c r="H1683" s="4" t="s">
        <v>2227</v>
      </c>
      <c r="I1683" s="4" t="s">
        <v>2228</v>
      </c>
      <c r="J1683" s="4" t="s">
        <v>1173</v>
      </c>
      <c r="K1683" s="4" t="s">
        <v>2260</v>
      </c>
      <c r="L1683" s="4" t="s">
        <v>2261</v>
      </c>
      <c r="M1683" s="4" t="s">
        <v>46</v>
      </c>
      <c r="N1683" s="4"/>
      <c r="O1683" s="4" t="s">
        <v>47</v>
      </c>
      <c r="P1683" s="4" t="s">
        <v>48</v>
      </c>
      <c r="Q1683" s="4">
        <v>0</v>
      </c>
      <c r="R1683" s="4" t="b">
        <v>0</v>
      </c>
      <c r="S1683" s="4" t="s">
        <v>49</v>
      </c>
      <c r="T1683" s="4" t="s">
        <v>70</v>
      </c>
      <c r="U1683" s="4" t="s">
        <v>71</v>
      </c>
      <c r="V1683" s="4" t="s">
        <v>72</v>
      </c>
      <c r="W1683" s="4" t="s">
        <v>73</v>
      </c>
      <c r="X1683" s="4" t="s">
        <v>838</v>
      </c>
      <c r="Y1683" s="4"/>
      <c r="Z1683" s="12">
        <v>0</v>
      </c>
      <c r="AA1683" s="13" t="s">
        <v>9151</v>
      </c>
      <c r="AB1683" s="13" t="s">
        <v>9150</v>
      </c>
      <c r="AC1683" s="14" t="s">
        <v>9139</v>
      </c>
      <c r="AD1683" s="14" t="s">
        <v>9140</v>
      </c>
      <c r="AE1683" s="14" t="s">
        <v>9140</v>
      </c>
      <c r="AF1683" s="14" t="s">
        <v>72</v>
      </c>
      <c r="AG1683" s="14" t="s">
        <v>838</v>
      </c>
      <c r="AH1683" s="15" t="s">
        <v>9194</v>
      </c>
      <c r="AI1683" s="15" t="s">
        <v>9187</v>
      </c>
      <c r="AJ1683" s="15" t="s">
        <v>9143</v>
      </c>
      <c r="AK1683" s="15" t="s">
        <v>9194</v>
      </c>
      <c r="AL1683" s="15" t="s">
        <v>9209</v>
      </c>
      <c r="AM1683" s="16" t="s">
        <v>9194</v>
      </c>
      <c r="AN1683" s="16" t="s">
        <v>9210</v>
      </c>
    </row>
    <row r="1684" spans="1:40" x14ac:dyDescent="0.25">
      <c r="A1684" s="4" t="s">
        <v>3759</v>
      </c>
      <c r="B1684" s="17" t="s">
        <v>3760</v>
      </c>
      <c r="C1684" s="4" t="s">
        <v>39</v>
      </c>
      <c r="D1684" s="4" t="s">
        <v>3761</v>
      </c>
      <c r="E1684" s="4" t="s">
        <v>3762</v>
      </c>
      <c r="F1684" s="10">
        <v>45214</v>
      </c>
      <c r="G1684" s="18">
        <v>0.52083333333333337</v>
      </c>
      <c r="H1684" s="4" t="s">
        <v>2168</v>
      </c>
      <c r="I1684" s="4" t="s">
        <v>3735</v>
      </c>
      <c r="J1684" s="4" t="s">
        <v>3736</v>
      </c>
      <c r="K1684" s="4" t="s">
        <v>3763</v>
      </c>
      <c r="L1684" s="4" t="s">
        <v>3764</v>
      </c>
      <c r="M1684" s="4" t="s">
        <v>28</v>
      </c>
      <c r="N1684" s="4" t="s">
        <v>183</v>
      </c>
      <c r="O1684" s="4" t="s">
        <v>191</v>
      </c>
      <c r="P1684" s="4" t="s">
        <v>48</v>
      </c>
      <c r="Q1684" s="4">
        <v>219</v>
      </c>
      <c r="R1684" s="4" t="b">
        <v>0</v>
      </c>
      <c r="S1684" s="4" t="s">
        <v>114</v>
      </c>
      <c r="T1684" s="4" t="s">
        <v>89</v>
      </c>
      <c r="U1684" s="4" t="s">
        <v>175</v>
      </c>
      <c r="V1684" s="4" t="s">
        <v>52</v>
      </c>
      <c r="W1684" s="4" t="s">
        <v>53</v>
      </c>
      <c r="X1684" s="4" t="s">
        <v>54</v>
      </c>
      <c r="Y1684" s="4"/>
      <c r="Z1684" s="12" t="s">
        <v>48</v>
      </c>
      <c r="AA1684" s="13" t="s">
        <v>9151</v>
      </c>
      <c r="AB1684" s="13" t="s">
        <v>9150</v>
      </c>
      <c r="AC1684" s="14" t="s">
        <v>9157</v>
      </c>
      <c r="AD1684" s="14" t="s">
        <v>28</v>
      </c>
      <c r="AE1684" s="14" t="s">
        <v>183</v>
      </c>
      <c r="AF1684" s="14" t="s">
        <v>52</v>
      </c>
      <c r="AG1684" s="14" t="s">
        <v>54</v>
      </c>
      <c r="AH1684" s="15" t="s">
        <v>9194</v>
      </c>
      <c r="AI1684" s="15" t="s">
        <v>9142</v>
      </c>
      <c r="AJ1684" s="15" t="s">
        <v>9143</v>
      </c>
      <c r="AK1684" s="15" t="s">
        <v>9194</v>
      </c>
      <c r="AL1684" s="15" t="s">
        <v>9207</v>
      </c>
      <c r="AM1684" s="16" t="s">
        <v>9194</v>
      </c>
      <c r="AN1684" s="16" t="s">
        <v>9208</v>
      </c>
    </row>
    <row r="1685" spans="1:40" x14ac:dyDescent="0.25">
      <c r="A1685" s="4" t="s">
        <v>1824</v>
      </c>
      <c r="B1685" s="17" t="s">
        <v>1825</v>
      </c>
      <c r="C1685" s="4" t="s">
        <v>39</v>
      </c>
      <c r="D1685" s="4" t="s">
        <v>1784</v>
      </c>
      <c r="E1685" s="4" t="s">
        <v>1785</v>
      </c>
      <c r="F1685" s="10">
        <v>45214</v>
      </c>
      <c r="G1685" s="18">
        <v>0.72569444444444442</v>
      </c>
      <c r="H1685" s="4" t="s">
        <v>1654</v>
      </c>
      <c r="I1685" s="4">
        <v>9095</v>
      </c>
      <c r="J1685" s="4" t="s">
        <v>1742</v>
      </c>
      <c r="K1685" s="4" t="s">
        <v>1826</v>
      </c>
      <c r="L1685" s="4" t="s">
        <v>1827</v>
      </c>
      <c r="M1685" s="4" t="s">
        <v>28</v>
      </c>
      <c r="N1685" s="4" t="s">
        <v>183</v>
      </c>
      <c r="O1685" s="4" t="s">
        <v>174</v>
      </c>
      <c r="P1685" s="4" t="s">
        <v>48</v>
      </c>
      <c r="Q1685" s="4">
        <v>29</v>
      </c>
      <c r="R1685" s="4" t="b">
        <v>0</v>
      </c>
      <c r="S1685" s="4" t="s">
        <v>184</v>
      </c>
      <c r="T1685" s="4" t="s">
        <v>89</v>
      </c>
      <c r="U1685" s="4" t="s">
        <v>165</v>
      </c>
      <c r="V1685" s="4" t="s">
        <v>123</v>
      </c>
      <c r="W1685" s="4" t="s">
        <v>192</v>
      </c>
      <c r="X1685" s="4" t="s">
        <v>54</v>
      </c>
      <c r="Y1685" s="4"/>
      <c r="Z1685" s="12" t="s">
        <v>48</v>
      </c>
      <c r="AA1685" s="13" t="s">
        <v>9151</v>
      </c>
      <c r="AB1685" s="13" t="s">
        <v>9150</v>
      </c>
      <c r="AC1685" s="14" t="s">
        <v>9166</v>
      </c>
      <c r="AD1685" s="14" t="s">
        <v>28</v>
      </c>
      <c r="AE1685" s="14" t="s">
        <v>183</v>
      </c>
      <c r="AF1685" s="14" t="s">
        <v>123</v>
      </c>
      <c r="AG1685" s="14" t="s">
        <v>54</v>
      </c>
      <c r="AH1685" s="15" t="s">
        <v>9141</v>
      </c>
      <c r="AI1685" s="15" t="s">
        <v>9191</v>
      </c>
      <c r="AJ1685" s="15" t="s">
        <v>9143</v>
      </c>
      <c r="AK1685" s="15" t="s">
        <v>9141</v>
      </c>
      <c r="AL1685" s="15" t="s">
        <v>9191</v>
      </c>
      <c r="AM1685" s="16" t="s">
        <v>9141</v>
      </c>
      <c r="AN1685" s="16" t="s">
        <v>9192</v>
      </c>
    </row>
    <row r="1686" spans="1:40" x14ac:dyDescent="0.25">
      <c r="A1686" s="4" t="s">
        <v>74</v>
      </c>
      <c r="B1686" s="17"/>
      <c r="C1686" s="4" t="s">
        <v>39</v>
      </c>
      <c r="D1686" s="4" t="s">
        <v>75</v>
      </c>
      <c r="E1686" s="4" t="s">
        <v>76</v>
      </c>
      <c r="F1686" s="10">
        <v>45213</v>
      </c>
      <c r="G1686" s="18">
        <v>0.59722222222222221</v>
      </c>
      <c r="H1686" s="4" t="s">
        <v>42</v>
      </c>
      <c r="I1686" s="4">
        <v>1005</v>
      </c>
      <c r="J1686" s="4" t="s">
        <v>43</v>
      </c>
      <c r="K1686" s="4" t="s">
        <v>77</v>
      </c>
      <c r="L1686" s="4" t="s">
        <v>78</v>
      </c>
      <c r="M1686" s="4" t="s">
        <v>46</v>
      </c>
      <c r="N1686" s="4"/>
      <c r="O1686" s="4" t="s">
        <v>47</v>
      </c>
      <c r="P1686" s="4" t="s">
        <v>48</v>
      </c>
      <c r="Q1686" s="4">
        <v>0</v>
      </c>
      <c r="R1686" s="4" t="b">
        <v>0</v>
      </c>
      <c r="S1686" s="4" t="s">
        <v>61</v>
      </c>
      <c r="T1686" s="4" t="s">
        <v>79</v>
      </c>
      <c r="U1686" s="4" t="s">
        <v>80</v>
      </c>
      <c r="V1686" s="4" t="s">
        <v>81</v>
      </c>
      <c r="W1686" s="4" t="s">
        <v>82</v>
      </c>
      <c r="X1686" s="4" t="s">
        <v>83</v>
      </c>
      <c r="Y1686" s="4"/>
      <c r="Z1686" s="12">
        <v>0</v>
      </c>
      <c r="AA1686" s="13" t="s">
        <v>9151</v>
      </c>
      <c r="AB1686" s="13" t="s">
        <v>9150</v>
      </c>
      <c r="AC1686" s="14" t="s">
        <v>9148</v>
      </c>
      <c r="AD1686" s="14" t="s">
        <v>9140</v>
      </c>
      <c r="AE1686" s="14" t="s">
        <v>9140</v>
      </c>
      <c r="AF1686" s="14" t="s">
        <v>81</v>
      </c>
      <c r="AG1686" s="14" t="s">
        <v>83</v>
      </c>
      <c r="AH1686" s="15" t="s">
        <v>9141</v>
      </c>
      <c r="AI1686" s="15" t="s">
        <v>9142</v>
      </c>
      <c r="AJ1686" s="15" t="s">
        <v>9143</v>
      </c>
      <c r="AK1686" s="15" t="s">
        <v>9141</v>
      </c>
      <c r="AL1686" s="15" t="s">
        <v>9144</v>
      </c>
      <c r="AM1686" s="16" t="s">
        <v>9141</v>
      </c>
      <c r="AN1686" s="16" t="s">
        <v>9145</v>
      </c>
    </row>
    <row r="1687" spans="1:40" x14ac:dyDescent="0.25">
      <c r="A1687" s="4" t="s">
        <v>4928</v>
      </c>
      <c r="B1687" s="17"/>
      <c r="C1687" s="4" t="s">
        <v>39</v>
      </c>
      <c r="D1687" s="4" t="s">
        <v>4929</v>
      </c>
      <c r="E1687" s="4" t="s">
        <v>4930</v>
      </c>
      <c r="F1687" s="10">
        <v>45213</v>
      </c>
      <c r="G1687" s="18">
        <v>0.59375</v>
      </c>
      <c r="H1687" s="4" t="s">
        <v>4910</v>
      </c>
      <c r="I1687" s="4" t="s">
        <v>4911</v>
      </c>
      <c r="J1687" s="4" t="s">
        <v>2049</v>
      </c>
      <c r="K1687" s="4" t="s">
        <v>4931</v>
      </c>
      <c r="L1687" s="4" t="s">
        <v>4932</v>
      </c>
      <c r="M1687" s="4" t="s">
        <v>46</v>
      </c>
      <c r="N1687" s="4"/>
      <c r="O1687" s="4" t="s">
        <v>47</v>
      </c>
      <c r="P1687" s="4" t="s">
        <v>48</v>
      </c>
      <c r="Q1687" s="4">
        <v>0</v>
      </c>
      <c r="R1687" s="4" t="b">
        <v>0</v>
      </c>
      <c r="S1687" s="4" t="s">
        <v>61</v>
      </c>
      <c r="T1687" s="4" t="s">
        <v>134</v>
      </c>
      <c r="U1687" s="4" t="s">
        <v>2767</v>
      </c>
      <c r="V1687" s="4" t="s">
        <v>123</v>
      </c>
      <c r="W1687" s="4" t="s">
        <v>192</v>
      </c>
      <c r="X1687" s="4" t="s">
        <v>785</v>
      </c>
      <c r="Y1687" s="4"/>
      <c r="Z1687" s="12">
        <v>0</v>
      </c>
      <c r="AA1687" s="13" t="s">
        <v>9151</v>
      </c>
      <c r="AB1687" s="13" t="s">
        <v>9150</v>
      </c>
      <c r="AC1687" s="14" t="s">
        <v>9148</v>
      </c>
      <c r="AD1687" s="14" t="s">
        <v>9140</v>
      </c>
      <c r="AE1687" s="14" t="s">
        <v>9140</v>
      </c>
      <c r="AF1687" s="14" t="s">
        <v>123</v>
      </c>
      <c r="AG1687" s="14" t="s">
        <v>785</v>
      </c>
      <c r="AH1687" s="15" t="s">
        <v>9220</v>
      </c>
      <c r="AI1687" s="15" t="s">
        <v>9191</v>
      </c>
      <c r="AJ1687" s="15" t="s">
        <v>9143</v>
      </c>
      <c r="AK1687" s="15" t="s">
        <v>9221</v>
      </c>
      <c r="AL1687" s="15" t="s">
        <v>9234</v>
      </c>
      <c r="AM1687" s="16" t="s">
        <v>9221</v>
      </c>
      <c r="AN1687" s="16" t="s">
        <v>9235</v>
      </c>
    </row>
    <row r="1688" spans="1:40" x14ac:dyDescent="0.25">
      <c r="A1688" s="4" t="s">
        <v>6541</v>
      </c>
      <c r="B1688" s="17"/>
      <c r="C1688" s="4" t="s">
        <v>39</v>
      </c>
      <c r="D1688" s="4" t="s">
        <v>6542</v>
      </c>
      <c r="E1688" s="4" t="s">
        <v>6543</v>
      </c>
      <c r="F1688" s="10">
        <v>45212</v>
      </c>
      <c r="G1688" s="18">
        <v>0.70833333333333337</v>
      </c>
      <c r="H1688" s="4" t="s">
        <v>4910</v>
      </c>
      <c r="I1688" s="4" t="s">
        <v>6502</v>
      </c>
      <c r="J1688" s="4" t="s">
        <v>6503</v>
      </c>
      <c r="K1688" s="4" t="s">
        <v>6544</v>
      </c>
      <c r="L1688" s="4" t="s">
        <v>6545</v>
      </c>
      <c r="M1688" s="4" t="s">
        <v>46</v>
      </c>
      <c r="N1688" s="4"/>
      <c r="O1688" s="4" t="s">
        <v>191</v>
      </c>
      <c r="P1688" s="4" t="s">
        <v>48</v>
      </c>
      <c r="Q1688" s="4">
        <v>5</v>
      </c>
      <c r="R1688" s="4" t="b">
        <v>0</v>
      </c>
      <c r="S1688" s="4" t="s">
        <v>114</v>
      </c>
      <c r="T1688" s="4" t="s">
        <v>2195</v>
      </c>
      <c r="U1688" s="4" t="s">
        <v>71</v>
      </c>
      <c r="V1688" s="4" t="s">
        <v>72</v>
      </c>
      <c r="W1688" s="4" t="s">
        <v>73</v>
      </c>
      <c r="X1688" s="4" t="s">
        <v>54</v>
      </c>
      <c r="Y1688" s="4" t="s">
        <v>486</v>
      </c>
      <c r="Z1688" s="12">
        <v>0</v>
      </c>
      <c r="AA1688" s="13" t="s">
        <v>9151</v>
      </c>
      <c r="AB1688" s="13" t="s">
        <v>9150</v>
      </c>
      <c r="AC1688" s="14" t="s">
        <v>9157</v>
      </c>
      <c r="AD1688" s="14" t="s">
        <v>9140</v>
      </c>
      <c r="AE1688" s="14" t="s">
        <v>9140</v>
      </c>
      <c r="AF1688" s="14" t="s">
        <v>72</v>
      </c>
      <c r="AG1688" s="14" t="s">
        <v>54</v>
      </c>
      <c r="AH1688" s="15" t="s">
        <v>9220</v>
      </c>
      <c r="AI1688" s="15" t="s">
        <v>9191</v>
      </c>
      <c r="AJ1688" s="15" t="s">
        <v>9143</v>
      </c>
      <c r="AK1688" s="15" t="s">
        <v>9221</v>
      </c>
      <c r="AL1688" s="15" t="s">
        <v>9236</v>
      </c>
      <c r="AM1688" s="16" t="s">
        <v>9221</v>
      </c>
      <c r="AN1688" s="16" t="s">
        <v>9237</v>
      </c>
    </row>
    <row r="1689" spans="1:40" x14ac:dyDescent="0.25">
      <c r="A1689" s="4" t="s">
        <v>5490</v>
      </c>
      <c r="B1689" s="17"/>
      <c r="C1689" s="4" t="s">
        <v>39</v>
      </c>
      <c r="D1689" s="4" t="s">
        <v>5491</v>
      </c>
      <c r="E1689" s="4" t="s">
        <v>5492</v>
      </c>
      <c r="F1689" s="10">
        <v>45212</v>
      </c>
      <c r="G1689" s="18">
        <v>0.58333333333333337</v>
      </c>
      <c r="H1689" s="4" t="s">
        <v>4516</v>
      </c>
      <c r="I1689" s="4" t="s">
        <v>5466</v>
      </c>
      <c r="J1689" s="4" t="s">
        <v>5467</v>
      </c>
      <c r="K1689" s="4" t="s">
        <v>5493</v>
      </c>
      <c r="L1689" s="4" t="s">
        <v>5494</v>
      </c>
      <c r="M1689" s="4" t="s">
        <v>46</v>
      </c>
      <c r="N1689" s="4"/>
      <c r="O1689" s="4" t="s">
        <v>47</v>
      </c>
      <c r="P1689" s="4" t="s">
        <v>48</v>
      </c>
      <c r="Q1689" s="4">
        <v>0</v>
      </c>
      <c r="R1689" s="4" t="b">
        <v>0</v>
      </c>
      <c r="S1689" s="4" t="s">
        <v>114</v>
      </c>
      <c r="T1689" s="4" t="s">
        <v>89</v>
      </c>
      <c r="U1689" s="4" t="s">
        <v>71</v>
      </c>
      <c r="V1689" s="4" t="s">
        <v>52</v>
      </c>
      <c r="W1689" s="4" t="s">
        <v>255</v>
      </c>
      <c r="X1689" s="4" t="s">
        <v>54</v>
      </c>
      <c r="Y1689" s="4"/>
      <c r="Z1689" s="12">
        <v>0</v>
      </c>
      <c r="AA1689" s="13" t="s">
        <v>9151</v>
      </c>
      <c r="AB1689" s="13" t="s">
        <v>9150</v>
      </c>
      <c r="AC1689" s="14" t="s">
        <v>9157</v>
      </c>
      <c r="AD1689" s="14" t="s">
        <v>9140</v>
      </c>
      <c r="AE1689" s="14" t="s">
        <v>9140</v>
      </c>
      <c r="AF1689" s="14" t="s">
        <v>52</v>
      </c>
      <c r="AG1689" s="14" t="s">
        <v>54</v>
      </c>
      <c r="AH1689" s="15" t="s">
        <v>9220</v>
      </c>
      <c r="AI1689" s="15" t="s">
        <v>9188</v>
      </c>
      <c r="AJ1689" s="15" t="s">
        <v>9143</v>
      </c>
      <c r="AK1689" s="15" t="s">
        <v>9221</v>
      </c>
      <c r="AL1689" s="15" t="s">
        <v>9230</v>
      </c>
      <c r="AM1689" s="16" t="s">
        <v>9221</v>
      </c>
      <c r="AN1689" s="16" t="s">
        <v>9231</v>
      </c>
    </row>
    <row r="1690" spans="1:40" x14ac:dyDescent="0.25">
      <c r="A1690" s="4" t="s">
        <v>7128</v>
      </c>
      <c r="B1690" s="17"/>
      <c r="C1690" s="4" t="s">
        <v>39</v>
      </c>
      <c r="D1690" s="4" t="s">
        <v>7129</v>
      </c>
      <c r="E1690" s="4" t="s">
        <v>7130</v>
      </c>
      <c r="F1690" s="10">
        <v>45212</v>
      </c>
      <c r="G1690" s="18">
        <v>0.75</v>
      </c>
      <c r="H1690" s="4" t="s">
        <v>4242</v>
      </c>
      <c r="I1690" s="4" t="s">
        <v>7028</v>
      </c>
      <c r="J1690" s="4" t="s">
        <v>7029</v>
      </c>
      <c r="K1690" s="4" t="s">
        <v>7131</v>
      </c>
      <c r="L1690" s="4" t="s">
        <v>7132</v>
      </c>
      <c r="M1690" s="4" t="s">
        <v>46</v>
      </c>
      <c r="N1690" s="4"/>
      <c r="O1690" s="4" t="s">
        <v>47</v>
      </c>
      <c r="P1690" s="4" t="s">
        <v>48</v>
      </c>
      <c r="Q1690" s="4">
        <v>0</v>
      </c>
      <c r="R1690" s="4" t="b">
        <v>0</v>
      </c>
      <c r="S1690" s="4" t="s">
        <v>61</v>
      </c>
      <c r="T1690" s="4" t="s">
        <v>89</v>
      </c>
      <c r="U1690" s="4" t="s">
        <v>140</v>
      </c>
      <c r="V1690" s="4" t="s">
        <v>52</v>
      </c>
      <c r="W1690" s="4" t="s">
        <v>53</v>
      </c>
      <c r="X1690" s="4" t="s">
        <v>54</v>
      </c>
      <c r="Y1690" s="4"/>
      <c r="Z1690" s="12">
        <v>0</v>
      </c>
      <c r="AA1690" s="13" t="s">
        <v>9151</v>
      </c>
      <c r="AB1690" s="13" t="s">
        <v>9150</v>
      </c>
      <c r="AC1690" s="14" t="s">
        <v>9148</v>
      </c>
      <c r="AD1690" s="14" t="s">
        <v>9140</v>
      </c>
      <c r="AE1690" s="14" t="s">
        <v>9140</v>
      </c>
      <c r="AF1690" s="14" t="s">
        <v>52</v>
      </c>
      <c r="AG1690" s="14" t="s">
        <v>54</v>
      </c>
      <c r="AH1690" s="15" t="s">
        <v>9220</v>
      </c>
      <c r="AI1690" s="15" t="s">
        <v>9187</v>
      </c>
      <c r="AJ1690" s="15" t="s">
        <v>9143</v>
      </c>
      <c r="AK1690" s="15" t="s">
        <v>9221</v>
      </c>
      <c r="AL1690" s="15" t="s">
        <v>9226</v>
      </c>
      <c r="AM1690" s="16" t="s">
        <v>9221</v>
      </c>
      <c r="AN1690" s="16" t="s">
        <v>9227</v>
      </c>
    </row>
    <row r="1691" spans="1:40" x14ac:dyDescent="0.25">
      <c r="A1691" s="4" t="s">
        <v>4137</v>
      </c>
      <c r="B1691" s="17"/>
      <c r="C1691" s="4" t="s">
        <v>39</v>
      </c>
      <c r="D1691" s="4" t="s">
        <v>4138</v>
      </c>
      <c r="E1691" s="4" t="s">
        <v>4139</v>
      </c>
      <c r="F1691" s="10">
        <v>45212</v>
      </c>
      <c r="G1691" s="18">
        <v>0.51388888888888884</v>
      </c>
      <c r="H1691" s="4" t="s">
        <v>4019</v>
      </c>
      <c r="I1691" s="4" t="s">
        <v>4092</v>
      </c>
      <c r="J1691" s="4" t="s">
        <v>4093</v>
      </c>
      <c r="K1691" s="4" t="s">
        <v>1232</v>
      </c>
      <c r="L1691" s="4" t="s">
        <v>4140</v>
      </c>
      <c r="M1691" s="4" t="s">
        <v>46</v>
      </c>
      <c r="N1691" s="4"/>
      <c r="O1691" s="4" t="s">
        <v>47</v>
      </c>
      <c r="P1691" s="4" t="s">
        <v>48</v>
      </c>
      <c r="Q1691" s="4">
        <v>0</v>
      </c>
      <c r="R1691" s="4" t="b">
        <v>0</v>
      </c>
      <c r="S1691" s="4" t="s">
        <v>49</v>
      </c>
      <c r="T1691" s="4" t="s">
        <v>50</v>
      </c>
      <c r="U1691" s="4" t="s">
        <v>71</v>
      </c>
      <c r="V1691" s="4" t="s">
        <v>72</v>
      </c>
      <c r="W1691" s="4" t="s">
        <v>97</v>
      </c>
      <c r="X1691" s="4" t="s">
        <v>978</v>
      </c>
      <c r="Y1691" s="4"/>
      <c r="Z1691" s="12">
        <v>0</v>
      </c>
      <c r="AA1691" s="13" t="s">
        <v>9151</v>
      </c>
      <c r="AB1691" s="13" t="s">
        <v>9150</v>
      </c>
      <c r="AC1691" s="14" t="s">
        <v>9139</v>
      </c>
      <c r="AD1691" s="14" t="s">
        <v>9140</v>
      </c>
      <c r="AE1691" s="14" t="s">
        <v>9140</v>
      </c>
      <c r="AF1691" s="14" t="s">
        <v>72</v>
      </c>
      <c r="AG1691" s="14" t="s">
        <v>978</v>
      </c>
      <c r="AH1691" s="15" t="s">
        <v>9220</v>
      </c>
      <c r="AI1691" s="15" t="s">
        <v>9175</v>
      </c>
      <c r="AJ1691" s="15" t="s">
        <v>9143</v>
      </c>
      <c r="AK1691" s="15" t="s">
        <v>9221</v>
      </c>
      <c r="AL1691" s="15" t="s">
        <v>9222</v>
      </c>
      <c r="AM1691" s="16" t="s">
        <v>9221</v>
      </c>
      <c r="AN1691" s="16" t="s">
        <v>9223</v>
      </c>
    </row>
    <row r="1692" spans="1:40" x14ac:dyDescent="0.25">
      <c r="A1692" s="4" t="s">
        <v>1828</v>
      </c>
      <c r="B1692" s="17" t="s">
        <v>1829</v>
      </c>
      <c r="C1692" s="4" t="s">
        <v>39</v>
      </c>
      <c r="D1692" s="4" t="s">
        <v>1773</v>
      </c>
      <c r="E1692" s="4" t="s">
        <v>1774</v>
      </c>
      <c r="F1692" s="10">
        <v>45212</v>
      </c>
      <c r="G1692" s="18">
        <v>0.6875</v>
      </c>
      <c r="H1692" s="4" t="s">
        <v>1654</v>
      </c>
      <c r="I1692" s="4">
        <v>9095</v>
      </c>
      <c r="J1692" s="4" t="s">
        <v>1742</v>
      </c>
      <c r="K1692" s="4" t="s">
        <v>1830</v>
      </c>
      <c r="L1692" s="4" t="s">
        <v>1831</v>
      </c>
      <c r="M1692" s="4" t="s">
        <v>28</v>
      </c>
      <c r="N1692" s="4" t="s">
        <v>183</v>
      </c>
      <c r="O1692" s="4" t="s">
        <v>174</v>
      </c>
      <c r="P1692" s="4" t="s">
        <v>48</v>
      </c>
      <c r="Q1692" s="4">
        <v>11</v>
      </c>
      <c r="R1692" s="4" t="b">
        <v>0</v>
      </c>
      <c r="S1692" s="4" t="s">
        <v>184</v>
      </c>
      <c r="T1692" s="4" t="s">
        <v>89</v>
      </c>
      <c r="U1692" s="4" t="s">
        <v>71</v>
      </c>
      <c r="V1692" s="4" t="s">
        <v>52</v>
      </c>
      <c r="W1692" s="4" t="s">
        <v>255</v>
      </c>
      <c r="X1692" s="4" t="s">
        <v>54</v>
      </c>
      <c r="Y1692" s="4"/>
      <c r="Z1692" s="12" t="s">
        <v>48</v>
      </c>
      <c r="AA1692" s="13" t="s">
        <v>9151</v>
      </c>
      <c r="AB1692" s="13" t="s">
        <v>9150</v>
      </c>
      <c r="AC1692" s="14" t="s">
        <v>9166</v>
      </c>
      <c r="AD1692" s="14" t="s">
        <v>28</v>
      </c>
      <c r="AE1692" s="14" t="s">
        <v>183</v>
      </c>
      <c r="AF1692" s="14" t="s">
        <v>52</v>
      </c>
      <c r="AG1692" s="14" t="s">
        <v>54</v>
      </c>
      <c r="AH1692" s="15" t="s">
        <v>9141</v>
      </c>
      <c r="AI1692" s="15" t="s">
        <v>9191</v>
      </c>
      <c r="AJ1692" s="15" t="s">
        <v>9143</v>
      </c>
      <c r="AK1692" s="15" t="s">
        <v>9141</v>
      </c>
      <c r="AL1692" s="15" t="s">
        <v>9191</v>
      </c>
      <c r="AM1692" s="16" t="s">
        <v>9141</v>
      </c>
      <c r="AN1692" s="16" t="s">
        <v>9192</v>
      </c>
    </row>
    <row r="1693" spans="1:40" x14ac:dyDescent="0.25">
      <c r="A1693" s="4" t="s">
        <v>839</v>
      </c>
      <c r="B1693" s="17"/>
      <c r="C1693" s="4" t="s">
        <v>39</v>
      </c>
      <c r="D1693" s="4" t="s">
        <v>819</v>
      </c>
      <c r="E1693" s="4" t="s">
        <v>820</v>
      </c>
      <c r="F1693" s="10">
        <v>45212</v>
      </c>
      <c r="G1693" s="18">
        <v>0.34027777777777779</v>
      </c>
      <c r="H1693" s="4" t="s">
        <v>463</v>
      </c>
      <c r="I1693" s="4">
        <v>2028</v>
      </c>
      <c r="J1693" s="4" t="s">
        <v>804</v>
      </c>
      <c r="K1693" s="4" t="s">
        <v>840</v>
      </c>
      <c r="L1693" s="4" t="s">
        <v>841</v>
      </c>
      <c r="M1693" s="4" t="s">
        <v>46</v>
      </c>
      <c r="N1693" s="4"/>
      <c r="O1693" s="4" t="s">
        <v>47</v>
      </c>
      <c r="P1693" s="4" t="s">
        <v>48</v>
      </c>
      <c r="Q1693" s="4">
        <v>0</v>
      </c>
      <c r="R1693" s="4" t="b">
        <v>0</v>
      </c>
      <c r="S1693" s="4" t="s">
        <v>61</v>
      </c>
      <c r="T1693" s="4" t="s">
        <v>89</v>
      </c>
      <c r="U1693" s="4" t="s">
        <v>165</v>
      </c>
      <c r="V1693" s="4" t="s">
        <v>63</v>
      </c>
      <c r="W1693" s="4" t="s">
        <v>108</v>
      </c>
      <c r="X1693" s="4" t="s">
        <v>98</v>
      </c>
      <c r="Y1693" s="4" t="s">
        <v>176</v>
      </c>
      <c r="Z1693" s="12">
        <v>0</v>
      </c>
      <c r="AA1693" s="13" t="s">
        <v>9151</v>
      </c>
      <c r="AB1693" s="13" t="s">
        <v>9150</v>
      </c>
      <c r="AC1693" s="14" t="s">
        <v>9148</v>
      </c>
      <c r="AD1693" s="14" t="s">
        <v>9140</v>
      </c>
      <c r="AE1693" s="14" t="s">
        <v>9140</v>
      </c>
      <c r="AF1693" s="14" t="s">
        <v>63</v>
      </c>
      <c r="AG1693" s="14" t="s">
        <v>98</v>
      </c>
      <c r="AH1693" s="15" t="s">
        <v>9141</v>
      </c>
      <c r="AI1693" s="15" t="s">
        <v>9175</v>
      </c>
      <c r="AJ1693" s="15" t="s">
        <v>9143</v>
      </c>
      <c r="AK1693" s="15" t="s">
        <v>9141</v>
      </c>
      <c r="AL1693" s="15" t="s">
        <v>9175</v>
      </c>
      <c r="AM1693" s="16" t="s">
        <v>9141</v>
      </c>
      <c r="AN1693" s="16" t="s">
        <v>9176</v>
      </c>
    </row>
    <row r="1694" spans="1:40" x14ac:dyDescent="0.25">
      <c r="A1694" s="4" t="s">
        <v>6200</v>
      </c>
      <c r="B1694" s="17"/>
      <c r="C1694" s="4" t="s">
        <v>39</v>
      </c>
      <c r="D1694" s="4" t="s">
        <v>6201</v>
      </c>
      <c r="E1694" s="4" t="s">
        <v>6202</v>
      </c>
      <c r="F1694" s="10">
        <v>45211</v>
      </c>
      <c r="G1694" s="18">
        <v>0.70486111111111116</v>
      </c>
      <c r="H1694" s="4" t="s">
        <v>5666</v>
      </c>
      <c r="I1694" s="4" t="s">
        <v>6136</v>
      </c>
      <c r="J1694" s="4" t="s">
        <v>2598</v>
      </c>
      <c r="K1694" s="4" t="s">
        <v>6203</v>
      </c>
      <c r="L1694" s="4" t="s">
        <v>6204</v>
      </c>
      <c r="M1694" s="4" t="s">
        <v>46</v>
      </c>
      <c r="N1694" s="4"/>
      <c r="O1694" s="4" t="s">
        <v>47</v>
      </c>
      <c r="P1694" s="4" t="s">
        <v>48</v>
      </c>
      <c r="Q1694" s="4">
        <v>0</v>
      </c>
      <c r="R1694" s="4" t="b">
        <v>0</v>
      </c>
      <c r="S1694" s="4" t="s">
        <v>49</v>
      </c>
      <c r="T1694" s="4" t="s">
        <v>50</v>
      </c>
      <c r="U1694" s="4" t="s">
        <v>140</v>
      </c>
      <c r="V1694" s="4" t="s">
        <v>72</v>
      </c>
      <c r="W1694" s="4" t="s">
        <v>73</v>
      </c>
      <c r="X1694" s="4" t="s">
        <v>54</v>
      </c>
      <c r="Y1694" s="4"/>
      <c r="Z1694" s="12">
        <v>0</v>
      </c>
      <c r="AA1694" s="13" t="s">
        <v>9151</v>
      </c>
      <c r="AB1694" s="13" t="s">
        <v>9150</v>
      </c>
      <c r="AC1694" s="14" t="s">
        <v>9139</v>
      </c>
      <c r="AD1694" s="14" t="s">
        <v>9140</v>
      </c>
      <c r="AE1694" s="14" t="s">
        <v>9140</v>
      </c>
      <c r="AF1694" s="14" t="s">
        <v>72</v>
      </c>
      <c r="AG1694" s="14" t="s">
        <v>54</v>
      </c>
      <c r="AH1694" s="15" t="s">
        <v>9220</v>
      </c>
      <c r="AI1694" s="15" t="s">
        <v>9199</v>
      </c>
      <c r="AJ1694" s="15" t="s">
        <v>9143</v>
      </c>
      <c r="AK1694" s="15" t="s">
        <v>9221</v>
      </c>
      <c r="AL1694" s="15" t="s">
        <v>9199</v>
      </c>
      <c r="AM1694" s="16" t="s">
        <v>9221</v>
      </c>
      <c r="AN1694" s="16" t="s">
        <v>9238</v>
      </c>
    </row>
    <row r="1695" spans="1:40" x14ac:dyDescent="0.25">
      <c r="A1695" s="4" t="s">
        <v>4177</v>
      </c>
      <c r="B1695" s="17"/>
      <c r="C1695" s="4" t="s">
        <v>39</v>
      </c>
      <c r="D1695" s="4" t="s">
        <v>4178</v>
      </c>
      <c r="E1695" s="4" t="s">
        <v>4179</v>
      </c>
      <c r="F1695" s="10">
        <v>45211</v>
      </c>
      <c r="G1695" s="18">
        <v>0.60416666666666663</v>
      </c>
      <c r="H1695" s="4" t="s">
        <v>4019</v>
      </c>
      <c r="I1695" s="4" t="s">
        <v>4149</v>
      </c>
      <c r="J1695" s="4" t="s">
        <v>559</v>
      </c>
      <c r="K1695" s="4" t="s">
        <v>4180</v>
      </c>
      <c r="L1695" s="4" t="s">
        <v>4181</v>
      </c>
      <c r="M1695" s="4" t="s">
        <v>46</v>
      </c>
      <c r="N1695" s="4"/>
      <c r="O1695" s="4" t="s">
        <v>47</v>
      </c>
      <c r="P1695" s="4" t="s">
        <v>48</v>
      </c>
      <c r="Q1695" s="4">
        <v>0</v>
      </c>
      <c r="R1695" s="4" t="b">
        <v>0</v>
      </c>
      <c r="S1695" s="4" t="s">
        <v>114</v>
      </c>
      <c r="T1695" s="4" t="s">
        <v>89</v>
      </c>
      <c r="U1695" s="4" t="s">
        <v>71</v>
      </c>
      <c r="V1695" s="4" t="s">
        <v>72</v>
      </c>
      <c r="W1695" s="4" t="s">
        <v>73</v>
      </c>
      <c r="X1695" s="4" t="s">
        <v>98</v>
      </c>
      <c r="Y1695" s="4"/>
      <c r="Z1695" s="12">
        <v>0</v>
      </c>
      <c r="AA1695" s="13" t="s">
        <v>9151</v>
      </c>
      <c r="AB1695" s="13" t="s">
        <v>9150</v>
      </c>
      <c r="AC1695" s="14" t="s">
        <v>9157</v>
      </c>
      <c r="AD1695" s="14" t="s">
        <v>9140</v>
      </c>
      <c r="AE1695" s="14" t="s">
        <v>9140</v>
      </c>
      <c r="AF1695" s="14" t="s">
        <v>72</v>
      </c>
      <c r="AG1695" s="14" t="s">
        <v>98</v>
      </c>
      <c r="AH1695" s="15" t="s">
        <v>9220</v>
      </c>
      <c r="AI1695" s="15" t="s">
        <v>9175</v>
      </c>
      <c r="AJ1695" s="15" t="s">
        <v>9143</v>
      </c>
      <c r="AK1695" s="15" t="s">
        <v>9221</v>
      </c>
      <c r="AL1695" s="15" t="s">
        <v>9224</v>
      </c>
      <c r="AM1695" s="16" t="s">
        <v>9221</v>
      </c>
      <c r="AN1695" s="16" t="s">
        <v>9225</v>
      </c>
    </row>
    <row r="1696" spans="1:40" x14ac:dyDescent="0.25">
      <c r="A1696" s="4" t="s">
        <v>4229</v>
      </c>
      <c r="B1696" s="17"/>
      <c r="C1696" s="4" t="s">
        <v>39</v>
      </c>
      <c r="D1696" s="4" t="s">
        <v>4230</v>
      </c>
      <c r="E1696" s="4" t="s">
        <v>4231</v>
      </c>
      <c r="F1696" s="10">
        <v>45211</v>
      </c>
      <c r="G1696" s="18">
        <v>0.66666666666666663</v>
      </c>
      <c r="H1696" s="4" t="s">
        <v>4019</v>
      </c>
      <c r="I1696" s="4" t="s">
        <v>4221</v>
      </c>
      <c r="J1696" s="4" t="s">
        <v>3090</v>
      </c>
      <c r="K1696" s="4" t="s">
        <v>4232</v>
      </c>
      <c r="L1696" s="4" t="s">
        <v>4233</v>
      </c>
      <c r="M1696" s="4" t="s">
        <v>46</v>
      </c>
      <c r="N1696" s="4"/>
      <c r="O1696" s="4" t="s">
        <v>47</v>
      </c>
      <c r="P1696" s="4" t="s">
        <v>48</v>
      </c>
      <c r="Q1696" s="4">
        <v>0</v>
      </c>
      <c r="R1696" s="4" t="b">
        <v>0</v>
      </c>
      <c r="S1696" s="4" t="s">
        <v>61</v>
      </c>
      <c r="T1696" s="4" t="s">
        <v>50</v>
      </c>
      <c r="U1696" s="4" t="s">
        <v>71</v>
      </c>
      <c r="V1696" s="4" t="s">
        <v>63</v>
      </c>
      <c r="W1696" s="4" t="s">
        <v>108</v>
      </c>
      <c r="X1696" s="4" t="s">
        <v>471</v>
      </c>
      <c r="Y1696" s="4"/>
      <c r="Z1696" s="12">
        <v>0</v>
      </c>
      <c r="AA1696" s="13" t="s">
        <v>9151</v>
      </c>
      <c r="AB1696" s="13" t="s">
        <v>9150</v>
      </c>
      <c r="AC1696" s="14" t="s">
        <v>9148</v>
      </c>
      <c r="AD1696" s="14" t="s">
        <v>9140</v>
      </c>
      <c r="AE1696" s="14" t="s">
        <v>9140</v>
      </c>
      <c r="AF1696" s="14" t="s">
        <v>63</v>
      </c>
      <c r="AG1696" s="14" t="s">
        <v>471</v>
      </c>
      <c r="AH1696" s="15" t="s">
        <v>9220</v>
      </c>
      <c r="AI1696" s="15" t="s">
        <v>9175</v>
      </c>
      <c r="AJ1696" s="15" t="s">
        <v>9143</v>
      </c>
      <c r="AK1696" s="15" t="s">
        <v>9221</v>
      </c>
      <c r="AL1696" s="15" t="s">
        <v>9224</v>
      </c>
      <c r="AM1696" s="16" t="s">
        <v>9221</v>
      </c>
      <c r="AN1696" s="16" t="s">
        <v>9225</v>
      </c>
    </row>
    <row r="1697" spans="1:40" x14ac:dyDescent="0.25">
      <c r="A1697" s="4" t="s">
        <v>7409</v>
      </c>
      <c r="B1697" s="17"/>
      <c r="C1697" s="4" t="s">
        <v>39</v>
      </c>
      <c r="D1697" s="4" t="s">
        <v>7410</v>
      </c>
      <c r="E1697" s="4" t="s">
        <v>7411</v>
      </c>
      <c r="F1697" s="10">
        <v>45211</v>
      </c>
      <c r="G1697" s="18">
        <v>0.40277777777777779</v>
      </c>
      <c r="H1697" s="4" t="s">
        <v>4019</v>
      </c>
      <c r="I1697" s="4" t="s">
        <v>7315</v>
      </c>
      <c r="J1697" s="4" t="s">
        <v>1037</v>
      </c>
      <c r="K1697" s="4" t="s">
        <v>7412</v>
      </c>
      <c r="L1697" s="4" t="s">
        <v>7413</v>
      </c>
      <c r="M1697" s="4" t="s">
        <v>46</v>
      </c>
      <c r="N1697" s="4"/>
      <c r="O1697" s="4" t="s">
        <v>47</v>
      </c>
      <c r="P1697" s="4" t="s">
        <v>48</v>
      </c>
      <c r="Q1697" s="4">
        <v>0</v>
      </c>
      <c r="R1697" s="4" t="b">
        <v>0</v>
      </c>
      <c r="S1697" s="4" t="s">
        <v>49</v>
      </c>
      <c r="T1697" s="4" t="s">
        <v>70</v>
      </c>
      <c r="U1697" s="4" t="s">
        <v>71</v>
      </c>
      <c r="V1697" s="4" t="s">
        <v>72</v>
      </c>
      <c r="W1697" s="4" t="s">
        <v>73</v>
      </c>
      <c r="X1697" s="4" t="s">
        <v>54</v>
      </c>
      <c r="Y1697" s="4"/>
      <c r="Z1697" s="12">
        <v>0</v>
      </c>
      <c r="AA1697" s="13" t="s">
        <v>9151</v>
      </c>
      <c r="AB1697" s="13" t="s">
        <v>9150</v>
      </c>
      <c r="AC1697" s="14" t="s">
        <v>9139</v>
      </c>
      <c r="AD1697" s="14" t="s">
        <v>9140</v>
      </c>
      <c r="AE1697" s="14" t="s">
        <v>9140</v>
      </c>
      <c r="AF1697" s="14" t="s">
        <v>72</v>
      </c>
      <c r="AG1697" s="14" t="s">
        <v>54</v>
      </c>
      <c r="AH1697" s="15" t="s">
        <v>9220</v>
      </c>
      <c r="AI1697" s="15" t="s">
        <v>9175</v>
      </c>
      <c r="AJ1697" s="15" t="s">
        <v>9143</v>
      </c>
      <c r="AK1697" s="15" t="s">
        <v>9221</v>
      </c>
      <c r="AL1697" s="15" t="s">
        <v>9222</v>
      </c>
      <c r="AM1697" s="16" t="s">
        <v>9221</v>
      </c>
      <c r="AN1697" s="16" t="s">
        <v>9223</v>
      </c>
    </row>
    <row r="1698" spans="1:40" x14ac:dyDescent="0.25">
      <c r="A1698" s="4" t="s">
        <v>5060</v>
      </c>
      <c r="B1698" s="17"/>
      <c r="C1698" s="4" t="s">
        <v>39</v>
      </c>
      <c r="D1698" s="4" t="s">
        <v>5061</v>
      </c>
      <c r="E1698" s="4" t="s">
        <v>5062</v>
      </c>
      <c r="F1698" s="10">
        <v>45211</v>
      </c>
      <c r="G1698" s="18">
        <v>0.47916666666666669</v>
      </c>
      <c r="H1698" s="4" t="s">
        <v>4516</v>
      </c>
      <c r="I1698" s="4" t="s">
        <v>4969</v>
      </c>
      <c r="J1698" s="4" t="s">
        <v>3453</v>
      </c>
      <c r="K1698" s="4" t="s">
        <v>5063</v>
      </c>
      <c r="L1698" s="4" t="s">
        <v>5064</v>
      </c>
      <c r="M1698" s="4" t="s">
        <v>46</v>
      </c>
      <c r="N1698" s="4"/>
      <c r="O1698" s="4" t="s">
        <v>47</v>
      </c>
      <c r="P1698" s="4" t="s">
        <v>48</v>
      </c>
      <c r="Q1698" s="4">
        <v>0</v>
      </c>
      <c r="R1698" s="4" t="b">
        <v>0</v>
      </c>
      <c r="S1698" s="4" t="s">
        <v>61</v>
      </c>
      <c r="T1698" s="4" t="s">
        <v>479</v>
      </c>
      <c r="U1698" s="4" t="s">
        <v>887</v>
      </c>
      <c r="V1698" s="4" t="s">
        <v>123</v>
      </c>
      <c r="W1698" s="4" t="s">
        <v>192</v>
      </c>
      <c r="X1698" s="4" t="s">
        <v>54</v>
      </c>
      <c r="Y1698" s="4" t="s">
        <v>302</v>
      </c>
      <c r="Z1698" s="12">
        <v>0</v>
      </c>
      <c r="AA1698" s="13" t="s">
        <v>9151</v>
      </c>
      <c r="AB1698" s="13" t="s">
        <v>9150</v>
      </c>
      <c r="AC1698" s="14" t="s">
        <v>9148</v>
      </c>
      <c r="AD1698" s="14" t="s">
        <v>9140</v>
      </c>
      <c r="AE1698" s="14" t="s">
        <v>9140</v>
      </c>
      <c r="AF1698" s="14" t="s">
        <v>123</v>
      </c>
      <c r="AG1698" s="14" t="s">
        <v>54</v>
      </c>
      <c r="AH1698" s="15" t="s">
        <v>9220</v>
      </c>
      <c r="AI1698" s="15" t="s">
        <v>9188</v>
      </c>
      <c r="AJ1698" s="15" t="s">
        <v>9143</v>
      </c>
      <c r="AK1698" s="15" t="s">
        <v>9221</v>
      </c>
      <c r="AL1698" s="15" t="s">
        <v>9230</v>
      </c>
      <c r="AM1698" s="16" t="s">
        <v>9221</v>
      </c>
      <c r="AN1698" s="16" t="s">
        <v>9231</v>
      </c>
    </row>
    <row r="1699" spans="1:40" x14ac:dyDescent="0.25">
      <c r="A1699" s="4" t="s">
        <v>7308</v>
      </c>
      <c r="B1699" s="17"/>
      <c r="C1699" s="4" t="s">
        <v>39</v>
      </c>
      <c r="D1699" s="4" t="s">
        <v>7309</v>
      </c>
      <c r="E1699" s="4" t="s">
        <v>7310</v>
      </c>
      <c r="F1699" s="10">
        <v>45211</v>
      </c>
      <c r="G1699" s="18">
        <v>0.33333333333333331</v>
      </c>
      <c r="H1699" s="4" t="s">
        <v>4516</v>
      </c>
      <c r="I1699" s="4" t="s">
        <v>7295</v>
      </c>
      <c r="J1699" s="4" t="s">
        <v>3265</v>
      </c>
      <c r="K1699" s="4" t="s">
        <v>600</v>
      </c>
      <c r="L1699" s="4" t="s">
        <v>7311</v>
      </c>
      <c r="M1699" s="4" t="s">
        <v>46</v>
      </c>
      <c r="N1699" s="4"/>
      <c r="O1699" s="4" t="s">
        <v>47</v>
      </c>
      <c r="P1699" s="4" t="s">
        <v>48</v>
      </c>
      <c r="Q1699" s="4">
        <v>0</v>
      </c>
      <c r="R1699" s="4" t="b">
        <v>0</v>
      </c>
      <c r="S1699" s="4" t="s">
        <v>61</v>
      </c>
      <c r="T1699" s="4" t="s">
        <v>89</v>
      </c>
      <c r="U1699" s="4" t="s">
        <v>600</v>
      </c>
      <c r="V1699" s="4" t="s">
        <v>52</v>
      </c>
      <c r="W1699" s="4" t="s">
        <v>53</v>
      </c>
      <c r="X1699" s="4" t="s">
        <v>98</v>
      </c>
      <c r="Y1699" s="4" t="s">
        <v>323</v>
      </c>
      <c r="Z1699" s="12">
        <v>0</v>
      </c>
      <c r="AA1699" s="13" t="s">
        <v>9151</v>
      </c>
      <c r="AB1699" s="13" t="s">
        <v>9150</v>
      </c>
      <c r="AC1699" s="14" t="s">
        <v>9148</v>
      </c>
      <c r="AD1699" s="14" t="s">
        <v>9140</v>
      </c>
      <c r="AE1699" s="14" t="s">
        <v>9140</v>
      </c>
      <c r="AF1699" s="14" t="s">
        <v>52</v>
      </c>
      <c r="AG1699" s="14" t="s">
        <v>98</v>
      </c>
      <c r="AH1699" s="15" t="s">
        <v>9220</v>
      </c>
      <c r="AI1699" s="15" t="s">
        <v>9188</v>
      </c>
      <c r="AJ1699" s="15" t="s">
        <v>9143</v>
      </c>
      <c r="AK1699" s="15" t="s">
        <v>9221</v>
      </c>
      <c r="AL1699" s="15" t="s">
        <v>9236</v>
      </c>
      <c r="AM1699" s="16" t="s">
        <v>9221</v>
      </c>
      <c r="AN1699" s="16" t="s">
        <v>9237</v>
      </c>
    </row>
    <row r="1700" spans="1:40" x14ac:dyDescent="0.25">
      <c r="A1700" s="4" t="s">
        <v>6269</v>
      </c>
      <c r="B1700" s="17"/>
      <c r="C1700" s="4" t="s">
        <v>39</v>
      </c>
      <c r="D1700" s="4" t="s">
        <v>6270</v>
      </c>
      <c r="E1700" s="4" t="s">
        <v>6271</v>
      </c>
      <c r="F1700" s="10">
        <v>45210</v>
      </c>
      <c r="G1700" s="18">
        <v>0.39583333333333331</v>
      </c>
      <c r="H1700" s="4" t="s">
        <v>4910</v>
      </c>
      <c r="I1700" s="4" t="s">
        <v>6256</v>
      </c>
      <c r="J1700" s="4" t="s">
        <v>3927</v>
      </c>
      <c r="K1700" s="4" t="s">
        <v>6272</v>
      </c>
      <c r="L1700" s="4" t="s">
        <v>6273</v>
      </c>
      <c r="M1700" s="4" t="s">
        <v>46</v>
      </c>
      <c r="N1700" s="4"/>
      <c r="O1700" s="4" t="s">
        <v>47</v>
      </c>
      <c r="P1700" s="4" t="s">
        <v>48</v>
      </c>
      <c r="Q1700" s="4">
        <v>0</v>
      </c>
      <c r="R1700" s="4" t="b">
        <v>0</v>
      </c>
      <c r="S1700" s="4" t="s">
        <v>61</v>
      </c>
      <c r="T1700" s="4" t="s">
        <v>479</v>
      </c>
      <c r="U1700" s="4" t="s">
        <v>51</v>
      </c>
      <c r="V1700" s="4" t="s">
        <v>52</v>
      </c>
      <c r="W1700" s="4" t="s">
        <v>255</v>
      </c>
      <c r="X1700" s="4" t="s">
        <v>54</v>
      </c>
      <c r="Y1700" s="4" t="s">
        <v>323</v>
      </c>
      <c r="Z1700" s="12">
        <v>0</v>
      </c>
      <c r="AA1700" s="13" t="s">
        <v>9151</v>
      </c>
      <c r="AB1700" s="13" t="s">
        <v>9150</v>
      </c>
      <c r="AC1700" s="14" t="s">
        <v>9148</v>
      </c>
      <c r="AD1700" s="14" t="s">
        <v>9140</v>
      </c>
      <c r="AE1700" s="14" t="s">
        <v>9140</v>
      </c>
      <c r="AF1700" s="14" t="s">
        <v>52</v>
      </c>
      <c r="AG1700" s="14" t="s">
        <v>54</v>
      </c>
      <c r="AH1700" s="15" t="s">
        <v>9220</v>
      </c>
      <c r="AI1700" s="15" t="s">
        <v>9191</v>
      </c>
      <c r="AJ1700" s="15" t="s">
        <v>9143</v>
      </c>
      <c r="AK1700" s="15" t="s">
        <v>9221</v>
      </c>
      <c r="AL1700" s="15" t="s">
        <v>9226</v>
      </c>
      <c r="AM1700" s="16" t="s">
        <v>9221</v>
      </c>
      <c r="AN1700" s="16" t="s">
        <v>9227</v>
      </c>
    </row>
    <row r="1701" spans="1:40" x14ac:dyDescent="0.25">
      <c r="A1701" s="4" t="s">
        <v>4440</v>
      </c>
      <c r="B1701" s="17"/>
      <c r="C1701" s="4" t="s">
        <v>39</v>
      </c>
      <c r="D1701" s="4" t="s">
        <v>4431</v>
      </c>
      <c r="E1701" s="4" t="s">
        <v>4432</v>
      </c>
      <c r="F1701" s="10">
        <v>45210</v>
      </c>
      <c r="G1701" s="18">
        <v>0.58680555555555558</v>
      </c>
      <c r="H1701" s="4" t="s">
        <v>4019</v>
      </c>
      <c r="I1701" s="4" t="s">
        <v>4304</v>
      </c>
      <c r="J1701" s="4" t="s">
        <v>1941</v>
      </c>
      <c r="K1701" s="4" t="s">
        <v>4441</v>
      </c>
      <c r="L1701" s="4" t="s">
        <v>4442</v>
      </c>
      <c r="M1701" s="4" t="s">
        <v>46</v>
      </c>
      <c r="N1701" s="4"/>
      <c r="O1701" s="4" t="s">
        <v>47</v>
      </c>
      <c r="P1701" s="4" t="s">
        <v>48</v>
      </c>
      <c r="Q1701" s="4">
        <v>0</v>
      </c>
      <c r="R1701" s="4" t="b">
        <v>0</v>
      </c>
      <c r="S1701" s="4" t="s">
        <v>49</v>
      </c>
      <c r="T1701" s="4" t="s">
        <v>70</v>
      </c>
      <c r="U1701" s="4" t="s">
        <v>140</v>
      </c>
      <c r="V1701" s="4" t="s">
        <v>63</v>
      </c>
      <c r="W1701" s="4" t="s">
        <v>198</v>
      </c>
      <c r="X1701" s="4" t="s">
        <v>98</v>
      </c>
      <c r="Y1701" s="4" t="s">
        <v>486</v>
      </c>
      <c r="Z1701" s="12">
        <v>0</v>
      </c>
      <c r="AA1701" s="13" t="s">
        <v>9151</v>
      </c>
      <c r="AB1701" s="13" t="s">
        <v>9150</v>
      </c>
      <c r="AC1701" s="14" t="s">
        <v>9139</v>
      </c>
      <c r="AD1701" s="14" t="s">
        <v>9140</v>
      </c>
      <c r="AE1701" s="14" t="s">
        <v>9140</v>
      </c>
      <c r="AF1701" s="14" t="s">
        <v>63</v>
      </c>
      <c r="AG1701" s="14" t="s">
        <v>98</v>
      </c>
      <c r="AH1701" s="15" t="s">
        <v>9220</v>
      </c>
      <c r="AI1701" s="15" t="s">
        <v>9175</v>
      </c>
      <c r="AJ1701" s="15" t="s">
        <v>9143</v>
      </c>
      <c r="AK1701" s="15" t="s">
        <v>9221</v>
      </c>
      <c r="AL1701" s="15" t="s">
        <v>9222</v>
      </c>
      <c r="AM1701" s="16" t="s">
        <v>9221</v>
      </c>
      <c r="AN1701" s="16" t="s">
        <v>9223</v>
      </c>
    </row>
    <row r="1702" spans="1:40" x14ac:dyDescent="0.25">
      <c r="A1702" s="4" t="s">
        <v>7414</v>
      </c>
      <c r="B1702" s="17"/>
      <c r="C1702" s="4" t="s">
        <v>39</v>
      </c>
      <c r="D1702" s="4" t="s">
        <v>7415</v>
      </c>
      <c r="E1702" s="4" t="s">
        <v>7416</v>
      </c>
      <c r="F1702" s="10">
        <v>45209</v>
      </c>
      <c r="G1702" s="18">
        <v>0.74930555555555556</v>
      </c>
      <c r="H1702" s="4" t="s">
        <v>4019</v>
      </c>
      <c r="I1702" s="4" t="s">
        <v>7315</v>
      </c>
      <c r="J1702" s="4" t="s">
        <v>1037</v>
      </c>
      <c r="K1702" s="4" t="s">
        <v>7417</v>
      </c>
      <c r="L1702" s="4" t="s">
        <v>7418</v>
      </c>
      <c r="M1702" s="4" t="s">
        <v>46</v>
      </c>
      <c r="N1702" s="4"/>
      <c r="O1702" s="4" t="s">
        <v>47</v>
      </c>
      <c r="P1702" s="4" t="s">
        <v>48</v>
      </c>
      <c r="Q1702" s="4">
        <v>0</v>
      </c>
      <c r="R1702" s="4" t="b">
        <v>0</v>
      </c>
      <c r="S1702" s="4" t="s">
        <v>61</v>
      </c>
      <c r="T1702" s="4" t="s">
        <v>134</v>
      </c>
      <c r="U1702" s="4" t="s">
        <v>140</v>
      </c>
      <c r="V1702" s="4" t="s">
        <v>63</v>
      </c>
      <c r="W1702" s="4" t="s">
        <v>3952</v>
      </c>
      <c r="X1702" s="4" t="s">
        <v>2372</v>
      </c>
      <c r="Y1702" s="4"/>
      <c r="Z1702" s="12">
        <v>0</v>
      </c>
      <c r="AA1702" s="13" t="s">
        <v>9151</v>
      </c>
      <c r="AB1702" s="13" t="s">
        <v>9150</v>
      </c>
      <c r="AC1702" s="14" t="s">
        <v>9148</v>
      </c>
      <c r="AD1702" s="14" t="s">
        <v>9140</v>
      </c>
      <c r="AE1702" s="14" t="s">
        <v>9140</v>
      </c>
      <c r="AF1702" s="14" t="s">
        <v>63</v>
      </c>
      <c r="AG1702" s="14" t="s">
        <v>2372</v>
      </c>
      <c r="AH1702" s="15" t="s">
        <v>9220</v>
      </c>
      <c r="AI1702" s="15" t="s">
        <v>9175</v>
      </c>
      <c r="AJ1702" s="15" t="s">
        <v>9143</v>
      </c>
      <c r="AK1702" s="15" t="s">
        <v>9221</v>
      </c>
      <c r="AL1702" s="15" t="s">
        <v>9222</v>
      </c>
      <c r="AM1702" s="16" t="s">
        <v>9221</v>
      </c>
      <c r="AN1702" s="16" t="s">
        <v>9223</v>
      </c>
    </row>
    <row r="1703" spans="1:40" x14ac:dyDescent="0.25">
      <c r="A1703" s="4" t="s">
        <v>8487</v>
      </c>
      <c r="B1703" s="17"/>
      <c r="C1703" s="4" t="s">
        <v>39</v>
      </c>
      <c r="D1703" s="4" t="s">
        <v>8488</v>
      </c>
      <c r="E1703" s="4" t="s">
        <v>8489</v>
      </c>
      <c r="F1703" s="10">
        <v>45209</v>
      </c>
      <c r="G1703" s="18">
        <v>0.66666666666666663</v>
      </c>
      <c r="H1703" s="4" t="s">
        <v>8476</v>
      </c>
      <c r="I1703" s="4" t="s">
        <v>8477</v>
      </c>
      <c r="J1703" s="4" t="s">
        <v>8478</v>
      </c>
      <c r="K1703" s="4" t="s">
        <v>1775</v>
      </c>
      <c r="L1703" s="4" t="s">
        <v>8490</v>
      </c>
      <c r="M1703" s="4" t="s">
        <v>46</v>
      </c>
      <c r="N1703" s="4"/>
      <c r="O1703" s="4" t="s">
        <v>47</v>
      </c>
      <c r="P1703" s="4" t="s">
        <v>48</v>
      </c>
      <c r="Q1703" s="4">
        <v>0</v>
      </c>
      <c r="R1703" s="4" t="b">
        <v>0</v>
      </c>
      <c r="S1703" s="4" t="s">
        <v>49</v>
      </c>
      <c r="T1703" s="4" t="s">
        <v>134</v>
      </c>
      <c r="U1703" s="4" t="s">
        <v>71</v>
      </c>
      <c r="V1703" s="4" t="s">
        <v>72</v>
      </c>
      <c r="W1703" s="4" t="s">
        <v>73</v>
      </c>
      <c r="X1703" s="4" t="s">
        <v>54</v>
      </c>
      <c r="Y1703" s="4"/>
      <c r="Z1703" s="12">
        <v>0</v>
      </c>
      <c r="AA1703" s="13" t="s">
        <v>9151</v>
      </c>
      <c r="AB1703" s="13" t="s">
        <v>9150</v>
      </c>
      <c r="AC1703" s="14" t="s">
        <v>9139</v>
      </c>
      <c r="AD1703" s="14" t="s">
        <v>9140</v>
      </c>
      <c r="AE1703" s="14" t="s">
        <v>9140</v>
      </c>
      <c r="AF1703" s="14" t="s">
        <v>72</v>
      </c>
      <c r="AG1703" s="14" t="s">
        <v>54</v>
      </c>
      <c r="AH1703" s="15" t="s">
        <v>9220</v>
      </c>
      <c r="AI1703" s="15" t="s">
        <v>9193</v>
      </c>
      <c r="AJ1703" s="15" t="s">
        <v>9143</v>
      </c>
      <c r="AK1703" s="15" t="s">
        <v>9221</v>
      </c>
      <c r="AL1703" s="15" t="s">
        <v>9230</v>
      </c>
      <c r="AM1703" s="16" t="s">
        <v>9221</v>
      </c>
      <c r="AN1703" s="16" t="s">
        <v>9231</v>
      </c>
    </row>
    <row r="1704" spans="1:40" x14ac:dyDescent="0.25">
      <c r="A1704" s="4" t="s">
        <v>7841</v>
      </c>
      <c r="B1704" s="17"/>
      <c r="C1704" s="4" t="s">
        <v>39</v>
      </c>
      <c r="D1704" s="4" t="s">
        <v>7842</v>
      </c>
      <c r="E1704" s="4" t="s">
        <v>7843</v>
      </c>
      <c r="F1704" s="10">
        <v>45209</v>
      </c>
      <c r="G1704" s="18">
        <v>0.40625</v>
      </c>
      <c r="H1704" s="4" t="s">
        <v>5666</v>
      </c>
      <c r="I1704" s="4" t="s">
        <v>7793</v>
      </c>
      <c r="J1704" s="4" t="s">
        <v>7794</v>
      </c>
      <c r="K1704" s="4" t="s">
        <v>7844</v>
      </c>
      <c r="L1704" s="4" t="s">
        <v>7845</v>
      </c>
      <c r="M1704" s="4" t="s">
        <v>46</v>
      </c>
      <c r="N1704" s="4"/>
      <c r="O1704" s="4" t="s">
        <v>47</v>
      </c>
      <c r="P1704" s="4" t="s">
        <v>48</v>
      </c>
      <c r="Q1704" s="4">
        <v>0</v>
      </c>
      <c r="R1704" s="4" t="b">
        <v>0</v>
      </c>
      <c r="S1704" s="4" t="s">
        <v>61</v>
      </c>
      <c r="T1704" s="4" t="s">
        <v>89</v>
      </c>
      <c r="U1704" s="4" t="s">
        <v>175</v>
      </c>
      <c r="V1704" s="4" t="s">
        <v>52</v>
      </c>
      <c r="W1704" s="4" t="s">
        <v>53</v>
      </c>
      <c r="X1704" s="4" t="s">
        <v>98</v>
      </c>
      <c r="Y1704" s="4"/>
      <c r="Z1704" s="12">
        <v>0</v>
      </c>
      <c r="AA1704" s="13" t="s">
        <v>9151</v>
      </c>
      <c r="AB1704" s="13" t="s">
        <v>9150</v>
      </c>
      <c r="AC1704" s="14" t="s">
        <v>9148</v>
      </c>
      <c r="AD1704" s="14" t="s">
        <v>9140</v>
      </c>
      <c r="AE1704" s="14" t="s">
        <v>9140</v>
      </c>
      <c r="AF1704" s="14" t="s">
        <v>52</v>
      </c>
      <c r="AG1704" s="14" t="s">
        <v>98</v>
      </c>
      <c r="AH1704" s="15" t="s">
        <v>9220</v>
      </c>
      <c r="AI1704" s="15" t="s">
        <v>9199</v>
      </c>
      <c r="AJ1704" s="15" t="s">
        <v>9143</v>
      </c>
      <c r="AK1704" s="15" t="s">
        <v>9221</v>
      </c>
      <c r="AL1704" s="15" t="s">
        <v>9199</v>
      </c>
      <c r="AM1704" s="16" t="s">
        <v>9221</v>
      </c>
      <c r="AN1704" s="16" t="s">
        <v>9238</v>
      </c>
    </row>
    <row r="1705" spans="1:40" x14ac:dyDescent="0.25">
      <c r="A1705" s="4" t="s">
        <v>3520</v>
      </c>
      <c r="B1705" s="17"/>
      <c r="C1705" s="4" t="s">
        <v>39</v>
      </c>
      <c r="D1705" s="4" t="s">
        <v>3521</v>
      </c>
      <c r="E1705" s="4" t="s">
        <v>3522</v>
      </c>
      <c r="F1705" s="10">
        <v>45209</v>
      </c>
      <c r="G1705" s="18">
        <v>0.4513888888888889</v>
      </c>
      <c r="H1705" s="4" t="s">
        <v>2017</v>
      </c>
      <c r="I1705" s="4" t="s">
        <v>3502</v>
      </c>
      <c r="J1705" s="4" t="s">
        <v>3503</v>
      </c>
      <c r="K1705" s="4" t="s">
        <v>2989</v>
      </c>
      <c r="L1705" s="4" t="s">
        <v>3523</v>
      </c>
      <c r="M1705" s="4" t="s">
        <v>46</v>
      </c>
      <c r="N1705" s="4"/>
      <c r="O1705" s="4" t="s">
        <v>47</v>
      </c>
      <c r="P1705" s="4" t="s">
        <v>48</v>
      </c>
      <c r="Q1705" s="4">
        <v>0</v>
      </c>
      <c r="R1705" s="4" t="b">
        <v>0</v>
      </c>
      <c r="S1705" s="4" t="s">
        <v>114</v>
      </c>
      <c r="T1705" s="4" t="s">
        <v>134</v>
      </c>
      <c r="U1705" s="4" t="s">
        <v>71</v>
      </c>
      <c r="V1705" s="4" t="s">
        <v>672</v>
      </c>
      <c r="W1705" s="4" t="s">
        <v>1121</v>
      </c>
      <c r="X1705" s="4" t="s">
        <v>2372</v>
      </c>
      <c r="Y1705" s="4"/>
      <c r="Z1705" s="12">
        <v>0</v>
      </c>
      <c r="AA1705" s="13" t="s">
        <v>9151</v>
      </c>
      <c r="AB1705" s="13" t="s">
        <v>9150</v>
      </c>
      <c r="AC1705" s="14" t="s">
        <v>9157</v>
      </c>
      <c r="AD1705" s="14" t="s">
        <v>9140</v>
      </c>
      <c r="AE1705" s="14" t="s">
        <v>9140</v>
      </c>
      <c r="AF1705" s="14" t="s">
        <v>672</v>
      </c>
      <c r="AG1705" s="14" t="s">
        <v>2372</v>
      </c>
      <c r="AH1705" s="15" t="s">
        <v>9194</v>
      </c>
      <c r="AI1705" s="15" t="s">
        <v>9199</v>
      </c>
      <c r="AJ1705" s="15" t="s">
        <v>9143</v>
      </c>
      <c r="AK1705" s="15" t="s">
        <v>9194</v>
      </c>
      <c r="AL1705" s="15" t="s">
        <v>9199</v>
      </c>
      <c r="AM1705" s="16" t="s">
        <v>9194</v>
      </c>
      <c r="AN1705" s="16" t="s">
        <v>9200</v>
      </c>
    </row>
    <row r="1706" spans="1:40" x14ac:dyDescent="0.25">
      <c r="A1706" s="4" t="s">
        <v>8453</v>
      </c>
      <c r="B1706" s="17"/>
      <c r="C1706" s="4" t="s">
        <v>39</v>
      </c>
      <c r="D1706" s="4" t="s">
        <v>8454</v>
      </c>
      <c r="E1706" s="4" t="s">
        <v>8455</v>
      </c>
      <c r="F1706" s="10">
        <v>45208</v>
      </c>
      <c r="G1706" s="18">
        <v>0.73958333333333337</v>
      </c>
      <c r="H1706" s="4" t="s">
        <v>4516</v>
      </c>
      <c r="I1706" s="4" t="s">
        <v>8419</v>
      </c>
      <c r="J1706" s="4" t="s">
        <v>8420</v>
      </c>
      <c r="K1706" s="4" t="s">
        <v>8456</v>
      </c>
      <c r="L1706" s="4" t="s">
        <v>8457</v>
      </c>
      <c r="M1706" s="4" t="s">
        <v>46</v>
      </c>
      <c r="N1706" s="4"/>
      <c r="O1706" s="4" t="s">
        <v>47</v>
      </c>
      <c r="P1706" s="4" t="s">
        <v>48</v>
      </c>
      <c r="Q1706" s="4">
        <v>0</v>
      </c>
      <c r="R1706" s="4" t="b">
        <v>0</v>
      </c>
      <c r="S1706" s="4" t="s">
        <v>114</v>
      </c>
      <c r="T1706" s="4" t="s">
        <v>70</v>
      </c>
      <c r="U1706" s="4" t="s">
        <v>122</v>
      </c>
      <c r="V1706" s="4" t="s">
        <v>123</v>
      </c>
      <c r="W1706" s="4" t="s">
        <v>124</v>
      </c>
      <c r="X1706" s="4" t="s">
        <v>54</v>
      </c>
      <c r="Y1706" s="4"/>
      <c r="Z1706" s="12">
        <v>0</v>
      </c>
      <c r="AA1706" s="13" t="s">
        <v>9151</v>
      </c>
      <c r="AB1706" s="13" t="s">
        <v>9150</v>
      </c>
      <c r="AC1706" s="14" t="s">
        <v>9157</v>
      </c>
      <c r="AD1706" s="14" t="s">
        <v>9140</v>
      </c>
      <c r="AE1706" s="14" t="s">
        <v>9140</v>
      </c>
      <c r="AF1706" s="14" t="s">
        <v>123</v>
      </c>
      <c r="AG1706" s="14" t="s">
        <v>54</v>
      </c>
      <c r="AH1706" s="15" t="s">
        <v>9220</v>
      </c>
      <c r="AI1706" s="15" t="s">
        <v>9188</v>
      </c>
      <c r="AJ1706" s="15" t="s">
        <v>9143</v>
      </c>
      <c r="AK1706" s="15" t="s">
        <v>9221</v>
      </c>
      <c r="AL1706" s="15" t="s">
        <v>9232</v>
      </c>
      <c r="AM1706" s="16" t="s">
        <v>9221</v>
      </c>
      <c r="AN1706" s="16" t="s">
        <v>9233</v>
      </c>
    </row>
    <row r="1707" spans="1:40" x14ac:dyDescent="0.25">
      <c r="A1707" s="4" t="s">
        <v>7133</v>
      </c>
      <c r="B1707" s="17"/>
      <c r="C1707" s="4" t="s">
        <v>39</v>
      </c>
      <c r="D1707" s="4" t="s">
        <v>7134</v>
      </c>
      <c r="E1707" s="4" t="s">
        <v>7135</v>
      </c>
      <c r="F1707" s="10">
        <v>45207</v>
      </c>
      <c r="G1707" s="18">
        <v>0.62222222222222223</v>
      </c>
      <c r="H1707" s="4" t="s">
        <v>4242</v>
      </c>
      <c r="I1707" s="4" t="s">
        <v>7028</v>
      </c>
      <c r="J1707" s="4" t="s">
        <v>7029</v>
      </c>
      <c r="K1707" s="4" t="s">
        <v>7136</v>
      </c>
      <c r="L1707" s="4" t="s">
        <v>7137</v>
      </c>
      <c r="M1707" s="4" t="s">
        <v>46</v>
      </c>
      <c r="N1707" s="4"/>
      <c r="O1707" s="4" t="s">
        <v>47</v>
      </c>
      <c r="P1707" s="4" t="s">
        <v>48</v>
      </c>
      <c r="Q1707" s="4">
        <v>0</v>
      </c>
      <c r="R1707" s="4" t="b">
        <v>0</v>
      </c>
      <c r="S1707" s="4" t="s">
        <v>61</v>
      </c>
      <c r="T1707" s="4" t="s">
        <v>89</v>
      </c>
      <c r="U1707" s="4" t="s">
        <v>373</v>
      </c>
      <c r="V1707" s="4" t="s">
        <v>123</v>
      </c>
      <c r="W1707" s="4" t="s">
        <v>192</v>
      </c>
      <c r="X1707" s="4" t="s">
        <v>98</v>
      </c>
      <c r="Y1707" s="4"/>
      <c r="Z1707" s="12">
        <v>0</v>
      </c>
      <c r="AA1707" s="13" t="s">
        <v>9151</v>
      </c>
      <c r="AB1707" s="13" t="s">
        <v>9150</v>
      </c>
      <c r="AC1707" s="14" t="s">
        <v>9148</v>
      </c>
      <c r="AD1707" s="14" t="s">
        <v>9140</v>
      </c>
      <c r="AE1707" s="14" t="s">
        <v>9140</v>
      </c>
      <c r="AF1707" s="14" t="s">
        <v>123</v>
      </c>
      <c r="AG1707" s="14" t="s">
        <v>98</v>
      </c>
      <c r="AH1707" s="15" t="s">
        <v>9220</v>
      </c>
      <c r="AI1707" s="15" t="s">
        <v>9187</v>
      </c>
      <c r="AJ1707" s="15" t="s">
        <v>9143</v>
      </c>
      <c r="AK1707" s="15" t="s">
        <v>9221</v>
      </c>
      <c r="AL1707" s="15" t="s">
        <v>9226</v>
      </c>
      <c r="AM1707" s="16" t="s">
        <v>9221</v>
      </c>
      <c r="AN1707" s="16" t="s">
        <v>9227</v>
      </c>
    </row>
    <row r="1708" spans="1:40" x14ac:dyDescent="0.25">
      <c r="A1708" s="4" t="s">
        <v>6905</v>
      </c>
      <c r="B1708" s="17"/>
      <c r="C1708" s="4" t="s">
        <v>39</v>
      </c>
      <c r="D1708" s="4" t="s">
        <v>6876</v>
      </c>
      <c r="E1708" s="4" t="s">
        <v>6877</v>
      </c>
      <c r="F1708" s="10">
        <v>45206</v>
      </c>
      <c r="G1708" s="18">
        <v>0.42638888888888887</v>
      </c>
      <c r="H1708" s="4" t="s">
        <v>4910</v>
      </c>
      <c r="I1708" s="4" t="s">
        <v>6878</v>
      </c>
      <c r="J1708" s="4" t="s">
        <v>3657</v>
      </c>
      <c r="K1708" s="4" t="s">
        <v>6906</v>
      </c>
      <c r="L1708" s="4" t="s">
        <v>6907</v>
      </c>
      <c r="M1708" s="4" t="s">
        <v>46</v>
      </c>
      <c r="N1708" s="4"/>
      <c r="O1708" s="4" t="s">
        <v>47</v>
      </c>
      <c r="P1708" s="4" t="s">
        <v>48</v>
      </c>
      <c r="Q1708" s="4">
        <v>0</v>
      </c>
      <c r="R1708" s="4" t="b">
        <v>0</v>
      </c>
      <c r="S1708" s="4" t="s">
        <v>61</v>
      </c>
      <c r="T1708" s="4" t="s">
        <v>479</v>
      </c>
      <c r="U1708" s="4" t="s">
        <v>175</v>
      </c>
      <c r="V1708" s="4" t="s">
        <v>52</v>
      </c>
      <c r="W1708" s="4" t="s">
        <v>53</v>
      </c>
      <c r="X1708" s="4" t="s">
        <v>98</v>
      </c>
      <c r="Y1708" s="4"/>
      <c r="Z1708" s="12">
        <v>0</v>
      </c>
      <c r="AA1708" s="13" t="s">
        <v>9151</v>
      </c>
      <c r="AB1708" s="13" t="s">
        <v>9150</v>
      </c>
      <c r="AC1708" s="14" t="s">
        <v>9148</v>
      </c>
      <c r="AD1708" s="14" t="s">
        <v>9140</v>
      </c>
      <c r="AE1708" s="14" t="s">
        <v>9140</v>
      </c>
      <c r="AF1708" s="14" t="s">
        <v>52</v>
      </c>
      <c r="AG1708" s="14" t="s">
        <v>98</v>
      </c>
      <c r="AH1708" s="15" t="s">
        <v>9220</v>
      </c>
      <c r="AI1708" s="15" t="s">
        <v>9191</v>
      </c>
      <c r="AJ1708" s="15" t="s">
        <v>9143</v>
      </c>
      <c r="AK1708" s="15" t="s">
        <v>9221</v>
      </c>
      <c r="AL1708" s="15" t="s">
        <v>9234</v>
      </c>
      <c r="AM1708" s="16" t="s">
        <v>9221</v>
      </c>
      <c r="AN1708" s="16" t="s">
        <v>9235</v>
      </c>
    </row>
    <row r="1709" spans="1:40" x14ac:dyDescent="0.25">
      <c r="A1709" s="4" t="s">
        <v>5495</v>
      </c>
      <c r="B1709" s="17">
        <v>6796825</v>
      </c>
      <c r="C1709" s="4" t="s">
        <v>39</v>
      </c>
      <c r="D1709" s="4" t="s">
        <v>5496</v>
      </c>
      <c r="E1709" s="4" t="s">
        <v>5497</v>
      </c>
      <c r="F1709" s="10">
        <v>45206</v>
      </c>
      <c r="G1709" s="18">
        <v>0.39583333333333331</v>
      </c>
      <c r="H1709" s="4" t="s">
        <v>4516</v>
      </c>
      <c r="I1709" s="4" t="s">
        <v>5466</v>
      </c>
      <c r="J1709" s="4" t="s">
        <v>5467</v>
      </c>
      <c r="K1709" s="4" t="s">
        <v>2509</v>
      </c>
      <c r="L1709" s="4" t="s">
        <v>5498</v>
      </c>
      <c r="M1709" s="4" t="s">
        <v>28</v>
      </c>
      <c r="N1709" s="4" t="s">
        <v>183</v>
      </c>
      <c r="O1709" s="4" t="s">
        <v>863</v>
      </c>
      <c r="P1709" s="4" t="s">
        <v>60</v>
      </c>
      <c r="Q1709" s="4">
        <v>0</v>
      </c>
      <c r="R1709" s="4" t="b">
        <v>0</v>
      </c>
      <c r="S1709" s="4" t="s">
        <v>114</v>
      </c>
      <c r="T1709" s="4" t="s">
        <v>89</v>
      </c>
      <c r="U1709" s="4" t="s">
        <v>175</v>
      </c>
      <c r="V1709" s="4" t="s">
        <v>52</v>
      </c>
      <c r="W1709" s="4" t="s">
        <v>53</v>
      </c>
      <c r="X1709" s="4" t="s">
        <v>54</v>
      </c>
      <c r="Y1709" s="4"/>
      <c r="Z1709" s="12" t="s">
        <v>60</v>
      </c>
      <c r="AA1709" s="13" t="s">
        <v>9151</v>
      </c>
      <c r="AB1709" s="13" t="s">
        <v>9150</v>
      </c>
      <c r="AC1709" s="14" t="s">
        <v>9157</v>
      </c>
      <c r="AD1709" s="14" t="s">
        <v>28</v>
      </c>
      <c r="AE1709" s="14" t="s">
        <v>183</v>
      </c>
      <c r="AF1709" s="14" t="s">
        <v>52</v>
      </c>
      <c r="AG1709" s="14" t="s">
        <v>54</v>
      </c>
      <c r="AH1709" s="15" t="s">
        <v>9220</v>
      </c>
      <c r="AI1709" s="15" t="s">
        <v>9188</v>
      </c>
      <c r="AJ1709" s="15" t="s">
        <v>9143</v>
      </c>
      <c r="AK1709" s="15" t="s">
        <v>9221</v>
      </c>
      <c r="AL1709" s="15" t="s">
        <v>9230</v>
      </c>
      <c r="AM1709" s="16" t="s">
        <v>9221</v>
      </c>
      <c r="AN1709" s="16" t="s">
        <v>9231</v>
      </c>
    </row>
    <row r="1710" spans="1:40" x14ac:dyDescent="0.25">
      <c r="A1710" s="4" t="s">
        <v>8458</v>
      </c>
      <c r="B1710" s="17"/>
      <c r="C1710" s="4" t="s">
        <v>39</v>
      </c>
      <c r="D1710" s="4" t="s">
        <v>8459</v>
      </c>
      <c r="E1710" s="4" t="s">
        <v>8460</v>
      </c>
      <c r="F1710" s="10">
        <v>45205</v>
      </c>
      <c r="G1710" s="18">
        <v>0.59027777777777779</v>
      </c>
      <c r="H1710" s="4" t="s">
        <v>4516</v>
      </c>
      <c r="I1710" s="4" t="s">
        <v>8419</v>
      </c>
      <c r="J1710" s="4" t="s">
        <v>8420</v>
      </c>
      <c r="K1710" s="4" t="s">
        <v>8461</v>
      </c>
      <c r="L1710" s="4" t="s">
        <v>8462</v>
      </c>
      <c r="M1710" s="4" t="s">
        <v>46</v>
      </c>
      <c r="N1710" s="4"/>
      <c r="O1710" s="4" t="s">
        <v>47</v>
      </c>
      <c r="P1710" s="4" t="s">
        <v>48</v>
      </c>
      <c r="Q1710" s="4">
        <v>0</v>
      </c>
      <c r="R1710" s="4" t="b">
        <v>0</v>
      </c>
      <c r="S1710" s="4" t="s">
        <v>61</v>
      </c>
      <c r="T1710" s="4" t="s">
        <v>479</v>
      </c>
      <c r="U1710" s="4" t="s">
        <v>107</v>
      </c>
      <c r="V1710" s="4" t="s">
        <v>63</v>
      </c>
      <c r="W1710" s="4" t="s">
        <v>108</v>
      </c>
      <c r="X1710" s="4" t="s">
        <v>54</v>
      </c>
      <c r="Y1710" s="4"/>
      <c r="Z1710" s="12">
        <v>0</v>
      </c>
      <c r="AA1710" s="13" t="s">
        <v>9151</v>
      </c>
      <c r="AB1710" s="13" t="s">
        <v>9150</v>
      </c>
      <c r="AC1710" s="14" t="s">
        <v>9148</v>
      </c>
      <c r="AD1710" s="14" t="s">
        <v>9140</v>
      </c>
      <c r="AE1710" s="14" t="s">
        <v>9140</v>
      </c>
      <c r="AF1710" s="14" t="s">
        <v>63</v>
      </c>
      <c r="AG1710" s="14" t="s">
        <v>54</v>
      </c>
      <c r="AH1710" s="15" t="s">
        <v>9220</v>
      </c>
      <c r="AI1710" s="15" t="s">
        <v>9188</v>
      </c>
      <c r="AJ1710" s="15" t="s">
        <v>9143</v>
      </c>
      <c r="AK1710" s="15" t="s">
        <v>9221</v>
      </c>
      <c r="AL1710" s="15" t="s">
        <v>9232</v>
      </c>
      <c r="AM1710" s="16" t="s">
        <v>9221</v>
      </c>
      <c r="AN1710" s="16" t="s">
        <v>9233</v>
      </c>
    </row>
    <row r="1711" spans="1:40" x14ac:dyDescent="0.25">
      <c r="A1711" s="4" t="s">
        <v>5830</v>
      </c>
      <c r="B1711" s="17"/>
      <c r="C1711" s="4" t="s">
        <v>39</v>
      </c>
      <c r="D1711" s="4" t="s">
        <v>5831</v>
      </c>
      <c r="E1711" s="4" t="s">
        <v>5832</v>
      </c>
      <c r="F1711" s="10">
        <v>45205</v>
      </c>
      <c r="G1711" s="18">
        <v>0.79513888888888884</v>
      </c>
      <c r="H1711" s="4" t="s">
        <v>4910</v>
      </c>
      <c r="I1711" s="4" t="s">
        <v>5811</v>
      </c>
      <c r="J1711" s="4" t="s">
        <v>5812</v>
      </c>
      <c r="K1711" s="4" t="s">
        <v>5833</v>
      </c>
      <c r="L1711" s="4" t="s">
        <v>5834</v>
      </c>
      <c r="M1711" s="4" t="s">
        <v>46</v>
      </c>
      <c r="N1711" s="4"/>
      <c r="O1711" s="4" t="s">
        <v>47</v>
      </c>
      <c r="P1711" s="4" t="s">
        <v>48</v>
      </c>
      <c r="Q1711" s="4">
        <v>0</v>
      </c>
      <c r="R1711" s="4" t="b">
        <v>0</v>
      </c>
      <c r="S1711" s="4" t="s">
        <v>49</v>
      </c>
      <c r="T1711" s="4" t="s">
        <v>70</v>
      </c>
      <c r="U1711" s="4" t="s">
        <v>71</v>
      </c>
      <c r="V1711" s="4" t="s">
        <v>72</v>
      </c>
      <c r="W1711" s="4" t="s">
        <v>73</v>
      </c>
      <c r="X1711" s="4" t="s">
        <v>54</v>
      </c>
      <c r="Y1711" s="4"/>
      <c r="Z1711" s="12">
        <v>0</v>
      </c>
      <c r="AA1711" s="13" t="s">
        <v>9151</v>
      </c>
      <c r="AB1711" s="13" t="s">
        <v>9150</v>
      </c>
      <c r="AC1711" s="14" t="s">
        <v>9139</v>
      </c>
      <c r="AD1711" s="14" t="s">
        <v>9140</v>
      </c>
      <c r="AE1711" s="14" t="s">
        <v>9140</v>
      </c>
      <c r="AF1711" s="14" t="s">
        <v>72</v>
      </c>
      <c r="AG1711" s="14" t="s">
        <v>54</v>
      </c>
      <c r="AH1711" s="15" t="s">
        <v>9220</v>
      </c>
      <c r="AI1711" s="15" t="s">
        <v>9191</v>
      </c>
      <c r="AJ1711" s="15" t="s">
        <v>9143</v>
      </c>
      <c r="AK1711" s="15" t="s">
        <v>9221</v>
      </c>
      <c r="AL1711" s="15" t="s">
        <v>9226</v>
      </c>
      <c r="AM1711" s="16" t="s">
        <v>9221</v>
      </c>
      <c r="AN1711" s="16" t="s">
        <v>9227</v>
      </c>
    </row>
    <row r="1712" spans="1:40" x14ac:dyDescent="0.25">
      <c r="A1712" s="4" t="s">
        <v>8413</v>
      </c>
      <c r="B1712" s="17"/>
      <c r="C1712" s="4" t="s">
        <v>39</v>
      </c>
      <c r="D1712" s="4" t="s">
        <v>8400</v>
      </c>
      <c r="E1712" s="4" t="s">
        <v>8401</v>
      </c>
      <c r="F1712" s="10">
        <v>45205</v>
      </c>
      <c r="G1712" s="18">
        <v>0.14722222222222223</v>
      </c>
      <c r="H1712" s="4" t="s">
        <v>4910</v>
      </c>
      <c r="I1712" s="4" t="s">
        <v>8378</v>
      </c>
      <c r="J1712" s="4" t="s">
        <v>3188</v>
      </c>
      <c r="K1712" s="4" t="s">
        <v>8414</v>
      </c>
      <c r="L1712" s="4" t="s">
        <v>8415</v>
      </c>
      <c r="M1712" s="4" t="s">
        <v>46</v>
      </c>
      <c r="N1712" s="4"/>
      <c r="O1712" s="4" t="s">
        <v>47</v>
      </c>
      <c r="P1712" s="4" t="s">
        <v>48</v>
      </c>
      <c r="Q1712" s="4">
        <v>0</v>
      </c>
      <c r="R1712" s="4" t="b">
        <v>0</v>
      </c>
      <c r="S1712" s="4" t="s">
        <v>49</v>
      </c>
      <c r="T1712" s="4" t="s">
        <v>479</v>
      </c>
      <c r="U1712" s="4" t="s">
        <v>148</v>
      </c>
      <c r="V1712" s="4" t="s">
        <v>52</v>
      </c>
      <c r="W1712" s="4" t="s">
        <v>53</v>
      </c>
      <c r="X1712" s="4" t="s">
        <v>54</v>
      </c>
      <c r="Y1712" s="4"/>
      <c r="Z1712" s="12">
        <v>0</v>
      </c>
      <c r="AA1712" s="13" t="s">
        <v>9151</v>
      </c>
      <c r="AB1712" s="13" t="s">
        <v>9150</v>
      </c>
      <c r="AC1712" s="14" t="s">
        <v>9139</v>
      </c>
      <c r="AD1712" s="14" t="s">
        <v>9140</v>
      </c>
      <c r="AE1712" s="14" t="s">
        <v>9140</v>
      </c>
      <c r="AF1712" s="14" t="s">
        <v>52</v>
      </c>
      <c r="AG1712" s="14" t="s">
        <v>54</v>
      </c>
      <c r="AH1712" s="15" t="s">
        <v>9220</v>
      </c>
      <c r="AI1712" s="15" t="s">
        <v>9191</v>
      </c>
      <c r="AJ1712" s="15" t="s">
        <v>9143</v>
      </c>
      <c r="AK1712" s="15" t="s">
        <v>9221</v>
      </c>
      <c r="AL1712" s="15" t="s">
        <v>9226</v>
      </c>
      <c r="AM1712" s="16" t="s">
        <v>9221</v>
      </c>
      <c r="AN1712" s="16" t="s">
        <v>9227</v>
      </c>
    </row>
    <row r="1713" spans="1:40" x14ac:dyDescent="0.25">
      <c r="A1713" s="4" t="s">
        <v>7419</v>
      </c>
      <c r="B1713" s="17"/>
      <c r="C1713" s="4" t="s">
        <v>39</v>
      </c>
      <c r="D1713" s="4" t="s">
        <v>7331</v>
      </c>
      <c r="E1713" s="4" t="s">
        <v>7332</v>
      </c>
      <c r="F1713" s="10">
        <v>45205</v>
      </c>
      <c r="G1713" s="18">
        <v>0.45833333333333331</v>
      </c>
      <c r="H1713" s="4" t="s">
        <v>4019</v>
      </c>
      <c r="I1713" s="4" t="s">
        <v>7315</v>
      </c>
      <c r="J1713" s="4" t="s">
        <v>1037</v>
      </c>
      <c r="K1713" s="4" t="s">
        <v>1110</v>
      </c>
      <c r="L1713" s="4" t="s">
        <v>7420</v>
      </c>
      <c r="M1713" s="4" t="s">
        <v>46</v>
      </c>
      <c r="N1713" s="4"/>
      <c r="O1713" s="4" t="s">
        <v>47</v>
      </c>
      <c r="P1713" s="4" t="s">
        <v>48</v>
      </c>
      <c r="Q1713" s="4">
        <v>0</v>
      </c>
      <c r="R1713" s="4" t="b">
        <v>0</v>
      </c>
      <c r="S1713" s="4" t="s">
        <v>49</v>
      </c>
      <c r="T1713" s="4" t="s">
        <v>50</v>
      </c>
      <c r="U1713" s="4" t="s">
        <v>71</v>
      </c>
      <c r="V1713" s="4" t="s">
        <v>72</v>
      </c>
      <c r="W1713" s="4" t="s">
        <v>73</v>
      </c>
      <c r="X1713" s="4" t="s">
        <v>54</v>
      </c>
      <c r="Y1713" s="4"/>
      <c r="Z1713" s="12">
        <v>0</v>
      </c>
      <c r="AA1713" s="13" t="s">
        <v>9151</v>
      </c>
      <c r="AB1713" s="13" t="s">
        <v>9150</v>
      </c>
      <c r="AC1713" s="14" t="s">
        <v>9139</v>
      </c>
      <c r="AD1713" s="14" t="s">
        <v>9140</v>
      </c>
      <c r="AE1713" s="14" t="s">
        <v>9140</v>
      </c>
      <c r="AF1713" s="14" t="s">
        <v>72</v>
      </c>
      <c r="AG1713" s="14" t="s">
        <v>54</v>
      </c>
      <c r="AH1713" s="15" t="s">
        <v>9220</v>
      </c>
      <c r="AI1713" s="15" t="s">
        <v>9175</v>
      </c>
      <c r="AJ1713" s="15" t="s">
        <v>9143</v>
      </c>
      <c r="AK1713" s="15" t="s">
        <v>9221</v>
      </c>
      <c r="AL1713" s="15" t="s">
        <v>9222</v>
      </c>
      <c r="AM1713" s="16" t="s">
        <v>9221</v>
      </c>
      <c r="AN1713" s="16" t="s">
        <v>9223</v>
      </c>
    </row>
    <row r="1714" spans="1:40" x14ac:dyDescent="0.25">
      <c r="A1714" s="4" t="s">
        <v>3072</v>
      </c>
      <c r="B1714" s="17"/>
      <c r="C1714" s="4" t="s">
        <v>39</v>
      </c>
      <c r="D1714" s="4" t="s">
        <v>3057</v>
      </c>
      <c r="E1714" s="4" t="s">
        <v>3058</v>
      </c>
      <c r="F1714" s="10">
        <v>45205</v>
      </c>
      <c r="G1714" s="18">
        <v>0.5</v>
      </c>
      <c r="H1714" s="4" t="s">
        <v>1939</v>
      </c>
      <c r="I1714" s="4" t="s">
        <v>3053</v>
      </c>
      <c r="J1714" s="4" t="s">
        <v>3054</v>
      </c>
      <c r="K1714" s="4" t="s">
        <v>3073</v>
      </c>
      <c r="L1714" s="4" t="s">
        <v>3074</v>
      </c>
      <c r="M1714" s="4" t="s">
        <v>46</v>
      </c>
      <c r="N1714" s="4"/>
      <c r="O1714" s="4" t="s">
        <v>47</v>
      </c>
      <c r="P1714" s="4" t="s">
        <v>48</v>
      </c>
      <c r="Q1714" s="4">
        <v>0</v>
      </c>
      <c r="R1714" s="4" t="b">
        <v>0</v>
      </c>
      <c r="S1714" s="4" t="s">
        <v>49</v>
      </c>
      <c r="T1714" s="4" t="s">
        <v>204</v>
      </c>
      <c r="U1714" s="4" t="s">
        <v>650</v>
      </c>
      <c r="V1714" s="4" t="s">
        <v>72</v>
      </c>
      <c r="W1714" s="4" t="s">
        <v>73</v>
      </c>
      <c r="X1714" s="4" t="s">
        <v>54</v>
      </c>
      <c r="Y1714" s="4"/>
      <c r="Z1714" s="12">
        <v>0</v>
      </c>
      <c r="AA1714" s="13" t="s">
        <v>9151</v>
      </c>
      <c r="AB1714" s="13" t="s">
        <v>9150</v>
      </c>
      <c r="AC1714" s="14" t="s">
        <v>9139</v>
      </c>
      <c r="AD1714" s="14" t="s">
        <v>9140</v>
      </c>
      <c r="AE1714" s="14" t="s">
        <v>9140</v>
      </c>
      <c r="AF1714" s="14" t="s">
        <v>72</v>
      </c>
      <c r="AG1714" s="14" t="s">
        <v>54</v>
      </c>
      <c r="AH1714" s="15" t="s">
        <v>9194</v>
      </c>
      <c r="AI1714" s="15" t="s">
        <v>9175</v>
      </c>
      <c r="AJ1714" s="15" t="s">
        <v>9143</v>
      </c>
      <c r="AK1714" s="15" t="s">
        <v>9194</v>
      </c>
      <c r="AL1714" s="15" t="s">
        <v>9209</v>
      </c>
      <c r="AM1714" s="16" t="s">
        <v>9194</v>
      </c>
      <c r="AN1714" s="16" t="s">
        <v>9210</v>
      </c>
    </row>
    <row r="1715" spans="1:40" x14ac:dyDescent="0.25">
      <c r="A1715" s="4" t="s">
        <v>551</v>
      </c>
      <c r="B1715" s="17">
        <v>12230032770</v>
      </c>
      <c r="C1715" s="4" t="s">
        <v>39</v>
      </c>
      <c r="D1715" s="4" t="s">
        <v>552</v>
      </c>
      <c r="E1715" s="4" t="s">
        <v>553</v>
      </c>
      <c r="F1715" s="10">
        <v>45205</v>
      </c>
      <c r="G1715" s="18">
        <v>0.57291666666666663</v>
      </c>
      <c r="H1715" s="4" t="s">
        <v>463</v>
      </c>
      <c r="I1715" s="4">
        <v>2020</v>
      </c>
      <c r="J1715" s="4" t="s">
        <v>538</v>
      </c>
      <c r="K1715" s="4" t="s">
        <v>554</v>
      </c>
      <c r="L1715" s="4" t="s">
        <v>555</v>
      </c>
      <c r="M1715" s="4" t="s">
        <v>28</v>
      </c>
      <c r="N1715" s="4" t="s">
        <v>183</v>
      </c>
      <c r="O1715" s="4" t="s">
        <v>191</v>
      </c>
      <c r="P1715" s="4" t="s">
        <v>60</v>
      </c>
      <c r="Q1715" s="4">
        <v>64</v>
      </c>
      <c r="R1715" s="4" t="b">
        <v>0</v>
      </c>
      <c r="S1715" s="4" t="s">
        <v>184</v>
      </c>
      <c r="T1715" s="4" t="s">
        <v>70</v>
      </c>
      <c r="U1715" s="4" t="s">
        <v>71</v>
      </c>
      <c r="V1715" s="4" t="s">
        <v>123</v>
      </c>
      <c r="W1715" s="4" t="s">
        <v>192</v>
      </c>
      <c r="X1715" s="4" t="s">
        <v>98</v>
      </c>
      <c r="Y1715" s="4"/>
      <c r="Z1715" s="12" t="s">
        <v>60</v>
      </c>
      <c r="AA1715" s="13" t="s">
        <v>9151</v>
      </c>
      <c r="AB1715" s="13" t="s">
        <v>9150</v>
      </c>
      <c r="AC1715" s="14" t="s">
        <v>9166</v>
      </c>
      <c r="AD1715" s="14" t="s">
        <v>28</v>
      </c>
      <c r="AE1715" s="14" t="s">
        <v>183</v>
      </c>
      <c r="AF1715" s="14" t="s">
        <v>123</v>
      </c>
      <c r="AG1715" s="14" t="s">
        <v>98</v>
      </c>
      <c r="AH1715" s="15" t="s">
        <v>9141</v>
      </c>
      <c r="AI1715" s="15" t="s">
        <v>9175</v>
      </c>
      <c r="AJ1715" s="15" t="s">
        <v>9143</v>
      </c>
      <c r="AK1715" s="15" t="s">
        <v>9141</v>
      </c>
      <c r="AL1715" s="15" t="s">
        <v>9175</v>
      </c>
      <c r="AM1715" s="16" t="s">
        <v>9141</v>
      </c>
      <c r="AN1715" s="16" t="s">
        <v>9176</v>
      </c>
    </row>
    <row r="1716" spans="1:40" x14ac:dyDescent="0.25">
      <c r="A1716" s="4" t="s">
        <v>6722</v>
      </c>
      <c r="B1716" s="17"/>
      <c r="C1716" s="4" t="s">
        <v>39</v>
      </c>
      <c r="D1716" s="4" t="s">
        <v>6723</v>
      </c>
      <c r="E1716" s="4" t="s">
        <v>6724</v>
      </c>
      <c r="F1716" s="10">
        <v>45204</v>
      </c>
      <c r="G1716" s="18">
        <v>0.52083333333333337</v>
      </c>
      <c r="H1716" s="4" t="s">
        <v>5666</v>
      </c>
      <c r="I1716" s="4" t="s">
        <v>6692</v>
      </c>
      <c r="J1716" s="4" t="s">
        <v>3645</v>
      </c>
      <c r="K1716" s="4" t="s">
        <v>6725</v>
      </c>
      <c r="L1716" s="4" t="s">
        <v>6726</v>
      </c>
      <c r="M1716" s="4" t="s">
        <v>46</v>
      </c>
      <c r="N1716" s="4"/>
      <c r="O1716" s="4" t="s">
        <v>47</v>
      </c>
      <c r="P1716" s="4" t="s">
        <v>48</v>
      </c>
      <c r="Q1716" s="4">
        <v>0</v>
      </c>
      <c r="R1716" s="4" t="b">
        <v>0</v>
      </c>
      <c r="S1716" s="4" t="s">
        <v>61</v>
      </c>
      <c r="T1716" s="4" t="s">
        <v>134</v>
      </c>
      <c r="U1716" s="4" t="s">
        <v>224</v>
      </c>
      <c r="V1716" s="4" t="s">
        <v>63</v>
      </c>
      <c r="W1716" s="4" t="s">
        <v>108</v>
      </c>
      <c r="X1716" s="4" t="s">
        <v>54</v>
      </c>
      <c r="Y1716" s="4"/>
      <c r="Z1716" s="12">
        <v>0</v>
      </c>
      <c r="AA1716" s="13" t="s">
        <v>9151</v>
      </c>
      <c r="AB1716" s="13" t="s">
        <v>9150</v>
      </c>
      <c r="AC1716" s="14" t="s">
        <v>9148</v>
      </c>
      <c r="AD1716" s="14" t="s">
        <v>9140</v>
      </c>
      <c r="AE1716" s="14" t="s">
        <v>9140</v>
      </c>
      <c r="AF1716" s="14" t="s">
        <v>63</v>
      </c>
      <c r="AG1716" s="14" t="s">
        <v>54</v>
      </c>
      <c r="AH1716" s="15" t="s">
        <v>9220</v>
      </c>
      <c r="AI1716" s="15" t="s">
        <v>9199</v>
      </c>
      <c r="AJ1716" s="15" t="s">
        <v>9143</v>
      </c>
      <c r="AK1716" s="15" t="s">
        <v>9221</v>
      </c>
      <c r="AL1716" s="15" t="s">
        <v>9199</v>
      </c>
      <c r="AM1716" s="16" t="s">
        <v>9221</v>
      </c>
      <c r="AN1716" s="16" t="s">
        <v>9238</v>
      </c>
    </row>
    <row r="1717" spans="1:40" x14ac:dyDescent="0.25">
      <c r="A1717" s="4" t="s">
        <v>3585</v>
      </c>
      <c r="B1717" s="17"/>
      <c r="C1717" s="4" t="s">
        <v>39</v>
      </c>
      <c r="D1717" s="4" t="s">
        <v>3568</v>
      </c>
      <c r="E1717" s="4" t="s">
        <v>3569</v>
      </c>
      <c r="F1717" s="10">
        <v>45204</v>
      </c>
      <c r="G1717" s="18">
        <v>0.43125000000000002</v>
      </c>
      <c r="H1717" s="4" t="s">
        <v>2095</v>
      </c>
      <c r="I1717" s="4" t="s">
        <v>3563</v>
      </c>
      <c r="J1717" s="4" t="s">
        <v>3564</v>
      </c>
      <c r="K1717" s="4" t="s">
        <v>3586</v>
      </c>
      <c r="L1717" s="4" t="s">
        <v>3587</v>
      </c>
      <c r="M1717" s="4" t="s">
        <v>46</v>
      </c>
      <c r="N1717" s="4"/>
      <c r="O1717" s="4" t="s">
        <v>47</v>
      </c>
      <c r="P1717" s="4" t="s">
        <v>48</v>
      </c>
      <c r="Q1717" s="4">
        <v>0</v>
      </c>
      <c r="R1717" s="4" t="b">
        <v>0</v>
      </c>
      <c r="S1717" s="4" t="s">
        <v>114</v>
      </c>
      <c r="T1717" s="4" t="s">
        <v>479</v>
      </c>
      <c r="U1717" s="4" t="s">
        <v>71</v>
      </c>
      <c r="V1717" s="4" t="s">
        <v>52</v>
      </c>
      <c r="W1717" s="4" t="s">
        <v>53</v>
      </c>
      <c r="X1717" s="4" t="s">
        <v>54</v>
      </c>
      <c r="Y1717" s="4"/>
      <c r="Z1717" s="12">
        <v>0</v>
      </c>
      <c r="AA1717" s="13" t="s">
        <v>9151</v>
      </c>
      <c r="AB1717" s="13" t="s">
        <v>9150</v>
      </c>
      <c r="AC1717" s="14" t="s">
        <v>9157</v>
      </c>
      <c r="AD1717" s="14" t="s">
        <v>9140</v>
      </c>
      <c r="AE1717" s="14" t="s">
        <v>9140</v>
      </c>
      <c r="AF1717" s="14" t="s">
        <v>52</v>
      </c>
      <c r="AG1717" s="14" t="s">
        <v>54</v>
      </c>
      <c r="AH1717" s="15" t="s">
        <v>9194</v>
      </c>
      <c r="AI1717" s="15" t="s">
        <v>9188</v>
      </c>
      <c r="AJ1717" s="15" t="s">
        <v>9143</v>
      </c>
      <c r="AK1717" s="15" t="s">
        <v>9194</v>
      </c>
      <c r="AL1717" s="15" t="s">
        <v>9201</v>
      </c>
      <c r="AM1717" s="16" t="s">
        <v>9194</v>
      </c>
      <c r="AN1717" s="16" t="s">
        <v>9202</v>
      </c>
    </row>
    <row r="1718" spans="1:40" x14ac:dyDescent="0.25">
      <c r="A1718" s="4" t="s">
        <v>6347</v>
      </c>
      <c r="B1718" s="17"/>
      <c r="C1718" s="4" t="s">
        <v>39</v>
      </c>
      <c r="D1718" s="4" t="s">
        <v>6348</v>
      </c>
      <c r="E1718" s="4" t="s">
        <v>6349</v>
      </c>
      <c r="F1718" s="10">
        <v>45204</v>
      </c>
      <c r="G1718" s="18">
        <v>0.76527777777777772</v>
      </c>
      <c r="H1718" s="4" t="s">
        <v>4019</v>
      </c>
      <c r="I1718" s="4" t="s">
        <v>6277</v>
      </c>
      <c r="J1718" s="4" t="s">
        <v>988</v>
      </c>
      <c r="K1718" s="4" t="s">
        <v>6350</v>
      </c>
      <c r="L1718" s="4" t="s">
        <v>6351</v>
      </c>
      <c r="M1718" s="4" t="s">
        <v>46</v>
      </c>
      <c r="N1718" s="4"/>
      <c r="O1718" s="4" t="s">
        <v>47</v>
      </c>
      <c r="P1718" s="4" t="s">
        <v>48</v>
      </c>
      <c r="Q1718" s="4">
        <v>0</v>
      </c>
      <c r="R1718" s="4" t="b">
        <v>0</v>
      </c>
      <c r="S1718" s="4" t="s">
        <v>61</v>
      </c>
      <c r="T1718" s="4" t="s">
        <v>50</v>
      </c>
      <c r="U1718" s="4" t="s">
        <v>165</v>
      </c>
      <c r="V1718" s="4" t="s">
        <v>63</v>
      </c>
      <c r="W1718" s="4" t="s">
        <v>198</v>
      </c>
      <c r="X1718" s="4" t="s">
        <v>54</v>
      </c>
      <c r="Y1718" s="4"/>
      <c r="Z1718" s="12">
        <v>0</v>
      </c>
      <c r="AA1718" s="13" t="s">
        <v>9151</v>
      </c>
      <c r="AB1718" s="13" t="s">
        <v>9150</v>
      </c>
      <c r="AC1718" s="14" t="s">
        <v>9148</v>
      </c>
      <c r="AD1718" s="14" t="s">
        <v>9140</v>
      </c>
      <c r="AE1718" s="14" t="s">
        <v>9140</v>
      </c>
      <c r="AF1718" s="14" t="s">
        <v>63</v>
      </c>
      <c r="AG1718" s="14" t="s">
        <v>54</v>
      </c>
      <c r="AH1718" s="15" t="s">
        <v>9220</v>
      </c>
      <c r="AI1718" s="15" t="s">
        <v>9175</v>
      </c>
      <c r="AJ1718" s="15" t="s">
        <v>9143</v>
      </c>
      <c r="AK1718" s="15" t="s">
        <v>9221</v>
      </c>
      <c r="AL1718" s="15" t="s">
        <v>9222</v>
      </c>
      <c r="AM1718" s="16" t="s">
        <v>9221</v>
      </c>
      <c r="AN1718" s="16" t="s">
        <v>9223</v>
      </c>
    </row>
    <row r="1719" spans="1:40" x14ac:dyDescent="0.25">
      <c r="A1719" s="4" t="s">
        <v>7655</v>
      </c>
      <c r="B1719" s="17"/>
      <c r="C1719" s="4" t="s">
        <v>39</v>
      </c>
      <c r="D1719" s="4" t="s">
        <v>7656</v>
      </c>
      <c r="E1719" s="4" t="s">
        <v>7657</v>
      </c>
      <c r="F1719" s="10">
        <v>45204</v>
      </c>
      <c r="G1719" s="18">
        <v>0.4375</v>
      </c>
      <c r="H1719" s="4" t="s">
        <v>4910</v>
      </c>
      <c r="I1719" s="4" t="s">
        <v>7611</v>
      </c>
      <c r="J1719" s="4" t="s">
        <v>3335</v>
      </c>
      <c r="K1719" s="4" t="s">
        <v>7658</v>
      </c>
      <c r="L1719" s="4" t="s">
        <v>7659</v>
      </c>
      <c r="M1719" s="4" t="s">
        <v>46</v>
      </c>
      <c r="N1719" s="4"/>
      <c r="O1719" s="4" t="s">
        <v>47</v>
      </c>
      <c r="P1719" s="4" t="s">
        <v>48</v>
      </c>
      <c r="Q1719" s="4">
        <v>0</v>
      </c>
      <c r="R1719" s="4" t="b">
        <v>0</v>
      </c>
      <c r="S1719" s="4" t="s">
        <v>61</v>
      </c>
      <c r="T1719" s="4" t="s">
        <v>204</v>
      </c>
      <c r="U1719" s="4" t="s">
        <v>122</v>
      </c>
      <c r="V1719" s="4" t="s">
        <v>123</v>
      </c>
      <c r="W1719" s="4" t="s">
        <v>149</v>
      </c>
      <c r="X1719" s="4" t="s">
        <v>98</v>
      </c>
      <c r="Y1719" s="4"/>
      <c r="Z1719" s="12">
        <v>0</v>
      </c>
      <c r="AA1719" s="13" t="s">
        <v>9151</v>
      </c>
      <c r="AB1719" s="13" t="s">
        <v>9150</v>
      </c>
      <c r="AC1719" s="14" t="s">
        <v>9148</v>
      </c>
      <c r="AD1719" s="14" t="s">
        <v>9140</v>
      </c>
      <c r="AE1719" s="14" t="s">
        <v>9140</v>
      </c>
      <c r="AF1719" s="14" t="s">
        <v>123</v>
      </c>
      <c r="AG1719" s="14" t="s">
        <v>98</v>
      </c>
      <c r="AH1719" s="15" t="s">
        <v>9220</v>
      </c>
      <c r="AI1719" s="15" t="s">
        <v>9191</v>
      </c>
      <c r="AJ1719" s="15" t="s">
        <v>9143</v>
      </c>
      <c r="AK1719" s="15" t="s">
        <v>9221</v>
      </c>
      <c r="AL1719" s="15" t="s">
        <v>9226</v>
      </c>
      <c r="AM1719" s="16" t="s">
        <v>9221</v>
      </c>
      <c r="AN1719" s="16" t="s">
        <v>9227</v>
      </c>
    </row>
    <row r="1720" spans="1:40" x14ac:dyDescent="0.25">
      <c r="A1720" s="4" t="s">
        <v>8270</v>
      </c>
      <c r="B1720" s="17" t="s">
        <v>8271</v>
      </c>
      <c r="C1720" s="4" t="s">
        <v>39</v>
      </c>
      <c r="D1720" s="4" t="s">
        <v>8232</v>
      </c>
      <c r="E1720" s="4" t="s">
        <v>8233</v>
      </c>
      <c r="F1720" s="10">
        <v>45204</v>
      </c>
      <c r="G1720" s="18">
        <v>0.36458333333333331</v>
      </c>
      <c r="H1720" s="4" t="s">
        <v>4910</v>
      </c>
      <c r="I1720" s="4" t="s">
        <v>8223</v>
      </c>
      <c r="J1720" s="4" t="s">
        <v>1844</v>
      </c>
      <c r="K1720" s="4" t="s">
        <v>8272</v>
      </c>
      <c r="L1720" s="4" t="s">
        <v>8273</v>
      </c>
      <c r="M1720" s="4" t="s">
        <v>28</v>
      </c>
      <c r="N1720" s="4" t="s">
        <v>183</v>
      </c>
      <c r="O1720" s="4" t="s">
        <v>191</v>
      </c>
      <c r="P1720" s="4" t="s">
        <v>60</v>
      </c>
      <c r="Q1720" s="4">
        <v>39</v>
      </c>
      <c r="R1720" s="4" t="b">
        <v>0</v>
      </c>
      <c r="S1720" s="4" t="s">
        <v>184</v>
      </c>
      <c r="T1720" s="4" t="s">
        <v>425</v>
      </c>
      <c r="U1720" s="4" t="s">
        <v>480</v>
      </c>
      <c r="V1720" s="4" t="s">
        <v>123</v>
      </c>
      <c r="W1720" s="4" t="s">
        <v>124</v>
      </c>
      <c r="X1720" s="4" t="s">
        <v>54</v>
      </c>
      <c r="Y1720" s="4"/>
      <c r="Z1720" s="12" t="s">
        <v>60</v>
      </c>
      <c r="AA1720" s="13" t="s">
        <v>9151</v>
      </c>
      <c r="AB1720" s="13" t="s">
        <v>9150</v>
      </c>
      <c r="AC1720" s="14" t="s">
        <v>9166</v>
      </c>
      <c r="AD1720" s="14" t="s">
        <v>28</v>
      </c>
      <c r="AE1720" s="14" t="s">
        <v>183</v>
      </c>
      <c r="AF1720" s="14" t="s">
        <v>123</v>
      </c>
      <c r="AG1720" s="14" t="s">
        <v>54</v>
      </c>
      <c r="AH1720" s="15" t="s">
        <v>9220</v>
      </c>
      <c r="AI1720" s="15" t="s">
        <v>9191</v>
      </c>
      <c r="AJ1720" s="15" t="s">
        <v>9143</v>
      </c>
      <c r="AK1720" s="15" t="s">
        <v>9221</v>
      </c>
      <c r="AL1720" s="15" t="s">
        <v>9226</v>
      </c>
      <c r="AM1720" s="16" t="s">
        <v>9221</v>
      </c>
      <c r="AN1720" s="16" t="s">
        <v>9227</v>
      </c>
    </row>
    <row r="1721" spans="1:40" x14ac:dyDescent="0.25">
      <c r="A1721" s="4" t="s">
        <v>5196</v>
      </c>
      <c r="B1721" s="17"/>
      <c r="C1721" s="4" t="s">
        <v>39</v>
      </c>
      <c r="D1721" s="4" t="s">
        <v>5197</v>
      </c>
      <c r="E1721" s="4" t="s">
        <v>5198</v>
      </c>
      <c r="F1721" s="10">
        <v>45203</v>
      </c>
      <c r="G1721" s="18">
        <v>0.72986111111111107</v>
      </c>
      <c r="H1721" s="4" t="s">
        <v>4910</v>
      </c>
      <c r="I1721" s="4" t="s">
        <v>5121</v>
      </c>
      <c r="J1721" s="4" t="s">
        <v>1994</v>
      </c>
      <c r="K1721" s="4" t="s">
        <v>5199</v>
      </c>
      <c r="L1721" s="4" t="s">
        <v>5200</v>
      </c>
      <c r="M1721" s="4" t="s">
        <v>46</v>
      </c>
      <c r="N1721" s="4"/>
      <c r="O1721" s="4" t="s">
        <v>47</v>
      </c>
      <c r="P1721" s="4" t="s">
        <v>48</v>
      </c>
      <c r="Q1721" s="4">
        <v>0</v>
      </c>
      <c r="R1721" s="4" t="b">
        <v>0</v>
      </c>
      <c r="S1721" s="4" t="s">
        <v>49</v>
      </c>
      <c r="T1721" s="4" t="s">
        <v>134</v>
      </c>
      <c r="U1721" s="4" t="s">
        <v>224</v>
      </c>
      <c r="V1721" s="4" t="s">
        <v>63</v>
      </c>
      <c r="W1721" s="4" t="s">
        <v>198</v>
      </c>
      <c r="X1721" s="4" t="s">
        <v>54</v>
      </c>
      <c r="Y1721" s="4"/>
      <c r="Z1721" s="12">
        <v>0</v>
      </c>
      <c r="AA1721" s="13" t="s">
        <v>9151</v>
      </c>
      <c r="AB1721" s="13" t="s">
        <v>9150</v>
      </c>
      <c r="AC1721" s="14" t="s">
        <v>9139</v>
      </c>
      <c r="AD1721" s="14" t="s">
        <v>9140</v>
      </c>
      <c r="AE1721" s="14" t="s">
        <v>9140</v>
      </c>
      <c r="AF1721" s="14" t="s">
        <v>63</v>
      </c>
      <c r="AG1721" s="14" t="s">
        <v>54</v>
      </c>
      <c r="AH1721" s="15" t="s">
        <v>9220</v>
      </c>
      <c r="AI1721" s="15" t="s">
        <v>9191</v>
      </c>
      <c r="AJ1721" s="15" t="s">
        <v>9143</v>
      </c>
      <c r="AK1721" s="15" t="s">
        <v>9221</v>
      </c>
      <c r="AL1721" s="15" t="s">
        <v>9236</v>
      </c>
      <c r="AM1721" s="16" t="s">
        <v>9221</v>
      </c>
      <c r="AN1721" s="16" t="s">
        <v>9237</v>
      </c>
    </row>
    <row r="1722" spans="1:40" x14ac:dyDescent="0.25">
      <c r="A1722" s="4" t="s">
        <v>4637</v>
      </c>
      <c r="B1722" s="17"/>
      <c r="C1722" s="4" t="s">
        <v>39</v>
      </c>
      <c r="D1722" s="4" t="s">
        <v>4590</v>
      </c>
      <c r="E1722" s="4" t="s">
        <v>4591</v>
      </c>
      <c r="F1722" s="10">
        <v>45203</v>
      </c>
      <c r="G1722" s="18">
        <v>0.50763888888888886</v>
      </c>
      <c r="H1722" s="4" t="s">
        <v>4516</v>
      </c>
      <c r="I1722" s="4" t="s">
        <v>4586</v>
      </c>
      <c r="J1722" s="4" t="s">
        <v>2630</v>
      </c>
      <c r="K1722" s="4" t="s">
        <v>4638</v>
      </c>
      <c r="L1722" s="4" t="s">
        <v>4639</v>
      </c>
      <c r="M1722" s="4" t="s">
        <v>46</v>
      </c>
      <c r="N1722" s="4"/>
      <c r="O1722" s="4" t="s">
        <v>47</v>
      </c>
      <c r="P1722" s="4" t="s">
        <v>48</v>
      </c>
      <c r="Q1722" s="4">
        <v>0</v>
      </c>
      <c r="R1722" s="4" t="b">
        <v>0</v>
      </c>
      <c r="S1722" s="4" t="s">
        <v>114</v>
      </c>
      <c r="T1722" s="4" t="s">
        <v>89</v>
      </c>
      <c r="U1722" s="4" t="s">
        <v>584</v>
      </c>
      <c r="V1722" s="4" t="s">
        <v>63</v>
      </c>
      <c r="W1722" s="4" t="s">
        <v>784</v>
      </c>
      <c r="X1722" s="4" t="s">
        <v>1715</v>
      </c>
      <c r="Y1722" s="4"/>
      <c r="Z1722" s="12">
        <v>0</v>
      </c>
      <c r="AA1722" s="13" t="s">
        <v>9151</v>
      </c>
      <c r="AB1722" s="13" t="s">
        <v>9150</v>
      </c>
      <c r="AC1722" s="14" t="s">
        <v>9157</v>
      </c>
      <c r="AD1722" s="14" t="s">
        <v>9140</v>
      </c>
      <c r="AE1722" s="14" t="s">
        <v>9140</v>
      </c>
      <c r="AF1722" s="14" t="s">
        <v>63</v>
      </c>
      <c r="AG1722" s="14" t="s">
        <v>1715</v>
      </c>
      <c r="AH1722" s="15" t="s">
        <v>9220</v>
      </c>
      <c r="AI1722" s="15" t="s">
        <v>9188</v>
      </c>
      <c r="AJ1722" s="15" t="s">
        <v>9143</v>
      </c>
      <c r="AK1722" s="15" t="s">
        <v>9221</v>
      </c>
      <c r="AL1722" s="15" t="s">
        <v>9232</v>
      </c>
      <c r="AM1722" s="16" t="s">
        <v>9221</v>
      </c>
      <c r="AN1722" s="16" t="s">
        <v>9233</v>
      </c>
    </row>
    <row r="1723" spans="1:40" x14ac:dyDescent="0.25">
      <c r="A1723" s="4" t="s">
        <v>3256</v>
      </c>
      <c r="B1723" s="17"/>
      <c r="C1723" s="4" t="s">
        <v>39</v>
      </c>
      <c r="D1723" s="4" t="s">
        <v>3257</v>
      </c>
      <c r="E1723" s="4" t="s">
        <v>3258</v>
      </c>
      <c r="F1723" s="10">
        <v>45203</v>
      </c>
      <c r="G1723" s="18">
        <v>0.69791666666666663</v>
      </c>
      <c r="H1723" s="4" t="s">
        <v>2095</v>
      </c>
      <c r="I1723" s="4" t="s">
        <v>3242</v>
      </c>
      <c r="J1723" s="4" t="s">
        <v>3243</v>
      </c>
      <c r="K1723" s="4" t="s">
        <v>3259</v>
      </c>
      <c r="L1723" s="4" t="s">
        <v>3260</v>
      </c>
      <c r="M1723" s="4" t="s">
        <v>46</v>
      </c>
      <c r="N1723" s="4"/>
      <c r="O1723" s="4" t="s">
        <v>47</v>
      </c>
      <c r="P1723" s="4" t="s">
        <v>48</v>
      </c>
      <c r="Q1723" s="4">
        <v>0</v>
      </c>
      <c r="R1723" s="4" t="b">
        <v>0</v>
      </c>
      <c r="S1723" s="4" t="s">
        <v>49</v>
      </c>
      <c r="T1723" s="4" t="s">
        <v>1495</v>
      </c>
      <c r="U1723" s="4" t="s">
        <v>71</v>
      </c>
      <c r="V1723" s="4" t="s">
        <v>72</v>
      </c>
      <c r="W1723" s="4" t="s">
        <v>97</v>
      </c>
      <c r="X1723" s="4" t="s">
        <v>54</v>
      </c>
      <c r="Y1723" s="4"/>
      <c r="Z1723" s="12">
        <v>0</v>
      </c>
      <c r="AA1723" s="13" t="s">
        <v>9151</v>
      </c>
      <c r="AB1723" s="13" t="s">
        <v>9150</v>
      </c>
      <c r="AC1723" s="14" t="s">
        <v>9139</v>
      </c>
      <c r="AD1723" s="14" t="s">
        <v>9140</v>
      </c>
      <c r="AE1723" s="14" t="s">
        <v>9140</v>
      </c>
      <c r="AF1723" s="14" t="s">
        <v>72</v>
      </c>
      <c r="AG1723" s="14" t="s">
        <v>54</v>
      </c>
      <c r="AH1723" s="15" t="s">
        <v>9194</v>
      </c>
      <c r="AI1723" s="15" t="s">
        <v>9188</v>
      </c>
      <c r="AJ1723" s="15" t="s">
        <v>9143</v>
      </c>
      <c r="AK1723" s="15" t="s">
        <v>9194</v>
      </c>
      <c r="AL1723" s="15" t="s">
        <v>9203</v>
      </c>
      <c r="AM1723" s="16" t="s">
        <v>9194</v>
      </c>
      <c r="AN1723" s="16" t="s">
        <v>9204</v>
      </c>
    </row>
    <row r="1724" spans="1:40" x14ac:dyDescent="0.25">
      <c r="A1724" s="4" t="s">
        <v>651</v>
      </c>
      <c r="B1724" s="17"/>
      <c r="C1724" s="4" t="s">
        <v>39</v>
      </c>
      <c r="D1724" s="4" t="s">
        <v>652</v>
      </c>
      <c r="E1724" s="4" t="s">
        <v>653</v>
      </c>
      <c r="F1724" s="10">
        <v>45203</v>
      </c>
      <c r="G1724" s="18">
        <v>0.47013888888888888</v>
      </c>
      <c r="H1724" s="4" t="s">
        <v>463</v>
      </c>
      <c r="I1724" s="4">
        <v>2023</v>
      </c>
      <c r="J1724" s="4" t="s">
        <v>615</v>
      </c>
      <c r="K1724" s="4" t="s">
        <v>654</v>
      </c>
      <c r="L1724" s="4" t="s">
        <v>655</v>
      </c>
      <c r="M1724" s="4" t="s">
        <v>46</v>
      </c>
      <c r="N1724" s="4"/>
      <c r="O1724" s="4" t="s">
        <v>47</v>
      </c>
      <c r="P1724" s="4" t="s">
        <v>48</v>
      </c>
      <c r="Q1724" s="4">
        <v>0</v>
      </c>
      <c r="R1724" s="4" t="b">
        <v>0</v>
      </c>
      <c r="S1724" s="4" t="s">
        <v>61</v>
      </c>
      <c r="T1724" s="4" t="s">
        <v>89</v>
      </c>
      <c r="U1724" s="4" t="s">
        <v>175</v>
      </c>
      <c r="V1724" s="4" t="s">
        <v>52</v>
      </c>
      <c r="W1724" s="4" t="s">
        <v>53</v>
      </c>
      <c r="X1724" s="4" t="s">
        <v>98</v>
      </c>
      <c r="Y1724" s="4"/>
      <c r="Z1724" s="12">
        <v>0</v>
      </c>
      <c r="AA1724" s="13" t="s">
        <v>9151</v>
      </c>
      <c r="AB1724" s="13" t="s">
        <v>9150</v>
      </c>
      <c r="AC1724" s="14" t="s">
        <v>9148</v>
      </c>
      <c r="AD1724" s="14" t="s">
        <v>9140</v>
      </c>
      <c r="AE1724" s="14" t="s">
        <v>9140</v>
      </c>
      <c r="AF1724" s="14" t="s">
        <v>52</v>
      </c>
      <c r="AG1724" s="14" t="s">
        <v>98</v>
      </c>
      <c r="AH1724" s="15" t="s">
        <v>9141</v>
      </c>
      <c r="AI1724" s="15" t="s">
        <v>9175</v>
      </c>
      <c r="AJ1724" s="15" t="s">
        <v>9143</v>
      </c>
      <c r="AK1724" s="15" t="s">
        <v>9141</v>
      </c>
      <c r="AL1724" s="15" t="s">
        <v>9177</v>
      </c>
      <c r="AM1724" s="16" t="s">
        <v>9141</v>
      </c>
      <c r="AN1724" s="16" t="s">
        <v>9178</v>
      </c>
    </row>
    <row r="1725" spans="1:40" x14ac:dyDescent="0.25">
      <c r="A1725" s="4" t="s">
        <v>1265</v>
      </c>
      <c r="B1725" s="17"/>
      <c r="C1725" s="4" t="s">
        <v>39</v>
      </c>
      <c r="D1725" s="4" t="s">
        <v>1225</v>
      </c>
      <c r="E1725" s="4" t="s">
        <v>1226</v>
      </c>
      <c r="F1725" s="10">
        <v>45202</v>
      </c>
      <c r="G1725" s="18">
        <v>0.47916666666666669</v>
      </c>
      <c r="H1725" s="4" t="s">
        <v>1155</v>
      </c>
      <c r="I1725" s="4">
        <v>4043</v>
      </c>
      <c r="J1725" s="4" t="s">
        <v>1200</v>
      </c>
      <c r="K1725" s="4" t="s">
        <v>877</v>
      </c>
      <c r="L1725" s="4" t="s">
        <v>1266</v>
      </c>
      <c r="M1725" s="4" t="s">
        <v>46</v>
      </c>
      <c r="N1725" s="4"/>
      <c r="O1725" s="4" t="s">
        <v>47</v>
      </c>
      <c r="P1725" s="4" t="s">
        <v>48</v>
      </c>
      <c r="Q1725" s="4">
        <v>0</v>
      </c>
      <c r="R1725" s="4" t="b">
        <v>0</v>
      </c>
      <c r="S1725" s="4" t="s">
        <v>61</v>
      </c>
      <c r="T1725" s="4" t="s">
        <v>50</v>
      </c>
      <c r="U1725" s="4" t="s">
        <v>140</v>
      </c>
      <c r="V1725" s="4" t="s">
        <v>72</v>
      </c>
      <c r="W1725" s="4" t="s">
        <v>73</v>
      </c>
      <c r="X1725" s="4" t="s">
        <v>98</v>
      </c>
      <c r="Y1725" s="4"/>
      <c r="Z1725" s="12">
        <v>0</v>
      </c>
      <c r="AA1725" s="13" t="s">
        <v>9151</v>
      </c>
      <c r="AB1725" s="13" t="s">
        <v>9150</v>
      </c>
      <c r="AC1725" s="14" t="s">
        <v>9148</v>
      </c>
      <c r="AD1725" s="14" t="s">
        <v>9140</v>
      </c>
      <c r="AE1725" s="14" t="s">
        <v>9140</v>
      </c>
      <c r="AF1725" s="14" t="s">
        <v>72</v>
      </c>
      <c r="AG1725" s="14" t="s">
        <v>98</v>
      </c>
      <c r="AH1725" s="15" t="s">
        <v>9141</v>
      </c>
      <c r="AI1725" s="15" t="s">
        <v>9187</v>
      </c>
      <c r="AJ1725" s="15" t="s">
        <v>9143</v>
      </c>
      <c r="AK1725" s="15" t="s">
        <v>9141</v>
      </c>
      <c r="AL1725" s="15" t="s">
        <v>9144</v>
      </c>
      <c r="AM1725" s="16" t="s">
        <v>9141</v>
      </c>
      <c r="AN1725" s="16" t="s">
        <v>9145</v>
      </c>
    </row>
    <row r="1726" spans="1:40" x14ac:dyDescent="0.25">
      <c r="A1726" s="4" t="s">
        <v>1317</v>
      </c>
      <c r="B1726" s="17"/>
      <c r="C1726" s="4" t="s">
        <v>39</v>
      </c>
      <c r="D1726" s="4" t="s">
        <v>1318</v>
      </c>
      <c r="E1726" s="4" t="s">
        <v>1319</v>
      </c>
      <c r="F1726" s="10">
        <v>45202</v>
      </c>
      <c r="G1726" s="18">
        <v>0.51388888888888884</v>
      </c>
      <c r="H1726" s="4" t="s">
        <v>1155</v>
      </c>
      <c r="I1726" s="4">
        <v>4044</v>
      </c>
      <c r="J1726" s="4" t="s">
        <v>1285</v>
      </c>
      <c r="K1726" s="4" t="s">
        <v>1320</v>
      </c>
      <c r="L1726" s="4" t="s">
        <v>1321</v>
      </c>
      <c r="M1726" s="4" t="s">
        <v>46</v>
      </c>
      <c r="N1726" s="4"/>
      <c r="O1726" s="4" t="s">
        <v>47</v>
      </c>
      <c r="P1726" s="4" t="s">
        <v>48</v>
      </c>
      <c r="Q1726" s="4">
        <v>0</v>
      </c>
      <c r="R1726" s="4" t="b">
        <v>0</v>
      </c>
      <c r="S1726" s="4" t="s">
        <v>49</v>
      </c>
      <c r="T1726" s="4" t="s">
        <v>70</v>
      </c>
      <c r="U1726" s="4" t="s">
        <v>71</v>
      </c>
      <c r="V1726" s="4" t="s">
        <v>72</v>
      </c>
      <c r="W1726" s="4" t="s">
        <v>73</v>
      </c>
      <c r="X1726" s="4" t="s">
        <v>54</v>
      </c>
      <c r="Y1726" s="4"/>
      <c r="Z1726" s="12">
        <v>0</v>
      </c>
      <c r="AA1726" s="13" t="s">
        <v>9151</v>
      </c>
      <c r="AB1726" s="13" t="s">
        <v>9150</v>
      </c>
      <c r="AC1726" s="14" t="s">
        <v>9139</v>
      </c>
      <c r="AD1726" s="14" t="s">
        <v>9140</v>
      </c>
      <c r="AE1726" s="14" t="s">
        <v>9140</v>
      </c>
      <c r="AF1726" s="14" t="s">
        <v>72</v>
      </c>
      <c r="AG1726" s="14" t="s">
        <v>54</v>
      </c>
      <c r="AH1726" s="15" t="s">
        <v>9141</v>
      </c>
      <c r="AI1726" s="15" t="s">
        <v>9187</v>
      </c>
      <c r="AJ1726" s="15" t="s">
        <v>9143</v>
      </c>
      <c r="AK1726" s="15" t="s">
        <v>9141</v>
      </c>
      <c r="AL1726" s="15" t="s">
        <v>9144</v>
      </c>
      <c r="AM1726" s="16" t="s">
        <v>9141</v>
      </c>
      <c r="AN1726" s="16" t="s">
        <v>9145</v>
      </c>
    </row>
    <row r="1727" spans="1:40" x14ac:dyDescent="0.25">
      <c r="A1727" s="4" t="s">
        <v>1358</v>
      </c>
      <c r="B1727" s="17"/>
      <c r="C1727" s="4" t="s">
        <v>39</v>
      </c>
      <c r="D1727" s="4" t="s">
        <v>1359</v>
      </c>
      <c r="E1727" s="4" t="s">
        <v>1360</v>
      </c>
      <c r="F1727" s="10">
        <v>45200</v>
      </c>
      <c r="G1727" s="18">
        <v>0.52013888888888893</v>
      </c>
      <c r="H1727" s="4" t="s">
        <v>1155</v>
      </c>
      <c r="I1727" s="4">
        <v>4045</v>
      </c>
      <c r="J1727" s="4" t="s">
        <v>1329</v>
      </c>
      <c r="K1727" s="4" t="s">
        <v>1361</v>
      </c>
      <c r="L1727" s="4" t="s">
        <v>1362</v>
      </c>
      <c r="M1727" s="4" t="s">
        <v>46</v>
      </c>
      <c r="N1727" s="4"/>
      <c r="O1727" s="4" t="s">
        <v>47</v>
      </c>
      <c r="P1727" s="4" t="s">
        <v>48</v>
      </c>
      <c r="Q1727" s="4">
        <v>0</v>
      </c>
      <c r="R1727" s="4" t="b">
        <v>0</v>
      </c>
      <c r="S1727" s="4" t="s">
        <v>61</v>
      </c>
      <c r="T1727" s="4" t="s">
        <v>89</v>
      </c>
      <c r="U1727" s="4" t="s">
        <v>345</v>
      </c>
      <c r="V1727" s="4" t="s">
        <v>52</v>
      </c>
      <c r="W1727" s="4" t="s">
        <v>53</v>
      </c>
      <c r="X1727" s="4" t="s">
        <v>98</v>
      </c>
      <c r="Y1727" s="4"/>
      <c r="Z1727" s="12">
        <v>0</v>
      </c>
      <c r="AA1727" s="13" t="s">
        <v>9151</v>
      </c>
      <c r="AB1727" s="13" t="s">
        <v>9150</v>
      </c>
      <c r="AC1727" s="14" t="s">
        <v>9148</v>
      </c>
      <c r="AD1727" s="14" t="s">
        <v>9140</v>
      </c>
      <c r="AE1727" s="14" t="s">
        <v>9140</v>
      </c>
      <c r="AF1727" s="14" t="s">
        <v>52</v>
      </c>
      <c r="AG1727" s="14" t="s">
        <v>98</v>
      </c>
      <c r="AH1727" s="15" t="s">
        <v>9141</v>
      </c>
      <c r="AI1727" s="15" t="s">
        <v>9187</v>
      </c>
      <c r="AJ1727" s="15" t="s">
        <v>9143</v>
      </c>
      <c r="AK1727" s="15" t="s">
        <v>9141</v>
      </c>
      <c r="AL1727" s="15" t="s">
        <v>9144</v>
      </c>
      <c r="AM1727" s="16" t="s">
        <v>9141</v>
      </c>
      <c r="AN1727" s="16" t="s">
        <v>9145</v>
      </c>
    </row>
    <row r="1728" spans="1:40" x14ac:dyDescent="0.25">
      <c r="A1728" s="4" t="s">
        <v>6478</v>
      </c>
      <c r="B1728" s="17"/>
      <c r="C1728" s="4" t="s">
        <v>39</v>
      </c>
      <c r="D1728" s="4" t="s">
        <v>6479</v>
      </c>
      <c r="E1728" s="4" t="s">
        <v>6480</v>
      </c>
      <c r="F1728" s="10">
        <v>45199</v>
      </c>
      <c r="G1728" s="18">
        <v>0.58888888888888891</v>
      </c>
      <c r="H1728" s="4" t="s">
        <v>4659</v>
      </c>
      <c r="I1728" s="4" t="s">
        <v>6441</v>
      </c>
      <c r="J1728" s="4" t="s">
        <v>6442</v>
      </c>
      <c r="K1728" s="4" t="s">
        <v>6481</v>
      </c>
      <c r="L1728" s="4" t="s">
        <v>6482</v>
      </c>
      <c r="M1728" s="4" t="s">
        <v>46</v>
      </c>
      <c r="N1728" s="4"/>
      <c r="O1728" s="4" t="s">
        <v>174</v>
      </c>
      <c r="P1728" s="4" t="s">
        <v>48</v>
      </c>
      <c r="Q1728" s="4">
        <v>6</v>
      </c>
      <c r="R1728" s="4" t="b">
        <v>0</v>
      </c>
      <c r="S1728" s="4" t="s">
        <v>114</v>
      </c>
      <c r="T1728" s="4" t="s">
        <v>425</v>
      </c>
      <c r="U1728" s="4" t="s">
        <v>107</v>
      </c>
      <c r="V1728" s="4" t="s">
        <v>52</v>
      </c>
      <c r="W1728" s="4" t="s">
        <v>135</v>
      </c>
      <c r="X1728" s="4" t="s">
        <v>54</v>
      </c>
      <c r="Y1728" s="4"/>
      <c r="Z1728" s="12">
        <v>0</v>
      </c>
      <c r="AA1728" s="13" t="s">
        <v>9151</v>
      </c>
      <c r="AB1728" s="13" t="s">
        <v>9150</v>
      </c>
      <c r="AC1728" s="14" t="s">
        <v>9157</v>
      </c>
      <c r="AD1728" s="14" t="s">
        <v>9140</v>
      </c>
      <c r="AE1728" s="14" t="s">
        <v>9140</v>
      </c>
      <c r="AF1728" s="14" t="s">
        <v>52</v>
      </c>
      <c r="AG1728" s="14" t="s">
        <v>54</v>
      </c>
      <c r="AH1728" s="15" t="s">
        <v>9220</v>
      </c>
      <c r="AI1728" s="15" t="s">
        <v>9142</v>
      </c>
      <c r="AJ1728" s="15" t="s">
        <v>9143</v>
      </c>
      <c r="AK1728" s="15" t="s">
        <v>9221</v>
      </c>
      <c r="AL1728" s="15" t="s">
        <v>9228</v>
      </c>
      <c r="AM1728" s="16" t="s">
        <v>9221</v>
      </c>
      <c r="AN1728" s="16" t="s">
        <v>9229</v>
      </c>
    </row>
    <row r="1729" spans="1:40" x14ac:dyDescent="0.25">
      <c r="A1729" s="4" t="s">
        <v>7259</v>
      </c>
      <c r="B1729" s="17"/>
      <c r="C1729" s="4" t="s">
        <v>39</v>
      </c>
      <c r="D1729" s="4" t="s">
        <v>7240</v>
      </c>
      <c r="E1729" s="4" t="s">
        <v>7241</v>
      </c>
      <c r="F1729" s="10">
        <v>45198</v>
      </c>
      <c r="G1729" s="18">
        <v>0.66666666666666663</v>
      </c>
      <c r="H1729" s="4" t="s">
        <v>4659</v>
      </c>
      <c r="I1729" s="4" t="s">
        <v>7216</v>
      </c>
      <c r="J1729" s="4" t="s">
        <v>7217</v>
      </c>
      <c r="K1729" s="4" t="s">
        <v>2460</v>
      </c>
      <c r="L1729" s="4" t="s">
        <v>7260</v>
      </c>
      <c r="M1729" s="4" t="s">
        <v>46</v>
      </c>
      <c r="N1729" s="4"/>
      <c r="O1729" s="4" t="s">
        <v>174</v>
      </c>
      <c r="P1729" s="4" t="s">
        <v>48</v>
      </c>
      <c r="Q1729" s="4">
        <v>0</v>
      </c>
      <c r="R1729" s="4" t="b">
        <v>0</v>
      </c>
      <c r="S1729" s="4" t="s">
        <v>61</v>
      </c>
      <c r="T1729" s="4" t="s">
        <v>89</v>
      </c>
      <c r="U1729" s="4" t="s">
        <v>71</v>
      </c>
      <c r="V1729" s="4" t="s">
        <v>72</v>
      </c>
      <c r="W1729" s="4" t="s">
        <v>73</v>
      </c>
      <c r="X1729" s="4" t="s">
        <v>54</v>
      </c>
      <c r="Y1729" s="4"/>
      <c r="Z1729" s="12">
        <v>0</v>
      </c>
      <c r="AA1729" s="13" t="s">
        <v>9151</v>
      </c>
      <c r="AB1729" s="13" t="s">
        <v>9150</v>
      </c>
      <c r="AC1729" s="14" t="s">
        <v>9148</v>
      </c>
      <c r="AD1729" s="14" t="s">
        <v>9140</v>
      </c>
      <c r="AE1729" s="14" t="s">
        <v>9140</v>
      </c>
      <c r="AF1729" s="14" t="s">
        <v>72</v>
      </c>
      <c r="AG1729" s="14" t="s">
        <v>54</v>
      </c>
      <c r="AH1729" s="15" t="s">
        <v>9220</v>
      </c>
      <c r="AI1729" s="15" t="s">
        <v>9142</v>
      </c>
      <c r="AJ1729" s="15" t="s">
        <v>9143</v>
      </c>
      <c r="AK1729" s="15" t="s">
        <v>9221</v>
      </c>
      <c r="AL1729" s="15" t="s">
        <v>9228</v>
      </c>
      <c r="AM1729" s="16" t="s">
        <v>9221</v>
      </c>
      <c r="AN1729" s="16" t="s">
        <v>9229</v>
      </c>
    </row>
    <row r="1730" spans="1:40" x14ac:dyDescent="0.25">
      <c r="A1730" s="4" t="s">
        <v>4081</v>
      </c>
      <c r="B1730" s="17"/>
      <c r="C1730" s="4" t="s">
        <v>39</v>
      </c>
      <c r="D1730" s="4" t="s">
        <v>4077</v>
      </c>
      <c r="E1730" s="4" t="s">
        <v>4078</v>
      </c>
      <c r="F1730" s="10">
        <v>45198</v>
      </c>
      <c r="G1730" s="18">
        <v>0.54166666666666663</v>
      </c>
      <c r="H1730" s="4" t="s">
        <v>4019</v>
      </c>
      <c r="I1730" s="4" t="s">
        <v>4060</v>
      </c>
      <c r="J1730" s="4" t="s">
        <v>4061</v>
      </c>
      <c r="K1730" s="4" t="s">
        <v>4082</v>
      </c>
      <c r="L1730" s="4" t="s">
        <v>4083</v>
      </c>
      <c r="M1730" s="4" t="s">
        <v>46</v>
      </c>
      <c r="N1730" s="4"/>
      <c r="O1730" s="4" t="s">
        <v>47</v>
      </c>
      <c r="P1730" s="4" t="s">
        <v>48</v>
      </c>
      <c r="Q1730" s="4">
        <v>0</v>
      </c>
      <c r="R1730" s="4" t="b">
        <v>0</v>
      </c>
      <c r="S1730" s="4" t="s">
        <v>49</v>
      </c>
      <c r="T1730" s="4" t="s">
        <v>70</v>
      </c>
      <c r="U1730" s="4" t="s">
        <v>107</v>
      </c>
      <c r="V1730" s="4" t="s">
        <v>63</v>
      </c>
      <c r="W1730" s="4" t="s">
        <v>108</v>
      </c>
      <c r="X1730" s="4" t="s">
        <v>98</v>
      </c>
      <c r="Y1730" s="4"/>
      <c r="Z1730" s="12">
        <v>0</v>
      </c>
      <c r="AA1730" s="13" t="s">
        <v>9151</v>
      </c>
      <c r="AB1730" s="13" t="s">
        <v>9150</v>
      </c>
      <c r="AC1730" s="14" t="s">
        <v>9139</v>
      </c>
      <c r="AD1730" s="14" t="s">
        <v>9140</v>
      </c>
      <c r="AE1730" s="14" t="s">
        <v>9140</v>
      </c>
      <c r="AF1730" s="14" t="s">
        <v>63</v>
      </c>
      <c r="AG1730" s="14" t="s">
        <v>98</v>
      </c>
      <c r="AH1730" s="15" t="s">
        <v>9220</v>
      </c>
      <c r="AI1730" s="15" t="s">
        <v>9175</v>
      </c>
      <c r="AJ1730" s="15" t="s">
        <v>9143</v>
      </c>
      <c r="AK1730" s="15" t="s">
        <v>9221</v>
      </c>
      <c r="AL1730" s="15" t="s">
        <v>9222</v>
      </c>
      <c r="AM1730" s="16" t="s">
        <v>9221</v>
      </c>
      <c r="AN1730" s="16" t="s">
        <v>9223</v>
      </c>
    </row>
    <row r="1731" spans="1:40" x14ac:dyDescent="0.25">
      <c r="A1731" s="4" t="s">
        <v>6680</v>
      </c>
      <c r="B1731" s="17">
        <v>6170765</v>
      </c>
      <c r="C1731" s="4" t="s">
        <v>39</v>
      </c>
      <c r="D1731" s="4" t="s">
        <v>6681</v>
      </c>
      <c r="E1731" s="4" t="s">
        <v>6682</v>
      </c>
      <c r="F1731" s="10">
        <v>45198</v>
      </c>
      <c r="G1731" s="18">
        <v>0.62986111111111109</v>
      </c>
      <c r="H1731" s="4" t="s">
        <v>4516</v>
      </c>
      <c r="I1731" s="4" t="s">
        <v>6637</v>
      </c>
      <c r="J1731" s="4" t="s">
        <v>3564</v>
      </c>
      <c r="K1731" s="4" t="s">
        <v>6663</v>
      </c>
      <c r="L1731" s="4" t="s">
        <v>6683</v>
      </c>
      <c r="M1731" s="4" t="s">
        <v>28</v>
      </c>
      <c r="N1731" s="4" t="s">
        <v>183</v>
      </c>
      <c r="O1731" s="4" t="s">
        <v>191</v>
      </c>
      <c r="P1731" s="4" t="s">
        <v>60</v>
      </c>
      <c r="Q1731" s="4">
        <v>127</v>
      </c>
      <c r="R1731" s="4" t="b">
        <v>0</v>
      </c>
      <c r="S1731" s="4" t="s">
        <v>184</v>
      </c>
      <c r="T1731" s="4" t="s">
        <v>89</v>
      </c>
      <c r="U1731" s="4" t="s">
        <v>148</v>
      </c>
      <c r="V1731" s="4" t="s">
        <v>63</v>
      </c>
      <c r="W1731" s="4" t="s">
        <v>312</v>
      </c>
      <c r="X1731" s="4" t="s">
        <v>54</v>
      </c>
      <c r="Y1731" s="4"/>
      <c r="Z1731" s="12" t="s">
        <v>60</v>
      </c>
      <c r="AA1731" s="13" t="s">
        <v>9151</v>
      </c>
      <c r="AB1731" s="13" t="s">
        <v>9150</v>
      </c>
      <c r="AC1731" s="14" t="s">
        <v>9166</v>
      </c>
      <c r="AD1731" s="14" t="s">
        <v>28</v>
      </c>
      <c r="AE1731" s="14" t="s">
        <v>183</v>
      </c>
      <c r="AF1731" s="14" t="s">
        <v>63</v>
      </c>
      <c r="AG1731" s="14" t="s">
        <v>54</v>
      </c>
      <c r="AH1731" s="15" t="s">
        <v>9220</v>
      </c>
      <c r="AI1731" s="15" t="s">
        <v>9188</v>
      </c>
      <c r="AJ1731" s="15" t="s">
        <v>9143</v>
      </c>
      <c r="AK1731" s="15" t="s">
        <v>9221</v>
      </c>
      <c r="AL1731" s="15" t="s">
        <v>9236</v>
      </c>
      <c r="AM1731" s="16" t="s">
        <v>9221</v>
      </c>
      <c r="AN1731" s="16" t="s">
        <v>9237</v>
      </c>
    </row>
    <row r="1732" spans="1:40" x14ac:dyDescent="0.25">
      <c r="A1732" s="4" t="s">
        <v>7706</v>
      </c>
      <c r="B1732" s="17" t="s">
        <v>7707</v>
      </c>
      <c r="C1732" s="4" t="s">
        <v>39</v>
      </c>
      <c r="D1732" s="4" t="s">
        <v>7708</v>
      </c>
      <c r="E1732" s="4" t="s">
        <v>7709</v>
      </c>
      <c r="F1732" s="10">
        <v>45198</v>
      </c>
      <c r="G1732" s="18">
        <v>0.45833333333333331</v>
      </c>
      <c r="H1732" s="4" t="s">
        <v>4910</v>
      </c>
      <c r="I1732" s="4" t="s">
        <v>7681</v>
      </c>
      <c r="J1732" s="4" t="s">
        <v>2956</v>
      </c>
      <c r="K1732" s="4" t="s">
        <v>7710</v>
      </c>
      <c r="L1732" s="4" t="s">
        <v>7711</v>
      </c>
      <c r="M1732" s="4" t="s">
        <v>28</v>
      </c>
      <c r="N1732" s="4" t="s">
        <v>183</v>
      </c>
      <c r="O1732" s="4" t="s">
        <v>191</v>
      </c>
      <c r="P1732" s="4" t="s">
        <v>48</v>
      </c>
      <c r="Q1732" s="4">
        <v>28</v>
      </c>
      <c r="R1732" s="4" t="b">
        <v>0</v>
      </c>
      <c r="S1732" s="4" t="s">
        <v>184</v>
      </c>
      <c r="T1732" s="4" t="s">
        <v>479</v>
      </c>
      <c r="U1732" s="4" t="s">
        <v>148</v>
      </c>
      <c r="V1732" s="4" t="s">
        <v>52</v>
      </c>
      <c r="W1732" s="4" t="s">
        <v>255</v>
      </c>
      <c r="X1732" s="4" t="s">
        <v>54</v>
      </c>
      <c r="Y1732" s="4"/>
      <c r="Z1732" s="12" t="s">
        <v>48</v>
      </c>
      <c r="AA1732" s="13" t="s">
        <v>9151</v>
      </c>
      <c r="AB1732" s="13" t="s">
        <v>9150</v>
      </c>
      <c r="AC1732" s="14" t="s">
        <v>9166</v>
      </c>
      <c r="AD1732" s="14" t="s">
        <v>28</v>
      </c>
      <c r="AE1732" s="14" t="s">
        <v>183</v>
      </c>
      <c r="AF1732" s="14" t="s">
        <v>52</v>
      </c>
      <c r="AG1732" s="14" t="s">
        <v>54</v>
      </c>
      <c r="AH1732" s="15" t="s">
        <v>9220</v>
      </c>
      <c r="AI1732" s="15" t="s">
        <v>9191</v>
      </c>
      <c r="AJ1732" s="15" t="s">
        <v>9143</v>
      </c>
      <c r="AK1732" s="15" t="s">
        <v>9221</v>
      </c>
      <c r="AL1732" s="15" t="s">
        <v>9234</v>
      </c>
      <c r="AM1732" s="16" t="s">
        <v>9221</v>
      </c>
      <c r="AN1732" s="16" t="s">
        <v>9235</v>
      </c>
    </row>
    <row r="1733" spans="1:40" x14ac:dyDescent="0.25">
      <c r="A1733" s="4" t="s">
        <v>7712</v>
      </c>
      <c r="B1733" s="17"/>
      <c r="C1733" s="4" t="s">
        <v>39</v>
      </c>
      <c r="D1733" s="4" t="s">
        <v>7713</v>
      </c>
      <c r="E1733" s="4" t="s">
        <v>7714</v>
      </c>
      <c r="F1733" s="10">
        <v>45197</v>
      </c>
      <c r="G1733" s="18">
        <v>0.59375</v>
      </c>
      <c r="H1733" s="4" t="s">
        <v>4910</v>
      </c>
      <c r="I1733" s="4" t="s">
        <v>7681</v>
      </c>
      <c r="J1733" s="4" t="s">
        <v>2956</v>
      </c>
      <c r="K1733" s="4" t="s">
        <v>7710</v>
      </c>
      <c r="L1733" s="4" t="s">
        <v>7715</v>
      </c>
      <c r="M1733" s="4" t="s">
        <v>46</v>
      </c>
      <c r="N1733" s="4"/>
      <c r="O1733" s="4" t="s">
        <v>47</v>
      </c>
      <c r="P1733" s="4" t="s">
        <v>48</v>
      </c>
      <c r="Q1733" s="4">
        <v>0</v>
      </c>
      <c r="R1733" s="4" t="b">
        <v>0</v>
      </c>
      <c r="S1733" s="4" t="s">
        <v>114</v>
      </c>
      <c r="T1733" s="4" t="s">
        <v>134</v>
      </c>
      <c r="U1733" s="4" t="s">
        <v>148</v>
      </c>
      <c r="V1733" s="4" t="s">
        <v>52</v>
      </c>
      <c r="W1733" s="4" t="s">
        <v>255</v>
      </c>
      <c r="X1733" s="4" t="s">
        <v>54</v>
      </c>
      <c r="Y1733" s="4"/>
      <c r="Z1733" s="12">
        <v>0</v>
      </c>
      <c r="AA1733" s="13" t="s">
        <v>9151</v>
      </c>
      <c r="AB1733" s="13" t="s">
        <v>9150</v>
      </c>
      <c r="AC1733" s="14" t="s">
        <v>9157</v>
      </c>
      <c r="AD1733" s="14" t="s">
        <v>9140</v>
      </c>
      <c r="AE1733" s="14" t="s">
        <v>9140</v>
      </c>
      <c r="AF1733" s="14" t="s">
        <v>52</v>
      </c>
      <c r="AG1733" s="14" t="s">
        <v>54</v>
      </c>
      <c r="AH1733" s="15" t="s">
        <v>9220</v>
      </c>
      <c r="AI1733" s="15" t="s">
        <v>9191</v>
      </c>
      <c r="AJ1733" s="15" t="s">
        <v>9143</v>
      </c>
      <c r="AK1733" s="15" t="s">
        <v>9221</v>
      </c>
      <c r="AL1733" s="15" t="s">
        <v>9234</v>
      </c>
      <c r="AM1733" s="16" t="s">
        <v>9221</v>
      </c>
      <c r="AN1733" s="16" t="s">
        <v>9235</v>
      </c>
    </row>
    <row r="1734" spans="1:40" x14ac:dyDescent="0.25">
      <c r="A1734" s="4" t="s">
        <v>7525</v>
      </c>
      <c r="B1734" s="17"/>
      <c r="C1734" s="4" t="s">
        <v>39</v>
      </c>
      <c r="D1734" s="4" t="s">
        <v>7526</v>
      </c>
      <c r="E1734" s="4" t="s">
        <v>7527</v>
      </c>
      <c r="F1734" s="10">
        <v>45197</v>
      </c>
      <c r="G1734" s="18">
        <v>0.77083333333333337</v>
      </c>
      <c r="H1734" s="4" t="s">
        <v>4910</v>
      </c>
      <c r="I1734" s="4" t="s">
        <v>7457</v>
      </c>
      <c r="J1734" s="4" t="s">
        <v>2378</v>
      </c>
      <c r="K1734" s="4" t="s">
        <v>7528</v>
      </c>
      <c r="L1734" s="4" t="s">
        <v>7529</v>
      </c>
      <c r="M1734" s="4" t="s">
        <v>46</v>
      </c>
      <c r="N1734" s="4"/>
      <c r="O1734" s="4" t="s">
        <v>47</v>
      </c>
      <c r="P1734" s="4" t="s">
        <v>48</v>
      </c>
      <c r="Q1734" s="4">
        <v>0</v>
      </c>
      <c r="R1734" s="4" t="b">
        <v>0</v>
      </c>
      <c r="S1734" s="4" t="s">
        <v>49</v>
      </c>
      <c r="T1734" s="4" t="s">
        <v>70</v>
      </c>
      <c r="U1734" s="4" t="s">
        <v>80</v>
      </c>
      <c r="V1734" s="4" t="s">
        <v>63</v>
      </c>
      <c r="W1734" s="4" t="s">
        <v>198</v>
      </c>
      <c r="X1734" s="4" t="s">
        <v>98</v>
      </c>
      <c r="Y1734" s="4"/>
      <c r="Z1734" s="12">
        <v>0</v>
      </c>
      <c r="AA1734" s="13" t="s">
        <v>9151</v>
      </c>
      <c r="AB1734" s="13" t="s">
        <v>9150</v>
      </c>
      <c r="AC1734" s="14" t="s">
        <v>9139</v>
      </c>
      <c r="AD1734" s="14" t="s">
        <v>9140</v>
      </c>
      <c r="AE1734" s="14" t="s">
        <v>9140</v>
      </c>
      <c r="AF1734" s="14" t="s">
        <v>63</v>
      </c>
      <c r="AG1734" s="14" t="s">
        <v>98</v>
      </c>
      <c r="AH1734" s="15" t="s">
        <v>9220</v>
      </c>
      <c r="AI1734" s="15" t="s">
        <v>9191</v>
      </c>
      <c r="AJ1734" s="15" t="s">
        <v>9143</v>
      </c>
      <c r="AK1734" s="15" t="s">
        <v>9221</v>
      </c>
      <c r="AL1734" s="15" t="s">
        <v>9226</v>
      </c>
      <c r="AM1734" s="16" t="s">
        <v>9221</v>
      </c>
      <c r="AN1734" s="16" t="s">
        <v>9227</v>
      </c>
    </row>
    <row r="1735" spans="1:40" x14ac:dyDescent="0.25">
      <c r="A1735" s="4" t="s">
        <v>2481</v>
      </c>
      <c r="B1735" s="17"/>
      <c r="C1735" s="4" t="s">
        <v>39</v>
      </c>
      <c r="D1735" s="4" t="s">
        <v>2320</v>
      </c>
      <c r="E1735" s="4" t="s">
        <v>2321</v>
      </c>
      <c r="F1735" s="10">
        <v>45197</v>
      </c>
      <c r="G1735" s="18">
        <v>0.65555555555555556</v>
      </c>
      <c r="H1735" s="4" t="s">
        <v>1939</v>
      </c>
      <c r="I1735" s="4" t="s">
        <v>2393</v>
      </c>
      <c r="J1735" s="4" t="s">
        <v>2394</v>
      </c>
      <c r="K1735" s="4" t="s">
        <v>2482</v>
      </c>
      <c r="L1735" s="4" t="s">
        <v>2483</v>
      </c>
      <c r="M1735" s="4" t="s">
        <v>46</v>
      </c>
      <c r="N1735" s="4"/>
      <c r="O1735" s="4" t="s">
        <v>47</v>
      </c>
      <c r="P1735" s="4" t="s">
        <v>48</v>
      </c>
      <c r="Q1735" s="4">
        <v>0</v>
      </c>
      <c r="R1735" s="4" t="b">
        <v>0</v>
      </c>
      <c r="S1735" s="4" t="s">
        <v>49</v>
      </c>
      <c r="T1735" s="4" t="s">
        <v>89</v>
      </c>
      <c r="U1735" s="4" t="s">
        <v>618</v>
      </c>
      <c r="V1735" s="4" t="s">
        <v>63</v>
      </c>
      <c r="W1735" s="4" t="s">
        <v>312</v>
      </c>
      <c r="X1735" s="4" t="s">
        <v>54</v>
      </c>
      <c r="Y1735" s="4"/>
      <c r="Z1735" s="12">
        <v>0</v>
      </c>
      <c r="AA1735" s="13" t="s">
        <v>9151</v>
      </c>
      <c r="AB1735" s="13" t="s">
        <v>9150</v>
      </c>
      <c r="AC1735" s="14" t="s">
        <v>9139</v>
      </c>
      <c r="AD1735" s="14" t="s">
        <v>9140</v>
      </c>
      <c r="AE1735" s="14" t="s">
        <v>9140</v>
      </c>
      <c r="AF1735" s="14" t="s">
        <v>63</v>
      </c>
      <c r="AG1735" s="14" t="s">
        <v>54</v>
      </c>
      <c r="AH1735" s="15" t="s">
        <v>9194</v>
      </c>
      <c r="AI1735" s="15" t="s">
        <v>9175</v>
      </c>
      <c r="AJ1735" s="15" t="s">
        <v>9143</v>
      </c>
      <c r="AK1735" s="15" t="s">
        <v>9194</v>
      </c>
      <c r="AL1735" s="15" t="s">
        <v>9195</v>
      </c>
      <c r="AM1735" s="16" t="s">
        <v>9194</v>
      </c>
      <c r="AN1735" s="16" t="s">
        <v>9196</v>
      </c>
    </row>
    <row r="1736" spans="1:40" x14ac:dyDescent="0.25">
      <c r="A1736" s="4" t="s">
        <v>6234</v>
      </c>
      <c r="B1736" s="17"/>
      <c r="C1736" s="4" t="s">
        <v>39</v>
      </c>
      <c r="D1736" s="4" t="s">
        <v>6235</v>
      </c>
      <c r="E1736" s="4" t="s">
        <v>6236</v>
      </c>
      <c r="F1736" s="10">
        <v>45196</v>
      </c>
      <c r="G1736" s="18">
        <v>0.74652777777777779</v>
      </c>
      <c r="H1736" s="4" t="s">
        <v>5666</v>
      </c>
      <c r="I1736" s="4" t="s">
        <v>6217</v>
      </c>
      <c r="J1736" s="4" t="s">
        <v>3503</v>
      </c>
      <c r="K1736" s="4" t="s">
        <v>6237</v>
      </c>
      <c r="L1736" s="4" t="s">
        <v>6238</v>
      </c>
      <c r="M1736" s="4" t="s">
        <v>46</v>
      </c>
      <c r="N1736" s="4"/>
      <c r="O1736" s="4" t="s">
        <v>47</v>
      </c>
      <c r="P1736" s="4" t="s">
        <v>48</v>
      </c>
      <c r="Q1736" s="4">
        <v>0</v>
      </c>
      <c r="R1736" s="4" t="b">
        <v>0</v>
      </c>
      <c r="S1736" s="4" t="s">
        <v>61</v>
      </c>
      <c r="T1736" s="4" t="s">
        <v>479</v>
      </c>
      <c r="U1736" s="4" t="s">
        <v>148</v>
      </c>
      <c r="V1736" s="4" t="s">
        <v>52</v>
      </c>
      <c r="W1736" s="4" t="s">
        <v>53</v>
      </c>
      <c r="X1736" s="4" t="s">
        <v>54</v>
      </c>
      <c r="Y1736" s="4"/>
      <c r="Z1736" s="12">
        <v>0</v>
      </c>
      <c r="AA1736" s="13" t="s">
        <v>9151</v>
      </c>
      <c r="AB1736" s="13" t="s">
        <v>9150</v>
      </c>
      <c r="AC1736" s="14" t="s">
        <v>9148</v>
      </c>
      <c r="AD1736" s="14" t="s">
        <v>9140</v>
      </c>
      <c r="AE1736" s="14" t="s">
        <v>9140</v>
      </c>
      <c r="AF1736" s="14" t="s">
        <v>52</v>
      </c>
      <c r="AG1736" s="14" t="s">
        <v>54</v>
      </c>
      <c r="AH1736" s="15" t="s">
        <v>9220</v>
      </c>
      <c r="AI1736" s="15" t="s">
        <v>9199</v>
      </c>
      <c r="AJ1736" s="15" t="s">
        <v>9143</v>
      </c>
      <c r="AK1736" s="15" t="s">
        <v>9221</v>
      </c>
      <c r="AL1736" s="15" t="s">
        <v>9199</v>
      </c>
      <c r="AM1736" s="16" t="s">
        <v>9221</v>
      </c>
      <c r="AN1736" s="16" t="s">
        <v>9238</v>
      </c>
    </row>
    <row r="1737" spans="1:40" x14ac:dyDescent="0.25">
      <c r="A1737" s="4" t="s">
        <v>84</v>
      </c>
      <c r="B1737" s="17"/>
      <c r="C1737" s="4" t="s">
        <v>39</v>
      </c>
      <c r="D1737" s="4" t="s">
        <v>85</v>
      </c>
      <c r="E1737" s="4" t="s">
        <v>86</v>
      </c>
      <c r="F1737" s="10">
        <v>45196</v>
      </c>
      <c r="G1737" s="18">
        <v>0.3923611111111111</v>
      </c>
      <c r="H1737" s="4" t="s">
        <v>42</v>
      </c>
      <c r="I1737" s="4">
        <v>1005</v>
      </c>
      <c r="J1737" s="4" t="s">
        <v>43</v>
      </c>
      <c r="K1737" s="4" t="s">
        <v>87</v>
      </c>
      <c r="L1737" s="4" t="s">
        <v>88</v>
      </c>
      <c r="M1737" s="4" t="s">
        <v>46</v>
      </c>
      <c r="N1737" s="4"/>
      <c r="O1737" s="4" t="s">
        <v>47</v>
      </c>
      <c r="P1737" s="4" t="s">
        <v>48</v>
      </c>
      <c r="Q1737" s="4">
        <v>0</v>
      </c>
      <c r="R1737" s="4" t="b">
        <v>0</v>
      </c>
      <c r="S1737" s="4" t="s">
        <v>49</v>
      </c>
      <c r="T1737" s="4" t="s">
        <v>89</v>
      </c>
      <c r="U1737" s="4" t="s">
        <v>90</v>
      </c>
      <c r="V1737" s="4" t="s">
        <v>72</v>
      </c>
      <c r="W1737" s="4" t="s">
        <v>73</v>
      </c>
      <c r="X1737" s="4" t="s">
        <v>54</v>
      </c>
      <c r="Y1737" s="4"/>
      <c r="Z1737" s="12">
        <v>0</v>
      </c>
      <c r="AA1737" s="13" t="s">
        <v>9151</v>
      </c>
      <c r="AB1737" s="13" t="s">
        <v>9150</v>
      </c>
      <c r="AC1737" s="14" t="s">
        <v>9139</v>
      </c>
      <c r="AD1737" s="14" t="s">
        <v>9140</v>
      </c>
      <c r="AE1737" s="14" t="s">
        <v>9140</v>
      </c>
      <c r="AF1737" s="14" t="s">
        <v>72</v>
      </c>
      <c r="AG1737" s="14" t="s">
        <v>54</v>
      </c>
      <c r="AH1737" s="15" t="s">
        <v>9141</v>
      </c>
      <c r="AI1737" s="15" t="s">
        <v>9142</v>
      </c>
      <c r="AJ1737" s="15" t="s">
        <v>9143</v>
      </c>
      <c r="AK1737" s="15" t="s">
        <v>9141</v>
      </c>
      <c r="AL1737" s="15" t="s">
        <v>9144</v>
      </c>
      <c r="AM1737" s="16" t="s">
        <v>9141</v>
      </c>
      <c r="AN1737" s="16" t="s">
        <v>9145</v>
      </c>
    </row>
    <row r="1738" spans="1:40" x14ac:dyDescent="0.25">
      <c r="A1738" s="4" t="s">
        <v>5201</v>
      </c>
      <c r="B1738" s="17"/>
      <c r="C1738" s="4" t="s">
        <v>39</v>
      </c>
      <c r="D1738" s="4" t="s">
        <v>5202</v>
      </c>
      <c r="E1738" s="4" t="s">
        <v>5203</v>
      </c>
      <c r="F1738" s="10">
        <v>45196</v>
      </c>
      <c r="G1738" s="18">
        <v>0.44236111111111109</v>
      </c>
      <c r="H1738" s="4" t="s">
        <v>4910</v>
      </c>
      <c r="I1738" s="4" t="s">
        <v>5121</v>
      </c>
      <c r="J1738" s="4" t="s">
        <v>1994</v>
      </c>
      <c r="K1738" s="4" t="s">
        <v>5204</v>
      </c>
      <c r="L1738" s="4" t="s">
        <v>5205</v>
      </c>
      <c r="M1738" s="4" t="s">
        <v>46</v>
      </c>
      <c r="N1738" s="4"/>
      <c r="O1738" s="4" t="s">
        <v>47</v>
      </c>
      <c r="P1738" s="4" t="s">
        <v>48</v>
      </c>
      <c r="Q1738" s="4">
        <v>0</v>
      </c>
      <c r="R1738" s="4" t="b">
        <v>0</v>
      </c>
      <c r="S1738" s="4" t="s">
        <v>114</v>
      </c>
      <c r="T1738" s="4" t="s">
        <v>5206</v>
      </c>
      <c r="U1738" s="4" t="s">
        <v>71</v>
      </c>
      <c r="V1738" s="4" t="s">
        <v>672</v>
      </c>
      <c r="W1738" s="4" t="s">
        <v>673</v>
      </c>
      <c r="X1738" s="4" t="s">
        <v>3456</v>
      </c>
      <c r="Y1738" s="4"/>
      <c r="Z1738" s="12">
        <v>0</v>
      </c>
      <c r="AA1738" s="13" t="s">
        <v>9151</v>
      </c>
      <c r="AB1738" s="13" t="s">
        <v>9150</v>
      </c>
      <c r="AC1738" s="14" t="s">
        <v>9157</v>
      </c>
      <c r="AD1738" s="14" t="s">
        <v>9140</v>
      </c>
      <c r="AE1738" s="14" t="s">
        <v>9140</v>
      </c>
      <c r="AF1738" s="14" t="s">
        <v>672</v>
      </c>
      <c r="AG1738" s="14" t="s">
        <v>3456</v>
      </c>
      <c r="AH1738" s="15" t="s">
        <v>9220</v>
      </c>
      <c r="AI1738" s="15" t="s">
        <v>9191</v>
      </c>
      <c r="AJ1738" s="15" t="s">
        <v>9143</v>
      </c>
      <c r="AK1738" s="15" t="s">
        <v>9221</v>
      </c>
      <c r="AL1738" s="15" t="s">
        <v>9236</v>
      </c>
      <c r="AM1738" s="16" t="s">
        <v>9221</v>
      </c>
      <c r="AN1738" s="16" t="s">
        <v>9237</v>
      </c>
    </row>
    <row r="1739" spans="1:40" x14ac:dyDescent="0.25">
      <c r="A1739" s="4" t="s">
        <v>7866</v>
      </c>
      <c r="B1739" s="17"/>
      <c r="C1739" s="4" t="s">
        <v>39</v>
      </c>
      <c r="D1739" s="4" t="s">
        <v>7867</v>
      </c>
      <c r="E1739" s="4" t="s">
        <v>7868</v>
      </c>
      <c r="F1739" s="10">
        <v>45196</v>
      </c>
      <c r="G1739" s="18">
        <v>0.4826388888888889</v>
      </c>
      <c r="H1739" s="4" t="s">
        <v>4516</v>
      </c>
      <c r="I1739" s="4" t="s">
        <v>7852</v>
      </c>
      <c r="J1739" s="4" t="s">
        <v>1537</v>
      </c>
      <c r="K1739" s="4" t="s">
        <v>604</v>
      </c>
      <c r="L1739" s="4" t="s">
        <v>7869</v>
      </c>
      <c r="M1739" s="4" t="s">
        <v>46</v>
      </c>
      <c r="N1739" s="4"/>
      <c r="O1739" s="4" t="s">
        <v>47</v>
      </c>
      <c r="P1739" s="4" t="s">
        <v>48</v>
      </c>
      <c r="Q1739" s="4">
        <v>0</v>
      </c>
      <c r="R1739" s="4" t="b">
        <v>0</v>
      </c>
      <c r="S1739" s="4" t="s">
        <v>49</v>
      </c>
      <c r="T1739" s="4" t="s">
        <v>70</v>
      </c>
      <c r="U1739" s="4" t="s">
        <v>107</v>
      </c>
      <c r="V1739" s="4" t="s">
        <v>72</v>
      </c>
      <c r="W1739" s="4" t="s">
        <v>73</v>
      </c>
      <c r="X1739" s="4" t="s">
        <v>54</v>
      </c>
      <c r="Y1739" s="4"/>
      <c r="Z1739" s="12">
        <v>0</v>
      </c>
      <c r="AA1739" s="13" t="s">
        <v>9151</v>
      </c>
      <c r="AB1739" s="13" t="s">
        <v>9150</v>
      </c>
      <c r="AC1739" s="14" t="s">
        <v>9139</v>
      </c>
      <c r="AD1739" s="14" t="s">
        <v>9140</v>
      </c>
      <c r="AE1739" s="14" t="s">
        <v>9140</v>
      </c>
      <c r="AF1739" s="14" t="s">
        <v>72</v>
      </c>
      <c r="AG1739" s="14" t="s">
        <v>54</v>
      </c>
      <c r="AH1739" s="15" t="s">
        <v>9220</v>
      </c>
      <c r="AI1739" s="15" t="s">
        <v>9188</v>
      </c>
      <c r="AJ1739" s="15" t="s">
        <v>9143</v>
      </c>
      <c r="AK1739" s="15" t="s">
        <v>9221</v>
      </c>
      <c r="AL1739" s="15" t="s">
        <v>9230</v>
      </c>
      <c r="AM1739" s="16" t="s">
        <v>9221</v>
      </c>
      <c r="AN1739" s="16" t="s">
        <v>9231</v>
      </c>
    </row>
    <row r="1740" spans="1:40" x14ac:dyDescent="0.25">
      <c r="A1740" s="4" t="s">
        <v>6121</v>
      </c>
      <c r="B1740" s="17">
        <v>6144885</v>
      </c>
      <c r="C1740" s="4" t="s">
        <v>488</v>
      </c>
      <c r="D1740" s="4" t="s">
        <v>6122</v>
      </c>
      <c r="E1740" s="4" t="s">
        <v>6123</v>
      </c>
      <c r="F1740" s="10">
        <v>45195</v>
      </c>
      <c r="G1740" s="18">
        <v>0.43888888888888888</v>
      </c>
      <c r="H1740" s="4" t="s">
        <v>4516</v>
      </c>
      <c r="I1740" s="4" t="s">
        <v>6112</v>
      </c>
      <c r="J1740" s="4" t="s">
        <v>6113</v>
      </c>
      <c r="K1740" s="4" t="s">
        <v>5591</v>
      </c>
      <c r="L1740" s="4" t="s">
        <v>6124</v>
      </c>
      <c r="M1740" s="4" t="s">
        <v>28</v>
      </c>
      <c r="N1740" s="4" t="s">
        <v>183</v>
      </c>
      <c r="O1740" s="4" t="s">
        <v>344</v>
      </c>
      <c r="P1740" s="4" t="s">
        <v>48</v>
      </c>
      <c r="Q1740" s="4">
        <v>248</v>
      </c>
      <c r="R1740" s="4" t="b">
        <v>0</v>
      </c>
      <c r="S1740" s="4" t="s">
        <v>114</v>
      </c>
      <c r="T1740" s="4" t="s">
        <v>494</v>
      </c>
      <c r="U1740" s="4" t="s">
        <v>330</v>
      </c>
      <c r="V1740" s="4" t="s">
        <v>267</v>
      </c>
      <c r="W1740" s="4" t="s">
        <v>268</v>
      </c>
      <c r="X1740" s="4" t="s">
        <v>54</v>
      </c>
      <c r="Y1740" s="4"/>
      <c r="Z1740" s="12" t="s">
        <v>48</v>
      </c>
      <c r="AA1740" s="13" t="s">
        <v>9151</v>
      </c>
      <c r="AB1740" s="13" t="s">
        <v>9150</v>
      </c>
      <c r="AC1740" s="14" t="s">
        <v>9157</v>
      </c>
      <c r="AD1740" s="14" t="s">
        <v>28</v>
      </c>
      <c r="AE1740" s="14" t="s">
        <v>183</v>
      </c>
      <c r="AF1740" s="14" t="s">
        <v>267</v>
      </c>
      <c r="AG1740" s="14" t="s">
        <v>54</v>
      </c>
      <c r="AH1740" s="15" t="s">
        <v>9220</v>
      </c>
      <c r="AI1740" s="15" t="s">
        <v>9188</v>
      </c>
      <c r="AJ1740" s="15" t="s">
        <v>9143</v>
      </c>
      <c r="AK1740" s="15" t="s">
        <v>9221</v>
      </c>
      <c r="AL1740" s="15" t="s">
        <v>9236</v>
      </c>
      <c r="AM1740" s="16" t="s">
        <v>9221</v>
      </c>
      <c r="AN1740" s="16" t="s">
        <v>9237</v>
      </c>
    </row>
    <row r="1741" spans="1:40" x14ac:dyDescent="0.25">
      <c r="A1741" s="4" t="s">
        <v>8081</v>
      </c>
      <c r="B1741" s="17"/>
      <c r="C1741" s="4" t="s">
        <v>39</v>
      </c>
      <c r="D1741" s="4" t="s">
        <v>8082</v>
      </c>
      <c r="E1741" s="4" t="s">
        <v>8083</v>
      </c>
      <c r="F1741" s="10">
        <v>45195</v>
      </c>
      <c r="G1741" s="18">
        <v>0.44722222222222224</v>
      </c>
      <c r="H1741" s="4" t="s">
        <v>4910</v>
      </c>
      <c r="I1741" s="4" t="s">
        <v>8017</v>
      </c>
      <c r="J1741" s="4" t="s">
        <v>8018</v>
      </c>
      <c r="K1741" s="4" t="s">
        <v>8084</v>
      </c>
      <c r="L1741" s="4" t="s">
        <v>8085</v>
      </c>
      <c r="M1741" s="4" t="s">
        <v>46</v>
      </c>
      <c r="N1741" s="4"/>
      <c r="O1741" s="4" t="s">
        <v>47</v>
      </c>
      <c r="P1741" s="4" t="s">
        <v>48</v>
      </c>
      <c r="Q1741" s="4">
        <v>0</v>
      </c>
      <c r="R1741" s="4" t="b">
        <v>0</v>
      </c>
      <c r="S1741" s="4" t="s">
        <v>61</v>
      </c>
      <c r="T1741" s="4" t="s">
        <v>433</v>
      </c>
      <c r="U1741" s="4" t="s">
        <v>140</v>
      </c>
      <c r="V1741" s="4" t="s">
        <v>72</v>
      </c>
      <c r="W1741" s="4" t="s">
        <v>73</v>
      </c>
      <c r="X1741" s="4" t="s">
        <v>54</v>
      </c>
      <c r="Y1741" s="4"/>
      <c r="Z1741" s="12">
        <v>0</v>
      </c>
      <c r="AA1741" s="13" t="s">
        <v>9151</v>
      </c>
      <c r="AB1741" s="13" t="s">
        <v>9150</v>
      </c>
      <c r="AC1741" s="14" t="s">
        <v>9148</v>
      </c>
      <c r="AD1741" s="14" t="s">
        <v>9140</v>
      </c>
      <c r="AE1741" s="14" t="s">
        <v>9140</v>
      </c>
      <c r="AF1741" s="14" t="s">
        <v>72</v>
      </c>
      <c r="AG1741" s="14" t="s">
        <v>54</v>
      </c>
      <c r="AH1741" s="15" t="s">
        <v>9220</v>
      </c>
      <c r="AI1741" s="15" t="s">
        <v>9191</v>
      </c>
      <c r="AJ1741" s="15" t="s">
        <v>9143</v>
      </c>
      <c r="AK1741" s="15" t="s">
        <v>9221</v>
      </c>
      <c r="AL1741" s="15" t="s">
        <v>9234</v>
      </c>
      <c r="AM1741" s="16" t="s">
        <v>9221</v>
      </c>
      <c r="AN1741" s="16" t="s">
        <v>9235</v>
      </c>
    </row>
    <row r="1742" spans="1:40" x14ac:dyDescent="0.25">
      <c r="A1742" s="4" t="s">
        <v>8295</v>
      </c>
      <c r="B1742" s="17"/>
      <c r="C1742" s="4" t="s">
        <v>39</v>
      </c>
      <c r="D1742" s="4" t="s">
        <v>8296</v>
      </c>
      <c r="E1742" s="4" t="s">
        <v>8297</v>
      </c>
      <c r="F1742" s="10">
        <v>45195</v>
      </c>
      <c r="G1742" s="18">
        <v>0.60416666666666663</v>
      </c>
      <c r="H1742" s="4" t="s">
        <v>4019</v>
      </c>
      <c r="I1742" s="4" t="s">
        <v>8282</v>
      </c>
      <c r="J1742" s="4" t="s">
        <v>8283</v>
      </c>
      <c r="K1742" s="4" t="s">
        <v>8298</v>
      </c>
      <c r="L1742" s="4" t="s">
        <v>8299</v>
      </c>
      <c r="M1742" s="4" t="s">
        <v>46</v>
      </c>
      <c r="N1742" s="4"/>
      <c r="O1742" s="4" t="s">
        <v>47</v>
      </c>
      <c r="P1742" s="4" t="s">
        <v>48</v>
      </c>
      <c r="Q1742" s="4">
        <v>0</v>
      </c>
      <c r="R1742" s="4" t="b">
        <v>0</v>
      </c>
      <c r="S1742" s="4" t="s">
        <v>49</v>
      </c>
      <c r="T1742" s="4" t="s">
        <v>70</v>
      </c>
      <c r="U1742" s="4" t="s">
        <v>71</v>
      </c>
      <c r="V1742" s="4" t="s">
        <v>72</v>
      </c>
      <c r="W1742" s="4" t="s">
        <v>73</v>
      </c>
      <c r="X1742" s="4" t="s">
        <v>54</v>
      </c>
      <c r="Y1742" s="4"/>
      <c r="Z1742" s="12">
        <v>0</v>
      </c>
      <c r="AA1742" s="13" t="s">
        <v>9151</v>
      </c>
      <c r="AB1742" s="13" t="s">
        <v>9150</v>
      </c>
      <c r="AC1742" s="14" t="s">
        <v>9139</v>
      </c>
      <c r="AD1742" s="14" t="s">
        <v>9140</v>
      </c>
      <c r="AE1742" s="14" t="s">
        <v>9140</v>
      </c>
      <c r="AF1742" s="14" t="s">
        <v>72</v>
      </c>
      <c r="AG1742" s="14" t="s">
        <v>54</v>
      </c>
      <c r="AH1742" s="15" t="s">
        <v>9220</v>
      </c>
      <c r="AI1742" s="15" t="s">
        <v>9175</v>
      </c>
      <c r="AJ1742" s="15" t="s">
        <v>9143</v>
      </c>
      <c r="AK1742" s="15" t="s">
        <v>9221</v>
      </c>
      <c r="AL1742" s="15" t="s">
        <v>9224</v>
      </c>
      <c r="AM1742" s="16" t="s">
        <v>9221</v>
      </c>
      <c r="AN1742" s="16" t="s">
        <v>9225</v>
      </c>
    </row>
    <row r="1743" spans="1:40" x14ac:dyDescent="0.25">
      <c r="A1743" s="4" t="s">
        <v>932</v>
      </c>
      <c r="B1743" s="17"/>
      <c r="C1743" s="4" t="s">
        <v>39</v>
      </c>
      <c r="D1743" s="4" t="s">
        <v>933</v>
      </c>
      <c r="E1743" s="4" t="s">
        <v>934</v>
      </c>
      <c r="F1743" s="10">
        <v>45195</v>
      </c>
      <c r="G1743" s="18">
        <v>0.4375</v>
      </c>
      <c r="H1743" s="4" t="s">
        <v>463</v>
      </c>
      <c r="I1743" s="4">
        <v>2032</v>
      </c>
      <c r="J1743" s="4" t="s">
        <v>929</v>
      </c>
      <c r="K1743" s="4" t="s">
        <v>935</v>
      </c>
      <c r="L1743" s="4" t="s">
        <v>936</v>
      </c>
      <c r="M1743" s="4" t="s">
        <v>46</v>
      </c>
      <c r="N1743" s="4"/>
      <c r="O1743" s="4" t="s">
        <v>47</v>
      </c>
      <c r="P1743" s="4" t="s">
        <v>48</v>
      </c>
      <c r="Q1743" s="4">
        <v>0</v>
      </c>
      <c r="R1743" s="4" t="b">
        <v>0</v>
      </c>
      <c r="S1743" s="4" t="s">
        <v>61</v>
      </c>
      <c r="T1743" s="4" t="s">
        <v>89</v>
      </c>
      <c r="U1743" s="4" t="s">
        <v>90</v>
      </c>
      <c r="V1743" s="4" t="s">
        <v>63</v>
      </c>
      <c r="W1743" s="4" t="s">
        <v>198</v>
      </c>
      <c r="X1743" s="4" t="s">
        <v>98</v>
      </c>
      <c r="Y1743" s="4"/>
      <c r="Z1743" s="12">
        <v>0</v>
      </c>
      <c r="AA1743" s="13" t="s">
        <v>9151</v>
      </c>
      <c r="AB1743" s="13" t="s">
        <v>9150</v>
      </c>
      <c r="AC1743" s="14" t="s">
        <v>9148</v>
      </c>
      <c r="AD1743" s="14" t="s">
        <v>9140</v>
      </c>
      <c r="AE1743" s="14" t="s">
        <v>9140</v>
      </c>
      <c r="AF1743" s="14" t="s">
        <v>63</v>
      </c>
      <c r="AG1743" s="14" t="s">
        <v>98</v>
      </c>
      <c r="AH1743" s="15" t="s">
        <v>9141</v>
      </c>
      <c r="AI1743" s="15" t="s">
        <v>9175</v>
      </c>
      <c r="AJ1743" s="15" t="s">
        <v>9143</v>
      </c>
      <c r="AK1743" s="15" t="s">
        <v>9141</v>
      </c>
      <c r="AL1743" s="15" t="s">
        <v>9175</v>
      </c>
      <c r="AM1743" s="16" t="s">
        <v>9141</v>
      </c>
      <c r="AN1743" s="16" t="s">
        <v>9176</v>
      </c>
    </row>
    <row r="1744" spans="1:40" x14ac:dyDescent="0.25">
      <c r="A1744" s="4" t="s">
        <v>1572</v>
      </c>
      <c r="B1744" s="17"/>
      <c r="C1744" s="4" t="s">
        <v>39</v>
      </c>
      <c r="D1744" s="4" t="s">
        <v>1573</v>
      </c>
      <c r="E1744" s="4" t="s">
        <v>1574</v>
      </c>
      <c r="F1744" s="10">
        <v>45192</v>
      </c>
      <c r="G1744" s="18">
        <v>0.43958333333333333</v>
      </c>
      <c r="H1744" s="4" t="s">
        <v>1366</v>
      </c>
      <c r="I1744" s="4">
        <v>6068</v>
      </c>
      <c r="J1744" s="4" t="s">
        <v>1537</v>
      </c>
      <c r="K1744" s="4" t="s">
        <v>1575</v>
      </c>
      <c r="L1744" s="4" t="s">
        <v>1576</v>
      </c>
      <c r="M1744" s="4" t="s">
        <v>46</v>
      </c>
      <c r="N1744" s="4"/>
      <c r="O1744" s="4" t="s">
        <v>47</v>
      </c>
      <c r="P1744" s="4" t="s">
        <v>48</v>
      </c>
      <c r="Q1744" s="4">
        <v>0</v>
      </c>
      <c r="R1744" s="4" t="b">
        <v>0</v>
      </c>
      <c r="S1744" s="4" t="s">
        <v>49</v>
      </c>
      <c r="T1744" s="4" t="s">
        <v>1577</v>
      </c>
      <c r="U1744" s="4" t="s">
        <v>90</v>
      </c>
      <c r="V1744" s="4" t="s">
        <v>52</v>
      </c>
      <c r="W1744" s="4" t="s">
        <v>135</v>
      </c>
      <c r="X1744" s="4" t="s">
        <v>54</v>
      </c>
      <c r="Y1744" s="4"/>
      <c r="Z1744" s="12">
        <v>0</v>
      </c>
      <c r="AA1744" s="13" t="s">
        <v>9163</v>
      </c>
      <c r="AB1744" s="13" t="s">
        <v>9164</v>
      </c>
      <c r="AC1744" s="14" t="s">
        <v>9139</v>
      </c>
      <c r="AD1744" s="14" t="s">
        <v>9140</v>
      </c>
      <c r="AE1744" s="14" t="s">
        <v>9140</v>
      </c>
      <c r="AF1744" s="14" t="s">
        <v>52</v>
      </c>
      <c r="AG1744" s="14" t="s">
        <v>54</v>
      </c>
      <c r="AH1744" s="15" t="s">
        <v>9141</v>
      </c>
      <c r="AI1744" s="15" t="s">
        <v>9188</v>
      </c>
      <c r="AJ1744" s="15" t="s">
        <v>9143</v>
      </c>
      <c r="AK1744" s="15" t="s">
        <v>9141</v>
      </c>
      <c r="AL1744" s="15" t="s">
        <v>9189</v>
      </c>
      <c r="AM1744" s="16" t="s">
        <v>9141</v>
      </c>
      <c r="AN1744" s="16" t="s">
        <v>9190</v>
      </c>
    </row>
    <row r="1745" spans="1:40" x14ac:dyDescent="0.25">
      <c r="A1745" s="4" t="s">
        <v>365</v>
      </c>
      <c r="B1745" s="17"/>
      <c r="C1745" s="4" t="s">
        <v>39</v>
      </c>
      <c r="D1745" s="4" t="s">
        <v>278</v>
      </c>
      <c r="E1745" s="4" t="s">
        <v>279</v>
      </c>
      <c r="F1745" s="10">
        <v>45192</v>
      </c>
      <c r="G1745" s="18">
        <v>0.38541666666666669</v>
      </c>
      <c r="H1745" s="4" t="s">
        <v>42</v>
      </c>
      <c r="I1745" s="4">
        <v>1011</v>
      </c>
      <c r="J1745" s="4" t="s">
        <v>215</v>
      </c>
      <c r="K1745" s="4" t="s">
        <v>366</v>
      </c>
      <c r="L1745" s="4" t="s">
        <v>367</v>
      </c>
      <c r="M1745" s="4" t="s">
        <v>46</v>
      </c>
      <c r="N1745" s="4"/>
      <c r="O1745" s="4" t="s">
        <v>47</v>
      </c>
      <c r="P1745" s="4" t="s">
        <v>48</v>
      </c>
      <c r="Q1745" s="4">
        <v>0</v>
      </c>
      <c r="R1745" s="4" t="b">
        <v>0</v>
      </c>
      <c r="S1745" s="4" t="s">
        <v>61</v>
      </c>
      <c r="T1745" s="4" t="s">
        <v>89</v>
      </c>
      <c r="U1745" s="4" t="s">
        <v>148</v>
      </c>
      <c r="V1745" s="4" t="s">
        <v>52</v>
      </c>
      <c r="W1745" s="4" t="s">
        <v>53</v>
      </c>
      <c r="X1745" s="4" t="s">
        <v>54</v>
      </c>
      <c r="Y1745" s="4"/>
      <c r="Z1745" s="12">
        <v>0</v>
      </c>
      <c r="AA1745" s="13" t="s">
        <v>9163</v>
      </c>
      <c r="AB1745" s="13" t="s">
        <v>9164</v>
      </c>
      <c r="AC1745" s="14" t="s">
        <v>9148</v>
      </c>
      <c r="AD1745" s="14" t="s">
        <v>9140</v>
      </c>
      <c r="AE1745" s="14" t="s">
        <v>9140</v>
      </c>
      <c r="AF1745" s="14" t="s">
        <v>52</v>
      </c>
      <c r="AG1745" s="14" t="s">
        <v>54</v>
      </c>
      <c r="AH1745" s="15" t="s">
        <v>9141</v>
      </c>
      <c r="AI1745" s="15" t="s">
        <v>9142</v>
      </c>
      <c r="AJ1745" s="15" t="s">
        <v>9143</v>
      </c>
      <c r="AK1745" s="15" t="s">
        <v>9141</v>
      </c>
      <c r="AL1745" s="15" t="s">
        <v>9144</v>
      </c>
      <c r="AM1745" s="16" t="s">
        <v>9141</v>
      </c>
      <c r="AN1745" s="16" t="s">
        <v>9145</v>
      </c>
    </row>
    <row r="1746" spans="1:40" x14ac:dyDescent="0.25">
      <c r="A1746" s="4" t="s">
        <v>1485</v>
      </c>
      <c r="B1746" s="17"/>
      <c r="C1746" s="4" t="s">
        <v>39</v>
      </c>
      <c r="D1746" s="4" t="s">
        <v>1486</v>
      </c>
      <c r="E1746" s="4" t="s">
        <v>1487</v>
      </c>
      <c r="F1746" s="10">
        <v>45192</v>
      </c>
      <c r="G1746" s="18">
        <v>0.43055555555555558</v>
      </c>
      <c r="H1746" s="4" t="s">
        <v>1476</v>
      </c>
      <c r="I1746" s="4">
        <v>6059</v>
      </c>
      <c r="J1746" s="4" t="s">
        <v>1477</v>
      </c>
      <c r="K1746" s="4" t="s">
        <v>1488</v>
      </c>
      <c r="L1746" s="4" t="s">
        <v>1489</v>
      </c>
      <c r="M1746" s="4" t="s">
        <v>46</v>
      </c>
      <c r="N1746" s="4"/>
      <c r="O1746" s="4" t="s">
        <v>47</v>
      </c>
      <c r="P1746" s="4" t="s">
        <v>48</v>
      </c>
      <c r="Q1746" s="4">
        <v>0</v>
      </c>
      <c r="R1746" s="4" t="b">
        <v>0</v>
      </c>
      <c r="S1746" s="4" t="s">
        <v>61</v>
      </c>
      <c r="T1746" s="4" t="s">
        <v>70</v>
      </c>
      <c r="U1746" s="4" t="s">
        <v>71</v>
      </c>
      <c r="V1746" s="4" t="s">
        <v>72</v>
      </c>
      <c r="W1746" s="4" t="s">
        <v>73</v>
      </c>
      <c r="X1746" s="4" t="s">
        <v>54</v>
      </c>
      <c r="Y1746" s="4"/>
      <c r="Z1746" s="12">
        <v>0</v>
      </c>
      <c r="AA1746" s="13" t="s">
        <v>9163</v>
      </c>
      <c r="AB1746" s="13" t="s">
        <v>9164</v>
      </c>
      <c r="AC1746" s="14" t="s">
        <v>9148</v>
      </c>
      <c r="AD1746" s="14" t="s">
        <v>9140</v>
      </c>
      <c r="AE1746" s="14" t="s">
        <v>9140</v>
      </c>
      <c r="AF1746" s="14" t="s">
        <v>72</v>
      </c>
      <c r="AG1746" s="14" t="s">
        <v>54</v>
      </c>
      <c r="AH1746" s="15" t="s">
        <v>9141</v>
      </c>
      <c r="AI1746" s="15" t="s">
        <v>9193</v>
      </c>
      <c r="AJ1746" s="15" t="s">
        <v>9143</v>
      </c>
      <c r="AK1746" s="15" t="s">
        <v>9141</v>
      </c>
      <c r="AL1746" s="15" t="s">
        <v>9189</v>
      </c>
      <c r="AM1746" s="16" t="s">
        <v>9141</v>
      </c>
      <c r="AN1746" s="16" t="s">
        <v>9190</v>
      </c>
    </row>
    <row r="1747" spans="1:40" x14ac:dyDescent="0.25">
      <c r="A1747" s="4" t="s">
        <v>6399</v>
      </c>
      <c r="B1747" s="17" t="s">
        <v>6400</v>
      </c>
      <c r="C1747" s="4" t="s">
        <v>488</v>
      </c>
      <c r="D1747" s="4" t="s">
        <v>6401</v>
      </c>
      <c r="E1747" s="4" t="s">
        <v>6402</v>
      </c>
      <c r="F1747" s="10">
        <v>45191</v>
      </c>
      <c r="G1747" s="18">
        <v>0.5</v>
      </c>
      <c r="H1747" s="4" t="s">
        <v>4659</v>
      </c>
      <c r="I1747" s="4" t="s">
        <v>6379</v>
      </c>
      <c r="J1747" s="4" t="s">
        <v>6380</v>
      </c>
      <c r="K1747" s="4" t="s">
        <v>6403</v>
      </c>
      <c r="L1747" s="4" t="s">
        <v>6404</v>
      </c>
      <c r="M1747" s="4" t="s">
        <v>46</v>
      </c>
      <c r="N1747" s="4" t="s">
        <v>478</v>
      </c>
      <c r="O1747" s="4" t="s">
        <v>344</v>
      </c>
      <c r="P1747" s="4" t="s">
        <v>48</v>
      </c>
      <c r="Q1747" s="4">
        <v>15</v>
      </c>
      <c r="R1747" s="4" t="b">
        <v>0</v>
      </c>
      <c r="S1747" s="4" t="s">
        <v>61</v>
      </c>
      <c r="T1747" s="4" t="s">
        <v>713</v>
      </c>
      <c r="U1747" s="4" t="s">
        <v>90</v>
      </c>
      <c r="V1747" s="4" t="s">
        <v>267</v>
      </c>
      <c r="W1747" s="4" t="s">
        <v>2730</v>
      </c>
      <c r="X1747" s="4" t="s">
        <v>54</v>
      </c>
      <c r="Y1747" s="4"/>
      <c r="Z1747" s="12">
        <v>0</v>
      </c>
      <c r="AA1747" s="13" t="s">
        <v>9163</v>
      </c>
      <c r="AB1747" s="13" t="s">
        <v>9164</v>
      </c>
      <c r="AC1747" s="14" t="s">
        <v>9148</v>
      </c>
      <c r="AD1747" s="14" t="s">
        <v>9140</v>
      </c>
      <c r="AE1747" s="14" t="s">
        <v>9140</v>
      </c>
      <c r="AF1747" s="14" t="s">
        <v>267</v>
      </c>
      <c r="AG1747" s="14" t="s">
        <v>54</v>
      </c>
      <c r="AH1747" s="15" t="s">
        <v>9220</v>
      </c>
      <c r="AI1747" s="15" t="s">
        <v>9142</v>
      </c>
      <c r="AJ1747" s="15" t="s">
        <v>9143</v>
      </c>
      <c r="AK1747" s="15" t="s">
        <v>9221</v>
      </c>
      <c r="AL1747" s="15" t="s">
        <v>9228</v>
      </c>
      <c r="AM1747" s="16" t="s">
        <v>9221</v>
      </c>
      <c r="AN1747" s="16" t="s">
        <v>9229</v>
      </c>
    </row>
    <row r="1748" spans="1:40" x14ac:dyDescent="0.25">
      <c r="A1748" s="4" t="s">
        <v>7741</v>
      </c>
      <c r="B1748" s="17"/>
      <c r="C1748" s="4" t="s">
        <v>39</v>
      </c>
      <c r="D1748" s="4" t="s">
        <v>7742</v>
      </c>
      <c r="E1748" s="4" t="s">
        <v>7743</v>
      </c>
      <c r="F1748" s="10">
        <v>45190</v>
      </c>
      <c r="G1748" s="18">
        <v>0.70833333333333337</v>
      </c>
      <c r="H1748" s="4" t="s">
        <v>4659</v>
      </c>
      <c r="I1748" s="4" t="s">
        <v>7729</v>
      </c>
      <c r="J1748" s="4" t="s">
        <v>3592</v>
      </c>
      <c r="K1748" s="4" t="s">
        <v>447</v>
      </c>
      <c r="L1748" s="4" t="s">
        <v>7744</v>
      </c>
      <c r="M1748" s="4" t="s">
        <v>46</v>
      </c>
      <c r="N1748" s="4"/>
      <c r="O1748" s="4" t="s">
        <v>47</v>
      </c>
      <c r="P1748" s="4" t="s">
        <v>48</v>
      </c>
      <c r="Q1748" s="4">
        <v>0</v>
      </c>
      <c r="R1748" s="4" t="b">
        <v>0</v>
      </c>
      <c r="S1748" s="4" t="s">
        <v>114</v>
      </c>
      <c r="T1748" s="4" t="s">
        <v>89</v>
      </c>
      <c r="U1748" s="4" t="s">
        <v>90</v>
      </c>
      <c r="V1748" s="4" t="s">
        <v>63</v>
      </c>
      <c r="W1748" s="4" t="s">
        <v>108</v>
      </c>
      <c r="X1748" s="4" t="s">
        <v>98</v>
      </c>
      <c r="Y1748" s="4"/>
      <c r="Z1748" s="12">
        <v>0</v>
      </c>
      <c r="AA1748" s="13" t="s">
        <v>9163</v>
      </c>
      <c r="AB1748" s="13" t="s">
        <v>9164</v>
      </c>
      <c r="AC1748" s="14" t="s">
        <v>9157</v>
      </c>
      <c r="AD1748" s="14" t="s">
        <v>9140</v>
      </c>
      <c r="AE1748" s="14" t="s">
        <v>9140</v>
      </c>
      <c r="AF1748" s="14" t="s">
        <v>63</v>
      </c>
      <c r="AG1748" s="14" t="s">
        <v>98</v>
      </c>
      <c r="AH1748" s="15" t="s">
        <v>9220</v>
      </c>
      <c r="AI1748" s="15" t="s">
        <v>9142</v>
      </c>
      <c r="AJ1748" s="15" t="s">
        <v>9143</v>
      </c>
      <c r="AK1748" s="15" t="s">
        <v>9221</v>
      </c>
      <c r="AL1748" s="15" t="s">
        <v>9228</v>
      </c>
      <c r="AM1748" s="16" t="s">
        <v>9221</v>
      </c>
      <c r="AN1748" s="16" t="s">
        <v>9229</v>
      </c>
    </row>
    <row r="1749" spans="1:40" x14ac:dyDescent="0.25">
      <c r="A1749" s="4" t="s">
        <v>1377</v>
      </c>
      <c r="B1749" s="17"/>
      <c r="C1749" s="4" t="s">
        <v>39</v>
      </c>
      <c r="D1749" s="4" t="s">
        <v>1378</v>
      </c>
      <c r="E1749" s="4" t="s">
        <v>1379</v>
      </c>
      <c r="F1749" s="10">
        <v>45190</v>
      </c>
      <c r="G1749" s="18">
        <v>0.33333333333333331</v>
      </c>
      <c r="H1749" s="4" t="s">
        <v>1366</v>
      </c>
      <c r="I1749" s="4">
        <v>5053</v>
      </c>
      <c r="J1749" s="4" t="s">
        <v>1367</v>
      </c>
      <c r="K1749" s="4" t="s">
        <v>1380</v>
      </c>
      <c r="L1749" s="4" t="s">
        <v>1381</v>
      </c>
      <c r="M1749" s="4" t="s">
        <v>46</v>
      </c>
      <c r="N1749" s="4"/>
      <c r="O1749" s="4" t="s">
        <v>47</v>
      </c>
      <c r="P1749" s="4" t="s">
        <v>48</v>
      </c>
      <c r="Q1749" s="4">
        <v>0</v>
      </c>
      <c r="R1749" s="4" t="b">
        <v>0</v>
      </c>
      <c r="S1749" s="4" t="s">
        <v>49</v>
      </c>
      <c r="T1749" s="4" t="s">
        <v>89</v>
      </c>
      <c r="U1749" s="4" t="s">
        <v>165</v>
      </c>
      <c r="V1749" s="4" t="s">
        <v>63</v>
      </c>
      <c r="W1749" s="4" t="s">
        <v>108</v>
      </c>
      <c r="X1749" s="4" t="s">
        <v>98</v>
      </c>
      <c r="Y1749" s="4"/>
      <c r="Z1749" s="12">
        <v>0</v>
      </c>
      <c r="AA1749" s="13" t="s">
        <v>9163</v>
      </c>
      <c r="AB1749" s="13" t="s">
        <v>9164</v>
      </c>
      <c r="AC1749" s="14" t="s">
        <v>9139</v>
      </c>
      <c r="AD1749" s="14" t="s">
        <v>9140</v>
      </c>
      <c r="AE1749" s="14" t="s">
        <v>9140</v>
      </c>
      <c r="AF1749" s="14" t="s">
        <v>63</v>
      </c>
      <c r="AG1749" s="14" t="s">
        <v>98</v>
      </c>
      <c r="AH1749" s="15" t="s">
        <v>9141</v>
      </c>
      <c r="AI1749" s="15" t="s">
        <v>9188</v>
      </c>
      <c r="AJ1749" s="15" t="s">
        <v>9143</v>
      </c>
      <c r="AK1749" s="15" t="s">
        <v>9141</v>
      </c>
      <c r="AL1749" s="15" t="s">
        <v>9189</v>
      </c>
      <c r="AM1749" s="16" t="s">
        <v>9141</v>
      </c>
      <c r="AN1749" s="16" t="s">
        <v>9190</v>
      </c>
    </row>
    <row r="1750" spans="1:40" x14ac:dyDescent="0.25">
      <c r="A1750" s="4" t="s">
        <v>1928</v>
      </c>
      <c r="B1750" s="17"/>
      <c r="C1750" s="4" t="s">
        <v>39</v>
      </c>
      <c r="D1750" s="4" t="s">
        <v>1929</v>
      </c>
      <c r="E1750" s="4" t="s">
        <v>1930</v>
      </c>
      <c r="F1750" s="10">
        <v>45190</v>
      </c>
      <c r="G1750" s="18">
        <v>0.65972222222222221</v>
      </c>
      <c r="H1750" s="4" t="s">
        <v>1654</v>
      </c>
      <c r="I1750" s="4">
        <v>9098</v>
      </c>
      <c r="J1750" s="4" t="s">
        <v>1896</v>
      </c>
      <c r="K1750" s="4" t="s">
        <v>1931</v>
      </c>
      <c r="L1750" s="4" t="s">
        <v>1932</v>
      </c>
      <c r="M1750" s="4" t="s">
        <v>46</v>
      </c>
      <c r="N1750" s="4"/>
      <c r="O1750" s="4" t="s">
        <v>47</v>
      </c>
      <c r="P1750" s="4" t="s">
        <v>48</v>
      </c>
      <c r="Q1750" s="4">
        <v>0</v>
      </c>
      <c r="R1750" s="4" t="b">
        <v>0</v>
      </c>
      <c r="S1750" s="4" t="s">
        <v>61</v>
      </c>
      <c r="T1750" s="4" t="s">
        <v>89</v>
      </c>
      <c r="U1750" s="4" t="s">
        <v>51</v>
      </c>
      <c r="V1750" s="4" t="s">
        <v>123</v>
      </c>
      <c r="W1750" s="4" t="s">
        <v>124</v>
      </c>
      <c r="X1750" s="4" t="s">
        <v>54</v>
      </c>
      <c r="Y1750" s="4"/>
      <c r="Z1750" s="12">
        <v>0</v>
      </c>
      <c r="AA1750" s="13" t="s">
        <v>9163</v>
      </c>
      <c r="AB1750" s="13" t="s">
        <v>9164</v>
      </c>
      <c r="AC1750" s="14" t="s">
        <v>9148</v>
      </c>
      <c r="AD1750" s="14" t="s">
        <v>9140</v>
      </c>
      <c r="AE1750" s="14" t="s">
        <v>9140</v>
      </c>
      <c r="AF1750" s="14" t="s">
        <v>123</v>
      </c>
      <c r="AG1750" s="14" t="s">
        <v>54</v>
      </c>
      <c r="AH1750" s="15" t="s">
        <v>9141</v>
      </c>
      <c r="AI1750" s="15" t="s">
        <v>9191</v>
      </c>
      <c r="AJ1750" s="15" t="s">
        <v>9143</v>
      </c>
      <c r="AK1750" s="15" t="s">
        <v>9141</v>
      </c>
      <c r="AL1750" s="15" t="s">
        <v>9191</v>
      </c>
      <c r="AM1750" s="16" t="s">
        <v>9141</v>
      </c>
      <c r="AN1750" s="16" t="s">
        <v>9192</v>
      </c>
    </row>
    <row r="1751" spans="1:40" x14ac:dyDescent="0.25">
      <c r="A1751" s="4" t="s">
        <v>8343</v>
      </c>
      <c r="B1751" s="17"/>
      <c r="C1751" s="4" t="s">
        <v>39</v>
      </c>
      <c r="D1751" s="4" t="s">
        <v>8344</v>
      </c>
      <c r="E1751" s="4" t="s">
        <v>8345</v>
      </c>
      <c r="F1751" s="10">
        <v>45189</v>
      </c>
      <c r="G1751" s="18">
        <v>0.39583333333333331</v>
      </c>
      <c r="H1751" s="4" t="s">
        <v>4910</v>
      </c>
      <c r="I1751" s="4" t="s">
        <v>8320</v>
      </c>
      <c r="J1751" s="4" t="s">
        <v>8321</v>
      </c>
      <c r="K1751" s="4" t="s">
        <v>8346</v>
      </c>
      <c r="L1751" s="4" t="s">
        <v>8347</v>
      </c>
      <c r="M1751" s="4" t="s">
        <v>46</v>
      </c>
      <c r="N1751" s="4"/>
      <c r="O1751" s="4" t="s">
        <v>47</v>
      </c>
      <c r="P1751" s="4" t="s">
        <v>48</v>
      </c>
      <c r="Q1751" s="4">
        <v>0</v>
      </c>
      <c r="R1751" s="4" t="b">
        <v>0</v>
      </c>
      <c r="S1751" s="4" t="s">
        <v>61</v>
      </c>
      <c r="T1751" s="4" t="s">
        <v>479</v>
      </c>
      <c r="U1751" s="4" t="s">
        <v>148</v>
      </c>
      <c r="V1751" s="4" t="s">
        <v>123</v>
      </c>
      <c r="W1751" s="4" t="s">
        <v>192</v>
      </c>
      <c r="X1751" s="4" t="s">
        <v>54</v>
      </c>
      <c r="Y1751" s="4" t="s">
        <v>302</v>
      </c>
      <c r="Z1751" s="12">
        <v>0</v>
      </c>
      <c r="AA1751" s="13" t="s">
        <v>9163</v>
      </c>
      <c r="AB1751" s="13" t="s">
        <v>9164</v>
      </c>
      <c r="AC1751" s="14" t="s">
        <v>9148</v>
      </c>
      <c r="AD1751" s="14" t="s">
        <v>9140</v>
      </c>
      <c r="AE1751" s="14" t="s">
        <v>9140</v>
      </c>
      <c r="AF1751" s="14" t="s">
        <v>123</v>
      </c>
      <c r="AG1751" s="14" t="s">
        <v>54</v>
      </c>
      <c r="AH1751" s="15" t="s">
        <v>9220</v>
      </c>
      <c r="AI1751" s="15" t="s">
        <v>9191</v>
      </c>
      <c r="AJ1751" s="15" t="s">
        <v>9143</v>
      </c>
      <c r="AK1751" s="15" t="s">
        <v>9221</v>
      </c>
      <c r="AL1751" s="15" t="s">
        <v>9234</v>
      </c>
      <c r="AM1751" s="16" t="s">
        <v>9221</v>
      </c>
      <c r="AN1751" s="16" t="s">
        <v>9235</v>
      </c>
    </row>
    <row r="1752" spans="1:40" x14ac:dyDescent="0.25">
      <c r="A1752" s="4" t="s">
        <v>5404</v>
      </c>
      <c r="B1752" s="17"/>
      <c r="C1752" s="4" t="s">
        <v>39</v>
      </c>
      <c r="D1752" s="4" t="s">
        <v>5405</v>
      </c>
      <c r="E1752" s="4" t="s">
        <v>5406</v>
      </c>
      <c r="F1752" s="10">
        <v>45189</v>
      </c>
      <c r="G1752" s="18">
        <v>0.41666666666666669</v>
      </c>
      <c r="H1752" s="4" t="s">
        <v>4910</v>
      </c>
      <c r="I1752" s="4" t="s">
        <v>5360</v>
      </c>
      <c r="J1752" s="4" t="s">
        <v>2062</v>
      </c>
      <c r="K1752" s="4" t="s">
        <v>5407</v>
      </c>
      <c r="L1752" s="4" t="s">
        <v>5408</v>
      </c>
      <c r="M1752" s="4" t="s">
        <v>46</v>
      </c>
      <c r="N1752" s="4"/>
      <c r="O1752" s="4" t="s">
        <v>47</v>
      </c>
      <c r="P1752" s="4" t="s">
        <v>48</v>
      </c>
      <c r="Q1752" s="4">
        <v>0</v>
      </c>
      <c r="R1752" s="4" t="b">
        <v>0</v>
      </c>
      <c r="S1752" s="4" t="s">
        <v>49</v>
      </c>
      <c r="T1752" s="4" t="s">
        <v>50</v>
      </c>
      <c r="U1752" s="4" t="s">
        <v>618</v>
      </c>
      <c r="V1752" s="4" t="s">
        <v>52</v>
      </c>
      <c r="W1752" s="4" t="s">
        <v>53</v>
      </c>
      <c r="X1752" s="4" t="s">
        <v>54</v>
      </c>
      <c r="Y1752" s="4"/>
      <c r="Z1752" s="12">
        <v>0</v>
      </c>
      <c r="AA1752" s="13" t="s">
        <v>9163</v>
      </c>
      <c r="AB1752" s="13" t="s">
        <v>9164</v>
      </c>
      <c r="AC1752" s="14" t="s">
        <v>9139</v>
      </c>
      <c r="AD1752" s="14" t="s">
        <v>9140</v>
      </c>
      <c r="AE1752" s="14" t="s">
        <v>9140</v>
      </c>
      <c r="AF1752" s="14" t="s">
        <v>52</v>
      </c>
      <c r="AG1752" s="14" t="s">
        <v>54</v>
      </c>
      <c r="AH1752" s="15" t="s">
        <v>9220</v>
      </c>
      <c r="AI1752" s="15" t="s">
        <v>9191</v>
      </c>
      <c r="AJ1752" s="15" t="s">
        <v>9143</v>
      </c>
      <c r="AK1752" s="15" t="s">
        <v>9221</v>
      </c>
      <c r="AL1752" s="15" t="s">
        <v>9234</v>
      </c>
      <c r="AM1752" s="16" t="s">
        <v>9221</v>
      </c>
      <c r="AN1752" s="16" t="s">
        <v>9235</v>
      </c>
    </row>
    <row r="1753" spans="1:40" x14ac:dyDescent="0.25">
      <c r="A1753" s="4" t="s">
        <v>7010</v>
      </c>
      <c r="B1753" s="17"/>
      <c r="C1753" s="4" t="s">
        <v>39</v>
      </c>
      <c r="D1753" s="4" t="s">
        <v>7011</v>
      </c>
      <c r="E1753" s="4" t="s">
        <v>7012</v>
      </c>
      <c r="F1753" s="10">
        <v>45189</v>
      </c>
      <c r="G1753" s="18">
        <v>0.625</v>
      </c>
      <c r="H1753" s="4" t="s">
        <v>4516</v>
      </c>
      <c r="I1753" s="4" t="s">
        <v>6985</v>
      </c>
      <c r="J1753" s="4" t="s">
        <v>3890</v>
      </c>
      <c r="K1753" s="4" t="s">
        <v>7013</v>
      </c>
      <c r="L1753" s="4" t="s">
        <v>7014</v>
      </c>
      <c r="M1753" s="4" t="s">
        <v>46</v>
      </c>
      <c r="N1753" s="4"/>
      <c r="O1753" s="4" t="s">
        <v>47</v>
      </c>
      <c r="P1753" s="4" t="s">
        <v>48</v>
      </c>
      <c r="Q1753" s="4">
        <v>0</v>
      </c>
      <c r="R1753" s="4" t="b">
        <v>0</v>
      </c>
      <c r="S1753" s="4" t="s">
        <v>61</v>
      </c>
      <c r="T1753" s="4" t="s">
        <v>479</v>
      </c>
      <c r="U1753" s="4" t="s">
        <v>148</v>
      </c>
      <c r="V1753" s="4" t="s">
        <v>52</v>
      </c>
      <c r="W1753" s="4" t="s">
        <v>53</v>
      </c>
      <c r="X1753" s="4" t="s">
        <v>54</v>
      </c>
      <c r="Y1753" s="4" t="s">
        <v>176</v>
      </c>
      <c r="Z1753" s="12">
        <v>0</v>
      </c>
      <c r="AA1753" s="13" t="s">
        <v>9163</v>
      </c>
      <c r="AB1753" s="13" t="s">
        <v>9164</v>
      </c>
      <c r="AC1753" s="14" t="s">
        <v>9148</v>
      </c>
      <c r="AD1753" s="14" t="s">
        <v>9140</v>
      </c>
      <c r="AE1753" s="14" t="s">
        <v>9140</v>
      </c>
      <c r="AF1753" s="14" t="s">
        <v>52</v>
      </c>
      <c r="AG1753" s="14" t="s">
        <v>54</v>
      </c>
      <c r="AH1753" s="15" t="s">
        <v>9220</v>
      </c>
      <c r="AI1753" s="15" t="s">
        <v>9188</v>
      </c>
      <c r="AJ1753" s="15" t="s">
        <v>9143</v>
      </c>
      <c r="AK1753" s="15" t="s">
        <v>9221</v>
      </c>
      <c r="AL1753" s="15" t="s">
        <v>9230</v>
      </c>
      <c r="AM1753" s="16" t="s">
        <v>9221</v>
      </c>
      <c r="AN1753" s="16" t="s">
        <v>9231</v>
      </c>
    </row>
    <row r="1754" spans="1:40" x14ac:dyDescent="0.25">
      <c r="A1754" s="4" t="s">
        <v>5863</v>
      </c>
      <c r="B1754" s="17" t="s">
        <v>5864</v>
      </c>
      <c r="C1754" s="4" t="s">
        <v>488</v>
      </c>
      <c r="D1754" s="4" t="s">
        <v>5865</v>
      </c>
      <c r="E1754" s="4" t="s">
        <v>5866</v>
      </c>
      <c r="F1754" s="10">
        <v>45188</v>
      </c>
      <c r="G1754" s="18">
        <v>0.56527777777777777</v>
      </c>
      <c r="H1754" s="4" t="s">
        <v>5838</v>
      </c>
      <c r="I1754" s="4" t="s">
        <v>5839</v>
      </c>
      <c r="J1754" s="4" t="s">
        <v>3121</v>
      </c>
      <c r="K1754" s="4" t="s">
        <v>504</v>
      </c>
      <c r="L1754" s="4" t="s">
        <v>5867</v>
      </c>
      <c r="M1754" s="4" t="s">
        <v>28</v>
      </c>
      <c r="N1754" s="4" t="s">
        <v>183</v>
      </c>
      <c r="O1754" s="4" t="s">
        <v>863</v>
      </c>
      <c r="P1754" s="4" t="s">
        <v>48</v>
      </c>
      <c r="Q1754" s="4">
        <v>104</v>
      </c>
      <c r="R1754" s="4" t="b">
        <v>0</v>
      </c>
      <c r="S1754" s="4" t="s">
        <v>184</v>
      </c>
      <c r="T1754" s="4" t="s">
        <v>713</v>
      </c>
      <c r="U1754" s="4" t="s">
        <v>2432</v>
      </c>
      <c r="V1754" s="4" t="s">
        <v>267</v>
      </c>
      <c r="W1754" s="4" t="s">
        <v>268</v>
      </c>
      <c r="X1754" s="4" t="s">
        <v>54</v>
      </c>
      <c r="Y1754" s="4"/>
      <c r="Z1754" s="12" t="s">
        <v>48</v>
      </c>
      <c r="AA1754" s="13" t="s">
        <v>9163</v>
      </c>
      <c r="AB1754" s="13" t="s">
        <v>9164</v>
      </c>
      <c r="AC1754" s="14" t="s">
        <v>9166</v>
      </c>
      <c r="AD1754" s="14" t="s">
        <v>28</v>
      </c>
      <c r="AE1754" s="14" t="s">
        <v>183</v>
      </c>
      <c r="AF1754" s="14" t="s">
        <v>267</v>
      </c>
      <c r="AG1754" s="14" t="s">
        <v>54</v>
      </c>
      <c r="AH1754" s="15" t="s">
        <v>9220</v>
      </c>
      <c r="AI1754" s="15" t="s">
        <v>9213</v>
      </c>
      <c r="AJ1754" s="15" t="s">
        <v>9143</v>
      </c>
      <c r="AK1754" s="15" t="s">
        <v>9221</v>
      </c>
      <c r="AL1754" s="15" t="s">
        <v>9228</v>
      </c>
      <c r="AM1754" s="16" t="s">
        <v>9221</v>
      </c>
      <c r="AN1754" s="16" t="s">
        <v>9229</v>
      </c>
    </row>
    <row r="1755" spans="1:40" x14ac:dyDescent="0.25">
      <c r="A1755" t="s">
        <v>9102</v>
      </c>
      <c r="C1755" t="s">
        <v>39</v>
      </c>
      <c r="D1755" t="s">
        <v>9103</v>
      </c>
      <c r="E1755" t="s">
        <v>9104</v>
      </c>
      <c r="F1755" s="2">
        <v>45188</v>
      </c>
      <c r="G1755" s="3">
        <v>0.56319444444444444</v>
      </c>
      <c r="H1755" t="s">
        <v>4019</v>
      </c>
      <c r="I1755" s="4" t="s">
        <v>8971</v>
      </c>
      <c r="J1755" t="s">
        <v>8972</v>
      </c>
      <c r="K1755" t="s">
        <v>9105</v>
      </c>
      <c r="L1755" t="s">
        <v>9106</v>
      </c>
      <c r="M1755" t="s">
        <v>46</v>
      </c>
      <c r="O1755" t="s">
        <v>47</v>
      </c>
      <c r="P1755" t="s">
        <v>48</v>
      </c>
      <c r="Q1755">
        <v>0</v>
      </c>
      <c r="R1755" t="b">
        <v>0</v>
      </c>
      <c r="S1755" t="s">
        <v>61</v>
      </c>
      <c r="T1755" t="s">
        <v>70</v>
      </c>
      <c r="U1755" t="s">
        <v>71</v>
      </c>
      <c r="V1755" t="s">
        <v>72</v>
      </c>
      <c r="W1755" t="s">
        <v>73</v>
      </c>
      <c r="X1755" t="s">
        <v>98</v>
      </c>
      <c r="Z1755" s="12">
        <v>0</v>
      </c>
      <c r="AA1755" s="13" t="s">
        <v>9163</v>
      </c>
      <c r="AB1755" s="13" t="s">
        <v>9164</v>
      </c>
      <c r="AC1755" s="14" t="s">
        <v>9148</v>
      </c>
      <c r="AD1755" s="14" t="s">
        <v>9140</v>
      </c>
      <c r="AE1755" s="14" t="s">
        <v>9140</v>
      </c>
      <c r="AF1755" s="14" t="s">
        <v>72</v>
      </c>
      <c r="AG1755" s="14" t="s">
        <v>98</v>
      </c>
      <c r="AH1755" s="15" t="s">
        <v>9220</v>
      </c>
      <c r="AI1755" s="15" t="s">
        <v>9175</v>
      </c>
      <c r="AJ1755" s="15" t="s">
        <v>9181</v>
      </c>
      <c r="AK1755" s="15" t="s">
        <v>9182</v>
      </c>
      <c r="AL1755" s="15" t="s">
        <v>9182</v>
      </c>
      <c r="AM1755" s="16" t="s">
        <v>9182</v>
      </c>
      <c r="AN1755" s="16" t="s">
        <v>9182</v>
      </c>
    </row>
    <row r="1756" spans="1:40" x14ac:dyDescent="0.25">
      <c r="A1756" t="s">
        <v>368</v>
      </c>
      <c r="B1756" s="1" t="s">
        <v>369</v>
      </c>
      <c r="C1756" t="s">
        <v>39</v>
      </c>
      <c r="D1756" t="s">
        <v>340</v>
      </c>
      <c r="E1756" t="s">
        <v>341</v>
      </c>
      <c r="F1756" s="2">
        <v>45188</v>
      </c>
      <c r="G1756" s="3">
        <v>0.45833333333333331</v>
      </c>
      <c r="H1756" t="s">
        <v>42</v>
      </c>
      <c r="I1756" s="4">
        <v>1011</v>
      </c>
      <c r="J1756" t="s">
        <v>215</v>
      </c>
      <c r="K1756" t="s">
        <v>370</v>
      </c>
      <c r="L1756" t="s">
        <v>371</v>
      </c>
      <c r="M1756" t="s">
        <v>28</v>
      </c>
      <c r="N1756" t="s">
        <v>372</v>
      </c>
      <c r="O1756" t="s">
        <v>344</v>
      </c>
      <c r="P1756" t="s">
        <v>48</v>
      </c>
      <c r="Q1756">
        <v>195</v>
      </c>
      <c r="R1756" t="b">
        <v>0</v>
      </c>
      <c r="S1756" t="s">
        <v>184</v>
      </c>
      <c r="T1756" t="s">
        <v>89</v>
      </c>
      <c r="U1756" t="s">
        <v>373</v>
      </c>
      <c r="V1756" t="s">
        <v>52</v>
      </c>
      <c r="W1756" t="s">
        <v>374</v>
      </c>
      <c r="X1756" t="s">
        <v>54</v>
      </c>
      <c r="Z1756" s="12" t="s">
        <v>48</v>
      </c>
      <c r="AA1756" s="13" t="s">
        <v>9163</v>
      </c>
      <c r="AB1756" s="13" t="s">
        <v>9164</v>
      </c>
      <c r="AC1756" s="14" t="s">
        <v>9166</v>
      </c>
      <c r="AD1756" s="14" t="s">
        <v>28</v>
      </c>
      <c r="AE1756" s="14" t="s">
        <v>372</v>
      </c>
      <c r="AF1756" s="14" t="s">
        <v>52</v>
      </c>
      <c r="AG1756" s="14" t="s">
        <v>54</v>
      </c>
      <c r="AH1756" s="15" t="s">
        <v>9141</v>
      </c>
      <c r="AI1756" s="15" t="s">
        <v>9142</v>
      </c>
      <c r="AJ1756" s="15" t="s">
        <v>9143</v>
      </c>
      <c r="AK1756" s="15" t="s">
        <v>9141</v>
      </c>
      <c r="AL1756" s="15" t="s">
        <v>9144</v>
      </c>
      <c r="AM1756" s="16" t="s">
        <v>9141</v>
      </c>
      <c r="AN1756" s="16" t="s">
        <v>9145</v>
      </c>
    </row>
    <row r="1757" spans="1:40" x14ac:dyDescent="0.25">
      <c r="A1757" t="s">
        <v>2262</v>
      </c>
      <c r="C1757" t="s">
        <v>39</v>
      </c>
      <c r="D1757" t="s">
        <v>2225</v>
      </c>
      <c r="E1757" t="s">
        <v>2226</v>
      </c>
      <c r="F1757" s="2">
        <v>45188</v>
      </c>
      <c r="G1757" s="3">
        <v>0.52222222222222225</v>
      </c>
      <c r="H1757" t="s">
        <v>2227</v>
      </c>
      <c r="I1757" s="4" t="s">
        <v>2228</v>
      </c>
      <c r="J1757" t="s">
        <v>1173</v>
      </c>
      <c r="K1757" t="s">
        <v>2263</v>
      </c>
      <c r="L1757" t="s">
        <v>2264</v>
      </c>
      <c r="M1757" t="s">
        <v>46</v>
      </c>
      <c r="O1757" t="s">
        <v>47</v>
      </c>
      <c r="P1757" t="s">
        <v>48</v>
      </c>
      <c r="Q1757">
        <v>0</v>
      </c>
      <c r="R1757" t="b">
        <v>0</v>
      </c>
      <c r="S1757" t="s">
        <v>61</v>
      </c>
      <c r="T1757" t="s">
        <v>89</v>
      </c>
      <c r="U1757" t="s">
        <v>71</v>
      </c>
      <c r="V1757" t="s">
        <v>63</v>
      </c>
      <c r="W1757" t="s">
        <v>108</v>
      </c>
      <c r="X1757" t="s">
        <v>98</v>
      </c>
      <c r="Y1757" t="s">
        <v>176</v>
      </c>
      <c r="Z1757" s="12">
        <v>0</v>
      </c>
      <c r="AA1757" s="13" t="s">
        <v>9163</v>
      </c>
      <c r="AB1757" s="13" t="s">
        <v>9164</v>
      </c>
      <c r="AC1757" s="14" t="s">
        <v>9148</v>
      </c>
      <c r="AD1757" s="14" t="s">
        <v>9140</v>
      </c>
      <c r="AE1757" s="14" t="s">
        <v>9140</v>
      </c>
      <c r="AF1757" s="14" t="s">
        <v>63</v>
      </c>
      <c r="AG1757" s="14" t="s">
        <v>98</v>
      </c>
      <c r="AH1757" s="15" t="s">
        <v>9194</v>
      </c>
      <c r="AI1757" s="15" t="s">
        <v>9187</v>
      </c>
      <c r="AJ1757" s="15" t="s">
        <v>9143</v>
      </c>
      <c r="AK1757" s="15" t="s">
        <v>9194</v>
      </c>
      <c r="AL1757" s="15" t="s">
        <v>9209</v>
      </c>
      <c r="AM1757" s="16" t="s">
        <v>9194</v>
      </c>
      <c r="AN1757" s="16" t="s">
        <v>9210</v>
      </c>
    </row>
    <row r="1758" spans="1:40" x14ac:dyDescent="0.25">
      <c r="A1758" t="s">
        <v>6205</v>
      </c>
      <c r="C1758" t="s">
        <v>39</v>
      </c>
      <c r="D1758" t="s">
        <v>6182</v>
      </c>
      <c r="E1758" t="s">
        <v>6183</v>
      </c>
      <c r="F1758" s="2">
        <v>45188</v>
      </c>
      <c r="G1758" s="3">
        <v>0.39861111111111114</v>
      </c>
      <c r="H1758" t="s">
        <v>5666</v>
      </c>
      <c r="I1758" s="4" t="s">
        <v>6136</v>
      </c>
      <c r="J1758" t="s">
        <v>2598</v>
      </c>
      <c r="K1758" t="s">
        <v>447</v>
      </c>
      <c r="L1758" t="s">
        <v>6206</v>
      </c>
      <c r="M1758" t="s">
        <v>46</v>
      </c>
      <c r="O1758" t="s">
        <v>47</v>
      </c>
      <c r="P1758" t="s">
        <v>48</v>
      </c>
      <c r="Q1758">
        <v>0</v>
      </c>
      <c r="R1758" t="b">
        <v>0</v>
      </c>
      <c r="S1758" t="s">
        <v>61</v>
      </c>
      <c r="T1758" t="s">
        <v>1495</v>
      </c>
      <c r="U1758" t="s">
        <v>90</v>
      </c>
      <c r="V1758" t="s">
        <v>63</v>
      </c>
      <c r="W1758" t="s">
        <v>108</v>
      </c>
      <c r="X1758" t="s">
        <v>54</v>
      </c>
      <c r="Z1758" s="12">
        <v>0</v>
      </c>
      <c r="AA1758" s="13" t="s">
        <v>9163</v>
      </c>
      <c r="AB1758" s="13" t="s">
        <v>9164</v>
      </c>
      <c r="AC1758" s="14" t="s">
        <v>9148</v>
      </c>
      <c r="AD1758" s="14" t="s">
        <v>9140</v>
      </c>
      <c r="AE1758" s="14" t="s">
        <v>9140</v>
      </c>
      <c r="AF1758" s="14" t="s">
        <v>63</v>
      </c>
      <c r="AG1758" s="14" t="s">
        <v>54</v>
      </c>
      <c r="AH1758" s="15" t="s">
        <v>9220</v>
      </c>
      <c r="AI1758" s="15" t="s">
        <v>9199</v>
      </c>
      <c r="AJ1758" s="15" t="s">
        <v>9143</v>
      </c>
      <c r="AK1758" s="15" t="s">
        <v>9221</v>
      </c>
      <c r="AL1758" s="15" t="s">
        <v>9199</v>
      </c>
      <c r="AM1758" s="16" t="s">
        <v>9221</v>
      </c>
      <c r="AN1758" s="16" t="s">
        <v>9238</v>
      </c>
    </row>
    <row r="1759" spans="1:40" x14ac:dyDescent="0.25">
      <c r="A1759" t="s">
        <v>375</v>
      </c>
      <c r="C1759" t="s">
        <v>39</v>
      </c>
      <c r="D1759" t="s">
        <v>278</v>
      </c>
      <c r="E1759" t="s">
        <v>279</v>
      </c>
      <c r="F1759" s="2">
        <v>45187</v>
      </c>
      <c r="G1759" s="3">
        <v>0.38194444444444442</v>
      </c>
      <c r="H1759" t="s">
        <v>42</v>
      </c>
      <c r="I1759" s="4">
        <v>1011</v>
      </c>
      <c r="J1759" t="s">
        <v>215</v>
      </c>
      <c r="K1759" t="s">
        <v>376</v>
      </c>
      <c r="L1759" t="s">
        <v>377</v>
      </c>
      <c r="M1759" t="s">
        <v>46</v>
      </c>
      <c r="O1759" t="s">
        <v>47</v>
      </c>
      <c r="P1759" t="s">
        <v>48</v>
      </c>
      <c r="Q1759">
        <v>0</v>
      </c>
      <c r="R1759" t="b">
        <v>0</v>
      </c>
      <c r="S1759" t="s">
        <v>61</v>
      </c>
      <c r="T1759" t="s">
        <v>89</v>
      </c>
      <c r="U1759" t="s">
        <v>51</v>
      </c>
      <c r="V1759" t="s">
        <v>63</v>
      </c>
      <c r="W1759" t="s">
        <v>198</v>
      </c>
      <c r="X1759" t="s">
        <v>98</v>
      </c>
      <c r="Y1759" t="s">
        <v>323</v>
      </c>
      <c r="Z1759" s="12">
        <v>0</v>
      </c>
      <c r="AA1759" s="13" t="s">
        <v>9163</v>
      </c>
      <c r="AB1759" s="13" t="s">
        <v>9164</v>
      </c>
      <c r="AC1759" s="14" t="s">
        <v>9148</v>
      </c>
      <c r="AD1759" s="14" t="s">
        <v>9140</v>
      </c>
      <c r="AE1759" s="14" t="s">
        <v>9140</v>
      </c>
      <c r="AF1759" s="14" t="s">
        <v>63</v>
      </c>
      <c r="AG1759" s="14" t="s">
        <v>98</v>
      </c>
      <c r="AH1759" s="15" t="s">
        <v>9141</v>
      </c>
      <c r="AI1759" s="15" t="s">
        <v>9142</v>
      </c>
      <c r="AJ1759" s="15" t="s">
        <v>9143</v>
      </c>
      <c r="AK1759" s="15" t="s">
        <v>9141</v>
      </c>
      <c r="AL1759" s="15" t="s">
        <v>9144</v>
      </c>
      <c r="AM1759" s="16" t="s">
        <v>9141</v>
      </c>
      <c r="AN1759" s="16" t="s">
        <v>9145</v>
      </c>
    </row>
    <row r="1760" spans="1:40" x14ac:dyDescent="0.25">
      <c r="A1760" t="s">
        <v>1933</v>
      </c>
      <c r="C1760" t="s">
        <v>39</v>
      </c>
      <c r="D1760" t="s">
        <v>1911</v>
      </c>
      <c r="E1760" t="s">
        <v>1934</v>
      </c>
      <c r="F1760" s="2">
        <v>45187</v>
      </c>
      <c r="G1760" s="3">
        <v>0.5625</v>
      </c>
      <c r="H1760" t="s">
        <v>1654</v>
      </c>
      <c r="I1760" s="4">
        <v>9098</v>
      </c>
      <c r="J1760" t="s">
        <v>1896</v>
      </c>
      <c r="K1760" t="s">
        <v>1913</v>
      </c>
      <c r="L1760" t="s">
        <v>1935</v>
      </c>
      <c r="M1760" t="s">
        <v>46</v>
      </c>
      <c r="O1760" t="s">
        <v>47</v>
      </c>
      <c r="P1760" t="s">
        <v>48</v>
      </c>
      <c r="Q1760">
        <v>0</v>
      </c>
      <c r="R1760" t="b">
        <v>0</v>
      </c>
      <c r="S1760" t="s">
        <v>61</v>
      </c>
      <c r="T1760" t="s">
        <v>89</v>
      </c>
      <c r="U1760" t="s">
        <v>148</v>
      </c>
      <c r="V1760" t="s">
        <v>52</v>
      </c>
      <c r="W1760" t="s">
        <v>53</v>
      </c>
      <c r="X1760" t="s">
        <v>54</v>
      </c>
      <c r="Z1760" s="12">
        <v>0</v>
      </c>
      <c r="AA1760" s="13" t="s">
        <v>9163</v>
      </c>
      <c r="AB1760" s="13" t="s">
        <v>9164</v>
      </c>
      <c r="AC1760" s="14" t="s">
        <v>9148</v>
      </c>
      <c r="AD1760" s="14" t="s">
        <v>9140</v>
      </c>
      <c r="AE1760" s="14" t="s">
        <v>9140</v>
      </c>
      <c r="AF1760" s="14" t="s">
        <v>52</v>
      </c>
      <c r="AG1760" s="14" t="s">
        <v>54</v>
      </c>
      <c r="AH1760" s="15" t="s">
        <v>9141</v>
      </c>
      <c r="AI1760" s="15" t="s">
        <v>9191</v>
      </c>
      <c r="AJ1760" s="15" t="s">
        <v>9143</v>
      </c>
      <c r="AK1760" s="15" t="s">
        <v>9141</v>
      </c>
      <c r="AL1760" s="15" t="s">
        <v>9191</v>
      </c>
      <c r="AM1760" s="16" t="s">
        <v>9141</v>
      </c>
      <c r="AN1760" s="16" t="s">
        <v>9192</v>
      </c>
    </row>
    <row r="1761" spans="1:40" x14ac:dyDescent="0.25">
      <c r="A1761" t="s">
        <v>6967</v>
      </c>
      <c r="C1761" t="s">
        <v>39</v>
      </c>
      <c r="D1761" t="s">
        <v>6916</v>
      </c>
      <c r="E1761" t="s">
        <v>6917</v>
      </c>
      <c r="F1761" s="2">
        <v>45187</v>
      </c>
      <c r="G1761" s="3">
        <v>0.44791666666666669</v>
      </c>
      <c r="H1761" t="s">
        <v>4019</v>
      </c>
      <c r="I1761" s="4" t="s">
        <v>6911</v>
      </c>
      <c r="J1761" t="s">
        <v>6912</v>
      </c>
      <c r="K1761" t="s">
        <v>6968</v>
      </c>
      <c r="L1761" t="s">
        <v>6969</v>
      </c>
      <c r="M1761" t="s">
        <v>46</v>
      </c>
      <c r="O1761" t="s">
        <v>47</v>
      </c>
      <c r="P1761" t="s">
        <v>48</v>
      </c>
      <c r="Q1761">
        <v>0</v>
      </c>
      <c r="R1761" t="b">
        <v>0</v>
      </c>
      <c r="S1761" t="s">
        <v>61</v>
      </c>
      <c r="T1761" t="s">
        <v>50</v>
      </c>
      <c r="U1761" t="s">
        <v>71</v>
      </c>
      <c r="V1761" t="s">
        <v>123</v>
      </c>
      <c r="W1761" t="s">
        <v>192</v>
      </c>
      <c r="X1761" t="s">
        <v>54</v>
      </c>
      <c r="Z1761" s="12">
        <v>0</v>
      </c>
      <c r="AA1761" s="13" t="s">
        <v>9163</v>
      </c>
      <c r="AB1761" s="13" t="s">
        <v>9164</v>
      </c>
      <c r="AC1761" s="14" t="s">
        <v>9148</v>
      </c>
      <c r="AD1761" s="14" t="s">
        <v>9140</v>
      </c>
      <c r="AE1761" s="14" t="s">
        <v>9140</v>
      </c>
      <c r="AF1761" s="14" t="s">
        <v>123</v>
      </c>
      <c r="AG1761" s="14" t="s">
        <v>54</v>
      </c>
      <c r="AH1761" s="15" t="s">
        <v>9220</v>
      </c>
      <c r="AI1761" s="15" t="s">
        <v>9175</v>
      </c>
      <c r="AJ1761" s="15" t="s">
        <v>9143</v>
      </c>
      <c r="AK1761" s="15" t="s">
        <v>9221</v>
      </c>
      <c r="AL1761" s="15" t="s">
        <v>9224</v>
      </c>
      <c r="AM1761" s="16" t="s">
        <v>9221</v>
      </c>
      <c r="AN1761" s="16" t="s">
        <v>9225</v>
      </c>
    </row>
    <row r="1762" spans="1:40" x14ac:dyDescent="0.25">
      <c r="A1762" t="s">
        <v>7421</v>
      </c>
      <c r="C1762" t="s">
        <v>39</v>
      </c>
      <c r="D1762" t="s">
        <v>7384</v>
      </c>
      <c r="E1762" t="s">
        <v>7385</v>
      </c>
      <c r="F1762" s="2">
        <v>45187</v>
      </c>
      <c r="G1762" s="3">
        <v>0.72222222222222221</v>
      </c>
      <c r="H1762" t="s">
        <v>4019</v>
      </c>
      <c r="I1762" s="4" t="s">
        <v>7315</v>
      </c>
      <c r="J1762" t="s">
        <v>1037</v>
      </c>
      <c r="K1762" t="s">
        <v>7422</v>
      </c>
      <c r="L1762" t="s">
        <v>7423</v>
      </c>
      <c r="M1762" t="s">
        <v>46</v>
      </c>
      <c r="O1762" t="s">
        <v>47</v>
      </c>
      <c r="P1762" t="s">
        <v>48</v>
      </c>
      <c r="Q1762">
        <v>0</v>
      </c>
      <c r="R1762" t="b">
        <v>0</v>
      </c>
      <c r="S1762" t="s">
        <v>61</v>
      </c>
      <c r="T1762" t="s">
        <v>89</v>
      </c>
      <c r="U1762" t="s">
        <v>175</v>
      </c>
      <c r="V1762" t="s">
        <v>52</v>
      </c>
      <c r="W1762" t="s">
        <v>135</v>
      </c>
      <c r="X1762" t="s">
        <v>54</v>
      </c>
      <c r="Z1762" s="12">
        <v>0</v>
      </c>
      <c r="AA1762" s="13" t="s">
        <v>9163</v>
      </c>
      <c r="AB1762" s="13" t="s">
        <v>9164</v>
      </c>
      <c r="AC1762" s="14" t="s">
        <v>9148</v>
      </c>
      <c r="AD1762" s="14" t="s">
        <v>9140</v>
      </c>
      <c r="AE1762" s="14" t="s">
        <v>9140</v>
      </c>
      <c r="AF1762" s="14" t="s">
        <v>52</v>
      </c>
      <c r="AG1762" s="14" t="s">
        <v>54</v>
      </c>
      <c r="AH1762" s="15" t="s">
        <v>9220</v>
      </c>
      <c r="AI1762" s="15" t="s">
        <v>9175</v>
      </c>
      <c r="AJ1762" s="15" t="s">
        <v>9143</v>
      </c>
      <c r="AK1762" s="15" t="s">
        <v>9221</v>
      </c>
      <c r="AL1762" s="15" t="s">
        <v>9222</v>
      </c>
      <c r="AM1762" s="16" t="s">
        <v>9221</v>
      </c>
      <c r="AN1762" s="16" t="s">
        <v>9223</v>
      </c>
    </row>
    <row r="1763" spans="1:40" x14ac:dyDescent="0.25">
      <c r="A1763" t="s">
        <v>4182</v>
      </c>
      <c r="C1763" t="s">
        <v>39</v>
      </c>
      <c r="D1763" t="s">
        <v>4178</v>
      </c>
      <c r="E1763" t="s">
        <v>4179</v>
      </c>
      <c r="F1763" s="2">
        <v>45187</v>
      </c>
      <c r="G1763" s="3">
        <v>0.48055555555555557</v>
      </c>
      <c r="H1763" t="s">
        <v>4019</v>
      </c>
      <c r="I1763" s="4" t="s">
        <v>4149</v>
      </c>
      <c r="J1763" t="s">
        <v>559</v>
      </c>
      <c r="K1763" t="s">
        <v>4183</v>
      </c>
      <c r="L1763" t="s">
        <v>4184</v>
      </c>
      <c r="M1763" t="s">
        <v>46</v>
      </c>
      <c r="O1763" t="s">
        <v>47</v>
      </c>
      <c r="P1763" t="s">
        <v>48</v>
      </c>
      <c r="Q1763">
        <v>0</v>
      </c>
      <c r="R1763" t="b">
        <v>0</v>
      </c>
      <c r="S1763" t="s">
        <v>61</v>
      </c>
      <c r="T1763" t="s">
        <v>89</v>
      </c>
      <c r="U1763" t="s">
        <v>71</v>
      </c>
      <c r="V1763" t="s">
        <v>72</v>
      </c>
      <c r="W1763" t="s">
        <v>73</v>
      </c>
      <c r="X1763" t="s">
        <v>98</v>
      </c>
      <c r="Z1763" s="12">
        <v>0</v>
      </c>
      <c r="AA1763" s="13" t="s">
        <v>9163</v>
      </c>
      <c r="AB1763" s="13" t="s">
        <v>9164</v>
      </c>
      <c r="AC1763" s="14" t="s">
        <v>9148</v>
      </c>
      <c r="AD1763" s="14" t="s">
        <v>9140</v>
      </c>
      <c r="AE1763" s="14" t="s">
        <v>9140</v>
      </c>
      <c r="AF1763" s="14" t="s">
        <v>72</v>
      </c>
      <c r="AG1763" s="14" t="s">
        <v>98</v>
      </c>
      <c r="AH1763" s="15" t="s">
        <v>9220</v>
      </c>
      <c r="AI1763" s="15" t="s">
        <v>9175</v>
      </c>
      <c r="AJ1763" s="15" t="s">
        <v>9143</v>
      </c>
      <c r="AK1763" s="15" t="s">
        <v>9221</v>
      </c>
      <c r="AL1763" s="15" t="s">
        <v>9224</v>
      </c>
      <c r="AM1763" s="16" t="s">
        <v>9221</v>
      </c>
      <c r="AN1763" s="16" t="s">
        <v>9225</v>
      </c>
    </row>
    <row r="1764" spans="1:40" x14ac:dyDescent="0.25">
      <c r="A1764" t="s">
        <v>378</v>
      </c>
      <c r="C1764" t="s">
        <v>39</v>
      </c>
      <c r="D1764" t="s">
        <v>289</v>
      </c>
      <c r="E1764" t="s">
        <v>290</v>
      </c>
      <c r="F1764" s="2">
        <v>45186</v>
      </c>
      <c r="G1764" s="3">
        <v>0.60416666666666663</v>
      </c>
      <c r="H1764" t="s">
        <v>42</v>
      </c>
      <c r="I1764" s="4">
        <v>1011</v>
      </c>
      <c r="J1764" t="s">
        <v>215</v>
      </c>
      <c r="K1764" t="s">
        <v>321</v>
      </c>
      <c r="L1764" t="s">
        <v>379</v>
      </c>
      <c r="M1764" t="s">
        <v>46</v>
      </c>
      <c r="O1764" t="s">
        <v>47</v>
      </c>
      <c r="P1764" t="s">
        <v>48</v>
      </c>
      <c r="Q1764">
        <v>0</v>
      </c>
      <c r="R1764" t="b">
        <v>0</v>
      </c>
      <c r="S1764" t="s">
        <v>61</v>
      </c>
      <c r="T1764" t="s">
        <v>89</v>
      </c>
      <c r="U1764" t="s">
        <v>148</v>
      </c>
      <c r="V1764" t="s">
        <v>52</v>
      </c>
      <c r="W1764" t="s">
        <v>135</v>
      </c>
      <c r="X1764" t="s">
        <v>54</v>
      </c>
      <c r="Z1764" s="12">
        <v>0</v>
      </c>
      <c r="AA1764" s="13" t="s">
        <v>9163</v>
      </c>
      <c r="AB1764" s="13" t="s">
        <v>9164</v>
      </c>
      <c r="AC1764" s="14" t="s">
        <v>9148</v>
      </c>
      <c r="AD1764" s="14" t="s">
        <v>9140</v>
      </c>
      <c r="AE1764" s="14" t="s">
        <v>9140</v>
      </c>
      <c r="AF1764" s="14" t="s">
        <v>52</v>
      </c>
      <c r="AG1764" s="14" t="s">
        <v>54</v>
      </c>
      <c r="AH1764" s="15" t="s">
        <v>9141</v>
      </c>
      <c r="AI1764" s="15" t="s">
        <v>9142</v>
      </c>
      <c r="AJ1764" s="15" t="s">
        <v>9143</v>
      </c>
      <c r="AK1764" s="15" t="s">
        <v>9141</v>
      </c>
      <c r="AL1764" s="15" t="s">
        <v>9144</v>
      </c>
      <c r="AM1764" s="16" t="s">
        <v>9141</v>
      </c>
      <c r="AN1764" s="16" t="s">
        <v>9145</v>
      </c>
    </row>
    <row r="1765" spans="1:40" x14ac:dyDescent="0.25">
      <c r="A1765" t="s">
        <v>8812</v>
      </c>
      <c r="C1765" t="s">
        <v>39</v>
      </c>
      <c r="D1765" t="s">
        <v>5715</v>
      </c>
      <c r="E1765" t="s">
        <v>5716</v>
      </c>
      <c r="F1765" s="2">
        <v>45186</v>
      </c>
      <c r="G1765" s="3">
        <v>0.67777777777777781</v>
      </c>
      <c r="H1765" t="s">
        <v>5666</v>
      </c>
      <c r="I1765" s="4" t="s">
        <v>8782</v>
      </c>
      <c r="J1765" t="s">
        <v>8783</v>
      </c>
      <c r="K1765" t="s">
        <v>8813</v>
      </c>
      <c r="L1765" t="s">
        <v>8814</v>
      </c>
      <c r="M1765" t="s">
        <v>46</v>
      </c>
      <c r="O1765" t="s">
        <v>47</v>
      </c>
      <c r="P1765" t="s">
        <v>48</v>
      </c>
      <c r="Q1765">
        <v>0</v>
      </c>
      <c r="R1765" t="b">
        <v>0</v>
      </c>
      <c r="S1765" t="s">
        <v>61</v>
      </c>
      <c r="T1765" t="s">
        <v>134</v>
      </c>
      <c r="U1765" t="s">
        <v>2432</v>
      </c>
      <c r="V1765" t="s">
        <v>267</v>
      </c>
      <c r="W1765" t="s">
        <v>331</v>
      </c>
      <c r="X1765" t="s">
        <v>54</v>
      </c>
      <c r="Z1765" s="12">
        <v>0</v>
      </c>
      <c r="AA1765" s="13" t="s">
        <v>9163</v>
      </c>
      <c r="AB1765" s="13" t="s">
        <v>9164</v>
      </c>
      <c r="AC1765" s="14" t="s">
        <v>9148</v>
      </c>
      <c r="AD1765" s="14" t="s">
        <v>9140</v>
      </c>
      <c r="AE1765" s="14" t="s">
        <v>9140</v>
      </c>
      <c r="AF1765" s="14" t="s">
        <v>267</v>
      </c>
      <c r="AG1765" s="14" t="s">
        <v>54</v>
      </c>
      <c r="AH1765" s="15" t="s">
        <v>9220</v>
      </c>
      <c r="AI1765" s="15" t="s">
        <v>9199</v>
      </c>
      <c r="AJ1765" s="15" t="s">
        <v>9143</v>
      </c>
      <c r="AK1765" s="15" t="s">
        <v>9221</v>
      </c>
      <c r="AL1765" s="15" t="s">
        <v>9199</v>
      </c>
      <c r="AM1765" s="16" t="s">
        <v>9221</v>
      </c>
      <c r="AN1765" s="16" t="s">
        <v>9238</v>
      </c>
    </row>
    <row r="1766" spans="1:40" x14ac:dyDescent="0.25">
      <c r="A1766" t="s">
        <v>2308</v>
      </c>
      <c r="C1766" t="s">
        <v>39</v>
      </c>
      <c r="D1766" t="s">
        <v>2269</v>
      </c>
      <c r="E1766" t="s">
        <v>2270</v>
      </c>
      <c r="F1766" s="2">
        <v>45186</v>
      </c>
      <c r="G1766" s="3">
        <v>0.43194444444444446</v>
      </c>
      <c r="H1766" t="s">
        <v>2095</v>
      </c>
      <c r="I1766" s="4" t="s">
        <v>2271</v>
      </c>
      <c r="J1766" t="s">
        <v>2272</v>
      </c>
      <c r="K1766" t="s">
        <v>2309</v>
      </c>
      <c r="L1766" t="s">
        <v>2310</v>
      </c>
      <c r="M1766" t="s">
        <v>46</v>
      </c>
      <c r="O1766" t="s">
        <v>47</v>
      </c>
      <c r="P1766" t="s">
        <v>48</v>
      </c>
      <c r="Q1766">
        <v>0</v>
      </c>
      <c r="R1766" t="b">
        <v>0</v>
      </c>
      <c r="S1766" t="s">
        <v>49</v>
      </c>
      <c r="T1766" t="s">
        <v>89</v>
      </c>
      <c r="U1766" t="s">
        <v>600</v>
      </c>
      <c r="V1766" t="s">
        <v>63</v>
      </c>
      <c r="W1766" t="s">
        <v>108</v>
      </c>
      <c r="X1766" t="s">
        <v>98</v>
      </c>
      <c r="Z1766" s="12">
        <v>0</v>
      </c>
      <c r="AA1766" s="13" t="s">
        <v>9163</v>
      </c>
      <c r="AB1766" s="13" t="s">
        <v>9164</v>
      </c>
      <c r="AC1766" s="14" t="s">
        <v>9139</v>
      </c>
      <c r="AD1766" s="14" t="s">
        <v>9140</v>
      </c>
      <c r="AE1766" s="14" t="s">
        <v>9140</v>
      </c>
      <c r="AF1766" s="14" t="s">
        <v>63</v>
      </c>
      <c r="AG1766" s="14" t="s">
        <v>98</v>
      </c>
      <c r="AH1766" s="15" t="s">
        <v>9194</v>
      </c>
      <c r="AI1766" s="15" t="s">
        <v>9188</v>
      </c>
      <c r="AJ1766" s="15" t="s">
        <v>9143</v>
      </c>
      <c r="AK1766" s="15" t="s">
        <v>9194</v>
      </c>
      <c r="AL1766" s="15" t="s">
        <v>9203</v>
      </c>
      <c r="AM1766" s="16" t="s">
        <v>9194</v>
      </c>
      <c r="AN1766" s="16" t="s">
        <v>9204</v>
      </c>
    </row>
    <row r="1767" spans="1:40" x14ac:dyDescent="0.25">
      <c r="A1767" t="s">
        <v>380</v>
      </c>
      <c r="C1767" t="s">
        <v>39</v>
      </c>
      <c r="D1767" t="s">
        <v>213</v>
      </c>
      <c r="E1767" t="s">
        <v>214</v>
      </c>
      <c r="F1767" s="2">
        <v>45184</v>
      </c>
      <c r="G1767" s="3">
        <v>0.65625</v>
      </c>
      <c r="H1767" t="s">
        <v>42</v>
      </c>
      <c r="I1767" s="4">
        <v>1011</v>
      </c>
      <c r="J1767" t="s">
        <v>215</v>
      </c>
      <c r="K1767" t="s">
        <v>381</v>
      </c>
      <c r="L1767" t="s">
        <v>382</v>
      </c>
      <c r="M1767" t="s">
        <v>46</v>
      </c>
      <c r="O1767" t="s">
        <v>47</v>
      </c>
      <c r="P1767" t="s">
        <v>48</v>
      </c>
      <c r="Q1767">
        <v>0</v>
      </c>
      <c r="R1767" t="b">
        <v>0</v>
      </c>
      <c r="S1767" t="s">
        <v>61</v>
      </c>
      <c r="T1767" t="s">
        <v>89</v>
      </c>
      <c r="U1767" t="s">
        <v>51</v>
      </c>
      <c r="V1767" t="s">
        <v>123</v>
      </c>
      <c r="W1767" t="s">
        <v>124</v>
      </c>
      <c r="X1767" t="s">
        <v>54</v>
      </c>
      <c r="Z1767" s="12">
        <v>0</v>
      </c>
      <c r="AA1767" s="13" t="s">
        <v>9163</v>
      </c>
      <c r="AB1767" s="13" t="s">
        <v>9164</v>
      </c>
      <c r="AC1767" s="14" t="s">
        <v>9148</v>
      </c>
      <c r="AD1767" s="14" t="s">
        <v>9140</v>
      </c>
      <c r="AE1767" s="14" t="s">
        <v>9140</v>
      </c>
      <c r="AF1767" s="14" t="s">
        <v>123</v>
      </c>
      <c r="AG1767" s="14" t="s">
        <v>54</v>
      </c>
      <c r="AH1767" s="15" t="s">
        <v>9141</v>
      </c>
      <c r="AI1767" s="15" t="s">
        <v>9142</v>
      </c>
      <c r="AJ1767" s="15" t="s">
        <v>9143</v>
      </c>
      <c r="AK1767" s="15" t="s">
        <v>9141</v>
      </c>
      <c r="AL1767" s="15" t="s">
        <v>9144</v>
      </c>
      <c r="AM1767" s="16" t="s">
        <v>9141</v>
      </c>
      <c r="AN1767" s="16" t="s">
        <v>9145</v>
      </c>
    </row>
    <row r="1768" spans="1:40" x14ac:dyDescent="0.25">
      <c r="A1768" t="s">
        <v>7424</v>
      </c>
      <c r="C1768" t="s">
        <v>39</v>
      </c>
      <c r="D1768" t="s">
        <v>7379</v>
      </c>
      <c r="E1768" t="s">
        <v>7380</v>
      </c>
      <c r="F1768" s="2">
        <v>45184</v>
      </c>
      <c r="G1768" s="3">
        <v>0.61111111111111116</v>
      </c>
      <c r="H1768" t="s">
        <v>4019</v>
      </c>
      <c r="I1768" s="4" t="s">
        <v>7315</v>
      </c>
      <c r="J1768" t="s">
        <v>1037</v>
      </c>
      <c r="K1768" t="s">
        <v>7425</v>
      </c>
      <c r="L1768" t="s">
        <v>7426</v>
      </c>
      <c r="M1768" t="s">
        <v>46</v>
      </c>
      <c r="O1768" t="s">
        <v>47</v>
      </c>
      <c r="P1768" t="s">
        <v>48</v>
      </c>
      <c r="Q1768">
        <v>0</v>
      </c>
      <c r="R1768" t="b">
        <v>0</v>
      </c>
      <c r="S1768" t="s">
        <v>61</v>
      </c>
      <c r="T1768" t="s">
        <v>89</v>
      </c>
      <c r="U1768" t="s">
        <v>51</v>
      </c>
      <c r="V1768" t="s">
        <v>72</v>
      </c>
      <c r="W1768" t="s">
        <v>97</v>
      </c>
      <c r="X1768" t="s">
        <v>98</v>
      </c>
      <c r="Z1768" s="12">
        <v>0</v>
      </c>
      <c r="AA1768" s="13" t="s">
        <v>9163</v>
      </c>
      <c r="AB1768" s="13" t="s">
        <v>9164</v>
      </c>
      <c r="AC1768" s="14" t="s">
        <v>9148</v>
      </c>
      <c r="AD1768" s="14" t="s">
        <v>9140</v>
      </c>
      <c r="AE1768" s="14" t="s">
        <v>9140</v>
      </c>
      <c r="AF1768" s="14" t="s">
        <v>72</v>
      </c>
      <c r="AG1768" s="14" t="s">
        <v>98</v>
      </c>
      <c r="AH1768" s="15" t="s">
        <v>9220</v>
      </c>
      <c r="AI1768" s="15" t="s">
        <v>9175</v>
      </c>
      <c r="AJ1768" s="15" t="s">
        <v>9143</v>
      </c>
      <c r="AK1768" s="15" t="s">
        <v>9221</v>
      </c>
      <c r="AL1768" s="15" t="s">
        <v>9222</v>
      </c>
      <c r="AM1768" s="16" t="s">
        <v>9221</v>
      </c>
      <c r="AN1768" s="16" t="s">
        <v>9223</v>
      </c>
    </row>
    <row r="1769" spans="1:40" x14ac:dyDescent="0.25">
      <c r="A1769" t="s">
        <v>9107</v>
      </c>
      <c r="C1769" t="s">
        <v>39</v>
      </c>
      <c r="D1769" t="s">
        <v>8991</v>
      </c>
      <c r="E1769" t="s">
        <v>8992</v>
      </c>
      <c r="F1769" s="2">
        <v>45184</v>
      </c>
      <c r="G1769" s="3">
        <v>0.4826388888888889</v>
      </c>
      <c r="H1769" t="s">
        <v>4019</v>
      </c>
      <c r="I1769" s="4" t="s">
        <v>8971</v>
      </c>
      <c r="J1769" t="s">
        <v>8972</v>
      </c>
      <c r="K1769" t="s">
        <v>9108</v>
      </c>
      <c r="L1769" t="s">
        <v>9109</v>
      </c>
      <c r="M1769" t="s">
        <v>46</v>
      </c>
      <c r="O1769" t="s">
        <v>47</v>
      </c>
      <c r="P1769" t="s">
        <v>48</v>
      </c>
      <c r="Q1769">
        <v>0</v>
      </c>
      <c r="R1769" t="b">
        <v>0</v>
      </c>
      <c r="S1769" t="s">
        <v>49</v>
      </c>
      <c r="T1769" t="s">
        <v>89</v>
      </c>
      <c r="U1769" t="s">
        <v>71</v>
      </c>
      <c r="V1769" t="s">
        <v>63</v>
      </c>
      <c r="W1769" t="s">
        <v>198</v>
      </c>
      <c r="X1769" t="s">
        <v>98</v>
      </c>
      <c r="Z1769" s="12">
        <v>0</v>
      </c>
      <c r="AA1769" s="13" t="s">
        <v>9163</v>
      </c>
      <c r="AB1769" s="13" t="s">
        <v>9164</v>
      </c>
      <c r="AC1769" s="14" t="s">
        <v>9139</v>
      </c>
      <c r="AD1769" s="14" t="s">
        <v>9140</v>
      </c>
      <c r="AE1769" s="14" t="s">
        <v>9140</v>
      </c>
      <c r="AF1769" s="14" t="s">
        <v>63</v>
      </c>
      <c r="AG1769" s="14" t="s">
        <v>98</v>
      </c>
      <c r="AH1769" s="15" t="s">
        <v>9220</v>
      </c>
      <c r="AI1769" s="15" t="s">
        <v>9175</v>
      </c>
      <c r="AJ1769" s="15" t="s">
        <v>9181</v>
      </c>
      <c r="AK1769" s="15" t="s">
        <v>9182</v>
      </c>
      <c r="AL1769" s="15" t="s">
        <v>9182</v>
      </c>
      <c r="AM1769" s="16" t="s">
        <v>9182</v>
      </c>
      <c r="AN1769" s="16" t="s">
        <v>9182</v>
      </c>
    </row>
    <row r="1770" spans="1:40" x14ac:dyDescent="0.25">
      <c r="A1770" t="s">
        <v>8491</v>
      </c>
      <c r="C1770" t="s">
        <v>39</v>
      </c>
      <c r="D1770" t="s">
        <v>8492</v>
      </c>
      <c r="E1770" t="s">
        <v>8493</v>
      </c>
      <c r="F1770" s="2">
        <v>45184</v>
      </c>
      <c r="G1770" s="3">
        <v>0.4375</v>
      </c>
      <c r="H1770" t="s">
        <v>8476</v>
      </c>
      <c r="I1770" s="4" t="s">
        <v>8477</v>
      </c>
      <c r="J1770" t="s">
        <v>8478</v>
      </c>
      <c r="K1770" t="s">
        <v>8494</v>
      </c>
      <c r="L1770" t="s">
        <v>8495</v>
      </c>
      <c r="M1770" t="s">
        <v>46</v>
      </c>
      <c r="O1770" t="s">
        <v>47</v>
      </c>
      <c r="P1770" t="s">
        <v>48</v>
      </c>
      <c r="Q1770">
        <v>0</v>
      </c>
      <c r="R1770" t="b">
        <v>0</v>
      </c>
      <c r="S1770" t="s">
        <v>49</v>
      </c>
      <c r="T1770" t="s">
        <v>479</v>
      </c>
      <c r="U1770" t="s">
        <v>148</v>
      </c>
      <c r="V1770" t="s">
        <v>52</v>
      </c>
      <c r="W1770" t="s">
        <v>255</v>
      </c>
      <c r="X1770" t="s">
        <v>54</v>
      </c>
      <c r="Z1770" s="12">
        <v>0</v>
      </c>
      <c r="AA1770" s="13" t="s">
        <v>9163</v>
      </c>
      <c r="AB1770" s="13" t="s">
        <v>9164</v>
      </c>
      <c r="AC1770" s="14" t="s">
        <v>9139</v>
      </c>
      <c r="AD1770" s="14" t="s">
        <v>9140</v>
      </c>
      <c r="AE1770" s="14" t="s">
        <v>9140</v>
      </c>
      <c r="AF1770" s="14" t="s">
        <v>52</v>
      </c>
      <c r="AG1770" s="14" t="s">
        <v>54</v>
      </c>
      <c r="AH1770" s="15" t="s">
        <v>9220</v>
      </c>
      <c r="AI1770" s="15" t="s">
        <v>9193</v>
      </c>
      <c r="AJ1770" s="15" t="s">
        <v>9143</v>
      </c>
      <c r="AK1770" s="15" t="s">
        <v>9221</v>
      </c>
      <c r="AL1770" s="15" t="s">
        <v>9230</v>
      </c>
      <c r="AM1770" s="16" t="s">
        <v>9221</v>
      </c>
      <c r="AN1770" s="16" t="s">
        <v>9231</v>
      </c>
    </row>
    <row r="1771" spans="1:40" x14ac:dyDescent="0.25">
      <c r="A1771" t="s">
        <v>7956</v>
      </c>
      <c r="C1771" t="s">
        <v>39</v>
      </c>
      <c r="D1771" t="s">
        <v>7957</v>
      </c>
      <c r="E1771" t="s">
        <v>7958</v>
      </c>
      <c r="F1771" s="2">
        <v>45182</v>
      </c>
      <c r="G1771" s="3">
        <v>0.56805555555555554</v>
      </c>
      <c r="H1771" t="s">
        <v>4516</v>
      </c>
      <c r="I1771" s="4" t="s">
        <v>7915</v>
      </c>
      <c r="J1771" t="s">
        <v>7916</v>
      </c>
      <c r="K1771" t="s">
        <v>7959</v>
      </c>
      <c r="L1771" t="s">
        <v>7960</v>
      </c>
      <c r="M1771" t="s">
        <v>46</v>
      </c>
      <c r="O1771" t="s">
        <v>47</v>
      </c>
      <c r="P1771" t="s">
        <v>48</v>
      </c>
      <c r="Q1771">
        <v>0</v>
      </c>
      <c r="R1771" t="b">
        <v>0</v>
      </c>
      <c r="S1771" t="s">
        <v>49</v>
      </c>
      <c r="T1771" t="s">
        <v>50</v>
      </c>
      <c r="U1771" t="s">
        <v>71</v>
      </c>
      <c r="V1771" t="s">
        <v>72</v>
      </c>
      <c r="W1771" t="s">
        <v>73</v>
      </c>
      <c r="X1771" t="s">
        <v>54</v>
      </c>
      <c r="Y1771" t="s">
        <v>323</v>
      </c>
      <c r="Z1771" s="12">
        <v>0</v>
      </c>
      <c r="AA1771" s="13" t="s">
        <v>9163</v>
      </c>
      <c r="AB1771" s="13" t="s">
        <v>9164</v>
      </c>
      <c r="AC1771" s="14" t="s">
        <v>9139</v>
      </c>
      <c r="AD1771" s="14" t="s">
        <v>9140</v>
      </c>
      <c r="AE1771" s="14" t="s">
        <v>9140</v>
      </c>
      <c r="AF1771" s="14" t="s">
        <v>72</v>
      </c>
      <c r="AG1771" s="14" t="s">
        <v>54</v>
      </c>
      <c r="AH1771" s="15" t="s">
        <v>9220</v>
      </c>
      <c r="AI1771" s="15" t="s">
        <v>9188</v>
      </c>
      <c r="AJ1771" s="15" t="s">
        <v>9143</v>
      </c>
      <c r="AK1771" s="15" t="s">
        <v>9221</v>
      </c>
      <c r="AL1771" s="15" t="s">
        <v>9230</v>
      </c>
      <c r="AM1771" s="16" t="s">
        <v>9221</v>
      </c>
      <c r="AN1771" s="16" t="s">
        <v>9231</v>
      </c>
    </row>
    <row r="1772" spans="1:40" x14ac:dyDescent="0.25">
      <c r="A1772" t="s">
        <v>8199</v>
      </c>
      <c r="C1772" t="s">
        <v>39</v>
      </c>
      <c r="D1772" t="s">
        <v>8177</v>
      </c>
      <c r="E1772" t="s">
        <v>8178</v>
      </c>
      <c r="F1772" s="2">
        <v>45182</v>
      </c>
      <c r="G1772" s="3">
        <v>0.4375</v>
      </c>
      <c r="H1772" t="s">
        <v>4516</v>
      </c>
      <c r="I1772" s="4" t="s">
        <v>8179</v>
      </c>
      <c r="J1772" t="s">
        <v>8180</v>
      </c>
      <c r="K1772" t="s">
        <v>604</v>
      </c>
      <c r="L1772" t="s">
        <v>8200</v>
      </c>
      <c r="M1772" t="s">
        <v>46</v>
      </c>
      <c r="O1772" t="s">
        <v>174</v>
      </c>
      <c r="P1772" t="s">
        <v>48</v>
      </c>
      <c r="Q1772">
        <v>0</v>
      </c>
      <c r="R1772" t="b">
        <v>0</v>
      </c>
      <c r="S1772" t="s">
        <v>114</v>
      </c>
      <c r="T1772" t="s">
        <v>50</v>
      </c>
      <c r="U1772" t="s">
        <v>107</v>
      </c>
      <c r="V1772" t="s">
        <v>63</v>
      </c>
      <c r="W1772" t="s">
        <v>198</v>
      </c>
      <c r="X1772" t="s">
        <v>54</v>
      </c>
      <c r="Y1772" t="s">
        <v>991</v>
      </c>
      <c r="Z1772" s="12">
        <v>0</v>
      </c>
      <c r="AA1772" s="13" t="s">
        <v>9163</v>
      </c>
      <c r="AB1772" s="13" t="s">
        <v>9164</v>
      </c>
      <c r="AC1772" s="14" t="s">
        <v>9157</v>
      </c>
      <c r="AD1772" s="14" t="s">
        <v>9140</v>
      </c>
      <c r="AE1772" s="14" t="s">
        <v>9140</v>
      </c>
      <c r="AF1772" s="14" t="s">
        <v>63</v>
      </c>
      <c r="AG1772" s="14" t="s">
        <v>54</v>
      </c>
      <c r="AH1772" s="15" t="s">
        <v>9220</v>
      </c>
      <c r="AI1772" s="15" t="s">
        <v>9188</v>
      </c>
      <c r="AJ1772" s="15" t="s">
        <v>9143</v>
      </c>
      <c r="AK1772" s="15" t="s">
        <v>9221</v>
      </c>
      <c r="AL1772" s="15" t="s">
        <v>9232</v>
      </c>
      <c r="AM1772" s="16" t="s">
        <v>9221</v>
      </c>
      <c r="AN1772" s="16" t="s">
        <v>9233</v>
      </c>
    </row>
    <row r="1773" spans="1:40" x14ac:dyDescent="0.25">
      <c r="A1773" t="s">
        <v>2554</v>
      </c>
      <c r="C1773" t="s">
        <v>39</v>
      </c>
      <c r="D1773" t="s">
        <v>2555</v>
      </c>
      <c r="E1773" t="s">
        <v>2556</v>
      </c>
      <c r="F1773" s="2">
        <v>45182</v>
      </c>
      <c r="G1773" s="3">
        <v>0.46319444444444446</v>
      </c>
      <c r="H1773" t="s">
        <v>1992</v>
      </c>
      <c r="I1773" s="4" t="s">
        <v>2520</v>
      </c>
      <c r="J1773" t="s">
        <v>2521</v>
      </c>
      <c r="K1773" t="s">
        <v>2557</v>
      </c>
      <c r="L1773" t="s">
        <v>2558</v>
      </c>
      <c r="M1773" t="s">
        <v>46</v>
      </c>
      <c r="O1773" t="s">
        <v>47</v>
      </c>
      <c r="P1773" t="s">
        <v>48</v>
      </c>
      <c r="Q1773">
        <v>0</v>
      </c>
      <c r="R1773" t="b">
        <v>0</v>
      </c>
      <c r="S1773" t="s">
        <v>61</v>
      </c>
      <c r="T1773" t="s">
        <v>89</v>
      </c>
      <c r="U1773" t="s">
        <v>650</v>
      </c>
      <c r="V1773" t="s">
        <v>123</v>
      </c>
      <c r="W1773" t="s">
        <v>124</v>
      </c>
      <c r="X1773" t="s">
        <v>978</v>
      </c>
      <c r="Z1773" s="12">
        <v>0</v>
      </c>
      <c r="AA1773" s="13" t="s">
        <v>9163</v>
      </c>
      <c r="AB1773" s="13" t="s">
        <v>9164</v>
      </c>
      <c r="AC1773" s="14" t="s">
        <v>9148</v>
      </c>
      <c r="AD1773" s="14" t="s">
        <v>9140</v>
      </c>
      <c r="AE1773" s="14" t="s">
        <v>9140</v>
      </c>
      <c r="AF1773" s="14" t="s">
        <v>123</v>
      </c>
      <c r="AG1773" s="14" t="s">
        <v>978</v>
      </c>
      <c r="AH1773" s="15" t="s">
        <v>9194</v>
      </c>
      <c r="AI1773" s="15" t="s">
        <v>9191</v>
      </c>
      <c r="AJ1773" s="15" t="s">
        <v>9143</v>
      </c>
      <c r="AK1773" s="15" t="s">
        <v>9194</v>
      </c>
      <c r="AL1773" s="15" t="s">
        <v>9201</v>
      </c>
      <c r="AM1773" s="16" t="s">
        <v>9194</v>
      </c>
      <c r="AN1773" s="16" t="s">
        <v>9202</v>
      </c>
    </row>
    <row r="1774" spans="1:40" x14ac:dyDescent="0.25">
      <c r="A1774" t="s">
        <v>3045</v>
      </c>
      <c r="C1774" t="s">
        <v>39</v>
      </c>
      <c r="D1774" t="s">
        <v>3046</v>
      </c>
      <c r="E1774" t="s">
        <v>3047</v>
      </c>
      <c r="F1774" s="2">
        <v>45182</v>
      </c>
      <c r="G1774" s="3">
        <v>0.4</v>
      </c>
      <c r="H1774" t="s">
        <v>1939</v>
      </c>
      <c r="I1774" s="4" t="s">
        <v>3027</v>
      </c>
      <c r="J1774" t="s">
        <v>3028</v>
      </c>
      <c r="K1774" t="s">
        <v>3048</v>
      </c>
      <c r="L1774" t="s">
        <v>3049</v>
      </c>
      <c r="M1774" t="s">
        <v>46</v>
      </c>
      <c r="O1774" t="s">
        <v>47</v>
      </c>
      <c r="P1774" t="s">
        <v>48</v>
      </c>
      <c r="Q1774">
        <v>0</v>
      </c>
      <c r="R1774" t="b">
        <v>0</v>
      </c>
      <c r="S1774" t="s">
        <v>61</v>
      </c>
      <c r="T1774" t="s">
        <v>89</v>
      </c>
      <c r="U1774" t="s">
        <v>527</v>
      </c>
      <c r="V1774" t="s">
        <v>63</v>
      </c>
      <c r="W1774" t="s">
        <v>198</v>
      </c>
      <c r="X1774" t="s">
        <v>54</v>
      </c>
      <c r="Z1774" s="12">
        <v>0</v>
      </c>
      <c r="AA1774" s="13" t="s">
        <v>9163</v>
      </c>
      <c r="AB1774" s="13" t="s">
        <v>9164</v>
      </c>
      <c r="AC1774" s="14" t="s">
        <v>9148</v>
      </c>
      <c r="AD1774" s="14" t="s">
        <v>9140</v>
      </c>
      <c r="AE1774" s="14" t="s">
        <v>9140</v>
      </c>
      <c r="AF1774" s="14" t="s">
        <v>63</v>
      </c>
      <c r="AG1774" s="14" t="s">
        <v>54</v>
      </c>
      <c r="AH1774" s="15" t="s">
        <v>9194</v>
      </c>
      <c r="AI1774" s="15" t="s">
        <v>9175</v>
      </c>
      <c r="AJ1774" s="15" t="s">
        <v>9143</v>
      </c>
      <c r="AK1774" s="15" t="s">
        <v>9194</v>
      </c>
      <c r="AL1774" s="15" t="s">
        <v>9195</v>
      </c>
      <c r="AM1774" s="16" t="s">
        <v>9194</v>
      </c>
      <c r="AN1774" s="16" t="s">
        <v>9196</v>
      </c>
    </row>
    <row r="1775" spans="1:40" x14ac:dyDescent="0.25">
      <c r="A1775" t="s">
        <v>2905</v>
      </c>
      <c r="C1775" t="s">
        <v>39</v>
      </c>
      <c r="D1775" t="s">
        <v>2906</v>
      </c>
      <c r="E1775" t="s">
        <v>2907</v>
      </c>
      <c r="F1775" s="2">
        <v>45181</v>
      </c>
      <c r="G1775" s="3">
        <v>0.40625</v>
      </c>
      <c r="H1775" t="s">
        <v>1939</v>
      </c>
      <c r="I1775" s="4" t="s">
        <v>2902</v>
      </c>
      <c r="J1775" t="s">
        <v>513</v>
      </c>
      <c r="K1775" t="s">
        <v>2908</v>
      </c>
      <c r="L1775" t="s">
        <v>2909</v>
      </c>
      <c r="M1775" t="s">
        <v>46</v>
      </c>
      <c r="O1775" t="s">
        <v>47</v>
      </c>
      <c r="P1775" t="s">
        <v>48</v>
      </c>
      <c r="Q1775">
        <v>0</v>
      </c>
      <c r="R1775" t="b">
        <v>0</v>
      </c>
      <c r="S1775" t="s">
        <v>114</v>
      </c>
      <c r="T1775" t="s">
        <v>70</v>
      </c>
      <c r="U1775" t="s">
        <v>867</v>
      </c>
      <c r="V1775" t="s">
        <v>72</v>
      </c>
      <c r="W1775" t="s">
        <v>97</v>
      </c>
      <c r="X1775" t="s">
        <v>98</v>
      </c>
      <c r="Z1775" s="12">
        <v>0</v>
      </c>
      <c r="AA1775" s="13" t="s">
        <v>9163</v>
      </c>
      <c r="AB1775" s="13" t="s">
        <v>9164</v>
      </c>
      <c r="AC1775" s="14" t="s">
        <v>9157</v>
      </c>
      <c r="AD1775" s="14" t="s">
        <v>9140</v>
      </c>
      <c r="AE1775" s="14" t="s">
        <v>9140</v>
      </c>
      <c r="AF1775" s="14" t="s">
        <v>72</v>
      </c>
      <c r="AG1775" s="14" t="s">
        <v>98</v>
      </c>
      <c r="AH1775" s="15" t="s">
        <v>9194</v>
      </c>
      <c r="AI1775" s="15" t="s">
        <v>9175</v>
      </c>
      <c r="AJ1775" s="15" t="s">
        <v>9143</v>
      </c>
      <c r="AK1775" s="15" t="s">
        <v>9194</v>
      </c>
      <c r="AL1775" s="15" t="s">
        <v>9195</v>
      </c>
      <c r="AM1775" s="16" t="s">
        <v>9194</v>
      </c>
      <c r="AN1775" s="16" t="s">
        <v>9196</v>
      </c>
    </row>
    <row r="1776" spans="1:40" x14ac:dyDescent="0.25">
      <c r="A1776" t="s">
        <v>1490</v>
      </c>
      <c r="C1776" t="s">
        <v>39</v>
      </c>
      <c r="D1776" t="s">
        <v>1491</v>
      </c>
      <c r="E1776" t="s">
        <v>1492</v>
      </c>
      <c r="F1776" s="2">
        <v>45181</v>
      </c>
      <c r="G1776" s="3">
        <v>0.5625</v>
      </c>
      <c r="H1776" t="s">
        <v>1476</v>
      </c>
      <c r="I1776" s="4">
        <v>6059</v>
      </c>
      <c r="J1776" t="s">
        <v>1477</v>
      </c>
      <c r="K1776" t="s">
        <v>1493</v>
      </c>
      <c r="L1776" t="s">
        <v>1494</v>
      </c>
      <c r="M1776" t="s">
        <v>46</v>
      </c>
      <c r="O1776" t="s">
        <v>47</v>
      </c>
      <c r="P1776" t="s">
        <v>48</v>
      </c>
      <c r="Q1776">
        <v>0</v>
      </c>
      <c r="R1776" t="b">
        <v>0</v>
      </c>
      <c r="S1776" t="s">
        <v>114</v>
      </c>
      <c r="T1776" t="s">
        <v>1495</v>
      </c>
      <c r="U1776" t="s">
        <v>80</v>
      </c>
      <c r="V1776" t="s">
        <v>672</v>
      </c>
      <c r="W1776" t="s">
        <v>1121</v>
      </c>
      <c r="X1776" t="s">
        <v>83</v>
      </c>
      <c r="Z1776" s="12">
        <v>0</v>
      </c>
      <c r="AA1776" s="13" t="s">
        <v>9163</v>
      </c>
      <c r="AB1776" s="13" t="s">
        <v>9164</v>
      </c>
      <c r="AC1776" s="14" t="s">
        <v>9157</v>
      </c>
      <c r="AD1776" s="14" t="s">
        <v>9140</v>
      </c>
      <c r="AE1776" s="14" t="s">
        <v>9140</v>
      </c>
      <c r="AF1776" s="14" t="s">
        <v>672</v>
      </c>
      <c r="AG1776" s="14" t="s">
        <v>83</v>
      </c>
      <c r="AH1776" s="15" t="s">
        <v>9141</v>
      </c>
      <c r="AI1776" s="15" t="s">
        <v>9193</v>
      </c>
      <c r="AJ1776" s="15" t="s">
        <v>9143</v>
      </c>
      <c r="AK1776" s="15" t="s">
        <v>9141</v>
      </c>
      <c r="AL1776" s="15" t="s">
        <v>9189</v>
      </c>
      <c r="AM1776" s="16" t="s">
        <v>9141</v>
      </c>
      <c r="AN1776" s="16" t="s">
        <v>9190</v>
      </c>
    </row>
    <row r="1777" spans="1:40" x14ac:dyDescent="0.25">
      <c r="A1777" t="s">
        <v>1009</v>
      </c>
      <c r="C1777" t="s">
        <v>39</v>
      </c>
      <c r="D1777" t="s">
        <v>998</v>
      </c>
      <c r="E1777" t="s">
        <v>999</v>
      </c>
      <c r="F1777" s="2">
        <v>45181</v>
      </c>
      <c r="G1777" s="3">
        <v>0.60416666666666663</v>
      </c>
      <c r="H1777" t="s">
        <v>463</v>
      </c>
      <c r="I1777" s="4">
        <v>2039</v>
      </c>
      <c r="J1777" t="s">
        <v>988</v>
      </c>
      <c r="K1777" t="s">
        <v>1010</v>
      </c>
      <c r="L1777" t="s">
        <v>1011</v>
      </c>
      <c r="M1777" t="s">
        <v>46</v>
      </c>
      <c r="O1777" t="s">
        <v>47</v>
      </c>
      <c r="P1777" t="s">
        <v>48</v>
      </c>
      <c r="Q1777">
        <v>0</v>
      </c>
      <c r="R1777" t="b">
        <v>0</v>
      </c>
      <c r="S1777" t="s">
        <v>49</v>
      </c>
      <c r="T1777" t="s">
        <v>89</v>
      </c>
      <c r="U1777" t="s">
        <v>71</v>
      </c>
      <c r="V1777" t="s">
        <v>63</v>
      </c>
      <c r="W1777" t="s">
        <v>108</v>
      </c>
      <c r="X1777" t="s">
        <v>98</v>
      </c>
      <c r="Z1777" s="12">
        <v>0</v>
      </c>
      <c r="AA1777" s="13" t="s">
        <v>9163</v>
      </c>
      <c r="AB1777" s="13" t="s">
        <v>9164</v>
      </c>
      <c r="AC1777" s="14" t="s">
        <v>9139</v>
      </c>
      <c r="AD1777" s="14" t="s">
        <v>9140</v>
      </c>
      <c r="AE1777" s="14" t="s">
        <v>9140</v>
      </c>
      <c r="AF1777" s="14" t="s">
        <v>63</v>
      </c>
      <c r="AG1777" s="14" t="s">
        <v>98</v>
      </c>
      <c r="AH1777" s="15" t="s">
        <v>9141</v>
      </c>
      <c r="AI1777" s="15" t="s">
        <v>9175</v>
      </c>
      <c r="AJ1777" s="15" t="s">
        <v>9143</v>
      </c>
      <c r="AK1777" s="15" t="s">
        <v>9141</v>
      </c>
      <c r="AL1777" s="15" t="s">
        <v>9175</v>
      </c>
      <c r="AM1777" s="16" t="s">
        <v>9141</v>
      </c>
      <c r="AN1777" s="16" t="s">
        <v>9176</v>
      </c>
    </row>
    <row r="1778" spans="1:40" x14ac:dyDescent="0.25">
      <c r="A1778" t="s">
        <v>7961</v>
      </c>
      <c r="C1778" t="s">
        <v>39</v>
      </c>
      <c r="D1778" t="s">
        <v>7962</v>
      </c>
      <c r="E1778" t="s">
        <v>7963</v>
      </c>
      <c r="F1778" s="2">
        <v>45181</v>
      </c>
      <c r="G1778" s="3">
        <v>0.62569444444444444</v>
      </c>
      <c r="H1778" t="s">
        <v>4516</v>
      </c>
      <c r="I1778" s="4" t="s">
        <v>7915</v>
      </c>
      <c r="J1778" t="s">
        <v>7916</v>
      </c>
      <c r="K1778" t="s">
        <v>5556</v>
      </c>
      <c r="L1778" t="s">
        <v>7964</v>
      </c>
      <c r="M1778" t="s">
        <v>46</v>
      </c>
      <c r="O1778" t="s">
        <v>47</v>
      </c>
      <c r="P1778" t="s">
        <v>48</v>
      </c>
      <c r="Q1778">
        <v>0</v>
      </c>
      <c r="R1778" t="b">
        <v>0</v>
      </c>
      <c r="S1778" t="s">
        <v>61</v>
      </c>
      <c r="T1778" t="s">
        <v>89</v>
      </c>
      <c r="U1778" t="s">
        <v>116</v>
      </c>
      <c r="V1778" t="s">
        <v>123</v>
      </c>
      <c r="W1778" t="s">
        <v>124</v>
      </c>
      <c r="X1778" t="s">
        <v>54</v>
      </c>
      <c r="Z1778" s="12">
        <v>0</v>
      </c>
      <c r="AA1778" s="13" t="s">
        <v>9163</v>
      </c>
      <c r="AB1778" s="13" t="s">
        <v>9164</v>
      </c>
      <c r="AC1778" s="14" t="s">
        <v>9148</v>
      </c>
      <c r="AD1778" s="14" t="s">
        <v>9140</v>
      </c>
      <c r="AE1778" s="14" t="s">
        <v>9140</v>
      </c>
      <c r="AF1778" s="14" t="s">
        <v>123</v>
      </c>
      <c r="AG1778" s="14" t="s">
        <v>54</v>
      </c>
      <c r="AH1778" s="15" t="s">
        <v>9220</v>
      </c>
      <c r="AI1778" s="15" t="s">
        <v>9188</v>
      </c>
      <c r="AJ1778" s="15" t="s">
        <v>9143</v>
      </c>
      <c r="AK1778" s="15" t="s">
        <v>9221</v>
      </c>
      <c r="AL1778" s="15" t="s">
        <v>9230</v>
      </c>
      <c r="AM1778" s="16" t="s">
        <v>9221</v>
      </c>
      <c r="AN1778" s="16" t="s">
        <v>9231</v>
      </c>
    </row>
    <row r="1779" spans="1:40" x14ac:dyDescent="0.25">
      <c r="A1779" t="s">
        <v>6046</v>
      </c>
      <c r="B1779" s="1" t="s">
        <v>6047</v>
      </c>
      <c r="C1779" t="s">
        <v>39</v>
      </c>
      <c r="D1779" t="s">
        <v>6048</v>
      </c>
      <c r="E1779" t="s">
        <v>6049</v>
      </c>
      <c r="F1779" s="2">
        <v>45181</v>
      </c>
      <c r="G1779" s="3">
        <v>0.69791666666666663</v>
      </c>
      <c r="H1779" t="s">
        <v>4242</v>
      </c>
      <c r="I1779" s="4" t="s">
        <v>5918</v>
      </c>
      <c r="J1779" t="s">
        <v>5919</v>
      </c>
      <c r="K1779" t="s">
        <v>711</v>
      </c>
      <c r="L1779" t="s">
        <v>6050</v>
      </c>
      <c r="M1779" t="s">
        <v>28</v>
      </c>
      <c r="N1779" t="s">
        <v>183</v>
      </c>
      <c r="O1779" t="s">
        <v>174</v>
      </c>
      <c r="P1779" t="s">
        <v>48</v>
      </c>
      <c r="Q1779">
        <v>3</v>
      </c>
      <c r="R1779" t="b">
        <v>0</v>
      </c>
      <c r="S1779" t="s">
        <v>114</v>
      </c>
      <c r="T1779" t="s">
        <v>89</v>
      </c>
      <c r="U1779" t="s">
        <v>148</v>
      </c>
      <c r="V1779" t="s">
        <v>123</v>
      </c>
      <c r="W1779" t="s">
        <v>192</v>
      </c>
      <c r="X1779" t="s">
        <v>54</v>
      </c>
      <c r="Z1779" s="12" t="s">
        <v>48</v>
      </c>
      <c r="AA1779" s="13" t="s">
        <v>9163</v>
      </c>
      <c r="AB1779" s="13" t="s">
        <v>9164</v>
      </c>
      <c r="AC1779" s="14" t="s">
        <v>9157</v>
      </c>
      <c r="AD1779" s="14" t="s">
        <v>28</v>
      </c>
      <c r="AE1779" s="14" t="s">
        <v>183</v>
      </c>
      <c r="AF1779" s="14" t="s">
        <v>123</v>
      </c>
      <c r="AG1779" s="14" t="s">
        <v>54</v>
      </c>
      <c r="AH1779" s="15" t="s">
        <v>9220</v>
      </c>
      <c r="AI1779" s="15" t="s">
        <v>9187</v>
      </c>
      <c r="AJ1779" s="15" t="s">
        <v>9143</v>
      </c>
      <c r="AK1779" s="15" t="s">
        <v>9221</v>
      </c>
      <c r="AL1779" s="15" t="s">
        <v>9226</v>
      </c>
      <c r="AM1779" s="16" t="s">
        <v>9221</v>
      </c>
      <c r="AN1779" s="16" t="s">
        <v>9227</v>
      </c>
    </row>
    <row r="1780" spans="1:40" x14ac:dyDescent="0.25">
      <c r="A1780" t="s">
        <v>4640</v>
      </c>
      <c r="C1780" t="s">
        <v>39</v>
      </c>
      <c r="D1780" t="s">
        <v>4641</v>
      </c>
      <c r="E1780" t="s">
        <v>4642</v>
      </c>
      <c r="F1780" s="2">
        <v>45180</v>
      </c>
      <c r="G1780" s="3">
        <v>0.40625</v>
      </c>
      <c r="H1780" t="s">
        <v>4516</v>
      </c>
      <c r="I1780" s="4" t="s">
        <v>4586</v>
      </c>
      <c r="J1780" t="s">
        <v>2630</v>
      </c>
      <c r="K1780" t="s">
        <v>4643</v>
      </c>
      <c r="L1780" t="s">
        <v>4644</v>
      </c>
      <c r="M1780" t="s">
        <v>46</v>
      </c>
      <c r="O1780" t="s">
        <v>47</v>
      </c>
      <c r="P1780" t="s">
        <v>48</v>
      </c>
      <c r="Q1780">
        <v>0</v>
      </c>
      <c r="R1780" t="b">
        <v>0</v>
      </c>
      <c r="S1780" t="s">
        <v>49</v>
      </c>
      <c r="T1780" t="s">
        <v>89</v>
      </c>
      <c r="U1780" t="s">
        <v>71</v>
      </c>
      <c r="V1780" t="s">
        <v>52</v>
      </c>
      <c r="W1780" t="s">
        <v>53</v>
      </c>
      <c r="X1780" t="s">
        <v>54</v>
      </c>
      <c r="Y1780" t="s">
        <v>176</v>
      </c>
      <c r="Z1780" s="12">
        <v>0</v>
      </c>
      <c r="AA1780" s="13" t="s">
        <v>9163</v>
      </c>
      <c r="AB1780" s="13" t="s">
        <v>9164</v>
      </c>
      <c r="AC1780" s="14" t="s">
        <v>9139</v>
      </c>
      <c r="AD1780" s="14" t="s">
        <v>9140</v>
      </c>
      <c r="AE1780" s="14" t="s">
        <v>9140</v>
      </c>
      <c r="AF1780" s="14" t="s">
        <v>52</v>
      </c>
      <c r="AG1780" s="14" t="s">
        <v>54</v>
      </c>
      <c r="AH1780" s="15" t="s">
        <v>9220</v>
      </c>
      <c r="AI1780" s="15" t="s">
        <v>9188</v>
      </c>
      <c r="AJ1780" s="15" t="s">
        <v>9143</v>
      </c>
      <c r="AK1780" s="15" t="s">
        <v>9221</v>
      </c>
      <c r="AL1780" s="15" t="s">
        <v>9232</v>
      </c>
      <c r="AM1780" s="16" t="s">
        <v>9221</v>
      </c>
      <c r="AN1780" s="16" t="s">
        <v>9233</v>
      </c>
    </row>
    <row r="1781" spans="1:40" x14ac:dyDescent="0.25">
      <c r="A1781" t="s">
        <v>3344</v>
      </c>
      <c r="C1781" t="s">
        <v>39</v>
      </c>
      <c r="D1781" t="s">
        <v>3345</v>
      </c>
      <c r="E1781" t="s">
        <v>3346</v>
      </c>
      <c r="F1781" s="2">
        <v>45180</v>
      </c>
      <c r="G1781" s="3">
        <v>0.61111111111111116</v>
      </c>
      <c r="H1781" t="s">
        <v>1939</v>
      </c>
      <c r="I1781" s="4" t="s">
        <v>3347</v>
      </c>
      <c r="J1781" t="s">
        <v>756</v>
      </c>
      <c r="K1781" t="s">
        <v>3348</v>
      </c>
      <c r="L1781" t="s">
        <v>3349</v>
      </c>
      <c r="M1781" t="s">
        <v>46</v>
      </c>
      <c r="O1781" t="s">
        <v>47</v>
      </c>
      <c r="P1781" t="s">
        <v>48</v>
      </c>
      <c r="Q1781">
        <v>0</v>
      </c>
      <c r="R1781" t="b">
        <v>0</v>
      </c>
      <c r="S1781" t="s">
        <v>49</v>
      </c>
      <c r="T1781" t="s">
        <v>3009</v>
      </c>
      <c r="U1781" t="s">
        <v>71</v>
      </c>
      <c r="V1781" t="s">
        <v>81</v>
      </c>
      <c r="W1781" t="s">
        <v>3132</v>
      </c>
      <c r="X1781" t="s">
        <v>54</v>
      </c>
      <c r="Z1781" s="12">
        <v>0</v>
      </c>
      <c r="AA1781" s="13" t="s">
        <v>9163</v>
      </c>
      <c r="AB1781" s="13" t="s">
        <v>9164</v>
      </c>
      <c r="AC1781" s="14" t="s">
        <v>9139</v>
      </c>
      <c r="AD1781" s="14" t="s">
        <v>9140</v>
      </c>
      <c r="AE1781" s="14" t="s">
        <v>9140</v>
      </c>
      <c r="AF1781" s="14" t="s">
        <v>81</v>
      </c>
      <c r="AG1781" s="14" t="s">
        <v>54</v>
      </c>
      <c r="AH1781" s="15" t="s">
        <v>9194</v>
      </c>
      <c r="AI1781" s="15" t="s">
        <v>9175</v>
      </c>
      <c r="AJ1781" s="15" t="s">
        <v>9143</v>
      </c>
      <c r="AK1781" s="15" t="s">
        <v>9194</v>
      </c>
      <c r="AL1781" s="15" t="s">
        <v>9195</v>
      </c>
      <c r="AM1781" s="16" t="s">
        <v>9194</v>
      </c>
      <c r="AN1781" s="16" t="s">
        <v>9196</v>
      </c>
    </row>
    <row r="1782" spans="1:40" x14ac:dyDescent="0.25">
      <c r="A1782" t="s">
        <v>157</v>
      </c>
      <c r="C1782" t="s">
        <v>39</v>
      </c>
      <c r="D1782" t="s">
        <v>158</v>
      </c>
      <c r="E1782" t="s">
        <v>159</v>
      </c>
      <c r="F1782" s="2">
        <v>45179</v>
      </c>
      <c r="G1782" s="3">
        <v>0.55000000000000004</v>
      </c>
      <c r="H1782" t="s">
        <v>42</v>
      </c>
      <c r="I1782" s="4">
        <v>1006</v>
      </c>
      <c r="J1782" t="s">
        <v>94</v>
      </c>
      <c r="K1782" t="s">
        <v>160</v>
      </c>
      <c r="L1782" t="s">
        <v>161</v>
      </c>
      <c r="M1782" t="s">
        <v>46</v>
      </c>
      <c r="O1782" t="s">
        <v>47</v>
      </c>
      <c r="P1782" t="s">
        <v>48</v>
      </c>
      <c r="Q1782">
        <v>0</v>
      </c>
      <c r="R1782" t="b">
        <v>0</v>
      </c>
      <c r="S1782" t="s">
        <v>61</v>
      </c>
      <c r="T1782" t="s">
        <v>89</v>
      </c>
      <c r="U1782" t="s">
        <v>107</v>
      </c>
      <c r="V1782" t="s">
        <v>72</v>
      </c>
      <c r="W1782" t="s">
        <v>73</v>
      </c>
      <c r="X1782" t="s">
        <v>54</v>
      </c>
      <c r="Z1782" s="12">
        <v>0</v>
      </c>
      <c r="AA1782" s="13" t="s">
        <v>9163</v>
      </c>
      <c r="AB1782" s="13" t="s">
        <v>9164</v>
      </c>
      <c r="AC1782" s="14" t="s">
        <v>9148</v>
      </c>
      <c r="AD1782" s="14" t="s">
        <v>9140</v>
      </c>
      <c r="AE1782" s="14" t="s">
        <v>9140</v>
      </c>
      <c r="AF1782" s="14" t="s">
        <v>72</v>
      </c>
      <c r="AG1782" s="14" t="s">
        <v>54</v>
      </c>
      <c r="AH1782" s="15" t="s">
        <v>9141</v>
      </c>
      <c r="AI1782" s="15" t="s">
        <v>9142</v>
      </c>
      <c r="AJ1782" s="15" t="s">
        <v>9143</v>
      </c>
      <c r="AK1782" s="15" t="s">
        <v>9141</v>
      </c>
      <c r="AL1782" s="15" t="s">
        <v>9144</v>
      </c>
      <c r="AM1782" s="16" t="s">
        <v>9141</v>
      </c>
      <c r="AN1782" s="16" t="s">
        <v>9145</v>
      </c>
    </row>
    <row r="1783" spans="1:40" x14ac:dyDescent="0.25">
      <c r="A1783" t="s">
        <v>1622</v>
      </c>
      <c r="C1783" t="s">
        <v>39</v>
      </c>
      <c r="D1783" t="s">
        <v>1584</v>
      </c>
      <c r="E1783" t="s">
        <v>1585</v>
      </c>
      <c r="F1783" s="2">
        <v>45179</v>
      </c>
      <c r="G1783" s="3">
        <v>0.4375</v>
      </c>
      <c r="H1783" t="s">
        <v>1366</v>
      </c>
      <c r="I1783" s="4">
        <v>6071</v>
      </c>
      <c r="J1783" t="s">
        <v>1586</v>
      </c>
      <c r="K1783" t="s">
        <v>426</v>
      </c>
      <c r="L1783" t="s">
        <v>1623</v>
      </c>
      <c r="M1783" t="s">
        <v>46</v>
      </c>
      <c r="O1783" t="s">
        <v>47</v>
      </c>
      <c r="P1783" t="s">
        <v>48</v>
      </c>
      <c r="Q1783">
        <v>0</v>
      </c>
      <c r="R1783" t="b">
        <v>0</v>
      </c>
      <c r="S1783" t="s">
        <v>61</v>
      </c>
      <c r="T1783" t="s">
        <v>89</v>
      </c>
      <c r="U1783" t="s">
        <v>426</v>
      </c>
      <c r="V1783" t="s">
        <v>63</v>
      </c>
      <c r="W1783" t="s">
        <v>108</v>
      </c>
      <c r="X1783" t="s">
        <v>98</v>
      </c>
      <c r="Z1783" s="12">
        <v>0</v>
      </c>
      <c r="AA1783" s="13" t="s">
        <v>9163</v>
      </c>
      <c r="AB1783" s="13" t="s">
        <v>9164</v>
      </c>
      <c r="AC1783" s="14" t="s">
        <v>9148</v>
      </c>
      <c r="AD1783" s="14" t="s">
        <v>9140</v>
      </c>
      <c r="AE1783" s="14" t="s">
        <v>9140</v>
      </c>
      <c r="AF1783" s="14" t="s">
        <v>63</v>
      </c>
      <c r="AG1783" s="14" t="s">
        <v>98</v>
      </c>
      <c r="AH1783" s="15" t="s">
        <v>9141</v>
      </c>
      <c r="AI1783" s="15" t="s">
        <v>9188</v>
      </c>
      <c r="AJ1783" s="15" t="s">
        <v>9143</v>
      </c>
      <c r="AK1783" s="15" t="s">
        <v>9141</v>
      </c>
      <c r="AL1783" s="15" t="s">
        <v>9191</v>
      </c>
      <c r="AM1783" s="16" t="s">
        <v>9141</v>
      </c>
      <c r="AN1783" s="16" t="s">
        <v>9192</v>
      </c>
    </row>
    <row r="1784" spans="1:40" x14ac:dyDescent="0.25">
      <c r="A1784" t="s">
        <v>8750</v>
      </c>
      <c r="C1784" t="s">
        <v>39</v>
      </c>
      <c r="D1784" t="s">
        <v>8751</v>
      </c>
      <c r="E1784" t="s">
        <v>8752</v>
      </c>
      <c r="F1784" s="2">
        <v>45179</v>
      </c>
      <c r="G1784" s="3">
        <v>0.44791666666666669</v>
      </c>
      <c r="H1784" t="s">
        <v>4516</v>
      </c>
      <c r="I1784" s="4" t="s">
        <v>8740</v>
      </c>
      <c r="J1784" t="s">
        <v>8741</v>
      </c>
      <c r="K1784" t="s">
        <v>8753</v>
      </c>
      <c r="L1784" t="s">
        <v>8754</v>
      </c>
      <c r="M1784" t="s">
        <v>46</v>
      </c>
      <c r="O1784" t="s">
        <v>47</v>
      </c>
      <c r="P1784" t="s">
        <v>48</v>
      </c>
      <c r="Q1784">
        <v>0</v>
      </c>
      <c r="R1784" t="b">
        <v>0</v>
      </c>
      <c r="S1784" t="s">
        <v>61</v>
      </c>
      <c r="T1784" t="s">
        <v>89</v>
      </c>
      <c r="U1784" t="s">
        <v>80</v>
      </c>
      <c r="V1784" t="s">
        <v>72</v>
      </c>
      <c r="W1784" t="s">
        <v>73</v>
      </c>
      <c r="X1784" t="s">
        <v>98</v>
      </c>
      <c r="Z1784" s="12">
        <v>0</v>
      </c>
      <c r="AA1784" s="13" t="s">
        <v>9163</v>
      </c>
      <c r="AB1784" s="13" t="s">
        <v>9164</v>
      </c>
      <c r="AC1784" s="14" t="s">
        <v>9148</v>
      </c>
      <c r="AD1784" s="14" t="s">
        <v>9140</v>
      </c>
      <c r="AE1784" s="14" t="s">
        <v>9140</v>
      </c>
      <c r="AF1784" s="14" t="s">
        <v>72</v>
      </c>
      <c r="AG1784" s="14" t="s">
        <v>98</v>
      </c>
      <c r="AH1784" s="15" t="s">
        <v>9220</v>
      </c>
      <c r="AI1784" s="15" t="s">
        <v>9188</v>
      </c>
      <c r="AJ1784" s="15" t="s">
        <v>9143</v>
      </c>
      <c r="AK1784" s="15" t="s">
        <v>9221</v>
      </c>
      <c r="AL1784" s="15" t="s">
        <v>9232</v>
      </c>
      <c r="AM1784" s="16" t="s">
        <v>9221</v>
      </c>
      <c r="AN1784" s="16" t="s">
        <v>9233</v>
      </c>
    </row>
    <row r="1785" spans="1:40" x14ac:dyDescent="0.25">
      <c r="A1785" t="s">
        <v>7138</v>
      </c>
      <c r="B1785" s="1" t="s">
        <v>7139</v>
      </c>
      <c r="C1785" t="s">
        <v>39</v>
      </c>
      <c r="D1785" t="s">
        <v>7140</v>
      </c>
      <c r="E1785" t="s">
        <v>7141</v>
      </c>
      <c r="F1785" s="2">
        <v>45177</v>
      </c>
      <c r="G1785" s="3">
        <v>0.39583333333333331</v>
      </c>
      <c r="H1785" t="s">
        <v>4242</v>
      </c>
      <c r="I1785" s="4" t="s">
        <v>7028</v>
      </c>
      <c r="J1785" t="s">
        <v>7029</v>
      </c>
      <c r="K1785" t="s">
        <v>7142</v>
      </c>
      <c r="L1785" t="s">
        <v>7143</v>
      </c>
      <c r="M1785" t="s">
        <v>28</v>
      </c>
      <c r="N1785" t="s">
        <v>183</v>
      </c>
      <c r="O1785" t="s">
        <v>174</v>
      </c>
      <c r="P1785" t="s">
        <v>48</v>
      </c>
      <c r="Q1785">
        <v>4</v>
      </c>
      <c r="R1785" t="b">
        <v>0</v>
      </c>
      <c r="S1785" t="s">
        <v>49</v>
      </c>
      <c r="T1785" t="s">
        <v>89</v>
      </c>
      <c r="U1785" t="s">
        <v>618</v>
      </c>
      <c r="V1785" t="s">
        <v>123</v>
      </c>
      <c r="W1785" t="s">
        <v>192</v>
      </c>
      <c r="X1785" t="s">
        <v>54</v>
      </c>
      <c r="Z1785" s="12" t="s">
        <v>48</v>
      </c>
      <c r="AA1785" s="13" t="s">
        <v>9163</v>
      </c>
      <c r="AB1785" s="13" t="s">
        <v>9164</v>
      </c>
      <c r="AC1785" s="14" t="s">
        <v>9139</v>
      </c>
      <c r="AD1785" s="14" t="s">
        <v>28</v>
      </c>
      <c r="AE1785" s="14" t="s">
        <v>183</v>
      </c>
      <c r="AF1785" s="14" t="s">
        <v>123</v>
      </c>
      <c r="AG1785" s="14" t="s">
        <v>54</v>
      </c>
      <c r="AH1785" s="15" t="s">
        <v>9220</v>
      </c>
      <c r="AI1785" s="15" t="s">
        <v>9187</v>
      </c>
      <c r="AJ1785" s="15" t="s">
        <v>9143</v>
      </c>
      <c r="AK1785" s="15" t="s">
        <v>9221</v>
      </c>
      <c r="AL1785" s="15" t="s">
        <v>9226</v>
      </c>
      <c r="AM1785" s="16" t="s">
        <v>9221</v>
      </c>
      <c r="AN1785" s="16" t="s">
        <v>9227</v>
      </c>
    </row>
    <row r="1786" spans="1:40" x14ac:dyDescent="0.25">
      <c r="A1786" t="s">
        <v>3812</v>
      </c>
      <c r="C1786" t="s">
        <v>39</v>
      </c>
      <c r="D1786" t="s">
        <v>3803</v>
      </c>
      <c r="E1786" t="s">
        <v>3804</v>
      </c>
      <c r="F1786" s="2">
        <v>45177</v>
      </c>
      <c r="G1786" s="3">
        <v>0.52500000000000002</v>
      </c>
      <c r="H1786" t="s">
        <v>2017</v>
      </c>
      <c r="I1786" s="4" t="s">
        <v>3805</v>
      </c>
      <c r="J1786" t="s">
        <v>3806</v>
      </c>
      <c r="K1786" t="s">
        <v>3813</v>
      </c>
      <c r="L1786" t="s">
        <v>3814</v>
      </c>
      <c r="M1786" t="s">
        <v>46</v>
      </c>
      <c r="O1786" t="s">
        <v>47</v>
      </c>
      <c r="P1786" t="s">
        <v>48</v>
      </c>
      <c r="Q1786">
        <v>0</v>
      </c>
      <c r="R1786" t="b">
        <v>0</v>
      </c>
      <c r="S1786" t="s">
        <v>49</v>
      </c>
      <c r="T1786" t="s">
        <v>89</v>
      </c>
      <c r="U1786" t="s">
        <v>71</v>
      </c>
      <c r="V1786" t="s">
        <v>63</v>
      </c>
      <c r="W1786" t="s">
        <v>108</v>
      </c>
      <c r="X1786" t="s">
        <v>98</v>
      </c>
      <c r="Z1786" s="12">
        <v>0</v>
      </c>
      <c r="AA1786" s="13" t="s">
        <v>9163</v>
      </c>
      <c r="AB1786" s="13" t="s">
        <v>9164</v>
      </c>
      <c r="AC1786" s="14" t="s">
        <v>9139</v>
      </c>
      <c r="AD1786" s="14" t="s">
        <v>9140</v>
      </c>
      <c r="AE1786" s="14" t="s">
        <v>9140</v>
      </c>
      <c r="AF1786" s="14" t="s">
        <v>63</v>
      </c>
      <c r="AG1786" s="14" t="s">
        <v>98</v>
      </c>
      <c r="AH1786" s="15" t="s">
        <v>9194</v>
      </c>
      <c r="AI1786" s="15" t="s">
        <v>9199</v>
      </c>
      <c r="AJ1786" s="15" t="s">
        <v>9143</v>
      </c>
      <c r="AK1786" s="15" t="s">
        <v>9194</v>
      </c>
      <c r="AL1786" s="15" t="s">
        <v>9199</v>
      </c>
      <c r="AM1786" s="16" t="s">
        <v>9194</v>
      </c>
      <c r="AN1786" s="16" t="s">
        <v>9200</v>
      </c>
    </row>
    <row r="1787" spans="1:40" x14ac:dyDescent="0.25">
      <c r="A1787" t="s">
        <v>3631</v>
      </c>
      <c r="C1787" t="s">
        <v>39</v>
      </c>
      <c r="D1787" t="s">
        <v>3632</v>
      </c>
      <c r="E1787" t="s">
        <v>3633</v>
      </c>
      <c r="F1787" s="2">
        <v>45176</v>
      </c>
      <c r="G1787" s="3">
        <v>0</v>
      </c>
      <c r="H1787" t="s">
        <v>2017</v>
      </c>
      <c r="I1787" s="4" t="s">
        <v>3607</v>
      </c>
      <c r="J1787" t="s">
        <v>3608</v>
      </c>
      <c r="K1787" t="s">
        <v>3634</v>
      </c>
      <c r="L1787" t="s">
        <v>3635</v>
      </c>
      <c r="M1787" t="s">
        <v>46</v>
      </c>
      <c r="O1787" t="s">
        <v>47</v>
      </c>
      <c r="P1787" t="s">
        <v>48</v>
      </c>
      <c r="Q1787">
        <v>0</v>
      </c>
      <c r="R1787" t="b">
        <v>0</v>
      </c>
      <c r="S1787" t="s">
        <v>49</v>
      </c>
      <c r="T1787" t="s">
        <v>70</v>
      </c>
      <c r="U1787" t="s">
        <v>107</v>
      </c>
      <c r="V1787" t="s">
        <v>72</v>
      </c>
      <c r="W1787" t="s">
        <v>73</v>
      </c>
      <c r="X1787" t="s">
        <v>98</v>
      </c>
      <c r="Z1787" s="12">
        <v>0</v>
      </c>
      <c r="AA1787" s="13" t="s">
        <v>9163</v>
      </c>
      <c r="AB1787" s="13" t="s">
        <v>9164</v>
      </c>
      <c r="AC1787" s="14" t="s">
        <v>9139</v>
      </c>
      <c r="AD1787" s="14" t="s">
        <v>9140</v>
      </c>
      <c r="AE1787" s="14" t="s">
        <v>9140</v>
      </c>
      <c r="AF1787" s="14" t="s">
        <v>72</v>
      </c>
      <c r="AG1787" s="14" t="s">
        <v>98</v>
      </c>
      <c r="AH1787" s="15" t="s">
        <v>9194</v>
      </c>
      <c r="AI1787" s="15" t="s">
        <v>9199</v>
      </c>
      <c r="AJ1787" s="15" t="s">
        <v>9143</v>
      </c>
      <c r="AK1787" s="15" t="s">
        <v>9194</v>
      </c>
      <c r="AL1787" s="15" t="s">
        <v>9199</v>
      </c>
      <c r="AM1787" s="16" t="s">
        <v>9194</v>
      </c>
      <c r="AN1787" s="16" t="s">
        <v>9200</v>
      </c>
    </row>
    <row r="1788" spans="1:40" x14ac:dyDescent="0.25">
      <c r="A1788" t="s">
        <v>2386</v>
      </c>
      <c r="C1788" t="s">
        <v>39</v>
      </c>
      <c r="D1788" t="s">
        <v>2387</v>
      </c>
      <c r="E1788" t="s">
        <v>2388</v>
      </c>
      <c r="F1788" s="2">
        <v>45176</v>
      </c>
      <c r="G1788" s="3">
        <v>0.66527777777777775</v>
      </c>
      <c r="H1788" t="s">
        <v>1992</v>
      </c>
      <c r="I1788" s="4" t="s">
        <v>2377</v>
      </c>
      <c r="J1788" t="s">
        <v>2378</v>
      </c>
      <c r="K1788" t="s">
        <v>905</v>
      </c>
      <c r="L1788" t="s">
        <v>2389</v>
      </c>
      <c r="M1788" t="s">
        <v>46</v>
      </c>
      <c r="O1788" t="s">
        <v>47</v>
      </c>
      <c r="P1788" t="s">
        <v>48</v>
      </c>
      <c r="Q1788">
        <v>0</v>
      </c>
      <c r="R1788" t="b">
        <v>0</v>
      </c>
      <c r="S1788" t="s">
        <v>61</v>
      </c>
      <c r="T1788" t="s">
        <v>479</v>
      </c>
      <c r="U1788" t="s">
        <v>175</v>
      </c>
      <c r="V1788" t="s">
        <v>52</v>
      </c>
      <c r="W1788" t="s">
        <v>53</v>
      </c>
      <c r="X1788" t="s">
        <v>54</v>
      </c>
      <c r="Z1788" s="12">
        <v>0</v>
      </c>
      <c r="AA1788" s="13" t="s">
        <v>9163</v>
      </c>
      <c r="AB1788" s="13" t="s">
        <v>9164</v>
      </c>
      <c r="AC1788" s="14" t="s">
        <v>9148</v>
      </c>
      <c r="AD1788" s="14" t="s">
        <v>9140</v>
      </c>
      <c r="AE1788" s="14" t="s">
        <v>9140</v>
      </c>
      <c r="AF1788" s="14" t="s">
        <v>52</v>
      </c>
      <c r="AG1788" s="14" t="s">
        <v>54</v>
      </c>
      <c r="AH1788" s="15" t="s">
        <v>9194</v>
      </c>
      <c r="AI1788" s="15" t="s">
        <v>9191</v>
      </c>
      <c r="AJ1788" s="15" t="s">
        <v>9143</v>
      </c>
      <c r="AK1788" s="15" t="s">
        <v>9194</v>
      </c>
      <c r="AL1788" s="15" t="s">
        <v>9197</v>
      </c>
      <c r="AM1788" s="16" t="s">
        <v>9194</v>
      </c>
      <c r="AN1788" s="16" t="s">
        <v>9198</v>
      </c>
    </row>
    <row r="1789" spans="1:40" x14ac:dyDescent="0.25">
      <c r="A1789" t="s">
        <v>8944</v>
      </c>
      <c r="C1789" t="s">
        <v>39</v>
      </c>
      <c r="D1789" t="s">
        <v>8945</v>
      </c>
      <c r="E1789" t="s">
        <v>8946</v>
      </c>
      <c r="F1789" s="2">
        <v>45176</v>
      </c>
      <c r="G1789" s="3">
        <v>0.43472222222222223</v>
      </c>
      <c r="H1789" t="s">
        <v>4019</v>
      </c>
      <c r="I1789" s="4" t="s">
        <v>8854</v>
      </c>
      <c r="J1789" t="s">
        <v>8855</v>
      </c>
      <c r="K1789" t="s">
        <v>8947</v>
      </c>
      <c r="L1789" t="s">
        <v>8948</v>
      </c>
      <c r="M1789" t="s">
        <v>46</v>
      </c>
      <c r="O1789" t="s">
        <v>47</v>
      </c>
      <c r="P1789" t="s">
        <v>48</v>
      </c>
      <c r="Q1789">
        <v>0</v>
      </c>
      <c r="R1789" t="b">
        <v>0</v>
      </c>
      <c r="S1789" t="s">
        <v>61</v>
      </c>
      <c r="T1789" t="s">
        <v>1058</v>
      </c>
      <c r="U1789" t="s">
        <v>71</v>
      </c>
      <c r="V1789" t="s">
        <v>405</v>
      </c>
      <c r="W1789" t="s">
        <v>406</v>
      </c>
      <c r="X1789" t="s">
        <v>54</v>
      </c>
      <c r="Z1789" s="12">
        <v>0</v>
      </c>
      <c r="AA1789" s="13" t="s">
        <v>9163</v>
      </c>
      <c r="AB1789" s="13" t="s">
        <v>9164</v>
      </c>
      <c r="AC1789" s="14" t="s">
        <v>9148</v>
      </c>
      <c r="AD1789" s="14" t="s">
        <v>9140</v>
      </c>
      <c r="AE1789" s="14" t="s">
        <v>9140</v>
      </c>
      <c r="AF1789" s="14" t="s">
        <v>405</v>
      </c>
      <c r="AG1789" s="14" t="s">
        <v>54</v>
      </c>
      <c r="AH1789" s="15" t="s">
        <v>9220</v>
      </c>
      <c r="AI1789" s="15" t="s">
        <v>9175</v>
      </c>
      <c r="AJ1789" s="15" t="s">
        <v>9183</v>
      </c>
      <c r="AK1789" s="15" t="s">
        <v>9239</v>
      </c>
      <c r="AL1789" s="15" t="s">
        <v>9240</v>
      </c>
      <c r="AM1789" s="16" t="s">
        <v>9186</v>
      </c>
      <c r="AN1789" s="16" t="s">
        <v>9186</v>
      </c>
    </row>
    <row r="1790" spans="1:40" x14ac:dyDescent="0.25">
      <c r="A1790" t="s">
        <v>6405</v>
      </c>
      <c r="B1790" s="1" t="s">
        <v>6406</v>
      </c>
      <c r="C1790" t="s">
        <v>39</v>
      </c>
      <c r="D1790" t="s">
        <v>6407</v>
      </c>
      <c r="E1790" t="s">
        <v>6408</v>
      </c>
      <c r="F1790" s="2">
        <v>45175</v>
      </c>
      <c r="G1790" s="3">
        <v>0.66666666666666663</v>
      </c>
      <c r="H1790" t="s">
        <v>4659</v>
      </c>
      <c r="I1790" s="4" t="s">
        <v>6379</v>
      </c>
      <c r="J1790" t="s">
        <v>6380</v>
      </c>
      <c r="K1790" t="s">
        <v>6409</v>
      </c>
      <c r="L1790" t="s">
        <v>6410</v>
      </c>
      <c r="M1790" t="s">
        <v>28</v>
      </c>
      <c r="N1790" t="s">
        <v>183</v>
      </c>
      <c r="O1790" t="s">
        <v>191</v>
      </c>
      <c r="P1790" t="s">
        <v>48</v>
      </c>
      <c r="Q1790">
        <v>0</v>
      </c>
      <c r="R1790" t="b">
        <v>0</v>
      </c>
      <c r="S1790" t="s">
        <v>61</v>
      </c>
      <c r="T1790" t="s">
        <v>89</v>
      </c>
      <c r="U1790" t="s">
        <v>148</v>
      </c>
      <c r="V1790" t="s">
        <v>52</v>
      </c>
      <c r="W1790" t="s">
        <v>53</v>
      </c>
      <c r="X1790" t="s">
        <v>54</v>
      </c>
      <c r="Z1790" s="12" t="s">
        <v>48</v>
      </c>
      <c r="AA1790" s="13" t="s">
        <v>9163</v>
      </c>
      <c r="AB1790" s="13" t="s">
        <v>9164</v>
      </c>
      <c r="AC1790" s="14" t="s">
        <v>9148</v>
      </c>
      <c r="AD1790" s="14" t="s">
        <v>28</v>
      </c>
      <c r="AE1790" s="14" t="s">
        <v>183</v>
      </c>
      <c r="AF1790" s="14" t="s">
        <v>52</v>
      </c>
      <c r="AG1790" s="14" t="s">
        <v>54</v>
      </c>
      <c r="AH1790" s="15" t="s">
        <v>9220</v>
      </c>
      <c r="AI1790" s="15" t="s">
        <v>9142</v>
      </c>
      <c r="AJ1790" s="15" t="s">
        <v>9143</v>
      </c>
      <c r="AK1790" s="15" t="s">
        <v>9221</v>
      </c>
      <c r="AL1790" s="15" t="s">
        <v>9228</v>
      </c>
      <c r="AM1790" s="16" t="s">
        <v>9221</v>
      </c>
      <c r="AN1790" s="16" t="s">
        <v>9229</v>
      </c>
    </row>
    <row r="1791" spans="1:40" x14ac:dyDescent="0.25">
      <c r="A1791" t="s">
        <v>5620</v>
      </c>
      <c r="C1791" t="s">
        <v>39</v>
      </c>
      <c r="D1791" t="s">
        <v>5621</v>
      </c>
      <c r="E1791" t="s">
        <v>5622</v>
      </c>
      <c r="F1791" s="2">
        <v>45175</v>
      </c>
      <c r="G1791" s="3">
        <v>0.60763888888888884</v>
      </c>
      <c r="H1791" t="s">
        <v>4019</v>
      </c>
      <c r="I1791" s="4" t="s">
        <v>5616</v>
      </c>
      <c r="J1791" t="s">
        <v>5617</v>
      </c>
      <c r="K1791" t="s">
        <v>5623</v>
      </c>
      <c r="L1791" t="s">
        <v>5624</v>
      </c>
      <c r="M1791" t="s">
        <v>46</v>
      </c>
      <c r="O1791" t="s">
        <v>47</v>
      </c>
      <c r="P1791" t="s">
        <v>48</v>
      </c>
      <c r="Q1791">
        <v>0</v>
      </c>
      <c r="R1791" t="b">
        <v>0</v>
      </c>
      <c r="S1791" t="s">
        <v>49</v>
      </c>
      <c r="T1791" t="s">
        <v>89</v>
      </c>
      <c r="U1791" t="s">
        <v>90</v>
      </c>
      <c r="V1791" t="s">
        <v>63</v>
      </c>
      <c r="W1791" t="s">
        <v>108</v>
      </c>
      <c r="X1791" t="s">
        <v>98</v>
      </c>
      <c r="Z1791" s="12">
        <v>0</v>
      </c>
      <c r="AA1791" s="13" t="s">
        <v>9163</v>
      </c>
      <c r="AB1791" s="13" t="s">
        <v>9164</v>
      </c>
      <c r="AC1791" s="14" t="s">
        <v>9139</v>
      </c>
      <c r="AD1791" s="14" t="s">
        <v>9140</v>
      </c>
      <c r="AE1791" s="14" t="s">
        <v>9140</v>
      </c>
      <c r="AF1791" s="14" t="s">
        <v>63</v>
      </c>
      <c r="AG1791" s="14" t="s">
        <v>98</v>
      </c>
      <c r="AH1791" s="15" t="s">
        <v>9220</v>
      </c>
      <c r="AI1791" s="15" t="s">
        <v>9175</v>
      </c>
      <c r="AJ1791" s="15" t="s">
        <v>9143</v>
      </c>
      <c r="AK1791" s="15" t="s">
        <v>9221</v>
      </c>
      <c r="AL1791" s="15" t="s">
        <v>9224</v>
      </c>
      <c r="AM1791" s="16" t="s">
        <v>9221</v>
      </c>
      <c r="AN1791" s="16" t="s">
        <v>9225</v>
      </c>
    </row>
    <row r="1792" spans="1:40" x14ac:dyDescent="0.25">
      <c r="A1792" t="s">
        <v>5625</v>
      </c>
      <c r="C1792" t="s">
        <v>39</v>
      </c>
      <c r="D1792" t="s">
        <v>5626</v>
      </c>
      <c r="E1792" t="s">
        <v>5627</v>
      </c>
      <c r="F1792" s="2">
        <v>45175</v>
      </c>
      <c r="G1792" s="3">
        <v>0.64583333333333337</v>
      </c>
      <c r="H1792" t="s">
        <v>4019</v>
      </c>
      <c r="I1792" s="4" t="s">
        <v>5616</v>
      </c>
      <c r="J1792" t="s">
        <v>5617</v>
      </c>
      <c r="K1792" t="s">
        <v>5628</v>
      </c>
      <c r="L1792" t="s">
        <v>5629</v>
      </c>
      <c r="M1792" t="s">
        <v>46</v>
      </c>
      <c r="O1792" t="s">
        <v>47</v>
      </c>
      <c r="P1792" t="s">
        <v>48</v>
      </c>
      <c r="Q1792">
        <v>0</v>
      </c>
      <c r="R1792" t="b">
        <v>0</v>
      </c>
      <c r="S1792" t="s">
        <v>49</v>
      </c>
      <c r="T1792" t="s">
        <v>89</v>
      </c>
      <c r="U1792" t="s">
        <v>175</v>
      </c>
      <c r="V1792" t="s">
        <v>63</v>
      </c>
      <c r="W1792" t="s">
        <v>108</v>
      </c>
      <c r="X1792" t="s">
        <v>98</v>
      </c>
      <c r="Z1792" s="12">
        <v>0</v>
      </c>
      <c r="AA1792" s="13" t="s">
        <v>9163</v>
      </c>
      <c r="AB1792" s="13" t="s">
        <v>9164</v>
      </c>
      <c r="AC1792" s="14" t="s">
        <v>9139</v>
      </c>
      <c r="AD1792" s="14" t="s">
        <v>9140</v>
      </c>
      <c r="AE1792" s="14" t="s">
        <v>9140</v>
      </c>
      <c r="AF1792" s="14" t="s">
        <v>63</v>
      </c>
      <c r="AG1792" s="14" t="s">
        <v>98</v>
      </c>
      <c r="AH1792" s="15" t="s">
        <v>9220</v>
      </c>
      <c r="AI1792" s="15" t="s">
        <v>9175</v>
      </c>
      <c r="AJ1792" s="15" t="s">
        <v>9143</v>
      </c>
      <c r="AK1792" s="15" t="s">
        <v>9221</v>
      </c>
      <c r="AL1792" s="15" t="s">
        <v>9224</v>
      </c>
      <c r="AM1792" s="16" t="s">
        <v>9221</v>
      </c>
      <c r="AN1792" s="16" t="s">
        <v>9225</v>
      </c>
    </row>
    <row r="1793" spans="1:40" x14ac:dyDescent="0.25">
      <c r="A1793" t="s">
        <v>4933</v>
      </c>
      <c r="C1793" t="s">
        <v>39</v>
      </c>
      <c r="D1793" t="s">
        <v>4915</v>
      </c>
      <c r="E1793" t="s">
        <v>4916</v>
      </c>
      <c r="F1793" s="2">
        <v>45175</v>
      </c>
      <c r="G1793" s="3">
        <v>0.625</v>
      </c>
      <c r="H1793" t="s">
        <v>4910</v>
      </c>
      <c r="I1793" s="4" t="s">
        <v>4911</v>
      </c>
      <c r="J1793" t="s">
        <v>2049</v>
      </c>
      <c r="K1793" t="s">
        <v>2442</v>
      </c>
      <c r="L1793" t="s">
        <v>4934</v>
      </c>
      <c r="M1793" t="s">
        <v>46</v>
      </c>
      <c r="O1793" t="s">
        <v>47</v>
      </c>
      <c r="P1793" t="s">
        <v>48</v>
      </c>
      <c r="Q1793">
        <v>0</v>
      </c>
      <c r="R1793" t="b">
        <v>0</v>
      </c>
      <c r="S1793" t="s">
        <v>49</v>
      </c>
      <c r="T1793" t="s">
        <v>89</v>
      </c>
      <c r="U1793" t="s">
        <v>90</v>
      </c>
      <c r="V1793" t="s">
        <v>63</v>
      </c>
      <c r="W1793" t="s">
        <v>108</v>
      </c>
      <c r="X1793" t="s">
        <v>98</v>
      </c>
      <c r="Y1793" t="s">
        <v>486</v>
      </c>
      <c r="Z1793" s="12">
        <v>0</v>
      </c>
      <c r="AA1793" s="13" t="s">
        <v>9163</v>
      </c>
      <c r="AB1793" s="13" t="s">
        <v>9164</v>
      </c>
      <c r="AC1793" s="14" t="s">
        <v>9139</v>
      </c>
      <c r="AD1793" s="14" t="s">
        <v>9140</v>
      </c>
      <c r="AE1793" s="14" t="s">
        <v>9140</v>
      </c>
      <c r="AF1793" s="14" t="s">
        <v>63</v>
      </c>
      <c r="AG1793" s="14" t="s">
        <v>98</v>
      </c>
      <c r="AH1793" s="15" t="s">
        <v>9220</v>
      </c>
      <c r="AI1793" s="15" t="s">
        <v>9191</v>
      </c>
      <c r="AJ1793" s="15" t="s">
        <v>9143</v>
      </c>
      <c r="AK1793" s="15" t="s">
        <v>9221</v>
      </c>
      <c r="AL1793" s="15" t="s">
        <v>9234</v>
      </c>
      <c r="AM1793" s="16" t="s">
        <v>9221</v>
      </c>
      <c r="AN1793" s="16" t="s">
        <v>9235</v>
      </c>
    </row>
    <row r="1794" spans="1:40" x14ac:dyDescent="0.25">
      <c r="A1794" t="s">
        <v>8674</v>
      </c>
      <c r="C1794" t="s">
        <v>39</v>
      </c>
      <c r="D1794" t="s">
        <v>8675</v>
      </c>
      <c r="E1794" t="s">
        <v>8676</v>
      </c>
      <c r="F1794" s="2">
        <v>45175</v>
      </c>
      <c r="G1794" s="3">
        <v>0.79166666666666663</v>
      </c>
      <c r="H1794" t="s">
        <v>4516</v>
      </c>
      <c r="I1794" s="4" t="s">
        <v>8639</v>
      </c>
      <c r="J1794" t="s">
        <v>1406</v>
      </c>
      <c r="K1794" t="s">
        <v>8677</v>
      </c>
      <c r="L1794" t="s">
        <v>8678</v>
      </c>
      <c r="M1794" t="s">
        <v>46</v>
      </c>
      <c r="O1794" t="s">
        <v>47</v>
      </c>
      <c r="P1794" t="s">
        <v>48</v>
      </c>
      <c r="Q1794">
        <v>0</v>
      </c>
      <c r="R1794" t="b">
        <v>0</v>
      </c>
      <c r="S1794" t="s">
        <v>49</v>
      </c>
      <c r="T1794" t="s">
        <v>479</v>
      </c>
      <c r="U1794" t="s">
        <v>122</v>
      </c>
      <c r="V1794" t="s">
        <v>123</v>
      </c>
      <c r="W1794" t="s">
        <v>124</v>
      </c>
      <c r="X1794" t="s">
        <v>54</v>
      </c>
      <c r="Z1794" s="12">
        <v>0</v>
      </c>
      <c r="AA1794" s="13" t="s">
        <v>9163</v>
      </c>
      <c r="AB1794" s="13" t="s">
        <v>9164</v>
      </c>
      <c r="AC1794" s="14" t="s">
        <v>9139</v>
      </c>
      <c r="AD1794" s="14" t="s">
        <v>9140</v>
      </c>
      <c r="AE1794" s="14" t="s">
        <v>9140</v>
      </c>
      <c r="AF1794" s="14" t="s">
        <v>123</v>
      </c>
      <c r="AG1794" s="14" t="s">
        <v>54</v>
      </c>
      <c r="AH1794" s="15" t="s">
        <v>9220</v>
      </c>
      <c r="AI1794" s="15" t="s">
        <v>9188</v>
      </c>
      <c r="AJ1794" s="15" t="s">
        <v>9143</v>
      </c>
      <c r="AK1794" s="15" t="s">
        <v>9221</v>
      </c>
      <c r="AL1794" s="15" t="s">
        <v>9236</v>
      </c>
      <c r="AM1794" s="16" t="s">
        <v>9221</v>
      </c>
      <c r="AN1794" s="16" t="s">
        <v>9237</v>
      </c>
    </row>
    <row r="1795" spans="1:40" x14ac:dyDescent="0.25">
      <c r="A1795" t="s">
        <v>3728</v>
      </c>
      <c r="C1795" t="s">
        <v>39</v>
      </c>
      <c r="D1795" t="s">
        <v>3720</v>
      </c>
      <c r="E1795" t="s">
        <v>3721</v>
      </c>
      <c r="F1795" s="2">
        <v>45175</v>
      </c>
      <c r="G1795" s="3">
        <v>0.54861111111111116</v>
      </c>
      <c r="H1795" t="s">
        <v>1939</v>
      </c>
      <c r="I1795" s="4" t="s">
        <v>3706</v>
      </c>
      <c r="J1795" t="s">
        <v>3707</v>
      </c>
      <c r="K1795" t="s">
        <v>3729</v>
      </c>
      <c r="L1795" t="s">
        <v>3730</v>
      </c>
      <c r="M1795" t="s">
        <v>46</v>
      </c>
      <c r="O1795" t="s">
        <v>47</v>
      </c>
      <c r="P1795" t="s">
        <v>48</v>
      </c>
      <c r="Q1795">
        <v>0</v>
      </c>
      <c r="R1795" t="b">
        <v>0</v>
      </c>
      <c r="S1795" t="s">
        <v>61</v>
      </c>
      <c r="T1795" t="s">
        <v>89</v>
      </c>
      <c r="U1795" t="s">
        <v>90</v>
      </c>
      <c r="V1795" t="s">
        <v>123</v>
      </c>
      <c r="W1795" t="s">
        <v>124</v>
      </c>
      <c r="X1795" t="s">
        <v>54</v>
      </c>
      <c r="Z1795" s="12">
        <v>0</v>
      </c>
      <c r="AA1795" s="13" t="s">
        <v>9163</v>
      </c>
      <c r="AB1795" s="13" t="s">
        <v>9164</v>
      </c>
      <c r="AC1795" s="14" t="s">
        <v>9148</v>
      </c>
      <c r="AD1795" s="14" t="s">
        <v>9140</v>
      </c>
      <c r="AE1795" s="14" t="s">
        <v>9140</v>
      </c>
      <c r="AF1795" s="14" t="s">
        <v>123</v>
      </c>
      <c r="AG1795" s="14" t="s">
        <v>54</v>
      </c>
      <c r="AH1795" s="15" t="s">
        <v>9194</v>
      </c>
      <c r="AI1795" s="15" t="s">
        <v>9175</v>
      </c>
      <c r="AJ1795" s="15" t="s">
        <v>9143</v>
      </c>
      <c r="AK1795" s="15" t="s">
        <v>9194</v>
      </c>
      <c r="AL1795" s="15" t="s">
        <v>9209</v>
      </c>
      <c r="AM1795" s="16" t="s">
        <v>9194</v>
      </c>
      <c r="AN1795" s="16" t="s">
        <v>9210</v>
      </c>
    </row>
    <row r="1796" spans="1:40" x14ac:dyDescent="0.25">
      <c r="A1796" t="s">
        <v>8593</v>
      </c>
      <c r="C1796" t="s">
        <v>39</v>
      </c>
      <c r="D1796" t="s">
        <v>8594</v>
      </c>
      <c r="E1796" t="s">
        <v>8595</v>
      </c>
      <c r="F1796" s="2">
        <v>45174</v>
      </c>
      <c r="G1796" s="3">
        <v>0.41666666666666669</v>
      </c>
      <c r="H1796" t="s">
        <v>5666</v>
      </c>
      <c r="I1796" s="4" t="s">
        <v>8586</v>
      </c>
      <c r="J1796" t="s">
        <v>3532</v>
      </c>
      <c r="K1796" t="s">
        <v>8596</v>
      </c>
      <c r="L1796" t="s">
        <v>8597</v>
      </c>
      <c r="M1796" t="s">
        <v>46</v>
      </c>
      <c r="O1796" t="s">
        <v>47</v>
      </c>
      <c r="P1796" t="s">
        <v>48</v>
      </c>
      <c r="Q1796">
        <v>0</v>
      </c>
      <c r="R1796" t="b">
        <v>0</v>
      </c>
      <c r="S1796" t="s">
        <v>114</v>
      </c>
      <c r="T1796" t="s">
        <v>70</v>
      </c>
      <c r="U1796" t="s">
        <v>71</v>
      </c>
      <c r="V1796" t="s">
        <v>72</v>
      </c>
      <c r="W1796" t="s">
        <v>73</v>
      </c>
      <c r="X1796" t="s">
        <v>54</v>
      </c>
      <c r="Z1796" s="12">
        <v>0</v>
      </c>
      <c r="AA1796" s="13" t="s">
        <v>9163</v>
      </c>
      <c r="AB1796" s="13" t="s">
        <v>9164</v>
      </c>
      <c r="AC1796" s="14" t="s">
        <v>9157</v>
      </c>
      <c r="AD1796" s="14" t="s">
        <v>9140</v>
      </c>
      <c r="AE1796" s="14" t="s">
        <v>9140</v>
      </c>
      <c r="AF1796" s="14" t="s">
        <v>72</v>
      </c>
      <c r="AG1796" s="14" t="s">
        <v>54</v>
      </c>
      <c r="AH1796" s="15" t="s">
        <v>9220</v>
      </c>
      <c r="AI1796" s="15" t="s">
        <v>9199</v>
      </c>
      <c r="AJ1796" s="15" t="s">
        <v>9143</v>
      </c>
      <c r="AK1796" s="15" t="s">
        <v>9221</v>
      </c>
      <c r="AL1796" s="15" t="s">
        <v>9199</v>
      </c>
      <c r="AM1796" s="16" t="s">
        <v>9221</v>
      </c>
      <c r="AN1796" s="16" t="s">
        <v>9238</v>
      </c>
    </row>
    <row r="1797" spans="1:40" x14ac:dyDescent="0.25">
      <c r="A1797" t="s">
        <v>1468</v>
      </c>
      <c r="C1797" t="s">
        <v>39</v>
      </c>
      <c r="D1797" t="s">
        <v>1469</v>
      </c>
      <c r="E1797" t="s">
        <v>1470</v>
      </c>
      <c r="F1797" s="2">
        <v>45173</v>
      </c>
      <c r="G1797" s="3">
        <v>0.63888888888888884</v>
      </c>
      <c r="H1797" t="s">
        <v>1366</v>
      </c>
      <c r="I1797" s="4">
        <v>5089</v>
      </c>
      <c r="J1797" t="s">
        <v>1445</v>
      </c>
      <c r="K1797" t="s">
        <v>1471</v>
      </c>
      <c r="L1797" t="s">
        <v>1472</v>
      </c>
      <c r="M1797" t="s">
        <v>46</v>
      </c>
      <c r="O1797" t="s">
        <v>47</v>
      </c>
      <c r="P1797" t="s">
        <v>48</v>
      </c>
      <c r="Q1797">
        <v>0</v>
      </c>
      <c r="R1797" t="b">
        <v>0</v>
      </c>
      <c r="S1797" t="s">
        <v>49</v>
      </c>
      <c r="T1797" t="s">
        <v>89</v>
      </c>
      <c r="U1797" t="s">
        <v>148</v>
      </c>
      <c r="V1797" t="s">
        <v>52</v>
      </c>
      <c r="W1797" t="s">
        <v>255</v>
      </c>
      <c r="X1797" t="s">
        <v>54</v>
      </c>
      <c r="Z1797" s="12">
        <v>0</v>
      </c>
      <c r="AA1797" s="13" t="s">
        <v>9163</v>
      </c>
      <c r="AB1797" s="13" t="s">
        <v>9164</v>
      </c>
      <c r="AC1797" s="14" t="s">
        <v>9139</v>
      </c>
      <c r="AD1797" s="14" t="s">
        <v>9140</v>
      </c>
      <c r="AE1797" s="14" t="s">
        <v>9140</v>
      </c>
      <c r="AF1797" s="14" t="s">
        <v>52</v>
      </c>
      <c r="AG1797" s="14" t="s">
        <v>54</v>
      </c>
      <c r="AH1797" s="15" t="s">
        <v>9141</v>
      </c>
      <c r="AI1797" s="15" t="s">
        <v>9188</v>
      </c>
      <c r="AJ1797" s="15" t="s">
        <v>9143</v>
      </c>
      <c r="AK1797" s="15" t="s">
        <v>9141</v>
      </c>
      <c r="AL1797" s="15" t="s">
        <v>9189</v>
      </c>
      <c r="AM1797" s="16" t="s">
        <v>9141</v>
      </c>
      <c r="AN1797" s="16" t="s">
        <v>9190</v>
      </c>
    </row>
    <row r="1798" spans="1:40" x14ac:dyDescent="0.25">
      <c r="A1798" t="s">
        <v>3990</v>
      </c>
      <c r="C1798" t="s">
        <v>39</v>
      </c>
      <c r="D1798" t="s">
        <v>3991</v>
      </c>
      <c r="E1798" t="s">
        <v>3992</v>
      </c>
      <c r="F1798" s="2">
        <v>45173</v>
      </c>
      <c r="G1798" s="3">
        <v>0.47916666666666669</v>
      </c>
      <c r="H1798" t="s">
        <v>1939</v>
      </c>
      <c r="I1798" s="4" t="s">
        <v>3981</v>
      </c>
      <c r="J1798" t="s">
        <v>3982</v>
      </c>
      <c r="K1798" t="s">
        <v>3993</v>
      </c>
      <c r="L1798" t="s">
        <v>3994</v>
      </c>
      <c r="M1798" t="s">
        <v>46</v>
      </c>
      <c r="O1798" t="s">
        <v>47</v>
      </c>
      <c r="P1798" t="s">
        <v>48</v>
      </c>
      <c r="Q1798">
        <v>0</v>
      </c>
      <c r="R1798" t="b">
        <v>0</v>
      </c>
      <c r="S1798" t="s">
        <v>114</v>
      </c>
      <c r="T1798" t="s">
        <v>89</v>
      </c>
      <c r="U1798" t="s">
        <v>140</v>
      </c>
      <c r="V1798" t="s">
        <v>123</v>
      </c>
      <c r="W1798" t="s">
        <v>192</v>
      </c>
      <c r="X1798" t="s">
        <v>54</v>
      </c>
      <c r="Z1798" s="12">
        <v>0</v>
      </c>
      <c r="AA1798" s="13" t="s">
        <v>9163</v>
      </c>
      <c r="AB1798" s="13" t="s">
        <v>9164</v>
      </c>
      <c r="AC1798" s="14" t="s">
        <v>9157</v>
      </c>
      <c r="AD1798" s="14" t="s">
        <v>9140</v>
      </c>
      <c r="AE1798" s="14" t="s">
        <v>9140</v>
      </c>
      <c r="AF1798" s="14" t="s">
        <v>123</v>
      </c>
      <c r="AG1798" s="14" t="s">
        <v>54</v>
      </c>
      <c r="AH1798" s="15" t="s">
        <v>9194</v>
      </c>
      <c r="AI1798" s="15" t="s">
        <v>9175</v>
      </c>
      <c r="AJ1798" s="15" t="s">
        <v>9183</v>
      </c>
      <c r="AK1798" s="15" t="s">
        <v>9214</v>
      </c>
      <c r="AL1798" s="15" t="s">
        <v>9215</v>
      </c>
      <c r="AM1798" s="16" t="s">
        <v>9186</v>
      </c>
      <c r="AN1798" s="16" t="s">
        <v>9186</v>
      </c>
    </row>
    <row r="1799" spans="1:40" x14ac:dyDescent="0.25">
      <c r="A1799" t="s">
        <v>383</v>
      </c>
      <c r="C1799" t="s">
        <v>39</v>
      </c>
      <c r="D1799" t="s">
        <v>270</v>
      </c>
      <c r="E1799" t="s">
        <v>271</v>
      </c>
      <c r="F1799" s="2">
        <v>45173</v>
      </c>
      <c r="G1799" s="3">
        <v>0.3125</v>
      </c>
      <c r="H1799" t="s">
        <v>42</v>
      </c>
      <c r="I1799" s="4">
        <v>1011</v>
      </c>
      <c r="J1799" t="s">
        <v>215</v>
      </c>
      <c r="K1799" t="s">
        <v>321</v>
      </c>
      <c r="L1799" t="s">
        <v>384</v>
      </c>
      <c r="M1799" t="s">
        <v>46</v>
      </c>
      <c r="O1799" t="s">
        <v>47</v>
      </c>
      <c r="P1799" t="s">
        <v>48</v>
      </c>
      <c r="Q1799">
        <v>0</v>
      </c>
      <c r="R1799" t="b">
        <v>0</v>
      </c>
      <c r="S1799" t="s">
        <v>61</v>
      </c>
      <c r="T1799" t="s">
        <v>89</v>
      </c>
      <c r="U1799" t="s">
        <v>148</v>
      </c>
      <c r="V1799" t="s">
        <v>52</v>
      </c>
      <c r="W1799" t="s">
        <v>255</v>
      </c>
      <c r="X1799" t="s">
        <v>54</v>
      </c>
      <c r="Z1799" s="12">
        <v>0</v>
      </c>
      <c r="AA1799" s="13" t="s">
        <v>9163</v>
      </c>
      <c r="AB1799" s="13" t="s">
        <v>9164</v>
      </c>
      <c r="AC1799" s="14" t="s">
        <v>9148</v>
      </c>
      <c r="AD1799" s="14" t="s">
        <v>9140</v>
      </c>
      <c r="AE1799" s="14" t="s">
        <v>9140</v>
      </c>
      <c r="AF1799" s="14" t="s">
        <v>52</v>
      </c>
      <c r="AG1799" s="14" t="s">
        <v>54</v>
      </c>
      <c r="AH1799" s="15" t="s">
        <v>9141</v>
      </c>
      <c r="AI1799" s="15" t="s">
        <v>9142</v>
      </c>
      <c r="AJ1799" s="15" t="s">
        <v>9143</v>
      </c>
      <c r="AK1799" s="15" t="s">
        <v>9141</v>
      </c>
      <c r="AL1799" s="15" t="s">
        <v>9144</v>
      </c>
      <c r="AM1799" s="16" t="s">
        <v>9141</v>
      </c>
      <c r="AN1799" s="16" t="s">
        <v>9145</v>
      </c>
    </row>
    <row r="1800" spans="1:40" x14ac:dyDescent="0.25">
      <c r="A1800" t="s">
        <v>982</v>
      </c>
      <c r="C1800" t="s">
        <v>39</v>
      </c>
      <c r="D1800" t="s">
        <v>961</v>
      </c>
      <c r="E1800" t="s">
        <v>962</v>
      </c>
      <c r="F1800" s="2">
        <v>45173</v>
      </c>
      <c r="G1800" s="3">
        <v>0.5</v>
      </c>
      <c r="H1800" t="s">
        <v>463</v>
      </c>
      <c r="I1800" s="4">
        <v>2033</v>
      </c>
      <c r="J1800" t="s">
        <v>952</v>
      </c>
      <c r="K1800" t="s">
        <v>983</v>
      </c>
      <c r="L1800" t="s">
        <v>984</v>
      </c>
      <c r="M1800" t="s">
        <v>46</v>
      </c>
      <c r="O1800" t="s">
        <v>47</v>
      </c>
      <c r="P1800" t="s">
        <v>48</v>
      </c>
      <c r="Q1800">
        <v>0</v>
      </c>
      <c r="R1800" t="b">
        <v>0</v>
      </c>
      <c r="S1800" t="s">
        <v>49</v>
      </c>
      <c r="T1800" t="s">
        <v>70</v>
      </c>
      <c r="U1800" t="s">
        <v>71</v>
      </c>
      <c r="V1800" t="s">
        <v>63</v>
      </c>
      <c r="W1800" t="s">
        <v>108</v>
      </c>
      <c r="X1800" t="s">
        <v>54</v>
      </c>
      <c r="Z1800" s="12">
        <v>0</v>
      </c>
      <c r="AA1800" s="13" t="s">
        <v>9163</v>
      </c>
      <c r="AB1800" s="13" t="s">
        <v>9164</v>
      </c>
      <c r="AC1800" s="14" t="s">
        <v>9139</v>
      </c>
      <c r="AD1800" s="14" t="s">
        <v>9140</v>
      </c>
      <c r="AE1800" s="14" t="s">
        <v>9140</v>
      </c>
      <c r="AF1800" s="14" t="s">
        <v>63</v>
      </c>
      <c r="AG1800" s="14" t="s">
        <v>54</v>
      </c>
      <c r="AH1800" s="15" t="s">
        <v>9141</v>
      </c>
      <c r="AI1800" s="15" t="s">
        <v>9175</v>
      </c>
      <c r="AJ1800" s="15" t="s">
        <v>9143</v>
      </c>
      <c r="AK1800" s="15" t="s">
        <v>9141</v>
      </c>
      <c r="AL1800" s="15" t="s">
        <v>9175</v>
      </c>
      <c r="AM1800" s="16" t="s">
        <v>9141</v>
      </c>
      <c r="AN1800" s="16" t="s">
        <v>9176</v>
      </c>
    </row>
    <row r="1801" spans="1:40" x14ac:dyDescent="0.25">
      <c r="A1801" t="s">
        <v>8274</v>
      </c>
      <c r="C1801" t="s">
        <v>39</v>
      </c>
      <c r="D1801" t="s">
        <v>8275</v>
      </c>
      <c r="E1801" t="s">
        <v>8276</v>
      </c>
      <c r="F1801" s="2">
        <v>45173</v>
      </c>
      <c r="G1801" s="3">
        <v>0.67708333333333337</v>
      </c>
      <c r="H1801" t="s">
        <v>4910</v>
      </c>
      <c r="I1801" s="4" t="s">
        <v>8223</v>
      </c>
      <c r="J1801" t="s">
        <v>1844</v>
      </c>
      <c r="K1801" t="s">
        <v>8277</v>
      </c>
      <c r="L1801" t="s">
        <v>8278</v>
      </c>
      <c r="M1801" t="s">
        <v>28</v>
      </c>
      <c r="N1801" t="s">
        <v>183</v>
      </c>
      <c r="O1801" t="s">
        <v>174</v>
      </c>
      <c r="P1801" t="s">
        <v>48</v>
      </c>
      <c r="Q1801">
        <v>4</v>
      </c>
      <c r="R1801" t="b">
        <v>0</v>
      </c>
      <c r="S1801" t="s">
        <v>184</v>
      </c>
      <c r="T1801" t="s">
        <v>70</v>
      </c>
      <c r="U1801" t="s">
        <v>80</v>
      </c>
      <c r="V1801" t="s">
        <v>63</v>
      </c>
      <c r="W1801" t="s">
        <v>108</v>
      </c>
      <c r="X1801" t="s">
        <v>978</v>
      </c>
      <c r="Z1801" s="12" t="s">
        <v>48</v>
      </c>
      <c r="AA1801" s="13" t="s">
        <v>9163</v>
      </c>
      <c r="AB1801" s="13" t="s">
        <v>9164</v>
      </c>
      <c r="AC1801" s="14" t="s">
        <v>9166</v>
      </c>
      <c r="AD1801" s="14" t="s">
        <v>28</v>
      </c>
      <c r="AE1801" s="14" t="s">
        <v>183</v>
      </c>
      <c r="AF1801" s="14" t="s">
        <v>63</v>
      </c>
      <c r="AG1801" s="14" t="s">
        <v>978</v>
      </c>
      <c r="AH1801" s="15" t="s">
        <v>9220</v>
      </c>
      <c r="AI1801" s="15" t="s">
        <v>9191</v>
      </c>
      <c r="AJ1801" s="15" t="s">
        <v>9143</v>
      </c>
      <c r="AK1801" s="15" t="s">
        <v>9221</v>
      </c>
      <c r="AL1801" s="15" t="s">
        <v>9226</v>
      </c>
      <c r="AM1801" s="16" t="s">
        <v>9221</v>
      </c>
      <c r="AN1801" s="16" t="s">
        <v>9227</v>
      </c>
    </row>
    <row r="1802" spans="1:40" x14ac:dyDescent="0.25">
      <c r="A1802" t="s">
        <v>7716</v>
      </c>
      <c r="B1802" s="1" t="s">
        <v>7717</v>
      </c>
      <c r="C1802" t="s">
        <v>39</v>
      </c>
      <c r="D1802" t="s">
        <v>7718</v>
      </c>
      <c r="E1802" t="s">
        <v>7719</v>
      </c>
      <c r="F1802" s="2">
        <v>45173</v>
      </c>
      <c r="G1802" s="3">
        <v>0.58333333333333337</v>
      </c>
      <c r="H1802" t="s">
        <v>4910</v>
      </c>
      <c r="I1802" s="4" t="s">
        <v>7681</v>
      </c>
      <c r="J1802" t="s">
        <v>2956</v>
      </c>
      <c r="K1802" t="s">
        <v>7720</v>
      </c>
      <c r="L1802" t="s">
        <v>7721</v>
      </c>
      <c r="M1802" t="s">
        <v>28</v>
      </c>
      <c r="N1802" t="s">
        <v>183</v>
      </c>
      <c r="O1802" t="s">
        <v>344</v>
      </c>
      <c r="P1802" t="s">
        <v>60</v>
      </c>
      <c r="Q1802">
        <v>557</v>
      </c>
      <c r="R1802" t="b">
        <v>0</v>
      </c>
      <c r="S1802" t="s">
        <v>184</v>
      </c>
      <c r="T1802" t="s">
        <v>479</v>
      </c>
      <c r="U1802" t="s">
        <v>2065</v>
      </c>
      <c r="V1802" t="s">
        <v>52</v>
      </c>
      <c r="W1802" t="s">
        <v>53</v>
      </c>
      <c r="X1802" t="s">
        <v>54</v>
      </c>
      <c r="Z1802" s="12" t="s">
        <v>60</v>
      </c>
      <c r="AA1802" s="13" t="s">
        <v>9163</v>
      </c>
      <c r="AB1802" s="13" t="s">
        <v>9164</v>
      </c>
      <c r="AC1802" s="14" t="s">
        <v>9166</v>
      </c>
      <c r="AD1802" s="14" t="s">
        <v>28</v>
      </c>
      <c r="AE1802" s="14" t="s">
        <v>183</v>
      </c>
      <c r="AF1802" s="14" t="s">
        <v>52</v>
      </c>
      <c r="AG1802" s="14" t="s">
        <v>54</v>
      </c>
      <c r="AH1802" s="15" t="s">
        <v>9220</v>
      </c>
      <c r="AI1802" s="15" t="s">
        <v>9191</v>
      </c>
      <c r="AJ1802" s="15" t="s">
        <v>9143</v>
      </c>
      <c r="AK1802" s="15" t="s">
        <v>9221</v>
      </c>
      <c r="AL1802" s="15" t="s">
        <v>9234</v>
      </c>
      <c r="AM1802" s="16" t="s">
        <v>9221</v>
      </c>
      <c r="AN1802" s="16" t="s">
        <v>9235</v>
      </c>
    </row>
    <row r="1803" spans="1:40" x14ac:dyDescent="0.25">
      <c r="A1803" t="s">
        <v>4759</v>
      </c>
      <c r="C1803" t="s">
        <v>39</v>
      </c>
      <c r="D1803" t="s">
        <v>4760</v>
      </c>
      <c r="E1803" t="s">
        <v>4761</v>
      </c>
      <c r="F1803" s="2">
        <v>45172</v>
      </c>
      <c r="G1803" s="3">
        <v>0.51736111111111116</v>
      </c>
      <c r="H1803" t="s">
        <v>4019</v>
      </c>
      <c r="I1803" s="4" t="s">
        <v>4713</v>
      </c>
      <c r="J1803" t="s">
        <v>4714</v>
      </c>
      <c r="K1803" t="s">
        <v>4762</v>
      </c>
      <c r="L1803" t="s">
        <v>4763</v>
      </c>
      <c r="M1803" t="s">
        <v>46</v>
      </c>
      <c r="O1803" t="s">
        <v>174</v>
      </c>
      <c r="P1803" t="s">
        <v>48</v>
      </c>
      <c r="Q1803">
        <v>15</v>
      </c>
      <c r="R1803" t="b">
        <v>0</v>
      </c>
      <c r="S1803" t="s">
        <v>184</v>
      </c>
      <c r="T1803" t="s">
        <v>425</v>
      </c>
      <c r="U1803" t="s">
        <v>71</v>
      </c>
      <c r="V1803" t="s">
        <v>72</v>
      </c>
      <c r="W1803" t="s">
        <v>73</v>
      </c>
      <c r="X1803" t="s">
        <v>54</v>
      </c>
      <c r="Y1803" t="s">
        <v>486</v>
      </c>
      <c r="Z1803" s="12">
        <v>0</v>
      </c>
      <c r="AA1803" s="13" t="s">
        <v>9163</v>
      </c>
      <c r="AB1803" s="13" t="s">
        <v>9164</v>
      </c>
      <c r="AC1803" s="14" t="s">
        <v>9166</v>
      </c>
      <c r="AD1803" s="14" t="s">
        <v>9140</v>
      </c>
      <c r="AE1803" s="14" t="s">
        <v>9140</v>
      </c>
      <c r="AF1803" s="14" t="s">
        <v>72</v>
      </c>
      <c r="AG1803" s="14" t="s">
        <v>54</v>
      </c>
      <c r="AH1803" s="15" t="s">
        <v>9220</v>
      </c>
      <c r="AI1803" s="15" t="s">
        <v>9175</v>
      </c>
      <c r="AJ1803" s="15" t="s">
        <v>9143</v>
      </c>
      <c r="AK1803" s="15" t="s">
        <v>9221</v>
      </c>
      <c r="AL1803" s="15" t="s">
        <v>9224</v>
      </c>
      <c r="AM1803" s="16" t="s">
        <v>9221</v>
      </c>
      <c r="AN1803" s="16" t="s">
        <v>9225</v>
      </c>
    </row>
    <row r="1804" spans="1:40" x14ac:dyDescent="0.25">
      <c r="A1804" t="s">
        <v>2559</v>
      </c>
      <c r="C1804" t="s">
        <v>39</v>
      </c>
      <c r="D1804" t="s">
        <v>2529</v>
      </c>
      <c r="E1804" t="s">
        <v>2530</v>
      </c>
      <c r="F1804" s="2">
        <v>45172</v>
      </c>
      <c r="G1804" s="3">
        <v>0.66666666666666663</v>
      </c>
      <c r="H1804" t="s">
        <v>1992</v>
      </c>
      <c r="I1804" s="4" t="s">
        <v>2520</v>
      </c>
      <c r="J1804" t="s">
        <v>2521</v>
      </c>
      <c r="K1804" t="s">
        <v>2560</v>
      </c>
      <c r="L1804" t="s">
        <v>2561</v>
      </c>
      <c r="M1804" t="s">
        <v>46</v>
      </c>
      <c r="O1804" t="s">
        <v>47</v>
      </c>
      <c r="P1804" t="s">
        <v>48</v>
      </c>
      <c r="Q1804">
        <v>0</v>
      </c>
      <c r="R1804" t="b">
        <v>0</v>
      </c>
      <c r="S1804" t="s">
        <v>49</v>
      </c>
      <c r="T1804" t="s">
        <v>89</v>
      </c>
      <c r="U1804" t="s">
        <v>2562</v>
      </c>
      <c r="V1804" t="s">
        <v>225</v>
      </c>
      <c r="W1804" t="s">
        <v>226</v>
      </c>
      <c r="X1804" t="s">
        <v>54</v>
      </c>
      <c r="Z1804" s="12">
        <v>0</v>
      </c>
      <c r="AA1804" s="13" t="s">
        <v>9163</v>
      </c>
      <c r="AB1804" s="13" t="s">
        <v>9164</v>
      </c>
      <c r="AC1804" s="14" t="s">
        <v>9139</v>
      </c>
      <c r="AD1804" s="14" t="s">
        <v>9140</v>
      </c>
      <c r="AE1804" s="14" t="s">
        <v>9140</v>
      </c>
      <c r="AF1804" s="14" t="s">
        <v>225</v>
      </c>
      <c r="AG1804" s="14" t="s">
        <v>54</v>
      </c>
      <c r="AH1804" s="15" t="s">
        <v>9194</v>
      </c>
      <c r="AI1804" s="15" t="s">
        <v>9191</v>
      </c>
      <c r="AJ1804" s="15" t="s">
        <v>9143</v>
      </c>
      <c r="AK1804" s="15" t="s">
        <v>9194</v>
      </c>
      <c r="AL1804" s="15" t="s">
        <v>9201</v>
      </c>
      <c r="AM1804" s="16" t="s">
        <v>9194</v>
      </c>
      <c r="AN1804" s="16" t="s">
        <v>9202</v>
      </c>
    </row>
    <row r="1805" spans="1:40" x14ac:dyDescent="0.25">
      <c r="A1805" t="s">
        <v>5543</v>
      </c>
      <c r="C1805" t="s">
        <v>39</v>
      </c>
      <c r="D1805" t="s">
        <v>5544</v>
      </c>
      <c r="E1805" t="s">
        <v>5545</v>
      </c>
      <c r="F1805" s="2">
        <v>45171</v>
      </c>
      <c r="G1805" s="3">
        <v>0.34722222222222221</v>
      </c>
      <c r="H1805" t="s">
        <v>4910</v>
      </c>
      <c r="I1805" s="4" t="s">
        <v>5502</v>
      </c>
      <c r="J1805" t="s">
        <v>3354</v>
      </c>
      <c r="K1805" t="s">
        <v>5546</v>
      </c>
      <c r="L1805" t="s">
        <v>5547</v>
      </c>
      <c r="M1805" t="s">
        <v>46</v>
      </c>
      <c r="O1805" t="s">
        <v>47</v>
      </c>
      <c r="P1805" t="s">
        <v>48</v>
      </c>
      <c r="Q1805">
        <v>0</v>
      </c>
      <c r="R1805" t="b">
        <v>0</v>
      </c>
      <c r="S1805" t="s">
        <v>114</v>
      </c>
      <c r="T1805" t="s">
        <v>479</v>
      </c>
      <c r="U1805" t="s">
        <v>148</v>
      </c>
      <c r="V1805" t="s">
        <v>52</v>
      </c>
      <c r="W1805" t="s">
        <v>53</v>
      </c>
      <c r="X1805" t="s">
        <v>54</v>
      </c>
      <c r="Y1805" t="s">
        <v>775</v>
      </c>
      <c r="Z1805" s="12">
        <v>0</v>
      </c>
      <c r="AA1805" s="13" t="s">
        <v>9163</v>
      </c>
      <c r="AB1805" s="13" t="s">
        <v>9164</v>
      </c>
      <c r="AC1805" s="14" t="s">
        <v>9157</v>
      </c>
      <c r="AD1805" s="14" t="s">
        <v>9140</v>
      </c>
      <c r="AE1805" s="14" t="s">
        <v>9140</v>
      </c>
      <c r="AF1805" s="14" t="s">
        <v>52</v>
      </c>
      <c r="AG1805" s="14" t="s">
        <v>54</v>
      </c>
      <c r="AH1805" s="15" t="s">
        <v>9220</v>
      </c>
      <c r="AI1805" s="15" t="s">
        <v>9191</v>
      </c>
      <c r="AJ1805" s="15" t="s">
        <v>9143</v>
      </c>
      <c r="AK1805" s="15" t="s">
        <v>9221</v>
      </c>
      <c r="AL1805" s="15" t="s">
        <v>9234</v>
      </c>
      <c r="AM1805" s="16" t="s">
        <v>9221</v>
      </c>
      <c r="AN1805" s="16" t="s">
        <v>9235</v>
      </c>
    </row>
    <row r="1806" spans="1:40" x14ac:dyDescent="0.25">
      <c r="A1806" t="s">
        <v>5658</v>
      </c>
      <c r="C1806" t="s">
        <v>39</v>
      </c>
      <c r="D1806" t="s">
        <v>5659</v>
      </c>
      <c r="E1806" t="s">
        <v>5660</v>
      </c>
      <c r="F1806" s="2">
        <v>45171</v>
      </c>
      <c r="G1806" s="3">
        <v>0.5</v>
      </c>
      <c r="H1806" t="s">
        <v>4516</v>
      </c>
      <c r="I1806" s="4" t="s">
        <v>5633</v>
      </c>
      <c r="J1806" t="s">
        <v>2661</v>
      </c>
      <c r="K1806" t="s">
        <v>5661</v>
      </c>
      <c r="L1806" t="s">
        <v>5662</v>
      </c>
      <c r="M1806" t="s">
        <v>46</v>
      </c>
      <c r="O1806" t="s">
        <v>47</v>
      </c>
      <c r="P1806" t="s">
        <v>48</v>
      </c>
      <c r="Q1806">
        <v>0</v>
      </c>
      <c r="R1806" t="b">
        <v>0</v>
      </c>
      <c r="S1806" t="s">
        <v>61</v>
      </c>
      <c r="T1806" t="s">
        <v>479</v>
      </c>
      <c r="U1806" t="s">
        <v>148</v>
      </c>
      <c r="V1806" t="s">
        <v>52</v>
      </c>
      <c r="W1806" t="s">
        <v>53</v>
      </c>
      <c r="X1806" t="s">
        <v>54</v>
      </c>
      <c r="Y1806" t="s">
        <v>176</v>
      </c>
      <c r="Z1806" s="12">
        <v>0</v>
      </c>
      <c r="AA1806" s="13" t="s">
        <v>9163</v>
      </c>
      <c r="AB1806" s="13" t="s">
        <v>9164</v>
      </c>
      <c r="AC1806" s="14" t="s">
        <v>9148</v>
      </c>
      <c r="AD1806" s="14" t="s">
        <v>9140</v>
      </c>
      <c r="AE1806" s="14" t="s">
        <v>9140</v>
      </c>
      <c r="AF1806" s="14" t="s">
        <v>52</v>
      </c>
      <c r="AG1806" s="14" t="s">
        <v>54</v>
      </c>
      <c r="AH1806" s="15" t="s">
        <v>9220</v>
      </c>
      <c r="AI1806" s="15" t="s">
        <v>9188</v>
      </c>
      <c r="AJ1806" s="15" t="s">
        <v>9143</v>
      </c>
      <c r="AK1806" s="15" t="s">
        <v>9221</v>
      </c>
      <c r="AL1806" s="15" t="s">
        <v>9232</v>
      </c>
      <c r="AM1806" s="16" t="s">
        <v>9221</v>
      </c>
      <c r="AN1806" s="16" t="s">
        <v>9233</v>
      </c>
    </row>
    <row r="1807" spans="1:40" x14ac:dyDescent="0.25">
      <c r="A1807" t="s">
        <v>9130</v>
      </c>
      <c r="B1807" s="1" t="s">
        <v>9131</v>
      </c>
      <c r="C1807" t="s">
        <v>39</v>
      </c>
      <c r="D1807" t="s">
        <v>9132</v>
      </c>
      <c r="E1807" t="s">
        <v>9133</v>
      </c>
      <c r="F1807" s="2">
        <v>45170</v>
      </c>
      <c r="G1807" s="3">
        <v>0.43402777777777779</v>
      </c>
      <c r="H1807" t="s">
        <v>4910</v>
      </c>
      <c r="I1807" s="4" t="s">
        <v>9134</v>
      </c>
      <c r="J1807" t="s">
        <v>10040</v>
      </c>
      <c r="K1807" t="s">
        <v>9135</v>
      </c>
      <c r="L1807" t="s">
        <v>9136</v>
      </c>
      <c r="M1807" t="s">
        <v>28</v>
      </c>
      <c r="N1807" t="s">
        <v>372</v>
      </c>
      <c r="O1807" t="s">
        <v>191</v>
      </c>
      <c r="P1807" t="s">
        <v>48</v>
      </c>
      <c r="Q1807">
        <v>42</v>
      </c>
      <c r="R1807" t="b">
        <v>0</v>
      </c>
      <c r="S1807" t="s">
        <v>114</v>
      </c>
      <c r="Z1807" s="12" t="s">
        <v>48</v>
      </c>
      <c r="AA1807" s="13" t="s">
        <v>9163</v>
      </c>
      <c r="AB1807" s="13" t="s">
        <v>9164</v>
      </c>
      <c r="AC1807" s="14" t="s">
        <v>9157</v>
      </c>
      <c r="AD1807" s="14" t="s">
        <v>28</v>
      </c>
      <c r="AE1807" s="14" t="s">
        <v>372</v>
      </c>
      <c r="AF1807" s="14">
        <v>0</v>
      </c>
      <c r="AG1807" s="14">
        <v>0</v>
      </c>
      <c r="AH1807" s="15" t="s">
        <v>9220</v>
      </c>
      <c r="AI1807" s="15" t="s">
        <v>9191</v>
      </c>
      <c r="AJ1807" s="15" t="s">
        <v>9183</v>
      </c>
      <c r="AK1807" s="15" t="s">
        <v>9239</v>
      </c>
      <c r="AL1807" s="15" t="s">
        <v>10041</v>
      </c>
      <c r="AM1807" s="16" t="s">
        <v>9186</v>
      </c>
      <c r="AN1807" s="16" t="s">
        <v>9186</v>
      </c>
    </row>
    <row r="1808" spans="1:40" x14ac:dyDescent="0.25">
      <c r="A1808" t="s">
        <v>7172</v>
      </c>
      <c r="C1808" t="s">
        <v>39</v>
      </c>
      <c r="D1808" t="s">
        <v>7173</v>
      </c>
      <c r="E1808" t="s">
        <v>7174</v>
      </c>
      <c r="F1808" s="2">
        <v>45169</v>
      </c>
      <c r="G1808" s="3">
        <v>0.63749999999999996</v>
      </c>
      <c r="H1808" t="s">
        <v>5666</v>
      </c>
      <c r="I1808" s="4" t="s">
        <v>7160</v>
      </c>
      <c r="J1808" t="s">
        <v>7161</v>
      </c>
      <c r="K1808" t="s">
        <v>7175</v>
      </c>
      <c r="L1808" t="s">
        <v>7176</v>
      </c>
      <c r="M1808" t="s">
        <v>46</v>
      </c>
      <c r="O1808" t="s">
        <v>47</v>
      </c>
      <c r="P1808" t="s">
        <v>48</v>
      </c>
      <c r="Q1808">
        <v>0</v>
      </c>
      <c r="R1808" t="b">
        <v>0</v>
      </c>
      <c r="S1808" t="s">
        <v>114</v>
      </c>
      <c r="T1808" t="s">
        <v>1577</v>
      </c>
      <c r="U1808" t="s">
        <v>165</v>
      </c>
      <c r="V1808" t="s">
        <v>672</v>
      </c>
      <c r="W1808" t="s">
        <v>673</v>
      </c>
      <c r="X1808" t="s">
        <v>54</v>
      </c>
      <c r="Z1808" s="12">
        <v>0</v>
      </c>
      <c r="AA1808" s="13" t="s">
        <v>9163</v>
      </c>
      <c r="AB1808" s="13" t="s">
        <v>9164</v>
      </c>
      <c r="AC1808" s="14" t="s">
        <v>9157</v>
      </c>
      <c r="AD1808" s="14" t="s">
        <v>9140</v>
      </c>
      <c r="AE1808" s="14" t="s">
        <v>9140</v>
      </c>
      <c r="AF1808" s="14" t="s">
        <v>672</v>
      </c>
      <c r="AG1808" s="14" t="s">
        <v>54</v>
      </c>
      <c r="AH1808" s="15" t="s">
        <v>9220</v>
      </c>
      <c r="AI1808" s="15" t="s">
        <v>9199</v>
      </c>
      <c r="AJ1808" s="15" t="s">
        <v>9143</v>
      </c>
      <c r="AK1808" s="15" t="s">
        <v>9221</v>
      </c>
      <c r="AL1808" s="15" t="s">
        <v>9199</v>
      </c>
      <c r="AM1808" s="16" t="s">
        <v>9221</v>
      </c>
      <c r="AN1808" s="16" t="s">
        <v>9238</v>
      </c>
    </row>
    <row r="1809" spans="1:40" x14ac:dyDescent="0.25">
      <c r="A1809" t="s">
        <v>7722</v>
      </c>
      <c r="C1809" t="s">
        <v>39</v>
      </c>
      <c r="D1809" t="s">
        <v>7723</v>
      </c>
      <c r="E1809" t="s">
        <v>7724</v>
      </c>
      <c r="F1809" s="2">
        <v>45169</v>
      </c>
      <c r="G1809" s="3">
        <v>0.58333333333333337</v>
      </c>
      <c r="H1809" t="s">
        <v>4910</v>
      </c>
      <c r="I1809" s="4" t="s">
        <v>7681</v>
      </c>
      <c r="J1809" t="s">
        <v>2956</v>
      </c>
      <c r="K1809" t="s">
        <v>175</v>
      </c>
      <c r="L1809" t="s">
        <v>7725</v>
      </c>
      <c r="M1809" t="s">
        <v>46</v>
      </c>
      <c r="O1809" t="s">
        <v>47</v>
      </c>
      <c r="P1809" t="s">
        <v>48</v>
      </c>
      <c r="Q1809">
        <v>0</v>
      </c>
      <c r="R1809" t="b">
        <v>0</v>
      </c>
      <c r="S1809" t="s">
        <v>61</v>
      </c>
      <c r="T1809" t="s">
        <v>479</v>
      </c>
      <c r="U1809" t="s">
        <v>175</v>
      </c>
      <c r="V1809" t="s">
        <v>52</v>
      </c>
      <c r="W1809" t="s">
        <v>53</v>
      </c>
      <c r="X1809" t="s">
        <v>54</v>
      </c>
      <c r="Y1809" t="s">
        <v>176</v>
      </c>
      <c r="Z1809" s="12">
        <v>0</v>
      </c>
      <c r="AA1809" s="13" t="s">
        <v>9163</v>
      </c>
      <c r="AB1809" s="13" t="s">
        <v>9164</v>
      </c>
      <c r="AC1809" s="14" t="s">
        <v>9148</v>
      </c>
      <c r="AD1809" s="14" t="s">
        <v>9140</v>
      </c>
      <c r="AE1809" s="14" t="s">
        <v>9140</v>
      </c>
      <c r="AF1809" s="14" t="s">
        <v>52</v>
      </c>
      <c r="AG1809" s="14" t="s">
        <v>54</v>
      </c>
      <c r="AH1809" s="15" t="s">
        <v>9220</v>
      </c>
      <c r="AI1809" s="15" t="s">
        <v>9191</v>
      </c>
      <c r="AJ1809" s="15" t="s">
        <v>9143</v>
      </c>
      <c r="AK1809" s="15" t="s">
        <v>9221</v>
      </c>
      <c r="AL1809" s="15" t="s">
        <v>9234</v>
      </c>
      <c r="AM1809" s="16" t="s">
        <v>9221</v>
      </c>
      <c r="AN1809" s="16" t="s">
        <v>9235</v>
      </c>
    </row>
    <row r="1810" spans="1:40" x14ac:dyDescent="0.25">
      <c r="A1810" t="s">
        <v>6352</v>
      </c>
      <c r="C1810" t="s">
        <v>39</v>
      </c>
      <c r="D1810" t="s">
        <v>6353</v>
      </c>
      <c r="E1810" t="s">
        <v>6354</v>
      </c>
      <c r="F1810" s="2">
        <v>45169</v>
      </c>
      <c r="G1810" s="3">
        <v>0.375</v>
      </c>
      <c r="H1810" t="s">
        <v>4019</v>
      </c>
      <c r="I1810" s="4" t="s">
        <v>6277</v>
      </c>
      <c r="J1810" t="s">
        <v>988</v>
      </c>
      <c r="K1810" t="s">
        <v>6355</v>
      </c>
      <c r="L1810" t="s">
        <v>6356</v>
      </c>
      <c r="M1810" t="s">
        <v>46</v>
      </c>
      <c r="O1810" t="s">
        <v>47</v>
      </c>
      <c r="P1810" t="s">
        <v>48</v>
      </c>
      <c r="Q1810">
        <v>0</v>
      </c>
      <c r="R1810" t="b">
        <v>0</v>
      </c>
      <c r="S1810" t="s">
        <v>49</v>
      </c>
      <c r="T1810" t="s">
        <v>50</v>
      </c>
      <c r="U1810" t="s">
        <v>71</v>
      </c>
      <c r="V1810" t="s">
        <v>63</v>
      </c>
      <c r="W1810" t="s">
        <v>198</v>
      </c>
      <c r="X1810" t="s">
        <v>54</v>
      </c>
      <c r="Z1810" s="12">
        <v>0</v>
      </c>
      <c r="AA1810" s="13" t="s">
        <v>9163</v>
      </c>
      <c r="AB1810" s="13" t="s">
        <v>9164</v>
      </c>
      <c r="AC1810" s="14" t="s">
        <v>9139</v>
      </c>
      <c r="AD1810" s="14" t="s">
        <v>9140</v>
      </c>
      <c r="AE1810" s="14" t="s">
        <v>9140</v>
      </c>
      <c r="AF1810" s="14" t="s">
        <v>63</v>
      </c>
      <c r="AG1810" s="14" t="s">
        <v>54</v>
      </c>
      <c r="AH1810" s="15" t="s">
        <v>9220</v>
      </c>
      <c r="AI1810" s="15" t="s">
        <v>9175</v>
      </c>
      <c r="AJ1810" s="15" t="s">
        <v>9143</v>
      </c>
      <c r="AK1810" s="15" t="s">
        <v>9221</v>
      </c>
      <c r="AL1810" s="15" t="s">
        <v>9222</v>
      </c>
      <c r="AM1810" s="16" t="s">
        <v>9221</v>
      </c>
      <c r="AN1810" s="16" t="s">
        <v>9223</v>
      </c>
    </row>
    <row r="1811" spans="1:40" x14ac:dyDescent="0.25">
      <c r="A1811" t="s">
        <v>9110</v>
      </c>
      <c r="B1811" s="1">
        <v>12230028344</v>
      </c>
      <c r="C1811" t="s">
        <v>39</v>
      </c>
      <c r="D1811" t="s">
        <v>9067</v>
      </c>
      <c r="E1811" t="s">
        <v>9068</v>
      </c>
      <c r="F1811" s="2">
        <v>45168</v>
      </c>
      <c r="G1811" s="3">
        <v>0.41666666666666669</v>
      </c>
      <c r="H1811" t="s">
        <v>4019</v>
      </c>
      <c r="I1811" s="4" t="s">
        <v>8971</v>
      </c>
      <c r="J1811" t="s">
        <v>8972</v>
      </c>
      <c r="K1811" t="s">
        <v>9111</v>
      </c>
      <c r="L1811" t="s">
        <v>9112</v>
      </c>
      <c r="M1811" t="s">
        <v>28</v>
      </c>
      <c r="N1811" t="s">
        <v>372</v>
      </c>
      <c r="O1811" t="s">
        <v>47</v>
      </c>
      <c r="P1811" t="s">
        <v>48</v>
      </c>
      <c r="Q1811">
        <v>0</v>
      </c>
      <c r="R1811" t="b">
        <v>0</v>
      </c>
      <c r="S1811" t="s">
        <v>184</v>
      </c>
      <c r="T1811" t="s">
        <v>89</v>
      </c>
      <c r="U1811" t="s">
        <v>175</v>
      </c>
      <c r="V1811" t="s">
        <v>63</v>
      </c>
      <c r="W1811" t="s">
        <v>108</v>
      </c>
      <c r="X1811" t="s">
        <v>54</v>
      </c>
      <c r="Z1811" s="12" t="s">
        <v>48</v>
      </c>
      <c r="AA1811" s="13" t="s">
        <v>9163</v>
      </c>
      <c r="AB1811" s="13" t="s">
        <v>9164</v>
      </c>
      <c r="AC1811" s="14" t="s">
        <v>9166</v>
      </c>
      <c r="AD1811" s="14" t="s">
        <v>28</v>
      </c>
      <c r="AE1811" s="14" t="s">
        <v>372</v>
      </c>
      <c r="AF1811" s="14" t="s">
        <v>63</v>
      </c>
      <c r="AG1811" s="14" t="s">
        <v>54</v>
      </c>
      <c r="AH1811" s="15" t="s">
        <v>9220</v>
      </c>
      <c r="AI1811" s="15" t="s">
        <v>9175</v>
      </c>
      <c r="AJ1811" s="15" t="s">
        <v>9181</v>
      </c>
      <c r="AK1811" s="15" t="s">
        <v>9182</v>
      </c>
      <c r="AL1811" s="15" t="s">
        <v>9182</v>
      </c>
      <c r="AM1811" s="16" t="s">
        <v>9182</v>
      </c>
      <c r="AN1811" s="16" t="s">
        <v>9182</v>
      </c>
    </row>
    <row r="1812" spans="1:40" x14ac:dyDescent="0.25">
      <c r="A1812" t="s">
        <v>6849</v>
      </c>
      <c r="C1812" t="s">
        <v>39</v>
      </c>
      <c r="D1812" t="s">
        <v>6850</v>
      </c>
      <c r="E1812" t="s">
        <v>6851</v>
      </c>
      <c r="F1812" s="2">
        <v>45168</v>
      </c>
      <c r="G1812" s="3">
        <v>0.73958333333333337</v>
      </c>
      <c r="H1812" t="s">
        <v>4910</v>
      </c>
      <c r="I1812" s="4" t="s">
        <v>6800</v>
      </c>
      <c r="J1812" t="s">
        <v>2914</v>
      </c>
      <c r="K1812" t="s">
        <v>6852</v>
      </c>
      <c r="L1812" t="s">
        <v>6853</v>
      </c>
      <c r="M1812" t="s">
        <v>46</v>
      </c>
      <c r="O1812" t="s">
        <v>47</v>
      </c>
      <c r="P1812" t="s">
        <v>48</v>
      </c>
      <c r="Q1812">
        <v>0</v>
      </c>
      <c r="R1812" t="b">
        <v>0</v>
      </c>
      <c r="S1812" t="s">
        <v>49</v>
      </c>
      <c r="T1812" t="s">
        <v>479</v>
      </c>
      <c r="U1812" t="s">
        <v>480</v>
      </c>
      <c r="V1812" t="s">
        <v>52</v>
      </c>
      <c r="W1812" t="s">
        <v>255</v>
      </c>
      <c r="X1812" t="s">
        <v>54</v>
      </c>
      <c r="Z1812" s="12">
        <v>0</v>
      </c>
      <c r="AA1812" s="13" t="s">
        <v>9163</v>
      </c>
      <c r="AB1812" s="13" t="s">
        <v>9164</v>
      </c>
      <c r="AC1812" s="14" t="s">
        <v>9139</v>
      </c>
      <c r="AD1812" s="14" t="s">
        <v>9140</v>
      </c>
      <c r="AE1812" s="14" t="s">
        <v>9140</v>
      </c>
      <c r="AF1812" s="14" t="s">
        <v>52</v>
      </c>
      <c r="AG1812" s="14" t="s">
        <v>54</v>
      </c>
      <c r="AH1812" s="15" t="s">
        <v>9220</v>
      </c>
      <c r="AI1812" s="15" t="s">
        <v>9191</v>
      </c>
      <c r="AJ1812" s="15" t="s">
        <v>9143</v>
      </c>
      <c r="AK1812" s="15" t="s">
        <v>9221</v>
      </c>
      <c r="AL1812" s="15" t="s">
        <v>9234</v>
      </c>
      <c r="AM1812" s="16" t="s">
        <v>9221</v>
      </c>
      <c r="AN1812" s="16" t="s">
        <v>9235</v>
      </c>
    </row>
    <row r="1813" spans="1:40" x14ac:dyDescent="0.25">
      <c r="A1813" t="s">
        <v>6239</v>
      </c>
      <c r="C1813" t="s">
        <v>39</v>
      </c>
      <c r="D1813" t="s">
        <v>6240</v>
      </c>
      <c r="E1813" t="s">
        <v>6241</v>
      </c>
      <c r="F1813" s="2">
        <v>45168</v>
      </c>
      <c r="G1813" s="3">
        <v>0.74375000000000002</v>
      </c>
      <c r="H1813" t="s">
        <v>5666</v>
      </c>
      <c r="I1813" s="4" t="s">
        <v>6217</v>
      </c>
      <c r="J1813" t="s">
        <v>3503</v>
      </c>
      <c r="K1813" t="s">
        <v>6242</v>
      </c>
      <c r="L1813" t="s">
        <v>6243</v>
      </c>
      <c r="M1813" t="s">
        <v>46</v>
      </c>
      <c r="O1813" t="s">
        <v>174</v>
      </c>
      <c r="P1813" t="s">
        <v>48</v>
      </c>
      <c r="Q1813">
        <v>0</v>
      </c>
      <c r="R1813" t="b">
        <v>1</v>
      </c>
      <c r="S1813" t="s">
        <v>114</v>
      </c>
      <c r="T1813" t="s">
        <v>70</v>
      </c>
      <c r="U1813" t="s">
        <v>224</v>
      </c>
      <c r="V1813" t="s">
        <v>63</v>
      </c>
      <c r="W1813" t="s">
        <v>198</v>
      </c>
      <c r="X1813" t="s">
        <v>774</v>
      </c>
      <c r="Y1813" t="s">
        <v>211</v>
      </c>
      <c r="Z1813" s="12">
        <v>0</v>
      </c>
      <c r="AA1813" s="13" t="s">
        <v>9163</v>
      </c>
      <c r="AB1813" s="13" t="s">
        <v>9164</v>
      </c>
      <c r="AC1813" s="14" t="s">
        <v>9157</v>
      </c>
      <c r="AD1813" s="14" t="s">
        <v>9140</v>
      </c>
      <c r="AE1813" s="14" t="s">
        <v>9140</v>
      </c>
      <c r="AF1813" s="14" t="s">
        <v>63</v>
      </c>
      <c r="AG1813" s="14" t="s">
        <v>774</v>
      </c>
      <c r="AH1813" s="15" t="s">
        <v>9220</v>
      </c>
      <c r="AI1813" s="15" t="s">
        <v>9199</v>
      </c>
      <c r="AJ1813" s="15" t="s">
        <v>9143</v>
      </c>
      <c r="AK1813" s="15" t="s">
        <v>9221</v>
      </c>
      <c r="AL1813" s="15" t="s">
        <v>9199</v>
      </c>
      <c r="AM1813" s="16" t="s">
        <v>9221</v>
      </c>
      <c r="AN1813" s="16" t="s">
        <v>9238</v>
      </c>
    </row>
    <row r="1814" spans="1:40" x14ac:dyDescent="0.25">
      <c r="A1814" t="s">
        <v>2818</v>
      </c>
      <c r="C1814" t="s">
        <v>39</v>
      </c>
      <c r="D1814" t="s">
        <v>2819</v>
      </c>
      <c r="E1814" t="s">
        <v>2820</v>
      </c>
      <c r="F1814" s="2">
        <v>45168</v>
      </c>
      <c r="G1814" s="3">
        <v>0.59027777777777779</v>
      </c>
      <c r="H1814" t="s">
        <v>2095</v>
      </c>
      <c r="I1814" s="4" t="s">
        <v>2777</v>
      </c>
      <c r="J1814" t="s">
        <v>1406</v>
      </c>
      <c r="K1814" t="s">
        <v>2821</v>
      </c>
      <c r="L1814" t="s">
        <v>2822</v>
      </c>
      <c r="M1814" t="s">
        <v>46</v>
      </c>
      <c r="O1814" t="s">
        <v>47</v>
      </c>
      <c r="P1814" t="s">
        <v>48</v>
      </c>
      <c r="Q1814">
        <v>0</v>
      </c>
      <c r="R1814" t="b">
        <v>0</v>
      </c>
      <c r="S1814" t="s">
        <v>49</v>
      </c>
      <c r="T1814" t="s">
        <v>50</v>
      </c>
      <c r="U1814" t="s">
        <v>373</v>
      </c>
      <c r="V1814" t="s">
        <v>123</v>
      </c>
      <c r="W1814" t="s">
        <v>124</v>
      </c>
      <c r="X1814" t="s">
        <v>54</v>
      </c>
      <c r="Z1814" s="12">
        <v>0</v>
      </c>
      <c r="AA1814" s="13" t="s">
        <v>9163</v>
      </c>
      <c r="AB1814" s="13" t="s">
        <v>9164</v>
      </c>
      <c r="AC1814" s="14" t="s">
        <v>9139</v>
      </c>
      <c r="AD1814" s="14" t="s">
        <v>9140</v>
      </c>
      <c r="AE1814" s="14" t="s">
        <v>9140</v>
      </c>
      <c r="AF1814" s="14" t="s">
        <v>123</v>
      </c>
      <c r="AG1814" s="14" t="s">
        <v>54</v>
      </c>
      <c r="AH1814" s="15" t="s">
        <v>9194</v>
      </c>
      <c r="AI1814" s="15" t="s">
        <v>9188</v>
      </c>
      <c r="AJ1814" s="15" t="s">
        <v>9143</v>
      </c>
      <c r="AK1814" s="15" t="s">
        <v>9194</v>
      </c>
      <c r="AL1814" s="15" t="s">
        <v>9211</v>
      </c>
      <c r="AM1814" s="16" t="s">
        <v>9194</v>
      </c>
      <c r="AN1814" s="16" t="s">
        <v>9212</v>
      </c>
    </row>
    <row r="1815" spans="1:40" x14ac:dyDescent="0.25">
      <c r="A1815" t="s">
        <v>1980</v>
      </c>
      <c r="C1815" t="s">
        <v>39</v>
      </c>
      <c r="D1815" t="s">
        <v>1981</v>
      </c>
      <c r="E1815" t="s">
        <v>1982</v>
      </c>
      <c r="F1815" s="2">
        <v>45168</v>
      </c>
      <c r="G1815" s="3">
        <v>0.61458333333333337</v>
      </c>
      <c r="H1815" t="s">
        <v>1939</v>
      </c>
      <c r="I1815" s="4" t="s">
        <v>1940</v>
      </c>
      <c r="J1815" t="s">
        <v>1941</v>
      </c>
      <c r="K1815" t="s">
        <v>1983</v>
      </c>
      <c r="L1815" t="s">
        <v>1984</v>
      </c>
      <c r="M1815" t="s">
        <v>46</v>
      </c>
      <c r="O1815" t="s">
        <v>47</v>
      </c>
      <c r="P1815" t="s">
        <v>48</v>
      </c>
      <c r="Q1815">
        <v>0</v>
      </c>
      <c r="R1815" t="b">
        <v>0</v>
      </c>
      <c r="S1815" t="s">
        <v>49</v>
      </c>
      <c r="T1815" t="s">
        <v>583</v>
      </c>
      <c r="U1815" t="s">
        <v>140</v>
      </c>
      <c r="V1815" t="s">
        <v>123</v>
      </c>
      <c r="W1815" t="s">
        <v>192</v>
      </c>
      <c r="X1815" t="s">
        <v>54</v>
      </c>
      <c r="Z1815" s="12">
        <v>0</v>
      </c>
      <c r="AA1815" s="13" t="s">
        <v>9163</v>
      </c>
      <c r="AB1815" s="13" t="s">
        <v>9164</v>
      </c>
      <c r="AC1815" s="14" t="s">
        <v>9139</v>
      </c>
      <c r="AD1815" s="14" t="s">
        <v>9140</v>
      </c>
      <c r="AE1815" s="14" t="s">
        <v>9140</v>
      </c>
      <c r="AF1815" s="14" t="s">
        <v>123</v>
      </c>
      <c r="AG1815" s="14" t="s">
        <v>54</v>
      </c>
      <c r="AH1815" s="15" t="s">
        <v>9194</v>
      </c>
      <c r="AI1815" s="15" t="s">
        <v>9175</v>
      </c>
      <c r="AJ1815" s="15" t="s">
        <v>9143</v>
      </c>
      <c r="AK1815" s="15" t="s">
        <v>9194</v>
      </c>
      <c r="AL1815" s="15" t="s">
        <v>9195</v>
      </c>
      <c r="AM1815" s="16" t="s">
        <v>9194</v>
      </c>
      <c r="AN1815" s="16" t="s">
        <v>9196</v>
      </c>
    </row>
    <row r="1816" spans="1:40" x14ac:dyDescent="0.25">
      <c r="A1816" t="s">
        <v>3601</v>
      </c>
      <c r="C1816" t="s">
        <v>39</v>
      </c>
      <c r="D1816" t="s">
        <v>3589</v>
      </c>
      <c r="E1816" t="s">
        <v>3590</v>
      </c>
      <c r="F1816" s="2">
        <v>45167</v>
      </c>
      <c r="G1816" s="3">
        <v>0.66666666666666663</v>
      </c>
      <c r="H1816" t="s">
        <v>2168</v>
      </c>
      <c r="I1816" s="4" t="s">
        <v>3591</v>
      </c>
      <c r="J1816" t="s">
        <v>3592</v>
      </c>
      <c r="K1816" t="s">
        <v>3602</v>
      </c>
      <c r="L1816" t="s">
        <v>3603</v>
      </c>
      <c r="M1816" t="s">
        <v>46</v>
      </c>
      <c r="O1816" t="s">
        <v>47</v>
      </c>
      <c r="P1816" t="s">
        <v>48</v>
      </c>
      <c r="Q1816">
        <v>0</v>
      </c>
      <c r="R1816" t="b">
        <v>0</v>
      </c>
      <c r="S1816" t="s">
        <v>61</v>
      </c>
      <c r="T1816" t="s">
        <v>89</v>
      </c>
      <c r="U1816" t="s">
        <v>90</v>
      </c>
      <c r="V1816" t="s">
        <v>63</v>
      </c>
      <c r="W1816" t="s">
        <v>64</v>
      </c>
      <c r="X1816" t="s">
        <v>54</v>
      </c>
      <c r="Z1816" s="12">
        <v>0</v>
      </c>
      <c r="AA1816" s="13" t="s">
        <v>9163</v>
      </c>
      <c r="AB1816" s="13" t="s">
        <v>9164</v>
      </c>
      <c r="AC1816" s="14" t="s">
        <v>9148</v>
      </c>
      <c r="AD1816" s="14" t="s">
        <v>9140</v>
      </c>
      <c r="AE1816" s="14" t="s">
        <v>9140</v>
      </c>
      <c r="AF1816" s="14" t="s">
        <v>63</v>
      </c>
      <c r="AG1816" s="14" t="s">
        <v>54</v>
      </c>
      <c r="AH1816" s="15" t="s">
        <v>9194</v>
      </c>
      <c r="AI1816" s="15" t="s">
        <v>9142</v>
      </c>
      <c r="AJ1816" s="15" t="s">
        <v>9143</v>
      </c>
      <c r="AK1816" s="15" t="s">
        <v>9194</v>
      </c>
      <c r="AL1816" s="15" t="s">
        <v>9207</v>
      </c>
      <c r="AM1816" s="16" t="s">
        <v>9194</v>
      </c>
      <c r="AN1816" s="16" t="s">
        <v>9208</v>
      </c>
    </row>
    <row r="1817" spans="1:40" x14ac:dyDescent="0.25">
      <c r="A1817" t="s">
        <v>2219</v>
      </c>
      <c r="C1817" t="s">
        <v>39</v>
      </c>
      <c r="D1817" t="s">
        <v>2220</v>
      </c>
      <c r="E1817" t="s">
        <v>2221</v>
      </c>
      <c r="F1817" s="2">
        <v>45167</v>
      </c>
      <c r="G1817" s="3">
        <v>0.52847222222222223</v>
      </c>
      <c r="H1817" t="s">
        <v>2017</v>
      </c>
      <c r="I1817" s="4" t="s">
        <v>2191</v>
      </c>
      <c r="J1817" t="s">
        <v>2192</v>
      </c>
      <c r="K1817" t="s">
        <v>2222</v>
      </c>
      <c r="L1817" t="s">
        <v>2223</v>
      </c>
      <c r="M1817" t="s">
        <v>46</v>
      </c>
      <c r="O1817" t="s">
        <v>47</v>
      </c>
      <c r="P1817" t="s">
        <v>48</v>
      </c>
      <c r="Q1817">
        <v>0</v>
      </c>
      <c r="R1817" t="b">
        <v>0</v>
      </c>
      <c r="S1817" t="s">
        <v>61</v>
      </c>
      <c r="T1817" t="s">
        <v>89</v>
      </c>
      <c r="U1817" t="s">
        <v>90</v>
      </c>
      <c r="V1817" t="s">
        <v>63</v>
      </c>
      <c r="W1817" t="s">
        <v>108</v>
      </c>
      <c r="X1817" t="s">
        <v>54</v>
      </c>
      <c r="Z1817" s="12">
        <v>0</v>
      </c>
      <c r="AA1817" s="13" t="s">
        <v>9163</v>
      </c>
      <c r="AB1817" s="13" t="s">
        <v>9164</v>
      </c>
      <c r="AC1817" s="14" t="s">
        <v>9148</v>
      </c>
      <c r="AD1817" s="14" t="s">
        <v>9140</v>
      </c>
      <c r="AE1817" s="14" t="s">
        <v>9140</v>
      </c>
      <c r="AF1817" s="14" t="s">
        <v>63</v>
      </c>
      <c r="AG1817" s="14" t="s">
        <v>54</v>
      </c>
      <c r="AH1817" s="15" t="s">
        <v>9194</v>
      </c>
      <c r="AI1817" s="15" t="s">
        <v>9199</v>
      </c>
      <c r="AJ1817" s="15" t="s">
        <v>9143</v>
      </c>
      <c r="AK1817" s="15" t="s">
        <v>9194</v>
      </c>
      <c r="AL1817" s="15" t="s">
        <v>9199</v>
      </c>
      <c r="AM1817" s="16" t="s">
        <v>9194</v>
      </c>
      <c r="AN1817" s="16" t="s">
        <v>9200</v>
      </c>
    </row>
    <row r="1818" spans="1:40" x14ac:dyDescent="0.25">
      <c r="A1818" t="s">
        <v>6546</v>
      </c>
      <c r="B1818" s="1" t="s">
        <v>6547</v>
      </c>
      <c r="C1818" t="s">
        <v>39</v>
      </c>
      <c r="D1818" t="s">
        <v>6548</v>
      </c>
      <c r="E1818" t="s">
        <v>6549</v>
      </c>
      <c r="F1818" s="2">
        <v>45167</v>
      </c>
      <c r="G1818" s="3">
        <v>0.52777777777777779</v>
      </c>
      <c r="H1818" t="s">
        <v>4910</v>
      </c>
      <c r="I1818" s="4" t="s">
        <v>6502</v>
      </c>
      <c r="J1818" t="s">
        <v>6503</v>
      </c>
      <c r="K1818" t="s">
        <v>6550</v>
      </c>
      <c r="L1818" t="s">
        <v>6551</v>
      </c>
      <c r="M1818" t="s">
        <v>28</v>
      </c>
      <c r="N1818" t="s">
        <v>183</v>
      </c>
      <c r="O1818" t="s">
        <v>174</v>
      </c>
      <c r="P1818" t="s">
        <v>48</v>
      </c>
      <c r="Q1818">
        <v>16</v>
      </c>
      <c r="R1818" t="b">
        <v>0</v>
      </c>
      <c r="S1818" t="s">
        <v>184</v>
      </c>
      <c r="T1818" t="s">
        <v>1495</v>
      </c>
      <c r="U1818" t="s">
        <v>122</v>
      </c>
      <c r="V1818" t="s">
        <v>123</v>
      </c>
      <c r="W1818" t="s">
        <v>124</v>
      </c>
      <c r="X1818" t="s">
        <v>1131</v>
      </c>
      <c r="Z1818" s="12" t="s">
        <v>48</v>
      </c>
      <c r="AA1818" s="13" t="s">
        <v>9163</v>
      </c>
      <c r="AB1818" s="13" t="s">
        <v>9164</v>
      </c>
      <c r="AC1818" s="14" t="s">
        <v>9166</v>
      </c>
      <c r="AD1818" s="14" t="s">
        <v>28</v>
      </c>
      <c r="AE1818" s="14" t="s">
        <v>183</v>
      </c>
      <c r="AF1818" s="14" t="s">
        <v>123</v>
      </c>
      <c r="AG1818" s="14" t="s">
        <v>1131</v>
      </c>
      <c r="AH1818" s="15" t="s">
        <v>9220</v>
      </c>
      <c r="AI1818" s="15" t="s">
        <v>9191</v>
      </c>
      <c r="AJ1818" s="15" t="s">
        <v>9143</v>
      </c>
      <c r="AK1818" s="15" t="s">
        <v>9221</v>
      </c>
      <c r="AL1818" s="15" t="s">
        <v>9236</v>
      </c>
      <c r="AM1818" s="16" t="s">
        <v>9221</v>
      </c>
      <c r="AN1818" s="16" t="s">
        <v>9237</v>
      </c>
    </row>
    <row r="1819" spans="1:40" x14ac:dyDescent="0.25">
      <c r="A1819" t="s">
        <v>8006</v>
      </c>
      <c r="C1819" t="s">
        <v>39</v>
      </c>
      <c r="D1819" t="s">
        <v>7990</v>
      </c>
      <c r="E1819" t="s">
        <v>7991</v>
      </c>
      <c r="F1819" s="2">
        <v>45167</v>
      </c>
      <c r="G1819" s="3">
        <v>0.64583333333333337</v>
      </c>
      <c r="H1819" t="s">
        <v>4910</v>
      </c>
      <c r="I1819" s="4" t="s">
        <v>7985</v>
      </c>
      <c r="J1819" t="s">
        <v>7986</v>
      </c>
      <c r="K1819" t="s">
        <v>8007</v>
      </c>
      <c r="L1819" t="s">
        <v>8008</v>
      </c>
      <c r="M1819" t="s">
        <v>46</v>
      </c>
      <c r="O1819" t="s">
        <v>47</v>
      </c>
      <c r="P1819" t="s">
        <v>48</v>
      </c>
      <c r="Q1819">
        <v>0</v>
      </c>
      <c r="R1819" t="b">
        <v>0</v>
      </c>
      <c r="S1819" t="s">
        <v>61</v>
      </c>
      <c r="T1819" t="s">
        <v>134</v>
      </c>
      <c r="U1819" t="s">
        <v>600</v>
      </c>
      <c r="V1819" t="s">
        <v>63</v>
      </c>
      <c r="W1819" t="s">
        <v>198</v>
      </c>
      <c r="X1819" t="s">
        <v>54</v>
      </c>
      <c r="Y1819" t="s">
        <v>176</v>
      </c>
      <c r="Z1819" s="12">
        <v>0</v>
      </c>
      <c r="AA1819" s="13" t="s">
        <v>9163</v>
      </c>
      <c r="AB1819" s="13" t="s">
        <v>9164</v>
      </c>
      <c r="AC1819" s="14" t="s">
        <v>9148</v>
      </c>
      <c r="AD1819" s="14" t="s">
        <v>9140</v>
      </c>
      <c r="AE1819" s="14" t="s">
        <v>9140</v>
      </c>
      <c r="AF1819" s="14" t="s">
        <v>63</v>
      </c>
      <c r="AG1819" s="14" t="s">
        <v>54</v>
      </c>
      <c r="AH1819" s="15" t="s">
        <v>9220</v>
      </c>
      <c r="AI1819" s="15" t="s">
        <v>9191</v>
      </c>
      <c r="AJ1819" s="15" t="s">
        <v>9143</v>
      </c>
      <c r="AK1819" s="15" t="s">
        <v>9221</v>
      </c>
      <c r="AL1819" s="15" t="s">
        <v>9234</v>
      </c>
      <c r="AM1819" s="16" t="s">
        <v>9221</v>
      </c>
      <c r="AN1819" s="16" t="s">
        <v>9235</v>
      </c>
    </row>
    <row r="1820" spans="1:40" x14ac:dyDescent="0.25">
      <c r="A1820" t="s">
        <v>6483</v>
      </c>
      <c r="C1820" t="s">
        <v>39</v>
      </c>
      <c r="D1820" t="s">
        <v>6484</v>
      </c>
      <c r="E1820" t="s">
        <v>6485</v>
      </c>
      <c r="F1820" s="2">
        <v>45167</v>
      </c>
      <c r="G1820" s="3">
        <v>0.43472222222222223</v>
      </c>
      <c r="H1820" t="s">
        <v>4659</v>
      </c>
      <c r="I1820" s="4" t="s">
        <v>6441</v>
      </c>
      <c r="J1820" t="s">
        <v>6442</v>
      </c>
      <c r="K1820" t="s">
        <v>6486</v>
      </c>
      <c r="L1820" t="s">
        <v>6487</v>
      </c>
      <c r="M1820" t="s">
        <v>46</v>
      </c>
      <c r="O1820" t="s">
        <v>47</v>
      </c>
      <c r="P1820" t="s">
        <v>48</v>
      </c>
      <c r="Q1820">
        <v>0</v>
      </c>
      <c r="R1820" t="b">
        <v>0</v>
      </c>
      <c r="S1820" t="s">
        <v>61</v>
      </c>
      <c r="T1820" t="s">
        <v>89</v>
      </c>
      <c r="U1820" t="s">
        <v>90</v>
      </c>
      <c r="V1820" t="s">
        <v>72</v>
      </c>
      <c r="W1820" t="s">
        <v>73</v>
      </c>
      <c r="X1820" t="s">
        <v>54</v>
      </c>
      <c r="Z1820" s="12">
        <v>0</v>
      </c>
      <c r="AA1820" s="13" t="s">
        <v>9163</v>
      </c>
      <c r="AB1820" s="13" t="s">
        <v>9164</v>
      </c>
      <c r="AC1820" s="14" t="s">
        <v>9148</v>
      </c>
      <c r="AD1820" s="14" t="s">
        <v>9140</v>
      </c>
      <c r="AE1820" s="14" t="s">
        <v>9140</v>
      </c>
      <c r="AF1820" s="14" t="s">
        <v>72</v>
      </c>
      <c r="AG1820" s="14" t="s">
        <v>54</v>
      </c>
      <c r="AH1820" s="15" t="s">
        <v>9220</v>
      </c>
      <c r="AI1820" s="15" t="s">
        <v>9142</v>
      </c>
      <c r="AJ1820" s="15" t="s">
        <v>9143</v>
      </c>
      <c r="AK1820" s="15" t="s">
        <v>9221</v>
      </c>
      <c r="AL1820" s="15" t="s">
        <v>9228</v>
      </c>
      <c r="AM1820" s="16" t="s">
        <v>9221</v>
      </c>
      <c r="AN1820" s="16" t="s">
        <v>9229</v>
      </c>
    </row>
    <row r="1821" spans="1:40" x14ac:dyDescent="0.25">
      <c r="A1821" t="s">
        <v>7144</v>
      </c>
      <c r="B1821" s="1" t="s">
        <v>7145</v>
      </c>
      <c r="C1821" t="s">
        <v>39</v>
      </c>
      <c r="D1821" t="s">
        <v>7093</v>
      </c>
      <c r="E1821" t="s">
        <v>7094</v>
      </c>
      <c r="F1821" s="2">
        <v>45166</v>
      </c>
      <c r="G1821" s="3">
        <v>0.5</v>
      </c>
      <c r="H1821" t="s">
        <v>4242</v>
      </c>
      <c r="I1821" s="4" t="s">
        <v>7028</v>
      </c>
      <c r="J1821" t="s">
        <v>7029</v>
      </c>
      <c r="K1821" t="s">
        <v>7146</v>
      </c>
      <c r="L1821" t="s">
        <v>7147</v>
      </c>
      <c r="M1821" t="s">
        <v>28</v>
      </c>
      <c r="N1821" t="s">
        <v>183</v>
      </c>
      <c r="O1821" t="s">
        <v>174</v>
      </c>
      <c r="P1821" t="s">
        <v>48</v>
      </c>
      <c r="Q1821">
        <v>0</v>
      </c>
      <c r="R1821" t="b">
        <v>0</v>
      </c>
      <c r="S1821" t="s">
        <v>114</v>
      </c>
      <c r="T1821" t="s">
        <v>433</v>
      </c>
      <c r="U1821" t="s">
        <v>51</v>
      </c>
      <c r="V1821" t="s">
        <v>123</v>
      </c>
      <c r="W1821" t="s">
        <v>192</v>
      </c>
      <c r="X1821" t="s">
        <v>54</v>
      </c>
      <c r="Y1821" t="s">
        <v>302</v>
      </c>
      <c r="Z1821" s="12" t="s">
        <v>48</v>
      </c>
      <c r="AA1821" s="13" t="s">
        <v>9163</v>
      </c>
      <c r="AB1821" s="13" t="s">
        <v>9164</v>
      </c>
      <c r="AC1821" s="14" t="s">
        <v>9157</v>
      </c>
      <c r="AD1821" s="14" t="s">
        <v>28</v>
      </c>
      <c r="AE1821" s="14" t="s">
        <v>183</v>
      </c>
      <c r="AF1821" s="14" t="s">
        <v>123</v>
      </c>
      <c r="AG1821" s="14" t="s">
        <v>54</v>
      </c>
      <c r="AH1821" s="15" t="s">
        <v>9220</v>
      </c>
      <c r="AI1821" s="15" t="s">
        <v>9187</v>
      </c>
      <c r="AJ1821" s="15" t="s">
        <v>9143</v>
      </c>
      <c r="AK1821" s="15" t="s">
        <v>9221</v>
      </c>
      <c r="AL1821" s="15" t="s">
        <v>9226</v>
      </c>
      <c r="AM1821" s="16" t="s">
        <v>9221</v>
      </c>
      <c r="AN1821" s="16" t="s">
        <v>9227</v>
      </c>
    </row>
    <row r="1822" spans="1:40" x14ac:dyDescent="0.25">
      <c r="A1822" t="s">
        <v>6244</v>
      </c>
      <c r="C1822" t="s">
        <v>39</v>
      </c>
      <c r="D1822" t="s">
        <v>6245</v>
      </c>
      <c r="E1822" t="s">
        <v>6246</v>
      </c>
      <c r="F1822" s="2">
        <v>45166</v>
      </c>
      <c r="G1822" s="3">
        <v>0.6166666666666667</v>
      </c>
      <c r="H1822" t="s">
        <v>5666</v>
      </c>
      <c r="I1822" s="4" t="s">
        <v>6217</v>
      </c>
      <c r="J1822" t="s">
        <v>3503</v>
      </c>
      <c r="K1822" t="s">
        <v>851</v>
      </c>
      <c r="L1822" t="s">
        <v>6247</v>
      </c>
      <c r="M1822" t="s">
        <v>46</v>
      </c>
      <c r="O1822" t="s">
        <v>47</v>
      </c>
      <c r="P1822" t="s">
        <v>48</v>
      </c>
      <c r="Q1822">
        <v>0</v>
      </c>
      <c r="R1822" t="b">
        <v>0</v>
      </c>
      <c r="S1822" t="s">
        <v>61</v>
      </c>
      <c r="T1822" t="s">
        <v>89</v>
      </c>
      <c r="U1822" t="s">
        <v>51</v>
      </c>
      <c r="V1822" t="s">
        <v>52</v>
      </c>
      <c r="W1822" t="s">
        <v>255</v>
      </c>
      <c r="X1822" t="s">
        <v>54</v>
      </c>
      <c r="Z1822" s="12">
        <v>0</v>
      </c>
      <c r="AA1822" s="13" t="s">
        <v>9163</v>
      </c>
      <c r="AB1822" s="13" t="s">
        <v>9164</v>
      </c>
      <c r="AC1822" s="14" t="s">
        <v>9148</v>
      </c>
      <c r="AD1822" s="14" t="s">
        <v>9140</v>
      </c>
      <c r="AE1822" s="14" t="s">
        <v>9140</v>
      </c>
      <c r="AF1822" s="14" t="s">
        <v>52</v>
      </c>
      <c r="AG1822" s="14" t="s">
        <v>54</v>
      </c>
      <c r="AH1822" s="15" t="s">
        <v>9220</v>
      </c>
      <c r="AI1822" s="15" t="s">
        <v>9199</v>
      </c>
      <c r="AJ1822" s="15" t="s">
        <v>9143</v>
      </c>
      <c r="AK1822" s="15" t="s">
        <v>9221</v>
      </c>
      <c r="AL1822" s="15" t="s">
        <v>9199</v>
      </c>
      <c r="AM1822" s="16" t="s">
        <v>9221</v>
      </c>
      <c r="AN1822" s="16" t="s">
        <v>9238</v>
      </c>
    </row>
    <row r="1823" spans="1:40" x14ac:dyDescent="0.25">
      <c r="A1823" t="s">
        <v>910</v>
      </c>
      <c r="C1823" t="s">
        <v>39</v>
      </c>
      <c r="D1823" t="s">
        <v>911</v>
      </c>
      <c r="E1823" t="s">
        <v>912</v>
      </c>
      <c r="F1823" s="2">
        <v>45165</v>
      </c>
      <c r="G1823" s="3">
        <v>0.47916666666666669</v>
      </c>
      <c r="H1823" t="s">
        <v>463</v>
      </c>
      <c r="I1823" s="4">
        <v>2030</v>
      </c>
      <c r="J1823" t="s">
        <v>876</v>
      </c>
      <c r="K1823" t="s">
        <v>913</v>
      </c>
      <c r="L1823" t="s">
        <v>914</v>
      </c>
      <c r="M1823" t="s">
        <v>46</v>
      </c>
      <c r="O1823" t="s">
        <v>47</v>
      </c>
      <c r="P1823" t="s">
        <v>48</v>
      </c>
      <c r="Q1823">
        <v>0</v>
      </c>
      <c r="R1823" t="b">
        <v>0</v>
      </c>
      <c r="S1823" t="s">
        <v>61</v>
      </c>
      <c r="T1823" t="s">
        <v>89</v>
      </c>
      <c r="U1823" t="s">
        <v>426</v>
      </c>
      <c r="V1823" t="s">
        <v>123</v>
      </c>
      <c r="W1823" t="s">
        <v>124</v>
      </c>
      <c r="X1823" t="s">
        <v>54</v>
      </c>
      <c r="Z1823" s="12">
        <v>0</v>
      </c>
      <c r="AA1823" s="13" t="s">
        <v>9165</v>
      </c>
      <c r="AB1823" s="13" t="s">
        <v>9164</v>
      </c>
      <c r="AC1823" s="14" t="s">
        <v>9148</v>
      </c>
      <c r="AD1823" s="14" t="s">
        <v>9140</v>
      </c>
      <c r="AE1823" s="14" t="s">
        <v>9140</v>
      </c>
      <c r="AF1823" s="14" t="s">
        <v>123</v>
      </c>
      <c r="AG1823" s="14" t="s">
        <v>54</v>
      </c>
      <c r="AH1823" s="15" t="s">
        <v>9141</v>
      </c>
      <c r="AI1823" s="15" t="s">
        <v>9175</v>
      </c>
      <c r="AJ1823" s="15" t="s">
        <v>9143</v>
      </c>
      <c r="AK1823" s="15" t="s">
        <v>9141</v>
      </c>
      <c r="AL1823" s="15" t="s">
        <v>9177</v>
      </c>
      <c r="AM1823" s="16" t="s">
        <v>9141</v>
      </c>
      <c r="AN1823" s="16" t="s">
        <v>9178</v>
      </c>
    </row>
    <row r="1824" spans="1:40" x14ac:dyDescent="0.25">
      <c r="A1824" t="s">
        <v>1322</v>
      </c>
      <c r="C1824" t="s">
        <v>39</v>
      </c>
      <c r="D1824" t="s">
        <v>1294</v>
      </c>
      <c r="E1824" t="s">
        <v>1295</v>
      </c>
      <c r="F1824" s="2">
        <v>45165</v>
      </c>
      <c r="G1824" s="3">
        <v>0.46527777777777779</v>
      </c>
      <c r="H1824" t="s">
        <v>1155</v>
      </c>
      <c r="I1824" s="4">
        <v>4044</v>
      </c>
      <c r="J1824" t="s">
        <v>1285</v>
      </c>
      <c r="K1824" t="s">
        <v>1323</v>
      </c>
      <c r="L1824" t="s">
        <v>1324</v>
      </c>
      <c r="M1824" t="s">
        <v>46</v>
      </c>
      <c r="O1824" t="s">
        <v>47</v>
      </c>
      <c r="P1824" t="s">
        <v>48</v>
      </c>
      <c r="Q1824">
        <v>0</v>
      </c>
      <c r="R1824" t="b">
        <v>0</v>
      </c>
      <c r="S1824" t="s">
        <v>49</v>
      </c>
      <c r="T1824" t="s">
        <v>89</v>
      </c>
      <c r="U1824" t="s">
        <v>90</v>
      </c>
      <c r="V1824" t="s">
        <v>123</v>
      </c>
      <c r="W1824" t="s">
        <v>124</v>
      </c>
      <c r="X1824" t="s">
        <v>98</v>
      </c>
      <c r="Y1824" t="s">
        <v>176</v>
      </c>
      <c r="Z1824" s="12">
        <v>0</v>
      </c>
      <c r="AA1824" s="13" t="s">
        <v>9165</v>
      </c>
      <c r="AB1824" s="13" t="s">
        <v>9164</v>
      </c>
      <c r="AC1824" s="14" t="s">
        <v>9139</v>
      </c>
      <c r="AD1824" s="14" t="s">
        <v>9140</v>
      </c>
      <c r="AE1824" s="14" t="s">
        <v>9140</v>
      </c>
      <c r="AF1824" s="14" t="s">
        <v>123</v>
      </c>
      <c r="AG1824" s="14" t="s">
        <v>98</v>
      </c>
      <c r="AH1824" s="15" t="s">
        <v>9141</v>
      </c>
      <c r="AI1824" s="15" t="s">
        <v>9187</v>
      </c>
      <c r="AJ1824" s="15" t="s">
        <v>9143</v>
      </c>
      <c r="AK1824" s="15" t="s">
        <v>9141</v>
      </c>
      <c r="AL1824" s="15" t="s">
        <v>9144</v>
      </c>
      <c r="AM1824" s="16" t="s">
        <v>9141</v>
      </c>
      <c r="AN1824" s="16" t="s">
        <v>9145</v>
      </c>
    </row>
    <row r="1825" spans="1:40" x14ac:dyDescent="0.25">
      <c r="A1825" t="s">
        <v>1267</v>
      </c>
      <c r="C1825" t="s">
        <v>39</v>
      </c>
      <c r="D1825" t="s">
        <v>1268</v>
      </c>
      <c r="E1825" t="s">
        <v>1269</v>
      </c>
      <c r="F1825" s="2">
        <v>45164</v>
      </c>
      <c r="G1825" s="3">
        <v>0.47430555555555554</v>
      </c>
      <c r="H1825" t="s">
        <v>1155</v>
      </c>
      <c r="I1825" s="4">
        <v>4043</v>
      </c>
      <c r="J1825" t="s">
        <v>1200</v>
      </c>
      <c r="K1825" t="s">
        <v>1270</v>
      </c>
      <c r="L1825" t="s">
        <v>1271</v>
      </c>
      <c r="M1825" t="s">
        <v>46</v>
      </c>
      <c r="O1825" t="s">
        <v>47</v>
      </c>
      <c r="P1825" t="s">
        <v>48</v>
      </c>
      <c r="Q1825">
        <v>0</v>
      </c>
      <c r="R1825" t="b">
        <v>0</v>
      </c>
      <c r="S1825" t="s">
        <v>49</v>
      </c>
      <c r="T1825" t="s">
        <v>70</v>
      </c>
      <c r="U1825" t="s">
        <v>71</v>
      </c>
      <c r="V1825" t="s">
        <v>72</v>
      </c>
      <c r="W1825" t="s">
        <v>73</v>
      </c>
      <c r="X1825" t="s">
        <v>98</v>
      </c>
      <c r="Z1825" s="12">
        <v>0</v>
      </c>
      <c r="AA1825" s="13" t="s">
        <v>9165</v>
      </c>
      <c r="AB1825" s="13" t="s">
        <v>9164</v>
      </c>
      <c r="AC1825" s="14" t="s">
        <v>9139</v>
      </c>
      <c r="AD1825" s="14" t="s">
        <v>9140</v>
      </c>
      <c r="AE1825" s="14" t="s">
        <v>9140</v>
      </c>
      <c r="AF1825" s="14" t="s">
        <v>72</v>
      </c>
      <c r="AG1825" s="14" t="s">
        <v>98</v>
      </c>
      <c r="AH1825" s="15" t="s">
        <v>9141</v>
      </c>
      <c r="AI1825" s="15" t="s">
        <v>9187</v>
      </c>
      <c r="AJ1825" s="15" t="s">
        <v>9143</v>
      </c>
      <c r="AK1825" s="15" t="s">
        <v>9141</v>
      </c>
      <c r="AL1825" s="15" t="s">
        <v>9144</v>
      </c>
      <c r="AM1825" s="16" t="s">
        <v>9141</v>
      </c>
      <c r="AN1825" s="16" t="s">
        <v>9145</v>
      </c>
    </row>
    <row r="1826" spans="1:40" x14ac:dyDescent="0.25">
      <c r="A1826" t="s">
        <v>385</v>
      </c>
      <c r="C1826" t="s">
        <v>39</v>
      </c>
      <c r="D1826" t="s">
        <v>257</v>
      </c>
      <c r="E1826" t="s">
        <v>258</v>
      </c>
      <c r="F1826" s="2">
        <v>45164</v>
      </c>
      <c r="G1826" s="3">
        <v>0.39583333333333331</v>
      </c>
      <c r="H1826" t="s">
        <v>42</v>
      </c>
      <c r="I1826" s="4">
        <v>1011</v>
      </c>
      <c r="J1826" t="s">
        <v>215</v>
      </c>
      <c r="K1826" t="s">
        <v>386</v>
      </c>
      <c r="L1826" t="s">
        <v>387</v>
      </c>
      <c r="M1826" t="s">
        <v>46</v>
      </c>
      <c r="O1826" t="s">
        <v>47</v>
      </c>
      <c r="P1826" t="s">
        <v>48</v>
      </c>
      <c r="Q1826">
        <v>0</v>
      </c>
      <c r="R1826" t="b">
        <v>0</v>
      </c>
      <c r="S1826" t="s">
        <v>61</v>
      </c>
      <c r="T1826" t="s">
        <v>89</v>
      </c>
      <c r="U1826" t="s">
        <v>175</v>
      </c>
      <c r="V1826" t="s">
        <v>52</v>
      </c>
      <c r="W1826" t="s">
        <v>255</v>
      </c>
      <c r="X1826" t="s">
        <v>54</v>
      </c>
      <c r="Z1826" s="12">
        <v>0</v>
      </c>
      <c r="AA1826" s="13" t="s">
        <v>9165</v>
      </c>
      <c r="AB1826" s="13" t="s">
        <v>9164</v>
      </c>
      <c r="AC1826" s="14" t="s">
        <v>9148</v>
      </c>
      <c r="AD1826" s="14" t="s">
        <v>9140</v>
      </c>
      <c r="AE1826" s="14" t="s">
        <v>9140</v>
      </c>
      <c r="AF1826" s="14" t="s">
        <v>52</v>
      </c>
      <c r="AG1826" s="14" t="s">
        <v>54</v>
      </c>
      <c r="AH1826" s="15" t="s">
        <v>9141</v>
      </c>
      <c r="AI1826" s="15" t="s">
        <v>9142</v>
      </c>
      <c r="AJ1826" s="15" t="s">
        <v>9143</v>
      </c>
      <c r="AK1826" s="15" t="s">
        <v>9141</v>
      </c>
      <c r="AL1826" s="15" t="s">
        <v>9144</v>
      </c>
      <c r="AM1826" s="16" t="s">
        <v>9141</v>
      </c>
      <c r="AN1826" s="16" t="s">
        <v>9145</v>
      </c>
    </row>
    <row r="1827" spans="1:40" x14ac:dyDescent="0.25">
      <c r="A1827" t="s">
        <v>1985</v>
      </c>
      <c r="C1827" t="s">
        <v>39</v>
      </c>
      <c r="D1827" t="s">
        <v>1981</v>
      </c>
      <c r="E1827" t="s">
        <v>1982</v>
      </c>
      <c r="F1827" s="2">
        <v>45164</v>
      </c>
      <c r="G1827" s="3">
        <v>0.69791666666666663</v>
      </c>
      <c r="H1827" t="s">
        <v>1939</v>
      </c>
      <c r="I1827" s="4" t="s">
        <v>1940</v>
      </c>
      <c r="J1827" t="s">
        <v>1941</v>
      </c>
      <c r="K1827" t="s">
        <v>1986</v>
      </c>
      <c r="L1827" t="s">
        <v>1987</v>
      </c>
      <c r="M1827" t="s">
        <v>46</v>
      </c>
      <c r="O1827" t="s">
        <v>47</v>
      </c>
      <c r="P1827" t="s">
        <v>48</v>
      </c>
      <c r="Q1827">
        <v>0</v>
      </c>
      <c r="R1827" t="b">
        <v>0</v>
      </c>
      <c r="S1827" t="s">
        <v>61</v>
      </c>
      <c r="T1827" t="s">
        <v>479</v>
      </c>
      <c r="U1827" t="s">
        <v>148</v>
      </c>
      <c r="V1827" t="s">
        <v>52</v>
      </c>
      <c r="W1827" t="s">
        <v>53</v>
      </c>
      <c r="X1827" t="s">
        <v>54</v>
      </c>
      <c r="Z1827" s="12">
        <v>0</v>
      </c>
      <c r="AA1827" s="13" t="s">
        <v>9165</v>
      </c>
      <c r="AB1827" s="13" t="s">
        <v>9164</v>
      </c>
      <c r="AC1827" s="14" t="s">
        <v>9148</v>
      </c>
      <c r="AD1827" s="14" t="s">
        <v>9140</v>
      </c>
      <c r="AE1827" s="14" t="s">
        <v>9140</v>
      </c>
      <c r="AF1827" s="14" t="s">
        <v>52</v>
      </c>
      <c r="AG1827" s="14" t="s">
        <v>54</v>
      </c>
      <c r="AH1827" s="15" t="s">
        <v>9194</v>
      </c>
      <c r="AI1827" s="15" t="s">
        <v>9175</v>
      </c>
      <c r="AJ1827" s="15" t="s">
        <v>9143</v>
      </c>
      <c r="AK1827" s="15" t="s">
        <v>9194</v>
      </c>
      <c r="AL1827" s="15" t="s">
        <v>9195</v>
      </c>
      <c r="AM1827" s="16" t="s">
        <v>9194</v>
      </c>
      <c r="AN1827" s="16" t="s">
        <v>9196</v>
      </c>
    </row>
    <row r="1828" spans="1:40" x14ac:dyDescent="0.25">
      <c r="A1828" t="s">
        <v>4443</v>
      </c>
      <c r="C1828" t="s">
        <v>39</v>
      </c>
      <c r="D1828" t="s">
        <v>4332</v>
      </c>
      <c r="E1828" t="s">
        <v>4333</v>
      </c>
      <c r="F1828" s="2">
        <v>45163</v>
      </c>
      <c r="G1828" s="3">
        <v>0.52777777777777779</v>
      </c>
      <c r="H1828" t="s">
        <v>4019</v>
      </c>
      <c r="I1828" s="4" t="s">
        <v>4304</v>
      </c>
      <c r="J1828" t="s">
        <v>1941</v>
      </c>
      <c r="K1828" t="s">
        <v>4444</v>
      </c>
      <c r="L1828" t="s">
        <v>4445</v>
      </c>
      <c r="M1828" t="s">
        <v>46</v>
      </c>
      <c r="O1828" t="s">
        <v>47</v>
      </c>
      <c r="P1828" t="s">
        <v>48</v>
      </c>
      <c r="Q1828">
        <v>0</v>
      </c>
      <c r="R1828" t="b">
        <v>0</v>
      </c>
      <c r="S1828" t="s">
        <v>49</v>
      </c>
      <c r="T1828" t="s">
        <v>89</v>
      </c>
      <c r="U1828" t="s">
        <v>71</v>
      </c>
      <c r="V1828" t="s">
        <v>72</v>
      </c>
      <c r="W1828" t="s">
        <v>97</v>
      </c>
      <c r="X1828" t="s">
        <v>54</v>
      </c>
      <c r="Z1828" s="12">
        <v>0</v>
      </c>
      <c r="AA1828" s="13" t="s">
        <v>9165</v>
      </c>
      <c r="AB1828" s="13" t="s">
        <v>9164</v>
      </c>
      <c r="AC1828" s="14" t="s">
        <v>9139</v>
      </c>
      <c r="AD1828" s="14" t="s">
        <v>9140</v>
      </c>
      <c r="AE1828" s="14" t="s">
        <v>9140</v>
      </c>
      <c r="AF1828" s="14" t="s">
        <v>72</v>
      </c>
      <c r="AG1828" s="14" t="s">
        <v>54</v>
      </c>
      <c r="AH1828" s="15" t="s">
        <v>9220</v>
      </c>
      <c r="AI1828" s="15" t="s">
        <v>9175</v>
      </c>
      <c r="AJ1828" s="15" t="s">
        <v>9143</v>
      </c>
      <c r="AK1828" s="15" t="s">
        <v>9221</v>
      </c>
      <c r="AL1828" s="15" t="s">
        <v>9222</v>
      </c>
      <c r="AM1828" s="16" t="s">
        <v>9221</v>
      </c>
      <c r="AN1828" s="16" t="s">
        <v>9223</v>
      </c>
    </row>
    <row r="1829" spans="1:40" x14ac:dyDescent="0.25">
      <c r="A1829" t="s">
        <v>5868</v>
      </c>
      <c r="B1829" s="1" t="s">
        <v>5869</v>
      </c>
      <c r="C1829" t="s">
        <v>39</v>
      </c>
      <c r="D1829" t="s">
        <v>5870</v>
      </c>
      <c r="E1829" t="s">
        <v>5871</v>
      </c>
      <c r="F1829" s="2">
        <v>45163</v>
      </c>
      <c r="G1829" s="3">
        <v>0.36458333333333331</v>
      </c>
      <c r="H1829" t="s">
        <v>5838</v>
      </c>
      <c r="I1829" s="4" t="s">
        <v>5839</v>
      </c>
      <c r="J1829" t="s">
        <v>3121</v>
      </c>
      <c r="K1829" t="s">
        <v>3361</v>
      </c>
      <c r="L1829" t="s">
        <v>5872</v>
      </c>
      <c r="M1829" t="s">
        <v>28</v>
      </c>
      <c r="N1829" t="s">
        <v>183</v>
      </c>
      <c r="O1829" t="s">
        <v>174</v>
      </c>
      <c r="P1829" t="s">
        <v>48</v>
      </c>
      <c r="Q1829">
        <v>0</v>
      </c>
      <c r="R1829" t="b">
        <v>0</v>
      </c>
      <c r="S1829" t="s">
        <v>184</v>
      </c>
      <c r="T1829" t="s">
        <v>479</v>
      </c>
      <c r="U1829" t="s">
        <v>148</v>
      </c>
      <c r="V1829" t="s">
        <v>52</v>
      </c>
      <c r="W1829" t="s">
        <v>53</v>
      </c>
      <c r="X1829" t="s">
        <v>54</v>
      </c>
      <c r="Z1829" s="12" t="s">
        <v>48</v>
      </c>
      <c r="AA1829" s="13" t="s">
        <v>9165</v>
      </c>
      <c r="AB1829" s="13" t="s">
        <v>9164</v>
      </c>
      <c r="AC1829" s="14" t="s">
        <v>9166</v>
      </c>
      <c r="AD1829" s="14" t="s">
        <v>28</v>
      </c>
      <c r="AE1829" s="14" t="s">
        <v>183</v>
      </c>
      <c r="AF1829" s="14" t="s">
        <v>52</v>
      </c>
      <c r="AG1829" s="14" t="s">
        <v>54</v>
      </c>
      <c r="AH1829" s="15" t="s">
        <v>9220</v>
      </c>
      <c r="AI1829" s="15" t="s">
        <v>9213</v>
      </c>
      <c r="AJ1829" s="15" t="s">
        <v>9143</v>
      </c>
      <c r="AK1829" s="15" t="s">
        <v>9221</v>
      </c>
      <c r="AL1829" s="15" t="s">
        <v>9228</v>
      </c>
      <c r="AM1829" s="16" t="s">
        <v>9221</v>
      </c>
      <c r="AN1829" s="16" t="s">
        <v>9229</v>
      </c>
    </row>
    <row r="1830" spans="1:40" x14ac:dyDescent="0.25">
      <c r="A1830" t="s">
        <v>8496</v>
      </c>
      <c r="C1830" t="s">
        <v>39</v>
      </c>
      <c r="D1830" t="s">
        <v>8497</v>
      </c>
      <c r="E1830" t="s">
        <v>8498</v>
      </c>
      <c r="F1830" s="2">
        <v>45163</v>
      </c>
      <c r="G1830" s="3">
        <v>0.73611111111111116</v>
      </c>
      <c r="H1830" t="s">
        <v>8476</v>
      </c>
      <c r="I1830" s="4" t="s">
        <v>8477</v>
      </c>
      <c r="J1830" t="s">
        <v>8478</v>
      </c>
      <c r="K1830" t="s">
        <v>8499</v>
      </c>
      <c r="L1830" t="s">
        <v>8500</v>
      </c>
      <c r="M1830" t="s">
        <v>46</v>
      </c>
      <c r="O1830" t="s">
        <v>47</v>
      </c>
      <c r="P1830" t="s">
        <v>48</v>
      </c>
      <c r="Q1830">
        <v>0</v>
      </c>
      <c r="R1830" t="b">
        <v>0</v>
      </c>
      <c r="S1830" t="s">
        <v>61</v>
      </c>
      <c r="T1830" t="s">
        <v>134</v>
      </c>
      <c r="U1830" t="s">
        <v>527</v>
      </c>
      <c r="V1830" t="s">
        <v>63</v>
      </c>
      <c r="W1830" t="s">
        <v>108</v>
      </c>
      <c r="X1830" t="s">
        <v>54</v>
      </c>
      <c r="Z1830" s="12">
        <v>0</v>
      </c>
      <c r="AA1830" s="13" t="s">
        <v>9165</v>
      </c>
      <c r="AB1830" s="13" t="s">
        <v>9164</v>
      </c>
      <c r="AC1830" s="14" t="s">
        <v>9148</v>
      </c>
      <c r="AD1830" s="14" t="s">
        <v>9140</v>
      </c>
      <c r="AE1830" s="14" t="s">
        <v>9140</v>
      </c>
      <c r="AF1830" s="14" t="s">
        <v>63</v>
      </c>
      <c r="AG1830" s="14" t="s">
        <v>54</v>
      </c>
      <c r="AH1830" s="15" t="s">
        <v>9220</v>
      </c>
      <c r="AI1830" s="15" t="s">
        <v>9193</v>
      </c>
      <c r="AJ1830" s="15" t="s">
        <v>9143</v>
      </c>
      <c r="AK1830" s="15" t="s">
        <v>9221</v>
      </c>
      <c r="AL1830" s="15" t="s">
        <v>9230</v>
      </c>
      <c r="AM1830" s="16" t="s">
        <v>9221</v>
      </c>
      <c r="AN1830" s="16" t="s">
        <v>9231</v>
      </c>
    </row>
    <row r="1831" spans="1:40" x14ac:dyDescent="0.25">
      <c r="A1831" t="s">
        <v>2947</v>
      </c>
      <c r="C1831" t="s">
        <v>39</v>
      </c>
      <c r="D1831" t="s">
        <v>2948</v>
      </c>
      <c r="E1831" t="s">
        <v>2949</v>
      </c>
      <c r="F1831" s="2">
        <v>45162</v>
      </c>
      <c r="G1831" s="3">
        <v>0.38680555555555557</v>
      </c>
      <c r="H1831" t="s">
        <v>1992</v>
      </c>
      <c r="I1831" s="4" t="s">
        <v>2913</v>
      </c>
      <c r="J1831" t="s">
        <v>2914</v>
      </c>
      <c r="K1831" t="s">
        <v>2950</v>
      </c>
      <c r="L1831" t="s">
        <v>2951</v>
      </c>
      <c r="M1831" t="s">
        <v>46</v>
      </c>
      <c r="O1831" t="s">
        <v>47</v>
      </c>
      <c r="P1831" t="s">
        <v>48</v>
      </c>
      <c r="Q1831">
        <v>0</v>
      </c>
      <c r="R1831" t="b">
        <v>0</v>
      </c>
      <c r="S1831" t="s">
        <v>61</v>
      </c>
      <c r="T1831" t="s">
        <v>479</v>
      </c>
      <c r="U1831" t="s">
        <v>51</v>
      </c>
      <c r="V1831" t="s">
        <v>63</v>
      </c>
      <c r="W1831" t="s">
        <v>108</v>
      </c>
      <c r="X1831" t="s">
        <v>54</v>
      </c>
      <c r="Z1831" s="12">
        <v>0</v>
      </c>
      <c r="AA1831" s="13" t="s">
        <v>9165</v>
      </c>
      <c r="AB1831" s="13" t="s">
        <v>9164</v>
      </c>
      <c r="AC1831" s="14" t="s">
        <v>9148</v>
      </c>
      <c r="AD1831" s="14" t="s">
        <v>9140</v>
      </c>
      <c r="AE1831" s="14" t="s">
        <v>9140</v>
      </c>
      <c r="AF1831" s="14" t="s">
        <v>63</v>
      </c>
      <c r="AG1831" s="14" t="s">
        <v>54</v>
      </c>
      <c r="AH1831" s="15" t="s">
        <v>9194</v>
      </c>
      <c r="AI1831" s="15" t="s">
        <v>9191</v>
      </c>
      <c r="AJ1831" s="15" t="s">
        <v>9143</v>
      </c>
      <c r="AK1831" s="15" t="s">
        <v>9194</v>
      </c>
      <c r="AL1831" s="15" t="s">
        <v>9201</v>
      </c>
      <c r="AM1831" s="16" t="s">
        <v>9194</v>
      </c>
      <c r="AN1831" s="16" t="s">
        <v>9202</v>
      </c>
    </row>
    <row r="1832" spans="1:40" x14ac:dyDescent="0.25">
      <c r="A1832" t="s">
        <v>749</v>
      </c>
      <c r="C1832" t="s">
        <v>39</v>
      </c>
      <c r="D1832" t="s">
        <v>750</v>
      </c>
      <c r="E1832" t="s">
        <v>751</v>
      </c>
      <c r="F1832" s="2">
        <v>45162</v>
      </c>
      <c r="G1832" s="3">
        <v>0.86805555555555558</v>
      </c>
      <c r="H1832" t="s">
        <v>463</v>
      </c>
      <c r="I1832" s="4">
        <v>2025</v>
      </c>
      <c r="J1832" t="s">
        <v>701</v>
      </c>
      <c r="K1832" t="s">
        <v>321</v>
      </c>
      <c r="L1832" t="s">
        <v>752</v>
      </c>
      <c r="M1832" t="s">
        <v>46</v>
      </c>
      <c r="O1832" t="s">
        <v>47</v>
      </c>
      <c r="P1832" t="s">
        <v>48</v>
      </c>
      <c r="Q1832">
        <v>0</v>
      </c>
      <c r="R1832" t="b">
        <v>0</v>
      </c>
      <c r="S1832" t="s">
        <v>61</v>
      </c>
      <c r="Z1832" s="12">
        <v>0</v>
      </c>
      <c r="AA1832" s="13" t="s">
        <v>9165</v>
      </c>
      <c r="AB1832" s="13" t="s">
        <v>9164</v>
      </c>
      <c r="AC1832" s="14" t="s">
        <v>9148</v>
      </c>
      <c r="AD1832" s="14" t="s">
        <v>9140</v>
      </c>
      <c r="AE1832" s="14" t="s">
        <v>9140</v>
      </c>
      <c r="AF1832" s="14">
        <v>0</v>
      </c>
      <c r="AG1832" s="14">
        <v>0</v>
      </c>
      <c r="AH1832" s="15" t="s">
        <v>9141</v>
      </c>
      <c r="AI1832" s="15" t="s">
        <v>9175</v>
      </c>
      <c r="AJ1832" s="15" t="s">
        <v>9143</v>
      </c>
      <c r="AK1832" s="15" t="s">
        <v>9141</v>
      </c>
      <c r="AL1832" s="15" t="s">
        <v>9175</v>
      </c>
      <c r="AM1832" s="16" t="s">
        <v>9141</v>
      </c>
      <c r="AN1832" s="16" t="s">
        <v>9176</v>
      </c>
    </row>
    <row r="1833" spans="1:40" x14ac:dyDescent="0.25">
      <c r="A1833" t="s">
        <v>2484</v>
      </c>
      <c r="C1833" t="s">
        <v>39</v>
      </c>
      <c r="D1833" t="s">
        <v>2320</v>
      </c>
      <c r="E1833" t="s">
        <v>2321</v>
      </c>
      <c r="F1833" s="2">
        <v>45161</v>
      </c>
      <c r="G1833" s="3">
        <v>0.69166666666666665</v>
      </c>
      <c r="H1833" t="s">
        <v>1939</v>
      </c>
      <c r="I1833" s="4" t="s">
        <v>2393</v>
      </c>
      <c r="J1833" t="s">
        <v>2394</v>
      </c>
      <c r="K1833" t="s">
        <v>2485</v>
      </c>
      <c r="L1833" t="s">
        <v>2486</v>
      </c>
      <c r="M1833" t="s">
        <v>46</v>
      </c>
      <c r="O1833" t="s">
        <v>47</v>
      </c>
      <c r="P1833" t="s">
        <v>48</v>
      </c>
      <c r="Q1833">
        <v>0</v>
      </c>
      <c r="R1833" t="b">
        <v>0</v>
      </c>
      <c r="S1833" t="s">
        <v>49</v>
      </c>
      <c r="T1833" t="s">
        <v>70</v>
      </c>
      <c r="U1833" t="s">
        <v>618</v>
      </c>
      <c r="V1833" t="s">
        <v>72</v>
      </c>
      <c r="W1833" t="s">
        <v>97</v>
      </c>
      <c r="X1833" t="s">
        <v>978</v>
      </c>
      <c r="Z1833" s="12">
        <v>0</v>
      </c>
      <c r="AA1833" s="13" t="s">
        <v>9165</v>
      </c>
      <c r="AB1833" s="13" t="s">
        <v>9164</v>
      </c>
      <c r="AC1833" s="14" t="s">
        <v>9139</v>
      </c>
      <c r="AD1833" s="14" t="s">
        <v>9140</v>
      </c>
      <c r="AE1833" s="14" t="s">
        <v>9140</v>
      </c>
      <c r="AF1833" s="14" t="s">
        <v>72</v>
      </c>
      <c r="AG1833" s="14" t="s">
        <v>978</v>
      </c>
      <c r="AH1833" s="15" t="s">
        <v>9194</v>
      </c>
      <c r="AI1833" s="15" t="s">
        <v>9175</v>
      </c>
      <c r="AJ1833" s="15" t="s">
        <v>9143</v>
      </c>
      <c r="AK1833" s="15" t="s">
        <v>9194</v>
      </c>
      <c r="AL1833" s="15" t="s">
        <v>9195</v>
      </c>
      <c r="AM1833" s="16" t="s">
        <v>9194</v>
      </c>
      <c r="AN1833" s="16" t="s">
        <v>9196</v>
      </c>
    </row>
    <row r="1834" spans="1:40" x14ac:dyDescent="0.25">
      <c r="A1834" t="s">
        <v>5065</v>
      </c>
      <c r="C1834" t="s">
        <v>39</v>
      </c>
      <c r="D1834" t="s">
        <v>5066</v>
      </c>
      <c r="E1834" t="s">
        <v>5067</v>
      </c>
      <c r="F1834" s="2">
        <v>45161</v>
      </c>
      <c r="G1834" s="3">
        <v>0.72291666666666665</v>
      </c>
      <c r="H1834" t="s">
        <v>4516</v>
      </c>
      <c r="I1834" s="4" t="s">
        <v>4969</v>
      </c>
      <c r="J1834" t="s">
        <v>3453</v>
      </c>
      <c r="K1834" t="s">
        <v>836</v>
      </c>
      <c r="L1834" t="s">
        <v>5068</v>
      </c>
      <c r="M1834" t="s">
        <v>46</v>
      </c>
      <c r="O1834" t="s">
        <v>47</v>
      </c>
      <c r="P1834" t="s">
        <v>48</v>
      </c>
      <c r="Q1834">
        <v>0</v>
      </c>
      <c r="R1834" t="b">
        <v>0</v>
      </c>
      <c r="S1834" t="s">
        <v>49</v>
      </c>
      <c r="T1834" t="s">
        <v>583</v>
      </c>
      <c r="U1834" t="s">
        <v>373</v>
      </c>
      <c r="V1834" t="s">
        <v>52</v>
      </c>
      <c r="W1834" t="s">
        <v>53</v>
      </c>
      <c r="X1834" t="s">
        <v>54</v>
      </c>
      <c r="Z1834" s="12">
        <v>0</v>
      </c>
      <c r="AA1834" s="13" t="s">
        <v>9165</v>
      </c>
      <c r="AB1834" s="13" t="s">
        <v>9164</v>
      </c>
      <c r="AC1834" s="14" t="s">
        <v>9139</v>
      </c>
      <c r="AD1834" s="14" t="s">
        <v>9140</v>
      </c>
      <c r="AE1834" s="14" t="s">
        <v>9140</v>
      </c>
      <c r="AF1834" s="14" t="s">
        <v>52</v>
      </c>
      <c r="AG1834" s="14" t="s">
        <v>54</v>
      </c>
      <c r="AH1834" s="15" t="s">
        <v>9220</v>
      </c>
      <c r="AI1834" s="15" t="s">
        <v>9188</v>
      </c>
      <c r="AJ1834" s="15" t="s">
        <v>9143</v>
      </c>
      <c r="AK1834" s="15" t="s">
        <v>9221</v>
      </c>
      <c r="AL1834" s="15" t="s">
        <v>9230</v>
      </c>
      <c r="AM1834" s="16" t="s">
        <v>9221</v>
      </c>
      <c r="AN1834" s="16" t="s">
        <v>9231</v>
      </c>
    </row>
    <row r="1835" spans="1:40" x14ac:dyDescent="0.25">
      <c r="A1835" t="s">
        <v>5242</v>
      </c>
      <c r="C1835" t="s">
        <v>39</v>
      </c>
      <c r="D1835" t="s">
        <v>5243</v>
      </c>
      <c r="E1835" t="s">
        <v>5244</v>
      </c>
      <c r="F1835" s="2">
        <v>45161</v>
      </c>
      <c r="G1835" s="3">
        <v>0.68958333333333333</v>
      </c>
      <c r="H1835" t="s">
        <v>4516</v>
      </c>
      <c r="I1835" s="4" t="s">
        <v>5215</v>
      </c>
      <c r="J1835" t="s">
        <v>5216</v>
      </c>
      <c r="K1835" t="s">
        <v>5245</v>
      </c>
      <c r="L1835" t="s">
        <v>5246</v>
      </c>
      <c r="M1835" t="s">
        <v>46</v>
      </c>
      <c r="O1835" t="s">
        <v>47</v>
      </c>
      <c r="P1835" t="s">
        <v>48</v>
      </c>
      <c r="Q1835">
        <v>0</v>
      </c>
      <c r="R1835" t="b">
        <v>0</v>
      </c>
      <c r="S1835" t="s">
        <v>61</v>
      </c>
      <c r="T1835" t="s">
        <v>50</v>
      </c>
      <c r="U1835" t="s">
        <v>107</v>
      </c>
      <c r="V1835" t="s">
        <v>72</v>
      </c>
      <c r="W1835" t="s">
        <v>73</v>
      </c>
      <c r="X1835" t="s">
        <v>54</v>
      </c>
      <c r="Z1835" s="12">
        <v>0</v>
      </c>
      <c r="AA1835" s="13" t="s">
        <v>9165</v>
      </c>
      <c r="AB1835" s="13" t="s">
        <v>9164</v>
      </c>
      <c r="AC1835" s="14" t="s">
        <v>9148</v>
      </c>
      <c r="AD1835" s="14" t="s">
        <v>9140</v>
      </c>
      <c r="AE1835" s="14" t="s">
        <v>9140</v>
      </c>
      <c r="AF1835" s="14" t="s">
        <v>72</v>
      </c>
      <c r="AG1835" s="14" t="s">
        <v>54</v>
      </c>
      <c r="AH1835" s="15" t="s">
        <v>9220</v>
      </c>
      <c r="AI1835" s="15" t="s">
        <v>9188</v>
      </c>
      <c r="AJ1835" s="15" t="s">
        <v>9143</v>
      </c>
      <c r="AK1835" s="15" t="s">
        <v>9221</v>
      </c>
      <c r="AL1835" s="15" t="s">
        <v>9232</v>
      </c>
      <c r="AM1835" s="16" t="s">
        <v>9221</v>
      </c>
      <c r="AN1835" s="16" t="s">
        <v>9233</v>
      </c>
    </row>
    <row r="1836" spans="1:40" x14ac:dyDescent="0.25">
      <c r="A1836" t="s">
        <v>6357</v>
      </c>
      <c r="B1836" s="1">
        <v>12230022243</v>
      </c>
      <c r="C1836" t="s">
        <v>39</v>
      </c>
      <c r="D1836" t="s">
        <v>6333</v>
      </c>
      <c r="E1836" t="s">
        <v>6334</v>
      </c>
      <c r="F1836" s="2">
        <v>45161</v>
      </c>
      <c r="G1836" s="3">
        <v>0.38194444444444442</v>
      </c>
      <c r="H1836" t="s">
        <v>4019</v>
      </c>
      <c r="I1836" s="4" t="s">
        <v>6277</v>
      </c>
      <c r="J1836" t="s">
        <v>988</v>
      </c>
      <c r="K1836" t="s">
        <v>6358</v>
      </c>
      <c r="L1836" t="s">
        <v>6359</v>
      </c>
      <c r="M1836" t="s">
        <v>28</v>
      </c>
      <c r="N1836" t="s">
        <v>183</v>
      </c>
      <c r="O1836" t="s">
        <v>174</v>
      </c>
      <c r="P1836" t="s">
        <v>48</v>
      </c>
      <c r="Q1836">
        <v>5</v>
      </c>
      <c r="R1836" t="b">
        <v>0</v>
      </c>
      <c r="S1836" t="s">
        <v>61</v>
      </c>
      <c r="T1836" t="s">
        <v>50</v>
      </c>
      <c r="U1836" t="s">
        <v>224</v>
      </c>
      <c r="V1836" t="s">
        <v>72</v>
      </c>
      <c r="W1836" t="s">
        <v>73</v>
      </c>
      <c r="X1836" t="s">
        <v>978</v>
      </c>
      <c r="Z1836" s="12" t="s">
        <v>48</v>
      </c>
      <c r="AA1836" s="13" t="s">
        <v>9165</v>
      </c>
      <c r="AB1836" s="13" t="s">
        <v>9164</v>
      </c>
      <c r="AC1836" s="14" t="s">
        <v>9148</v>
      </c>
      <c r="AD1836" s="14" t="s">
        <v>28</v>
      </c>
      <c r="AE1836" s="14" t="s">
        <v>183</v>
      </c>
      <c r="AF1836" s="14" t="s">
        <v>72</v>
      </c>
      <c r="AG1836" s="14" t="s">
        <v>978</v>
      </c>
      <c r="AH1836" s="15" t="s">
        <v>9220</v>
      </c>
      <c r="AI1836" s="15" t="s">
        <v>9175</v>
      </c>
      <c r="AJ1836" s="15" t="s">
        <v>9143</v>
      </c>
      <c r="AK1836" s="15" t="s">
        <v>9221</v>
      </c>
      <c r="AL1836" s="15" t="s">
        <v>9222</v>
      </c>
      <c r="AM1836" s="16" t="s">
        <v>9221</v>
      </c>
      <c r="AN1836" s="16" t="s">
        <v>9223</v>
      </c>
    </row>
    <row r="1837" spans="1:40" x14ac:dyDescent="0.25">
      <c r="A1837" t="s">
        <v>9113</v>
      </c>
      <c r="C1837" t="s">
        <v>39</v>
      </c>
      <c r="D1837" t="s">
        <v>9114</v>
      </c>
      <c r="E1837" t="s">
        <v>9115</v>
      </c>
      <c r="F1837" s="2">
        <v>45160</v>
      </c>
      <c r="G1837" s="3">
        <v>0.23958333333333334</v>
      </c>
      <c r="H1837" t="s">
        <v>4019</v>
      </c>
      <c r="I1837" s="4" t="s">
        <v>8971</v>
      </c>
      <c r="J1837" t="s">
        <v>8972</v>
      </c>
      <c r="K1837" t="s">
        <v>5473</v>
      </c>
      <c r="L1837" t="s">
        <v>9116</v>
      </c>
      <c r="M1837" t="s">
        <v>46</v>
      </c>
      <c r="O1837" t="s">
        <v>47</v>
      </c>
      <c r="P1837" t="s">
        <v>48</v>
      </c>
      <c r="Q1837">
        <v>0</v>
      </c>
      <c r="R1837" t="b">
        <v>0</v>
      </c>
      <c r="S1837" t="s">
        <v>49</v>
      </c>
      <c r="T1837" t="s">
        <v>89</v>
      </c>
      <c r="U1837" t="s">
        <v>140</v>
      </c>
      <c r="V1837" t="s">
        <v>123</v>
      </c>
      <c r="W1837" t="s">
        <v>124</v>
      </c>
      <c r="X1837" t="s">
        <v>54</v>
      </c>
      <c r="Z1837" s="12">
        <v>0</v>
      </c>
      <c r="AA1837" s="13" t="s">
        <v>9165</v>
      </c>
      <c r="AB1837" s="13" t="s">
        <v>9164</v>
      </c>
      <c r="AC1837" s="14" t="s">
        <v>9139</v>
      </c>
      <c r="AD1837" s="14" t="s">
        <v>9140</v>
      </c>
      <c r="AE1837" s="14" t="s">
        <v>9140</v>
      </c>
      <c r="AF1837" s="14" t="s">
        <v>123</v>
      </c>
      <c r="AG1837" s="14" t="s">
        <v>54</v>
      </c>
      <c r="AH1837" s="15" t="s">
        <v>9220</v>
      </c>
      <c r="AI1837" s="15" t="s">
        <v>9175</v>
      </c>
      <c r="AJ1837" s="15" t="s">
        <v>9181</v>
      </c>
      <c r="AK1837" s="15" t="s">
        <v>9182</v>
      </c>
      <c r="AL1837" s="15" t="s">
        <v>9182</v>
      </c>
      <c r="AM1837" s="16" t="s">
        <v>9182</v>
      </c>
      <c r="AN1837" s="16" t="s">
        <v>9182</v>
      </c>
    </row>
    <row r="1838" spans="1:40" x14ac:dyDescent="0.25">
      <c r="A1838" t="s">
        <v>5548</v>
      </c>
      <c r="C1838" t="s">
        <v>39</v>
      </c>
      <c r="D1838" t="s">
        <v>5549</v>
      </c>
      <c r="E1838" t="s">
        <v>5550</v>
      </c>
      <c r="F1838" s="2">
        <v>45160</v>
      </c>
      <c r="G1838" s="3">
        <v>0.60416666666666663</v>
      </c>
      <c r="H1838" t="s">
        <v>4910</v>
      </c>
      <c r="I1838" s="4" t="s">
        <v>5502</v>
      </c>
      <c r="J1838" t="s">
        <v>3354</v>
      </c>
      <c r="K1838" t="s">
        <v>1922</v>
      </c>
      <c r="L1838" t="s">
        <v>5551</v>
      </c>
      <c r="M1838" t="s">
        <v>46</v>
      </c>
      <c r="O1838" t="s">
        <v>47</v>
      </c>
      <c r="P1838" t="s">
        <v>48</v>
      </c>
      <c r="Q1838">
        <v>0</v>
      </c>
      <c r="R1838" t="b">
        <v>0</v>
      </c>
      <c r="S1838" t="s">
        <v>49</v>
      </c>
      <c r="T1838" t="s">
        <v>134</v>
      </c>
      <c r="U1838" t="s">
        <v>527</v>
      </c>
      <c r="V1838" t="s">
        <v>63</v>
      </c>
      <c r="W1838" t="s">
        <v>108</v>
      </c>
      <c r="X1838" t="s">
        <v>54</v>
      </c>
      <c r="Z1838" s="12">
        <v>0</v>
      </c>
      <c r="AA1838" s="13" t="s">
        <v>9165</v>
      </c>
      <c r="AB1838" s="13" t="s">
        <v>9164</v>
      </c>
      <c r="AC1838" s="14" t="s">
        <v>9139</v>
      </c>
      <c r="AD1838" s="14" t="s">
        <v>9140</v>
      </c>
      <c r="AE1838" s="14" t="s">
        <v>9140</v>
      </c>
      <c r="AF1838" s="14" t="s">
        <v>63</v>
      </c>
      <c r="AG1838" s="14" t="s">
        <v>54</v>
      </c>
      <c r="AH1838" s="15" t="s">
        <v>9220</v>
      </c>
      <c r="AI1838" s="15" t="s">
        <v>9191</v>
      </c>
      <c r="AJ1838" s="15" t="s">
        <v>9143</v>
      </c>
      <c r="AK1838" s="15" t="s">
        <v>9221</v>
      </c>
      <c r="AL1838" s="15" t="s">
        <v>9234</v>
      </c>
      <c r="AM1838" s="16" t="s">
        <v>9221</v>
      </c>
      <c r="AN1838" s="16" t="s">
        <v>9235</v>
      </c>
    </row>
    <row r="1839" spans="1:40" x14ac:dyDescent="0.25">
      <c r="A1839" t="s">
        <v>4084</v>
      </c>
      <c r="C1839" t="s">
        <v>39</v>
      </c>
      <c r="D1839" t="s">
        <v>4085</v>
      </c>
      <c r="E1839" t="s">
        <v>4086</v>
      </c>
      <c r="F1839" s="2">
        <v>45159</v>
      </c>
      <c r="G1839" s="3">
        <v>0.39583333333333331</v>
      </c>
      <c r="H1839" t="s">
        <v>4019</v>
      </c>
      <c r="I1839" s="4" t="s">
        <v>4060</v>
      </c>
      <c r="J1839" t="s">
        <v>4061</v>
      </c>
      <c r="K1839" t="s">
        <v>4087</v>
      </c>
      <c r="L1839" t="s">
        <v>4088</v>
      </c>
      <c r="M1839" t="s">
        <v>46</v>
      </c>
      <c r="O1839" t="s">
        <v>47</v>
      </c>
      <c r="P1839" t="s">
        <v>48</v>
      </c>
      <c r="Q1839">
        <v>0</v>
      </c>
      <c r="R1839" t="b">
        <v>0</v>
      </c>
      <c r="S1839" t="s">
        <v>61</v>
      </c>
      <c r="T1839" t="s">
        <v>70</v>
      </c>
      <c r="U1839" t="s">
        <v>165</v>
      </c>
      <c r="V1839" t="s">
        <v>63</v>
      </c>
      <c r="W1839" t="s">
        <v>198</v>
      </c>
      <c r="X1839" t="s">
        <v>98</v>
      </c>
      <c r="Y1839" t="s">
        <v>176</v>
      </c>
      <c r="Z1839" s="12">
        <v>0</v>
      </c>
      <c r="AA1839" s="13" t="s">
        <v>9165</v>
      </c>
      <c r="AB1839" s="13" t="s">
        <v>9164</v>
      </c>
      <c r="AC1839" s="14" t="s">
        <v>9148</v>
      </c>
      <c r="AD1839" s="14" t="s">
        <v>9140</v>
      </c>
      <c r="AE1839" s="14" t="s">
        <v>9140</v>
      </c>
      <c r="AF1839" s="14" t="s">
        <v>63</v>
      </c>
      <c r="AG1839" s="14" t="s">
        <v>98</v>
      </c>
      <c r="AH1839" s="15" t="s">
        <v>9220</v>
      </c>
      <c r="AI1839" s="15" t="s">
        <v>9175</v>
      </c>
      <c r="AJ1839" s="15" t="s">
        <v>9143</v>
      </c>
      <c r="AK1839" s="15" t="s">
        <v>9221</v>
      </c>
      <c r="AL1839" s="15" t="s">
        <v>9222</v>
      </c>
      <c r="AM1839" s="16" t="s">
        <v>9221</v>
      </c>
      <c r="AN1839" s="16" t="s">
        <v>9223</v>
      </c>
    </row>
    <row r="1840" spans="1:40" x14ac:dyDescent="0.25">
      <c r="A1840" t="s">
        <v>7148</v>
      </c>
      <c r="C1840" t="s">
        <v>39</v>
      </c>
      <c r="D1840" t="s">
        <v>7068</v>
      </c>
      <c r="E1840" t="s">
        <v>7069</v>
      </c>
      <c r="F1840" s="2">
        <v>45159</v>
      </c>
      <c r="G1840" s="3">
        <v>0.70138888888888884</v>
      </c>
      <c r="H1840" t="s">
        <v>4242</v>
      </c>
      <c r="I1840" s="4" t="s">
        <v>7028</v>
      </c>
      <c r="J1840" t="s">
        <v>7029</v>
      </c>
      <c r="K1840" t="s">
        <v>7149</v>
      </c>
      <c r="L1840" t="s">
        <v>7150</v>
      </c>
      <c r="M1840" t="s">
        <v>46</v>
      </c>
      <c r="O1840" t="s">
        <v>47</v>
      </c>
      <c r="P1840" t="s">
        <v>48</v>
      </c>
      <c r="Q1840">
        <v>0</v>
      </c>
      <c r="R1840" t="b">
        <v>0</v>
      </c>
      <c r="S1840" t="s">
        <v>61</v>
      </c>
      <c r="Z1840" s="12">
        <v>0</v>
      </c>
      <c r="AA1840" s="13" t="s">
        <v>9165</v>
      </c>
      <c r="AB1840" s="13" t="s">
        <v>9164</v>
      </c>
      <c r="AC1840" s="14" t="s">
        <v>9148</v>
      </c>
      <c r="AD1840" s="14" t="s">
        <v>9140</v>
      </c>
      <c r="AE1840" s="14" t="s">
        <v>9140</v>
      </c>
      <c r="AF1840" s="14">
        <v>0</v>
      </c>
      <c r="AG1840" s="14">
        <v>0</v>
      </c>
      <c r="AH1840" s="15" t="s">
        <v>9220</v>
      </c>
      <c r="AI1840" s="15" t="s">
        <v>9187</v>
      </c>
      <c r="AJ1840" s="15" t="s">
        <v>9143</v>
      </c>
      <c r="AK1840" s="15" t="s">
        <v>9221</v>
      </c>
      <c r="AL1840" s="15" t="s">
        <v>9226</v>
      </c>
      <c r="AM1840" s="16" t="s">
        <v>9221</v>
      </c>
      <c r="AN1840" s="16" t="s">
        <v>9227</v>
      </c>
    </row>
    <row r="1841" spans="1:40" x14ac:dyDescent="0.25">
      <c r="A1841" t="s">
        <v>7427</v>
      </c>
      <c r="C1841" t="s">
        <v>39</v>
      </c>
      <c r="D1841" t="s">
        <v>7366</v>
      </c>
      <c r="E1841" t="s">
        <v>7367</v>
      </c>
      <c r="F1841" s="2">
        <v>45159</v>
      </c>
      <c r="G1841" s="3">
        <v>0.66388888888888886</v>
      </c>
      <c r="H1841" t="s">
        <v>4019</v>
      </c>
      <c r="I1841" s="4" t="s">
        <v>7315</v>
      </c>
      <c r="J1841" t="s">
        <v>1037</v>
      </c>
      <c r="K1841" t="s">
        <v>7428</v>
      </c>
      <c r="L1841" t="s">
        <v>7429</v>
      </c>
      <c r="M1841" t="s">
        <v>46</v>
      </c>
      <c r="O1841" t="s">
        <v>47</v>
      </c>
      <c r="P1841" t="s">
        <v>48</v>
      </c>
      <c r="Q1841">
        <v>0</v>
      </c>
      <c r="R1841" t="b">
        <v>0</v>
      </c>
      <c r="S1841" t="s">
        <v>49</v>
      </c>
      <c r="T1841" t="s">
        <v>70</v>
      </c>
      <c r="U1841" t="s">
        <v>71</v>
      </c>
      <c r="V1841" t="s">
        <v>72</v>
      </c>
      <c r="W1841" t="s">
        <v>73</v>
      </c>
      <c r="X1841" t="s">
        <v>54</v>
      </c>
      <c r="Z1841" s="12">
        <v>0</v>
      </c>
      <c r="AA1841" s="13" t="s">
        <v>9165</v>
      </c>
      <c r="AB1841" s="13" t="s">
        <v>9164</v>
      </c>
      <c r="AC1841" s="14" t="s">
        <v>9139</v>
      </c>
      <c r="AD1841" s="14" t="s">
        <v>9140</v>
      </c>
      <c r="AE1841" s="14" t="s">
        <v>9140</v>
      </c>
      <c r="AF1841" s="14" t="s">
        <v>72</v>
      </c>
      <c r="AG1841" s="14" t="s">
        <v>54</v>
      </c>
      <c r="AH1841" s="15" t="s">
        <v>9220</v>
      </c>
      <c r="AI1841" s="15" t="s">
        <v>9175</v>
      </c>
      <c r="AJ1841" s="15" t="s">
        <v>9143</v>
      </c>
      <c r="AK1841" s="15" t="s">
        <v>9221</v>
      </c>
      <c r="AL1841" s="15" t="s">
        <v>9222</v>
      </c>
      <c r="AM1841" s="16" t="s">
        <v>9221</v>
      </c>
      <c r="AN1841" s="16" t="s">
        <v>9223</v>
      </c>
    </row>
    <row r="1842" spans="1:40" x14ac:dyDescent="0.25">
      <c r="A1842" t="s">
        <v>3856</v>
      </c>
      <c r="C1842" t="s">
        <v>39</v>
      </c>
      <c r="D1842" t="s">
        <v>3857</v>
      </c>
      <c r="E1842" t="s">
        <v>3858</v>
      </c>
      <c r="F1842" s="2">
        <v>45155</v>
      </c>
      <c r="G1842" s="3">
        <v>0.40277777777777779</v>
      </c>
      <c r="H1842" t="s">
        <v>2017</v>
      </c>
      <c r="I1842" s="4" t="s">
        <v>3832</v>
      </c>
      <c r="J1842" t="s">
        <v>3833</v>
      </c>
      <c r="K1842" t="s">
        <v>3859</v>
      </c>
      <c r="L1842" t="s">
        <v>3860</v>
      </c>
      <c r="M1842" t="s">
        <v>46</v>
      </c>
      <c r="O1842" t="s">
        <v>47</v>
      </c>
      <c r="P1842" t="s">
        <v>48</v>
      </c>
      <c r="Q1842">
        <v>0</v>
      </c>
      <c r="R1842" t="b">
        <v>0</v>
      </c>
      <c r="S1842" t="s">
        <v>49</v>
      </c>
      <c r="Z1842" s="12">
        <v>0</v>
      </c>
      <c r="AA1842" s="13" t="s">
        <v>9165</v>
      </c>
      <c r="AB1842" s="13" t="s">
        <v>9164</v>
      </c>
      <c r="AC1842" s="14" t="s">
        <v>9139</v>
      </c>
      <c r="AD1842" s="14" t="s">
        <v>9140</v>
      </c>
      <c r="AE1842" s="14" t="s">
        <v>9140</v>
      </c>
      <c r="AF1842" s="14">
        <v>0</v>
      </c>
      <c r="AG1842" s="14">
        <v>0</v>
      </c>
      <c r="AH1842" s="15" t="s">
        <v>9194</v>
      </c>
      <c r="AI1842" s="15" t="s">
        <v>9199</v>
      </c>
      <c r="AJ1842" s="15" t="s">
        <v>9143</v>
      </c>
      <c r="AK1842" s="15" t="s">
        <v>9194</v>
      </c>
      <c r="AL1842" s="15" t="s">
        <v>9199</v>
      </c>
      <c r="AM1842" s="16" t="s">
        <v>9194</v>
      </c>
      <c r="AN1842" s="16" t="s">
        <v>9200</v>
      </c>
    </row>
    <row r="1843" spans="1:40" x14ac:dyDescent="0.25">
      <c r="A1843" t="s">
        <v>2563</v>
      </c>
      <c r="C1843" t="s">
        <v>39</v>
      </c>
      <c r="D1843" t="s">
        <v>2550</v>
      </c>
      <c r="E1843" t="s">
        <v>2551</v>
      </c>
      <c r="F1843" s="2">
        <v>45155</v>
      </c>
      <c r="G1843" s="3">
        <v>0.65902777777777777</v>
      </c>
      <c r="H1843" t="s">
        <v>1992</v>
      </c>
      <c r="I1843" s="4" t="s">
        <v>2520</v>
      </c>
      <c r="J1843" t="s">
        <v>2521</v>
      </c>
      <c r="K1843" t="s">
        <v>2564</v>
      </c>
      <c r="L1843" t="s">
        <v>2565</v>
      </c>
      <c r="M1843" t="s">
        <v>46</v>
      </c>
      <c r="O1843" t="s">
        <v>47</v>
      </c>
      <c r="P1843" t="s">
        <v>48</v>
      </c>
      <c r="Q1843">
        <v>0</v>
      </c>
      <c r="R1843" t="b">
        <v>0</v>
      </c>
      <c r="S1843" t="s">
        <v>49</v>
      </c>
      <c r="T1843" t="s">
        <v>50</v>
      </c>
      <c r="U1843" t="s">
        <v>71</v>
      </c>
      <c r="V1843" t="s">
        <v>63</v>
      </c>
      <c r="W1843" t="s">
        <v>108</v>
      </c>
      <c r="X1843" t="s">
        <v>54</v>
      </c>
      <c r="Z1843" s="12">
        <v>0</v>
      </c>
      <c r="AA1843" s="13" t="s">
        <v>9165</v>
      </c>
      <c r="AB1843" s="13" t="s">
        <v>9164</v>
      </c>
      <c r="AC1843" s="14" t="s">
        <v>9139</v>
      </c>
      <c r="AD1843" s="14" t="s">
        <v>9140</v>
      </c>
      <c r="AE1843" s="14" t="s">
        <v>9140</v>
      </c>
      <c r="AF1843" s="14" t="s">
        <v>63</v>
      </c>
      <c r="AG1843" s="14" t="s">
        <v>54</v>
      </c>
      <c r="AH1843" s="15" t="s">
        <v>9194</v>
      </c>
      <c r="AI1843" s="15" t="s">
        <v>9191</v>
      </c>
      <c r="AJ1843" s="15" t="s">
        <v>9143</v>
      </c>
      <c r="AK1843" s="15" t="s">
        <v>9194</v>
      </c>
      <c r="AL1843" s="15" t="s">
        <v>9201</v>
      </c>
      <c r="AM1843" s="16" t="s">
        <v>9194</v>
      </c>
      <c r="AN1843" s="16" t="s">
        <v>9202</v>
      </c>
    </row>
    <row r="1844" spans="1:40" x14ac:dyDescent="0.25">
      <c r="A1844" t="s">
        <v>388</v>
      </c>
      <c r="C1844" t="s">
        <v>39</v>
      </c>
      <c r="D1844" t="s">
        <v>257</v>
      </c>
      <c r="E1844" t="s">
        <v>258</v>
      </c>
      <c r="F1844" s="2">
        <v>45155</v>
      </c>
      <c r="G1844" s="3">
        <v>0.40277777777777779</v>
      </c>
      <c r="H1844" t="s">
        <v>42</v>
      </c>
      <c r="I1844" s="4">
        <v>1011</v>
      </c>
      <c r="J1844" t="s">
        <v>215</v>
      </c>
      <c r="K1844" t="s">
        <v>389</v>
      </c>
      <c r="L1844" t="s">
        <v>390</v>
      </c>
      <c r="M1844" t="s">
        <v>46</v>
      </c>
      <c r="O1844" t="s">
        <v>47</v>
      </c>
      <c r="P1844" t="s">
        <v>48</v>
      </c>
      <c r="Q1844">
        <v>0</v>
      </c>
      <c r="R1844" t="b">
        <v>0</v>
      </c>
      <c r="S1844" t="s">
        <v>61</v>
      </c>
      <c r="T1844" t="s">
        <v>391</v>
      </c>
      <c r="U1844" t="s">
        <v>224</v>
      </c>
      <c r="V1844" t="s">
        <v>72</v>
      </c>
      <c r="W1844" t="s">
        <v>73</v>
      </c>
      <c r="X1844" t="s">
        <v>54</v>
      </c>
      <c r="Z1844" s="12">
        <v>0</v>
      </c>
      <c r="AA1844" s="13" t="s">
        <v>9165</v>
      </c>
      <c r="AB1844" s="13" t="s">
        <v>9164</v>
      </c>
      <c r="AC1844" s="14" t="s">
        <v>9148</v>
      </c>
      <c r="AD1844" s="14" t="s">
        <v>9140</v>
      </c>
      <c r="AE1844" s="14" t="s">
        <v>9140</v>
      </c>
      <c r="AF1844" s="14" t="s">
        <v>72</v>
      </c>
      <c r="AG1844" s="14" t="s">
        <v>54</v>
      </c>
      <c r="AH1844" s="15" t="s">
        <v>9141</v>
      </c>
      <c r="AI1844" s="15" t="s">
        <v>9142</v>
      </c>
      <c r="AJ1844" s="15" t="s">
        <v>9143</v>
      </c>
      <c r="AK1844" s="15" t="s">
        <v>9141</v>
      </c>
      <c r="AL1844" s="15" t="s">
        <v>9144</v>
      </c>
      <c r="AM1844" s="16" t="s">
        <v>9141</v>
      </c>
      <c r="AN1844" s="16" t="s">
        <v>9145</v>
      </c>
    </row>
    <row r="1845" spans="1:40" x14ac:dyDescent="0.25">
      <c r="A1845" t="s">
        <v>1832</v>
      </c>
      <c r="C1845" t="s">
        <v>39</v>
      </c>
      <c r="D1845" t="s">
        <v>1807</v>
      </c>
      <c r="E1845" t="s">
        <v>1808</v>
      </c>
      <c r="F1845" s="2">
        <v>45155</v>
      </c>
      <c r="G1845" s="3">
        <v>0.69930555555555551</v>
      </c>
      <c r="H1845" t="s">
        <v>1654</v>
      </c>
      <c r="I1845" s="4">
        <v>9095</v>
      </c>
      <c r="J1845" t="s">
        <v>1742</v>
      </c>
      <c r="K1845" t="s">
        <v>1833</v>
      </c>
      <c r="L1845" t="s">
        <v>1834</v>
      </c>
      <c r="M1845" t="s">
        <v>46</v>
      </c>
      <c r="O1845" t="s">
        <v>47</v>
      </c>
      <c r="P1845" t="s">
        <v>48</v>
      </c>
      <c r="Q1845">
        <v>0</v>
      </c>
      <c r="R1845" t="b">
        <v>0</v>
      </c>
      <c r="S1845" t="s">
        <v>49</v>
      </c>
      <c r="T1845" t="s">
        <v>70</v>
      </c>
      <c r="U1845" t="s">
        <v>71</v>
      </c>
      <c r="V1845" t="s">
        <v>72</v>
      </c>
      <c r="W1845" t="s">
        <v>73</v>
      </c>
      <c r="X1845" t="s">
        <v>98</v>
      </c>
      <c r="Z1845" s="12">
        <v>0</v>
      </c>
      <c r="AA1845" s="13" t="s">
        <v>9165</v>
      </c>
      <c r="AB1845" s="13" t="s">
        <v>9164</v>
      </c>
      <c r="AC1845" s="14" t="s">
        <v>9139</v>
      </c>
      <c r="AD1845" s="14" t="s">
        <v>9140</v>
      </c>
      <c r="AE1845" s="14" t="s">
        <v>9140</v>
      </c>
      <c r="AF1845" s="14" t="s">
        <v>72</v>
      </c>
      <c r="AG1845" s="14" t="s">
        <v>98</v>
      </c>
      <c r="AH1845" s="15" t="s">
        <v>9141</v>
      </c>
      <c r="AI1845" s="15" t="s">
        <v>9191</v>
      </c>
      <c r="AJ1845" s="15" t="s">
        <v>9143</v>
      </c>
      <c r="AK1845" s="15" t="s">
        <v>9141</v>
      </c>
      <c r="AL1845" s="15" t="s">
        <v>9191</v>
      </c>
      <c r="AM1845" s="16" t="s">
        <v>9141</v>
      </c>
      <c r="AN1845" s="16" t="s">
        <v>9192</v>
      </c>
    </row>
    <row r="1846" spans="1:40" x14ac:dyDescent="0.25">
      <c r="A1846" t="s">
        <v>5207</v>
      </c>
      <c r="C1846" t="s">
        <v>39</v>
      </c>
      <c r="D1846" t="s">
        <v>5208</v>
      </c>
      <c r="E1846" t="s">
        <v>5209</v>
      </c>
      <c r="F1846" s="2">
        <v>45154</v>
      </c>
      <c r="G1846" s="3">
        <v>0.61458333333333337</v>
      </c>
      <c r="H1846" t="s">
        <v>4910</v>
      </c>
      <c r="I1846" s="4" t="s">
        <v>5121</v>
      </c>
      <c r="J1846" t="s">
        <v>1994</v>
      </c>
      <c r="K1846" t="s">
        <v>5210</v>
      </c>
      <c r="L1846" t="s">
        <v>5211</v>
      </c>
      <c r="M1846" t="s">
        <v>46</v>
      </c>
      <c r="O1846" t="s">
        <v>47</v>
      </c>
      <c r="P1846" t="s">
        <v>48</v>
      </c>
      <c r="Q1846">
        <v>0</v>
      </c>
      <c r="R1846" t="b">
        <v>0</v>
      </c>
      <c r="S1846" t="s">
        <v>49</v>
      </c>
      <c r="T1846" t="s">
        <v>70</v>
      </c>
      <c r="U1846" t="s">
        <v>148</v>
      </c>
      <c r="V1846" t="s">
        <v>63</v>
      </c>
      <c r="W1846" t="s">
        <v>108</v>
      </c>
      <c r="X1846" t="s">
        <v>54</v>
      </c>
      <c r="Z1846" s="12">
        <v>0</v>
      </c>
      <c r="AA1846" s="13" t="s">
        <v>9165</v>
      </c>
      <c r="AB1846" s="13" t="s">
        <v>9164</v>
      </c>
      <c r="AC1846" s="14" t="s">
        <v>9139</v>
      </c>
      <c r="AD1846" s="14" t="s">
        <v>9140</v>
      </c>
      <c r="AE1846" s="14" t="s">
        <v>9140</v>
      </c>
      <c r="AF1846" s="14" t="s">
        <v>63</v>
      </c>
      <c r="AG1846" s="14" t="s">
        <v>54</v>
      </c>
      <c r="AH1846" s="15" t="s">
        <v>9220</v>
      </c>
      <c r="AI1846" s="15" t="s">
        <v>9191</v>
      </c>
      <c r="AJ1846" s="15" t="s">
        <v>9143</v>
      </c>
      <c r="AK1846" s="15" t="s">
        <v>9221</v>
      </c>
      <c r="AL1846" s="15" t="s">
        <v>9236</v>
      </c>
      <c r="AM1846" s="16" t="s">
        <v>9221</v>
      </c>
      <c r="AN1846" s="16" t="s">
        <v>9237</v>
      </c>
    </row>
    <row r="1847" spans="1:40" x14ac:dyDescent="0.25">
      <c r="A1847" t="s">
        <v>4185</v>
      </c>
      <c r="C1847" t="s">
        <v>39</v>
      </c>
      <c r="D1847" t="s">
        <v>4186</v>
      </c>
      <c r="E1847" t="s">
        <v>4187</v>
      </c>
      <c r="F1847" s="2">
        <v>45153</v>
      </c>
      <c r="G1847" s="3">
        <v>0.54861111111111116</v>
      </c>
      <c r="H1847" t="s">
        <v>4019</v>
      </c>
      <c r="I1847" s="4" t="s">
        <v>4149</v>
      </c>
      <c r="J1847" t="s">
        <v>559</v>
      </c>
      <c r="K1847" t="s">
        <v>4188</v>
      </c>
      <c r="L1847" t="s">
        <v>4189</v>
      </c>
      <c r="M1847" t="s">
        <v>46</v>
      </c>
      <c r="O1847" t="s">
        <v>47</v>
      </c>
      <c r="P1847" t="s">
        <v>48</v>
      </c>
      <c r="Q1847">
        <v>0</v>
      </c>
      <c r="R1847" t="b">
        <v>0</v>
      </c>
      <c r="S1847" t="s">
        <v>49</v>
      </c>
      <c r="T1847" t="s">
        <v>70</v>
      </c>
      <c r="U1847" t="s">
        <v>867</v>
      </c>
      <c r="V1847" t="s">
        <v>63</v>
      </c>
      <c r="W1847" t="s">
        <v>198</v>
      </c>
      <c r="X1847" t="s">
        <v>98</v>
      </c>
      <c r="Z1847" s="12">
        <v>0</v>
      </c>
      <c r="AA1847" s="13" t="s">
        <v>9165</v>
      </c>
      <c r="AB1847" s="13" t="s">
        <v>9164</v>
      </c>
      <c r="AC1847" s="14" t="s">
        <v>9139</v>
      </c>
      <c r="AD1847" s="14" t="s">
        <v>9140</v>
      </c>
      <c r="AE1847" s="14" t="s">
        <v>9140</v>
      </c>
      <c r="AF1847" s="14" t="s">
        <v>63</v>
      </c>
      <c r="AG1847" s="14" t="s">
        <v>98</v>
      </c>
      <c r="AH1847" s="15" t="s">
        <v>9220</v>
      </c>
      <c r="AI1847" s="15" t="s">
        <v>9175</v>
      </c>
      <c r="AJ1847" s="15" t="s">
        <v>9143</v>
      </c>
      <c r="AK1847" s="15" t="s">
        <v>9221</v>
      </c>
      <c r="AL1847" s="15" t="s">
        <v>9224</v>
      </c>
      <c r="AM1847" s="16" t="s">
        <v>9221</v>
      </c>
      <c r="AN1847" s="16" t="s">
        <v>9225</v>
      </c>
    </row>
    <row r="1848" spans="1:40" x14ac:dyDescent="0.25">
      <c r="A1848" t="s">
        <v>6051</v>
      </c>
      <c r="C1848" t="s">
        <v>39</v>
      </c>
      <c r="D1848" t="s">
        <v>6052</v>
      </c>
      <c r="E1848" t="s">
        <v>6053</v>
      </c>
      <c r="F1848" s="2">
        <v>45153</v>
      </c>
      <c r="G1848" s="3">
        <v>0.49305555555555558</v>
      </c>
      <c r="H1848" t="s">
        <v>4242</v>
      </c>
      <c r="I1848" s="4" t="s">
        <v>5918</v>
      </c>
      <c r="J1848" t="s">
        <v>5919</v>
      </c>
      <c r="K1848" t="s">
        <v>6054</v>
      </c>
      <c r="L1848" t="s">
        <v>6055</v>
      </c>
      <c r="M1848" t="s">
        <v>46</v>
      </c>
      <c r="O1848" t="s">
        <v>47</v>
      </c>
      <c r="P1848" t="s">
        <v>48</v>
      </c>
      <c r="Q1848">
        <v>0</v>
      </c>
      <c r="R1848" t="b">
        <v>0</v>
      </c>
      <c r="S1848" t="s">
        <v>49</v>
      </c>
      <c r="T1848" t="s">
        <v>70</v>
      </c>
      <c r="U1848" t="s">
        <v>71</v>
      </c>
      <c r="V1848" t="s">
        <v>72</v>
      </c>
      <c r="W1848" t="s">
        <v>73</v>
      </c>
      <c r="X1848" t="s">
        <v>98</v>
      </c>
      <c r="Z1848" s="12">
        <v>0</v>
      </c>
      <c r="AA1848" s="13" t="s">
        <v>9165</v>
      </c>
      <c r="AB1848" s="13" t="s">
        <v>9164</v>
      </c>
      <c r="AC1848" s="14" t="s">
        <v>9139</v>
      </c>
      <c r="AD1848" s="14" t="s">
        <v>9140</v>
      </c>
      <c r="AE1848" s="14" t="s">
        <v>9140</v>
      </c>
      <c r="AF1848" s="14" t="s">
        <v>72</v>
      </c>
      <c r="AG1848" s="14" t="s">
        <v>98</v>
      </c>
      <c r="AH1848" s="15" t="s">
        <v>9220</v>
      </c>
      <c r="AI1848" s="15" t="s">
        <v>9187</v>
      </c>
      <c r="AJ1848" s="15" t="s">
        <v>9143</v>
      </c>
      <c r="AK1848" s="15" t="s">
        <v>9221</v>
      </c>
      <c r="AL1848" s="15" t="s">
        <v>9226</v>
      </c>
      <c r="AM1848" s="16" t="s">
        <v>9221</v>
      </c>
      <c r="AN1848" s="16" t="s">
        <v>9227</v>
      </c>
    </row>
    <row r="1849" spans="1:40" x14ac:dyDescent="0.25">
      <c r="A1849" t="s">
        <v>3908</v>
      </c>
      <c r="C1849" t="s">
        <v>39</v>
      </c>
      <c r="D1849" t="s">
        <v>3909</v>
      </c>
      <c r="E1849" t="s">
        <v>3910</v>
      </c>
      <c r="F1849" s="2">
        <v>45153</v>
      </c>
      <c r="G1849" s="3">
        <v>0.47916666666666669</v>
      </c>
      <c r="H1849" t="s">
        <v>2095</v>
      </c>
      <c r="I1849" s="4" t="s">
        <v>3889</v>
      </c>
      <c r="J1849" t="s">
        <v>3890</v>
      </c>
      <c r="K1849" t="s">
        <v>1647</v>
      </c>
      <c r="L1849" t="s">
        <v>3911</v>
      </c>
      <c r="M1849" t="s">
        <v>46</v>
      </c>
      <c r="O1849" t="s">
        <v>47</v>
      </c>
      <c r="P1849" t="s">
        <v>48</v>
      </c>
      <c r="Q1849">
        <v>0</v>
      </c>
      <c r="R1849" t="b">
        <v>0</v>
      </c>
      <c r="S1849" t="s">
        <v>61</v>
      </c>
      <c r="T1849" t="s">
        <v>134</v>
      </c>
      <c r="U1849" t="s">
        <v>373</v>
      </c>
      <c r="V1849" t="s">
        <v>63</v>
      </c>
      <c r="W1849" t="s">
        <v>198</v>
      </c>
      <c r="X1849" t="s">
        <v>54</v>
      </c>
      <c r="Z1849" s="12">
        <v>0</v>
      </c>
      <c r="AA1849" s="13" t="s">
        <v>9165</v>
      </c>
      <c r="AB1849" s="13" t="s">
        <v>9164</v>
      </c>
      <c r="AC1849" s="14" t="s">
        <v>9148</v>
      </c>
      <c r="AD1849" s="14" t="s">
        <v>9140</v>
      </c>
      <c r="AE1849" s="14" t="s">
        <v>9140</v>
      </c>
      <c r="AF1849" s="14" t="s">
        <v>63</v>
      </c>
      <c r="AG1849" s="14" t="s">
        <v>54</v>
      </c>
      <c r="AH1849" s="15" t="s">
        <v>9194</v>
      </c>
      <c r="AI1849" s="15" t="s">
        <v>9188</v>
      </c>
      <c r="AJ1849" s="15" t="s">
        <v>9143</v>
      </c>
      <c r="AK1849" s="15" t="s">
        <v>9194</v>
      </c>
      <c r="AL1849" s="15" t="s">
        <v>9203</v>
      </c>
      <c r="AM1849" s="16" t="s">
        <v>9194</v>
      </c>
      <c r="AN1849" s="16" t="s">
        <v>9204</v>
      </c>
    </row>
    <row r="1850" spans="1:40" x14ac:dyDescent="0.25">
      <c r="A1850" t="s">
        <v>8009</v>
      </c>
      <c r="C1850" t="s">
        <v>39</v>
      </c>
      <c r="D1850" t="s">
        <v>8010</v>
      </c>
      <c r="E1850" t="s">
        <v>8011</v>
      </c>
      <c r="F1850" s="2">
        <v>45152</v>
      </c>
      <c r="G1850" s="3">
        <v>0.62847222222222221</v>
      </c>
      <c r="H1850" t="s">
        <v>4910</v>
      </c>
      <c r="I1850" s="4" t="s">
        <v>7985</v>
      </c>
      <c r="J1850" t="s">
        <v>7986</v>
      </c>
      <c r="K1850" t="s">
        <v>8012</v>
      </c>
      <c r="L1850" t="s">
        <v>8013</v>
      </c>
      <c r="M1850" t="s">
        <v>46</v>
      </c>
      <c r="O1850" t="s">
        <v>47</v>
      </c>
      <c r="P1850" t="s">
        <v>48</v>
      </c>
      <c r="Q1850">
        <v>0</v>
      </c>
      <c r="R1850" t="b">
        <v>0</v>
      </c>
      <c r="S1850" t="s">
        <v>114</v>
      </c>
      <c r="T1850" t="s">
        <v>50</v>
      </c>
      <c r="U1850" t="s">
        <v>224</v>
      </c>
      <c r="V1850" t="s">
        <v>63</v>
      </c>
      <c r="W1850" t="s">
        <v>108</v>
      </c>
      <c r="X1850" t="s">
        <v>98</v>
      </c>
      <c r="Z1850" s="12">
        <v>0</v>
      </c>
      <c r="AA1850" s="13" t="s">
        <v>9165</v>
      </c>
      <c r="AB1850" s="13" t="s">
        <v>9164</v>
      </c>
      <c r="AC1850" s="14" t="s">
        <v>9157</v>
      </c>
      <c r="AD1850" s="14" t="s">
        <v>9140</v>
      </c>
      <c r="AE1850" s="14" t="s">
        <v>9140</v>
      </c>
      <c r="AF1850" s="14" t="s">
        <v>63</v>
      </c>
      <c r="AG1850" s="14" t="s">
        <v>98</v>
      </c>
      <c r="AH1850" s="15" t="s">
        <v>9220</v>
      </c>
      <c r="AI1850" s="15" t="s">
        <v>9191</v>
      </c>
      <c r="AJ1850" s="15" t="s">
        <v>9143</v>
      </c>
      <c r="AK1850" s="15" t="s">
        <v>9221</v>
      </c>
      <c r="AL1850" s="15" t="s">
        <v>9234</v>
      </c>
      <c r="AM1850" s="16" t="s">
        <v>9221</v>
      </c>
      <c r="AN1850" s="16" t="s">
        <v>9235</v>
      </c>
    </row>
    <row r="1851" spans="1:40" x14ac:dyDescent="0.25">
      <c r="A1851" t="s">
        <v>6854</v>
      </c>
      <c r="B1851" s="1" t="s">
        <v>6855</v>
      </c>
      <c r="C1851" t="s">
        <v>39</v>
      </c>
      <c r="D1851" t="s">
        <v>6856</v>
      </c>
      <c r="E1851" t="s">
        <v>6857</v>
      </c>
      <c r="F1851" s="2">
        <v>45152</v>
      </c>
      <c r="G1851" s="3">
        <v>0.52083333333333337</v>
      </c>
      <c r="H1851" t="s">
        <v>4910</v>
      </c>
      <c r="I1851" s="4" t="s">
        <v>6800</v>
      </c>
      <c r="J1851" t="s">
        <v>2914</v>
      </c>
      <c r="K1851" t="s">
        <v>6858</v>
      </c>
      <c r="L1851" t="s">
        <v>6859</v>
      </c>
      <c r="M1851" t="s">
        <v>28</v>
      </c>
      <c r="N1851" t="s">
        <v>183</v>
      </c>
      <c r="O1851" t="s">
        <v>191</v>
      </c>
      <c r="P1851" t="s">
        <v>48</v>
      </c>
      <c r="Q1851">
        <v>129</v>
      </c>
      <c r="R1851" t="b">
        <v>0</v>
      </c>
      <c r="S1851" t="s">
        <v>184</v>
      </c>
      <c r="T1851" t="s">
        <v>70</v>
      </c>
      <c r="U1851" t="s">
        <v>71</v>
      </c>
      <c r="V1851" t="s">
        <v>72</v>
      </c>
      <c r="W1851" t="s">
        <v>73</v>
      </c>
      <c r="X1851" t="s">
        <v>6860</v>
      </c>
      <c r="Z1851" s="12" t="s">
        <v>48</v>
      </c>
      <c r="AA1851" s="13" t="s">
        <v>9165</v>
      </c>
      <c r="AB1851" s="13" t="s">
        <v>9164</v>
      </c>
      <c r="AC1851" s="14" t="s">
        <v>9166</v>
      </c>
      <c r="AD1851" s="14" t="s">
        <v>28</v>
      </c>
      <c r="AE1851" s="14" t="s">
        <v>183</v>
      </c>
      <c r="AF1851" s="14" t="s">
        <v>72</v>
      </c>
      <c r="AG1851" s="14" t="s">
        <v>6860</v>
      </c>
      <c r="AH1851" s="15" t="s">
        <v>9220</v>
      </c>
      <c r="AI1851" s="15" t="s">
        <v>9191</v>
      </c>
      <c r="AJ1851" s="15" t="s">
        <v>9143</v>
      </c>
      <c r="AK1851" s="15" t="s">
        <v>9221</v>
      </c>
      <c r="AL1851" s="15" t="s">
        <v>9234</v>
      </c>
      <c r="AM1851" s="16" t="s">
        <v>9221</v>
      </c>
      <c r="AN1851" s="16" t="s">
        <v>9235</v>
      </c>
    </row>
    <row r="1852" spans="1:40" x14ac:dyDescent="0.25">
      <c r="A1852" t="s">
        <v>6977</v>
      </c>
      <c r="C1852" t="s">
        <v>39</v>
      </c>
      <c r="D1852" t="s">
        <v>6978</v>
      </c>
      <c r="E1852" t="s">
        <v>6979</v>
      </c>
      <c r="F1852" s="2">
        <v>45151</v>
      </c>
      <c r="G1852" s="3">
        <v>0.58333333333333337</v>
      </c>
      <c r="H1852" t="s">
        <v>4516</v>
      </c>
      <c r="I1852" s="4" t="s">
        <v>6973</v>
      </c>
      <c r="J1852" t="s">
        <v>6974</v>
      </c>
      <c r="K1852" t="s">
        <v>6980</v>
      </c>
      <c r="L1852" t="s">
        <v>6981</v>
      </c>
      <c r="M1852" t="s">
        <v>46</v>
      </c>
      <c r="O1852" t="s">
        <v>47</v>
      </c>
      <c r="P1852" t="s">
        <v>48</v>
      </c>
      <c r="Q1852">
        <v>0</v>
      </c>
      <c r="R1852" t="b">
        <v>0</v>
      </c>
      <c r="S1852" t="s">
        <v>49</v>
      </c>
      <c r="T1852" t="s">
        <v>70</v>
      </c>
      <c r="U1852" t="s">
        <v>71</v>
      </c>
      <c r="V1852" t="s">
        <v>72</v>
      </c>
      <c r="W1852" t="s">
        <v>73</v>
      </c>
      <c r="X1852" t="s">
        <v>54</v>
      </c>
      <c r="Z1852" s="12">
        <v>0</v>
      </c>
      <c r="AA1852" s="13" t="s">
        <v>9165</v>
      </c>
      <c r="AB1852" s="13" t="s">
        <v>9164</v>
      </c>
      <c r="AC1852" s="14" t="s">
        <v>9139</v>
      </c>
      <c r="AD1852" s="14" t="s">
        <v>9140</v>
      </c>
      <c r="AE1852" s="14" t="s">
        <v>9140</v>
      </c>
      <c r="AF1852" s="14" t="s">
        <v>72</v>
      </c>
      <c r="AG1852" s="14" t="s">
        <v>54</v>
      </c>
      <c r="AH1852" s="15" t="s">
        <v>9220</v>
      </c>
      <c r="AI1852" s="15" t="s">
        <v>9188</v>
      </c>
      <c r="AJ1852" s="15" t="s">
        <v>9143</v>
      </c>
      <c r="AK1852" s="15" t="s">
        <v>9221</v>
      </c>
      <c r="AL1852" s="15" t="s">
        <v>9236</v>
      </c>
      <c r="AM1852" s="16" t="s">
        <v>9221</v>
      </c>
      <c r="AN1852" s="16" t="s">
        <v>9237</v>
      </c>
    </row>
    <row r="1853" spans="1:40" x14ac:dyDescent="0.25">
      <c r="A1853" t="s">
        <v>7745</v>
      </c>
      <c r="C1853" t="s">
        <v>39</v>
      </c>
      <c r="D1853" t="s">
        <v>7727</v>
      </c>
      <c r="E1853" t="s">
        <v>7728</v>
      </c>
      <c r="F1853" s="2">
        <v>45151</v>
      </c>
      <c r="G1853" s="3">
        <v>0.65277777777777779</v>
      </c>
      <c r="H1853" t="s">
        <v>4659</v>
      </c>
      <c r="I1853" s="4" t="s">
        <v>7729</v>
      </c>
      <c r="J1853" t="s">
        <v>3592</v>
      </c>
      <c r="K1853" t="s">
        <v>7746</v>
      </c>
      <c r="L1853" t="s">
        <v>7747</v>
      </c>
      <c r="M1853" t="s">
        <v>46</v>
      </c>
      <c r="O1853" t="s">
        <v>47</v>
      </c>
      <c r="P1853" t="s">
        <v>48</v>
      </c>
      <c r="Q1853">
        <v>0</v>
      </c>
      <c r="R1853" t="b">
        <v>0</v>
      </c>
      <c r="S1853" t="s">
        <v>49</v>
      </c>
      <c r="T1853" t="s">
        <v>89</v>
      </c>
      <c r="U1853" t="s">
        <v>175</v>
      </c>
      <c r="V1853" t="s">
        <v>52</v>
      </c>
      <c r="W1853" t="s">
        <v>53</v>
      </c>
      <c r="X1853" t="s">
        <v>54</v>
      </c>
      <c r="Z1853" s="12">
        <v>0</v>
      </c>
      <c r="AA1853" s="13" t="s">
        <v>9165</v>
      </c>
      <c r="AB1853" s="13" t="s">
        <v>9164</v>
      </c>
      <c r="AC1853" s="14" t="s">
        <v>9139</v>
      </c>
      <c r="AD1853" s="14" t="s">
        <v>9140</v>
      </c>
      <c r="AE1853" s="14" t="s">
        <v>9140</v>
      </c>
      <c r="AF1853" s="14" t="s">
        <v>52</v>
      </c>
      <c r="AG1853" s="14" t="s">
        <v>54</v>
      </c>
      <c r="AH1853" s="15" t="s">
        <v>9220</v>
      </c>
      <c r="AI1853" s="15" t="s">
        <v>9142</v>
      </c>
      <c r="AJ1853" s="15" t="s">
        <v>9143</v>
      </c>
      <c r="AK1853" s="15" t="s">
        <v>9221</v>
      </c>
      <c r="AL1853" s="15" t="s">
        <v>9228</v>
      </c>
      <c r="AM1853" s="16" t="s">
        <v>9221</v>
      </c>
      <c r="AN1853" s="16" t="s">
        <v>9229</v>
      </c>
    </row>
    <row r="1854" spans="1:40" x14ac:dyDescent="0.25">
      <c r="A1854" t="s">
        <v>1047</v>
      </c>
      <c r="C1854" t="s">
        <v>39</v>
      </c>
      <c r="D1854" t="s">
        <v>1048</v>
      </c>
      <c r="E1854" t="s">
        <v>1049</v>
      </c>
      <c r="F1854" s="2">
        <v>45151</v>
      </c>
      <c r="G1854" s="3">
        <v>0.61458333333333337</v>
      </c>
      <c r="H1854" t="s">
        <v>463</v>
      </c>
      <c r="I1854" s="4">
        <v>2045</v>
      </c>
      <c r="J1854" t="s">
        <v>1037</v>
      </c>
      <c r="K1854" t="s">
        <v>1050</v>
      </c>
      <c r="L1854" t="s">
        <v>1051</v>
      </c>
      <c r="M1854" t="s">
        <v>46</v>
      </c>
      <c r="O1854" t="s">
        <v>47</v>
      </c>
      <c r="P1854" t="s">
        <v>48</v>
      </c>
      <c r="Q1854">
        <v>0</v>
      </c>
      <c r="R1854" t="b">
        <v>0</v>
      </c>
      <c r="S1854" t="s">
        <v>61</v>
      </c>
      <c r="T1854" t="s">
        <v>89</v>
      </c>
      <c r="U1854" t="s">
        <v>71</v>
      </c>
      <c r="V1854" t="s">
        <v>123</v>
      </c>
      <c r="W1854" t="s">
        <v>124</v>
      </c>
      <c r="X1854" t="s">
        <v>54</v>
      </c>
      <c r="Y1854" t="s">
        <v>176</v>
      </c>
      <c r="Z1854" s="12">
        <v>0</v>
      </c>
      <c r="AA1854" s="13" t="s">
        <v>9165</v>
      </c>
      <c r="AB1854" s="13" t="s">
        <v>9164</v>
      </c>
      <c r="AC1854" s="14" t="s">
        <v>9148</v>
      </c>
      <c r="AD1854" s="14" t="s">
        <v>9140</v>
      </c>
      <c r="AE1854" s="14" t="s">
        <v>9140</v>
      </c>
      <c r="AF1854" s="14" t="s">
        <v>123</v>
      </c>
      <c r="AG1854" s="14" t="s">
        <v>54</v>
      </c>
      <c r="AH1854" s="15" t="s">
        <v>9141</v>
      </c>
      <c r="AI1854" s="15" t="s">
        <v>9175</v>
      </c>
      <c r="AJ1854" s="15" t="s">
        <v>9143</v>
      </c>
      <c r="AK1854" s="15" t="s">
        <v>9141</v>
      </c>
      <c r="AL1854" s="15" t="s">
        <v>9175</v>
      </c>
      <c r="AM1854" s="16" t="s">
        <v>9141</v>
      </c>
      <c r="AN1854" s="16" t="s">
        <v>9176</v>
      </c>
    </row>
    <row r="1855" spans="1:40" x14ac:dyDescent="0.25">
      <c r="A1855" t="s">
        <v>2647</v>
      </c>
      <c r="C1855" t="s">
        <v>39</v>
      </c>
      <c r="D1855" t="s">
        <v>2648</v>
      </c>
      <c r="E1855" t="s">
        <v>2649</v>
      </c>
      <c r="F1855" s="2">
        <v>45151</v>
      </c>
      <c r="G1855" s="3">
        <v>0.45833333333333331</v>
      </c>
      <c r="H1855" t="s">
        <v>2095</v>
      </c>
      <c r="I1855" s="4" t="s">
        <v>2629</v>
      </c>
      <c r="J1855" t="s">
        <v>2630</v>
      </c>
      <c r="K1855" t="s">
        <v>2650</v>
      </c>
      <c r="L1855" t="s">
        <v>2651</v>
      </c>
      <c r="M1855" t="s">
        <v>46</v>
      </c>
      <c r="O1855" t="s">
        <v>47</v>
      </c>
      <c r="P1855" t="s">
        <v>48</v>
      </c>
      <c r="Q1855">
        <v>0</v>
      </c>
      <c r="R1855" t="b">
        <v>0</v>
      </c>
      <c r="S1855" t="s">
        <v>49</v>
      </c>
      <c r="T1855" t="s">
        <v>89</v>
      </c>
      <c r="U1855" t="s">
        <v>600</v>
      </c>
      <c r="V1855" t="s">
        <v>123</v>
      </c>
      <c r="W1855" t="s">
        <v>124</v>
      </c>
      <c r="X1855" t="s">
        <v>54</v>
      </c>
      <c r="Z1855" s="12">
        <v>0</v>
      </c>
      <c r="AA1855" s="13" t="s">
        <v>9165</v>
      </c>
      <c r="AB1855" s="13" t="s">
        <v>9164</v>
      </c>
      <c r="AC1855" s="14" t="s">
        <v>9139</v>
      </c>
      <c r="AD1855" s="14" t="s">
        <v>9140</v>
      </c>
      <c r="AE1855" s="14" t="s">
        <v>9140</v>
      </c>
      <c r="AF1855" s="14" t="s">
        <v>123</v>
      </c>
      <c r="AG1855" s="14" t="s">
        <v>54</v>
      </c>
      <c r="AH1855" s="15" t="s">
        <v>9194</v>
      </c>
      <c r="AI1855" s="15" t="s">
        <v>9188</v>
      </c>
      <c r="AJ1855" s="15" t="s">
        <v>9143</v>
      </c>
      <c r="AK1855" s="15" t="s">
        <v>9194</v>
      </c>
      <c r="AL1855" s="15" t="s">
        <v>9211</v>
      </c>
      <c r="AM1855" s="16" t="s">
        <v>9194</v>
      </c>
      <c r="AN1855" s="16" t="s">
        <v>9212</v>
      </c>
    </row>
    <row r="1856" spans="1:40" x14ac:dyDescent="0.25">
      <c r="A1856" t="s">
        <v>2893</v>
      </c>
      <c r="B1856" s="1" t="s">
        <v>2894</v>
      </c>
      <c r="C1856" t="s">
        <v>39</v>
      </c>
      <c r="D1856" t="s">
        <v>2895</v>
      </c>
      <c r="E1856" t="s">
        <v>2896</v>
      </c>
      <c r="F1856" s="2">
        <v>45151</v>
      </c>
      <c r="G1856" s="3">
        <v>0.42708333333333331</v>
      </c>
      <c r="H1856" t="s">
        <v>2168</v>
      </c>
      <c r="I1856" s="4" t="s">
        <v>2885</v>
      </c>
      <c r="J1856" t="s">
        <v>2886</v>
      </c>
      <c r="K1856" t="s">
        <v>2897</v>
      </c>
      <c r="L1856" t="s">
        <v>2898</v>
      </c>
      <c r="M1856" t="s">
        <v>28</v>
      </c>
      <c r="N1856" t="s">
        <v>147</v>
      </c>
      <c r="O1856" t="s">
        <v>191</v>
      </c>
      <c r="P1856" t="s">
        <v>48</v>
      </c>
      <c r="Q1856">
        <v>0</v>
      </c>
      <c r="R1856" t="b">
        <v>0</v>
      </c>
      <c r="S1856" t="s">
        <v>49</v>
      </c>
      <c r="T1856" t="s">
        <v>425</v>
      </c>
      <c r="U1856" t="s">
        <v>71</v>
      </c>
      <c r="V1856" t="s">
        <v>72</v>
      </c>
      <c r="W1856" t="s">
        <v>73</v>
      </c>
      <c r="X1856" t="s">
        <v>54</v>
      </c>
      <c r="Z1856" s="12" t="s">
        <v>48</v>
      </c>
      <c r="AA1856" s="13" t="s">
        <v>9165</v>
      </c>
      <c r="AB1856" s="13" t="s">
        <v>9164</v>
      </c>
      <c r="AC1856" s="14" t="s">
        <v>9139</v>
      </c>
      <c r="AD1856" s="14" t="s">
        <v>28</v>
      </c>
      <c r="AE1856" s="14" t="s">
        <v>9140</v>
      </c>
      <c r="AF1856" s="14" t="s">
        <v>72</v>
      </c>
      <c r="AG1856" s="14" t="s">
        <v>54</v>
      </c>
      <c r="AH1856" s="15" t="s">
        <v>9194</v>
      </c>
      <c r="AI1856" s="15" t="s">
        <v>9142</v>
      </c>
      <c r="AJ1856" s="15" t="s">
        <v>9143</v>
      </c>
      <c r="AK1856" s="15" t="s">
        <v>9194</v>
      </c>
      <c r="AL1856" s="15" t="s">
        <v>9207</v>
      </c>
      <c r="AM1856" s="16" t="s">
        <v>9194</v>
      </c>
      <c r="AN1856" s="16" t="s">
        <v>9208</v>
      </c>
    </row>
    <row r="1857" spans="1:40" x14ac:dyDescent="0.25">
      <c r="A1857" t="s">
        <v>2265</v>
      </c>
      <c r="C1857" t="s">
        <v>39</v>
      </c>
      <c r="D1857" t="s">
        <v>2225</v>
      </c>
      <c r="E1857" t="s">
        <v>2226</v>
      </c>
      <c r="F1857" s="2">
        <v>45151</v>
      </c>
      <c r="G1857" s="3">
        <v>0.41249999999999998</v>
      </c>
      <c r="H1857" t="s">
        <v>2227</v>
      </c>
      <c r="I1857" s="4" t="s">
        <v>2228</v>
      </c>
      <c r="J1857" t="s">
        <v>1173</v>
      </c>
      <c r="K1857" t="s">
        <v>2266</v>
      </c>
      <c r="L1857" t="s">
        <v>2267</v>
      </c>
      <c r="M1857" t="s">
        <v>46</v>
      </c>
      <c r="O1857" t="s">
        <v>47</v>
      </c>
      <c r="P1857" t="s">
        <v>48</v>
      </c>
      <c r="Q1857">
        <v>0</v>
      </c>
      <c r="R1857" t="b">
        <v>0</v>
      </c>
      <c r="S1857" t="s">
        <v>49</v>
      </c>
      <c r="T1857" t="s">
        <v>70</v>
      </c>
      <c r="U1857" t="s">
        <v>71</v>
      </c>
      <c r="V1857" t="s">
        <v>72</v>
      </c>
      <c r="W1857" t="s">
        <v>73</v>
      </c>
      <c r="X1857" t="s">
        <v>54</v>
      </c>
      <c r="Z1857" s="12">
        <v>0</v>
      </c>
      <c r="AA1857" s="13" t="s">
        <v>9165</v>
      </c>
      <c r="AB1857" s="13" t="s">
        <v>9164</v>
      </c>
      <c r="AC1857" s="14" t="s">
        <v>9139</v>
      </c>
      <c r="AD1857" s="14" t="s">
        <v>9140</v>
      </c>
      <c r="AE1857" s="14" t="s">
        <v>9140</v>
      </c>
      <c r="AF1857" s="14" t="s">
        <v>72</v>
      </c>
      <c r="AG1857" s="14" t="s">
        <v>54</v>
      </c>
      <c r="AH1857" s="15" t="s">
        <v>9194</v>
      </c>
      <c r="AI1857" s="15" t="s">
        <v>9187</v>
      </c>
      <c r="AJ1857" s="15" t="s">
        <v>9143</v>
      </c>
      <c r="AK1857" s="15" t="s">
        <v>9194</v>
      </c>
      <c r="AL1857" s="15" t="s">
        <v>9209</v>
      </c>
      <c r="AM1857" s="16" t="s">
        <v>9194</v>
      </c>
      <c r="AN1857" s="16" t="s">
        <v>9210</v>
      </c>
    </row>
    <row r="1858" spans="1:40" x14ac:dyDescent="0.25">
      <c r="A1858" t="s">
        <v>2487</v>
      </c>
      <c r="C1858" t="s">
        <v>39</v>
      </c>
      <c r="D1858" t="s">
        <v>2455</v>
      </c>
      <c r="E1858" t="s">
        <v>2456</v>
      </c>
      <c r="F1858" s="2">
        <v>45150</v>
      </c>
      <c r="G1858" s="3">
        <v>0.46250000000000002</v>
      </c>
      <c r="H1858" t="s">
        <v>1939</v>
      </c>
      <c r="I1858" s="4" t="s">
        <v>2393</v>
      </c>
      <c r="J1858" t="s">
        <v>2394</v>
      </c>
      <c r="K1858" t="s">
        <v>2488</v>
      </c>
      <c r="L1858" t="s">
        <v>2489</v>
      </c>
      <c r="M1858" t="s">
        <v>46</v>
      </c>
      <c r="O1858" t="s">
        <v>47</v>
      </c>
      <c r="P1858" t="s">
        <v>48</v>
      </c>
      <c r="Q1858">
        <v>0</v>
      </c>
      <c r="R1858" t="b">
        <v>0</v>
      </c>
      <c r="S1858" t="s">
        <v>49</v>
      </c>
      <c r="T1858" t="s">
        <v>70</v>
      </c>
      <c r="U1858" t="s">
        <v>71</v>
      </c>
      <c r="V1858" t="s">
        <v>72</v>
      </c>
      <c r="W1858" t="s">
        <v>73</v>
      </c>
      <c r="X1858" t="s">
        <v>54</v>
      </c>
      <c r="Z1858" s="12">
        <v>0</v>
      </c>
      <c r="AA1858" s="13" t="s">
        <v>9165</v>
      </c>
      <c r="AB1858" s="13" t="s">
        <v>9164</v>
      </c>
      <c r="AC1858" s="14" t="s">
        <v>9139</v>
      </c>
      <c r="AD1858" s="14" t="s">
        <v>9140</v>
      </c>
      <c r="AE1858" s="14" t="s">
        <v>9140</v>
      </c>
      <c r="AF1858" s="14" t="s">
        <v>72</v>
      </c>
      <c r="AG1858" s="14" t="s">
        <v>54</v>
      </c>
      <c r="AH1858" s="15" t="s">
        <v>9194</v>
      </c>
      <c r="AI1858" s="15" t="s">
        <v>9175</v>
      </c>
      <c r="AJ1858" s="15" t="s">
        <v>9143</v>
      </c>
      <c r="AK1858" s="15" t="s">
        <v>9194</v>
      </c>
      <c r="AL1858" s="15" t="s">
        <v>9195</v>
      </c>
      <c r="AM1858" s="16" t="s">
        <v>9194</v>
      </c>
      <c r="AN1858" s="16" t="s">
        <v>9196</v>
      </c>
    </row>
    <row r="1859" spans="1:40" x14ac:dyDescent="0.25">
      <c r="A1859" t="s">
        <v>6248</v>
      </c>
      <c r="C1859" t="s">
        <v>39</v>
      </c>
      <c r="D1859" t="s">
        <v>6249</v>
      </c>
      <c r="E1859" t="s">
        <v>6250</v>
      </c>
      <c r="F1859" s="2">
        <v>45149</v>
      </c>
      <c r="G1859" s="3">
        <v>0.47916666666666669</v>
      </c>
      <c r="H1859" t="s">
        <v>5666</v>
      </c>
      <c r="I1859" s="4" t="s">
        <v>6217</v>
      </c>
      <c r="J1859" t="s">
        <v>3503</v>
      </c>
      <c r="K1859" t="s">
        <v>995</v>
      </c>
      <c r="L1859" t="s">
        <v>6251</v>
      </c>
      <c r="M1859" t="s">
        <v>46</v>
      </c>
      <c r="O1859" t="s">
        <v>47</v>
      </c>
      <c r="P1859" t="s">
        <v>48</v>
      </c>
      <c r="Q1859">
        <v>0</v>
      </c>
      <c r="R1859" t="b">
        <v>0</v>
      </c>
      <c r="S1859" t="s">
        <v>49</v>
      </c>
      <c r="T1859" t="s">
        <v>89</v>
      </c>
      <c r="U1859" t="s">
        <v>140</v>
      </c>
      <c r="V1859" t="s">
        <v>123</v>
      </c>
      <c r="W1859" t="s">
        <v>149</v>
      </c>
      <c r="X1859" t="s">
        <v>54</v>
      </c>
      <c r="Z1859" s="12">
        <v>0</v>
      </c>
      <c r="AA1859" s="13" t="s">
        <v>9165</v>
      </c>
      <c r="AB1859" s="13" t="s">
        <v>9164</v>
      </c>
      <c r="AC1859" s="14" t="s">
        <v>9139</v>
      </c>
      <c r="AD1859" s="14" t="s">
        <v>9140</v>
      </c>
      <c r="AE1859" s="14" t="s">
        <v>9140</v>
      </c>
      <c r="AF1859" s="14" t="s">
        <v>123</v>
      </c>
      <c r="AG1859" s="14" t="s">
        <v>54</v>
      </c>
      <c r="AH1859" s="15" t="s">
        <v>9220</v>
      </c>
      <c r="AI1859" s="15" t="s">
        <v>9199</v>
      </c>
      <c r="AJ1859" s="15" t="s">
        <v>9143</v>
      </c>
      <c r="AK1859" s="15" t="s">
        <v>9221</v>
      </c>
      <c r="AL1859" s="15" t="s">
        <v>9199</v>
      </c>
      <c r="AM1859" s="16" t="s">
        <v>9221</v>
      </c>
      <c r="AN1859" s="16" t="s">
        <v>9238</v>
      </c>
    </row>
    <row r="1860" spans="1:40" x14ac:dyDescent="0.25">
      <c r="A1860" t="s">
        <v>2566</v>
      </c>
      <c r="C1860" t="s">
        <v>39</v>
      </c>
      <c r="D1860" t="s">
        <v>2518</v>
      </c>
      <c r="E1860" t="s">
        <v>2519</v>
      </c>
      <c r="F1860" s="2">
        <v>45149</v>
      </c>
      <c r="G1860" s="3">
        <v>0.63541666666666663</v>
      </c>
      <c r="H1860" t="s">
        <v>1992</v>
      </c>
      <c r="I1860" s="4" t="s">
        <v>2520</v>
      </c>
      <c r="J1860" t="s">
        <v>2521</v>
      </c>
      <c r="K1860" t="s">
        <v>2567</v>
      </c>
      <c r="L1860" t="s">
        <v>2568</v>
      </c>
      <c r="M1860" t="s">
        <v>46</v>
      </c>
      <c r="O1860" t="s">
        <v>47</v>
      </c>
      <c r="P1860" t="s">
        <v>48</v>
      </c>
      <c r="Q1860">
        <v>0</v>
      </c>
      <c r="R1860" t="b">
        <v>0</v>
      </c>
      <c r="S1860" t="s">
        <v>61</v>
      </c>
      <c r="T1860" t="s">
        <v>479</v>
      </c>
      <c r="U1860" t="s">
        <v>148</v>
      </c>
      <c r="V1860" t="s">
        <v>72</v>
      </c>
      <c r="W1860" t="s">
        <v>73</v>
      </c>
      <c r="X1860" t="s">
        <v>54</v>
      </c>
      <c r="Z1860" s="12">
        <v>0</v>
      </c>
      <c r="AA1860" s="13" t="s">
        <v>9165</v>
      </c>
      <c r="AB1860" s="13" t="s">
        <v>9164</v>
      </c>
      <c r="AC1860" s="14" t="s">
        <v>9148</v>
      </c>
      <c r="AD1860" s="14" t="s">
        <v>9140</v>
      </c>
      <c r="AE1860" s="14" t="s">
        <v>9140</v>
      </c>
      <c r="AF1860" s="14" t="s">
        <v>72</v>
      </c>
      <c r="AG1860" s="14" t="s">
        <v>54</v>
      </c>
      <c r="AH1860" s="15" t="s">
        <v>9194</v>
      </c>
      <c r="AI1860" s="15" t="s">
        <v>9191</v>
      </c>
      <c r="AJ1860" s="15" t="s">
        <v>9143</v>
      </c>
      <c r="AK1860" s="15" t="s">
        <v>9194</v>
      </c>
      <c r="AL1860" s="15" t="s">
        <v>9201</v>
      </c>
      <c r="AM1860" s="16" t="s">
        <v>9194</v>
      </c>
      <c r="AN1860" s="16" t="s">
        <v>9202</v>
      </c>
    </row>
    <row r="1861" spans="1:40" x14ac:dyDescent="0.25">
      <c r="A1861" t="s">
        <v>162</v>
      </c>
      <c r="C1861" t="s">
        <v>39</v>
      </c>
      <c r="D1861" t="s">
        <v>92</v>
      </c>
      <c r="E1861" t="s">
        <v>93</v>
      </c>
      <c r="F1861" s="2">
        <v>45149</v>
      </c>
      <c r="G1861" s="3">
        <v>0.52083333333333337</v>
      </c>
      <c r="H1861" t="s">
        <v>42</v>
      </c>
      <c r="I1861" s="4">
        <v>1006</v>
      </c>
      <c r="J1861" t="s">
        <v>94</v>
      </c>
      <c r="K1861" t="s">
        <v>163</v>
      </c>
      <c r="L1861" t="s">
        <v>164</v>
      </c>
      <c r="M1861" t="s">
        <v>46</v>
      </c>
      <c r="O1861" t="s">
        <v>47</v>
      </c>
      <c r="P1861" t="s">
        <v>48</v>
      </c>
      <c r="Q1861">
        <v>0</v>
      </c>
      <c r="R1861" t="b">
        <v>0</v>
      </c>
      <c r="S1861" t="s">
        <v>61</v>
      </c>
      <c r="T1861" t="s">
        <v>89</v>
      </c>
      <c r="U1861" t="s">
        <v>165</v>
      </c>
      <c r="V1861" t="s">
        <v>72</v>
      </c>
      <c r="W1861" t="s">
        <v>73</v>
      </c>
      <c r="X1861" t="s">
        <v>54</v>
      </c>
      <c r="Z1861" s="12">
        <v>0</v>
      </c>
      <c r="AA1861" s="13" t="s">
        <v>9165</v>
      </c>
      <c r="AB1861" s="13" t="s">
        <v>9164</v>
      </c>
      <c r="AC1861" s="14" t="s">
        <v>9148</v>
      </c>
      <c r="AD1861" s="14" t="s">
        <v>9140</v>
      </c>
      <c r="AE1861" s="14" t="s">
        <v>9140</v>
      </c>
      <c r="AF1861" s="14" t="s">
        <v>72</v>
      </c>
      <c r="AG1861" s="14" t="s">
        <v>54</v>
      </c>
      <c r="AH1861" s="15" t="s">
        <v>9141</v>
      </c>
      <c r="AI1861" s="15" t="s">
        <v>9142</v>
      </c>
      <c r="AJ1861" s="15" t="s">
        <v>9143</v>
      </c>
      <c r="AK1861" s="15" t="s">
        <v>9141</v>
      </c>
      <c r="AL1861" s="15" t="s">
        <v>9144</v>
      </c>
      <c r="AM1861" s="16" t="s">
        <v>9141</v>
      </c>
      <c r="AN1861" s="16" t="s">
        <v>9145</v>
      </c>
    </row>
    <row r="1862" spans="1:40" x14ac:dyDescent="0.25">
      <c r="A1862" t="s">
        <v>4459</v>
      </c>
      <c r="B1862" s="1">
        <v>12230019913</v>
      </c>
      <c r="C1862" t="s">
        <v>39</v>
      </c>
      <c r="D1862" t="s">
        <v>4460</v>
      </c>
      <c r="E1862" t="s">
        <v>4461</v>
      </c>
      <c r="F1862" s="2">
        <v>45149</v>
      </c>
      <c r="G1862" s="3">
        <v>0.79166666666666663</v>
      </c>
      <c r="H1862" t="s">
        <v>4019</v>
      </c>
      <c r="I1862" s="4" t="s">
        <v>4455</v>
      </c>
      <c r="J1862" t="s">
        <v>4456</v>
      </c>
      <c r="K1862" t="s">
        <v>1942</v>
      </c>
      <c r="L1862" t="s">
        <v>4462</v>
      </c>
      <c r="M1862" t="s">
        <v>28</v>
      </c>
      <c r="N1862" t="s">
        <v>372</v>
      </c>
      <c r="O1862" t="s">
        <v>174</v>
      </c>
      <c r="P1862" t="s">
        <v>48</v>
      </c>
      <c r="Q1862">
        <v>41</v>
      </c>
      <c r="R1862" t="b">
        <v>1</v>
      </c>
      <c r="S1862" t="s">
        <v>61</v>
      </c>
      <c r="T1862" t="s">
        <v>4463</v>
      </c>
      <c r="U1862" t="s">
        <v>600</v>
      </c>
      <c r="V1862" t="s">
        <v>123</v>
      </c>
      <c r="W1862" t="s">
        <v>124</v>
      </c>
      <c r="X1862" t="s">
        <v>54</v>
      </c>
      <c r="Z1862" s="12" t="s">
        <v>48</v>
      </c>
      <c r="AA1862" s="13" t="s">
        <v>9165</v>
      </c>
      <c r="AB1862" s="13" t="s">
        <v>9164</v>
      </c>
      <c r="AC1862" s="14" t="s">
        <v>9148</v>
      </c>
      <c r="AD1862" s="14" t="s">
        <v>28</v>
      </c>
      <c r="AE1862" s="14" t="s">
        <v>372</v>
      </c>
      <c r="AF1862" s="14" t="s">
        <v>123</v>
      </c>
      <c r="AG1862" s="14" t="s">
        <v>54</v>
      </c>
      <c r="AH1862" s="15" t="s">
        <v>9220</v>
      </c>
      <c r="AI1862" s="15" t="s">
        <v>9175</v>
      </c>
      <c r="AJ1862" s="15" t="s">
        <v>9143</v>
      </c>
      <c r="AK1862" s="15" t="s">
        <v>9221</v>
      </c>
      <c r="AL1862" s="15" t="s">
        <v>9222</v>
      </c>
      <c r="AM1862" s="16" t="s">
        <v>9221</v>
      </c>
      <c r="AN1862" s="16" t="s">
        <v>9223</v>
      </c>
    </row>
    <row r="1863" spans="1:40" x14ac:dyDescent="0.25">
      <c r="A1863" t="s">
        <v>6360</v>
      </c>
      <c r="C1863" t="s">
        <v>39</v>
      </c>
      <c r="D1863" t="s">
        <v>6361</v>
      </c>
      <c r="E1863" t="s">
        <v>6362</v>
      </c>
      <c r="F1863" s="2">
        <v>45149</v>
      </c>
      <c r="G1863" s="3">
        <v>0.85416666666666663</v>
      </c>
      <c r="H1863" t="s">
        <v>4019</v>
      </c>
      <c r="I1863" s="4" t="s">
        <v>6277</v>
      </c>
      <c r="J1863" t="s">
        <v>988</v>
      </c>
      <c r="K1863" t="s">
        <v>6363</v>
      </c>
      <c r="L1863" t="s">
        <v>6364</v>
      </c>
      <c r="M1863" t="s">
        <v>46</v>
      </c>
      <c r="O1863" t="s">
        <v>47</v>
      </c>
      <c r="P1863" t="s">
        <v>48</v>
      </c>
      <c r="Q1863">
        <v>0</v>
      </c>
      <c r="R1863" t="b">
        <v>0</v>
      </c>
      <c r="S1863" t="s">
        <v>61</v>
      </c>
      <c r="T1863" t="s">
        <v>89</v>
      </c>
      <c r="U1863" t="s">
        <v>71</v>
      </c>
      <c r="V1863" t="s">
        <v>63</v>
      </c>
      <c r="W1863" t="s">
        <v>312</v>
      </c>
      <c r="X1863" t="s">
        <v>54</v>
      </c>
      <c r="Y1863" t="s">
        <v>486</v>
      </c>
      <c r="Z1863" s="12">
        <v>0</v>
      </c>
      <c r="AA1863" s="13" t="s">
        <v>9165</v>
      </c>
      <c r="AB1863" s="13" t="s">
        <v>9164</v>
      </c>
      <c r="AC1863" s="14" t="s">
        <v>9148</v>
      </c>
      <c r="AD1863" s="14" t="s">
        <v>9140</v>
      </c>
      <c r="AE1863" s="14" t="s">
        <v>9140</v>
      </c>
      <c r="AF1863" s="14" t="s">
        <v>63</v>
      </c>
      <c r="AG1863" s="14" t="s">
        <v>54</v>
      </c>
      <c r="AH1863" s="15" t="s">
        <v>9220</v>
      </c>
      <c r="AI1863" s="15" t="s">
        <v>9175</v>
      </c>
      <c r="AJ1863" s="15" t="s">
        <v>9143</v>
      </c>
      <c r="AK1863" s="15" t="s">
        <v>9221</v>
      </c>
      <c r="AL1863" s="15" t="s">
        <v>9222</v>
      </c>
      <c r="AM1863" s="16" t="s">
        <v>9221</v>
      </c>
      <c r="AN1863" s="16" t="s">
        <v>9223</v>
      </c>
    </row>
    <row r="1864" spans="1:40" x14ac:dyDescent="0.25">
      <c r="A1864" t="s">
        <v>8501</v>
      </c>
      <c r="C1864" t="s">
        <v>39</v>
      </c>
      <c r="D1864" t="s">
        <v>8502</v>
      </c>
      <c r="E1864" t="s">
        <v>8503</v>
      </c>
      <c r="F1864" s="2">
        <v>45149</v>
      </c>
      <c r="G1864" s="3">
        <v>0.67708333333333337</v>
      </c>
      <c r="H1864" t="s">
        <v>8476</v>
      </c>
      <c r="I1864" s="4" t="s">
        <v>8477</v>
      </c>
      <c r="J1864" t="s">
        <v>8478</v>
      </c>
      <c r="K1864" t="s">
        <v>6007</v>
      </c>
      <c r="L1864" t="s">
        <v>8504</v>
      </c>
      <c r="M1864" t="s">
        <v>46</v>
      </c>
      <c r="O1864" t="s">
        <v>47</v>
      </c>
      <c r="P1864" t="s">
        <v>48</v>
      </c>
      <c r="Q1864">
        <v>0</v>
      </c>
      <c r="R1864" t="b">
        <v>0</v>
      </c>
      <c r="S1864" t="s">
        <v>61</v>
      </c>
      <c r="T1864" t="s">
        <v>70</v>
      </c>
      <c r="U1864" t="s">
        <v>71</v>
      </c>
      <c r="V1864" t="s">
        <v>72</v>
      </c>
      <c r="W1864" t="s">
        <v>73</v>
      </c>
      <c r="X1864" t="s">
        <v>54</v>
      </c>
      <c r="Z1864" s="12">
        <v>0</v>
      </c>
      <c r="AA1864" s="13" t="s">
        <v>9165</v>
      </c>
      <c r="AB1864" s="13" t="s">
        <v>9164</v>
      </c>
      <c r="AC1864" s="14" t="s">
        <v>9148</v>
      </c>
      <c r="AD1864" s="14" t="s">
        <v>9140</v>
      </c>
      <c r="AE1864" s="14" t="s">
        <v>9140</v>
      </c>
      <c r="AF1864" s="14" t="s">
        <v>72</v>
      </c>
      <c r="AG1864" s="14" t="s">
        <v>54</v>
      </c>
      <c r="AH1864" s="15" t="s">
        <v>9220</v>
      </c>
      <c r="AI1864" s="15" t="s">
        <v>9193</v>
      </c>
      <c r="AJ1864" s="15" t="s">
        <v>9143</v>
      </c>
      <c r="AK1864" s="15" t="s">
        <v>9221</v>
      </c>
      <c r="AL1864" s="15" t="s">
        <v>9230</v>
      </c>
      <c r="AM1864" s="16" t="s">
        <v>9221</v>
      </c>
      <c r="AN1864" s="16" t="s">
        <v>9231</v>
      </c>
    </row>
    <row r="1865" spans="1:40" x14ac:dyDescent="0.25">
      <c r="A1865" t="s">
        <v>8505</v>
      </c>
      <c r="C1865" t="s">
        <v>39</v>
      </c>
      <c r="D1865" t="s">
        <v>8506</v>
      </c>
      <c r="E1865" t="s">
        <v>8507</v>
      </c>
      <c r="F1865" s="2">
        <v>45148</v>
      </c>
      <c r="G1865" s="3">
        <v>0.7</v>
      </c>
      <c r="H1865" t="s">
        <v>8476</v>
      </c>
      <c r="I1865" s="4" t="s">
        <v>8477</v>
      </c>
      <c r="J1865" t="s">
        <v>8478</v>
      </c>
      <c r="K1865" t="s">
        <v>8508</v>
      </c>
      <c r="L1865" t="s">
        <v>8509</v>
      </c>
      <c r="M1865" t="s">
        <v>46</v>
      </c>
      <c r="O1865" t="s">
        <v>47</v>
      </c>
      <c r="P1865" t="s">
        <v>48</v>
      </c>
      <c r="Q1865">
        <v>0</v>
      </c>
      <c r="R1865" t="b">
        <v>0</v>
      </c>
      <c r="S1865" t="s">
        <v>61</v>
      </c>
      <c r="T1865" t="s">
        <v>479</v>
      </c>
      <c r="U1865" t="s">
        <v>71</v>
      </c>
      <c r="V1865" t="s">
        <v>52</v>
      </c>
      <c r="W1865" t="s">
        <v>135</v>
      </c>
      <c r="X1865" t="s">
        <v>54</v>
      </c>
      <c r="Z1865" s="12">
        <v>0</v>
      </c>
      <c r="AA1865" s="13" t="s">
        <v>9165</v>
      </c>
      <c r="AB1865" s="13" t="s">
        <v>9164</v>
      </c>
      <c r="AC1865" s="14" t="s">
        <v>9148</v>
      </c>
      <c r="AD1865" s="14" t="s">
        <v>9140</v>
      </c>
      <c r="AE1865" s="14" t="s">
        <v>9140</v>
      </c>
      <c r="AF1865" s="14" t="s">
        <v>52</v>
      </c>
      <c r="AG1865" s="14" t="s">
        <v>54</v>
      </c>
      <c r="AH1865" s="15" t="s">
        <v>9220</v>
      </c>
      <c r="AI1865" s="15" t="s">
        <v>9193</v>
      </c>
      <c r="AJ1865" s="15" t="s">
        <v>9143</v>
      </c>
      <c r="AK1865" s="15" t="s">
        <v>9221</v>
      </c>
      <c r="AL1865" s="15" t="s">
        <v>9230</v>
      </c>
      <c r="AM1865" s="16" t="s">
        <v>9221</v>
      </c>
      <c r="AN1865" s="16" t="s">
        <v>9231</v>
      </c>
    </row>
    <row r="1866" spans="1:40" x14ac:dyDescent="0.25">
      <c r="A1866" t="s">
        <v>7151</v>
      </c>
      <c r="C1866" t="s">
        <v>39</v>
      </c>
      <c r="D1866" t="s">
        <v>7033</v>
      </c>
      <c r="E1866" t="s">
        <v>7034</v>
      </c>
      <c r="F1866" s="2">
        <v>45148</v>
      </c>
      <c r="G1866" s="3">
        <v>0.63680555555555551</v>
      </c>
      <c r="H1866" t="s">
        <v>4242</v>
      </c>
      <c r="I1866" s="4" t="s">
        <v>7028</v>
      </c>
      <c r="J1866" t="s">
        <v>7029</v>
      </c>
      <c r="K1866" t="s">
        <v>7152</v>
      </c>
      <c r="L1866" t="s">
        <v>7153</v>
      </c>
      <c r="M1866" t="s">
        <v>46</v>
      </c>
      <c r="O1866" t="s">
        <v>47</v>
      </c>
      <c r="P1866" t="s">
        <v>48</v>
      </c>
      <c r="Q1866">
        <v>0</v>
      </c>
      <c r="R1866" t="b">
        <v>0</v>
      </c>
      <c r="S1866" t="s">
        <v>61</v>
      </c>
      <c r="T1866" t="s">
        <v>433</v>
      </c>
      <c r="U1866" t="s">
        <v>165</v>
      </c>
      <c r="V1866" t="s">
        <v>81</v>
      </c>
      <c r="W1866" t="s">
        <v>3132</v>
      </c>
      <c r="X1866" t="s">
        <v>83</v>
      </c>
      <c r="Z1866" s="12">
        <v>0</v>
      </c>
      <c r="AA1866" s="13" t="s">
        <v>9165</v>
      </c>
      <c r="AB1866" s="13" t="s">
        <v>9164</v>
      </c>
      <c r="AC1866" s="14" t="s">
        <v>9148</v>
      </c>
      <c r="AD1866" s="14" t="s">
        <v>9140</v>
      </c>
      <c r="AE1866" s="14" t="s">
        <v>9140</v>
      </c>
      <c r="AF1866" s="14" t="s">
        <v>81</v>
      </c>
      <c r="AG1866" s="14" t="s">
        <v>83</v>
      </c>
      <c r="AH1866" s="15" t="s">
        <v>9220</v>
      </c>
      <c r="AI1866" s="15" t="s">
        <v>9187</v>
      </c>
      <c r="AJ1866" s="15" t="s">
        <v>9143</v>
      </c>
      <c r="AK1866" s="15" t="s">
        <v>9221</v>
      </c>
      <c r="AL1866" s="15" t="s">
        <v>9226</v>
      </c>
      <c r="AM1866" s="16" t="s">
        <v>9221</v>
      </c>
      <c r="AN1866" s="16" t="s">
        <v>9227</v>
      </c>
    </row>
    <row r="1867" spans="1:40" x14ac:dyDescent="0.25">
      <c r="A1867" t="s">
        <v>1496</v>
      </c>
      <c r="C1867" t="s">
        <v>39</v>
      </c>
      <c r="D1867" t="s">
        <v>1497</v>
      </c>
      <c r="E1867" t="s">
        <v>1498</v>
      </c>
      <c r="F1867" s="2">
        <v>45148</v>
      </c>
      <c r="G1867" s="3">
        <v>0.33194444444444443</v>
      </c>
      <c r="H1867" t="s">
        <v>1476</v>
      </c>
      <c r="I1867" s="4">
        <v>6059</v>
      </c>
      <c r="J1867" t="s">
        <v>1477</v>
      </c>
      <c r="K1867" t="s">
        <v>1499</v>
      </c>
      <c r="L1867" t="s">
        <v>1500</v>
      </c>
      <c r="M1867" t="s">
        <v>46</v>
      </c>
      <c r="O1867" t="s">
        <v>174</v>
      </c>
      <c r="P1867" t="s">
        <v>48</v>
      </c>
      <c r="Q1867">
        <v>0</v>
      </c>
      <c r="R1867" t="b">
        <v>0</v>
      </c>
      <c r="S1867" t="s">
        <v>61</v>
      </c>
      <c r="T1867" t="s">
        <v>89</v>
      </c>
      <c r="U1867" t="s">
        <v>345</v>
      </c>
      <c r="V1867" t="s">
        <v>123</v>
      </c>
      <c r="W1867" t="s">
        <v>124</v>
      </c>
      <c r="X1867" t="s">
        <v>54</v>
      </c>
      <c r="Z1867" s="12">
        <v>0</v>
      </c>
      <c r="AA1867" s="13" t="s">
        <v>9165</v>
      </c>
      <c r="AB1867" s="13" t="s">
        <v>9164</v>
      </c>
      <c r="AC1867" s="14" t="s">
        <v>9148</v>
      </c>
      <c r="AD1867" s="14" t="s">
        <v>9140</v>
      </c>
      <c r="AE1867" s="14" t="s">
        <v>9140</v>
      </c>
      <c r="AF1867" s="14" t="s">
        <v>123</v>
      </c>
      <c r="AG1867" s="14" t="s">
        <v>54</v>
      </c>
      <c r="AH1867" s="15" t="s">
        <v>9141</v>
      </c>
      <c r="AI1867" s="15" t="s">
        <v>9193</v>
      </c>
      <c r="AJ1867" s="15" t="s">
        <v>9143</v>
      </c>
      <c r="AK1867" s="15" t="s">
        <v>9141</v>
      </c>
      <c r="AL1867" s="15" t="s">
        <v>9189</v>
      </c>
      <c r="AM1867" s="16" t="s">
        <v>9141</v>
      </c>
      <c r="AN1867" s="16" t="s">
        <v>9190</v>
      </c>
    </row>
    <row r="1868" spans="1:40" x14ac:dyDescent="0.25">
      <c r="A1868" t="s">
        <v>2490</v>
      </c>
      <c r="C1868" t="s">
        <v>39</v>
      </c>
      <c r="D1868" t="s">
        <v>2320</v>
      </c>
      <c r="E1868" t="s">
        <v>2321</v>
      </c>
      <c r="F1868" s="2">
        <v>45147</v>
      </c>
      <c r="G1868" s="3">
        <v>0.55902777777777779</v>
      </c>
      <c r="H1868" t="s">
        <v>1939</v>
      </c>
      <c r="I1868" s="4" t="s">
        <v>2393</v>
      </c>
      <c r="J1868" t="s">
        <v>2394</v>
      </c>
      <c r="K1868" t="s">
        <v>2491</v>
      </c>
      <c r="L1868" t="s">
        <v>2492</v>
      </c>
      <c r="M1868" t="s">
        <v>46</v>
      </c>
      <c r="O1868" t="s">
        <v>47</v>
      </c>
      <c r="P1868" t="s">
        <v>48</v>
      </c>
      <c r="Q1868">
        <v>0</v>
      </c>
      <c r="R1868" t="b">
        <v>0</v>
      </c>
      <c r="S1868" t="s">
        <v>49</v>
      </c>
      <c r="T1868" t="s">
        <v>70</v>
      </c>
      <c r="U1868" t="s">
        <v>71</v>
      </c>
      <c r="V1868" t="s">
        <v>72</v>
      </c>
      <c r="W1868" t="s">
        <v>73</v>
      </c>
      <c r="X1868" t="s">
        <v>54</v>
      </c>
      <c r="Z1868" s="12">
        <v>0</v>
      </c>
      <c r="AA1868" s="13" t="s">
        <v>9165</v>
      </c>
      <c r="AB1868" s="13" t="s">
        <v>9164</v>
      </c>
      <c r="AC1868" s="14" t="s">
        <v>9139</v>
      </c>
      <c r="AD1868" s="14" t="s">
        <v>9140</v>
      </c>
      <c r="AE1868" s="14" t="s">
        <v>9140</v>
      </c>
      <c r="AF1868" s="14" t="s">
        <v>72</v>
      </c>
      <c r="AG1868" s="14" t="s">
        <v>54</v>
      </c>
      <c r="AH1868" s="15" t="s">
        <v>9194</v>
      </c>
      <c r="AI1868" s="15" t="s">
        <v>9175</v>
      </c>
      <c r="AJ1868" s="15" t="s">
        <v>9143</v>
      </c>
      <c r="AK1868" s="15" t="s">
        <v>9194</v>
      </c>
      <c r="AL1868" s="15" t="s">
        <v>9195</v>
      </c>
      <c r="AM1868" s="16" t="s">
        <v>9194</v>
      </c>
      <c r="AN1868" s="16" t="s">
        <v>9196</v>
      </c>
    </row>
    <row r="1869" spans="1:40" x14ac:dyDescent="0.25">
      <c r="A1869" t="s">
        <v>3669</v>
      </c>
      <c r="C1869" t="s">
        <v>39</v>
      </c>
      <c r="D1869" t="s">
        <v>3666</v>
      </c>
      <c r="E1869" t="s">
        <v>3667</v>
      </c>
      <c r="F1869" s="2">
        <v>45147</v>
      </c>
      <c r="G1869" s="3">
        <v>0.3347222222222222</v>
      </c>
      <c r="H1869" t="s">
        <v>1992</v>
      </c>
      <c r="I1869" s="4" t="s">
        <v>3656</v>
      </c>
      <c r="J1869" t="s">
        <v>3657</v>
      </c>
      <c r="K1869" t="s">
        <v>3670</v>
      </c>
      <c r="L1869" t="s">
        <v>3671</v>
      </c>
      <c r="M1869" t="s">
        <v>46</v>
      </c>
      <c r="O1869" t="s">
        <v>47</v>
      </c>
      <c r="P1869" t="s">
        <v>48</v>
      </c>
      <c r="Q1869">
        <v>0</v>
      </c>
      <c r="R1869" t="b">
        <v>0</v>
      </c>
      <c r="S1869" t="s">
        <v>61</v>
      </c>
      <c r="T1869" t="s">
        <v>134</v>
      </c>
      <c r="U1869" t="s">
        <v>2767</v>
      </c>
      <c r="V1869" t="s">
        <v>63</v>
      </c>
      <c r="W1869" t="s">
        <v>108</v>
      </c>
      <c r="X1869" t="s">
        <v>54</v>
      </c>
      <c r="Z1869" s="12">
        <v>0</v>
      </c>
      <c r="AA1869" s="13" t="s">
        <v>9165</v>
      </c>
      <c r="AB1869" s="13" t="s">
        <v>9164</v>
      </c>
      <c r="AC1869" s="14" t="s">
        <v>9148</v>
      </c>
      <c r="AD1869" s="14" t="s">
        <v>9140</v>
      </c>
      <c r="AE1869" s="14" t="s">
        <v>9140</v>
      </c>
      <c r="AF1869" s="14" t="s">
        <v>63</v>
      </c>
      <c r="AG1869" s="14" t="s">
        <v>54</v>
      </c>
      <c r="AH1869" s="15" t="s">
        <v>9194</v>
      </c>
      <c r="AI1869" s="15" t="s">
        <v>9191</v>
      </c>
      <c r="AJ1869" s="15" t="s">
        <v>9143</v>
      </c>
      <c r="AK1869" s="15" t="s">
        <v>9194</v>
      </c>
      <c r="AL1869" s="15" t="s">
        <v>9205</v>
      </c>
      <c r="AM1869" s="16" t="s">
        <v>9194</v>
      </c>
      <c r="AN1869" s="16" t="s">
        <v>9206</v>
      </c>
    </row>
    <row r="1870" spans="1:40" x14ac:dyDescent="0.25">
      <c r="A1870" t="s">
        <v>2311</v>
      </c>
      <c r="C1870" t="s">
        <v>39</v>
      </c>
      <c r="D1870" t="s">
        <v>2295</v>
      </c>
      <c r="E1870" t="s">
        <v>2296</v>
      </c>
      <c r="F1870" s="2">
        <v>45147</v>
      </c>
      <c r="G1870" s="3">
        <v>0.53472222222222221</v>
      </c>
      <c r="H1870" t="s">
        <v>2095</v>
      </c>
      <c r="I1870" s="4" t="s">
        <v>2271</v>
      </c>
      <c r="J1870" t="s">
        <v>2272</v>
      </c>
      <c r="K1870" t="s">
        <v>2312</v>
      </c>
      <c r="L1870" t="s">
        <v>2313</v>
      </c>
      <c r="M1870" t="s">
        <v>46</v>
      </c>
      <c r="O1870" t="s">
        <v>47</v>
      </c>
      <c r="P1870" t="s">
        <v>48</v>
      </c>
      <c r="Q1870">
        <v>0</v>
      </c>
      <c r="R1870" t="b">
        <v>0</v>
      </c>
      <c r="S1870" t="s">
        <v>61</v>
      </c>
      <c r="T1870" t="s">
        <v>134</v>
      </c>
      <c r="U1870" t="s">
        <v>527</v>
      </c>
      <c r="V1870" t="s">
        <v>63</v>
      </c>
      <c r="W1870" t="s">
        <v>108</v>
      </c>
      <c r="X1870" t="s">
        <v>98</v>
      </c>
      <c r="Z1870" s="12">
        <v>0</v>
      </c>
      <c r="AA1870" s="13" t="s">
        <v>9165</v>
      </c>
      <c r="AB1870" s="13" t="s">
        <v>9164</v>
      </c>
      <c r="AC1870" s="14" t="s">
        <v>9148</v>
      </c>
      <c r="AD1870" s="14" t="s">
        <v>9140</v>
      </c>
      <c r="AE1870" s="14" t="s">
        <v>9140</v>
      </c>
      <c r="AF1870" s="14" t="s">
        <v>63</v>
      </c>
      <c r="AG1870" s="14" t="s">
        <v>98</v>
      </c>
      <c r="AH1870" s="15" t="s">
        <v>9194</v>
      </c>
      <c r="AI1870" s="15" t="s">
        <v>9188</v>
      </c>
      <c r="AJ1870" s="15" t="s">
        <v>9143</v>
      </c>
      <c r="AK1870" s="15" t="s">
        <v>9194</v>
      </c>
      <c r="AL1870" s="15" t="s">
        <v>9203</v>
      </c>
      <c r="AM1870" s="16" t="s">
        <v>9194</v>
      </c>
      <c r="AN1870" s="16" t="s">
        <v>9204</v>
      </c>
    </row>
    <row r="1871" spans="1:40" x14ac:dyDescent="0.25">
      <c r="A1871" t="s">
        <v>1835</v>
      </c>
      <c r="C1871" t="s">
        <v>39</v>
      </c>
      <c r="D1871" t="s">
        <v>1784</v>
      </c>
      <c r="E1871" t="s">
        <v>1785</v>
      </c>
      <c r="F1871" s="2">
        <v>45147</v>
      </c>
      <c r="G1871" s="3">
        <v>0.40625</v>
      </c>
      <c r="H1871" t="s">
        <v>1654</v>
      </c>
      <c r="I1871" s="4">
        <v>9095</v>
      </c>
      <c r="J1871" t="s">
        <v>1742</v>
      </c>
      <c r="K1871" t="s">
        <v>1836</v>
      </c>
      <c r="L1871" t="s">
        <v>1837</v>
      </c>
      <c r="M1871" t="s">
        <v>46</v>
      </c>
      <c r="O1871" t="s">
        <v>47</v>
      </c>
      <c r="P1871" t="s">
        <v>48</v>
      </c>
      <c r="Q1871">
        <v>0</v>
      </c>
      <c r="R1871" t="b">
        <v>0</v>
      </c>
      <c r="S1871" t="s">
        <v>61</v>
      </c>
      <c r="T1871" t="s">
        <v>89</v>
      </c>
      <c r="U1871" t="s">
        <v>51</v>
      </c>
      <c r="V1871" t="s">
        <v>63</v>
      </c>
      <c r="W1871" t="s">
        <v>312</v>
      </c>
      <c r="X1871" t="s">
        <v>54</v>
      </c>
      <c r="Z1871" s="12">
        <v>0</v>
      </c>
      <c r="AA1871" s="13" t="s">
        <v>9165</v>
      </c>
      <c r="AB1871" s="13" t="s">
        <v>9164</v>
      </c>
      <c r="AC1871" s="14" t="s">
        <v>9148</v>
      </c>
      <c r="AD1871" s="14" t="s">
        <v>9140</v>
      </c>
      <c r="AE1871" s="14" t="s">
        <v>9140</v>
      </c>
      <c r="AF1871" s="14" t="s">
        <v>63</v>
      </c>
      <c r="AG1871" s="14" t="s">
        <v>54</v>
      </c>
      <c r="AH1871" s="15" t="s">
        <v>9141</v>
      </c>
      <c r="AI1871" s="15" t="s">
        <v>9191</v>
      </c>
      <c r="AJ1871" s="15" t="s">
        <v>9143</v>
      </c>
      <c r="AK1871" s="15" t="s">
        <v>9141</v>
      </c>
      <c r="AL1871" s="15" t="s">
        <v>9191</v>
      </c>
      <c r="AM1871" s="16" t="s">
        <v>9141</v>
      </c>
      <c r="AN1871" s="16" t="s">
        <v>9192</v>
      </c>
    </row>
    <row r="1872" spans="1:40" x14ac:dyDescent="0.25">
      <c r="A1872" t="s">
        <v>8544</v>
      </c>
      <c r="C1872" t="s">
        <v>39</v>
      </c>
      <c r="D1872" t="s">
        <v>8545</v>
      </c>
      <c r="E1872" t="s">
        <v>8546</v>
      </c>
      <c r="F1872" s="2">
        <v>45147</v>
      </c>
      <c r="G1872" s="3">
        <v>0.37847222222222221</v>
      </c>
      <c r="H1872" t="s">
        <v>4910</v>
      </c>
      <c r="I1872" s="4" t="s">
        <v>8527</v>
      </c>
      <c r="J1872" t="s">
        <v>8528</v>
      </c>
      <c r="K1872" t="s">
        <v>8547</v>
      </c>
      <c r="L1872" t="s">
        <v>8548</v>
      </c>
      <c r="M1872" t="s">
        <v>46</v>
      </c>
      <c r="O1872" t="s">
        <v>47</v>
      </c>
      <c r="P1872" t="s">
        <v>48</v>
      </c>
      <c r="Q1872">
        <v>0</v>
      </c>
      <c r="R1872" t="b">
        <v>0</v>
      </c>
      <c r="S1872" t="s">
        <v>61</v>
      </c>
      <c r="T1872" t="s">
        <v>479</v>
      </c>
      <c r="U1872" t="s">
        <v>148</v>
      </c>
      <c r="V1872" t="s">
        <v>52</v>
      </c>
      <c r="W1872" t="s">
        <v>53</v>
      </c>
      <c r="X1872" t="s">
        <v>54</v>
      </c>
      <c r="Z1872" s="12">
        <v>0</v>
      </c>
      <c r="AA1872" s="13" t="s">
        <v>9165</v>
      </c>
      <c r="AB1872" s="13" t="s">
        <v>9164</v>
      </c>
      <c r="AC1872" s="14" t="s">
        <v>9148</v>
      </c>
      <c r="AD1872" s="14" t="s">
        <v>9140</v>
      </c>
      <c r="AE1872" s="14" t="s">
        <v>9140</v>
      </c>
      <c r="AF1872" s="14" t="s">
        <v>52</v>
      </c>
      <c r="AG1872" s="14" t="s">
        <v>54</v>
      </c>
      <c r="AH1872" s="15" t="s">
        <v>9220</v>
      </c>
      <c r="AI1872" s="15" t="s">
        <v>9191</v>
      </c>
      <c r="AJ1872" s="15" t="s">
        <v>9143</v>
      </c>
      <c r="AK1872" s="15" t="s">
        <v>9221</v>
      </c>
      <c r="AL1872" s="15" t="s">
        <v>9236</v>
      </c>
      <c r="AM1872" s="16" t="s">
        <v>9221</v>
      </c>
      <c r="AN1872" s="16" t="s">
        <v>9237</v>
      </c>
    </row>
    <row r="1873" spans="1:40" x14ac:dyDescent="0.25">
      <c r="A1873" t="s">
        <v>8510</v>
      </c>
      <c r="C1873" t="s">
        <v>39</v>
      </c>
      <c r="D1873" t="s">
        <v>8506</v>
      </c>
      <c r="E1873" t="s">
        <v>8507</v>
      </c>
      <c r="F1873" s="2">
        <v>45147</v>
      </c>
      <c r="G1873" s="3">
        <v>0.47916666666666669</v>
      </c>
      <c r="H1873" t="s">
        <v>8476</v>
      </c>
      <c r="I1873" s="4" t="s">
        <v>8477</v>
      </c>
      <c r="J1873" t="s">
        <v>8478</v>
      </c>
      <c r="K1873" t="s">
        <v>8511</v>
      </c>
      <c r="L1873" t="s">
        <v>8512</v>
      </c>
      <c r="M1873" t="s">
        <v>46</v>
      </c>
      <c r="O1873" t="s">
        <v>47</v>
      </c>
      <c r="P1873" t="s">
        <v>48</v>
      </c>
      <c r="Q1873">
        <v>0</v>
      </c>
      <c r="R1873" t="b">
        <v>0</v>
      </c>
      <c r="S1873" t="s">
        <v>61</v>
      </c>
      <c r="T1873" t="s">
        <v>134</v>
      </c>
      <c r="U1873" t="s">
        <v>1918</v>
      </c>
      <c r="V1873" t="s">
        <v>63</v>
      </c>
      <c r="W1873" t="s">
        <v>198</v>
      </c>
      <c r="X1873" t="s">
        <v>54</v>
      </c>
      <c r="Z1873" s="12">
        <v>0</v>
      </c>
      <c r="AA1873" s="13" t="s">
        <v>9165</v>
      </c>
      <c r="AB1873" s="13" t="s">
        <v>9164</v>
      </c>
      <c r="AC1873" s="14" t="s">
        <v>9148</v>
      </c>
      <c r="AD1873" s="14" t="s">
        <v>9140</v>
      </c>
      <c r="AE1873" s="14" t="s">
        <v>9140</v>
      </c>
      <c r="AF1873" s="14" t="s">
        <v>63</v>
      </c>
      <c r="AG1873" s="14" t="s">
        <v>54</v>
      </c>
      <c r="AH1873" s="15" t="s">
        <v>9220</v>
      </c>
      <c r="AI1873" s="15" t="s">
        <v>9193</v>
      </c>
      <c r="AJ1873" s="15" t="s">
        <v>9143</v>
      </c>
      <c r="AK1873" s="15" t="s">
        <v>9221</v>
      </c>
      <c r="AL1873" s="15" t="s">
        <v>9230</v>
      </c>
      <c r="AM1873" s="16" t="s">
        <v>9221</v>
      </c>
      <c r="AN1873" s="16" t="s">
        <v>9231</v>
      </c>
    </row>
    <row r="1874" spans="1:40" x14ac:dyDescent="0.25">
      <c r="A1874" t="s">
        <v>8348</v>
      </c>
      <c r="C1874" t="s">
        <v>39</v>
      </c>
      <c r="D1874" t="s">
        <v>8349</v>
      </c>
      <c r="E1874" t="s">
        <v>8350</v>
      </c>
      <c r="F1874" s="2">
        <v>45146</v>
      </c>
      <c r="G1874" s="3">
        <v>0.72569444444444442</v>
      </c>
      <c r="H1874" t="s">
        <v>4910</v>
      </c>
      <c r="I1874" s="4" t="s">
        <v>8320</v>
      </c>
      <c r="J1874" t="s">
        <v>8321</v>
      </c>
      <c r="K1874" t="s">
        <v>8351</v>
      </c>
      <c r="L1874" t="s">
        <v>8352</v>
      </c>
      <c r="M1874" t="s">
        <v>46</v>
      </c>
      <c r="O1874" t="s">
        <v>47</v>
      </c>
      <c r="P1874" t="s">
        <v>48</v>
      </c>
      <c r="Q1874">
        <v>0</v>
      </c>
      <c r="R1874" t="b">
        <v>0</v>
      </c>
      <c r="S1874" t="s">
        <v>49</v>
      </c>
      <c r="T1874" t="s">
        <v>479</v>
      </c>
      <c r="U1874" t="s">
        <v>650</v>
      </c>
      <c r="V1874" t="s">
        <v>123</v>
      </c>
      <c r="W1874" t="s">
        <v>124</v>
      </c>
      <c r="X1874" t="s">
        <v>54</v>
      </c>
      <c r="Z1874" s="12">
        <v>0</v>
      </c>
      <c r="AA1874" s="13" t="s">
        <v>9165</v>
      </c>
      <c r="AB1874" s="13" t="s">
        <v>9164</v>
      </c>
      <c r="AC1874" s="14" t="s">
        <v>9139</v>
      </c>
      <c r="AD1874" s="14" t="s">
        <v>9140</v>
      </c>
      <c r="AE1874" s="14" t="s">
        <v>9140</v>
      </c>
      <c r="AF1874" s="14" t="s">
        <v>123</v>
      </c>
      <c r="AG1874" s="14" t="s">
        <v>54</v>
      </c>
      <c r="AH1874" s="15" t="s">
        <v>9220</v>
      </c>
      <c r="AI1874" s="15" t="s">
        <v>9191</v>
      </c>
      <c r="AJ1874" s="15" t="s">
        <v>9143</v>
      </c>
      <c r="AK1874" s="15" t="s">
        <v>9221</v>
      </c>
      <c r="AL1874" s="15" t="s">
        <v>9234</v>
      </c>
      <c r="AM1874" s="16" t="s">
        <v>9221</v>
      </c>
      <c r="AN1874" s="16" t="s">
        <v>9235</v>
      </c>
    </row>
    <row r="1875" spans="1:40" x14ac:dyDescent="0.25">
      <c r="A1875" t="s">
        <v>9117</v>
      </c>
      <c r="B1875" s="1">
        <v>12230030617</v>
      </c>
      <c r="C1875" t="s">
        <v>39</v>
      </c>
      <c r="D1875" t="s">
        <v>9118</v>
      </c>
      <c r="E1875" t="s">
        <v>9119</v>
      </c>
      <c r="F1875" s="2">
        <v>45146</v>
      </c>
      <c r="G1875" s="3">
        <v>0.45833333333333331</v>
      </c>
      <c r="H1875" t="s">
        <v>4019</v>
      </c>
      <c r="I1875" s="4" t="s">
        <v>8971</v>
      </c>
      <c r="J1875" t="s">
        <v>8972</v>
      </c>
      <c r="K1875" t="s">
        <v>9120</v>
      </c>
      <c r="L1875" t="s">
        <v>9121</v>
      </c>
      <c r="M1875" t="s">
        <v>28</v>
      </c>
      <c r="N1875" t="s">
        <v>183</v>
      </c>
      <c r="O1875" t="s">
        <v>191</v>
      </c>
      <c r="P1875" t="s">
        <v>48</v>
      </c>
      <c r="Q1875">
        <v>0</v>
      </c>
      <c r="R1875" t="b">
        <v>0</v>
      </c>
      <c r="S1875" t="s">
        <v>114</v>
      </c>
      <c r="T1875" t="s">
        <v>89</v>
      </c>
      <c r="U1875" t="s">
        <v>175</v>
      </c>
      <c r="V1875" t="s">
        <v>52</v>
      </c>
      <c r="W1875" t="s">
        <v>53</v>
      </c>
      <c r="X1875" t="s">
        <v>54</v>
      </c>
      <c r="Z1875" s="12" t="s">
        <v>48</v>
      </c>
      <c r="AA1875" s="13" t="s">
        <v>9165</v>
      </c>
      <c r="AB1875" s="13" t="s">
        <v>9164</v>
      </c>
      <c r="AC1875" s="14" t="s">
        <v>9157</v>
      </c>
      <c r="AD1875" s="14" t="s">
        <v>28</v>
      </c>
      <c r="AE1875" s="14" t="s">
        <v>183</v>
      </c>
      <c r="AF1875" s="14" t="s">
        <v>52</v>
      </c>
      <c r="AG1875" s="14" t="s">
        <v>54</v>
      </c>
      <c r="AH1875" s="15" t="s">
        <v>9220</v>
      </c>
      <c r="AI1875" s="15" t="s">
        <v>9175</v>
      </c>
      <c r="AJ1875" s="15" t="s">
        <v>9181</v>
      </c>
      <c r="AK1875" s="15" t="s">
        <v>9182</v>
      </c>
      <c r="AL1875" s="15" t="s">
        <v>9182</v>
      </c>
      <c r="AM1875" s="16" t="s">
        <v>9182</v>
      </c>
      <c r="AN1875" s="16" t="s">
        <v>9182</v>
      </c>
    </row>
    <row r="1876" spans="1:40" x14ac:dyDescent="0.25">
      <c r="A1876" t="s">
        <v>3868</v>
      </c>
      <c r="C1876" t="s">
        <v>39</v>
      </c>
      <c r="D1876" t="s">
        <v>3869</v>
      </c>
      <c r="E1876" t="s">
        <v>3870</v>
      </c>
      <c r="F1876" s="2">
        <v>45146</v>
      </c>
      <c r="G1876" s="3">
        <v>0.375</v>
      </c>
      <c r="H1876" t="s">
        <v>2095</v>
      </c>
      <c r="I1876" s="4" t="s">
        <v>3864</v>
      </c>
      <c r="J1876" t="s">
        <v>3865</v>
      </c>
      <c r="K1876" t="s">
        <v>3871</v>
      </c>
      <c r="L1876" t="s">
        <v>3872</v>
      </c>
      <c r="M1876" t="s">
        <v>46</v>
      </c>
      <c r="O1876" t="s">
        <v>47</v>
      </c>
      <c r="P1876" t="s">
        <v>48</v>
      </c>
      <c r="Q1876">
        <v>0</v>
      </c>
      <c r="R1876" t="b">
        <v>0</v>
      </c>
      <c r="S1876" t="s">
        <v>114</v>
      </c>
      <c r="T1876" t="s">
        <v>433</v>
      </c>
      <c r="U1876" t="s">
        <v>71</v>
      </c>
      <c r="V1876" t="s">
        <v>72</v>
      </c>
      <c r="W1876" t="s">
        <v>2410</v>
      </c>
      <c r="X1876" t="s">
        <v>98</v>
      </c>
      <c r="Z1876" s="12">
        <v>0</v>
      </c>
      <c r="AA1876" s="13" t="s">
        <v>9165</v>
      </c>
      <c r="AB1876" s="13" t="s">
        <v>9164</v>
      </c>
      <c r="AC1876" s="14" t="s">
        <v>9157</v>
      </c>
      <c r="AD1876" s="14" t="s">
        <v>9140</v>
      </c>
      <c r="AE1876" s="14" t="s">
        <v>9140</v>
      </c>
      <c r="AF1876" s="14" t="s">
        <v>72</v>
      </c>
      <c r="AG1876" s="14" t="s">
        <v>98</v>
      </c>
      <c r="AH1876" s="15" t="s">
        <v>9194</v>
      </c>
      <c r="AI1876" s="15" t="s">
        <v>9188</v>
      </c>
      <c r="AJ1876" s="15" t="s">
        <v>9143</v>
      </c>
      <c r="AK1876" s="15" t="s">
        <v>9194</v>
      </c>
      <c r="AL1876" s="15" t="s">
        <v>9211</v>
      </c>
      <c r="AM1876" s="16" t="s">
        <v>9194</v>
      </c>
      <c r="AN1876" s="16" t="s">
        <v>9212</v>
      </c>
    </row>
    <row r="1877" spans="1:40" x14ac:dyDescent="0.25">
      <c r="A1877" t="s">
        <v>2493</v>
      </c>
      <c r="C1877" t="s">
        <v>39</v>
      </c>
      <c r="D1877" t="s">
        <v>2455</v>
      </c>
      <c r="E1877" t="s">
        <v>2456</v>
      </c>
      <c r="F1877" s="2">
        <v>45145</v>
      </c>
      <c r="G1877" s="3">
        <v>0.52013888888888893</v>
      </c>
      <c r="H1877" t="s">
        <v>1939</v>
      </c>
      <c r="I1877" s="4" t="s">
        <v>2393</v>
      </c>
      <c r="J1877" t="s">
        <v>2394</v>
      </c>
      <c r="K1877" t="s">
        <v>2494</v>
      </c>
      <c r="L1877" t="s">
        <v>2495</v>
      </c>
      <c r="M1877" t="s">
        <v>46</v>
      </c>
      <c r="O1877" t="s">
        <v>47</v>
      </c>
      <c r="P1877" t="s">
        <v>48</v>
      </c>
      <c r="Q1877">
        <v>0</v>
      </c>
      <c r="R1877" t="b">
        <v>0</v>
      </c>
      <c r="S1877" t="s">
        <v>49</v>
      </c>
      <c r="T1877" t="s">
        <v>70</v>
      </c>
      <c r="U1877" t="s">
        <v>71</v>
      </c>
      <c r="V1877" t="s">
        <v>72</v>
      </c>
      <c r="W1877" t="s">
        <v>73</v>
      </c>
      <c r="X1877" t="s">
        <v>54</v>
      </c>
      <c r="Z1877" s="12">
        <v>0</v>
      </c>
      <c r="AA1877" s="13" t="s">
        <v>9165</v>
      </c>
      <c r="AB1877" s="13" t="s">
        <v>9164</v>
      </c>
      <c r="AC1877" s="14" t="s">
        <v>9139</v>
      </c>
      <c r="AD1877" s="14" t="s">
        <v>9140</v>
      </c>
      <c r="AE1877" s="14" t="s">
        <v>9140</v>
      </c>
      <c r="AF1877" s="14" t="s">
        <v>72</v>
      </c>
      <c r="AG1877" s="14" t="s">
        <v>54</v>
      </c>
      <c r="AH1877" s="15" t="s">
        <v>9194</v>
      </c>
      <c r="AI1877" s="15" t="s">
        <v>9175</v>
      </c>
      <c r="AJ1877" s="15" t="s">
        <v>9143</v>
      </c>
      <c r="AK1877" s="15" t="s">
        <v>9194</v>
      </c>
      <c r="AL1877" s="15" t="s">
        <v>9195</v>
      </c>
      <c r="AM1877" s="16" t="s">
        <v>9194</v>
      </c>
      <c r="AN1877" s="16" t="s">
        <v>9196</v>
      </c>
    </row>
    <row r="1878" spans="1:40" x14ac:dyDescent="0.25">
      <c r="A1878" t="s">
        <v>7430</v>
      </c>
      <c r="C1878" t="s">
        <v>39</v>
      </c>
      <c r="D1878" t="s">
        <v>6319</v>
      </c>
      <c r="E1878" t="s">
        <v>6320</v>
      </c>
      <c r="F1878" s="2">
        <v>45145</v>
      </c>
      <c r="G1878" s="3">
        <v>0.53125</v>
      </c>
      <c r="H1878" t="s">
        <v>4019</v>
      </c>
      <c r="I1878" s="4" t="s">
        <v>7315</v>
      </c>
      <c r="J1878" t="s">
        <v>1037</v>
      </c>
      <c r="K1878" t="s">
        <v>7431</v>
      </c>
      <c r="L1878" t="s">
        <v>7432</v>
      </c>
      <c r="M1878" t="s">
        <v>46</v>
      </c>
      <c r="O1878" t="s">
        <v>47</v>
      </c>
      <c r="P1878" t="s">
        <v>48</v>
      </c>
      <c r="Q1878">
        <v>0</v>
      </c>
      <c r="R1878" t="b">
        <v>0</v>
      </c>
      <c r="S1878" t="s">
        <v>49</v>
      </c>
      <c r="T1878" t="s">
        <v>70</v>
      </c>
      <c r="U1878" t="s">
        <v>1546</v>
      </c>
      <c r="V1878" t="s">
        <v>72</v>
      </c>
      <c r="W1878" t="s">
        <v>73</v>
      </c>
      <c r="X1878" t="s">
        <v>54</v>
      </c>
      <c r="Z1878" s="12">
        <v>0</v>
      </c>
      <c r="AA1878" s="13" t="s">
        <v>9165</v>
      </c>
      <c r="AB1878" s="13" t="s">
        <v>9164</v>
      </c>
      <c r="AC1878" s="14" t="s">
        <v>9139</v>
      </c>
      <c r="AD1878" s="14" t="s">
        <v>9140</v>
      </c>
      <c r="AE1878" s="14" t="s">
        <v>9140</v>
      </c>
      <c r="AF1878" s="14" t="s">
        <v>72</v>
      </c>
      <c r="AG1878" s="14" t="s">
        <v>54</v>
      </c>
      <c r="AH1878" s="15" t="s">
        <v>9220</v>
      </c>
      <c r="AI1878" s="15" t="s">
        <v>9175</v>
      </c>
      <c r="AJ1878" s="15" t="s">
        <v>9143</v>
      </c>
      <c r="AK1878" s="15" t="s">
        <v>9221</v>
      </c>
      <c r="AL1878" s="15" t="s">
        <v>9222</v>
      </c>
      <c r="AM1878" s="16" t="s">
        <v>9221</v>
      </c>
      <c r="AN1878" s="16" t="s">
        <v>9223</v>
      </c>
    </row>
    <row r="1879" spans="1:40" x14ac:dyDescent="0.25">
      <c r="A1879" t="s">
        <v>4861</v>
      </c>
      <c r="C1879" t="s">
        <v>39</v>
      </c>
      <c r="D1879" t="s">
        <v>4862</v>
      </c>
      <c r="E1879" t="s">
        <v>4863</v>
      </c>
      <c r="F1879" s="2">
        <v>45145</v>
      </c>
      <c r="G1879" s="3">
        <v>0.71875</v>
      </c>
      <c r="H1879" t="s">
        <v>4019</v>
      </c>
      <c r="I1879" s="4" t="s">
        <v>4804</v>
      </c>
      <c r="J1879" t="s">
        <v>756</v>
      </c>
      <c r="K1879" t="s">
        <v>4864</v>
      </c>
      <c r="L1879" t="s">
        <v>4865</v>
      </c>
      <c r="M1879" t="s">
        <v>46</v>
      </c>
      <c r="O1879" t="s">
        <v>47</v>
      </c>
      <c r="P1879" t="s">
        <v>48</v>
      </c>
      <c r="Q1879">
        <v>0</v>
      </c>
      <c r="R1879" t="b">
        <v>0</v>
      </c>
      <c r="S1879" t="s">
        <v>61</v>
      </c>
      <c r="T1879" t="s">
        <v>89</v>
      </c>
      <c r="U1879" t="s">
        <v>345</v>
      </c>
      <c r="V1879" t="s">
        <v>123</v>
      </c>
      <c r="W1879" t="s">
        <v>192</v>
      </c>
      <c r="X1879" t="s">
        <v>54</v>
      </c>
      <c r="Z1879" s="12">
        <v>0</v>
      </c>
      <c r="AA1879" s="13" t="s">
        <v>9165</v>
      </c>
      <c r="AB1879" s="13" t="s">
        <v>9164</v>
      </c>
      <c r="AC1879" s="14" t="s">
        <v>9148</v>
      </c>
      <c r="AD1879" s="14" t="s">
        <v>9140</v>
      </c>
      <c r="AE1879" s="14" t="s">
        <v>9140</v>
      </c>
      <c r="AF1879" s="14" t="s">
        <v>123</v>
      </c>
      <c r="AG1879" s="14" t="s">
        <v>54</v>
      </c>
      <c r="AH1879" s="15" t="s">
        <v>9220</v>
      </c>
      <c r="AI1879" s="15" t="s">
        <v>9175</v>
      </c>
      <c r="AJ1879" s="15" t="s">
        <v>9143</v>
      </c>
      <c r="AK1879" s="15" t="s">
        <v>9221</v>
      </c>
      <c r="AL1879" s="15" t="s">
        <v>9222</v>
      </c>
      <c r="AM1879" s="16" t="s">
        <v>9221</v>
      </c>
      <c r="AN1879" s="16" t="s">
        <v>9223</v>
      </c>
    </row>
    <row r="1880" spans="1:40" x14ac:dyDescent="0.25">
      <c r="A1880" t="s">
        <v>5069</v>
      </c>
      <c r="C1880" t="s">
        <v>39</v>
      </c>
      <c r="D1880" t="s">
        <v>5070</v>
      </c>
      <c r="E1880" t="s">
        <v>5071</v>
      </c>
      <c r="F1880" s="2">
        <v>45145</v>
      </c>
      <c r="G1880" s="3">
        <v>0.60416666666666663</v>
      </c>
      <c r="H1880" t="s">
        <v>4516</v>
      </c>
      <c r="I1880" s="4" t="s">
        <v>4969</v>
      </c>
      <c r="J1880" t="s">
        <v>3453</v>
      </c>
      <c r="K1880" t="s">
        <v>5072</v>
      </c>
      <c r="L1880" t="s">
        <v>5073</v>
      </c>
      <c r="M1880" t="s">
        <v>46</v>
      </c>
      <c r="O1880" t="s">
        <v>47</v>
      </c>
      <c r="P1880" t="s">
        <v>48</v>
      </c>
      <c r="Q1880">
        <v>0</v>
      </c>
      <c r="R1880" t="b">
        <v>0</v>
      </c>
      <c r="S1880" t="s">
        <v>61</v>
      </c>
      <c r="T1880" t="s">
        <v>479</v>
      </c>
      <c r="U1880" t="s">
        <v>148</v>
      </c>
      <c r="V1880" t="s">
        <v>52</v>
      </c>
      <c r="W1880" t="s">
        <v>53</v>
      </c>
      <c r="X1880" t="s">
        <v>54</v>
      </c>
      <c r="Z1880" s="12">
        <v>0</v>
      </c>
      <c r="AA1880" s="13" t="s">
        <v>9165</v>
      </c>
      <c r="AB1880" s="13" t="s">
        <v>9164</v>
      </c>
      <c r="AC1880" s="14" t="s">
        <v>9148</v>
      </c>
      <c r="AD1880" s="14" t="s">
        <v>9140</v>
      </c>
      <c r="AE1880" s="14" t="s">
        <v>9140</v>
      </c>
      <c r="AF1880" s="14" t="s">
        <v>52</v>
      </c>
      <c r="AG1880" s="14" t="s">
        <v>54</v>
      </c>
      <c r="AH1880" s="15" t="s">
        <v>9220</v>
      </c>
      <c r="AI1880" s="15" t="s">
        <v>9188</v>
      </c>
      <c r="AJ1880" s="15" t="s">
        <v>9143</v>
      </c>
      <c r="AK1880" s="15" t="s">
        <v>9221</v>
      </c>
      <c r="AL1880" s="15" t="s">
        <v>9230</v>
      </c>
      <c r="AM1880" s="16" t="s">
        <v>9221</v>
      </c>
      <c r="AN1880" s="16" t="s">
        <v>9231</v>
      </c>
    </row>
    <row r="1881" spans="1:40" x14ac:dyDescent="0.25">
      <c r="A1881" t="s">
        <v>8086</v>
      </c>
      <c r="C1881" t="s">
        <v>39</v>
      </c>
      <c r="D1881" t="s">
        <v>8087</v>
      </c>
      <c r="E1881" t="s">
        <v>8088</v>
      </c>
      <c r="F1881" s="2">
        <v>45144</v>
      </c>
      <c r="G1881" s="3">
        <v>0.66666666666666663</v>
      </c>
      <c r="H1881" t="s">
        <v>4910</v>
      </c>
      <c r="I1881" s="4" t="s">
        <v>8017</v>
      </c>
      <c r="J1881" t="s">
        <v>8018</v>
      </c>
      <c r="K1881" t="s">
        <v>455</v>
      </c>
      <c r="L1881" t="s">
        <v>8089</v>
      </c>
      <c r="M1881" t="s">
        <v>46</v>
      </c>
      <c r="O1881" t="s">
        <v>47</v>
      </c>
      <c r="P1881" t="s">
        <v>48</v>
      </c>
      <c r="Q1881">
        <v>0</v>
      </c>
      <c r="R1881" t="b">
        <v>0</v>
      </c>
      <c r="S1881" t="s">
        <v>61</v>
      </c>
      <c r="T1881" t="s">
        <v>479</v>
      </c>
      <c r="U1881" t="s">
        <v>148</v>
      </c>
      <c r="V1881" t="s">
        <v>52</v>
      </c>
      <c r="W1881" t="s">
        <v>53</v>
      </c>
      <c r="X1881" t="s">
        <v>98</v>
      </c>
      <c r="Z1881" s="12">
        <v>0</v>
      </c>
      <c r="AA1881" s="13" t="s">
        <v>9165</v>
      </c>
      <c r="AB1881" s="13" t="s">
        <v>9164</v>
      </c>
      <c r="AC1881" s="14" t="s">
        <v>9148</v>
      </c>
      <c r="AD1881" s="14" t="s">
        <v>9140</v>
      </c>
      <c r="AE1881" s="14" t="s">
        <v>9140</v>
      </c>
      <c r="AF1881" s="14" t="s">
        <v>52</v>
      </c>
      <c r="AG1881" s="14" t="s">
        <v>98</v>
      </c>
      <c r="AH1881" s="15" t="s">
        <v>9220</v>
      </c>
      <c r="AI1881" s="15" t="s">
        <v>9191</v>
      </c>
      <c r="AJ1881" s="15" t="s">
        <v>9143</v>
      </c>
      <c r="AK1881" s="15" t="s">
        <v>9221</v>
      </c>
      <c r="AL1881" s="15" t="s">
        <v>9234</v>
      </c>
      <c r="AM1881" s="16" t="s">
        <v>9221</v>
      </c>
      <c r="AN1881" s="16" t="s">
        <v>9235</v>
      </c>
    </row>
    <row r="1882" spans="1:40" x14ac:dyDescent="0.25">
      <c r="A1882" t="s">
        <v>7900</v>
      </c>
      <c r="B1882" s="1" t="s">
        <v>7901</v>
      </c>
      <c r="C1882" t="s">
        <v>39</v>
      </c>
      <c r="D1882" t="s">
        <v>7894</v>
      </c>
      <c r="E1882" t="s">
        <v>7895</v>
      </c>
      <c r="F1882" s="2">
        <v>45144</v>
      </c>
      <c r="G1882" s="3">
        <v>0.62222222222222223</v>
      </c>
      <c r="H1882" t="s">
        <v>4659</v>
      </c>
      <c r="I1882" s="4" t="s">
        <v>7873</v>
      </c>
      <c r="J1882" t="s">
        <v>7874</v>
      </c>
      <c r="K1882" t="s">
        <v>7902</v>
      </c>
      <c r="L1882" t="s">
        <v>7903</v>
      </c>
      <c r="M1882" t="s">
        <v>28</v>
      </c>
      <c r="N1882" t="s">
        <v>147</v>
      </c>
      <c r="O1882" t="s">
        <v>191</v>
      </c>
      <c r="P1882" t="s">
        <v>48</v>
      </c>
      <c r="Q1882">
        <v>0</v>
      </c>
      <c r="R1882" t="b">
        <v>0</v>
      </c>
      <c r="S1882" t="s">
        <v>49</v>
      </c>
      <c r="T1882" t="s">
        <v>89</v>
      </c>
      <c r="U1882" t="s">
        <v>71</v>
      </c>
      <c r="V1882" t="s">
        <v>63</v>
      </c>
      <c r="W1882" t="s">
        <v>312</v>
      </c>
      <c r="X1882" t="s">
        <v>54</v>
      </c>
      <c r="Y1882" t="s">
        <v>323</v>
      </c>
      <c r="Z1882" s="12" t="s">
        <v>48</v>
      </c>
      <c r="AA1882" s="13" t="s">
        <v>9165</v>
      </c>
      <c r="AB1882" s="13" t="s">
        <v>9164</v>
      </c>
      <c r="AC1882" s="14" t="s">
        <v>9139</v>
      </c>
      <c r="AD1882" s="14" t="s">
        <v>28</v>
      </c>
      <c r="AE1882" s="14" t="s">
        <v>9140</v>
      </c>
      <c r="AF1882" s="14" t="s">
        <v>63</v>
      </c>
      <c r="AG1882" s="14" t="s">
        <v>54</v>
      </c>
      <c r="AH1882" s="15" t="s">
        <v>9220</v>
      </c>
      <c r="AI1882" s="15" t="s">
        <v>9142</v>
      </c>
      <c r="AJ1882" s="15" t="s">
        <v>9143</v>
      </c>
      <c r="AK1882" s="15" t="s">
        <v>9221</v>
      </c>
      <c r="AL1882" s="15" t="s">
        <v>9228</v>
      </c>
      <c r="AM1882" s="16" t="s">
        <v>9221</v>
      </c>
      <c r="AN1882" s="16" t="s">
        <v>9229</v>
      </c>
    </row>
    <row r="1883" spans="1:40" x14ac:dyDescent="0.25">
      <c r="A1883" t="s">
        <v>506</v>
      </c>
      <c r="B1883" s="1">
        <v>12230014798</v>
      </c>
      <c r="C1883" t="s">
        <v>39</v>
      </c>
      <c r="D1883" t="s">
        <v>507</v>
      </c>
      <c r="E1883" t="s">
        <v>508</v>
      </c>
      <c r="F1883" s="2">
        <v>45144</v>
      </c>
      <c r="G1883" s="3">
        <v>0.41666666666666669</v>
      </c>
      <c r="H1883" t="s">
        <v>463</v>
      </c>
      <c r="I1883" s="4">
        <v>2017</v>
      </c>
      <c r="J1883" t="s">
        <v>491</v>
      </c>
      <c r="K1883" t="s">
        <v>140</v>
      </c>
      <c r="L1883" t="s">
        <v>509</v>
      </c>
      <c r="M1883" t="s">
        <v>28</v>
      </c>
      <c r="N1883" t="s">
        <v>183</v>
      </c>
      <c r="O1883" t="s">
        <v>191</v>
      </c>
      <c r="P1883" t="s">
        <v>60</v>
      </c>
      <c r="Q1883">
        <v>80</v>
      </c>
      <c r="R1883" t="b">
        <v>0</v>
      </c>
      <c r="S1883" t="s">
        <v>114</v>
      </c>
      <c r="T1883" t="s">
        <v>89</v>
      </c>
      <c r="U1883" t="s">
        <v>140</v>
      </c>
      <c r="V1883" t="s">
        <v>123</v>
      </c>
      <c r="W1883" t="s">
        <v>124</v>
      </c>
      <c r="X1883" t="s">
        <v>54</v>
      </c>
      <c r="Z1883" s="12" t="s">
        <v>60</v>
      </c>
      <c r="AA1883" s="13" t="s">
        <v>9165</v>
      </c>
      <c r="AB1883" s="13" t="s">
        <v>9164</v>
      </c>
      <c r="AC1883" s="14" t="s">
        <v>9157</v>
      </c>
      <c r="AD1883" s="14" t="s">
        <v>28</v>
      </c>
      <c r="AE1883" s="14" t="s">
        <v>183</v>
      </c>
      <c r="AF1883" s="14" t="s">
        <v>123</v>
      </c>
      <c r="AG1883" s="14" t="s">
        <v>54</v>
      </c>
      <c r="AH1883" s="15" t="s">
        <v>9141</v>
      </c>
      <c r="AI1883" s="15" t="s">
        <v>9175</v>
      </c>
      <c r="AJ1883" s="15" t="s">
        <v>9143</v>
      </c>
      <c r="AK1883" s="15" t="s">
        <v>9141</v>
      </c>
      <c r="AL1883" s="15" t="s">
        <v>9177</v>
      </c>
      <c r="AM1883" s="16" t="s">
        <v>9141</v>
      </c>
      <c r="AN1883" s="16" t="s">
        <v>9178</v>
      </c>
    </row>
    <row r="1884" spans="1:40" x14ac:dyDescent="0.25">
      <c r="A1884" t="s">
        <v>609</v>
      </c>
      <c r="C1884" t="s">
        <v>39</v>
      </c>
      <c r="D1884" t="s">
        <v>596</v>
      </c>
      <c r="E1884" t="s">
        <v>597</v>
      </c>
      <c r="F1884" s="2">
        <v>45142</v>
      </c>
      <c r="G1884" s="3">
        <v>0.65694444444444444</v>
      </c>
      <c r="H1884" t="s">
        <v>463</v>
      </c>
      <c r="I1884" s="4">
        <v>2022</v>
      </c>
      <c r="J1884" t="s">
        <v>565</v>
      </c>
      <c r="K1884" t="s">
        <v>610</v>
      </c>
      <c r="L1884" t="s">
        <v>611</v>
      </c>
      <c r="M1884" t="s">
        <v>46</v>
      </c>
      <c r="O1884" t="s">
        <v>47</v>
      </c>
      <c r="P1884" t="s">
        <v>48</v>
      </c>
      <c r="Q1884">
        <v>0</v>
      </c>
      <c r="R1884" t="b">
        <v>0</v>
      </c>
      <c r="S1884" t="s">
        <v>49</v>
      </c>
      <c r="T1884" t="s">
        <v>89</v>
      </c>
      <c r="U1884" t="s">
        <v>51</v>
      </c>
      <c r="V1884" t="s">
        <v>63</v>
      </c>
      <c r="W1884" t="s">
        <v>108</v>
      </c>
      <c r="X1884" t="s">
        <v>98</v>
      </c>
      <c r="Z1884" s="12">
        <v>0</v>
      </c>
      <c r="AA1884" s="13" t="s">
        <v>9165</v>
      </c>
      <c r="AB1884" s="13" t="s">
        <v>9164</v>
      </c>
      <c r="AC1884" s="14" t="s">
        <v>9139</v>
      </c>
      <c r="AD1884" s="14" t="s">
        <v>9140</v>
      </c>
      <c r="AE1884" s="14" t="s">
        <v>9140</v>
      </c>
      <c r="AF1884" s="14" t="s">
        <v>63</v>
      </c>
      <c r="AG1884" s="14" t="s">
        <v>98</v>
      </c>
      <c r="AH1884" s="15" t="s">
        <v>9141</v>
      </c>
      <c r="AI1884" s="15" t="s">
        <v>9175</v>
      </c>
      <c r="AJ1884" s="15" t="s">
        <v>9143</v>
      </c>
      <c r="AK1884" s="15" t="s">
        <v>9141</v>
      </c>
      <c r="AL1884" s="15" t="s">
        <v>9175</v>
      </c>
      <c r="AM1884" s="16" t="s">
        <v>9141</v>
      </c>
      <c r="AN1884" s="16" t="s">
        <v>9176</v>
      </c>
    </row>
    <row r="1885" spans="1:40" x14ac:dyDescent="0.25">
      <c r="A1885" t="s">
        <v>3407</v>
      </c>
      <c r="C1885" t="s">
        <v>39</v>
      </c>
      <c r="D1885" t="s">
        <v>3408</v>
      </c>
      <c r="E1885" t="s">
        <v>3409</v>
      </c>
      <c r="F1885" s="2">
        <v>45142</v>
      </c>
      <c r="G1885" s="3">
        <v>0.6875</v>
      </c>
      <c r="H1885" t="s">
        <v>2227</v>
      </c>
      <c r="I1885" s="4" t="s">
        <v>3381</v>
      </c>
      <c r="J1885" t="s">
        <v>1285</v>
      </c>
      <c r="K1885" t="s">
        <v>3410</v>
      </c>
      <c r="L1885" t="s">
        <v>3411</v>
      </c>
      <c r="M1885" t="s">
        <v>46</v>
      </c>
      <c r="O1885" t="s">
        <v>47</v>
      </c>
      <c r="P1885" t="s">
        <v>48</v>
      </c>
      <c r="Q1885">
        <v>0</v>
      </c>
      <c r="R1885" t="b">
        <v>0</v>
      </c>
      <c r="S1885" t="s">
        <v>49</v>
      </c>
      <c r="T1885" t="s">
        <v>134</v>
      </c>
      <c r="U1885" t="s">
        <v>224</v>
      </c>
      <c r="V1885" t="s">
        <v>672</v>
      </c>
      <c r="W1885" t="s">
        <v>1121</v>
      </c>
      <c r="X1885" t="s">
        <v>2372</v>
      </c>
      <c r="Z1885" s="12">
        <v>0</v>
      </c>
      <c r="AA1885" s="13" t="s">
        <v>9165</v>
      </c>
      <c r="AB1885" s="13" t="s">
        <v>9164</v>
      </c>
      <c r="AC1885" s="14" t="s">
        <v>9139</v>
      </c>
      <c r="AD1885" s="14" t="s">
        <v>9140</v>
      </c>
      <c r="AE1885" s="14" t="s">
        <v>9140</v>
      </c>
      <c r="AF1885" s="14" t="s">
        <v>672</v>
      </c>
      <c r="AG1885" s="14" t="s">
        <v>2372</v>
      </c>
      <c r="AH1885" s="15" t="s">
        <v>9194</v>
      </c>
      <c r="AI1885" s="15" t="s">
        <v>9187</v>
      </c>
      <c r="AJ1885" s="15" t="s">
        <v>9143</v>
      </c>
      <c r="AK1885" s="15" t="s">
        <v>9194</v>
      </c>
      <c r="AL1885" s="15" t="s">
        <v>9209</v>
      </c>
      <c r="AM1885" s="16" t="s">
        <v>9194</v>
      </c>
      <c r="AN1885" s="16" t="s">
        <v>9210</v>
      </c>
    </row>
    <row r="1886" spans="1:40" x14ac:dyDescent="0.25">
      <c r="A1886" t="s">
        <v>6056</v>
      </c>
      <c r="C1886" t="s">
        <v>39</v>
      </c>
      <c r="D1886" t="s">
        <v>6057</v>
      </c>
      <c r="E1886" t="s">
        <v>6058</v>
      </c>
      <c r="F1886" s="2">
        <v>45142</v>
      </c>
      <c r="G1886" s="3">
        <v>0.86805555555555558</v>
      </c>
      <c r="H1886" t="s">
        <v>4242</v>
      </c>
      <c r="I1886" s="4" t="s">
        <v>5918</v>
      </c>
      <c r="J1886" t="s">
        <v>5919</v>
      </c>
      <c r="K1886" t="s">
        <v>6059</v>
      </c>
      <c r="L1886" t="s">
        <v>6060</v>
      </c>
      <c r="M1886" t="s">
        <v>46</v>
      </c>
      <c r="O1886" t="s">
        <v>47</v>
      </c>
      <c r="P1886" t="s">
        <v>48</v>
      </c>
      <c r="Q1886">
        <v>0</v>
      </c>
      <c r="R1886" t="b">
        <v>0</v>
      </c>
      <c r="S1886" t="s">
        <v>61</v>
      </c>
      <c r="T1886" t="s">
        <v>89</v>
      </c>
      <c r="U1886" t="s">
        <v>71</v>
      </c>
      <c r="V1886" t="s">
        <v>63</v>
      </c>
      <c r="W1886" t="s">
        <v>312</v>
      </c>
      <c r="X1886" t="s">
        <v>54</v>
      </c>
      <c r="Z1886" s="12">
        <v>0</v>
      </c>
      <c r="AA1886" s="13" t="s">
        <v>9165</v>
      </c>
      <c r="AB1886" s="13" t="s">
        <v>9164</v>
      </c>
      <c r="AC1886" s="14" t="s">
        <v>9148</v>
      </c>
      <c r="AD1886" s="14" t="s">
        <v>9140</v>
      </c>
      <c r="AE1886" s="14" t="s">
        <v>9140</v>
      </c>
      <c r="AF1886" s="14" t="s">
        <v>63</v>
      </c>
      <c r="AG1886" s="14" t="s">
        <v>54</v>
      </c>
      <c r="AH1886" s="15" t="s">
        <v>9220</v>
      </c>
      <c r="AI1886" s="15" t="s">
        <v>9187</v>
      </c>
      <c r="AJ1886" s="15" t="s">
        <v>9143</v>
      </c>
      <c r="AK1886" s="15" t="s">
        <v>9221</v>
      </c>
      <c r="AL1886" s="15" t="s">
        <v>9226</v>
      </c>
      <c r="AM1886" s="16" t="s">
        <v>9221</v>
      </c>
      <c r="AN1886" s="16" t="s">
        <v>9227</v>
      </c>
    </row>
    <row r="1887" spans="1:40" x14ac:dyDescent="0.25">
      <c r="A1887" t="s">
        <v>7433</v>
      </c>
      <c r="C1887" t="s">
        <v>39</v>
      </c>
      <c r="D1887" t="s">
        <v>7434</v>
      </c>
      <c r="E1887" t="s">
        <v>7435</v>
      </c>
      <c r="F1887" s="2">
        <v>45142</v>
      </c>
      <c r="G1887" s="3">
        <v>0.44097222222222221</v>
      </c>
      <c r="H1887" t="s">
        <v>4019</v>
      </c>
      <c r="I1887" s="4" t="s">
        <v>7315</v>
      </c>
      <c r="J1887" t="s">
        <v>1037</v>
      </c>
      <c r="K1887" t="s">
        <v>7436</v>
      </c>
      <c r="L1887" t="s">
        <v>7437</v>
      </c>
      <c r="M1887" t="s">
        <v>46</v>
      </c>
      <c r="O1887" t="s">
        <v>47</v>
      </c>
      <c r="P1887" t="s">
        <v>48</v>
      </c>
      <c r="Q1887">
        <v>0</v>
      </c>
      <c r="R1887" t="b">
        <v>0</v>
      </c>
      <c r="S1887" t="s">
        <v>61</v>
      </c>
      <c r="T1887" t="s">
        <v>89</v>
      </c>
      <c r="U1887" t="s">
        <v>1918</v>
      </c>
      <c r="V1887" t="s">
        <v>63</v>
      </c>
      <c r="W1887" t="s">
        <v>198</v>
      </c>
      <c r="X1887" t="s">
        <v>98</v>
      </c>
      <c r="Z1887" s="12">
        <v>0</v>
      </c>
      <c r="AA1887" s="13" t="s">
        <v>9165</v>
      </c>
      <c r="AB1887" s="13" t="s">
        <v>9164</v>
      </c>
      <c r="AC1887" s="14" t="s">
        <v>9148</v>
      </c>
      <c r="AD1887" s="14" t="s">
        <v>9140</v>
      </c>
      <c r="AE1887" s="14" t="s">
        <v>9140</v>
      </c>
      <c r="AF1887" s="14" t="s">
        <v>63</v>
      </c>
      <c r="AG1887" s="14" t="s">
        <v>98</v>
      </c>
      <c r="AH1887" s="15" t="s">
        <v>9220</v>
      </c>
      <c r="AI1887" s="15" t="s">
        <v>9175</v>
      </c>
      <c r="AJ1887" s="15" t="s">
        <v>9143</v>
      </c>
      <c r="AK1887" s="15" t="s">
        <v>9221</v>
      </c>
      <c r="AL1887" s="15" t="s">
        <v>9222</v>
      </c>
      <c r="AM1887" s="16" t="s">
        <v>9221</v>
      </c>
      <c r="AN1887" s="16" t="s">
        <v>9223</v>
      </c>
    </row>
    <row r="1888" spans="1:40" x14ac:dyDescent="0.25">
      <c r="A1888" t="s">
        <v>3765</v>
      </c>
      <c r="C1888" t="s">
        <v>39</v>
      </c>
      <c r="D1888" t="s">
        <v>3761</v>
      </c>
      <c r="E1888" t="s">
        <v>3762</v>
      </c>
      <c r="F1888" s="2">
        <v>45141</v>
      </c>
      <c r="G1888" s="3">
        <v>0.41666666666666669</v>
      </c>
      <c r="H1888" t="s">
        <v>2168</v>
      </c>
      <c r="I1888" s="4" t="s">
        <v>3735</v>
      </c>
      <c r="J1888" t="s">
        <v>3736</v>
      </c>
      <c r="K1888" t="s">
        <v>3766</v>
      </c>
      <c r="L1888" t="s">
        <v>3767</v>
      </c>
      <c r="M1888" t="s">
        <v>46</v>
      </c>
      <c r="O1888" t="s">
        <v>47</v>
      </c>
      <c r="P1888" t="s">
        <v>48</v>
      </c>
      <c r="Q1888">
        <v>0</v>
      </c>
      <c r="R1888" t="b">
        <v>0</v>
      </c>
      <c r="S1888" t="s">
        <v>61</v>
      </c>
      <c r="T1888" t="s">
        <v>89</v>
      </c>
      <c r="U1888" t="s">
        <v>175</v>
      </c>
      <c r="V1888" t="s">
        <v>123</v>
      </c>
      <c r="W1888" t="s">
        <v>124</v>
      </c>
      <c r="X1888" t="s">
        <v>54</v>
      </c>
      <c r="Z1888" s="12">
        <v>0</v>
      </c>
      <c r="AA1888" s="13" t="s">
        <v>9165</v>
      </c>
      <c r="AB1888" s="13" t="s">
        <v>9164</v>
      </c>
      <c r="AC1888" s="14" t="s">
        <v>9148</v>
      </c>
      <c r="AD1888" s="14" t="s">
        <v>9140</v>
      </c>
      <c r="AE1888" s="14" t="s">
        <v>9140</v>
      </c>
      <c r="AF1888" s="14" t="s">
        <v>123</v>
      </c>
      <c r="AG1888" s="14" t="s">
        <v>54</v>
      </c>
      <c r="AH1888" s="15" t="s">
        <v>9194</v>
      </c>
      <c r="AI1888" s="15" t="s">
        <v>9142</v>
      </c>
      <c r="AJ1888" s="15" t="s">
        <v>9143</v>
      </c>
      <c r="AK1888" s="15" t="s">
        <v>9194</v>
      </c>
      <c r="AL1888" s="15" t="s">
        <v>9207</v>
      </c>
      <c r="AM1888" s="16" t="s">
        <v>9194</v>
      </c>
      <c r="AN1888" s="16" t="s">
        <v>9208</v>
      </c>
    </row>
    <row r="1889" spans="1:40" x14ac:dyDescent="0.25">
      <c r="A1889" t="s">
        <v>6727</v>
      </c>
      <c r="B1889" s="1" t="s">
        <v>6728</v>
      </c>
      <c r="C1889" t="s">
        <v>39</v>
      </c>
      <c r="D1889" t="s">
        <v>6729</v>
      </c>
      <c r="E1889" t="s">
        <v>6730</v>
      </c>
      <c r="F1889" s="2">
        <v>45141</v>
      </c>
      <c r="G1889" s="3">
        <v>0.75624999999999998</v>
      </c>
      <c r="H1889" t="s">
        <v>5666</v>
      </c>
      <c r="I1889" s="4" t="s">
        <v>6692</v>
      </c>
      <c r="J1889" t="s">
        <v>3645</v>
      </c>
      <c r="K1889" t="s">
        <v>6731</v>
      </c>
      <c r="L1889" t="s">
        <v>6732</v>
      </c>
      <c r="M1889" t="s">
        <v>28</v>
      </c>
      <c r="N1889" t="s">
        <v>183</v>
      </c>
      <c r="O1889" t="s">
        <v>174</v>
      </c>
      <c r="P1889" t="s">
        <v>48</v>
      </c>
      <c r="Q1889">
        <v>5</v>
      </c>
      <c r="R1889" t="b">
        <v>0</v>
      </c>
      <c r="S1889" t="s">
        <v>184</v>
      </c>
      <c r="T1889" t="s">
        <v>89</v>
      </c>
      <c r="U1889" t="s">
        <v>90</v>
      </c>
      <c r="V1889" t="s">
        <v>63</v>
      </c>
      <c r="W1889" t="s">
        <v>108</v>
      </c>
      <c r="X1889" t="s">
        <v>471</v>
      </c>
      <c r="Z1889" s="12" t="s">
        <v>48</v>
      </c>
      <c r="AA1889" s="13" t="s">
        <v>9165</v>
      </c>
      <c r="AB1889" s="13" t="s">
        <v>9164</v>
      </c>
      <c r="AC1889" s="14" t="s">
        <v>9166</v>
      </c>
      <c r="AD1889" s="14" t="s">
        <v>28</v>
      </c>
      <c r="AE1889" s="14" t="s">
        <v>183</v>
      </c>
      <c r="AF1889" s="14" t="s">
        <v>63</v>
      </c>
      <c r="AG1889" s="14" t="s">
        <v>471</v>
      </c>
      <c r="AH1889" s="15" t="s">
        <v>9220</v>
      </c>
      <c r="AI1889" s="15" t="s">
        <v>9199</v>
      </c>
      <c r="AJ1889" s="15" t="s">
        <v>9143</v>
      </c>
      <c r="AK1889" s="15" t="s">
        <v>9221</v>
      </c>
      <c r="AL1889" s="15" t="s">
        <v>9199</v>
      </c>
      <c r="AM1889" s="16" t="s">
        <v>9221</v>
      </c>
      <c r="AN1889" s="16" t="s">
        <v>9238</v>
      </c>
    </row>
    <row r="1890" spans="1:40" x14ac:dyDescent="0.25">
      <c r="A1890" t="s">
        <v>684</v>
      </c>
      <c r="C1890" t="s">
        <v>39</v>
      </c>
      <c r="D1890" t="s">
        <v>685</v>
      </c>
      <c r="E1890" t="s">
        <v>686</v>
      </c>
      <c r="F1890" s="2">
        <v>45140</v>
      </c>
      <c r="G1890" s="3">
        <v>0.66666666666666663</v>
      </c>
      <c r="H1890" t="s">
        <v>463</v>
      </c>
      <c r="I1890" s="4">
        <v>2024</v>
      </c>
      <c r="J1890" t="s">
        <v>664</v>
      </c>
      <c r="K1890" t="s">
        <v>687</v>
      </c>
      <c r="L1890" t="s">
        <v>688</v>
      </c>
      <c r="M1890" t="s">
        <v>46</v>
      </c>
      <c r="O1890" t="s">
        <v>47</v>
      </c>
      <c r="P1890" t="s">
        <v>48</v>
      </c>
      <c r="Q1890">
        <v>0</v>
      </c>
      <c r="R1890" t="b">
        <v>0</v>
      </c>
      <c r="S1890" t="s">
        <v>49</v>
      </c>
      <c r="T1890" t="s">
        <v>70</v>
      </c>
      <c r="U1890" t="s">
        <v>107</v>
      </c>
      <c r="V1890" t="s">
        <v>72</v>
      </c>
      <c r="W1890" t="s">
        <v>73</v>
      </c>
      <c r="X1890" t="s">
        <v>98</v>
      </c>
      <c r="Y1890" t="s">
        <v>689</v>
      </c>
      <c r="Z1890" s="12">
        <v>0</v>
      </c>
      <c r="AA1890" s="13" t="s">
        <v>9165</v>
      </c>
      <c r="AB1890" s="13" t="s">
        <v>9164</v>
      </c>
      <c r="AC1890" s="14" t="s">
        <v>9139</v>
      </c>
      <c r="AD1890" s="14" t="s">
        <v>9140</v>
      </c>
      <c r="AE1890" s="14" t="s">
        <v>9140</v>
      </c>
      <c r="AF1890" s="14" t="s">
        <v>72</v>
      </c>
      <c r="AG1890" s="14" t="s">
        <v>98</v>
      </c>
      <c r="AH1890" s="15" t="s">
        <v>9141</v>
      </c>
      <c r="AI1890" s="15" t="s">
        <v>9175</v>
      </c>
      <c r="AJ1890" s="15" t="s">
        <v>9143</v>
      </c>
      <c r="AK1890" s="15" t="s">
        <v>9141</v>
      </c>
      <c r="AL1890" s="15" t="s">
        <v>9177</v>
      </c>
      <c r="AM1890" s="16" t="s">
        <v>9141</v>
      </c>
      <c r="AN1890" s="16" t="s">
        <v>9178</v>
      </c>
    </row>
    <row r="1891" spans="1:40" x14ac:dyDescent="0.25">
      <c r="A1891" t="s">
        <v>937</v>
      </c>
      <c r="C1891" t="s">
        <v>39</v>
      </c>
      <c r="D1891" t="s">
        <v>938</v>
      </c>
      <c r="E1891" t="s">
        <v>939</v>
      </c>
      <c r="F1891" s="2">
        <v>45140</v>
      </c>
      <c r="G1891" s="3">
        <v>0.6875</v>
      </c>
      <c r="H1891" t="s">
        <v>463</v>
      </c>
      <c r="I1891" s="4">
        <v>2032</v>
      </c>
      <c r="J1891" t="s">
        <v>929</v>
      </c>
      <c r="K1891" t="s">
        <v>426</v>
      </c>
      <c r="L1891" t="s">
        <v>940</v>
      </c>
      <c r="M1891" t="s">
        <v>46</v>
      </c>
      <c r="O1891" t="s">
        <v>47</v>
      </c>
      <c r="P1891" t="s">
        <v>48</v>
      </c>
      <c r="Q1891">
        <v>0</v>
      </c>
      <c r="R1891" t="b">
        <v>0</v>
      </c>
      <c r="S1891" t="s">
        <v>114</v>
      </c>
      <c r="T1891" t="s">
        <v>89</v>
      </c>
      <c r="U1891" t="s">
        <v>426</v>
      </c>
      <c r="V1891" t="s">
        <v>123</v>
      </c>
      <c r="W1891" t="s">
        <v>124</v>
      </c>
      <c r="X1891" t="s">
        <v>98</v>
      </c>
      <c r="Z1891" s="12">
        <v>0</v>
      </c>
      <c r="AA1891" s="13" t="s">
        <v>9165</v>
      </c>
      <c r="AB1891" s="13" t="s">
        <v>9164</v>
      </c>
      <c r="AC1891" s="14" t="s">
        <v>9157</v>
      </c>
      <c r="AD1891" s="14" t="s">
        <v>9140</v>
      </c>
      <c r="AE1891" s="14" t="s">
        <v>9140</v>
      </c>
      <c r="AF1891" s="14" t="s">
        <v>123</v>
      </c>
      <c r="AG1891" s="14" t="s">
        <v>98</v>
      </c>
      <c r="AH1891" s="15" t="s">
        <v>9141</v>
      </c>
      <c r="AI1891" s="15" t="s">
        <v>9175</v>
      </c>
      <c r="AJ1891" s="15" t="s">
        <v>9143</v>
      </c>
      <c r="AK1891" s="15" t="s">
        <v>9141</v>
      </c>
      <c r="AL1891" s="15" t="s">
        <v>9175</v>
      </c>
      <c r="AM1891" s="16" t="s">
        <v>9141</v>
      </c>
      <c r="AN1891" s="16" t="s">
        <v>9176</v>
      </c>
    </row>
    <row r="1892" spans="1:40" x14ac:dyDescent="0.25">
      <c r="A1892" t="s">
        <v>941</v>
      </c>
      <c r="C1892" t="s">
        <v>39</v>
      </c>
      <c r="D1892" t="s">
        <v>942</v>
      </c>
      <c r="E1892" t="s">
        <v>943</v>
      </c>
      <c r="F1892" s="2">
        <v>45140</v>
      </c>
      <c r="G1892" s="3">
        <v>0.67708333333333337</v>
      </c>
      <c r="H1892" t="s">
        <v>463</v>
      </c>
      <c r="I1892" s="4">
        <v>2032</v>
      </c>
      <c r="J1892" t="s">
        <v>929</v>
      </c>
      <c r="K1892" t="s">
        <v>944</v>
      </c>
      <c r="L1892" t="s">
        <v>945</v>
      </c>
      <c r="M1892" t="s">
        <v>46</v>
      </c>
      <c r="O1892" t="s">
        <v>47</v>
      </c>
      <c r="P1892" t="s">
        <v>48</v>
      </c>
      <c r="Q1892">
        <v>0</v>
      </c>
      <c r="R1892" t="b">
        <v>0</v>
      </c>
      <c r="S1892" t="s">
        <v>49</v>
      </c>
      <c r="T1892" t="s">
        <v>70</v>
      </c>
      <c r="U1892" t="s">
        <v>71</v>
      </c>
      <c r="V1892" t="s">
        <v>63</v>
      </c>
      <c r="W1892" t="s">
        <v>198</v>
      </c>
      <c r="X1892" t="s">
        <v>54</v>
      </c>
      <c r="Z1892" s="12">
        <v>0</v>
      </c>
      <c r="AA1892" s="13" t="s">
        <v>9165</v>
      </c>
      <c r="AB1892" s="13" t="s">
        <v>9164</v>
      </c>
      <c r="AC1892" s="14" t="s">
        <v>9139</v>
      </c>
      <c r="AD1892" s="14" t="s">
        <v>9140</v>
      </c>
      <c r="AE1892" s="14" t="s">
        <v>9140</v>
      </c>
      <c r="AF1892" s="14" t="s">
        <v>63</v>
      </c>
      <c r="AG1892" s="14" t="s">
        <v>54</v>
      </c>
      <c r="AH1892" s="15" t="s">
        <v>9141</v>
      </c>
      <c r="AI1892" s="15" t="s">
        <v>9175</v>
      </c>
      <c r="AJ1892" s="15" t="s">
        <v>9143</v>
      </c>
      <c r="AK1892" s="15" t="s">
        <v>9141</v>
      </c>
      <c r="AL1892" s="15" t="s">
        <v>9175</v>
      </c>
      <c r="AM1892" s="16" t="s">
        <v>9141</v>
      </c>
      <c r="AN1892" s="16" t="s">
        <v>9176</v>
      </c>
    </row>
    <row r="1893" spans="1:40" x14ac:dyDescent="0.25">
      <c r="A1893" t="s">
        <v>5247</v>
      </c>
      <c r="C1893" t="s">
        <v>39</v>
      </c>
      <c r="D1893" t="s">
        <v>5238</v>
      </c>
      <c r="E1893" t="s">
        <v>5239</v>
      </c>
      <c r="F1893" s="2">
        <v>45140</v>
      </c>
      <c r="G1893" s="3">
        <v>0.52013888888888893</v>
      </c>
      <c r="H1893" t="s">
        <v>4516</v>
      </c>
      <c r="I1893" s="4" t="s">
        <v>5215</v>
      </c>
      <c r="J1893" t="s">
        <v>5216</v>
      </c>
      <c r="K1893" t="s">
        <v>5248</v>
      </c>
      <c r="L1893" t="s">
        <v>5249</v>
      </c>
      <c r="M1893" t="s">
        <v>46</v>
      </c>
      <c r="O1893" t="s">
        <v>47</v>
      </c>
      <c r="P1893" t="s">
        <v>48</v>
      </c>
      <c r="Q1893">
        <v>0</v>
      </c>
      <c r="R1893" t="b">
        <v>0</v>
      </c>
      <c r="S1893" t="s">
        <v>49</v>
      </c>
      <c r="T1893" t="s">
        <v>50</v>
      </c>
      <c r="U1893" t="s">
        <v>107</v>
      </c>
      <c r="V1893" t="s">
        <v>63</v>
      </c>
      <c r="W1893" t="s">
        <v>198</v>
      </c>
      <c r="X1893" t="s">
        <v>54</v>
      </c>
      <c r="Z1893" s="12">
        <v>0</v>
      </c>
      <c r="AA1893" s="13" t="s">
        <v>9165</v>
      </c>
      <c r="AB1893" s="13" t="s">
        <v>9164</v>
      </c>
      <c r="AC1893" s="14" t="s">
        <v>9139</v>
      </c>
      <c r="AD1893" s="14" t="s">
        <v>9140</v>
      </c>
      <c r="AE1893" s="14" t="s">
        <v>9140</v>
      </c>
      <c r="AF1893" s="14" t="s">
        <v>63</v>
      </c>
      <c r="AG1893" s="14" t="s">
        <v>54</v>
      </c>
      <c r="AH1893" s="15" t="s">
        <v>9220</v>
      </c>
      <c r="AI1893" s="15" t="s">
        <v>9188</v>
      </c>
      <c r="AJ1893" s="15" t="s">
        <v>9143</v>
      </c>
      <c r="AK1893" s="15" t="s">
        <v>9221</v>
      </c>
      <c r="AL1893" s="15" t="s">
        <v>9232</v>
      </c>
      <c r="AM1893" s="16" t="s">
        <v>9221</v>
      </c>
      <c r="AN1893" s="16" t="s">
        <v>9233</v>
      </c>
    </row>
    <row r="1894" spans="1:40" x14ac:dyDescent="0.25">
      <c r="A1894" t="s">
        <v>6684</v>
      </c>
      <c r="C1894" t="s">
        <v>39</v>
      </c>
      <c r="D1894" t="s">
        <v>6685</v>
      </c>
      <c r="E1894" t="s">
        <v>6686</v>
      </c>
      <c r="F1894" s="2">
        <v>45139</v>
      </c>
      <c r="G1894" s="3">
        <v>0.61805555555555558</v>
      </c>
      <c r="H1894" t="s">
        <v>4516</v>
      </c>
      <c r="I1894" s="4" t="s">
        <v>6637</v>
      </c>
      <c r="J1894" t="s">
        <v>3564</v>
      </c>
      <c r="K1894" t="s">
        <v>6687</v>
      </c>
      <c r="L1894" t="s">
        <v>6688</v>
      </c>
      <c r="M1894" t="s">
        <v>46</v>
      </c>
      <c r="O1894" t="s">
        <v>47</v>
      </c>
      <c r="P1894" t="s">
        <v>48</v>
      </c>
      <c r="Q1894">
        <v>0</v>
      </c>
      <c r="R1894" t="b">
        <v>0</v>
      </c>
      <c r="S1894" t="s">
        <v>49</v>
      </c>
      <c r="T1894" t="s">
        <v>70</v>
      </c>
      <c r="U1894" t="s">
        <v>71</v>
      </c>
      <c r="V1894" t="s">
        <v>72</v>
      </c>
      <c r="W1894" t="s">
        <v>73</v>
      </c>
      <c r="X1894" t="s">
        <v>54</v>
      </c>
      <c r="Z1894" s="12">
        <v>0</v>
      </c>
      <c r="AA1894" s="13" t="s">
        <v>9165</v>
      </c>
      <c r="AB1894" s="13" t="s">
        <v>9164</v>
      </c>
      <c r="AC1894" s="14" t="s">
        <v>9139</v>
      </c>
      <c r="AD1894" s="14" t="s">
        <v>9140</v>
      </c>
      <c r="AE1894" s="14" t="s">
        <v>9140</v>
      </c>
      <c r="AF1894" s="14" t="s">
        <v>72</v>
      </c>
      <c r="AG1894" s="14" t="s">
        <v>54</v>
      </c>
      <c r="AH1894" s="15" t="s">
        <v>9220</v>
      </c>
      <c r="AI1894" s="15" t="s">
        <v>9188</v>
      </c>
      <c r="AJ1894" s="15" t="s">
        <v>9143</v>
      </c>
      <c r="AK1894" s="15" t="s">
        <v>9221</v>
      </c>
      <c r="AL1894" s="15" t="s">
        <v>9236</v>
      </c>
      <c r="AM1894" s="16" t="s">
        <v>9221</v>
      </c>
      <c r="AN1894" s="16" t="s">
        <v>9237</v>
      </c>
    </row>
    <row r="1895" spans="1:40" x14ac:dyDescent="0.25">
      <c r="A1895" t="s">
        <v>4955</v>
      </c>
      <c r="C1895" t="s">
        <v>39</v>
      </c>
      <c r="D1895" t="s">
        <v>4956</v>
      </c>
      <c r="E1895" t="s">
        <v>4957</v>
      </c>
      <c r="F1895" s="2">
        <v>45139</v>
      </c>
      <c r="G1895" s="3">
        <v>0.66666666666666663</v>
      </c>
      <c r="H1895" t="s">
        <v>4910</v>
      </c>
      <c r="I1895" s="4" t="s">
        <v>4939</v>
      </c>
      <c r="J1895" t="s">
        <v>4940</v>
      </c>
      <c r="K1895" t="s">
        <v>4958</v>
      </c>
      <c r="L1895" t="s">
        <v>4959</v>
      </c>
      <c r="M1895" t="s">
        <v>46</v>
      </c>
      <c r="O1895" t="s">
        <v>47</v>
      </c>
      <c r="P1895" t="s">
        <v>48</v>
      </c>
      <c r="Q1895">
        <v>0</v>
      </c>
      <c r="R1895" t="b">
        <v>0</v>
      </c>
      <c r="S1895" t="s">
        <v>61</v>
      </c>
      <c r="T1895" t="s">
        <v>50</v>
      </c>
      <c r="U1895" t="s">
        <v>218</v>
      </c>
      <c r="V1895" t="s">
        <v>123</v>
      </c>
      <c r="W1895" t="s">
        <v>124</v>
      </c>
      <c r="X1895" t="s">
        <v>54</v>
      </c>
      <c r="Z1895" s="12">
        <v>0</v>
      </c>
      <c r="AA1895" s="13" t="s">
        <v>9165</v>
      </c>
      <c r="AB1895" s="13" t="s">
        <v>9164</v>
      </c>
      <c r="AC1895" s="14" t="s">
        <v>9148</v>
      </c>
      <c r="AD1895" s="14" t="s">
        <v>9140</v>
      </c>
      <c r="AE1895" s="14" t="s">
        <v>9140</v>
      </c>
      <c r="AF1895" s="14" t="s">
        <v>123</v>
      </c>
      <c r="AG1895" s="14" t="s">
        <v>54</v>
      </c>
      <c r="AH1895" s="15" t="s">
        <v>9220</v>
      </c>
      <c r="AI1895" s="15" t="s">
        <v>9191</v>
      </c>
      <c r="AJ1895" s="15" t="s">
        <v>9143</v>
      </c>
      <c r="AK1895" s="15" t="s">
        <v>9221</v>
      </c>
      <c r="AL1895" s="15" t="s">
        <v>9234</v>
      </c>
      <c r="AM1895" s="16" t="s">
        <v>9221</v>
      </c>
      <c r="AN1895" s="16" t="s">
        <v>9235</v>
      </c>
    </row>
    <row r="1896" spans="1:40" x14ac:dyDescent="0.25">
      <c r="A1896" t="s">
        <v>4446</v>
      </c>
      <c r="B1896" s="1">
        <v>12230012868</v>
      </c>
      <c r="C1896" t="s">
        <v>39</v>
      </c>
      <c r="D1896" t="s">
        <v>4363</v>
      </c>
      <c r="E1896" t="s">
        <v>4364</v>
      </c>
      <c r="F1896" s="2">
        <v>45139</v>
      </c>
      <c r="G1896" s="3">
        <v>0.58333333333333337</v>
      </c>
      <c r="H1896" t="s">
        <v>4019</v>
      </c>
      <c r="I1896" s="4" t="s">
        <v>4304</v>
      </c>
      <c r="J1896" t="s">
        <v>1941</v>
      </c>
      <c r="K1896" t="s">
        <v>4447</v>
      </c>
      <c r="L1896" t="s">
        <v>4448</v>
      </c>
      <c r="M1896" t="s">
        <v>28</v>
      </c>
      <c r="N1896" t="s">
        <v>183</v>
      </c>
      <c r="O1896" t="s">
        <v>174</v>
      </c>
      <c r="P1896" t="s">
        <v>48</v>
      </c>
      <c r="Q1896">
        <v>4</v>
      </c>
      <c r="R1896" t="b">
        <v>0</v>
      </c>
      <c r="S1896" t="s">
        <v>184</v>
      </c>
      <c r="T1896" t="s">
        <v>89</v>
      </c>
      <c r="U1896" t="s">
        <v>71</v>
      </c>
      <c r="V1896" t="s">
        <v>63</v>
      </c>
      <c r="W1896" t="s">
        <v>784</v>
      </c>
      <c r="X1896" t="s">
        <v>3554</v>
      </c>
      <c r="Y1896" t="s">
        <v>775</v>
      </c>
      <c r="Z1896" s="12" t="s">
        <v>48</v>
      </c>
      <c r="AA1896" s="13" t="s">
        <v>9165</v>
      </c>
      <c r="AB1896" s="13" t="s">
        <v>9164</v>
      </c>
      <c r="AC1896" s="14" t="s">
        <v>9166</v>
      </c>
      <c r="AD1896" s="14" t="s">
        <v>28</v>
      </c>
      <c r="AE1896" s="14" t="s">
        <v>183</v>
      </c>
      <c r="AF1896" s="14" t="s">
        <v>63</v>
      </c>
      <c r="AG1896" s="14" t="s">
        <v>3554</v>
      </c>
      <c r="AH1896" s="15" t="s">
        <v>9220</v>
      </c>
      <c r="AI1896" s="15" t="s">
        <v>9175</v>
      </c>
      <c r="AJ1896" s="15" t="s">
        <v>9143</v>
      </c>
      <c r="AK1896" s="15" t="s">
        <v>9221</v>
      </c>
      <c r="AL1896" s="15" t="s">
        <v>9222</v>
      </c>
      <c r="AM1896" s="16" t="s">
        <v>9221</v>
      </c>
      <c r="AN1896" s="16" t="s">
        <v>9223</v>
      </c>
    </row>
    <row r="1897" spans="1:40" x14ac:dyDescent="0.25">
      <c r="A1897" t="s">
        <v>921</v>
      </c>
      <c r="C1897" t="s">
        <v>39</v>
      </c>
      <c r="D1897" t="s">
        <v>922</v>
      </c>
      <c r="E1897" t="s">
        <v>923</v>
      </c>
      <c r="F1897" s="2">
        <v>45139</v>
      </c>
      <c r="G1897" s="3">
        <v>0.36805555555555558</v>
      </c>
      <c r="H1897" t="s">
        <v>463</v>
      </c>
      <c r="I1897" s="4">
        <v>2031</v>
      </c>
      <c r="J1897" t="s">
        <v>918</v>
      </c>
      <c r="K1897" t="s">
        <v>924</v>
      </c>
      <c r="L1897" t="s">
        <v>925</v>
      </c>
      <c r="M1897" t="s">
        <v>46</v>
      </c>
      <c r="O1897" t="s">
        <v>47</v>
      </c>
      <c r="P1897" t="s">
        <v>48</v>
      </c>
      <c r="Q1897">
        <v>0</v>
      </c>
      <c r="R1897" t="b">
        <v>0</v>
      </c>
      <c r="S1897" t="s">
        <v>49</v>
      </c>
      <c r="T1897" t="s">
        <v>89</v>
      </c>
      <c r="U1897" t="s">
        <v>90</v>
      </c>
      <c r="V1897" t="s">
        <v>63</v>
      </c>
      <c r="W1897" t="s">
        <v>108</v>
      </c>
      <c r="X1897" t="s">
        <v>98</v>
      </c>
      <c r="Z1897" s="12">
        <v>0</v>
      </c>
      <c r="AA1897" s="13" t="s">
        <v>9165</v>
      </c>
      <c r="AB1897" s="13" t="s">
        <v>9164</v>
      </c>
      <c r="AC1897" s="14" t="s">
        <v>9139</v>
      </c>
      <c r="AD1897" s="14" t="s">
        <v>9140</v>
      </c>
      <c r="AE1897" s="14" t="s">
        <v>9140</v>
      </c>
      <c r="AF1897" s="14" t="s">
        <v>63</v>
      </c>
      <c r="AG1897" s="14" t="s">
        <v>98</v>
      </c>
      <c r="AH1897" s="15" t="s">
        <v>9141</v>
      </c>
      <c r="AI1897" s="15" t="s">
        <v>9175</v>
      </c>
      <c r="AJ1897" s="15" t="s">
        <v>9143</v>
      </c>
      <c r="AK1897" s="15" t="s">
        <v>9141</v>
      </c>
      <c r="AL1897" s="15" t="s">
        <v>9177</v>
      </c>
      <c r="AM1897" s="16" t="s">
        <v>9141</v>
      </c>
      <c r="AN1897" s="16" t="s">
        <v>9178</v>
      </c>
    </row>
    <row r="1898" spans="1:40" x14ac:dyDescent="0.25">
      <c r="A1898" t="s">
        <v>6103</v>
      </c>
      <c r="B1898" s="1" t="s">
        <v>6104</v>
      </c>
      <c r="C1898" t="s">
        <v>39</v>
      </c>
      <c r="D1898" t="s">
        <v>6105</v>
      </c>
      <c r="E1898" t="s">
        <v>6106</v>
      </c>
      <c r="F1898" s="2">
        <v>45139</v>
      </c>
      <c r="G1898" s="3">
        <v>0.60972222222222228</v>
      </c>
      <c r="H1898" t="s">
        <v>5666</v>
      </c>
      <c r="I1898" s="4" t="s">
        <v>6073</v>
      </c>
      <c r="J1898" t="s">
        <v>3608</v>
      </c>
      <c r="K1898" t="s">
        <v>6107</v>
      </c>
      <c r="L1898" t="s">
        <v>6108</v>
      </c>
      <c r="M1898" t="s">
        <v>28</v>
      </c>
      <c r="N1898" t="s">
        <v>183</v>
      </c>
      <c r="O1898" t="s">
        <v>863</v>
      </c>
      <c r="P1898" t="s">
        <v>60</v>
      </c>
      <c r="Q1898">
        <v>25</v>
      </c>
      <c r="R1898" t="b">
        <v>0</v>
      </c>
      <c r="S1898" t="s">
        <v>114</v>
      </c>
      <c r="T1898" t="s">
        <v>115</v>
      </c>
      <c r="U1898" t="s">
        <v>122</v>
      </c>
      <c r="V1898" t="s">
        <v>52</v>
      </c>
      <c r="W1898" t="s">
        <v>374</v>
      </c>
      <c r="X1898" t="s">
        <v>54</v>
      </c>
      <c r="Z1898" s="12" t="s">
        <v>60</v>
      </c>
      <c r="AA1898" s="13" t="s">
        <v>9165</v>
      </c>
      <c r="AB1898" s="13" t="s">
        <v>9164</v>
      </c>
      <c r="AC1898" s="14" t="s">
        <v>9157</v>
      </c>
      <c r="AD1898" s="14" t="s">
        <v>28</v>
      </c>
      <c r="AE1898" s="14" t="s">
        <v>183</v>
      </c>
      <c r="AF1898" s="14" t="s">
        <v>52</v>
      </c>
      <c r="AG1898" s="14" t="s">
        <v>54</v>
      </c>
      <c r="AH1898" s="15" t="s">
        <v>9220</v>
      </c>
      <c r="AI1898" s="15" t="s">
        <v>9199</v>
      </c>
      <c r="AJ1898" s="15" t="s">
        <v>9143</v>
      </c>
      <c r="AK1898" s="15" t="s">
        <v>9221</v>
      </c>
      <c r="AL1898" s="15" t="s">
        <v>9199</v>
      </c>
      <c r="AM1898" s="16" t="s">
        <v>9221</v>
      </c>
      <c r="AN1898" s="16" t="s">
        <v>9238</v>
      </c>
    </row>
    <row r="1899" spans="1:40" x14ac:dyDescent="0.25">
      <c r="A1899" t="s">
        <v>3338</v>
      </c>
      <c r="B1899" s="1" t="s">
        <v>3339</v>
      </c>
      <c r="C1899" t="s">
        <v>39</v>
      </c>
      <c r="D1899" t="s">
        <v>3340</v>
      </c>
      <c r="E1899" t="s">
        <v>3341</v>
      </c>
      <c r="F1899" s="2">
        <v>45139</v>
      </c>
      <c r="G1899" s="3">
        <v>0.40833333333333333</v>
      </c>
      <c r="H1899" t="s">
        <v>1992</v>
      </c>
      <c r="I1899" s="4" t="s">
        <v>3334</v>
      </c>
      <c r="J1899" t="s">
        <v>3335</v>
      </c>
      <c r="K1899" t="s">
        <v>3342</v>
      </c>
      <c r="L1899" t="s">
        <v>3343</v>
      </c>
      <c r="M1899" t="s">
        <v>28</v>
      </c>
      <c r="N1899" t="s">
        <v>183</v>
      </c>
      <c r="O1899" t="s">
        <v>344</v>
      </c>
      <c r="P1899" t="s">
        <v>48</v>
      </c>
      <c r="Q1899">
        <v>415</v>
      </c>
      <c r="R1899" t="b">
        <v>0</v>
      </c>
      <c r="S1899" t="s">
        <v>114</v>
      </c>
      <c r="T1899" t="s">
        <v>204</v>
      </c>
      <c r="U1899" t="s">
        <v>122</v>
      </c>
      <c r="V1899" t="s">
        <v>123</v>
      </c>
      <c r="W1899" t="s">
        <v>124</v>
      </c>
      <c r="X1899" t="s">
        <v>978</v>
      </c>
      <c r="Z1899" s="12" t="s">
        <v>48</v>
      </c>
      <c r="AA1899" s="13" t="s">
        <v>9165</v>
      </c>
      <c r="AB1899" s="13" t="s">
        <v>9164</v>
      </c>
      <c r="AC1899" s="14" t="s">
        <v>9157</v>
      </c>
      <c r="AD1899" s="14" t="s">
        <v>28</v>
      </c>
      <c r="AE1899" s="14" t="s">
        <v>183</v>
      </c>
      <c r="AF1899" s="14" t="s">
        <v>123</v>
      </c>
      <c r="AG1899" s="14" t="s">
        <v>978</v>
      </c>
      <c r="AH1899" s="15" t="s">
        <v>9194</v>
      </c>
      <c r="AI1899" s="15" t="s">
        <v>9191</v>
      </c>
      <c r="AJ1899" s="15" t="s">
        <v>9143</v>
      </c>
      <c r="AK1899" s="15" t="s">
        <v>9194</v>
      </c>
      <c r="AL1899" s="15" t="s">
        <v>9205</v>
      </c>
      <c r="AM1899" s="16" t="s">
        <v>9194</v>
      </c>
      <c r="AN1899" s="16" t="s">
        <v>9206</v>
      </c>
    </row>
    <row r="1900" spans="1:40" x14ac:dyDescent="0.25">
      <c r="A1900" t="s">
        <v>2652</v>
      </c>
      <c r="B1900" s="1">
        <v>6021232</v>
      </c>
      <c r="C1900" t="s">
        <v>39</v>
      </c>
      <c r="D1900" t="s">
        <v>2653</v>
      </c>
      <c r="E1900" t="s">
        <v>2654</v>
      </c>
      <c r="F1900" s="2">
        <v>45138</v>
      </c>
      <c r="G1900" s="3">
        <v>0.59375</v>
      </c>
      <c r="H1900" t="s">
        <v>2095</v>
      </c>
      <c r="I1900" s="4" t="s">
        <v>2629</v>
      </c>
      <c r="J1900" t="s">
        <v>2630</v>
      </c>
      <c r="K1900" t="s">
        <v>2655</v>
      </c>
      <c r="L1900" t="s">
        <v>2656</v>
      </c>
      <c r="M1900" t="s">
        <v>28</v>
      </c>
      <c r="N1900" t="s">
        <v>183</v>
      </c>
      <c r="O1900" t="s">
        <v>191</v>
      </c>
      <c r="P1900" t="s">
        <v>48</v>
      </c>
      <c r="Q1900">
        <v>0</v>
      </c>
      <c r="R1900" t="b">
        <v>0</v>
      </c>
      <c r="S1900" t="s">
        <v>114</v>
      </c>
      <c r="T1900" t="s">
        <v>479</v>
      </c>
      <c r="U1900" t="s">
        <v>122</v>
      </c>
      <c r="V1900" t="s">
        <v>52</v>
      </c>
      <c r="W1900" t="s">
        <v>53</v>
      </c>
      <c r="X1900" t="s">
        <v>98</v>
      </c>
      <c r="Z1900" s="12" t="s">
        <v>48</v>
      </c>
      <c r="AA1900" s="13" t="s">
        <v>9165</v>
      </c>
      <c r="AB1900" s="13" t="s">
        <v>9164</v>
      </c>
      <c r="AC1900" s="14" t="s">
        <v>9157</v>
      </c>
      <c r="AD1900" s="14" t="s">
        <v>28</v>
      </c>
      <c r="AE1900" s="14" t="s">
        <v>183</v>
      </c>
      <c r="AF1900" s="14" t="s">
        <v>52</v>
      </c>
      <c r="AG1900" s="14" t="s">
        <v>98</v>
      </c>
      <c r="AH1900" s="15" t="s">
        <v>9194</v>
      </c>
      <c r="AI1900" s="15" t="s">
        <v>9188</v>
      </c>
      <c r="AJ1900" s="15" t="s">
        <v>9143</v>
      </c>
      <c r="AK1900" s="15" t="s">
        <v>9194</v>
      </c>
      <c r="AL1900" s="15" t="s">
        <v>9211</v>
      </c>
      <c r="AM1900" s="16" t="s">
        <v>9194</v>
      </c>
      <c r="AN1900" s="16" t="s">
        <v>9212</v>
      </c>
    </row>
    <row r="1901" spans="1:40" x14ac:dyDescent="0.25">
      <c r="A1901" t="s">
        <v>4464</v>
      </c>
      <c r="C1901" t="s">
        <v>39</v>
      </c>
      <c r="D1901" t="s">
        <v>4465</v>
      </c>
      <c r="E1901" t="s">
        <v>4466</v>
      </c>
      <c r="F1901" s="2">
        <v>45138</v>
      </c>
      <c r="G1901" s="3">
        <v>0.3888888888888889</v>
      </c>
      <c r="H1901" t="s">
        <v>4019</v>
      </c>
      <c r="I1901" s="4" t="s">
        <v>4455</v>
      </c>
      <c r="J1901" t="s">
        <v>4456</v>
      </c>
      <c r="K1901" t="s">
        <v>4467</v>
      </c>
      <c r="L1901" t="s">
        <v>4468</v>
      </c>
      <c r="M1901" t="s">
        <v>46</v>
      </c>
      <c r="O1901" t="s">
        <v>47</v>
      </c>
      <c r="P1901" t="s">
        <v>48</v>
      </c>
      <c r="Q1901">
        <v>0</v>
      </c>
      <c r="R1901" t="b">
        <v>0</v>
      </c>
      <c r="S1901" t="s">
        <v>114</v>
      </c>
      <c r="T1901" t="s">
        <v>89</v>
      </c>
      <c r="U1901" t="s">
        <v>148</v>
      </c>
      <c r="V1901" t="s">
        <v>123</v>
      </c>
      <c r="W1901" t="s">
        <v>149</v>
      </c>
      <c r="X1901" t="s">
        <v>54</v>
      </c>
      <c r="Z1901" s="12">
        <v>0</v>
      </c>
      <c r="AA1901" s="13" t="s">
        <v>9165</v>
      </c>
      <c r="AB1901" s="13" t="s">
        <v>9164</v>
      </c>
      <c r="AC1901" s="14" t="s">
        <v>9157</v>
      </c>
      <c r="AD1901" s="14" t="s">
        <v>9140</v>
      </c>
      <c r="AE1901" s="14" t="s">
        <v>9140</v>
      </c>
      <c r="AF1901" s="14" t="s">
        <v>123</v>
      </c>
      <c r="AG1901" s="14" t="s">
        <v>54</v>
      </c>
      <c r="AH1901" s="15" t="s">
        <v>9220</v>
      </c>
      <c r="AI1901" s="15" t="s">
        <v>9175</v>
      </c>
      <c r="AJ1901" s="15" t="s">
        <v>9143</v>
      </c>
      <c r="AK1901" s="15" t="s">
        <v>9221</v>
      </c>
      <c r="AL1901" s="15" t="s">
        <v>9222</v>
      </c>
      <c r="AM1901" s="16" t="s">
        <v>9221</v>
      </c>
      <c r="AN1901" s="16" t="s">
        <v>9223</v>
      </c>
    </row>
    <row r="1902" spans="1:40" x14ac:dyDescent="0.25">
      <c r="A1902" t="s">
        <v>6365</v>
      </c>
      <c r="C1902" t="s">
        <v>39</v>
      </c>
      <c r="D1902" t="s">
        <v>6281</v>
      </c>
      <c r="E1902" t="s">
        <v>6282</v>
      </c>
      <c r="F1902" s="2">
        <v>45138</v>
      </c>
      <c r="G1902" s="3">
        <v>0.375</v>
      </c>
      <c r="H1902" t="s">
        <v>4019</v>
      </c>
      <c r="I1902" s="4" t="s">
        <v>6277</v>
      </c>
      <c r="J1902" t="s">
        <v>988</v>
      </c>
      <c r="K1902" t="s">
        <v>6366</v>
      </c>
      <c r="L1902" t="s">
        <v>6367</v>
      </c>
      <c r="M1902" t="s">
        <v>46</v>
      </c>
      <c r="O1902" t="s">
        <v>47</v>
      </c>
      <c r="P1902" t="s">
        <v>48</v>
      </c>
      <c r="Q1902">
        <v>0</v>
      </c>
      <c r="R1902" t="b">
        <v>0</v>
      </c>
      <c r="S1902" t="s">
        <v>49</v>
      </c>
      <c r="T1902" t="s">
        <v>89</v>
      </c>
      <c r="U1902" t="s">
        <v>90</v>
      </c>
      <c r="V1902" t="s">
        <v>72</v>
      </c>
      <c r="W1902" t="s">
        <v>73</v>
      </c>
      <c r="X1902" t="s">
        <v>54</v>
      </c>
      <c r="Z1902" s="12">
        <v>0</v>
      </c>
      <c r="AA1902" s="13" t="s">
        <v>9165</v>
      </c>
      <c r="AB1902" s="13" t="s">
        <v>9164</v>
      </c>
      <c r="AC1902" s="14" t="s">
        <v>9139</v>
      </c>
      <c r="AD1902" s="14" t="s">
        <v>9140</v>
      </c>
      <c r="AE1902" s="14" t="s">
        <v>9140</v>
      </c>
      <c r="AF1902" s="14" t="s">
        <v>72</v>
      </c>
      <c r="AG1902" s="14" t="s">
        <v>54</v>
      </c>
      <c r="AH1902" s="15" t="s">
        <v>9220</v>
      </c>
      <c r="AI1902" s="15" t="s">
        <v>9175</v>
      </c>
      <c r="AJ1902" s="15" t="s">
        <v>9143</v>
      </c>
      <c r="AK1902" s="15" t="s">
        <v>9221</v>
      </c>
      <c r="AL1902" s="15" t="s">
        <v>9222</v>
      </c>
      <c r="AM1902" s="16" t="s">
        <v>9221</v>
      </c>
      <c r="AN1902" s="16" t="s">
        <v>9223</v>
      </c>
    </row>
    <row r="1903" spans="1:40" x14ac:dyDescent="0.25">
      <c r="A1903" t="s">
        <v>5409</v>
      </c>
      <c r="C1903" t="s">
        <v>39</v>
      </c>
      <c r="D1903" t="s">
        <v>5381</v>
      </c>
      <c r="E1903" t="s">
        <v>5382</v>
      </c>
      <c r="F1903" s="2">
        <v>45138</v>
      </c>
      <c r="G1903" s="3">
        <v>0.59027777777777779</v>
      </c>
      <c r="H1903" t="s">
        <v>4910</v>
      </c>
      <c r="I1903" s="4" t="s">
        <v>5360</v>
      </c>
      <c r="J1903" t="s">
        <v>2062</v>
      </c>
      <c r="K1903" t="s">
        <v>5410</v>
      </c>
      <c r="L1903" t="s">
        <v>5411</v>
      </c>
      <c r="M1903" t="s">
        <v>46</v>
      </c>
      <c r="O1903" t="s">
        <v>47</v>
      </c>
      <c r="P1903" t="s">
        <v>48</v>
      </c>
      <c r="Q1903">
        <v>0</v>
      </c>
      <c r="R1903" t="b">
        <v>0</v>
      </c>
      <c r="S1903" t="s">
        <v>49</v>
      </c>
      <c r="T1903" t="s">
        <v>479</v>
      </c>
      <c r="U1903" t="s">
        <v>140</v>
      </c>
      <c r="V1903" t="s">
        <v>52</v>
      </c>
      <c r="W1903" t="s">
        <v>135</v>
      </c>
      <c r="X1903" t="s">
        <v>54</v>
      </c>
      <c r="Z1903" s="12">
        <v>0</v>
      </c>
      <c r="AA1903" s="13" t="s">
        <v>9165</v>
      </c>
      <c r="AB1903" s="13" t="s">
        <v>9164</v>
      </c>
      <c r="AC1903" s="14" t="s">
        <v>9139</v>
      </c>
      <c r="AD1903" s="14" t="s">
        <v>9140</v>
      </c>
      <c r="AE1903" s="14" t="s">
        <v>9140</v>
      </c>
      <c r="AF1903" s="14" t="s">
        <v>52</v>
      </c>
      <c r="AG1903" s="14" t="s">
        <v>54</v>
      </c>
      <c r="AH1903" s="15" t="s">
        <v>9220</v>
      </c>
      <c r="AI1903" s="15" t="s">
        <v>9191</v>
      </c>
      <c r="AJ1903" s="15" t="s">
        <v>9143</v>
      </c>
      <c r="AK1903" s="15" t="s">
        <v>9221</v>
      </c>
      <c r="AL1903" s="15" t="s">
        <v>9234</v>
      </c>
      <c r="AM1903" s="16" t="s">
        <v>9221</v>
      </c>
      <c r="AN1903" s="16" t="s">
        <v>9235</v>
      </c>
    </row>
    <row r="1904" spans="1:40" x14ac:dyDescent="0.25">
      <c r="A1904" t="s">
        <v>4141</v>
      </c>
      <c r="C1904" t="s">
        <v>39</v>
      </c>
      <c r="D1904" t="s">
        <v>4142</v>
      </c>
      <c r="E1904" t="s">
        <v>4143</v>
      </c>
      <c r="F1904" s="2">
        <v>45137</v>
      </c>
      <c r="G1904" s="3">
        <v>0.41319444444444442</v>
      </c>
      <c r="H1904" t="s">
        <v>4019</v>
      </c>
      <c r="I1904" s="4" t="s">
        <v>4092</v>
      </c>
      <c r="J1904" t="s">
        <v>4093</v>
      </c>
      <c r="K1904" t="s">
        <v>4144</v>
      </c>
      <c r="L1904" t="s">
        <v>4145</v>
      </c>
      <c r="M1904" t="s">
        <v>46</v>
      </c>
      <c r="O1904" t="s">
        <v>47</v>
      </c>
      <c r="P1904" t="s">
        <v>48</v>
      </c>
      <c r="Q1904">
        <v>0</v>
      </c>
      <c r="R1904" t="b">
        <v>0</v>
      </c>
      <c r="S1904" t="s">
        <v>61</v>
      </c>
      <c r="T1904" t="s">
        <v>89</v>
      </c>
      <c r="U1904" t="s">
        <v>51</v>
      </c>
      <c r="V1904" t="s">
        <v>123</v>
      </c>
      <c r="W1904" t="s">
        <v>124</v>
      </c>
      <c r="X1904" t="s">
        <v>54</v>
      </c>
      <c r="Z1904" s="12">
        <v>0</v>
      </c>
      <c r="AA1904" s="13" t="s">
        <v>9165</v>
      </c>
      <c r="AB1904" s="13" t="s">
        <v>9164</v>
      </c>
      <c r="AC1904" s="14" t="s">
        <v>9148</v>
      </c>
      <c r="AD1904" s="14" t="s">
        <v>9140</v>
      </c>
      <c r="AE1904" s="14" t="s">
        <v>9140</v>
      </c>
      <c r="AF1904" s="14" t="s">
        <v>123</v>
      </c>
      <c r="AG1904" s="14" t="s">
        <v>54</v>
      </c>
      <c r="AH1904" s="15" t="s">
        <v>9220</v>
      </c>
      <c r="AI1904" s="15" t="s">
        <v>9175</v>
      </c>
      <c r="AJ1904" s="15" t="s">
        <v>9143</v>
      </c>
      <c r="AK1904" s="15" t="s">
        <v>9221</v>
      </c>
      <c r="AL1904" s="15" t="s">
        <v>9222</v>
      </c>
      <c r="AM1904" s="16" t="s">
        <v>9221</v>
      </c>
      <c r="AN1904" s="16" t="s">
        <v>9223</v>
      </c>
    </row>
    <row r="1905" spans="1:40" x14ac:dyDescent="0.25">
      <c r="A1905" t="s">
        <v>8574</v>
      </c>
      <c r="C1905" t="s">
        <v>39</v>
      </c>
      <c r="D1905" t="s">
        <v>8570</v>
      </c>
      <c r="E1905" t="s">
        <v>8571</v>
      </c>
      <c r="F1905" s="2">
        <v>45136</v>
      </c>
      <c r="G1905" s="3">
        <v>0.51458333333333328</v>
      </c>
      <c r="H1905" t="s">
        <v>4019</v>
      </c>
      <c r="I1905" s="4" t="s">
        <v>8552</v>
      </c>
      <c r="J1905" t="s">
        <v>8553</v>
      </c>
      <c r="K1905" t="s">
        <v>8575</v>
      </c>
      <c r="L1905" t="s">
        <v>8576</v>
      </c>
      <c r="M1905" t="s">
        <v>46</v>
      </c>
      <c r="O1905" t="s">
        <v>47</v>
      </c>
      <c r="P1905" t="s">
        <v>48</v>
      </c>
      <c r="Q1905">
        <v>0</v>
      </c>
      <c r="R1905" t="b">
        <v>0</v>
      </c>
      <c r="S1905" t="s">
        <v>114</v>
      </c>
      <c r="T1905" t="s">
        <v>89</v>
      </c>
      <c r="U1905" t="s">
        <v>148</v>
      </c>
      <c r="V1905" t="s">
        <v>52</v>
      </c>
      <c r="W1905" t="s">
        <v>255</v>
      </c>
      <c r="X1905" t="s">
        <v>98</v>
      </c>
      <c r="Y1905" t="s">
        <v>486</v>
      </c>
      <c r="Z1905" s="12">
        <v>0</v>
      </c>
      <c r="AA1905" s="13" t="s">
        <v>9165</v>
      </c>
      <c r="AB1905" s="13" t="s">
        <v>9164</v>
      </c>
      <c r="AC1905" s="14" t="s">
        <v>9157</v>
      </c>
      <c r="AD1905" s="14" t="s">
        <v>9140</v>
      </c>
      <c r="AE1905" s="14" t="s">
        <v>9140</v>
      </c>
      <c r="AF1905" s="14" t="s">
        <v>52</v>
      </c>
      <c r="AG1905" s="14" t="s">
        <v>98</v>
      </c>
      <c r="AH1905" s="15" t="s">
        <v>9220</v>
      </c>
      <c r="AI1905" s="15" t="s">
        <v>9175</v>
      </c>
      <c r="AJ1905" s="15" t="s">
        <v>9143</v>
      </c>
      <c r="AK1905" s="15" t="s">
        <v>9221</v>
      </c>
      <c r="AL1905" s="15" t="s">
        <v>9222</v>
      </c>
      <c r="AM1905" s="16" t="s">
        <v>9221</v>
      </c>
      <c r="AN1905" s="16" t="s">
        <v>9223</v>
      </c>
    </row>
    <row r="1906" spans="1:40" x14ac:dyDescent="0.25">
      <c r="A1906" t="s">
        <v>1501</v>
      </c>
      <c r="B1906" s="1" t="s">
        <v>1502</v>
      </c>
      <c r="C1906" t="s">
        <v>39</v>
      </c>
      <c r="D1906" t="s">
        <v>1486</v>
      </c>
      <c r="E1906" t="s">
        <v>1487</v>
      </c>
      <c r="F1906" s="2">
        <v>45136</v>
      </c>
      <c r="G1906" s="3">
        <v>0.57708333333333328</v>
      </c>
      <c r="H1906" t="s">
        <v>1476</v>
      </c>
      <c r="I1906" s="4">
        <v>6059</v>
      </c>
      <c r="J1906" t="s">
        <v>1477</v>
      </c>
      <c r="K1906" t="s">
        <v>1503</v>
      </c>
      <c r="L1906" t="s">
        <v>1504</v>
      </c>
      <c r="M1906" t="s">
        <v>28</v>
      </c>
      <c r="N1906" t="s">
        <v>183</v>
      </c>
      <c r="O1906" t="s">
        <v>174</v>
      </c>
      <c r="P1906" t="s">
        <v>48</v>
      </c>
      <c r="Q1906">
        <v>7</v>
      </c>
      <c r="R1906" t="b">
        <v>0</v>
      </c>
      <c r="S1906" t="s">
        <v>184</v>
      </c>
      <c r="T1906" t="s">
        <v>89</v>
      </c>
      <c r="U1906" t="s">
        <v>175</v>
      </c>
      <c r="V1906" t="s">
        <v>123</v>
      </c>
      <c r="W1906" t="s">
        <v>124</v>
      </c>
      <c r="X1906" t="s">
        <v>54</v>
      </c>
      <c r="Z1906" s="12" t="s">
        <v>48</v>
      </c>
      <c r="AA1906" s="13" t="s">
        <v>9165</v>
      </c>
      <c r="AB1906" s="13" t="s">
        <v>9164</v>
      </c>
      <c r="AC1906" s="14" t="s">
        <v>9166</v>
      </c>
      <c r="AD1906" s="14" t="s">
        <v>28</v>
      </c>
      <c r="AE1906" s="14" t="s">
        <v>183</v>
      </c>
      <c r="AF1906" s="14" t="s">
        <v>123</v>
      </c>
      <c r="AG1906" s="14" t="s">
        <v>54</v>
      </c>
      <c r="AH1906" s="15" t="s">
        <v>9141</v>
      </c>
      <c r="AI1906" s="15" t="s">
        <v>9193</v>
      </c>
      <c r="AJ1906" s="15" t="s">
        <v>9143</v>
      </c>
      <c r="AK1906" s="15" t="s">
        <v>9141</v>
      </c>
      <c r="AL1906" s="15" t="s">
        <v>9189</v>
      </c>
      <c r="AM1906" s="16" t="s">
        <v>9141</v>
      </c>
      <c r="AN1906" s="16" t="s">
        <v>9190</v>
      </c>
    </row>
    <row r="1907" spans="1:40" x14ac:dyDescent="0.25">
      <c r="A1907" t="s">
        <v>3524</v>
      </c>
      <c r="C1907" t="s">
        <v>39</v>
      </c>
      <c r="D1907" t="s">
        <v>3516</v>
      </c>
      <c r="E1907" t="s">
        <v>3517</v>
      </c>
      <c r="F1907" s="2">
        <v>45136</v>
      </c>
      <c r="G1907" s="3">
        <v>0.44305555555555554</v>
      </c>
      <c r="H1907" t="s">
        <v>2017</v>
      </c>
      <c r="I1907" s="4" t="s">
        <v>3502</v>
      </c>
      <c r="J1907" t="s">
        <v>3503</v>
      </c>
      <c r="K1907" t="s">
        <v>3525</v>
      </c>
      <c r="L1907" t="s">
        <v>3526</v>
      </c>
      <c r="M1907" t="s">
        <v>46</v>
      </c>
      <c r="O1907" t="s">
        <v>47</v>
      </c>
      <c r="P1907" t="s">
        <v>48</v>
      </c>
      <c r="Q1907">
        <v>0</v>
      </c>
      <c r="R1907" t="b">
        <v>0</v>
      </c>
      <c r="S1907" t="s">
        <v>61</v>
      </c>
      <c r="T1907" t="s">
        <v>89</v>
      </c>
      <c r="U1907" t="s">
        <v>51</v>
      </c>
      <c r="V1907" t="s">
        <v>63</v>
      </c>
      <c r="W1907" t="s">
        <v>108</v>
      </c>
      <c r="X1907" t="s">
        <v>54</v>
      </c>
      <c r="Z1907" s="12">
        <v>0</v>
      </c>
      <c r="AA1907" s="13" t="s">
        <v>9165</v>
      </c>
      <c r="AB1907" s="13" t="s">
        <v>9164</v>
      </c>
      <c r="AC1907" s="14" t="s">
        <v>9148</v>
      </c>
      <c r="AD1907" s="14" t="s">
        <v>9140</v>
      </c>
      <c r="AE1907" s="14" t="s">
        <v>9140</v>
      </c>
      <c r="AF1907" s="14" t="s">
        <v>63</v>
      </c>
      <c r="AG1907" s="14" t="s">
        <v>54</v>
      </c>
      <c r="AH1907" s="15" t="s">
        <v>9194</v>
      </c>
      <c r="AI1907" s="15" t="s">
        <v>9199</v>
      </c>
      <c r="AJ1907" s="15" t="s">
        <v>9143</v>
      </c>
      <c r="AK1907" s="15" t="s">
        <v>9194</v>
      </c>
      <c r="AL1907" s="15" t="s">
        <v>9199</v>
      </c>
      <c r="AM1907" s="16" t="s">
        <v>9194</v>
      </c>
      <c r="AN1907" s="16" t="s">
        <v>9200</v>
      </c>
    </row>
    <row r="1908" spans="1:40" x14ac:dyDescent="0.25">
      <c r="A1908" t="s">
        <v>1649</v>
      </c>
      <c r="C1908" t="s">
        <v>39</v>
      </c>
      <c r="D1908" t="s">
        <v>1642</v>
      </c>
      <c r="E1908" t="s">
        <v>1643</v>
      </c>
      <c r="F1908" s="2">
        <v>45136</v>
      </c>
      <c r="G1908" s="3">
        <v>0.44513888888888886</v>
      </c>
      <c r="H1908" t="s">
        <v>1366</v>
      </c>
      <c r="I1908" s="4">
        <v>6078</v>
      </c>
      <c r="J1908" t="s">
        <v>1638</v>
      </c>
      <c r="K1908" t="s">
        <v>442</v>
      </c>
      <c r="L1908" t="s">
        <v>1650</v>
      </c>
      <c r="M1908" t="s">
        <v>46</v>
      </c>
      <c r="O1908" t="s">
        <v>47</v>
      </c>
      <c r="P1908" t="s">
        <v>48</v>
      </c>
      <c r="Q1908">
        <v>0</v>
      </c>
      <c r="R1908" t="b">
        <v>0</v>
      </c>
      <c r="S1908" t="s">
        <v>49</v>
      </c>
      <c r="T1908" t="s">
        <v>70</v>
      </c>
      <c r="U1908" t="s">
        <v>80</v>
      </c>
      <c r="V1908" t="s">
        <v>63</v>
      </c>
      <c r="W1908" t="s">
        <v>108</v>
      </c>
      <c r="X1908" t="s">
        <v>98</v>
      </c>
      <c r="Z1908">
        <v>0</v>
      </c>
      <c r="AA1908" t="s">
        <v>9165</v>
      </c>
      <c r="AB1908" t="s">
        <v>9164</v>
      </c>
      <c r="AC1908" t="s">
        <v>9139</v>
      </c>
      <c r="AD1908" t="s">
        <v>9140</v>
      </c>
      <c r="AE1908" t="s">
        <v>9140</v>
      </c>
      <c r="AF1908" t="s">
        <v>63</v>
      </c>
      <c r="AG1908" t="s">
        <v>98</v>
      </c>
      <c r="AH1908" t="s">
        <v>9141</v>
      </c>
      <c r="AI1908" t="s">
        <v>9188</v>
      </c>
      <c r="AJ1908" t="s">
        <v>9143</v>
      </c>
      <c r="AK1908" t="s">
        <v>9141</v>
      </c>
      <c r="AL1908" t="s">
        <v>9189</v>
      </c>
      <c r="AM1908" t="s">
        <v>9141</v>
      </c>
      <c r="AN1908" t="s">
        <v>9190</v>
      </c>
    </row>
    <row r="1909" spans="1:40" x14ac:dyDescent="0.25">
      <c r="A1909" t="s">
        <v>1838</v>
      </c>
      <c r="C1909" t="s">
        <v>39</v>
      </c>
      <c r="D1909" t="s">
        <v>1760</v>
      </c>
      <c r="E1909" t="s">
        <v>1761</v>
      </c>
      <c r="F1909" s="2">
        <v>45135</v>
      </c>
      <c r="G1909" s="3">
        <v>0.63194444444444442</v>
      </c>
      <c r="H1909" t="s">
        <v>1654</v>
      </c>
      <c r="I1909" s="4">
        <v>9095</v>
      </c>
      <c r="J1909" t="s">
        <v>1742</v>
      </c>
      <c r="K1909" t="s">
        <v>1839</v>
      </c>
      <c r="L1909" t="s">
        <v>1840</v>
      </c>
      <c r="M1909" t="s">
        <v>46</v>
      </c>
      <c r="O1909" t="s">
        <v>47</v>
      </c>
      <c r="P1909" t="s">
        <v>48</v>
      </c>
      <c r="Q1909">
        <v>0</v>
      </c>
      <c r="R1909" t="b">
        <v>0</v>
      </c>
      <c r="S1909" t="s">
        <v>61</v>
      </c>
      <c r="T1909" t="s">
        <v>89</v>
      </c>
      <c r="U1909" t="s">
        <v>51</v>
      </c>
      <c r="V1909" t="s">
        <v>52</v>
      </c>
      <c r="W1909" t="s">
        <v>135</v>
      </c>
      <c r="X1909" t="s">
        <v>54</v>
      </c>
      <c r="Z1909">
        <v>0</v>
      </c>
      <c r="AA1909" t="s">
        <v>9165</v>
      </c>
      <c r="AB1909" t="s">
        <v>9164</v>
      </c>
      <c r="AC1909" t="s">
        <v>9148</v>
      </c>
      <c r="AD1909" t="s">
        <v>9140</v>
      </c>
      <c r="AE1909" t="s">
        <v>9140</v>
      </c>
      <c r="AF1909" t="s">
        <v>52</v>
      </c>
      <c r="AG1909" t="s">
        <v>54</v>
      </c>
      <c r="AH1909" t="s">
        <v>9141</v>
      </c>
      <c r="AI1909" t="s">
        <v>9191</v>
      </c>
      <c r="AJ1909" t="s">
        <v>9143</v>
      </c>
      <c r="AK1909" t="s">
        <v>9141</v>
      </c>
      <c r="AL1909" t="s">
        <v>9191</v>
      </c>
      <c r="AM1909" t="s">
        <v>9141</v>
      </c>
      <c r="AN1909" t="s">
        <v>9192</v>
      </c>
    </row>
    <row r="1910" spans="1:40" x14ac:dyDescent="0.25">
      <c r="A1910" t="s">
        <v>460</v>
      </c>
      <c r="B1910" s="1">
        <v>12230016806</v>
      </c>
      <c r="C1910" t="s">
        <v>39</v>
      </c>
      <c r="D1910" t="s">
        <v>461</v>
      </c>
      <c r="E1910" t="s">
        <v>462</v>
      </c>
      <c r="F1910" s="2">
        <v>45135</v>
      </c>
      <c r="G1910" s="3">
        <v>0.5</v>
      </c>
      <c r="H1910" t="s">
        <v>463</v>
      </c>
      <c r="I1910" s="4">
        <v>2014</v>
      </c>
      <c r="J1910" t="s">
        <v>464</v>
      </c>
      <c r="K1910" t="s">
        <v>455</v>
      </c>
      <c r="L1910" t="s">
        <v>465</v>
      </c>
      <c r="M1910" t="s">
        <v>28</v>
      </c>
      <c r="N1910" t="s">
        <v>372</v>
      </c>
      <c r="O1910" t="s">
        <v>191</v>
      </c>
      <c r="P1910" t="s">
        <v>48</v>
      </c>
      <c r="Q1910">
        <v>35</v>
      </c>
      <c r="R1910" t="b">
        <v>0</v>
      </c>
      <c r="S1910" t="s">
        <v>49</v>
      </c>
      <c r="T1910" t="s">
        <v>89</v>
      </c>
      <c r="U1910" t="s">
        <v>148</v>
      </c>
      <c r="V1910" t="s">
        <v>52</v>
      </c>
      <c r="W1910" t="s">
        <v>135</v>
      </c>
      <c r="X1910" t="s">
        <v>54</v>
      </c>
      <c r="Z1910" t="s">
        <v>48</v>
      </c>
      <c r="AA1910" t="s">
        <v>9165</v>
      </c>
      <c r="AB1910" t="s">
        <v>9164</v>
      </c>
      <c r="AC1910" t="s">
        <v>9139</v>
      </c>
      <c r="AD1910" t="s">
        <v>28</v>
      </c>
      <c r="AE1910" t="s">
        <v>372</v>
      </c>
      <c r="AF1910" t="s">
        <v>52</v>
      </c>
      <c r="AG1910" t="s">
        <v>54</v>
      </c>
      <c r="AH1910" t="s">
        <v>9141</v>
      </c>
      <c r="AI1910" t="s">
        <v>9175</v>
      </c>
      <c r="AJ1910" t="s">
        <v>9143</v>
      </c>
      <c r="AK1910" t="s">
        <v>9141</v>
      </c>
      <c r="AL1910" t="s">
        <v>9175</v>
      </c>
      <c r="AM1910" t="s">
        <v>9141</v>
      </c>
      <c r="AN1910" t="s">
        <v>9176</v>
      </c>
    </row>
    <row r="1911" spans="1:40" x14ac:dyDescent="0.25">
      <c r="A1911" t="s">
        <v>2768</v>
      </c>
      <c r="B1911" s="1" t="s">
        <v>2769</v>
      </c>
      <c r="C1911" t="s">
        <v>39</v>
      </c>
      <c r="D1911" t="s">
        <v>2770</v>
      </c>
      <c r="E1911" t="s">
        <v>2771</v>
      </c>
      <c r="F1911" s="2">
        <v>45135</v>
      </c>
      <c r="G1911" s="3">
        <v>0.64930555555555558</v>
      </c>
      <c r="H1911" t="s">
        <v>2227</v>
      </c>
      <c r="I1911" s="4" t="s">
        <v>2715</v>
      </c>
      <c r="J1911" t="s">
        <v>1200</v>
      </c>
      <c r="K1911" t="s">
        <v>2772</v>
      </c>
      <c r="L1911" t="s">
        <v>2773</v>
      </c>
      <c r="M1911" t="s">
        <v>28</v>
      </c>
      <c r="N1911" t="s">
        <v>372</v>
      </c>
      <c r="O1911" t="s">
        <v>156</v>
      </c>
      <c r="P1911" t="s">
        <v>48</v>
      </c>
      <c r="Q1911">
        <v>17</v>
      </c>
      <c r="R1911" t="b">
        <v>0</v>
      </c>
      <c r="S1911" t="s">
        <v>49</v>
      </c>
      <c r="T1911" t="s">
        <v>89</v>
      </c>
      <c r="U1911" t="s">
        <v>1081</v>
      </c>
      <c r="V1911" t="s">
        <v>123</v>
      </c>
      <c r="W1911" t="s">
        <v>124</v>
      </c>
      <c r="X1911" t="s">
        <v>54</v>
      </c>
      <c r="Z1911" t="s">
        <v>48</v>
      </c>
      <c r="AA1911" t="s">
        <v>9165</v>
      </c>
      <c r="AB1911" t="s">
        <v>9164</v>
      </c>
      <c r="AC1911" t="s">
        <v>9139</v>
      </c>
      <c r="AD1911" t="s">
        <v>28</v>
      </c>
      <c r="AE1911" t="s">
        <v>372</v>
      </c>
      <c r="AF1911" t="s">
        <v>123</v>
      </c>
      <c r="AG1911" t="s">
        <v>54</v>
      </c>
      <c r="AH1911" t="s">
        <v>9194</v>
      </c>
      <c r="AI1911" t="s">
        <v>9187</v>
      </c>
      <c r="AJ1911" t="s">
        <v>9143</v>
      </c>
      <c r="AK1911" t="s">
        <v>9194</v>
      </c>
      <c r="AL1911" t="s">
        <v>9209</v>
      </c>
      <c r="AM1911" t="s">
        <v>9194</v>
      </c>
      <c r="AN1911" t="s">
        <v>9210</v>
      </c>
    </row>
    <row r="1912" spans="1:40" x14ac:dyDescent="0.25">
      <c r="A1912" t="s">
        <v>2356</v>
      </c>
      <c r="C1912" t="s">
        <v>39</v>
      </c>
      <c r="D1912" t="s">
        <v>2326</v>
      </c>
      <c r="E1912" t="s">
        <v>2327</v>
      </c>
      <c r="F1912" s="2">
        <v>45135</v>
      </c>
      <c r="G1912" s="3">
        <v>0.66666666666666663</v>
      </c>
      <c r="H1912" t="s">
        <v>1939</v>
      </c>
      <c r="I1912" s="4" t="s">
        <v>2322</v>
      </c>
      <c r="J1912" t="s">
        <v>1037</v>
      </c>
      <c r="K1912" t="s">
        <v>2357</v>
      </c>
      <c r="L1912" t="s">
        <v>2358</v>
      </c>
      <c r="M1912" t="s">
        <v>46</v>
      </c>
      <c r="O1912" t="s">
        <v>47</v>
      </c>
      <c r="P1912" t="s">
        <v>48</v>
      </c>
      <c r="Q1912">
        <v>0</v>
      </c>
      <c r="R1912" t="b">
        <v>0</v>
      </c>
      <c r="S1912" t="s">
        <v>61</v>
      </c>
      <c r="T1912" t="s">
        <v>89</v>
      </c>
      <c r="U1912" t="s">
        <v>148</v>
      </c>
      <c r="V1912" t="s">
        <v>52</v>
      </c>
      <c r="W1912" t="s">
        <v>255</v>
      </c>
      <c r="X1912" t="s">
        <v>54</v>
      </c>
      <c r="Z1912">
        <v>0</v>
      </c>
      <c r="AA1912" t="s">
        <v>9165</v>
      </c>
      <c r="AB1912" t="s">
        <v>9164</v>
      </c>
      <c r="AC1912" t="s">
        <v>9148</v>
      </c>
      <c r="AD1912" t="s">
        <v>9140</v>
      </c>
      <c r="AE1912" t="s">
        <v>9140</v>
      </c>
      <c r="AF1912" t="s">
        <v>52</v>
      </c>
      <c r="AG1912" t="s">
        <v>54</v>
      </c>
      <c r="AH1912" t="s">
        <v>9194</v>
      </c>
      <c r="AI1912" t="s">
        <v>9175</v>
      </c>
      <c r="AJ1912" t="s">
        <v>9143</v>
      </c>
      <c r="AK1912" t="s">
        <v>9194</v>
      </c>
      <c r="AL1912" t="s">
        <v>9195</v>
      </c>
      <c r="AM1912" t="s">
        <v>9194</v>
      </c>
      <c r="AN1912" t="s">
        <v>9196</v>
      </c>
    </row>
    <row r="1913" spans="1:40" x14ac:dyDescent="0.25">
      <c r="A1913" t="s">
        <v>6368</v>
      </c>
      <c r="C1913" t="s">
        <v>39</v>
      </c>
      <c r="D1913" t="s">
        <v>6281</v>
      </c>
      <c r="E1913" t="s">
        <v>6282</v>
      </c>
      <c r="F1913" s="2">
        <v>45135</v>
      </c>
      <c r="G1913" s="3">
        <v>0.34375</v>
      </c>
      <c r="H1913" t="s">
        <v>4019</v>
      </c>
      <c r="I1913" s="4" t="s">
        <v>6277</v>
      </c>
      <c r="J1913" t="s">
        <v>988</v>
      </c>
      <c r="K1913" t="s">
        <v>6369</v>
      </c>
      <c r="L1913" t="s">
        <v>6370</v>
      </c>
      <c r="M1913" t="s">
        <v>46</v>
      </c>
      <c r="O1913" t="s">
        <v>47</v>
      </c>
      <c r="P1913" t="s">
        <v>48</v>
      </c>
      <c r="Q1913">
        <v>0</v>
      </c>
      <c r="R1913" t="b">
        <v>0</v>
      </c>
      <c r="S1913" t="s">
        <v>61</v>
      </c>
      <c r="T1913" t="s">
        <v>89</v>
      </c>
      <c r="U1913" t="s">
        <v>301</v>
      </c>
      <c r="V1913" t="s">
        <v>123</v>
      </c>
      <c r="W1913" t="s">
        <v>124</v>
      </c>
      <c r="X1913" t="s">
        <v>978</v>
      </c>
      <c r="Z1913">
        <v>0</v>
      </c>
      <c r="AA1913" t="s">
        <v>9165</v>
      </c>
      <c r="AB1913" t="s">
        <v>9164</v>
      </c>
      <c r="AC1913" t="s">
        <v>9148</v>
      </c>
      <c r="AD1913" t="s">
        <v>9140</v>
      </c>
      <c r="AE1913" t="s">
        <v>9140</v>
      </c>
      <c r="AF1913" t="s">
        <v>123</v>
      </c>
      <c r="AG1913" t="s">
        <v>978</v>
      </c>
      <c r="AH1913" t="s">
        <v>9220</v>
      </c>
      <c r="AI1913" t="s">
        <v>9175</v>
      </c>
      <c r="AJ1913" t="s">
        <v>9143</v>
      </c>
      <c r="AK1913" t="s">
        <v>9221</v>
      </c>
      <c r="AL1913" t="s">
        <v>9222</v>
      </c>
      <c r="AM1913" t="s">
        <v>9221</v>
      </c>
      <c r="AN1913" t="s">
        <v>9223</v>
      </c>
    </row>
    <row r="1914" spans="1:40" x14ac:dyDescent="0.25">
      <c r="A1914" t="s">
        <v>4213</v>
      </c>
      <c r="C1914" t="s">
        <v>39</v>
      </c>
      <c r="D1914" t="s">
        <v>4214</v>
      </c>
      <c r="E1914" t="s">
        <v>4215</v>
      </c>
      <c r="F1914" s="2">
        <v>45134</v>
      </c>
      <c r="G1914" s="3">
        <v>0.76041666666666663</v>
      </c>
      <c r="H1914" t="s">
        <v>4019</v>
      </c>
      <c r="I1914" s="4" t="s">
        <v>4193</v>
      </c>
      <c r="J1914" t="s">
        <v>4194</v>
      </c>
      <c r="K1914" t="s">
        <v>4216</v>
      </c>
      <c r="L1914" t="s">
        <v>4217</v>
      </c>
      <c r="M1914" t="s">
        <v>46</v>
      </c>
      <c r="O1914" t="s">
        <v>47</v>
      </c>
      <c r="P1914" t="s">
        <v>48</v>
      </c>
      <c r="Q1914">
        <v>0</v>
      </c>
      <c r="R1914" t="b">
        <v>0</v>
      </c>
      <c r="S1914" t="s">
        <v>61</v>
      </c>
      <c r="T1914" t="s">
        <v>89</v>
      </c>
      <c r="U1914" t="s">
        <v>2065</v>
      </c>
      <c r="V1914" t="s">
        <v>63</v>
      </c>
      <c r="W1914" t="s">
        <v>198</v>
      </c>
      <c r="X1914" t="s">
        <v>98</v>
      </c>
      <c r="Z1914">
        <v>0</v>
      </c>
      <c r="AA1914" t="s">
        <v>9165</v>
      </c>
      <c r="AB1914" t="s">
        <v>9164</v>
      </c>
      <c r="AC1914" t="s">
        <v>9148</v>
      </c>
      <c r="AD1914" t="s">
        <v>9140</v>
      </c>
      <c r="AE1914" t="s">
        <v>9140</v>
      </c>
      <c r="AF1914" t="s">
        <v>63</v>
      </c>
      <c r="AG1914" t="s">
        <v>98</v>
      </c>
      <c r="AH1914" t="s">
        <v>9220</v>
      </c>
      <c r="AI1914" t="s">
        <v>9175</v>
      </c>
      <c r="AJ1914" t="s">
        <v>9143</v>
      </c>
      <c r="AK1914" t="s">
        <v>9221</v>
      </c>
      <c r="AL1914" t="s">
        <v>9224</v>
      </c>
      <c r="AM1914" t="s">
        <v>9221</v>
      </c>
      <c r="AN1914" t="s">
        <v>9225</v>
      </c>
    </row>
    <row r="1915" spans="1:40" x14ac:dyDescent="0.25">
      <c r="A1915" t="s">
        <v>9122</v>
      </c>
      <c r="C1915" t="s">
        <v>39</v>
      </c>
      <c r="D1915" t="s">
        <v>9037</v>
      </c>
      <c r="E1915" t="s">
        <v>9038</v>
      </c>
      <c r="F1915" s="2">
        <v>45134</v>
      </c>
      <c r="G1915" s="3">
        <v>0.52847222222222223</v>
      </c>
      <c r="H1915" t="s">
        <v>4019</v>
      </c>
      <c r="I1915" s="4" t="s">
        <v>8971</v>
      </c>
      <c r="J1915" t="s">
        <v>8972</v>
      </c>
      <c r="K1915" t="s">
        <v>9123</v>
      </c>
      <c r="L1915" t="s">
        <v>9124</v>
      </c>
      <c r="M1915" t="s">
        <v>46</v>
      </c>
      <c r="O1915" t="s">
        <v>47</v>
      </c>
      <c r="P1915" t="s">
        <v>48</v>
      </c>
      <c r="Q1915">
        <v>0</v>
      </c>
      <c r="R1915" t="b">
        <v>0</v>
      </c>
      <c r="S1915" t="s">
        <v>61</v>
      </c>
      <c r="T1915" t="s">
        <v>89</v>
      </c>
      <c r="U1915" t="s">
        <v>90</v>
      </c>
      <c r="V1915" t="s">
        <v>123</v>
      </c>
      <c r="W1915" t="s">
        <v>124</v>
      </c>
      <c r="X1915" t="s">
        <v>54</v>
      </c>
      <c r="Z1915">
        <v>0</v>
      </c>
      <c r="AA1915" t="s">
        <v>9165</v>
      </c>
      <c r="AB1915" t="s">
        <v>9164</v>
      </c>
      <c r="AC1915" t="s">
        <v>9148</v>
      </c>
      <c r="AD1915" t="s">
        <v>9140</v>
      </c>
      <c r="AE1915" t="s">
        <v>9140</v>
      </c>
      <c r="AF1915" t="s">
        <v>123</v>
      </c>
      <c r="AG1915" t="s">
        <v>54</v>
      </c>
      <c r="AH1915" t="s">
        <v>9220</v>
      </c>
      <c r="AI1915" t="s">
        <v>9175</v>
      </c>
      <c r="AJ1915" t="s">
        <v>9181</v>
      </c>
      <c r="AK1915" t="s">
        <v>9182</v>
      </c>
      <c r="AL1915" t="s">
        <v>9182</v>
      </c>
      <c r="AM1915" t="s">
        <v>9182</v>
      </c>
      <c r="AN1915" t="s">
        <v>9182</v>
      </c>
    </row>
    <row r="1916" spans="1:40" x14ac:dyDescent="0.25">
      <c r="A1916" t="s">
        <v>5114</v>
      </c>
      <c r="C1916" t="s">
        <v>39</v>
      </c>
      <c r="D1916" t="s">
        <v>5115</v>
      </c>
      <c r="E1916" t="s">
        <v>5116</v>
      </c>
      <c r="F1916" s="2">
        <v>45134</v>
      </c>
      <c r="G1916" s="3">
        <v>0.71111111111111114</v>
      </c>
      <c r="H1916" t="s">
        <v>4910</v>
      </c>
      <c r="I1916" s="4" t="s">
        <v>5077</v>
      </c>
      <c r="J1916" t="s">
        <v>2140</v>
      </c>
      <c r="K1916" t="s">
        <v>3619</v>
      </c>
      <c r="L1916" t="s">
        <v>5117</v>
      </c>
      <c r="M1916" t="s">
        <v>46</v>
      </c>
      <c r="O1916" t="s">
        <v>47</v>
      </c>
      <c r="P1916" t="s">
        <v>48</v>
      </c>
      <c r="Q1916">
        <v>0</v>
      </c>
      <c r="R1916" t="b">
        <v>0</v>
      </c>
      <c r="S1916" t="s">
        <v>49</v>
      </c>
      <c r="T1916" t="s">
        <v>479</v>
      </c>
      <c r="U1916" t="s">
        <v>71</v>
      </c>
      <c r="V1916" t="s">
        <v>63</v>
      </c>
      <c r="W1916" t="s">
        <v>198</v>
      </c>
      <c r="X1916" t="s">
        <v>98</v>
      </c>
      <c r="Z1916">
        <v>0</v>
      </c>
      <c r="AA1916" t="s">
        <v>9165</v>
      </c>
      <c r="AB1916" t="s">
        <v>9164</v>
      </c>
      <c r="AC1916" t="s">
        <v>9139</v>
      </c>
      <c r="AD1916" t="s">
        <v>9140</v>
      </c>
      <c r="AE1916" t="s">
        <v>9140</v>
      </c>
      <c r="AF1916" t="s">
        <v>63</v>
      </c>
      <c r="AG1916" t="s">
        <v>98</v>
      </c>
      <c r="AH1916" t="s">
        <v>9220</v>
      </c>
      <c r="AI1916" t="s">
        <v>9191</v>
      </c>
      <c r="AJ1916" t="s">
        <v>9143</v>
      </c>
      <c r="AK1916" t="s">
        <v>9221</v>
      </c>
      <c r="AL1916" t="s">
        <v>9226</v>
      </c>
      <c r="AM1916" t="s">
        <v>9221</v>
      </c>
      <c r="AN1916" t="s">
        <v>9227</v>
      </c>
    </row>
    <row r="1917" spans="1:40" x14ac:dyDescent="0.25">
      <c r="A1917" t="s">
        <v>6767</v>
      </c>
      <c r="C1917" t="s">
        <v>39</v>
      </c>
      <c r="D1917" t="s">
        <v>6768</v>
      </c>
      <c r="E1917" t="s">
        <v>6769</v>
      </c>
      <c r="F1917" s="2">
        <v>45134</v>
      </c>
      <c r="G1917" s="3">
        <v>0.55208333333333337</v>
      </c>
      <c r="H1917" t="s">
        <v>4516</v>
      </c>
      <c r="I1917" s="4" t="s">
        <v>6736</v>
      </c>
      <c r="J1917" t="s">
        <v>6737</v>
      </c>
      <c r="K1917" t="s">
        <v>5771</v>
      </c>
      <c r="L1917" t="s">
        <v>6770</v>
      </c>
      <c r="M1917" t="s">
        <v>46</v>
      </c>
      <c r="O1917" t="s">
        <v>47</v>
      </c>
      <c r="P1917" t="s">
        <v>48</v>
      </c>
      <c r="Q1917">
        <v>0</v>
      </c>
      <c r="R1917" t="b">
        <v>0</v>
      </c>
      <c r="S1917" t="s">
        <v>49</v>
      </c>
      <c r="T1917" t="s">
        <v>50</v>
      </c>
      <c r="U1917" t="s">
        <v>218</v>
      </c>
      <c r="V1917" t="s">
        <v>63</v>
      </c>
      <c r="W1917" t="s">
        <v>108</v>
      </c>
      <c r="X1917" t="s">
        <v>54</v>
      </c>
      <c r="Z1917">
        <v>0</v>
      </c>
      <c r="AA1917" t="s">
        <v>9165</v>
      </c>
      <c r="AB1917" t="s">
        <v>9164</v>
      </c>
      <c r="AC1917" t="s">
        <v>9139</v>
      </c>
      <c r="AD1917" t="s">
        <v>9140</v>
      </c>
      <c r="AE1917" t="s">
        <v>9140</v>
      </c>
      <c r="AF1917" t="s">
        <v>63</v>
      </c>
      <c r="AG1917" t="s">
        <v>54</v>
      </c>
      <c r="AH1917" t="s">
        <v>9220</v>
      </c>
      <c r="AI1917" t="s">
        <v>9188</v>
      </c>
      <c r="AJ1917" t="s">
        <v>9143</v>
      </c>
      <c r="AK1917" t="s">
        <v>9221</v>
      </c>
      <c r="AL1917" t="s">
        <v>9232</v>
      </c>
      <c r="AM1917" t="s">
        <v>9221</v>
      </c>
      <c r="AN1917" t="s">
        <v>9233</v>
      </c>
    </row>
    <row r="1918" spans="1:40" x14ac:dyDescent="0.25">
      <c r="A1918" t="s">
        <v>2496</v>
      </c>
      <c r="C1918" t="s">
        <v>39</v>
      </c>
      <c r="D1918" t="s">
        <v>2320</v>
      </c>
      <c r="E1918" t="s">
        <v>2321</v>
      </c>
      <c r="F1918" s="2">
        <v>45134</v>
      </c>
      <c r="G1918" s="3">
        <v>0.54166666666666663</v>
      </c>
      <c r="H1918" t="s">
        <v>1939</v>
      </c>
      <c r="I1918" s="4" t="s">
        <v>2393</v>
      </c>
      <c r="J1918" t="s">
        <v>2394</v>
      </c>
      <c r="K1918" t="s">
        <v>2497</v>
      </c>
      <c r="L1918" t="s">
        <v>2498</v>
      </c>
      <c r="M1918" t="s">
        <v>46</v>
      </c>
      <c r="O1918" t="s">
        <v>47</v>
      </c>
      <c r="P1918" t="s">
        <v>48</v>
      </c>
      <c r="Q1918">
        <v>0</v>
      </c>
      <c r="R1918" t="b">
        <v>0</v>
      </c>
      <c r="S1918" t="s">
        <v>49</v>
      </c>
      <c r="T1918" t="s">
        <v>70</v>
      </c>
      <c r="U1918" t="s">
        <v>71</v>
      </c>
      <c r="V1918" t="s">
        <v>72</v>
      </c>
      <c r="W1918" t="s">
        <v>2410</v>
      </c>
      <c r="X1918" t="s">
        <v>54</v>
      </c>
      <c r="Z1918">
        <v>0</v>
      </c>
      <c r="AA1918" t="s">
        <v>9165</v>
      </c>
      <c r="AB1918" t="s">
        <v>9164</v>
      </c>
      <c r="AC1918" t="s">
        <v>9139</v>
      </c>
      <c r="AD1918" t="s">
        <v>9140</v>
      </c>
      <c r="AE1918" t="s">
        <v>9140</v>
      </c>
      <c r="AF1918" t="s">
        <v>72</v>
      </c>
      <c r="AG1918" t="s">
        <v>54</v>
      </c>
      <c r="AH1918" t="s">
        <v>9194</v>
      </c>
      <c r="AI1918" t="s">
        <v>9175</v>
      </c>
      <c r="AJ1918" t="s">
        <v>9143</v>
      </c>
      <c r="AK1918" t="s">
        <v>9194</v>
      </c>
      <c r="AL1918" t="s">
        <v>9195</v>
      </c>
      <c r="AM1918" t="s">
        <v>9194</v>
      </c>
      <c r="AN1918" t="s">
        <v>9196</v>
      </c>
    </row>
    <row r="1919" spans="1:40" x14ac:dyDescent="0.25">
      <c r="A1919" t="s">
        <v>3648</v>
      </c>
      <c r="C1919" t="s">
        <v>39</v>
      </c>
      <c r="D1919" t="s">
        <v>3649</v>
      </c>
      <c r="E1919" t="s">
        <v>3650</v>
      </c>
      <c r="F1919" s="2">
        <v>45133</v>
      </c>
      <c r="G1919" s="3">
        <v>0.61805555555555558</v>
      </c>
      <c r="H1919" t="s">
        <v>2017</v>
      </c>
      <c r="I1919" s="4" t="s">
        <v>3644</v>
      </c>
      <c r="J1919" t="s">
        <v>3645</v>
      </c>
      <c r="K1919" t="s">
        <v>3651</v>
      </c>
      <c r="L1919" t="s">
        <v>3652</v>
      </c>
      <c r="M1919" t="s">
        <v>46</v>
      </c>
      <c r="O1919" t="s">
        <v>47</v>
      </c>
      <c r="P1919" t="s">
        <v>48</v>
      </c>
      <c r="Q1919">
        <v>0</v>
      </c>
      <c r="R1919" t="b">
        <v>0</v>
      </c>
      <c r="S1919" t="s">
        <v>114</v>
      </c>
      <c r="T1919" t="s">
        <v>70</v>
      </c>
      <c r="U1919" t="s">
        <v>80</v>
      </c>
      <c r="V1919" t="s">
        <v>63</v>
      </c>
      <c r="W1919" t="s">
        <v>198</v>
      </c>
      <c r="X1919" t="s">
        <v>54</v>
      </c>
      <c r="Z1919">
        <v>0</v>
      </c>
      <c r="AA1919" t="s">
        <v>9165</v>
      </c>
      <c r="AB1919" t="s">
        <v>9164</v>
      </c>
      <c r="AC1919" t="s">
        <v>9157</v>
      </c>
      <c r="AD1919" t="s">
        <v>9140</v>
      </c>
      <c r="AE1919" t="s">
        <v>9140</v>
      </c>
      <c r="AF1919" t="s">
        <v>63</v>
      </c>
      <c r="AG1919" t="s">
        <v>54</v>
      </c>
      <c r="AH1919" t="s">
        <v>9194</v>
      </c>
      <c r="AI1919" t="s">
        <v>9199</v>
      </c>
      <c r="AJ1919" t="s">
        <v>9143</v>
      </c>
      <c r="AK1919" t="s">
        <v>9194</v>
      </c>
      <c r="AL1919" t="s">
        <v>9199</v>
      </c>
      <c r="AM1919" t="s">
        <v>9194</v>
      </c>
      <c r="AN1919" t="s">
        <v>9200</v>
      </c>
    </row>
    <row r="1920" spans="1:40" x14ac:dyDescent="0.25">
      <c r="A1920" t="s">
        <v>2314</v>
      </c>
      <c r="C1920" t="s">
        <v>39</v>
      </c>
      <c r="D1920" t="s">
        <v>2315</v>
      </c>
      <c r="E1920" t="s">
        <v>2316</v>
      </c>
      <c r="F1920" s="2">
        <v>45133</v>
      </c>
      <c r="G1920" s="3">
        <v>0.48958333333333331</v>
      </c>
      <c r="H1920" t="s">
        <v>2095</v>
      </c>
      <c r="I1920" s="4" t="s">
        <v>2271</v>
      </c>
      <c r="J1920" t="s">
        <v>2272</v>
      </c>
      <c r="K1920" t="s">
        <v>2317</v>
      </c>
      <c r="L1920" t="s">
        <v>2318</v>
      </c>
      <c r="M1920" t="s">
        <v>46</v>
      </c>
      <c r="O1920" t="s">
        <v>47</v>
      </c>
      <c r="P1920" t="s">
        <v>48</v>
      </c>
      <c r="Q1920">
        <v>0</v>
      </c>
      <c r="R1920" t="b">
        <v>0</v>
      </c>
      <c r="S1920" t="s">
        <v>49</v>
      </c>
      <c r="T1920" t="s">
        <v>70</v>
      </c>
      <c r="U1920" t="s">
        <v>1918</v>
      </c>
      <c r="V1920" t="s">
        <v>123</v>
      </c>
      <c r="W1920" t="s">
        <v>124</v>
      </c>
      <c r="X1920" t="s">
        <v>978</v>
      </c>
      <c r="Z1920">
        <v>0</v>
      </c>
      <c r="AA1920" t="s">
        <v>9165</v>
      </c>
      <c r="AB1920" t="s">
        <v>9164</v>
      </c>
      <c r="AC1920" t="s">
        <v>9139</v>
      </c>
      <c r="AD1920" t="s">
        <v>9140</v>
      </c>
      <c r="AE1920" t="s">
        <v>9140</v>
      </c>
      <c r="AF1920" t="s">
        <v>123</v>
      </c>
      <c r="AG1920" t="s">
        <v>978</v>
      </c>
      <c r="AH1920" t="s">
        <v>9194</v>
      </c>
      <c r="AI1920" t="s">
        <v>9188</v>
      </c>
      <c r="AJ1920" t="s">
        <v>9143</v>
      </c>
      <c r="AK1920" t="s">
        <v>9194</v>
      </c>
      <c r="AL1920" t="s">
        <v>9203</v>
      </c>
      <c r="AM1920" t="s">
        <v>9194</v>
      </c>
      <c r="AN1920" t="s">
        <v>9204</v>
      </c>
    </row>
    <row r="1921" spans="1:40" x14ac:dyDescent="0.25">
      <c r="A1921" t="s">
        <v>5250</v>
      </c>
      <c r="C1921" t="s">
        <v>39</v>
      </c>
      <c r="D1921" t="s">
        <v>5219</v>
      </c>
      <c r="E1921" t="s">
        <v>5220</v>
      </c>
      <c r="F1921" s="2">
        <v>45133</v>
      </c>
      <c r="G1921" s="3">
        <v>0.68194444444444446</v>
      </c>
      <c r="H1921" t="s">
        <v>4516</v>
      </c>
      <c r="I1921" s="4" t="s">
        <v>5215</v>
      </c>
      <c r="J1921" t="s">
        <v>5216</v>
      </c>
      <c r="K1921" t="s">
        <v>3361</v>
      </c>
      <c r="L1921" t="s">
        <v>5251</v>
      </c>
      <c r="M1921" t="s">
        <v>46</v>
      </c>
      <c r="O1921" t="s">
        <v>47</v>
      </c>
      <c r="P1921" t="s">
        <v>48</v>
      </c>
      <c r="Q1921">
        <v>0</v>
      </c>
      <c r="R1921" t="b">
        <v>0</v>
      </c>
      <c r="S1921" t="s">
        <v>61</v>
      </c>
      <c r="T1921" t="s">
        <v>479</v>
      </c>
      <c r="U1921" t="s">
        <v>148</v>
      </c>
      <c r="V1921" t="s">
        <v>52</v>
      </c>
      <c r="W1921" t="s">
        <v>53</v>
      </c>
      <c r="X1921" t="s">
        <v>54</v>
      </c>
      <c r="Z1921">
        <v>0</v>
      </c>
      <c r="AA1921" t="s">
        <v>9165</v>
      </c>
      <c r="AB1921" t="s">
        <v>9164</v>
      </c>
      <c r="AC1921" t="s">
        <v>9148</v>
      </c>
      <c r="AD1921" t="s">
        <v>9140</v>
      </c>
      <c r="AE1921" t="s">
        <v>9140</v>
      </c>
      <c r="AF1921" t="s">
        <v>52</v>
      </c>
      <c r="AG1921" t="s">
        <v>54</v>
      </c>
      <c r="AH1921" t="s">
        <v>9220</v>
      </c>
      <c r="AI1921" t="s">
        <v>9188</v>
      </c>
      <c r="AJ1921" t="s">
        <v>9143</v>
      </c>
      <c r="AK1921" t="s">
        <v>9221</v>
      </c>
      <c r="AL1921" t="s">
        <v>9232</v>
      </c>
      <c r="AM1921" t="s">
        <v>9221</v>
      </c>
      <c r="AN1921" t="s">
        <v>9233</v>
      </c>
    </row>
    <row r="1922" spans="1:40" x14ac:dyDescent="0.25">
      <c r="A1922" t="s">
        <v>9125</v>
      </c>
      <c r="C1922" t="s">
        <v>39</v>
      </c>
      <c r="D1922" t="s">
        <v>9126</v>
      </c>
      <c r="E1922" t="s">
        <v>9127</v>
      </c>
      <c r="F1922" s="2">
        <v>45133</v>
      </c>
      <c r="G1922" s="3">
        <v>0.33333333333333331</v>
      </c>
      <c r="H1922" t="s">
        <v>4019</v>
      </c>
      <c r="I1922" s="4" t="s">
        <v>8971</v>
      </c>
      <c r="J1922" t="s">
        <v>8972</v>
      </c>
      <c r="K1922" t="s">
        <v>9128</v>
      </c>
      <c r="L1922" t="s">
        <v>9129</v>
      </c>
      <c r="M1922" t="s">
        <v>46</v>
      </c>
      <c r="O1922" t="s">
        <v>47</v>
      </c>
      <c r="P1922" t="s">
        <v>48</v>
      </c>
      <c r="Q1922">
        <v>0</v>
      </c>
      <c r="R1922" t="b">
        <v>0</v>
      </c>
      <c r="S1922" t="s">
        <v>61</v>
      </c>
      <c r="T1922" t="s">
        <v>89</v>
      </c>
      <c r="U1922" t="s">
        <v>165</v>
      </c>
      <c r="V1922" t="s">
        <v>63</v>
      </c>
      <c r="W1922" t="s">
        <v>108</v>
      </c>
      <c r="X1922" t="s">
        <v>98</v>
      </c>
      <c r="Z1922">
        <v>0</v>
      </c>
      <c r="AA1922" t="s">
        <v>9165</v>
      </c>
      <c r="AB1922" t="s">
        <v>9164</v>
      </c>
      <c r="AC1922" t="s">
        <v>9148</v>
      </c>
      <c r="AD1922" t="s">
        <v>9140</v>
      </c>
      <c r="AE1922" t="s">
        <v>9140</v>
      </c>
      <c r="AF1922" t="s">
        <v>63</v>
      </c>
      <c r="AG1922" t="s">
        <v>98</v>
      </c>
      <c r="AH1922" t="s">
        <v>9220</v>
      </c>
      <c r="AI1922" t="s">
        <v>9175</v>
      </c>
      <c r="AJ1922" t="s">
        <v>9181</v>
      </c>
      <c r="AK1922" t="s">
        <v>9182</v>
      </c>
      <c r="AL1922" t="s">
        <v>9182</v>
      </c>
      <c r="AM1922" t="s">
        <v>9182</v>
      </c>
      <c r="AN1922" t="s">
        <v>9182</v>
      </c>
    </row>
    <row r="1923" spans="1:40" x14ac:dyDescent="0.25">
      <c r="A1923" t="s">
        <v>6061</v>
      </c>
      <c r="B1923" s="1" t="s">
        <v>6062</v>
      </c>
      <c r="C1923" t="s">
        <v>39</v>
      </c>
      <c r="D1923" t="s">
        <v>6063</v>
      </c>
      <c r="E1923" t="s">
        <v>6064</v>
      </c>
      <c r="F1923" s="2">
        <v>45133</v>
      </c>
      <c r="G1923" s="3">
        <v>0.45833333333333331</v>
      </c>
      <c r="H1923" t="s">
        <v>4242</v>
      </c>
      <c r="I1923" s="4" t="s">
        <v>5918</v>
      </c>
      <c r="J1923" t="s">
        <v>5919</v>
      </c>
      <c r="K1923" t="s">
        <v>6065</v>
      </c>
      <c r="L1923" t="s">
        <v>6066</v>
      </c>
      <c r="M1923" t="s">
        <v>28</v>
      </c>
      <c r="N1923" t="s">
        <v>183</v>
      </c>
      <c r="O1923" t="s">
        <v>174</v>
      </c>
      <c r="P1923" t="s">
        <v>48</v>
      </c>
      <c r="Q1923">
        <v>15</v>
      </c>
      <c r="R1923" t="b">
        <v>0</v>
      </c>
      <c r="S1923" t="s">
        <v>184</v>
      </c>
      <c r="T1923" t="s">
        <v>89</v>
      </c>
      <c r="U1923" t="s">
        <v>51</v>
      </c>
      <c r="V1923" t="s">
        <v>52</v>
      </c>
      <c r="W1923" t="s">
        <v>135</v>
      </c>
      <c r="X1923" t="s">
        <v>54</v>
      </c>
      <c r="Z1923" t="s">
        <v>48</v>
      </c>
      <c r="AA1923" t="s">
        <v>9165</v>
      </c>
      <c r="AB1923" t="s">
        <v>9164</v>
      </c>
      <c r="AC1923" t="s">
        <v>9166</v>
      </c>
      <c r="AD1923" t="s">
        <v>28</v>
      </c>
      <c r="AE1923" t="s">
        <v>183</v>
      </c>
      <c r="AF1923" t="s">
        <v>52</v>
      </c>
      <c r="AG1923" t="s">
        <v>54</v>
      </c>
      <c r="AH1923" t="s">
        <v>9220</v>
      </c>
      <c r="AI1923" t="s">
        <v>9187</v>
      </c>
      <c r="AJ1923" t="s">
        <v>9143</v>
      </c>
      <c r="AK1923" t="s">
        <v>9221</v>
      </c>
      <c r="AL1923" t="s">
        <v>9226</v>
      </c>
      <c r="AM1923" t="s">
        <v>9221</v>
      </c>
      <c r="AN1923" t="s">
        <v>9227</v>
      </c>
    </row>
    <row r="1924" spans="1:40" x14ac:dyDescent="0.25">
      <c r="A1924" t="s">
        <v>7904</v>
      </c>
      <c r="C1924" t="s">
        <v>39</v>
      </c>
      <c r="D1924" t="s">
        <v>7905</v>
      </c>
      <c r="E1924" t="s">
        <v>7906</v>
      </c>
      <c r="F1924" s="2">
        <v>45132</v>
      </c>
      <c r="G1924" s="3">
        <v>0.5</v>
      </c>
      <c r="H1924" t="s">
        <v>4659</v>
      </c>
      <c r="I1924" s="4" t="s">
        <v>7873</v>
      </c>
      <c r="J1924" t="s">
        <v>7874</v>
      </c>
      <c r="K1924" t="s">
        <v>7907</v>
      </c>
      <c r="L1924" t="s">
        <v>7908</v>
      </c>
      <c r="M1924" t="s">
        <v>46</v>
      </c>
      <c r="O1924" t="s">
        <v>47</v>
      </c>
      <c r="P1924" t="s">
        <v>48</v>
      </c>
      <c r="Q1924">
        <v>0</v>
      </c>
      <c r="R1924" t="b">
        <v>0</v>
      </c>
      <c r="S1924" t="s">
        <v>49</v>
      </c>
      <c r="T1924" t="s">
        <v>89</v>
      </c>
      <c r="V1924" t="s">
        <v>123</v>
      </c>
      <c r="W1924" t="s">
        <v>124</v>
      </c>
      <c r="X1924" t="s">
        <v>98</v>
      </c>
      <c r="Z1924">
        <v>0</v>
      </c>
      <c r="AA1924" t="s">
        <v>9165</v>
      </c>
      <c r="AB1924" t="s">
        <v>9164</v>
      </c>
      <c r="AC1924" t="s">
        <v>9139</v>
      </c>
      <c r="AD1924" t="s">
        <v>9140</v>
      </c>
      <c r="AE1924" t="s">
        <v>9140</v>
      </c>
      <c r="AF1924" t="s">
        <v>123</v>
      </c>
      <c r="AG1924" t="s">
        <v>98</v>
      </c>
      <c r="AH1924" t="s">
        <v>9220</v>
      </c>
      <c r="AI1924" t="s">
        <v>9142</v>
      </c>
      <c r="AJ1924" t="s">
        <v>9143</v>
      </c>
      <c r="AK1924" t="s">
        <v>9221</v>
      </c>
      <c r="AL1924" t="s">
        <v>9228</v>
      </c>
      <c r="AM1924" t="s">
        <v>9221</v>
      </c>
      <c r="AN1924" t="s">
        <v>9229</v>
      </c>
    </row>
    <row r="1925" spans="1:40" x14ac:dyDescent="0.25">
      <c r="A1925" t="s">
        <v>7015</v>
      </c>
      <c r="B1925" s="1">
        <v>6001622</v>
      </c>
      <c r="C1925" t="s">
        <v>39</v>
      </c>
      <c r="D1925" t="s">
        <v>7016</v>
      </c>
      <c r="E1925" t="s">
        <v>7017</v>
      </c>
      <c r="F1925" s="2">
        <v>45132</v>
      </c>
      <c r="G1925" s="3">
        <v>0.64583333333333337</v>
      </c>
      <c r="H1925" t="s">
        <v>4516</v>
      </c>
      <c r="I1925" s="4" t="s">
        <v>6985</v>
      </c>
      <c r="J1925" t="s">
        <v>3890</v>
      </c>
      <c r="K1925" t="s">
        <v>7018</v>
      </c>
      <c r="L1925" t="s">
        <v>7019</v>
      </c>
      <c r="M1925" t="s">
        <v>28</v>
      </c>
      <c r="N1925" t="s">
        <v>183</v>
      </c>
      <c r="O1925" t="s">
        <v>174</v>
      </c>
      <c r="P1925" t="s">
        <v>48</v>
      </c>
      <c r="Q1925">
        <v>15</v>
      </c>
      <c r="R1925" t="b">
        <v>0</v>
      </c>
      <c r="S1925" t="s">
        <v>184</v>
      </c>
      <c r="T1925" t="s">
        <v>479</v>
      </c>
      <c r="U1925" t="s">
        <v>2432</v>
      </c>
      <c r="V1925" t="s">
        <v>52</v>
      </c>
      <c r="W1925" t="s">
        <v>53</v>
      </c>
      <c r="X1925" t="s">
        <v>54</v>
      </c>
      <c r="Z1925" t="s">
        <v>48</v>
      </c>
      <c r="AA1925" t="s">
        <v>9165</v>
      </c>
      <c r="AB1925" t="s">
        <v>9164</v>
      </c>
      <c r="AC1925" t="s">
        <v>9166</v>
      </c>
      <c r="AD1925" t="s">
        <v>28</v>
      </c>
      <c r="AE1925" t="s">
        <v>183</v>
      </c>
      <c r="AF1925" t="s">
        <v>52</v>
      </c>
      <c r="AG1925" t="s">
        <v>54</v>
      </c>
      <c r="AH1925" t="s">
        <v>9220</v>
      </c>
      <c r="AI1925" t="s">
        <v>9188</v>
      </c>
      <c r="AJ1925" t="s">
        <v>9143</v>
      </c>
      <c r="AK1925" t="s">
        <v>9221</v>
      </c>
      <c r="AL1925" t="s">
        <v>9230</v>
      </c>
      <c r="AM1925" t="s">
        <v>9221</v>
      </c>
      <c r="AN1925" t="s">
        <v>9231</v>
      </c>
    </row>
    <row r="1926" spans="1:40" x14ac:dyDescent="0.25">
      <c r="A1926" t="s">
        <v>7530</v>
      </c>
      <c r="C1926" t="s">
        <v>39</v>
      </c>
      <c r="D1926" t="s">
        <v>7481</v>
      </c>
      <c r="E1926" t="s">
        <v>7482</v>
      </c>
      <c r="F1926" s="2">
        <v>45132</v>
      </c>
      <c r="G1926" s="3">
        <v>0.41805555555555557</v>
      </c>
      <c r="H1926" t="s">
        <v>4910</v>
      </c>
      <c r="I1926" s="4" t="s">
        <v>7457</v>
      </c>
      <c r="J1926" t="s">
        <v>2378</v>
      </c>
      <c r="K1926" t="s">
        <v>7531</v>
      </c>
      <c r="L1926" t="s">
        <v>7532</v>
      </c>
      <c r="M1926" t="s">
        <v>46</v>
      </c>
      <c r="O1926" t="s">
        <v>47</v>
      </c>
      <c r="P1926" t="s">
        <v>48</v>
      </c>
      <c r="Q1926">
        <v>0</v>
      </c>
      <c r="R1926" t="b">
        <v>0</v>
      </c>
      <c r="S1926" t="s">
        <v>49</v>
      </c>
      <c r="T1926" t="s">
        <v>70</v>
      </c>
      <c r="U1926" t="s">
        <v>71</v>
      </c>
      <c r="V1926" t="s">
        <v>72</v>
      </c>
      <c r="W1926" t="s">
        <v>73</v>
      </c>
      <c r="X1926" t="s">
        <v>54</v>
      </c>
      <c r="Y1926" t="s">
        <v>323</v>
      </c>
      <c r="Z1926">
        <v>0</v>
      </c>
      <c r="AA1926" t="s">
        <v>9165</v>
      </c>
      <c r="AB1926" t="s">
        <v>9164</v>
      </c>
      <c r="AC1926" t="s">
        <v>9139</v>
      </c>
      <c r="AD1926" t="s">
        <v>9140</v>
      </c>
      <c r="AE1926" t="s">
        <v>9140</v>
      </c>
      <c r="AF1926" t="s">
        <v>72</v>
      </c>
      <c r="AG1926" t="s">
        <v>54</v>
      </c>
      <c r="AH1926" t="s">
        <v>9220</v>
      </c>
      <c r="AI1926" t="s">
        <v>9191</v>
      </c>
      <c r="AJ1926" t="s">
        <v>9143</v>
      </c>
      <c r="AK1926" t="s">
        <v>9221</v>
      </c>
      <c r="AL1926" t="s">
        <v>9226</v>
      </c>
      <c r="AM1926" t="s">
        <v>9221</v>
      </c>
      <c r="AN1926" t="s">
        <v>9227</v>
      </c>
    </row>
    <row r="1927" spans="1:40" x14ac:dyDescent="0.25">
      <c r="A1927" t="s">
        <v>6592</v>
      </c>
      <c r="C1927" t="s">
        <v>39</v>
      </c>
      <c r="D1927" t="s">
        <v>6593</v>
      </c>
      <c r="E1927" t="s">
        <v>6594</v>
      </c>
      <c r="F1927" s="2">
        <v>45131</v>
      </c>
      <c r="G1927" s="3">
        <v>0.52083333333333337</v>
      </c>
      <c r="H1927" t="s">
        <v>4910</v>
      </c>
      <c r="I1927" s="4" t="s">
        <v>6561</v>
      </c>
      <c r="J1927" t="s">
        <v>1719</v>
      </c>
      <c r="K1927" t="s">
        <v>6007</v>
      </c>
      <c r="L1927" t="s">
        <v>6595</v>
      </c>
      <c r="M1927" t="s">
        <v>46</v>
      </c>
      <c r="O1927" t="s">
        <v>47</v>
      </c>
      <c r="P1927" t="s">
        <v>48</v>
      </c>
      <c r="Q1927">
        <v>0</v>
      </c>
      <c r="R1927" t="b">
        <v>0</v>
      </c>
      <c r="S1927" t="s">
        <v>49</v>
      </c>
      <c r="T1927" t="s">
        <v>70</v>
      </c>
      <c r="U1927" t="s">
        <v>71</v>
      </c>
      <c r="V1927" t="s">
        <v>72</v>
      </c>
      <c r="W1927" t="s">
        <v>73</v>
      </c>
      <c r="X1927" t="s">
        <v>98</v>
      </c>
      <c r="Z1927">
        <v>0</v>
      </c>
      <c r="AA1927" t="s">
        <v>9165</v>
      </c>
      <c r="AB1927" t="s">
        <v>9164</v>
      </c>
      <c r="AC1927" t="s">
        <v>9139</v>
      </c>
      <c r="AD1927" t="s">
        <v>9140</v>
      </c>
      <c r="AE1927" t="s">
        <v>9140</v>
      </c>
      <c r="AF1927" t="s">
        <v>72</v>
      </c>
      <c r="AG1927" t="s">
        <v>98</v>
      </c>
      <c r="AH1927" t="s">
        <v>9220</v>
      </c>
      <c r="AI1927" t="s">
        <v>9191</v>
      </c>
      <c r="AJ1927" t="s">
        <v>9143</v>
      </c>
      <c r="AK1927" t="s">
        <v>9221</v>
      </c>
      <c r="AL1927" t="s">
        <v>9226</v>
      </c>
      <c r="AM1927" t="s">
        <v>9221</v>
      </c>
      <c r="AN1927" t="s">
        <v>9227</v>
      </c>
    </row>
    <row r="1928" spans="1:40" x14ac:dyDescent="0.25">
      <c r="A1928" t="s">
        <v>4796</v>
      </c>
      <c r="C1928" t="s">
        <v>39</v>
      </c>
      <c r="D1928" t="s">
        <v>4797</v>
      </c>
      <c r="E1928" t="s">
        <v>4798</v>
      </c>
      <c r="F1928" s="2">
        <v>45131</v>
      </c>
      <c r="G1928" s="3">
        <v>0.52916666666666667</v>
      </c>
      <c r="H1928" t="s">
        <v>4516</v>
      </c>
      <c r="I1928" s="4" t="s">
        <v>4774</v>
      </c>
      <c r="J1928" t="s">
        <v>4775</v>
      </c>
      <c r="K1928" t="s">
        <v>4799</v>
      </c>
      <c r="L1928" t="s">
        <v>4800</v>
      </c>
      <c r="M1928" t="s">
        <v>46</v>
      </c>
      <c r="O1928" t="s">
        <v>47</v>
      </c>
      <c r="P1928" t="s">
        <v>48</v>
      </c>
      <c r="Q1928">
        <v>0</v>
      </c>
      <c r="R1928" t="b">
        <v>0</v>
      </c>
      <c r="S1928" t="s">
        <v>49</v>
      </c>
      <c r="T1928" t="s">
        <v>50</v>
      </c>
      <c r="U1928" t="s">
        <v>527</v>
      </c>
      <c r="V1928" t="s">
        <v>72</v>
      </c>
      <c r="W1928" t="s">
        <v>73</v>
      </c>
      <c r="X1928" t="s">
        <v>54</v>
      </c>
      <c r="Z1928">
        <v>0</v>
      </c>
      <c r="AA1928" t="s">
        <v>9165</v>
      </c>
      <c r="AB1928" t="s">
        <v>9164</v>
      </c>
      <c r="AC1928" t="s">
        <v>9139</v>
      </c>
      <c r="AD1928" t="s">
        <v>9140</v>
      </c>
      <c r="AE1928" t="s">
        <v>9140</v>
      </c>
      <c r="AF1928" t="s">
        <v>72</v>
      </c>
      <c r="AG1928" t="s">
        <v>54</v>
      </c>
      <c r="AH1928" t="s">
        <v>9220</v>
      </c>
      <c r="AI1928" t="s">
        <v>9188</v>
      </c>
      <c r="AJ1928" t="s">
        <v>9143</v>
      </c>
      <c r="AK1928" t="s">
        <v>9221</v>
      </c>
      <c r="AL1928" t="s">
        <v>9232</v>
      </c>
      <c r="AM1928" t="s">
        <v>9221</v>
      </c>
      <c r="AN1928" t="s">
        <v>9233</v>
      </c>
    </row>
    <row r="1929" spans="1:40" x14ac:dyDescent="0.25">
      <c r="A1929" t="s">
        <v>3109</v>
      </c>
      <c r="C1929" t="s">
        <v>39</v>
      </c>
      <c r="D1929" t="s">
        <v>3110</v>
      </c>
      <c r="E1929" t="s">
        <v>3111</v>
      </c>
      <c r="F1929" s="2">
        <v>45131</v>
      </c>
      <c r="G1929" s="3">
        <v>0.6333333333333333</v>
      </c>
      <c r="H1929" t="s">
        <v>1939</v>
      </c>
      <c r="I1929" s="4" t="s">
        <v>3089</v>
      </c>
      <c r="J1929" t="s">
        <v>3090</v>
      </c>
      <c r="K1929" t="s">
        <v>3112</v>
      </c>
      <c r="L1929" t="s">
        <v>3113</v>
      </c>
      <c r="M1929" t="s">
        <v>46</v>
      </c>
      <c r="O1929" t="s">
        <v>47</v>
      </c>
      <c r="P1929" t="s">
        <v>48</v>
      </c>
      <c r="Q1929">
        <v>0</v>
      </c>
      <c r="R1929" t="b">
        <v>0</v>
      </c>
      <c r="S1929" t="s">
        <v>61</v>
      </c>
      <c r="T1929" t="s">
        <v>1495</v>
      </c>
      <c r="U1929" t="s">
        <v>71</v>
      </c>
      <c r="V1929" t="s">
        <v>672</v>
      </c>
      <c r="W1929" t="s">
        <v>1121</v>
      </c>
      <c r="X1929" t="s">
        <v>3114</v>
      </c>
      <c r="Z1929">
        <v>0</v>
      </c>
      <c r="AA1929" t="s">
        <v>9165</v>
      </c>
      <c r="AB1929" t="s">
        <v>9164</v>
      </c>
      <c r="AC1929" t="s">
        <v>9148</v>
      </c>
      <c r="AD1929" t="s">
        <v>9140</v>
      </c>
      <c r="AE1929" t="s">
        <v>9140</v>
      </c>
      <c r="AF1929" t="s">
        <v>672</v>
      </c>
      <c r="AG1929" t="s">
        <v>3114</v>
      </c>
      <c r="AH1929" t="s">
        <v>9194</v>
      </c>
      <c r="AI1929" t="s">
        <v>9175</v>
      </c>
      <c r="AJ1929" t="s">
        <v>9143</v>
      </c>
      <c r="AK1929" t="s">
        <v>9194</v>
      </c>
      <c r="AL1929" t="s">
        <v>9209</v>
      </c>
      <c r="AM1929" t="s">
        <v>9194</v>
      </c>
      <c r="AN1929" t="s">
        <v>9210</v>
      </c>
    </row>
    <row r="1930" spans="1:40" x14ac:dyDescent="0.25">
      <c r="A1930" t="s">
        <v>2823</v>
      </c>
      <c r="C1930" t="s">
        <v>39</v>
      </c>
      <c r="D1930" t="s">
        <v>2819</v>
      </c>
      <c r="E1930" t="s">
        <v>2820</v>
      </c>
      <c r="F1930" s="2">
        <v>45130</v>
      </c>
      <c r="G1930" s="3">
        <v>0.39583333333333331</v>
      </c>
      <c r="H1930" t="s">
        <v>2095</v>
      </c>
      <c r="I1930" s="4" t="s">
        <v>2777</v>
      </c>
      <c r="J1930" t="s">
        <v>1406</v>
      </c>
      <c r="K1930" t="s">
        <v>2824</v>
      </c>
      <c r="L1930" t="s">
        <v>2825</v>
      </c>
      <c r="M1930" t="s">
        <v>46</v>
      </c>
      <c r="O1930" t="s">
        <v>47</v>
      </c>
      <c r="P1930" t="s">
        <v>48</v>
      </c>
      <c r="Q1930">
        <v>0</v>
      </c>
      <c r="R1930" t="b">
        <v>0</v>
      </c>
      <c r="S1930" t="s">
        <v>61</v>
      </c>
      <c r="T1930" t="s">
        <v>89</v>
      </c>
      <c r="U1930" t="s">
        <v>2817</v>
      </c>
      <c r="V1930" t="s">
        <v>52</v>
      </c>
      <c r="W1930" t="s">
        <v>255</v>
      </c>
      <c r="X1930" t="s">
        <v>2826</v>
      </c>
      <c r="Z1930">
        <v>0</v>
      </c>
      <c r="AA1930" t="s">
        <v>9173</v>
      </c>
      <c r="AB1930" t="s">
        <v>9164</v>
      </c>
      <c r="AC1930" t="s">
        <v>9148</v>
      </c>
      <c r="AD1930" t="s">
        <v>9140</v>
      </c>
      <c r="AE1930" t="s">
        <v>9140</v>
      </c>
      <c r="AF1930" t="s">
        <v>52</v>
      </c>
      <c r="AG1930" t="s">
        <v>2826</v>
      </c>
      <c r="AH1930" t="s">
        <v>9194</v>
      </c>
      <c r="AI1930" t="s">
        <v>9188</v>
      </c>
      <c r="AJ1930" t="s">
        <v>9143</v>
      </c>
      <c r="AK1930" t="s">
        <v>9194</v>
      </c>
      <c r="AL1930" t="s">
        <v>9211</v>
      </c>
      <c r="AM1930" t="s">
        <v>9194</v>
      </c>
      <c r="AN1930" t="s">
        <v>9212</v>
      </c>
    </row>
    <row r="1931" spans="1:40" x14ac:dyDescent="0.25">
      <c r="A1931" t="s">
        <v>2499</v>
      </c>
      <c r="C1931" t="s">
        <v>39</v>
      </c>
      <c r="D1931" t="s">
        <v>2500</v>
      </c>
      <c r="E1931" t="s">
        <v>2501</v>
      </c>
      <c r="F1931" s="2">
        <v>45129</v>
      </c>
      <c r="G1931" s="3">
        <v>0.38750000000000001</v>
      </c>
      <c r="H1931" t="s">
        <v>1939</v>
      </c>
      <c r="I1931" s="4" t="s">
        <v>2393</v>
      </c>
      <c r="J1931" t="s">
        <v>2394</v>
      </c>
      <c r="K1931" t="s">
        <v>2502</v>
      </c>
      <c r="L1931" t="s">
        <v>2503</v>
      </c>
      <c r="M1931" t="s">
        <v>46</v>
      </c>
      <c r="O1931" t="s">
        <v>47</v>
      </c>
      <c r="P1931" t="s">
        <v>48</v>
      </c>
      <c r="Q1931">
        <v>0</v>
      </c>
      <c r="R1931" t="b">
        <v>0</v>
      </c>
      <c r="S1931" t="s">
        <v>49</v>
      </c>
      <c r="T1931" t="s">
        <v>70</v>
      </c>
      <c r="U1931" t="s">
        <v>71</v>
      </c>
      <c r="V1931" t="s">
        <v>72</v>
      </c>
      <c r="W1931" t="s">
        <v>73</v>
      </c>
      <c r="X1931" t="s">
        <v>98</v>
      </c>
      <c r="Z1931">
        <v>0</v>
      </c>
      <c r="AA1931" t="s">
        <v>9173</v>
      </c>
      <c r="AB1931" t="s">
        <v>9164</v>
      </c>
      <c r="AC1931" t="s">
        <v>9139</v>
      </c>
      <c r="AD1931" t="s">
        <v>9140</v>
      </c>
      <c r="AE1931" t="s">
        <v>9140</v>
      </c>
      <c r="AF1931" t="s">
        <v>72</v>
      </c>
      <c r="AG1931" t="s">
        <v>98</v>
      </c>
      <c r="AH1931" t="s">
        <v>9194</v>
      </c>
      <c r="AI1931" t="s">
        <v>9175</v>
      </c>
      <c r="AJ1931" t="s">
        <v>9143</v>
      </c>
      <c r="AK1931" t="s">
        <v>9194</v>
      </c>
      <c r="AL1931" t="s">
        <v>9195</v>
      </c>
      <c r="AM1931" t="s">
        <v>9194</v>
      </c>
      <c r="AN1931" t="s">
        <v>9196</v>
      </c>
    </row>
    <row r="1932" spans="1:40" x14ac:dyDescent="0.25">
      <c r="A1932" t="s">
        <v>1578</v>
      </c>
      <c r="C1932" t="s">
        <v>39</v>
      </c>
      <c r="D1932" t="s">
        <v>1579</v>
      </c>
      <c r="E1932" t="s">
        <v>1580</v>
      </c>
      <c r="F1932" s="2">
        <v>45129</v>
      </c>
      <c r="G1932" s="3">
        <v>0.62847222222222221</v>
      </c>
      <c r="H1932" t="s">
        <v>1366</v>
      </c>
      <c r="I1932" s="4">
        <v>6068</v>
      </c>
      <c r="J1932" t="s">
        <v>1537</v>
      </c>
      <c r="K1932" t="s">
        <v>1581</v>
      </c>
      <c r="L1932" t="s">
        <v>1582</v>
      </c>
      <c r="M1932" t="s">
        <v>46</v>
      </c>
      <c r="O1932" t="s">
        <v>47</v>
      </c>
      <c r="P1932" t="s">
        <v>48</v>
      </c>
      <c r="Q1932">
        <v>0</v>
      </c>
      <c r="R1932" t="b">
        <v>0</v>
      </c>
      <c r="S1932" t="s">
        <v>61</v>
      </c>
      <c r="T1932" t="s">
        <v>70</v>
      </c>
      <c r="U1932" t="s">
        <v>107</v>
      </c>
      <c r="V1932" t="s">
        <v>63</v>
      </c>
      <c r="W1932" t="s">
        <v>108</v>
      </c>
      <c r="X1932" t="s">
        <v>98</v>
      </c>
      <c r="Z1932">
        <v>0</v>
      </c>
      <c r="AA1932" t="s">
        <v>9173</v>
      </c>
      <c r="AB1932" t="s">
        <v>9164</v>
      </c>
      <c r="AC1932" t="s">
        <v>9148</v>
      </c>
      <c r="AD1932" t="s">
        <v>9140</v>
      </c>
      <c r="AE1932" t="s">
        <v>9140</v>
      </c>
      <c r="AF1932" t="s">
        <v>63</v>
      </c>
      <c r="AG1932" t="s">
        <v>98</v>
      </c>
      <c r="AH1932" t="s">
        <v>9141</v>
      </c>
      <c r="AI1932" t="s">
        <v>9188</v>
      </c>
      <c r="AJ1932" t="s">
        <v>9143</v>
      </c>
      <c r="AK1932" t="s">
        <v>9141</v>
      </c>
      <c r="AL1932" t="s">
        <v>9189</v>
      </c>
      <c r="AM1932" t="s">
        <v>9141</v>
      </c>
      <c r="AN1932" t="s">
        <v>9190</v>
      </c>
    </row>
    <row r="1933" spans="1:40" x14ac:dyDescent="0.25">
      <c r="A1933" t="s">
        <v>656</v>
      </c>
      <c r="C1933" t="s">
        <v>39</v>
      </c>
      <c r="D1933" t="s">
        <v>657</v>
      </c>
      <c r="E1933" t="s">
        <v>658</v>
      </c>
      <c r="F1933" s="2">
        <v>45129</v>
      </c>
      <c r="G1933" s="3">
        <v>0.42777777777777776</v>
      </c>
      <c r="H1933" t="s">
        <v>463</v>
      </c>
      <c r="I1933" s="4">
        <v>2023</v>
      </c>
      <c r="J1933" t="s">
        <v>615</v>
      </c>
      <c r="K1933" t="s">
        <v>659</v>
      </c>
      <c r="L1933" t="s">
        <v>660</v>
      </c>
      <c r="M1933" t="s">
        <v>46</v>
      </c>
      <c r="O1933" t="s">
        <v>47</v>
      </c>
      <c r="P1933" t="s">
        <v>48</v>
      </c>
      <c r="Q1933">
        <v>0</v>
      </c>
      <c r="R1933" t="b">
        <v>0</v>
      </c>
      <c r="S1933" t="s">
        <v>61</v>
      </c>
      <c r="T1933" t="s">
        <v>89</v>
      </c>
      <c r="U1933" t="s">
        <v>71</v>
      </c>
      <c r="V1933" t="s">
        <v>52</v>
      </c>
      <c r="W1933" t="s">
        <v>135</v>
      </c>
      <c r="Z1933">
        <v>0</v>
      </c>
      <c r="AA1933" t="s">
        <v>9173</v>
      </c>
      <c r="AB1933" t="s">
        <v>9164</v>
      </c>
      <c r="AC1933" t="s">
        <v>9148</v>
      </c>
      <c r="AD1933" t="s">
        <v>9140</v>
      </c>
      <c r="AE1933" t="s">
        <v>9140</v>
      </c>
      <c r="AF1933" t="s">
        <v>52</v>
      </c>
      <c r="AG1933">
        <v>0</v>
      </c>
      <c r="AH1933" t="s">
        <v>9141</v>
      </c>
      <c r="AI1933" t="s">
        <v>9175</v>
      </c>
      <c r="AJ1933" t="s">
        <v>9143</v>
      </c>
      <c r="AK1933" t="s">
        <v>9141</v>
      </c>
      <c r="AL1933" t="s">
        <v>9177</v>
      </c>
      <c r="AM1933" t="s">
        <v>9141</v>
      </c>
      <c r="AN1933" t="s">
        <v>9178</v>
      </c>
    </row>
    <row r="1934" spans="1:40" x14ac:dyDescent="0.25">
      <c r="A1934" t="s">
        <v>6552</v>
      </c>
      <c r="C1934" t="s">
        <v>39</v>
      </c>
      <c r="D1934" t="s">
        <v>6553</v>
      </c>
      <c r="E1934" t="s">
        <v>6554</v>
      </c>
      <c r="F1934" s="2">
        <v>45129</v>
      </c>
      <c r="G1934" s="3">
        <v>0.65972222222222221</v>
      </c>
      <c r="H1934" t="s">
        <v>4910</v>
      </c>
      <c r="I1934" s="4" t="s">
        <v>6502</v>
      </c>
      <c r="J1934" t="s">
        <v>6503</v>
      </c>
      <c r="K1934" t="s">
        <v>6555</v>
      </c>
      <c r="L1934" t="s">
        <v>6556</v>
      </c>
      <c r="M1934" t="s">
        <v>46</v>
      </c>
      <c r="O1934" t="s">
        <v>47</v>
      </c>
      <c r="P1934" t="s">
        <v>48</v>
      </c>
      <c r="Q1934">
        <v>0</v>
      </c>
      <c r="R1934" t="b">
        <v>0</v>
      </c>
      <c r="S1934" t="s">
        <v>61</v>
      </c>
      <c r="T1934" t="s">
        <v>6557</v>
      </c>
      <c r="U1934" t="s">
        <v>618</v>
      </c>
      <c r="V1934" t="s">
        <v>405</v>
      </c>
      <c r="W1934" t="s">
        <v>4458</v>
      </c>
      <c r="X1934" t="s">
        <v>98</v>
      </c>
      <c r="Z1934">
        <v>0</v>
      </c>
      <c r="AA1934" t="s">
        <v>9173</v>
      </c>
      <c r="AB1934" t="s">
        <v>9164</v>
      </c>
      <c r="AC1934" t="s">
        <v>9148</v>
      </c>
      <c r="AD1934" t="s">
        <v>9140</v>
      </c>
      <c r="AE1934" t="s">
        <v>9140</v>
      </c>
      <c r="AF1934" t="s">
        <v>405</v>
      </c>
      <c r="AG1934" t="s">
        <v>98</v>
      </c>
      <c r="AH1934" t="s">
        <v>9220</v>
      </c>
      <c r="AI1934" t="s">
        <v>9191</v>
      </c>
      <c r="AJ1934" t="s">
        <v>9143</v>
      </c>
      <c r="AK1934" t="s">
        <v>9221</v>
      </c>
      <c r="AL1934" t="s">
        <v>9236</v>
      </c>
      <c r="AM1934" t="s">
        <v>9221</v>
      </c>
      <c r="AN1934" t="s">
        <v>9237</v>
      </c>
    </row>
    <row r="1935" spans="1:40" x14ac:dyDescent="0.25">
      <c r="A1935" t="s">
        <v>6067</v>
      </c>
      <c r="C1935" t="s">
        <v>39</v>
      </c>
      <c r="D1935" t="s">
        <v>5993</v>
      </c>
      <c r="E1935" t="s">
        <v>5994</v>
      </c>
      <c r="F1935" s="2">
        <v>45129</v>
      </c>
      <c r="G1935" s="3">
        <v>0.625</v>
      </c>
      <c r="H1935" t="s">
        <v>4242</v>
      </c>
      <c r="I1935" s="4" t="s">
        <v>5918</v>
      </c>
      <c r="J1935" t="s">
        <v>5919</v>
      </c>
      <c r="K1935" t="s">
        <v>6068</v>
      </c>
      <c r="L1935" t="s">
        <v>6069</v>
      </c>
      <c r="M1935" t="s">
        <v>46</v>
      </c>
      <c r="O1935" t="s">
        <v>47</v>
      </c>
      <c r="P1935" t="s">
        <v>48</v>
      </c>
      <c r="Q1935">
        <v>0</v>
      </c>
      <c r="R1935" t="b">
        <v>0</v>
      </c>
      <c r="S1935" t="s">
        <v>49</v>
      </c>
      <c r="T1935" t="s">
        <v>89</v>
      </c>
      <c r="U1935" t="s">
        <v>107</v>
      </c>
      <c r="V1935" t="s">
        <v>123</v>
      </c>
      <c r="W1935" t="s">
        <v>124</v>
      </c>
      <c r="X1935" t="s">
        <v>98</v>
      </c>
      <c r="Z1935">
        <v>0</v>
      </c>
      <c r="AA1935" t="s">
        <v>9173</v>
      </c>
      <c r="AB1935" t="s">
        <v>9164</v>
      </c>
      <c r="AC1935" t="s">
        <v>9139</v>
      </c>
      <c r="AD1935" t="s">
        <v>9140</v>
      </c>
      <c r="AE1935" t="s">
        <v>9140</v>
      </c>
      <c r="AF1935" t="s">
        <v>123</v>
      </c>
      <c r="AG1935" t="s">
        <v>98</v>
      </c>
      <c r="AH1935" t="s">
        <v>9220</v>
      </c>
      <c r="AI1935" t="s">
        <v>9187</v>
      </c>
      <c r="AJ1935" t="s">
        <v>9143</v>
      </c>
      <c r="AK1935" t="s">
        <v>9221</v>
      </c>
      <c r="AL1935" t="s">
        <v>9226</v>
      </c>
      <c r="AM1935" t="s">
        <v>9221</v>
      </c>
      <c r="AN1935" t="s">
        <v>9227</v>
      </c>
    </row>
    <row r="1936" spans="1:40" x14ac:dyDescent="0.25">
      <c r="A1936" t="s">
        <v>7673</v>
      </c>
      <c r="C1936" t="s">
        <v>39</v>
      </c>
      <c r="D1936" t="s">
        <v>7674</v>
      </c>
      <c r="E1936" t="s">
        <v>7675</v>
      </c>
      <c r="F1936" s="2">
        <v>45128</v>
      </c>
      <c r="G1936" s="3">
        <v>0.46875</v>
      </c>
      <c r="H1936" t="s">
        <v>4659</v>
      </c>
      <c r="I1936" s="4" t="s">
        <v>7663</v>
      </c>
      <c r="J1936" t="s">
        <v>2886</v>
      </c>
      <c r="K1936" t="s">
        <v>7676</v>
      </c>
      <c r="L1936" t="s">
        <v>7677</v>
      </c>
      <c r="M1936" t="s">
        <v>46</v>
      </c>
      <c r="O1936" t="s">
        <v>47</v>
      </c>
      <c r="P1936" t="s">
        <v>48</v>
      </c>
      <c r="Q1936">
        <v>0</v>
      </c>
      <c r="R1936" t="b">
        <v>0</v>
      </c>
      <c r="S1936" t="s">
        <v>61</v>
      </c>
      <c r="T1936" t="s">
        <v>89</v>
      </c>
      <c r="U1936" t="s">
        <v>301</v>
      </c>
      <c r="V1936" t="s">
        <v>63</v>
      </c>
      <c r="W1936" t="s">
        <v>108</v>
      </c>
      <c r="X1936" t="s">
        <v>98</v>
      </c>
      <c r="Z1936">
        <v>0</v>
      </c>
      <c r="AA1936" t="s">
        <v>9173</v>
      </c>
      <c r="AB1936" t="s">
        <v>9164</v>
      </c>
      <c r="AC1936" t="s">
        <v>9148</v>
      </c>
      <c r="AD1936" t="s">
        <v>9140</v>
      </c>
      <c r="AE1936" t="s">
        <v>9140</v>
      </c>
      <c r="AF1936" t="s">
        <v>63</v>
      </c>
      <c r="AG1936" t="s">
        <v>98</v>
      </c>
      <c r="AH1936" t="s">
        <v>9220</v>
      </c>
      <c r="AI1936" t="s">
        <v>9142</v>
      </c>
      <c r="AJ1936" t="s">
        <v>9143</v>
      </c>
      <c r="AK1936" t="s">
        <v>9221</v>
      </c>
      <c r="AL1936" t="s">
        <v>9228</v>
      </c>
      <c r="AM1936" t="s">
        <v>9221</v>
      </c>
      <c r="AN1936" t="s">
        <v>9229</v>
      </c>
    </row>
    <row r="1937" spans="1:40" x14ac:dyDescent="0.25">
      <c r="A1937" t="s">
        <v>7438</v>
      </c>
      <c r="C1937" t="s">
        <v>39</v>
      </c>
      <c r="D1937" t="s">
        <v>7439</v>
      </c>
      <c r="E1937" t="s">
        <v>7440</v>
      </c>
      <c r="F1937" s="2">
        <v>45128</v>
      </c>
      <c r="G1937" s="3">
        <v>0.625</v>
      </c>
      <c r="H1937" t="s">
        <v>4019</v>
      </c>
      <c r="I1937" s="4" t="s">
        <v>7315</v>
      </c>
      <c r="J1937" t="s">
        <v>1037</v>
      </c>
      <c r="K1937" t="s">
        <v>531</v>
      </c>
      <c r="L1937" t="s">
        <v>7441</v>
      </c>
      <c r="M1937" t="s">
        <v>46</v>
      </c>
      <c r="O1937" t="s">
        <v>47</v>
      </c>
      <c r="P1937" t="s">
        <v>48</v>
      </c>
      <c r="Q1937">
        <v>0</v>
      </c>
      <c r="R1937" t="b">
        <v>0</v>
      </c>
      <c r="S1937" t="s">
        <v>49</v>
      </c>
      <c r="T1937" t="s">
        <v>89</v>
      </c>
      <c r="U1937" t="s">
        <v>51</v>
      </c>
      <c r="V1937" t="s">
        <v>52</v>
      </c>
      <c r="W1937" t="s">
        <v>255</v>
      </c>
      <c r="X1937" t="s">
        <v>136</v>
      </c>
      <c r="Z1937">
        <v>0</v>
      </c>
      <c r="AA1937" t="s">
        <v>9173</v>
      </c>
      <c r="AB1937" t="s">
        <v>9164</v>
      </c>
      <c r="AC1937" t="s">
        <v>9139</v>
      </c>
      <c r="AD1937" t="s">
        <v>9140</v>
      </c>
      <c r="AE1937" t="s">
        <v>9140</v>
      </c>
      <c r="AF1937" t="s">
        <v>52</v>
      </c>
      <c r="AG1937" t="s">
        <v>136</v>
      </c>
      <c r="AH1937" t="s">
        <v>9220</v>
      </c>
      <c r="AI1937" t="s">
        <v>9175</v>
      </c>
      <c r="AJ1937" t="s">
        <v>9143</v>
      </c>
      <c r="AK1937" t="s">
        <v>9221</v>
      </c>
      <c r="AL1937" t="s">
        <v>9222</v>
      </c>
      <c r="AM1937" t="s">
        <v>9221</v>
      </c>
      <c r="AN1937" t="s">
        <v>9223</v>
      </c>
    </row>
    <row r="1938" spans="1:40" x14ac:dyDescent="0.25">
      <c r="A1938" t="s">
        <v>1272</v>
      </c>
      <c r="B1938" s="1" t="s">
        <v>1273</v>
      </c>
      <c r="C1938" t="s">
        <v>39</v>
      </c>
      <c r="D1938" t="s">
        <v>1274</v>
      </c>
      <c r="E1938" t="s">
        <v>1275</v>
      </c>
      <c r="F1938" s="2">
        <v>45128</v>
      </c>
      <c r="G1938" s="3">
        <v>0.51041666666666663</v>
      </c>
      <c r="H1938" t="s">
        <v>1155</v>
      </c>
      <c r="I1938" s="4">
        <v>4043</v>
      </c>
      <c r="J1938" t="s">
        <v>1200</v>
      </c>
      <c r="K1938" t="s">
        <v>1276</v>
      </c>
      <c r="L1938" t="s">
        <v>1277</v>
      </c>
      <c r="M1938" t="s">
        <v>28</v>
      </c>
      <c r="N1938" t="s">
        <v>183</v>
      </c>
      <c r="O1938" t="s">
        <v>863</v>
      </c>
      <c r="P1938" t="s">
        <v>60</v>
      </c>
      <c r="Q1938">
        <v>93</v>
      </c>
      <c r="R1938" t="b">
        <v>0</v>
      </c>
      <c r="S1938" t="s">
        <v>61</v>
      </c>
      <c r="T1938" t="s">
        <v>89</v>
      </c>
      <c r="U1938" t="s">
        <v>148</v>
      </c>
      <c r="V1938" t="s">
        <v>52</v>
      </c>
      <c r="W1938" t="s">
        <v>255</v>
      </c>
      <c r="X1938" t="s">
        <v>54</v>
      </c>
      <c r="Z1938" t="s">
        <v>60</v>
      </c>
      <c r="AA1938" t="s">
        <v>9173</v>
      </c>
      <c r="AB1938" t="s">
        <v>9164</v>
      </c>
      <c r="AC1938" t="s">
        <v>9148</v>
      </c>
      <c r="AD1938" t="s">
        <v>28</v>
      </c>
      <c r="AE1938" t="s">
        <v>183</v>
      </c>
      <c r="AF1938" t="s">
        <v>52</v>
      </c>
      <c r="AG1938" t="s">
        <v>54</v>
      </c>
      <c r="AH1938" t="s">
        <v>9141</v>
      </c>
      <c r="AI1938" t="s">
        <v>9187</v>
      </c>
      <c r="AJ1938" t="s">
        <v>9143</v>
      </c>
      <c r="AK1938" t="s">
        <v>9141</v>
      </c>
      <c r="AL1938" t="s">
        <v>9144</v>
      </c>
      <c r="AM1938" t="s">
        <v>9141</v>
      </c>
      <c r="AN1938" t="s">
        <v>9145</v>
      </c>
    </row>
    <row r="1939" spans="1:40" x14ac:dyDescent="0.25">
      <c r="A1939" t="s">
        <v>3481</v>
      </c>
      <c r="C1939" t="s">
        <v>39</v>
      </c>
      <c r="D1939" t="s">
        <v>3467</v>
      </c>
      <c r="E1939" t="s">
        <v>3468</v>
      </c>
      <c r="F1939" s="2">
        <v>45128</v>
      </c>
      <c r="G1939" s="3">
        <v>0.5493055555555556</v>
      </c>
      <c r="H1939" t="s">
        <v>2095</v>
      </c>
      <c r="I1939" s="4" t="s">
        <v>3452</v>
      </c>
      <c r="J1939" t="s">
        <v>3453</v>
      </c>
      <c r="K1939" t="s">
        <v>1461</v>
      </c>
      <c r="L1939" t="s">
        <v>3482</v>
      </c>
      <c r="M1939" t="s">
        <v>46</v>
      </c>
      <c r="O1939" t="s">
        <v>47</v>
      </c>
      <c r="P1939" t="s">
        <v>48</v>
      </c>
      <c r="Q1939">
        <v>0</v>
      </c>
      <c r="R1939" t="b">
        <v>0</v>
      </c>
      <c r="S1939" t="s">
        <v>49</v>
      </c>
      <c r="T1939" t="s">
        <v>89</v>
      </c>
      <c r="U1939" t="s">
        <v>71</v>
      </c>
      <c r="V1939" t="s">
        <v>63</v>
      </c>
      <c r="W1939" t="s">
        <v>108</v>
      </c>
      <c r="X1939" t="s">
        <v>98</v>
      </c>
      <c r="Z1939">
        <v>0</v>
      </c>
      <c r="AA1939" t="s">
        <v>9173</v>
      </c>
      <c r="AB1939" t="s">
        <v>9164</v>
      </c>
      <c r="AC1939" t="s">
        <v>9139</v>
      </c>
      <c r="AD1939" t="s">
        <v>9140</v>
      </c>
      <c r="AE1939" t="s">
        <v>9140</v>
      </c>
      <c r="AF1939" t="s">
        <v>63</v>
      </c>
      <c r="AG1939" t="s">
        <v>98</v>
      </c>
      <c r="AH1939" t="s">
        <v>9194</v>
      </c>
      <c r="AI1939" t="s">
        <v>9188</v>
      </c>
      <c r="AJ1939" t="s">
        <v>9143</v>
      </c>
      <c r="AK1939" t="s">
        <v>9194</v>
      </c>
      <c r="AL1939" t="s">
        <v>9203</v>
      </c>
      <c r="AM1939" t="s">
        <v>9194</v>
      </c>
      <c r="AN1939" t="s">
        <v>9204</v>
      </c>
    </row>
    <row r="1940" spans="1:40" x14ac:dyDescent="0.25">
      <c r="A1940" t="s">
        <v>3636</v>
      </c>
      <c r="C1940" t="s">
        <v>39</v>
      </c>
      <c r="D1940" t="s">
        <v>3637</v>
      </c>
      <c r="E1940" t="s">
        <v>3638</v>
      </c>
      <c r="F1940" s="2">
        <v>45127</v>
      </c>
      <c r="G1940" s="3">
        <v>0.49652777777777779</v>
      </c>
      <c r="H1940" t="s">
        <v>2017</v>
      </c>
      <c r="I1940" s="4" t="s">
        <v>3607</v>
      </c>
      <c r="J1940" t="s">
        <v>3608</v>
      </c>
      <c r="K1940" t="s">
        <v>3639</v>
      </c>
      <c r="L1940" t="s">
        <v>3640</v>
      </c>
      <c r="M1940" t="s">
        <v>46</v>
      </c>
      <c r="O1940" t="s">
        <v>174</v>
      </c>
      <c r="P1940" t="s">
        <v>48</v>
      </c>
      <c r="Q1940">
        <v>0</v>
      </c>
      <c r="R1940" t="b">
        <v>0</v>
      </c>
      <c r="S1940" t="s">
        <v>114</v>
      </c>
      <c r="T1940" t="s">
        <v>70</v>
      </c>
      <c r="U1940" t="s">
        <v>618</v>
      </c>
      <c r="V1940" t="s">
        <v>63</v>
      </c>
      <c r="W1940" t="s">
        <v>108</v>
      </c>
      <c r="X1940" t="s">
        <v>54</v>
      </c>
      <c r="Z1940">
        <v>0</v>
      </c>
      <c r="AA1940" t="s">
        <v>9173</v>
      </c>
      <c r="AB1940" t="s">
        <v>9164</v>
      </c>
      <c r="AC1940" t="s">
        <v>9157</v>
      </c>
      <c r="AD1940" t="s">
        <v>9140</v>
      </c>
      <c r="AE1940" t="s">
        <v>9140</v>
      </c>
      <c r="AF1940" t="s">
        <v>63</v>
      </c>
      <c r="AG1940" t="s">
        <v>54</v>
      </c>
      <c r="AH1940" t="s">
        <v>9194</v>
      </c>
      <c r="AI1940" t="s">
        <v>9199</v>
      </c>
      <c r="AJ1940" t="s">
        <v>9143</v>
      </c>
      <c r="AK1940" t="s">
        <v>9194</v>
      </c>
      <c r="AL1940" t="s">
        <v>9199</v>
      </c>
      <c r="AM1940" t="s">
        <v>9194</v>
      </c>
      <c r="AN1940" t="s">
        <v>9200</v>
      </c>
    </row>
    <row r="1941" spans="1:40" x14ac:dyDescent="0.25">
      <c r="A1941" t="s">
        <v>6792</v>
      </c>
      <c r="C1941" t="s">
        <v>39</v>
      </c>
      <c r="D1941" t="s">
        <v>6793</v>
      </c>
      <c r="E1941" t="s">
        <v>6794</v>
      </c>
      <c r="F1941" s="2">
        <v>45127</v>
      </c>
      <c r="G1941" s="3">
        <v>0.51458333333333328</v>
      </c>
      <c r="H1941" t="s">
        <v>4659</v>
      </c>
      <c r="I1941" s="4" t="s">
        <v>6774</v>
      </c>
      <c r="J1941" t="s">
        <v>208</v>
      </c>
      <c r="K1941" t="s">
        <v>5771</v>
      </c>
      <c r="L1941" t="s">
        <v>6795</v>
      </c>
      <c r="M1941" t="s">
        <v>46</v>
      </c>
      <c r="O1941" t="s">
        <v>47</v>
      </c>
      <c r="P1941" t="s">
        <v>48</v>
      </c>
      <c r="Q1941">
        <v>0</v>
      </c>
      <c r="R1941" t="b">
        <v>0</v>
      </c>
      <c r="S1941" t="s">
        <v>49</v>
      </c>
      <c r="T1941" t="s">
        <v>70</v>
      </c>
      <c r="U1941" t="s">
        <v>218</v>
      </c>
      <c r="V1941" t="s">
        <v>63</v>
      </c>
      <c r="W1941" t="s">
        <v>4353</v>
      </c>
      <c r="X1941" t="s">
        <v>54</v>
      </c>
      <c r="Z1941">
        <v>0</v>
      </c>
      <c r="AA1941" t="s">
        <v>9173</v>
      </c>
      <c r="AB1941" t="s">
        <v>9164</v>
      </c>
      <c r="AC1941" t="s">
        <v>9139</v>
      </c>
      <c r="AD1941" t="s">
        <v>9140</v>
      </c>
      <c r="AE1941" t="s">
        <v>9140</v>
      </c>
      <c r="AF1941" t="s">
        <v>63</v>
      </c>
      <c r="AG1941" t="s">
        <v>54</v>
      </c>
      <c r="AH1941" t="s">
        <v>9220</v>
      </c>
      <c r="AI1941" t="s">
        <v>9142</v>
      </c>
      <c r="AJ1941" t="s">
        <v>9143</v>
      </c>
      <c r="AK1941" t="s">
        <v>9221</v>
      </c>
      <c r="AL1941" t="s">
        <v>9228</v>
      </c>
      <c r="AM1941" t="s">
        <v>9221</v>
      </c>
      <c r="AN1941" t="s">
        <v>9229</v>
      </c>
    </row>
    <row r="1942" spans="1:40" x14ac:dyDescent="0.25">
      <c r="A1942" t="s">
        <v>4449</v>
      </c>
      <c r="C1942" t="s">
        <v>39</v>
      </c>
      <c r="D1942" t="s">
        <v>4355</v>
      </c>
      <c r="E1942" t="s">
        <v>4356</v>
      </c>
      <c r="F1942" s="2">
        <v>45127</v>
      </c>
      <c r="G1942" s="3">
        <v>0.55000000000000004</v>
      </c>
      <c r="H1942" t="s">
        <v>4019</v>
      </c>
      <c r="I1942" s="4" t="s">
        <v>4304</v>
      </c>
      <c r="J1942" t="s">
        <v>1941</v>
      </c>
      <c r="K1942" t="s">
        <v>4450</v>
      </c>
      <c r="L1942" t="s">
        <v>4451</v>
      </c>
      <c r="M1942" t="s">
        <v>46</v>
      </c>
      <c r="O1942" t="s">
        <v>47</v>
      </c>
      <c r="P1942" t="s">
        <v>48</v>
      </c>
      <c r="Q1942">
        <v>0</v>
      </c>
      <c r="R1942" t="b">
        <v>0</v>
      </c>
      <c r="S1942" t="s">
        <v>61</v>
      </c>
      <c r="T1942" t="s">
        <v>50</v>
      </c>
      <c r="U1942" t="s">
        <v>618</v>
      </c>
      <c r="V1942" t="s">
        <v>123</v>
      </c>
      <c r="W1942" t="s">
        <v>192</v>
      </c>
      <c r="X1942" t="s">
        <v>54</v>
      </c>
      <c r="Z1942">
        <v>0</v>
      </c>
      <c r="AA1942" t="s">
        <v>9173</v>
      </c>
      <c r="AB1942" t="s">
        <v>9164</v>
      </c>
      <c r="AC1942" t="s">
        <v>9148</v>
      </c>
      <c r="AD1942" t="s">
        <v>9140</v>
      </c>
      <c r="AE1942" t="s">
        <v>9140</v>
      </c>
      <c r="AF1942" t="s">
        <v>123</v>
      </c>
      <c r="AG1942" t="s">
        <v>54</v>
      </c>
      <c r="AH1942" t="s">
        <v>9220</v>
      </c>
      <c r="AI1942" t="s">
        <v>9175</v>
      </c>
      <c r="AJ1942" t="s">
        <v>9143</v>
      </c>
      <c r="AK1942" t="s">
        <v>9221</v>
      </c>
      <c r="AL1942" t="s">
        <v>9222</v>
      </c>
      <c r="AM1942" t="s">
        <v>9221</v>
      </c>
      <c r="AN1942" t="s">
        <v>9223</v>
      </c>
    </row>
    <row r="1943" spans="1:40" x14ac:dyDescent="0.25">
      <c r="A1943" t="s">
        <v>7533</v>
      </c>
      <c r="C1943" t="s">
        <v>39</v>
      </c>
      <c r="D1943" t="s">
        <v>7534</v>
      </c>
      <c r="E1943" t="s">
        <v>7535</v>
      </c>
      <c r="F1943" s="2">
        <v>45127</v>
      </c>
      <c r="G1943" s="3">
        <v>0.5444444444444444</v>
      </c>
      <c r="H1943" t="s">
        <v>4910</v>
      </c>
      <c r="I1943" s="4" t="s">
        <v>7457</v>
      </c>
      <c r="J1943" t="s">
        <v>2378</v>
      </c>
      <c r="K1943" t="s">
        <v>7536</v>
      </c>
      <c r="L1943" t="s">
        <v>7537</v>
      </c>
      <c r="M1943" t="s">
        <v>46</v>
      </c>
      <c r="O1943" t="s">
        <v>47</v>
      </c>
      <c r="P1943" t="s">
        <v>48</v>
      </c>
      <c r="Q1943">
        <v>0</v>
      </c>
      <c r="R1943" t="b">
        <v>0</v>
      </c>
      <c r="S1943" t="s">
        <v>49</v>
      </c>
      <c r="T1943" t="s">
        <v>1495</v>
      </c>
      <c r="U1943" t="s">
        <v>224</v>
      </c>
      <c r="V1943" t="s">
        <v>63</v>
      </c>
      <c r="W1943" t="s">
        <v>198</v>
      </c>
      <c r="X1943" t="s">
        <v>98</v>
      </c>
      <c r="Z1943">
        <v>0</v>
      </c>
      <c r="AA1943" t="s">
        <v>9173</v>
      </c>
      <c r="AB1943" t="s">
        <v>9164</v>
      </c>
      <c r="AC1943" t="s">
        <v>9139</v>
      </c>
      <c r="AD1943" t="s">
        <v>9140</v>
      </c>
      <c r="AE1943" t="s">
        <v>9140</v>
      </c>
      <c r="AF1943" t="s">
        <v>63</v>
      </c>
      <c r="AG1943" t="s">
        <v>98</v>
      </c>
      <c r="AH1943" t="s">
        <v>9220</v>
      </c>
      <c r="AI1943" t="s">
        <v>9191</v>
      </c>
      <c r="AJ1943" t="s">
        <v>9143</v>
      </c>
      <c r="AK1943" t="s">
        <v>9221</v>
      </c>
      <c r="AL1943" t="s">
        <v>9226</v>
      </c>
      <c r="AM1943" t="s">
        <v>9221</v>
      </c>
      <c r="AN1943" t="s">
        <v>9227</v>
      </c>
    </row>
    <row r="1944" spans="1:40" x14ac:dyDescent="0.25">
      <c r="A1944" t="s">
        <v>4645</v>
      </c>
      <c r="B1944" s="1">
        <v>6028187</v>
      </c>
      <c r="C1944" t="s">
        <v>39</v>
      </c>
      <c r="D1944" t="s">
        <v>4604</v>
      </c>
      <c r="E1944" t="s">
        <v>4605</v>
      </c>
      <c r="F1944" s="2">
        <v>45127</v>
      </c>
      <c r="G1944" s="3">
        <v>0.8125</v>
      </c>
      <c r="H1944" t="s">
        <v>4516</v>
      </c>
      <c r="I1944" s="4" t="s">
        <v>4586</v>
      </c>
      <c r="J1944" t="s">
        <v>2630</v>
      </c>
      <c r="K1944" t="s">
        <v>4646</v>
      </c>
      <c r="L1944" t="s">
        <v>4647</v>
      </c>
      <c r="M1944" t="s">
        <v>28</v>
      </c>
      <c r="N1944" t="s">
        <v>183</v>
      </c>
      <c r="O1944" t="s">
        <v>174</v>
      </c>
      <c r="P1944" t="s">
        <v>48</v>
      </c>
      <c r="Q1944">
        <v>3</v>
      </c>
      <c r="R1944" t="b">
        <v>0</v>
      </c>
      <c r="S1944" t="s">
        <v>184</v>
      </c>
      <c r="T1944" t="s">
        <v>479</v>
      </c>
      <c r="U1944" t="s">
        <v>148</v>
      </c>
      <c r="V1944" t="s">
        <v>52</v>
      </c>
      <c r="W1944" t="s">
        <v>53</v>
      </c>
      <c r="X1944" t="s">
        <v>54</v>
      </c>
      <c r="Z1944" t="s">
        <v>48</v>
      </c>
      <c r="AA1944" t="s">
        <v>9173</v>
      </c>
      <c r="AB1944" t="s">
        <v>9164</v>
      </c>
      <c r="AC1944" t="s">
        <v>9166</v>
      </c>
      <c r="AD1944" t="s">
        <v>28</v>
      </c>
      <c r="AE1944" t="s">
        <v>183</v>
      </c>
      <c r="AF1944" t="s">
        <v>52</v>
      </c>
      <c r="AG1944" t="s">
        <v>54</v>
      </c>
      <c r="AH1944" t="s">
        <v>9220</v>
      </c>
      <c r="AI1944" t="s">
        <v>9188</v>
      </c>
      <c r="AJ1944" t="s">
        <v>9143</v>
      </c>
      <c r="AK1944" t="s">
        <v>9221</v>
      </c>
      <c r="AL1944" t="s">
        <v>9232</v>
      </c>
      <c r="AM1944" t="s">
        <v>9221</v>
      </c>
      <c r="AN1944" t="s">
        <v>9233</v>
      </c>
    </row>
    <row r="1945" spans="1:40" x14ac:dyDescent="0.25">
      <c r="A1945" t="s">
        <v>8173</v>
      </c>
      <c r="C1945" t="s">
        <v>39</v>
      </c>
      <c r="D1945" t="s">
        <v>8153</v>
      </c>
      <c r="E1945" t="s">
        <v>8154</v>
      </c>
      <c r="F1945" s="2">
        <v>45127</v>
      </c>
      <c r="G1945" s="3">
        <v>0.55555555555555558</v>
      </c>
      <c r="H1945" t="s">
        <v>4516</v>
      </c>
      <c r="I1945" s="4" t="s">
        <v>8133</v>
      </c>
      <c r="J1945" t="s">
        <v>8134</v>
      </c>
      <c r="K1945" t="s">
        <v>8174</v>
      </c>
      <c r="L1945" t="s">
        <v>8175</v>
      </c>
      <c r="M1945" t="s">
        <v>46</v>
      </c>
      <c r="O1945" t="s">
        <v>47</v>
      </c>
      <c r="P1945" t="s">
        <v>48</v>
      </c>
      <c r="Q1945">
        <v>0</v>
      </c>
      <c r="R1945" t="b">
        <v>0</v>
      </c>
      <c r="S1945" t="s">
        <v>49</v>
      </c>
      <c r="T1945" t="s">
        <v>50</v>
      </c>
      <c r="U1945" t="s">
        <v>527</v>
      </c>
      <c r="V1945" t="s">
        <v>63</v>
      </c>
      <c r="W1945" t="s">
        <v>108</v>
      </c>
      <c r="X1945" t="s">
        <v>98</v>
      </c>
      <c r="Y1945" t="s">
        <v>486</v>
      </c>
      <c r="Z1945">
        <v>0</v>
      </c>
      <c r="AA1945" t="s">
        <v>9173</v>
      </c>
      <c r="AB1945" t="s">
        <v>9164</v>
      </c>
      <c r="AC1945" t="s">
        <v>9139</v>
      </c>
      <c r="AD1945" t="s">
        <v>9140</v>
      </c>
      <c r="AE1945" t="s">
        <v>9140</v>
      </c>
      <c r="AF1945" t="s">
        <v>63</v>
      </c>
      <c r="AG1945" t="s">
        <v>98</v>
      </c>
      <c r="AH1945" t="s">
        <v>9220</v>
      </c>
      <c r="AI1945" t="s">
        <v>9188</v>
      </c>
      <c r="AJ1945" t="s">
        <v>9143</v>
      </c>
      <c r="AK1945" t="s">
        <v>9221</v>
      </c>
      <c r="AL1945" t="s">
        <v>9230</v>
      </c>
      <c r="AM1945" t="s">
        <v>9221</v>
      </c>
      <c r="AN1945" t="s">
        <v>9231</v>
      </c>
    </row>
    <row r="1946" spans="1:40" x14ac:dyDescent="0.25">
      <c r="A1946" t="s">
        <v>690</v>
      </c>
      <c r="C1946" t="s">
        <v>39</v>
      </c>
      <c r="D1946" t="s">
        <v>668</v>
      </c>
      <c r="E1946" t="s">
        <v>669</v>
      </c>
      <c r="F1946" s="2">
        <v>45126</v>
      </c>
      <c r="G1946" s="3">
        <v>0.44444444444444442</v>
      </c>
      <c r="H1946" t="s">
        <v>463</v>
      </c>
      <c r="I1946" s="4">
        <v>2024</v>
      </c>
      <c r="J1946" t="s">
        <v>664</v>
      </c>
      <c r="K1946" t="s">
        <v>691</v>
      </c>
      <c r="L1946" t="s">
        <v>692</v>
      </c>
      <c r="M1946" t="s">
        <v>46</v>
      </c>
      <c r="O1946" t="s">
        <v>47</v>
      </c>
      <c r="P1946" t="s">
        <v>48</v>
      </c>
      <c r="Q1946">
        <v>0</v>
      </c>
      <c r="R1946" t="b">
        <v>0</v>
      </c>
      <c r="S1946" t="s">
        <v>49</v>
      </c>
      <c r="T1946" t="s">
        <v>89</v>
      </c>
      <c r="U1946" t="s">
        <v>373</v>
      </c>
      <c r="V1946" t="s">
        <v>63</v>
      </c>
      <c r="W1946" t="s">
        <v>108</v>
      </c>
      <c r="Z1946">
        <v>0</v>
      </c>
      <c r="AA1946" t="s">
        <v>9173</v>
      </c>
      <c r="AB1946" t="s">
        <v>9164</v>
      </c>
      <c r="AC1946" t="s">
        <v>9139</v>
      </c>
      <c r="AD1946" t="s">
        <v>9140</v>
      </c>
      <c r="AE1946" t="s">
        <v>9140</v>
      </c>
      <c r="AF1946" t="s">
        <v>63</v>
      </c>
      <c r="AG1946">
        <v>0</v>
      </c>
      <c r="AH1946" t="s">
        <v>9141</v>
      </c>
      <c r="AI1946" t="s">
        <v>9175</v>
      </c>
      <c r="AJ1946" t="s">
        <v>9143</v>
      </c>
      <c r="AK1946" t="s">
        <v>9141</v>
      </c>
      <c r="AL1946" t="s">
        <v>9177</v>
      </c>
      <c r="AM1946" t="s">
        <v>9141</v>
      </c>
      <c r="AN1946" t="s">
        <v>9178</v>
      </c>
    </row>
    <row r="1947" spans="1:40" x14ac:dyDescent="0.25">
      <c r="A1947" t="s">
        <v>6207</v>
      </c>
      <c r="C1947" t="s">
        <v>39</v>
      </c>
      <c r="D1947" t="s">
        <v>6208</v>
      </c>
      <c r="E1947" t="s">
        <v>6209</v>
      </c>
      <c r="F1947" s="2">
        <v>45126</v>
      </c>
      <c r="G1947" s="3">
        <v>0.4861111111111111</v>
      </c>
      <c r="H1947" t="s">
        <v>5666</v>
      </c>
      <c r="I1947" s="4" t="s">
        <v>6136</v>
      </c>
      <c r="J1947" t="s">
        <v>2598</v>
      </c>
      <c r="K1947" t="s">
        <v>5339</v>
      </c>
      <c r="L1947" t="s">
        <v>6210</v>
      </c>
      <c r="M1947" t="s">
        <v>46</v>
      </c>
      <c r="O1947" t="s">
        <v>47</v>
      </c>
      <c r="P1947" t="s">
        <v>48</v>
      </c>
      <c r="Q1947">
        <v>0</v>
      </c>
      <c r="R1947" t="b">
        <v>0</v>
      </c>
      <c r="S1947" t="s">
        <v>61</v>
      </c>
      <c r="T1947" t="s">
        <v>70</v>
      </c>
      <c r="U1947" t="s">
        <v>71</v>
      </c>
      <c r="V1947" t="s">
        <v>72</v>
      </c>
      <c r="W1947" t="s">
        <v>73</v>
      </c>
      <c r="X1947" t="s">
        <v>54</v>
      </c>
      <c r="Y1947" t="s">
        <v>211</v>
      </c>
      <c r="Z1947">
        <v>0</v>
      </c>
      <c r="AA1947" t="s">
        <v>9173</v>
      </c>
      <c r="AB1947" t="s">
        <v>9164</v>
      </c>
      <c r="AC1947" t="s">
        <v>9148</v>
      </c>
      <c r="AD1947" t="s">
        <v>9140</v>
      </c>
      <c r="AE1947" t="s">
        <v>9140</v>
      </c>
      <c r="AF1947" t="s">
        <v>72</v>
      </c>
      <c r="AG1947" t="s">
        <v>54</v>
      </c>
      <c r="AH1947" t="s">
        <v>9220</v>
      </c>
      <c r="AI1947" t="s">
        <v>9199</v>
      </c>
      <c r="AJ1947" t="s">
        <v>9143</v>
      </c>
      <c r="AK1947" t="s">
        <v>9221</v>
      </c>
      <c r="AL1947" t="s">
        <v>9199</v>
      </c>
      <c r="AM1947" t="s">
        <v>9221</v>
      </c>
      <c r="AN1947" t="s">
        <v>9238</v>
      </c>
    </row>
    <row r="1948" spans="1:40" x14ac:dyDescent="0.25">
      <c r="A1948" t="s">
        <v>8513</v>
      </c>
      <c r="C1948" t="s">
        <v>39</v>
      </c>
      <c r="D1948" t="s">
        <v>8514</v>
      </c>
      <c r="E1948" t="s">
        <v>8515</v>
      </c>
      <c r="F1948" s="2">
        <v>45125</v>
      </c>
      <c r="G1948" s="3">
        <v>0.4375</v>
      </c>
      <c r="H1948" t="s">
        <v>8476</v>
      </c>
      <c r="I1948" s="4" t="s">
        <v>8477</v>
      </c>
      <c r="J1948" t="s">
        <v>8478</v>
      </c>
      <c r="K1948" t="s">
        <v>8516</v>
      </c>
      <c r="L1948" t="s">
        <v>8517</v>
      </c>
      <c r="M1948" t="s">
        <v>46</v>
      </c>
      <c r="O1948" t="s">
        <v>47</v>
      </c>
      <c r="P1948" t="s">
        <v>48</v>
      </c>
      <c r="Q1948">
        <v>0</v>
      </c>
      <c r="R1948" t="b">
        <v>0</v>
      </c>
      <c r="S1948" t="s">
        <v>61</v>
      </c>
      <c r="T1948" t="s">
        <v>70</v>
      </c>
      <c r="U1948" t="s">
        <v>71</v>
      </c>
      <c r="V1948" t="s">
        <v>72</v>
      </c>
      <c r="W1948" t="s">
        <v>73</v>
      </c>
      <c r="X1948" t="s">
        <v>98</v>
      </c>
      <c r="Z1948">
        <v>0</v>
      </c>
      <c r="AA1948" t="s">
        <v>9173</v>
      </c>
      <c r="AB1948" t="s">
        <v>9164</v>
      </c>
      <c r="AC1948" t="s">
        <v>9148</v>
      </c>
      <c r="AD1948" t="s">
        <v>9140</v>
      </c>
      <c r="AE1948" t="s">
        <v>9140</v>
      </c>
      <c r="AF1948" t="s">
        <v>72</v>
      </c>
      <c r="AG1948" t="s">
        <v>98</v>
      </c>
      <c r="AH1948" t="s">
        <v>9220</v>
      </c>
      <c r="AI1948" t="s">
        <v>9193</v>
      </c>
      <c r="AJ1948" t="s">
        <v>9143</v>
      </c>
      <c r="AK1948" t="s">
        <v>9221</v>
      </c>
      <c r="AL1948" t="s">
        <v>9230</v>
      </c>
      <c r="AM1948" t="s">
        <v>9221</v>
      </c>
      <c r="AN1948" t="s">
        <v>9231</v>
      </c>
    </row>
    <row r="1949" spans="1:40" x14ac:dyDescent="0.25">
      <c r="A1949" t="s">
        <v>8518</v>
      </c>
      <c r="C1949" t="s">
        <v>39</v>
      </c>
      <c r="D1949" t="s">
        <v>8497</v>
      </c>
      <c r="E1949" t="s">
        <v>8498</v>
      </c>
      <c r="F1949" s="2">
        <v>45125</v>
      </c>
      <c r="G1949" s="3">
        <v>0.53125</v>
      </c>
      <c r="H1949" t="s">
        <v>8476</v>
      </c>
      <c r="I1949" s="4" t="s">
        <v>8477</v>
      </c>
      <c r="J1949" t="s">
        <v>8478</v>
      </c>
      <c r="K1949" t="s">
        <v>8519</v>
      </c>
      <c r="L1949" t="s">
        <v>8520</v>
      </c>
      <c r="M1949" t="s">
        <v>46</v>
      </c>
      <c r="O1949" t="s">
        <v>47</v>
      </c>
      <c r="P1949" t="s">
        <v>48</v>
      </c>
      <c r="Q1949">
        <v>0</v>
      </c>
      <c r="R1949" t="b">
        <v>0</v>
      </c>
      <c r="S1949" t="s">
        <v>61</v>
      </c>
      <c r="T1949" t="s">
        <v>89</v>
      </c>
      <c r="U1949" t="s">
        <v>301</v>
      </c>
      <c r="V1949" t="s">
        <v>63</v>
      </c>
      <c r="W1949" t="s">
        <v>108</v>
      </c>
      <c r="X1949" t="s">
        <v>54</v>
      </c>
      <c r="Z1949">
        <v>0</v>
      </c>
      <c r="AA1949" t="s">
        <v>9173</v>
      </c>
      <c r="AB1949" t="s">
        <v>9164</v>
      </c>
      <c r="AC1949" t="s">
        <v>9148</v>
      </c>
      <c r="AD1949" t="s">
        <v>9140</v>
      </c>
      <c r="AE1949" t="s">
        <v>9140</v>
      </c>
      <c r="AF1949" t="s">
        <v>63</v>
      </c>
      <c r="AG1949" t="s">
        <v>54</v>
      </c>
      <c r="AH1949" t="s">
        <v>9220</v>
      </c>
      <c r="AI1949" t="s">
        <v>9193</v>
      </c>
      <c r="AJ1949" t="s">
        <v>9143</v>
      </c>
      <c r="AK1949" t="s">
        <v>9221</v>
      </c>
      <c r="AL1949" t="s">
        <v>9230</v>
      </c>
      <c r="AM1949" t="s">
        <v>9221</v>
      </c>
      <c r="AN1949" t="s">
        <v>9231</v>
      </c>
    </row>
    <row r="1950" spans="1:40" x14ac:dyDescent="0.25">
      <c r="A1950" t="s">
        <v>4960</v>
      </c>
      <c r="B1950" s="1" t="s">
        <v>4961</v>
      </c>
      <c r="C1950" t="s">
        <v>39</v>
      </c>
      <c r="D1950" t="s">
        <v>4962</v>
      </c>
      <c r="E1950" t="s">
        <v>4963</v>
      </c>
      <c r="F1950" s="2">
        <v>45125</v>
      </c>
      <c r="G1950" s="3">
        <v>0.77083333333333337</v>
      </c>
      <c r="H1950" t="s">
        <v>4910</v>
      </c>
      <c r="I1950" s="4" t="s">
        <v>4939</v>
      </c>
      <c r="J1950" t="s">
        <v>4940</v>
      </c>
      <c r="K1950" t="s">
        <v>4964</v>
      </c>
      <c r="L1950" t="s">
        <v>4965</v>
      </c>
      <c r="M1950" t="s">
        <v>28</v>
      </c>
      <c r="N1950" t="s">
        <v>183</v>
      </c>
      <c r="O1950" t="s">
        <v>174</v>
      </c>
      <c r="P1950" t="s">
        <v>48</v>
      </c>
      <c r="Q1950">
        <v>1</v>
      </c>
      <c r="R1950" t="b">
        <v>0</v>
      </c>
      <c r="S1950" t="s">
        <v>184</v>
      </c>
      <c r="T1950" t="s">
        <v>70</v>
      </c>
      <c r="U1950" t="s">
        <v>71</v>
      </c>
      <c r="V1950" t="s">
        <v>63</v>
      </c>
      <c r="W1950" t="s">
        <v>198</v>
      </c>
      <c r="X1950" t="s">
        <v>54</v>
      </c>
      <c r="Z1950" t="s">
        <v>48</v>
      </c>
      <c r="AA1950" t="s">
        <v>9173</v>
      </c>
      <c r="AB1950" t="s">
        <v>9164</v>
      </c>
      <c r="AC1950" t="s">
        <v>9166</v>
      </c>
      <c r="AD1950" t="s">
        <v>28</v>
      </c>
      <c r="AE1950" t="s">
        <v>183</v>
      </c>
      <c r="AF1950" t="s">
        <v>63</v>
      </c>
      <c r="AG1950" t="s">
        <v>54</v>
      </c>
      <c r="AH1950" t="s">
        <v>9220</v>
      </c>
      <c r="AI1950" t="s">
        <v>9191</v>
      </c>
      <c r="AJ1950" t="s">
        <v>9143</v>
      </c>
      <c r="AK1950" t="s">
        <v>9221</v>
      </c>
      <c r="AL1950" t="s">
        <v>9234</v>
      </c>
      <c r="AM1950" t="s">
        <v>9221</v>
      </c>
      <c r="AN1950" t="s">
        <v>9235</v>
      </c>
    </row>
    <row r="1951" spans="1:40" x14ac:dyDescent="0.25">
      <c r="A1951" t="s">
        <v>5412</v>
      </c>
      <c r="C1951" t="s">
        <v>39</v>
      </c>
      <c r="D1951" t="s">
        <v>5413</v>
      </c>
      <c r="E1951" t="s">
        <v>5414</v>
      </c>
      <c r="F1951" s="2">
        <v>45125</v>
      </c>
      <c r="G1951" s="3">
        <v>0.5</v>
      </c>
      <c r="H1951" t="s">
        <v>4910</v>
      </c>
      <c r="I1951" s="4" t="s">
        <v>5360</v>
      </c>
      <c r="J1951" t="s">
        <v>2062</v>
      </c>
      <c r="K1951" t="s">
        <v>5415</v>
      </c>
      <c r="L1951" t="s">
        <v>5416</v>
      </c>
      <c r="M1951" t="s">
        <v>46</v>
      </c>
      <c r="O1951" t="s">
        <v>47</v>
      </c>
      <c r="P1951" t="s">
        <v>48</v>
      </c>
      <c r="Q1951">
        <v>0</v>
      </c>
      <c r="R1951" t="b">
        <v>0</v>
      </c>
      <c r="S1951" t="s">
        <v>49</v>
      </c>
      <c r="T1951" t="s">
        <v>1495</v>
      </c>
      <c r="U1951" t="s">
        <v>80</v>
      </c>
      <c r="V1951" t="s">
        <v>63</v>
      </c>
      <c r="W1951" t="s">
        <v>108</v>
      </c>
      <c r="X1951" t="s">
        <v>98</v>
      </c>
      <c r="Z1951">
        <v>0</v>
      </c>
      <c r="AA1951" t="s">
        <v>9173</v>
      </c>
      <c r="AB1951" t="s">
        <v>9164</v>
      </c>
      <c r="AC1951" t="s">
        <v>9139</v>
      </c>
      <c r="AD1951" t="s">
        <v>9140</v>
      </c>
      <c r="AE1951" t="s">
        <v>9140</v>
      </c>
      <c r="AF1951" t="s">
        <v>63</v>
      </c>
      <c r="AG1951" t="s">
        <v>98</v>
      </c>
      <c r="AH1951" t="s">
        <v>9220</v>
      </c>
      <c r="AI1951" t="s">
        <v>9191</v>
      </c>
      <c r="AJ1951" t="s">
        <v>9143</v>
      </c>
      <c r="AK1951" t="s">
        <v>9221</v>
      </c>
      <c r="AL1951" t="s">
        <v>9234</v>
      </c>
      <c r="AM1951" t="s">
        <v>9221</v>
      </c>
      <c r="AN1951" t="s">
        <v>9235</v>
      </c>
    </row>
    <row r="1952" spans="1:40" x14ac:dyDescent="0.25">
      <c r="A1952" t="s">
        <v>7442</v>
      </c>
      <c r="C1952" t="s">
        <v>39</v>
      </c>
      <c r="D1952" t="s">
        <v>7443</v>
      </c>
      <c r="E1952" t="s">
        <v>7444</v>
      </c>
      <c r="F1952" s="2">
        <v>45125</v>
      </c>
      <c r="G1952" s="3">
        <v>0.52083333333333337</v>
      </c>
      <c r="H1952" t="s">
        <v>4019</v>
      </c>
      <c r="I1952" s="4" t="s">
        <v>7315</v>
      </c>
      <c r="J1952" t="s">
        <v>1037</v>
      </c>
      <c r="K1952" t="s">
        <v>7445</v>
      </c>
      <c r="L1952" t="s">
        <v>7446</v>
      </c>
      <c r="M1952" t="s">
        <v>46</v>
      </c>
      <c r="O1952" t="s">
        <v>47</v>
      </c>
      <c r="P1952" t="s">
        <v>48</v>
      </c>
      <c r="Q1952">
        <v>0</v>
      </c>
      <c r="R1952" t="b">
        <v>0</v>
      </c>
      <c r="S1952" t="s">
        <v>61</v>
      </c>
      <c r="T1952" t="s">
        <v>479</v>
      </c>
      <c r="U1952" t="s">
        <v>1918</v>
      </c>
      <c r="V1952" t="s">
        <v>123</v>
      </c>
      <c r="W1952" t="s">
        <v>124</v>
      </c>
      <c r="X1952" t="s">
        <v>54</v>
      </c>
      <c r="Z1952">
        <v>0</v>
      </c>
      <c r="AA1952" t="s">
        <v>9173</v>
      </c>
      <c r="AB1952" t="s">
        <v>9164</v>
      </c>
      <c r="AC1952" t="s">
        <v>9148</v>
      </c>
      <c r="AD1952" t="s">
        <v>9140</v>
      </c>
      <c r="AE1952" t="s">
        <v>9140</v>
      </c>
      <c r="AF1952" t="s">
        <v>123</v>
      </c>
      <c r="AG1952" t="s">
        <v>54</v>
      </c>
      <c r="AH1952" t="s">
        <v>9220</v>
      </c>
      <c r="AI1952" t="s">
        <v>9175</v>
      </c>
      <c r="AJ1952" t="s">
        <v>9143</v>
      </c>
      <c r="AK1952" t="s">
        <v>9221</v>
      </c>
      <c r="AL1952" t="s">
        <v>9222</v>
      </c>
      <c r="AM1952" t="s">
        <v>9221</v>
      </c>
      <c r="AN1952" t="s">
        <v>9223</v>
      </c>
    </row>
    <row r="1953" spans="1:40" x14ac:dyDescent="0.25">
      <c r="A1953" t="s">
        <v>4564</v>
      </c>
      <c r="C1953" t="s">
        <v>39</v>
      </c>
      <c r="D1953" t="s">
        <v>4550</v>
      </c>
      <c r="E1953" t="s">
        <v>4551</v>
      </c>
      <c r="F1953" s="2">
        <v>45124</v>
      </c>
      <c r="G1953" s="3">
        <v>0.38541666666666669</v>
      </c>
      <c r="H1953" t="s">
        <v>4516</v>
      </c>
      <c r="I1953" s="4" t="s">
        <v>4546</v>
      </c>
      <c r="J1953" t="s">
        <v>3163</v>
      </c>
      <c r="K1953" t="s">
        <v>4565</v>
      </c>
      <c r="L1953" t="s">
        <v>4566</v>
      </c>
      <c r="M1953" t="s">
        <v>46</v>
      </c>
      <c r="O1953" t="s">
        <v>47</v>
      </c>
      <c r="P1953" t="s">
        <v>48</v>
      </c>
      <c r="Q1953">
        <v>0</v>
      </c>
      <c r="R1953" t="b">
        <v>0</v>
      </c>
      <c r="S1953" t="s">
        <v>61</v>
      </c>
      <c r="T1953" t="s">
        <v>479</v>
      </c>
      <c r="U1953" t="s">
        <v>148</v>
      </c>
      <c r="V1953" t="s">
        <v>63</v>
      </c>
      <c r="W1953" t="s">
        <v>108</v>
      </c>
      <c r="X1953" t="s">
        <v>98</v>
      </c>
      <c r="Z1953">
        <v>0</v>
      </c>
      <c r="AA1953" t="s">
        <v>9173</v>
      </c>
      <c r="AB1953" t="s">
        <v>9164</v>
      </c>
      <c r="AC1953" t="s">
        <v>9148</v>
      </c>
      <c r="AD1953" t="s">
        <v>9140</v>
      </c>
      <c r="AE1953" t="s">
        <v>9140</v>
      </c>
      <c r="AF1953" t="s">
        <v>63</v>
      </c>
      <c r="AG1953" t="s">
        <v>98</v>
      </c>
      <c r="AH1953" t="s">
        <v>9220</v>
      </c>
      <c r="AI1953" t="s">
        <v>9188</v>
      </c>
      <c r="AJ1953" t="s">
        <v>9143</v>
      </c>
      <c r="AK1953" t="s">
        <v>9221</v>
      </c>
      <c r="AL1953" t="s">
        <v>9230</v>
      </c>
      <c r="AM1953" t="s">
        <v>9221</v>
      </c>
      <c r="AN1953" t="s">
        <v>9231</v>
      </c>
    </row>
    <row r="1954" spans="1:40" x14ac:dyDescent="0.25">
      <c r="A1954" t="s">
        <v>392</v>
      </c>
      <c r="C1954" t="s">
        <v>39</v>
      </c>
      <c r="D1954" t="s">
        <v>257</v>
      </c>
      <c r="E1954" t="s">
        <v>258</v>
      </c>
      <c r="F1954" s="2">
        <v>45123</v>
      </c>
      <c r="G1954" s="3">
        <v>0.61111111111111116</v>
      </c>
      <c r="H1954" t="s">
        <v>42</v>
      </c>
      <c r="I1954" s="4">
        <v>1011</v>
      </c>
      <c r="J1954" t="s">
        <v>215</v>
      </c>
      <c r="K1954" t="s">
        <v>393</v>
      </c>
      <c r="L1954" t="s">
        <v>394</v>
      </c>
      <c r="M1954" t="s">
        <v>46</v>
      </c>
      <c r="O1954" t="s">
        <v>47</v>
      </c>
      <c r="P1954" t="s">
        <v>48</v>
      </c>
      <c r="Q1954">
        <v>0</v>
      </c>
      <c r="R1954" t="b">
        <v>0</v>
      </c>
      <c r="S1954" t="s">
        <v>61</v>
      </c>
      <c r="T1954" t="s">
        <v>89</v>
      </c>
      <c r="U1954" t="s">
        <v>107</v>
      </c>
      <c r="V1954" t="s">
        <v>63</v>
      </c>
      <c r="W1954" t="s">
        <v>108</v>
      </c>
      <c r="Z1954">
        <v>0</v>
      </c>
      <c r="AA1954" t="s">
        <v>9173</v>
      </c>
      <c r="AB1954" t="s">
        <v>9164</v>
      </c>
      <c r="AC1954" t="s">
        <v>9148</v>
      </c>
      <c r="AD1954" t="s">
        <v>9140</v>
      </c>
      <c r="AE1954" t="s">
        <v>9140</v>
      </c>
      <c r="AF1954" t="s">
        <v>63</v>
      </c>
      <c r="AG1954">
        <v>0</v>
      </c>
      <c r="AH1954" t="s">
        <v>9141</v>
      </c>
      <c r="AI1954" t="s">
        <v>9142</v>
      </c>
      <c r="AJ1954" t="s">
        <v>9143</v>
      </c>
      <c r="AK1954" t="s">
        <v>9141</v>
      </c>
      <c r="AL1954" t="s">
        <v>9144</v>
      </c>
      <c r="AM1954" t="s">
        <v>9141</v>
      </c>
      <c r="AN1954" t="s">
        <v>9145</v>
      </c>
    </row>
    <row r="1955" spans="1:40" x14ac:dyDescent="0.25">
      <c r="A1955" t="s">
        <v>4648</v>
      </c>
      <c r="C1955" t="s">
        <v>39</v>
      </c>
      <c r="D1955" t="s">
        <v>4649</v>
      </c>
      <c r="E1955" t="s">
        <v>4650</v>
      </c>
      <c r="F1955" s="2">
        <v>45122</v>
      </c>
      <c r="G1955" s="3">
        <v>0.64583333333333337</v>
      </c>
      <c r="H1955" t="s">
        <v>4516</v>
      </c>
      <c r="I1955" s="4" t="s">
        <v>4586</v>
      </c>
      <c r="J1955" t="s">
        <v>2630</v>
      </c>
      <c r="K1955" t="s">
        <v>4651</v>
      </c>
      <c r="L1955" t="s">
        <v>4651</v>
      </c>
      <c r="M1955" t="s">
        <v>46</v>
      </c>
      <c r="O1955" t="s">
        <v>47</v>
      </c>
      <c r="P1955" t="s">
        <v>48</v>
      </c>
      <c r="Q1955">
        <v>0</v>
      </c>
      <c r="R1955" t="b">
        <v>0</v>
      </c>
      <c r="S1955" t="s">
        <v>49</v>
      </c>
      <c r="T1955" t="s">
        <v>1495</v>
      </c>
      <c r="U1955" t="s">
        <v>224</v>
      </c>
      <c r="V1955" t="s">
        <v>81</v>
      </c>
      <c r="W1955" t="s">
        <v>2838</v>
      </c>
      <c r="X1955" t="s">
        <v>3114</v>
      </c>
      <c r="Z1955">
        <v>0</v>
      </c>
      <c r="AA1955" t="s">
        <v>9173</v>
      </c>
      <c r="AB1955" t="s">
        <v>9164</v>
      </c>
      <c r="AC1955" t="s">
        <v>9139</v>
      </c>
      <c r="AD1955" t="s">
        <v>9140</v>
      </c>
      <c r="AE1955" t="s">
        <v>9140</v>
      </c>
      <c r="AF1955" t="s">
        <v>81</v>
      </c>
      <c r="AG1955" t="s">
        <v>3114</v>
      </c>
      <c r="AH1955" t="s">
        <v>9220</v>
      </c>
      <c r="AI1955" t="s">
        <v>9188</v>
      </c>
      <c r="AJ1955" t="s">
        <v>9143</v>
      </c>
      <c r="AK1955" t="s">
        <v>9221</v>
      </c>
      <c r="AL1955" t="s">
        <v>9232</v>
      </c>
      <c r="AM1955" t="s">
        <v>9221</v>
      </c>
      <c r="AN1955" t="s">
        <v>9233</v>
      </c>
    </row>
    <row r="1956" spans="1:40" x14ac:dyDescent="0.25">
      <c r="A1956" t="s">
        <v>6494</v>
      </c>
      <c r="C1956" t="s">
        <v>39</v>
      </c>
      <c r="D1956" t="s">
        <v>6495</v>
      </c>
      <c r="E1956" t="s">
        <v>6496</v>
      </c>
      <c r="F1956" s="2">
        <v>45122</v>
      </c>
      <c r="G1956" s="3">
        <v>0.56597222222222221</v>
      </c>
      <c r="H1956" t="s">
        <v>4659</v>
      </c>
      <c r="I1956" s="4" t="s">
        <v>6491</v>
      </c>
      <c r="J1956" t="s">
        <v>6492</v>
      </c>
      <c r="K1956" t="s">
        <v>6497</v>
      </c>
      <c r="L1956" t="s">
        <v>6498</v>
      </c>
      <c r="M1956" t="s">
        <v>46</v>
      </c>
      <c r="O1956" t="s">
        <v>47</v>
      </c>
      <c r="P1956" t="s">
        <v>48</v>
      </c>
      <c r="Q1956">
        <v>0</v>
      </c>
      <c r="R1956" t="b">
        <v>0</v>
      </c>
      <c r="S1956" t="s">
        <v>61</v>
      </c>
      <c r="T1956" t="s">
        <v>89</v>
      </c>
      <c r="U1956" t="s">
        <v>148</v>
      </c>
      <c r="V1956" t="s">
        <v>52</v>
      </c>
      <c r="W1956" t="s">
        <v>53</v>
      </c>
      <c r="Z1956">
        <v>0</v>
      </c>
      <c r="AA1956" t="s">
        <v>9173</v>
      </c>
      <c r="AB1956" t="s">
        <v>9164</v>
      </c>
      <c r="AC1956" t="s">
        <v>9148</v>
      </c>
      <c r="AD1956" t="s">
        <v>9140</v>
      </c>
      <c r="AE1956" t="s">
        <v>9140</v>
      </c>
      <c r="AF1956" t="s">
        <v>52</v>
      </c>
      <c r="AG1956">
        <v>0</v>
      </c>
      <c r="AH1956" t="s">
        <v>9220</v>
      </c>
      <c r="AI1956" t="s">
        <v>9142</v>
      </c>
      <c r="AJ1956" t="s">
        <v>9143</v>
      </c>
      <c r="AK1956" t="s">
        <v>9221</v>
      </c>
      <c r="AL1956" t="s">
        <v>9228</v>
      </c>
      <c r="AM1956" t="s">
        <v>9221</v>
      </c>
      <c r="AN1956" t="s">
        <v>9229</v>
      </c>
    </row>
    <row r="1957" spans="1:40" x14ac:dyDescent="0.25">
      <c r="A1957" t="s">
        <v>5802</v>
      </c>
      <c r="C1957" t="s">
        <v>39</v>
      </c>
      <c r="D1957" t="s">
        <v>5803</v>
      </c>
      <c r="E1957" t="s">
        <v>5804</v>
      </c>
      <c r="F1957" s="2">
        <v>45121</v>
      </c>
      <c r="G1957" s="3">
        <v>0.4375</v>
      </c>
      <c r="H1957" t="s">
        <v>4516</v>
      </c>
      <c r="I1957" s="4" t="s">
        <v>5776</v>
      </c>
      <c r="J1957" t="s">
        <v>1412</v>
      </c>
      <c r="K1957" t="s">
        <v>5805</v>
      </c>
      <c r="L1957" t="s">
        <v>5806</v>
      </c>
      <c r="M1957" t="s">
        <v>46</v>
      </c>
      <c r="O1957" t="s">
        <v>47</v>
      </c>
      <c r="P1957" t="s">
        <v>48</v>
      </c>
      <c r="Q1957">
        <v>0</v>
      </c>
      <c r="R1957" t="b">
        <v>0</v>
      </c>
      <c r="S1957" t="s">
        <v>49</v>
      </c>
      <c r="T1957" t="s">
        <v>134</v>
      </c>
      <c r="U1957" t="s">
        <v>148</v>
      </c>
      <c r="V1957" t="s">
        <v>123</v>
      </c>
      <c r="W1957" t="s">
        <v>192</v>
      </c>
      <c r="X1957" t="s">
        <v>54</v>
      </c>
      <c r="Y1957" t="s">
        <v>302</v>
      </c>
      <c r="Z1957">
        <v>0</v>
      </c>
      <c r="AA1957" t="s">
        <v>9173</v>
      </c>
      <c r="AB1957" t="s">
        <v>9164</v>
      </c>
      <c r="AC1957" t="s">
        <v>9139</v>
      </c>
      <c r="AD1957" t="s">
        <v>9140</v>
      </c>
      <c r="AE1957" t="s">
        <v>9140</v>
      </c>
      <c r="AF1957" t="s">
        <v>123</v>
      </c>
      <c r="AG1957" t="s">
        <v>54</v>
      </c>
      <c r="AH1957" t="s">
        <v>9220</v>
      </c>
      <c r="AI1957" t="s">
        <v>9188</v>
      </c>
      <c r="AJ1957" t="s">
        <v>9143</v>
      </c>
      <c r="AK1957" t="s">
        <v>9221</v>
      </c>
      <c r="AL1957" t="s">
        <v>9232</v>
      </c>
      <c r="AM1957" t="s">
        <v>9221</v>
      </c>
      <c r="AN1957" t="s">
        <v>9233</v>
      </c>
    </row>
    <row r="1958" spans="1:40" x14ac:dyDescent="0.25">
      <c r="A1958" t="s">
        <v>693</v>
      </c>
      <c r="C1958" t="s">
        <v>39</v>
      </c>
      <c r="D1958" t="s">
        <v>694</v>
      </c>
      <c r="E1958" t="s">
        <v>695</v>
      </c>
      <c r="F1958" s="2">
        <v>45121</v>
      </c>
      <c r="G1958" s="3">
        <v>0.61805555555555558</v>
      </c>
      <c r="H1958" t="s">
        <v>463</v>
      </c>
      <c r="I1958" s="4">
        <v>2024</v>
      </c>
      <c r="J1958" t="s">
        <v>664</v>
      </c>
      <c r="K1958" t="s">
        <v>696</v>
      </c>
      <c r="L1958" t="s">
        <v>697</v>
      </c>
      <c r="M1958" t="s">
        <v>46</v>
      </c>
      <c r="O1958" t="s">
        <v>47</v>
      </c>
      <c r="P1958" t="s">
        <v>48</v>
      </c>
      <c r="Q1958">
        <v>0</v>
      </c>
      <c r="R1958" t="b">
        <v>0</v>
      </c>
      <c r="S1958" t="s">
        <v>61</v>
      </c>
      <c r="T1958" t="s">
        <v>89</v>
      </c>
      <c r="U1958" t="s">
        <v>224</v>
      </c>
      <c r="V1958" t="s">
        <v>123</v>
      </c>
      <c r="W1958" t="s">
        <v>124</v>
      </c>
      <c r="Z1958">
        <v>0</v>
      </c>
      <c r="AA1958" t="s">
        <v>9173</v>
      </c>
      <c r="AB1958" t="s">
        <v>9164</v>
      </c>
      <c r="AC1958" t="s">
        <v>9148</v>
      </c>
      <c r="AD1958" t="s">
        <v>9140</v>
      </c>
      <c r="AE1958" t="s">
        <v>9140</v>
      </c>
      <c r="AF1958" t="s">
        <v>123</v>
      </c>
      <c r="AG1958">
        <v>0</v>
      </c>
      <c r="AH1958" t="s">
        <v>9141</v>
      </c>
      <c r="AI1958" t="s">
        <v>9175</v>
      </c>
      <c r="AJ1958" t="s">
        <v>9143</v>
      </c>
      <c r="AK1958" t="s">
        <v>9141</v>
      </c>
      <c r="AL1958" t="s">
        <v>9177</v>
      </c>
      <c r="AM1958" t="s">
        <v>9141</v>
      </c>
      <c r="AN1958" t="s">
        <v>9178</v>
      </c>
    </row>
    <row r="1959" spans="1:40" x14ac:dyDescent="0.25">
      <c r="A1959" t="s">
        <v>6125</v>
      </c>
      <c r="C1959" t="s">
        <v>39</v>
      </c>
      <c r="D1959" t="s">
        <v>6126</v>
      </c>
      <c r="E1959" t="s">
        <v>6127</v>
      </c>
      <c r="F1959" s="2">
        <v>45120</v>
      </c>
      <c r="G1959" s="3">
        <v>0.47916666666666669</v>
      </c>
      <c r="H1959" t="s">
        <v>4516</v>
      </c>
      <c r="I1959" s="4" t="s">
        <v>6112</v>
      </c>
      <c r="J1959" t="s">
        <v>6113</v>
      </c>
      <c r="K1959" t="s">
        <v>6128</v>
      </c>
      <c r="L1959" t="s">
        <v>6129</v>
      </c>
      <c r="M1959" t="s">
        <v>46</v>
      </c>
      <c r="O1959" t="s">
        <v>47</v>
      </c>
      <c r="P1959" t="s">
        <v>48</v>
      </c>
      <c r="Q1959">
        <v>0</v>
      </c>
      <c r="R1959" t="b">
        <v>0</v>
      </c>
      <c r="S1959" t="s">
        <v>61</v>
      </c>
      <c r="T1959" t="s">
        <v>479</v>
      </c>
      <c r="U1959" t="s">
        <v>148</v>
      </c>
      <c r="V1959" t="s">
        <v>52</v>
      </c>
      <c r="W1959" t="s">
        <v>53</v>
      </c>
      <c r="X1959" t="s">
        <v>54</v>
      </c>
      <c r="Z1959">
        <v>0</v>
      </c>
      <c r="AA1959" t="s">
        <v>9173</v>
      </c>
      <c r="AB1959" t="s">
        <v>9164</v>
      </c>
      <c r="AC1959" t="s">
        <v>9148</v>
      </c>
      <c r="AD1959" t="s">
        <v>9140</v>
      </c>
      <c r="AE1959" t="s">
        <v>9140</v>
      </c>
      <c r="AF1959" t="s">
        <v>52</v>
      </c>
      <c r="AG1959" t="s">
        <v>54</v>
      </c>
      <c r="AH1959" t="s">
        <v>9220</v>
      </c>
      <c r="AI1959" t="s">
        <v>9188</v>
      </c>
      <c r="AJ1959" t="s">
        <v>9143</v>
      </c>
      <c r="AK1959" t="s">
        <v>9221</v>
      </c>
      <c r="AL1959" t="s">
        <v>9236</v>
      </c>
      <c r="AM1959" t="s">
        <v>9221</v>
      </c>
      <c r="AN1959" t="s">
        <v>9237</v>
      </c>
    </row>
    <row r="1960" spans="1:40" x14ac:dyDescent="0.25">
      <c r="A1960" t="s">
        <v>7020</v>
      </c>
      <c r="C1960" t="s">
        <v>39</v>
      </c>
      <c r="D1960" t="s">
        <v>7021</v>
      </c>
      <c r="E1960" t="s">
        <v>7022</v>
      </c>
      <c r="F1960" s="2">
        <v>45120</v>
      </c>
      <c r="G1960" s="3">
        <v>0.5</v>
      </c>
      <c r="H1960" t="s">
        <v>4516</v>
      </c>
      <c r="I1960" s="4" t="s">
        <v>6985</v>
      </c>
      <c r="J1960" t="s">
        <v>3890</v>
      </c>
      <c r="K1960" t="s">
        <v>7023</v>
      </c>
      <c r="L1960" t="s">
        <v>7024</v>
      </c>
      <c r="M1960" t="s">
        <v>46</v>
      </c>
      <c r="O1960" t="s">
        <v>47</v>
      </c>
      <c r="P1960" t="s">
        <v>48</v>
      </c>
      <c r="Q1960">
        <v>0</v>
      </c>
      <c r="R1960" t="b">
        <v>0</v>
      </c>
      <c r="S1960" t="s">
        <v>61</v>
      </c>
      <c r="T1960" t="s">
        <v>89</v>
      </c>
      <c r="U1960" t="s">
        <v>148</v>
      </c>
      <c r="V1960" t="s">
        <v>52</v>
      </c>
      <c r="W1960" t="s">
        <v>135</v>
      </c>
      <c r="X1960" t="s">
        <v>54</v>
      </c>
      <c r="Z1960">
        <v>0</v>
      </c>
      <c r="AA1960" t="s">
        <v>9173</v>
      </c>
      <c r="AB1960" t="s">
        <v>9164</v>
      </c>
      <c r="AC1960" t="s">
        <v>9148</v>
      </c>
      <c r="AD1960" t="s">
        <v>9140</v>
      </c>
      <c r="AE1960" t="s">
        <v>9140</v>
      </c>
      <c r="AF1960" t="s">
        <v>52</v>
      </c>
      <c r="AG1960" t="s">
        <v>54</v>
      </c>
      <c r="AH1960" t="s">
        <v>9220</v>
      </c>
      <c r="AI1960" t="s">
        <v>9188</v>
      </c>
      <c r="AJ1960" t="s">
        <v>9143</v>
      </c>
      <c r="AK1960" t="s">
        <v>9221</v>
      </c>
      <c r="AL1960" t="s">
        <v>9230</v>
      </c>
      <c r="AM1960" t="s">
        <v>9221</v>
      </c>
      <c r="AN1960" t="s">
        <v>9231</v>
      </c>
    </row>
    <row r="1961" spans="1:40" x14ac:dyDescent="0.25">
      <c r="A1961" t="s">
        <v>8521</v>
      </c>
      <c r="C1961" t="s">
        <v>39</v>
      </c>
      <c r="D1961" t="s">
        <v>8474</v>
      </c>
      <c r="E1961" t="s">
        <v>8475</v>
      </c>
      <c r="F1961" s="2">
        <v>45120</v>
      </c>
      <c r="G1961" s="3">
        <v>0.61111111111111116</v>
      </c>
      <c r="H1961" t="s">
        <v>8476</v>
      </c>
      <c r="I1961" s="4" t="s">
        <v>8477</v>
      </c>
      <c r="J1961" t="s">
        <v>8478</v>
      </c>
      <c r="K1961" t="s">
        <v>711</v>
      </c>
      <c r="L1961" t="s">
        <v>8522</v>
      </c>
      <c r="M1961" t="s">
        <v>46</v>
      </c>
      <c r="O1961" t="s">
        <v>47</v>
      </c>
      <c r="P1961" t="s">
        <v>48</v>
      </c>
      <c r="Q1961">
        <v>0</v>
      </c>
      <c r="R1961" t="b">
        <v>0</v>
      </c>
      <c r="S1961" t="s">
        <v>61</v>
      </c>
      <c r="T1961" t="s">
        <v>50</v>
      </c>
      <c r="U1961" t="s">
        <v>90</v>
      </c>
      <c r="V1961" t="s">
        <v>63</v>
      </c>
      <c r="W1961" t="s">
        <v>108</v>
      </c>
      <c r="X1961" t="s">
        <v>98</v>
      </c>
      <c r="Z1961">
        <v>0</v>
      </c>
      <c r="AA1961" t="s">
        <v>9173</v>
      </c>
      <c r="AB1961" t="s">
        <v>9164</v>
      </c>
      <c r="AC1961" t="s">
        <v>9148</v>
      </c>
      <c r="AD1961" t="s">
        <v>9140</v>
      </c>
      <c r="AE1961" t="s">
        <v>9140</v>
      </c>
      <c r="AF1961" t="s">
        <v>63</v>
      </c>
      <c r="AG1961" t="s">
        <v>98</v>
      </c>
      <c r="AH1961" t="s">
        <v>9220</v>
      </c>
      <c r="AI1961" t="s">
        <v>9193</v>
      </c>
      <c r="AJ1961" t="s">
        <v>9143</v>
      </c>
      <c r="AK1961" t="s">
        <v>9221</v>
      </c>
      <c r="AL1961" t="s">
        <v>9230</v>
      </c>
      <c r="AM1961" t="s">
        <v>9221</v>
      </c>
      <c r="AN1961" t="s">
        <v>9231</v>
      </c>
    </row>
    <row r="1962" spans="1:40" x14ac:dyDescent="0.25">
      <c r="A1962" t="s">
        <v>5417</v>
      </c>
      <c r="C1962" t="s">
        <v>39</v>
      </c>
      <c r="D1962" t="s">
        <v>5418</v>
      </c>
      <c r="E1962" t="s">
        <v>5419</v>
      </c>
      <c r="F1962" s="2">
        <v>45120</v>
      </c>
      <c r="G1962" s="3">
        <v>0.67222222222222228</v>
      </c>
      <c r="H1962" t="s">
        <v>4910</v>
      </c>
      <c r="I1962" s="4" t="s">
        <v>5360</v>
      </c>
      <c r="J1962" t="s">
        <v>2062</v>
      </c>
      <c r="K1962" t="s">
        <v>5420</v>
      </c>
      <c r="L1962" t="s">
        <v>5421</v>
      </c>
      <c r="M1962" t="s">
        <v>46</v>
      </c>
      <c r="O1962" t="s">
        <v>47</v>
      </c>
      <c r="P1962" t="s">
        <v>48</v>
      </c>
      <c r="Q1962">
        <v>0</v>
      </c>
      <c r="R1962" t="b">
        <v>0</v>
      </c>
      <c r="S1962" t="s">
        <v>49</v>
      </c>
      <c r="T1962" t="s">
        <v>50</v>
      </c>
      <c r="U1962" t="s">
        <v>122</v>
      </c>
      <c r="V1962" t="s">
        <v>123</v>
      </c>
      <c r="W1962" t="s">
        <v>124</v>
      </c>
      <c r="X1962" t="s">
        <v>1131</v>
      </c>
      <c r="Z1962">
        <v>0</v>
      </c>
      <c r="AA1962" t="s">
        <v>9173</v>
      </c>
      <c r="AB1962" t="s">
        <v>9164</v>
      </c>
      <c r="AC1962" t="s">
        <v>9139</v>
      </c>
      <c r="AD1962" t="s">
        <v>9140</v>
      </c>
      <c r="AE1962" t="s">
        <v>9140</v>
      </c>
      <c r="AF1962" t="s">
        <v>123</v>
      </c>
      <c r="AG1962" t="s">
        <v>1131</v>
      </c>
      <c r="AH1962" t="s">
        <v>9220</v>
      </c>
      <c r="AI1962" t="s">
        <v>9191</v>
      </c>
      <c r="AJ1962" t="s">
        <v>9143</v>
      </c>
      <c r="AK1962" t="s">
        <v>9221</v>
      </c>
      <c r="AL1962" t="s">
        <v>9234</v>
      </c>
      <c r="AM1962" t="s">
        <v>9221</v>
      </c>
      <c r="AN1962" t="s">
        <v>9235</v>
      </c>
    </row>
    <row r="1963" spans="1:40" x14ac:dyDescent="0.25">
      <c r="A1963" t="s">
        <v>4051</v>
      </c>
      <c r="C1963" t="s">
        <v>39</v>
      </c>
      <c r="D1963" t="s">
        <v>4042</v>
      </c>
      <c r="E1963" t="s">
        <v>4043</v>
      </c>
      <c r="F1963" s="2">
        <v>45120</v>
      </c>
      <c r="G1963" s="3">
        <v>0.4465277777777778</v>
      </c>
      <c r="H1963" t="s">
        <v>4019</v>
      </c>
      <c r="I1963" s="4" t="s">
        <v>4020</v>
      </c>
      <c r="J1963" t="s">
        <v>3083</v>
      </c>
      <c r="K1963" t="s">
        <v>442</v>
      </c>
      <c r="L1963" t="s">
        <v>4052</v>
      </c>
      <c r="M1963" t="s">
        <v>46</v>
      </c>
      <c r="O1963" t="s">
        <v>47</v>
      </c>
      <c r="P1963" t="s">
        <v>48</v>
      </c>
      <c r="Q1963">
        <v>0</v>
      </c>
      <c r="R1963" t="b">
        <v>0</v>
      </c>
      <c r="S1963" t="s">
        <v>61</v>
      </c>
      <c r="T1963" t="s">
        <v>70</v>
      </c>
      <c r="U1963" t="s">
        <v>80</v>
      </c>
      <c r="V1963" t="s">
        <v>63</v>
      </c>
      <c r="W1963" t="s">
        <v>198</v>
      </c>
      <c r="Z1963">
        <v>0</v>
      </c>
      <c r="AA1963" t="s">
        <v>9173</v>
      </c>
      <c r="AB1963" t="s">
        <v>9164</v>
      </c>
      <c r="AC1963" t="s">
        <v>9148</v>
      </c>
      <c r="AD1963" t="s">
        <v>9140</v>
      </c>
      <c r="AE1963" t="s">
        <v>9140</v>
      </c>
      <c r="AF1963" t="s">
        <v>63</v>
      </c>
      <c r="AG1963">
        <v>0</v>
      </c>
      <c r="AH1963" t="s">
        <v>9220</v>
      </c>
      <c r="AI1963" t="s">
        <v>9175</v>
      </c>
      <c r="AJ1963" t="s">
        <v>9143</v>
      </c>
      <c r="AK1963" t="s">
        <v>9221</v>
      </c>
      <c r="AL1963" t="s">
        <v>9222</v>
      </c>
      <c r="AM1963" t="s">
        <v>9221</v>
      </c>
      <c r="AN1963" t="s">
        <v>9223</v>
      </c>
    </row>
    <row r="1964" spans="1:40" x14ac:dyDescent="0.25">
      <c r="A1964" t="s">
        <v>7154</v>
      </c>
      <c r="C1964" t="s">
        <v>39</v>
      </c>
      <c r="D1964" t="s">
        <v>7068</v>
      </c>
      <c r="E1964" t="s">
        <v>7069</v>
      </c>
      <c r="F1964" s="2">
        <v>45119</v>
      </c>
      <c r="G1964" s="3">
        <v>0.5625</v>
      </c>
      <c r="H1964" t="s">
        <v>4242</v>
      </c>
      <c r="I1964" s="4" t="s">
        <v>7028</v>
      </c>
      <c r="J1964" t="s">
        <v>7029</v>
      </c>
      <c r="K1964" t="s">
        <v>7155</v>
      </c>
      <c r="L1964" t="s">
        <v>7156</v>
      </c>
      <c r="M1964" t="s">
        <v>46</v>
      </c>
      <c r="O1964" t="s">
        <v>47</v>
      </c>
      <c r="P1964" t="s">
        <v>48</v>
      </c>
      <c r="Q1964">
        <v>0</v>
      </c>
      <c r="R1964" t="b">
        <v>0</v>
      </c>
      <c r="S1964" t="s">
        <v>61</v>
      </c>
      <c r="T1964" t="s">
        <v>433</v>
      </c>
      <c r="U1964" t="s">
        <v>80</v>
      </c>
      <c r="V1964" t="s">
        <v>63</v>
      </c>
      <c r="W1964" t="s">
        <v>108</v>
      </c>
      <c r="X1964" t="s">
        <v>978</v>
      </c>
      <c r="Z1964">
        <v>0</v>
      </c>
      <c r="AA1964" t="s">
        <v>9173</v>
      </c>
      <c r="AB1964" t="s">
        <v>9164</v>
      </c>
      <c r="AC1964" t="s">
        <v>9148</v>
      </c>
      <c r="AD1964" t="s">
        <v>9140</v>
      </c>
      <c r="AE1964" t="s">
        <v>9140</v>
      </c>
      <c r="AF1964" t="s">
        <v>63</v>
      </c>
      <c r="AG1964" t="s">
        <v>978</v>
      </c>
      <c r="AH1964" t="s">
        <v>9220</v>
      </c>
      <c r="AI1964" t="s">
        <v>9187</v>
      </c>
      <c r="AJ1964" t="s">
        <v>9143</v>
      </c>
      <c r="AK1964" t="s">
        <v>9221</v>
      </c>
      <c r="AL1964" t="s">
        <v>9226</v>
      </c>
      <c r="AM1964" t="s">
        <v>9221</v>
      </c>
      <c r="AN1964" t="s">
        <v>9227</v>
      </c>
    </row>
    <row r="1965" spans="1:40" x14ac:dyDescent="0.25">
      <c r="A1965" t="s">
        <v>8463</v>
      </c>
      <c r="C1965" t="s">
        <v>39</v>
      </c>
      <c r="D1965" t="s">
        <v>8464</v>
      </c>
      <c r="E1965" t="s">
        <v>8465</v>
      </c>
      <c r="F1965" s="2">
        <v>45119</v>
      </c>
      <c r="G1965" s="3">
        <v>0.54166666666666663</v>
      </c>
      <c r="H1965" t="s">
        <v>4516</v>
      </c>
      <c r="I1965" s="4" t="s">
        <v>8419</v>
      </c>
      <c r="J1965" t="s">
        <v>8420</v>
      </c>
      <c r="K1965" t="s">
        <v>8466</v>
      </c>
      <c r="L1965" t="s">
        <v>8467</v>
      </c>
      <c r="M1965" t="s">
        <v>46</v>
      </c>
      <c r="O1965" t="s">
        <v>47</v>
      </c>
      <c r="P1965" t="s">
        <v>48</v>
      </c>
      <c r="Q1965">
        <v>0</v>
      </c>
      <c r="R1965" t="b">
        <v>0</v>
      </c>
      <c r="S1965" t="s">
        <v>61</v>
      </c>
      <c r="T1965" t="s">
        <v>89</v>
      </c>
      <c r="U1965" t="s">
        <v>148</v>
      </c>
      <c r="V1965" t="s">
        <v>52</v>
      </c>
      <c r="W1965" t="s">
        <v>53</v>
      </c>
      <c r="X1965" t="s">
        <v>54</v>
      </c>
      <c r="Z1965">
        <v>0</v>
      </c>
      <c r="AA1965" t="s">
        <v>9173</v>
      </c>
      <c r="AB1965" t="s">
        <v>9164</v>
      </c>
      <c r="AC1965" t="s">
        <v>9148</v>
      </c>
      <c r="AD1965" t="s">
        <v>9140</v>
      </c>
      <c r="AE1965" t="s">
        <v>9140</v>
      </c>
      <c r="AF1965" t="s">
        <v>52</v>
      </c>
      <c r="AG1965" t="s">
        <v>54</v>
      </c>
      <c r="AH1965" t="s">
        <v>9220</v>
      </c>
      <c r="AI1965" t="s">
        <v>9188</v>
      </c>
      <c r="AJ1965" t="s">
        <v>9143</v>
      </c>
      <c r="AK1965" t="s">
        <v>9221</v>
      </c>
      <c r="AL1965" t="s">
        <v>9232</v>
      </c>
      <c r="AM1965" t="s">
        <v>9221</v>
      </c>
      <c r="AN1965" t="s">
        <v>9233</v>
      </c>
    </row>
    <row r="1966" spans="1:40" x14ac:dyDescent="0.25">
      <c r="A1966" t="s">
        <v>1165</v>
      </c>
      <c r="C1966" t="s">
        <v>39</v>
      </c>
      <c r="D1966" t="s">
        <v>1166</v>
      </c>
      <c r="E1966" t="s">
        <v>1167</v>
      </c>
      <c r="F1966" s="2">
        <v>45119</v>
      </c>
      <c r="G1966" s="3">
        <v>0.68680555555555556</v>
      </c>
      <c r="H1966" t="s">
        <v>1155</v>
      </c>
      <c r="I1966" s="4">
        <v>4041</v>
      </c>
      <c r="J1966" t="s">
        <v>1156</v>
      </c>
      <c r="K1966" t="s">
        <v>1168</v>
      </c>
      <c r="L1966" t="s">
        <v>1169</v>
      </c>
      <c r="M1966" t="s">
        <v>46</v>
      </c>
      <c r="O1966" t="s">
        <v>47</v>
      </c>
      <c r="P1966" t="s">
        <v>48</v>
      </c>
      <c r="Q1966">
        <v>0</v>
      </c>
      <c r="R1966" t="b">
        <v>0</v>
      </c>
      <c r="S1966" t="s">
        <v>49</v>
      </c>
      <c r="T1966" t="s">
        <v>115</v>
      </c>
      <c r="U1966" t="s">
        <v>140</v>
      </c>
      <c r="V1966" t="s">
        <v>123</v>
      </c>
      <c r="W1966" t="s">
        <v>192</v>
      </c>
      <c r="Z1966">
        <v>0</v>
      </c>
      <c r="AA1966" t="s">
        <v>9173</v>
      </c>
      <c r="AB1966" t="s">
        <v>9164</v>
      </c>
      <c r="AC1966" t="s">
        <v>9139</v>
      </c>
      <c r="AD1966" t="s">
        <v>9140</v>
      </c>
      <c r="AE1966" t="s">
        <v>9140</v>
      </c>
      <c r="AF1966" t="s">
        <v>123</v>
      </c>
      <c r="AG1966">
        <v>0</v>
      </c>
      <c r="AH1966" t="s">
        <v>9141</v>
      </c>
      <c r="AI1966" t="s">
        <v>9187</v>
      </c>
      <c r="AJ1966" t="s">
        <v>9143</v>
      </c>
      <c r="AK1966" t="s">
        <v>9141</v>
      </c>
      <c r="AL1966" t="s">
        <v>9144</v>
      </c>
      <c r="AM1966" t="s">
        <v>9141</v>
      </c>
      <c r="AN1966" t="s">
        <v>9145</v>
      </c>
    </row>
    <row r="1967" spans="1:40" x14ac:dyDescent="0.25">
      <c r="A1967" t="s">
        <v>7846</v>
      </c>
      <c r="C1967" t="s">
        <v>39</v>
      </c>
      <c r="D1967" t="s">
        <v>7842</v>
      </c>
      <c r="E1967" t="s">
        <v>7843</v>
      </c>
      <c r="F1967" s="2">
        <v>45118</v>
      </c>
      <c r="G1967" s="3">
        <v>0.51041666666666663</v>
      </c>
      <c r="H1967" t="s">
        <v>5666</v>
      </c>
      <c r="I1967" s="4" t="s">
        <v>7793</v>
      </c>
      <c r="J1967" t="s">
        <v>7794</v>
      </c>
      <c r="K1967" t="s">
        <v>7847</v>
      </c>
      <c r="L1967" t="s">
        <v>7848</v>
      </c>
      <c r="M1967" t="s">
        <v>46</v>
      </c>
      <c r="O1967" t="s">
        <v>47</v>
      </c>
      <c r="P1967" t="s">
        <v>48</v>
      </c>
      <c r="Q1967">
        <v>0</v>
      </c>
      <c r="R1967" t="b">
        <v>0</v>
      </c>
      <c r="S1967" t="s">
        <v>61</v>
      </c>
      <c r="T1967" t="s">
        <v>89</v>
      </c>
      <c r="U1967" t="s">
        <v>71</v>
      </c>
      <c r="V1967" t="s">
        <v>52</v>
      </c>
      <c r="W1967" t="s">
        <v>53</v>
      </c>
      <c r="Z1967">
        <v>0</v>
      </c>
      <c r="AA1967" t="s">
        <v>9173</v>
      </c>
      <c r="AB1967" t="s">
        <v>9164</v>
      </c>
      <c r="AC1967" t="s">
        <v>9148</v>
      </c>
      <c r="AD1967" t="s">
        <v>9140</v>
      </c>
      <c r="AE1967" t="s">
        <v>9140</v>
      </c>
      <c r="AF1967" t="s">
        <v>52</v>
      </c>
      <c r="AG1967">
        <v>0</v>
      </c>
      <c r="AH1967" t="s">
        <v>9220</v>
      </c>
      <c r="AI1967" t="s">
        <v>9199</v>
      </c>
      <c r="AJ1967" t="s">
        <v>9143</v>
      </c>
      <c r="AK1967" t="s">
        <v>9221</v>
      </c>
      <c r="AL1967" t="s">
        <v>9199</v>
      </c>
      <c r="AM1967" t="s">
        <v>9221</v>
      </c>
      <c r="AN1967" t="s">
        <v>9238</v>
      </c>
    </row>
    <row r="1968" spans="1:40" x14ac:dyDescent="0.25">
      <c r="A1968" t="s">
        <v>7748</v>
      </c>
      <c r="B1968" s="1" t="s">
        <v>7749</v>
      </c>
      <c r="C1968" t="s">
        <v>488</v>
      </c>
      <c r="D1968" t="s">
        <v>5436</v>
      </c>
      <c r="E1968" t="s">
        <v>5437</v>
      </c>
      <c r="F1968" s="2">
        <v>45118</v>
      </c>
      <c r="G1968" s="3">
        <v>0.41666666666666669</v>
      </c>
      <c r="H1968" t="s">
        <v>4659</v>
      </c>
      <c r="I1968" s="4" t="s">
        <v>7729</v>
      </c>
      <c r="J1968" t="s">
        <v>3592</v>
      </c>
      <c r="K1968" t="s">
        <v>6403</v>
      </c>
      <c r="L1968" t="s">
        <v>7750</v>
      </c>
      <c r="M1968" t="s">
        <v>28</v>
      </c>
      <c r="N1968" t="s">
        <v>183</v>
      </c>
      <c r="O1968" t="s">
        <v>191</v>
      </c>
      <c r="P1968" t="s">
        <v>48</v>
      </c>
      <c r="Q1968">
        <v>13</v>
      </c>
      <c r="R1968" t="b">
        <v>0</v>
      </c>
      <c r="S1968" t="s">
        <v>184</v>
      </c>
      <c r="U1968" t="s">
        <v>90</v>
      </c>
      <c r="V1968" t="s">
        <v>267</v>
      </c>
      <c r="W1968" t="s">
        <v>495</v>
      </c>
      <c r="X1968" t="s">
        <v>54</v>
      </c>
      <c r="Z1968" t="s">
        <v>48</v>
      </c>
      <c r="AA1968" t="s">
        <v>9173</v>
      </c>
      <c r="AB1968" t="s">
        <v>9164</v>
      </c>
      <c r="AC1968" t="s">
        <v>9166</v>
      </c>
      <c r="AD1968" t="s">
        <v>28</v>
      </c>
      <c r="AE1968" t="s">
        <v>183</v>
      </c>
      <c r="AF1968" t="s">
        <v>267</v>
      </c>
      <c r="AG1968" t="s">
        <v>54</v>
      </c>
      <c r="AH1968" t="s">
        <v>9220</v>
      </c>
      <c r="AI1968" t="s">
        <v>9142</v>
      </c>
      <c r="AJ1968" t="s">
        <v>9143</v>
      </c>
      <c r="AK1968" t="s">
        <v>9221</v>
      </c>
      <c r="AL1968" t="s">
        <v>9228</v>
      </c>
      <c r="AM1968" t="s">
        <v>9221</v>
      </c>
      <c r="AN1968" t="s">
        <v>9229</v>
      </c>
    </row>
    <row r="1969" spans="1:40" x14ac:dyDescent="0.25">
      <c r="A1969" t="s">
        <v>6130</v>
      </c>
      <c r="C1969" t="s">
        <v>39</v>
      </c>
      <c r="D1969" t="s">
        <v>6117</v>
      </c>
      <c r="E1969" t="s">
        <v>6118</v>
      </c>
      <c r="F1969" s="2">
        <v>45117</v>
      </c>
      <c r="G1969" s="3">
        <v>0.4236111111111111</v>
      </c>
      <c r="H1969" t="s">
        <v>4516</v>
      </c>
      <c r="I1969" s="4" t="s">
        <v>6112</v>
      </c>
      <c r="J1969" t="s">
        <v>6113</v>
      </c>
      <c r="K1969" t="s">
        <v>6131</v>
      </c>
      <c r="L1969" t="s">
        <v>6132</v>
      </c>
      <c r="M1969" t="s">
        <v>46</v>
      </c>
      <c r="O1969" t="s">
        <v>47</v>
      </c>
      <c r="P1969" t="s">
        <v>48</v>
      </c>
      <c r="Q1969">
        <v>0</v>
      </c>
      <c r="R1969" t="b">
        <v>0</v>
      </c>
      <c r="S1969" t="s">
        <v>49</v>
      </c>
      <c r="T1969" t="s">
        <v>89</v>
      </c>
      <c r="U1969" t="s">
        <v>140</v>
      </c>
      <c r="V1969" t="s">
        <v>123</v>
      </c>
      <c r="W1969" t="s">
        <v>192</v>
      </c>
      <c r="X1969" t="s">
        <v>54</v>
      </c>
      <c r="Z1969">
        <v>0</v>
      </c>
      <c r="AA1969" t="s">
        <v>9173</v>
      </c>
      <c r="AB1969" t="s">
        <v>9164</v>
      </c>
      <c r="AC1969" t="s">
        <v>9139</v>
      </c>
      <c r="AD1969" t="s">
        <v>9140</v>
      </c>
      <c r="AE1969" t="s">
        <v>9140</v>
      </c>
      <c r="AF1969" t="s">
        <v>123</v>
      </c>
      <c r="AG1969" t="s">
        <v>54</v>
      </c>
      <c r="AH1969" t="s">
        <v>9220</v>
      </c>
      <c r="AI1969" t="s">
        <v>9188</v>
      </c>
      <c r="AJ1969" t="s">
        <v>9143</v>
      </c>
      <c r="AK1969" t="s">
        <v>9221</v>
      </c>
      <c r="AL1969" t="s">
        <v>9236</v>
      </c>
      <c r="AM1969" t="s">
        <v>9221</v>
      </c>
      <c r="AN1969" t="s">
        <v>9237</v>
      </c>
    </row>
    <row r="1970" spans="1:40" x14ac:dyDescent="0.25">
      <c r="A1970" t="s">
        <v>466</v>
      </c>
      <c r="C1970" t="s">
        <v>39</v>
      </c>
      <c r="D1970" t="s">
        <v>467</v>
      </c>
      <c r="E1970" t="s">
        <v>468</v>
      </c>
      <c r="F1970" s="2">
        <v>45117</v>
      </c>
      <c r="G1970" s="3">
        <v>0.61597222222222225</v>
      </c>
      <c r="H1970" t="s">
        <v>463</v>
      </c>
      <c r="I1970" s="4">
        <v>2014</v>
      </c>
      <c r="J1970" t="s">
        <v>464</v>
      </c>
      <c r="K1970" t="s">
        <v>469</v>
      </c>
      <c r="L1970" t="s">
        <v>470</v>
      </c>
      <c r="M1970" t="s">
        <v>46</v>
      </c>
      <c r="O1970" t="s">
        <v>47</v>
      </c>
      <c r="P1970" t="s">
        <v>48</v>
      </c>
      <c r="Q1970">
        <v>0</v>
      </c>
      <c r="R1970" t="b">
        <v>0</v>
      </c>
      <c r="S1970" t="s">
        <v>49</v>
      </c>
      <c r="T1970" t="s">
        <v>89</v>
      </c>
      <c r="U1970" t="s">
        <v>51</v>
      </c>
      <c r="V1970" t="s">
        <v>123</v>
      </c>
      <c r="W1970" t="s">
        <v>124</v>
      </c>
      <c r="X1970" t="s">
        <v>471</v>
      </c>
      <c r="Z1970">
        <v>0</v>
      </c>
      <c r="AA1970" t="s">
        <v>9173</v>
      </c>
      <c r="AB1970" t="s">
        <v>9164</v>
      </c>
      <c r="AC1970" t="s">
        <v>9139</v>
      </c>
      <c r="AD1970" t="s">
        <v>9140</v>
      </c>
      <c r="AE1970" t="s">
        <v>9140</v>
      </c>
      <c r="AF1970" t="s">
        <v>123</v>
      </c>
      <c r="AG1970" t="s">
        <v>471</v>
      </c>
      <c r="AH1970" t="s">
        <v>9141</v>
      </c>
      <c r="AI1970" t="s">
        <v>9175</v>
      </c>
      <c r="AJ1970" t="s">
        <v>9143</v>
      </c>
      <c r="AK1970" t="s">
        <v>9141</v>
      </c>
      <c r="AL1970" t="s">
        <v>9175</v>
      </c>
      <c r="AM1970" t="s">
        <v>9141</v>
      </c>
      <c r="AN1970" t="s">
        <v>9176</v>
      </c>
    </row>
    <row r="1971" spans="1:40" x14ac:dyDescent="0.25">
      <c r="A1971" t="s">
        <v>8840</v>
      </c>
      <c r="C1971" t="s">
        <v>39</v>
      </c>
      <c r="D1971" t="s">
        <v>8841</v>
      </c>
      <c r="E1971" t="s">
        <v>8842</v>
      </c>
      <c r="F1971" s="2">
        <v>45116</v>
      </c>
      <c r="G1971" s="3">
        <v>0.54166666666666663</v>
      </c>
      <c r="H1971" t="s">
        <v>4516</v>
      </c>
      <c r="I1971" s="4" t="s">
        <v>8818</v>
      </c>
      <c r="J1971" t="s">
        <v>8819</v>
      </c>
      <c r="K1971" t="s">
        <v>2442</v>
      </c>
      <c r="L1971" t="s">
        <v>8843</v>
      </c>
      <c r="M1971" t="s">
        <v>46</v>
      </c>
      <c r="O1971" t="s">
        <v>47</v>
      </c>
      <c r="P1971" t="s">
        <v>48</v>
      </c>
      <c r="Q1971">
        <v>0</v>
      </c>
      <c r="R1971" t="b">
        <v>0</v>
      </c>
      <c r="S1971" t="s">
        <v>61</v>
      </c>
      <c r="T1971" t="s">
        <v>50</v>
      </c>
      <c r="U1971" t="s">
        <v>90</v>
      </c>
      <c r="V1971" t="s">
        <v>72</v>
      </c>
      <c r="W1971" t="s">
        <v>73</v>
      </c>
      <c r="X1971" t="s">
        <v>54</v>
      </c>
      <c r="Z1971">
        <v>0</v>
      </c>
      <c r="AA1971" t="s">
        <v>9173</v>
      </c>
      <c r="AB1971" t="s">
        <v>9164</v>
      </c>
      <c r="AC1971" t="s">
        <v>9148</v>
      </c>
      <c r="AD1971" t="s">
        <v>9140</v>
      </c>
      <c r="AE1971" t="s">
        <v>9140</v>
      </c>
      <c r="AF1971" t="s">
        <v>72</v>
      </c>
      <c r="AG1971" t="s">
        <v>54</v>
      </c>
      <c r="AH1971" t="s">
        <v>9220</v>
      </c>
      <c r="AI1971" t="s">
        <v>9188</v>
      </c>
      <c r="AJ1971" t="s">
        <v>9143</v>
      </c>
      <c r="AK1971" t="s">
        <v>9221</v>
      </c>
      <c r="AL1971" t="s">
        <v>9236</v>
      </c>
      <c r="AM1971" t="s">
        <v>9221</v>
      </c>
      <c r="AN1971" t="s">
        <v>9237</v>
      </c>
    </row>
    <row r="1972" spans="1:40" x14ac:dyDescent="0.25">
      <c r="A1972" t="s">
        <v>395</v>
      </c>
      <c r="C1972" t="s">
        <v>39</v>
      </c>
      <c r="D1972" t="s">
        <v>241</v>
      </c>
      <c r="E1972" t="s">
        <v>242</v>
      </c>
      <c r="F1972" s="2">
        <v>45115</v>
      </c>
      <c r="G1972" s="3">
        <v>0.44097222222222221</v>
      </c>
      <c r="H1972" t="s">
        <v>42</v>
      </c>
      <c r="I1972" s="4">
        <v>1011</v>
      </c>
      <c r="J1972" t="s">
        <v>215</v>
      </c>
      <c r="K1972" t="s">
        <v>396</v>
      </c>
      <c r="L1972" t="s">
        <v>397</v>
      </c>
      <c r="M1972" t="s">
        <v>46</v>
      </c>
      <c r="O1972" t="s">
        <v>47</v>
      </c>
      <c r="P1972" t="s">
        <v>48</v>
      </c>
      <c r="Q1972">
        <v>0</v>
      </c>
      <c r="R1972" t="b">
        <v>0</v>
      </c>
      <c r="S1972" t="s">
        <v>49</v>
      </c>
      <c r="T1972" t="s">
        <v>89</v>
      </c>
      <c r="U1972" t="s">
        <v>148</v>
      </c>
      <c r="V1972" t="s">
        <v>63</v>
      </c>
      <c r="W1972" t="s">
        <v>108</v>
      </c>
      <c r="Z1972">
        <v>0</v>
      </c>
      <c r="AA1972" t="s">
        <v>9173</v>
      </c>
      <c r="AB1972" t="s">
        <v>9164</v>
      </c>
      <c r="AC1972" t="s">
        <v>9139</v>
      </c>
      <c r="AD1972" t="s">
        <v>9140</v>
      </c>
      <c r="AE1972" t="s">
        <v>9140</v>
      </c>
      <c r="AF1972" t="s">
        <v>63</v>
      </c>
      <c r="AG1972">
        <v>0</v>
      </c>
      <c r="AH1972" t="s">
        <v>9141</v>
      </c>
      <c r="AI1972" t="s">
        <v>9142</v>
      </c>
      <c r="AJ1972" t="s">
        <v>9143</v>
      </c>
      <c r="AK1972" t="s">
        <v>9141</v>
      </c>
      <c r="AL1972" t="s">
        <v>9144</v>
      </c>
      <c r="AM1972" t="s">
        <v>9141</v>
      </c>
      <c r="AN1972" t="s">
        <v>9145</v>
      </c>
    </row>
    <row r="1973" spans="1:40" x14ac:dyDescent="0.25">
      <c r="A1973" t="s">
        <v>3672</v>
      </c>
      <c r="C1973" t="s">
        <v>39</v>
      </c>
      <c r="D1973" t="s">
        <v>3673</v>
      </c>
      <c r="E1973" t="s">
        <v>3674</v>
      </c>
      <c r="F1973" s="2">
        <v>45115</v>
      </c>
      <c r="G1973" s="3">
        <v>0.37013888888888891</v>
      </c>
      <c r="H1973" t="s">
        <v>1992</v>
      </c>
      <c r="I1973" s="4" t="s">
        <v>3656</v>
      </c>
      <c r="J1973" t="s">
        <v>3657</v>
      </c>
      <c r="K1973" t="s">
        <v>3675</v>
      </c>
      <c r="L1973" t="s">
        <v>3676</v>
      </c>
      <c r="M1973" t="s">
        <v>46</v>
      </c>
      <c r="O1973" t="s">
        <v>47</v>
      </c>
      <c r="P1973" t="s">
        <v>48</v>
      </c>
      <c r="Q1973">
        <v>0</v>
      </c>
      <c r="R1973" t="b">
        <v>0</v>
      </c>
      <c r="S1973" t="s">
        <v>49</v>
      </c>
      <c r="T1973" t="s">
        <v>89</v>
      </c>
      <c r="U1973" t="s">
        <v>122</v>
      </c>
      <c r="V1973" t="s">
        <v>123</v>
      </c>
      <c r="W1973" t="s">
        <v>124</v>
      </c>
      <c r="X1973" t="s">
        <v>54</v>
      </c>
      <c r="Z1973">
        <v>0</v>
      </c>
      <c r="AA1973" t="s">
        <v>9173</v>
      </c>
      <c r="AB1973" t="s">
        <v>9164</v>
      </c>
      <c r="AC1973" t="s">
        <v>9139</v>
      </c>
      <c r="AD1973" t="s">
        <v>9140</v>
      </c>
      <c r="AE1973" t="s">
        <v>9140</v>
      </c>
      <c r="AF1973" t="s">
        <v>123</v>
      </c>
      <c r="AG1973" t="s">
        <v>54</v>
      </c>
      <c r="AH1973" t="s">
        <v>9194</v>
      </c>
      <c r="AI1973" t="s">
        <v>9191</v>
      </c>
      <c r="AJ1973" t="s">
        <v>9143</v>
      </c>
      <c r="AK1973" t="s">
        <v>9194</v>
      </c>
      <c r="AL1973" t="s">
        <v>9205</v>
      </c>
      <c r="AM1973" t="s">
        <v>9194</v>
      </c>
      <c r="AN1973" t="s">
        <v>9206</v>
      </c>
    </row>
    <row r="1974" spans="1:40" x14ac:dyDescent="0.25">
      <c r="A1974" t="s">
        <v>6861</v>
      </c>
      <c r="C1974" t="s">
        <v>39</v>
      </c>
      <c r="D1974" t="s">
        <v>6862</v>
      </c>
      <c r="E1974" t="s">
        <v>6863</v>
      </c>
      <c r="F1974" s="2">
        <v>45115</v>
      </c>
      <c r="G1974" s="3">
        <v>0.46180555555555558</v>
      </c>
      <c r="H1974" t="s">
        <v>4910</v>
      </c>
      <c r="I1974" s="4" t="s">
        <v>6800</v>
      </c>
      <c r="J1974" t="s">
        <v>2914</v>
      </c>
      <c r="K1974" t="s">
        <v>2108</v>
      </c>
      <c r="L1974" t="s">
        <v>6864</v>
      </c>
      <c r="M1974" t="s">
        <v>46</v>
      </c>
      <c r="O1974" t="s">
        <v>47</v>
      </c>
      <c r="P1974" t="s">
        <v>48</v>
      </c>
      <c r="Q1974">
        <v>0</v>
      </c>
      <c r="R1974" t="b">
        <v>0</v>
      </c>
      <c r="S1974" t="s">
        <v>49</v>
      </c>
      <c r="T1974" t="s">
        <v>89</v>
      </c>
      <c r="U1974" t="s">
        <v>51</v>
      </c>
      <c r="V1974" t="s">
        <v>123</v>
      </c>
      <c r="W1974" t="s">
        <v>124</v>
      </c>
      <c r="X1974" t="s">
        <v>978</v>
      </c>
      <c r="Z1974">
        <v>0</v>
      </c>
      <c r="AA1974" t="s">
        <v>9173</v>
      </c>
      <c r="AB1974" t="s">
        <v>9164</v>
      </c>
      <c r="AC1974" t="s">
        <v>9139</v>
      </c>
      <c r="AD1974" t="s">
        <v>9140</v>
      </c>
      <c r="AE1974" t="s">
        <v>9140</v>
      </c>
      <c r="AF1974" t="s">
        <v>123</v>
      </c>
      <c r="AG1974" t="s">
        <v>978</v>
      </c>
      <c r="AH1974" t="s">
        <v>9220</v>
      </c>
      <c r="AI1974" t="s">
        <v>9191</v>
      </c>
      <c r="AJ1974" t="s">
        <v>9143</v>
      </c>
      <c r="AK1974" t="s">
        <v>9221</v>
      </c>
      <c r="AL1974" t="s">
        <v>9234</v>
      </c>
      <c r="AM1974" t="s">
        <v>9221</v>
      </c>
      <c r="AN1974" t="s">
        <v>9235</v>
      </c>
    </row>
    <row r="1975" spans="1:40" x14ac:dyDescent="0.25">
      <c r="A1975" t="s">
        <v>6865</v>
      </c>
      <c r="B1975" s="1" t="s">
        <v>6866</v>
      </c>
      <c r="C1975" t="s">
        <v>39</v>
      </c>
      <c r="D1975" t="s">
        <v>6867</v>
      </c>
      <c r="E1975" t="s">
        <v>6868</v>
      </c>
      <c r="F1975" s="2">
        <v>45115</v>
      </c>
      <c r="G1975" s="3">
        <v>0.40069444444444446</v>
      </c>
      <c r="H1975" t="s">
        <v>4910</v>
      </c>
      <c r="I1975" s="4" t="s">
        <v>6800</v>
      </c>
      <c r="J1975" t="s">
        <v>2914</v>
      </c>
      <c r="K1975" t="s">
        <v>6869</v>
      </c>
      <c r="L1975" t="s">
        <v>6870</v>
      </c>
      <c r="M1975" t="s">
        <v>28</v>
      </c>
      <c r="N1975" t="s">
        <v>183</v>
      </c>
      <c r="O1975" t="s">
        <v>174</v>
      </c>
      <c r="P1975" t="s">
        <v>48</v>
      </c>
      <c r="Q1975">
        <v>5</v>
      </c>
      <c r="R1975" t="b">
        <v>0</v>
      </c>
      <c r="S1975" t="s">
        <v>184</v>
      </c>
      <c r="T1975" t="s">
        <v>713</v>
      </c>
      <c r="U1975" t="s">
        <v>90</v>
      </c>
      <c r="V1975" t="s">
        <v>267</v>
      </c>
      <c r="W1975" t="s">
        <v>495</v>
      </c>
      <c r="X1975" t="s">
        <v>54</v>
      </c>
      <c r="Z1975" t="s">
        <v>48</v>
      </c>
      <c r="AA1975" t="s">
        <v>9173</v>
      </c>
      <c r="AB1975" t="s">
        <v>9164</v>
      </c>
      <c r="AC1975" t="s">
        <v>9166</v>
      </c>
      <c r="AD1975" t="s">
        <v>28</v>
      </c>
      <c r="AE1975" t="s">
        <v>183</v>
      </c>
      <c r="AF1975" t="s">
        <v>267</v>
      </c>
      <c r="AG1975" t="s">
        <v>54</v>
      </c>
      <c r="AH1975" t="s">
        <v>9220</v>
      </c>
      <c r="AI1975" t="s">
        <v>9191</v>
      </c>
      <c r="AJ1975" t="s">
        <v>9143</v>
      </c>
      <c r="AK1975" t="s">
        <v>9221</v>
      </c>
      <c r="AL1975" t="s">
        <v>9234</v>
      </c>
      <c r="AM1975" t="s">
        <v>9221</v>
      </c>
      <c r="AN1975" t="s">
        <v>9235</v>
      </c>
    </row>
    <row r="1976" spans="1:40" x14ac:dyDescent="0.25">
      <c r="A1976" t="s">
        <v>7538</v>
      </c>
      <c r="C1976" t="s">
        <v>39</v>
      </c>
      <c r="D1976" t="s">
        <v>7486</v>
      </c>
      <c r="E1976" t="s">
        <v>7487</v>
      </c>
      <c r="F1976" s="2">
        <v>45114</v>
      </c>
      <c r="G1976" s="3">
        <v>0.41666666666666669</v>
      </c>
      <c r="H1976" t="s">
        <v>4910</v>
      </c>
      <c r="I1976" s="4" t="s">
        <v>7457</v>
      </c>
      <c r="J1976" t="s">
        <v>2378</v>
      </c>
      <c r="K1976" t="s">
        <v>140</v>
      </c>
      <c r="L1976" t="s">
        <v>7539</v>
      </c>
      <c r="M1976" t="s">
        <v>46</v>
      </c>
      <c r="O1976" t="s">
        <v>47</v>
      </c>
      <c r="P1976" t="s">
        <v>48</v>
      </c>
      <c r="Q1976">
        <v>0</v>
      </c>
      <c r="R1976" t="b">
        <v>0</v>
      </c>
      <c r="S1976" t="s">
        <v>61</v>
      </c>
      <c r="T1976" t="s">
        <v>50</v>
      </c>
      <c r="U1976" t="s">
        <v>140</v>
      </c>
      <c r="V1976" t="s">
        <v>72</v>
      </c>
      <c r="W1976" t="s">
        <v>73</v>
      </c>
      <c r="X1976" t="s">
        <v>54</v>
      </c>
      <c r="Y1976" t="s">
        <v>486</v>
      </c>
      <c r="Z1976">
        <v>0</v>
      </c>
      <c r="AA1976" t="s">
        <v>9173</v>
      </c>
      <c r="AB1976" t="s">
        <v>9164</v>
      </c>
      <c r="AC1976" t="s">
        <v>9148</v>
      </c>
      <c r="AD1976" t="s">
        <v>9140</v>
      </c>
      <c r="AE1976" t="s">
        <v>9140</v>
      </c>
      <c r="AF1976" t="s">
        <v>72</v>
      </c>
      <c r="AG1976" t="s">
        <v>54</v>
      </c>
      <c r="AH1976" t="s">
        <v>9220</v>
      </c>
      <c r="AI1976" t="s">
        <v>9191</v>
      </c>
      <c r="AJ1976" t="s">
        <v>9143</v>
      </c>
      <c r="AK1976" t="s">
        <v>9221</v>
      </c>
      <c r="AL1976" t="s">
        <v>9226</v>
      </c>
      <c r="AM1976" t="s">
        <v>9221</v>
      </c>
      <c r="AN1976" t="s">
        <v>9227</v>
      </c>
    </row>
    <row r="1977" spans="1:40" x14ac:dyDescent="0.25">
      <c r="A1977" t="s">
        <v>6371</v>
      </c>
      <c r="C1977" t="s">
        <v>39</v>
      </c>
      <c r="D1977" t="s">
        <v>6372</v>
      </c>
      <c r="E1977" t="s">
        <v>6373</v>
      </c>
      <c r="F1977" s="2">
        <v>45114</v>
      </c>
      <c r="G1977" s="3">
        <v>0.83333333333333337</v>
      </c>
      <c r="H1977" t="s">
        <v>4019</v>
      </c>
      <c r="I1977" s="4" t="s">
        <v>6277</v>
      </c>
      <c r="J1977" t="s">
        <v>988</v>
      </c>
      <c r="K1977" t="s">
        <v>6374</v>
      </c>
      <c r="L1977" t="s">
        <v>6375</v>
      </c>
      <c r="M1977" t="s">
        <v>46</v>
      </c>
      <c r="O1977" t="s">
        <v>47</v>
      </c>
      <c r="P1977" t="s">
        <v>48</v>
      </c>
      <c r="Q1977">
        <v>0</v>
      </c>
      <c r="R1977" t="b">
        <v>0</v>
      </c>
      <c r="S1977" t="s">
        <v>61</v>
      </c>
      <c r="T1977" t="s">
        <v>70</v>
      </c>
      <c r="U1977" t="s">
        <v>71</v>
      </c>
      <c r="V1977" t="s">
        <v>72</v>
      </c>
      <c r="W1977" t="s">
        <v>73</v>
      </c>
      <c r="X1977" t="s">
        <v>54</v>
      </c>
      <c r="Z1977">
        <v>0</v>
      </c>
      <c r="AA1977" t="s">
        <v>9173</v>
      </c>
      <c r="AB1977" t="s">
        <v>9164</v>
      </c>
      <c r="AC1977" t="s">
        <v>9148</v>
      </c>
      <c r="AD1977" t="s">
        <v>9140</v>
      </c>
      <c r="AE1977" t="s">
        <v>9140</v>
      </c>
      <c r="AF1977" t="s">
        <v>72</v>
      </c>
      <c r="AG1977" t="s">
        <v>54</v>
      </c>
      <c r="AH1977" t="s">
        <v>9220</v>
      </c>
      <c r="AI1977" t="s">
        <v>9175</v>
      </c>
      <c r="AJ1977" t="s">
        <v>9143</v>
      </c>
      <c r="AK1977" t="s">
        <v>9221</v>
      </c>
      <c r="AL1977" t="s">
        <v>9222</v>
      </c>
      <c r="AM1977" t="s">
        <v>9221</v>
      </c>
      <c r="AN1977" t="s">
        <v>9223</v>
      </c>
    </row>
    <row r="1978" spans="1:40" x14ac:dyDescent="0.25">
      <c r="A1978" t="s">
        <v>2504</v>
      </c>
      <c r="C1978" t="s">
        <v>39</v>
      </c>
      <c r="D1978" t="s">
        <v>2505</v>
      </c>
      <c r="E1978" t="s">
        <v>2506</v>
      </c>
      <c r="F1978" s="2">
        <v>45114</v>
      </c>
      <c r="G1978" s="3">
        <v>0.4513888888888889</v>
      </c>
      <c r="H1978" t="s">
        <v>1939</v>
      </c>
      <c r="I1978" s="4" t="s">
        <v>2393</v>
      </c>
      <c r="J1978" t="s">
        <v>2394</v>
      </c>
      <c r="K1978" t="s">
        <v>447</v>
      </c>
      <c r="L1978" t="s">
        <v>2507</v>
      </c>
      <c r="M1978" t="s">
        <v>46</v>
      </c>
      <c r="O1978" t="s">
        <v>47</v>
      </c>
      <c r="P1978" t="s">
        <v>48</v>
      </c>
      <c r="Q1978">
        <v>0</v>
      </c>
      <c r="R1978" t="b">
        <v>0</v>
      </c>
      <c r="S1978" t="s">
        <v>61</v>
      </c>
      <c r="T1978" t="s">
        <v>89</v>
      </c>
      <c r="U1978" t="s">
        <v>1081</v>
      </c>
      <c r="V1978" t="s">
        <v>72</v>
      </c>
      <c r="W1978" t="s">
        <v>73</v>
      </c>
      <c r="X1978" t="s">
        <v>471</v>
      </c>
      <c r="Z1978">
        <v>0</v>
      </c>
      <c r="AA1978" t="s">
        <v>9173</v>
      </c>
      <c r="AB1978" t="s">
        <v>9164</v>
      </c>
      <c r="AC1978" t="s">
        <v>9148</v>
      </c>
      <c r="AD1978" t="s">
        <v>9140</v>
      </c>
      <c r="AE1978" t="s">
        <v>9140</v>
      </c>
      <c r="AF1978" t="s">
        <v>72</v>
      </c>
      <c r="AG1978" t="s">
        <v>471</v>
      </c>
      <c r="AH1978" t="s">
        <v>9194</v>
      </c>
      <c r="AI1978" t="s">
        <v>9175</v>
      </c>
      <c r="AJ1978" t="s">
        <v>9143</v>
      </c>
      <c r="AK1978" t="s">
        <v>9194</v>
      </c>
      <c r="AL1978" t="s">
        <v>9195</v>
      </c>
      <c r="AM1978" t="s">
        <v>9194</v>
      </c>
      <c r="AN1978" t="s">
        <v>9196</v>
      </c>
    </row>
    <row r="1979" spans="1:40" x14ac:dyDescent="0.25">
      <c r="A1979" t="s">
        <v>3019</v>
      </c>
      <c r="B1979" s="1" t="s">
        <v>3020</v>
      </c>
      <c r="C1979" t="s">
        <v>39</v>
      </c>
      <c r="D1979" t="s">
        <v>3021</v>
      </c>
      <c r="E1979" t="s">
        <v>3022</v>
      </c>
      <c r="F1979" s="2">
        <v>45113</v>
      </c>
      <c r="G1979" s="3">
        <v>0.58333333333333337</v>
      </c>
      <c r="H1979" t="s">
        <v>1992</v>
      </c>
      <c r="I1979" s="4" t="s">
        <v>2955</v>
      </c>
      <c r="J1979" t="s">
        <v>2956</v>
      </c>
      <c r="K1979" t="s">
        <v>1413</v>
      </c>
      <c r="L1979" t="s">
        <v>3023</v>
      </c>
      <c r="M1979" t="s">
        <v>28</v>
      </c>
      <c r="N1979" t="s">
        <v>183</v>
      </c>
      <c r="O1979" t="s">
        <v>174</v>
      </c>
      <c r="P1979" t="s">
        <v>48</v>
      </c>
      <c r="Q1979">
        <v>0</v>
      </c>
      <c r="R1979" t="b">
        <v>0</v>
      </c>
      <c r="S1979" t="s">
        <v>114</v>
      </c>
      <c r="T1979" t="s">
        <v>479</v>
      </c>
      <c r="U1979" t="s">
        <v>373</v>
      </c>
      <c r="V1979" t="s">
        <v>52</v>
      </c>
      <c r="W1979" t="s">
        <v>53</v>
      </c>
      <c r="X1979" t="s">
        <v>54</v>
      </c>
      <c r="Z1979" t="s">
        <v>48</v>
      </c>
      <c r="AA1979" t="s">
        <v>9173</v>
      </c>
      <c r="AB1979" t="s">
        <v>9164</v>
      </c>
      <c r="AC1979" t="s">
        <v>9157</v>
      </c>
      <c r="AD1979" t="s">
        <v>28</v>
      </c>
      <c r="AE1979" t="s">
        <v>183</v>
      </c>
      <c r="AF1979" t="s">
        <v>52</v>
      </c>
      <c r="AG1979" t="s">
        <v>54</v>
      </c>
      <c r="AH1979" t="s">
        <v>9194</v>
      </c>
      <c r="AI1979" t="s">
        <v>9191</v>
      </c>
      <c r="AJ1979" t="s">
        <v>9143</v>
      </c>
      <c r="AK1979" t="s">
        <v>9194</v>
      </c>
      <c r="AL1979" t="s">
        <v>9205</v>
      </c>
      <c r="AM1979" t="s">
        <v>9194</v>
      </c>
      <c r="AN1979" t="s">
        <v>9206</v>
      </c>
    </row>
    <row r="1980" spans="1:40" x14ac:dyDescent="0.25">
      <c r="A1980" t="s">
        <v>1147</v>
      </c>
      <c r="C1980" t="s">
        <v>39</v>
      </c>
      <c r="D1980" t="s">
        <v>1148</v>
      </c>
      <c r="E1980" t="s">
        <v>1149</v>
      </c>
      <c r="F1980" s="2">
        <v>45113</v>
      </c>
      <c r="G1980" s="3">
        <v>0.45624999999999999</v>
      </c>
      <c r="H1980" t="s">
        <v>463</v>
      </c>
      <c r="I1980" s="4">
        <v>2900</v>
      </c>
      <c r="J1980" t="s">
        <v>1128</v>
      </c>
      <c r="K1980" t="s">
        <v>1150</v>
      </c>
      <c r="L1980" t="s">
        <v>1151</v>
      </c>
      <c r="M1980" t="s">
        <v>46</v>
      </c>
      <c r="O1980" t="s">
        <v>47</v>
      </c>
      <c r="P1980" t="s">
        <v>48</v>
      </c>
      <c r="Q1980">
        <v>0</v>
      </c>
      <c r="R1980" t="b">
        <v>0</v>
      </c>
      <c r="S1980" t="s">
        <v>114</v>
      </c>
      <c r="T1980" t="s">
        <v>89</v>
      </c>
      <c r="U1980" t="s">
        <v>584</v>
      </c>
      <c r="V1980" t="s">
        <v>52</v>
      </c>
      <c r="W1980" t="s">
        <v>255</v>
      </c>
      <c r="X1980" t="s">
        <v>54</v>
      </c>
      <c r="Z1980">
        <v>0</v>
      </c>
      <c r="AA1980" t="s">
        <v>9173</v>
      </c>
      <c r="AB1980" t="s">
        <v>9164</v>
      </c>
      <c r="AC1980" t="s">
        <v>9157</v>
      </c>
      <c r="AD1980" t="s">
        <v>9140</v>
      </c>
      <c r="AE1980" t="s">
        <v>9140</v>
      </c>
      <c r="AF1980" t="s">
        <v>52</v>
      </c>
      <c r="AG1980" t="s">
        <v>54</v>
      </c>
      <c r="AH1980" t="s">
        <v>9141</v>
      </c>
      <c r="AI1980" t="s">
        <v>9175</v>
      </c>
      <c r="AJ1980" t="s">
        <v>9183</v>
      </c>
      <c r="AK1980" t="s">
        <v>9184</v>
      </c>
      <c r="AL1980" t="s">
        <v>9185</v>
      </c>
      <c r="AM1980" t="s">
        <v>9186</v>
      </c>
      <c r="AN1980" t="s">
        <v>9186</v>
      </c>
    </row>
    <row r="1981" spans="1:40" x14ac:dyDescent="0.25">
      <c r="A1981" t="s">
        <v>3912</v>
      </c>
      <c r="C1981" t="s">
        <v>39</v>
      </c>
      <c r="D1981" t="s">
        <v>3913</v>
      </c>
      <c r="E1981" t="s">
        <v>3914</v>
      </c>
      <c r="F1981" s="2">
        <v>45113</v>
      </c>
      <c r="G1981" s="3">
        <v>0.54861111111111116</v>
      </c>
      <c r="H1981" t="s">
        <v>2095</v>
      </c>
      <c r="I1981" s="4" t="s">
        <v>3889</v>
      </c>
      <c r="J1981" t="s">
        <v>3890</v>
      </c>
      <c r="K1981" t="s">
        <v>3915</v>
      </c>
      <c r="L1981" t="s">
        <v>3916</v>
      </c>
      <c r="M1981" t="s">
        <v>46</v>
      </c>
      <c r="O1981" t="s">
        <v>47</v>
      </c>
      <c r="P1981" t="s">
        <v>48</v>
      </c>
      <c r="Q1981">
        <v>0</v>
      </c>
      <c r="R1981" t="b">
        <v>0</v>
      </c>
      <c r="S1981" t="s">
        <v>61</v>
      </c>
      <c r="T1981" t="s">
        <v>50</v>
      </c>
      <c r="U1981" t="s">
        <v>71</v>
      </c>
      <c r="V1981" t="s">
        <v>63</v>
      </c>
      <c r="W1981" t="s">
        <v>108</v>
      </c>
      <c r="X1981" t="s">
        <v>54</v>
      </c>
      <c r="Z1981">
        <v>0</v>
      </c>
      <c r="AA1981" t="s">
        <v>9173</v>
      </c>
      <c r="AB1981" t="s">
        <v>9164</v>
      </c>
      <c r="AC1981" t="s">
        <v>9148</v>
      </c>
      <c r="AD1981" t="s">
        <v>9140</v>
      </c>
      <c r="AE1981" t="s">
        <v>9140</v>
      </c>
      <c r="AF1981" t="s">
        <v>63</v>
      </c>
      <c r="AG1981" t="s">
        <v>54</v>
      </c>
      <c r="AH1981" t="s">
        <v>9194</v>
      </c>
      <c r="AI1981" t="s">
        <v>9188</v>
      </c>
      <c r="AJ1981" t="s">
        <v>9143</v>
      </c>
      <c r="AK1981" t="s">
        <v>9194</v>
      </c>
      <c r="AL1981" t="s">
        <v>9203</v>
      </c>
      <c r="AM1981" t="s">
        <v>9194</v>
      </c>
      <c r="AN1981" t="s">
        <v>9204</v>
      </c>
    </row>
    <row r="1982" spans="1:40" x14ac:dyDescent="0.25">
      <c r="A1982" t="s">
        <v>4053</v>
      </c>
      <c r="C1982" t="s">
        <v>39</v>
      </c>
      <c r="D1982" t="s">
        <v>4054</v>
      </c>
      <c r="E1982" t="s">
        <v>4055</v>
      </c>
      <c r="F1982" s="2">
        <v>45113</v>
      </c>
      <c r="G1982" s="3">
        <v>0.2986111111111111</v>
      </c>
      <c r="H1982" t="s">
        <v>4019</v>
      </c>
      <c r="I1982" s="4" t="s">
        <v>4020</v>
      </c>
      <c r="J1982" t="s">
        <v>3083</v>
      </c>
      <c r="K1982" t="s">
        <v>851</v>
      </c>
      <c r="L1982" t="s">
        <v>4056</v>
      </c>
      <c r="M1982" t="s">
        <v>46</v>
      </c>
      <c r="O1982" t="s">
        <v>47</v>
      </c>
      <c r="P1982" t="s">
        <v>48</v>
      </c>
      <c r="Q1982">
        <v>0</v>
      </c>
      <c r="R1982" t="b">
        <v>0</v>
      </c>
      <c r="S1982" t="s">
        <v>61</v>
      </c>
      <c r="T1982" t="s">
        <v>89</v>
      </c>
      <c r="U1982" t="s">
        <v>51</v>
      </c>
      <c r="V1982" t="s">
        <v>52</v>
      </c>
      <c r="W1982" t="s">
        <v>255</v>
      </c>
      <c r="X1982" t="s">
        <v>54</v>
      </c>
      <c r="Z1982">
        <v>0</v>
      </c>
      <c r="AA1982" t="s">
        <v>9173</v>
      </c>
      <c r="AB1982" t="s">
        <v>9164</v>
      </c>
      <c r="AC1982" t="s">
        <v>9148</v>
      </c>
      <c r="AD1982" t="s">
        <v>9140</v>
      </c>
      <c r="AE1982" t="s">
        <v>9140</v>
      </c>
      <c r="AF1982" t="s">
        <v>52</v>
      </c>
      <c r="AG1982" t="s">
        <v>54</v>
      </c>
      <c r="AH1982" t="s">
        <v>9220</v>
      </c>
      <c r="AI1982" t="s">
        <v>9175</v>
      </c>
      <c r="AJ1982" t="s">
        <v>9143</v>
      </c>
      <c r="AK1982" t="s">
        <v>9221</v>
      </c>
      <c r="AL1982" t="s">
        <v>9222</v>
      </c>
      <c r="AM1982" t="s">
        <v>9221</v>
      </c>
      <c r="AN1982" t="s">
        <v>9223</v>
      </c>
    </row>
    <row r="1983" spans="1:40" x14ac:dyDescent="0.25">
      <c r="A1983" t="s">
        <v>5581</v>
      </c>
      <c r="C1983" t="s">
        <v>39</v>
      </c>
      <c r="D1983" t="s">
        <v>5582</v>
      </c>
      <c r="E1983" t="s">
        <v>5583</v>
      </c>
      <c r="F1983" s="2">
        <v>45112</v>
      </c>
      <c r="G1983" s="3">
        <v>0.86250000000000004</v>
      </c>
      <c r="H1983" t="s">
        <v>4910</v>
      </c>
      <c r="I1983" s="4" t="s">
        <v>5555</v>
      </c>
      <c r="J1983" t="s">
        <v>3170</v>
      </c>
      <c r="K1983" t="s">
        <v>5584</v>
      </c>
      <c r="L1983" t="s">
        <v>5585</v>
      </c>
      <c r="M1983" t="s">
        <v>46</v>
      </c>
      <c r="O1983" t="s">
        <v>47</v>
      </c>
      <c r="P1983" t="s">
        <v>48</v>
      </c>
      <c r="Q1983">
        <v>0</v>
      </c>
      <c r="R1983" t="b">
        <v>0</v>
      </c>
      <c r="S1983" t="s">
        <v>49</v>
      </c>
      <c r="T1983" t="s">
        <v>50</v>
      </c>
      <c r="U1983" t="s">
        <v>90</v>
      </c>
      <c r="V1983" t="s">
        <v>63</v>
      </c>
      <c r="W1983" t="s">
        <v>108</v>
      </c>
      <c r="X1983" t="s">
        <v>98</v>
      </c>
      <c r="Y1983" t="s">
        <v>486</v>
      </c>
      <c r="Z1983">
        <v>0</v>
      </c>
      <c r="AA1983" t="s">
        <v>9173</v>
      </c>
      <c r="AB1983" t="s">
        <v>9164</v>
      </c>
      <c r="AC1983" t="s">
        <v>9139</v>
      </c>
      <c r="AD1983" t="s">
        <v>9140</v>
      </c>
      <c r="AE1983" t="s">
        <v>9140</v>
      </c>
      <c r="AF1983" t="s">
        <v>63</v>
      </c>
      <c r="AG1983" t="s">
        <v>98</v>
      </c>
      <c r="AH1983" t="s">
        <v>9220</v>
      </c>
      <c r="AI1983" t="s">
        <v>9191</v>
      </c>
      <c r="AJ1983" t="s">
        <v>9143</v>
      </c>
      <c r="AK1983" t="s">
        <v>9221</v>
      </c>
      <c r="AL1983" t="s">
        <v>9234</v>
      </c>
      <c r="AM1983" t="s">
        <v>9221</v>
      </c>
      <c r="AN1983" t="s">
        <v>9235</v>
      </c>
    </row>
    <row r="1984" spans="1:40" x14ac:dyDescent="0.25">
      <c r="A1984" t="s">
        <v>8468</v>
      </c>
      <c r="C1984" t="s">
        <v>39</v>
      </c>
      <c r="D1984" t="s">
        <v>8469</v>
      </c>
      <c r="E1984" t="s">
        <v>8470</v>
      </c>
      <c r="F1984" s="2">
        <v>45111</v>
      </c>
      <c r="G1984" s="3">
        <v>0.52083333333333337</v>
      </c>
      <c r="H1984" t="s">
        <v>4516</v>
      </c>
      <c r="I1984" s="4" t="s">
        <v>8419</v>
      </c>
      <c r="J1984" t="s">
        <v>8420</v>
      </c>
      <c r="K1984" t="s">
        <v>8471</v>
      </c>
      <c r="L1984" t="s">
        <v>8472</v>
      </c>
      <c r="M1984" t="s">
        <v>46</v>
      </c>
      <c r="O1984" t="s">
        <v>47</v>
      </c>
      <c r="P1984" t="s">
        <v>48</v>
      </c>
      <c r="Q1984">
        <v>0</v>
      </c>
      <c r="R1984" t="b">
        <v>0</v>
      </c>
      <c r="S1984" t="s">
        <v>49</v>
      </c>
      <c r="T1984" t="s">
        <v>70</v>
      </c>
      <c r="U1984" t="s">
        <v>71</v>
      </c>
      <c r="V1984" t="s">
        <v>72</v>
      </c>
      <c r="W1984" t="s">
        <v>73</v>
      </c>
      <c r="X1984" t="s">
        <v>54</v>
      </c>
      <c r="Z1984">
        <v>0</v>
      </c>
      <c r="AA1984" t="s">
        <v>9173</v>
      </c>
      <c r="AB1984" t="s">
        <v>9164</v>
      </c>
      <c r="AC1984" t="s">
        <v>9139</v>
      </c>
      <c r="AD1984" t="s">
        <v>9140</v>
      </c>
      <c r="AE1984" t="s">
        <v>9140</v>
      </c>
      <c r="AF1984" t="s">
        <v>72</v>
      </c>
      <c r="AG1984" t="s">
        <v>54</v>
      </c>
      <c r="AH1984" t="s">
        <v>9220</v>
      </c>
      <c r="AI1984" t="s">
        <v>9188</v>
      </c>
      <c r="AJ1984" t="s">
        <v>9143</v>
      </c>
      <c r="AK1984" t="s">
        <v>9221</v>
      </c>
      <c r="AL1984" t="s">
        <v>9232</v>
      </c>
      <c r="AM1984" t="s">
        <v>9221</v>
      </c>
      <c r="AN1984" t="s">
        <v>9233</v>
      </c>
    </row>
    <row r="1985" spans="1:40" x14ac:dyDescent="0.25">
      <c r="A1985" t="s">
        <v>946</v>
      </c>
      <c r="B1985" s="1">
        <v>12230004931</v>
      </c>
      <c r="C1985" t="s">
        <v>39</v>
      </c>
      <c r="D1985" t="s">
        <v>933</v>
      </c>
      <c r="E1985" t="s">
        <v>934</v>
      </c>
      <c r="F1985" s="2">
        <v>45111</v>
      </c>
      <c r="G1985" s="3">
        <v>0.58958333333333335</v>
      </c>
      <c r="H1985" t="s">
        <v>463</v>
      </c>
      <c r="I1985" s="4">
        <v>2032</v>
      </c>
      <c r="J1985" t="s">
        <v>929</v>
      </c>
      <c r="K1985" t="s">
        <v>947</v>
      </c>
      <c r="L1985" t="s">
        <v>948</v>
      </c>
      <c r="M1985" t="s">
        <v>28</v>
      </c>
      <c r="N1985" t="s">
        <v>183</v>
      </c>
      <c r="O1985" t="s">
        <v>174</v>
      </c>
      <c r="P1985" t="s">
        <v>48</v>
      </c>
      <c r="Q1985">
        <v>20</v>
      </c>
      <c r="R1985" t="b">
        <v>0</v>
      </c>
      <c r="S1985" t="s">
        <v>184</v>
      </c>
      <c r="T1985" t="s">
        <v>89</v>
      </c>
      <c r="U1985" t="s">
        <v>345</v>
      </c>
      <c r="V1985" t="s">
        <v>123</v>
      </c>
      <c r="W1985" t="s">
        <v>124</v>
      </c>
      <c r="X1985" t="s">
        <v>471</v>
      </c>
      <c r="Z1985" t="s">
        <v>48</v>
      </c>
      <c r="AA1985" t="s">
        <v>9173</v>
      </c>
      <c r="AB1985" t="s">
        <v>9164</v>
      </c>
      <c r="AC1985" t="s">
        <v>9166</v>
      </c>
      <c r="AD1985" t="s">
        <v>28</v>
      </c>
      <c r="AE1985" t="s">
        <v>183</v>
      </c>
      <c r="AF1985" t="s">
        <v>123</v>
      </c>
      <c r="AG1985" t="s">
        <v>471</v>
      </c>
      <c r="AH1985" t="s">
        <v>9141</v>
      </c>
      <c r="AI1985" t="s">
        <v>9175</v>
      </c>
      <c r="AJ1985" t="s">
        <v>9143</v>
      </c>
      <c r="AK1985" t="s">
        <v>9141</v>
      </c>
      <c r="AL1985" t="s">
        <v>9175</v>
      </c>
      <c r="AM1985" t="s">
        <v>9141</v>
      </c>
      <c r="AN1985" t="s">
        <v>9176</v>
      </c>
    </row>
    <row r="1986" spans="1:40" x14ac:dyDescent="0.25">
      <c r="A1986" t="s">
        <v>3677</v>
      </c>
      <c r="C1986" t="s">
        <v>39</v>
      </c>
      <c r="D1986" t="s">
        <v>3678</v>
      </c>
      <c r="E1986" t="s">
        <v>3679</v>
      </c>
      <c r="F1986" s="2">
        <v>45111</v>
      </c>
      <c r="G1986" s="3">
        <v>0.53472222222222221</v>
      </c>
      <c r="H1986" t="s">
        <v>1992</v>
      </c>
      <c r="I1986" s="4" t="s">
        <v>3656</v>
      </c>
      <c r="J1986" t="s">
        <v>3657</v>
      </c>
      <c r="K1986" t="s">
        <v>3680</v>
      </c>
      <c r="L1986" t="s">
        <v>3681</v>
      </c>
      <c r="M1986" t="s">
        <v>46</v>
      </c>
      <c r="O1986" t="s">
        <v>47</v>
      </c>
      <c r="P1986" t="s">
        <v>48</v>
      </c>
      <c r="Q1986">
        <v>0</v>
      </c>
      <c r="R1986" t="b">
        <v>0</v>
      </c>
      <c r="S1986" t="s">
        <v>61</v>
      </c>
      <c r="T1986" t="s">
        <v>50</v>
      </c>
      <c r="U1986" t="s">
        <v>122</v>
      </c>
      <c r="V1986" t="s">
        <v>123</v>
      </c>
      <c r="W1986" t="s">
        <v>124</v>
      </c>
      <c r="X1986" t="s">
        <v>54</v>
      </c>
      <c r="Z1986">
        <v>0</v>
      </c>
      <c r="AA1986" t="s">
        <v>9173</v>
      </c>
      <c r="AB1986" t="s">
        <v>9164</v>
      </c>
      <c r="AC1986" t="s">
        <v>9148</v>
      </c>
      <c r="AD1986" t="s">
        <v>9140</v>
      </c>
      <c r="AE1986" t="s">
        <v>9140</v>
      </c>
      <c r="AF1986" t="s">
        <v>123</v>
      </c>
      <c r="AG1986" t="s">
        <v>54</v>
      </c>
      <c r="AH1986" t="s">
        <v>9194</v>
      </c>
      <c r="AI1986" t="s">
        <v>9191</v>
      </c>
      <c r="AJ1986" t="s">
        <v>9143</v>
      </c>
      <c r="AK1986" t="s">
        <v>9194</v>
      </c>
      <c r="AL1986" t="s">
        <v>9205</v>
      </c>
      <c r="AM1986" t="s">
        <v>9194</v>
      </c>
      <c r="AN1986" t="s">
        <v>9206</v>
      </c>
    </row>
    <row r="1987" spans="1:40" x14ac:dyDescent="0.25">
      <c r="A1987" t="s">
        <v>2569</v>
      </c>
      <c r="C1987" t="s">
        <v>39</v>
      </c>
      <c r="D1987" t="s">
        <v>2539</v>
      </c>
      <c r="E1987" t="s">
        <v>2540</v>
      </c>
      <c r="F1987" s="2">
        <v>45110</v>
      </c>
      <c r="G1987" s="3">
        <v>0.5708333333333333</v>
      </c>
      <c r="H1987" t="s">
        <v>1992</v>
      </c>
      <c r="I1987" s="4" t="s">
        <v>2520</v>
      </c>
      <c r="J1987" t="s">
        <v>2521</v>
      </c>
      <c r="K1987" t="s">
        <v>2570</v>
      </c>
      <c r="L1987" t="s">
        <v>2571</v>
      </c>
      <c r="M1987" t="s">
        <v>46</v>
      </c>
      <c r="O1987" t="s">
        <v>47</v>
      </c>
      <c r="P1987" t="s">
        <v>48</v>
      </c>
      <c r="Q1987">
        <v>0</v>
      </c>
      <c r="R1987" t="b">
        <v>0</v>
      </c>
      <c r="S1987" t="s">
        <v>49</v>
      </c>
      <c r="T1987" t="s">
        <v>479</v>
      </c>
      <c r="U1987" t="s">
        <v>650</v>
      </c>
      <c r="V1987" t="s">
        <v>123</v>
      </c>
      <c r="W1987" t="s">
        <v>124</v>
      </c>
      <c r="X1987" t="s">
        <v>978</v>
      </c>
      <c r="Z1987">
        <v>0</v>
      </c>
      <c r="AA1987" t="s">
        <v>9173</v>
      </c>
      <c r="AB1987" t="s">
        <v>9164</v>
      </c>
      <c r="AC1987" t="s">
        <v>9139</v>
      </c>
      <c r="AD1987" t="s">
        <v>9140</v>
      </c>
      <c r="AE1987" t="s">
        <v>9140</v>
      </c>
      <c r="AF1987" t="s">
        <v>123</v>
      </c>
      <c r="AG1987" t="s">
        <v>978</v>
      </c>
      <c r="AH1987" t="s">
        <v>9194</v>
      </c>
      <c r="AI1987" t="s">
        <v>9191</v>
      </c>
      <c r="AJ1987" t="s">
        <v>9143</v>
      </c>
      <c r="AK1987" t="s">
        <v>9194</v>
      </c>
      <c r="AL1987" t="s">
        <v>9201</v>
      </c>
      <c r="AM1987" t="s">
        <v>9194</v>
      </c>
      <c r="AN1987" t="s">
        <v>9202</v>
      </c>
    </row>
    <row r="1988" spans="1:40" x14ac:dyDescent="0.25">
      <c r="A1988" t="s">
        <v>790</v>
      </c>
      <c r="C1988" t="s">
        <v>39</v>
      </c>
      <c r="D1988" t="s">
        <v>791</v>
      </c>
      <c r="E1988" t="s">
        <v>792</v>
      </c>
      <c r="F1988" s="2">
        <v>45110</v>
      </c>
      <c r="G1988" s="3">
        <v>0.39930555555555558</v>
      </c>
      <c r="H1988" t="s">
        <v>463</v>
      </c>
      <c r="I1988" s="4">
        <v>2026</v>
      </c>
      <c r="J1988" t="s">
        <v>756</v>
      </c>
      <c r="K1988" t="s">
        <v>793</v>
      </c>
      <c r="L1988" t="s">
        <v>794</v>
      </c>
      <c r="M1988" t="s">
        <v>46</v>
      </c>
      <c r="O1988" t="s">
        <v>47</v>
      </c>
      <c r="P1988" t="s">
        <v>48</v>
      </c>
      <c r="Q1988">
        <v>0</v>
      </c>
      <c r="R1988" t="b">
        <v>0</v>
      </c>
      <c r="S1988" t="s">
        <v>61</v>
      </c>
      <c r="T1988" t="s">
        <v>89</v>
      </c>
      <c r="U1988" t="s">
        <v>165</v>
      </c>
      <c r="V1988" t="s">
        <v>63</v>
      </c>
      <c r="W1988" t="s">
        <v>108</v>
      </c>
      <c r="X1988" t="s">
        <v>54</v>
      </c>
      <c r="Z1988">
        <v>0</v>
      </c>
      <c r="AA1988" t="s">
        <v>9173</v>
      </c>
      <c r="AB1988" t="s">
        <v>9164</v>
      </c>
      <c r="AC1988" t="s">
        <v>9148</v>
      </c>
      <c r="AD1988" t="s">
        <v>9140</v>
      </c>
      <c r="AE1988" t="s">
        <v>9140</v>
      </c>
      <c r="AF1988" t="s">
        <v>63</v>
      </c>
      <c r="AG1988" t="s">
        <v>54</v>
      </c>
      <c r="AH1988" t="s">
        <v>9141</v>
      </c>
      <c r="AI1988" t="s">
        <v>9175</v>
      </c>
      <c r="AJ1988" t="s">
        <v>9143</v>
      </c>
      <c r="AK1988" t="s">
        <v>9141</v>
      </c>
      <c r="AL1988" t="s">
        <v>9177</v>
      </c>
      <c r="AM1988" t="s">
        <v>9141</v>
      </c>
      <c r="AN1988" t="s">
        <v>9178</v>
      </c>
    </row>
    <row r="1989" spans="1:40" x14ac:dyDescent="0.25">
      <c r="A1989" t="s">
        <v>1082</v>
      </c>
      <c r="C1989" t="s">
        <v>39</v>
      </c>
      <c r="D1989" t="s">
        <v>1065</v>
      </c>
      <c r="E1989" t="s">
        <v>1066</v>
      </c>
      <c r="F1989" s="2">
        <v>45110</v>
      </c>
      <c r="G1989" s="3">
        <v>0.39652777777777776</v>
      </c>
      <c r="H1989" t="s">
        <v>463</v>
      </c>
      <c r="I1989" s="4">
        <v>2054</v>
      </c>
      <c r="J1989" t="s">
        <v>1067</v>
      </c>
      <c r="K1989" t="s">
        <v>1083</v>
      </c>
      <c r="L1989" t="s">
        <v>1084</v>
      </c>
      <c r="M1989" t="s">
        <v>46</v>
      </c>
      <c r="O1989" t="s">
        <v>174</v>
      </c>
      <c r="P1989" t="s">
        <v>48</v>
      </c>
      <c r="Q1989">
        <v>0</v>
      </c>
      <c r="R1989" t="b">
        <v>0</v>
      </c>
      <c r="S1989" t="s">
        <v>49</v>
      </c>
      <c r="T1989" t="s">
        <v>89</v>
      </c>
      <c r="U1989" t="s">
        <v>527</v>
      </c>
      <c r="V1989" t="s">
        <v>63</v>
      </c>
      <c r="W1989" t="s">
        <v>108</v>
      </c>
      <c r="X1989" t="s">
        <v>838</v>
      </c>
      <c r="Z1989">
        <v>0</v>
      </c>
      <c r="AA1989" t="s">
        <v>9173</v>
      </c>
      <c r="AB1989" t="s">
        <v>9164</v>
      </c>
      <c r="AC1989" t="s">
        <v>9139</v>
      </c>
      <c r="AD1989" t="s">
        <v>9140</v>
      </c>
      <c r="AE1989" t="s">
        <v>9140</v>
      </c>
      <c r="AF1989" t="s">
        <v>63</v>
      </c>
      <c r="AG1989" t="s">
        <v>838</v>
      </c>
      <c r="AH1989" t="s">
        <v>9141</v>
      </c>
      <c r="AI1989" t="s">
        <v>9175</v>
      </c>
      <c r="AJ1989" t="s">
        <v>9143</v>
      </c>
      <c r="AK1989" t="s">
        <v>9141</v>
      </c>
      <c r="AL1989" t="s">
        <v>9175</v>
      </c>
      <c r="AM1989" t="s">
        <v>9141</v>
      </c>
      <c r="AN1989" t="s">
        <v>9176</v>
      </c>
    </row>
    <row r="1990" spans="1:40" x14ac:dyDescent="0.25">
      <c r="A1990" t="s">
        <v>1278</v>
      </c>
      <c r="C1990" t="s">
        <v>39</v>
      </c>
      <c r="D1990" t="s">
        <v>1230</v>
      </c>
      <c r="E1990" t="s">
        <v>1231</v>
      </c>
      <c r="F1990" s="2">
        <v>45110</v>
      </c>
      <c r="G1990" s="3">
        <v>0.42708333333333331</v>
      </c>
      <c r="H1990" t="s">
        <v>1155</v>
      </c>
      <c r="I1990" s="4">
        <v>4043</v>
      </c>
      <c r="J1990" t="s">
        <v>1200</v>
      </c>
      <c r="K1990" t="s">
        <v>1279</v>
      </c>
      <c r="L1990" t="s">
        <v>1280</v>
      </c>
      <c r="M1990" t="s">
        <v>46</v>
      </c>
      <c r="O1990" t="s">
        <v>47</v>
      </c>
      <c r="P1990" t="s">
        <v>48</v>
      </c>
      <c r="Q1990">
        <v>0</v>
      </c>
      <c r="R1990" t="b">
        <v>0</v>
      </c>
      <c r="S1990" t="s">
        <v>61</v>
      </c>
      <c r="T1990" t="s">
        <v>70</v>
      </c>
      <c r="U1990" t="s">
        <v>90</v>
      </c>
      <c r="V1990" t="s">
        <v>72</v>
      </c>
      <c r="W1990" t="s">
        <v>73</v>
      </c>
      <c r="X1990" t="s">
        <v>471</v>
      </c>
      <c r="Z1990">
        <v>0</v>
      </c>
      <c r="AA1990" t="s">
        <v>9173</v>
      </c>
      <c r="AB1990" t="s">
        <v>9164</v>
      </c>
      <c r="AC1990" t="s">
        <v>9148</v>
      </c>
      <c r="AD1990" t="s">
        <v>9140</v>
      </c>
      <c r="AE1990" t="s">
        <v>9140</v>
      </c>
      <c r="AF1990" t="s">
        <v>72</v>
      </c>
      <c r="AG1990" t="s">
        <v>471</v>
      </c>
      <c r="AH1990" t="s">
        <v>9141</v>
      </c>
      <c r="AI1990" t="s">
        <v>9187</v>
      </c>
      <c r="AJ1990" t="s">
        <v>9143</v>
      </c>
      <c r="AK1990" t="s">
        <v>9141</v>
      </c>
      <c r="AL1990" t="s">
        <v>9144</v>
      </c>
      <c r="AM1990" t="s">
        <v>9141</v>
      </c>
      <c r="AN1990" t="s">
        <v>9145</v>
      </c>
    </row>
    <row r="1991" spans="1:40" x14ac:dyDescent="0.25">
      <c r="A1991" t="s">
        <v>4652</v>
      </c>
      <c r="C1991" t="s">
        <v>39</v>
      </c>
      <c r="D1991" t="s">
        <v>4653</v>
      </c>
      <c r="E1991" t="s">
        <v>4654</v>
      </c>
      <c r="F1991" s="2">
        <v>45110</v>
      </c>
      <c r="G1991" s="3">
        <v>0.64583333333333337</v>
      </c>
      <c r="H1991" t="s">
        <v>4516</v>
      </c>
      <c r="I1991" s="4" t="s">
        <v>4586</v>
      </c>
      <c r="J1991" t="s">
        <v>2630</v>
      </c>
      <c r="K1991" t="s">
        <v>1096</v>
      </c>
      <c r="L1991" t="s">
        <v>4655</v>
      </c>
      <c r="M1991" t="s">
        <v>46</v>
      </c>
      <c r="O1991" t="s">
        <v>47</v>
      </c>
      <c r="P1991" t="s">
        <v>48</v>
      </c>
      <c r="Q1991">
        <v>0</v>
      </c>
      <c r="R1991" t="b">
        <v>0</v>
      </c>
      <c r="S1991" t="s">
        <v>61</v>
      </c>
      <c r="T1991" t="s">
        <v>89</v>
      </c>
      <c r="U1991" t="s">
        <v>71</v>
      </c>
      <c r="V1991" t="s">
        <v>63</v>
      </c>
      <c r="W1991" t="s">
        <v>108</v>
      </c>
      <c r="X1991" t="s">
        <v>54</v>
      </c>
      <c r="Z1991">
        <v>0</v>
      </c>
      <c r="AA1991" t="s">
        <v>9173</v>
      </c>
      <c r="AB1991" t="s">
        <v>9164</v>
      </c>
      <c r="AC1991" t="s">
        <v>9148</v>
      </c>
      <c r="AD1991" t="s">
        <v>9140</v>
      </c>
      <c r="AE1991" t="s">
        <v>9140</v>
      </c>
      <c r="AF1991" t="s">
        <v>63</v>
      </c>
      <c r="AG1991" t="s">
        <v>54</v>
      </c>
      <c r="AH1991" t="s">
        <v>9220</v>
      </c>
      <c r="AI1991" t="s">
        <v>9188</v>
      </c>
      <c r="AJ1991" t="s">
        <v>9143</v>
      </c>
      <c r="AK1991" t="s">
        <v>9221</v>
      </c>
      <c r="AL1991" t="s">
        <v>9232</v>
      </c>
      <c r="AM1991" t="s">
        <v>9221</v>
      </c>
      <c r="AN1991" t="s">
        <v>9233</v>
      </c>
    </row>
    <row r="1992" spans="1:40" x14ac:dyDescent="0.25">
      <c r="A1992" t="s">
        <v>2508</v>
      </c>
      <c r="C1992" t="s">
        <v>39</v>
      </c>
      <c r="D1992" t="s">
        <v>2505</v>
      </c>
      <c r="E1992" t="s">
        <v>2506</v>
      </c>
      <c r="F1992" s="2">
        <v>45109</v>
      </c>
      <c r="G1992" s="3">
        <v>0.64583333333333337</v>
      </c>
      <c r="H1992" t="s">
        <v>1939</v>
      </c>
      <c r="I1992" s="4" t="s">
        <v>2393</v>
      </c>
      <c r="J1992" t="s">
        <v>2394</v>
      </c>
      <c r="K1992" t="s">
        <v>2509</v>
      </c>
      <c r="L1992" t="s">
        <v>2510</v>
      </c>
      <c r="M1992" t="s">
        <v>46</v>
      </c>
      <c r="O1992" t="s">
        <v>47</v>
      </c>
      <c r="P1992" t="s">
        <v>48</v>
      </c>
      <c r="Q1992">
        <v>0</v>
      </c>
      <c r="R1992" t="b">
        <v>0</v>
      </c>
      <c r="S1992" t="s">
        <v>61</v>
      </c>
      <c r="T1992" t="s">
        <v>89</v>
      </c>
      <c r="U1992" t="s">
        <v>175</v>
      </c>
      <c r="V1992" t="s">
        <v>52</v>
      </c>
      <c r="W1992" t="s">
        <v>255</v>
      </c>
      <c r="X1992" t="s">
        <v>54</v>
      </c>
      <c r="Z1992">
        <v>0</v>
      </c>
      <c r="AA1992" t="s">
        <v>9173</v>
      </c>
      <c r="AB1992" t="s">
        <v>9164</v>
      </c>
      <c r="AC1992" t="s">
        <v>9148</v>
      </c>
      <c r="AD1992" t="s">
        <v>9140</v>
      </c>
      <c r="AE1992" t="s">
        <v>9140</v>
      </c>
      <c r="AF1992" t="s">
        <v>52</v>
      </c>
      <c r="AG1992" t="s">
        <v>54</v>
      </c>
      <c r="AH1992" t="s">
        <v>9194</v>
      </c>
      <c r="AI1992" t="s">
        <v>9175</v>
      </c>
      <c r="AJ1992" t="s">
        <v>9143</v>
      </c>
      <c r="AK1992" t="s">
        <v>9194</v>
      </c>
      <c r="AL1992" t="s">
        <v>9195</v>
      </c>
      <c r="AM1992" t="s">
        <v>9194</v>
      </c>
      <c r="AN1992" t="s">
        <v>9196</v>
      </c>
    </row>
    <row r="1993" spans="1:40" x14ac:dyDescent="0.25">
      <c r="A1993" t="s">
        <v>2511</v>
      </c>
      <c r="C1993" t="s">
        <v>39</v>
      </c>
      <c r="D1993" t="s">
        <v>2512</v>
      </c>
      <c r="E1993" t="s">
        <v>2513</v>
      </c>
      <c r="F1993" s="2">
        <v>45107</v>
      </c>
      <c r="G1993" s="3">
        <v>0.6</v>
      </c>
      <c r="H1993" t="s">
        <v>1939</v>
      </c>
      <c r="I1993" s="4" t="s">
        <v>2393</v>
      </c>
      <c r="J1993" t="s">
        <v>2394</v>
      </c>
      <c r="K1993" t="s">
        <v>2514</v>
      </c>
      <c r="L1993" t="s">
        <v>2515</v>
      </c>
      <c r="M1993" t="s">
        <v>46</v>
      </c>
      <c r="O1993" t="s">
        <v>47</v>
      </c>
      <c r="P1993" t="s">
        <v>48</v>
      </c>
      <c r="Q1993">
        <v>0</v>
      </c>
      <c r="R1993" t="b">
        <v>0</v>
      </c>
      <c r="S1993" t="s">
        <v>114</v>
      </c>
      <c r="T1993" t="s">
        <v>50</v>
      </c>
      <c r="U1993" t="s">
        <v>107</v>
      </c>
      <c r="V1993" t="s">
        <v>72</v>
      </c>
      <c r="W1993" t="s">
        <v>73</v>
      </c>
      <c r="X1993" t="s">
        <v>54</v>
      </c>
      <c r="Z1993">
        <v>0</v>
      </c>
      <c r="AA1993" t="s">
        <v>9173</v>
      </c>
      <c r="AB1993" t="s">
        <v>9164</v>
      </c>
      <c r="AC1993" t="s">
        <v>9157</v>
      </c>
      <c r="AD1993" t="s">
        <v>9140</v>
      </c>
      <c r="AE1993" t="s">
        <v>9140</v>
      </c>
      <c r="AF1993" t="s">
        <v>72</v>
      </c>
      <c r="AG1993" t="s">
        <v>54</v>
      </c>
      <c r="AH1993" t="s">
        <v>9194</v>
      </c>
      <c r="AI1993" t="s">
        <v>9175</v>
      </c>
      <c r="AJ1993" t="s">
        <v>9143</v>
      </c>
      <c r="AK1993" t="s">
        <v>9194</v>
      </c>
      <c r="AL1993" t="s">
        <v>9195</v>
      </c>
      <c r="AM1993" t="s">
        <v>9194</v>
      </c>
      <c r="AN1993" t="s">
        <v>9196</v>
      </c>
    </row>
    <row r="1994" spans="1:40" x14ac:dyDescent="0.25">
      <c r="A1994" t="s">
        <v>6211</v>
      </c>
      <c r="C1994" t="s">
        <v>39</v>
      </c>
      <c r="D1994" t="s">
        <v>6177</v>
      </c>
      <c r="E1994" t="s">
        <v>6178</v>
      </c>
      <c r="F1994" s="2">
        <v>45106</v>
      </c>
      <c r="G1994" s="3">
        <v>0.80694444444444446</v>
      </c>
      <c r="H1994" t="s">
        <v>5666</v>
      </c>
      <c r="I1994" s="4" t="s">
        <v>6136</v>
      </c>
      <c r="J1994" t="s">
        <v>2598</v>
      </c>
      <c r="K1994" t="s">
        <v>6212</v>
      </c>
      <c r="L1994" t="s">
        <v>6213</v>
      </c>
      <c r="M1994" t="s">
        <v>46</v>
      </c>
      <c r="O1994" t="s">
        <v>47</v>
      </c>
      <c r="P1994" t="s">
        <v>48</v>
      </c>
      <c r="Q1994">
        <v>0</v>
      </c>
      <c r="R1994" t="b">
        <v>0</v>
      </c>
      <c r="S1994" t="s">
        <v>49</v>
      </c>
      <c r="T1994" t="s">
        <v>2195</v>
      </c>
      <c r="U1994" t="s">
        <v>140</v>
      </c>
      <c r="V1994" t="s">
        <v>63</v>
      </c>
      <c r="W1994" t="s">
        <v>198</v>
      </c>
      <c r="X1994" t="s">
        <v>774</v>
      </c>
      <c r="Z1994">
        <v>0</v>
      </c>
      <c r="AA1994" t="s">
        <v>9173</v>
      </c>
      <c r="AB1994" t="s">
        <v>9164</v>
      </c>
      <c r="AC1994" t="s">
        <v>9139</v>
      </c>
      <c r="AD1994" t="s">
        <v>9140</v>
      </c>
      <c r="AE1994" t="s">
        <v>9140</v>
      </c>
      <c r="AF1994" t="s">
        <v>63</v>
      </c>
      <c r="AG1994" t="s">
        <v>774</v>
      </c>
      <c r="AH1994" t="s">
        <v>9220</v>
      </c>
      <c r="AI1994" t="s">
        <v>9199</v>
      </c>
      <c r="AJ1994" t="s">
        <v>9143</v>
      </c>
      <c r="AK1994" t="s">
        <v>9221</v>
      </c>
      <c r="AL1994" t="s">
        <v>9199</v>
      </c>
      <c r="AM1994" t="s">
        <v>9221</v>
      </c>
      <c r="AN1994" t="s">
        <v>9238</v>
      </c>
    </row>
    <row r="1995" spans="1:40" x14ac:dyDescent="0.25">
      <c r="A1995" t="s">
        <v>6871</v>
      </c>
      <c r="C1995" t="s">
        <v>39</v>
      </c>
      <c r="D1995" t="s">
        <v>6872</v>
      </c>
      <c r="E1995" t="s">
        <v>6873</v>
      </c>
      <c r="F1995" s="2">
        <v>45106</v>
      </c>
      <c r="G1995" s="3">
        <v>0.42222222222222222</v>
      </c>
      <c r="H1995" t="s">
        <v>4910</v>
      </c>
      <c r="I1995" s="4" t="s">
        <v>6800</v>
      </c>
      <c r="J1995" t="s">
        <v>2914</v>
      </c>
      <c r="K1995" t="s">
        <v>1194</v>
      </c>
      <c r="L1995" t="s">
        <v>6874</v>
      </c>
      <c r="M1995" t="s">
        <v>46</v>
      </c>
      <c r="O1995" t="s">
        <v>47</v>
      </c>
      <c r="P1995" t="s">
        <v>48</v>
      </c>
      <c r="Q1995">
        <v>0</v>
      </c>
      <c r="R1995" t="b">
        <v>0</v>
      </c>
      <c r="S1995" t="s">
        <v>61</v>
      </c>
      <c r="T1995" t="s">
        <v>89</v>
      </c>
      <c r="U1995" t="s">
        <v>175</v>
      </c>
      <c r="V1995" t="s">
        <v>52</v>
      </c>
      <c r="W1995" t="s">
        <v>53</v>
      </c>
      <c r="X1995" t="s">
        <v>54</v>
      </c>
      <c r="Z1995">
        <v>0</v>
      </c>
      <c r="AA1995" t="s">
        <v>9173</v>
      </c>
      <c r="AB1995" t="s">
        <v>9164</v>
      </c>
      <c r="AC1995" t="s">
        <v>9148</v>
      </c>
      <c r="AD1995" t="s">
        <v>9140</v>
      </c>
      <c r="AE1995" t="s">
        <v>9140</v>
      </c>
      <c r="AF1995" t="s">
        <v>52</v>
      </c>
      <c r="AG1995" t="s">
        <v>54</v>
      </c>
      <c r="AH1995" t="s">
        <v>9220</v>
      </c>
      <c r="AI1995" t="s">
        <v>9191</v>
      </c>
      <c r="AJ1995" t="s">
        <v>9143</v>
      </c>
      <c r="AK1995" t="s">
        <v>9221</v>
      </c>
      <c r="AL1995" t="s">
        <v>9234</v>
      </c>
      <c r="AM1995" t="s">
        <v>9221</v>
      </c>
      <c r="AN1995" t="s">
        <v>9235</v>
      </c>
    </row>
    <row r="1996" spans="1:40" x14ac:dyDescent="0.25">
      <c r="A1996" t="s">
        <v>7909</v>
      </c>
      <c r="C1996" t="s">
        <v>39</v>
      </c>
      <c r="D1996" t="s">
        <v>7871</v>
      </c>
      <c r="E1996" t="s">
        <v>7872</v>
      </c>
      <c r="F1996" s="2">
        <v>45105</v>
      </c>
      <c r="G1996" s="3">
        <v>0.43402777777777779</v>
      </c>
      <c r="H1996" t="s">
        <v>4659</v>
      </c>
      <c r="I1996" s="4" t="s">
        <v>7873</v>
      </c>
      <c r="J1996" t="s">
        <v>7874</v>
      </c>
      <c r="K1996" t="s">
        <v>7910</v>
      </c>
      <c r="L1996" t="s">
        <v>7911</v>
      </c>
      <c r="M1996" t="s">
        <v>46</v>
      </c>
      <c r="O1996" t="s">
        <v>47</v>
      </c>
      <c r="P1996" t="s">
        <v>48</v>
      </c>
      <c r="Q1996">
        <v>0</v>
      </c>
      <c r="R1996" t="b">
        <v>0</v>
      </c>
      <c r="S1996" t="s">
        <v>61</v>
      </c>
      <c r="T1996" t="s">
        <v>89</v>
      </c>
      <c r="U1996" t="s">
        <v>71</v>
      </c>
      <c r="V1996" t="s">
        <v>72</v>
      </c>
      <c r="W1996" t="s">
        <v>73</v>
      </c>
      <c r="X1996" t="s">
        <v>1091</v>
      </c>
      <c r="Z1996">
        <v>0</v>
      </c>
      <c r="AA1996" t="s">
        <v>9173</v>
      </c>
      <c r="AB1996" t="s">
        <v>9164</v>
      </c>
      <c r="AC1996" t="s">
        <v>9148</v>
      </c>
      <c r="AD1996" t="s">
        <v>9140</v>
      </c>
      <c r="AE1996" t="s">
        <v>9140</v>
      </c>
      <c r="AF1996" t="s">
        <v>72</v>
      </c>
      <c r="AG1996" t="s">
        <v>1091</v>
      </c>
      <c r="AH1996" t="s">
        <v>9220</v>
      </c>
      <c r="AI1996" t="s">
        <v>9142</v>
      </c>
      <c r="AJ1996" t="s">
        <v>9143</v>
      </c>
      <c r="AK1996" t="s">
        <v>9221</v>
      </c>
      <c r="AL1996" t="s">
        <v>9228</v>
      </c>
      <c r="AM1996" t="s">
        <v>9221</v>
      </c>
      <c r="AN1996" t="s">
        <v>9229</v>
      </c>
    </row>
    <row r="1997" spans="1:40" x14ac:dyDescent="0.25">
      <c r="A1997" t="s">
        <v>7447</v>
      </c>
      <c r="C1997" t="s">
        <v>39</v>
      </c>
      <c r="D1997" t="s">
        <v>7448</v>
      </c>
      <c r="E1997" t="s">
        <v>7449</v>
      </c>
      <c r="F1997" s="2">
        <v>45105</v>
      </c>
      <c r="G1997" s="3">
        <v>0.56944444444444442</v>
      </c>
      <c r="H1997" t="s">
        <v>4019</v>
      </c>
      <c r="I1997" s="4" t="s">
        <v>7315</v>
      </c>
      <c r="J1997" t="s">
        <v>1037</v>
      </c>
      <c r="K1997" t="s">
        <v>181</v>
      </c>
      <c r="L1997" t="s">
        <v>7450</v>
      </c>
      <c r="M1997" t="s">
        <v>46</v>
      </c>
      <c r="O1997" t="s">
        <v>47</v>
      </c>
      <c r="P1997" t="s">
        <v>48</v>
      </c>
      <c r="Q1997">
        <v>0</v>
      </c>
      <c r="R1997" t="b">
        <v>0</v>
      </c>
      <c r="S1997" t="s">
        <v>61</v>
      </c>
      <c r="T1997" t="s">
        <v>89</v>
      </c>
      <c r="U1997" t="s">
        <v>175</v>
      </c>
      <c r="V1997" t="s">
        <v>52</v>
      </c>
      <c r="W1997" t="s">
        <v>53</v>
      </c>
      <c r="X1997" t="s">
        <v>54</v>
      </c>
      <c r="Z1997">
        <v>0</v>
      </c>
      <c r="AA1997" t="s">
        <v>9173</v>
      </c>
      <c r="AB1997" t="s">
        <v>9164</v>
      </c>
      <c r="AC1997" t="s">
        <v>9148</v>
      </c>
      <c r="AD1997" t="s">
        <v>9140</v>
      </c>
      <c r="AE1997" t="s">
        <v>9140</v>
      </c>
      <c r="AF1997" t="s">
        <v>52</v>
      </c>
      <c r="AG1997" t="s">
        <v>54</v>
      </c>
      <c r="AH1997" t="s">
        <v>9220</v>
      </c>
      <c r="AI1997" t="s">
        <v>9175</v>
      </c>
      <c r="AJ1997" t="s">
        <v>9143</v>
      </c>
      <c r="AK1997" t="s">
        <v>9221</v>
      </c>
      <c r="AL1997" t="s">
        <v>9222</v>
      </c>
      <c r="AM1997" t="s">
        <v>9221</v>
      </c>
      <c r="AN1997" t="s">
        <v>9223</v>
      </c>
    </row>
    <row r="1998" spans="1:40" x14ac:dyDescent="0.25">
      <c r="A1998" t="s">
        <v>3375</v>
      </c>
      <c r="C1998" t="s">
        <v>39</v>
      </c>
      <c r="D1998" t="s">
        <v>3364</v>
      </c>
      <c r="E1998" t="s">
        <v>3365</v>
      </c>
      <c r="F1998" s="2">
        <v>45105</v>
      </c>
      <c r="G1998" s="3">
        <v>0.50763888888888886</v>
      </c>
      <c r="H1998" t="s">
        <v>1992</v>
      </c>
      <c r="I1998" s="4" t="s">
        <v>3353</v>
      </c>
      <c r="J1998" t="s">
        <v>3354</v>
      </c>
      <c r="K1998" t="s">
        <v>3376</v>
      </c>
      <c r="L1998" t="s">
        <v>3377</v>
      </c>
      <c r="M1998" t="s">
        <v>46</v>
      </c>
      <c r="O1998" t="s">
        <v>47</v>
      </c>
      <c r="P1998" t="s">
        <v>48</v>
      </c>
      <c r="Q1998">
        <v>0</v>
      </c>
      <c r="R1998" t="b">
        <v>0</v>
      </c>
      <c r="S1998" t="s">
        <v>114</v>
      </c>
      <c r="T1998" t="s">
        <v>3009</v>
      </c>
      <c r="U1998" t="s">
        <v>165</v>
      </c>
      <c r="V1998" t="s">
        <v>81</v>
      </c>
      <c r="W1998" t="s">
        <v>82</v>
      </c>
      <c r="X1998" t="s">
        <v>83</v>
      </c>
      <c r="Z1998">
        <v>0</v>
      </c>
      <c r="AA1998" t="s">
        <v>9173</v>
      </c>
      <c r="AB1998" t="s">
        <v>9164</v>
      </c>
      <c r="AC1998" t="s">
        <v>9157</v>
      </c>
      <c r="AD1998" t="s">
        <v>9140</v>
      </c>
      <c r="AE1998" t="s">
        <v>9140</v>
      </c>
      <c r="AF1998" t="s">
        <v>81</v>
      </c>
      <c r="AG1998" t="s">
        <v>83</v>
      </c>
      <c r="AH1998" t="s">
        <v>9194</v>
      </c>
      <c r="AI1998" t="s">
        <v>9191</v>
      </c>
      <c r="AJ1998" t="s">
        <v>9143</v>
      </c>
      <c r="AK1998" t="s">
        <v>9194</v>
      </c>
      <c r="AL1998" t="s">
        <v>9205</v>
      </c>
      <c r="AM1998" t="s">
        <v>9194</v>
      </c>
      <c r="AN1998" t="s">
        <v>9206</v>
      </c>
    </row>
    <row r="1999" spans="1:40" x14ac:dyDescent="0.25">
      <c r="A1999" t="s">
        <v>7451</v>
      </c>
      <c r="C1999" t="s">
        <v>39</v>
      </c>
      <c r="D1999" t="s">
        <v>7319</v>
      </c>
      <c r="E1999" t="s">
        <v>7320</v>
      </c>
      <c r="F1999" s="2">
        <v>45104</v>
      </c>
      <c r="G1999" s="3">
        <v>0.58333333333333337</v>
      </c>
      <c r="H1999" t="s">
        <v>4019</v>
      </c>
      <c r="I1999" s="4" t="s">
        <v>7315</v>
      </c>
      <c r="J1999" t="s">
        <v>1037</v>
      </c>
      <c r="K1999" t="s">
        <v>7452</v>
      </c>
      <c r="L1999" t="s">
        <v>7453</v>
      </c>
      <c r="M1999" t="s">
        <v>46</v>
      </c>
      <c r="O1999" t="s">
        <v>47</v>
      </c>
      <c r="P1999" t="s">
        <v>48</v>
      </c>
      <c r="Q1999">
        <v>0</v>
      </c>
      <c r="R1999" t="b">
        <v>0</v>
      </c>
      <c r="S1999" t="s">
        <v>61</v>
      </c>
      <c r="T1999" t="s">
        <v>50</v>
      </c>
      <c r="U1999" t="s">
        <v>527</v>
      </c>
      <c r="V1999" t="s">
        <v>63</v>
      </c>
      <c r="W1999" t="s">
        <v>108</v>
      </c>
      <c r="X1999" t="s">
        <v>54</v>
      </c>
      <c r="Z1999">
        <v>0</v>
      </c>
      <c r="AA1999" t="s">
        <v>9173</v>
      </c>
      <c r="AB1999" t="s">
        <v>9164</v>
      </c>
      <c r="AC1999" t="s">
        <v>9148</v>
      </c>
      <c r="AD1999" t="s">
        <v>9140</v>
      </c>
      <c r="AE1999" t="s">
        <v>9140</v>
      </c>
      <c r="AF1999" t="s">
        <v>63</v>
      </c>
      <c r="AG1999" t="s">
        <v>54</v>
      </c>
      <c r="AH1999" t="s">
        <v>9220</v>
      </c>
      <c r="AI1999" t="s">
        <v>9175</v>
      </c>
      <c r="AJ1999" t="s">
        <v>9143</v>
      </c>
      <c r="AK1999" t="s">
        <v>9221</v>
      </c>
      <c r="AL1999" t="s">
        <v>9222</v>
      </c>
      <c r="AM1999" t="s">
        <v>9221</v>
      </c>
      <c r="AN1999" t="s">
        <v>9223</v>
      </c>
    </row>
    <row r="2000" spans="1:40" x14ac:dyDescent="0.25">
      <c r="A2000" t="s">
        <v>4234</v>
      </c>
      <c r="C2000" t="s">
        <v>39</v>
      </c>
      <c r="D2000" t="s">
        <v>4235</v>
      </c>
      <c r="E2000" t="s">
        <v>4236</v>
      </c>
      <c r="F2000" s="2">
        <v>45104</v>
      </c>
      <c r="G2000" s="3">
        <v>0.61458333333333337</v>
      </c>
      <c r="H2000" t="s">
        <v>4019</v>
      </c>
      <c r="I2000" s="4" t="s">
        <v>4221</v>
      </c>
      <c r="J2000" t="s">
        <v>3090</v>
      </c>
      <c r="K2000" t="s">
        <v>4237</v>
      </c>
      <c r="L2000" t="s">
        <v>4238</v>
      </c>
      <c r="M2000" t="s">
        <v>46</v>
      </c>
      <c r="O2000" t="s">
        <v>47</v>
      </c>
      <c r="P2000" t="s">
        <v>48</v>
      </c>
      <c r="Q2000">
        <v>0</v>
      </c>
      <c r="R2000" t="b">
        <v>0</v>
      </c>
      <c r="S2000" t="s">
        <v>61</v>
      </c>
      <c r="T2000" t="s">
        <v>89</v>
      </c>
      <c r="U2000" t="s">
        <v>62</v>
      </c>
      <c r="V2000" t="s">
        <v>123</v>
      </c>
      <c r="W2000" t="s">
        <v>149</v>
      </c>
      <c r="X2000" t="s">
        <v>54</v>
      </c>
      <c r="Z2000">
        <v>0</v>
      </c>
      <c r="AA2000" t="s">
        <v>9173</v>
      </c>
      <c r="AB2000" t="s">
        <v>9164</v>
      </c>
      <c r="AC2000" t="s">
        <v>9148</v>
      </c>
      <c r="AD2000" t="s">
        <v>9140</v>
      </c>
      <c r="AE2000" t="s">
        <v>9140</v>
      </c>
      <c r="AF2000" t="s">
        <v>123</v>
      </c>
      <c r="AG2000" t="s">
        <v>54</v>
      </c>
      <c r="AH2000" t="s">
        <v>9220</v>
      </c>
      <c r="AI2000" t="s">
        <v>9175</v>
      </c>
      <c r="AJ2000" t="s">
        <v>9143</v>
      </c>
      <c r="AK2000" t="s">
        <v>9221</v>
      </c>
      <c r="AL2000" t="s">
        <v>9224</v>
      </c>
      <c r="AM2000" t="s">
        <v>9221</v>
      </c>
      <c r="AN2000" t="s">
        <v>9225</v>
      </c>
    </row>
    <row r="2001" spans="1:40" x14ac:dyDescent="0.25">
      <c r="A2001" t="s">
        <v>8964</v>
      </c>
      <c r="C2001" t="s">
        <v>39</v>
      </c>
      <c r="D2001" t="s">
        <v>8965</v>
      </c>
      <c r="E2001" t="s">
        <v>8966</v>
      </c>
      <c r="F2001" s="2">
        <v>45104</v>
      </c>
      <c r="G2001" s="3">
        <v>0.36458333333333331</v>
      </c>
      <c r="H2001" t="s">
        <v>4019</v>
      </c>
      <c r="I2001" s="4" t="s">
        <v>8952</v>
      </c>
      <c r="J2001" t="s">
        <v>8953</v>
      </c>
      <c r="K2001" t="s">
        <v>711</v>
      </c>
      <c r="L2001" t="s">
        <v>8967</v>
      </c>
      <c r="M2001" t="s">
        <v>46</v>
      </c>
      <c r="O2001" t="s">
        <v>47</v>
      </c>
      <c r="P2001" t="s">
        <v>48</v>
      </c>
      <c r="Q2001">
        <v>0</v>
      </c>
      <c r="R2001" t="b">
        <v>0</v>
      </c>
      <c r="S2001" t="s">
        <v>61</v>
      </c>
      <c r="T2001" t="s">
        <v>50</v>
      </c>
      <c r="U2001" t="s">
        <v>90</v>
      </c>
      <c r="V2001" t="s">
        <v>123</v>
      </c>
      <c r="W2001" t="s">
        <v>124</v>
      </c>
      <c r="X2001" t="s">
        <v>54</v>
      </c>
      <c r="Z2001">
        <v>0</v>
      </c>
      <c r="AA2001" t="s">
        <v>9173</v>
      </c>
      <c r="AB2001" t="s">
        <v>9164</v>
      </c>
      <c r="AC2001" t="s">
        <v>9148</v>
      </c>
      <c r="AD2001" t="s">
        <v>9140</v>
      </c>
      <c r="AE2001" t="s">
        <v>9140</v>
      </c>
      <c r="AF2001" t="s">
        <v>123</v>
      </c>
      <c r="AG2001" t="s">
        <v>54</v>
      </c>
      <c r="AH2001" t="s">
        <v>9220</v>
      </c>
      <c r="AI2001" t="s">
        <v>9175</v>
      </c>
      <c r="AJ2001" t="s">
        <v>9183</v>
      </c>
      <c r="AK2001" t="s">
        <v>9241</v>
      </c>
      <c r="AL2001" t="s">
        <v>9242</v>
      </c>
      <c r="AM2001" t="s">
        <v>9186</v>
      </c>
      <c r="AN2001" t="s">
        <v>9186</v>
      </c>
    </row>
    <row r="2002" spans="1:40" x14ac:dyDescent="0.25">
      <c r="A2002" t="s">
        <v>5747</v>
      </c>
      <c r="C2002" t="s">
        <v>39</v>
      </c>
      <c r="D2002" t="s">
        <v>5734</v>
      </c>
      <c r="E2002" t="s">
        <v>5735</v>
      </c>
      <c r="F2002" s="2">
        <v>45103</v>
      </c>
      <c r="G2002" s="3">
        <v>0.75</v>
      </c>
      <c r="H2002" t="s">
        <v>5666</v>
      </c>
      <c r="I2002" s="4" t="s">
        <v>5667</v>
      </c>
      <c r="J2002" t="s">
        <v>2192</v>
      </c>
      <c r="K2002" t="s">
        <v>5748</v>
      </c>
      <c r="L2002" t="s">
        <v>5749</v>
      </c>
      <c r="M2002" t="s">
        <v>46</v>
      </c>
      <c r="O2002" t="s">
        <v>47</v>
      </c>
      <c r="P2002" t="s">
        <v>48</v>
      </c>
      <c r="Q2002">
        <v>0</v>
      </c>
      <c r="R2002" t="b">
        <v>0</v>
      </c>
      <c r="S2002" t="s">
        <v>61</v>
      </c>
      <c r="T2002" t="s">
        <v>70</v>
      </c>
      <c r="U2002" t="s">
        <v>224</v>
      </c>
      <c r="V2002" t="s">
        <v>63</v>
      </c>
      <c r="W2002" t="s">
        <v>108</v>
      </c>
      <c r="X2002" t="s">
        <v>5750</v>
      </c>
      <c r="Z2002">
        <v>0</v>
      </c>
      <c r="AA2002" t="s">
        <v>9173</v>
      </c>
      <c r="AB2002" t="s">
        <v>9164</v>
      </c>
      <c r="AC2002" t="s">
        <v>9148</v>
      </c>
      <c r="AD2002" t="s">
        <v>9140</v>
      </c>
      <c r="AE2002" t="s">
        <v>9140</v>
      </c>
      <c r="AF2002" t="s">
        <v>63</v>
      </c>
      <c r="AG2002" t="s">
        <v>5750</v>
      </c>
      <c r="AH2002" t="s">
        <v>9220</v>
      </c>
      <c r="AI2002" t="s">
        <v>9199</v>
      </c>
      <c r="AJ2002" t="s">
        <v>9143</v>
      </c>
      <c r="AK2002" t="s">
        <v>9221</v>
      </c>
      <c r="AL2002" t="s">
        <v>9199</v>
      </c>
      <c r="AM2002" t="s">
        <v>9221</v>
      </c>
      <c r="AN2002" t="s">
        <v>9238</v>
      </c>
    </row>
    <row r="2003" spans="1:40" x14ac:dyDescent="0.25">
      <c r="A2003" t="s">
        <v>8201</v>
      </c>
      <c r="C2003" t="s">
        <v>39</v>
      </c>
      <c r="D2003" t="s">
        <v>8202</v>
      </c>
      <c r="E2003" t="s">
        <v>8203</v>
      </c>
      <c r="F2003" s="2">
        <v>45103</v>
      </c>
      <c r="G2003" s="3">
        <v>0.39652777777777776</v>
      </c>
      <c r="H2003" t="s">
        <v>4516</v>
      </c>
      <c r="I2003" s="4" t="s">
        <v>8179</v>
      </c>
      <c r="J2003" t="s">
        <v>8180</v>
      </c>
      <c r="K2003" t="s">
        <v>243</v>
      </c>
      <c r="L2003" t="s">
        <v>8204</v>
      </c>
      <c r="M2003" t="s">
        <v>46</v>
      </c>
      <c r="O2003" t="s">
        <v>47</v>
      </c>
      <c r="P2003" t="s">
        <v>48</v>
      </c>
      <c r="Q2003">
        <v>0</v>
      </c>
      <c r="R2003" t="b">
        <v>0</v>
      </c>
      <c r="S2003" t="s">
        <v>61</v>
      </c>
      <c r="T2003" t="s">
        <v>89</v>
      </c>
      <c r="U2003" t="s">
        <v>51</v>
      </c>
      <c r="V2003" t="s">
        <v>123</v>
      </c>
      <c r="W2003" t="s">
        <v>124</v>
      </c>
      <c r="X2003" t="s">
        <v>54</v>
      </c>
      <c r="Z2003">
        <v>0</v>
      </c>
      <c r="AA2003" t="s">
        <v>9173</v>
      </c>
      <c r="AB2003" t="s">
        <v>9164</v>
      </c>
      <c r="AC2003" t="s">
        <v>9148</v>
      </c>
      <c r="AD2003" t="s">
        <v>9140</v>
      </c>
      <c r="AE2003" t="s">
        <v>9140</v>
      </c>
      <c r="AF2003" t="s">
        <v>123</v>
      </c>
      <c r="AG2003" t="s">
        <v>54</v>
      </c>
      <c r="AH2003" t="s">
        <v>9220</v>
      </c>
      <c r="AI2003" t="s">
        <v>9188</v>
      </c>
      <c r="AJ2003" t="s">
        <v>9143</v>
      </c>
      <c r="AK2003" t="s">
        <v>9221</v>
      </c>
      <c r="AL2003" t="s">
        <v>9232</v>
      </c>
      <c r="AM2003" t="s">
        <v>9221</v>
      </c>
      <c r="AN2003" t="s">
        <v>9233</v>
      </c>
    </row>
    <row r="2004" spans="1:40" x14ac:dyDescent="0.25">
      <c r="A2004" t="s">
        <v>3075</v>
      </c>
      <c r="C2004" t="s">
        <v>39</v>
      </c>
      <c r="D2004" t="s">
        <v>3076</v>
      </c>
      <c r="E2004" t="s">
        <v>3077</v>
      </c>
      <c r="F2004" s="2">
        <v>45103</v>
      </c>
      <c r="G2004" s="3">
        <v>0.45694444444444443</v>
      </c>
      <c r="H2004" t="s">
        <v>1939</v>
      </c>
      <c r="I2004" s="4" t="s">
        <v>3053</v>
      </c>
      <c r="J2004" t="s">
        <v>3054</v>
      </c>
      <c r="K2004" t="s">
        <v>455</v>
      </c>
      <c r="L2004" t="s">
        <v>3078</v>
      </c>
      <c r="M2004" t="s">
        <v>46</v>
      </c>
      <c r="O2004" t="s">
        <v>47</v>
      </c>
      <c r="P2004" t="s">
        <v>48</v>
      </c>
      <c r="Q2004">
        <v>0</v>
      </c>
      <c r="R2004" t="b">
        <v>0</v>
      </c>
      <c r="S2004" t="s">
        <v>61</v>
      </c>
      <c r="T2004" t="s">
        <v>89</v>
      </c>
      <c r="U2004" t="s">
        <v>148</v>
      </c>
      <c r="V2004" t="s">
        <v>52</v>
      </c>
      <c r="W2004" t="s">
        <v>255</v>
      </c>
      <c r="X2004" t="s">
        <v>54</v>
      </c>
      <c r="Z2004">
        <v>0</v>
      </c>
      <c r="AA2004" t="s">
        <v>9173</v>
      </c>
      <c r="AB2004" t="s">
        <v>9164</v>
      </c>
      <c r="AC2004" t="s">
        <v>9148</v>
      </c>
      <c r="AD2004" t="s">
        <v>9140</v>
      </c>
      <c r="AE2004" t="s">
        <v>9140</v>
      </c>
      <c r="AF2004" t="s">
        <v>52</v>
      </c>
      <c r="AG2004" t="s">
        <v>54</v>
      </c>
      <c r="AH2004" t="s">
        <v>9194</v>
      </c>
      <c r="AI2004" t="s">
        <v>9175</v>
      </c>
      <c r="AJ2004" t="s">
        <v>9143</v>
      </c>
      <c r="AK2004" t="s">
        <v>9194</v>
      </c>
      <c r="AL2004" t="s">
        <v>9209</v>
      </c>
      <c r="AM2004" t="s">
        <v>9194</v>
      </c>
      <c r="AN2004" t="s">
        <v>9210</v>
      </c>
    </row>
  </sheetData>
  <autoFilter ref="A1:AN2004" xr:uid="{B7346605-D27C-421B-8421-BCACF9B6F11F}"/>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240F-C9DA-4729-94F7-68703C18E001}">
  <sheetPr filterMode="1"/>
  <dimension ref="A1:BB328"/>
  <sheetViews>
    <sheetView topLeftCell="A75" workbookViewId="0">
      <selection activeCell="G277" sqref="G277"/>
    </sheetView>
  </sheetViews>
  <sheetFormatPr defaultRowHeight="15" x14ac:dyDescent="0.25"/>
  <cols>
    <col min="1" max="1" width="18.42578125" customWidth="1"/>
    <col min="2" max="2" width="12.7109375" customWidth="1"/>
    <col min="3" max="3" width="14.28515625" customWidth="1"/>
    <col min="5" max="5" width="14.7109375" customWidth="1"/>
    <col min="6" max="6" width="32.5703125" customWidth="1"/>
    <col min="7" max="7" width="14.5703125" customWidth="1"/>
    <col min="8" max="8" width="14.42578125" style="26" customWidth="1"/>
    <col min="9" max="9" width="20.28515625" customWidth="1"/>
    <col min="10" max="10" width="16.85546875" customWidth="1"/>
    <col min="12" max="12" width="17.140625" customWidth="1"/>
    <col min="13" max="13" width="21" customWidth="1"/>
    <col min="14" max="14" width="16.5703125" customWidth="1"/>
    <col min="16" max="16" width="15.7109375" customWidth="1"/>
    <col min="17" max="17" width="17.42578125" customWidth="1"/>
    <col min="20" max="20" width="12.140625" customWidth="1"/>
    <col min="21" max="21" width="32" customWidth="1"/>
    <col min="22" max="22" width="60.7109375" customWidth="1"/>
    <col min="29" max="29" width="22.5703125" style="29" bestFit="1" customWidth="1"/>
    <col min="30" max="30" width="23.5703125" style="29" customWidth="1"/>
    <col min="31" max="31" width="31.85546875" style="29" customWidth="1"/>
    <col min="32" max="32" width="12" customWidth="1"/>
    <col min="33" max="33" width="12.5703125" style="21" customWidth="1"/>
    <col min="34" max="34" width="24.7109375" customWidth="1"/>
    <col min="35" max="36" width="26.28515625" customWidth="1"/>
    <col min="37" max="37" width="14.42578125" customWidth="1"/>
    <col min="38" max="38" width="14.42578125" style="4" customWidth="1"/>
    <col min="39" max="39" width="9.7109375" customWidth="1"/>
    <col min="40" max="40" width="22.42578125" customWidth="1"/>
    <col min="41" max="41" width="12.28515625" customWidth="1"/>
    <col min="42" max="42" width="10.42578125" customWidth="1"/>
    <col min="43" max="44" width="10.7109375" customWidth="1"/>
    <col min="45" max="45" width="16.5703125" customWidth="1"/>
    <col min="46" max="46" width="21.85546875" customWidth="1"/>
    <col min="48" max="48" width="23" customWidth="1"/>
    <col min="51" max="51" width="17.5703125" customWidth="1"/>
    <col min="52" max="52" width="12.85546875" customWidth="1"/>
    <col min="53" max="53" width="14" customWidth="1"/>
    <col min="54" max="54" width="14.85546875" customWidth="1"/>
    <col min="55" max="55" width="24.7109375" customWidth="1"/>
  </cols>
  <sheetData>
    <row r="1" spans="1:54" ht="15.75" thickBot="1" x14ac:dyDescent="0.3">
      <c r="A1" t="s">
        <v>0</v>
      </c>
      <c r="B1" t="s">
        <v>9250</v>
      </c>
      <c r="C1" s="1" t="s">
        <v>1</v>
      </c>
      <c r="D1" t="s">
        <v>2</v>
      </c>
      <c r="E1" t="s">
        <v>3</v>
      </c>
      <c r="F1" t="s">
        <v>4</v>
      </c>
      <c r="G1" t="s">
        <v>9581</v>
      </c>
      <c r="H1" s="24" t="s">
        <v>5</v>
      </c>
      <c r="I1" s="3" t="s">
        <v>6</v>
      </c>
      <c r="J1" t="s">
        <v>7</v>
      </c>
      <c r="K1" s="4" t="s">
        <v>8</v>
      </c>
      <c r="L1" t="s">
        <v>4</v>
      </c>
      <c r="M1" t="s">
        <v>9</v>
      </c>
      <c r="N1" t="s">
        <v>10</v>
      </c>
      <c r="O1" t="s">
        <v>11</v>
      </c>
      <c r="P1" t="s">
        <v>12</v>
      </c>
      <c r="Q1" t="s">
        <v>13</v>
      </c>
      <c r="R1" t="s">
        <v>14</v>
      </c>
      <c r="S1" t="s">
        <v>15</v>
      </c>
      <c r="T1" t="s">
        <v>16</v>
      </c>
      <c r="U1" t="s">
        <v>17</v>
      </c>
      <c r="V1" t="s">
        <v>18</v>
      </c>
      <c r="W1" t="s">
        <v>19</v>
      </c>
      <c r="X1" t="s">
        <v>20</v>
      </c>
      <c r="Y1" t="s">
        <v>21</v>
      </c>
      <c r="Z1" t="s">
        <v>22</v>
      </c>
      <c r="AA1" t="s">
        <v>23</v>
      </c>
      <c r="AB1" s="22" t="s">
        <v>24</v>
      </c>
      <c r="AC1" s="27" t="s">
        <v>9578</v>
      </c>
      <c r="AD1" s="27" t="s">
        <v>9579</v>
      </c>
      <c r="AE1" s="27" t="s">
        <v>9584</v>
      </c>
      <c r="AF1" s="5" t="s">
        <v>9243</v>
      </c>
      <c r="AG1" s="20" t="s">
        <v>9244</v>
      </c>
      <c r="AH1" s="5" t="s">
        <v>9245</v>
      </c>
      <c r="AI1" s="5" t="s">
        <v>9246</v>
      </c>
      <c r="AJ1" s="5" t="s">
        <v>9601</v>
      </c>
      <c r="AK1" s="5" t="s">
        <v>9247</v>
      </c>
      <c r="AL1" s="30" t="s">
        <v>9248</v>
      </c>
      <c r="AM1" s="5" t="s">
        <v>9249</v>
      </c>
      <c r="AN1" s="5" t="s">
        <v>9582</v>
      </c>
      <c r="AO1" s="6" t="s">
        <v>25</v>
      </c>
      <c r="AP1" s="6" t="s">
        <v>26</v>
      </c>
      <c r="AQ1" s="7" t="s">
        <v>27</v>
      </c>
      <c r="AR1" s="7" t="s">
        <v>28</v>
      </c>
      <c r="AS1" s="7" t="s">
        <v>29</v>
      </c>
      <c r="AT1" s="7" t="s">
        <v>30</v>
      </c>
      <c r="AU1" s="7" t="s">
        <v>22</v>
      </c>
      <c r="AV1" s="8" t="s">
        <v>31</v>
      </c>
      <c r="AW1" s="8" t="s">
        <v>32</v>
      </c>
      <c r="AX1" s="8" t="s">
        <v>33</v>
      </c>
      <c r="AY1" s="8" t="s">
        <v>34</v>
      </c>
      <c r="AZ1" s="8" t="s">
        <v>35</v>
      </c>
      <c r="BA1" s="9" t="s">
        <v>36</v>
      </c>
      <c r="BB1" s="9" t="s">
        <v>37</v>
      </c>
    </row>
    <row r="2" spans="1:54" hidden="1" x14ac:dyDescent="0.25">
      <c r="A2" s="4" t="s">
        <v>932</v>
      </c>
      <c r="B2" s="4" t="s">
        <v>9251</v>
      </c>
      <c r="C2" s="4"/>
      <c r="D2" s="4" t="s">
        <v>39</v>
      </c>
      <c r="E2" s="4">
        <v>297458</v>
      </c>
      <c r="F2" s="4" t="s">
        <v>934</v>
      </c>
      <c r="G2" s="32">
        <v>20892</v>
      </c>
      <c r="H2" s="25">
        <v>45195</v>
      </c>
      <c r="I2" s="11">
        <v>0.4375</v>
      </c>
      <c r="J2" s="4" t="s">
        <v>463</v>
      </c>
      <c r="K2" s="4">
        <v>2032</v>
      </c>
      <c r="L2" s="4" t="s">
        <v>929</v>
      </c>
      <c r="M2" s="4" t="s">
        <v>935</v>
      </c>
      <c r="N2" s="4" t="s">
        <v>936</v>
      </c>
      <c r="O2" s="4" t="s">
        <v>46</v>
      </c>
      <c r="P2" s="4"/>
      <c r="Q2" s="4" t="s">
        <v>47</v>
      </c>
      <c r="R2" s="4" t="s">
        <v>48</v>
      </c>
      <c r="S2" s="4">
        <v>0</v>
      </c>
      <c r="T2" s="4" t="b">
        <v>0</v>
      </c>
      <c r="U2" s="4" t="s">
        <v>61</v>
      </c>
      <c r="V2" s="4" t="s">
        <v>89</v>
      </c>
      <c r="W2" s="4" t="s">
        <v>90</v>
      </c>
      <c r="X2" s="4" t="s">
        <v>63</v>
      </c>
      <c r="Y2" s="4" t="s">
        <v>198</v>
      </c>
      <c r="Z2" s="4" t="s">
        <v>98</v>
      </c>
      <c r="AA2" s="4"/>
      <c r="AB2" s="23">
        <v>0</v>
      </c>
      <c r="AC2" s="28" t="e">
        <v>#N/A</v>
      </c>
      <c r="AD2" s="28" t="e">
        <v>#N/A</v>
      </c>
      <c r="AE2" s="28"/>
      <c r="AF2" s="19">
        <v>44329</v>
      </c>
      <c r="AG2" s="19">
        <v>45363</v>
      </c>
      <c r="AH2" s="12">
        <f>DATEDIF(AF2,H2,"Y")</f>
        <v>2</v>
      </c>
      <c r="AI2" s="12">
        <f ca="1">IF(AG2=0,DATEDIF(AF2,TODAY(),"Y"),DATEDIF(AF2,AG2,"Y"))</f>
        <v>2</v>
      </c>
      <c r="AJ2" s="12" t="str">
        <f>IF(AH2=0,"Under 1 Year",IF(AND(AH2&gt;=1,AH2&lt;=5),"1-5 Years",IF(AND(AH2&gt;=6,AH2&lt;=10),"6-10 Years",IF(AND(AH2&gt;=11,AH2&lt;=15),"11-15 Years",IF(AND(AH2&gt;=16,AH2&lt;=20),"16-20 Years",IF(AND(AH2&gt;=21,AH2&lt;=25),"21-25 Years",IF(AND(AH2&gt;=26,AH2&lt;=30),"26-30 Years","More Than 30 Years")))))))</f>
        <v>1-5 Years</v>
      </c>
      <c r="AK2" s="12" t="s">
        <v>9632</v>
      </c>
      <c r="AL2" s="31">
        <v>21.5</v>
      </c>
      <c r="AM2" s="31">
        <v>68</v>
      </c>
      <c r="AN2" s="12" t="str">
        <f>IF(AM2&lt;20,"Less Than 20 Years",IF(AND(AM2&gt;=20,AM2&lt;=24),"20-24 Years",IF(AND(AM2&gt;=25,AM2&lt;=34),"25-34 Years",IF(AND(AM2&gt;=35,AM2&lt;=44),"35-44 Years",IF(AND(AM2&gt;=45,AM2&lt;=54),"45-54 Years","More Than 55 Years")))))</f>
        <v>More Than 55 Years</v>
      </c>
      <c r="AO2" s="13" t="s">
        <v>9151</v>
      </c>
      <c r="AP2" s="13" t="s">
        <v>9150</v>
      </c>
      <c r="AQ2" s="14" t="s">
        <v>9148</v>
      </c>
      <c r="AR2" s="14" t="s">
        <v>9140</v>
      </c>
      <c r="AS2" s="14"/>
      <c r="AT2" s="14" t="s">
        <v>63</v>
      </c>
      <c r="AU2" s="14" t="s">
        <v>98</v>
      </c>
      <c r="AV2" s="15" t="s">
        <v>9141</v>
      </c>
      <c r="AW2" s="15" t="s">
        <v>9175</v>
      </c>
      <c r="AX2" s="15" t="s">
        <v>9143</v>
      </c>
      <c r="AY2" s="15" t="s">
        <v>9141</v>
      </c>
      <c r="AZ2" s="15" t="s">
        <v>9175</v>
      </c>
      <c r="BA2" s="16" t="s">
        <v>9141</v>
      </c>
      <c r="BB2" s="16" t="s">
        <v>9176</v>
      </c>
    </row>
    <row r="3" spans="1:54" hidden="1" x14ac:dyDescent="0.25">
      <c r="A3" s="4" t="s">
        <v>84</v>
      </c>
      <c r="B3" s="4" t="s">
        <v>9252</v>
      </c>
      <c r="C3" s="4"/>
      <c r="D3" s="4" t="s">
        <v>39</v>
      </c>
      <c r="E3" s="4">
        <v>327134</v>
      </c>
      <c r="F3" s="4" t="s">
        <v>86</v>
      </c>
      <c r="G3" s="32">
        <v>22258</v>
      </c>
      <c r="H3" s="25">
        <v>45196</v>
      </c>
      <c r="I3" s="11">
        <v>0.3923611111111111</v>
      </c>
      <c r="J3" s="4" t="s">
        <v>42</v>
      </c>
      <c r="K3" s="4">
        <v>1005</v>
      </c>
      <c r="L3" s="4" t="s">
        <v>43</v>
      </c>
      <c r="M3" s="4" t="s">
        <v>87</v>
      </c>
      <c r="N3" s="4" t="s">
        <v>88</v>
      </c>
      <c r="O3" s="4" t="s">
        <v>46</v>
      </c>
      <c r="P3" s="4"/>
      <c r="Q3" s="4" t="s">
        <v>47</v>
      </c>
      <c r="R3" s="4" t="s">
        <v>48</v>
      </c>
      <c r="S3" s="4">
        <v>0</v>
      </c>
      <c r="T3" s="4" t="b">
        <v>0</v>
      </c>
      <c r="U3" s="4" t="s">
        <v>49</v>
      </c>
      <c r="V3" s="4" t="s">
        <v>89</v>
      </c>
      <c r="W3" s="4" t="s">
        <v>90</v>
      </c>
      <c r="X3" s="4" t="s">
        <v>72</v>
      </c>
      <c r="Y3" s="4" t="s">
        <v>73</v>
      </c>
      <c r="Z3" s="4" t="s">
        <v>54</v>
      </c>
      <c r="AA3" s="4"/>
      <c r="AB3" s="23">
        <v>0</v>
      </c>
      <c r="AC3" s="28" t="e">
        <v>#N/A</v>
      </c>
      <c r="AD3" s="28" t="e">
        <v>#N/A</v>
      </c>
      <c r="AE3" s="28"/>
      <c r="AF3" s="19">
        <v>44900</v>
      </c>
      <c r="AG3" s="19"/>
      <c r="AH3" s="12">
        <f t="shared" ref="AH3:AH66" si="0">DATEDIF(AF3,H3,"Y")</f>
        <v>0</v>
      </c>
      <c r="AI3" s="12">
        <f t="shared" ref="AI3:AI66" ca="1" si="1">IF(AG3=0,DATEDIF(AF3,TODAY(),"Y"),DATEDIF(AF3,AG3,"Y"))</f>
        <v>3</v>
      </c>
      <c r="AJ3" s="12" t="str">
        <f t="shared" ref="AJ3:AJ66" si="2">IF(AH3=0,"Under 1 Year",IF(AND(AH3&gt;=1,AH3&lt;=5),"1-5 Years",IF(AND(AH3&gt;=6,AH3&lt;=10),"6-10 Years",IF(AND(AH3&gt;=11,AH3&lt;=15),"11-15 Years",IF(AND(AH3&gt;=16,AH3&lt;=20),"16-20 Years",IF(AND(AH3&gt;=21,AH3&lt;=25),"21-25 Years",IF(AND(AH3&gt;=26,AH3&lt;=30),"26-30 Years","More Than 30 Years")))))))</f>
        <v>Under 1 Year</v>
      </c>
      <c r="AK3" s="12" t="s">
        <v>9632</v>
      </c>
      <c r="AL3" s="31">
        <v>35</v>
      </c>
      <c r="AM3" s="31">
        <v>64</v>
      </c>
      <c r="AN3" s="12" t="str">
        <f t="shared" ref="AN3:AN66" si="3">IF(AM3&lt;20,"Less Than 20 Years",IF(AND(AM3&gt;=20,AM3&lt;=24),"20-24 Years",IF(AND(AM3&gt;=25,AM3&lt;=34),"25-34 Years",IF(AND(AM3&gt;=35,AM3&lt;=44),"35-44 Years",IF(AND(AM3&gt;=45,AM3&lt;=54),"45-54 Years","More Than 55 Years")))))</f>
        <v>More Than 55 Years</v>
      </c>
      <c r="AO3" s="13" t="s">
        <v>9151</v>
      </c>
      <c r="AP3" s="13" t="s">
        <v>9150</v>
      </c>
      <c r="AQ3" s="14" t="s">
        <v>9139</v>
      </c>
      <c r="AR3" s="14" t="s">
        <v>9140</v>
      </c>
      <c r="AS3" s="14"/>
      <c r="AT3" s="14" t="s">
        <v>72</v>
      </c>
      <c r="AU3" s="14" t="s">
        <v>54</v>
      </c>
      <c r="AV3" s="15" t="s">
        <v>9141</v>
      </c>
      <c r="AW3" s="15" t="s">
        <v>9142</v>
      </c>
      <c r="AX3" s="15" t="s">
        <v>9143</v>
      </c>
      <c r="AY3" s="15" t="s">
        <v>9141</v>
      </c>
      <c r="AZ3" s="15" t="s">
        <v>9144</v>
      </c>
      <c r="BA3" s="16" t="s">
        <v>9141</v>
      </c>
      <c r="BB3" s="16" t="s">
        <v>9145</v>
      </c>
    </row>
    <row r="4" spans="1:54" hidden="1" x14ac:dyDescent="0.25">
      <c r="A4" s="4" t="s">
        <v>1358</v>
      </c>
      <c r="B4" s="4" t="s">
        <v>9253</v>
      </c>
      <c r="C4" s="4"/>
      <c r="D4" s="4" t="s">
        <v>39</v>
      </c>
      <c r="E4" s="4">
        <v>288086</v>
      </c>
      <c r="F4" s="4" t="s">
        <v>1360</v>
      </c>
      <c r="G4" s="32">
        <v>28881</v>
      </c>
      <c r="H4" s="25">
        <v>45200</v>
      </c>
      <c r="I4" s="11">
        <v>0.52013888888888893</v>
      </c>
      <c r="J4" s="4" t="s">
        <v>1155</v>
      </c>
      <c r="K4" s="4">
        <v>4045</v>
      </c>
      <c r="L4" s="4" t="s">
        <v>1329</v>
      </c>
      <c r="M4" s="4" t="s">
        <v>1361</v>
      </c>
      <c r="N4" s="4" t="s">
        <v>1362</v>
      </c>
      <c r="O4" s="4" t="s">
        <v>46</v>
      </c>
      <c r="P4" s="4"/>
      <c r="Q4" s="4" t="s">
        <v>47</v>
      </c>
      <c r="R4" s="4" t="s">
        <v>48</v>
      </c>
      <c r="S4" s="4">
        <v>0</v>
      </c>
      <c r="T4" s="4" t="b">
        <v>0</v>
      </c>
      <c r="U4" s="4" t="s">
        <v>61</v>
      </c>
      <c r="V4" s="4" t="s">
        <v>89</v>
      </c>
      <c r="W4" s="4" t="s">
        <v>345</v>
      </c>
      <c r="X4" s="4" t="s">
        <v>52</v>
      </c>
      <c r="Y4" s="4" t="s">
        <v>53</v>
      </c>
      <c r="Z4" s="4" t="s">
        <v>98</v>
      </c>
      <c r="AA4" s="4"/>
      <c r="AB4" s="23">
        <v>0</v>
      </c>
      <c r="AC4" s="28" t="e">
        <v>#N/A</v>
      </c>
      <c r="AD4" s="28" t="e">
        <v>#N/A</v>
      </c>
      <c r="AE4" s="28"/>
      <c r="AF4" s="19">
        <v>38789</v>
      </c>
      <c r="AG4" s="19"/>
      <c r="AH4" s="12">
        <f t="shared" si="0"/>
        <v>17</v>
      </c>
      <c r="AI4" s="12">
        <f t="shared" ca="1" si="1"/>
        <v>20</v>
      </c>
      <c r="AJ4" s="12" t="str">
        <f t="shared" si="2"/>
        <v>16-20 Years</v>
      </c>
      <c r="AK4" s="12" t="s">
        <v>10046</v>
      </c>
      <c r="AL4" s="31">
        <v>38</v>
      </c>
      <c r="AM4" s="31">
        <v>46</v>
      </c>
      <c r="AN4" s="12" t="str">
        <f t="shared" si="3"/>
        <v>45-54 Years</v>
      </c>
      <c r="AO4" s="13" t="s">
        <v>9151</v>
      </c>
      <c r="AP4" s="13" t="s">
        <v>9150</v>
      </c>
      <c r="AQ4" s="14" t="s">
        <v>9148</v>
      </c>
      <c r="AR4" s="14" t="s">
        <v>9140</v>
      </c>
      <c r="AS4" s="14"/>
      <c r="AT4" s="14" t="s">
        <v>52</v>
      </c>
      <c r="AU4" s="14" t="s">
        <v>98</v>
      </c>
      <c r="AV4" s="15" t="s">
        <v>9141</v>
      </c>
      <c r="AW4" s="15" t="s">
        <v>9187</v>
      </c>
      <c r="AX4" s="15" t="s">
        <v>9143</v>
      </c>
      <c r="AY4" s="15" t="s">
        <v>9141</v>
      </c>
      <c r="AZ4" s="15" t="s">
        <v>9144</v>
      </c>
      <c r="BA4" s="16" t="s">
        <v>9141</v>
      </c>
      <c r="BB4" s="16" t="s">
        <v>9145</v>
      </c>
    </row>
    <row r="5" spans="1:54" hidden="1" x14ac:dyDescent="0.25">
      <c r="A5" s="4" t="s">
        <v>1265</v>
      </c>
      <c r="B5" s="4" t="s">
        <v>9254</v>
      </c>
      <c r="C5" s="4"/>
      <c r="D5" s="4" t="s">
        <v>39</v>
      </c>
      <c r="E5" s="4">
        <v>297563</v>
      </c>
      <c r="F5" s="4" t="s">
        <v>1226</v>
      </c>
      <c r="G5" s="32">
        <v>35423</v>
      </c>
      <c r="H5" s="25">
        <v>45202</v>
      </c>
      <c r="I5" s="11">
        <v>0.47916666666666669</v>
      </c>
      <c r="J5" s="4" t="s">
        <v>1155</v>
      </c>
      <c r="K5" s="4">
        <v>4043</v>
      </c>
      <c r="L5" s="4" t="s">
        <v>1200</v>
      </c>
      <c r="M5" s="4" t="s">
        <v>877</v>
      </c>
      <c r="N5" s="4" t="s">
        <v>1266</v>
      </c>
      <c r="O5" s="4" t="s">
        <v>46</v>
      </c>
      <c r="P5" s="4"/>
      <c r="Q5" s="4" t="s">
        <v>47</v>
      </c>
      <c r="R5" s="4" t="s">
        <v>48</v>
      </c>
      <c r="S5" s="4">
        <v>0</v>
      </c>
      <c r="T5" s="4" t="b">
        <v>0</v>
      </c>
      <c r="U5" s="4" t="s">
        <v>61</v>
      </c>
      <c r="V5" s="4" t="s">
        <v>50</v>
      </c>
      <c r="W5" s="4" t="s">
        <v>140</v>
      </c>
      <c r="X5" s="4" t="s">
        <v>72</v>
      </c>
      <c r="Y5" s="4" t="s">
        <v>73</v>
      </c>
      <c r="Z5" s="4" t="s">
        <v>98</v>
      </c>
      <c r="AA5" s="4"/>
      <c r="AB5" s="23">
        <v>0</v>
      </c>
      <c r="AC5" s="28" t="e">
        <v>#N/A</v>
      </c>
      <c r="AD5" s="28" t="e">
        <v>#N/A</v>
      </c>
      <c r="AE5" s="28"/>
      <c r="AF5" s="19">
        <v>44424</v>
      </c>
      <c r="AG5" s="19"/>
      <c r="AH5" s="12">
        <f t="shared" si="0"/>
        <v>2</v>
      </c>
      <c r="AI5" s="12">
        <f t="shared" ca="1" si="1"/>
        <v>5</v>
      </c>
      <c r="AJ5" s="12" t="str">
        <f t="shared" si="2"/>
        <v>1-5 Years</v>
      </c>
      <c r="AK5" s="12" t="s">
        <v>9632</v>
      </c>
      <c r="AL5" s="31">
        <v>31</v>
      </c>
      <c r="AM5" s="31">
        <v>28</v>
      </c>
      <c r="AN5" s="12" t="str">
        <f t="shared" si="3"/>
        <v>25-34 Years</v>
      </c>
      <c r="AO5" s="13" t="s">
        <v>9151</v>
      </c>
      <c r="AP5" s="13" t="s">
        <v>9150</v>
      </c>
      <c r="AQ5" s="14" t="s">
        <v>9148</v>
      </c>
      <c r="AR5" s="14" t="s">
        <v>9140</v>
      </c>
      <c r="AS5" s="14"/>
      <c r="AT5" s="14" t="s">
        <v>72</v>
      </c>
      <c r="AU5" s="14" t="s">
        <v>98</v>
      </c>
      <c r="AV5" s="15" t="s">
        <v>9141</v>
      </c>
      <c r="AW5" s="15" t="s">
        <v>9187</v>
      </c>
      <c r="AX5" s="15" t="s">
        <v>9143</v>
      </c>
      <c r="AY5" s="15" t="s">
        <v>9141</v>
      </c>
      <c r="AZ5" s="15" t="s">
        <v>9144</v>
      </c>
      <c r="BA5" s="16" t="s">
        <v>9141</v>
      </c>
      <c r="BB5" s="16" t="s">
        <v>9145</v>
      </c>
    </row>
    <row r="6" spans="1:54" hidden="1" x14ac:dyDescent="0.25">
      <c r="A6" s="4" t="s">
        <v>1317</v>
      </c>
      <c r="B6" s="4" t="s">
        <v>9255</v>
      </c>
      <c r="C6" s="4"/>
      <c r="D6" s="4" t="s">
        <v>39</v>
      </c>
      <c r="E6" s="4">
        <v>325752</v>
      </c>
      <c r="F6" s="4" t="s">
        <v>1319</v>
      </c>
      <c r="G6" s="32">
        <v>37082</v>
      </c>
      <c r="H6" s="25">
        <v>45202</v>
      </c>
      <c r="I6" s="11">
        <v>0.51388888888888884</v>
      </c>
      <c r="J6" s="4" t="s">
        <v>1155</v>
      </c>
      <c r="K6" s="4">
        <v>4044</v>
      </c>
      <c r="L6" s="4" t="s">
        <v>1285</v>
      </c>
      <c r="M6" s="4" t="s">
        <v>1320</v>
      </c>
      <c r="N6" s="4" t="s">
        <v>1321</v>
      </c>
      <c r="O6" s="4" t="s">
        <v>46</v>
      </c>
      <c r="P6" s="4"/>
      <c r="Q6" s="4" t="s">
        <v>47</v>
      </c>
      <c r="R6" s="4" t="s">
        <v>48</v>
      </c>
      <c r="S6" s="4">
        <v>0</v>
      </c>
      <c r="T6" s="4" t="b">
        <v>0</v>
      </c>
      <c r="U6" s="4" t="s">
        <v>49</v>
      </c>
      <c r="V6" s="4" t="s">
        <v>70</v>
      </c>
      <c r="W6" s="4" t="s">
        <v>71</v>
      </c>
      <c r="X6" s="4" t="s">
        <v>72</v>
      </c>
      <c r="Y6" s="4" t="s">
        <v>73</v>
      </c>
      <c r="Z6" s="4" t="s">
        <v>54</v>
      </c>
      <c r="AA6" s="4"/>
      <c r="AB6" s="23">
        <v>0</v>
      </c>
      <c r="AC6" s="28" t="e">
        <v>#N/A</v>
      </c>
      <c r="AD6" s="28" t="e">
        <v>#N/A</v>
      </c>
      <c r="AE6" s="28"/>
      <c r="AF6" s="19">
        <v>44858</v>
      </c>
      <c r="AG6" s="19">
        <v>45330</v>
      </c>
      <c r="AH6" s="12">
        <f t="shared" si="0"/>
        <v>0</v>
      </c>
      <c r="AI6" s="12">
        <f t="shared" ca="1" si="1"/>
        <v>1</v>
      </c>
      <c r="AJ6" s="12" t="str">
        <f t="shared" si="2"/>
        <v>Under 1 Year</v>
      </c>
      <c r="AK6" s="12" t="s">
        <v>9633</v>
      </c>
      <c r="AL6" s="31">
        <v>0.01</v>
      </c>
      <c r="AM6" s="31">
        <v>23</v>
      </c>
      <c r="AN6" s="12" t="str">
        <f t="shared" si="3"/>
        <v>20-24 Years</v>
      </c>
      <c r="AO6" s="13" t="s">
        <v>9151</v>
      </c>
      <c r="AP6" s="13" t="s">
        <v>9150</v>
      </c>
      <c r="AQ6" s="14" t="s">
        <v>9139</v>
      </c>
      <c r="AR6" s="14" t="s">
        <v>9140</v>
      </c>
      <c r="AS6" s="14"/>
      <c r="AT6" s="14" t="s">
        <v>72</v>
      </c>
      <c r="AU6" s="14" t="s">
        <v>54</v>
      </c>
      <c r="AV6" s="15" t="s">
        <v>9141</v>
      </c>
      <c r="AW6" s="15" t="s">
        <v>9187</v>
      </c>
      <c r="AX6" s="15" t="s">
        <v>9143</v>
      </c>
      <c r="AY6" s="15" t="s">
        <v>9141</v>
      </c>
      <c r="AZ6" s="15" t="s">
        <v>9144</v>
      </c>
      <c r="BA6" s="16" t="s">
        <v>9141</v>
      </c>
      <c r="BB6" s="16" t="s">
        <v>9145</v>
      </c>
    </row>
    <row r="7" spans="1:54" hidden="1" x14ac:dyDescent="0.25">
      <c r="A7" s="4" t="s">
        <v>651</v>
      </c>
      <c r="B7" s="4" t="s">
        <v>9256</v>
      </c>
      <c r="C7" s="4"/>
      <c r="D7" s="4" t="s">
        <v>39</v>
      </c>
      <c r="E7" s="4">
        <v>286152</v>
      </c>
      <c r="F7" s="4" t="s">
        <v>653</v>
      </c>
      <c r="G7" s="32">
        <v>27488</v>
      </c>
      <c r="H7" s="25">
        <v>45203</v>
      </c>
      <c r="I7" s="11">
        <v>0.47013888888888888</v>
      </c>
      <c r="J7" s="4" t="s">
        <v>463</v>
      </c>
      <c r="K7" s="4">
        <v>2023</v>
      </c>
      <c r="L7" s="4" t="s">
        <v>615</v>
      </c>
      <c r="M7" s="4" t="s">
        <v>654</v>
      </c>
      <c r="N7" s="4" t="s">
        <v>655</v>
      </c>
      <c r="O7" s="4" t="s">
        <v>46</v>
      </c>
      <c r="P7" s="4"/>
      <c r="Q7" s="4" t="s">
        <v>47</v>
      </c>
      <c r="R7" s="4" t="s">
        <v>48</v>
      </c>
      <c r="S7" s="4">
        <v>0</v>
      </c>
      <c r="T7" s="4" t="b">
        <v>0</v>
      </c>
      <c r="U7" s="4" t="s">
        <v>61</v>
      </c>
      <c r="V7" s="4" t="s">
        <v>89</v>
      </c>
      <c r="W7" s="4" t="s">
        <v>175</v>
      </c>
      <c r="X7" s="4" t="s">
        <v>52</v>
      </c>
      <c r="Y7" s="4" t="s">
        <v>53</v>
      </c>
      <c r="Z7" s="4" t="s">
        <v>98</v>
      </c>
      <c r="AA7" s="4"/>
      <c r="AB7" s="23">
        <v>0</v>
      </c>
      <c r="AC7" s="28" t="e">
        <v>#N/A</v>
      </c>
      <c r="AD7" s="28" t="e">
        <v>#N/A</v>
      </c>
      <c r="AE7" s="28"/>
      <c r="AF7" s="19">
        <v>37754</v>
      </c>
      <c r="AG7" s="19"/>
      <c r="AH7" s="12">
        <f t="shared" si="0"/>
        <v>20</v>
      </c>
      <c r="AI7" s="12">
        <f t="shared" ca="1" si="1"/>
        <v>23</v>
      </c>
      <c r="AJ7" s="12" t="str">
        <f t="shared" si="2"/>
        <v>16-20 Years</v>
      </c>
      <c r="AK7" s="12" t="s">
        <v>9632</v>
      </c>
      <c r="AL7" s="31">
        <v>34.75</v>
      </c>
      <c r="AM7" s="31">
        <v>50</v>
      </c>
      <c r="AN7" s="12" t="str">
        <f t="shared" si="3"/>
        <v>45-54 Years</v>
      </c>
      <c r="AO7" s="13" t="s">
        <v>9151</v>
      </c>
      <c r="AP7" s="13" t="s">
        <v>9150</v>
      </c>
      <c r="AQ7" s="14" t="s">
        <v>9148</v>
      </c>
      <c r="AR7" s="14" t="s">
        <v>9140</v>
      </c>
      <c r="AS7" s="14"/>
      <c r="AT7" s="14" t="s">
        <v>52</v>
      </c>
      <c r="AU7" s="14" t="s">
        <v>98</v>
      </c>
      <c r="AV7" s="15" t="s">
        <v>9141</v>
      </c>
      <c r="AW7" s="15" t="s">
        <v>9175</v>
      </c>
      <c r="AX7" s="15" t="s">
        <v>9143</v>
      </c>
      <c r="AY7" s="15" t="s">
        <v>9141</v>
      </c>
      <c r="AZ7" s="15" t="s">
        <v>9177</v>
      </c>
      <c r="BA7" s="16" t="s">
        <v>9141</v>
      </c>
      <c r="BB7" s="16" t="s">
        <v>9178</v>
      </c>
    </row>
    <row r="8" spans="1:54" hidden="1" x14ac:dyDescent="0.25">
      <c r="A8" s="4" t="s">
        <v>551</v>
      </c>
      <c r="B8" s="4" t="s">
        <v>9257</v>
      </c>
      <c r="C8" s="4">
        <v>12230032770</v>
      </c>
      <c r="D8" s="4" t="s">
        <v>39</v>
      </c>
      <c r="E8" s="4">
        <v>297478</v>
      </c>
      <c r="F8" s="4" t="s">
        <v>553</v>
      </c>
      <c r="G8" s="32">
        <v>25458</v>
      </c>
      <c r="H8" s="25">
        <v>45205</v>
      </c>
      <c r="I8" s="11">
        <v>0.57291666666666663</v>
      </c>
      <c r="J8" s="4" t="s">
        <v>463</v>
      </c>
      <c r="K8" s="4">
        <v>2020</v>
      </c>
      <c r="L8" s="4" t="s">
        <v>538</v>
      </c>
      <c r="M8" s="4" t="s">
        <v>554</v>
      </c>
      <c r="N8" s="4" t="s">
        <v>555</v>
      </c>
      <c r="O8" s="4" t="s">
        <v>28</v>
      </c>
      <c r="P8" s="4" t="s">
        <v>183</v>
      </c>
      <c r="Q8" s="4" t="s">
        <v>191</v>
      </c>
      <c r="R8" s="4" t="s">
        <v>60</v>
      </c>
      <c r="S8" s="4">
        <v>64</v>
      </c>
      <c r="T8" s="4" t="b">
        <v>0</v>
      </c>
      <c r="U8" s="4" t="s">
        <v>184</v>
      </c>
      <c r="V8" s="4" t="s">
        <v>70</v>
      </c>
      <c r="W8" s="4" t="s">
        <v>71</v>
      </c>
      <c r="X8" s="4" t="s">
        <v>123</v>
      </c>
      <c r="Y8" s="4" t="s">
        <v>192</v>
      </c>
      <c r="Z8" s="4" t="s">
        <v>98</v>
      </c>
      <c r="AA8" s="4"/>
      <c r="AB8" s="23" t="s">
        <v>60</v>
      </c>
      <c r="AC8" s="28" t="s">
        <v>9580</v>
      </c>
      <c r="AD8" s="28" t="e">
        <v>#N/A</v>
      </c>
      <c r="AE8" s="33" t="s">
        <v>9583</v>
      </c>
      <c r="AF8" s="19">
        <v>44340</v>
      </c>
      <c r="AG8" s="19">
        <v>45583</v>
      </c>
      <c r="AH8" s="12">
        <f t="shared" si="0"/>
        <v>2</v>
      </c>
      <c r="AI8" s="12">
        <f t="shared" ca="1" si="1"/>
        <v>3</v>
      </c>
      <c r="AJ8" s="12" t="str">
        <f t="shared" si="2"/>
        <v>1-5 Years</v>
      </c>
      <c r="AK8" s="12" t="s">
        <v>9633</v>
      </c>
      <c r="AL8" s="31">
        <v>0.01</v>
      </c>
      <c r="AM8" s="31">
        <v>55</v>
      </c>
      <c r="AN8" s="12" t="str">
        <f t="shared" si="3"/>
        <v>More Than 55 Years</v>
      </c>
      <c r="AO8" s="13" t="s">
        <v>9151</v>
      </c>
      <c r="AP8" s="13" t="s">
        <v>9150</v>
      </c>
      <c r="AQ8" s="14" t="s">
        <v>9166</v>
      </c>
      <c r="AR8" s="14" t="s">
        <v>28</v>
      </c>
      <c r="AS8" s="14" t="s">
        <v>183</v>
      </c>
      <c r="AT8" s="14" t="s">
        <v>123</v>
      </c>
      <c r="AU8" s="14" t="s">
        <v>98</v>
      </c>
      <c r="AV8" s="15" t="s">
        <v>9141</v>
      </c>
      <c r="AW8" s="15" t="s">
        <v>9175</v>
      </c>
      <c r="AX8" s="15" t="s">
        <v>9143</v>
      </c>
      <c r="AY8" s="15" t="s">
        <v>9141</v>
      </c>
      <c r="AZ8" s="15" t="s">
        <v>9175</v>
      </c>
      <c r="BA8" s="16" t="s">
        <v>9141</v>
      </c>
      <c r="BB8" s="16" t="s">
        <v>9176</v>
      </c>
    </row>
    <row r="9" spans="1:54" hidden="1" x14ac:dyDescent="0.25">
      <c r="A9" s="4" t="s">
        <v>839</v>
      </c>
      <c r="B9" s="4" t="s">
        <v>9258</v>
      </c>
      <c r="C9" s="4"/>
      <c r="D9" s="4" t="s">
        <v>39</v>
      </c>
      <c r="E9" s="4">
        <v>297080</v>
      </c>
      <c r="F9" s="4" t="s">
        <v>820</v>
      </c>
      <c r="G9" s="32">
        <v>37732</v>
      </c>
      <c r="H9" s="25">
        <v>45212</v>
      </c>
      <c r="I9" s="11">
        <v>0.34027777777777779</v>
      </c>
      <c r="J9" s="4" t="s">
        <v>463</v>
      </c>
      <c r="K9" s="4">
        <v>2028</v>
      </c>
      <c r="L9" s="4" t="s">
        <v>804</v>
      </c>
      <c r="M9" s="4" t="s">
        <v>840</v>
      </c>
      <c r="N9" s="4" t="s">
        <v>841</v>
      </c>
      <c r="O9" s="4" t="s">
        <v>46</v>
      </c>
      <c r="P9" s="4"/>
      <c r="Q9" s="4" t="s">
        <v>47</v>
      </c>
      <c r="R9" s="4" t="s">
        <v>48</v>
      </c>
      <c r="S9" s="4">
        <v>0</v>
      </c>
      <c r="T9" s="4" t="b">
        <v>0</v>
      </c>
      <c r="U9" s="4" t="s">
        <v>61</v>
      </c>
      <c r="V9" s="4" t="s">
        <v>89</v>
      </c>
      <c r="W9" s="4" t="s">
        <v>165</v>
      </c>
      <c r="X9" s="4" t="s">
        <v>63</v>
      </c>
      <c r="Y9" s="4" t="s">
        <v>108</v>
      </c>
      <c r="Z9" s="4" t="s">
        <v>98</v>
      </c>
      <c r="AA9" s="4" t="s">
        <v>176</v>
      </c>
      <c r="AB9" s="23">
        <v>0</v>
      </c>
      <c r="AC9" s="28" t="e">
        <v>#N/A</v>
      </c>
      <c r="AD9" s="28" t="e">
        <v>#N/A</v>
      </c>
      <c r="AE9" s="28"/>
      <c r="AF9" s="19">
        <v>44118</v>
      </c>
      <c r="AG9" s="19">
        <v>45729</v>
      </c>
      <c r="AH9" s="12">
        <f t="shared" si="0"/>
        <v>2</v>
      </c>
      <c r="AI9" s="12">
        <f t="shared" ca="1" si="1"/>
        <v>4</v>
      </c>
      <c r="AJ9" s="12" t="str">
        <f t="shared" si="2"/>
        <v>1-5 Years</v>
      </c>
      <c r="AK9" s="12" t="s">
        <v>9632</v>
      </c>
      <c r="AL9" s="31">
        <v>36</v>
      </c>
      <c r="AM9" s="31">
        <v>22</v>
      </c>
      <c r="AN9" s="12" t="str">
        <f t="shared" si="3"/>
        <v>20-24 Years</v>
      </c>
      <c r="AO9" s="13" t="s">
        <v>9151</v>
      </c>
      <c r="AP9" s="13" t="s">
        <v>9150</v>
      </c>
      <c r="AQ9" s="14" t="s">
        <v>9148</v>
      </c>
      <c r="AR9" s="14" t="s">
        <v>9140</v>
      </c>
      <c r="AS9" s="14"/>
      <c r="AT9" s="14" t="s">
        <v>63</v>
      </c>
      <c r="AU9" s="14" t="s">
        <v>98</v>
      </c>
      <c r="AV9" s="15" t="s">
        <v>9141</v>
      </c>
      <c r="AW9" s="15" t="s">
        <v>9175</v>
      </c>
      <c r="AX9" s="15" t="s">
        <v>9143</v>
      </c>
      <c r="AY9" s="15" t="s">
        <v>9141</v>
      </c>
      <c r="AZ9" s="15" t="s">
        <v>9175</v>
      </c>
      <c r="BA9" s="16" t="s">
        <v>9141</v>
      </c>
      <c r="BB9" s="16" t="s">
        <v>9176</v>
      </c>
    </row>
    <row r="10" spans="1:54" hidden="1" x14ac:dyDescent="0.25">
      <c r="A10" s="4" t="s">
        <v>1828</v>
      </c>
      <c r="B10" s="4" t="s">
        <v>9259</v>
      </c>
      <c r="C10" s="4" t="s">
        <v>1829</v>
      </c>
      <c r="D10" s="4" t="s">
        <v>39</v>
      </c>
      <c r="E10" s="4">
        <v>324107</v>
      </c>
      <c r="F10" s="4" t="s">
        <v>1774</v>
      </c>
      <c r="G10" s="32">
        <v>29964</v>
      </c>
      <c r="H10" s="25">
        <v>45212</v>
      </c>
      <c r="I10" s="11">
        <v>0.6875</v>
      </c>
      <c r="J10" s="4" t="s">
        <v>1654</v>
      </c>
      <c r="K10" s="4">
        <v>9095</v>
      </c>
      <c r="L10" s="4" t="s">
        <v>1742</v>
      </c>
      <c r="M10" s="4" t="s">
        <v>1830</v>
      </c>
      <c r="N10" s="4" t="s">
        <v>1831</v>
      </c>
      <c r="O10" s="4" t="s">
        <v>28</v>
      </c>
      <c r="P10" s="4" t="s">
        <v>183</v>
      </c>
      <c r="Q10" s="4" t="s">
        <v>174</v>
      </c>
      <c r="R10" s="4" t="s">
        <v>48</v>
      </c>
      <c r="S10" s="4">
        <v>11</v>
      </c>
      <c r="T10" s="4" t="b">
        <v>0</v>
      </c>
      <c r="U10" s="4" t="s">
        <v>184</v>
      </c>
      <c r="V10" s="4" t="s">
        <v>89</v>
      </c>
      <c r="W10" s="4" t="s">
        <v>71</v>
      </c>
      <c r="X10" s="4" t="s">
        <v>52</v>
      </c>
      <c r="Y10" s="4" t="s">
        <v>255</v>
      </c>
      <c r="Z10" s="4" t="s">
        <v>54</v>
      </c>
      <c r="AA10" s="4"/>
      <c r="AB10" s="23" t="s">
        <v>48</v>
      </c>
      <c r="AC10" s="28" t="e">
        <v>#N/A</v>
      </c>
      <c r="AD10" s="28" t="e">
        <v>#N/A</v>
      </c>
      <c r="AE10" s="28"/>
      <c r="AF10" s="19">
        <v>44788</v>
      </c>
      <c r="AG10" s="19"/>
      <c r="AH10" s="12">
        <f t="shared" si="0"/>
        <v>1</v>
      </c>
      <c r="AI10" s="12">
        <f t="shared" ca="1" si="1"/>
        <v>4</v>
      </c>
      <c r="AJ10" s="12" t="str">
        <f t="shared" si="2"/>
        <v>1-5 Years</v>
      </c>
      <c r="AK10" s="12" t="s">
        <v>9632</v>
      </c>
      <c r="AL10" s="31">
        <v>34.5</v>
      </c>
      <c r="AM10" s="31">
        <v>43</v>
      </c>
      <c r="AN10" s="12" t="str">
        <f t="shared" si="3"/>
        <v>35-44 Years</v>
      </c>
      <c r="AO10" s="13" t="s">
        <v>9151</v>
      </c>
      <c r="AP10" s="13" t="s">
        <v>9150</v>
      </c>
      <c r="AQ10" s="14" t="s">
        <v>9166</v>
      </c>
      <c r="AR10" s="14" t="s">
        <v>28</v>
      </c>
      <c r="AS10" s="14" t="s">
        <v>183</v>
      </c>
      <c r="AT10" s="14" t="s">
        <v>52</v>
      </c>
      <c r="AU10" s="14" t="s">
        <v>54</v>
      </c>
      <c r="AV10" s="15" t="s">
        <v>9141</v>
      </c>
      <c r="AW10" s="15" t="s">
        <v>9191</v>
      </c>
      <c r="AX10" s="15" t="s">
        <v>9143</v>
      </c>
      <c r="AY10" s="15" t="s">
        <v>9141</v>
      </c>
      <c r="AZ10" s="15" t="s">
        <v>9191</v>
      </c>
      <c r="BA10" s="16" t="s">
        <v>9141</v>
      </c>
      <c r="BB10" s="16" t="s">
        <v>9192</v>
      </c>
    </row>
    <row r="11" spans="1:54" hidden="1" x14ac:dyDescent="0.25">
      <c r="A11" s="4" t="s">
        <v>74</v>
      </c>
      <c r="B11" s="4" t="s">
        <v>9260</v>
      </c>
      <c r="C11" s="4"/>
      <c r="D11" s="4" t="s">
        <v>39</v>
      </c>
      <c r="E11" s="4">
        <v>325800</v>
      </c>
      <c r="F11" s="4" t="s">
        <v>76</v>
      </c>
      <c r="G11" s="32">
        <v>38750</v>
      </c>
      <c r="H11" s="25">
        <v>45213</v>
      </c>
      <c r="I11" s="11">
        <v>0.59722222222222221</v>
      </c>
      <c r="J11" s="4" t="s">
        <v>42</v>
      </c>
      <c r="K11" s="4">
        <v>1005</v>
      </c>
      <c r="L11" s="4" t="s">
        <v>43</v>
      </c>
      <c r="M11" s="4" t="s">
        <v>77</v>
      </c>
      <c r="N11" s="4" t="s">
        <v>78</v>
      </c>
      <c r="O11" s="4" t="s">
        <v>46</v>
      </c>
      <c r="P11" s="4"/>
      <c r="Q11" s="4" t="s">
        <v>47</v>
      </c>
      <c r="R11" s="4" t="s">
        <v>48</v>
      </c>
      <c r="S11" s="4">
        <v>0</v>
      </c>
      <c r="T11" s="4" t="b">
        <v>0</v>
      </c>
      <c r="U11" s="4" t="s">
        <v>61</v>
      </c>
      <c r="V11" s="4" t="s">
        <v>79</v>
      </c>
      <c r="W11" s="4" t="s">
        <v>80</v>
      </c>
      <c r="X11" s="4" t="s">
        <v>81</v>
      </c>
      <c r="Y11" s="4" t="s">
        <v>82</v>
      </c>
      <c r="Z11" s="4" t="s">
        <v>83</v>
      </c>
      <c r="AA11" s="4"/>
      <c r="AB11" s="23">
        <v>0</v>
      </c>
      <c r="AC11" s="28" t="e">
        <v>#N/A</v>
      </c>
      <c r="AD11" s="28" t="e">
        <v>#N/A</v>
      </c>
      <c r="AE11" s="28"/>
      <c r="AF11" s="19">
        <v>44858</v>
      </c>
      <c r="AG11" s="19"/>
      <c r="AH11" s="12">
        <f t="shared" si="0"/>
        <v>0</v>
      </c>
      <c r="AI11" s="12">
        <f t="shared" ca="1" si="1"/>
        <v>3</v>
      </c>
      <c r="AJ11" s="12" t="str">
        <f t="shared" si="2"/>
        <v>Under 1 Year</v>
      </c>
      <c r="AK11" s="12" t="s">
        <v>9633</v>
      </c>
      <c r="AL11" s="31">
        <v>0.01</v>
      </c>
      <c r="AM11" s="31">
        <v>19</v>
      </c>
      <c r="AN11" s="12" t="str">
        <f t="shared" si="3"/>
        <v>Less Than 20 Years</v>
      </c>
      <c r="AO11" s="13" t="s">
        <v>9151</v>
      </c>
      <c r="AP11" s="13" t="s">
        <v>9150</v>
      </c>
      <c r="AQ11" s="14" t="s">
        <v>9148</v>
      </c>
      <c r="AR11" s="14" t="s">
        <v>9140</v>
      </c>
      <c r="AS11" s="14"/>
      <c r="AT11" s="14" t="s">
        <v>81</v>
      </c>
      <c r="AU11" s="14" t="s">
        <v>83</v>
      </c>
      <c r="AV11" s="15" t="s">
        <v>9141</v>
      </c>
      <c r="AW11" s="15" t="s">
        <v>9142</v>
      </c>
      <c r="AX11" s="15" t="s">
        <v>9143</v>
      </c>
      <c r="AY11" s="15" t="s">
        <v>9141</v>
      </c>
      <c r="AZ11" s="15" t="s">
        <v>9144</v>
      </c>
      <c r="BA11" s="16" t="s">
        <v>9141</v>
      </c>
      <c r="BB11" s="16" t="s">
        <v>9145</v>
      </c>
    </row>
    <row r="12" spans="1:54" hidden="1" x14ac:dyDescent="0.25">
      <c r="A12" s="4" t="s">
        <v>1824</v>
      </c>
      <c r="B12" s="4" t="s">
        <v>9261</v>
      </c>
      <c r="C12" s="4" t="s">
        <v>1825</v>
      </c>
      <c r="D12" s="4" t="s">
        <v>39</v>
      </c>
      <c r="E12" s="4">
        <v>295133</v>
      </c>
      <c r="F12" s="4" t="s">
        <v>1785</v>
      </c>
      <c r="G12" s="32">
        <v>33215</v>
      </c>
      <c r="H12" s="25">
        <v>45214</v>
      </c>
      <c r="I12" s="11">
        <v>0.72569444444444442</v>
      </c>
      <c r="J12" s="4" t="s">
        <v>1654</v>
      </c>
      <c r="K12" s="4">
        <v>9095</v>
      </c>
      <c r="L12" s="4" t="s">
        <v>1742</v>
      </c>
      <c r="M12" s="4" t="s">
        <v>1826</v>
      </c>
      <c r="N12" s="4" t="s">
        <v>1827</v>
      </c>
      <c r="O12" s="4" t="s">
        <v>28</v>
      </c>
      <c r="P12" s="4" t="s">
        <v>183</v>
      </c>
      <c r="Q12" s="4" t="s">
        <v>174</v>
      </c>
      <c r="R12" s="4" t="s">
        <v>48</v>
      </c>
      <c r="S12" s="4">
        <v>29</v>
      </c>
      <c r="T12" s="4" t="b">
        <v>0</v>
      </c>
      <c r="U12" s="4" t="s">
        <v>184</v>
      </c>
      <c r="V12" s="4" t="s">
        <v>89</v>
      </c>
      <c r="W12" s="4" t="s">
        <v>165</v>
      </c>
      <c r="X12" s="4" t="s">
        <v>123</v>
      </c>
      <c r="Y12" s="4" t="s">
        <v>192</v>
      </c>
      <c r="Z12" s="4" t="s">
        <v>54</v>
      </c>
      <c r="AA12" s="4"/>
      <c r="AB12" s="23" t="s">
        <v>48</v>
      </c>
      <c r="AC12" s="28" t="s">
        <v>9580</v>
      </c>
      <c r="AD12" s="28" t="e">
        <v>#N/A</v>
      </c>
      <c r="AE12" s="28"/>
      <c r="AF12" s="19">
        <v>42702</v>
      </c>
      <c r="AG12" s="19">
        <v>45592</v>
      </c>
      <c r="AH12" s="12">
        <f t="shared" si="0"/>
        <v>6</v>
      </c>
      <c r="AI12" s="12">
        <f t="shared" ca="1" si="1"/>
        <v>7</v>
      </c>
      <c r="AJ12" s="12" t="str">
        <f t="shared" si="2"/>
        <v>6-10 Years</v>
      </c>
      <c r="AK12" s="12" t="s">
        <v>9632</v>
      </c>
      <c r="AL12" s="31">
        <v>35.25</v>
      </c>
      <c r="AM12" s="31">
        <v>34</v>
      </c>
      <c r="AN12" s="12" t="str">
        <f t="shared" si="3"/>
        <v>25-34 Years</v>
      </c>
      <c r="AO12" s="13" t="s">
        <v>9151</v>
      </c>
      <c r="AP12" s="13" t="s">
        <v>9150</v>
      </c>
      <c r="AQ12" s="14" t="s">
        <v>9166</v>
      </c>
      <c r="AR12" s="14" t="s">
        <v>28</v>
      </c>
      <c r="AS12" s="14" t="s">
        <v>183</v>
      </c>
      <c r="AT12" s="14" t="s">
        <v>123</v>
      </c>
      <c r="AU12" s="14" t="s">
        <v>54</v>
      </c>
      <c r="AV12" s="15" t="s">
        <v>9141</v>
      </c>
      <c r="AW12" s="15" t="s">
        <v>9191</v>
      </c>
      <c r="AX12" s="15" t="s">
        <v>9143</v>
      </c>
      <c r="AY12" s="15" t="s">
        <v>9141</v>
      </c>
      <c r="AZ12" s="15" t="s">
        <v>9191</v>
      </c>
      <c r="BA12" s="16" t="s">
        <v>9141</v>
      </c>
      <c r="BB12" s="16" t="s">
        <v>9192</v>
      </c>
    </row>
    <row r="13" spans="1:54" hidden="1" x14ac:dyDescent="0.25">
      <c r="A13" s="4" t="s">
        <v>362</v>
      </c>
      <c r="B13" s="4" t="s">
        <v>9262</v>
      </c>
      <c r="C13" s="4"/>
      <c r="D13" s="4" t="s">
        <v>39</v>
      </c>
      <c r="E13" s="4">
        <v>283771</v>
      </c>
      <c r="F13" s="4" t="s">
        <v>290</v>
      </c>
      <c r="G13" s="32">
        <v>30526</v>
      </c>
      <c r="H13" s="25">
        <v>45217</v>
      </c>
      <c r="I13" s="11">
        <v>0.53819444444444442</v>
      </c>
      <c r="J13" s="4" t="s">
        <v>42</v>
      </c>
      <c r="K13" s="4">
        <v>1011</v>
      </c>
      <c r="L13" s="4" t="s">
        <v>215</v>
      </c>
      <c r="M13" s="4" t="s">
        <v>363</v>
      </c>
      <c r="N13" s="4" t="s">
        <v>364</v>
      </c>
      <c r="O13" s="4" t="s">
        <v>46</v>
      </c>
      <c r="P13" s="4"/>
      <c r="Q13" s="4" t="s">
        <v>47</v>
      </c>
      <c r="R13" s="4" t="s">
        <v>48</v>
      </c>
      <c r="S13" s="4">
        <v>0</v>
      </c>
      <c r="T13" s="4" t="b">
        <v>0</v>
      </c>
      <c r="U13" s="4" t="s">
        <v>61</v>
      </c>
      <c r="V13" s="4" t="s">
        <v>89</v>
      </c>
      <c r="W13" s="4" t="s">
        <v>175</v>
      </c>
      <c r="X13" s="4" t="s">
        <v>52</v>
      </c>
      <c r="Y13" s="4" t="s">
        <v>53</v>
      </c>
      <c r="Z13" s="4" t="s">
        <v>98</v>
      </c>
      <c r="AA13" s="4"/>
      <c r="AB13" s="23">
        <v>0</v>
      </c>
      <c r="AC13" s="28" t="e">
        <v>#N/A</v>
      </c>
      <c r="AD13" s="28" t="e">
        <v>#N/A</v>
      </c>
      <c r="AE13" s="28"/>
      <c r="AF13" s="19">
        <v>36374</v>
      </c>
      <c r="AG13" s="19"/>
      <c r="AH13" s="12">
        <f t="shared" si="0"/>
        <v>24</v>
      </c>
      <c r="AI13" s="12">
        <f t="shared" ca="1" si="1"/>
        <v>27</v>
      </c>
      <c r="AJ13" s="12" t="str">
        <f t="shared" si="2"/>
        <v>21-25 Years</v>
      </c>
      <c r="AK13" s="12" t="s">
        <v>9632</v>
      </c>
      <c r="AL13" s="31">
        <v>20.63</v>
      </c>
      <c r="AM13" s="31">
        <v>41</v>
      </c>
      <c r="AN13" s="12" t="str">
        <f t="shared" si="3"/>
        <v>35-44 Years</v>
      </c>
      <c r="AO13" s="13" t="s">
        <v>9151</v>
      </c>
      <c r="AP13" s="13" t="s">
        <v>9150</v>
      </c>
      <c r="AQ13" s="14" t="s">
        <v>9148</v>
      </c>
      <c r="AR13" s="14" t="s">
        <v>9140</v>
      </c>
      <c r="AS13" s="14"/>
      <c r="AT13" s="14" t="s">
        <v>52</v>
      </c>
      <c r="AU13" s="14" t="s">
        <v>98</v>
      </c>
      <c r="AV13" s="15" t="s">
        <v>9141</v>
      </c>
      <c r="AW13" s="15" t="s">
        <v>9142</v>
      </c>
      <c r="AX13" s="15" t="s">
        <v>9143</v>
      </c>
      <c r="AY13" s="15" t="s">
        <v>9141</v>
      </c>
      <c r="AZ13" s="15" t="s">
        <v>9144</v>
      </c>
      <c r="BA13" s="16" t="s">
        <v>9141</v>
      </c>
      <c r="BB13" s="16" t="s">
        <v>9145</v>
      </c>
    </row>
    <row r="14" spans="1:54" x14ac:dyDescent="0.25">
      <c r="A14" s="4" t="s">
        <v>1620</v>
      </c>
      <c r="B14" s="4" t="s">
        <v>9263</v>
      </c>
      <c r="C14" s="4"/>
      <c r="D14" s="4" t="s">
        <v>39</v>
      </c>
      <c r="E14" s="4">
        <v>324204</v>
      </c>
      <c r="F14" s="4" t="s">
        <v>1585</v>
      </c>
      <c r="G14" s="32">
        <v>28895</v>
      </c>
      <c r="H14" s="25">
        <v>45221</v>
      </c>
      <c r="I14" s="11">
        <v>0.55069444444444449</v>
      </c>
      <c r="J14" s="4" t="s">
        <v>1366</v>
      </c>
      <c r="K14" s="4">
        <v>6071</v>
      </c>
      <c r="L14" s="4" t="s">
        <v>1586</v>
      </c>
      <c r="M14" s="4" t="s">
        <v>980</v>
      </c>
      <c r="N14" s="4" t="s">
        <v>1621</v>
      </c>
      <c r="O14" s="4" t="s">
        <v>46</v>
      </c>
      <c r="P14" s="4"/>
      <c r="Q14" s="4" t="s">
        <v>47</v>
      </c>
      <c r="R14" s="4" t="s">
        <v>48</v>
      </c>
      <c r="S14" s="4">
        <v>0</v>
      </c>
      <c r="T14" s="4" t="b">
        <v>0</v>
      </c>
      <c r="U14" s="4" t="s">
        <v>61</v>
      </c>
      <c r="V14" s="4" t="s">
        <v>89</v>
      </c>
      <c r="W14" s="4" t="s">
        <v>107</v>
      </c>
      <c r="X14" s="4" t="s">
        <v>63</v>
      </c>
      <c r="Y14" s="4" t="s">
        <v>108</v>
      </c>
      <c r="Z14" s="4" t="s">
        <v>98</v>
      </c>
      <c r="AA14" s="4"/>
      <c r="AB14" s="23">
        <v>0</v>
      </c>
      <c r="AC14" s="28" t="e">
        <v>#N/A</v>
      </c>
      <c r="AD14" s="28" t="e">
        <v>#N/A</v>
      </c>
      <c r="AE14" s="28"/>
      <c r="AF14" s="19">
        <v>44809</v>
      </c>
      <c r="AG14" s="19"/>
      <c r="AH14" s="12">
        <f t="shared" si="0"/>
        <v>1</v>
      </c>
      <c r="AI14" s="12">
        <f t="shared" ca="1" si="1"/>
        <v>4</v>
      </c>
      <c r="AJ14" s="12" t="str">
        <f t="shared" si="2"/>
        <v>1-5 Years</v>
      </c>
      <c r="AK14" s="12" t="s">
        <v>10046</v>
      </c>
      <c r="AL14" s="31">
        <v>38</v>
      </c>
      <c r="AM14" s="31">
        <v>46</v>
      </c>
      <c r="AN14" s="12" t="str">
        <f t="shared" si="3"/>
        <v>45-54 Years</v>
      </c>
      <c r="AO14" s="13" t="s">
        <v>9151</v>
      </c>
      <c r="AP14" s="13" t="s">
        <v>9150</v>
      </c>
      <c r="AQ14" s="14" t="s">
        <v>9148</v>
      </c>
      <c r="AR14" s="14" t="s">
        <v>9140</v>
      </c>
      <c r="AS14" s="14"/>
      <c r="AT14" s="14" t="s">
        <v>63</v>
      </c>
      <c r="AU14" s="14" t="s">
        <v>98</v>
      </c>
      <c r="AV14" s="15" t="s">
        <v>9141</v>
      </c>
      <c r="AW14" s="15" t="s">
        <v>9188</v>
      </c>
      <c r="AX14" s="15" t="s">
        <v>9143</v>
      </c>
      <c r="AY14" s="15" t="s">
        <v>9141</v>
      </c>
      <c r="AZ14" s="15" t="s">
        <v>9191</v>
      </c>
      <c r="BA14" s="16" t="s">
        <v>9141</v>
      </c>
      <c r="BB14" s="16" t="s">
        <v>9192</v>
      </c>
    </row>
    <row r="15" spans="1:54" hidden="1" x14ac:dyDescent="0.25">
      <c r="A15" s="4" t="s">
        <v>150</v>
      </c>
      <c r="B15" s="4" t="s">
        <v>9264</v>
      </c>
      <c r="C15" s="4" t="s">
        <v>151</v>
      </c>
      <c r="D15" s="4" t="s">
        <v>39</v>
      </c>
      <c r="E15" s="4">
        <v>291457</v>
      </c>
      <c r="F15" s="4" t="s">
        <v>153</v>
      </c>
      <c r="G15" s="32">
        <v>20926</v>
      </c>
      <c r="H15" s="25">
        <v>45229</v>
      </c>
      <c r="I15" s="11">
        <v>0.56527777777777777</v>
      </c>
      <c r="J15" s="4" t="s">
        <v>42</v>
      </c>
      <c r="K15" s="4">
        <v>1006</v>
      </c>
      <c r="L15" s="4" t="s">
        <v>94</v>
      </c>
      <c r="M15" s="4" t="s">
        <v>154</v>
      </c>
      <c r="N15" s="4" t="s">
        <v>155</v>
      </c>
      <c r="O15" s="4" t="s">
        <v>28</v>
      </c>
      <c r="P15" s="4" t="s">
        <v>147</v>
      </c>
      <c r="Q15" s="4" t="s">
        <v>156</v>
      </c>
      <c r="R15" s="4" t="s">
        <v>48</v>
      </c>
      <c r="S15" s="4">
        <v>0</v>
      </c>
      <c r="T15" s="4" t="b">
        <v>0</v>
      </c>
      <c r="U15" s="4" t="s">
        <v>114</v>
      </c>
      <c r="V15" s="4" t="s">
        <v>89</v>
      </c>
      <c r="W15" s="4" t="s">
        <v>148</v>
      </c>
      <c r="X15" s="4" t="s">
        <v>52</v>
      </c>
      <c r="Y15" s="4" t="s">
        <v>135</v>
      </c>
      <c r="Z15" s="4" t="s">
        <v>54</v>
      </c>
      <c r="AA15" s="4"/>
      <c r="AB15" s="23" t="s">
        <v>48</v>
      </c>
      <c r="AC15" s="28" t="e">
        <v>#N/A</v>
      </c>
      <c r="AD15" s="28" t="e">
        <v>#N/A</v>
      </c>
      <c r="AE15" s="28"/>
      <c r="AF15" s="19">
        <v>40445</v>
      </c>
      <c r="AG15" s="19"/>
      <c r="AH15" s="12">
        <f t="shared" si="0"/>
        <v>13</v>
      </c>
      <c r="AI15" s="12">
        <f t="shared" ca="1" si="1"/>
        <v>15</v>
      </c>
      <c r="AJ15" s="12" t="str">
        <f t="shared" si="2"/>
        <v>11-15 Years</v>
      </c>
      <c r="AK15" s="12" t="s">
        <v>9632</v>
      </c>
      <c r="AL15" s="31">
        <v>13.5</v>
      </c>
      <c r="AM15" s="31">
        <v>68</v>
      </c>
      <c r="AN15" s="12" t="str">
        <f t="shared" si="3"/>
        <v>More Than 55 Years</v>
      </c>
      <c r="AO15" s="13" t="s">
        <v>9162</v>
      </c>
      <c r="AP15" s="13" t="s">
        <v>9150</v>
      </c>
      <c r="AQ15" s="14" t="s">
        <v>9157</v>
      </c>
      <c r="AR15" s="14" t="s">
        <v>28</v>
      </c>
      <c r="AS15" s="14" t="s">
        <v>147</v>
      </c>
      <c r="AT15" s="14" t="s">
        <v>52</v>
      </c>
      <c r="AU15" s="14" t="s">
        <v>54</v>
      </c>
      <c r="AV15" s="15" t="s">
        <v>9141</v>
      </c>
      <c r="AW15" s="15" t="s">
        <v>9142</v>
      </c>
      <c r="AX15" s="15" t="s">
        <v>9143</v>
      </c>
      <c r="AY15" s="15" t="s">
        <v>9141</v>
      </c>
      <c r="AZ15" s="15" t="s">
        <v>9144</v>
      </c>
      <c r="BA15" s="16" t="s">
        <v>9141</v>
      </c>
      <c r="BB15" s="16" t="s">
        <v>9145</v>
      </c>
    </row>
    <row r="16" spans="1:54" hidden="1" x14ac:dyDescent="0.25">
      <c r="A16" s="4" t="s">
        <v>1924</v>
      </c>
      <c r="B16" s="4" t="s">
        <v>9265</v>
      </c>
      <c r="C16" s="4"/>
      <c r="D16" s="4" t="s">
        <v>39</v>
      </c>
      <c r="E16" s="4">
        <v>331290</v>
      </c>
      <c r="F16" s="4" t="s">
        <v>1926</v>
      </c>
      <c r="G16" s="32">
        <v>29302</v>
      </c>
      <c r="H16" s="25">
        <v>45230</v>
      </c>
      <c r="I16" s="11">
        <v>0.5625</v>
      </c>
      <c r="J16" s="4" t="s">
        <v>1654</v>
      </c>
      <c r="K16" s="4">
        <v>9098</v>
      </c>
      <c r="L16" s="4" t="s">
        <v>1896</v>
      </c>
      <c r="M16" s="4" t="s">
        <v>1913</v>
      </c>
      <c r="N16" s="4" t="s">
        <v>1927</v>
      </c>
      <c r="O16" s="4" t="s">
        <v>46</v>
      </c>
      <c r="P16" s="4"/>
      <c r="Q16" s="4" t="s">
        <v>47</v>
      </c>
      <c r="R16" s="4" t="s">
        <v>48</v>
      </c>
      <c r="S16" s="4">
        <v>0</v>
      </c>
      <c r="T16" s="4" t="b">
        <v>0</v>
      </c>
      <c r="U16" s="4" t="s">
        <v>61</v>
      </c>
      <c r="V16" s="4" t="s">
        <v>89</v>
      </c>
      <c r="W16" s="4" t="s">
        <v>148</v>
      </c>
      <c r="X16" s="4" t="s">
        <v>52</v>
      </c>
      <c r="Y16" s="4" t="s">
        <v>53</v>
      </c>
      <c r="Z16" s="4" t="s">
        <v>54</v>
      </c>
      <c r="AA16" s="4"/>
      <c r="AB16" s="23">
        <v>0</v>
      </c>
      <c r="AC16" s="28" t="e">
        <v>#N/A</v>
      </c>
      <c r="AD16" s="28" t="e">
        <v>#N/A</v>
      </c>
      <c r="AE16" s="28"/>
      <c r="AF16" s="19">
        <v>45222</v>
      </c>
      <c r="AG16" s="19"/>
      <c r="AH16" s="12">
        <f t="shared" si="0"/>
        <v>0</v>
      </c>
      <c r="AI16" s="12">
        <f t="shared" ca="1" si="1"/>
        <v>2</v>
      </c>
      <c r="AJ16" s="12" t="str">
        <f t="shared" si="2"/>
        <v>Under 1 Year</v>
      </c>
      <c r="AK16" s="12" t="s">
        <v>10046</v>
      </c>
      <c r="AL16" s="31">
        <v>38</v>
      </c>
      <c r="AM16" s="31">
        <v>45</v>
      </c>
      <c r="AN16" s="12" t="str">
        <f t="shared" si="3"/>
        <v>45-54 Years</v>
      </c>
      <c r="AO16" s="13" t="s">
        <v>9162</v>
      </c>
      <c r="AP16" s="13" t="s">
        <v>9150</v>
      </c>
      <c r="AQ16" s="14" t="s">
        <v>9148</v>
      </c>
      <c r="AR16" s="14" t="s">
        <v>9140</v>
      </c>
      <c r="AS16" s="14"/>
      <c r="AT16" s="14" t="s">
        <v>52</v>
      </c>
      <c r="AU16" s="14" t="s">
        <v>54</v>
      </c>
      <c r="AV16" s="15" t="s">
        <v>9141</v>
      </c>
      <c r="AW16" s="15" t="s">
        <v>9191</v>
      </c>
      <c r="AX16" s="15" t="s">
        <v>9143</v>
      </c>
      <c r="AY16" s="15" t="s">
        <v>9141</v>
      </c>
      <c r="AZ16" s="15" t="s">
        <v>9191</v>
      </c>
      <c r="BA16" s="16" t="s">
        <v>9141</v>
      </c>
      <c r="BB16" s="16" t="s">
        <v>9192</v>
      </c>
    </row>
    <row r="17" spans="1:54" hidden="1" x14ac:dyDescent="0.25">
      <c r="A17" s="4" t="s">
        <v>1262</v>
      </c>
      <c r="B17" s="4" t="s">
        <v>9266</v>
      </c>
      <c r="C17" s="4"/>
      <c r="D17" s="4" t="s">
        <v>39</v>
      </c>
      <c r="E17" s="4">
        <v>294740</v>
      </c>
      <c r="F17" s="4" t="s">
        <v>1199</v>
      </c>
      <c r="G17" s="32">
        <v>36872</v>
      </c>
      <c r="H17" s="25">
        <v>45233</v>
      </c>
      <c r="I17" s="11">
        <v>0.68055555555555558</v>
      </c>
      <c r="J17" s="4" t="s">
        <v>1155</v>
      </c>
      <c r="K17" s="4">
        <v>4043</v>
      </c>
      <c r="L17" s="4" t="s">
        <v>1200</v>
      </c>
      <c r="M17" s="4" t="s">
        <v>1263</v>
      </c>
      <c r="N17" s="4" t="s">
        <v>1264</v>
      </c>
      <c r="O17" s="4" t="s">
        <v>46</v>
      </c>
      <c r="P17" s="4"/>
      <c r="Q17" s="4" t="s">
        <v>47</v>
      </c>
      <c r="R17" s="4" t="s">
        <v>48</v>
      </c>
      <c r="S17" s="4">
        <v>0</v>
      </c>
      <c r="T17" s="4" t="b">
        <v>0</v>
      </c>
      <c r="U17" s="4" t="s">
        <v>49</v>
      </c>
      <c r="V17" s="4" t="s">
        <v>70</v>
      </c>
      <c r="W17" s="4" t="s">
        <v>80</v>
      </c>
      <c r="X17" s="4" t="s">
        <v>63</v>
      </c>
      <c r="Y17" s="4" t="s">
        <v>108</v>
      </c>
      <c r="Z17" s="4" t="s">
        <v>98</v>
      </c>
      <c r="AA17" s="4"/>
      <c r="AB17" s="23">
        <v>0</v>
      </c>
      <c r="AC17" s="28" t="e">
        <v>#N/A</v>
      </c>
      <c r="AD17" s="28" t="e">
        <v>#N/A</v>
      </c>
      <c r="AE17" s="28"/>
      <c r="AF17" s="19">
        <v>42464</v>
      </c>
      <c r="AG17" s="19"/>
      <c r="AH17" s="12">
        <f t="shared" si="0"/>
        <v>7</v>
      </c>
      <c r="AI17" s="12">
        <f t="shared" ca="1" si="1"/>
        <v>10</v>
      </c>
      <c r="AJ17" s="12" t="str">
        <f t="shared" si="2"/>
        <v>6-10 Years</v>
      </c>
      <c r="AK17" s="12" t="s">
        <v>9632</v>
      </c>
      <c r="AL17" s="31">
        <v>28</v>
      </c>
      <c r="AM17" s="31">
        <v>24</v>
      </c>
      <c r="AN17" s="12" t="str">
        <f t="shared" si="3"/>
        <v>20-24 Years</v>
      </c>
      <c r="AO17" s="13" t="s">
        <v>9162</v>
      </c>
      <c r="AP17" s="13" t="s">
        <v>9150</v>
      </c>
      <c r="AQ17" s="14" t="s">
        <v>9139</v>
      </c>
      <c r="AR17" s="14" t="s">
        <v>9140</v>
      </c>
      <c r="AS17" s="14"/>
      <c r="AT17" s="14" t="s">
        <v>63</v>
      </c>
      <c r="AU17" s="14" t="s">
        <v>98</v>
      </c>
      <c r="AV17" s="15" t="s">
        <v>9141</v>
      </c>
      <c r="AW17" s="15" t="s">
        <v>9187</v>
      </c>
      <c r="AX17" s="15" t="s">
        <v>9143</v>
      </c>
      <c r="AY17" s="15" t="s">
        <v>9141</v>
      </c>
      <c r="AZ17" s="15" t="s">
        <v>9144</v>
      </c>
      <c r="BA17" s="16" t="s">
        <v>9141</v>
      </c>
      <c r="BB17" s="16" t="s">
        <v>9145</v>
      </c>
    </row>
    <row r="18" spans="1:54" hidden="1" x14ac:dyDescent="0.25">
      <c r="A18" s="4" t="s">
        <v>1029</v>
      </c>
      <c r="B18" s="4" t="s">
        <v>9267</v>
      </c>
      <c r="C18" s="4"/>
      <c r="D18" s="4" t="s">
        <v>39</v>
      </c>
      <c r="E18" s="4">
        <v>297591</v>
      </c>
      <c r="F18" s="4" t="s">
        <v>1031</v>
      </c>
      <c r="G18" s="32">
        <v>35128</v>
      </c>
      <c r="H18" s="25">
        <v>45235</v>
      </c>
      <c r="I18" s="11">
        <v>0.52777777777777779</v>
      </c>
      <c r="J18" s="4" t="s">
        <v>463</v>
      </c>
      <c r="K18" s="4">
        <v>2042</v>
      </c>
      <c r="L18" s="4" t="s">
        <v>1015</v>
      </c>
      <c r="M18" s="4" t="s">
        <v>1032</v>
      </c>
      <c r="N18" s="4" t="s">
        <v>1033</v>
      </c>
      <c r="O18" s="4" t="s">
        <v>46</v>
      </c>
      <c r="P18" s="4"/>
      <c r="Q18" s="4" t="s">
        <v>174</v>
      </c>
      <c r="R18" s="4" t="s">
        <v>48</v>
      </c>
      <c r="S18" s="4">
        <v>0</v>
      </c>
      <c r="T18" s="4" t="b">
        <v>0</v>
      </c>
      <c r="U18" s="4" t="s">
        <v>114</v>
      </c>
      <c r="V18" s="4" t="s">
        <v>70</v>
      </c>
      <c r="W18" s="4" t="s">
        <v>71</v>
      </c>
      <c r="X18" s="4" t="s">
        <v>72</v>
      </c>
      <c r="Y18" s="4" t="s">
        <v>73</v>
      </c>
      <c r="Z18" s="4" t="s">
        <v>54</v>
      </c>
      <c r="AA18" s="4"/>
      <c r="AB18" s="23">
        <v>0</v>
      </c>
      <c r="AC18" s="28" t="e">
        <v>#N/A</v>
      </c>
      <c r="AD18" s="28" t="e">
        <v>#N/A</v>
      </c>
      <c r="AE18" s="28"/>
      <c r="AF18" s="19">
        <v>44431</v>
      </c>
      <c r="AG18" s="19"/>
      <c r="AH18" s="12">
        <f t="shared" si="0"/>
        <v>2</v>
      </c>
      <c r="AI18" s="12">
        <f t="shared" ca="1" si="1"/>
        <v>5</v>
      </c>
      <c r="AJ18" s="12" t="str">
        <f t="shared" si="2"/>
        <v>1-5 Years</v>
      </c>
      <c r="AK18" s="12" t="s">
        <v>10046</v>
      </c>
      <c r="AL18" s="31">
        <v>38</v>
      </c>
      <c r="AM18" s="31">
        <v>29</v>
      </c>
      <c r="AN18" s="12" t="str">
        <f t="shared" si="3"/>
        <v>25-34 Years</v>
      </c>
      <c r="AO18" s="13" t="s">
        <v>9162</v>
      </c>
      <c r="AP18" s="13" t="s">
        <v>9150</v>
      </c>
      <c r="AQ18" s="14" t="s">
        <v>9157</v>
      </c>
      <c r="AR18" s="14" t="s">
        <v>9140</v>
      </c>
      <c r="AS18" s="14"/>
      <c r="AT18" s="14" t="s">
        <v>72</v>
      </c>
      <c r="AU18" s="14" t="s">
        <v>54</v>
      </c>
      <c r="AV18" s="15" t="s">
        <v>9141</v>
      </c>
      <c r="AW18" s="15" t="s">
        <v>9175</v>
      </c>
      <c r="AX18" s="15" t="s">
        <v>9143</v>
      </c>
      <c r="AY18" s="15" t="s">
        <v>9141</v>
      </c>
      <c r="AZ18" s="15" t="s">
        <v>9175</v>
      </c>
      <c r="BA18" s="16" t="s">
        <v>9141</v>
      </c>
      <c r="BB18" s="16" t="s">
        <v>9176</v>
      </c>
    </row>
    <row r="19" spans="1:54" hidden="1" x14ac:dyDescent="0.25">
      <c r="A19" s="4" t="s">
        <v>359</v>
      </c>
      <c r="B19" s="4" t="s">
        <v>9268</v>
      </c>
      <c r="C19" s="4"/>
      <c r="D19" s="4" t="s">
        <v>39</v>
      </c>
      <c r="E19" s="4">
        <v>406820</v>
      </c>
      <c r="F19" s="4" t="s">
        <v>221</v>
      </c>
      <c r="G19" s="32">
        <v>25843</v>
      </c>
      <c r="H19" s="25">
        <v>45236</v>
      </c>
      <c r="I19" s="11">
        <v>0.6875</v>
      </c>
      <c r="J19" s="4" t="s">
        <v>42</v>
      </c>
      <c r="K19" s="4">
        <v>1011</v>
      </c>
      <c r="L19" s="4" t="s">
        <v>215</v>
      </c>
      <c r="M19" s="4" t="s">
        <v>360</v>
      </c>
      <c r="N19" s="4" t="s">
        <v>361</v>
      </c>
      <c r="O19" s="4" t="s">
        <v>46</v>
      </c>
      <c r="P19" s="4"/>
      <c r="Q19" s="4" t="s">
        <v>47</v>
      </c>
      <c r="R19" s="4" t="s">
        <v>48</v>
      </c>
      <c r="S19" s="4">
        <v>0</v>
      </c>
      <c r="T19" s="4" t="b">
        <v>0</v>
      </c>
      <c r="U19" s="4" t="s">
        <v>49</v>
      </c>
      <c r="V19" s="4" t="s">
        <v>89</v>
      </c>
      <c r="W19" s="4" t="s">
        <v>71</v>
      </c>
      <c r="X19" s="4" t="s">
        <v>52</v>
      </c>
      <c r="Y19" s="4" t="s">
        <v>53</v>
      </c>
      <c r="Z19" s="4" t="s">
        <v>54</v>
      </c>
      <c r="AA19" s="4"/>
      <c r="AB19" s="23">
        <v>0</v>
      </c>
      <c r="AC19" s="28" t="e">
        <v>#N/A</v>
      </c>
      <c r="AD19" s="28" t="e">
        <v>#N/A</v>
      </c>
      <c r="AE19" s="28"/>
      <c r="AF19" s="19">
        <v>42142</v>
      </c>
      <c r="AG19" s="19"/>
      <c r="AH19" s="12">
        <f t="shared" si="0"/>
        <v>8</v>
      </c>
      <c r="AI19" s="12">
        <f t="shared" ca="1" si="1"/>
        <v>11</v>
      </c>
      <c r="AJ19" s="12" t="str">
        <f t="shared" si="2"/>
        <v>6-10 Years</v>
      </c>
      <c r="AK19" s="12" t="s">
        <v>10046</v>
      </c>
      <c r="AL19" s="31">
        <v>38</v>
      </c>
      <c r="AM19" s="31">
        <v>54</v>
      </c>
      <c r="AN19" s="12" t="str">
        <f t="shared" si="3"/>
        <v>45-54 Years</v>
      </c>
      <c r="AO19" s="13" t="s">
        <v>9162</v>
      </c>
      <c r="AP19" s="13" t="s">
        <v>9150</v>
      </c>
      <c r="AQ19" s="14" t="s">
        <v>9139</v>
      </c>
      <c r="AR19" s="14" t="s">
        <v>9140</v>
      </c>
      <c r="AS19" s="14"/>
      <c r="AT19" s="14" t="s">
        <v>52</v>
      </c>
      <c r="AU19" s="14" t="s">
        <v>54</v>
      </c>
      <c r="AV19" s="15" t="s">
        <v>9141</v>
      </c>
      <c r="AW19" s="15" t="s">
        <v>9142</v>
      </c>
      <c r="AX19" s="15" t="s">
        <v>9143</v>
      </c>
      <c r="AY19" s="15" t="s">
        <v>9141</v>
      </c>
      <c r="AZ19" s="15" t="s">
        <v>9144</v>
      </c>
      <c r="BA19" s="16" t="s">
        <v>9141</v>
      </c>
      <c r="BB19" s="16" t="s">
        <v>9145</v>
      </c>
    </row>
    <row r="20" spans="1:54" hidden="1" x14ac:dyDescent="0.25">
      <c r="A20" s="4" t="s">
        <v>556</v>
      </c>
      <c r="B20" s="4" t="s">
        <v>9269</v>
      </c>
      <c r="C20" s="4"/>
      <c r="D20" s="4" t="s">
        <v>39</v>
      </c>
      <c r="E20" s="4">
        <v>295516</v>
      </c>
      <c r="F20" s="4" t="s">
        <v>558</v>
      </c>
      <c r="G20" s="32">
        <v>25993</v>
      </c>
      <c r="H20" s="25">
        <v>45240</v>
      </c>
      <c r="I20" s="11">
        <v>0.6875</v>
      </c>
      <c r="J20" s="4" t="s">
        <v>463</v>
      </c>
      <c r="K20" s="4">
        <v>2021</v>
      </c>
      <c r="L20" s="4" t="s">
        <v>559</v>
      </c>
      <c r="M20" s="4" t="s">
        <v>560</v>
      </c>
      <c r="N20" s="4" t="s">
        <v>561</v>
      </c>
      <c r="O20" s="4" t="s">
        <v>46</v>
      </c>
      <c r="P20" s="4"/>
      <c r="Q20" s="4" t="s">
        <v>47</v>
      </c>
      <c r="R20" s="4" t="s">
        <v>48</v>
      </c>
      <c r="S20" s="4">
        <v>0</v>
      </c>
      <c r="T20" s="4" t="b">
        <v>0</v>
      </c>
      <c r="U20" s="4" t="s">
        <v>114</v>
      </c>
      <c r="V20" s="4" t="s">
        <v>89</v>
      </c>
      <c r="W20" s="4" t="s">
        <v>224</v>
      </c>
      <c r="X20" s="4" t="s">
        <v>52</v>
      </c>
      <c r="Y20" s="4" t="s">
        <v>135</v>
      </c>
      <c r="Z20" s="4" t="s">
        <v>54</v>
      </c>
      <c r="AA20" s="4"/>
      <c r="AB20" s="23">
        <v>0</v>
      </c>
      <c r="AC20" s="28" t="e">
        <v>#N/A</v>
      </c>
      <c r="AD20" s="28" t="e">
        <v>#N/A</v>
      </c>
      <c r="AE20" s="28"/>
      <c r="AF20" s="19">
        <v>42961</v>
      </c>
      <c r="AG20" s="19"/>
      <c r="AH20" s="12">
        <f t="shared" si="0"/>
        <v>6</v>
      </c>
      <c r="AI20" s="12">
        <f t="shared" ca="1" si="1"/>
        <v>9</v>
      </c>
      <c r="AJ20" s="12" t="str">
        <f t="shared" si="2"/>
        <v>6-10 Years</v>
      </c>
      <c r="AK20" s="12" t="s">
        <v>10046</v>
      </c>
      <c r="AL20" s="31">
        <v>38</v>
      </c>
      <c r="AM20" s="31">
        <v>54</v>
      </c>
      <c r="AN20" s="12" t="str">
        <f t="shared" si="3"/>
        <v>45-54 Years</v>
      </c>
      <c r="AO20" s="13" t="s">
        <v>9162</v>
      </c>
      <c r="AP20" s="13" t="s">
        <v>9150</v>
      </c>
      <c r="AQ20" s="14" t="s">
        <v>9157</v>
      </c>
      <c r="AR20" s="14" t="s">
        <v>9140</v>
      </c>
      <c r="AS20" s="14"/>
      <c r="AT20" s="14" t="s">
        <v>52</v>
      </c>
      <c r="AU20" s="14" t="s">
        <v>54</v>
      </c>
      <c r="AV20" s="15" t="s">
        <v>9141</v>
      </c>
      <c r="AW20" s="15" t="s">
        <v>9175</v>
      </c>
      <c r="AX20" s="15" t="s">
        <v>9143</v>
      </c>
      <c r="AY20" s="15" t="s">
        <v>9141</v>
      </c>
      <c r="AZ20" s="15" t="s">
        <v>9177</v>
      </c>
      <c r="BA20" s="16" t="s">
        <v>9141</v>
      </c>
      <c r="BB20" s="16" t="s">
        <v>9178</v>
      </c>
    </row>
    <row r="21" spans="1:54" hidden="1" x14ac:dyDescent="0.25">
      <c r="A21" s="4" t="s">
        <v>647</v>
      </c>
      <c r="B21" s="4" t="s">
        <v>9270</v>
      </c>
      <c r="C21" s="4"/>
      <c r="D21" s="4" t="s">
        <v>39</v>
      </c>
      <c r="E21" s="4">
        <v>297588</v>
      </c>
      <c r="F21" s="4" t="s">
        <v>639</v>
      </c>
      <c r="G21" s="32">
        <v>37620</v>
      </c>
      <c r="H21" s="25">
        <v>45241</v>
      </c>
      <c r="I21" s="11">
        <v>0.58333333333333337</v>
      </c>
      <c r="J21" s="4" t="s">
        <v>463</v>
      </c>
      <c r="K21" s="4">
        <v>2023</v>
      </c>
      <c r="L21" s="4" t="s">
        <v>615</v>
      </c>
      <c r="M21" s="4" t="s">
        <v>648</v>
      </c>
      <c r="N21" s="4" t="s">
        <v>649</v>
      </c>
      <c r="O21" s="4" t="s">
        <v>46</v>
      </c>
      <c r="P21" s="4"/>
      <c r="Q21" s="4" t="s">
        <v>47</v>
      </c>
      <c r="R21" s="4" t="s">
        <v>48</v>
      </c>
      <c r="S21" s="4">
        <v>0</v>
      </c>
      <c r="T21" s="4" t="b">
        <v>0</v>
      </c>
      <c r="U21" s="4" t="s">
        <v>61</v>
      </c>
      <c r="V21" s="4" t="s">
        <v>89</v>
      </c>
      <c r="W21" s="4" t="s">
        <v>650</v>
      </c>
      <c r="X21" s="4" t="s">
        <v>123</v>
      </c>
      <c r="Y21" s="4" t="s">
        <v>124</v>
      </c>
      <c r="Z21" s="4" t="s">
        <v>98</v>
      </c>
      <c r="AA21" s="4"/>
      <c r="AB21" s="23">
        <v>0</v>
      </c>
      <c r="AC21" s="28" t="e">
        <v>#N/A</v>
      </c>
      <c r="AD21" s="28" t="e">
        <v>#N/A</v>
      </c>
      <c r="AE21" s="28"/>
      <c r="AF21" s="19">
        <v>44435</v>
      </c>
      <c r="AG21" s="19"/>
      <c r="AH21" s="12">
        <f t="shared" si="0"/>
        <v>2</v>
      </c>
      <c r="AI21" s="12">
        <f t="shared" ca="1" si="1"/>
        <v>5</v>
      </c>
      <c r="AJ21" s="12" t="str">
        <f t="shared" si="2"/>
        <v>1-5 Years</v>
      </c>
      <c r="AK21" s="12" t="s">
        <v>10046</v>
      </c>
      <c r="AL21" s="31">
        <v>38</v>
      </c>
      <c r="AM21" s="31">
        <v>22</v>
      </c>
      <c r="AN21" s="12" t="str">
        <f t="shared" si="3"/>
        <v>20-24 Years</v>
      </c>
      <c r="AO21" s="13" t="s">
        <v>9162</v>
      </c>
      <c r="AP21" s="13" t="s">
        <v>9150</v>
      </c>
      <c r="AQ21" s="14" t="s">
        <v>9148</v>
      </c>
      <c r="AR21" s="14" t="s">
        <v>9140</v>
      </c>
      <c r="AS21" s="14"/>
      <c r="AT21" s="14" t="s">
        <v>123</v>
      </c>
      <c r="AU21" s="14" t="s">
        <v>98</v>
      </c>
      <c r="AV21" s="15" t="s">
        <v>9141</v>
      </c>
      <c r="AW21" s="15" t="s">
        <v>9175</v>
      </c>
      <c r="AX21" s="15" t="s">
        <v>9143</v>
      </c>
      <c r="AY21" s="15" t="s">
        <v>9141</v>
      </c>
      <c r="AZ21" s="15" t="s">
        <v>9177</v>
      </c>
      <c r="BA21" s="16" t="s">
        <v>9141</v>
      </c>
      <c r="BB21" s="16" t="s">
        <v>9178</v>
      </c>
    </row>
    <row r="22" spans="1:54" hidden="1" x14ac:dyDescent="0.25">
      <c r="A22" s="4" t="s">
        <v>744</v>
      </c>
      <c r="B22" s="4" t="s">
        <v>9271</v>
      </c>
      <c r="C22" s="4"/>
      <c r="D22" s="4" t="s">
        <v>39</v>
      </c>
      <c r="E22" s="4">
        <v>407120</v>
      </c>
      <c r="F22" s="4" t="s">
        <v>746</v>
      </c>
      <c r="G22" s="32">
        <v>23357</v>
      </c>
      <c r="H22" s="25">
        <v>45241</v>
      </c>
      <c r="I22" s="11">
        <v>0.70486111111111116</v>
      </c>
      <c r="J22" s="4" t="s">
        <v>463</v>
      </c>
      <c r="K22" s="4">
        <v>2025</v>
      </c>
      <c r="L22" s="4" t="s">
        <v>701</v>
      </c>
      <c r="M22" s="4" t="s">
        <v>747</v>
      </c>
      <c r="N22" s="4" t="s">
        <v>748</v>
      </c>
      <c r="O22" s="4" t="s">
        <v>46</v>
      </c>
      <c r="P22" s="4"/>
      <c r="Q22" s="4" t="s">
        <v>47</v>
      </c>
      <c r="R22" s="4" t="s">
        <v>48</v>
      </c>
      <c r="S22" s="4">
        <v>0</v>
      </c>
      <c r="T22" s="4" t="b">
        <v>0</v>
      </c>
      <c r="U22" s="4" t="s">
        <v>61</v>
      </c>
      <c r="V22" s="4" t="s">
        <v>89</v>
      </c>
      <c r="W22" s="4" t="s">
        <v>51</v>
      </c>
      <c r="X22" s="4" t="s">
        <v>123</v>
      </c>
      <c r="Y22" s="4" t="s">
        <v>124</v>
      </c>
      <c r="Z22" s="4" t="s">
        <v>98</v>
      </c>
      <c r="AA22" s="4"/>
      <c r="AB22" s="23">
        <v>0</v>
      </c>
      <c r="AC22" s="28" t="s">
        <v>9580</v>
      </c>
      <c r="AD22" s="28" t="e">
        <v>#N/A</v>
      </c>
      <c r="AE22" s="28"/>
      <c r="AF22" s="19">
        <v>44032</v>
      </c>
      <c r="AG22" s="19"/>
      <c r="AH22" s="12">
        <f t="shared" si="0"/>
        <v>3</v>
      </c>
      <c r="AI22" s="12">
        <f t="shared" ca="1" si="1"/>
        <v>6</v>
      </c>
      <c r="AJ22" s="12" t="str">
        <f t="shared" si="2"/>
        <v>1-5 Years</v>
      </c>
      <c r="AK22" s="12" t="s">
        <v>9633</v>
      </c>
      <c r="AL22" s="31">
        <v>0.01</v>
      </c>
      <c r="AM22" s="31">
        <v>61</v>
      </c>
      <c r="AN22" s="12" t="str">
        <f t="shared" si="3"/>
        <v>More Than 55 Years</v>
      </c>
      <c r="AO22" s="13" t="s">
        <v>9162</v>
      </c>
      <c r="AP22" s="13" t="s">
        <v>9150</v>
      </c>
      <c r="AQ22" s="14" t="s">
        <v>9148</v>
      </c>
      <c r="AR22" s="14" t="s">
        <v>9140</v>
      </c>
      <c r="AS22" s="14"/>
      <c r="AT22" s="14" t="s">
        <v>123</v>
      </c>
      <c r="AU22" s="14" t="s">
        <v>98</v>
      </c>
      <c r="AV22" s="15" t="s">
        <v>9141</v>
      </c>
      <c r="AW22" s="15" t="s">
        <v>9175</v>
      </c>
      <c r="AX22" s="15" t="s">
        <v>9143</v>
      </c>
      <c r="AY22" s="15" t="s">
        <v>9141</v>
      </c>
      <c r="AZ22" s="15" t="s">
        <v>9175</v>
      </c>
      <c r="BA22" s="16" t="s">
        <v>9141</v>
      </c>
      <c r="BB22" s="16" t="s">
        <v>9176</v>
      </c>
    </row>
    <row r="23" spans="1:54" hidden="1" x14ac:dyDescent="0.25">
      <c r="A23" s="4" t="s">
        <v>1352</v>
      </c>
      <c r="B23" s="4" t="s">
        <v>9272</v>
      </c>
      <c r="C23" s="4"/>
      <c r="D23" s="4" t="s">
        <v>39</v>
      </c>
      <c r="E23" s="4">
        <v>325769</v>
      </c>
      <c r="F23" s="4" t="s">
        <v>1354</v>
      </c>
      <c r="G23" s="32">
        <v>38933</v>
      </c>
      <c r="H23" s="25">
        <v>45241</v>
      </c>
      <c r="I23" s="11">
        <v>0.54861111111111116</v>
      </c>
      <c r="J23" s="4" t="s">
        <v>1155</v>
      </c>
      <c r="K23" s="4">
        <v>4045</v>
      </c>
      <c r="L23" s="4" t="s">
        <v>1329</v>
      </c>
      <c r="M23" s="4" t="s">
        <v>1355</v>
      </c>
      <c r="N23" s="4" t="s">
        <v>1356</v>
      </c>
      <c r="O23" s="4" t="s">
        <v>46</v>
      </c>
      <c r="P23" s="4"/>
      <c r="Q23" s="4" t="s">
        <v>47</v>
      </c>
      <c r="R23" s="4" t="s">
        <v>48</v>
      </c>
      <c r="S23" s="4">
        <v>0</v>
      </c>
      <c r="T23" s="4" t="b">
        <v>0</v>
      </c>
      <c r="U23" s="4" t="s">
        <v>61</v>
      </c>
      <c r="V23" s="4" t="s">
        <v>1357</v>
      </c>
      <c r="W23" s="4" t="s">
        <v>90</v>
      </c>
      <c r="X23" s="4" t="s">
        <v>267</v>
      </c>
      <c r="Y23" s="4" t="s">
        <v>331</v>
      </c>
      <c r="Z23" s="4" t="s">
        <v>54</v>
      </c>
      <c r="AA23" s="4"/>
      <c r="AB23" s="23">
        <v>0</v>
      </c>
      <c r="AC23" s="28" t="e">
        <v>#N/A</v>
      </c>
      <c r="AD23" s="28" t="e">
        <v>#N/A</v>
      </c>
      <c r="AE23" s="28"/>
      <c r="AF23" s="19">
        <v>44858</v>
      </c>
      <c r="AG23" s="19"/>
      <c r="AH23" s="12">
        <f t="shared" si="0"/>
        <v>1</v>
      </c>
      <c r="AI23" s="12">
        <f t="shared" ca="1" si="1"/>
        <v>3</v>
      </c>
      <c r="AJ23" s="12" t="str">
        <f t="shared" si="2"/>
        <v>1-5 Years</v>
      </c>
      <c r="AK23" s="12" t="s">
        <v>9633</v>
      </c>
      <c r="AL23" s="31">
        <v>0.01</v>
      </c>
      <c r="AM23" s="31">
        <v>18</v>
      </c>
      <c r="AN23" s="12" t="str">
        <f t="shared" si="3"/>
        <v>Less Than 20 Years</v>
      </c>
      <c r="AO23" s="13" t="s">
        <v>9162</v>
      </c>
      <c r="AP23" s="13" t="s">
        <v>9150</v>
      </c>
      <c r="AQ23" s="14" t="s">
        <v>9148</v>
      </c>
      <c r="AR23" s="14" t="s">
        <v>9140</v>
      </c>
      <c r="AS23" s="14"/>
      <c r="AT23" s="14" t="s">
        <v>267</v>
      </c>
      <c r="AU23" s="14" t="s">
        <v>54</v>
      </c>
      <c r="AV23" s="15" t="s">
        <v>9141</v>
      </c>
      <c r="AW23" s="15" t="s">
        <v>9187</v>
      </c>
      <c r="AX23" s="15" t="s">
        <v>9143</v>
      </c>
      <c r="AY23" s="15" t="s">
        <v>9141</v>
      </c>
      <c r="AZ23" s="15" t="s">
        <v>9144</v>
      </c>
      <c r="BA23" s="16" t="s">
        <v>9141</v>
      </c>
      <c r="BB23" s="16" t="s">
        <v>9145</v>
      </c>
    </row>
    <row r="24" spans="1:54" hidden="1" x14ac:dyDescent="0.25">
      <c r="A24" s="4" t="s">
        <v>741</v>
      </c>
      <c r="B24" s="4" t="s">
        <v>9273</v>
      </c>
      <c r="C24" s="4"/>
      <c r="D24" s="4" t="s">
        <v>39</v>
      </c>
      <c r="E24" s="4">
        <v>323716</v>
      </c>
      <c r="F24" s="4" t="s">
        <v>734</v>
      </c>
      <c r="G24" s="32">
        <v>33608</v>
      </c>
      <c r="H24" s="25">
        <v>45243</v>
      </c>
      <c r="I24" s="11">
        <v>0.69444444444444442</v>
      </c>
      <c r="J24" s="4" t="s">
        <v>463</v>
      </c>
      <c r="K24" s="4">
        <v>2025</v>
      </c>
      <c r="L24" s="4" t="s">
        <v>701</v>
      </c>
      <c r="M24" s="4" t="s">
        <v>742</v>
      </c>
      <c r="N24" s="4" t="s">
        <v>743</v>
      </c>
      <c r="O24" s="4" t="s">
        <v>46</v>
      </c>
      <c r="P24" s="4"/>
      <c r="Q24" s="4" t="s">
        <v>47</v>
      </c>
      <c r="R24" s="4" t="s">
        <v>48</v>
      </c>
      <c r="S24" s="4">
        <v>0</v>
      </c>
      <c r="T24" s="4" t="b">
        <v>0</v>
      </c>
      <c r="U24" s="4" t="s">
        <v>61</v>
      </c>
      <c r="V24" s="4" t="s">
        <v>89</v>
      </c>
      <c r="W24" s="4" t="s">
        <v>107</v>
      </c>
      <c r="X24" s="4" t="s">
        <v>63</v>
      </c>
      <c r="Y24" s="4" t="s">
        <v>108</v>
      </c>
      <c r="Z24" s="4" t="s">
        <v>98</v>
      </c>
      <c r="AA24" s="4"/>
      <c r="AB24" s="23">
        <v>0</v>
      </c>
      <c r="AC24" s="28" t="s">
        <v>9580</v>
      </c>
      <c r="AD24" s="28" t="e">
        <v>#N/A</v>
      </c>
      <c r="AE24" s="28"/>
      <c r="AF24" s="19">
        <v>44767</v>
      </c>
      <c r="AG24" s="19"/>
      <c r="AH24" s="12">
        <f t="shared" si="0"/>
        <v>1</v>
      </c>
      <c r="AI24" s="12">
        <f t="shared" ca="1" si="1"/>
        <v>4</v>
      </c>
      <c r="AJ24" s="12" t="str">
        <f t="shared" si="2"/>
        <v>1-5 Years</v>
      </c>
      <c r="AK24" s="12" t="s">
        <v>10046</v>
      </c>
      <c r="AL24" s="31">
        <v>38</v>
      </c>
      <c r="AM24" s="31">
        <v>33</v>
      </c>
      <c r="AN24" s="12" t="str">
        <f t="shared" si="3"/>
        <v>25-34 Years</v>
      </c>
      <c r="AO24" s="13" t="s">
        <v>9162</v>
      </c>
      <c r="AP24" s="13" t="s">
        <v>9150</v>
      </c>
      <c r="AQ24" s="14" t="s">
        <v>9148</v>
      </c>
      <c r="AR24" s="14" t="s">
        <v>9140</v>
      </c>
      <c r="AS24" s="14"/>
      <c r="AT24" s="14" t="s">
        <v>63</v>
      </c>
      <c r="AU24" s="14" t="s">
        <v>98</v>
      </c>
      <c r="AV24" s="15" t="s">
        <v>9141</v>
      </c>
      <c r="AW24" s="15" t="s">
        <v>9175</v>
      </c>
      <c r="AX24" s="15" t="s">
        <v>9143</v>
      </c>
      <c r="AY24" s="15" t="s">
        <v>9141</v>
      </c>
      <c r="AZ24" s="15" t="s">
        <v>9175</v>
      </c>
      <c r="BA24" s="16" t="s">
        <v>9141</v>
      </c>
      <c r="BB24" s="16" t="s">
        <v>9176</v>
      </c>
    </row>
    <row r="25" spans="1:54" hidden="1" x14ac:dyDescent="0.25">
      <c r="A25" s="4" t="s">
        <v>533</v>
      </c>
      <c r="B25" s="4" t="s">
        <v>9274</v>
      </c>
      <c r="C25" s="4">
        <v>12240077534</v>
      </c>
      <c r="D25" s="4" t="s">
        <v>488</v>
      </c>
      <c r="E25" s="4">
        <v>329940</v>
      </c>
      <c r="F25" s="4" t="s">
        <v>512</v>
      </c>
      <c r="G25" s="32">
        <v>31789</v>
      </c>
      <c r="H25" s="25">
        <v>45244</v>
      </c>
      <c r="I25" s="11">
        <v>0.5</v>
      </c>
      <c r="J25" s="4" t="s">
        <v>463</v>
      </c>
      <c r="K25" s="4">
        <v>2019</v>
      </c>
      <c r="L25" s="4" t="s">
        <v>513</v>
      </c>
      <c r="M25" s="4" t="s">
        <v>492</v>
      </c>
      <c r="N25" s="4" t="s">
        <v>534</v>
      </c>
      <c r="O25" s="4" t="s">
        <v>28</v>
      </c>
      <c r="P25" s="4" t="s">
        <v>478</v>
      </c>
      <c r="Q25" s="4" t="s">
        <v>344</v>
      </c>
      <c r="R25" s="4" t="s">
        <v>60</v>
      </c>
      <c r="S25" s="4">
        <v>40</v>
      </c>
      <c r="T25" s="4" t="b">
        <v>0</v>
      </c>
      <c r="U25" s="4" t="s">
        <v>114</v>
      </c>
      <c r="V25" s="4" t="s">
        <v>266</v>
      </c>
      <c r="W25" s="4" t="s">
        <v>330</v>
      </c>
      <c r="X25" s="4" t="s">
        <v>267</v>
      </c>
      <c r="Y25" s="4" t="s">
        <v>495</v>
      </c>
      <c r="Z25" s="4" t="s">
        <v>54</v>
      </c>
      <c r="AA25" s="4"/>
      <c r="AB25" s="23" t="s">
        <v>60</v>
      </c>
      <c r="AC25" s="28" t="e">
        <v>#N/A</v>
      </c>
      <c r="AD25" s="28" t="s">
        <v>8711</v>
      </c>
      <c r="AE25" s="28"/>
      <c r="AF25" s="19">
        <v>45131</v>
      </c>
      <c r="AG25" s="19">
        <v>45746</v>
      </c>
      <c r="AH25" s="12">
        <f t="shared" si="0"/>
        <v>0</v>
      </c>
      <c r="AI25" s="12">
        <f t="shared" ca="1" si="1"/>
        <v>1</v>
      </c>
      <c r="AJ25" s="12" t="str">
        <f t="shared" si="2"/>
        <v>Under 1 Year</v>
      </c>
      <c r="AK25" s="12" t="s">
        <v>9632</v>
      </c>
      <c r="AL25" s="31">
        <v>22.5</v>
      </c>
      <c r="AM25" s="31">
        <v>38</v>
      </c>
      <c r="AN25" s="12" t="str">
        <f t="shared" si="3"/>
        <v>35-44 Years</v>
      </c>
      <c r="AO25" s="13" t="s">
        <v>9162</v>
      </c>
      <c r="AP25" s="13" t="s">
        <v>9150</v>
      </c>
      <c r="AQ25" s="14" t="s">
        <v>9157</v>
      </c>
      <c r="AR25" s="14" t="s">
        <v>28</v>
      </c>
      <c r="AS25" s="14" t="s">
        <v>478</v>
      </c>
      <c r="AT25" s="14" t="s">
        <v>267</v>
      </c>
      <c r="AU25" s="14" t="s">
        <v>54</v>
      </c>
      <c r="AV25" s="15" t="s">
        <v>9141</v>
      </c>
      <c r="AW25" s="15" t="s">
        <v>9175</v>
      </c>
      <c r="AX25" s="15" t="s">
        <v>9143</v>
      </c>
      <c r="AY25" s="15" t="s">
        <v>9141</v>
      </c>
      <c r="AZ25" s="15" t="s">
        <v>9177</v>
      </c>
      <c r="BA25" s="16" t="s">
        <v>9141</v>
      </c>
      <c r="BB25" s="16" t="s">
        <v>9178</v>
      </c>
    </row>
    <row r="26" spans="1:54" hidden="1" x14ac:dyDescent="0.25">
      <c r="A26" s="4" t="s">
        <v>679</v>
      </c>
      <c r="B26" s="4" t="s">
        <v>9275</v>
      </c>
      <c r="C26" s="4"/>
      <c r="D26" s="4" t="s">
        <v>39</v>
      </c>
      <c r="E26" s="4">
        <v>326552</v>
      </c>
      <c r="F26" s="4" t="s">
        <v>681</v>
      </c>
      <c r="G26" s="32">
        <v>38131</v>
      </c>
      <c r="H26" s="25">
        <v>45246</v>
      </c>
      <c r="I26" s="11">
        <v>0.81944444444444442</v>
      </c>
      <c r="J26" s="4" t="s">
        <v>463</v>
      </c>
      <c r="K26" s="4">
        <v>2024</v>
      </c>
      <c r="L26" s="4" t="s">
        <v>664</v>
      </c>
      <c r="M26" s="4" t="s">
        <v>682</v>
      </c>
      <c r="N26" s="4" t="s">
        <v>683</v>
      </c>
      <c r="O26" s="4" t="s">
        <v>46</v>
      </c>
      <c r="P26" s="4"/>
      <c r="Q26" s="4" t="s">
        <v>47</v>
      </c>
      <c r="R26" s="4" t="s">
        <v>48</v>
      </c>
      <c r="S26" s="4">
        <v>0</v>
      </c>
      <c r="T26" s="4" t="b">
        <v>0</v>
      </c>
      <c r="U26" s="4" t="s">
        <v>61</v>
      </c>
      <c r="V26" s="4"/>
      <c r="W26" s="4"/>
      <c r="X26" s="4"/>
      <c r="Y26" s="4"/>
      <c r="Z26" s="4"/>
      <c r="AA26" s="4"/>
      <c r="AB26" s="23">
        <v>0</v>
      </c>
      <c r="AC26" s="28" t="e">
        <v>#N/A</v>
      </c>
      <c r="AD26" s="28" t="e">
        <v>#N/A</v>
      </c>
      <c r="AE26" s="28"/>
      <c r="AF26" s="19">
        <v>44886</v>
      </c>
      <c r="AG26" s="19"/>
      <c r="AH26" s="12">
        <f t="shared" si="0"/>
        <v>0</v>
      </c>
      <c r="AI26" s="12">
        <f t="shared" ca="1" si="1"/>
        <v>3</v>
      </c>
      <c r="AJ26" s="12" t="str">
        <f t="shared" si="2"/>
        <v>Under 1 Year</v>
      </c>
      <c r="AK26" s="12" t="s">
        <v>9633</v>
      </c>
      <c r="AL26" s="31">
        <v>0.01</v>
      </c>
      <c r="AM26" s="31">
        <v>20</v>
      </c>
      <c r="AN26" s="12" t="str">
        <f t="shared" si="3"/>
        <v>20-24 Years</v>
      </c>
      <c r="AO26" s="13" t="s">
        <v>9162</v>
      </c>
      <c r="AP26" s="13" t="s">
        <v>9150</v>
      </c>
      <c r="AQ26" s="14" t="s">
        <v>9148</v>
      </c>
      <c r="AR26" s="14" t="s">
        <v>9140</v>
      </c>
      <c r="AS26" s="14"/>
      <c r="AT26" s="14">
        <v>0</v>
      </c>
      <c r="AU26" s="14">
        <v>0</v>
      </c>
      <c r="AV26" s="15" t="s">
        <v>9141</v>
      </c>
      <c r="AW26" s="15" t="s">
        <v>9175</v>
      </c>
      <c r="AX26" s="15" t="s">
        <v>9143</v>
      </c>
      <c r="AY26" s="15" t="s">
        <v>9141</v>
      </c>
      <c r="AZ26" s="15" t="s">
        <v>9177</v>
      </c>
      <c r="BA26" s="16" t="s">
        <v>9141</v>
      </c>
      <c r="BB26" s="16" t="s">
        <v>9178</v>
      </c>
    </row>
    <row r="27" spans="1:54" hidden="1" x14ac:dyDescent="0.25">
      <c r="A27" s="4" t="s">
        <v>356</v>
      </c>
      <c r="B27" s="4" t="s">
        <v>9276</v>
      </c>
      <c r="C27" s="4"/>
      <c r="D27" s="4" t="s">
        <v>39</v>
      </c>
      <c r="E27" s="4">
        <v>293338</v>
      </c>
      <c r="F27" s="4" t="s">
        <v>295</v>
      </c>
      <c r="G27" s="32">
        <v>34250</v>
      </c>
      <c r="H27" s="25">
        <v>45247</v>
      </c>
      <c r="I27" s="11">
        <v>0.625</v>
      </c>
      <c r="J27" s="4" t="s">
        <v>42</v>
      </c>
      <c r="K27" s="4">
        <v>1011</v>
      </c>
      <c r="L27" s="4" t="s">
        <v>215</v>
      </c>
      <c r="M27" s="4" t="s">
        <v>357</v>
      </c>
      <c r="N27" s="4" t="s">
        <v>358</v>
      </c>
      <c r="O27" s="4" t="s">
        <v>46</v>
      </c>
      <c r="P27" s="4"/>
      <c r="Q27" s="4" t="s">
        <v>47</v>
      </c>
      <c r="R27" s="4" t="s">
        <v>48</v>
      </c>
      <c r="S27" s="4">
        <v>0</v>
      </c>
      <c r="T27" s="4" t="b">
        <v>0</v>
      </c>
      <c r="U27" s="4" t="s">
        <v>49</v>
      </c>
      <c r="V27" s="4" t="s">
        <v>70</v>
      </c>
      <c r="W27" s="4" t="s">
        <v>71</v>
      </c>
      <c r="X27" s="4" t="s">
        <v>72</v>
      </c>
      <c r="Y27" s="4" t="s">
        <v>73</v>
      </c>
      <c r="Z27" s="4" t="s">
        <v>54</v>
      </c>
      <c r="AA27" s="4"/>
      <c r="AB27" s="23">
        <v>0</v>
      </c>
      <c r="AC27" s="28" t="e">
        <v>#N/A</v>
      </c>
      <c r="AD27" s="28" t="e">
        <v>#N/A</v>
      </c>
      <c r="AE27" s="28"/>
      <c r="AF27" s="19">
        <v>41470</v>
      </c>
      <c r="AG27" s="19">
        <v>45443</v>
      </c>
      <c r="AH27" s="12">
        <f t="shared" si="0"/>
        <v>10</v>
      </c>
      <c r="AI27" s="12">
        <f t="shared" ca="1" si="1"/>
        <v>10</v>
      </c>
      <c r="AJ27" s="12" t="str">
        <f t="shared" si="2"/>
        <v>6-10 Years</v>
      </c>
      <c r="AK27" s="12" t="s">
        <v>9632</v>
      </c>
      <c r="AL27" s="31">
        <v>30</v>
      </c>
      <c r="AM27" s="31">
        <v>31</v>
      </c>
      <c r="AN27" s="12" t="str">
        <f t="shared" si="3"/>
        <v>25-34 Years</v>
      </c>
      <c r="AO27" s="13" t="s">
        <v>9162</v>
      </c>
      <c r="AP27" s="13" t="s">
        <v>9150</v>
      </c>
      <c r="AQ27" s="14" t="s">
        <v>9139</v>
      </c>
      <c r="AR27" s="14" t="s">
        <v>9140</v>
      </c>
      <c r="AS27" s="14"/>
      <c r="AT27" s="14" t="s">
        <v>72</v>
      </c>
      <c r="AU27" s="14" t="s">
        <v>54</v>
      </c>
      <c r="AV27" s="15" t="s">
        <v>9141</v>
      </c>
      <c r="AW27" s="15" t="s">
        <v>9142</v>
      </c>
      <c r="AX27" s="15" t="s">
        <v>9143</v>
      </c>
      <c r="AY27" s="15" t="s">
        <v>9141</v>
      </c>
      <c r="AZ27" s="15" t="s">
        <v>9144</v>
      </c>
      <c r="BA27" s="16" t="s">
        <v>9141</v>
      </c>
      <c r="BB27" s="16" t="s">
        <v>9145</v>
      </c>
    </row>
    <row r="28" spans="1:54" hidden="1" x14ac:dyDescent="0.25">
      <c r="A28" s="4" t="s">
        <v>868</v>
      </c>
      <c r="B28" s="4" t="s">
        <v>9277</v>
      </c>
      <c r="C28" s="4"/>
      <c r="D28" s="4" t="s">
        <v>39</v>
      </c>
      <c r="E28" s="4">
        <v>328036</v>
      </c>
      <c r="F28" s="4" t="s">
        <v>870</v>
      </c>
      <c r="G28" s="32">
        <v>25871</v>
      </c>
      <c r="H28" s="25">
        <v>45247</v>
      </c>
      <c r="I28" s="11">
        <v>0.57638888888888884</v>
      </c>
      <c r="J28" s="4" t="s">
        <v>463</v>
      </c>
      <c r="K28" s="4">
        <v>2029</v>
      </c>
      <c r="L28" s="4" t="s">
        <v>845</v>
      </c>
      <c r="M28" s="4" t="s">
        <v>871</v>
      </c>
      <c r="N28" s="4" t="s">
        <v>872</v>
      </c>
      <c r="O28" s="4" t="s">
        <v>46</v>
      </c>
      <c r="P28" s="4"/>
      <c r="Q28" s="4" t="s">
        <v>47</v>
      </c>
      <c r="R28" s="4" t="s">
        <v>48</v>
      </c>
      <c r="S28" s="4">
        <v>0</v>
      </c>
      <c r="T28" s="4" t="b">
        <v>0</v>
      </c>
      <c r="U28" s="4" t="s">
        <v>49</v>
      </c>
      <c r="V28" s="4" t="s">
        <v>70</v>
      </c>
      <c r="W28" s="4" t="s">
        <v>373</v>
      </c>
      <c r="X28" s="4" t="s">
        <v>123</v>
      </c>
      <c r="Y28" s="4" t="s">
        <v>124</v>
      </c>
      <c r="Z28" s="4" t="s">
        <v>54</v>
      </c>
      <c r="AA28" s="4"/>
      <c r="AB28" s="23">
        <v>0</v>
      </c>
      <c r="AC28" s="28" t="e">
        <v>#N/A</v>
      </c>
      <c r="AD28" s="28" t="e">
        <v>#N/A</v>
      </c>
      <c r="AE28" s="28"/>
      <c r="AF28" s="19">
        <v>44977</v>
      </c>
      <c r="AG28" s="19"/>
      <c r="AH28" s="12">
        <f t="shared" si="0"/>
        <v>0</v>
      </c>
      <c r="AI28" s="12">
        <f t="shared" ca="1" si="1"/>
        <v>3</v>
      </c>
      <c r="AJ28" s="12" t="str">
        <f t="shared" si="2"/>
        <v>Under 1 Year</v>
      </c>
      <c r="AK28" s="12" t="s">
        <v>9632</v>
      </c>
      <c r="AL28" s="31">
        <v>14.25</v>
      </c>
      <c r="AM28" s="31">
        <v>54</v>
      </c>
      <c r="AN28" s="12" t="str">
        <f t="shared" si="3"/>
        <v>45-54 Years</v>
      </c>
      <c r="AO28" s="13" t="s">
        <v>9162</v>
      </c>
      <c r="AP28" s="13" t="s">
        <v>9150</v>
      </c>
      <c r="AQ28" s="14" t="s">
        <v>9139</v>
      </c>
      <c r="AR28" s="14" t="s">
        <v>9140</v>
      </c>
      <c r="AS28" s="14"/>
      <c r="AT28" s="14" t="s">
        <v>123</v>
      </c>
      <c r="AU28" s="14" t="s">
        <v>54</v>
      </c>
      <c r="AV28" s="15" t="s">
        <v>9141</v>
      </c>
      <c r="AW28" s="15" t="s">
        <v>9175</v>
      </c>
      <c r="AX28" s="15" t="s">
        <v>9143</v>
      </c>
      <c r="AY28" s="15" t="s">
        <v>9141</v>
      </c>
      <c r="AZ28" s="15" t="s">
        <v>9177</v>
      </c>
      <c r="BA28" s="16" t="s">
        <v>9141</v>
      </c>
      <c r="BB28" s="16" t="s">
        <v>9178</v>
      </c>
    </row>
    <row r="29" spans="1:54" x14ac:dyDescent="0.25">
      <c r="A29" s="4" t="s">
        <v>1567</v>
      </c>
      <c r="B29" s="4" t="s">
        <v>9278</v>
      </c>
      <c r="C29" s="4"/>
      <c r="D29" s="4" t="s">
        <v>39</v>
      </c>
      <c r="E29" s="4">
        <v>331399</v>
      </c>
      <c r="F29" s="4" t="s">
        <v>1569</v>
      </c>
      <c r="G29" s="32">
        <v>38268</v>
      </c>
      <c r="H29" s="25">
        <v>45248</v>
      </c>
      <c r="I29" s="11">
        <v>0.48194444444444445</v>
      </c>
      <c r="J29" s="4" t="s">
        <v>1366</v>
      </c>
      <c r="K29" s="4">
        <v>6068</v>
      </c>
      <c r="L29" s="4" t="s">
        <v>1537</v>
      </c>
      <c r="M29" s="4" t="s">
        <v>1570</v>
      </c>
      <c r="N29" s="4" t="s">
        <v>1571</v>
      </c>
      <c r="O29" s="4" t="s">
        <v>46</v>
      </c>
      <c r="P29" s="4"/>
      <c r="Q29" s="4" t="s">
        <v>47</v>
      </c>
      <c r="R29" s="4" t="s">
        <v>48</v>
      </c>
      <c r="S29" s="4">
        <v>0</v>
      </c>
      <c r="T29" s="4" t="b">
        <v>0</v>
      </c>
      <c r="U29" s="4" t="s">
        <v>49</v>
      </c>
      <c r="V29" s="4" t="s">
        <v>70</v>
      </c>
      <c r="W29" s="4" t="s">
        <v>107</v>
      </c>
      <c r="X29" s="4" t="s">
        <v>72</v>
      </c>
      <c r="Y29" s="4" t="s">
        <v>73</v>
      </c>
      <c r="Z29" s="4" t="s">
        <v>54</v>
      </c>
      <c r="AA29" s="4"/>
      <c r="AB29" s="23">
        <v>0</v>
      </c>
      <c r="AC29" s="28" t="e">
        <v>#N/A</v>
      </c>
      <c r="AD29" s="28" t="s">
        <v>8711</v>
      </c>
      <c r="AE29" s="28"/>
      <c r="AF29" s="19">
        <v>45208</v>
      </c>
      <c r="AG29" s="19"/>
      <c r="AH29" s="12">
        <f t="shared" si="0"/>
        <v>0</v>
      </c>
      <c r="AI29" s="12">
        <f t="shared" ca="1" si="1"/>
        <v>2</v>
      </c>
      <c r="AJ29" s="12" t="str">
        <f t="shared" si="2"/>
        <v>Under 1 Year</v>
      </c>
      <c r="AK29" s="12" t="s">
        <v>9633</v>
      </c>
      <c r="AL29" s="31">
        <v>0.01</v>
      </c>
      <c r="AM29" s="31">
        <v>20</v>
      </c>
      <c r="AN29" s="12" t="str">
        <f t="shared" si="3"/>
        <v>20-24 Years</v>
      </c>
      <c r="AO29" s="13" t="s">
        <v>9162</v>
      </c>
      <c r="AP29" s="13" t="s">
        <v>9150</v>
      </c>
      <c r="AQ29" s="14" t="s">
        <v>9139</v>
      </c>
      <c r="AR29" s="14" t="s">
        <v>9140</v>
      </c>
      <c r="AS29" s="14"/>
      <c r="AT29" s="14" t="s">
        <v>72</v>
      </c>
      <c r="AU29" s="14" t="s">
        <v>54</v>
      </c>
      <c r="AV29" s="15" t="s">
        <v>9141</v>
      </c>
      <c r="AW29" s="15" t="s">
        <v>9188</v>
      </c>
      <c r="AX29" s="15" t="s">
        <v>9143</v>
      </c>
      <c r="AY29" s="15" t="s">
        <v>9141</v>
      </c>
      <c r="AZ29" s="15" t="s">
        <v>9189</v>
      </c>
      <c r="BA29" s="16" t="s">
        <v>9141</v>
      </c>
      <c r="BB29" s="16" t="s">
        <v>9190</v>
      </c>
    </row>
    <row r="30" spans="1:54" hidden="1" x14ac:dyDescent="0.25">
      <c r="A30" s="4" t="s">
        <v>351</v>
      </c>
      <c r="B30" s="4" t="s">
        <v>9279</v>
      </c>
      <c r="C30" s="4"/>
      <c r="D30" s="4" t="s">
        <v>39</v>
      </c>
      <c r="E30" s="4">
        <v>318178</v>
      </c>
      <c r="F30" s="4" t="s">
        <v>353</v>
      </c>
      <c r="G30" s="32">
        <v>37575</v>
      </c>
      <c r="H30" s="25">
        <v>45251</v>
      </c>
      <c r="I30" s="11">
        <v>0.40277777777777779</v>
      </c>
      <c r="J30" s="4" t="s">
        <v>42</v>
      </c>
      <c r="K30" s="4">
        <v>1011</v>
      </c>
      <c r="L30" s="4" t="s">
        <v>215</v>
      </c>
      <c r="M30" s="4" t="s">
        <v>354</v>
      </c>
      <c r="N30" s="4" t="s">
        <v>355</v>
      </c>
      <c r="O30" s="4" t="s">
        <v>46</v>
      </c>
      <c r="P30" s="4"/>
      <c r="Q30" s="4" t="s">
        <v>47</v>
      </c>
      <c r="R30" s="4" t="s">
        <v>48</v>
      </c>
      <c r="S30" s="4">
        <v>0</v>
      </c>
      <c r="T30" s="4" t="b">
        <v>0</v>
      </c>
      <c r="U30" s="4" t="s">
        <v>49</v>
      </c>
      <c r="V30" s="4" t="s">
        <v>70</v>
      </c>
      <c r="W30" s="4" t="s">
        <v>71</v>
      </c>
      <c r="X30" s="4" t="s">
        <v>52</v>
      </c>
      <c r="Y30" s="4" t="s">
        <v>135</v>
      </c>
      <c r="Z30" s="4" t="s">
        <v>54</v>
      </c>
      <c r="AA30" s="4"/>
      <c r="AB30" s="23">
        <v>0</v>
      </c>
      <c r="AC30" s="28" t="e">
        <v>#N/A</v>
      </c>
      <c r="AD30" s="28" t="e">
        <v>#N/A</v>
      </c>
      <c r="AE30" s="28"/>
      <c r="AF30" s="19">
        <v>44501</v>
      </c>
      <c r="AG30" s="19"/>
      <c r="AH30" s="12">
        <f t="shared" si="0"/>
        <v>2</v>
      </c>
      <c r="AI30" s="12">
        <f t="shared" ca="1" si="1"/>
        <v>4</v>
      </c>
      <c r="AJ30" s="12" t="str">
        <f t="shared" si="2"/>
        <v>1-5 Years</v>
      </c>
      <c r="AK30" s="12" t="s">
        <v>9633</v>
      </c>
      <c r="AL30" s="31">
        <v>0.01</v>
      </c>
      <c r="AM30" s="31">
        <v>22</v>
      </c>
      <c r="AN30" s="12" t="str">
        <f t="shared" si="3"/>
        <v>20-24 Years</v>
      </c>
      <c r="AO30" s="13" t="s">
        <v>9162</v>
      </c>
      <c r="AP30" s="13" t="s">
        <v>9150</v>
      </c>
      <c r="AQ30" s="14" t="s">
        <v>9139</v>
      </c>
      <c r="AR30" s="14" t="s">
        <v>9140</v>
      </c>
      <c r="AS30" s="14"/>
      <c r="AT30" s="14" t="s">
        <v>52</v>
      </c>
      <c r="AU30" s="14" t="s">
        <v>54</v>
      </c>
      <c r="AV30" s="15" t="s">
        <v>9141</v>
      </c>
      <c r="AW30" s="15" t="s">
        <v>9142</v>
      </c>
      <c r="AX30" s="15" t="s">
        <v>9143</v>
      </c>
      <c r="AY30" s="15" t="s">
        <v>9141</v>
      </c>
      <c r="AZ30" s="15" t="s">
        <v>9144</v>
      </c>
      <c r="BA30" s="16" t="s">
        <v>9141</v>
      </c>
      <c r="BB30" s="16" t="s">
        <v>9145</v>
      </c>
    </row>
    <row r="31" spans="1:54" hidden="1" x14ac:dyDescent="0.25">
      <c r="A31" s="4" t="s">
        <v>786</v>
      </c>
      <c r="B31" s="4" t="s">
        <v>9280</v>
      </c>
      <c r="C31" s="4"/>
      <c r="D31" s="4" t="s">
        <v>39</v>
      </c>
      <c r="E31" s="4">
        <v>321428</v>
      </c>
      <c r="F31" s="4" t="s">
        <v>788</v>
      </c>
      <c r="G31" s="32">
        <v>33252</v>
      </c>
      <c r="H31" s="25">
        <v>45251</v>
      </c>
      <c r="I31" s="11">
        <v>0.50069444444444444</v>
      </c>
      <c r="J31" s="4" t="s">
        <v>463</v>
      </c>
      <c r="K31" s="4">
        <v>2026</v>
      </c>
      <c r="L31" s="4" t="s">
        <v>756</v>
      </c>
      <c r="M31" s="4" t="s">
        <v>455</v>
      </c>
      <c r="N31" s="4" t="s">
        <v>789</v>
      </c>
      <c r="O31" s="4" t="s">
        <v>46</v>
      </c>
      <c r="P31" s="4"/>
      <c r="Q31" s="4" t="s">
        <v>47</v>
      </c>
      <c r="R31" s="4" t="s">
        <v>48</v>
      </c>
      <c r="S31" s="4">
        <v>0</v>
      </c>
      <c r="T31" s="4" t="b">
        <v>0</v>
      </c>
      <c r="U31" s="4" t="s">
        <v>61</v>
      </c>
      <c r="V31" s="4" t="s">
        <v>89</v>
      </c>
      <c r="W31" s="4" t="s">
        <v>148</v>
      </c>
      <c r="X31" s="4" t="s">
        <v>123</v>
      </c>
      <c r="Y31" s="4" t="s">
        <v>149</v>
      </c>
      <c r="Z31" s="4" t="s">
        <v>98</v>
      </c>
      <c r="AA31" s="4"/>
      <c r="AB31" s="23">
        <v>0</v>
      </c>
      <c r="AC31" s="28" t="e">
        <v>#N/A</v>
      </c>
      <c r="AD31" s="28" t="e">
        <v>#N/A</v>
      </c>
      <c r="AE31" s="28"/>
      <c r="AF31" s="19">
        <v>44641</v>
      </c>
      <c r="AG31" s="19"/>
      <c r="AH31" s="12">
        <f t="shared" si="0"/>
        <v>1</v>
      </c>
      <c r="AI31" s="12">
        <f t="shared" ca="1" si="1"/>
        <v>4</v>
      </c>
      <c r="AJ31" s="12" t="str">
        <f t="shared" si="2"/>
        <v>1-5 Years</v>
      </c>
      <c r="AK31" s="12" t="s">
        <v>9633</v>
      </c>
      <c r="AL31" s="31">
        <v>0.01</v>
      </c>
      <c r="AM31" s="31">
        <v>34</v>
      </c>
      <c r="AN31" s="12" t="str">
        <f t="shared" si="3"/>
        <v>25-34 Years</v>
      </c>
      <c r="AO31" s="13" t="s">
        <v>9162</v>
      </c>
      <c r="AP31" s="13" t="s">
        <v>9150</v>
      </c>
      <c r="AQ31" s="14" t="s">
        <v>9148</v>
      </c>
      <c r="AR31" s="14" t="s">
        <v>9140</v>
      </c>
      <c r="AS31" s="14"/>
      <c r="AT31" s="14" t="s">
        <v>123</v>
      </c>
      <c r="AU31" s="14" t="s">
        <v>98</v>
      </c>
      <c r="AV31" s="15" t="s">
        <v>9141</v>
      </c>
      <c r="AW31" s="15" t="s">
        <v>9175</v>
      </c>
      <c r="AX31" s="15" t="s">
        <v>9143</v>
      </c>
      <c r="AY31" s="15" t="s">
        <v>9141</v>
      </c>
      <c r="AZ31" s="15" t="s">
        <v>9177</v>
      </c>
      <c r="BA31" s="16" t="s">
        <v>9141</v>
      </c>
      <c r="BB31" s="16" t="s">
        <v>9178</v>
      </c>
    </row>
    <row r="32" spans="1:54" hidden="1" x14ac:dyDescent="0.25">
      <c r="A32" s="4" t="s">
        <v>864</v>
      </c>
      <c r="B32" s="4" t="s">
        <v>9281</v>
      </c>
      <c r="C32" s="4"/>
      <c r="D32" s="4" t="s">
        <v>39</v>
      </c>
      <c r="E32" s="4">
        <v>321779</v>
      </c>
      <c r="F32" s="4" t="s">
        <v>850</v>
      </c>
      <c r="G32" s="32">
        <v>23166</v>
      </c>
      <c r="H32" s="25">
        <v>45251</v>
      </c>
      <c r="I32" s="11">
        <v>0.73055555555555551</v>
      </c>
      <c r="J32" s="4" t="s">
        <v>463</v>
      </c>
      <c r="K32" s="4">
        <v>2029</v>
      </c>
      <c r="L32" s="4" t="s">
        <v>845</v>
      </c>
      <c r="M32" s="4" t="s">
        <v>865</v>
      </c>
      <c r="N32" s="4" t="s">
        <v>866</v>
      </c>
      <c r="O32" s="4" t="s">
        <v>46</v>
      </c>
      <c r="P32" s="4"/>
      <c r="Q32" s="4" t="s">
        <v>47</v>
      </c>
      <c r="R32" s="4" t="s">
        <v>48</v>
      </c>
      <c r="S32" s="4">
        <v>0</v>
      </c>
      <c r="T32" s="4" t="b">
        <v>0</v>
      </c>
      <c r="U32" s="4" t="s">
        <v>61</v>
      </c>
      <c r="V32" s="4" t="s">
        <v>70</v>
      </c>
      <c r="W32" s="4" t="s">
        <v>867</v>
      </c>
      <c r="X32" s="4" t="s">
        <v>123</v>
      </c>
      <c r="Y32" s="4" t="s">
        <v>124</v>
      </c>
      <c r="Z32" s="4" t="s">
        <v>54</v>
      </c>
      <c r="AA32" s="4"/>
      <c r="AB32" s="23">
        <v>0</v>
      </c>
      <c r="AC32" s="28" t="e">
        <v>#N/A</v>
      </c>
      <c r="AD32" s="28" t="e">
        <v>#N/A</v>
      </c>
      <c r="AE32" s="28"/>
      <c r="AF32" s="19">
        <v>44655</v>
      </c>
      <c r="AG32" s="19"/>
      <c r="AH32" s="12">
        <f t="shared" si="0"/>
        <v>1</v>
      </c>
      <c r="AI32" s="12">
        <f t="shared" ca="1" si="1"/>
        <v>4</v>
      </c>
      <c r="AJ32" s="12" t="str">
        <f t="shared" si="2"/>
        <v>1-5 Years</v>
      </c>
      <c r="AK32" s="12" t="s">
        <v>9632</v>
      </c>
      <c r="AL32" s="31">
        <v>21.25</v>
      </c>
      <c r="AM32" s="31">
        <v>61</v>
      </c>
      <c r="AN32" s="12" t="str">
        <f t="shared" si="3"/>
        <v>More Than 55 Years</v>
      </c>
      <c r="AO32" s="13" t="s">
        <v>9162</v>
      </c>
      <c r="AP32" s="13" t="s">
        <v>9150</v>
      </c>
      <c r="AQ32" s="14" t="s">
        <v>9148</v>
      </c>
      <c r="AR32" s="14" t="s">
        <v>9140</v>
      </c>
      <c r="AS32" s="14"/>
      <c r="AT32" s="14" t="s">
        <v>123</v>
      </c>
      <c r="AU32" s="14" t="s">
        <v>54</v>
      </c>
      <c r="AV32" s="15" t="s">
        <v>9141</v>
      </c>
      <c r="AW32" s="15" t="s">
        <v>9175</v>
      </c>
      <c r="AX32" s="15" t="s">
        <v>9143</v>
      </c>
      <c r="AY32" s="15" t="s">
        <v>9141</v>
      </c>
      <c r="AZ32" s="15" t="s">
        <v>9177</v>
      </c>
      <c r="BA32" s="16" t="s">
        <v>9141</v>
      </c>
      <c r="BB32" s="16" t="s">
        <v>9178</v>
      </c>
    </row>
    <row r="33" spans="1:54" x14ac:dyDescent="0.25">
      <c r="A33" s="4" t="s">
        <v>1562</v>
      </c>
      <c r="B33" s="4" t="s">
        <v>9282</v>
      </c>
      <c r="C33" s="4"/>
      <c r="D33" s="4" t="s">
        <v>39</v>
      </c>
      <c r="E33" s="4">
        <v>296514</v>
      </c>
      <c r="F33" s="4" t="s">
        <v>1564</v>
      </c>
      <c r="G33" s="32">
        <v>20644</v>
      </c>
      <c r="H33" s="25">
        <v>45254</v>
      </c>
      <c r="I33" s="11">
        <v>0.35416666666666669</v>
      </c>
      <c r="J33" s="4" t="s">
        <v>1366</v>
      </c>
      <c r="K33" s="4">
        <v>6068</v>
      </c>
      <c r="L33" s="4" t="s">
        <v>1537</v>
      </c>
      <c r="M33" s="4" t="s">
        <v>1565</v>
      </c>
      <c r="N33" s="4" t="s">
        <v>1566</v>
      </c>
      <c r="O33" s="4" t="s">
        <v>46</v>
      </c>
      <c r="P33" s="4"/>
      <c r="Q33" s="4" t="s">
        <v>47</v>
      </c>
      <c r="R33" s="4" t="s">
        <v>48</v>
      </c>
      <c r="S33" s="4">
        <v>0</v>
      </c>
      <c r="T33" s="4" t="b">
        <v>0</v>
      </c>
      <c r="U33" s="4" t="s">
        <v>61</v>
      </c>
      <c r="V33" s="4" t="s">
        <v>89</v>
      </c>
      <c r="W33" s="4" t="s">
        <v>165</v>
      </c>
      <c r="X33" s="4" t="s">
        <v>63</v>
      </c>
      <c r="Y33" s="4" t="s">
        <v>108</v>
      </c>
      <c r="Z33" s="4" t="s">
        <v>98</v>
      </c>
      <c r="AA33" s="4"/>
      <c r="AB33" s="23">
        <v>0</v>
      </c>
      <c r="AC33" s="28" t="e">
        <v>#N/A</v>
      </c>
      <c r="AD33" s="28" t="s">
        <v>8711</v>
      </c>
      <c r="AE33" s="28"/>
      <c r="AF33" s="19">
        <v>43563</v>
      </c>
      <c r="AG33" s="19"/>
      <c r="AH33" s="12">
        <f t="shared" si="0"/>
        <v>4</v>
      </c>
      <c r="AI33" s="12">
        <f t="shared" ca="1" si="1"/>
        <v>7</v>
      </c>
      <c r="AJ33" s="12" t="str">
        <f t="shared" si="2"/>
        <v>1-5 Years</v>
      </c>
      <c r="AK33" s="12" t="s">
        <v>9632</v>
      </c>
      <c r="AL33" s="31">
        <v>16</v>
      </c>
      <c r="AM33" s="31">
        <v>68</v>
      </c>
      <c r="AN33" s="12" t="str">
        <f t="shared" si="3"/>
        <v>More Than 55 Years</v>
      </c>
      <c r="AO33" s="13" t="s">
        <v>9162</v>
      </c>
      <c r="AP33" s="13" t="s">
        <v>9150</v>
      </c>
      <c r="AQ33" s="14" t="s">
        <v>9148</v>
      </c>
      <c r="AR33" s="14" t="s">
        <v>9140</v>
      </c>
      <c r="AS33" s="14"/>
      <c r="AT33" s="14" t="s">
        <v>63</v>
      </c>
      <c r="AU33" s="14" t="s">
        <v>98</v>
      </c>
      <c r="AV33" s="15" t="s">
        <v>9141</v>
      </c>
      <c r="AW33" s="15" t="s">
        <v>9188</v>
      </c>
      <c r="AX33" s="15" t="s">
        <v>9143</v>
      </c>
      <c r="AY33" s="15" t="s">
        <v>9141</v>
      </c>
      <c r="AZ33" s="15" t="s">
        <v>9189</v>
      </c>
      <c r="BA33" s="16" t="s">
        <v>9141</v>
      </c>
      <c r="BB33" s="16" t="s">
        <v>9190</v>
      </c>
    </row>
    <row r="34" spans="1:54" hidden="1" x14ac:dyDescent="0.25">
      <c r="A34" s="4" t="s">
        <v>65</v>
      </c>
      <c r="B34" s="4" t="s">
        <v>9283</v>
      </c>
      <c r="C34" s="4"/>
      <c r="D34" s="4" t="s">
        <v>39</v>
      </c>
      <c r="E34" s="4">
        <v>296943</v>
      </c>
      <c r="F34" s="4" t="s">
        <v>67</v>
      </c>
      <c r="G34" s="32">
        <v>33653</v>
      </c>
      <c r="H34" s="25">
        <v>45257</v>
      </c>
      <c r="I34" s="11">
        <v>0.46875</v>
      </c>
      <c r="J34" s="4" t="s">
        <v>42</v>
      </c>
      <c r="K34" s="4">
        <v>1005</v>
      </c>
      <c r="L34" s="4" t="s">
        <v>43</v>
      </c>
      <c r="M34" s="4" t="s">
        <v>68</v>
      </c>
      <c r="N34" s="4" t="s">
        <v>69</v>
      </c>
      <c r="O34" s="4" t="s">
        <v>46</v>
      </c>
      <c r="P34" s="4"/>
      <c r="Q34" s="4" t="s">
        <v>47</v>
      </c>
      <c r="R34" s="4" t="s">
        <v>48</v>
      </c>
      <c r="S34" s="4">
        <v>0</v>
      </c>
      <c r="T34" s="4" t="b">
        <v>0</v>
      </c>
      <c r="U34" s="4" t="s">
        <v>49</v>
      </c>
      <c r="V34" s="4" t="s">
        <v>70</v>
      </c>
      <c r="W34" s="4" t="s">
        <v>71</v>
      </c>
      <c r="X34" s="4" t="s">
        <v>72</v>
      </c>
      <c r="Y34" s="4" t="s">
        <v>73</v>
      </c>
      <c r="Z34" s="4" t="s">
        <v>54</v>
      </c>
      <c r="AA34" s="4"/>
      <c r="AB34" s="23">
        <v>0</v>
      </c>
      <c r="AC34" s="28" t="e">
        <v>#N/A</v>
      </c>
      <c r="AD34" s="28" t="e">
        <v>#N/A</v>
      </c>
      <c r="AE34" s="28"/>
      <c r="AF34" s="19">
        <v>44032</v>
      </c>
      <c r="AG34" s="19"/>
      <c r="AH34" s="12">
        <f t="shared" si="0"/>
        <v>3</v>
      </c>
      <c r="AI34" s="12">
        <f t="shared" ca="1" si="1"/>
        <v>6</v>
      </c>
      <c r="AJ34" s="12" t="str">
        <f t="shared" si="2"/>
        <v>1-5 Years</v>
      </c>
      <c r="AK34" s="12" t="s">
        <v>9633</v>
      </c>
      <c r="AL34" s="31">
        <v>0.01</v>
      </c>
      <c r="AM34" s="31">
        <v>33</v>
      </c>
      <c r="AN34" s="12" t="str">
        <f t="shared" si="3"/>
        <v>25-34 Years</v>
      </c>
      <c r="AO34" s="13" t="s">
        <v>9149</v>
      </c>
      <c r="AP34" s="13" t="s">
        <v>9150</v>
      </c>
      <c r="AQ34" s="14" t="s">
        <v>9139</v>
      </c>
      <c r="AR34" s="14" t="s">
        <v>9140</v>
      </c>
      <c r="AS34" s="14"/>
      <c r="AT34" s="14" t="s">
        <v>72</v>
      </c>
      <c r="AU34" s="14" t="s">
        <v>54</v>
      </c>
      <c r="AV34" s="15" t="s">
        <v>9141</v>
      </c>
      <c r="AW34" s="15" t="s">
        <v>9142</v>
      </c>
      <c r="AX34" s="15" t="s">
        <v>9143</v>
      </c>
      <c r="AY34" s="15" t="s">
        <v>9141</v>
      </c>
      <c r="AZ34" s="15" t="s">
        <v>9144</v>
      </c>
      <c r="BA34" s="16" t="s">
        <v>9141</v>
      </c>
      <c r="BB34" s="16" t="s">
        <v>9145</v>
      </c>
    </row>
    <row r="35" spans="1:54" hidden="1" x14ac:dyDescent="0.25">
      <c r="A35" s="4" t="s">
        <v>1347</v>
      </c>
      <c r="B35" s="4" t="s">
        <v>9284</v>
      </c>
      <c r="C35" s="4"/>
      <c r="D35" s="4" t="s">
        <v>39</v>
      </c>
      <c r="E35" s="4">
        <v>297536</v>
      </c>
      <c r="F35" s="4" t="s">
        <v>1349</v>
      </c>
      <c r="G35" s="32">
        <v>25172</v>
      </c>
      <c r="H35" s="25">
        <v>45258</v>
      </c>
      <c r="I35" s="11">
        <v>0.61388888888888893</v>
      </c>
      <c r="J35" s="4" t="s">
        <v>1155</v>
      </c>
      <c r="K35" s="4">
        <v>4045</v>
      </c>
      <c r="L35" s="4" t="s">
        <v>1329</v>
      </c>
      <c r="M35" s="4" t="s">
        <v>1350</v>
      </c>
      <c r="N35" s="4" t="s">
        <v>1351</v>
      </c>
      <c r="O35" s="4" t="s">
        <v>46</v>
      </c>
      <c r="P35" s="4"/>
      <c r="Q35" s="4" t="s">
        <v>47</v>
      </c>
      <c r="R35" s="4" t="s">
        <v>48</v>
      </c>
      <c r="S35" s="4">
        <v>0</v>
      </c>
      <c r="T35" s="4" t="b">
        <v>0</v>
      </c>
      <c r="U35" s="4" t="s">
        <v>61</v>
      </c>
      <c r="V35" s="4" t="s">
        <v>266</v>
      </c>
      <c r="W35" s="4" t="s">
        <v>90</v>
      </c>
      <c r="X35" s="4" t="s">
        <v>267</v>
      </c>
      <c r="Y35" s="4" t="s">
        <v>268</v>
      </c>
      <c r="Z35" s="4" t="s">
        <v>54</v>
      </c>
      <c r="AA35" s="4"/>
      <c r="AB35" s="23">
        <v>0</v>
      </c>
      <c r="AC35" s="28" t="s">
        <v>9580</v>
      </c>
      <c r="AD35" s="28" t="e">
        <v>#N/A</v>
      </c>
      <c r="AE35" s="28"/>
      <c r="AF35" s="19">
        <v>44382</v>
      </c>
      <c r="AG35" s="19"/>
      <c r="AH35" s="12">
        <f t="shared" si="0"/>
        <v>2</v>
      </c>
      <c r="AI35" s="12">
        <f t="shared" ca="1" si="1"/>
        <v>5</v>
      </c>
      <c r="AJ35" s="12" t="str">
        <f t="shared" si="2"/>
        <v>1-5 Years</v>
      </c>
      <c r="AK35" s="12" t="s">
        <v>9632</v>
      </c>
      <c r="AL35" s="31">
        <v>25.25</v>
      </c>
      <c r="AM35" s="31">
        <v>56</v>
      </c>
      <c r="AN35" s="12" t="str">
        <f t="shared" si="3"/>
        <v>More Than 55 Years</v>
      </c>
      <c r="AO35" s="13" t="s">
        <v>9149</v>
      </c>
      <c r="AP35" s="13" t="s">
        <v>9150</v>
      </c>
      <c r="AQ35" s="14" t="s">
        <v>9148</v>
      </c>
      <c r="AR35" s="14" t="s">
        <v>9140</v>
      </c>
      <c r="AS35" s="14"/>
      <c r="AT35" s="14" t="s">
        <v>267</v>
      </c>
      <c r="AU35" s="14" t="s">
        <v>54</v>
      </c>
      <c r="AV35" s="15" t="s">
        <v>9141</v>
      </c>
      <c r="AW35" s="15" t="s">
        <v>9187</v>
      </c>
      <c r="AX35" s="15" t="s">
        <v>9143</v>
      </c>
      <c r="AY35" s="15" t="s">
        <v>9141</v>
      </c>
      <c r="AZ35" s="15" t="s">
        <v>9144</v>
      </c>
      <c r="BA35" s="16" t="s">
        <v>9141</v>
      </c>
      <c r="BB35" s="16" t="s">
        <v>9145</v>
      </c>
    </row>
    <row r="36" spans="1:54" x14ac:dyDescent="0.25">
      <c r="A36" s="4" t="s">
        <v>1615</v>
      </c>
      <c r="B36" s="4" t="s">
        <v>9285</v>
      </c>
      <c r="C36" s="4"/>
      <c r="D36" s="4" t="s">
        <v>39</v>
      </c>
      <c r="E36" s="4">
        <v>324624</v>
      </c>
      <c r="F36" s="4" t="s">
        <v>1617</v>
      </c>
      <c r="G36" s="32">
        <v>38387</v>
      </c>
      <c r="H36" s="25">
        <v>45259</v>
      </c>
      <c r="I36" s="11">
        <v>0.5</v>
      </c>
      <c r="J36" s="4" t="s">
        <v>1366</v>
      </c>
      <c r="K36" s="4">
        <v>6071</v>
      </c>
      <c r="L36" s="4" t="s">
        <v>1586</v>
      </c>
      <c r="M36" s="4" t="s">
        <v>1618</v>
      </c>
      <c r="N36" s="4" t="s">
        <v>1619</v>
      </c>
      <c r="O36" s="4" t="s">
        <v>46</v>
      </c>
      <c r="P36" s="4"/>
      <c r="Q36" s="4" t="s">
        <v>47</v>
      </c>
      <c r="R36" s="4" t="s">
        <v>48</v>
      </c>
      <c r="S36" s="4">
        <v>0</v>
      </c>
      <c r="T36" s="4" t="b">
        <v>0</v>
      </c>
      <c r="U36" s="4" t="s">
        <v>61</v>
      </c>
      <c r="V36" s="4" t="s">
        <v>89</v>
      </c>
      <c r="W36" s="4" t="s">
        <v>71</v>
      </c>
      <c r="X36" s="4" t="s">
        <v>63</v>
      </c>
      <c r="Y36" s="4" t="s">
        <v>108</v>
      </c>
      <c r="Z36" s="4" t="s">
        <v>98</v>
      </c>
      <c r="AA36" s="4"/>
      <c r="AB36" s="23">
        <v>0</v>
      </c>
      <c r="AC36" s="28" t="e">
        <v>#N/A</v>
      </c>
      <c r="AD36" s="28" t="e">
        <v>#N/A</v>
      </c>
      <c r="AE36" s="28"/>
      <c r="AF36" s="19">
        <v>44809</v>
      </c>
      <c r="AG36" s="19">
        <v>45303</v>
      </c>
      <c r="AH36" s="12">
        <f t="shared" si="0"/>
        <v>1</v>
      </c>
      <c r="AI36" s="12">
        <f t="shared" ca="1" si="1"/>
        <v>1</v>
      </c>
      <c r="AJ36" s="12" t="str">
        <f t="shared" si="2"/>
        <v>1-5 Years</v>
      </c>
      <c r="AK36" s="12" t="s">
        <v>9632</v>
      </c>
      <c r="AL36" s="31">
        <v>19</v>
      </c>
      <c r="AM36" s="31">
        <v>20</v>
      </c>
      <c r="AN36" s="12" t="str">
        <f t="shared" si="3"/>
        <v>20-24 Years</v>
      </c>
      <c r="AO36" s="13" t="s">
        <v>9149</v>
      </c>
      <c r="AP36" s="13" t="s">
        <v>9150</v>
      </c>
      <c r="AQ36" s="14" t="s">
        <v>9148</v>
      </c>
      <c r="AR36" s="14" t="s">
        <v>9140</v>
      </c>
      <c r="AS36" s="14"/>
      <c r="AT36" s="14" t="s">
        <v>63</v>
      </c>
      <c r="AU36" s="14" t="s">
        <v>98</v>
      </c>
      <c r="AV36" s="15" t="s">
        <v>9141</v>
      </c>
      <c r="AW36" s="15" t="s">
        <v>9188</v>
      </c>
      <c r="AX36" s="15" t="s">
        <v>9143</v>
      </c>
      <c r="AY36" s="15" t="s">
        <v>9141</v>
      </c>
      <c r="AZ36" s="15" t="s">
        <v>9191</v>
      </c>
      <c r="BA36" s="16" t="s">
        <v>9141</v>
      </c>
      <c r="BB36" s="16" t="s">
        <v>9192</v>
      </c>
    </row>
    <row r="37" spans="1:54" hidden="1" x14ac:dyDescent="0.25">
      <c r="A37" s="4" t="s">
        <v>1818</v>
      </c>
      <c r="B37" s="4" t="s">
        <v>9286</v>
      </c>
      <c r="C37" s="4" t="s">
        <v>1819</v>
      </c>
      <c r="D37" s="4" t="s">
        <v>39</v>
      </c>
      <c r="E37" s="4">
        <v>407192</v>
      </c>
      <c r="F37" s="4" t="s">
        <v>1821</v>
      </c>
      <c r="G37" s="32">
        <v>37420</v>
      </c>
      <c r="H37" s="25">
        <v>45259</v>
      </c>
      <c r="I37" s="11">
        <v>0.58333333333333337</v>
      </c>
      <c r="J37" s="4" t="s">
        <v>1654</v>
      </c>
      <c r="K37" s="4">
        <v>9095</v>
      </c>
      <c r="L37" s="4" t="s">
        <v>1742</v>
      </c>
      <c r="M37" s="4" t="s">
        <v>1822</v>
      </c>
      <c r="N37" s="4" t="s">
        <v>1823</v>
      </c>
      <c r="O37" s="4" t="s">
        <v>28</v>
      </c>
      <c r="P37" s="4" t="s">
        <v>183</v>
      </c>
      <c r="Q37" s="4" t="s">
        <v>191</v>
      </c>
      <c r="R37" s="4" t="s">
        <v>48</v>
      </c>
      <c r="S37" s="4">
        <v>24</v>
      </c>
      <c r="T37" s="4" t="b">
        <v>0</v>
      </c>
      <c r="U37" s="4" t="s">
        <v>114</v>
      </c>
      <c r="V37" s="4" t="s">
        <v>89</v>
      </c>
      <c r="W37" s="4" t="s">
        <v>148</v>
      </c>
      <c r="X37" s="4" t="s">
        <v>52</v>
      </c>
      <c r="Y37" s="4" t="s">
        <v>53</v>
      </c>
      <c r="Z37" s="4" t="s">
        <v>54</v>
      </c>
      <c r="AA37" s="4"/>
      <c r="AB37" s="23" t="s">
        <v>48</v>
      </c>
      <c r="AC37" s="28" t="e">
        <v>#N/A</v>
      </c>
      <c r="AD37" s="28" t="e">
        <v>#N/A</v>
      </c>
      <c r="AE37" s="28"/>
      <c r="AF37" s="19">
        <v>43742</v>
      </c>
      <c r="AG37" s="19">
        <v>45536</v>
      </c>
      <c r="AH37" s="12">
        <f t="shared" si="0"/>
        <v>4</v>
      </c>
      <c r="AI37" s="12">
        <f t="shared" ca="1" si="1"/>
        <v>4</v>
      </c>
      <c r="AJ37" s="12" t="str">
        <f t="shared" si="2"/>
        <v>1-5 Years</v>
      </c>
      <c r="AK37" s="12" t="s">
        <v>10046</v>
      </c>
      <c r="AL37" s="31">
        <v>38</v>
      </c>
      <c r="AM37" s="31">
        <v>22</v>
      </c>
      <c r="AN37" s="12" t="str">
        <f t="shared" si="3"/>
        <v>20-24 Years</v>
      </c>
      <c r="AO37" s="13" t="s">
        <v>9149</v>
      </c>
      <c r="AP37" s="13" t="s">
        <v>9150</v>
      </c>
      <c r="AQ37" s="14" t="s">
        <v>9157</v>
      </c>
      <c r="AR37" s="14" t="s">
        <v>28</v>
      </c>
      <c r="AS37" s="14" t="s">
        <v>183</v>
      </c>
      <c r="AT37" s="14" t="s">
        <v>52</v>
      </c>
      <c r="AU37" s="14" t="s">
        <v>54</v>
      </c>
      <c r="AV37" s="15" t="s">
        <v>9141</v>
      </c>
      <c r="AW37" s="15" t="s">
        <v>9191</v>
      </c>
      <c r="AX37" s="15" t="s">
        <v>9143</v>
      </c>
      <c r="AY37" s="15" t="s">
        <v>9141</v>
      </c>
      <c r="AZ37" s="15" t="s">
        <v>9191</v>
      </c>
      <c r="BA37" s="16" t="s">
        <v>9141</v>
      </c>
      <c r="BB37" s="16" t="s">
        <v>9192</v>
      </c>
    </row>
    <row r="38" spans="1:54" hidden="1" x14ac:dyDescent="0.25">
      <c r="A38" s="4" t="s">
        <v>205</v>
      </c>
      <c r="B38" s="4" t="s">
        <v>9287</v>
      </c>
      <c r="C38" s="4"/>
      <c r="D38" s="4" t="s">
        <v>39</v>
      </c>
      <c r="E38" s="4">
        <v>297369</v>
      </c>
      <c r="F38" s="4" t="s">
        <v>207</v>
      </c>
      <c r="G38" s="32">
        <v>25534</v>
      </c>
      <c r="H38" s="25">
        <v>45260</v>
      </c>
      <c r="I38" s="11">
        <v>0.71527777777777779</v>
      </c>
      <c r="J38" s="4" t="s">
        <v>42</v>
      </c>
      <c r="K38" s="4">
        <v>1010</v>
      </c>
      <c r="L38" s="4" t="s">
        <v>208</v>
      </c>
      <c r="M38" s="4" t="s">
        <v>209</v>
      </c>
      <c r="N38" s="4" t="s">
        <v>210</v>
      </c>
      <c r="O38" s="4" t="s">
        <v>46</v>
      </c>
      <c r="P38" s="4"/>
      <c r="Q38" s="4" t="s">
        <v>47</v>
      </c>
      <c r="R38" s="4" t="s">
        <v>48</v>
      </c>
      <c r="S38" s="4">
        <v>0</v>
      </c>
      <c r="T38" s="4" t="b">
        <v>0</v>
      </c>
      <c r="U38" s="4" t="s">
        <v>49</v>
      </c>
      <c r="V38" s="4" t="s">
        <v>70</v>
      </c>
      <c r="W38" s="4" t="s">
        <v>71</v>
      </c>
      <c r="X38" s="4" t="s">
        <v>72</v>
      </c>
      <c r="Y38" s="4" t="s">
        <v>73</v>
      </c>
      <c r="Z38" s="4" t="s">
        <v>98</v>
      </c>
      <c r="AA38" s="4" t="s">
        <v>211</v>
      </c>
      <c r="AB38" s="23">
        <v>0</v>
      </c>
      <c r="AC38" s="28" t="e">
        <v>#N/A</v>
      </c>
      <c r="AD38" s="28" t="e">
        <v>#N/A</v>
      </c>
      <c r="AE38" s="28"/>
      <c r="AF38" s="19">
        <v>44249</v>
      </c>
      <c r="AG38" s="19">
        <v>45270</v>
      </c>
      <c r="AH38" s="12">
        <f t="shared" si="0"/>
        <v>2</v>
      </c>
      <c r="AI38" s="12">
        <f t="shared" ca="1" si="1"/>
        <v>2</v>
      </c>
      <c r="AJ38" s="12" t="str">
        <f t="shared" si="2"/>
        <v>1-5 Years</v>
      </c>
      <c r="AK38" s="12" t="s">
        <v>9632</v>
      </c>
      <c r="AL38" s="31">
        <v>20</v>
      </c>
      <c r="AM38" s="31">
        <v>55</v>
      </c>
      <c r="AN38" s="12" t="str">
        <f t="shared" si="3"/>
        <v>More Than 55 Years</v>
      </c>
      <c r="AO38" s="13" t="s">
        <v>9149</v>
      </c>
      <c r="AP38" s="13" t="s">
        <v>9150</v>
      </c>
      <c r="AQ38" s="14" t="s">
        <v>9139</v>
      </c>
      <c r="AR38" s="14" t="s">
        <v>9140</v>
      </c>
      <c r="AS38" s="14"/>
      <c r="AT38" s="14" t="s">
        <v>72</v>
      </c>
      <c r="AU38" s="14" t="s">
        <v>98</v>
      </c>
      <c r="AV38" s="15" t="s">
        <v>9141</v>
      </c>
      <c r="AW38" s="15" t="s">
        <v>9142</v>
      </c>
      <c r="AX38" s="15" t="s">
        <v>9143</v>
      </c>
      <c r="AY38" s="15" t="s">
        <v>9141</v>
      </c>
      <c r="AZ38" s="15" t="s">
        <v>9144</v>
      </c>
      <c r="BA38" s="16" t="s">
        <v>9141</v>
      </c>
      <c r="BB38" s="16" t="s">
        <v>9145</v>
      </c>
    </row>
    <row r="39" spans="1:54" hidden="1" x14ac:dyDescent="0.25">
      <c r="A39" s="4" t="s">
        <v>1193</v>
      </c>
      <c r="B39" s="4" t="s">
        <v>9288</v>
      </c>
      <c r="C39" s="4"/>
      <c r="D39" s="4" t="s">
        <v>39</v>
      </c>
      <c r="E39" s="4">
        <v>322452</v>
      </c>
      <c r="F39" s="4" t="s">
        <v>1181</v>
      </c>
      <c r="G39" s="32">
        <v>36283</v>
      </c>
      <c r="H39" s="25">
        <v>45260</v>
      </c>
      <c r="I39" s="11">
        <v>0.625</v>
      </c>
      <c r="J39" s="4" t="s">
        <v>1155</v>
      </c>
      <c r="K39" s="4">
        <v>4042</v>
      </c>
      <c r="L39" s="4" t="s">
        <v>1173</v>
      </c>
      <c r="M39" s="4" t="s">
        <v>1194</v>
      </c>
      <c r="N39" s="4" t="s">
        <v>1195</v>
      </c>
      <c r="O39" s="4" t="s">
        <v>46</v>
      </c>
      <c r="P39" s="4"/>
      <c r="Q39" s="4" t="s">
        <v>47</v>
      </c>
      <c r="R39" s="4" t="s">
        <v>48</v>
      </c>
      <c r="S39" s="4">
        <v>0</v>
      </c>
      <c r="T39" s="4" t="b">
        <v>0</v>
      </c>
      <c r="U39" s="4" t="s">
        <v>61</v>
      </c>
      <c r="V39" s="4" t="s">
        <v>89</v>
      </c>
      <c r="W39" s="4" t="s">
        <v>175</v>
      </c>
      <c r="X39" s="4" t="s">
        <v>63</v>
      </c>
      <c r="Y39" s="4" t="s">
        <v>784</v>
      </c>
      <c r="Z39" s="4" t="s">
        <v>471</v>
      </c>
      <c r="AA39" s="4"/>
      <c r="AB39" s="23">
        <v>0</v>
      </c>
      <c r="AC39" s="28" t="e">
        <v>#N/A</v>
      </c>
      <c r="AD39" s="28" t="e">
        <v>#N/A</v>
      </c>
      <c r="AE39" s="28"/>
      <c r="AF39" s="19">
        <v>44697</v>
      </c>
      <c r="AG39" s="19"/>
      <c r="AH39" s="12">
        <f t="shared" si="0"/>
        <v>1</v>
      </c>
      <c r="AI39" s="12">
        <f t="shared" ca="1" si="1"/>
        <v>4</v>
      </c>
      <c r="AJ39" s="12" t="str">
        <f t="shared" si="2"/>
        <v>1-5 Years</v>
      </c>
      <c r="AK39" s="12" t="s">
        <v>9632</v>
      </c>
      <c r="AL39" s="31">
        <v>19</v>
      </c>
      <c r="AM39" s="31">
        <v>26</v>
      </c>
      <c r="AN39" s="12" t="str">
        <f t="shared" si="3"/>
        <v>25-34 Years</v>
      </c>
      <c r="AO39" s="13" t="s">
        <v>9149</v>
      </c>
      <c r="AP39" s="13" t="s">
        <v>9150</v>
      </c>
      <c r="AQ39" s="14" t="s">
        <v>9148</v>
      </c>
      <c r="AR39" s="14" t="s">
        <v>9140</v>
      </c>
      <c r="AS39" s="14"/>
      <c r="AT39" s="14" t="s">
        <v>63</v>
      </c>
      <c r="AU39" s="14" t="s">
        <v>471</v>
      </c>
      <c r="AV39" s="15" t="s">
        <v>9141</v>
      </c>
      <c r="AW39" s="15" t="s">
        <v>9187</v>
      </c>
      <c r="AX39" s="15" t="s">
        <v>9143</v>
      </c>
      <c r="AY39" s="15" t="s">
        <v>9141</v>
      </c>
      <c r="AZ39" s="15" t="s">
        <v>9144</v>
      </c>
      <c r="BA39" s="16" t="s">
        <v>9141</v>
      </c>
      <c r="BB39" s="16" t="s">
        <v>9145</v>
      </c>
    </row>
    <row r="40" spans="1:54" hidden="1" x14ac:dyDescent="0.25">
      <c r="A40" s="4" t="s">
        <v>1888</v>
      </c>
      <c r="B40" s="4" t="s">
        <v>9289</v>
      </c>
      <c r="C40" s="4"/>
      <c r="D40" s="4" t="s">
        <v>39</v>
      </c>
      <c r="E40" s="4">
        <v>331325</v>
      </c>
      <c r="F40" s="4" t="s">
        <v>1890</v>
      </c>
      <c r="G40" s="32">
        <v>38423</v>
      </c>
      <c r="H40" s="25">
        <v>45260</v>
      </c>
      <c r="I40" s="11">
        <v>0.625</v>
      </c>
      <c r="J40" s="4" t="s">
        <v>1654</v>
      </c>
      <c r="K40" s="4">
        <v>9097</v>
      </c>
      <c r="L40" s="4" t="s">
        <v>1844</v>
      </c>
      <c r="M40" s="4" t="s">
        <v>1891</v>
      </c>
      <c r="N40" s="4" t="s">
        <v>1892</v>
      </c>
      <c r="O40" s="4" t="s">
        <v>46</v>
      </c>
      <c r="P40" s="4"/>
      <c r="Q40" s="4" t="s">
        <v>47</v>
      </c>
      <c r="R40" s="4" t="s">
        <v>48</v>
      </c>
      <c r="S40" s="4">
        <v>0</v>
      </c>
      <c r="T40" s="4" t="b">
        <v>0</v>
      </c>
      <c r="U40" s="4" t="s">
        <v>114</v>
      </c>
      <c r="V40" s="4" t="s">
        <v>79</v>
      </c>
      <c r="W40" s="4" t="s">
        <v>80</v>
      </c>
      <c r="X40" s="4" t="s">
        <v>63</v>
      </c>
      <c r="Y40" s="4" t="s">
        <v>108</v>
      </c>
      <c r="Z40" s="4" t="s">
        <v>98</v>
      </c>
      <c r="AA40" s="4"/>
      <c r="AB40" s="23">
        <v>0</v>
      </c>
      <c r="AC40" s="28" t="e">
        <v>#N/A</v>
      </c>
      <c r="AD40" s="28" t="e">
        <v>#N/A</v>
      </c>
      <c r="AE40" s="28"/>
      <c r="AF40" s="19">
        <v>45222</v>
      </c>
      <c r="AG40" s="19">
        <v>45284</v>
      </c>
      <c r="AH40" s="12">
        <f t="shared" si="0"/>
        <v>0</v>
      </c>
      <c r="AI40" s="12">
        <f t="shared" ca="1" si="1"/>
        <v>0</v>
      </c>
      <c r="AJ40" s="12" t="str">
        <f t="shared" si="2"/>
        <v>Under 1 Year</v>
      </c>
      <c r="AK40" s="12" t="s">
        <v>9632</v>
      </c>
      <c r="AL40" s="31">
        <v>20</v>
      </c>
      <c r="AM40" s="31">
        <v>20</v>
      </c>
      <c r="AN40" s="12" t="str">
        <f t="shared" si="3"/>
        <v>20-24 Years</v>
      </c>
      <c r="AO40" s="13" t="s">
        <v>9149</v>
      </c>
      <c r="AP40" s="13" t="s">
        <v>9150</v>
      </c>
      <c r="AQ40" s="14" t="s">
        <v>9157</v>
      </c>
      <c r="AR40" s="14" t="s">
        <v>9140</v>
      </c>
      <c r="AS40" s="14"/>
      <c r="AT40" s="14" t="s">
        <v>63</v>
      </c>
      <c r="AU40" s="14" t="s">
        <v>98</v>
      </c>
      <c r="AV40" s="15" t="s">
        <v>9141</v>
      </c>
      <c r="AW40" s="15" t="s">
        <v>9191</v>
      </c>
      <c r="AX40" s="15" t="s">
        <v>9143</v>
      </c>
      <c r="AY40" s="15" t="s">
        <v>9141</v>
      </c>
      <c r="AZ40" s="15" t="s">
        <v>9191</v>
      </c>
      <c r="BA40" s="16" t="s">
        <v>9141</v>
      </c>
      <c r="BB40" s="16" t="s">
        <v>9192</v>
      </c>
    </row>
    <row r="41" spans="1:54" hidden="1" x14ac:dyDescent="0.25">
      <c r="A41" s="4" t="s">
        <v>606</v>
      </c>
      <c r="B41" s="4" t="s">
        <v>9290</v>
      </c>
      <c r="C41" s="4"/>
      <c r="D41" s="4" t="s">
        <v>39</v>
      </c>
      <c r="E41" s="4">
        <v>290039</v>
      </c>
      <c r="F41" s="4" t="s">
        <v>587</v>
      </c>
      <c r="G41" s="32">
        <v>26890</v>
      </c>
      <c r="H41" s="25">
        <v>45262</v>
      </c>
      <c r="I41" s="11">
        <v>0.69374999999999998</v>
      </c>
      <c r="J41" s="4" t="s">
        <v>463</v>
      </c>
      <c r="K41" s="4">
        <v>2022</v>
      </c>
      <c r="L41" s="4" t="s">
        <v>565</v>
      </c>
      <c r="M41" s="4" t="s">
        <v>607</v>
      </c>
      <c r="N41" s="4" t="s">
        <v>608</v>
      </c>
      <c r="O41" s="4" t="s">
        <v>46</v>
      </c>
      <c r="P41" s="4"/>
      <c r="Q41" s="4" t="s">
        <v>47</v>
      </c>
      <c r="R41" s="4" t="s">
        <v>48</v>
      </c>
      <c r="S41" s="4">
        <v>0</v>
      </c>
      <c r="T41" s="4" t="b">
        <v>0</v>
      </c>
      <c r="U41" s="4" t="s">
        <v>49</v>
      </c>
      <c r="V41" s="4" t="s">
        <v>70</v>
      </c>
      <c r="W41" s="4" t="s">
        <v>71</v>
      </c>
      <c r="X41" s="4" t="s">
        <v>72</v>
      </c>
      <c r="Y41" s="4" t="s">
        <v>73</v>
      </c>
      <c r="Z41" s="4" t="s">
        <v>54</v>
      </c>
      <c r="AA41" s="4"/>
      <c r="AB41" s="23">
        <v>0</v>
      </c>
      <c r="AC41" s="28" t="e">
        <v>#N/A</v>
      </c>
      <c r="AD41" s="28" t="e">
        <v>#N/A</v>
      </c>
      <c r="AE41" s="28"/>
      <c r="AF41" s="19">
        <v>39567</v>
      </c>
      <c r="AG41" s="19"/>
      <c r="AH41" s="12">
        <f t="shared" si="0"/>
        <v>15</v>
      </c>
      <c r="AI41" s="12">
        <f t="shared" ca="1" si="1"/>
        <v>18</v>
      </c>
      <c r="AJ41" s="12" t="str">
        <f t="shared" si="2"/>
        <v>11-15 Years</v>
      </c>
      <c r="AK41" s="12" t="s">
        <v>9631</v>
      </c>
      <c r="AL41" s="31">
        <v>38</v>
      </c>
      <c r="AM41" s="31">
        <v>51</v>
      </c>
      <c r="AN41" s="12" t="str">
        <f t="shared" si="3"/>
        <v>45-54 Years</v>
      </c>
      <c r="AO41" s="13" t="s">
        <v>9149</v>
      </c>
      <c r="AP41" s="13" t="s">
        <v>9150</v>
      </c>
      <c r="AQ41" s="14" t="s">
        <v>9139</v>
      </c>
      <c r="AR41" s="14" t="s">
        <v>9140</v>
      </c>
      <c r="AS41" s="14"/>
      <c r="AT41" s="14" t="s">
        <v>72</v>
      </c>
      <c r="AU41" s="14" t="s">
        <v>54</v>
      </c>
      <c r="AV41" s="15" t="s">
        <v>9141</v>
      </c>
      <c r="AW41" s="15" t="s">
        <v>9175</v>
      </c>
      <c r="AX41" s="15" t="s">
        <v>9143</v>
      </c>
      <c r="AY41" s="15" t="s">
        <v>9141</v>
      </c>
      <c r="AZ41" s="15" t="s">
        <v>9175</v>
      </c>
      <c r="BA41" s="16" t="s">
        <v>9141</v>
      </c>
      <c r="BB41" s="16" t="s">
        <v>9176</v>
      </c>
    </row>
    <row r="42" spans="1:54" hidden="1" x14ac:dyDescent="0.25">
      <c r="A42" s="4" t="s">
        <v>1708</v>
      </c>
      <c r="B42" s="4" t="s">
        <v>9291</v>
      </c>
      <c r="C42" s="4" t="s">
        <v>1709</v>
      </c>
      <c r="D42" s="4" t="s">
        <v>39</v>
      </c>
      <c r="E42" s="4">
        <v>321495</v>
      </c>
      <c r="F42" s="4" t="s">
        <v>1711</v>
      </c>
      <c r="G42" s="32">
        <v>37425</v>
      </c>
      <c r="H42" s="25">
        <v>45262</v>
      </c>
      <c r="I42" s="11">
        <v>0.36458333333333331</v>
      </c>
      <c r="J42" s="4" t="s">
        <v>1654</v>
      </c>
      <c r="K42" s="4">
        <v>9088</v>
      </c>
      <c r="L42" s="4" t="s">
        <v>1701</v>
      </c>
      <c r="M42" s="4" t="s">
        <v>1712</v>
      </c>
      <c r="N42" s="4" t="s">
        <v>1713</v>
      </c>
      <c r="O42" s="4" t="s">
        <v>28</v>
      </c>
      <c r="P42" s="4" t="s">
        <v>183</v>
      </c>
      <c r="Q42" s="4" t="s">
        <v>156</v>
      </c>
      <c r="R42" s="4" t="s">
        <v>48</v>
      </c>
      <c r="S42" s="4">
        <v>0</v>
      </c>
      <c r="T42" s="4" t="b">
        <v>0</v>
      </c>
      <c r="U42" s="4" t="s">
        <v>114</v>
      </c>
      <c r="V42" s="4" t="s">
        <v>89</v>
      </c>
      <c r="W42" s="4" t="s">
        <v>584</v>
      </c>
      <c r="X42" s="4" t="s">
        <v>225</v>
      </c>
      <c r="Y42" s="4" t="s">
        <v>1714</v>
      </c>
      <c r="Z42" s="4" t="s">
        <v>1715</v>
      </c>
      <c r="AA42" s="4"/>
      <c r="AB42" s="23" t="s">
        <v>48</v>
      </c>
      <c r="AC42" s="28" t="e">
        <v>#N/A</v>
      </c>
      <c r="AD42" s="28" t="e">
        <v>#N/A</v>
      </c>
      <c r="AE42" s="28"/>
      <c r="AF42" s="19">
        <v>44658</v>
      </c>
      <c r="AG42" s="19">
        <v>45754</v>
      </c>
      <c r="AH42" s="12">
        <f t="shared" si="0"/>
        <v>1</v>
      </c>
      <c r="AI42" s="12">
        <f t="shared" ca="1" si="1"/>
        <v>3</v>
      </c>
      <c r="AJ42" s="12" t="str">
        <f t="shared" si="2"/>
        <v>1-5 Years</v>
      </c>
      <c r="AK42" s="12" t="s">
        <v>9633</v>
      </c>
      <c r="AL42" s="31">
        <v>0.01</v>
      </c>
      <c r="AM42" s="31">
        <v>22</v>
      </c>
      <c r="AN42" s="12" t="str">
        <f t="shared" si="3"/>
        <v>20-24 Years</v>
      </c>
      <c r="AO42" s="13" t="s">
        <v>9149</v>
      </c>
      <c r="AP42" s="13" t="s">
        <v>9150</v>
      </c>
      <c r="AQ42" s="14" t="s">
        <v>9157</v>
      </c>
      <c r="AR42" s="14" t="s">
        <v>28</v>
      </c>
      <c r="AS42" s="14" t="s">
        <v>183</v>
      </c>
      <c r="AT42" s="14" t="s">
        <v>225</v>
      </c>
      <c r="AU42" s="14" t="s">
        <v>1715</v>
      </c>
      <c r="AV42" s="15" t="s">
        <v>9141</v>
      </c>
      <c r="AW42" s="15" t="s">
        <v>9191</v>
      </c>
      <c r="AX42" s="15" t="s">
        <v>9143</v>
      </c>
      <c r="AY42" s="15" t="s">
        <v>9141</v>
      </c>
      <c r="AZ42" s="15" t="s">
        <v>9191</v>
      </c>
      <c r="BA42" s="16" t="s">
        <v>9141</v>
      </c>
      <c r="BB42" s="16" t="s">
        <v>9192</v>
      </c>
    </row>
    <row r="43" spans="1:54" hidden="1" x14ac:dyDescent="0.25">
      <c r="A43" s="4" t="s">
        <v>346</v>
      </c>
      <c r="B43" s="4" t="s">
        <v>9292</v>
      </c>
      <c r="C43" s="4"/>
      <c r="D43" s="4" t="s">
        <v>39</v>
      </c>
      <c r="E43" s="4">
        <v>293338</v>
      </c>
      <c r="F43" s="4" t="s">
        <v>295</v>
      </c>
      <c r="G43" s="32">
        <v>34250</v>
      </c>
      <c r="H43" s="25">
        <v>45264</v>
      </c>
      <c r="I43" s="11">
        <v>0.63402777777777775</v>
      </c>
      <c r="J43" s="4" t="s">
        <v>42</v>
      </c>
      <c r="K43" s="4">
        <v>1011</v>
      </c>
      <c r="L43" s="4" t="s">
        <v>215</v>
      </c>
      <c r="M43" s="4" t="s">
        <v>347</v>
      </c>
      <c r="N43" s="4" t="s">
        <v>348</v>
      </c>
      <c r="O43" s="4" t="s">
        <v>46</v>
      </c>
      <c r="P43" s="4"/>
      <c r="Q43" s="4" t="s">
        <v>47</v>
      </c>
      <c r="R43" s="4" t="s">
        <v>48</v>
      </c>
      <c r="S43" s="4">
        <v>0</v>
      </c>
      <c r="T43" s="4" t="b">
        <v>0</v>
      </c>
      <c r="U43" s="4" t="s">
        <v>61</v>
      </c>
      <c r="V43" s="4" t="s">
        <v>349</v>
      </c>
      <c r="W43" s="4" t="s">
        <v>90</v>
      </c>
      <c r="X43" s="4" t="s">
        <v>267</v>
      </c>
      <c r="Y43" s="4" t="s">
        <v>268</v>
      </c>
      <c r="Z43" s="4" t="s">
        <v>350</v>
      </c>
      <c r="AA43" s="4"/>
      <c r="AB43" s="23">
        <v>0</v>
      </c>
      <c r="AC43" s="28" t="e">
        <v>#N/A</v>
      </c>
      <c r="AD43" s="28" t="e">
        <v>#N/A</v>
      </c>
      <c r="AE43" s="28"/>
      <c r="AF43" s="19">
        <v>41470</v>
      </c>
      <c r="AG43" s="19">
        <v>45443</v>
      </c>
      <c r="AH43" s="12">
        <f t="shared" si="0"/>
        <v>10</v>
      </c>
      <c r="AI43" s="12">
        <f t="shared" ca="1" si="1"/>
        <v>10</v>
      </c>
      <c r="AJ43" s="12" t="str">
        <f t="shared" si="2"/>
        <v>6-10 Years</v>
      </c>
      <c r="AK43" s="12" t="s">
        <v>9632</v>
      </c>
      <c r="AL43" s="31">
        <v>30</v>
      </c>
      <c r="AM43" s="31">
        <v>31</v>
      </c>
      <c r="AN43" s="12" t="str">
        <f t="shared" si="3"/>
        <v>25-34 Years</v>
      </c>
      <c r="AO43" s="13" t="s">
        <v>9149</v>
      </c>
      <c r="AP43" s="13" t="s">
        <v>9150</v>
      </c>
      <c r="AQ43" s="14" t="s">
        <v>9148</v>
      </c>
      <c r="AR43" s="14" t="s">
        <v>9140</v>
      </c>
      <c r="AS43" s="14"/>
      <c r="AT43" s="14" t="s">
        <v>267</v>
      </c>
      <c r="AU43" s="14" t="s">
        <v>350</v>
      </c>
      <c r="AV43" s="15" t="s">
        <v>9141</v>
      </c>
      <c r="AW43" s="15" t="s">
        <v>9142</v>
      </c>
      <c r="AX43" s="15" t="s">
        <v>9143</v>
      </c>
      <c r="AY43" s="15" t="s">
        <v>9141</v>
      </c>
      <c r="AZ43" s="15" t="s">
        <v>9144</v>
      </c>
      <c r="BA43" s="16" t="s">
        <v>9141</v>
      </c>
      <c r="BB43" s="16" t="s">
        <v>9145</v>
      </c>
    </row>
    <row r="44" spans="1:54" hidden="1" x14ac:dyDescent="0.25">
      <c r="A44" s="4" t="s">
        <v>1703</v>
      </c>
      <c r="B44" s="4" t="s">
        <v>9293</v>
      </c>
      <c r="C44" s="4"/>
      <c r="D44" s="4" t="s">
        <v>39</v>
      </c>
      <c r="E44" s="4">
        <v>328737</v>
      </c>
      <c r="F44" s="4" t="s">
        <v>1705</v>
      </c>
      <c r="G44" s="32">
        <v>26657</v>
      </c>
      <c r="H44" s="25">
        <v>45264</v>
      </c>
      <c r="I44" s="11">
        <v>0.30555555555555558</v>
      </c>
      <c r="J44" s="4" t="s">
        <v>1654</v>
      </c>
      <c r="K44" s="4">
        <v>9088</v>
      </c>
      <c r="L44" s="4" t="s">
        <v>1701</v>
      </c>
      <c r="M44" s="4" t="s">
        <v>1706</v>
      </c>
      <c r="N44" s="4" t="s">
        <v>1707</v>
      </c>
      <c r="O44" s="4" t="s">
        <v>46</v>
      </c>
      <c r="P44" s="4"/>
      <c r="Q44" s="4" t="s">
        <v>47</v>
      </c>
      <c r="R44" s="4" t="s">
        <v>48</v>
      </c>
      <c r="S44" s="4">
        <v>0</v>
      </c>
      <c r="T44" s="4" t="b">
        <v>0</v>
      </c>
      <c r="U44" s="4" t="s">
        <v>49</v>
      </c>
      <c r="V44" s="4" t="s">
        <v>89</v>
      </c>
      <c r="W44" s="4" t="s">
        <v>90</v>
      </c>
      <c r="X44" s="4" t="s">
        <v>72</v>
      </c>
      <c r="Y44" s="4" t="s">
        <v>73</v>
      </c>
      <c r="Z44" s="4" t="s">
        <v>54</v>
      </c>
      <c r="AA44" s="4"/>
      <c r="AB44" s="23">
        <v>0</v>
      </c>
      <c r="AC44" s="28" t="e">
        <v>#N/A</v>
      </c>
      <c r="AD44" s="28" t="e">
        <v>#N/A</v>
      </c>
      <c r="AE44" s="28"/>
      <c r="AF44" s="19">
        <v>45033</v>
      </c>
      <c r="AG44" s="19"/>
      <c r="AH44" s="12">
        <f t="shared" si="0"/>
        <v>0</v>
      </c>
      <c r="AI44" s="12">
        <f t="shared" ca="1" si="1"/>
        <v>3</v>
      </c>
      <c r="AJ44" s="12" t="str">
        <f t="shared" si="2"/>
        <v>Under 1 Year</v>
      </c>
      <c r="AK44" s="12" t="s">
        <v>9632</v>
      </c>
      <c r="AL44" s="31">
        <v>33.75</v>
      </c>
      <c r="AM44" s="31">
        <v>52</v>
      </c>
      <c r="AN44" s="12" t="str">
        <f t="shared" si="3"/>
        <v>45-54 Years</v>
      </c>
      <c r="AO44" s="13" t="s">
        <v>9149</v>
      </c>
      <c r="AP44" s="13" t="s">
        <v>9150</v>
      </c>
      <c r="AQ44" s="14" t="s">
        <v>9139</v>
      </c>
      <c r="AR44" s="14" t="s">
        <v>9140</v>
      </c>
      <c r="AS44" s="14"/>
      <c r="AT44" s="14" t="s">
        <v>72</v>
      </c>
      <c r="AU44" s="14" t="s">
        <v>54</v>
      </c>
      <c r="AV44" s="15" t="s">
        <v>9141</v>
      </c>
      <c r="AW44" s="15" t="s">
        <v>9191</v>
      </c>
      <c r="AX44" s="15" t="s">
        <v>9143</v>
      </c>
      <c r="AY44" s="15" t="s">
        <v>9141</v>
      </c>
      <c r="AZ44" s="15" t="s">
        <v>9191</v>
      </c>
      <c r="BA44" s="16" t="s">
        <v>9141</v>
      </c>
      <c r="BB44" s="16" t="s">
        <v>9192</v>
      </c>
    </row>
    <row r="45" spans="1:54" hidden="1" x14ac:dyDescent="0.25">
      <c r="A45" s="4" t="s">
        <v>338</v>
      </c>
      <c r="B45" s="4" t="s">
        <v>9294</v>
      </c>
      <c r="C45" s="4" t="s">
        <v>339</v>
      </c>
      <c r="D45" s="4" t="s">
        <v>39</v>
      </c>
      <c r="E45" s="4">
        <v>256900</v>
      </c>
      <c r="F45" s="4" t="s">
        <v>341</v>
      </c>
      <c r="G45" s="32">
        <v>26201</v>
      </c>
      <c r="H45" s="25">
        <v>45266</v>
      </c>
      <c r="I45" s="11">
        <v>0.52083333333333337</v>
      </c>
      <c r="J45" s="4" t="s">
        <v>42</v>
      </c>
      <c r="K45" s="4">
        <v>1011</v>
      </c>
      <c r="L45" s="4" t="s">
        <v>215</v>
      </c>
      <c r="M45" s="4" t="s">
        <v>342</v>
      </c>
      <c r="N45" s="4" t="s">
        <v>343</v>
      </c>
      <c r="O45" s="4" t="s">
        <v>28</v>
      </c>
      <c r="P45" s="4" t="s">
        <v>183</v>
      </c>
      <c r="Q45" s="4" t="s">
        <v>344</v>
      </c>
      <c r="R45" s="4" t="s">
        <v>60</v>
      </c>
      <c r="S45" s="4">
        <v>296</v>
      </c>
      <c r="T45" s="4" t="b">
        <v>0</v>
      </c>
      <c r="U45" s="4" t="s">
        <v>184</v>
      </c>
      <c r="V45" s="4" t="s">
        <v>89</v>
      </c>
      <c r="W45" s="4" t="s">
        <v>345</v>
      </c>
      <c r="X45" s="4" t="s">
        <v>52</v>
      </c>
      <c r="Y45" s="4" t="s">
        <v>255</v>
      </c>
      <c r="Z45" s="4" t="s">
        <v>54</v>
      </c>
      <c r="AA45" s="4"/>
      <c r="AB45" s="23" t="s">
        <v>60</v>
      </c>
      <c r="AC45" s="28" t="e">
        <v>#N/A</v>
      </c>
      <c r="AD45" s="28" t="e">
        <v>#N/A</v>
      </c>
      <c r="AE45" s="28"/>
      <c r="AF45" s="19">
        <v>34495</v>
      </c>
      <c r="AG45" s="19"/>
      <c r="AH45" s="12">
        <f t="shared" si="0"/>
        <v>29</v>
      </c>
      <c r="AI45" s="12">
        <f t="shared" ca="1" si="1"/>
        <v>32</v>
      </c>
      <c r="AJ45" s="12" t="str">
        <f t="shared" si="2"/>
        <v>26-30 Years</v>
      </c>
      <c r="AK45" s="12" t="s">
        <v>9632</v>
      </c>
      <c r="AL45" s="31">
        <v>15.25</v>
      </c>
      <c r="AM45" s="31">
        <v>53</v>
      </c>
      <c r="AN45" s="12" t="str">
        <f t="shared" si="3"/>
        <v>45-54 Years</v>
      </c>
      <c r="AO45" s="13" t="s">
        <v>9149</v>
      </c>
      <c r="AP45" s="13" t="s">
        <v>9150</v>
      </c>
      <c r="AQ45" s="14" t="s">
        <v>9166</v>
      </c>
      <c r="AR45" s="14" t="s">
        <v>28</v>
      </c>
      <c r="AS45" s="14" t="s">
        <v>183</v>
      </c>
      <c r="AT45" s="14" t="s">
        <v>52</v>
      </c>
      <c r="AU45" s="14" t="s">
        <v>54</v>
      </c>
      <c r="AV45" s="15" t="s">
        <v>9141</v>
      </c>
      <c r="AW45" s="15" t="s">
        <v>9142</v>
      </c>
      <c r="AX45" s="15" t="s">
        <v>9143</v>
      </c>
      <c r="AY45" s="15" t="s">
        <v>9141</v>
      </c>
      <c r="AZ45" s="15" t="s">
        <v>9144</v>
      </c>
      <c r="BA45" s="16" t="s">
        <v>9141</v>
      </c>
      <c r="BB45" s="16" t="s">
        <v>9145</v>
      </c>
    </row>
    <row r="46" spans="1:54" hidden="1" x14ac:dyDescent="0.25">
      <c r="A46" s="4" t="s">
        <v>457</v>
      </c>
      <c r="B46" s="4" t="s">
        <v>9295</v>
      </c>
      <c r="C46" s="4"/>
      <c r="D46" s="4" t="s">
        <v>39</v>
      </c>
      <c r="E46" s="4">
        <v>280547</v>
      </c>
      <c r="F46" s="4" t="s">
        <v>436</v>
      </c>
      <c r="G46" s="32">
        <v>24987</v>
      </c>
      <c r="H46" s="25">
        <v>45266</v>
      </c>
      <c r="I46" s="11">
        <v>0.58472222222222225</v>
      </c>
      <c r="J46" s="4" t="s">
        <v>42</v>
      </c>
      <c r="K46" s="4">
        <v>1013</v>
      </c>
      <c r="L46" s="4" t="s">
        <v>422</v>
      </c>
      <c r="M46" s="4" t="s">
        <v>458</v>
      </c>
      <c r="N46" s="4" t="s">
        <v>459</v>
      </c>
      <c r="O46" s="4" t="s">
        <v>46</v>
      </c>
      <c r="P46" s="4"/>
      <c r="Q46" s="4" t="s">
        <v>47</v>
      </c>
      <c r="R46" s="4" t="s">
        <v>48</v>
      </c>
      <c r="S46" s="4">
        <v>0</v>
      </c>
      <c r="T46" s="4" t="b">
        <v>0</v>
      </c>
      <c r="U46" s="4" t="s">
        <v>61</v>
      </c>
      <c r="V46" s="4" t="s">
        <v>89</v>
      </c>
      <c r="W46" s="4" t="s">
        <v>218</v>
      </c>
      <c r="X46" s="4" t="s">
        <v>63</v>
      </c>
      <c r="Y46" s="4" t="s">
        <v>108</v>
      </c>
      <c r="Z46" s="4" t="s">
        <v>98</v>
      </c>
      <c r="AA46" s="4"/>
      <c r="AB46" s="23">
        <v>0</v>
      </c>
      <c r="AC46" s="28" t="e">
        <v>#N/A</v>
      </c>
      <c r="AD46" s="28" t="e">
        <v>#N/A</v>
      </c>
      <c r="AE46" s="28"/>
      <c r="AF46" s="19">
        <v>35429</v>
      </c>
      <c r="AG46" s="19"/>
      <c r="AH46" s="12">
        <f t="shared" si="0"/>
        <v>26</v>
      </c>
      <c r="AI46" s="12">
        <f t="shared" ca="1" si="1"/>
        <v>29</v>
      </c>
      <c r="AJ46" s="12" t="str">
        <f t="shared" si="2"/>
        <v>26-30 Years</v>
      </c>
      <c r="AK46" s="12" t="s">
        <v>9631</v>
      </c>
      <c r="AL46" s="31">
        <v>38</v>
      </c>
      <c r="AM46" s="31">
        <v>56</v>
      </c>
      <c r="AN46" s="12" t="str">
        <f t="shared" si="3"/>
        <v>More Than 55 Years</v>
      </c>
      <c r="AO46" s="13" t="s">
        <v>9149</v>
      </c>
      <c r="AP46" s="13" t="s">
        <v>9150</v>
      </c>
      <c r="AQ46" s="14" t="s">
        <v>9148</v>
      </c>
      <c r="AR46" s="14" t="s">
        <v>9140</v>
      </c>
      <c r="AS46" s="14"/>
      <c r="AT46" s="14" t="s">
        <v>63</v>
      </c>
      <c r="AU46" s="14" t="s">
        <v>98</v>
      </c>
      <c r="AV46" s="15" t="s">
        <v>9141</v>
      </c>
      <c r="AW46" s="15" t="s">
        <v>9142</v>
      </c>
      <c r="AX46" s="15" t="s">
        <v>9143</v>
      </c>
      <c r="AY46" s="15" t="s">
        <v>9141</v>
      </c>
      <c r="AZ46" s="15" t="s">
        <v>9144</v>
      </c>
      <c r="BA46" s="16" t="s">
        <v>9141</v>
      </c>
      <c r="BB46" s="16" t="s">
        <v>9145</v>
      </c>
    </row>
    <row r="47" spans="1:54" hidden="1" x14ac:dyDescent="0.25">
      <c r="A47" s="4" t="s">
        <v>737</v>
      </c>
      <c r="B47" s="4" t="s">
        <v>9296</v>
      </c>
      <c r="C47" s="4"/>
      <c r="D47" s="4" t="s">
        <v>39</v>
      </c>
      <c r="E47" s="4">
        <v>323727</v>
      </c>
      <c r="F47" s="4" t="s">
        <v>739</v>
      </c>
      <c r="G47" s="32">
        <v>36431</v>
      </c>
      <c r="H47" s="25">
        <v>45266</v>
      </c>
      <c r="I47" s="11">
        <v>0.51041666666666663</v>
      </c>
      <c r="J47" s="4" t="s">
        <v>463</v>
      </c>
      <c r="K47" s="4">
        <v>2025</v>
      </c>
      <c r="L47" s="4" t="s">
        <v>701</v>
      </c>
      <c r="M47" s="4" t="s">
        <v>363</v>
      </c>
      <c r="N47" s="4" t="s">
        <v>740</v>
      </c>
      <c r="O47" s="4" t="s">
        <v>46</v>
      </c>
      <c r="P47" s="4"/>
      <c r="Q47" s="4" t="s">
        <v>47</v>
      </c>
      <c r="R47" s="4" t="s">
        <v>48</v>
      </c>
      <c r="S47" s="4">
        <v>0</v>
      </c>
      <c r="T47" s="4" t="b">
        <v>0</v>
      </c>
      <c r="U47" s="4" t="s">
        <v>61</v>
      </c>
      <c r="V47" s="4" t="s">
        <v>89</v>
      </c>
      <c r="W47" s="4" t="s">
        <v>175</v>
      </c>
      <c r="X47" s="4" t="s">
        <v>72</v>
      </c>
      <c r="Y47" s="4" t="s">
        <v>73</v>
      </c>
      <c r="Z47" s="4" t="s">
        <v>54</v>
      </c>
      <c r="AA47" s="4"/>
      <c r="AB47" s="23">
        <v>0</v>
      </c>
      <c r="AC47" s="28" t="e">
        <v>#N/A</v>
      </c>
      <c r="AD47" s="28" t="e">
        <v>#N/A</v>
      </c>
      <c r="AE47" s="28"/>
      <c r="AF47" s="19">
        <v>44767</v>
      </c>
      <c r="AG47" s="19">
        <v>45715</v>
      </c>
      <c r="AH47" s="12">
        <f t="shared" si="0"/>
        <v>1</v>
      </c>
      <c r="AI47" s="12">
        <f t="shared" ca="1" si="1"/>
        <v>2</v>
      </c>
      <c r="AJ47" s="12" t="str">
        <f t="shared" si="2"/>
        <v>1-5 Years</v>
      </c>
      <c r="AK47" s="12" t="s">
        <v>9632</v>
      </c>
      <c r="AL47" s="31">
        <v>30</v>
      </c>
      <c r="AM47" s="31">
        <v>25</v>
      </c>
      <c r="AN47" s="12" t="str">
        <f t="shared" si="3"/>
        <v>25-34 Years</v>
      </c>
      <c r="AO47" s="13" t="s">
        <v>9149</v>
      </c>
      <c r="AP47" s="13" t="s">
        <v>9150</v>
      </c>
      <c r="AQ47" s="14" t="s">
        <v>9148</v>
      </c>
      <c r="AR47" s="14" t="s">
        <v>9140</v>
      </c>
      <c r="AS47" s="14"/>
      <c r="AT47" s="14" t="s">
        <v>72</v>
      </c>
      <c r="AU47" s="14" t="s">
        <v>54</v>
      </c>
      <c r="AV47" s="15" t="s">
        <v>9141</v>
      </c>
      <c r="AW47" s="15" t="s">
        <v>9175</v>
      </c>
      <c r="AX47" s="15" t="s">
        <v>9143</v>
      </c>
      <c r="AY47" s="15" t="s">
        <v>9141</v>
      </c>
      <c r="AZ47" s="15" t="s">
        <v>9175</v>
      </c>
      <c r="BA47" s="16" t="s">
        <v>9141</v>
      </c>
      <c r="BB47" s="16" t="s">
        <v>9176</v>
      </c>
    </row>
    <row r="48" spans="1:54" x14ac:dyDescent="0.25">
      <c r="A48" s="4" t="s">
        <v>1437</v>
      </c>
      <c r="B48" s="4" t="s">
        <v>9297</v>
      </c>
      <c r="C48" s="4"/>
      <c r="D48" s="4" t="s">
        <v>39</v>
      </c>
      <c r="E48" s="4">
        <v>332335</v>
      </c>
      <c r="F48" s="4" t="s">
        <v>1439</v>
      </c>
      <c r="G48" s="32">
        <v>34052</v>
      </c>
      <c r="H48" s="25">
        <v>45266</v>
      </c>
      <c r="I48" s="11">
        <v>0.40833333333333333</v>
      </c>
      <c r="J48" s="4" t="s">
        <v>1366</v>
      </c>
      <c r="K48" s="4">
        <v>5060</v>
      </c>
      <c r="L48" s="4" t="s">
        <v>1412</v>
      </c>
      <c r="M48" s="4" t="s">
        <v>1440</v>
      </c>
      <c r="N48" s="4" t="s">
        <v>1441</v>
      </c>
      <c r="O48" s="4" t="s">
        <v>46</v>
      </c>
      <c r="P48" s="4"/>
      <c r="Q48" s="4" t="s">
        <v>47</v>
      </c>
      <c r="R48" s="4" t="s">
        <v>48</v>
      </c>
      <c r="S48" s="4">
        <v>0</v>
      </c>
      <c r="T48" s="4" t="b">
        <v>0</v>
      </c>
      <c r="U48" s="4" t="s">
        <v>114</v>
      </c>
      <c r="V48" s="4" t="s">
        <v>89</v>
      </c>
      <c r="W48" s="4" t="s">
        <v>148</v>
      </c>
      <c r="X48" s="4" t="s">
        <v>52</v>
      </c>
      <c r="Y48" s="4" t="s">
        <v>53</v>
      </c>
      <c r="Z48" s="4" t="s">
        <v>54</v>
      </c>
      <c r="AA48" s="4"/>
      <c r="AB48" s="23">
        <v>0</v>
      </c>
      <c r="AC48" s="28" t="e">
        <v>#N/A</v>
      </c>
      <c r="AD48" s="28" t="e">
        <v>#N/A</v>
      </c>
      <c r="AE48" s="28"/>
      <c r="AF48" s="19">
        <v>45257</v>
      </c>
      <c r="AG48" s="19">
        <v>45267</v>
      </c>
      <c r="AH48" s="12">
        <f t="shared" si="0"/>
        <v>0</v>
      </c>
      <c r="AI48" s="12">
        <f t="shared" ca="1" si="1"/>
        <v>0</v>
      </c>
      <c r="AJ48" s="12" t="str">
        <f t="shared" si="2"/>
        <v>Under 1 Year</v>
      </c>
      <c r="AK48" s="12" t="s">
        <v>9632</v>
      </c>
      <c r="AL48" s="31">
        <v>20</v>
      </c>
      <c r="AM48" s="31">
        <v>32</v>
      </c>
      <c r="AN48" s="12" t="str">
        <f t="shared" si="3"/>
        <v>25-34 Years</v>
      </c>
      <c r="AO48" s="13" t="s">
        <v>9149</v>
      </c>
      <c r="AP48" s="13" t="s">
        <v>9150</v>
      </c>
      <c r="AQ48" s="14" t="s">
        <v>9157</v>
      </c>
      <c r="AR48" s="14" t="s">
        <v>9140</v>
      </c>
      <c r="AS48" s="14"/>
      <c r="AT48" s="14" t="s">
        <v>52</v>
      </c>
      <c r="AU48" s="14" t="s">
        <v>54</v>
      </c>
      <c r="AV48" s="15" t="s">
        <v>9141</v>
      </c>
      <c r="AW48" s="15" t="s">
        <v>9188</v>
      </c>
      <c r="AX48" s="15" t="s">
        <v>9143</v>
      </c>
      <c r="AY48" s="15" t="s">
        <v>9141</v>
      </c>
      <c r="AZ48" s="15" t="s">
        <v>9191</v>
      </c>
      <c r="BA48" s="16" t="s">
        <v>9141</v>
      </c>
      <c r="BB48" s="16" t="s">
        <v>9192</v>
      </c>
    </row>
    <row r="49" spans="1:54" hidden="1" x14ac:dyDescent="0.25">
      <c r="A49" s="4" t="s">
        <v>1695</v>
      </c>
      <c r="B49" s="4" t="s">
        <v>9298</v>
      </c>
      <c r="C49" s="4"/>
      <c r="D49" s="4" t="s">
        <v>39</v>
      </c>
      <c r="E49" s="4">
        <v>324744</v>
      </c>
      <c r="F49" s="4" t="s">
        <v>1689</v>
      </c>
      <c r="G49" s="32">
        <v>29329</v>
      </c>
      <c r="H49" s="25">
        <v>45267</v>
      </c>
      <c r="I49" s="11">
        <v>0.54513888888888884</v>
      </c>
      <c r="J49" s="4" t="s">
        <v>1654</v>
      </c>
      <c r="K49" s="4">
        <v>9087</v>
      </c>
      <c r="L49" s="4" t="s">
        <v>1666</v>
      </c>
      <c r="M49" s="4" t="s">
        <v>1696</v>
      </c>
      <c r="N49" s="4" t="s">
        <v>1697</v>
      </c>
      <c r="O49" s="4" t="s">
        <v>46</v>
      </c>
      <c r="P49" s="4"/>
      <c r="Q49" s="4" t="s">
        <v>47</v>
      </c>
      <c r="R49" s="4" t="s">
        <v>48</v>
      </c>
      <c r="S49" s="4">
        <v>0</v>
      </c>
      <c r="T49" s="4" t="b">
        <v>0</v>
      </c>
      <c r="U49" s="4" t="s">
        <v>61</v>
      </c>
      <c r="V49" s="4" t="s">
        <v>70</v>
      </c>
      <c r="W49" s="4" t="s">
        <v>71</v>
      </c>
      <c r="X49" s="4" t="s">
        <v>72</v>
      </c>
      <c r="Y49" s="4" t="s">
        <v>73</v>
      </c>
      <c r="Z49" s="4" t="s">
        <v>98</v>
      </c>
      <c r="AA49" s="4" t="s">
        <v>689</v>
      </c>
      <c r="AB49" s="23">
        <v>0</v>
      </c>
      <c r="AC49" s="28" t="e">
        <v>#N/A</v>
      </c>
      <c r="AD49" s="28" t="e">
        <v>#N/A</v>
      </c>
      <c r="AE49" s="28"/>
      <c r="AF49" s="19">
        <v>44837</v>
      </c>
      <c r="AG49" s="19"/>
      <c r="AH49" s="12">
        <f t="shared" si="0"/>
        <v>1</v>
      </c>
      <c r="AI49" s="12">
        <f t="shared" ca="1" si="1"/>
        <v>3</v>
      </c>
      <c r="AJ49" s="12" t="str">
        <f t="shared" si="2"/>
        <v>1-5 Years</v>
      </c>
      <c r="AK49" s="12" t="s">
        <v>9632</v>
      </c>
      <c r="AL49" s="31">
        <v>23.5</v>
      </c>
      <c r="AM49" s="31">
        <v>45</v>
      </c>
      <c r="AN49" s="12" t="str">
        <f t="shared" si="3"/>
        <v>45-54 Years</v>
      </c>
      <c r="AO49" s="13" t="s">
        <v>9149</v>
      </c>
      <c r="AP49" s="13" t="s">
        <v>9150</v>
      </c>
      <c r="AQ49" s="14" t="s">
        <v>9148</v>
      </c>
      <c r="AR49" s="14" t="s">
        <v>9140</v>
      </c>
      <c r="AS49" s="14"/>
      <c r="AT49" s="14" t="s">
        <v>72</v>
      </c>
      <c r="AU49" s="14" t="s">
        <v>98</v>
      </c>
      <c r="AV49" s="15" t="s">
        <v>9141</v>
      </c>
      <c r="AW49" s="15" t="s">
        <v>9191</v>
      </c>
      <c r="AX49" s="15" t="s">
        <v>9143</v>
      </c>
      <c r="AY49" s="15" t="s">
        <v>9141</v>
      </c>
      <c r="AZ49" s="15" t="s">
        <v>9191</v>
      </c>
      <c r="BA49" s="16" t="s">
        <v>9141</v>
      </c>
      <c r="BB49" s="16" t="s">
        <v>9192</v>
      </c>
    </row>
    <row r="50" spans="1:54" hidden="1" x14ac:dyDescent="0.25">
      <c r="A50" s="4" t="s">
        <v>528</v>
      </c>
      <c r="B50" s="4" t="s">
        <v>9299</v>
      </c>
      <c r="C50" s="4"/>
      <c r="D50" s="4" t="s">
        <v>39</v>
      </c>
      <c r="E50" s="4">
        <v>295292</v>
      </c>
      <c r="F50" s="4" t="s">
        <v>530</v>
      </c>
      <c r="G50" s="32">
        <v>34569</v>
      </c>
      <c r="H50" s="25">
        <v>45269</v>
      </c>
      <c r="I50" s="11">
        <v>0.65277777777777779</v>
      </c>
      <c r="J50" s="4" t="s">
        <v>463</v>
      </c>
      <c r="K50" s="4">
        <v>2019</v>
      </c>
      <c r="L50" s="4" t="s">
        <v>513</v>
      </c>
      <c r="M50" s="4" t="s">
        <v>531</v>
      </c>
      <c r="N50" s="4" t="s">
        <v>532</v>
      </c>
      <c r="O50" s="4" t="s">
        <v>46</v>
      </c>
      <c r="P50" s="4"/>
      <c r="Q50" s="4" t="s">
        <v>47</v>
      </c>
      <c r="R50" s="4" t="s">
        <v>48</v>
      </c>
      <c r="S50" s="4">
        <v>0</v>
      </c>
      <c r="T50" s="4" t="b">
        <v>0</v>
      </c>
      <c r="U50" s="4" t="s">
        <v>61</v>
      </c>
      <c r="V50" s="4" t="s">
        <v>89</v>
      </c>
      <c r="W50" s="4" t="s">
        <v>51</v>
      </c>
      <c r="X50" s="4" t="s">
        <v>123</v>
      </c>
      <c r="Y50" s="4" t="s">
        <v>124</v>
      </c>
      <c r="Z50" s="4" t="s">
        <v>98</v>
      </c>
      <c r="AA50" s="4" t="s">
        <v>176</v>
      </c>
      <c r="AB50" s="23">
        <v>0</v>
      </c>
      <c r="AC50" s="28" t="e">
        <v>#N/A</v>
      </c>
      <c r="AD50" s="28" t="e">
        <v>#N/A</v>
      </c>
      <c r="AE50" s="28"/>
      <c r="AF50" s="19">
        <v>42807</v>
      </c>
      <c r="AG50" s="19"/>
      <c r="AH50" s="12">
        <f t="shared" si="0"/>
        <v>6</v>
      </c>
      <c r="AI50" s="12">
        <f t="shared" ca="1" si="1"/>
        <v>9</v>
      </c>
      <c r="AJ50" s="12" t="str">
        <f t="shared" si="2"/>
        <v>6-10 Years</v>
      </c>
      <c r="AK50" s="12" t="s">
        <v>9632</v>
      </c>
      <c r="AL50" s="31">
        <v>18</v>
      </c>
      <c r="AM50" s="31">
        <v>30</v>
      </c>
      <c r="AN50" s="12" t="str">
        <f t="shared" si="3"/>
        <v>25-34 Years</v>
      </c>
      <c r="AO50" s="13" t="s">
        <v>9149</v>
      </c>
      <c r="AP50" s="13" t="s">
        <v>9150</v>
      </c>
      <c r="AQ50" s="14" t="s">
        <v>9148</v>
      </c>
      <c r="AR50" s="14" t="s">
        <v>9140</v>
      </c>
      <c r="AS50" s="14"/>
      <c r="AT50" s="14" t="s">
        <v>123</v>
      </c>
      <c r="AU50" s="14" t="s">
        <v>98</v>
      </c>
      <c r="AV50" s="15" t="s">
        <v>9141</v>
      </c>
      <c r="AW50" s="15" t="s">
        <v>9175</v>
      </c>
      <c r="AX50" s="15" t="s">
        <v>9143</v>
      </c>
      <c r="AY50" s="15" t="s">
        <v>9141</v>
      </c>
      <c r="AZ50" s="15" t="s">
        <v>9177</v>
      </c>
      <c r="BA50" s="16" t="s">
        <v>9141</v>
      </c>
      <c r="BB50" s="16" t="s">
        <v>9178</v>
      </c>
    </row>
    <row r="51" spans="1:54" hidden="1" x14ac:dyDescent="0.25">
      <c r="A51" s="4" t="s">
        <v>335</v>
      </c>
      <c r="B51" s="4" t="s">
        <v>9300</v>
      </c>
      <c r="C51" s="4"/>
      <c r="D51" s="4" t="s">
        <v>39</v>
      </c>
      <c r="E51" s="4">
        <v>318058</v>
      </c>
      <c r="F51" s="4" t="s">
        <v>214</v>
      </c>
      <c r="G51" s="32">
        <v>25357</v>
      </c>
      <c r="H51" s="25">
        <v>45275</v>
      </c>
      <c r="I51" s="11">
        <v>0.75</v>
      </c>
      <c r="J51" s="4" t="s">
        <v>42</v>
      </c>
      <c r="K51" s="4">
        <v>1011</v>
      </c>
      <c r="L51" s="4" t="s">
        <v>215</v>
      </c>
      <c r="M51" s="4" t="s">
        <v>336</v>
      </c>
      <c r="N51" s="4" t="s">
        <v>337</v>
      </c>
      <c r="O51" s="4" t="s">
        <v>46</v>
      </c>
      <c r="P51" s="4"/>
      <c r="Q51" s="4" t="s">
        <v>47</v>
      </c>
      <c r="R51" s="4" t="s">
        <v>48</v>
      </c>
      <c r="S51" s="4">
        <v>0</v>
      </c>
      <c r="T51" s="4" t="b">
        <v>0</v>
      </c>
      <c r="U51" s="4" t="s">
        <v>61</v>
      </c>
      <c r="V51" s="4" t="s">
        <v>89</v>
      </c>
      <c r="W51" s="4" t="s">
        <v>175</v>
      </c>
      <c r="X51" s="4" t="s">
        <v>52</v>
      </c>
      <c r="Y51" s="4" t="s">
        <v>53</v>
      </c>
      <c r="Z51" s="4" t="s">
        <v>54</v>
      </c>
      <c r="AA51" s="4"/>
      <c r="AB51" s="23">
        <v>0</v>
      </c>
      <c r="AC51" s="28" t="e">
        <v>#N/A</v>
      </c>
      <c r="AD51" s="28" t="e">
        <v>#N/A</v>
      </c>
      <c r="AE51" s="28"/>
      <c r="AF51" s="19">
        <v>44501</v>
      </c>
      <c r="AG51" s="19"/>
      <c r="AH51" s="12">
        <f t="shared" si="0"/>
        <v>2</v>
      </c>
      <c r="AI51" s="12">
        <f t="shared" ca="1" si="1"/>
        <v>4</v>
      </c>
      <c r="AJ51" s="12" t="str">
        <f t="shared" si="2"/>
        <v>1-5 Years</v>
      </c>
      <c r="AK51" s="12" t="s">
        <v>9632</v>
      </c>
      <c r="AL51" s="31">
        <v>35</v>
      </c>
      <c r="AM51" s="31">
        <v>55</v>
      </c>
      <c r="AN51" s="12" t="str">
        <f t="shared" si="3"/>
        <v>More Than 55 Years</v>
      </c>
      <c r="AO51" s="13" t="s">
        <v>9149</v>
      </c>
      <c r="AP51" s="13" t="s">
        <v>9150</v>
      </c>
      <c r="AQ51" s="14" t="s">
        <v>9148</v>
      </c>
      <c r="AR51" s="14" t="s">
        <v>9140</v>
      </c>
      <c r="AS51" s="14"/>
      <c r="AT51" s="14" t="s">
        <v>52</v>
      </c>
      <c r="AU51" s="14" t="s">
        <v>54</v>
      </c>
      <c r="AV51" s="15" t="s">
        <v>9141</v>
      </c>
      <c r="AW51" s="15" t="s">
        <v>9142</v>
      </c>
      <c r="AX51" s="15" t="s">
        <v>9143</v>
      </c>
      <c r="AY51" s="15" t="s">
        <v>9141</v>
      </c>
      <c r="AZ51" s="15" t="s">
        <v>9144</v>
      </c>
      <c r="BA51" s="16" t="s">
        <v>9141</v>
      </c>
      <c r="BB51" s="16" t="s">
        <v>9145</v>
      </c>
    </row>
    <row r="52" spans="1:54" hidden="1" x14ac:dyDescent="0.25">
      <c r="A52" s="4" t="s">
        <v>1006</v>
      </c>
      <c r="B52" s="4" t="s">
        <v>9301</v>
      </c>
      <c r="C52" s="4"/>
      <c r="D52" s="4" t="s">
        <v>39</v>
      </c>
      <c r="E52" s="4">
        <v>297118</v>
      </c>
      <c r="F52" s="4" t="s">
        <v>803</v>
      </c>
      <c r="G52" s="32">
        <v>26362</v>
      </c>
      <c r="H52" s="25">
        <v>45275</v>
      </c>
      <c r="I52" s="11">
        <v>0.60555555555555551</v>
      </c>
      <c r="J52" s="4" t="s">
        <v>463</v>
      </c>
      <c r="K52" s="4">
        <v>2039</v>
      </c>
      <c r="L52" s="4" t="s">
        <v>988</v>
      </c>
      <c r="M52" s="4" t="s">
        <v>1007</v>
      </c>
      <c r="N52" s="4" t="s">
        <v>1008</v>
      </c>
      <c r="O52" s="4" t="s">
        <v>46</v>
      </c>
      <c r="P52" s="4"/>
      <c r="Q52" s="4" t="s">
        <v>47</v>
      </c>
      <c r="R52" s="4" t="s">
        <v>48</v>
      </c>
      <c r="S52" s="4">
        <v>0</v>
      </c>
      <c r="T52" s="4" t="b">
        <v>0</v>
      </c>
      <c r="U52" s="4" t="s">
        <v>49</v>
      </c>
      <c r="V52" s="4" t="s">
        <v>70</v>
      </c>
      <c r="W52" s="4" t="s">
        <v>224</v>
      </c>
      <c r="X52" s="4" t="s">
        <v>72</v>
      </c>
      <c r="Y52" s="4" t="s">
        <v>73</v>
      </c>
      <c r="Z52" s="4" t="s">
        <v>54</v>
      </c>
      <c r="AA52" s="4"/>
      <c r="AB52" s="23">
        <v>0</v>
      </c>
      <c r="AC52" s="28" t="e">
        <v>#N/A</v>
      </c>
      <c r="AD52" s="28" t="e">
        <v>#N/A</v>
      </c>
      <c r="AE52" s="28"/>
      <c r="AF52" s="19">
        <v>44130</v>
      </c>
      <c r="AG52" s="19"/>
      <c r="AH52" s="12">
        <f t="shared" si="0"/>
        <v>3</v>
      </c>
      <c r="AI52" s="12">
        <f t="shared" ca="1" si="1"/>
        <v>5</v>
      </c>
      <c r="AJ52" s="12" t="str">
        <f t="shared" si="2"/>
        <v>1-5 Years</v>
      </c>
      <c r="AK52" s="12" t="s">
        <v>10046</v>
      </c>
      <c r="AL52" s="31">
        <v>38</v>
      </c>
      <c r="AM52" s="31">
        <v>53</v>
      </c>
      <c r="AN52" s="12" t="str">
        <f t="shared" si="3"/>
        <v>45-54 Years</v>
      </c>
      <c r="AO52" s="13" t="s">
        <v>9149</v>
      </c>
      <c r="AP52" s="13" t="s">
        <v>9150</v>
      </c>
      <c r="AQ52" s="14" t="s">
        <v>9139</v>
      </c>
      <c r="AR52" s="14" t="s">
        <v>9140</v>
      </c>
      <c r="AS52" s="14"/>
      <c r="AT52" s="14" t="s">
        <v>72</v>
      </c>
      <c r="AU52" s="14" t="s">
        <v>54</v>
      </c>
      <c r="AV52" s="15" t="s">
        <v>9141</v>
      </c>
      <c r="AW52" s="15" t="s">
        <v>9175</v>
      </c>
      <c r="AX52" s="15" t="s">
        <v>9143</v>
      </c>
      <c r="AY52" s="15" t="s">
        <v>9141</v>
      </c>
      <c r="AZ52" s="15" t="s">
        <v>9175</v>
      </c>
      <c r="BA52" s="16" t="s">
        <v>9141</v>
      </c>
      <c r="BB52" s="16" t="s">
        <v>9176</v>
      </c>
    </row>
    <row r="53" spans="1:54" hidden="1" x14ac:dyDescent="0.25">
      <c r="A53" s="4" t="s">
        <v>332</v>
      </c>
      <c r="B53" s="4" t="s">
        <v>9302</v>
      </c>
      <c r="C53" s="4"/>
      <c r="D53" s="4" t="s">
        <v>39</v>
      </c>
      <c r="E53" s="4">
        <v>318058</v>
      </c>
      <c r="F53" s="4" t="s">
        <v>214</v>
      </c>
      <c r="G53" s="32">
        <v>25357</v>
      </c>
      <c r="H53" s="25">
        <v>45278</v>
      </c>
      <c r="I53" s="11">
        <v>0.46875</v>
      </c>
      <c r="J53" s="4" t="s">
        <v>42</v>
      </c>
      <c r="K53" s="4">
        <v>1011</v>
      </c>
      <c r="L53" s="4" t="s">
        <v>215</v>
      </c>
      <c r="M53" s="4" t="s">
        <v>333</v>
      </c>
      <c r="N53" s="4" t="s">
        <v>334</v>
      </c>
      <c r="O53" s="4" t="s">
        <v>46</v>
      </c>
      <c r="P53" s="4"/>
      <c r="Q53" s="4" t="s">
        <v>47</v>
      </c>
      <c r="R53" s="4" t="s">
        <v>48</v>
      </c>
      <c r="S53" s="4">
        <v>0</v>
      </c>
      <c r="T53" s="4" t="b">
        <v>0</v>
      </c>
      <c r="U53" s="4" t="s">
        <v>49</v>
      </c>
      <c r="V53" s="4" t="s">
        <v>70</v>
      </c>
      <c r="W53" s="4" t="s">
        <v>71</v>
      </c>
      <c r="X53" s="4" t="s">
        <v>72</v>
      </c>
      <c r="Y53" s="4" t="s">
        <v>73</v>
      </c>
      <c r="Z53" s="4" t="s">
        <v>54</v>
      </c>
      <c r="AA53" s="4"/>
      <c r="AB53" s="23">
        <v>0</v>
      </c>
      <c r="AC53" s="28" t="e">
        <v>#N/A</v>
      </c>
      <c r="AD53" s="28" t="e">
        <v>#N/A</v>
      </c>
      <c r="AE53" s="28"/>
      <c r="AF53" s="19">
        <v>44501</v>
      </c>
      <c r="AG53" s="19"/>
      <c r="AH53" s="12">
        <f t="shared" si="0"/>
        <v>2</v>
      </c>
      <c r="AI53" s="12">
        <f t="shared" ca="1" si="1"/>
        <v>4</v>
      </c>
      <c r="AJ53" s="12" t="str">
        <f t="shared" si="2"/>
        <v>1-5 Years</v>
      </c>
      <c r="AK53" s="12" t="s">
        <v>9632</v>
      </c>
      <c r="AL53" s="31">
        <v>35</v>
      </c>
      <c r="AM53" s="31">
        <v>55</v>
      </c>
      <c r="AN53" s="12" t="str">
        <f t="shared" si="3"/>
        <v>More Than 55 Years</v>
      </c>
      <c r="AO53" s="13" t="s">
        <v>9149</v>
      </c>
      <c r="AP53" s="13" t="s">
        <v>9150</v>
      </c>
      <c r="AQ53" s="14" t="s">
        <v>9139</v>
      </c>
      <c r="AR53" s="14" t="s">
        <v>9140</v>
      </c>
      <c r="AS53" s="14"/>
      <c r="AT53" s="14" t="s">
        <v>72</v>
      </c>
      <c r="AU53" s="14" t="s">
        <v>54</v>
      </c>
      <c r="AV53" s="15" t="s">
        <v>9141</v>
      </c>
      <c r="AW53" s="15" t="s">
        <v>9142</v>
      </c>
      <c r="AX53" s="15" t="s">
        <v>9143</v>
      </c>
      <c r="AY53" s="15" t="s">
        <v>9141</v>
      </c>
      <c r="AZ53" s="15" t="s">
        <v>9144</v>
      </c>
      <c r="BA53" s="16" t="s">
        <v>9141</v>
      </c>
      <c r="BB53" s="16" t="s">
        <v>9145</v>
      </c>
    </row>
    <row r="54" spans="1:54" x14ac:dyDescent="0.25">
      <c r="A54" s="4" t="s">
        <v>1463</v>
      </c>
      <c r="B54" s="4" t="s">
        <v>9303</v>
      </c>
      <c r="C54" s="4"/>
      <c r="D54" s="4" t="s">
        <v>39</v>
      </c>
      <c r="E54" s="4">
        <v>331409</v>
      </c>
      <c r="F54" s="4" t="s">
        <v>1465</v>
      </c>
      <c r="G54" s="32">
        <v>33639</v>
      </c>
      <c r="H54" s="25">
        <v>45278</v>
      </c>
      <c r="I54" s="11">
        <v>0.73263888888888884</v>
      </c>
      <c r="J54" s="4" t="s">
        <v>1366</v>
      </c>
      <c r="K54" s="4">
        <v>5089</v>
      </c>
      <c r="L54" s="4" t="s">
        <v>1445</v>
      </c>
      <c r="M54" s="4" t="s">
        <v>1466</v>
      </c>
      <c r="N54" s="4" t="s">
        <v>1467</v>
      </c>
      <c r="O54" s="4" t="s">
        <v>46</v>
      </c>
      <c r="P54" s="4"/>
      <c r="Q54" s="4" t="s">
        <v>174</v>
      </c>
      <c r="R54" s="4" t="s">
        <v>48</v>
      </c>
      <c r="S54" s="4">
        <v>0</v>
      </c>
      <c r="T54" s="4" t="b">
        <v>0</v>
      </c>
      <c r="U54" s="4" t="s">
        <v>114</v>
      </c>
      <c r="V54" s="4" t="s">
        <v>89</v>
      </c>
      <c r="W54" s="4" t="s">
        <v>224</v>
      </c>
      <c r="X54" s="4" t="s">
        <v>123</v>
      </c>
      <c r="Y54" s="4" t="s">
        <v>149</v>
      </c>
      <c r="Z54" s="4" t="s">
        <v>54</v>
      </c>
      <c r="AA54" s="4"/>
      <c r="AB54" s="23">
        <v>0</v>
      </c>
      <c r="AC54" s="28" t="s">
        <v>9580</v>
      </c>
      <c r="AD54" s="28" t="e">
        <v>#N/A</v>
      </c>
      <c r="AE54" s="28"/>
      <c r="AF54" s="19">
        <v>45208</v>
      </c>
      <c r="AG54" s="19"/>
      <c r="AH54" s="12">
        <f t="shared" si="0"/>
        <v>0</v>
      </c>
      <c r="AI54" s="12">
        <f t="shared" ca="1" si="1"/>
        <v>2</v>
      </c>
      <c r="AJ54" s="12" t="str">
        <f t="shared" si="2"/>
        <v>Under 1 Year</v>
      </c>
      <c r="AK54" s="12" t="s">
        <v>9632</v>
      </c>
      <c r="AL54" s="31">
        <v>20</v>
      </c>
      <c r="AM54" s="31">
        <v>33</v>
      </c>
      <c r="AN54" s="12" t="str">
        <f t="shared" si="3"/>
        <v>25-34 Years</v>
      </c>
      <c r="AO54" s="13" t="s">
        <v>9149</v>
      </c>
      <c r="AP54" s="13" t="s">
        <v>9150</v>
      </c>
      <c r="AQ54" s="14" t="s">
        <v>9157</v>
      </c>
      <c r="AR54" s="14" t="s">
        <v>9140</v>
      </c>
      <c r="AS54" s="14"/>
      <c r="AT54" s="14" t="s">
        <v>123</v>
      </c>
      <c r="AU54" s="14" t="s">
        <v>54</v>
      </c>
      <c r="AV54" s="15" t="s">
        <v>9141</v>
      </c>
      <c r="AW54" s="15" t="s">
        <v>9188</v>
      </c>
      <c r="AX54" s="15" t="s">
        <v>9143</v>
      </c>
      <c r="AY54" s="15" t="s">
        <v>9141</v>
      </c>
      <c r="AZ54" s="15" t="s">
        <v>9189</v>
      </c>
      <c r="BA54" s="16" t="s">
        <v>9141</v>
      </c>
      <c r="BB54" s="16" t="s">
        <v>9190</v>
      </c>
    </row>
    <row r="55" spans="1:54" hidden="1" x14ac:dyDescent="0.25">
      <c r="A55" s="4" t="s">
        <v>522</v>
      </c>
      <c r="B55" s="4" t="s">
        <v>9304</v>
      </c>
      <c r="C55" s="4"/>
      <c r="D55" s="4" t="s">
        <v>39</v>
      </c>
      <c r="E55" s="4">
        <v>322042</v>
      </c>
      <c r="F55" s="4" t="s">
        <v>524</v>
      </c>
      <c r="G55" s="32">
        <v>37957</v>
      </c>
      <c r="H55" s="25">
        <v>45280</v>
      </c>
      <c r="I55" s="11">
        <v>0.70138888888888884</v>
      </c>
      <c r="J55" s="4" t="s">
        <v>463</v>
      </c>
      <c r="K55" s="4">
        <v>2019</v>
      </c>
      <c r="L55" s="4" t="s">
        <v>513</v>
      </c>
      <c r="M55" s="4" t="s">
        <v>525</v>
      </c>
      <c r="N55" s="4" t="s">
        <v>526</v>
      </c>
      <c r="O55" s="4" t="s">
        <v>46</v>
      </c>
      <c r="P55" s="4"/>
      <c r="Q55" s="4" t="s">
        <v>47</v>
      </c>
      <c r="R55" s="4" t="s">
        <v>48</v>
      </c>
      <c r="S55" s="4">
        <v>0</v>
      </c>
      <c r="T55" s="4" t="b">
        <v>0</v>
      </c>
      <c r="U55" s="4" t="s">
        <v>49</v>
      </c>
      <c r="V55" s="4" t="s">
        <v>50</v>
      </c>
      <c r="W55" s="4" t="s">
        <v>527</v>
      </c>
      <c r="X55" s="4" t="s">
        <v>63</v>
      </c>
      <c r="Y55" s="4" t="s">
        <v>108</v>
      </c>
      <c r="Z55" s="4" t="s">
        <v>98</v>
      </c>
      <c r="AA55" s="4" t="s">
        <v>176</v>
      </c>
      <c r="AB55" s="23">
        <v>0</v>
      </c>
      <c r="AC55" s="28" t="e">
        <v>#N/A</v>
      </c>
      <c r="AD55" s="28" t="e">
        <v>#N/A</v>
      </c>
      <c r="AE55" s="28"/>
      <c r="AF55" s="19">
        <v>44669</v>
      </c>
      <c r="AG55" s="19"/>
      <c r="AH55" s="12">
        <f t="shared" si="0"/>
        <v>1</v>
      </c>
      <c r="AI55" s="12">
        <f t="shared" ca="1" si="1"/>
        <v>4</v>
      </c>
      <c r="AJ55" s="12" t="str">
        <f t="shared" si="2"/>
        <v>1-5 Years</v>
      </c>
      <c r="AK55" s="12" t="s">
        <v>9632</v>
      </c>
      <c r="AL55" s="31">
        <v>20</v>
      </c>
      <c r="AM55" s="31">
        <v>21</v>
      </c>
      <c r="AN55" s="12" t="str">
        <f t="shared" si="3"/>
        <v>20-24 Years</v>
      </c>
      <c r="AO55" s="13" t="s">
        <v>9149</v>
      </c>
      <c r="AP55" s="13" t="s">
        <v>9150</v>
      </c>
      <c r="AQ55" s="14" t="s">
        <v>9139</v>
      </c>
      <c r="AR55" s="14" t="s">
        <v>9140</v>
      </c>
      <c r="AS55" s="14"/>
      <c r="AT55" s="14" t="s">
        <v>63</v>
      </c>
      <c r="AU55" s="14" t="s">
        <v>98</v>
      </c>
      <c r="AV55" s="15" t="s">
        <v>9141</v>
      </c>
      <c r="AW55" s="15" t="s">
        <v>9175</v>
      </c>
      <c r="AX55" s="15" t="s">
        <v>9143</v>
      </c>
      <c r="AY55" s="15" t="s">
        <v>9141</v>
      </c>
      <c r="AZ55" s="15" t="s">
        <v>9177</v>
      </c>
      <c r="BA55" s="16" t="s">
        <v>9141</v>
      </c>
      <c r="BB55" s="16" t="s">
        <v>9178</v>
      </c>
    </row>
    <row r="56" spans="1:54" hidden="1" x14ac:dyDescent="0.25">
      <c r="A56" s="4" t="s">
        <v>1257</v>
      </c>
      <c r="B56" s="4" t="s">
        <v>9305</v>
      </c>
      <c r="C56" s="4"/>
      <c r="D56" s="4" t="s">
        <v>39</v>
      </c>
      <c r="E56" s="4">
        <v>328763</v>
      </c>
      <c r="F56" s="4" t="s">
        <v>1259</v>
      </c>
      <c r="G56" s="32">
        <v>27106</v>
      </c>
      <c r="H56" s="25">
        <v>45280</v>
      </c>
      <c r="I56" s="11">
        <v>0.63888888888888884</v>
      </c>
      <c r="J56" s="4" t="s">
        <v>1155</v>
      </c>
      <c r="K56" s="4">
        <v>4043</v>
      </c>
      <c r="L56" s="4" t="s">
        <v>1200</v>
      </c>
      <c r="M56" s="4" t="s">
        <v>1260</v>
      </c>
      <c r="N56" s="4" t="s">
        <v>1261</v>
      </c>
      <c r="O56" s="4" t="s">
        <v>46</v>
      </c>
      <c r="P56" s="4"/>
      <c r="Q56" s="4" t="s">
        <v>47</v>
      </c>
      <c r="R56" s="4" t="s">
        <v>48</v>
      </c>
      <c r="S56" s="4">
        <v>0</v>
      </c>
      <c r="T56" s="4" t="b">
        <v>0</v>
      </c>
      <c r="U56" s="4" t="s">
        <v>61</v>
      </c>
      <c r="V56" s="4" t="s">
        <v>89</v>
      </c>
      <c r="W56" s="4" t="s">
        <v>148</v>
      </c>
      <c r="X56" s="4" t="s">
        <v>123</v>
      </c>
      <c r="Y56" s="4" t="s">
        <v>124</v>
      </c>
      <c r="Z56" s="4" t="s">
        <v>98</v>
      </c>
      <c r="AA56" s="4"/>
      <c r="AB56" s="23">
        <v>0</v>
      </c>
      <c r="AC56" s="28" t="s">
        <v>9580</v>
      </c>
      <c r="AD56" s="28" t="e">
        <v>#N/A</v>
      </c>
      <c r="AE56" s="28"/>
      <c r="AF56" s="19">
        <v>45033</v>
      </c>
      <c r="AG56" s="19"/>
      <c r="AH56" s="12">
        <f t="shared" si="0"/>
        <v>0</v>
      </c>
      <c r="AI56" s="12">
        <f t="shared" ca="1" si="1"/>
        <v>3</v>
      </c>
      <c r="AJ56" s="12" t="str">
        <f t="shared" si="2"/>
        <v>Under 1 Year</v>
      </c>
      <c r="AK56" s="12" t="s">
        <v>9633</v>
      </c>
      <c r="AL56" s="31">
        <v>0.01</v>
      </c>
      <c r="AM56" s="31">
        <v>51</v>
      </c>
      <c r="AN56" s="12" t="str">
        <f t="shared" si="3"/>
        <v>45-54 Years</v>
      </c>
      <c r="AO56" s="13" t="s">
        <v>9149</v>
      </c>
      <c r="AP56" s="13" t="s">
        <v>9150</v>
      </c>
      <c r="AQ56" s="14" t="s">
        <v>9148</v>
      </c>
      <c r="AR56" s="14" t="s">
        <v>9140</v>
      </c>
      <c r="AS56" s="14"/>
      <c r="AT56" s="14" t="s">
        <v>123</v>
      </c>
      <c r="AU56" s="14" t="s">
        <v>98</v>
      </c>
      <c r="AV56" s="15" t="s">
        <v>9141</v>
      </c>
      <c r="AW56" s="15" t="s">
        <v>9187</v>
      </c>
      <c r="AX56" s="15" t="s">
        <v>9143</v>
      </c>
      <c r="AY56" s="15" t="s">
        <v>9141</v>
      </c>
      <c r="AZ56" s="15" t="s">
        <v>9144</v>
      </c>
      <c r="BA56" s="16" t="s">
        <v>9141</v>
      </c>
      <c r="BB56" s="16" t="s">
        <v>9145</v>
      </c>
    </row>
    <row r="57" spans="1:54" x14ac:dyDescent="0.25">
      <c r="A57" s="4" t="s">
        <v>1612</v>
      </c>
      <c r="B57" s="4" t="s">
        <v>9306</v>
      </c>
      <c r="C57" s="4"/>
      <c r="D57" s="4" t="s">
        <v>39</v>
      </c>
      <c r="E57" s="4">
        <v>324101</v>
      </c>
      <c r="F57" s="4" t="s">
        <v>1600</v>
      </c>
      <c r="G57" s="32">
        <v>26715</v>
      </c>
      <c r="H57" s="25">
        <v>45280</v>
      </c>
      <c r="I57" s="11">
        <v>0.5625</v>
      </c>
      <c r="J57" s="4" t="s">
        <v>1366</v>
      </c>
      <c r="K57" s="4">
        <v>6071</v>
      </c>
      <c r="L57" s="4" t="s">
        <v>1586</v>
      </c>
      <c r="M57" s="4" t="s">
        <v>1613</v>
      </c>
      <c r="N57" s="4" t="s">
        <v>1614</v>
      </c>
      <c r="O57" s="4" t="s">
        <v>46</v>
      </c>
      <c r="P57" s="4"/>
      <c r="Q57" s="4" t="s">
        <v>47</v>
      </c>
      <c r="R57" s="4" t="s">
        <v>48</v>
      </c>
      <c r="S57" s="4">
        <v>0</v>
      </c>
      <c r="T57" s="4" t="b">
        <v>0</v>
      </c>
      <c r="U57" s="4" t="s">
        <v>49</v>
      </c>
      <c r="V57" s="4" t="s">
        <v>50</v>
      </c>
      <c r="W57" s="4" t="s">
        <v>140</v>
      </c>
      <c r="X57" s="4" t="s">
        <v>63</v>
      </c>
      <c r="Y57" s="4" t="s">
        <v>198</v>
      </c>
      <c r="Z57" s="4" t="s">
        <v>54</v>
      </c>
      <c r="AA57" s="4" t="s">
        <v>486</v>
      </c>
      <c r="AB57" s="23">
        <v>0</v>
      </c>
      <c r="AC57" s="28" t="e">
        <v>#N/A</v>
      </c>
      <c r="AD57" s="28" t="e">
        <v>#N/A</v>
      </c>
      <c r="AE57" s="28"/>
      <c r="AF57" s="19">
        <v>44788</v>
      </c>
      <c r="AG57" s="19"/>
      <c r="AH57" s="12">
        <f t="shared" si="0"/>
        <v>1</v>
      </c>
      <c r="AI57" s="12">
        <f t="shared" ca="1" si="1"/>
        <v>4</v>
      </c>
      <c r="AJ57" s="12" t="str">
        <f t="shared" si="2"/>
        <v>1-5 Years</v>
      </c>
      <c r="AK57" s="12" t="s">
        <v>10046</v>
      </c>
      <c r="AL57" s="31">
        <v>38</v>
      </c>
      <c r="AM57" s="31">
        <v>52</v>
      </c>
      <c r="AN57" s="12" t="str">
        <f t="shared" si="3"/>
        <v>45-54 Years</v>
      </c>
      <c r="AO57" s="13" t="s">
        <v>9149</v>
      </c>
      <c r="AP57" s="13" t="s">
        <v>9150</v>
      </c>
      <c r="AQ57" s="14" t="s">
        <v>9139</v>
      </c>
      <c r="AR57" s="14" t="s">
        <v>9140</v>
      </c>
      <c r="AS57" s="14"/>
      <c r="AT57" s="14" t="s">
        <v>63</v>
      </c>
      <c r="AU57" s="14" t="s">
        <v>54</v>
      </c>
      <c r="AV57" s="15" t="s">
        <v>9141</v>
      </c>
      <c r="AW57" s="15" t="s">
        <v>9188</v>
      </c>
      <c r="AX57" s="15" t="s">
        <v>9143</v>
      </c>
      <c r="AY57" s="15" t="s">
        <v>9141</v>
      </c>
      <c r="AZ57" s="15" t="s">
        <v>9191</v>
      </c>
      <c r="BA57" s="16" t="s">
        <v>9141</v>
      </c>
      <c r="BB57" s="16" t="s">
        <v>9192</v>
      </c>
    </row>
    <row r="58" spans="1:54" hidden="1" x14ac:dyDescent="0.25">
      <c r="A58" s="4" t="s">
        <v>915</v>
      </c>
      <c r="B58" s="4" t="s">
        <v>9307</v>
      </c>
      <c r="C58" s="4">
        <v>12230058217</v>
      </c>
      <c r="D58" s="4" t="s">
        <v>39</v>
      </c>
      <c r="E58" s="4">
        <v>321813</v>
      </c>
      <c r="F58" s="4" t="s">
        <v>917</v>
      </c>
      <c r="G58" s="32">
        <v>22626</v>
      </c>
      <c r="H58" s="25">
        <v>45282</v>
      </c>
      <c r="I58" s="11">
        <v>0.52083333333333337</v>
      </c>
      <c r="J58" s="4" t="s">
        <v>463</v>
      </c>
      <c r="K58" s="4">
        <v>2031</v>
      </c>
      <c r="L58" s="4" t="s">
        <v>918</v>
      </c>
      <c r="M58" s="4" t="s">
        <v>919</v>
      </c>
      <c r="N58" s="4" t="s">
        <v>920</v>
      </c>
      <c r="O58" s="4" t="s">
        <v>28</v>
      </c>
      <c r="P58" s="4" t="s">
        <v>183</v>
      </c>
      <c r="Q58" s="4" t="s">
        <v>174</v>
      </c>
      <c r="R58" s="4" t="s">
        <v>60</v>
      </c>
      <c r="S58" s="4">
        <v>126</v>
      </c>
      <c r="T58" s="4" t="b">
        <v>0</v>
      </c>
      <c r="U58" s="4" t="s">
        <v>184</v>
      </c>
      <c r="V58" s="4" t="s">
        <v>89</v>
      </c>
      <c r="W58" s="4" t="s">
        <v>71</v>
      </c>
      <c r="X58" s="4" t="s">
        <v>52</v>
      </c>
      <c r="Y58" s="4" t="s">
        <v>135</v>
      </c>
      <c r="Z58" s="4" t="s">
        <v>54</v>
      </c>
      <c r="AA58" s="4"/>
      <c r="AB58" s="23" t="s">
        <v>60</v>
      </c>
      <c r="AC58" s="28" t="e">
        <v>#N/A</v>
      </c>
      <c r="AD58" s="28" t="e">
        <v>#N/A</v>
      </c>
      <c r="AE58" s="28"/>
      <c r="AF58" s="19">
        <v>44655</v>
      </c>
      <c r="AG58" s="19"/>
      <c r="AH58" s="12">
        <f t="shared" si="0"/>
        <v>1</v>
      </c>
      <c r="AI58" s="12">
        <f t="shared" ca="1" si="1"/>
        <v>4</v>
      </c>
      <c r="AJ58" s="12" t="str">
        <f t="shared" si="2"/>
        <v>1-5 Years</v>
      </c>
      <c r="AK58" s="12" t="s">
        <v>9632</v>
      </c>
      <c r="AL58" s="31">
        <v>22.5</v>
      </c>
      <c r="AM58" s="31">
        <v>63</v>
      </c>
      <c r="AN58" s="12" t="str">
        <f t="shared" si="3"/>
        <v>More Than 55 Years</v>
      </c>
      <c r="AO58" s="13" t="s">
        <v>9149</v>
      </c>
      <c r="AP58" s="13" t="s">
        <v>9150</v>
      </c>
      <c r="AQ58" s="14" t="s">
        <v>9166</v>
      </c>
      <c r="AR58" s="14" t="s">
        <v>28</v>
      </c>
      <c r="AS58" s="14" t="s">
        <v>183</v>
      </c>
      <c r="AT58" s="14" t="s">
        <v>52</v>
      </c>
      <c r="AU58" s="14" t="s">
        <v>54</v>
      </c>
      <c r="AV58" s="15" t="s">
        <v>9141</v>
      </c>
      <c r="AW58" s="15" t="s">
        <v>9175</v>
      </c>
      <c r="AX58" s="15" t="s">
        <v>9143</v>
      </c>
      <c r="AY58" s="15" t="s">
        <v>9141</v>
      </c>
      <c r="AZ58" s="15" t="s">
        <v>9177</v>
      </c>
      <c r="BA58" s="16" t="s">
        <v>9141</v>
      </c>
      <c r="BB58" s="16" t="s">
        <v>9178</v>
      </c>
    </row>
    <row r="59" spans="1:54" hidden="1" x14ac:dyDescent="0.25">
      <c r="A59" s="4" t="s">
        <v>979</v>
      </c>
      <c r="B59" s="4" t="s">
        <v>9308</v>
      </c>
      <c r="C59" s="4"/>
      <c r="D59" s="4" t="s">
        <v>39</v>
      </c>
      <c r="E59" s="4">
        <v>296882</v>
      </c>
      <c r="F59" s="4" t="s">
        <v>972</v>
      </c>
      <c r="G59" s="32">
        <v>27695</v>
      </c>
      <c r="H59" s="25">
        <v>45282</v>
      </c>
      <c r="I59" s="11">
        <v>0.51388888888888884</v>
      </c>
      <c r="J59" s="4" t="s">
        <v>463</v>
      </c>
      <c r="K59" s="4">
        <v>2033</v>
      </c>
      <c r="L59" s="4" t="s">
        <v>952</v>
      </c>
      <c r="M59" s="4" t="s">
        <v>980</v>
      </c>
      <c r="N59" s="4" t="s">
        <v>981</v>
      </c>
      <c r="O59" s="4" t="s">
        <v>46</v>
      </c>
      <c r="P59" s="4"/>
      <c r="Q59" s="4" t="s">
        <v>47</v>
      </c>
      <c r="R59" s="4" t="s">
        <v>48</v>
      </c>
      <c r="S59" s="4">
        <v>0</v>
      </c>
      <c r="T59" s="4" t="b">
        <v>0</v>
      </c>
      <c r="U59" s="4" t="s">
        <v>49</v>
      </c>
      <c r="V59" s="4" t="s">
        <v>134</v>
      </c>
      <c r="W59" s="4" t="s">
        <v>107</v>
      </c>
      <c r="X59" s="4" t="s">
        <v>63</v>
      </c>
      <c r="Y59" s="4" t="s">
        <v>108</v>
      </c>
      <c r="Z59" s="4" t="s">
        <v>98</v>
      </c>
      <c r="AA59" s="4"/>
      <c r="AB59" s="23">
        <v>0</v>
      </c>
      <c r="AC59" s="28" t="s">
        <v>9580</v>
      </c>
      <c r="AD59" s="28" t="e">
        <v>#N/A</v>
      </c>
      <c r="AE59" s="28"/>
      <c r="AF59" s="19">
        <v>43801</v>
      </c>
      <c r="AG59" s="19"/>
      <c r="AH59" s="12">
        <f t="shared" si="0"/>
        <v>4</v>
      </c>
      <c r="AI59" s="12">
        <f t="shared" ca="1" si="1"/>
        <v>6</v>
      </c>
      <c r="AJ59" s="12" t="str">
        <f t="shared" si="2"/>
        <v>1-5 Years</v>
      </c>
      <c r="AK59" s="12" t="s">
        <v>9632</v>
      </c>
      <c r="AL59" s="31">
        <v>35.5</v>
      </c>
      <c r="AM59" s="31">
        <v>49</v>
      </c>
      <c r="AN59" s="12" t="str">
        <f t="shared" si="3"/>
        <v>45-54 Years</v>
      </c>
      <c r="AO59" s="13" t="s">
        <v>9149</v>
      </c>
      <c r="AP59" s="13" t="s">
        <v>9150</v>
      </c>
      <c r="AQ59" s="14" t="s">
        <v>9139</v>
      </c>
      <c r="AR59" s="14" t="s">
        <v>9140</v>
      </c>
      <c r="AS59" s="14"/>
      <c r="AT59" s="14" t="s">
        <v>63</v>
      </c>
      <c r="AU59" s="14" t="s">
        <v>98</v>
      </c>
      <c r="AV59" s="15" t="s">
        <v>9141</v>
      </c>
      <c r="AW59" s="15" t="s">
        <v>9175</v>
      </c>
      <c r="AX59" s="15" t="s">
        <v>9143</v>
      </c>
      <c r="AY59" s="15" t="s">
        <v>9141</v>
      </c>
      <c r="AZ59" s="15" t="s">
        <v>9175</v>
      </c>
      <c r="BA59" s="16" t="s">
        <v>9141</v>
      </c>
      <c r="BB59" s="16" t="s">
        <v>9176</v>
      </c>
    </row>
    <row r="60" spans="1:54" hidden="1" x14ac:dyDescent="0.25">
      <c r="A60" s="4" t="s">
        <v>327</v>
      </c>
      <c r="B60" s="4" t="s">
        <v>9309</v>
      </c>
      <c r="C60" s="4"/>
      <c r="D60" s="4" t="s">
        <v>39</v>
      </c>
      <c r="E60" s="4">
        <v>325837</v>
      </c>
      <c r="F60" s="4" t="s">
        <v>263</v>
      </c>
      <c r="G60" s="32">
        <v>38764</v>
      </c>
      <c r="H60" s="25">
        <v>45283</v>
      </c>
      <c r="I60" s="11">
        <v>0.46875</v>
      </c>
      <c r="J60" s="4" t="s">
        <v>42</v>
      </c>
      <c r="K60" s="4">
        <v>1011</v>
      </c>
      <c r="L60" s="4" t="s">
        <v>215</v>
      </c>
      <c r="M60" s="4" t="s">
        <v>328</v>
      </c>
      <c r="N60" s="4" t="s">
        <v>329</v>
      </c>
      <c r="O60" s="4" t="s">
        <v>46</v>
      </c>
      <c r="P60" s="4"/>
      <c r="Q60" s="4" t="s">
        <v>47</v>
      </c>
      <c r="R60" s="4" t="s">
        <v>48</v>
      </c>
      <c r="S60" s="4">
        <v>0</v>
      </c>
      <c r="T60" s="4" t="b">
        <v>0</v>
      </c>
      <c r="U60" s="4" t="s">
        <v>61</v>
      </c>
      <c r="V60" s="4" t="s">
        <v>266</v>
      </c>
      <c r="W60" s="4" t="s">
        <v>330</v>
      </c>
      <c r="X60" s="4" t="s">
        <v>267</v>
      </c>
      <c r="Y60" s="4" t="s">
        <v>331</v>
      </c>
      <c r="Z60" s="4" t="s">
        <v>54</v>
      </c>
      <c r="AA60" s="4"/>
      <c r="AB60" s="23">
        <v>0</v>
      </c>
      <c r="AC60" s="28" t="e">
        <v>#N/A</v>
      </c>
      <c r="AD60" s="28" t="e">
        <v>#N/A</v>
      </c>
      <c r="AE60" s="28"/>
      <c r="AF60" s="19">
        <v>44858</v>
      </c>
      <c r="AG60" s="19">
        <v>45526</v>
      </c>
      <c r="AH60" s="12">
        <f t="shared" si="0"/>
        <v>1</v>
      </c>
      <c r="AI60" s="12">
        <f t="shared" ca="1" si="1"/>
        <v>1</v>
      </c>
      <c r="AJ60" s="12" t="str">
        <f t="shared" si="2"/>
        <v>1-5 Years</v>
      </c>
      <c r="AK60" s="12" t="s">
        <v>9633</v>
      </c>
      <c r="AL60" s="31">
        <v>0.01</v>
      </c>
      <c r="AM60" s="31">
        <v>19</v>
      </c>
      <c r="AN60" s="12" t="str">
        <f t="shared" si="3"/>
        <v>Less Than 20 Years</v>
      </c>
      <c r="AO60" s="13" t="s">
        <v>9149</v>
      </c>
      <c r="AP60" s="13" t="s">
        <v>9150</v>
      </c>
      <c r="AQ60" s="14" t="s">
        <v>9148</v>
      </c>
      <c r="AR60" s="14" t="s">
        <v>9140</v>
      </c>
      <c r="AS60" s="14"/>
      <c r="AT60" s="14" t="s">
        <v>267</v>
      </c>
      <c r="AU60" s="14" t="s">
        <v>54</v>
      </c>
      <c r="AV60" s="15" t="s">
        <v>9141</v>
      </c>
      <c r="AW60" s="15" t="s">
        <v>9142</v>
      </c>
      <c r="AX60" s="15" t="s">
        <v>9143</v>
      </c>
      <c r="AY60" s="15" t="s">
        <v>9141</v>
      </c>
      <c r="AZ60" s="15" t="s">
        <v>9144</v>
      </c>
      <c r="BA60" s="16" t="s">
        <v>9141</v>
      </c>
      <c r="BB60" s="16" t="s">
        <v>9145</v>
      </c>
    </row>
    <row r="61" spans="1:54" hidden="1" x14ac:dyDescent="0.25">
      <c r="A61" s="4" t="s">
        <v>324</v>
      </c>
      <c r="B61" s="4" t="s">
        <v>9310</v>
      </c>
      <c r="C61" s="4"/>
      <c r="D61" s="4" t="s">
        <v>39</v>
      </c>
      <c r="E61" s="4">
        <v>318097</v>
      </c>
      <c r="F61" s="4" t="s">
        <v>237</v>
      </c>
      <c r="G61" s="32">
        <v>38540</v>
      </c>
      <c r="H61" s="25">
        <v>45287</v>
      </c>
      <c r="I61" s="11">
        <v>0.65277777777777779</v>
      </c>
      <c r="J61" s="4" t="s">
        <v>42</v>
      </c>
      <c r="K61" s="4">
        <v>1011</v>
      </c>
      <c r="L61" s="4" t="s">
        <v>215</v>
      </c>
      <c r="M61" s="4" t="s">
        <v>325</v>
      </c>
      <c r="N61" s="4" t="s">
        <v>326</v>
      </c>
      <c r="O61" s="4" t="s">
        <v>46</v>
      </c>
      <c r="P61" s="4"/>
      <c r="Q61" s="4" t="s">
        <v>47</v>
      </c>
      <c r="R61" s="4" t="s">
        <v>48</v>
      </c>
      <c r="S61" s="4">
        <v>0</v>
      </c>
      <c r="T61" s="4" t="b">
        <v>0</v>
      </c>
      <c r="U61" s="4" t="s">
        <v>49</v>
      </c>
      <c r="V61" s="4" t="s">
        <v>70</v>
      </c>
      <c r="W61" s="4" t="s">
        <v>71</v>
      </c>
      <c r="X61" s="4" t="s">
        <v>63</v>
      </c>
      <c r="Y61" s="4" t="s">
        <v>198</v>
      </c>
      <c r="Z61" s="4" t="s">
        <v>98</v>
      </c>
      <c r="AA61" s="4"/>
      <c r="AB61" s="23">
        <v>0</v>
      </c>
      <c r="AC61" s="28" t="e">
        <v>#N/A</v>
      </c>
      <c r="AD61" s="28" t="e">
        <v>#N/A</v>
      </c>
      <c r="AE61" s="28"/>
      <c r="AF61" s="19">
        <v>44501</v>
      </c>
      <c r="AG61" s="19"/>
      <c r="AH61" s="12">
        <f t="shared" si="0"/>
        <v>2</v>
      </c>
      <c r="AI61" s="12">
        <f t="shared" ca="1" si="1"/>
        <v>4</v>
      </c>
      <c r="AJ61" s="12" t="str">
        <f t="shared" si="2"/>
        <v>1-5 Years</v>
      </c>
      <c r="AK61" s="12" t="s">
        <v>9633</v>
      </c>
      <c r="AL61" s="31">
        <v>0.01</v>
      </c>
      <c r="AM61" s="31">
        <v>19</v>
      </c>
      <c r="AN61" s="12" t="str">
        <f t="shared" si="3"/>
        <v>Less Than 20 Years</v>
      </c>
      <c r="AO61" s="13" t="s">
        <v>9170</v>
      </c>
      <c r="AP61" s="13" t="s">
        <v>9168</v>
      </c>
      <c r="AQ61" s="14" t="s">
        <v>9139</v>
      </c>
      <c r="AR61" s="14" t="s">
        <v>9140</v>
      </c>
      <c r="AS61" s="14"/>
      <c r="AT61" s="14" t="s">
        <v>63</v>
      </c>
      <c r="AU61" s="14" t="s">
        <v>98</v>
      </c>
      <c r="AV61" s="15" t="s">
        <v>9141</v>
      </c>
      <c r="AW61" s="15" t="s">
        <v>9142</v>
      </c>
      <c r="AX61" s="15" t="s">
        <v>9143</v>
      </c>
      <c r="AY61" s="15" t="s">
        <v>9141</v>
      </c>
      <c r="AZ61" s="15" t="s">
        <v>9144</v>
      </c>
      <c r="BA61" s="16" t="s">
        <v>9141</v>
      </c>
      <c r="BB61" s="16" t="s">
        <v>9145</v>
      </c>
    </row>
    <row r="62" spans="1:54" hidden="1" x14ac:dyDescent="0.25">
      <c r="A62" s="4" t="s">
        <v>1815</v>
      </c>
      <c r="B62" s="4" t="s">
        <v>9311</v>
      </c>
      <c r="C62" s="4"/>
      <c r="D62" s="4" t="s">
        <v>39</v>
      </c>
      <c r="E62" s="4">
        <v>297049</v>
      </c>
      <c r="F62" s="4" t="s">
        <v>1753</v>
      </c>
      <c r="G62" s="32">
        <v>34552</v>
      </c>
      <c r="H62" s="25">
        <v>45287</v>
      </c>
      <c r="I62" s="11">
        <v>0.67708333333333337</v>
      </c>
      <c r="J62" s="4" t="s">
        <v>1654</v>
      </c>
      <c r="K62" s="4">
        <v>9095</v>
      </c>
      <c r="L62" s="4" t="s">
        <v>1742</v>
      </c>
      <c r="M62" s="4" t="s">
        <v>1816</v>
      </c>
      <c r="N62" s="4" t="s">
        <v>1817</v>
      </c>
      <c r="O62" s="4" t="s">
        <v>46</v>
      </c>
      <c r="P62" s="4"/>
      <c r="Q62" s="4" t="s">
        <v>47</v>
      </c>
      <c r="R62" s="4" t="s">
        <v>48</v>
      </c>
      <c r="S62" s="4">
        <v>0</v>
      </c>
      <c r="T62" s="4" t="b">
        <v>0</v>
      </c>
      <c r="U62" s="4" t="s">
        <v>49</v>
      </c>
      <c r="V62" s="4" t="s">
        <v>50</v>
      </c>
      <c r="W62" s="4" t="s">
        <v>373</v>
      </c>
      <c r="X62" s="4" t="s">
        <v>72</v>
      </c>
      <c r="Y62" s="4" t="s">
        <v>73</v>
      </c>
      <c r="Z62" s="4" t="s">
        <v>54</v>
      </c>
      <c r="AA62" s="4"/>
      <c r="AB62" s="23">
        <v>0</v>
      </c>
      <c r="AC62" s="28" t="e">
        <v>#N/A</v>
      </c>
      <c r="AD62" s="28" t="e">
        <v>#N/A</v>
      </c>
      <c r="AE62" s="28"/>
      <c r="AF62" s="19">
        <v>44067</v>
      </c>
      <c r="AG62" s="19">
        <v>45754</v>
      </c>
      <c r="AH62" s="12">
        <f t="shared" si="0"/>
        <v>3</v>
      </c>
      <c r="AI62" s="12">
        <f t="shared" ca="1" si="1"/>
        <v>4</v>
      </c>
      <c r="AJ62" s="12" t="str">
        <f t="shared" si="2"/>
        <v>1-5 Years</v>
      </c>
      <c r="AK62" s="12" t="s">
        <v>9632</v>
      </c>
      <c r="AL62" s="31">
        <v>22</v>
      </c>
      <c r="AM62" s="31">
        <v>30</v>
      </c>
      <c r="AN62" s="12" t="str">
        <f t="shared" si="3"/>
        <v>25-34 Years</v>
      </c>
      <c r="AO62" s="13" t="s">
        <v>9170</v>
      </c>
      <c r="AP62" s="13" t="s">
        <v>9168</v>
      </c>
      <c r="AQ62" s="14" t="s">
        <v>9139</v>
      </c>
      <c r="AR62" s="14" t="s">
        <v>9140</v>
      </c>
      <c r="AS62" s="14"/>
      <c r="AT62" s="14" t="s">
        <v>72</v>
      </c>
      <c r="AU62" s="14" t="s">
        <v>54</v>
      </c>
      <c r="AV62" s="15" t="s">
        <v>9141</v>
      </c>
      <c r="AW62" s="15" t="s">
        <v>9191</v>
      </c>
      <c r="AX62" s="15" t="s">
        <v>9143</v>
      </c>
      <c r="AY62" s="15" t="s">
        <v>9141</v>
      </c>
      <c r="AZ62" s="15" t="s">
        <v>9191</v>
      </c>
      <c r="BA62" s="16" t="s">
        <v>9141</v>
      </c>
      <c r="BB62" s="16" t="s">
        <v>9192</v>
      </c>
    </row>
    <row r="63" spans="1:54" hidden="1" x14ac:dyDescent="0.25">
      <c r="A63" s="4" t="s">
        <v>199</v>
      </c>
      <c r="B63" s="4" t="s">
        <v>9312</v>
      </c>
      <c r="C63" s="4"/>
      <c r="D63" s="4" t="s">
        <v>39</v>
      </c>
      <c r="E63" s="4">
        <v>297607</v>
      </c>
      <c r="F63" s="4" t="s">
        <v>201</v>
      </c>
      <c r="G63" s="32">
        <v>25317</v>
      </c>
      <c r="H63" s="25">
        <v>45289</v>
      </c>
      <c r="I63" s="11">
        <v>0.36805555555555558</v>
      </c>
      <c r="J63" s="4" t="s">
        <v>42</v>
      </c>
      <c r="K63" s="4">
        <v>1008</v>
      </c>
      <c r="L63" s="4" t="s">
        <v>170</v>
      </c>
      <c r="M63" s="4" t="s">
        <v>202</v>
      </c>
      <c r="N63" s="4" t="s">
        <v>203</v>
      </c>
      <c r="O63" s="4" t="s">
        <v>46</v>
      </c>
      <c r="P63" s="4"/>
      <c r="Q63" s="4" t="s">
        <v>47</v>
      </c>
      <c r="R63" s="4" t="s">
        <v>48</v>
      </c>
      <c r="S63" s="4">
        <v>0</v>
      </c>
      <c r="T63" s="4" t="b">
        <v>0</v>
      </c>
      <c r="U63" s="4" t="s">
        <v>114</v>
      </c>
      <c r="V63" s="4" t="s">
        <v>204</v>
      </c>
      <c r="W63" s="4" t="s">
        <v>122</v>
      </c>
      <c r="X63" s="4" t="s">
        <v>123</v>
      </c>
      <c r="Y63" s="4" t="s">
        <v>124</v>
      </c>
      <c r="Z63" s="4" t="s">
        <v>54</v>
      </c>
      <c r="AA63" s="4"/>
      <c r="AB63" s="23">
        <v>0</v>
      </c>
      <c r="AC63" s="28" t="e">
        <v>#N/A</v>
      </c>
      <c r="AD63" s="28" t="e">
        <v>#N/A</v>
      </c>
      <c r="AE63" s="28"/>
      <c r="AF63" s="19">
        <v>44837</v>
      </c>
      <c r="AG63" s="19"/>
      <c r="AH63" s="12">
        <f t="shared" si="0"/>
        <v>1</v>
      </c>
      <c r="AI63" s="12">
        <f t="shared" ca="1" si="1"/>
        <v>3</v>
      </c>
      <c r="AJ63" s="12" t="str">
        <f t="shared" si="2"/>
        <v>1-5 Years</v>
      </c>
      <c r="AK63" s="12" t="s">
        <v>9632</v>
      </c>
      <c r="AL63" s="31">
        <v>21</v>
      </c>
      <c r="AM63" s="31">
        <v>56</v>
      </c>
      <c r="AN63" s="12" t="str">
        <f t="shared" si="3"/>
        <v>More Than 55 Years</v>
      </c>
      <c r="AO63" s="13" t="s">
        <v>9170</v>
      </c>
      <c r="AP63" s="13" t="s">
        <v>9168</v>
      </c>
      <c r="AQ63" s="14" t="s">
        <v>9157</v>
      </c>
      <c r="AR63" s="14" t="s">
        <v>9140</v>
      </c>
      <c r="AS63" s="14"/>
      <c r="AT63" s="14" t="s">
        <v>123</v>
      </c>
      <c r="AU63" s="14" t="s">
        <v>54</v>
      </c>
      <c r="AV63" s="15" t="s">
        <v>9141</v>
      </c>
      <c r="AW63" s="15" t="s">
        <v>9142</v>
      </c>
      <c r="AX63" s="15" t="s">
        <v>9143</v>
      </c>
      <c r="AY63" s="15" t="s">
        <v>9141</v>
      </c>
      <c r="AZ63" s="15" t="s">
        <v>9144</v>
      </c>
      <c r="BA63" s="16" t="s">
        <v>9141</v>
      </c>
      <c r="BB63" s="16" t="s">
        <v>9145</v>
      </c>
    </row>
    <row r="64" spans="1:54" hidden="1" x14ac:dyDescent="0.25">
      <c r="A64" s="4" t="s">
        <v>318</v>
      </c>
      <c r="B64" s="4" t="s">
        <v>9313</v>
      </c>
      <c r="C64" s="4"/>
      <c r="D64" s="4" t="s">
        <v>39</v>
      </c>
      <c r="E64" s="4">
        <v>295575</v>
      </c>
      <c r="F64" s="4" t="s">
        <v>320</v>
      </c>
      <c r="G64" s="32">
        <v>25227</v>
      </c>
      <c r="H64" s="25">
        <v>45289</v>
      </c>
      <c r="I64" s="11">
        <v>0.58333333333333337</v>
      </c>
      <c r="J64" s="4" t="s">
        <v>42</v>
      </c>
      <c r="K64" s="4">
        <v>1011</v>
      </c>
      <c r="L64" s="4" t="s">
        <v>215</v>
      </c>
      <c r="M64" s="4" t="s">
        <v>321</v>
      </c>
      <c r="N64" s="4" t="s">
        <v>322</v>
      </c>
      <c r="O64" s="4" t="s">
        <v>46</v>
      </c>
      <c r="P64" s="4"/>
      <c r="Q64" s="4" t="s">
        <v>47</v>
      </c>
      <c r="R64" s="4" t="s">
        <v>48</v>
      </c>
      <c r="S64" s="4">
        <v>0</v>
      </c>
      <c r="T64" s="4" t="b">
        <v>0</v>
      </c>
      <c r="U64" s="4" t="s">
        <v>49</v>
      </c>
      <c r="V64" s="4" t="s">
        <v>50</v>
      </c>
      <c r="W64" s="4" t="s">
        <v>148</v>
      </c>
      <c r="X64" s="4" t="s">
        <v>63</v>
      </c>
      <c r="Y64" s="4" t="s">
        <v>198</v>
      </c>
      <c r="Z64" s="4" t="s">
        <v>54</v>
      </c>
      <c r="AA64" s="4" t="s">
        <v>323</v>
      </c>
      <c r="AB64" s="23">
        <v>0</v>
      </c>
      <c r="AC64" s="28" t="e">
        <v>#N/A</v>
      </c>
      <c r="AD64" s="28" t="e">
        <v>#N/A</v>
      </c>
      <c r="AE64" s="28"/>
      <c r="AF64" s="19">
        <v>42968</v>
      </c>
      <c r="AG64" s="19">
        <v>45636</v>
      </c>
      <c r="AH64" s="12">
        <f t="shared" si="0"/>
        <v>6</v>
      </c>
      <c r="AI64" s="12">
        <f t="shared" ca="1" si="1"/>
        <v>7</v>
      </c>
      <c r="AJ64" s="12" t="str">
        <f t="shared" si="2"/>
        <v>6-10 Years</v>
      </c>
      <c r="AK64" s="12" t="s">
        <v>9632</v>
      </c>
      <c r="AL64" s="31">
        <v>21</v>
      </c>
      <c r="AM64" s="31">
        <v>56</v>
      </c>
      <c r="AN64" s="12" t="str">
        <f t="shared" si="3"/>
        <v>More Than 55 Years</v>
      </c>
      <c r="AO64" s="13" t="s">
        <v>9170</v>
      </c>
      <c r="AP64" s="13" t="s">
        <v>9168</v>
      </c>
      <c r="AQ64" s="14" t="s">
        <v>9139</v>
      </c>
      <c r="AR64" s="14" t="s">
        <v>9140</v>
      </c>
      <c r="AS64" s="14"/>
      <c r="AT64" s="14" t="s">
        <v>63</v>
      </c>
      <c r="AU64" s="14" t="s">
        <v>54</v>
      </c>
      <c r="AV64" s="15" t="s">
        <v>9141</v>
      </c>
      <c r="AW64" s="15" t="s">
        <v>9142</v>
      </c>
      <c r="AX64" s="15" t="s">
        <v>9143</v>
      </c>
      <c r="AY64" s="15" t="s">
        <v>9141</v>
      </c>
      <c r="AZ64" s="15" t="s">
        <v>9144</v>
      </c>
      <c r="BA64" s="16" t="s">
        <v>9141</v>
      </c>
      <c r="BB64" s="16" t="s">
        <v>9145</v>
      </c>
    </row>
    <row r="65" spans="1:54" hidden="1" x14ac:dyDescent="0.25">
      <c r="A65" s="4" t="s">
        <v>974</v>
      </c>
      <c r="B65" s="4" t="s">
        <v>9314</v>
      </c>
      <c r="C65" s="4"/>
      <c r="D65" s="4" t="s">
        <v>39</v>
      </c>
      <c r="E65" s="4">
        <v>325824</v>
      </c>
      <c r="F65" s="4" t="s">
        <v>976</v>
      </c>
      <c r="G65" s="32">
        <v>26320</v>
      </c>
      <c r="H65" s="25">
        <v>45294</v>
      </c>
      <c r="I65" s="11">
        <v>0.38958333333333334</v>
      </c>
      <c r="J65" s="4" t="s">
        <v>463</v>
      </c>
      <c r="K65" s="4">
        <v>2033</v>
      </c>
      <c r="L65" s="4" t="s">
        <v>952</v>
      </c>
      <c r="M65" s="4" t="s">
        <v>851</v>
      </c>
      <c r="N65" s="4" t="s">
        <v>977</v>
      </c>
      <c r="O65" s="4" t="s">
        <v>46</v>
      </c>
      <c r="P65" s="4"/>
      <c r="Q65" s="4" t="s">
        <v>47</v>
      </c>
      <c r="R65" s="4" t="s">
        <v>48</v>
      </c>
      <c r="S65" s="4">
        <v>0</v>
      </c>
      <c r="T65" s="4" t="b">
        <v>0</v>
      </c>
      <c r="U65" s="4" t="s">
        <v>49</v>
      </c>
      <c r="V65" s="4" t="s">
        <v>479</v>
      </c>
      <c r="W65" s="4" t="s">
        <v>51</v>
      </c>
      <c r="X65" s="4" t="s">
        <v>123</v>
      </c>
      <c r="Y65" s="4" t="s">
        <v>124</v>
      </c>
      <c r="Z65" s="4" t="s">
        <v>978</v>
      </c>
      <c r="AA65" s="4"/>
      <c r="AB65" s="23">
        <v>0</v>
      </c>
      <c r="AC65" s="28" t="e">
        <v>#N/A</v>
      </c>
      <c r="AD65" s="28" t="e">
        <v>#N/A</v>
      </c>
      <c r="AE65" s="28"/>
      <c r="AF65" s="19">
        <v>44865</v>
      </c>
      <c r="AG65" s="19"/>
      <c r="AH65" s="12">
        <f t="shared" si="0"/>
        <v>1</v>
      </c>
      <c r="AI65" s="12">
        <f t="shared" ca="1" si="1"/>
        <v>3</v>
      </c>
      <c r="AJ65" s="12" t="str">
        <f t="shared" si="2"/>
        <v>1-5 Years</v>
      </c>
      <c r="AK65" s="12" t="s">
        <v>9633</v>
      </c>
      <c r="AL65" s="31">
        <v>0.01</v>
      </c>
      <c r="AM65" s="31">
        <v>53</v>
      </c>
      <c r="AN65" s="12" t="str">
        <f t="shared" si="3"/>
        <v>45-54 Years</v>
      </c>
      <c r="AO65" s="13" t="s">
        <v>9170</v>
      </c>
      <c r="AP65" s="13" t="s">
        <v>9168</v>
      </c>
      <c r="AQ65" s="14" t="s">
        <v>9139</v>
      </c>
      <c r="AR65" s="14" t="s">
        <v>9140</v>
      </c>
      <c r="AS65" s="14"/>
      <c r="AT65" s="14" t="s">
        <v>123</v>
      </c>
      <c r="AU65" s="14" t="s">
        <v>978</v>
      </c>
      <c r="AV65" s="15" t="s">
        <v>9141</v>
      </c>
      <c r="AW65" s="15" t="s">
        <v>9175</v>
      </c>
      <c r="AX65" s="15" t="s">
        <v>9143</v>
      </c>
      <c r="AY65" s="15" t="s">
        <v>9141</v>
      </c>
      <c r="AZ65" s="15" t="s">
        <v>9175</v>
      </c>
      <c r="BA65" s="16" t="s">
        <v>9141</v>
      </c>
      <c r="BB65" s="16" t="s">
        <v>9176</v>
      </c>
    </row>
    <row r="66" spans="1:54" hidden="1" x14ac:dyDescent="0.25">
      <c r="A66" s="4" t="s">
        <v>907</v>
      </c>
      <c r="B66" s="4" t="s">
        <v>9315</v>
      </c>
      <c r="C66" s="4"/>
      <c r="D66" s="4" t="s">
        <v>39</v>
      </c>
      <c r="E66" s="4">
        <v>323303</v>
      </c>
      <c r="F66" s="4" t="s">
        <v>895</v>
      </c>
      <c r="G66" s="32">
        <v>24815</v>
      </c>
      <c r="H66" s="25">
        <v>45295</v>
      </c>
      <c r="I66" s="11">
        <v>0.625</v>
      </c>
      <c r="J66" s="4" t="s">
        <v>463</v>
      </c>
      <c r="K66" s="4">
        <v>2030</v>
      </c>
      <c r="L66" s="4" t="s">
        <v>876</v>
      </c>
      <c r="M66" s="4" t="s">
        <v>908</v>
      </c>
      <c r="N66" s="4" t="s">
        <v>909</v>
      </c>
      <c r="O66" s="4" t="s">
        <v>46</v>
      </c>
      <c r="P66" s="4"/>
      <c r="Q66" s="4" t="s">
        <v>47</v>
      </c>
      <c r="R66" s="4" t="s">
        <v>48</v>
      </c>
      <c r="S66" s="4">
        <v>0</v>
      </c>
      <c r="T66" s="4" t="b">
        <v>0</v>
      </c>
      <c r="U66" s="4" t="s">
        <v>49</v>
      </c>
      <c r="V66" s="4" t="s">
        <v>50</v>
      </c>
      <c r="W66" s="4" t="s">
        <v>527</v>
      </c>
      <c r="X66" s="4" t="s">
        <v>63</v>
      </c>
      <c r="Y66" s="4" t="s">
        <v>108</v>
      </c>
      <c r="Z66" s="4" t="s">
        <v>98</v>
      </c>
      <c r="AA66" s="4"/>
      <c r="AB66" s="23">
        <v>0</v>
      </c>
      <c r="AC66" s="28" t="e">
        <v>#N/A</v>
      </c>
      <c r="AD66" s="28" t="e">
        <v>#N/A</v>
      </c>
      <c r="AE66" s="28"/>
      <c r="AF66" s="19">
        <v>44739</v>
      </c>
      <c r="AG66" s="19"/>
      <c r="AH66" s="12">
        <f t="shared" si="0"/>
        <v>1</v>
      </c>
      <c r="AI66" s="12">
        <f t="shared" ca="1" si="1"/>
        <v>4</v>
      </c>
      <c r="AJ66" s="12" t="str">
        <f t="shared" si="2"/>
        <v>1-5 Years</v>
      </c>
      <c r="AK66" s="12" t="s">
        <v>9632</v>
      </c>
      <c r="AL66" s="31">
        <v>27.5</v>
      </c>
      <c r="AM66" s="31">
        <v>57</v>
      </c>
      <c r="AN66" s="12" t="str">
        <f t="shared" si="3"/>
        <v>More Than 55 Years</v>
      </c>
      <c r="AO66" s="13" t="s">
        <v>9170</v>
      </c>
      <c r="AP66" s="13" t="s">
        <v>9168</v>
      </c>
      <c r="AQ66" s="14" t="s">
        <v>9139</v>
      </c>
      <c r="AR66" s="14" t="s">
        <v>9140</v>
      </c>
      <c r="AS66" s="14"/>
      <c r="AT66" s="14" t="s">
        <v>63</v>
      </c>
      <c r="AU66" s="14" t="s">
        <v>98</v>
      </c>
      <c r="AV66" s="15" t="s">
        <v>9141</v>
      </c>
      <c r="AW66" s="15" t="s">
        <v>9175</v>
      </c>
      <c r="AX66" s="15" t="s">
        <v>9143</v>
      </c>
      <c r="AY66" s="15" t="s">
        <v>9141</v>
      </c>
      <c r="AZ66" s="15" t="s">
        <v>9177</v>
      </c>
      <c r="BA66" s="16" t="s">
        <v>9141</v>
      </c>
      <c r="BB66" s="16" t="s">
        <v>9178</v>
      </c>
    </row>
    <row r="67" spans="1:54" hidden="1" x14ac:dyDescent="0.25">
      <c r="A67" s="4" t="s">
        <v>1024</v>
      </c>
      <c r="B67" s="4" t="s">
        <v>9316</v>
      </c>
      <c r="C67" s="4"/>
      <c r="D67" s="4" t="s">
        <v>39</v>
      </c>
      <c r="E67" s="4">
        <v>326976</v>
      </c>
      <c r="F67" s="4" t="s">
        <v>1026</v>
      </c>
      <c r="G67" s="32">
        <v>38418</v>
      </c>
      <c r="H67" s="25">
        <v>45295</v>
      </c>
      <c r="I67" s="11">
        <v>0.30555555555555558</v>
      </c>
      <c r="J67" s="4" t="s">
        <v>463</v>
      </c>
      <c r="K67" s="4">
        <v>2042</v>
      </c>
      <c r="L67" s="4" t="s">
        <v>1015</v>
      </c>
      <c r="M67" s="4" t="s">
        <v>1027</v>
      </c>
      <c r="N67" s="4" t="s">
        <v>1028</v>
      </c>
      <c r="O67" s="4" t="s">
        <v>46</v>
      </c>
      <c r="P67" s="4"/>
      <c r="Q67" s="4" t="s">
        <v>47</v>
      </c>
      <c r="R67" s="4" t="s">
        <v>48</v>
      </c>
      <c r="S67" s="4">
        <v>0</v>
      </c>
      <c r="T67" s="4" t="b">
        <v>0</v>
      </c>
      <c r="U67" s="4" t="s">
        <v>49</v>
      </c>
      <c r="V67" s="4" t="s">
        <v>50</v>
      </c>
      <c r="W67" s="4" t="s">
        <v>107</v>
      </c>
      <c r="X67" s="4" t="s">
        <v>63</v>
      </c>
      <c r="Y67" s="4" t="s">
        <v>198</v>
      </c>
      <c r="Z67" s="4" t="s">
        <v>54</v>
      </c>
      <c r="AA67" s="4" t="s">
        <v>323</v>
      </c>
      <c r="AB67" s="23">
        <v>0</v>
      </c>
      <c r="AC67" s="28" t="e">
        <v>#N/A</v>
      </c>
      <c r="AD67" s="28" t="e">
        <v>#N/A</v>
      </c>
      <c r="AE67" s="28"/>
      <c r="AF67" s="19">
        <v>44900</v>
      </c>
      <c r="AG67" s="19"/>
      <c r="AH67" s="12">
        <f t="shared" ref="AH67:AH130" si="4">DATEDIF(AF67,H67,"Y")</f>
        <v>1</v>
      </c>
      <c r="AI67" s="12">
        <f t="shared" ref="AI67:AI130" ca="1" si="5">IF(AG67=0,DATEDIF(AF67,TODAY(),"Y"),DATEDIF(AF67,AG67,"Y"))</f>
        <v>3</v>
      </c>
      <c r="AJ67" s="12" t="str">
        <f t="shared" ref="AJ67:AJ130" si="6">IF(AH67=0,"Under 1 Year",IF(AND(AH67&gt;=1,AH67&lt;=5),"1-5 Years",IF(AND(AH67&gt;=6,AH67&lt;=10),"6-10 Years",IF(AND(AH67&gt;=11,AH67&lt;=15),"11-15 Years",IF(AND(AH67&gt;=16,AH67&lt;=20),"16-20 Years",IF(AND(AH67&gt;=21,AH67&lt;=25),"21-25 Years",IF(AND(AH67&gt;=26,AH67&lt;=30),"26-30 Years","More Than 30 Years")))))))</f>
        <v>1-5 Years</v>
      </c>
      <c r="AK67" s="12" t="s">
        <v>9633</v>
      </c>
      <c r="AL67" s="31">
        <v>0.01</v>
      </c>
      <c r="AM67" s="31">
        <v>20</v>
      </c>
      <c r="AN67" s="12" t="str">
        <f t="shared" ref="AN67:AN130" si="7">IF(AM67&lt;20,"Less Than 20 Years",IF(AND(AM67&gt;=20,AM67&lt;=24),"20-24 Years",IF(AND(AM67&gt;=25,AM67&lt;=34),"25-34 Years",IF(AND(AM67&gt;=35,AM67&lt;=44),"35-44 Years",IF(AND(AM67&gt;=45,AM67&lt;=54),"45-54 Years","More Than 55 Years")))))</f>
        <v>20-24 Years</v>
      </c>
      <c r="AO67" s="13" t="s">
        <v>9170</v>
      </c>
      <c r="AP67" s="13" t="s">
        <v>9168</v>
      </c>
      <c r="AQ67" s="14" t="s">
        <v>9139</v>
      </c>
      <c r="AR67" s="14" t="s">
        <v>9140</v>
      </c>
      <c r="AS67" s="14"/>
      <c r="AT67" s="14" t="s">
        <v>63</v>
      </c>
      <c r="AU67" s="14" t="s">
        <v>54</v>
      </c>
      <c r="AV67" s="15" t="s">
        <v>9141</v>
      </c>
      <c r="AW67" s="15" t="s">
        <v>9175</v>
      </c>
      <c r="AX67" s="15" t="s">
        <v>9143</v>
      </c>
      <c r="AY67" s="15" t="s">
        <v>9141</v>
      </c>
      <c r="AZ67" s="15" t="s">
        <v>9175</v>
      </c>
      <c r="BA67" s="16" t="s">
        <v>9141</v>
      </c>
      <c r="BB67" s="16" t="s">
        <v>9176</v>
      </c>
    </row>
    <row r="68" spans="1:54" hidden="1" x14ac:dyDescent="0.25">
      <c r="A68" s="4" t="s">
        <v>1188</v>
      </c>
      <c r="B68" s="4" t="s">
        <v>9317</v>
      </c>
      <c r="C68" s="4"/>
      <c r="D68" s="4" t="s">
        <v>39</v>
      </c>
      <c r="E68" s="4">
        <v>331671</v>
      </c>
      <c r="F68" s="4" t="s">
        <v>1190</v>
      </c>
      <c r="G68" s="32">
        <v>39302</v>
      </c>
      <c r="H68" s="25">
        <v>45296</v>
      </c>
      <c r="I68" s="11">
        <v>0.51041666666666663</v>
      </c>
      <c r="J68" s="4" t="s">
        <v>1155</v>
      </c>
      <c r="K68" s="4">
        <v>4042</v>
      </c>
      <c r="L68" s="4" t="s">
        <v>1173</v>
      </c>
      <c r="M68" s="4" t="s">
        <v>1191</v>
      </c>
      <c r="N68" s="4" t="s">
        <v>1192</v>
      </c>
      <c r="O68" s="4" t="s">
        <v>46</v>
      </c>
      <c r="P68" s="4"/>
      <c r="Q68" s="4" t="s">
        <v>47</v>
      </c>
      <c r="R68" s="4" t="s">
        <v>48</v>
      </c>
      <c r="S68" s="4">
        <v>0</v>
      </c>
      <c r="T68" s="4" t="b">
        <v>0</v>
      </c>
      <c r="U68" s="4" t="s">
        <v>49</v>
      </c>
      <c r="V68" s="4" t="s">
        <v>70</v>
      </c>
      <c r="W68" s="4" t="s">
        <v>71</v>
      </c>
      <c r="X68" s="4" t="s">
        <v>72</v>
      </c>
      <c r="Y68" s="4" t="s">
        <v>73</v>
      </c>
      <c r="Z68" s="4" t="s">
        <v>98</v>
      </c>
      <c r="AA68" s="4"/>
      <c r="AB68" s="23">
        <v>0</v>
      </c>
      <c r="AC68" s="28" t="e">
        <v>#N/A</v>
      </c>
      <c r="AD68" s="28" t="e">
        <v>#N/A</v>
      </c>
      <c r="AE68" s="28"/>
      <c r="AF68" s="19">
        <v>45215</v>
      </c>
      <c r="AG68" s="19">
        <v>45640</v>
      </c>
      <c r="AH68" s="12">
        <f t="shared" si="4"/>
        <v>0</v>
      </c>
      <c r="AI68" s="12">
        <f t="shared" ca="1" si="5"/>
        <v>1</v>
      </c>
      <c r="AJ68" s="12" t="str">
        <f t="shared" si="6"/>
        <v>Under 1 Year</v>
      </c>
      <c r="AK68" s="12" t="s">
        <v>9633</v>
      </c>
      <c r="AL68" s="31">
        <v>0.01</v>
      </c>
      <c r="AM68" s="31">
        <v>17</v>
      </c>
      <c r="AN68" s="12" t="str">
        <f t="shared" si="7"/>
        <v>Less Than 20 Years</v>
      </c>
      <c r="AO68" s="13" t="s">
        <v>9170</v>
      </c>
      <c r="AP68" s="13" t="s">
        <v>9168</v>
      </c>
      <c r="AQ68" s="14" t="s">
        <v>9139</v>
      </c>
      <c r="AR68" s="14" t="s">
        <v>9140</v>
      </c>
      <c r="AS68" s="14"/>
      <c r="AT68" s="14" t="s">
        <v>72</v>
      </c>
      <c r="AU68" s="14" t="s">
        <v>98</v>
      </c>
      <c r="AV68" s="15" t="s">
        <v>9141</v>
      </c>
      <c r="AW68" s="15" t="s">
        <v>9187</v>
      </c>
      <c r="AX68" s="15" t="s">
        <v>9143</v>
      </c>
      <c r="AY68" s="15" t="s">
        <v>9141</v>
      </c>
      <c r="AZ68" s="15" t="s">
        <v>9144</v>
      </c>
      <c r="BA68" s="16" t="s">
        <v>9141</v>
      </c>
      <c r="BB68" s="16" t="s">
        <v>9145</v>
      </c>
    </row>
    <row r="69" spans="1:54" hidden="1" x14ac:dyDescent="0.25">
      <c r="A69" s="4" t="s">
        <v>313</v>
      </c>
      <c r="B69" s="4" t="s">
        <v>9318</v>
      </c>
      <c r="C69" s="4"/>
      <c r="D69" s="4" t="s">
        <v>39</v>
      </c>
      <c r="E69" s="4">
        <v>295602</v>
      </c>
      <c r="F69" s="4" t="s">
        <v>315</v>
      </c>
      <c r="G69" s="32">
        <v>36841</v>
      </c>
      <c r="H69" s="25">
        <v>45298</v>
      </c>
      <c r="I69" s="11">
        <v>0.64583333333333337</v>
      </c>
      <c r="J69" s="4" t="s">
        <v>42</v>
      </c>
      <c r="K69" s="4">
        <v>1011</v>
      </c>
      <c r="L69" s="4" t="s">
        <v>215</v>
      </c>
      <c r="M69" s="4" t="s">
        <v>316</v>
      </c>
      <c r="N69" s="4" t="s">
        <v>317</v>
      </c>
      <c r="O69" s="4" t="s">
        <v>46</v>
      </c>
      <c r="P69" s="4"/>
      <c r="Q69" s="4" t="s">
        <v>47</v>
      </c>
      <c r="R69" s="4" t="s">
        <v>48</v>
      </c>
      <c r="S69" s="4">
        <v>0</v>
      </c>
      <c r="T69" s="4" t="b">
        <v>0</v>
      </c>
      <c r="U69" s="4" t="s">
        <v>49</v>
      </c>
      <c r="V69" s="4" t="s">
        <v>70</v>
      </c>
      <c r="W69" s="4" t="s">
        <v>71</v>
      </c>
      <c r="X69" s="4" t="s">
        <v>72</v>
      </c>
      <c r="Y69" s="4" t="s">
        <v>73</v>
      </c>
      <c r="Z69" s="4" t="s">
        <v>98</v>
      </c>
      <c r="AA69" s="4" t="s">
        <v>176</v>
      </c>
      <c r="AB69" s="23">
        <v>0</v>
      </c>
      <c r="AC69" s="28" t="e">
        <v>#N/A</v>
      </c>
      <c r="AD69" s="28" t="e">
        <v>#N/A</v>
      </c>
      <c r="AE69" s="28"/>
      <c r="AF69" s="19">
        <v>42982</v>
      </c>
      <c r="AG69" s="19">
        <v>45305</v>
      </c>
      <c r="AH69" s="12">
        <f t="shared" si="4"/>
        <v>6</v>
      </c>
      <c r="AI69" s="12">
        <f t="shared" ca="1" si="5"/>
        <v>6</v>
      </c>
      <c r="AJ69" s="12" t="str">
        <f t="shared" si="6"/>
        <v>6-10 Years</v>
      </c>
      <c r="AK69" s="12" t="s">
        <v>9632</v>
      </c>
      <c r="AL69" s="31">
        <v>10.5</v>
      </c>
      <c r="AM69" s="31">
        <v>24</v>
      </c>
      <c r="AN69" s="12" t="str">
        <f t="shared" si="7"/>
        <v>20-24 Years</v>
      </c>
      <c r="AO69" s="13" t="s">
        <v>9170</v>
      </c>
      <c r="AP69" s="13" t="s">
        <v>9168</v>
      </c>
      <c r="AQ69" s="14" t="s">
        <v>9139</v>
      </c>
      <c r="AR69" s="14" t="s">
        <v>9140</v>
      </c>
      <c r="AS69" s="14"/>
      <c r="AT69" s="14" t="s">
        <v>72</v>
      </c>
      <c r="AU69" s="14" t="s">
        <v>98</v>
      </c>
      <c r="AV69" s="15" t="s">
        <v>9141</v>
      </c>
      <c r="AW69" s="15" t="s">
        <v>9142</v>
      </c>
      <c r="AX69" s="15" t="s">
        <v>9143</v>
      </c>
      <c r="AY69" s="15" t="s">
        <v>9141</v>
      </c>
      <c r="AZ69" s="15" t="s">
        <v>9144</v>
      </c>
      <c r="BA69" s="16" t="s">
        <v>9141</v>
      </c>
      <c r="BB69" s="16" t="s">
        <v>9145</v>
      </c>
    </row>
    <row r="70" spans="1:54" hidden="1" x14ac:dyDescent="0.25">
      <c r="A70" s="4" t="s">
        <v>833</v>
      </c>
      <c r="B70" s="4" t="s">
        <v>9319</v>
      </c>
      <c r="C70" s="4"/>
      <c r="D70" s="4" t="s">
        <v>39</v>
      </c>
      <c r="E70" s="4">
        <v>292572</v>
      </c>
      <c r="F70" s="4" t="s">
        <v>835</v>
      </c>
      <c r="G70" s="32">
        <v>31993</v>
      </c>
      <c r="H70" s="25">
        <v>45300</v>
      </c>
      <c r="I70" s="11">
        <v>0.50624999999999998</v>
      </c>
      <c r="J70" s="4" t="s">
        <v>463</v>
      </c>
      <c r="K70" s="4">
        <v>2028</v>
      </c>
      <c r="L70" s="4" t="s">
        <v>804</v>
      </c>
      <c r="M70" s="4" t="s">
        <v>836</v>
      </c>
      <c r="N70" s="4" t="s">
        <v>837</v>
      </c>
      <c r="O70" s="4" t="s">
        <v>46</v>
      </c>
      <c r="P70" s="4"/>
      <c r="Q70" s="4" t="s">
        <v>47</v>
      </c>
      <c r="R70" s="4" t="s">
        <v>48</v>
      </c>
      <c r="S70" s="4">
        <v>0</v>
      </c>
      <c r="T70" s="4" t="b">
        <v>0</v>
      </c>
      <c r="U70" s="4" t="s">
        <v>61</v>
      </c>
      <c r="V70" s="4" t="s">
        <v>89</v>
      </c>
      <c r="W70" s="4" t="s">
        <v>373</v>
      </c>
      <c r="X70" s="4" t="s">
        <v>63</v>
      </c>
      <c r="Y70" s="4" t="s">
        <v>108</v>
      </c>
      <c r="Z70" s="4" t="s">
        <v>838</v>
      </c>
      <c r="AA70" s="4" t="s">
        <v>486</v>
      </c>
      <c r="AB70" s="23">
        <v>0</v>
      </c>
      <c r="AC70" s="28" t="e">
        <v>#N/A</v>
      </c>
      <c r="AD70" s="28" t="e">
        <v>#N/A</v>
      </c>
      <c r="AE70" s="28"/>
      <c r="AF70" s="19">
        <v>41015</v>
      </c>
      <c r="AG70" s="19"/>
      <c r="AH70" s="12">
        <f t="shared" si="4"/>
        <v>11</v>
      </c>
      <c r="AI70" s="12">
        <f t="shared" ca="1" si="5"/>
        <v>14</v>
      </c>
      <c r="AJ70" s="12" t="str">
        <f t="shared" si="6"/>
        <v>11-15 Years</v>
      </c>
      <c r="AK70" s="12" t="s">
        <v>10046</v>
      </c>
      <c r="AL70" s="31">
        <v>38</v>
      </c>
      <c r="AM70" s="31">
        <v>37</v>
      </c>
      <c r="AN70" s="12" t="str">
        <f t="shared" si="7"/>
        <v>35-44 Years</v>
      </c>
      <c r="AO70" s="13" t="s">
        <v>9170</v>
      </c>
      <c r="AP70" s="13" t="s">
        <v>9168</v>
      </c>
      <c r="AQ70" s="14" t="s">
        <v>9148</v>
      </c>
      <c r="AR70" s="14" t="s">
        <v>9140</v>
      </c>
      <c r="AS70" s="14"/>
      <c r="AT70" s="14" t="s">
        <v>63</v>
      </c>
      <c r="AU70" s="14" t="s">
        <v>838</v>
      </c>
      <c r="AV70" s="15" t="s">
        <v>9141</v>
      </c>
      <c r="AW70" s="15" t="s">
        <v>9175</v>
      </c>
      <c r="AX70" s="15" t="s">
        <v>9143</v>
      </c>
      <c r="AY70" s="15" t="s">
        <v>9141</v>
      </c>
      <c r="AZ70" s="15" t="s">
        <v>9175</v>
      </c>
      <c r="BA70" s="16" t="s">
        <v>9141</v>
      </c>
      <c r="BB70" s="16" t="s">
        <v>9176</v>
      </c>
    </row>
    <row r="71" spans="1:54" hidden="1" x14ac:dyDescent="0.25">
      <c r="A71" s="4" t="s">
        <v>601</v>
      </c>
      <c r="B71" s="4" t="s">
        <v>9320</v>
      </c>
      <c r="C71" s="4"/>
      <c r="D71" s="4" t="s">
        <v>39</v>
      </c>
      <c r="E71" s="4">
        <v>293808</v>
      </c>
      <c r="F71" s="4" t="s">
        <v>603</v>
      </c>
      <c r="G71" s="32">
        <v>35843</v>
      </c>
      <c r="H71" s="25">
        <v>45302</v>
      </c>
      <c r="I71" s="11">
        <v>0.69791666666666663</v>
      </c>
      <c r="J71" s="4" t="s">
        <v>463</v>
      </c>
      <c r="K71" s="4">
        <v>2022</v>
      </c>
      <c r="L71" s="4" t="s">
        <v>565</v>
      </c>
      <c r="M71" s="4" t="s">
        <v>604</v>
      </c>
      <c r="N71" s="4" t="s">
        <v>605</v>
      </c>
      <c r="O71" s="4" t="s">
        <v>46</v>
      </c>
      <c r="P71" s="4"/>
      <c r="Q71" s="4" t="s">
        <v>47</v>
      </c>
      <c r="R71" s="4" t="s">
        <v>48</v>
      </c>
      <c r="S71" s="4">
        <v>0</v>
      </c>
      <c r="T71" s="4" t="b">
        <v>0</v>
      </c>
      <c r="U71" s="4" t="s">
        <v>61</v>
      </c>
      <c r="V71" s="4" t="s">
        <v>89</v>
      </c>
      <c r="W71" s="4" t="s">
        <v>107</v>
      </c>
      <c r="X71" s="4" t="s">
        <v>63</v>
      </c>
      <c r="Y71" s="4" t="s">
        <v>312</v>
      </c>
      <c r="Z71" s="4" t="s">
        <v>54</v>
      </c>
      <c r="AA71" s="4"/>
      <c r="AB71" s="23">
        <v>0</v>
      </c>
      <c r="AC71" s="28" t="e">
        <v>#N/A</v>
      </c>
      <c r="AD71" s="28" t="e">
        <v>#N/A</v>
      </c>
      <c r="AE71" s="28"/>
      <c r="AF71" s="19">
        <v>41820</v>
      </c>
      <c r="AG71" s="19">
        <v>45443</v>
      </c>
      <c r="AH71" s="12">
        <f t="shared" si="4"/>
        <v>9</v>
      </c>
      <c r="AI71" s="12">
        <f t="shared" ca="1" si="5"/>
        <v>9</v>
      </c>
      <c r="AJ71" s="12" t="str">
        <f t="shared" si="6"/>
        <v>6-10 Years</v>
      </c>
      <c r="AK71" s="12" t="s">
        <v>9632</v>
      </c>
      <c r="AL71" s="31">
        <v>23.75</v>
      </c>
      <c r="AM71" s="31">
        <v>27</v>
      </c>
      <c r="AN71" s="12" t="str">
        <f t="shared" si="7"/>
        <v>25-34 Years</v>
      </c>
      <c r="AO71" s="13" t="s">
        <v>9170</v>
      </c>
      <c r="AP71" s="13" t="s">
        <v>9168</v>
      </c>
      <c r="AQ71" s="14" t="s">
        <v>9148</v>
      </c>
      <c r="AR71" s="14" t="s">
        <v>9140</v>
      </c>
      <c r="AS71" s="14"/>
      <c r="AT71" s="14" t="s">
        <v>63</v>
      </c>
      <c r="AU71" s="14" t="s">
        <v>54</v>
      </c>
      <c r="AV71" s="15" t="s">
        <v>9141</v>
      </c>
      <c r="AW71" s="15" t="s">
        <v>9175</v>
      </c>
      <c r="AX71" s="15" t="s">
        <v>9143</v>
      </c>
      <c r="AY71" s="15" t="s">
        <v>9141</v>
      </c>
      <c r="AZ71" s="15" t="s">
        <v>9175</v>
      </c>
      <c r="BA71" s="16" t="s">
        <v>9141</v>
      </c>
      <c r="BB71" s="16" t="s">
        <v>9176</v>
      </c>
    </row>
    <row r="72" spans="1:54" hidden="1" x14ac:dyDescent="0.25">
      <c r="A72" s="4" t="s">
        <v>1810</v>
      </c>
      <c r="B72" s="4" t="s">
        <v>9321</v>
      </c>
      <c r="C72" s="4"/>
      <c r="D72" s="4" t="s">
        <v>39</v>
      </c>
      <c r="E72" s="4">
        <v>297076</v>
      </c>
      <c r="F72" s="4" t="s">
        <v>1812</v>
      </c>
      <c r="G72" s="32">
        <v>20953</v>
      </c>
      <c r="H72" s="25">
        <v>45302</v>
      </c>
      <c r="I72" s="11">
        <v>0.34375</v>
      </c>
      <c r="J72" s="4" t="s">
        <v>1654</v>
      </c>
      <c r="K72" s="4">
        <v>9095</v>
      </c>
      <c r="L72" s="4" t="s">
        <v>1742</v>
      </c>
      <c r="M72" s="4" t="s">
        <v>1813</v>
      </c>
      <c r="N72" s="4" t="s">
        <v>1814</v>
      </c>
      <c r="O72" s="4" t="s">
        <v>46</v>
      </c>
      <c r="P72" s="4"/>
      <c r="Q72" s="4" t="s">
        <v>47</v>
      </c>
      <c r="R72" s="4" t="s">
        <v>48</v>
      </c>
      <c r="S72" s="4">
        <v>0</v>
      </c>
      <c r="T72" s="4" t="b">
        <v>0</v>
      </c>
      <c r="U72" s="4" t="s">
        <v>61</v>
      </c>
      <c r="V72" s="4" t="s">
        <v>89</v>
      </c>
      <c r="W72" s="4" t="s">
        <v>148</v>
      </c>
      <c r="X72" s="4" t="s">
        <v>123</v>
      </c>
      <c r="Y72" s="4" t="s">
        <v>192</v>
      </c>
      <c r="Z72" s="4" t="s">
        <v>54</v>
      </c>
      <c r="AA72" s="4"/>
      <c r="AB72" s="23">
        <v>0</v>
      </c>
      <c r="AC72" s="28" t="e">
        <v>#N/A</v>
      </c>
      <c r="AD72" s="28" t="e">
        <v>#N/A</v>
      </c>
      <c r="AE72" s="28"/>
      <c r="AF72" s="19">
        <v>44123</v>
      </c>
      <c r="AG72" s="19"/>
      <c r="AH72" s="12">
        <f t="shared" si="4"/>
        <v>3</v>
      </c>
      <c r="AI72" s="12">
        <f t="shared" ca="1" si="5"/>
        <v>5</v>
      </c>
      <c r="AJ72" s="12" t="str">
        <f t="shared" si="6"/>
        <v>1-5 Years</v>
      </c>
      <c r="AK72" s="12" t="s">
        <v>9632</v>
      </c>
      <c r="AL72" s="31">
        <v>20</v>
      </c>
      <c r="AM72" s="31">
        <v>67</v>
      </c>
      <c r="AN72" s="12" t="str">
        <f t="shared" si="7"/>
        <v>More Than 55 Years</v>
      </c>
      <c r="AO72" s="13" t="s">
        <v>9170</v>
      </c>
      <c r="AP72" s="13" t="s">
        <v>9168</v>
      </c>
      <c r="AQ72" s="14" t="s">
        <v>9148</v>
      </c>
      <c r="AR72" s="14" t="s">
        <v>9140</v>
      </c>
      <c r="AS72" s="14"/>
      <c r="AT72" s="14" t="s">
        <v>123</v>
      </c>
      <c r="AU72" s="14" t="s">
        <v>54</v>
      </c>
      <c r="AV72" s="15" t="s">
        <v>9141</v>
      </c>
      <c r="AW72" s="15" t="s">
        <v>9191</v>
      </c>
      <c r="AX72" s="15" t="s">
        <v>9143</v>
      </c>
      <c r="AY72" s="15" t="s">
        <v>9141</v>
      </c>
      <c r="AZ72" s="15" t="s">
        <v>9191</v>
      </c>
      <c r="BA72" s="16" t="s">
        <v>9141</v>
      </c>
      <c r="BB72" s="16" t="s">
        <v>9192</v>
      </c>
    </row>
    <row r="73" spans="1:54" hidden="1" x14ac:dyDescent="0.25">
      <c r="A73" s="4" t="s">
        <v>1806</v>
      </c>
      <c r="B73" s="4" t="s">
        <v>9322</v>
      </c>
      <c r="C73" s="4"/>
      <c r="D73" s="4" t="s">
        <v>39</v>
      </c>
      <c r="E73" s="4">
        <v>290327</v>
      </c>
      <c r="F73" s="4" t="s">
        <v>1808</v>
      </c>
      <c r="G73" s="32">
        <v>31963</v>
      </c>
      <c r="H73" s="25">
        <v>45303</v>
      </c>
      <c r="I73" s="11">
        <v>0.36458333333333331</v>
      </c>
      <c r="J73" s="4" t="s">
        <v>1654</v>
      </c>
      <c r="K73" s="4">
        <v>9095</v>
      </c>
      <c r="L73" s="4" t="s">
        <v>1742</v>
      </c>
      <c r="M73" s="4" t="s">
        <v>1194</v>
      </c>
      <c r="N73" s="4" t="s">
        <v>1809</v>
      </c>
      <c r="O73" s="4" t="s">
        <v>46</v>
      </c>
      <c r="P73" s="4"/>
      <c r="Q73" s="4" t="s">
        <v>47</v>
      </c>
      <c r="R73" s="4" t="s">
        <v>48</v>
      </c>
      <c r="S73" s="4">
        <v>0</v>
      </c>
      <c r="T73" s="4" t="b">
        <v>0</v>
      </c>
      <c r="U73" s="4" t="s">
        <v>61</v>
      </c>
      <c r="V73" s="4" t="s">
        <v>89</v>
      </c>
      <c r="W73" s="4" t="s">
        <v>175</v>
      </c>
      <c r="X73" s="4" t="s">
        <v>52</v>
      </c>
      <c r="Y73" s="4" t="s">
        <v>53</v>
      </c>
      <c r="Z73" s="4" t="s">
        <v>54</v>
      </c>
      <c r="AA73" s="4"/>
      <c r="AB73" s="23">
        <v>0</v>
      </c>
      <c r="AC73" s="28" t="e">
        <v>#N/A</v>
      </c>
      <c r="AD73" s="28" t="e">
        <v>#N/A</v>
      </c>
      <c r="AE73" s="28"/>
      <c r="AF73" s="19">
        <v>39657</v>
      </c>
      <c r="AG73" s="19"/>
      <c r="AH73" s="12">
        <f t="shared" si="4"/>
        <v>15</v>
      </c>
      <c r="AI73" s="12">
        <f t="shared" ca="1" si="5"/>
        <v>18</v>
      </c>
      <c r="AJ73" s="12" t="str">
        <f t="shared" si="6"/>
        <v>11-15 Years</v>
      </c>
      <c r="AK73" s="12" t="s">
        <v>9631</v>
      </c>
      <c r="AL73" s="31">
        <v>38</v>
      </c>
      <c r="AM73" s="31">
        <v>37</v>
      </c>
      <c r="AN73" s="12" t="str">
        <f t="shared" si="7"/>
        <v>35-44 Years</v>
      </c>
      <c r="AO73" s="13" t="s">
        <v>9170</v>
      </c>
      <c r="AP73" s="13" t="s">
        <v>9168</v>
      </c>
      <c r="AQ73" s="14" t="s">
        <v>9148</v>
      </c>
      <c r="AR73" s="14" t="s">
        <v>9140</v>
      </c>
      <c r="AS73" s="14"/>
      <c r="AT73" s="14" t="s">
        <v>52</v>
      </c>
      <c r="AU73" s="14" t="s">
        <v>54</v>
      </c>
      <c r="AV73" s="15" t="s">
        <v>9141</v>
      </c>
      <c r="AW73" s="15" t="s">
        <v>9191</v>
      </c>
      <c r="AX73" s="15" t="s">
        <v>9143</v>
      </c>
      <c r="AY73" s="15" t="s">
        <v>9141</v>
      </c>
      <c r="AZ73" s="15" t="s">
        <v>9191</v>
      </c>
      <c r="BA73" s="16" t="s">
        <v>9141</v>
      </c>
      <c r="BB73" s="16" t="s">
        <v>9192</v>
      </c>
    </row>
    <row r="74" spans="1:54" hidden="1" x14ac:dyDescent="0.25">
      <c r="A74" s="4" t="s">
        <v>1803</v>
      </c>
      <c r="B74" s="4" t="s">
        <v>9323</v>
      </c>
      <c r="C74" s="4" t="s">
        <v>1804</v>
      </c>
      <c r="D74" s="4" t="s">
        <v>39</v>
      </c>
      <c r="E74" s="4">
        <v>292146</v>
      </c>
      <c r="F74" s="4" t="s">
        <v>1761</v>
      </c>
      <c r="G74" s="32">
        <v>34114</v>
      </c>
      <c r="H74" s="25">
        <v>45308</v>
      </c>
      <c r="I74" s="11">
        <v>0.52083333333333337</v>
      </c>
      <c r="J74" s="4" t="s">
        <v>1654</v>
      </c>
      <c r="K74" s="4">
        <v>9095</v>
      </c>
      <c r="L74" s="4" t="s">
        <v>1742</v>
      </c>
      <c r="M74" s="4" t="s">
        <v>851</v>
      </c>
      <c r="N74" s="4" t="s">
        <v>1805</v>
      </c>
      <c r="O74" s="4" t="s">
        <v>28</v>
      </c>
      <c r="P74" s="4" t="s">
        <v>147</v>
      </c>
      <c r="Q74" s="4" t="s">
        <v>174</v>
      </c>
      <c r="R74" s="4" t="s">
        <v>48</v>
      </c>
      <c r="S74" s="4">
        <v>0</v>
      </c>
      <c r="T74" s="4" t="b">
        <v>0</v>
      </c>
      <c r="U74" s="4" t="s">
        <v>114</v>
      </c>
      <c r="V74" s="4" t="s">
        <v>89</v>
      </c>
      <c r="W74" s="4" t="s">
        <v>51</v>
      </c>
      <c r="X74" s="4" t="s">
        <v>52</v>
      </c>
      <c r="Y74" s="4" t="s">
        <v>53</v>
      </c>
      <c r="Z74" s="4" t="s">
        <v>54</v>
      </c>
      <c r="AA74" s="4" t="s">
        <v>176</v>
      </c>
      <c r="AB74" s="23" t="s">
        <v>48</v>
      </c>
      <c r="AC74" s="28" t="e">
        <v>#N/A</v>
      </c>
      <c r="AD74" s="28" t="e">
        <v>#N/A</v>
      </c>
      <c r="AE74" s="28"/>
      <c r="AF74" s="19">
        <v>40721</v>
      </c>
      <c r="AG74" s="19"/>
      <c r="AH74" s="12">
        <f t="shared" si="4"/>
        <v>12</v>
      </c>
      <c r="AI74" s="12">
        <f t="shared" ca="1" si="5"/>
        <v>15</v>
      </c>
      <c r="AJ74" s="12" t="str">
        <f t="shared" si="6"/>
        <v>11-15 Years</v>
      </c>
      <c r="AK74" s="12" t="s">
        <v>9632</v>
      </c>
      <c r="AL74" s="31">
        <v>37</v>
      </c>
      <c r="AM74" s="31">
        <v>31</v>
      </c>
      <c r="AN74" s="12" t="str">
        <f t="shared" si="7"/>
        <v>25-34 Years</v>
      </c>
      <c r="AO74" s="13" t="s">
        <v>9170</v>
      </c>
      <c r="AP74" s="13" t="s">
        <v>9168</v>
      </c>
      <c r="AQ74" s="14" t="s">
        <v>9157</v>
      </c>
      <c r="AR74" s="14" t="s">
        <v>28</v>
      </c>
      <c r="AS74" s="14" t="s">
        <v>147</v>
      </c>
      <c r="AT74" s="14" t="s">
        <v>52</v>
      </c>
      <c r="AU74" s="14" t="s">
        <v>54</v>
      </c>
      <c r="AV74" s="15" t="s">
        <v>9141</v>
      </c>
      <c r="AW74" s="15" t="s">
        <v>9191</v>
      </c>
      <c r="AX74" s="15" t="s">
        <v>9143</v>
      </c>
      <c r="AY74" s="15" t="s">
        <v>9141</v>
      </c>
      <c r="AZ74" s="15" t="s">
        <v>9191</v>
      </c>
      <c r="BA74" s="16" t="s">
        <v>9141</v>
      </c>
      <c r="BB74" s="16" t="s">
        <v>9192</v>
      </c>
    </row>
    <row r="75" spans="1:54" x14ac:dyDescent="0.25">
      <c r="A75" s="4" t="s">
        <v>1374</v>
      </c>
      <c r="B75" s="4" t="s">
        <v>9324</v>
      </c>
      <c r="C75" s="4"/>
      <c r="D75" s="4" t="s">
        <v>39</v>
      </c>
      <c r="E75" s="4">
        <v>294356</v>
      </c>
      <c r="F75" s="4" t="s">
        <v>1371</v>
      </c>
      <c r="G75" s="32">
        <v>28165</v>
      </c>
      <c r="H75" s="25">
        <v>45310</v>
      </c>
      <c r="I75" s="11">
        <v>0.59375</v>
      </c>
      <c r="J75" s="4" t="s">
        <v>1366</v>
      </c>
      <c r="K75" s="4">
        <v>5053</v>
      </c>
      <c r="L75" s="4" t="s">
        <v>1367</v>
      </c>
      <c r="M75" s="4" t="s">
        <v>1375</v>
      </c>
      <c r="N75" s="4" t="s">
        <v>1376</v>
      </c>
      <c r="O75" s="4" t="s">
        <v>46</v>
      </c>
      <c r="P75" s="4"/>
      <c r="Q75" s="4" t="s">
        <v>47</v>
      </c>
      <c r="R75" s="4" t="s">
        <v>48</v>
      </c>
      <c r="S75" s="4">
        <v>0</v>
      </c>
      <c r="T75" s="4" t="b">
        <v>0</v>
      </c>
      <c r="U75" s="4" t="s">
        <v>61</v>
      </c>
      <c r="V75" s="4" t="s">
        <v>89</v>
      </c>
      <c r="W75" s="4" t="s">
        <v>107</v>
      </c>
      <c r="X75" s="4" t="s">
        <v>123</v>
      </c>
      <c r="Y75" s="4" t="s">
        <v>124</v>
      </c>
      <c r="Z75" s="4" t="s">
        <v>98</v>
      </c>
      <c r="AA75" s="4"/>
      <c r="AB75" s="23">
        <v>0</v>
      </c>
      <c r="AC75" s="28" t="e">
        <v>#N/A</v>
      </c>
      <c r="AD75" s="28" t="e">
        <v>#N/A</v>
      </c>
      <c r="AE75" s="28"/>
      <c r="AF75" s="19">
        <v>42198</v>
      </c>
      <c r="AG75" s="19"/>
      <c r="AH75" s="12">
        <f t="shared" si="4"/>
        <v>8</v>
      </c>
      <c r="AI75" s="12">
        <f t="shared" ca="1" si="5"/>
        <v>11</v>
      </c>
      <c r="AJ75" s="12" t="str">
        <f t="shared" si="6"/>
        <v>6-10 Years</v>
      </c>
      <c r="AK75" s="12" t="s">
        <v>9632</v>
      </c>
      <c r="AL75" s="31">
        <v>35</v>
      </c>
      <c r="AM75" s="31">
        <v>48</v>
      </c>
      <c r="AN75" s="12" t="str">
        <f t="shared" si="7"/>
        <v>45-54 Years</v>
      </c>
      <c r="AO75" s="13" t="s">
        <v>9170</v>
      </c>
      <c r="AP75" s="13" t="s">
        <v>9168</v>
      </c>
      <c r="AQ75" s="14" t="s">
        <v>9148</v>
      </c>
      <c r="AR75" s="14" t="s">
        <v>9140</v>
      </c>
      <c r="AS75" s="14"/>
      <c r="AT75" s="14" t="s">
        <v>123</v>
      </c>
      <c r="AU75" s="14" t="s">
        <v>98</v>
      </c>
      <c r="AV75" s="15" t="s">
        <v>9141</v>
      </c>
      <c r="AW75" s="15" t="s">
        <v>9188</v>
      </c>
      <c r="AX75" s="15" t="s">
        <v>9143</v>
      </c>
      <c r="AY75" s="15" t="s">
        <v>9141</v>
      </c>
      <c r="AZ75" s="15" t="s">
        <v>9189</v>
      </c>
      <c r="BA75" s="16" t="s">
        <v>9141</v>
      </c>
      <c r="BB75" s="16" t="s">
        <v>9190</v>
      </c>
    </row>
    <row r="76" spans="1:54" x14ac:dyDescent="0.25">
      <c r="A76" s="4" t="s">
        <v>1630</v>
      </c>
      <c r="B76" s="4" t="s">
        <v>9325</v>
      </c>
      <c r="C76" s="4"/>
      <c r="D76" s="4" t="s">
        <v>39</v>
      </c>
      <c r="E76" s="4">
        <v>332048</v>
      </c>
      <c r="F76" s="4" t="s">
        <v>1632</v>
      </c>
      <c r="G76" s="32">
        <v>22278</v>
      </c>
      <c r="H76" s="25">
        <v>45310</v>
      </c>
      <c r="I76" s="11">
        <v>0.375</v>
      </c>
      <c r="J76" s="4" t="s">
        <v>1366</v>
      </c>
      <c r="K76" s="4">
        <v>6076</v>
      </c>
      <c r="L76" s="4" t="s">
        <v>1627</v>
      </c>
      <c r="M76" s="4" t="s">
        <v>1633</v>
      </c>
      <c r="N76" s="4" t="s">
        <v>1634</v>
      </c>
      <c r="O76" s="4" t="s">
        <v>46</v>
      </c>
      <c r="P76" s="4"/>
      <c r="Q76" s="4" t="s">
        <v>47</v>
      </c>
      <c r="R76" s="4" t="s">
        <v>48</v>
      </c>
      <c r="S76" s="4">
        <v>0</v>
      </c>
      <c r="T76" s="4" t="b">
        <v>0</v>
      </c>
      <c r="U76" s="4" t="s">
        <v>49</v>
      </c>
      <c r="V76" s="4" t="s">
        <v>89</v>
      </c>
      <c r="W76" s="4" t="s">
        <v>71</v>
      </c>
      <c r="X76" s="4" t="s">
        <v>123</v>
      </c>
      <c r="Y76" s="4" t="s">
        <v>124</v>
      </c>
      <c r="Z76" s="4" t="s">
        <v>838</v>
      </c>
      <c r="AA76" s="4" t="s">
        <v>486</v>
      </c>
      <c r="AB76" s="23">
        <v>0</v>
      </c>
      <c r="AC76" s="28" t="e">
        <v>#N/A</v>
      </c>
      <c r="AD76" s="28" t="e">
        <v>#N/A</v>
      </c>
      <c r="AE76" s="28"/>
      <c r="AF76" s="19">
        <v>45243</v>
      </c>
      <c r="AG76" s="19"/>
      <c r="AH76" s="12">
        <f t="shared" si="4"/>
        <v>0</v>
      </c>
      <c r="AI76" s="12">
        <f t="shared" ca="1" si="5"/>
        <v>2</v>
      </c>
      <c r="AJ76" s="12" t="str">
        <f t="shared" si="6"/>
        <v>Under 1 Year</v>
      </c>
      <c r="AK76" s="12" t="s">
        <v>9632</v>
      </c>
      <c r="AL76" s="31">
        <v>29</v>
      </c>
      <c r="AM76" s="31">
        <v>64</v>
      </c>
      <c r="AN76" s="12" t="str">
        <f t="shared" si="7"/>
        <v>More Than 55 Years</v>
      </c>
      <c r="AO76" s="13" t="s">
        <v>9170</v>
      </c>
      <c r="AP76" s="13" t="s">
        <v>9168</v>
      </c>
      <c r="AQ76" s="14" t="s">
        <v>9139</v>
      </c>
      <c r="AR76" s="14" t="s">
        <v>9140</v>
      </c>
      <c r="AS76" s="14"/>
      <c r="AT76" s="14" t="s">
        <v>123</v>
      </c>
      <c r="AU76" s="14" t="s">
        <v>838</v>
      </c>
      <c r="AV76" s="15" t="s">
        <v>9141</v>
      </c>
      <c r="AW76" s="15" t="s">
        <v>9188</v>
      </c>
      <c r="AX76" s="15" t="s">
        <v>9143</v>
      </c>
      <c r="AY76" s="15" t="s">
        <v>9141</v>
      </c>
      <c r="AZ76" s="15" t="s">
        <v>9189</v>
      </c>
      <c r="BA76" s="16" t="s">
        <v>9141</v>
      </c>
      <c r="BB76" s="16" t="s">
        <v>9190</v>
      </c>
    </row>
    <row r="77" spans="1:54" hidden="1" x14ac:dyDescent="0.25">
      <c r="A77" s="4" t="s">
        <v>1658</v>
      </c>
      <c r="B77" s="4" t="s">
        <v>9326</v>
      </c>
      <c r="C77" s="4"/>
      <c r="D77" s="4" t="s">
        <v>39</v>
      </c>
      <c r="E77" s="4">
        <v>324755</v>
      </c>
      <c r="F77" s="4" t="s">
        <v>1660</v>
      </c>
      <c r="G77" s="32">
        <v>24515</v>
      </c>
      <c r="H77" s="25">
        <v>45310</v>
      </c>
      <c r="I77" s="11">
        <v>0.43333333333333335</v>
      </c>
      <c r="J77" s="4" t="s">
        <v>1654</v>
      </c>
      <c r="K77" s="4">
        <v>9086</v>
      </c>
      <c r="L77" s="4" t="s">
        <v>1655</v>
      </c>
      <c r="M77" s="4" t="s">
        <v>1661</v>
      </c>
      <c r="N77" s="4" t="s">
        <v>1662</v>
      </c>
      <c r="O77" s="4" t="s">
        <v>46</v>
      </c>
      <c r="P77" s="4"/>
      <c r="Q77" s="4" t="s">
        <v>47</v>
      </c>
      <c r="R77" s="4" t="s">
        <v>48</v>
      </c>
      <c r="S77" s="4">
        <v>0</v>
      </c>
      <c r="T77" s="4" t="b">
        <v>0</v>
      </c>
      <c r="U77" s="4" t="s">
        <v>49</v>
      </c>
      <c r="V77" s="4" t="s">
        <v>70</v>
      </c>
      <c r="W77" s="4" t="s">
        <v>618</v>
      </c>
      <c r="X77" s="4" t="s">
        <v>72</v>
      </c>
      <c r="Y77" s="4" t="s">
        <v>73</v>
      </c>
      <c r="Z77" s="4" t="s">
        <v>54</v>
      </c>
      <c r="AA77" s="4"/>
      <c r="AB77" s="23">
        <v>0</v>
      </c>
      <c r="AC77" s="28" t="e">
        <v>#N/A</v>
      </c>
      <c r="AD77" s="28" t="e">
        <v>#N/A</v>
      </c>
      <c r="AE77" s="28"/>
      <c r="AF77" s="19">
        <v>44837</v>
      </c>
      <c r="AG77" s="19"/>
      <c r="AH77" s="12">
        <f t="shared" si="4"/>
        <v>1</v>
      </c>
      <c r="AI77" s="12">
        <f t="shared" ca="1" si="5"/>
        <v>3</v>
      </c>
      <c r="AJ77" s="12" t="str">
        <f t="shared" si="6"/>
        <v>1-5 Years</v>
      </c>
      <c r="AK77" s="12" t="s">
        <v>9632</v>
      </c>
      <c r="AL77" s="31">
        <v>37</v>
      </c>
      <c r="AM77" s="31">
        <v>58</v>
      </c>
      <c r="AN77" s="12" t="str">
        <f t="shared" si="7"/>
        <v>More Than 55 Years</v>
      </c>
      <c r="AO77" s="13" t="s">
        <v>9170</v>
      </c>
      <c r="AP77" s="13" t="s">
        <v>9168</v>
      </c>
      <c r="AQ77" s="14" t="s">
        <v>9139</v>
      </c>
      <c r="AR77" s="14" t="s">
        <v>9140</v>
      </c>
      <c r="AS77" s="14"/>
      <c r="AT77" s="14" t="s">
        <v>72</v>
      </c>
      <c r="AU77" s="14" t="s">
        <v>54</v>
      </c>
      <c r="AV77" s="15" t="s">
        <v>9141</v>
      </c>
      <c r="AW77" s="15" t="s">
        <v>9191</v>
      </c>
      <c r="AX77" s="15" t="s">
        <v>9143</v>
      </c>
      <c r="AY77" s="15" t="s">
        <v>9141</v>
      </c>
      <c r="AZ77" s="15" t="s">
        <v>9191</v>
      </c>
      <c r="BA77" s="16" t="s">
        <v>9141</v>
      </c>
      <c r="BB77" s="16" t="s">
        <v>9192</v>
      </c>
    </row>
    <row r="78" spans="1:54" hidden="1" x14ac:dyDescent="0.25">
      <c r="A78" s="4" t="s">
        <v>306</v>
      </c>
      <c r="B78" s="4" t="s">
        <v>9327</v>
      </c>
      <c r="C78" s="4"/>
      <c r="D78" s="4" t="s">
        <v>39</v>
      </c>
      <c r="E78" s="4">
        <v>293338</v>
      </c>
      <c r="F78" s="4" t="s">
        <v>295</v>
      </c>
      <c r="G78" s="32">
        <v>34250</v>
      </c>
      <c r="H78" s="25">
        <v>45313</v>
      </c>
      <c r="I78" s="11">
        <v>0.44791666666666669</v>
      </c>
      <c r="J78" s="4" t="s">
        <v>42</v>
      </c>
      <c r="K78" s="4">
        <v>1011</v>
      </c>
      <c r="L78" s="4" t="s">
        <v>215</v>
      </c>
      <c r="M78" s="4" t="s">
        <v>307</v>
      </c>
      <c r="N78" s="4" t="s">
        <v>308</v>
      </c>
      <c r="O78" s="4" t="s">
        <v>46</v>
      </c>
      <c r="P78" s="4"/>
      <c r="Q78" s="4" t="s">
        <v>47</v>
      </c>
      <c r="R78" s="4" t="s">
        <v>48</v>
      </c>
      <c r="S78" s="4">
        <v>0</v>
      </c>
      <c r="T78" s="4" t="b">
        <v>0</v>
      </c>
      <c r="U78" s="4" t="s">
        <v>49</v>
      </c>
      <c r="V78" s="4" t="s">
        <v>70</v>
      </c>
      <c r="W78" s="4" t="s">
        <v>71</v>
      </c>
      <c r="X78" s="4" t="s">
        <v>72</v>
      </c>
      <c r="Y78" s="4" t="s">
        <v>73</v>
      </c>
      <c r="Z78" s="4" t="s">
        <v>98</v>
      </c>
      <c r="AA78" s="4"/>
      <c r="AB78" s="23">
        <v>0</v>
      </c>
      <c r="AC78" s="28" t="e">
        <v>#N/A</v>
      </c>
      <c r="AD78" s="28" t="e">
        <v>#N/A</v>
      </c>
      <c r="AE78" s="28"/>
      <c r="AF78" s="19">
        <v>41470</v>
      </c>
      <c r="AG78" s="19">
        <v>45443</v>
      </c>
      <c r="AH78" s="12">
        <f t="shared" si="4"/>
        <v>10</v>
      </c>
      <c r="AI78" s="12">
        <f t="shared" ca="1" si="5"/>
        <v>10</v>
      </c>
      <c r="AJ78" s="12" t="str">
        <f t="shared" si="6"/>
        <v>6-10 Years</v>
      </c>
      <c r="AK78" s="12" t="s">
        <v>9632</v>
      </c>
      <c r="AL78" s="31">
        <v>30</v>
      </c>
      <c r="AM78" s="31">
        <v>31</v>
      </c>
      <c r="AN78" s="12" t="str">
        <f t="shared" si="7"/>
        <v>25-34 Years</v>
      </c>
      <c r="AO78" s="13" t="s">
        <v>9169</v>
      </c>
      <c r="AP78" s="13" t="s">
        <v>9168</v>
      </c>
      <c r="AQ78" s="14" t="s">
        <v>9139</v>
      </c>
      <c r="AR78" s="14" t="s">
        <v>9140</v>
      </c>
      <c r="AS78" s="14"/>
      <c r="AT78" s="14" t="s">
        <v>72</v>
      </c>
      <c r="AU78" s="14" t="s">
        <v>98</v>
      </c>
      <c r="AV78" s="15" t="s">
        <v>9141</v>
      </c>
      <c r="AW78" s="15" t="s">
        <v>9142</v>
      </c>
      <c r="AX78" s="15" t="s">
        <v>9143</v>
      </c>
      <c r="AY78" s="15" t="s">
        <v>9141</v>
      </c>
      <c r="AZ78" s="15" t="s">
        <v>9144</v>
      </c>
      <c r="BA78" s="16" t="s">
        <v>9141</v>
      </c>
      <c r="BB78" s="16" t="s">
        <v>9145</v>
      </c>
    </row>
    <row r="79" spans="1:54" hidden="1" x14ac:dyDescent="0.25">
      <c r="A79" s="4" t="s">
        <v>309</v>
      </c>
      <c r="B79" s="4" t="s">
        <v>9328</v>
      </c>
      <c r="C79" s="4"/>
      <c r="D79" s="4" t="s">
        <v>39</v>
      </c>
      <c r="E79" s="4">
        <v>293815</v>
      </c>
      <c r="F79" s="4" t="s">
        <v>258</v>
      </c>
      <c r="G79" s="32">
        <v>26374</v>
      </c>
      <c r="H79" s="25">
        <v>45313</v>
      </c>
      <c r="I79" s="11">
        <v>0.59375</v>
      </c>
      <c r="J79" s="4" t="s">
        <v>42</v>
      </c>
      <c r="K79" s="4">
        <v>1011</v>
      </c>
      <c r="L79" s="4" t="s">
        <v>215</v>
      </c>
      <c r="M79" s="4" t="s">
        <v>310</v>
      </c>
      <c r="N79" s="4" t="s">
        <v>311</v>
      </c>
      <c r="O79" s="4" t="s">
        <v>46</v>
      </c>
      <c r="P79" s="4"/>
      <c r="Q79" s="4" t="s">
        <v>47</v>
      </c>
      <c r="R79" s="4" t="s">
        <v>48</v>
      </c>
      <c r="S79" s="4">
        <v>0</v>
      </c>
      <c r="T79" s="4" t="b">
        <v>0</v>
      </c>
      <c r="U79" s="4" t="s">
        <v>61</v>
      </c>
      <c r="V79" s="4" t="s">
        <v>89</v>
      </c>
      <c r="W79" s="4" t="s">
        <v>175</v>
      </c>
      <c r="X79" s="4" t="s">
        <v>63</v>
      </c>
      <c r="Y79" s="4" t="s">
        <v>312</v>
      </c>
      <c r="Z79" s="4" t="s">
        <v>54</v>
      </c>
      <c r="AA79" s="4"/>
      <c r="AB79" s="23">
        <v>0</v>
      </c>
      <c r="AC79" s="28" t="e">
        <v>#N/A</v>
      </c>
      <c r="AD79" s="28" t="e">
        <v>#N/A</v>
      </c>
      <c r="AE79" s="28"/>
      <c r="AF79" s="19">
        <v>41820</v>
      </c>
      <c r="AG79" s="19"/>
      <c r="AH79" s="12">
        <f t="shared" si="4"/>
        <v>9</v>
      </c>
      <c r="AI79" s="12">
        <f t="shared" ca="1" si="5"/>
        <v>12</v>
      </c>
      <c r="AJ79" s="12" t="str">
        <f t="shared" si="6"/>
        <v>6-10 Years</v>
      </c>
      <c r="AK79" s="12" t="s">
        <v>9632</v>
      </c>
      <c r="AL79" s="31">
        <v>35</v>
      </c>
      <c r="AM79" s="31">
        <v>53</v>
      </c>
      <c r="AN79" s="12" t="str">
        <f t="shared" si="7"/>
        <v>45-54 Years</v>
      </c>
      <c r="AO79" s="13" t="s">
        <v>9169</v>
      </c>
      <c r="AP79" s="13" t="s">
        <v>9168</v>
      </c>
      <c r="AQ79" s="14" t="s">
        <v>9148</v>
      </c>
      <c r="AR79" s="14" t="s">
        <v>9140</v>
      </c>
      <c r="AS79" s="14"/>
      <c r="AT79" s="14" t="s">
        <v>63</v>
      </c>
      <c r="AU79" s="14" t="s">
        <v>54</v>
      </c>
      <c r="AV79" s="15" t="s">
        <v>9141</v>
      </c>
      <c r="AW79" s="15" t="s">
        <v>9142</v>
      </c>
      <c r="AX79" s="15" t="s">
        <v>9143</v>
      </c>
      <c r="AY79" s="15" t="s">
        <v>9141</v>
      </c>
      <c r="AZ79" s="15" t="s">
        <v>9144</v>
      </c>
      <c r="BA79" s="16" t="s">
        <v>9141</v>
      </c>
      <c r="BB79" s="16" t="s">
        <v>9145</v>
      </c>
    </row>
    <row r="80" spans="1:54" hidden="1" x14ac:dyDescent="0.25">
      <c r="A80" s="4" t="s">
        <v>779</v>
      </c>
      <c r="B80" s="4" t="s">
        <v>9329</v>
      </c>
      <c r="C80" s="4"/>
      <c r="D80" s="4" t="s">
        <v>39</v>
      </c>
      <c r="E80" s="4">
        <v>407026</v>
      </c>
      <c r="F80" s="4" t="s">
        <v>781</v>
      </c>
      <c r="G80" s="32">
        <v>34282</v>
      </c>
      <c r="H80" s="25">
        <v>45314</v>
      </c>
      <c r="I80" s="11">
        <v>0.50694444444444442</v>
      </c>
      <c r="J80" s="4" t="s">
        <v>463</v>
      </c>
      <c r="K80" s="4">
        <v>2026</v>
      </c>
      <c r="L80" s="4" t="s">
        <v>756</v>
      </c>
      <c r="M80" s="4" t="s">
        <v>782</v>
      </c>
      <c r="N80" s="4" t="s">
        <v>783</v>
      </c>
      <c r="O80" s="4" t="s">
        <v>432</v>
      </c>
      <c r="P80" s="4"/>
      <c r="Q80" s="4" t="s">
        <v>47</v>
      </c>
      <c r="R80" s="4" t="s">
        <v>48</v>
      </c>
      <c r="S80" s="4">
        <v>0</v>
      </c>
      <c r="T80" s="4" t="b">
        <v>0</v>
      </c>
      <c r="U80" s="4" t="s">
        <v>61</v>
      </c>
      <c r="V80" s="4" t="s">
        <v>349</v>
      </c>
      <c r="W80" s="4" t="s">
        <v>90</v>
      </c>
      <c r="X80" s="4" t="s">
        <v>63</v>
      </c>
      <c r="Y80" s="4" t="s">
        <v>784</v>
      </c>
      <c r="Z80" s="4" t="s">
        <v>785</v>
      </c>
      <c r="AA80" s="4"/>
      <c r="AB80" s="23">
        <v>0</v>
      </c>
      <c r="AC80" s="28" t="e">
        <v>#N/A</v>
      </c>
      <c r="AD80" s="28" t="e">
        <v>#N/A</v>
      </c>
      <c r="AE80" s="28"/>
      <c r="AF80" s="19">
        <v>43355</v>
      </c>
      <c r="AG80" s="19">
        <v>45438</v>
      </c>
      <c r="AH80" s="12">
        <f t="shared" si="4"/>
        <v>5</v>
      </c>
      <c r="AI80" s="12">
        <f t="shared" ca="1" si="5"/>
        <v>5</v>
      </c>
      <c r="AJ80" s="12" t="str">
        <f t="shared" si="6"/>
        <v>1-5 Years</v>
      </c>
      <c r="AK80" s="12" t="s">
        <v>10046</v>
      </c>
      <c r="AL80" s="31">
        <v>38</v>
      </c>
      <c r="AM80" s="31">
        <v>31</v>
      </c>
      <c r="AN80" s="12" t="str">
        <f t="shared" si="7"/>
        <v>25-34 Years</v>
      </c>
      <c r="AO80" s="13" t="s">
        <v>9169</v>
      </c>
      <c r="AP80" s="13" t="s">
        <v>9168</v>
      </c>
      <c r="AQ80" s="14" t="s">
        <v>9148</v>
      </c>
      <c r="AR80" s="14" t="s">
        <v>9140</v>
      </c>
      <c r="AS80" s="14"/>
      <c r="AT80" s="14" t="s">
        <v>63</v>
      </c>
      <c r="AU80" s="14" t="s">
        <v>785</v>
      </c>
      <c r="AV80" s="15" t="s">
        <v>9141</v>
      </c>
      <c r="AW80" s="15" t="s">
        <v>9175</v>
      </c>
      <c r="AX80" s="15" t="s">
        <v>9143</v>
      </c>
      <c r="AY80" s="15" t="s">
        <v>9141</v>
      </c>
      <c r="AZ80" s="15" t="s">
        <v>9177</v>
      </c>
      <c r="BA80" s="16" t="s">
        <v>9141</v>
      </c>
      <c r="BB80" s="16" t="s">
        <v>9178</v>
      </c>
    </row>
    <row r="81" spans="1:54" hidden="1" x14ac:dyDescent="0.25">
      <c r="A81" s="4" t="s">
        <v>1692</v>
      </c>
      <c r="B81" s="4" t="s">
        <v>9330</v>
      </c>
      <c r="C81" s="4"/>
      <c r="D81" s="4" t="s">
        <v>39</v>
      </c>
      <c r="E81" s="4">
        <v>324744</v>
      </c>
      <c r="F81" s="4" t="s">
        <v>1689</v>
      </c>
      <c r="G81" s="32">
        <v>29329</v>
      </c>
      <c r="H81" s="25">
        <v>45316</v>
      </c>
      <c r="I81" s="11">
        <v>0.76041666666666663</v>
      </c>
      <c r="J81" s="4" t="s">
        <v>1654</v>
      </c>
      <c r="K81" s="4">
        <v>9087</v>
      </c>
      <c r="L81" s="4" t="s">
        <v>1666</v>
      </c>
      <c r="M81" s="4" t="s">
        <v>1693</v>
      </c>
      <c r="N81" s="4" t="s">
        <v>1694</v>
      </c>
      <c r="O81" s="4" t="s">
        <v>46</v>
      </c>
      <c r="P81" s="4"/>
      <c r="Q81" s="4" t="s">
        <v>47</v>
      </c>
      <c r="R81" s="4" t="s">
        <v>48</v>
      </c>
      <c r="S81" s="4">
        <v>0</v>
      </c>
      <c r="T81" s="4" t="b">
        <v>0</v>
      </c>
      <c r="U81" s="4" t="s">
        <v>49</v>
      </c>
      <c r="V81" s="4" t="s">
        <v>70</v>
      </c>
      <c r="W81" s="4" t="s">
        <v>71</v>
      </c>
      <c r="X81" s="4" t="s">
        <v>72</v>
      </c>
      <c r="Y81" s="4" t="s">
        <v>73</v>
      </c>
      <c r="Z81" s="4" t="s">
        <v>98</v>
      </c>
      <c r="AA81" s="4"/>
      <c r="AB81" s="23">
        <v>0</v>
      </c>
      <c r="AC81" s="28" t="e">
        <v>#N/A</v>
      </c>
      <c r="AD81" s="28" t="e">
        <v>#N/A</v>
      </c>
      <c r="AE81" s="28"/>
      <c r="AF81" s="19">
        <v>44837</v>
      </c>
      <c r="AG81" s="19"/>
      <c r="AH81" s="12">
        <f t="shared" si="4"/>
        <v>1</v>
      </c>
      <c r="AI81" s="12">
        <f t="shared" ca="1" si="5"/>
        <v>3</v>
      </c>
      <c r="AJ81" s="12" t="str">
        <f t="shared" si="6"/>
        <v>1-5 Years</v>
      </c>
      <c r="AK81" s="12" t="s">
        <v>9632</v>
      </c>
      <c r="AL81" s="31">
        <v>23.5</v>
      </c>
      <c r="AM81" s="31">
        <v>45</v>
      </c>
      <c r="AN81" s="12" t="str">
        <f t="shared" si="7"/>
        <v>45-54 Years</v>
      </c>
      <c r="AO81" s="13" t="s">
        <v>9169</v>
      </c>
      <c r="AP81" s="13" t="s">
        <v>9168</v>
      </c>
      <c r="AQ81" s="14" t="s">
        <v>9139</v>
      </c>
      <c r="AR81" s="14" t="s">
        <v>9140</v>
      </c>
      <c r="AS81" s="14"/>
      <c r="AT81" s="14" t="s">
        <v>72</v>
      </c>
      <c r="AU81" s="14" t="s">
        <v>98</v>
      </c>
      <c r="AV81" s="15" t="s">
        <v>9141</v>
      </c>
      <c r="AW81" s="15" t="s">
        <v>9191</v>
      </c>
      <c r="AX81" s="15" t="s">
        <v>9143</v>
      </c>
      <c r="AY81" s="15" t="s">
        <v>9141</v>
      </c>
      <c r="AZ81" s="15" t="s">
        <v>9191</v>
      </c>
      <c r="BA81" s="16" t="s">
        <v>9141</v>
      </c>
      <c r="BB81" s="16" t="s">
        <v>9192</v>
      </c>
    </row>
    <row r="82" spans="1:54" hidden="1" x14ac:dyDescent="0.25">
      <c r="A82" s="4" t="s">
        <v>732</v>
      </c>
      <c r="B82" s="4" t="s">
        <v>9331</v>
      </c>
      <c r="C82" s="4">
        <v>12230065624</v>
      </c>
      <c r="D82" s="4" t="s">
        <v>39</v>
      </c>
      <c r="E82" s="4">
        <v>323716</v>
      </c>
      <c r="F82" s="4" t="s">
        <v>734</v>
      </c>
      <c r="G82" s="32">
        <v>33608</v>
      </c>
      <c r="H82" s="25">
        <v>45317</v>
      </c>
      <c r="I82" s="11">
        <v>0.45833333333333331</v>
      </c>
      <c r="J82" s="4" t="s">
        <v>463</v>
      </c>
      <c r="K82" s="4">
        <v>2025</v>
      </c>
      <c r="L82" s="4" t="s">
        <v>701</v>
      </c>
      <c r="M82" s="4" t="s">
        <v>735</v>
      </c>
      <c r="N82" s="4" t="s">
        <v>736</v>
      </c>
      <c r="O82" s="4" t="s">
        <v>28</v>
      </c>
      <c r="P82" s="4" t="s">
        <v>372</v>
      </c>
      <c r="Q82" s="4" t="s">
        <v>47</v>
      </c>
      <c r="R82" s="4" t="s">
        <v>48</v>
      </c>
      <c r="S82" s="4">
        <v>0</v>
      </c>
      <c r="T82" s="4" t="b">
        <v>0</v>
      </c>
      <c r="U82" s="4" t="s">
        <v>61</v>
      </c>
      <c r="V82" s="4" t="s">
        <v>89</v>
      </c>
      <c r="W82" s="4" t="s">
        <v>618</v>
      </c>
      <c r="X82" s="4" t="s">
        <v>52</v>
      </c>
      <c r="Y82" s="4" t="s">
        <v>135</v>
      </c>
      <c r="Z82" s="4" t="s">
        <v>54</v>
      </c>
      <c r="AA82" s="4"/>
      <c r="AB82" s="23" t="s">
        <v>48</v>
      </c>
      <c r="AC82" s="28" t="s">
        <v>9580</v>
      </c>
      <c r="AD82" s="28" t="e">
        <v>#N/A</v>
      </c>
      <c r="AE82" s="28"/>
      <c r="AF82" s="19">
        <v>44767</v>
      </c>
      <c r="AG82" s="19"/>
      <c r="AH82" s="12">
        <f t="shared" si="4"/>
        <v>1</v>
      </c>
      <c r="AI82" s="12">
        <f t="shared" ca="1" si="5"/>
        <v>4</v>
      </c>
      <c r="AJ82" s="12" t="str">
        <f t="shared" si="6"/>
        <v>1-5 Years</v>
      </c>
      <c r="AK82" s="12" t="s">
        <v>10046</v>
      </c>
      <c r="AL82" s="31">
        <v>38</v>
      </c>
      <c r="AM82" s="31">
        <v>33</v>
      </c>
      <c r="AN82" s="12" t="str">
        <f t="shared" si="7"/>
        <v>25-34 Years</v>
      </c>
      <c r="AO82" s="13" t="s">
        <v>9169</v>
      </c>
      <c r="AP82" s="13" t="s">
        <v>9168</v>
      </c>
      <c r="AQ82" s="14" t="s">
        <v>9148</v>
      </c>
      <c r="AR82" s="14" t="s">
        <v>28</v>
      </c>
      <c r="AS82" s="14" t="s">
        <v>372</v>
      </c>
      <c r="AT82" s="14" t="s">
        <v>52</v>
      </c>
      <c r="AU82" s="14" t="s">
        <v>54</v>
      </c>
      <c r="AV82" s="15" t="s">
        <v>9141</v>
      </c>
      <c r="AW82" s="15" t="s">
        <v>9175</v>
      </c>
      <c r="AX82" s="15" t="s">
        <v>9143</v>
      </c>
      <c r="AY82" s="15" t="s">
        <v>9141</v>
      </c>
      <c r="AZ82" s="15" t="s">
        <v>9175</v>
      </c>
      <c r="BA82" s="16" t="s">
        <v>9141</v>
      </c>
      <c r="BB82" s="16" t="s">
        <v>9176</v>
      </c>
    </row>
    <row r="83" spans="1:54" x14ac:dyDescent="0.25">
      <c r="A83" s="4" t="s">
        <v>1646</v>
      </c>
      <c r="B83" s="4" t="s">
        <v>9332</v>
      </c>
      <c r="C83" s="4"/>
      <c r="D83" s="4" t="s">
        <v>39</v>
      </c>
      <c r="E83" s="4">
        <v>296483</v>
      </c>
      <c r="F83" s="4" t="s">
        <v>1643</v>
      </c>
      <c r="G83" s="32">
        <v>28478</v>
      </c>
      <c r="H83" s="25">
        <v>45318</v>
      </c>
      <c r="I83" s="11">
        <v>0.61458333333333337</v>
      </c>
      <c r="J83" s="4" t="s">
        <v>1366</v>
      </c>
      <c r="K83" s="4">
        <v>6078</v>
      </c>
      <c r="L83" s="4" t="s">
        <v>1638</v>
      </c>
      <c r="M83" s="4" t="s">
        <v>1647</v>
      </c>
      <c r="N83" s="4" t="s">
        <v>1648</v>
      </c>
      <c r="O83" s="4" t="s">
        <v>46</v>
      </c>
      <c r="P83" s="4"/>
      <c r="Q83" s="4" t="s">
        <v>47</v>
      </c>
      <c r="R83" s="4" t="s">
        <v>48</v>
      </c>
      <c r="S83" s="4">
        <v>0</v>
      </c>
      <c r="T83" s="4" t="b">
        <v>0</v>
      </c>
      <c r="U83" s="4" t="s">
        <v>49</v>
      </c>
      <c r="V83" s="4" t="s">
        <v>89</v>
      </c>
      <c r="W83" s="4" t="s">
        <v>373</v>
      </c>
      <c r="X83" s="4" t="s">
        <v>63</v>
      </c>
      <c r="Y83" s="4" t="s">
        <v>108</v>
      </c>
      <c r="Z83" s="4" t="s">
        <v>98</v>
      </c>
      <c r="AA83" s="4"/>
      <c r="AB83" s="23">
        <v>0</v>
      </c>
      <c r="AC83" s="28" t="e">
        <v>#N/A</v>
      </c>
      <c r="AD83" s="28" t="e">
        <v>#N/A</v>
      </c>
      <c r="AE83" s="28"/>
      <c r="AF83" s="19">
        <v>43521</v>
      </c>
      <c r="AG83" s="19"/>
      <c r="AH83" s="12">
        <f t="shared" si="4"/>
        <v>4</v>
      </c>
      <c r="AI83" s="12">
        <f t="shared" ca="1" si="5"/>
        <v>7</v>
      </c>
      <c r="AJ83" s="12" t="str">
        <f t="shared" si="6"/>
        <v>1-5 Years</v>
      </c>
      <c r="AK83" s="12" t="s">
        <v>9632</v>
      </c>
      <c r="AL83" s="31">
        <v>24.5</v>
      </c>
      <c r="AM83" s="31">
        <v>47</v>
      </c>
      <c r="AN83" s="12" t="str">
        <f t="shared" si="7"/>
        <v>45-54 Years</v>
      </c>
      <c r="AO83" s="13" t="s">
        <v>9169</v>
      </c>
      <c r="AP83" s="13" t="s">
        <v>9168</v>
      </c>
      <c r="AQ83" s="14" t="s">
        <v>9139</v>
      </c>
      <c r="AR83" s="14" t="s">
        <v>9140</v>
      </c>
      <c r="AS83" s="14"/>
      <c r="AT83" s="14" t="s">
        <v>63</v>
      </c>
      <c r="AU83" s="14" t="s">
        <v>98</v>
      </c>
      <c r="AV83" s="15" t="s">
        <v>9141</v>
      </c>
      <c r="AW83" s="15" t="s">
        <v>9188</v>
      </c>
      <c r="AX83" s="15" t="s">
        <v>9143</v>
      </c>
      <c r="AY83" s="15" t="s">
        <v>9141</v>
      </c>
      <c r="AZ83" s="15" t="s">
        <v>9189</v>
      </c>
      <c r="BA83" s="16" t="s">
        <v>9141</v>
      </c>
      <c r="BB83" s="16" t="s">
        <v>9190</v>
      </c>
    </row>
    <row r="84" spans="1:54" hidden="1" x14ac:dyDescent="0.25">
      <c r="A84" s="4" t="s">
        <v>519</v>
      </c>
      <c r="B84" s="4" t="s">
        <v>9333</v>
      </c>
      <c r="C84" s="4"/>
      <c r="D84" s="4" t="s">
        <v>39</v>
      </c>
      <c r="E84" s="4">
        <v>329940</v>
      </c>
      <c r="F84" s="4" t="s">
        <v>512</v>
      </c>
      <c r="G84" s="32">
        <v>31789</v>
      </c>
      <c r="H84" s="25">
        <v>45326</v>
      </c>
      <c r="I84" s="11">
        <v>0.51041666666666663</v>
      </c>
      <c r="J84" s="4" t="s">
        <v>463</v>
      </c>
      <c r="K84" s="4">
        <v>2019</v>
      </c>
      <c r="L84" s="4" t="s">
        <v>513</v>
      </c>
      <c r="M84" s="4" t="s">
        <v>520</v>
      </c>
      <c r="N84" s="4" t="s">
        <v>521</v>
      </c>
      <c r="O84" s="4" t="s">
        <v>46</v>
      </c>
      <c r="P84" s="4"/>
      <c r="Q84" s="4" t="s">
        <v>47</v>
      </c>
      <c r="R84" s="4" t="s">
        <v>48</v>
      </c>
      <c r="S84" s="4">
        <v>0</v>
      </c>
      <c r="T84" s="4" t="b">
        <v>0</v>
      </c>
      <c r="U84" s="4" t="s">
        <v>61</v>
      </c>
      <c r="V84" s="4" t="s">
        <v>89</v>
      </c>
      <c r="W84" s="4" t="s">
        <v>175</v>
      </c>
      <c r="X84" s="4" t="s">
        <v>52</v>
      </c>
      <c r="Y84" s="4" t="s">
        <v>53</v>
      </c>
      <c r="Z84" s="4" t="s">
        <v>54</v>
      </c>
      <c r="AA84" s="4"/>
      <c r="AB84" s="23">
        <v>0</v>
      </c>
      <c r="AC84" s="28" t="e">
        <v>#N/A</v>
      </c>
      <c r="AD84" s="28" t="s">
        <v>8711</v>
      </c>
      <c r="AE84" s="28"/>
      <c r="AF84" s="19">
        <v>45131</v>
      </c>
      <c r="AG84" s="19">
        <v>45746</v>
      </c>
      <c r="AH84" s="12">
        <f t="shared" si="4"/>
        <v>0</v>
      </c>
      <c r="AI84" s="12">
        <f t="shared" ca="1" si="5"/>
        <v>1</v>
      </c>
      <c r="AJ84" s="12" t="str">
        <f t="shared" si="6"/>
        <v>Under 1 Year</v>
      </c>
      <c r="AK84" s="12" t="s">
        <v>9632</v>
      </c>
      <c r="AL84" s="31">
        <v>22.5</v>
      </c>
      <c r="AM84" s="31">
        <v>38</v>
      </c>
      <c r="AN84" s="12" t="str">
        <f t="shared" si="7"/>
        <v>35-44 Years</v>
      </c>
      <c r="AO84" s="13" t="s">
        <v>9169</v>
      </c>
      <c r="AP84" s="13" t="s">
        <v>9168</v>
      </c>
      <c r="AQ84" s="14" t="s">
        <v>9148</v>
      </c>
      <c r="AR84" s="14" t="s">
        <v>9140</v>
      </c>
      <c r="AS84" s="14"/>
      <c r="AT84" s="14" t="s">
        <v>52</v>
      </c>
      <c r="AU84" s="14" t="s">
        <v>54</v>
      </c>
      <c r="AV84" s="15" t="s">
        <v>9141</v>
      </c>
      <c r="AW84" s="15" t="s">
        <v>9175</v>
      </c>
      <c r="AX84" s="15" t="s">
        <v>9143</v>
      </c>
      <c r="AY84" s="15" t="s">
        <v>9141</v>
      </c>
      <c r="AZ84" s="15" t="s">
        <v>9177</v>
      </c>
      <c r="BA84" s="16" t="s">
        <v>9141</v>
      </c>
      <c r="BB84" s="16" t="s">
        <v>9178</v>
      </c>
    </row>
    <row r="85" spans="1:54" hidden="1" x14ac:dyDescent="0.25">
      <c r="A85" s="4" t="s">
        <v>412</v>
      </c>
      <c r="B85" s="4" t="s">
        <v>9334</v>
      </c>
      <c r="C85" s="4"/>
      <c r="D85" s="4" t="s">
        <v>39</v>
      </c>
      <c r="E85" s="4">
        <v>329423</v>
      </c>
      <c r="F85" s="4" t="s">
        <v>414</v>
      </c>
      <c r="G85" s="32">
        <v>21715</v>
      </c>
      <c r="H85" s="25">
        <v>45330</v>
      </c>
      <c r="I85" s="11">
        <v>0.86458333333333337</v>
      </c>
      <c r="J85" s="4" t="s">
        <v>42</v>
      </c>
      <c r="K85" s="4">
        <v>1012</v>
      </c>
      <c r="L85" s="4" t="s">
        <v>401</v>
      </c>
      <c r="M85" s="4" t="s">
        <v>415</v>
      </c>
      <c r="N85" s="4" t="s">
        <v>416</v>
      </c>
      <c r="O85" s="4" t="s">
        <v>46</v>
      </c>
      <c r="P85" s="4"/>
      <c r="Q85" s="4" t="s">
        <v>174</v>
      </c>
      <c r="R85" s="4" t="s">
        <v>48</v>
      </c>
      <c r="S85" s="4">
        <v>0</v>
      </c>
      <c r="T85" s="4" t="b">
        <v>0</v>
      </c>
      <c r="U85" s="4" t="s">
        <v>49</v>
      </c>
      <c r="V85" s="4" t="s">
        <v>89</v>
      </c>
      <c r="W85" s="4" t="s">
        <v>417</v>
      </c>
      <c r="X85" s="4" t="s">
        <v>123</v>
      </c>
      <c r="Y85" s="4" t="s">
        <v>124</v>
      </c>
      <c r="Z85" s="4" t="s">
        <v>54</v>
      </c>
      <c r="AA85" s="4"/>
      <c r="AB85" s="23">
        <v>0</v>
      </c>
      <c r="AC85" s="28" t="e">
        <v>#N/A</v>
      </c>
      <c r="AD85" s="28" t="e">
        <v>#N/A</v>
      </c>
      <c r="AE85" s="28"/>
      <c r="AF85" s="19">
        <v>45089</v>
      </c>
      <c r="AG85" s="19">
        <v>45361</v>
      </c>
      <c r="AH85" s="12">
        <f t="shared" si="4"/>
        <v>0</v>
      </c>
      <c r="AI85" s="12">
        <f t="shared" ca="1" si="5"/>
        <v>0</v>
      </c>
      <c r="AJ85" s="12" t="str">
        <f t="shared" si="6"/>
        <v>Under 1 Year</v>
      </c>
      <c r="AK85" s="12" t="s">
        <v>9633</v>
      </c>
      <c r="AL85" s="31">
        <v>0.01</v>
      </c>
      <c r="AM85" s="31">
        <v>65</v>
      </c>
      <c r="AN85" s="12" t="str">
        <f t="shared" si="7"/>
        <v>More Than 55 Years</v>
      </c>
      <c r="AO85" s="13" t="s">
        <v>9169</v>
      </c>
      <c r="AP85" s="13" t="s">
        <v>9168</v>
      </c>
      <c r="AQ85" s="14" t="s">
        <v>9139</v>
      </c>
      <c r="AR85" s="14" t="s">
        <v>9140</v>
      </c>
      <c r="AS85" s="14"/>
      <c r="AT85" s="14" t="s">
        <v>123</v>
      </c>
      <c r="AU85" s="14" t="s">
        <v>54</v>
      </c>
      <c r="AV85" s="15" t="s">
        <v>9141</v>
      </c>
      <c r="AW85" s="15" t="s">
        <v>9142</v>
      </c>
      <c r="AX85" s="15" t="s">
        <v>9143</v>
      </c>
      <c r="AY85" s="15" t="s">
        <v>9141</v>
      </c>
      <c r="AZ85" s="15" t="s">
        <v>9144</v>
      </c>
      <c r="BA85" s="16" t="s">
        <v>9141</v>
      </c>
      <c r="BB85" s="16" t="s">
        <v>9145</v>
      </c>
    </row>
    <row r="86" spans="1:54" hidden="1" x14ac:dyDescent="0.25">
      <c r="A86" s="4" t="s">
        <v>501</v>
      </c>
      <c r="B86" s="4" t="s">
        <v>9335</v>
      </c>
      <c r="C86" s="4"/>
      <c r="D86" s="4" t="s">
        <v>39</v>
      </c>
      <c r="E86" s="4">
        <v>322335</v>
      </c>
      <c r="F86" s="4" t="s">
        <v>503</v>
      </c>
      <c r="G86" s="32">
        <v>36043</v>
      </c>
      <c r="H86" s="25">
        <v>45330</v>
      </c>
      <c r="I86" s="11">
        <v>0.4375</v>
      </c>
      <c r="J86" s="4" t="s">
        <v>463</v>
      </c>
      <c r="K86" s="4">
        <v>2017</v>
      </c>
      <c r="L86" s="4" t="s">
        <v>491</v>
      </c>
      <c r="M86" s="4" t="s">
        <v>504</v>
      </c>
      <c r="N86" s="4" t="s">
        <v>505</v>
      </c>
      <c r="O86" s="4" t="s">
        <v>46</v>
      </c>
      <c r="P86" s="4"/>
      <c r="Q86" s="4" t="s">
        <v>47</v>
      </c>
      <c r="R86" s="4" t="s">
        <v>48</v>
      </c>
      <c r="S86" s="4">
        <v>0</v>
      </c>
      <c r="T86" s="4" t="b">
        <v>0</v>
      </c>
      <c r="U86" s="4" t="s">
        <v>61</v>
      </c>
      <c r="V86" s="4" t="s">
        <v>349</v>
      </c>
      <c r="W86" s="4" t="s">
        <v>90</v>
      </c>
      <c r="X86" s="4" t="s">
        <v>267</v>
      </c>
      <c r="Y86" s="4" t="s">
        <v>495</v>
      </c>
      <c r="Z86" s="4" t="s">
        <v>54</v>
      </c>
      <c r="AA86" s="4"/>
      <c r="AB86" s="23">
        <v>0</v>
      </c>
      <c r="AC86" s="28" t="e">
        <v>#N/A</v>
      </c>
      <c r="AD86" s="28" t="e">
        <v>#N/A</v>
      </c>
      <c r="AE86" s="28"/>
      <c r="AF86" s="19">
        <v>44690</v>
      </c>
      <c r="AG86" s="19"/>
      <c r="AH86" s="12">
        <f t="shared" si="4"/>
        <v>1</v>
      </c>
      <c r="AI86" s="12">
        <f t="shared" ca="1" si="5"/>
        <v>4</v>
      </c>
      <c r="AJ86" s="12" t="str">
        <f t="shared" si="6"/>
        <v>1-5 Years</v>
      </c>
      <c r="AK86" s="12" t="s">
        <v>9632</v>
      </c>
      <c r="AL86" s="31">
        <v>15</v>
      </c>
      <c r="AM86" s="31">
        <v>26</v>
      </c>
      <c r="AN86" s="12" t="str">
        <f t="shared" si="7"/>
        <v>25-34 Years</v>
      </c>
      <c r="AO86" s="13" t="s">
        <v>9169</v>
      </c>
      <c r="AP86" s="13" t="s">
        <v>9168</v>
      </c>
      <c r="AQ86" s="14" t="s">
        <v>9148</v>
      </c>
      <c r="AR86" s="14" t="s">
        <v>9140</v>
      </c>
      <c r="AS86" s="14"/>
      <c r="AT86" s="14" t="s">
        <v>267</v>
      </c>
      <c r="AU86" s="14" t="s">
        <v>54</v>
      </c>
      <c r="AV86" s="15" t="s">
        <v>9141</v>
      </c>
      <c r="AW86" s="15" t="s">
        <v>9175</v>
      </c>
      <c r="AX86" s="15" t="s">
        <v>9143</v>
      </c>
      <c r="AY86" s="15" t="s">
        <v>9141</v>
      </c>
      <c r="AZ86" s="15" t="s">
        <v>9177</v>
      </c>
      <c r="BA86" s="16" t="s">
        <v>9141</v>
      </c>
      <c r="BB86" s="16" t="s">
        <v>9178</v>
      </c>
    </row>
    <row r="87" spans="1:54" x14ac:dyDescent="0.25">
      <c r="A87" s="4" t="s">
        <v>1432</v>
      </c>
      <c r="B87" s="4" t="s">
        <v>9336</v>
      </c>
      <c r="C87" s="4"/>
      <c r="D87" s="4" t="s">
        <v>39</v>
      </c>
      <c r="E87" s="4">
        <v>332366</v>
      </c>
      <c r="F87" s="4" t="s">
        <v>1434</v>
      </c>
      <c r="G87" s="32">
        <v>24346</v>
      </c>
      <c r="H87" s="25">
        <v>45330</v>
      </c>
      <c r="I87" s="11">
        <v>0.4861111111111111</v>
      </c>
      <c r="J87" s="4" t="s">
        <v>1366</v>
      </c>
      <c r="K87" s="4">
        <v>5060</v>
      </c>
      <c r="L87" s="4" t="s">
        <v>1412</v>
      </c>
      <c r="M87" s="4" t="s">
        <v>1435</v>
      </c>
      <c r="N87" s="4" t="s">
        <v>1436</v>
      </c>
      <c r="O87" s="4" t="s">
        <v>46</v>
      </c>
      <c r="P87" s="4"/>
      <c r="Q87" s="4" t="s">
        <v>47</v>
      </c>
      <c r="R87" s="4" t="s">
        <v>48</v>
      </c>
      <c r="S87" s="4">
        <v>0</v>
      </c>
      <c r="T87" s="4" t="b">
        <v>0</v>
      </c>
      <c r="U87" s="4" t="s">
        <v>49</v>
      </c>
      <c r="V87" s="4" t="s">
        <v>89</v>
      </c>
      <c r="W87" s="4" t="s">
        <v>165</v>
      </c>
      <c r="X87" s="4" t="s">
        <v>63</v>
      </c>
      <c r="Y87" s="4" t="s">
        <v>108</v>
      </c>
      <c r="Z87" s="4" t="s">
        <v>98</v>
      </c>
      <c r="AA87" s="4"/>
      <c r="AB87" s="23">
        <v>0</v>
      </c>
      <c r="AC87" s="28" t="e">
        <v>#N/A</v>
      </c>
      <c r="AD87" s="28" t="e">
        <v>#N/A</v>
      </c>
      <c r="AE87" s="28"/>
      <c r="AF87" s="19">
        <v>45257</v>
      </c>
      <c r="AG87" s="19">
        <v>45369</v>
      </c>
      <c r="AH87" s="12">
        <f t="shared" si="4"/>
        <v>0</v>
      </c>
      <c r="AI87" s="12">
        <f t="shared" ca="1" si="5"/>
        <v>0</v>
      </c>
      <c r="AJ87" s="12" t="str">
        <f t="shared" si="6"/>
        <v>Under 1 Year</v>
      </c>
      <c r="AK87" s="12" t="s">
        <v>9632</v>
      </c>
      <c r="AL87" s="31">
        <v>20</v>
      </c>
      <c r="AM87" s="31">
        <v>58</v>
      </c>
      <c r="AN87" s="12" t="str">
        <f t="shared" si="7"/>
        <v>More Than 55 Years</v>
      </c>
      <c r="AO87" s="13" t="s">
        <v>9169</v>
      </c>
      <c r="AP87" s="13" t="s">
        <v>9168</v>
      </c>
      <c r="AQ87" s="14" t="s">
        <v>9139</v>
      </c>
      <c r="AR87" s="14" t="s">
        <v>9140</v>
      </c>
      <c r="AS87" s="14"/>
      <c r="AT87" s="14" t="s">
        <v>63</v>
      </c>
      <c r="AU87" s="14" t="s">
        <v>98</v>
      </c>
      <c r="AV87" s="15" t="s">
        <v>9141</v>
      </c>
      <c r="AW87" s="15" t="s">
        <v>9188</v>
      </c>
      <c r="AX87" s="15" t="s">
        <v>9143</v>
      </c>
      <c r="AY87" s="15" t="s">
        <v>9141</v>
      </c>
      <c r="AZ87" s="15" t="s">
        <v>9191</v>
      </c>
      <c r="BA87" s="16" t="s">
        <v>9141</v>
      </c>
      <c r="BB87" s="16" t="s">
        <v>9192</v>
      </c>
    </row>
    <row r="88" spans="1:54" hidden="1" x14ac:dyDescent="0.25">
      <c r="A88" s="4" t="s">
        <v>193</v>
      </c>
      <c r="B88" s="4" t="s">
        <v>9337</v>
      </c>
      <c r="C88" s="4"/>
      <c r="D88" s="4" t="s">
        <v>39</v>
      </c>
      <c r="E88" s="4">
        <v>256544</v>
      </c>
      <c r="F88" s="4" t="s">
        <v>195</v>
      </c>
      <c r="G88" s="32">
        <v>27127</v>
      </c>
      <c r="H88" s="25">
        <v>45333</v>
      </c>
      <c r="I88" s="11">
        <v>0.47916666666666669</v>
      </c>
      <c r="J88" s="4" t="s">
        <v>42</v>
      </c>
      <c r="K88" s="4">
        <v>1008</v>
      </c>
      <c r="L88" s="4" t="s">
        <v>170</v>
      </c>
      <c r="M88" s="4" t="s">
        <v>196</v>
      </c>
      <c r="N88" s="4" t="s">
        <v>197</v>
      </c>
      <c r="O88" s="4" t="s">
        <v>46</v>
      </c>
      <c r="P88" s="4"/>
      <c r="Q88" s="4" t="s">
        <v>47</v>
      </c>
      <c r="R88" s="4" t="s">
        <v>48</v>
      </c>
      <c r="S88" s="4">
        <v>0</v>
      </c>
      <c r="T88" s="4" t="b">
        <v>0</v>
      </c>
      <c r="U88" s="4" t="s">
        <v>49</v>
      </c>
      <c r="V88" s="4" t="s">
        <v>89</v>
      </c>
      <c r="W88" s="4" t="s">
        <v>107</v>
      </c>
      <c r="X88" s="4" t="s">
        <v>63</v>
      </c>
      <c r="Y88" s="4" t="s">
        <v>198</v>
      </c>
      <c r="Z88" s="4" t="s">
        <v>98</v>
      </c>
      <c r="AA88" s="4"/>
      <c r="AB88" s="23">
        <v>0</v>
      </c>
      <c r="AC88" s="28" t="e">
        <v>#N/A</v>
      </c>
      <c r="AD88" s="28" t="e">
        <v>#N/A</v>
      </c>
      <c r="AE88" s="28"/>
      <c r="AF88" s="19">
        <v>34478</v>
      </c>
      <c r="AG88" s="19"/>
      <c r="AH88" s="12">
        <f t="shared" si="4"/>
        <v>29</v>
      </c>
      <c r="AI88" s="12">
        <f t="shared" ca="1" si="5"/>
        <v>32</v>
      </c>
      <c r="AJ88" s="12" t="str">
        <f t="shared" si="6"/>
        <v>26-30 Years</v>
      </c>
      <c r="AK88" s="12" t="s">
        <v>10046</v>
      </c>
      <c r="AL88" s="31">
        <v>38</v>
      </c>
      <c r="AM88" s="31">
        <v>51</v>
      </c>
      <c r="AN88" s="12" t="str">
        <f t="shared" si="7"/>
        <v>45-54 Years</v>
      </c>
      <c r="AO88" s="13" t="s">
        <v>9169</v>
      </c>
      <c r="AP88" s="13" t="s">
        <v>9168</v>
      </c>
      <c r="AQ88" s="14" t="s">
        <v>9139</v>
      </c>
      <c r="AR88" s="14" t="s">
        <v>9140</v>
      </c>
      <c r="AS88" s="14"/>
      <c r="AT88" s="14" t="s">
        <v>63</v>
      </c>
      <c r="AU88" s="14" t="s">
        <v>98</v>
      </c>
      <c r="AV88" s="15" t="s">
        <v>9141</v>
      </c>
      <c r="AW88" s="15" t="s">
        <v>9142</v>
      </c>
      <c r="AX88" s="15" t="s">
        <v>9143</v>
      </c>
      <c r="AY88" s="15" t="s">
        <v>9141</v>
      </c>
      <c r="AZ88" s="15" t="s">
        <v>9144</v>
      </c>
      <c r="BA88" s="16" t="s">
        <v>9141</v>
      </c>
      <c r="BB88" s="16" t="s">
        <v>9145</v>
      </c>
    </row>
    <row r="89" spans="1:54" x14ac:dyDescent="0.25">
      <c r="A89" s="4" t="s">
        <v>1608</v>
      </c>
      <c r="B89" s="4" t="s">
        <v>9338</v>
      </c>
      <c r="C89" s="4"/>
      <c r="D89" s="4" t="s">
        <v>39</v>
      </c>
      <c r="E89" s="4">
        <v>324172</v>
      </c>
      <c r="F89" s="4" t="s">
        <v>1610</v>
      </c>
      <c r="G89" s="32">
        <v>24507</v>
      </c>
      <c r="H89" s="25">
        <v>45334</v>
      </c>
      <c r="I89" s="11">
        <v>0.60416666666666663</v>
      </c>
      <c r="J89" s="4" t="s">
        <v>1366</v>
      </c>
      <c r="K89" s="4">
        <v>6071</v>
      </c>
      <c r="L89" s="4" t="s">
        <v>1586</v>
      </c>
      <c r="M89" s="4" t="s">
        <v>455</v>
      </c>
      <c r="N89" s="4" t="s">
        <v>1611</v>
      </c>
      <c r="O89" s="4" t="s">
        <v>46</v>
      </c>
      <c r="P89" s="4"/>
      <c r="Q89" s="4" t="s">
        <v>47</v>
      </c>
      <c r="R89" s="4" t="s">
        <v>48</v>
      </c>
      <c r="S89" s="4">
        <v>0</v>
      </c>
      <c r="T89" s="4" t="b">
        <v>0</v>
      </c>
      <c r="U89" s="4" t="s">
        <v>61</v>
      </c>
      <c r="V89" s="4" t="s">
        <v>89</v>
      </c>
      <c r="W89" s="4" t="s">
        <v>148</v>
      </c>
      <c r="X89" s="4" t="s">
        <v>52</v>
      </c>
      <c r="Y89" s="4" t="s">
        <v>53</v>
      </c>
      <c r="Z89" s="4" t="s">
        <v>98</v>
      </c>
      <c r="AA89" s="4"/>
      <c r="AB89" s="23">
        <v>0</v>
      </c>
      <c r="AC89" s="28" t="e">
        <v>#N/A</v>
      </c>
      <c r="AD89" s="28" t="e">
        <v>#N/A</v>
      </c>
      <c r="AE89" s="28"/>
      <c r="AF89" s="19">
        <v>44809</v>
      </c>
      <c r="AG89" s="19"/>
      <c r="AH89" s="12">
        <f t="shared" si="4"/>
        <v>1</v>
      </c>
      <c r="AI89" s="12">
        <f t="shared" ca="1" si="5"/>
        <v>4</v>
      </c>
      <c r="AJ89" s="12" t="str">
        <f t="shared" si="6"/>
        <v>1-5 Years</v>
      </c>
      <c r="AK89" s="12" t="s">
        <v>9632</v>
      </c>
      <c r="AL89" s="31">
        <v>19</v>
      </c>
      <c r="AM89" s="31">
        <v>58</v>
      </c>
      <c r="AN89" s="12" t="str">
        <f t="shared" si="7"/>
        <v>More Than 55 Years</v>
      </c>
      <c r="AO89" s="13" t="s">
        <v>9169</v>
      </c>
      <c r="AP89" s="13" t="s">
        <v>9168</v>
      </c>
      <c r="AQ89" s="14" t="s">
        <v>9148</v>
      </c>
      <c r="AR89" s="14" t="s">
        <v>9140</v>
      </c>
      <c r="AS89" s="14"/>
      <c r="AT89" s="14" t="s">
        <v>52</v>
      </c>
      <c r="AU89" s="14" t="s">
        <v>98</v>
      </c>
      <c r="AV89" s="15" t="s">
        <v>9141</v>
      </c>
      <c r="AW89" s="15" t="s">
        <v>9188</v>
      </c>
      <c r="AX89" s="15" t="s">
        <v>9143</v>
      </c>
      <c r="AY89" s="15" t="s">
        <v>9141</v>
      </c>
      <c r="AZ89" s="15" t="s">
        <v>9191</v>
      </c>
      <c r="BA89" s="16" t="s">
        <v>9141</v>
      </c>
      <c r="BB89" s="16" t="s">
        <v>9192</v>
      </c>
    </row>
    <row r="90" spans="1:54" hidden="1" x14ac:dyDescent="0.25">
      <c r="A90" s="4" t="s">
        <v>298</v>
      </c>
      <c r="B90" s="4" t="s">
        <v>9339</v>
      </c>
      <c r="C90" s="4"/>
      <c r="D90" s="4" t="s">
        <v>39</v>
      </c>
      <c r="E90" s="4">
        <v>406820</v>
      </c>
      <c r="F90" s="4" t="s">
        <v>221</v>
      </c>
      <c r="G90" s="32">
        <v>25843</v>
      </c>
      <c r="H90" s="25">
        <v>45341</v>
      </c>
      <c r="I90" s="11">
        <v>0.3888888888888889</v>
      </c>
      <c r="J90" s="4" t="s">
        <v>42</v>
      </c>
      <c r="K90" s="4">
        <v>1011</v>
      </c>
      <c r="L90" s="4" t="s">
        <v>215</v>
      </c>
      <c r="M90" s="4" t="s">
        <v>299</v>
      </c>
      <c r="N90" s="4" t="s">
        <v>300</v>
      </c>
      <c r="O90" s="4" t="s">
        <v>46</v>
      </c>
      <c r="P90" s="4"/>
      <c r="Q90" s="4" t="s">
        <v>47</v>
      </c>
      <c r="R90" s="4" t="s">
        <v>48</v>
      </c>
      <c r="S90" s="4">
        <v>0</v>
      </c>
      <c r="T90" s="4" t="b">
        <v>0</v>
      </c>
      <c r="U90" s="4" t="s">
        <v>61</v>
      </c>
      <c r="V90" s="4" t="s">
        <v>50</v>
      </c>
      <c r="W90" s="4" t="s">
        <v>301</v>
      </c>
      <c r="X90" s="4" t="s">
        <v>123</v>
      </c>
      <c r="Y90" s="4" t="s">
        <v>192</v>
      </c>
      <c r="Z90" s="4" t="s">
        <v>98</v>
      </c>
      <c r="AA90" s="4" t="s">
        <v>302</v>
      </c>
      <c r="AB90" s="23">
        <v>0</v>
      </c>
      <c r="AC90" s="28" t="e">
        <v>#N/A</v>
      </c>
      <c r="AD90" s="28" t="e">
        <v>#N/A</v>
      </c>
      <c r="AE90" s="28"/>
      <c r="AF90" s="19">
        <v>42142</v>
      </c>
      <c r="AG90" s="19"/>
      <c r="AH90" s="12">
        <f t="shared" si="4"/>
        <v>8</v>
      </c>
      <c r="AI90" s="12">
        <f t="shared" ca="1" si="5"/>
        <v>11</v>
      </c>
      <c r="AJ90" s="12" t="str">
        <f t="shared" si="6"/>
        <v>6-10 Years</v>
      </c>
      <c r="AK90" s="12" t="s">
        <v>10046</v>
      </c>
      <c r="AL90" s="31">
        <v>38</v>
      </c>
      <c r="AM90" s="31">
        <v>54</v>
      </c>
      <c r="AN90" s="12" t="str">
        <f t="shared" si="7"/>
        <v>45-54 Years</v>
      </c>
      <c r="AO90" s="13" t="s">
        <v>9169</v>
      </c>
      <c r="AP90" s="13" t="s">
        <v>9168</v>
      </c>
      <c r="AQ90" s="14" t="s">
        <v>9148</v>
      </c>
      <c r="AR90" s="14" t="s">
        <v>9140</v>
      </c>
      <c r="AS90" s="14"/>
      <c r="AT90" s="14" t="s">
        <v>123</v>
      </c>
      <c r="AU90" s="14" t="s">
        <v>98</v>
      </c>
      <c r="AV90" s="15" t="s">
        <v>9141</v>
      </c>
      <c r="AW90" s="15" t="s">
        <v>9142</v>
      </c>
      <c r="AX90" s="15" t="s">
        <v>9143</v>
      </c>
      <c r="AY90" s="15" t="s">
        <v>9141</v>
      </c>
      <c r="AZ90" s="15" t="s">
        <v>9144</v>
      </c>
      <c r="BA90" s="16" t="s">
        <v>9141</v>
      </c>
      <c r="BB90" s="16" t="s">
        <v>9145</v>
      </c>
    </row>
    <row r="91" spans="1:54" hidden="1" x14ac:dyDescent="0.25">
      <c r="A91" s="4" t="s">
        <v>303</v>
      </c>
      <c r="B91" s="4" t="s">
        <v>9340</v>
      </c>
      <c r="C91" s="4"/>
      <c r="D91" s="4" t="s">
        <v>39</v>
      </c>
      <c r="E91" s="4">
        <v>293815</v>
      </c>
      <c r="F91" s="4" t="s">
        <v>258</v>
      </c>
      <c r="G91" s="32">
        <v>26374</v>
      </c>
      <c r="H91" s="25">
        <v>45341</v>
      </c>
      <c r="I91" s="11">
        <v>0.65625</v>
      </c>
      <c r="J91" s="4" t="s">
        <v>42</v>
      </c>
      <c r="K91" s="4">
        <v>1011</v>
      </c>
      <c r="L91" s="4" t="s">
        <v>215</v>
      </c>
      <c r="M91" s="4" t="s">
        <v>304</v>
      </c>
      <c r="N91" s="4" t="s">
        <v>305</v>
      </c>
      <c r="O91" s="4" t="s">
        <v>46</v>
      </c>
      <c r="P91" s="4"/>
      <c r="Q91" s="4" t="s">
        <v>47</v>
      </c>
      <c r="R91" s="4" t="s">
        <v>48</v>
      </c>
      <c r="S91" s="4">
        <v>0</v>
      </c>
      <c r="T91" s="4" t="b">
        <v>0</v>
      </c>
      <c r="U91" s="4" t="s">
        <v>61</v>
      </c>
      <c r="V91" s="4" t="s">
        <v>89</v>
      </c>
      <c r="W91" s="4" t="s">
        <v>165</v>
      </c>
      <c r="X91" s="4" t="s">
        <v>72</v>
      </c>
      <c r="Y91" s="4" t="s">
        <v>73</v>
      </c>
      <c r="Z91" s="4" t="s">
        <v>54</v>
      </c>
      <c r="AA91" s="4"/>
      <c r="AB91" s="23">
        <v>0</v>
      </c>
      <c r="AC91" s="28" t="e">
        <v>#N/A</v>
      </c>
      <c r="AD91" s="28" t="e">
        <v>#N/A</v>
      </c>
      <c r="AE91" s="28"/>
      <c r="AF91" s="19">
        <v>41820</v>
      </c>
      <c r="AG91" s="19"/>
      <c r="AH91" s="12">
        <f t="shared" si="4"/>
        <v>9</v>
      </c>
      <c r="AI91" s="12">
        <f t="shared" ca="1" si="5"/>
        <v>12</v>
      </c>
      <c r="AJ91" s="12" t="str">
        <f t="shared" si="6"/>
        <v>6-10 Years</v>
      </c>
      <c r="AK91" s="12" t="s">
        <v>9632</v>
      </c>
      <c r="AL91" s="31">
        <v>35</v>
      </c>
      <c r="AM91" s="31">
        <v>53</v>
      </c>
      <c r="AN91" s="12" t="str">
        <f t="shared" si="7"/>
        <v>45-54 Years</v>
      </c>
      <c r="AO91" s="13" t="s">
        <v>9169</v>
      </c>
      <c r="AP91" s="13" t="s">
        <v>9168</v>
      </c>
      <c r="AQ91" s="14" t="s">
        <v>9148</v>
      </c>
      <c r="AR91" s="14" t="s">
        <v>9140</v>
      </c>
      <c r="AS91" s="14"/>
      <c r="AT91" s="14" t="s">
        <v>72</v>
      </c>
      <c r="AU91" s="14" t="s">
        <v>54</v>
      </c>
      <c r="AV91" s="15" t="s">
        <v>9141</v>
      </c>
      <c r="AW91" s="15" t="s">
        <v>9142</v>
      </c>
      <c r="AX91" s="15" t="s">
        <v>9143</v>
      </c>
      <c r="AY91" s="15" t="s">
        <v>9141</v>
      </c>
      <c r="AZ91" s="15" t="s">
        <v>9144</v>
      </c>
      <c r="BA91" s="16" t="s">
        <v>9141</v>
      </c>
      <c r="BB91" s="16" t="s">
        <v>9145</v>
      </c>
    </row>
    <row r="92" spans="1:54" hidden="1" x14ac:dyDescent="0.25">
      <c r="A92" s="4" t="s">
        <v>452</v>
      </c>
      <c r="B92" s="4" t="s">
        <v>9341</v>
      </c>
      <c r="C92" s="4"/>
      <c r="D92" s="4" t="s">
        <v>39</v>
      </c>
      <c r="E92" s="4">
        <v>325234</v>
      </c>
      <c r="F92" s="4" t="s">
        <v>454</v>
      </c>
      <c r="G92" s="32">
        <v>37529</v>
      </c>
      <c r="H92" s="25">
        <v>45341</v>
      </c>
      <c r="I92" s="11">
        <v>0.47916666666666669</v>
      </c>
      <c r="J92" s="4" t="s">
        <v>42</v>
      </c>
      <c r="K92" s="4">
        <v>1013</v>
      </c>
      <c r="L92" s="4" t="s">
        <v>422</v>
      </c>
      <c r="M92" s="4" t="s">
        <v>455</v>
      </c>
      <c r="N92" s="4" t="s">
        <v>456</v>
      </c>
      <c r="O92" s="4" t="s">
        <v>46</v>
      </c>
      <c r="P92" s="4"/>
      <c r="Q92" s="4" t="s">
        <v>47</v>
      </c>
      <c r="R92" s="4" t="s">
        <v>48</v>
      </c>
      <c r="S92" s="4">
        <v>0</v>
      </c>
      <c r="T92" s="4" t="b">
        <v>0</v>
      </c>
      <c r="U92" s="4" t="s">
        <v>61</v>
      </c>
      <c r="V92" s="4" t="s">
        <v>89</v>
      </c>
      <c r="W92" s="4" t="s">
        <v>148</v>
      </c>
      <c r="X92" s="4" t="s">
        <v>52</v>
      </c>
      <c r="Y92" s="4" t="s">
        <v>53</v>
      </c>
      <c r="Z92" s="4" t="s">
        <v>54</v>
      </c>
      <c r="AA92" s="4"/>
      <c r="AB92" s="23">
        <v>0</v>
      </c>
      <c r="AC92" s="28" t="e">
        <v>#N/A</v>
      </c>
      <c r="AD92" s="28" t="e">
        <v>#N/A</v>
      </c>
      <c r="AE92" s="28"/>
      <c r="AF92" s="19">
        <v>44844</v>
      </c>
      <c r="AG92" s="19">
        <v>45561</v>
      </c>
      <c r="AH92" s="12">
        <f t="shared" si="4"/>
        <v>1</v>
      </c>
      <c r="AI92" s="12">
        <f t="shared" ca="1" si="5"/>
        <v>1</v>
      </c>
      <c r="AJ92" s="12" t="str">
        <f t="shared" si="6"/>
        <v>1-5 Years</v>
      </c>
      <c r="AK92" s="12" t="s">
        <v>9633</v>
      </c>
      <c r="AL92" s="31">
        <v>0.01</v>
      </c>
      <c r="AM92" s="31">
        <v>22</v>
      </c>
      <c r="AN92" s="12" t="str">
        <f t="shared" si="7"/>
        <v>20-24 Years</v>
      </c>
      <c r="AO92" s="13" t="s">
        <v>9169</v>
      </c>
      <c r="AP92" s="13" t="s">
        <v>9168</v>
      </c>
      <c r="AQ92" s="14" t="s">
        <v>9148</v>
      </c>
      <c r="AR92" s="14" t="s">
        <v>9140</v>
      </c>
      <c r="AS92" s="14"/>
      <c r="AT92" s="14" t="s">
        <v>52</v>
      </c>
      <c r="AU92" s="14" t="s">
        <v>54</v>
      </c>
      <c r="AV92" s="15" t="s">
        <v>9141</v>
      </c>
      <c r="AW92" s="15" t="s">
        <v>9142</v>
      </c>
      <c r="AX92" s="15" t="s">
        <v>9143</v>
      </c>
      <c r="AY92" s="15" t="s">
        <v>9141</v>
      </c>
      <c r="AZ92" s="15" t="s">
        <v>9144</v>
      </c>
      <c r="BA92" s="16" t="s">
        <v>9141</v>
      </c>
      <c r="BB92" s="16" t="s">
        <v>9145</v>
      </c>
    </row>
    <row r="93" spans="1:54" hidden="1" x14ac:dyDescent="0.25">
      <c r="A93" s="4" t="s">
        <v>293</v>
      </c>
      <c r="B93" s="4" t="s">
        <v>9342</v>
      </c>
      <c r="C93" s="4"/>
      <c r="D93" s="4" t="s">
        <v>39</v>
      </c>
      <c r="E93" s="4">
        <v>293338</v>
      </c>
      <c r="F93" s="4" t="s">
        <v>295</v>
      </c>
      <c r="G93" s="32">
        <v>34250</v>
      </c>
      <c r="H93" s="25">
        <v>45342</v>
      </c>
      <c r="I93" s="11">
        <v>0.44097222222222221</v>
      </c>
      <c r="J93" s="4" t="s">
        <v>42</v>
      </c>
      <c r="K93" s="4">
        <v>1011</v>
      </c>
      <c r="L93" s="4" t="s">
        <v>215</v>
      </c>
      <c r="M93" s="4" t="s">
        <v>296</v>
      </c>
      <c r="N93" s="4" t="s">
        <v>297</v>
      </c>
      <c r="O93" s="4" t="s">
        <v>46</v>
      </c>
      <c r="P93" s="4"/>
      <c r="Q93" s="4" t="s">
        <v>47</v>
      </c>
      <c r="R93" s="4" t="s">
        <v>48</v>
      </c>
      <c r="S93" s="4">
        <v>0</v>
      </c>
      <c r="T93" s="4" t="b">
        <v>0</v>
      </c>
      <c r="U93" s="4" t="s">
        <v>61</v>
      </c>
      <c r="V93" s="4" t="s">
        <v>89</v>
      </c>
      <c r="W93" s="4" t="s">
        <v>71</v>
      </c>
      <c r="X93" s="4" t="s">
        <v>52</v>
      </c>
      <c r="Y93" s="4" t="s">
        <v>255</v>
      </c>
      <c r="Z93" s="4" t="s">
        <v>98</v>
      </c>
      <c r="AA93" s="4"/>
      <c r="AB93" s="23">
        <v>0</v>
      </c>
      <c r="AC93" s="28" t="e">
        <v>#N/A</v>
      </c>
      <c r="AD93" s="28" t="e">
        <v>#N/A</v>
      </c>
      <c r="AE93" s="28"/>
      <c r="AF93" s="19">
        <v>41470</v>
      </c>
      <c r="AG93" s="19">
        <v>45443</v>
      </c>
      <c r="AH93" s="12">
        <f t="shared" si="4"/>
        <v>10</v>
      </c>
      <c r="AI93" s="12">
        <f t="shared" ca="1" si="5"/>
        <v>10</v>
      </c>
      <c r="AJ93" s="12" t="str">
        <f t="shared" si="6"/>
        <v>6-10 Years</v>
      </c>
      <c r="AK93" s="12" t="s">
        <v>9632</v>
      </c>
      <c r="AL93" s="31">
        <v>30</v>
      </c>
      <c r="AM93" s="31">
        <v>31</v>
      </c>
      <c r="AN93" s="12" t="str">
        <f t="shared" si="7"/>
        <v>25-34 Years</v>
      </c>
      <c r="AO93" s="13" t="s">
        <v>9169</v>
      </c>
      <c r="AP93" s="13" t="s">
        <v>9168</v>
      </c>
      <c r="AQ93" s="14" t="s">
        <v>9148</v>
      </c>
      <c r="AR93" s="14" t="s">
        <v>9140</v>
      </c>
      <c r="AS93" s="14"/>
      <c r="AT93" s="14" t="s">
        <v>52</v>
      </c>
      <c r="AU93" s="14" t="s">
        <v>98</v>
      </c>
      <c r="AV93" s="15" t="s">
        <v>9141</v>
      </c>
      <c r="AW93" s="15" t="s">
        <v>9142</v>
      </c>
      <c r="AX93" s="15" t="s">
        <v>9143</v>
      </c>
      <c r="AY93" s="15" t="s">
        <v>9141</v>
      </c>
      <c r="AZ93" s="15" t="s">
        <v>9144</v>
      </c>
      <c r="BA93" s="16" t="s">
        <v>9141</v>
      </c>
      <c r="BB93" s="16" t="s">
        <v>9145</v>
      </c>
    </row>
    <row r="94" spans="1:54" hidden="1" x14ac:dyDescent="0.25">
      <c r="A94" s="4" t="s">
        <v>595</v>
      </c>
      <c r="B94" s="4" t="s">
        <v>9343</v>
      </c>
      <c r="C94" s="4">
        <v>12230104501</v>
      </c>
      <c r="D94" s="4" t="s">
        <v>39</v>
      </c>
      <c r="E94" s="4">
        <v>322297</v>
      </c>
      <c r="F94" s="4" t="s">
        <v>597</v>
      </c>
      <c r="G94" s="32">
        <v>29933</v>
      </c>
      <c r="H94" s="25">
        <v>45344</v>
      </c>
      <c r="I94" s="11">
        <v>0.52708333333333335</v>
      </c>
      <c r="J94" s="4" t="s">
        <v>463</v>
      </c>
      <c r="K94" s="4">
        <v>2022</v>
      </c>
      <c r="L94" s="4" t="s">
        <v>565</v>
      </c>
      <c r="M94" s="4" t="s">
        <v>598</v>
      </c>
      <c r="N94" s="4" t="s">
        <v>599</v>
      </c>
      <c r="O94" s="4" t="s">
        <v>28</v>
      </c>
      <c r="P94" s="4" t="s">
        <v>183</v>
      </c>
      <c r="Q94" s="4" t="s">
        <v>344</v>
      </c>
      <c r="R94" s="4" t="s">
        <v>60</v>
      </c>
      <c r="S94" s="4">
        <v>98</v>
      </c>
      <c r="T94" s="4" t="b">
        <v>0</v>
      </c>
      <c r="U94" s="4" t="s">
        <v>114</v>
      </c>
      <c r="V94" s="4" t="s">
        <v>89</v>
      </c>
      <c r="W94" s="4" t="s">
        <v>600</v>
      </c>
      <c r="X94" s="4" t="s">
        <v>52</v>
      </c>
      <c r="Y94" s="4" t="s">
        <v>53</v>
      </c>
      <c r="Z94" s="4" t="s">
        <v>54</v>
      </c>
      <c r="AA94" s="4"/>
      <c r="AB94" s="23" t="s">
        <v>60</v>
      </c>
      <c r="AC94" s="28" t="e">
        <v>#N/A</v>
      </c>
      <c r="AD94" s="28" t="e">
        <v>#N/A</v>
      </c>
      <c r="AE94" s="28"/>
      <c r="AF94" s="19">
        <v>44683</v>
      </c>
      <c r="AG94" s="19"/>
      <c r="AH94" s="12">
        <f t="shared" si="4"/>
        <v>1</v>
      </c>
      <c r="AI94" s="12">
        <f t="shared" ca="1" si="5"/>
        <v>4</v>
      </c>
      <c r="AJ94" s="12" t="str">
        <f t="shared" si="6"/>
        <v>1-5 Years</v>
      </c>
      <c r="AK94" s="12" t="s">
        <v>10046</v>
      </c>
      <c r="AL94" s="31">
        <v>34.25</v>
      </c>
      <c r="AM94" s="31">
        <v>43</v>
      </c>
      <c r="AN94" s="12" t="str">
        <f t="shared" si="7"/>
        <v>35-44 Years</v>
      </c>
      <c r="AO94" s="13" t="s">
        <v>9169</v>
      </c>
      <c r="AP94" s="13" t="s">
        <v>9168</v>
      </c>
      <c r="AQ94" s="14" t="s">
        <v>9157</v>
      </c>
      <c r="AR94" s="14" t="s">
        <v>28</v>
      </c>
      <c r="AS94" s="14" t="s">
        <v>183</v>
      </c>
      <c r="AT94" s="14" t="s">
        <v>52</v>
      </c>
      <c r="AU94" s="14" t="s">
        <v>54</v>
      </c>
      <c r="AV94" s="15" t="s">
        <v>9141</v>
      </c>
      <c r="AW94" s="15" t="s">
        <v>9175</v>
      </c>
      <c r="AX94" s="15" t="s">
        <v>9143</v>
      </c>
      <c r="AY94" s="15" t="s">
        <v>9141</v>
      </c>
      <c r="AZ94" s="15" t="s">
        <v>9175</v>
      </c>
      <c r="BA94" s="16" t="s">
        <v>9141</v>
      </c>
      <c r="BB94" s="16" t="s">
        <v>9176</v>
      </c>
    </row>
    <row r="95" spans="1:54" hidden="1" x14ac:dyDescent="0.25">
      <c r="A95" s="4" t="s">
        <v>1122</v>
      </c>
      <c r="B95" s="4" t="s">
        <v>9344</v>
      </c>
      <c r="C95" s="4"/>
      <c r="D95" s="4" t="s">
        <v>39</v>
      </c>
      <c r="E95" s="4">
        <v>331223</v>
      </c>
      <c r="F95" s="4" t="s">
        <v>1118</v>
      </c>
      <c r="G95" s="32">
        <v>37880</v>
      </c>
      <c r="H95" s="25">
        <v>45345</v>
      </c>
      <c r="I95" s="11">
        <v>0.5625</v>
      </c>
      <c r="J95" s="4" t="s">
        <v>463</v>
      </c>
      <c r="K95" s="4">
        <v>2059</v>
      </c>
      <c r="L95" s="4" t="s">
        <v>1101</v>
      </c>
      <c r="M95" s="4" t="s">
        <v>1123</v>
      </c>
      <c r="N95" s="4" t="s">
        <v>1124</v>
      </c>
      <c r="O95" s="4" t="s">
        <v>46</v>
      </c>
      <c r="P95" s="4"/>
      <c r="Q95" s="4" t="s">
        <v>47</v>
      </c>
      <c r="R95" s="4" t="s">
        <v>48</v>
      </c>
      <c r="S95" s="4">
        <v>0</v>
      </c>
      <c r="T95" s="4" t="b">
        <v>0</v>
      </c>
      <c r="U95" s="4" t="s">
        <v>61</v>
      </c>
      <c r="V95" s="4" t="s">
        <v>583</v>
      </c>
      <c r="W95" s="4" t="s">
        <v>51</v>
      </c>
      <c r="X95" s="4" t="s">
        <v>52</v>
      </c>
      <c r="Y95" s="4" t="s">
        <v>135</v>
      </c>
      <c r="Z95" s="4" t="s">
        <v>54</v>
      </c>
      <c r="AA95" s="4"/>
      <c r="AB95" s="23">
        <v>0</v>
      </c>
      <c r="AC95" s="28" t="e">
        <v>#N/A</v>
      </c>
      <c r="AD95" s="28" t="e">
        <v>#N/A</v>
      </c>
      <c r="AE95" s="28"/>
      <c r="AF95" s="19">
        <v>45208</v>
      </c>
      <c r="AG95" s="19">
        <v>45608</v>
      </c>
      <c r="AH95" s="12">
        <f t="shared" si="4"/>
        <v>0</v>
      </c>
      <c r="AI95" s="12">
        <f t="shared" ca="1" si="5"/>
        <v>1</v>
      </c>
      <c r="AJ95" s="12" t="str">
        <f t="shared" si="6"/>
        <v>Under 1 Year</v>
      </c>
      <c r="AK95" s="12" t="s">
        <v>9633</v>
      </c>
      <c r="AL95" s="31">
        <v>0.01</v>
      </c>
      <c r="AM95" s="31">
        <v>21</v>
      </c>
      <c r="AN95" s="12" t="str">
        <f t="shared" si="7"/>
        <v>20-24 Years</v>
      </c>
      <c r="AO95" s="13" t="s">
        <v>9169</v>
      </c>
      <c r="AP95" s="13" t="s">
        <v>9168</v>
      </c>
      <c r="AQ95" s="14" t="s">
        <v>9148</v>
      </c>
      <c r="AR95" s="14" t="s">
        <v>9140</v>
      </c>
      <c r="AS95" s="14"/>
      <c r="AT95" s="14" t="s">
        <v>52</v>
      </c>
      <c r="AU95" s="14" t="s">
        <v>54</v>
      </c>
      <c r="AV95" s="15" t="s">
        <v>9141</v>
      </c>
      <c r="AW95" s="15" t="s">
        <v>9175</v>
      </c>
      <c r="AX95" s="15" t="s">
        <v>9143</v>
      </c>
      <c r="AY95" s="15" t="s">
        <v>9141</v>
      </c>
      <c r="AZ95" s="15" t="s">
        <v>9175</v>
      </c>
      <c r="BA95" s="16" t="s">
        <v>9141</v>
      </c>
      <c r="BB95" s="16" t="s">
        <v>9176</v>
      </c>
    </row>
    <row r="96" spans="1:54" x14ac:dyDescent="0.25">
      <c r="A96" s="4" t="s">
        <v>1603</v>
      </c>
      <c r="B96" s="4" t="s">
        <v>9345</v>
      </c>
      <c r="C96" s="4">
        <v>6581995</v>
      </c>
      <c r="D96" s="4" t="s">
        <v>39</v>
      </c>
      <c r="E96" s="4">
        <v>324177</v>
      </c>
      <c r="F96" s="4" t="s">
        <v>1605</v>
      </c>
      <c r="G96" s="32">
        <v>19049</v>
      </c>
      <c r="H96" s="25">
        <v>45345</v>
      </c>
      <c r="I96" s="11">
        <v>0.45833333333333331</v>
      </c>
      <c r="J96" s="4" t="s">
        <v>1366</v>
      </c>
      <c r="K96" s="4">
        <v>6071</v>
      </c>
      <c r="L96" s="4" t="s">
        <v>1586</v>
      </c>
      <c r="M96" s="4" t="s">
        <v>1606</v>
      </c>
      <c r="N96" s="4" t="s">
        <v>1607</v>
      </c>
      <c r="O96" s="4" t="s">
        <v>28</v>
      </c>
      <c r="P96" s="4" t="s">
        <v>147</v>
      </c>
      <c r="Q96" s="4" t="s">
        <v>174</v>
      </c>
      <c r="R96" s="4" t="s">
        <v>48</v>
      </c>
      <c r="S96" s="4">
        <v>0</v>
      </c>
      <c r="T96" s="4" t="b">
        <v>0</v>
      </c>
      <c r="U96" s="4" t="s">
        <v>61</v>
      </c>
      <c r="V96" s="4" t="s">
        <v>89</v>
      </c>
      <c r="W96" s="4" t="s">
        <v>51</v>
      </c>
      <c r="X96" s="4" t="s">
        <v>72</v>
      </c>
      <c r="Y96" s="4" t="s">
        <v>73</v>
      </c>
      <c r="Z96" s="4" t="s">
        <v>98</v>
      </c>
      <c r="AA96" s="4"/>
      <c r="AB96" s="23" t="s">
        <v>48</v>
      </c>
      <c r="AC96" s="28" t="e">
        <v>#N/A</v>
      </c>
      <c r="AD96" s="28" t="e">
        <v>#N/A</v>
      </c>
      <c r="AE96" s="28"/>
      <c r="AF96" s="19">
        <v>44809</v>
      </c>
      <c r="AG96" s="19"/>
      <c r="AH96" s="12">
        <f t="shared" si="4"/>
        <v>1</v>
      </c>
      <c r="AI96" s="12">
        <f t="shared" ca="1" si="5"/>
        <v>4</v>
      </c>
      <c r="AJ96" s="12" t="str">
        <f t="shared" si="6"/>
        <v>1-5 Years</v>
      </c>
      <c r="AK96" s="12" t="s">
        <v>9633</v>
      </c>
      <c r="AL96" s="31">
        <v>0.01</v>
      </c>
      <c r="AM96" s="31">
        <v>73</v>
      </c>
      <c r="AN96" s="12" t="str">
        <f t="shared" si="7"/>
        <v>More Than 55 Years</v>
      </c>
      <c r="AO96" s="13" t="s">
        <v>9169</v>
      </c>
      <c r="AP96" s="13" t="s">
        <v>9168</v>
      </c>
      <c r="AQ96" s="14" t="s">
        <v>9148</v>
      </c>
      <c r="AR96" s="14" t="s">
        <v>28</v>
      </c>
      <c r="AS96" s="14" t="s">
        <v>147</v>
      </c>
      <c r="AT96" s="14" t="s">
        <v>72</v>
      </c>
      <c r="AU96" s="14" t="s">
        <v>98</v>
      </c>
      <c r="AV96" s="15" t="s">
        <v>9141</v>
      </c>
      <c r="AW96" s="15" t="s">
        <v>9188</v>
      </c>
      <c r="AX96" s="15" t="s">
        <v>9143</v>
      </c>
      <c r="AY96" s="15" t="s">
        <v>9141</v>
      </c>
      <c r="AZ96" s="15" t="s">
        <v>9191</v>
      </c>
      <c r="BA96" s="16" t="s">
        <v>9141</v>
      </c>
      <c r="BB96" s="16" t="s">
        <v>9192</v>
      </c>
    </row>
    <row r="97" spans="1:54" hidden="1" x14ac:dyDescent="0.25">
      <c r="A97" s="4" t="s">
        <v>674</v>
      </c>
      <c r="B97" s="4" t="s">
        <v>9346</v>
      </c>
      <c r="C97" s="4"/>
      <c r="D97" s="4" t="s">
        <v>39</v>
      </c>
      <c r="E97" s="4">
        <v>332237</v>
      </c>
      <c r="F97" s="4" t="s">
        <v>676</v>
      </c>
      <c r="G97" s="32">
        <v>38465</v>
      </c>
      <c r="H97" s="25">
        <v>45347</v>
      </c>
      <c r="I97" s="11">
        <v>0.69791666666666663</v>
      </c>
      <c r="J97" s="4" t="s">
        <v>463</v>
      </c>
      <c r="K97" s="4">
        <v>2024</v>
      </c>
      <c r="L97" s="4" t="s">
        <v>664</v>
      </c>
      <c r="M97" s="4" t="s">
        <v>677</v>
      </c>
      <c r="N97" s="4" t="s">
        <v>678</v>
      </c>
      <c r="O97" s="4" t="s">
        <v>46</v>
      </c>
      <c r="P97" s="4"/>
      <c r="Q97" s="4" t="s">
        <v>47</v>
      </c>
      <c r="R97" s="4" t="s">
        <v>48</v>
      </c>
      <c r="S97" s="4">
        <v>0</v>
      </c>
      <c r="T97" s="4" t="b">
        <v>0</v>
      </c>
      <c r="U97" s="4" t="s">
        <v>49</v>
      </c>
      <c r="V97" s="4" t="s">
        <v>89</v>
      </c>
      <c r="W97" s="4" t="s">
        <v>90</v>
      </c>
      <c r="X97" s="4" t="s">
        <v>72</v>
      </c>
      <c r="Y97" s="4" t="s">
        <v>73</v>
      </c>
      <c r="Z97" s="4" t="s">
        <v>54</v>
      </c>
      <c r="AA97" s="4"/>
      <c r="AB97" s="23">
        <v>0</v>
      </c>
      <c r="AC97" s="28" t="s">
        <v>9580</v>
      </c>
      <c r="AD97" s="28" t="e">
        <v>#N/A</v>
      </c>
      <c r="AE97" s="28"/>
      <c r="AF97" s="19">
        <v>45236</v>
      </c>
      <c r="AG97" s="19">
        <v>45599</v>
      </c>
      <c r="AH97" s="12">
        <f t="shared" si="4"/>
        <v>0</v>
      </c>
      <c r="AI97" s="12">
        <f t="shared" ca="1" si="5"/>
        <v>0</v>
      </c>
      <c r="AJ97" s="12" t="str">
        <f t="shared" si="6"/>
        <v>Under 1 Year</v>
      </c>
      <c r="AK97" s="12" t="s">
        <v>9633</v>
      </c>
      <c r="AL97" s="31">
        <v>0.01</v>
      </c>
      <c r="AM97" s="31">
        <v>20</v>
      </c>
      <c r="AN97" s="12" t="str">
        <f t="shared" si="7"/>
        <v>20-24 Years</v>
      </c>
      <c r="AO97" s="13" t="s">
        <v>9169</v>
      </c>
      <c r="AP97" s="13" t="s">
        <v>9168</v>
      </c>
      <c r="AQ97" s="14" t="s">
        <v>9139</v>
      </c>
      <c r="AR97" s="14" t="s">
        <v>9140</v>
      </c>
      <c r="AS97" s="14"/>
      <c r="AT97" s="14" t="s">
        <v>72</v>
      </c>
      <c r="AU97" s="14" t="s">
        <v>54</v>
      </c>
      <c r="AV97" s="15" t="s">
        <v>9141</v>
      </c>
      <c r="AW97" s="15" t="s">
        <v>9175</v>
      </c>
      <c r="AX97" s="15" t="s">
        <v>9143</v>
      </c>
      <c r="AY97" s="15" t="s">
        <v>9141</v>
      </c>
      <c r="AZ97" s="15" t="s">
        <v>9177</v>
      </c>
      <c r="BA97" s="16" t="s">
        <v>9141</v>
      </c>
      <c r="BB97" s="16" t="s">
        <v>9178</v>
      </c>
    </row>
    <row r="98" spans="1:54" hidden="1" x14ac:dyDescent="0.25">
      <c r="A98" s="4" t="s">
        <v>288</v>
      </c>
      <c r="B98" s="4" t="s">
        <v>9347</v>
      </c>
      <c r="C98" s="4"/>
      <c r="D98" s="4" t="s">
        <v>39</v>
      </c>
      <c r="E98" s="4">
        <v>283771</v>
      </c>
      <c r="F98" s="4" t="s">
        <v>290</v>
      </c>
      <c r="G98" s="32">
        <v>30526</v>
      </c>
      <c r="H98" s="25">
        <v>45348</v>
      </c>
      <c r="I98" s="11">
        <v>0.51041666666666663</v>
      </c>
      <c r="J98" s="4" t="s">
        <v>42</v>
      </c>
      <c r="K98" s="4">
        <v>1011</v>
      </c>
      <c r="L98" s="4" t="s">
        <v>215</v>
      </c>
      <c r="M98" s="4" t="s">
        <v>291</v>
      </c>
      <c r="N98" s="4" t="s">
        <v>292</v>
      </c>
      <c r="O98" s="4" t="s">
        <v>46</v>
      </c>
      <c r="P98" s="4"/>
      <c r="Q98" s="4" t="s">
        <v>47</v>
      </c>
      <c r="R98" s="4" t="s">
        <v>48</v>
      </c>
      <c r="S98" s="4">
        <v>0</v>
      </c>
      <c r="T98" s="4" t="b">
        <v>0</v>
      </c>
      <c r="U98" s="4" t="s">
        <v>49</v>
      </c>
      <c r="V98" s="4" t="s">
        <v>115</v>
      </c>
      <c r="W98" s="4" t="s">
        <v>71</v>
      </c>
      <c r="X98" s="4" t="s">
        <v>72</v>
      </c>
      <c r="Y98" s="4" t="s">
        <v>97</v>
      </c>
      <c r="Z98" s="4" t="s">
        <v>54</v>
      </c>
      <c r="AA98" s="4"/>
      <c r="AB98" s="23">
        <v>0</v>
      </c>
      <c r="AC98" s="28" t="e">
        <v>#N/A</v>
      </c>
      <c r="AD98" s="28" t="e">
        <v>#N/A</v>
      </c>
      <c r="AE98" s="28"/>
      <c r="AF98" s="19">
        <v>36374</v>
      </c>
      <c r="AG98" s="19"/>
      <c r="AH98" s="12">
        <f t="shared" si="4"/>
        <v>24</v>
      </c>
      <c r="AI98" s="12">
        <f t="shared" ca="1" si="5"/>
        <v>27</v>
      </c>
      <c r="AJ98" s="12" t="str">
        <f t="shared" si="6"/>
        <v>21-25 Years</v>
      </c>
      <c r="AK98" s="12" t="s">
        <v>9632</v>
      </c>
      <c r="AL98" s="31">
        <v>20.63</v>
      </c>
      <c r="AM98" s="31">
        <v>41</v>
      </c>
      <c r="AN98" s="12" t="str">
        <f t="shared" si="7"/>
        <v>35-44 Years</v>
      </c>
      <c r="AO98" s="13" t="s">
        <v>9167</v>
      </c>
      <c r="AP98" s="13" t="s">
        <v>9168</v>
      </c>
      <c r="AQ98" s="14" t="s">
        <v>9139</v>
      </c>
      <c r="AR98" s="14" t="s">
        <v>9140</v>
      </c>
      <c r="AS98" s="14"/>
      <c r="AT98" s="14" t="s">
        <v>72</v>
      </c>
      <c r="AU98" s="14" t="s">
        <v>54</v>
      </c>
      <c r="AV98" s="15" t="s">
        <v>9141</v>
      </c>
      <c r="AW98" s="15" t="s">
        <v>9142</v>
      </c>
      <c r="AX98" s="15" t="s">
        <v>9143</v>
      </c>
      <c r="AY98" s="15" t="s">
        <v>9141</v>
      </c>
      <c r="AZ98" s="15" t="s">
        <v>9144</v>
      </c>
      <c r="BA98" s="16" t="s">
        <v>9141</v>
      </c>
      <c r="BB98" s="16" t="s">
        <v>9145</v>
      </c>
    </row>
    <row r="99" spans="1:54" hidden="1" x14ac:dyDescent="0.25">
      <c r="A99" s="4" t="s">
        <v>730</v>
      </c>
      <c r="B99" s="4" t="s">
        <v>9348</v>
      </c>
      <c r="C99" s="4"/>
      <c r="D99" s="4" t="s">
        <v>39</v>
      </c>
      <c r="E99" s="4">
        <v>406857</v>
      </c>
      <c r="F99" s="4" t="s">
        <v>710</v>
      </c>
      <c r="G99" s="32">
        <v>26834</v>
      </c>
      <c r="H99" s="25">
        <v>45349</v>
      </c>
      <c r="I99" s="11">
        <v>0.30972222222222223</v>
      </c>
      <c r="J99" s="4" t="s">
        <v>463</v>
      </c>
      <c r="K99" s="4">
        <v>2025</v>
      </c>
      <c r="L99" s="4" t="s">
        <v>701</v>
      </c>
      <c r="M99" s="4" t="s">
        <v>455</v>
      </c>
      <c r="N99" s="4" t="s">
        <v>731</v>
      </c>
      <c r="O99" s="4" t="s">
        <v>46</v>
      </c>
      <c r="P99" s="4"/>
      <c r="Q99" s="4" t="s">
        <v>47</v>
      </c>
      <c r="R99" s="4" t="s">
        <v>48</v>
      </c>
      <c r="S99" s="4">
        <v>0</v>
      </c>
      <c r="T99" s="4" t="b">
        <v>0</v>
      </c>
      <c r="U99" s="4" t="s">
        <v>61</v>
      </c>
      <c r="V99" s="4" t="s">
        <v>89</v>
      </c>
      <c r="W99" s="4" t="s">
        <v>148</v>
      </c>
      <c r="X99" s="4" t="s">
        <v>52</v>
      </c>
      <c r="Y99" s="4" t="s">
        <v>53</v>
      </c>
      <c r="Z99" s="4" t="s">
        <v>54</v>
      </c>
      <c r="AA99" s="4"/>
      <c r="AB99" s="23">
        <v>0</v>
      </c>
      <c r="AC99" s="28" t="e">
        <v>#N/A</v>
      </c>
      <c r="AD99" s="28" t="e">
        <v>#N/A</v>
      </c>
      <c r="AE99" s="28"/>
      <c r="AF99" s="19">
        <v>42324</v>
      </c>
      <c r="AG99" s="19"/>
      <c r="AH99" s="12">
        <f t="shared" si="4"/>
        <v>8</v>
      </c>
      <c r="AI99" s="12">
        <f t="shared" ca="1" si="5"/>
        <v>10</v>
      </c>
      <c r="AJ99" s="12" t="str">
        <f t="shared" si="6"/>
        <v>6-10 Years</v>
      </c>
      <c r="AK99" s="12" t="s">
        <v>10046</v>
      </c>
      <c r="AL99" s="31">
        <v>38</v>
      </c>
      <c r="AM99" s="31">
        <v>51</v>
      </c>
      <c r="AN99" s="12" t="str">
        <f t="shared" si="7"/>
        <v>45-54 Years</v>
      </c>
      <c r="AO99" s="13" t="s">
        <v>9167</v>
      </c>
      <c r="AP99" s="13" t="s">
        <v>9168</v>
      </c>
      <c r="AQ99" s="14" t="s">
        <v>9148</v>
      </c>
      <c r="AR99" s="14" t="s">
        <v>9140</v>
      </c>
      <c r="AS99" s="14"/>
      <c r="AT99" s="14" t="s">
        <v>52</v>
      </c>
      <c r="AU99" s="14" t="s">
        <v>54</v>
      </c>
      <c r="AV99" s="15" t="s">
        <v>9141</v>
      </c>
      <c r="AW99" s="15" t="s">
        <v>9175</v>
      </c>
      <c r="AX99" s="15" t="s">
        <v>9143</v>
      </c>
      <c r="AY99" s="15" t="s">
        <v>9141</v>
      </c>
      <c r="AZ99" s="15" t="s">
        <v>9175</v>
      </c>
      <c r="BA99" s="16" t="s">
        <v>9141</v>
      </c>
      <c r="BB99" s="16" t="s">
        <v>9176</v>
      </c>
    </row>
    <row r="100" spans="1:54" hidden="1" x14ac:dyDescent="0.25">
      <c r="A100" s="4" t="s">
        <v>776</v>
      </c>
      <c r="B100" s="4" t="s">
        <v>9349</v>
      </c>
      <c r="C100" s="4"/>
      <c r="D100" s="4" t="s">
        <v>39</v>
      </c>
      <c r="E100" s="4">
        <v>288672</v>
      </c>
      <c r="F100" s="4" t="s">
        <v>761</v>
      </c>
      <c r="G100" s="32">
        <v>24388</v>
      </c>
      <c r="H100" s="25">
        <v>45349</v>
      </c>
      <c r="I100" s="11">
        <v>0.38194444444444442</v>
      </c>
      <c r="J100" s="4" t="s">
        <v>463</v>
      </c>
      <c r="K100" s="4">
        <v>2026</v>
      </c>
      <c r="L100" s="4" t="s">
        <v>756</v>
      </c>
      <c r="M100" s="4" t="s">
        <v>777</v>
      </c>
      <c r="N100" s="4" t="s">
        <v>778</v>
      </c>
      <c r="O100" s="4" t="s">
        <v>46</v>
      </c>
      <c r="P100" s="4"/>
      <c r="Q100" s="4" t="s">
        <v>174</v>
      </c>
      <c r="R100" s="4" t="s">
        <v>48</v>
      </c>
      <c r="S100" s="4">
        <v>3</v>
      </c>
      <c r="T100" s="4" t="b">
        <v>0</v>
      </c>
      <c r="U100" s="4" t="s">
        <v>49</v>
      </c>
      <c r="V100" s="4" t="s">
        <v>89</v>
      </c>
      <c r="W100" s="4" t="s">
        <v>51</v>
      </c>
      <c r="X100" s="4" t="s">
        <v>123</v>
      </c>
      <c r="Y100" s="4" t="s">
        <v>124</v>
      </c>
      <c r="Z100" s="4" t="s">
        <v>98</v>
      </c>
      <c r="AA100" s="4"/>
      <c r="AB100" s="23">
        <v>0</v>
      </c>
      <c r="AC100" s="28" t="e">
        <v>#N/A</v>
      </c>
      <c r="AD100" s="28" t="e">
        <v>#N/A</v>
      </c>
      <c r="AE100" s="28"/>
      <c r="AF100" s="19">
        <v>39006</v>
      </c>
      <c r="AG100" s="19"/>
      <c r="AH100" s="12">
        <f t="shared" si="4"/>
        <v>17</v>
      </c>
      <c r="AI100" s="12">
        <f t="shared" ca="1" si="5"/>
        <v>19</v>
      </c>
      <c r="AJ100" s="12" t="str">
        <f t="shared" si="6"/>
        <v>16-20 Years</v>
      </c>
      <c r="AK100" s="12" t="s">
        <v>9632</v>
      </c>
      <c r="AL100" s="31">
        <v>35</v>
      </c>
      <c r="AM100" s="31">
        <v>58</v>
      </c>
      <c r="AN100" s="12" t="str">
        <f t="shared" si="7"/>
        <v>More Than 55 Years</v>
      </c>
      <c r="AO100" s="13" t="s">
        <v>9167</v>
      </c>
      <c r="AP100" s="13" t="s">
        <v>9168</v>
      </c>
      <c r="AQ100" s="14" t="s">
        <v>9139</v>
      </c>
      <c r="AR100" s="14" t="s">
        <v>9140</v>
      </c>
      <c r="AS100" s="14"/>
      <c r="AT100" s="14" t="s">
        <v>123</v>
      </c>
      <c r="AU100" s="14" t="s">
        <v>98</v>
      </c>
      <c r="AV100" s="15" t="s">
        <v>9141</v>
      </c>
      <c r="AW100" s="15" t="s">
        <v>9175</v>
      </c>
      <c r="AX100" s="15" t="s">
        <v>9143</v>
      </c>
      <c r="AY100" s="15" t="s">
        <v>9141</v>
      </c>
      <c r="AZ100" s="15" t="s">
        <v>9177</v>
      </c>
      <c r="BA100" s="16" t="s">
        <v>9141</v>
      </c>
      <c r="BB100" s="16" t="s">
        <v>9178</v>
      </c>
    </row>
    <row r="101" spans="1:54" x14ac:dyDescent="0.25">
      <c r="A101" s="4" t="s">
        <v>1598</v>
      </c>
      <c r="B101" s="4" t="s">
        <v>9350</v>
      </c>
      <c r="C101" s="4"/>
      <c r="D101" s="4" t="s">
        <v>39</v>
      </c>
      <c r="E101" s="4">
        <v>324101</v>
      </c>
      <c r="F101" s="4" t="s">
        <v>1600</v>
      </c>
      <c r="G101" s="32">
        <v>26715</v>
      </c>
      <c r="H101" s="25">
        <v>45349</v>
      </c>
      <c r="I101" s="11">
        <v>0.47916666666666669</v>
      </c>
      <c r="J101" s="4" t="s">
        <v>1366</v>
      </c>
      <c r="K101" s="4">
        <v>6071</v>
      </c>
      <c r="L101" s="4" t="s">
        <v>1586</v>
      </c>
      <c r="M101" s="4" t="s">
        <v>1601</v>
      </c>
      <c r="N101" s="4" t="s">
        <v>1602</v>
      </c>
      <c r="O101" s="4" t="s">
        <v>46</v>
      </c>
      <c r="P101" s="4"/>
      <c r="Q101" s="4" t="s">
        <v>47</v>
      </c>
      <c r="R101" s="4" t="s">
        <v>48</v>
      </c>
      <c r="S101" s="4">
        <v>0</v>
      </c>
      <c r="T101" s="4" t="b">
        <v>0</v>
      </c>
      <c r="U101" s="4" t="s">
        <v>61</v>
      </c>
      <c r="V101" s="4" t="s">
        <v>89</v>
      </c>
      <c r="W101" s="4" t="s">
        <v>345</v>
      </c>
      <c r="X101" s="4" t="s">
        <v>123</v>
      </c>
      <c r="Y101" s="4" t="s">
        <v>124</v>
      </c>
      <c r="Z101" s="4" t="s">
        <v>98</v>
      </c>
      <c r="AA101" s="4"/>
      <c r="AB101" s="23">
        <v>0</v>
      </c>
      <c r="AC101" s="28" t="e">
        <v>#N/A</v>
      </c>
      <c r="AD101" s="28" t="e">
        <v>#N/A</v>
      </c>
      <c r="AE101" s="28"/>
      <c r="AF101" s="19">
        <v>44788</v>
      </c>
      <c r="AG101" s="19"/>
      <c r="AH101" s="12">
        <f t="shared" si="4"/>
        <v>1</v>
      </c>
      <c r="AI101" s="12">
        <f t="shared" ca="1" si="5"/>
        <v>4</v>
      </c>
      <c r="AJ101" s="12" t="str">
        <f t="shared" si="6"/>
        <v>1-5 Years</v>
      </c>
      <c r="AK101" s="12" t="s">
        <v>10046</v>
      </c>
      <c r="AL101" s="31">
        <v>38</v>
      </c>
      <c r="AM101" s="31">
        <v>52</v>
      </c>
      <c r="AN101" s="12" t="str">
        <f t="shared" si="7"/>
        <v>45-54 Years</v>
      </c>
      <c r="AO101" s="13" t="s">
        <v>9167</v>
      </c>
      <c r="AP101" s="13" t="s">
        <v>9168</v>
      </c>
      <c r="AQ101" s="14" t="s">
        <v>9148</v>
      </c>
      <c r="AR101" s="14" t="s">
        <v>9140</v>
      </c>
      <c r="AS101" s="14"/>
      <c r="AT101" s="14" t="s">
        <v>123</v>
      </c>
      <c r="AU101" s="14" t="s">
        <v>98</v>
      </c>
      <c r="AV101" s="15" t="s">
        <v>9141</v>
      </c>
      <c r="AW101" s="15" t="s">
        <v>9188</v>
      </c>
      <c r="AX101" s="15" t="s">
        <v>9143</v>
      </c>
      <c r="AY101" s="15" t="s">
        <v>9141</v>
      </c>
      <c r="AZ101" s="15" t="s">
        <v>9191</v>
      </c>
      <c r="BA101" s="16" t="s">
        <v>9141</v>
      </c>
      <c r="BB101" s="16" t="s">
        <v>9192</v>
      </c>
    </row>
    <row r="102" spans="1:54" hidden="1" x14ac:dyDescent="0.25">
      <c r="A102" s="4" t="s">
        <v>1885</v>
      </c>
      <c r="B102" s="4" t="s">
        <v>9351</v>
      </c>
      <c r="C102" s="4"/>
      <c r="D102" s="4" t="s">
        <v>39</v>
      </c>
      <c r="E102" s="4">
        <v>330581</v>
      </c>
      <c r="F102" s="4" t="s">
        <v>1849</v>
      </c>
      <c r="G102" s="32">
        <v>35961</v>
      </c>
      <c r="H102" s="25">
        <v>45350</v>
      </c>
      <c r="I102" s="11">
        <v>0.37777777777777777</v>
      </c>
      <c r="J102" s="4" t="s">
        <v>1654</v>
      </c>
      <c r="K102" s="4">
        <v>9097</v>
      </c>
      <c r="L102" s="4" t="s">
        <v>1844</v>
      </c>
      <c r="M102" s="4" t="s">
        <v>1886</v>
      </c>
      <c r="N102" s="4" t="s">
        <v>1887</v>
      </c>
      <c r="O102" s="4" t="s">
        <v>46</v>
      </c>
      <c r="P102" s="4"/>
      <c r="Q102" s="4" t="s">
        <v>47</v>
      </c>
      <c r="R102" s="4" t="s">
        <v>48</v>
      </c>
      <c r="S102" s="4">
        <v>0</v>
      </c>
      <c r="T102" s="4" t="b">
        <v>0</v>
      </c>
      <c r="U102" s="4" t="s">
        <v>61</v>
      </c>
      <c r="V102" s="4" t="s">
        <v>89</v>
      </c>
      <c r="W102" s="4" t="s">
        <v>71</v>
      </c>
      <c r="X102" s="4" t="s">
        <v>63</v>
      </c>
      <c r="Y102" s="4" t="s">
        <v>198</v>
      </c>
      <c r="Z102" s="4" t="s">
        <v>774</v>
      </c>
      <c r="AA102" s="4"/>
      <c r="AB102" s="23">
        <v>0</v>
      </c>
      <c r="AC102" s="28" t="e">
        <v>#N/A</v>
      </c>
      <c r="AD102" s="28" t="e">
        <v>#N/A</v>
      </c>
      <c r="AE102" s="28"/>
      <c r="AF102" s="19">
        <v>45208</v>
      </c>
      <c r="AG102" s="19">
        <v>45593</v>
      </c>
      <c r="AH102" s="12">
        <f t="shared" si="4"/>
        <v>0</v>
      </c>
      <c r="AI102" s="12">
        <f t="shared" ca="1" si="5"/>
        <v>1</v>
      </c>
      <c r="AJ102" s="12" t="str">
        <f t="shared" si="6"/>
        <v>Under 1 Year</v>
      </c>
      <c r="AK102" s="12" t="s">
        <v>10046</v>
      </c>
      <c r="AL102" s="31">
        <v>38</v>
      </c>
      <c r="AM102" s="31">
        <v>26</v>
      </c>
      <c r="AN102" s="12" t="str">
        <f t="shared" si="7"/>
        <v>25-34 Years</v>
      </c>
      <c r="AO102" s="13" t="s">
        <v>9167</v>
      </c>
      <c r="AP102" s="13" t="s">
        <v>9168</v>
      </c>
      <c r="AQ102" s="14" t="s">
        <v>9148</v>
      </c>
      <c r="AR102" s="14" t="s">
        <v>9140</v>
      </c>
      <c r="AS102" s="14"/>
      <c r="AT102" s="14" t="s">
        <v>63</v>
      </c>
      <c r="AU102" s="14" t="s">
        <v>774</v>
      </c>
      <c r="AV102" s="15" t="s">
        <v>9141</v>
      </c>
      <c r="AW102" s="15" t="s">
        <v>9191</v>
      </c>
      <c r="AX102" s="15" t="s">
        <v>9143</v>
      </c>
      <c r="AY102" s="15" t="s">
        <v>9141</v>
      </c>
      <c r="AZ102" s="15" t="s">
        <v>9191</v>
      </c>
      <c r="BA102" s="16" t="s">
        <v>9141</v>
      </c>
      <c r="BB102" s="16" t="s">
        <v>9192</v>
      </c>
    </row>
    <row r="103" spans="1:54" hidden="1" x14ac:dyDescent="0.25">
      <c r="A103" s="4" t="s">
        <v>185</v>
      </c>
      <c r="B103" s="4" t="s">
        <v>9352</v>
      </c>
      <c r="C103" s="4" t="s">
        <v>186</v>
      </c>
      <c r="D103" s="4" t="s">
        <v>39</v>
      </c>
      <c r="E103" s="4">
        <v>294329</v>
      </c>
      <c r="F103" s="4" t="s">
        <v>188</v>
      </c>
      <c r="G103" s="32">
        <v>22166</v>
      </c>
      <c r="H103" s="25">
        <v>45352</v>
      </c>
      <c r="I103" s="11">
        <v>0.3576388888888889</v>
      </c>
      <c r="J103" s="4" t="s">
        <v>42</v>
      </c>
      <c r="K103" s="4">
        <v>1008</v>
      </c>
      <c r="L103" s="4" t="s">
        <v>170</v>
      </c>
      <c r="M103" s="4" t="s">
        <v>189</v>
      </c>
      <c r="N103" s="4" t="s">
        <v>190</v>
      </c>
      <c r="O103" s="4" t="s">
        <v>28</v>
      </c>
      <c r="P103" s="4" t="s">
        <v>183</v>
      </c>
      <c r="Q103" s="4" t="s">
        <v>191</v>
      </c>
      <c r="R103" s="4" t="s">
        <v>60</v>
      </c>
      <c r="S103" s="4">
        <v>26</v>
      </c>
      <c r="T103" s="4" t="b">
        <v>0</v>
      </c>
      <c r="U103" s="4" t="s">
        <v>49</v>
      </c>
      <c r="V103" s="4" t="s">
        <v>50</v>
      </c>
      <c r="W103" s="4" t="s">
        <v>51</v>
      </c>
      <c r="X103" s="4" t="s">
        <v>123</v>
      </c>
      <c r="Y103" s="4" t="s">
        <v>192</v>
      </c>
      <c r="Z103" s="4" t="s">
        <v>98</v>
      </c>
      <c r="AA103" s="4"/>
      <c r="AB103" s="23" t="s">
        <v>60</v>
      </c>
      <c r="AC103" s="28" t="s">
        <v>9580</v>
      </c>
      <c r="AD103" s="28" t="e">
        <v>#N/A</v>
      </c>
      <c r="AE103" s="28"/>
      <c r="AF103" s="19">
        <v>42163</v>
      </c>
      <c r="AG103" s="19"/>
      <c r="AH103" s="12">
        <f t="shared" si="4"/>
        <v>8</v>
      </c>
      <c r="AI103" s="12">
        <f t="shared" ca="1" si="5"/>
        <v>11</v>
      </c>
      <c r="AJ103" s="12" t="str">
        <f t="shared" si="6"/>
        <v>6-10 Years</v>
      </c>
      <c r="AK103" s="12" t="s">
        <v>9632</v>
      </c>
      <c r="AL103" s="31">
        <v>33.75</v>
      </c>
      <c r="AM103" s="31">
        <v>64</v>
      </c>
      <c r="AN103" s="12" t="str">
        <f t="shared" si="7"/>
        <v>More Than 55 Years</v>
      </c>
      <c r="AO103" s="13" t="s">
        <v>9167</v>
      </c>
      <c r="AP103" s="13" t="s">
        <v>9168</v>
      </c>
      <c r="AQ103" s="14" t="s">
        <v>9139</v>
      </c>
      <c r="AR103" s="14" t="s">
        <v>28</v>
      </c>
      <c r="AS103" s="14" t="s">
        <v>183</v>
      </c>
      <c r="AT103" s="14" t="s">
        <v>123</v>
      </c>
      <c r="AU103" s="14" t="s">
        <v>98</v>
      </c>
      <c r="AV103" s="15" t="s">
        <v>9141</v>
      </c>
      <c r="AW103" s="15" t="s">
        <v>9142</v>
      </c>
      <c r="AX103" s="15" t="s">
        <v>9143</v>
      </c>
      <c r="AY103" s="15" t="s">
        <v>9141</v>
      </c>
      <c r="AZ103" s="15" t="s">
        <v>9144</v>
      </c>
      <c r="BA103" s="16" t="s">
        <v>9141</v>
      </c>
      <c r="BB103" s="16" t="s">
        <v>9145</v>
      </c>
    </row>
    <row r="104" spans="1:54" hidden="1" x14ac:dyDescent="0.25">
      <c r="A104" s="4" t="s">
        <v>1881</v>
      </c>
      <c r="B104" s="4" t="s">
        <v>9353</v>
      </c>
      <c r="C104" s="4"/>
      <c r="D104" s="4" t="s">
        <v>39</v>
      </c>
      <c r="E104" s="4">
        <v>332216</v>
      </c>
      <c r="F104" s="4" t="s">
        <v>1883</v>
      </c>
      <c r="G104" s="32">
        <v>37320</v>
      </c>
      <c r="H104" s="25">
        <v>45352</v>
      </c>
      <c r="I104" s="11">
        <v>0.6791666666666667</v>
      </c>
      <c r="J104" s="4" t="s">
        <v>1654</v>
      </c>
      <c r="K104" s="4">
        <v>9097</v>
      </c>
      <c r="L104" s="4" t="s">
        <v>1844</v>
      </c>
      <c r="M104" s="4" t="s">
        <v>1863</v>
      </c>
      <c r="N104" s="4" t="s">
        <v>1884</v>
      </c>
      <c r="O104" s="4" t="s">
        <v>46</v>
      </c>
      <c r="P104" s="4"/>
      <c r="Q104" s="4" t="s">
        <v>47</v>
      </c>
      <c r="R104" s="4" t="s">
        <v>48</v>
      </c>
      <c r="S104" s="4">
        <v>0</v>
      </c>
      <c r="T104" s="4" t="b">
        <v>0</v>
      </c>
      <c r="U104" s="4" t="s">
        <v>49</v>
      </c>
      <c r="V104" s="4" t="s">
        <v>70</v>
      </c>
      <c r="W104" s="4" t="s">
        <v>71</v>
      </c>
      <c r="X104" s="4" t="s">
        <v>63</v>
      </c>
      <c r="Y104" s="4" t="s">
        <v>108</v>
      </c>
      <c r="Z104" s="4"/>
      <c r="AA104" s="4"/>
      <c r="AB104" s="23">
        <v>0</v>
      </c>
      <c r="AC104" s="28" t="e">
        <v>#N/A</v>
      </c>
      <c r="AD104" s="28" t="e">
        <v>#N/A</v>
      </c>
      <c r="AE104" s="28"/>
      <c r="AF104" s="19">
        <v>45236</v>
      </c>
      <c r="AG104" s="19"/>
      <c r="AH104" s="12">
        <f t="shared" si="4"/>
        <v>0</v>
      </c>
      <c r="AI104" s="12">
        <f t="shared" ca="1" si="5"/>
        <v>2</v>
      </c>
      <c r="AJ104" s="12" t="str">
        <f t="shared" si="6"/>
        <v>Under 1 Year</v>
      </c>
      <c r="AK104" s="12" t="s">
        <v>10046</v>
      </c>
      <c r="AL104" s="31">
        <v>38</v>
      </c>
      <c r="AM104" s="31">
        <v>23</v>
      </c>
      <c r="AN104" s="12" t="str">
        <f t="shared" si="7"/>
        <v>20-24 Years</v>
      </c>
      <c r="AO104" s="13" t="s">
        <v>9167</v>
      </c>
      <c r="AP104" s="13" t="s">
        <v>9168</v>
      </c>
      <c r="AQ104" s="14" t="s">
        <v>9139</v>
      </c>
      <c r="AR104" s="14" t="s">
        <v>9140</v>
      </c>
      <c r="AS104" s="14"/>
      <c r="AT104" s="14" t="s">
        <v>63</v>
      </c>
      <c r="AU104" s="14">
        <v>0</v>
      </c>
      <c r="AV104" s="15" t="s">
        <v>9141</v>
      </c>
      <c r="AW104" s="15" t="s">
        <v>9191</v>
      </c>
      <c r="AX104" s="15" t="s">
        <v>9143</v>
      </c>
      <c r="AY104" s="15" t="s">
        <v>9141</v>
      </c>
      <c r="AZ104" s="15" t="s">
        <v>9191</v>
      </c>
      <c r="BA104" s="16" t="s">
        <v>9141</v>
      </c>
      <c r="BB104" s="16" t="s">
        <v>9192</v>
      </c>
    </row>
    <row r="105" spans="1:54" hidden="1" x14ac:dyDescent="0.25">
      <c r="A105" s="4" t="s">
        <v>283</v>
      </c>
      <c r="B105" s="4" t="s">
        <v>9354</v>
      </c>
      <c r="C105" s="4"/>
      <c r="D105" s="4" t="s">
        <v>39</v>
      </c>
      <c r="E105" s="4">
        <v>328743</v>
      </c>
      <c r="F105" s="4" t="s">
        <v>285</v>
      </c>
      <c r="G105" s="32">
        <v>36768</v>
      </c>
      <c r="H105" s="25">
        <v>45357</v>
      </c>
      <c r="I105" s="11">
        <v>0.45833333333333331</v>
      </c>
      <c r="J105" s="4" t="s">
        <v>42</v>
      </c>
      <c r="K105" s="4">
        <v>1011</v>
      </c>
      <c r="L105" s="4" t="s">
        <v>215</v>
      </c>
      <c r="M105" s="4" t="s">
        <v>286</v>
      </c>
      <c r="N105" s="4" t="s">
        <v>287</v>
      </c>
      <c r="O105" s="4" t="s">
        <v>46</v>
      </c>
      <c r="P105" s="4"/>
      <c r="Q105" s="4" t="s">
        <v>47</v>
      </c>
      <c r="R105" s="4" t="s">
        <v>48</v>
      </c>
      <c r="S105" s="4">
        <v>0</v>
      </c>
      <c r="T105" s="4" t="b">
        <v>0</v>
      </c>
      <c r="U105" s="4" t="s">
        <v>61</v>
      </c>
      <c r="V105" s="4" t="s">
        <v>89</v>
      </c>
      <c r="W105" s="4" t="s">
        <v>107</v>
      </c>
      <c r="X105" s="4" t="s">
        <v>72</v>
      </c>
      <c r="Y105" s="4" t="s">
        <v>97</v>
      </c>
      <c r="Z105" s="4" t="s">
        <v>54</v>
      </c>
      <c r="AA105" s="4"/>
      <c r="AB105" s="23">
        <v>0</v>
      </c>
      <c r="AC105" s="28" t="e">
        <v>#N/A</v>
      </c>
      <c r="AD105" s="28" t="e">
        <v>#N/A</v>
      </c>
      <c r="AE105" s="28"/>
      <c r="AF105" s="19">
        <v>45033</v>
      </c>
      <c r="AG105" s="19"/>
      <c r="AH105" s="12">
        <f t="shared" si="4"/>
        <v>0</v>
      </c>
      <c r="AI105" s="12">
        <f t="shared" ca="1" si="5"/>
        <v>3</v>
      </c>
      <c r="AJ105" s="12" t="str">
        <f t="shared" si="6"/>
        <v>Under 1 Year</v>
      </c>
      <c r="AK105" s="12" t="s">
        <v>9632</v>
      </c>
      <c r="AL105" s="31">
        <v>18.75</v>
      </c>
      <c r="AM105" s="31">
        <v>24</v>
      </c>
      <c r="AN105" s="12" t="str">
        <f t="shared" si="7"/>
        <v>20-24 Years</v>
      </c>
      <c r="AO105" s="13" t="s">
        <v>9167</v>
      </c>
      <c r="AP105" s="13" t="s">
        <v>9168</v>
      </c>
      <c r="AQ105" s="14" t="s">
        <v>9148</v>
      </c>
      <c r="AR105" s="14" t="s">
        <v>9140</v>
      </c>
      <c r="AS105" s="14"/>
      <c r="AT105" s="14" t="s">
        <v>72</v>
      </c>
      <c r="AU105" s="14" t="s">
        <v>54</v>
      </c>
      <c r="AV105" s="15" t="s">
        <v>9141</v>
      </c>
      <c r="AW105" s="15" t="s">
        <v>9142</v>
      </c>
      <c r="AX105" s="15" t="s">
        <v>9143</v>
      </c>
      <c r="AY105" s="15" t="s">
        <v>9141</v>
      </c>
      <c r="AZ105" s="15" t="s">
        <v>9144</v>
      </c>
      <c r="BA105" s="16" t="s">
        <v>9141</v>
      </c>
      <c r="BB105" s="16" t="s">
        <v>9145</v>
      </c>
    </row>
    <row r="106" spans="1:54" hidden="1" x14ac:dyDescent="0.25">
      <c r="A106" s="4" t="s">
        <v>1159</v>
      </c>
      <c r="B106" s="4" t="s">
        <v>9355</v>
      </c>
      <c r="C106" s="4" t="s">
        <v>1160</v>
      </c>
      <c r="D106" s="4" t="s">
        <v>39</v>
      </c>
      <c r="E106" s="4">
        <v>295951</v>
      </c>
      <c r="F106" s="4" t="s">
        <v>1162</v>
      </c>
      <c r="G106" s="32">
        <v>37219</v>
      </c>
      <c r="H106" s="25">
        <v>45357</v>
      </c>
      <c r="I106" s="11">
        <v>0.65138888888888891</v>
      </c>
      <c r="J106" s="4" t="s">
        <v>1155</v>
      </c>
      <c r="K106" s="4">
        <v>4041</v>
      </c>
      <c r="L106" s="4" t="s">
        <v>1156</v>
      </c>
      <c r="M106" s="4" t="s">
        <v>1163</v>
      </c>
      <c r="N106" s="4" t="s">
        <v>1164</v>
      </c>
      <c r="O106" s="4" t="s">
        <v>28</v>
      </c>
      <c r="P106" s="4" t="s">
        <v>183</v>
      </c>
      <c r="Q106" s="4" t="s">
        <v>174</v>
      </c>
      <c r="R106" s="4" t="s">
        <v>48</v>
      </c>
      <c r="S106" s="4">
        <v>100</v>
      </c>
      <c r="T106" s="4" t="b">
        <v>0</v>
      </c>
      <c r="U106" s="4" t="s">
        <v>49</v>
      </c>
      <c r="V106" s="4"/>
      <c r="W106" s="4" t="s">
        <v>165</v>
      </c>
      <c r="X106" s="4" t="s">
        <v>63</v>
      </c>
      <c r="Y106" s="4" t="s">
        <v>64</v>
      </c>
      <c r="Z106" s="4" t="s">
        <v>54</v>
      </c>
      <c r="AA106" s="4"/>
      <c r="AB106" s="23" t="s">
        <v>48</v>
      </c>
      <c r="AC106" s="28" t="e">
        <v>#N/A</v>
      </c>
      <c r="AD106" s="28" t="e">
        <v>#N/A</v>
      </c>
      <c r="AE106" s="28"/>
      <c r="AF106" s="19">
        <v>43178</v>
      </c>
      <c r="AG106" s="19">
        <v>45470</v>
      </c>
      <c r="AH106" s="12">
        <f t="shared" si="4"/>
        <v>5</v>
      </c>
      <c r="AI106" s="12">
        <f t="shared" ca="1" si="5"/>
        <v>6</v>
      </c>
      <c r="AJ106" s="12" t="str">
        <f t="shared" si="6"/>
        <v>1-5 Years</v>
      </c>
      <c r="AK106" s="12" t="s">
        <v>9633</v>
      </c>
      <c r="AL106" s="31">
        <v>0.01</v>
      </c>
      <c r="AM106" s="31">
        <v>23</v>
      </c>
      <c r="AN106" s="12" t="str">
        <f t="shared" si="7"/>
        <v>20-24 Years</v>
      </c>
      <c r="AO106" s="13" t="s">
        <v>9167</v>
      </c>
      <c r="AP106" s="13" t="s">
        <v>9168</v>
      </c>
      <c r="AQ106" s="14" t="s">
        <v>9139</v>
      </c>
      <c r="AR106" s="14" t="s">
        <v>28</v>
      </c>
      <c r="AS106" s="14" t="s">
        <v>183</v>
      </c>
      <c r="AT106" s="14" t="s">
        <v>63</v>
      </c>
      <c r="AU106" s="14" t="s">
        <v>54</v>
      </c>
      <c r="AV106" s="15" t="s">
        <v>9141</v>
      </c>
      <c r="AW106" s="15" t="s">
        <v>9187</v>
      </c>
      <c r="AX106" s="15" t="s">
        <v>9143</v>
      </c>
      <c r="AY106" s="15" t="s">
        <v>9141</v>
      </c>
      <c r="AZ106" s="15" t="s">
        <v>9144</v>
      </c>
      <c r="BA106" s="16" t="s">
        <v>9141</v>
      </c>
      <c r="BB106" s="16" t="s">
        <v>9145</v>
      </c>
    </row>
    <row r="107" spans="1:54" x14ac:dyDescent="0.25">
      <c r="A107" s="4" t="s">
        <v>1595</v>
      </c>
      <c r="B107" s="4" t="s">
        <v>9356</v>
      </c>
      <c r="C107" s="4"/>
      <c r="D107" s="4" t="s">
        <v>39</v>
      </c>
      <c r="E107" s="4">
        <v>324204</v>
      </c>
      <c r="F107" s="4" t="s">
        <v>1585</v>
      </c>
      <c r="G107" s="32">
        <v>28895</v>
      </c>
      <c r="H107" s="25">
        <v>45361</v>
      </c>
      <c r="I107" s="11">
        <v>0.62638888888888888</v>
      </c>
      <c r="J107" s="4" t="s">
        <v>1366</v>
      </c>
      <c r="K107" s="4">
        <v>6071</v>
      </c>
      <c r="L107" s="4" t="s">
        <v>1586</v>
      </c>
      <c r="M107" s="4" t="s">
        <v>1596</v>
      </c>
      <c r="N107" s="4" t="s">
        <v>1597</v>
      </c>
      <c r="O107" s="4" t="s">
        <v>46</v>
      </c>
      <c r="P107" s="4"/>
      <c r="Q107" s="4" t="s">
        <v>47</v>
      </c>
      <c r="R107" s="4" t="s">
        <v>48</v>
      </c>
      <c r="S107" s="4">
        <v>0</v>
      </c>
      <c r="T107" s="4" t="b">
        <v>0</v>
      </c>
      <c r="U107" s="4" t="s">
        <v>61</v>
      </c>
      <c r="V107" s="4" t="s">
        <v>89</v>
      </c>
      <c r="W107" s="4" t="s">
        <v>90</v>
      </c>
      <c r="X107" s="4" t="s">
        <v>63</v>
      </c>
      <c r="Y107" s="4" t="s">
        <v>108</v>
      </c>
      <c r="Z107" s="4" t="s">
        <v>54</v>
      </c>
      <c r="AA107" s="4"/>
      <c r="AB107" s="23">
        <v>0</v>
      </c>
      <c r="AC107" s="28" t="e">
        <v>#N/A</v>
      </c>
      <c r="AD107" s="28" t="e">
        <v>#N/A</v>
      </c>
      <c r="AE107" s="28"/>
      <c r="AF107" s="19">
        <v>44809</v>
      </c>
      <c r="AG107" s="19"/>
      <c r="AH107" s="12">
        <f t="shared" si="4"/>
        <v>1</v>
      </c>
      <c r="AI107" s="12">
        <f t="shared" ca="1" si="5"/>
        <v>4</v>
      </c>
      <c r="AJ107" s="12" t="str">
        <f t="shared" si="6"/>
        <v>1-5 Years</v>
      </c>
      <c r="AK107" s="12" t="s">
        <v>10046</v>
      </c>
      <c r="AL107" s="31">
        <v>38</v>
      </c>
      <c r="AM107" s="31">
        <v>46</v>
      </c>
      <c r="AN107" s="12" t="str">
        <f t="shared" si="7"/>
        <v>45-54 Years</v>
      </c>
      <c r="AO107" s="13" t="s">
        <v>9167</v>
      </c>
      <c r="AP107" s="13" t="s">
        <v>9168</v>
      </c>
      <c r="AQ107" s="14" t="s">
        <v>9148</v>
      </c>
      <c r="AR107" s="14" t="s">
        <v>9140</v>
      </c>
      <c r="AS107" s="14"/>
      <c r="AT107" s="14" t="s">
        <v>63</v>
      </c>
      <c r="AU107" s="14" t="s">
        <v>54</v>
      </c>
      <c r="AV107" s="15" t="s">
        <v>9141</v>
      </c>
      <c r="AW107" s="15" t="s">
        <v>9188</v>
      </c>
      <c r="AX107" s="15" t="s">
        <v>9143</v>
      </c>
      <c r="AY107" s="15" t="s">
        <v>9141</v>
      </c>
      <c r="AZ107" s="15" t="s">
        <v>9191</v>
      </c>
      <c r="BA107" s="16" t="s">
        <v>9141</v>
      </c>
      <c r="BB107" s="16" t="s">
        <v>9192</v>
      </c>
    </row>
    <row r="108" spans="1:54" x14ac:dyDescent="0.25">
      <c r="A108" s="4" t="s">
        <v>1429</v>
      </c>
      <c r="B108" s="4" t="s">
        <v>9357</v>
      </c>
      <c r="C108" s="4"/>
      <c r="D108" s="4" t="s">
        <v>39</v>
      </c>
      <c r="E108" s="4">
        <v>331913</v>
      </c>
      <c r="F108" s="4" t="s">
        <v>1426</v>
      </c>
      <c r="G108" s="32">
        <v>30996</v>
      </c>
      <c r="H108" s="25">
        <v>45363</v>
      </c>
      <c r="I108" s="11">
        <v>0.38541666666666669</v>
      </c>
      <c r="J108" s="4" t="s">
        <v>1366</v>
      </c>
      <c r="K108" s="4">
        <v>5060</v>
      </c>
      <c r="L108" s="4" t="s">
        <v>1412</v>
      </c>
      <c r="M108" s="4" t="s">
        <v>1430</v>
      </c>
      <c r="N108" s="4" t="s">
        <v>1431</v>
      </c>
      <c r="O108" s="4" t="s">
        <v>46</v>
      </c>
      <c r="P108" s="4"/>
      <c r="Q108" s="4" t="s">
        <v>47</v>
      </c>
      <c r="R108" s="4" t="s">
        <v>48</v>
      </c>
      <c r="S108" s="4">
        <v>0</v>
      </c>
      <c r="T108" s="4" t="b">
        <v>0</v>
      </c>
      <c r="U108" s="4" t="s">
        <v>61</v>
      </c>
      <c r="V108" s="4" t="s">
        <v>89</v>
      </c>
      <c r="W108" s="4" t="s">
        <v>122</v>
      </c>
      <c r="X108" s="4" t="s">
        <v>123</v>
      </c>
      <c r="Y108" s="4" t="s">
        <v>192</v>
      </c>
      <c r="Z108" s="4" t="s">
        <v>98</v>
      </c>
      <c r="AA108" s="4"/>
      <c r="AB108" s="23">
        <v>0</v>
      </c>
      <c r="AC108" s="28" t="e">
        <v>#N/A</v>
      </c>
      <c r="AD108" s="28" t="e">
        <v>#N/A</v>
      </c>
      <c r="AE108" s="28"/>
      <c r="AF108" s="19">
        <v>45236</v>
      </c>
      <c r="AG108" s="19">
        <v>45497</v>
      </c>
      <c r="AH108" s="12">
        <f t="shared" si="4"/>
        <v>0</v>
      </c>
      <c r="AI108" s="12">
        <f t="shared" ca="1" si="5"/>
        <v>0</v>
      </c>
      <c r="AJ108" s="12" t="str">
        <f t="shared" si="6"/>
        <v>Under 1 Year</v>
      </c>
      <c r="AK108" s="12" t="s">
        <v>10046</v>
      </c>
      <c r="AL108" s="31">
        <v>38</v>
      </c>
      <c r="AM108" s="31">
        <v>40</v>
      </c>
      <c r="AN108" s="12" t="str">
        <f t="shared" si="7"/>
        <v>35-44 Years</v>
      </c>
      <c r="AO108" s="13" t="s">
        <v>9167</v>
      </c>
      <c r="AP108" s="13" t="s">
        <v>9168</v>
      </c>
      <c r="AQ108" s="14" t="s">
        <v>9148</v>
      </c>
      <c r="AR108" s="14" t="s">
        <v>9140</v>
      </c>
      <c r="AS108" s="14"/>
      <c r="AT108" s="14" t="s">
        <v>123</v>
      </c>
      <c r="AU108" s="14" t="s">
        <v>98</v>
      </c>
      <c r="AV108" s="15" t="s">
        <v>9141</v>
      </c>
      <c r="AW108" s="15" t="s">
        <v>9188</v>
      </c>
      <c r="AX108" s="15" t="s">
        <v>9143</v>
      </c>
      <c r="AY108" s="15" t="s">
        <v>9141</v>
      </c>
      <c r="AZ108" s="15" t="s">
        <v>9191</v>
      </c>
      <c r="BA108" s="16" t="s">
        <v>9141</v>
      </c>
      <c r="BB108" s="16" t="s">
        <v>9192</v>
      </c>
    </row>
    <row r="109" spans="1:54" hidden="1" x14ac:dyDescent="0.25">
      <c r="A109" s="4" t="s">
        <v>277</v>
      </c>
      <c r="B109" s="4" t="s">
        <v>9358</v>
      </c>
      <c r="C109" s="4"/>
      <c r="D109" s="4" t="s">
        <v>39</v>
      </c>
      <c r="E109" s="4">
        <v>406376</v>
      </c>
      <c r="F109" s="4" t="s">
        <v>279</v>
      </c>
      <c r="G109" s="32">
        <v>23684</v>
      </c>
      <c r="H109" s="25">
        <v>45364</v>
      </c>
      <c r="I109" s="11">
        <v>0.4548611111111111</v>
      </c>
      <c r="J109" s="4" t="s">
        <v>42</v>
      </c>
      <c r="K109" s="4">
        <v>1011</v>
      </c>
      <c r="L109" s="4" t="s">
        <v>215</v>
      </c>
      <c r="M109" s="4" t="s">
        <v>280</v>
      </c>
      <c r="N109" s="4" t="s">
        <v>281</v>
      </c>
      <c r="O109" s="4" t="s">
        <v>46</v>
      </c>
      <c r="P109" s="4"/>
      <c r="Q109" s="4" t="s">
        <v>47</v>
      </c>
      <c r="R109" s="4" t="s">
        <v>48</v>
      </c>
      <c r="S109" s="4">
        <v>0</v>
      </c>
      <c r="T109" s="4" t="b">
        <v>0</v>
      </c>
      <c r="U109" s="4" t="s">
        <v>114</v>
      </c>
      <c r="V109" s="4" t="s">
        <v>89</v>
      </c>
      <c r="W109" s="4" t="s">
        <v>282</v>
      </c>
      <c r="X109" s="4" t="s">
        <v>52</v>
      </c>
      <c r="Y109" s="4" t="s">
        <v>53</v>
      </c>
      <c r="Z109" s="4" t="s">
        <v>54</v>
      </c>
      <c r="AA109" s="4"/>
      <c r="AB109" s="23">
        <v>0</v>
      </c>
      <c r="AC109" s="28" t="e">
        <v>#N/A</v>
      </c>
      <c r="AD109" s="28" t="e">
        <v>#N/A</v>
      </c>
      <c r="AE109" s="28"/>
      <c r="AF109" s="19">
        <v>39146</v>
      </c>
      <c r="AG109" s="19"/>
      <c r="AH109" s="12">
        <f t="shared" si="4"/>
        <v>17</v>
      </c>
      <c r="AI109" s="12">
        <f t="shared" ca="1" si="5"/>
        <v>19</v>
      </c>
      <c r="AJ109" s="12" t="str">
        <f t="shared" si="6"/>
        <v>16-20 Years</v>
      </c>
      <c r="AK109" s="12" t="s">
        <v>10046</v>
      </c>
      <c r="AL109" s="31">
        <v>38</v>
      </c>
      <c r="AM109" s="31">
        <v>60</v>
      </c>
      <c r="AN109" s="12" t="str">
        <f t="shared" si="7"/>
        <v>More Than 55 Years</v>
      </c>
      <c r="AO109" s="13" t="s">
        <v>9167</v>
      </c>
      <c r="AP109" s="13" t="s">
        <v>9168</v>
      </c>
      <c r="AQ109" s="14" t="s">
        <v>9157</v>
      </c>
      <c r="AR109" s="14" t="s">
        <v>9140</v>
      </c>
      <c r="AS109" s="14"/>
      <c r="AT109" s="14" t="s">
        <v>52</v>
      </c>
      <c r="AU109" s="14" t="s">
        <v>54</v>
      </c>
      <c r="AV109" s="15" t="s">
        <v>9141</v>
      </c>
      <c r="AW109" s="15" t="s">
        <v>9142</v>
      </c>
      <c r="AX109" s="15" t="s">
        <v>9143</v>
      </c>
      <c r="AY109" s="15" t="s">
        <v>9141</v>
      </c>
      <c r="AZ109" s="15" t="s">
        <v>9144</v>
      </c>
      <c r="BA109" s="16" t="s">
        <v>9141</v>
      </c>
      <c r="BB109" s="16" t="s">
        <v>9145</v>
      </c>
    </row>
    <row r="110" spans="1:54" x14ac:dyDescent="0.25">
      <c r="A110" s="4" t="s">
        <v>1593</v>
      </c>
      <c r="B110" s="4" t="s">
        <v>9359</v>
      </c>
      <c r="C110" s="4"/>
      <c r="D110" s="4" t="s">
        <v>39</v>
      </c>
      <c r="E110" s="4">
        <v>324204</v>
      </c>
      <c r="F110" s="4" t="s">
        <v>1585</v>
      </c>
      <c r="G110" s="32">
        <v>28895</v>
      </c>
      <c r="H110" s="25">
        <v>45365</v>
      </c>
      <c r="I110" s="11">
        <v>0.56944444444444442</v>
      </c>
      <c r="J110" s="4" t="s">
        <v>1366</v>
      </c>
      <c r="K110" s="4">
        <v>6071</v>
      </c>
      <c r="L110" s="4" t="s">
        <v>1586</v>
      </c>
      <c r="M110" s="4" t="s">
        <v>1456</v>
      </c>
      <c r="N110" s="4" t="s">
        <v>1594</v>
      </c>
      <c r="O110" s="4" t="s">
        <v>46</v>
      </c>
      <c r="P110" s="4"/>
      <c r="Q110" s="4" t="s">
        <v>47</v>
      </c>
      <c r="R110" s="4" t="s">
        <v>48</v>
      </c>
      <c r="S110" s="4">
        <v>0</v>
      </c>
      <c r="T110" s="4" t="b">
        <v>0</v>
      </c>
      <c r="U110" s="4" t="s">
        <v>61</v>
      </c>
      <c r="V110" s="4" t="s">
        <v>89</v>
      </c>
      <c r="W110" s="4" t="s">
        <v>140</v>
      </c>
      <c r="X110" s="4" t="s">
        <v>63</v>
      </c>
      <c r="Y110" s="4" t="s">
        <v>198</v>
      </c>
      <c r="Z110" s="4" t="s">
        <v>98</v>
      </c>
      <c r="AA110" s="4" t="s">
        <v>486</v>
      </c>
      <c r="AB110" s="23">
        <v>0</v>
      </c>
      <c r="AC110" s="28" t="e">
        <v>#N/A</v>
      </c>
      <c r="AD110" s="28" t="e">
        <v>#N/A</v>
      </c>
      <c r="AE110" s="28"/>
      <c r="AF110" s="19">
        <v>44809</v>
      </c>
      <c r="AG110" s="19"/>
      <c r="AH110" s="12">
        <f t="shared" si="4"/>
        <v>1</v>
      </c>
      <c r="AI110" s="12">
        <f t="shared" ca="1" si="5"/>
        <v>4</v>
      </c>
      <c r="AJ110" s="12" t="str">
        <f t="shared" si="6"/>
        <v>1-5 Years</v>
      </c>
      <c r="AK110" s="12" t="s">
        <v>10046</v>
      </c>
      <c r="AL110" s="31">
        <v>38</v>
      </c>
      <c r="AM110" s="31">
        <v>46</v>
      </c>
      <c r="AN110" s="12" t="str">
        <f t="shared" si="7"/>
        <v>45-54 Years</v>
      </c>
      <c r="AO110" s="13" t="s">
        <v>9167</v>
      </c>
      <c r="AP110" s="13" t="s">
        <v>9168</v>
      </c>
      <c r="AQ110" s="14" t="s">
        <v>9148</v>
      </c>
      <c r="AR110" s="14" t="s">
        <v>9140</v>
      </c>
      <c r="AS110" s="14"/>
      <c r="AT110" s="14" t="s">
        <v>63</v>
      </c>
      <c r="AU110" s="14" t="s">
        <v>98</v>
      </c>
      <c r="AV110" s="15" t="s">
        <v>9141</v>
      </c>
      <c r="AW110" s="15" t="s">
        <v>9188</v>
      </c>
      <c r="AX110" s="15" t="s">
        <v>9143</v>
      </c>
      <c r="AY110" s="15" t="s">
        <v>9141</v>
      </c>
      <c r="AZ110" s="15" t="s">
        <v>9191</v>
      </c>
      <c r="BA110" s="16" t="s">
        <v>9141</v>
      </c>
      <c r="BB110" s="16" t="s">
        <v>9192</v>
      </c>
    </row>
    <row r="111" spans="1:54" hidden="1" x14ac:dyDescent="0.25">
      <c r="A111" s="4" t="s">
        <v>274</v>
      </c>
      <c r="B111" s="4" t="s">
        <v>9360</v>
      </c>
      <c r="C111" s="4"/>
      <c r="D111" s="4" t="s">
        <v>39</v>
      </c>
      <c r="E111" s="4">
        <v>288317</v>
      </c>
      <c r="F111" s="4" t="s">
        <v>252</v>
      </c>
      <c r="G111" s="32">
        <v>32394</v>
      </c>
      <c r="H111" s="25">
        <v>45367</v>
      </c>
      <c r="I111" s="11">
        <v>0.60416666666666663</v>
      </c>
      <c r="J111" s="4" t="s">
        <v>42</v>
      </c>
      <c r="K111" s="4">
        <v>1011</v>
      </c>
      <c r="L111" s="4" t="s">
        <v>215</v>
      </c>
      <c r="M111" s="4" t="s">
        <v>275</v>
      </c>
      <c r="N111" s="4" t="s">
        <v>276</v>
      </c>
      <c r="O111" s="4" t="s">
        <v>46</v>
      </c>
      <c r="P111" s="4"/>
      <c r="Q111" s="4" t="s">
        <v>47</v>
      </c>
      <c r="R111" s="4" t="s">
        <v>48</v>
      </c>
      <c r="S111" s="4">
        <v>0</v>
      </c>
      <c r="T111" s="4" t="b">
        <v>0</v>
      </c>
      <c r="U111" s="4" t="s">
        <v>61</v>
      </c>
      <c r="V111" s="4" t="s">
        <v>89</v>
      </c>
      <c r="W111" s="4" t="s">
        <v>71</v>
      </c>
      <c r="X111" s="4" t="s">
        <v>52</v>
      </c>
      <c r="Y111" s="4" t="s">
        <v>53</v>
      </c>
      <c r="Z111" s="4" t="s">
        <v>98</v>
      </c>
      <c r="AA111" s="4"/>
      <c r="AB111" s="23">
        <v>0</v>
      </c>
      <c r="AC111" s="28" t="e">
        <v>#N/A</v>
      </c>
      <c r="AD111" s="28" t="s">
        <v>8711</v>
      </c>
      <c r="AE111" s="28"/>
      <c r="AF111" s="19">
        <v>38993</v>
      </c>
      <c r="AG111" s="19"/>
      <c r="AH111" s="12">
        <f t="shared" si="4"/>
        <v>17</v>
      </c>
      <c r="AI111" s="12">
        <f t="shared" ca="1" si="5"/>
        <v>19</v>
      </c>
      <c r="AJ111" s="12" t="str">
        <f t="shared" si="6"/>
        <v>16-20 Years</v>
      </c>
      <c r="AK111" s="12" t="s">
        <v>10046</v>
      </c>
      <c r="AL111" s="31">
        <v>38</v>
      </c>
      <c r="AM111" s="31">
        <v>36</v>
      </c>
      <c r="AN111" s="12" t="str">
        <f t="shared" si="7"/>
        <v>35-44 Years</v>
      </c>
      <c r="AO111" s="13" t="s">
        <v>9167</v>
      </c>
      <c r="AP111" s="13" t="s">
        <v>9168</v>
      </c>
      <c r="AQ111" s="14" t="s">
        <v>9148</v>
      </c>
      <c r="AR111" s="14" t="s">
        <v>9140</v>
      </c>
      <c r="AS111" s="14"/>
      <c r="AT111" s="14" t="s">
        <v>52</v>
      </c>
      <c r="AU111" s="14" t="s">
        <v>98</v>
      </c>
      <c r="AV111" s="15" t="s">
        <v>9141</v>
      </c>
      <c r="AW111" s="15" t="s">
        <v>9142</v>
      </c>
      <c r="AX111" s="15" t="s">
        <v>9143</v>
      </c>
      <c r="AY111" s="15" t="s">
        <v>9141</v>
      </c>
      <c r="AZ111" s="15" t="s">
        <v>9144</v>
      </c>
      <c r="BA111" s="16" t="s">
        <v>9141</v>
      </c>
      <c r="BB111" s="16" t="s">
        <v>9145</v>
      </c>
    </row>
    <row r="112" spans="1:54" hidden="1" x14ac:dyDescent="0.25">
      <c r="A112" s="4" t="s">
        <v>727</v>
      </c>
      <c r="B112" s="4" t="s">
        <v>9361</v>
      </c>
      <c r="C112" s="4"/>
      <c r="D112" s="4" t="s">
        <v>39</v>
      </c>
      <c r="E112" s="4">
        <v>286332</v>
      </c>
      <c r="F112" s="4" t="s">
        <v>724</v>
      </c>
      <c r="G112" s="32">
        <v>30833</v>
      </c>
      <c r="H112" s="25">
        <v>45369</v>
      </c>
      <c r="I112" s="11">
        <v>0.65972222222222221</v>
      </c>
      <c r="J112" s="4" t="s">
        <v>463</v>
      </c>
      <c r="K112" s="4">
        <v>2025</v>
      </c>
      <c r="L112" s="4" t="s">
        <v>701</v>
      </c>
      <c r="M112" s="4" t="s">
        <v>728</v>
      </c>
      <c r="N112" s="4" t="s">
        <v>729</v>
      </c>
      <c r="O112" s="4" t="s">
        <v>46</v>
      </c>
      <c r="P112" s="4"/>
      <c r="Q112" s="4" t="s">
        <v>47</v>
      </c>
      <c r="R112" s="4" t="s">
        <v>48</v>
      </c>
      <c r="S112" s="4">
        <v>0</v>
      </c>
      <c r="T112" s="4" t="b">
        <v>0</v>
      </c>
      <c r="U112" s="4" t="s">
        <v>61</v>
      </c>
      <c r="V112" s="4" t="s">
        <v>89</v>
      </c>
      <c r="W112" s="4" t="s">
        <v>71</v>
      </c>
      <c r="X112" s="4" t="s">
        <v>63</v>
      </c>
      <c r="Y112" s="4" t="s">
        <v>198</v>
      </c>
      <c r="Z112" s="4" t="s">
        <v>54</v>
      </c>
      <c r="AA112" s="4"/>
      <c r="AB112" s="23">
        <v>0</v>
      </c>
      <c r="AC112" s="28" t="e">
        <v>#N/A</v>
      </c>
      <c r="AD112" s="28" t="e">
        <v>#N/A</v>
      </c>
      <c r="AE112" s="28"/>
      <c r="AF112" s="19">
        <v>37851</v>
      </c>
      <c r="AG112" s="19"/>
      <c r="AH112" s="12">
        <f t="shared" si="4"/>
        <v>20</v>
      </c>
      <c r="AI112" s="12">
        <f t="shared" ca="1" si="5"/>
        <v>23</v>
      </c>
      <c r="AJ112" s="12" t="str">
        <f t="shared" si="6"/>
        <v>16-20 Years</v>
      </c>
      <c r="AK112" s="12" t="s">
        <v>9631</v>
      </c>
      <c r="AL112" s="31">
        <v>38</v>
      </c>
      <c r="AM112" s="31">
        <v>40</v>
      </c>
      <c r="AN112" s="12" t="str">
        <f t="shared" si="7"/>
        <v>35-44 Years</v>
      </c>
      <c r="AO112" s="13" t="s">
        <v>9167</v>
      </c>
      <c r="AP112" s="13" t="s">
        <v>9168</v>
      </c>
      <c r="AQ112" s="14" t="s">
        <v>9148</v>
      </c>
      <c r="AR112" s="14" t="s">
        <v>9140</v>
      </c>
      <c r="AS112" s="14"/>
      <c r="AT112" s="14" t="s">
        <v>63</v>
      </c>
      <c r="AU112" s="14" t="s">
        <v>54</v>
      </c>
      <c r="AV112" s="15" t="s">
        <v>9141</v>
      </c>
      <c r="AW112" s="15" t="s">
        <v>9175</v>
      </c>
      <c r="AX112" s="15" t="s">
        <v>9143</v>
      </c>
      <c r="AY112" s="15" t="s">
        <v>9141</v>
      </c>
      <c r="AZ112" s="15" t="s">
        <v>9175</v>
      </c>
      <c r="BA112" s="16" t="s">
        <v>9141</v>
      </c>
      <c r="BB112" s="16" t="s">
        <v>9176</v>
      </c>
    </row>
    <row r="113" spans="1:54" x14ac:dyDescent="0.25">
      <c r="A113" s="4" t="s">
        <v>1400</v>
      </c>
      <c r="B113" s="4" t="s">
        <v>9362</v>
      </c>
      <c r="C113" s="4"/>
      <c r="D113" s="4" t="s">
        <v>39</v>
      </c>
      <c r="E113" s="4">
        <v>325622</v>
      </c>
      <c r="F113" s="4" t="s">
        <v>1384</v>
      </c>
      <c r="G113" s="32">
        <v>21584</v>
      </c>
      <c r="H113" s="25">
        <v>45372</v>
      </c>
      <c r="I113" s="11">
        <v>0.47916666666666669</v>
      </c>
      <c r="J113" s="4" t="s">
        <v>1366</v>
      </c>
      <c r="K113" s="4">
        <v>5054</v>
      </c>
      <c r="L113" s="4" t="s">
        <v>1385</v>
      </c>
      <c r="M113" s="4" t="s">
        <v>1401</v>
      </c>
      <c r="N113" s="4" t="s">
        <v>1402</v>
      </c>
      <c r="O113" s="4" t="s">
        <v>46</v>
      </c>
      <c r="P113" s="4"/>
      <c r="Q113" s="4" t="s">
        <v>47</v>
      </c>
      <c r="R113" s="4" t="s">
        <v>48</v>
      </c>
      <c r="S113" s="4">
        <v>0</v>
      </c>
      <c r="T113" s="4" t="b">
        <v>0</v>
      </c>
      <c r="U113" s="4" t="s">
        <v>49</v>
      </c>
      <c r="V113" s="4" t="s">
        <v>89</v>
      </c>
      <c r="W113" s="4" t="s">
        <v>71</v>
      </c>
      <c r="X113" s="4" t="s">
        <v>63</v>
      </c>
      <c r="Y113" s="4" t="s">
        <v>312</v>
      </c>
      <c r="Z113" s="4" t="s">
        <v>98</v>
      </c>
      <c r="AA113" s="4"/>
      <c r="AB113" s="23">
        <v>0</v>
      </c>
      <c r="AC113" s="28" t="e">
        <v>#N/A</v>
      </c>
      <c r="AD113" s="28" t="e">
        <v>#N/A</v>
      </c>
      <c r="AE113" s="28"/>
      <c r="AF113" s="19">
        <v>44851</v>
      </c>
      <c r="AG113" s="19"/>
      <c r="AH113" s="12">
        <f t="shared" si="4"/>
        <v>1</v>
      </c>
      <c r="AI113" s="12">
        <f t="shared" ca="1" si="5"/>
        <v>3</v>
      </c>
      <c r="AJ113" s="12" t="str">
        <f t="shared" si="6"/>
        <v>1-5 Years</v>
      </c>
      <c r="AK113" s="12" t="s">
        <v>9632</v>
      </c>
      <c r="AL113" s="31">
        <v>30</v>
      </c>
      <c r="AM113" s="31">
        <v>66</v>
      </c>
      <c r="AN113" s="12" t="str">
        <f t="shared" si="7"/>
        <v>More Than 55 Years</v>
      </c>
      <c r="AO113" s="13" t="s">
        <v>9167</v>
      </c>
      <c r="AP113" s="13" t="s">
        <v>9168</v>
      </c>
      <c r="AQ113" s="14" t="s">
        <v>9139</v>
      </c>
      <c r="AR113" s="14" t="s">
        <v>9140</v>
      </c>
      <c r="AS113" s="14"/>
      <c r="AT113" s="14" t="s">
        <v>63</v>
      </c>
      <c r="AU113" s="14" t="s">
        <v>98</v>
      </c>
      <c r="AV113" s="15" t="s">
        <v>9141</v>
      </c>
      <c r="AW113" s="15" t="s">
        <v>9188</v>
      </c>
      <c r="AX113" s="15" t="s">
        <v>9143</v>
      </c>
      <c r="AY113" s="15" t="s">
        <v>9141</v>
      </c>
      <c r="AZ113" s="15" t="s">
        <v>9189</v>
      </c>
      <c r="BA113" s="16" t="s">
        <v>9141</v>
      </c>
      <c r="BB113" s="16" t="s">
        <v>9190</v>
      </c>
    </row>
    <row r="114" spans="1:54" hidden="1" x14ac:dyDescent="0.25">
      <c r="A114" s="4" t="s">
        <v>1878</v>
      </c>
      <c r="B114" s="4" t="s">
        <v>9363</v>
      </c>
      <c r="C114" s="4"/>
      <c r="D114" s="4" t="s">
        <v>39</v>
      </c>
      <c r="E114" s="4">
        <v>330581</v>
      </c>
      <c r="F114" s="4" t="s">
        <v>1849</v>
      </c>
      <c r="G114" s="32">
        <v>35961</v>
      </c>
      <c r="H114" s="25">
        <v>45373</v>
      </c>
      <c r="I114" s="11">
        <v>0.375</v>
      </c>
      <c r="J114" s="4" t="s">
        <v>1654</v>
      </c>
      <c r="K114" s="4">
        <v>9097</v>
      </c>
      <c r="L114" s="4" t="s">
        <v>1844</v>
      </c>
      <c r="M114" s="4" t="s">
        <v>1879</v>
      </c>
      <c r="N114" s="4" t="s">
        <v>1880</v>
      </c>
      <c r="O114" s="4" t="s">
        <v>46</v>
      </c>
      <c r="P114" s="4"/>
      <c r="Q114" s="4" t="s">
        <v>47</v>
      </c>
      <c r="R114" s="4" t="s">
        <v>48</v>
      </c>
      <c r="S114" s="4">
        <v>0</v>
      </c>
      <c r="T114" s="4" t="b">
        <v>0</v>
      </c>
      <c r="U114" s="4" t="s">
        <v>49</v>
      </c>
      <c r="V114" s="4" t="s">
        <v>70</v>
      </c>
      <c r="W114" s="4" t="s">
        <v>71</v>
      </c>
      <c r="X114" s="4" t="s">
        <v>72</v>
      </c>
      <c r="Y114" s="4" t="s">
        <v>73</v>
      </c>
      <c r="Z114" s="4" t="s">
        <v>98</v>
      </c>
      <c r="AA114" s="4"/>
      <c r="AB114" s="23">
        <v>0</v>
      </c>
      <c r="AC114" s="28" t="e">
        <v>#N/A</v>
      </c>
      <c r="AD114" s="28" t="e">
        <v>#N/A</v>
      </c>
      <c r="AE114" s="28"/>
      <c r="AF114" s="19">
        <v>45208</v>
      </c>
      <c r="AG114" s="19">
        <v>45593</v>
      </c>
      <c r="AH114" s="12">
        <f t="shared" si="4"/>
        <v>0</v>
      </c>
      <c r="AI114" s="12">
        <f t="shared" ca="1" si="5"/>
        <v>1</v>
      </c>
      <c r="AJ114" s="12" t="str">
        <f t="shared" si="6"/>
        <v>Under 1 Year</v>
      </c>
      <c r="AK114" s="12" t="s">
        <v>10046</v>
      </c>
      <c r="AL114" s="31">
        <v>38</v>
      </c>
      <c r="AM114" s="31">
        <v>26</v>
      </c>
      <c r="AN114" s="12" t="str">
        <f t="shared" si="7"/>
        <v>25-34 Years</v>
      </c>
      <c r="AO114" s="13" t="s">
        <v>9167</v>
      </c>
      <c r="AP114" s="13" t="s">
        <v>9168</v>
      </c>
      <c r="AQ114" s="14" t="s">
        <v>9139</v>
      </c>
      <c r="AR114" s="14" t="s">
        <v>9140</v>
      </c>
      <c r="AS114" s="14"/>
      <c r="AT114" s="14" t="s">
        <v>72</v>
      </c>
      <c r="AU114" s="14" t="s">
        <v>98</v>
      </c>
      <c r="AV114" s="15" t="s">
        <v>9141</v>
      </c>
      <c r="AW114" s="15" t="s">
        <v>9191</v>
      </c>
      <c r="AX114" s="15" t="s">
        <v>9143</v>
      </c>
      <c r="AY114" s="15" t="s">
        <v>9141</v>
      </c>
      <c r="AZ114" s="15" t="s">
        <v>9191</v>
      </c>
      <c r="BA114" s="16" t="s">
        <v>9141</v>
      </c>
      <c r="BB114" s="16" t="s">
        <v>9192</v>
      </c>
    </row>
    <row r="115" spans="1:54" hidden="1" x14ac:dyDescent="0.25">
      <c r="A115" s="4" t="s">
        <v>1152</v>
      </c>
      <c r="B115" s="4" t="s">
        <v>9364</v>
      </c>
      <c r="C115" s="4"/>
      <c r="D115" s="4" t="s">
        <v>39</v>
      </c>
      <c r="E115" s="4">
        <v>321490</v>
      </c>
      <c r="F115" s="4" t="s">
        <v>1154</v>
      </c>
      <c r="G115" s="32">
        <v>25902</v>
      </c>
      <c r="H115" s="25">
        <v>45376</v>
      </c>
      <c r="I115" s="11">
        <v>0.38194444444444442</v>
      </c>
      <c r="J115" s="4" t="s">
        <v>1155</v>
      </c>
      <c r="K115" s="4">
        <v>4041</v>
      </c>
      <c r="L115" s="4" t="s">
        <v>1156</v>
      </c>
      <c r="M115" s="4" t="s">
        <v>1157</v>
      </c>
      <c r="N115" s="4" t="s">
        <v>1158</v>
      </c>
      <c r="O115" s="4" t="s">
        <v>46</v>
      </c>
      <c r="P115" s="4"/>
      <c r="Q115" s="4" t="s">
        <v>47</v>
      </c>
      <c r="R115" s="4" t="s">
        <v>48</v>
      </c>
      <c r="S115" s="4">
        <v>0</v>
      </c>
      <c r="T115" s="4" t="b">
        <v>0</v>
      </c>
      <c r="U115" s="4" t="s">
        <v>49</v>
      </c>
      <c r="V115" s="4" t="s">
        <v>89</v>
      </c>
      <c r="W115" s="4" t="s">
        <v>301</v>
      </c>
      <c r="X115" s="4" t="s">
        <v>123</v>
      </c>
      <c r="Y115" s="4" t="s">
        <v>124</v>
      </c>
      <c r="Z115" s="4" t="s">
        <v>98</v>
      </c>
      <c r="AA115" s="4"/>
      <c r="AB115" s="23">
        <v>0</v>
      </c>
      <c r="AC115" s="28" t="e">
        <v>#N/A</v>
      </c>
      <c r="AD115" s="28" t="e">
        <v>#N/A</v>
      </c>
      <c r="AE115" s="28"/>
      <c r="AF115" s="19">
        <v>44655</v>
      </c>
      <c r="AG115" s="19"/>
      <c r="AH115" s="12">
        <f t="shared" si="4"/>
        <v>1</v>
      </c>
      <c r="AI115" s="12">
        <f t="shared" ca="1" si="5"/>
        <v>4</v>
      </c>
      <c r="AJ115" s="12" t="str">
        <f t="shared" si="6"/>
        <v>1-5 Years</v>
      </c>
      <c r="AK115" s="12" t="s">
        <v>10046</v>
      </c>
      <c r="AL115" s="31">
        <v>38</v>
      </c>
      <c r="AM115" s="31">
        <v>54</v>
      </c>
      <c r="AN115" s="12" t="str">
        <f t="shared" si="7"/>
        <v>45-54 Years</v>
      </c>
      <c r="AO115" s="13" t="s">
        <v>9172</v>
      </c>
      <c r="AP115" s="13" t="s">
        <v>9160</v>
      </c>
      <c r="AQ115" s="14" t="s">
        <v>9139</v>
      </c>
      <c r="AR115" s="14" t="s">
        <v>9140</v>
      </c>
      <c r="AS115" s="14"/>
      <c r="AT115" s="14" t="s">
        <v>123</v>
      </c>
      <c r="AU115" s="14" t="s">
        <v>98</v>
      </c>
      <c r="AV115" s="15" t="s">
        <v>9141</v>
      </c>
      <c r="AW115" s="15" t="s">
        <v>9187</v>
      </c>
      <c r="AX115" s="15" t="s">
        <v>9143</v>
      </c>
      <c r="AY115" s="15" t="s">
        <v>9141</v>
      </c>
      <c r="AZ115" s="15" t="s">
        <v>9144</v>
      </c>
      <c r="BA115" s="16" t="s">
        <v>9141</v>
      </c>
      <c r="BB115" s="16" t="s">
        <v>9145</v>
      </c>
    </row>
    <row r="116" spans="1:54" hidden="1" x14ac:dyDescent="0.25">
      <c r="A116" s="4" t="s">
        <v>1529</v>
      </c>
      <c r="B116" s="4" t="s">
        <v>9365</v>
      </c>
      <c r="C116" s="4"/>
      <c r="D116" s="4" t="s">
        <v>39</v>
      </c>
      <c r="E116" s="4">
        <v>292944</v>
      </c>
      <c r="F116" s="4" t="s">
        <v>1531</v>
      </c>
      <c r="G116" s="32">
        <v>25234</v>
      </c>
      <c r="H116" s="25">
        <v>45376</v>
      </c>
      <c r="I116" s="11">
        <v>0.49930555555555556</v>
      </c>
      <c r="J116" s="4" t="s">
        <v>1476</v>
      </c>
      <c r="K116" s="4">
        <v>6065</v>
      </c>
      <c r="L116" s="4" t="s">
        <v>1508</v>
      </c>
      <c r="M116" s="4" t="s">
        <v>1532</v>
      </c>
      <c r="N116" s="4" t="s">
        <v>1533</v>
      </c>
      <c r="O116" s="4" t="s">
        <v>46</v>
      </c>
      <c r="P116" s="4"/>
      <c r="Q116" s="4" t="s">
        <v>47</v>
      </c>
      <c r="R116" s="4" t="s">
        <v>48</v>
      </c>
      <c r="S116" s="4">
        <v>0</v>
      </c>
      <c r="T116" s="4" t="b">
        <v>0</v>
      </c>
      <c r="U116" s="4" t="s">
        <v>61</v>
      </c>
      <c r="V116" s="4" t="s">
        <v>583</v>
      </c>
      <c r="W116" s="4" t="s">
        <v>175</v>
      </c>
      <c r="X116" s="4" t="s">
        <v>52</v>
      </c>
      <c r="Y116" s="4" t="s">
        <v>53</v>
      </c>
      <c r="Z116" s="4" t="s">
        <v>54</v>
      </c>
      <c r="AA116" s="4"/>
      <c r="AB116" s="23">
        <v>0</v>
      </c>
      <c r="AC116" s="28" t="s">
        <v>9580</v>
      </c>
      <c r="AD116" s="28" t="e">
        <v>#N/A</v>
      </c>
      <c r="AE116" s="28"/>
      <c r="AF116" s="19">
        <v>41221</v>
      </c>
      <c r="AG116" s="19"/>
      <c r="AH116" s="12">
        <f t="shared" si="4"/>
        <v>11</v>
      </c>
      <c r="AI116" s="12">
        <f t="shared" ca="1" si="5"/>
        <v>13</v>
      </c>
      <c r="AJ116" s="12" t="str">
        <f t="shared" si="6"/>
        <v>11-15 Years</v>
      </c>
      <c r="AK116" s="12" t="s">
        <v>9631</v>
      </c>
      <c r="AL116" s="31">
        <v>38</v>
      </c>
      <c r="AM116" s="31">
        <v>56</v>
      </c>
      <c r="AN116" s="12" t="str">
        <f t="shared" si="7"/>
        <v>More Than 55 Years</v>
      </c>
      <c r="AO116" s="13" t="s">
        <v>9172</v>
      </c>
      <c r="AP116" s="13" t="s">
        <v>9160</v>
      </c>
      <c r="AQ116" s="14" t="s">
        <v>9148</v>
      </c>
      <c r="AR116" s="14" t="s">
        <v>9140</v>
      </c>
      <c r="AS116" s="14"/>
      <c r="AT116" s="14" t="s">
        <v>52</v>
      </c>
      <c r="AU116" s="14" t="s">
        <v>54</v>
      </c>
      <c r="AV116" s="15" t="s">
        <v>9141</v>
      </c>
      <c r="AW116" s="15" t="s">
        <v>9193</v>
      </c>
      <c r="AX116" s="15" t="s">
        <v>9143</v>
      </c>
      <c r="AY116" s="15" t="s">
        <v>9141</v>
      </c>
      <c r="AZ116" s="15" t="s">
        <v>9189</v>
      </c>
      <c r="BA116" s="16" t="s">
        <v>9141</v>
      </c>
      <c r="BB116" s="16" t="s">
        <v>9190</v>
      </c>
    </row>
    <row r="117" spans="1:54" hidden="1" x14ac:dyDescent="0.25">
      <c r="A117" s="4" t="s">
        <v>970</v>
      </c>
      <c r="B117" s="4" t="s">
        <v>9366</v>
      </c>
      <c r="C117" s="4"/>
      <c r="D117" s="4" t="s">
        <v>39</v>
      </c>
      <c r="E117" s="4">
        <v>296882</v>
      </c>
      <c r="F117" s="4" t="s">
        <v>972</v>
      </c>
      <c r="G117" s="32">
        <v>27695</v>
      </c>
      <c r="H117" s="25">
        <v>45377</v>
      </c>
      <c r="I117" s="11">
        <v>0.47916666666666669</v>
      </c>
      <c r="J117" s="4" t="s">
        <v>463</v>
      </c>
      <c r="K117" s="4">
        <v>2033</v>
      </c>
      <c r="L117" s="4" t="s">
        <v>952</v>
      </c>
      <c r="M117" s="4" t="s">
        <v>243</v>
      </c>
      <c r="N117" s="4" t="s">
        <v>973</v>
      </c>
      <c r="O117" s="4" t="s">
        <v>46</v>
      </c>
      <c r="P117" s="4"/>
      <c r="Q117" s="4" t="s">
        <v>174</v>
      </c>
      <c r="R117" s="4" t="s">
        <v>48</v>
      </c>
      <c r="S117" s="4">
        <v>8</v>
      </c>
      <c r="T117" s="4" t="b">
        <v>0</v>
      </c>
      <c r="U117" s="4" t="s">
        <v>114</v>
      </c>
      <c r="V117" s="4" t="s">
        <v>583</v>
      </c>
      <c r="W117" s="4" t="s">
        <v>51</v>
      </c>
      <c r="X117" s="4" t="s">
        <v>52</v>
      </c>
      <c r="Y117" s="4" t="s">
        <v>255</v>
      </c>
      <c r="Z117" s="4" t="s">
        <v>54</v>
      </c>
      <c r="AA117" s="4"/>
      <c r="AB117" s="23">
        <v>0</v>
      </c>
      <c r="AC117" s="28" t="s">
        <v>9580</v>
      </c>
      <c r="AD117" s="28" t="e">
        <v>#N/A</v>
      </c>
      <c r="AE117" s="28"/>
      <c r="AF117" s="19">
        <v>43801</v>
      </c>
      <c r="AG117" s="19"/>
      <c r="AH117" s="12">
        <f t="shared" si="4"/>
        <v>4</v>
      </c>
      <c r="AI117" s="12">
        <f t="shared" ca="1" si="5"/>
        <v>6</v>
      </c>
      <c r="AJ117" s="12" t="str">
        <f t="shared" si="6"/>
        <v>1-5 Years</v>
      </c>
      <c r="AK117" s="12" t="s">
        <v>9632</v>
      </c>
      <c r="AL117" s="31">
        <v>35.5</v>
      </c>
      <c r="AM117" s="31">
        <v>49</v>
      </c>
      <c r="AN117" s="12" t="str">
        <f t="shared" si="7"/>
        <v>45-54 Years</v>
      </c>
      <c r="AO117" s="13" t="s">
        <v>9172</v>
      </c>
      <c r="AP117" s="13" t="s">
        <v>9160</v>
      </c>
      <c r="AQ117" s="14" t="s">
        <v>9157</v>
      </c>
      <c r="AR117" s="14" t="s">
        <v>9140</v>
      </c>
      <c r="AS117" s="14"/>
      <c r="AT117" s="14" t="s">
        <v>52</v>
      </c>
      <c r="AU117" s="14" t="s">
        <v>54</v>
      </c>
      <c r="AV117" s="15" t="s">
        <v>9141</v>
      </c>
      <c r="AW117" s="15" t="s">
        <v>9175</v>
      </c>
      <c r="AX117" s="15" t="s">
        <v>9143</v>
      </c>
      <c r="AY117" s="15" t="s">
        <v>9141</v>
      </c>
      <c r="AZ117" s="15" t="s">
        <v>9175</v>
      </c>
      <c r="BA117" s="16" t="s">
        <v>9141</v>
      </c>
      <c r="BB117" s="16" t="s">
        <v>9176</v>
      </c>
    </row>
    <row r="118" spans="1:54" hidden="1" x14ac:dyDescent="0.25">
      <c r="A118" s="4" t="s">
        <v>1526</v>
      </c>
      <c r="B118" s="4" t="s">
        <v>9367</v>
      </c>
      <c r="C118" s="4"/>
      <c r="D118" s="4" t="s">
        <v>39</v>
      </c>
      <c r="E118" s="4">
        <v>322849</v>
      </c>
      <c r="F118" s="4" t="s">
        <v>1519</v>
      </c>
      <c r="G118" s="32">
        <v>33156</v>
      </c>
      <c r="H118" s="25">
        <v>45377</v>
      </c>
      <c r="I118" s="11">
        <v>0.40972222222222221</v>
      </c>
      <c r="J118" s="4" t="s">
        <v>1476</v>
      </c>
      <c r="K118" s="4">
        <v>6065</v>
      </c>
      <c r="L118" s="4" t="s">
        <v>1508</v>
      </c>
      <c r="M118" s="4" t="s">
        <v>1527</v>
      </c>
      <c r="N118" s="4" t="s">
        <v>1528</v>
      </c>
      <c r="O118" s="4" t="s">
        <v>432</v>
      </c>
      <c r="P118" s="4"/>
      <c r="Q118" s="4" t="s">
        <v>47</v>
      </c>
      <c r="R118" s="4" t="s">
        <v>48</v>
      </c>
      <c r="S118" s="4">
        <v>0</v>
      </c>
      <c r="T118" s="4" t="b">
        <v>0</v>
      </c>
      <c r="U118" s="4" t="s">
        <v>61</v>
      </c>
      <c r="V118" s="4" t="s">
        <v>115</v>
      </c>
      <c r="W118" s="4" t="s">
        <v>1253</v>
      </c>
      <c r="X118" s="4" t="s">
        <v>52</v>
      </c>
      <c r="Y118" s="4" t="s">
        <v>135</v>
      </c>
      <c r="Z118" s="4" t="s">
        <v>54</v>
      </c>
      <c r="AA118" s="4"/>
      <c r="AB118" s="23">
        <v>0</v>
      </c>
      <c r="AC118" s="28" t="e">
        <v>#N/A</v>
      </c>
      <c r="AD118" s="28" t="e">
        <v>#N/A</v>
      </c>
      <c r="AE118" s="28"/>
      <c r="AF118" s="19">
        <v>44718</v>
      </c>
      <c r="AG118" s="19"/>
      <c r="AH118" s="12">
        <f t="shared" si="4"/>
        <v>1</v>
      </c>
      <c r="AI118" s="12">
        <f t="shared" ca="1" si="5"/>
        <v>4</v>
      </c>
      <c r="AJ118" s="12" t="str">
        <f t="shared" si="6"/>
        <v>1-5 Years</v>
      </c>
      <c r="AK118" s="12" t="s">
        <v>9632</v>
      </c>
      <c r="AL118" s="31">
        <v>20</v>
      </c>
      <c r="AM118" s="31">
        <v>34</v>
      </c>
      <c r="AN118" s="12" t="str">
        <f t="shared" si="7"/>
        <v>25-34 Years</v>
      </c>
      <c r="AO118" s="13" t="s">
        <v>9172</v>
      </c>
      <c r="AP118" s="13" t="s">
        <v>9160</v>
      </c>
      <c r="AQ118" s="14" t="s">
        <v>9148</v>
      </c>
      <c r="AR118" s="14" t="s">
        <v>9140</v>
      </c>
      <c r="AS118" s="14"/>
      <c r="AT118" s="14" t="s">
        <v>52</v>
      </c>
      <c r="AU118" s="14" t="s">
        <v>54</v>
      </c>
      <c r="AV118" s="15" t="s">
        <v>9141</v>
      </c>
      <c r="AW118" s="15" t="s">
        <v>9193</v>
      </c>
      <c r="AX118" s="15" t="s">
        <v>9143</v>
      </c>
      <c r="AY118" s="15" t="s">
        <v>9141</v>
      </c>
      <c r="AZ118" s="15" t="s">
        <v>9189</v>
      </c>
      <c r="BA118" s="16" t="s">
        <v>9141</v>
      </c>
      <c r="BB118" s="16" t="s">
        <v>9190</v>
      </c>
    </row>
    <row r="119" spans="1:54" hidden="1" x14ac:dyDescent="0.25">
      <c r="A119" s="4" t="s">
        <v>1045</v>
      </c>
      <c r="B119" s="4" t="s">
        <v>9368</v>
      </c>
      <c r="C119" s="4"/>
      <c r="D119" s="4" t="s">
        <v>39</v>
      </c>
      <c r="E119" s="4">
        <v>318004</v>
      </c>
      <c r="F119" s="4" t="s">
        <v>1042</v>
      </c>
      <c r="G119" s="32">
        <v>35189</v>
      </c>
      <c r="H119" s="25">
        <v>45381</v>
      </c>
      <c r="I119" s="11">
        <v>0.32430555555555557</v>
      </c>
      <c r="J119" s="4" t="s">
        <v>463</v>
      </c>
      <c r="K119" s="4">
        <v>2045</v>
      </c>
      <c r="L119" s="4" t="s">
        <v>1037</v>
      </c>
      <c r="M119" s="4" t="s">
        <v>670</v>
      </c>
      <c r="N119" s="4" t="s">
        <v>1046</v>
      </c>
      <c r="O119" s="4" t="s">
        <v>46</v>
      </c>
      <c r="P119" s="4"/>
      <c r="Q119" s="4" t="s">
        <v>47</v>
      </c>
      <c r="R119" s="4" t="s">
        <v>48</v>
      </c>
      <c r="S119" s="4">
        <v>0</v>
      </c>
      <c r="T119" s="4" t="b">
        <v>0</v>
      </c>
      <c r="U119" s="4" t="s">
        <v>61</v>
      </c>
      <c r="V119" s="4" t="s">
        <v>89</v>
      </c>
      <c r="W119" s="4" t="s">
        <v>175</v>
      </c>
      <c r="X119" s="4" t="s">
        <v>52</v>
      </c>
      <c r="Y119" s="4" t="s">
        <v>53</v>
      </c>
      <c r="Z119" s="4" t="s">
        <v>98</v>
      </c>
      <c r="AA119" s="4"/>
      <c r="AB119" s="23">
        <v>0</v>
      </c>
      <c r="AC119" s="28" t="s">
        <v>9580</v>
      </c>
      <c r="AD119" s="28" t="e">
        <v>#N/A</v>
      </c>
      <c r="AE119" s="28"/>
      <c r="AF119" s="19">
        <v>44501</v>
      </c>
      <c r="AG119" s="19"/>
      <c r="AH119" s="12">
        <f t="shared" si="4"/>
        <v>2</v>
      </c>
      <c r="AI119" s="12">
        <f t="shared" ca="1" si="5"/>
        <v>4</v>
      </c>
      <c r="AJ119" s="12" t="str">
        <f t="shared" si="6"/>
        <v>1-5 Years</v>
      </c>
      <c r="AK119" s="12" t="s">
        <v>9632</v>
      </c>
      <c r="AL119" s="31">
        <v>17.5</v>
      </c>
      <c r="AM119" s="31">
        <v>29</v>
      </c>
      <c r="AN119" s="12" t="str">
        <f t="shared" si="7"/>
        <v>25-34 Years</v>
      </c>
      <c r="AO119" s="13" t="s">
        <v>9172</v>
      </c>
      <c r="AP119" s="13" t="s">
        <v>9160</v>
      </c>
      <c r="AQ119" s="14" t="s">
        <v>9148</v>
      </c>
      <c r="AR119" s="14" t="s">
        <v>9140</v>
      </c>
      <c r="AS119" s="14"/>
      <c r="AT119" s="14" t="s">
        <v>52</v>
      </c>
      <c r="AU119" s="14" t="s">
        <v>98</v>
      </c>
      <c r="AV119" s="15" t="s">
        <v>9141</v>
      </c>
      <c r="AW119" s="15" t="s">
        <v>9175</v>
      </c>
      <c r="AX119" s="15" t="s">
        <v>9143</v>
      </c>
      <c r="AY119" s="15" t="s">
        <v>9141</v>
      </c>
      <c r="AZ119" s="15" t="s">
        <v>9175</v>
      </c>
      <c r="BA119" s="16" t="s">
        <v>9141</v>
      </c>
      <c r="BB119" s="16" t="s">
        <v>9176</v>
      </c>
    </row>
    <row r="120" spans="1:54" hidden="1" x14ac:dyDescent="0.25">
      <c r="A120" s="4" t="s">
        <v>828</v>
      </c>
      <c r="B120" s="4" t="s">
        <v>9369</v>
      </c>
      <c r="C120" s="4">
        <v>12230088834</v>
      </c>
      <c r="D120" s="4" t="s">
        <v>39</v>
      </c>
      <c r="E120" s="4">
        <v>297227</v>
      </c>
      <c r="F120" s="4" t="s">
        <v>830</v>
      </c>
      <c r="G120" s="32">
        <v>32750</v>
      </c>
      <c r="H120" s="25">
        <v>45383</v>
      </c>
      <c r="I120" s="11">
        <v>0.54166666666666663</v>
      </c>
      <c r="J120" s="4" t="s">
        <v>463</v>
      </c>
      <c r="K120" s="4">
        <v>2028</v>
      </c>
      <c r="L120" s="4" t="s">
        <v>804</v>
      </c>
      <c r="M120" s="4" t="s">
        <v>831</v>
      </c>
      <c r="N120" s="4" t="s">
        <v>832</v>
      </c>
      <c r="O120" s="4" t="s">
        <v>28</v>
      </c>
      <c r="P120" s="4" t="s">
        <v>183</v>
      </c>
      <c r="Q120" s="4" t="s">
        <v>174</v>
      </c>
      <c r="R120" s="4" t="s">
        <v>48</v>
      </c>
      <c r="S120" s="4">
        <v>22</v>
      </c>
      <c r="T120" s="4" t="b">
        <v>0</v>
      </c>
      <c r="U120" s="4" t="s">
        <v>114</v>
      </c>
      <c r="V120" s="4" t="s">
        <v>89</v>
      </c>
      <c r="W120" s="4" t="s">
        <v>90</v>
      </c>
      <c r="X120" s="4" t="s">
        <v>63</v>
      </c>
      <c r="Y120" s="4" t="s">
        <v>64</v>
      </c>
      <c r="Z120" s="4" t="s">
        <v>54</v>
      </c>
      <c r="AA120" s="4"/>
      <c r="AB120" s="23" t="s">
        <v>48</v>
      </c>
      <c r="AC120" s="28" t="e">
        <v>#N/A</v>
      </c>
      <c r="AD120" s="28" t="e">
        <v>#N/A</v>
      </c>
      <c r="AE120" s="28"/>
      <c r="AF120" s="19">
        <v>44165</v>
      </c>
      <c r="AG120" s="19"/>
      <c r="AH120" s="12">
        <f t="shared" si="4"/>
        <v>3</v>
      </c>
      <c r="AI120" s="12">
        <f t="shared" ca="1" si="5"/>
        <v>5</v>
      </c>
      <c r="AJ120" s="12" t="str">
        <f t="shared" si="6"/>
        <v>1-5 Years</v>
      </c>
      <c r="AK120" s="12" t="s">
        <v>9632</v>
      </c>
      <c r="AL120" s="31">
        <v>15</v>
      </c>
      <c r="AM120" s="31">
        <v>35</v>
      </c>
      <c r="AN120" s="12" t="str">
        <f t="shared" si="7"/>
        <v>35-44 Years</v>
      </c>
      <c r="AO120" s="13" t="s">
        <v>9172</v>
      </c>
      <c r="AP120" s="13" t="s">
        <v>9160</v>
      </c>
      <c r="AQ120" s="14" t="s">
        <v>9157</v>
      </c>
      <c r="AR120" s="14" t="s">
        <v>28</v>
      </c>
      <c r="AS120" s="14" t="s">
        <v>183</v>
      </c>
      <c r="AT120" s="14" t="s">
        <v>63</v>
      </c>
      <c r="AU120" s="14" t="s">
        <v>54</v>
      </c>
      <c r="AV120" s="15" t="s">
        <v>9141</v>
      </c>
      <c r="AW120" s="15" t="s">
        <v>9175</v>
      </c>
      <c r="AX120" s="15" t="s">
        <v>9143</v>
      </c>
      <c r="AY120" s="15" t="s">
        <v>9141</v>
      </c>
      <c r="AZ120" s="15" t="s">
        <v>9175</v>
      </c>
      <c r="BA120" s="16" t="s">
        <v>9141</v>
      </c>
      <c r="BB120" s="16" t="s">
        <v>9176</v>
      </c>
    </row>
    <row r="121" spans="1:54" hidden="1" x14ac:dyDescent="0.25">
      <c r="A121" s="4" t="s">
        <v>1184</v>
      </c>
      <c r="B121" s="4" t="s">
        <v>9370</v>
      </c>
      <c r="C121" s="4"/>
      <c r="D121" s="4" t="s">
        <v>39</v>
      </c>
      <c r="E121" s="4">
        <v>322472</v>
      </c>
      <c r="F121" s="4" t="s">
        <v>1186</v>
      </c>
      <c r="G121" s="32">
        <v>22477</v>
      </c>
      <c r="H121" s="25">
        <v>45387</v>
      </c>
      <c r="I121" s="11">
        <v>0.69791666666666663</v>
      </c>
      <c r="J121" s="4" t="s">
        <v>1155</v>
      </c>
      <c r="K121" s="4">
        <v>4042</v>
      </c>
      <c r="L121" s="4" t="s">
        <v>1173</v>
      </c>
      <c r="M121" s="4" t="s">
        <v>1187</v>
      </c>
      <c r="N121" s="4" t="s">
        <v>1183</v>
      </c>
      <c r="O121" s="4" t="s">
        <v>46</v>
      </c>
      <c r="P121" s="4"/>
      <c r="Q121" s="4" t="s">
        <v>47</v>
      </c>
      <c r="R121" s="4" t="s">
        <v>48</v>
      </c>
      <c r="S121" s="4">
        <v>0</v>
      </c>
      <c r="T121" s="4" t="b">
        <v>0</v>
      </c>
      <c r="U121" s="4" t="s">
        <v>114</v>
      </c>
      <c r="V121" s="4" t="s">
        <v>70</v>
      </c>
      <c r="W121" s="4" t="s">
        <v>80</v>
      </c>
      <c r="X121" s="4" t="s">
        <v>63</v>
      </c>
      <c r="Y121" s="4" t="s">
        <v>198</v>
      </c>
      <c r="Z121" s="4" t="s">
        <v>98</v>
      </c>
      <c r="AA121" s="4"/>
      <c r="AB121" s="23">
        <v>0</v>
      </c>
      <c r="AC121" s="28" t="e">
        <v>#N/A</v>
      </c>
      <c r="AD121" s="28" t="e">
        <v>#N/A</v>
      </c>
      <c r="AE121" s="28"/>
      <c r="AF121" s="19">
        <v>44697</v>
      </c>
      <c r="AG121" s="19"/>
      <c r="AH121" s="12">
        <f t="shared" si="4"/>
        <v>1</v>
      </c>
      <c r="AI121" s="12">
        <f t="shared" ca="1" si="5"/>
        <v>4</v>
      </c>
      <c r="AJ121" s="12" t="str">
        <f t="shared" si="6"/>
        <v>1-5 Years</v>
      </c>
      <c r="AK121" s="12" t="s">
        <v>9633</v>
      </c>
      <c r="AL121" s="31">
        <v>0.01</v>
      </c>
      <c r="AM121" s="31">
        <v>63</v>
      </c>
      <c r="AN121" s="12" t="str">
        <f t="shared" si="7"/>
        <v>More Than 55 Years</v>
      </c>
      <c r="AO121" s="13" t="s">
        <v>9172</v>
      </c>
      <c r="AP121" s="13" t="s">
        <v>9160</v>
      </c>
      <c r="AQ121" s="14" t="s">
        <v>9157</v>
      </c>
      <c r="AR121" s="14" t="s">
        <v>9140</v>
      </c>
      <c r="AS121" s="14"/>
      <c r="AT121" s="14" t="s">
        <v>63</v>
      </c>
      <c r="AU121" s="14" t="s">
        <v>98</v>
      </c>
      <c r="AV121" s="15" t="s">
        <v>9141</v>
      </c>
      <c r="AW121" s="15" t="s">
        <v>9187</v>
      </c>
      <c r="AX121" s="15" t="s">
        <v>9143</v>
      </c>
      <c r="AY121" s="15" t="s">
        <v>9141</v>
      </c>
      <c r="AZ121" s="15" t="s">
        <v>9144</v>
      </c>
      <c r="BA121" s="16" t="s">
        <v>9141</v>
      </c>
      <c r="BB121" s="16" t="s">
        <v>9145</v>
      </c>
    </row>
    <row r="122" spans="1:54" hidden="1" x14ac:dyDescent="0.25">
      <c r="A122" s="4" t="s">
        <v>1800</v>
      </c>
      <c r="B122" s="4" t="s">
        <v>9371</v>
      </c>
      <c r="C122" s="4"/>
      <c r="D122" s="4" t="s">
        <v>39</v>
      </c>
      <c r="E122" s="4">
        <v>297049</v>
      </c>
      <c r="F122" s="4" t="s">
        <v>1753</v>
      </c>
      <c r="G122" s="32">
        <v>34552</v>
      </c>
      <c r="H122" s="25">
        <v>45389</v>
      </c>
      <c r="I122" s="11">
        <v>0.51041666666666663</v>
      </c>
      <c r="J122" s="4" t="s">
        <v>1654</v>
      </c>
      <c r="K122" s="4">
        <v>9095</v>
      </c>
      <c r="L122" s="4" t="s">
        <v>1742</v>
      </c>
      <c r="M122" s="4" t="s">
        <v>1801</v>
      </c>
      <c r="N122" s="4" t="s">
        <v>1802</v>
      </c>
      <c r="O122" s="4" t="s">
        <v>46</v>
      </c>
      <c r="P122" s="4"/>
      <c r="Q122" s="4" t="s">
        <v>47</v>
      </c>
      <c r="R122" s="4" t="s">
        <v>48</v>
      </c>
      <c r="S122" s="4">
        <v>0</v>
      </c>
      <c r="T122" s="4" t="b">
        <v>0</v>
      </c>
      <c r="U122" s="4" t="s">
        <v>49</v>
      </c>
      <c r="V122" s="4" t="s">
        <v>50</v>
      </c>
      <c r="W122" s="4" t="s">
        <v>373</v>
      </c>
      <c r="X122" s="4" t="s">
        <v>63</v>
      </c>
      <c r="Y122" s="4" t="s">
        <v>108</v>
      </c>
      <c r="Z122" s="4" t="s">
        <v>98</v>
      </c>
      <c r="AA122" s="4"/>
      <c r="AB122" s="23">
        <v>0</v>
      </c>
      <c r="AC122" s="28" t="e">
        <v>#N/A</v>
      </c>
      <c r="AD122" s="28" t="e">
        <v>#N/A</v>
      </c>
      <c r="AE122" s="28"/>
      <c r="AF122" s="19">
        <v>44067</v>
      </c>
      <c r="AG122" s="19">
        <v>45754</v>
      </c>
      <c r="AH122" s="12">
        <f t="shared" si="4"/>
        <v>3</v>
      </c>
      <c r="AI122" s="12">
        <f t="shared" ca="1" si="5"/>
        <v>4</v>
      </c>
      <c r="AJ122" s="12" t="str">
        <f t="shared" si="6"/>
        <v>1-5 Years</v>
      </c>
      <c r="AK122" s="12" t="s">
        <v>9632</v>
      </c>
      <c r="AL122" s="31">
        <v>22</v>
      </c>
      <c r="AM122" s="31">
        <v>30</v>
      </c>
      <c r="AN122" s="12" t="str">
        <f t="shared" si="7"/>
        <v>25-34 Years</v>
      </c>
      <c r="AO122" s="13" t="s">
        <v>9172</v>
      </c>
      <c r="AP122" s="13" t="s">
        <v>9160</v>
      </c>
      <c r="AQ122" s="14" t="s">
        <v>9139</v>
      </c>
      <c r="AR122" s="14" t="s">
        <v>9140</v>
      </c>
      <c r="AS122" s="14"/>
      <c r="AT122" s="14" t="s">
        <v>63</v>
      </c>
      <c r="AU122" s="14" t="s">
        <v>98</v>
      </c>
      <c r="AV122" s="15" t="s">
        <v>9141</v>
      </c>
      <c r="AW122" s="15" t="s">
        <v>9191</v>
      </c>
      <c r="AX122" s="15" t="s">
        <v>9143</v>
      </c>
      <c r="AY122" s="15" t="s">
        <v>9141</v>
      </c>
      <c r="AZ122" s="15" t="s">
        <v>9191</v>
      </c>
      <c r="BA122" s="16" t="s">
        <v>9141</v>
      </c>
      <c r="BB122" s="16" t="s">
        <v>9192</v>
      </c>
    </row>
    <row r="123" spans="1:54" hidden="1" x14ac:dyDescent="0.25">
      <c r="A123" s="4" t="s">
        <v>269</v>
      </c>
      <c r="B123" s="4" t="s">
        <v>9372</v>
      </c>
      <c r="C123" s="4"/>
      <c r="D123" s="4" t="s">
        <v>39</v>
      </c>
      <c r="E123" s="4">
        <v>221414</v>
      </c>
      <c r="F123" s="4" t="s">
        <v>271</v>
      </c>
      <c r="G123" s="32">
        <v>21087</v>
      </c>
      <c r="H123" s="25">
        <v>45394</v>
      </c>
      <c r="I123" s="11">
        <v>0.63888888888888884</v>
      </c>
      <c r="J123" s="4" t="s">
        <v>42</v>
      </c>
      <c r="K123" s="4">
        <v>1011</v>
      </c>
      <c r="L123" s="4" t="s">
        <v>215</v>
      </c>
      <c r="M123" s="4" t="s">
        <v>272</v>
      </c>
      <c r="N123" s="4" t="s">
        <v>273</v>
      </c>
      <c r="O123" s="4" t="s">
        <v>46</v>
      </c>
      <c r="P123" s="4"/>
      <c r="Q123" s="4" t="s">
        <v>47</v>
      </c>
      <c r="R123" s="4" t="s">
        <v>48</v>
      </c>
      <c r="S123" s="4">
        <v>0</v>
      </c>
      <c r="T123" s="4" t="b">
        <v>0</v>
      </c>
      <c r="U123" s="4" t="s">
        <v>61</v>
      </c>
      <c r="V123" s="4" t="s">
        <v>70</v>
      </c>
      <c r="W123" s="4" t="s">
        <v>71</v>
      </c>
      <c r="X123" s="4" t="s">
        <v>63</v>
      </c>
      <c r="Y123" s="4" t="s">
        <v>108</v>
      </c>
      <c r="Z123" s="4" t="s">
        <v>98</v>
      </c>
      <c r="AA123" s="4"/>
      <c r="AB123" s="23">
        <v>0</v>
      </c>
      <c r="AC123" s="28" t="e">
        <v>#N/A</v>
      </c>
      <c r="AD123" s="28" t="e">
        <v>#N/A</v>
      </c>
      <c r="AE123" s="28"/>
      <c r="AF123" s="19">
        <v>32776</v>
      </c>
      <c r="AG123" s="19"/>
      <c r="AH123" s="12">
        <f t="shared" si="4"/>
        <v>34</v>
      </c>
      <c r="AI123" s="12">
        <f t="shared" ca="1" si="5"/>
        <v>36</v>
      </c>
      <c r="AJ123" s="12" t="str">
        <f t="shared" si="6"/>
        <v>More Than 30 Years</v>
      </c>
      <c r="AK123" s="12" t="s">
        <v>9632</v>
      </c>
      <c r="AL123" s="31">
        <v>32.5</v>
      </c>
      <c r="AM123" s="31">
        <v>67</v>
      </c>
      <c r="AN123" s="12" t="str">
        <f t="shared" si="7"/>
        <v>More Than 55 Years</v>
      </c>
      <c r="AO123" s="13" t="s">
        <v>9172</v>
      </c>
      <c r="AP123" s="13" t="s">
        <v>9160</v>
      </c>
      <c r="AQ123" s="14" t="s">
        <v>9148</v>
      </c>
      <c r="AR123" s="14" t="s">
        <v>9140</v>
      </c>
      <c r="AS123" s="14"/>
      <c r="AT123" s="14" t="s">
        <v>63</v>
      </c>
      <c r="AU123" s="14" t="s">
        <v>98</v>
      </c>
      <c r="AV123" s="15" t="s">
        <v>9141</v>
      </c>
      <c r="AW123" s="15" t="s">
        <v>9142</v>
      </c>
      <c r="AX123" s="15" t="s">
        <v>9143</v>
      </c>
      <c r="AY123" s="15" t="s">
        <v>9141</v>
      </c>
      <c r="AZ123" s="15" t="s">
        <v>9144</v>
      </c>
      <c r="BA123" s="16" t="s">
        <v>9141</v>
      </c>
      <c r="BB123" s="16" t="s">
        <v>9145</v>
      </c>
    </row>
    <row r="124" spans="1:54" x14ac:dyDescent="0.25">
      <c r="A124" s="4" t="s">
        <v>1624</v>
      </c>
      <c r="B124" s="4" t="s">
        <v>9373</v>
      </c>
      <c r="C124" s="4"/>
      <c r="D124" s="4" t="s">
        <v>39</v>
      </c>
      <c r="E124" s="4">
        <v>293177</v>
      </c>
      <c r="F124" s="4" t="s">
        <v>1626</v>
      </c>
      <c r="G124" s="32">
        <v>34206</v>
      </c>
      <c r="H124" s="25">
        <v>45394</v>
      </c>
      <c r="I124" s="11">
        <v>0.47916666666666669</v>
      </c>
      <c r="J124" s="4" t="s">
        <v>1366</v>
      </c>
      <c r="K124" s="4">
        <v>6076</v>
      </c>
      <c r="L124" s="4" t="s">
        <v>1627</v>
      </c>
      <c r="M124" s="4" t="s">
        <v>1628</v>
      </c>
      <c r="N124" s="4" t="s">
        <v>1629</v>
      </c>
      <c r="O124" s="4" t="s">
        <v>46</v>
      </c>
      <c r="P124" s="4"/>
      <c r="Q124" s="4" t="s">
        <v>47</v>
      </c>
      <c r="R124" s="4" t="s">
        <v>48</v>
      </c>
      <c r="S124" s="4">
        <v>0</v>
      </c>
      <c r="T124" s="4" t="b">
        <v>0</v>
      </c>
      <c r="U124" s="4" t="s">
        <v>49</v>
      </c>
      <c r="V124" s="4" t="s">
        <v>583</v>
      </c>
      <c r="W124" s="4" t="s">
        <v>224</v>
      </c>
      <c r="X124" s="4" t="s">
        <v>52</v>
      </c>
      <c r="Y124" s="4" t="s">
        <v>135</v>
      </c>
      <c r="Z124" s="4" t="s">
        <v>54</v>
      </c>
      <c r="AA124" s="4"/>
      <c r="AB124" s="23">
        <v>0</v>
      </c>
      <c r="AC124" s="28" t="e">
        <v>#N/A</v>
      </c>
      <c r="AD124" s="28" t="e">
        <v>#N/A</v>
      </c>
      <c r="AE124" s="28"/>
      <c r="AF124" s="19">
        <v>41344</v>
      </c>
      <c r="AG124" s="19"/>
      <c r="AH124" s="12">
        <f t="shared" si="4"/>
        <v>11</v>
      </c>
      <c r="AI124" s="12">
        <f t="shared" ca="1" si="5"/>
        <v>13</v>
      </c>
      <c r="AJ124" s="12" t="str">
        <f t="shared" si="6"/>
        <v>11-15 Years</v>
      </c>
      <c r="AK124" s="12" t="s">
        <v>9632</v>
      </c>
      <c r="AL124" s="31">
        <v>22.25</v>
      </c>
      <c r="AM124" s="31">
        <v>31</v>
      </c>
      <c r="AN124" s="12" t="str">
        <f t="shared" si="7"/>
        <v>25-34 Years</v>
      </c>
      <c r="AO124" s="13" t="s">
        <v>9172</v>
      </c>
      <c r="AP124" s="13" t="s">
        <v>9160</v>
      </c>
      <c r="AQ124" s="14" t="s">
        <v>9139</v>
      </c>
      <c r="AR124" s="14" t="s">
        <v>9140</v>
      </c>
      <c r="AS124" s="14"/>
      <c r="AT124" s="14" t="s">
        <v>52</v>
      </c>
      <c r="AU124" s="14" t="s">
        <v>54</v>
      </c>
      <c r="AV124" s="15" t="s">
        <v>9141</v>
      </c>
      <c r="AW124" s="15" t="s">
        <v>9188</v>
      </c>
      <c r="AX124" s="15" t="s">
        <v>9143</v>
      </c>
      <c r="AY124" s="15" t="s">
        <v>9141</v>
      </c>
      <c r="AZ124" s="15" t="s">
        <v>9189</v>
      </c>
      <c r="BA124" s="16" t="s">
        <v>9141</v>
      </c>
      <c r="BB124" s="16" t="s">
        <v>9190</v>
      </c>
    </row>
    <row r="125" spans="1:54" hidden="1" x14ac:dyDescent="0.25">
      <c r="A125" s="4" t="s">
        <v>1873</v>
      </c>
      <c r="B125" s="4" t="s">
        <v>9374</v>
      </c>
      <c r="C125" s="4"/>
      <c r="D125" s="4" t="s">
        <v>39</v>
      </c>
      <c r="E125" s="4">
        <v>331284</v>
      </c>
      <c r="F125" s="4" t="s">
        <v>1875</v>
      </c>
      <c r="G125" s="32">
        <v>29117</v>
      </c>
      <c r="H125" s="25">
        <v>45394</v>
      </c>
      <c r="I125" s="11">
        <v>0.62777777777777777</v>
      </c>
      <c r="J125" s="4" t="s">
        <v>1654</v>
      </c>
      <c r="K125" s="4">
        <v>9097</v>
      </c>
      <c r="L125" s="4" t="s">
        <v>1844</v>
      </c>
      <c r="M125" s="4" t="s">
        <v>1876</v>
      </c>
      <c r="N125" s="4" t="s">
        <v>1877</v>
      </c>
      <c r="O125" s="4" t="s">
        <v>46</v>
      </c>
      <c r="P125" s="4"/>
      <c r="Q125" s="4" t="s">
        <v>47</v>
      </c>
      <c r="R125" s="4" t="s">
        <v>48</v>
      </c>
      <c r="S125" s="4">
        <v>0</v>
      </c>
      <c r="T125" s="4" t="b">
        <v>0</v>
      </c>
      <c r="U125" s="4" t="s">
        <v>49</v>
      </c>
      <c r="V125" s="4" t="s">
        <v>89</v>
      </c>
      <c r="W125" s="4" t="s">
        <v>71</v>
      </c>
      <c r="X125" s="4" t="s">
        <v>123</v>
      </c>
      <c r="Y125" s="4" t="s">
        <v>124</v>
      </c>
      <c r="Z125" s="4" t="s">
        <v>54</v>
      </c>
      <c r="AA125" s="4"/>
      <c r="AB125" s="23">
        <v>0</v>
      </c>
      <c r="AC125" s="28" t="e">
        <v>#N/A</v>
      </c>
      <c r="AD125" s="28" t="e">
        <v>#N/A</v>
      </c>
      <c r="AE125" s="28"/>
      <c r="AF125" s="19">
        <v>45222</v>
      </c>
      <c r="AG125" s="19"/>
      <c r="AH125" s="12">
        <f t="shared" si="4"/>
        <v>0</v>
      </c>
      <c r="AI125" s="12">
        <f t="shared" ca="1" si="5"/>
        <v>2</v>
      </c>
      <c r="AJ125" s="12" t="str">
        <f t="shared" si="6"/>
        <v>Under 1 Year</v>
      </c>
      <c r="AK125" s="12" t="s">
        <v>9632</v>
      </c>
      <c r="AL125" s="31">
        <v>23.25</v>
      </c>
      <c r="AM125" s="31">
        <v>45</v>
      </c>
      <c r="AN125" s="12" t="str">
        <f t="shared" si="7"/>
        <v>45-54 Years</v>
      </c>
      <c r="AO125" s="13" t="s">
        <v>9172</v>
      </c>
      <c r="AP125" s="13" t="s">
        <v>9160</v>
      </c>
      <c r="AQ125" s="14" t="s">
        <v>9139</v>
      </c>
      <c r="AR125" s="14" t="s">
        <v>9140</v>
      </c>
      <c r="AS125" s="14"/>
      <c r="AT125" s="14" t="s">
        <v>123</v>
      </c>
      <c r="AU125" s="14" t="s">
        <v>54</v>
      </c>
      <c r="AV125" s="15" t="s">
        <v>9141</v>
      </c>
      <c r="AW125" s="15" t="s">
        <v>9191</v>
      </c>
      <c r="AX125" s="15" t="s">
        <v>9143</v>
      </c>
      <c r="AY125" s="15" t="s">
        <v>9141</v>
      </c>
      <c r="AZ125" s="15" t="s">
        <v>9191</v>
      </c>
      <c r="BA125" s="16" t="s">
        <v>9141</v>
      </c>
      <c r="BB125" s="16" t="s">
        <v>9192</v>
      </c>
    </row>
    <row r="126" spans="1:54" hidden="1" x14ac:dyDescent="0.25">
      <c r="A126" s="4" t="s">
        <v>496</v>
      </c>
      <c r="B126" s="4" t="s">
        <v>9375</v>
      </c>
      <c r="C126" s="4"/>
      <c r="D126" s="4" t="s">
        <v>39</v>
      </c>
      <c r="E126" s="4">
        <v>320431</v>
      </c>
      <c r="F126" s="4" t="s">
        <v>498</v>
      </c>
      <c r="G126" s="32">
        <v>32090</v>
      </c>
      <c r="H126" s="25">
        <v>45400</v>
      </c>
      <c r="I126" s="11">
        <v>0.57291666666666663</v>
      </c>
      <c r="J126" s="4" t="s">
        <v>463</v>
      </c>
      <c r="K126" s="4">
        <v>2017</v>
      </c>
      <c r="L126" s="4" t="s">
        <v>491</v>
      </c>
      <c r="M126" s="4" t="s">
        <v>499</v>
      </c>
      <c r="N126" s="4" t="s">
        <v>500</v>
      </c>
      <c r="O126" s="4" t="s">
        <v>46</v>
      </c>
      <c r="P126" s="4"/>
      <c r="Q126" s="4" t="s">
        <v>47</v>
      </c>
      <c r="R126" s="4" t="s">
        <v>48</v>
      </c>
      <c r="S126" s="4">
        <v>0</v>
      </c>
      <c r="T126" s="4" t="b">
        <v>0</v>
      </c>
      <c r="U126" s="4" t="s">
        <v>114</v>
      </c>
      <c r="V126" s="4" t="s">
        <v>70</v>
      </c>
      <c r="W126" s="4" t="s">
        <v>71</v>
      </c>
      <c r="X126" s="4" t="s">
        <v>72</v>
      </c>
      <c r="Y126" s="4" t="s">
        <v>73</v>
      </c>
      <c r="Z126" s="4" t="s">
        <v>98</v>
      </c>
      <c r="AA126" s="4"/>
      <c r="AB126" s="23">
        <v>0</v>
      </c>
      <c r="AC126" s="28" t="e">
        <v>#N/A</v>
      </c>
      <c r="AD126" s="28" t="e">
        <v>#N/A</v>
      </c>
      <c r="AE126" s="28"/>
      <c r="AF126" s="19">
        <v>44571</v>
      </c>
      <c r="AG126" s="19"/>
      <c r="AH126" s="12">
        <f t="shared" si="4"/>
        <v>2</v>
      </c>
      <c r="AI126" s="12">
        <f t="shared" ca="1" si="5"/>
        <v>4</v>
      </c>
      <c r="AJ126" s="12" t="str">
        <f t="shared" si="6"/>
        <v>1-5 Years</v>
      </c>
      <c r="AK126" s="12" t="s">
        <v>10046</v>
      </c>
      <c r="AL126" s="31">
        <v>38</v>
      </c>
      <c r="AM126" s="31">
        <v>37</v>
      </c>
      <c r="AN126" s="12" t="str">
        <f t="shared" si="7"/>
        <v>35-44 Years</v>
      </c>
      <c r="AO126" s="13" t="s">
        <v>9172</v>
      </c>
      <c r="AP126" s="13" t="s">
        <v>9160</v>
      </c>
      <c r="AQ126" s="14" t="s">
        <v>9157</v>
      </c>
      <c r="AR126" s="14" t="s">
        <v>9140</v>
      </c>
      <c r="AS126" s="14"/>
      <c r="AT126" s="14" t="s">
        <v>72</v>
      </c>
      <c r="AU126" s="14" t="s">
        <v>98</v>
      </c>
      <c r="AV126" s="15" t="s">
        <v>9141</v>
      </c>
      <c r="AW126" s="15" t="s">
        <v>9175</v>
      </c>
      <c r="AX126" s="15" t="s">
        <v>9143</v>
      </c>
      <c r="AY126" s="15" t="s">
        <v>9141</v>
      </c>
      <c r="AZ126" s="15" t="s">
        <v>9177</v>
      </c>
      <c r="BA126" s="16" t="s">
        <v>9141</v>
      </c>
      <c r="BB126" s="16" t="s">
        <v>9178</v>
      </c>
    </row>
    <row r="127" spans="1:54" hidden="1" x14ac:dyDescent="0.25">
      <c r="A127" s="4" t="s">
        <v>516</v>
      </c>
      <c r="B127" s="4" t="s">
        <v>9376</v>
      </c>
      <c r="C127" s="4"/>
      <c r="D127" s="4" t="s">
        <v>39</v>
      </c>
      <c r="E127" s="4">
        <v>329940</v>
      </c>
      <c r="F127" s="4" t="s">
        <v>512</v>
      </c>
      <c r="G127" s="32">
        <v>31789</v>
      </c>
      <c r="H127" s="25">
        <v>45404</v>
      </c>
      <c r="I127" s="11">
        <v>0.4375</v>
      </c>
      <c r="J127" s="4" t="s">
        <v>463</v>
      </c>
      <c r="K127" s="4">
        <v>2019</v>
      </c>
      <c r="L127" s="4" t="s">
        <v>513</v>
      </c>
      <c r="M127" s="4" t="s">
        <v>517</v>
      </c>
      <c r="N127" s="4" t="s">
        <v>518</v>
      </c>
      <c r="O127" s="4" t="s">
        <v>46</v>
      </c>
      <c r="P127" s="4"/>
      <c r="Q127" s="4" t="s">
        <v>47</v>
      </c>
      <c r="R127" s="4" t="s">
        <v>48</v>
      </c>
      <c r="S127" s="4">
        <v>0</v>
      </c>
      <c r="T127" s="4" t="b">
        <v>0</v>
      </c>
      <c r="U127" s="4" t="s">
        <v>49</v>
      </c>
      <c r="V127" s="4" t="s">
        <v>89</v>
      </c>
      <c r="W127" s="4" t="s">
        <v>148</v>
      </c>
      <c r="X127" s="4" t="s">
        <v>52</v>
      </c>
      <c r="Y127" s="4" t="s">
        <v>255</v>
      </c>
      <c r="Z127" s="4" t="s">
        <v>54</v>
      </c>
      <c r="AA127" s="4"/>
      <c r="AB127" s="23">
        <v>0</v>
      </c>
      <c r="AC127" s="28" t="e">
        <v>#N/A</v>
      </c>
      <c r="AD127" s="28" t="s">
        <v>8711</v>
      </c>
      <c r="AE127" s="28"/>
      <c r="AF127" s="19">
        <v>45131</v>
      </c>
      <c r="AG127" s="19">
        <v>45746</v>
      </c>
      <c r="AH127" s="12">
        <f t="shared" si="4"/>
        <v>0</v>
      </c>
      <c r="AI127" s="12">
        <f t="shared" ca="1" si="5"/>
        <v>1</v>
      </c>
      <c r="AJ127" s="12" t="str">
        <f t="shared" si="6"/>
        <v>Under 1 Year</v>
      </c>
      <c r="AK127" s="12" t="s">
        <v>9632</v>
      </c>
      <c r="AL127" s="31">
        <v>22.5</v>
      </c>
      <c r="AM127" s="31">
        <v>38</v>
      </c>
      <c r="AN127" s="12" t="str">
        <f t="shared" si="7"/>
        <v>35-44 Years</v>
      </c>
      <c r="AO127" s="13" t="s">
        <v>9161</v>
      </c>
      <c r="AP127" s="13" t="s">
        <v>9160</v>
      </c>
      <c r="AQ127" s="14" t="s">
        <v>9139</v>
      </c>
      <c r="AR127" s="14" t="s">
        <v>9140</v>
      </c>
      <c r="AS127" s="14"/>
      <c r="AT127" s="14" t="s">
        <v>52</v>
      </c>
      <c r="AU127" s="14" t="s">
        <v>54</v>
      </c>
      <c r="AV127" s="15" t="s">
        <v>9141</v>
      </c>
      <c r="AW127" s="15" t="s">
        <v>9175</v>
      </c>
      <c r="AX127" s="15" t="s">
        <v>9143</v>
      </c>
      <c r="AY127" s="15" t="s">
        <v>9141</v>
      </c>
      <c r="AZ127" s="15" t="s">
        <v>9177</v>
      </c>
      <c r="BA127" s="16" t="s">
        <v>9141</v>
      </c>
      <c r="BB127" s="16" t="s">
        <v>9178</v>
      </c>
    </row>
    <row r="128" spans="1:54" hidden="1" x14ac:dyDescent="0.25">
      <c r="A128" s="4" t="s">
        <v>1797</v>
      </c>
      <c r="B128" s="4" t="s">
        <v>9377</v>
      </c>
      <c r="C128" s="4"/>
      <c r="D128" s="4" t="s">
        <v>39</v>
      </c>
      <c r="E128" s="4">
        <v>324107</v>
      </c>
      <c r="F128" s="4" t="s">
        <v>1774</v>
      </c>
      <c r="G128" s="32">
        <v>29964</v>
      </c>
      <c r="H128" s="25">
        <v>45406</v>
      </c>
      <c r="I128" s="11">
        <v>0.54791666666666672</v>
      </c>
      <c r="J128" s="4" t="s">
        <v>1654</v>
      </c>
      <c r="K128" s="4">
        <v>9095</v>
      </c>
      <c r="L128" s="4" t="s">
        <v>1742</v>
      </c>
      <c r="M128" s="4" t="s">
        <v>1798</v>
      </c>
      <c r="N128" s="4" t="s">
        <v>1799</v>
      </c>
      <c r="O128" s="4" t="s">
        <v>46</v>
      </c>
      <c r="P128" s="4"/>
      <c r="Q128" s="4" t="s">
        <v>47</v>
      </c>
      <c r="R128" s="4" t="s">
        <v>48</v>
      </c>
      <c r="S128" s="4">
        <v>0</v>
      </c>
      <c r="T128" s="4" t="b">
        <v>0</v>
      </c>
      <c r="U128" s="4" t="s">
        <v>49</v>
      </c>
      <c r="V128" s="4" t="s">
        <v>70</v>
      </c>
      <c r="W128" s="4" t="s">
        <v>71</v>
      </c>
      <c r="X128" s="4" t="s">
        <v>72</v>
      </c>
      <c r="Y128" s="4" t="s">
        <v>73</v>
      </c>
      <c r="Z128" s="4" t="s">
        <v>98</v>
      </c>
      <c r="AA128" s="4"/>
      <c r="AB128" s="23">
        <v>0</v>
      </c>
      <c r="AC128" s="28" t="e">
        <v>#N/A</v>
      </c>
      <c r="AD128" s="28" t="e">
        <v>#N/A</v>
      </c>
      <c r="AE128" s="28"/>
      <c r="AF128" s="19">
        <v>44788</v>
      </c>
      <c r="AG128" s="19"/>
      <c r="AH128" s="12">
        <f t="shared" si="4"/>
        <v>1</v>
      </c>
      <c r="AI128" s="12">
        <f t="shared" ca="1" si="5"/>
        <v>4</v>
      </c>
      <c r="AJ128" s="12" t="str">
        <f t="shared" si="6"/>
        <v>1-5 Years</v>
      </c>
      <c r="AK128" s="12" t="s">
        <v>9632</v>
      </c>
      <c r="AL128" s="31">
        <v>34.5</v>
      </c>
      <c r="AM128" s="31">
        <v>43</v>
      </c>
      <c r="AN128" s="12" t="str">
        <f t="shared" si="7"/>
        <v>35-44 Years</v>
      </c>
      <c r="AO128" s="13" t="s">
        <v>9161</v>
      </c>
      <c r="AP128" s="13" t="s">
        <v>9160</v>
      </c>
      <c r="AQ128" s="14" t="s">
        <v>9139</v>
      </c>
      <c r="AR128" s="14" t="s">
        <v>9140</v>
      </c>
      <c r="AS128" s="14"/>
      <c r="AT128" s="14" t="s">
        <v>72</v>
      </c>
      <c r="AU128" s="14" t="s">
        <v>98</v>
      </c>
      <c r="AV128" s="15" t="s">
        <v>9141</v>
      </c>
      <c r="AW128" s="15" t="s">
        <v>9191</v>
      </c>
      <c r="AX128" s="15" t="s">
        <v>9143</v>
      </c>
      <c r="AY128" s="15" t="s">
        <v>9141</v>
      </c>
      <c r="AZ128" s="15" t="s">
        <v>9191</v>
      </c>
      <c r="BA128" s="16" t="s">
        <v>9141</v>
      </c>
      <c r="BB128" s="16" t="s">
        <v>9192</v>
      </c>
    </row>
    <row r="129" spans="1:54" hidden="1" x14ac:dyDescent="0.25">
      <c r="A129" s="4" t="s">
        <v>1919</v>
      </c>
      <c r="B129" s="4" t="s">
        <v>9378</v>
      </c>
      <c r="C129" s="4"/>
      <c r="D129" s="4" t="s">
        <v>39</v>
      </c>
      <c r="E129" s="4">
        <v>295036</v>
      </c>
      <c r="F129" s="4" t="s">
        <v>1921</v>
      </c>
      <c r="G129" s="32">
        <v>20703</v>
      </c>
      <c r="H129" s="25">
        <v>45406</v>
      </c>
      <c r="I129" s="11">
        <v>0.63888888888888884</v>
      </c>
      <c r="J129" s="4" t="s">
        <v>1654</v>
      </c>
      <c r="K129" s="4">
        <v>9098</v>
      </c>
      <c r="L129" s="4" t="s">
        <v>1896</v>
      </c>
      <c r="M129" s="4" t="s">
        <v>1922</v>
      </c>
      <c r="N129" s="4" t="s">
        <v>1923</v>
      </c>
      <c r="O129" s="4" t="s">
        <v>46</v>
      </c>
      <c r="P129" s="4"/>
      <c r="Q129" s="4" t="s">
        <v>47</v>
      </c>
      <c r="R129" s="4" t="s">
        <v>48</v>
      </c>
      <c r="S129" s="4">
        <v>0</v>
      </c>
      <c r="T129" s="4" t="b">
        <v>0</v>
      </c>
      <c r="U129" s="4" t="s">
        <v>49</v>
      </c>
      <c r="V129" s="4" t="s">
        <v>89</v>
      </c>
      <c r="W129" s="4" t="s">
        <v>90</v>
      </c>
      <c r="X129" s="4" t="s">
        <v>72</v>
      </c>
      <c r="Y129" s="4" t="s">
        <v>73</v>
      </c>
      <c r="Z129" s="4" t="s">
        <v>54</v>
      </c>
      <c r="AA129" s="4"/>
      <c r="AB129" s="23">
        <v>0</v>
      </c>
      <c r="AC129" s="28" t="e">
        <v>#N/A</v>
      </c>
      <c r="AD129" s="28" t="e">
        <v>#N/A</v>
      </c>
      <c r="AE129" s="28"/>
      <c r="AF129" s="19">
        <v>42674</v>
      </c>
      <c r="AG129" s="19"/>
      <c r="AH129" s="12">
        <f t="shared" si="4"/>
        <v>7</v>
      </c>
      <c r="AI129" s="12">
        <f t="shared" ca="1" si="5"/>
        <v>9</v>
      </c>
      <c r="AJ129" s="12" t="str">
        <f t="shared" si="6"/>
        <v>6-10 Years</v>
      </c>
      <c r="AK129" s="12" t="s">
        <v>9632</v>
      </c>
      <c r="AL129" s="31">
        <v>25</v>
      </c>
      <c r="AM129" s="31">
        <v>68</v>
      </c>
      <c r="AN129" s="12" t="str">
        <f t="shared" si="7"/>
        <v>More Than 55 Years</v>
      </c>
      <c r="AO129" s="13" t="s">
        <v>9161</v>
      </c>
      <c r="AP129" s="13" t="s">
        <v>9160</v>
      </c>
      <c r="AQ129" s="14" t="s">
        <v>9139</v>
      </c>
      <c r="AR129" s="14" t="s">
        <v>9140</v>
      </c>
      <c r="AS129" s="14"/>
      <c r="AT129" s="14" t="s">
        <v>72</v>
      </c>
      <c r="AU129" s="14" t="s">
        <v>54</v>
      </c>
      <c r="AV129" s="15" t="s">
        <v>9141</v>
      </c>
      <c r="AW129" s="15" t="s">
        <v>9191</v>
      </c>
      <c r="AX129" s="15" t="s">
        <v>9143</v>
      </c>
      <c r="AY129" s="15" t="s">
        <v>9141</v>
      </c>
      <c r="AZ129" s="15" t="s">
        <v>9191</v>
      </c>
      <c r="BA129" s="16" t="s">
        <v>9141</v>
      </c>
      <c r="BB129" s="16" t="s">
        <v>9192</v>
      </c>
    </row>
    <row r="130" spans="1:54" hidden="1" x14ac:dyDescent="0.25">
      <c r="A130" s="4" t="s">
        <v>1001</v>
      </c>
      <c r="B130" s="4" t="s">
        <v>9379</v>
      </c>
      <c r="C130" s="4"/>
      <c r="D130" s="4" t="s">
        <v>39</v>
      </c>
      <c r="E130" s="4">
        <v>323416</v>
      </c>
      <c r="F130" s="4" t="s">
        <v>1003</v>
      </c>
      <c r="G130" s="32">
        <v>38387</v>
      </c>
      <c r="H130" s="25">
        <v>45408</v>
      </c>
      <c r="I130" s="11">
        <v>0.5</v>
      </c>
      <c r="J130" s="4" t="s">
        <v>463</v>
      </c>
      <c r="K130" s="4">
        <v>2039</v>
      </c>
      <c r="L130" s="4" t="s">
        <v>988</v>
      </c>
      <c r="M130" s="4" t="s">
        <v>1004</v>
      </c>
      <c r="N130" s="4" t="s">
        <v>1005</v>
      </c>
      <c r="O130" s="4" t="s">
        <v>46</v>
      </c>
      <c r="P130" s="4"/>
      <c r="Q130" s="4" t="s">
        <v>47</v>
      </c>
      <c r="R130" s="4" t="s">
        <v>48</v>
      </c>
      <c r="S130" s="4">
        <v>0</v>
      </c>
      <c r="T130" s="4" t="b">
        <v>0</v>
      </c>
      <c r="U130" s="4" t="s">
        <v>61</v>
      </c>
      <c r="V130" s="4" t="s">
        <v>50</v>
      </c>
      <c r="W130" s="4" t="s">
        <v>224</v>
      </c>
      <c r="X130" s="4" t="s">
        <v>63</v>
      </c>
      <c r="Y130" s="4" t="s">
        <v>108</v>
      </c>
      <c r="Z130" s="4" t="s">
        <v>98</v>
      </c>
      <c r="AA130" s="4"/>
      <c r="AB130" s="23">
        <v>0</v>
      </c>
      <c r="AC130" s="28" t="e">
        <v>#N/A</v>
      </c>
      <c r="AD130" s="28" t="e">
        <v>#N/A</v>
      </c>
      <c r="AE130" s="28"/>
      <c r="AF130" s="19">
        <v>44746</v>
      </c>
      <c r="AG130" s="19">
        <v>45413</v>
      </c>
      <c r="AH130" s="12">
        <f t="shared" si="4"/>
        <v>1</v>
      </c>
      <c r="AI130" s="12">
        <f t="shared" ca="1" si="5"/>
        <v>1</v>
      </c>
      <c r="AJ130" s="12" t="str">
        <f t="shared" si="6"/>
        <v>1-5 Years</v>
      </c>
      <c r="AK130" s="12" t="s">
        <v>9633</v>
      </c>
      <c r="AL130" s="31">
        <v>0.01</v>
      </c>
      <c r="AM130" s="31">
        <v>20</v>
      </c>
      <c r="AN130" s="12" t="str">
        <f t="shared" si="7"/>
        <v>20-24 Years</v>
      </c>
      <c r="AO130" s="13" t="s">
        <v>9161</v>
      </c>
      <c r="AP130" s="13" t="s">
        <v>9160</v>
      </c>
      <c r="AQ130" s="14" t="s">
        <v>9148</v>
      </c>
      <c r="AR130" s="14" t="s">
        <v>9140</v>
      </c>
      <c r="AS130" s="14"/>
      <c r="AT130" s="14" t="s">
        <v>63</v>
      </c>
      <c r="AU130" s="14" t="s">
        <v>98</v>
      </c>
      <c r="AV130" s="15" t="s">
        <v>9141</v>
      </c>
      <c r="AW130" s="15" t="s">
        <v>9175</v>
      </c>
      <c r="AX130" s="15" t="s">
        <v>9143</v>
      </c>
      <c r="AY130" s="15" t="s">
        <v>9141</v>
      </c>
      <c r="AZ130" s="15" t="s">
        <v>9175</v>
      </c>
      <c r="BA130" s="16" t="s">
        <v>9141</v>
      </c>
      <c r="BB130" s="16" t="s">
        <v>9176</v>
      </c>
    </row>
    <row r="131" spans="1:54" hidden="1" x14ac:dyDescent="0.25">
      <c r="A131" s="4" t="s">
        <v>1871</v>
      </c>
      <c r="B131" s="4" t="s">
        <v>9380</v>
      </c>
      <c r="C131" s="4"/>
      <c r="D131" s="4" t="s">
        <v>39</v>
      </c>
      <c r="E131" s="4">
        <v>330581</v>
      </c>
      <c r="F131" s="4" t="s">
        <v>1849</v>
      </c>
      <c r="G131" s="32">
        <v>35961</v>
      </c>
      <c r="H131" s="25">
        <v>45410</v>
      </c>
      <c r="I131" s="11">
        <v>0.46944444444444444</v>
      </c>
      <c r="J131" s="4" t="s">
        <v>1654</v>
      </c>
      <c r="K131" s="4">
        <v>9097</v>
      </c>
      <c r="L131" s="4" t="s">
        <v>1844</v>
      </c>
      <c r="M131" s="4" t="s">
        <v>851</v>
      </c>
      <c r="N131" s="4" t="s">
        <v>1872</v>
      </c>
      <c r="O131" s="4" t="s">
        <v>46</v>
      </c>
      <c r="P131" s="4"/>
      <c r="Q131" s="4" t="s">
        <v>47</v>
      </c>
      <c r="R131" s="4" t="s">
        <v>48</v>
      </c>
      <c r="S131" s="4">
        <v>0</v>
      </c>
      <c r="T131" s="4" t="b">
        <v>0</v>
      </c>
      <c r="U131" s="4" t="s">
        <v>49</v>
      </c>
      <c r="V131" s="4" t="s">
        <v>89</v>
      </c>
      <c r="W131" s="4" t="s">
        <v>51</v>
      </c>
      <c r="X131" s="4" t="s">
        <v>52</v>
      </c>
      <c r="Y131" s="4" t="s">
        <v>53</v>
      </c>
      <c r="Z131" s="4" t="s">
        <v>54</v>
      </c>
      <c r="AA131" s="4"/>
      <c r="AB131" s="23">
        <v>0</v>
      </c>
      <c r="AC131" s="28" t="e">
        <v>#N/A</v>
      </c>
      <c r="AD131" s="28" t="e">
        <v>#N/A</v>
      </c>
      <c r="AE131" s="28"/>
      <c r="AF131" s="19">
        <v>45208</v>
      </c>
      <c r="AG131" s="19">
        <v>45593</v>
      </c>
      <c r="AH131" s="12">
        <f t="shared" ref="AH131:AH194" si="8">DATEDIF(AF131,H131,"Y")</f>
        <v>0</v>
      </c>
      <c r="AI131" s="12">
        <f t="shared" ref="AI131:AI194" ca="1" si="9">IF(AG131=0,DATEDIF(AF131,TODAY(),"Y"),DATEDIF(AF131,AG131,"Y"))</f>
        <v>1</v>
      </c>
      <c r="AJ131" s="12" t="str">
        <f t="shared" ref="AJ131:AJ194" si="10">IF(AH131=0,"Under 1 Year",IF(AND(AH131&gt;=1,AH131&lt;=5),"1-5 Years",IF(AND(AH131&gt;=6,AH131&lt;=10),"6-10 Years",IF(AND(AH131&gt;=11,AH131&lt;=15),"11-15 Years",IF(AND(AH131&gt;=16,AH131&lt;=20),"16-20 Years",IF(AND(AH131&gt;=21,AH131&lt;=25),"21-25 Years",IF(AND(AH131&gt;=26,AH131&lt;=30),"26-30 Years","More Than 30 Years")))))))</f>
        <v>Under 1 Year</v>
      </c>
      <c r="AK131" s="12" t="s">
        <v>10046</v>
      </c>
      <c r="AL131" s="31">
        <v>38</v>
      </c>
      <c r="AM131" s="31">
        <v>26</v>
      </c>
      <c r="AN131" s="12" t="str">
        <f t="shared" ref="AN131:AN194" si="11">IF(AM131&lt;20,"Less Than 20 Years",IF(AND(AM131&gt;=20,AM131&lt;=24),"20-24 Years",IF(AND(AM131&gt;=25,AM131&lt;=34),"25-34 Years",IF(AND(AM131&gt;=35,AM131&lt;=44),"35-44 Years",IF(AND(AM131&gt;=45,AM131&lt;=54),"45-54 Years","More Than 55 Years")))))</f>
        <v>25-34 Years</v>
      </c>
      <c r="AO131" s="13" t="s">
        <v>9161</v>
      </c>
      <c r="AP131" s="13" t="s">
        <v>9160</v>
      </c>
      <c r="AQ131" s="14" t="s">
        <v>9139</v>
      </c>
      <c r="AR131" s="14" t="s">
        <v>9140</v>
      </c>
      <c r="AS131" s="14"/>
      <c r="AT131" s="14" t="s">
        <v>52</v>
      </c>
      <c r="AU131" s="14" t="s">
        <v>54</v>
      </c>
      <c r="AV131" s="15" t="s">
        <v>9141</v>
      </c>
      <c r="AW131" s="15" t="s">
        <v>9191</v>
      </c>
      <c r="AX131" s="15" t="s">
        <v>9143</v>
      </c>
      <c r="AY131" s="15" t="s">
        <v>9141</v>
      </c>
      <c r="AZ131" s="15" t="s">
        <v>9191</v>
      </c>
      <c r="BA131" s="16" t="s">
        <v>9141</v>
      </c>
      <c r="BB131" s="16" t="s">
        <v>9192</v>
      </c>
    </row>
    <row r="132" spans="1:54" hidden="1" x14ac:dyDescent="0.25">
      <c r="A132" s="4" t="s">
        <v>997</v>
      </c>
      <c r="B132" s="4" t="s">
        <v>9381</v>
      </c>
      <c r="C132" s="4"/>
      <c r="D132" s="4" t="s">
        <v>39</v>
      </c>
      <c r="E132" s="4">
        <v>294425</v>
      </c>
      <c r="F132" s="4" t="s">
        <v>999</v>
      </c>
      <c r="G132" s="32">
        <v>25700</v>
      </c>
      <c r="H132" s="25">
        <v>45412</v>
      </c>
      <c r="I132" s="11">
        <v>0.3125</v>
      </c>
      <c r="J132" s="4" t="s">
        <v>463</v>
      </c>
      <c r="K132" s="4">
        <v>2039</v>
      </c>
      <c r="L132" s="4" t="s">
        <v>988</v>
      </c>
      <c r="M132" s="4" t="s">
        <v>665</v>
      </c>
      <c r="N132" s="4" t="s">
        <v>1000</v>
      </c>
      <c r="O132" s="4" t="s">
        <v>46</v>
      </c>
      <c r="P132" s="4"/>
      <c r="Q132" s="4" t="s">
        <v>47</v>
      </c>
      <c r="R132" s="4" t="s">
        <v>48</v>
      </c>
      <c r="S132" s="4">
        <v>0</v>
      </c>
      <c r="T132" s="4" t="b">
        <v>0</v>
      </c>
      <c r="U132" s="4" t="s">
        <v>61</v>
      </c>
      <c r="V132" s="4" t="s">
        <v>50</v>
      </c>
      <c r="W132" s="4" t="s">
        <v>107</v>
      </c>
      <c r="X132" s="4" t="s">
        <v>63</v>
      </c>
      <c r="Y132" s="4" t="s">
        <v>108</v>
      </c>
      <c r="Z132" s="4" t="s">
        <v>98</v>
      </c>
      <c r="AA132" s="4"/>
      <c r="AB132" s="23">
        <v>0</v>
      </c>
      <c r="AC132" s="28" t="e">
        <v>#N/A</v>
      </c>
      <c r="AD132" s="28" t="e">
        <v>#N/A</v>
      </c>
      <c r="AE132" s="28"/>
      <c r="AF132" s="19">
        <v>42261</v>
      </c>
      <c r="AG132" s="19">
        <v>45539</v>
      </c>
      <c r="AH132" s="12">
        <f t="shared" si="8"/>
        <v>8</v>
      </c>
      <c r="AI132" s="12">
        <f t="shared" ca="1" si="9"/>
        <v>8</v>
      </c>
      <c r="AJ132" s="12" t="str">
        <f t="shared" si="10"/>
        <v>6-10 Years</v>
      </c>
      <c r="AK132" s="12" t="s">
        <v>9631</v>
      </c>
      <c r="AL132" s="31">
        <v>38</v>
      </c>
      <c r="AM132" s="31">
        <v>54</v>
      </c>
      <c r="AN132" s="12" t="str">
        <f t="shared" si="11"/>
        <v>45-54 Years</v>
      </c>
      <c r="AO132" s="13" t="s">
        <v>9161</v>
      </c>
      <c r="AP132" s="13" t="s">
        <v>9160</v>
      </c>
      <c r="AQ132" s="14" t="s">
        <v>9148</v>
      </c>
      <c r="AR132" s="14" t="s">
        <v>9140</v>
      </c>
      <c r="AS132" s="14"/>
      <c r="AT132" s="14" t="s">
        <v>63</v>
      </c>
      <c r="AU132" s="14" t="s">
        <v>98</v>
      </c>
      <c r="AV132" s="15" t="s">
        <v>9141</v>
      </c>
      <c r="AW132" s="15" t="s">
        <v>9175</v>
      </c>
      <c r="AX132" s="15" t="s">
        <v>9143</v>
      </c>
      <c r="AY132" s="15" t="s">
        <v>9141</v>
      </c>
      <c r="AZ132" s="15" t="s">
        <v>9175</v>
      </c>
      <c r="BA132" s="16" t="s">
        <v>9141</v>
      </c>
      <c r="BB132" s="16" t="s">
        <v>9176</v>
      </c>
    </row>
    <row r="133" spans="1:54" hidden="1" x14ac:dyDescent="0.25">
      <c r="A133" s="4" t="s">
        <v>1791</v>
      </c>
      <c r="B133" s="4" t="s">
        <v>9382</v>
      </c>
      <c r="C133" s="4" t="s">
        <v>1792</v>
      </c>
      <c r="D133" s="4" t="s">
        <v>39</v>
      </c>
      <c r="E133" s="4">
        <v>292530</v>
      </c>
      <c r="F133" s="4" t="s">
        <v>1794</v>
      </c>
      <c r="G133" s="32">
        <v>28017</v>
      </c>
      <c r="H133" s="25">
        <v>45412</v>
      </c>
      <c r="I133" s="11">
        <v>0.5625</v>
      </c>
      <c r="J133" s="4" t="s">
        <v>1654</v>
      </c>
      <c r="K133" s="4">
        <v>9095</v>
      </c>
      <c r="L133" s="4" t="s">
        <v>1742</v>
      </c>
      <c r="M133" s="4" t="s">
        <v>1795</v>
      </c>
      <c r="N133" s="4" t="s">
        <v>1796</v>
      </c>
      <c r="O133" s="4" t="s">
        <v>28</v>
      </c>
      <c r="P133" s="4" t="s">
        <v>183</v>
      </c>
      <c r="Q133" s="4" t="s">
        <v>191</v>
      </c>
      <c r="R133" s="4" t="s">
        <v>60</v>
      </c>
      <c r="S133" s="4">
        <v>7</v>
      </c>
      <c r="T133" s="4" t="b">
        <v>0</v>
      </c>
      <c r="U133" s="4" t="s">
        <v>61</v>
      </c>
      <c r="V133" s="4" t="s">
        <v>89</v>
      </c>
      <c r="W133" s="4" t="s">
        <v>600</v>
      </c>
      <c r="X133" s="4" t="s">
        <v>52</v>
      </c>
      <c r="Y133" s="4" t="s">
        <v>255</v>
      </c>
      <c r="Z133" s="4" t="s">
        <v>54</v>
      </c>
      <c r="AA133" s="4"/>
      <c r="AB133" s="23" t="s">
        <v>60</v>
      </c>
      <c r="AC133" s="28" t="e">
        <v>#N/A</v>
      </c>
      <c r="AD133" s="28" t="e">
        <v>#N/A</v>
      </c>
      <c r="AE133" s="28"/>
      <c r="AF133" s="19">
        <v>40938</v>
      </c>
      <c r="AG133" s="19"/>
      <c r="AH133" s="12">
        <f t="shared" si="8"/>
        <v>12</v>
      </c>
      <c r="AI133" s="12">
        <f t="shared" ca="1" si="9"/>
        <v>14</v>
      </c>
      <c r="AJ133" s="12" t="str">
        <f t="shared" si="10"/>
        <v>11-15 Years</v>
      </c>
      <c r="AK133" s="12" t="s">
        <v>9632</v>
      </c>
      <c r="AL133" s="31">
        <v>25</v>
      </c>
      <c r="AM133" s="31">
        <v>48</v>
      </c>
      <c r="AN133" s="12" t="str">
        <f t="shared" si="11"/>
        <v>45-54 Years</v>
      </c>
      <c r="AO133" s="13" t="s">
        <v>9161</v>
      </c>
      <c r="AP133" s="13" t="s">
        <v>9160</v>
      </c>
      <c r="AQ133" s="14" t="s">
        <v>9148</v>
      </c>
      <c r="AR133" s="14" t="s">
        <v>28</v>
      </c>
      <c r="AS133" s="14" t="s">
        <v>183</v>
      </c>
      <c r="AT133" s="14" t="s">
        <v>52</v>
      </c>
      <c r="AU133" s="14" t="s">
        <v>54</v>
      </c>
      <c r="AV133" s="15" t="s">
        <v>9141</v>
      </c>
      <c r="AW133" s="15" t="s">
        <v>9191</v>
      </c>
      <c r="AX133" s="15" t="s">
        <v>9143</v>
      </c>
      <c r="AY133" s="15" t="s">
        <v>9141</v>
      </c>
      <c r="AZ133" s="15" t="s">
        <v>9191</v>
      </c>
      <c r="BA133" s="16" t="s">
        <v>9141</v>
      </c>
      <c r="BB133" s="16" t="s">
        <v>9192</v>
      </c>
    </row>
    <row r="134" spans="1:54" hidden="1" x14ac:dyDescent="0.25">
      <c r="A134" s="4" t="s">
        <v>261</v>
      </c>
      <c r="B134" s="4" t="s">
        <v>9383</v>
      </c>
      <c r="C134" s="4"/>
      <c r="D134" s="4" t="s">
        <v>39</v>
      </c>
      <c r="E134" s="4">
        <v>325837</v>
      </c>
      <c r="F134" s="4" t="s">
        <v>263</v>
      </c>
      <c r="G134" s="32">
        <v>38764</v>
      </c>
      <c r="H134" s="25">
        <v>45413</v>
      </c>
      <c r="I134" s="11">
        <v>0.3888888888888889</v>
      </c>
      <c r="J134" s="4" t="s">
        <v>42</v>
      </c>
      <c r="K134" s="4">
        <v>1011</v>
      </c>
      <c r="L134" s="4" t="s">
        <v>215</v>
      </c>
      <c r="M134" s="4" t="s">
        <v>264</v>
      </c>
      <c r="N134" s="4" t="s">
        <v>265</v>
      </c>
      <c r="O134" s="4" t="s">
        <v>46</v>
      </c>
      <c r="P134" s="4"/>
      <c r="Q134" s="4" t="s">
        <v>47</v>
      </c>
      <c r="R134" s="4" t="s">
        <v>48</v>
      </c>
      <c r="S134" s="4">
        <v>0</v>
      </c>
      <c r="T134" s="4" t="b">
        <v>0</v>
      </c>
      <c r="U134" s="4" t="s">
        <v>61</v>
      </c>
      <c r="V134" s="4" t="s">
        <v>266</v>
      </c>
      <c r="W134" s="4" t="s">
        <v>90</v>
      </c>
      <c r="X134" s="4" t="s">
        <v>267</v>
      </c>
      <c r="Y134" s="4" t="s">
        <v>268</v>
      </c>
      <c r="Z134" s="4" t="s">
        <v>54</v>
      </c>
      <c r="AA134" s="4"/>
      <c r="AB134" s="23">
        <v>0</v>
      </c>
      <c r="AC134" s="28" t="e">
        <v>#N/A</v>
      </c>
      <c r="AD134" s="28" t="e">
        <v>#N/A</v>
      </c>
      <c r="AE134" s="28"/>
      <c r="AF134" s="19">
        <v>44858</v>
      </c>
      <c r="AG134" s="19">
        <v>45526</v>
      </c>
      <c r="AH134" s="12">
        <f t="shared" si="8"/>
        <v>1</v>
      </c>
      <c r="AI134" s="12">
        <f t="shared" ca="1" si="9"/>
        <v>1</v>
      </c>
      <c r="AJ134" s="12" t="str">
        <f t="shared" si="10"/>
        <v>1-5 Years</v>
      </c>
      <c r="AK134" s="12" t="s">
        <v>9633</v>
      </c>
      <c r="AL134" s="31">
        <v>0.01</v>
      </c>
      <c r="AM134" s="31">
        <v>19</v>
      </c>
      <c r="AN134" s="12" t="str">
        <f t="shared" si="11"/>
        <v>Less Than 20 Years</v>
      </c>
      <c r="AO134" s="13" t="s">
        <v>9161</v>
      </c>
      <c r="AP134" s="13" t="s">
        <v>9160</v>
      </c>
      <c r="AQ134" s="14" t="s">
        <v>9148</v>
      </c>
      <c r="AR134" s="14" t="s">
        <v>9140</v>
      </c>
      <c r="AS134" s="14"/>
      <c r="AT134" s="14" t="s">
        <v>267</v>
      </c>
      <c r="AU134" s="14" t="s">
        <v>54</v>
      </c>
      <c r="AV134" s="15" t="s">
        <v>9141</v>
      </c>
      <c r="AW134" s="15" t="s">
        <v>9142</v>
      </c>
      <c r="AX134" s="15" t="s">
        <v>9143</v>
      </c>
      <c r="AY134" s="15" t="s">
        <v>9141</v>
      </c>
      <c r="AZ134" s="15" t="s">
        <v>9144</v>
      </c>
      <c r="BA134" s="16" t="s">
        <v>9141</v>
      </c>
      <c r="BB134" s="16" t="s">
        <v>9145</v>
      </c>
    </row>
    <row r="135" spans="1:54" hidden="1" x14ac:dyDescent="0.25">
      <c r="A135" s="4" t="s">
        <v>1788</v>
      </c>
      <c r="B135" s="4" t="s">
        <v>9384</v>
      </c>
      <c r="C135" s="4"/>
      <c r="D135" s="4" t="s">
        <v>39</v>
      </c>
      <c r="E135" s="4">
        <v>296583</v>
      </c>
      <c r="F135" s="4" t="s">
        <v>1747</v>
      </c>
      <c r="G135" s="32">
        <v>33494</v>
      </c>
      <c r="H135" s="25">
        <v>45414</v>
      </c>
      <c r="I135" s="11">
        <v>0.51388888888888884</v>
      </c>
      <c r="J135" s="4" t="s">
        <v>1654</v>
      </c>
      <c r="K135" s="4">
        <v>9095</v>
      </c>
      <c r="L135" s="4" t="s">
        <v>1742</v>
      </c>
      <c r="M135" s="4" t="s">
        <v>1789</v>
      </c>
      <c r="N135" s="4" t="s">
        <v>1790</v>
      </c>
      <c r="O135" s="4" t="s">
        <v>46</v>
      </c>
      <c r="P135" s="4"/>
      <c r="Q135" s="4" t="s">
        <v>47</v>
      </c>
      <c r="R135" s="4" t="s">
        <v>48</v>
      </c>
      <c r="S135" s="4">
        <v>0</v>
      </c>
      <c r="T135" s="4" t="b">
        <v>0</v>
      </c>
      <c r="U135" s="4" t="s">
        <v>61</v>
      </c>
      <c r="V135" s="4" t="s">
        <v>50</v>
      </c>
      <c r="W135" s="4" t="s">
        <v>107</v>
      </c>
      <c r="X135" s="4" t="s">
        <v>63</v>
      </c>
      <c r="Y135" s="4" t="s">
        <v>198</v>
      </c>
      <c r="Z135" s="4" t="s">
        <v>98</v>
      </c>
      <c r="AA135" s="4" t="s">
        <v>486</v>
      </c>
      <c r="AB135" s="23">
        <v>0</v>
      </c>
      <c r="AC135" s="28" t="e">
        <v>#N/A</v>
      </c>
      <c r="AD135" s="28" t="e">
        <v>#N/A</v>
      </c>
      <c r="AE135" s="28"/>
      <c r="AF135" s="19">
        <v>43654</v>
      </c>
      <c r="AG135" s="19"/>
      <c r="AH135" s="12">
        <f t="shared" si="8"/>
        <v>4</v>
      </c>
      <c r="AI135" s="12">
        <f t="shared" ca="1" si="9"/>
        <v>7</v>
      </c>
      <c r="AJ135" s="12" t="str">
        <f t="shared" si="10"/>
        <v>1-5 Years</v>
      </c>
      <c r="AK135" s="12" t="s">
        <v>9632</v>
      </c>
      <c r="AL135" s="31">
        <v>30.75</v>
      </c>
      <c r="AM135" s="31">
        <v>33</v>
      </c>
      <c r="AN135" s="12" t="str">
        <f t="shared" si="11"/>
        <v>25-34 Years</v>
      </c>
      <c r="AO135" s="13" t="s">
        <v>9161</v>
      </c>
      <c r="AP135" s="13" t="s">
        <v>9160</v>
      </c>
      <c r="AQ135" s="14" t="s">
        <v>9148</v>
      </c>
      <c r="AR135" s="14" t="s">
        <v>9140</v>
      </c>
      <c r="AS135" s="14"/>
      <c r="AT135" s="14" t="s">
        <v>63</v>
      </c>
      <c r="AU135" s="14" t="s">
        <v>98</v>
      </c>
      <c r="AV135" s="15" t="s">
        <v>9141</v>
      </c>
      <c r="AW135" s="15" t="s">
        <v>9191</v>
      </c>
      <c r="AX135" s="15" t="s">
        <v>9143</v>
      </c>
      <c r="AY135" s="15" t="s">
        <v>9141</v>
      </c>
      <c r="AZ135" s="15" t="s">
        <v>9191</v>
      </c>
      <c r="BA135" s="16" t="s">
        <v>9141</v>
      </c>
      <c r="BB135" s="16" t="s">
        <v>9192</v>
      </c>
    </row>
    <row r="136" spans="1:54" hidden="1" x14ac:dyDescent="0.25">
      <c r="A136" s="4" t="s">
        <v>722</v>
      </c>
      <c r="B136" s="4" t="s">
        <v>9385</v>
      </c>
      <c r="C136" s="4"/>
      <c r="D136" s="4" t="s">
        <v>39</v>
      </c>
      <c r="E136" s="4">
        <v>286332</v>
      </c>
      <c r="F136" s="4" t="s">
        <v>724</v>
      </c>
      <c r="G136" s="32">
        <v>30833</v>
      </c>
      <c r="H136" s="25">
        <v>45415</v>
      </c>
      <c r="I136" s="11">
        <v>0.47152777777777777</v>
      </c>
      <c r="J136" s="4" t="s">
        <v>463</v>
      </c>
      <c r="K136" s="4">
        <v>2025</v>
      </c>
      <c r="L136" s="4" t="s">
        <v>701</v>
      </c>
      <c r="M136" s="4" t="s">
        <v>725</v>
      </c>
      <c r="N136" s="4" t="s">
        <v>726</v>
      </c>
      <c r="O136" s="4" t="s">
        <v>46</v>
      </c>
      <c r="P136" s="4"/>
      <c r="Q136" s="4" t="s">
        <v>47</v>
      </c>
      <c r="R136" s="4" t="s">
        <v>48</v>
      </c>
      <c r="S136" s="4">
        <v>0</v>
      </c>
      <c r="T136" s="4" t="b">
        <v>0</v>
      </c>
      <c r="U136" s="4" t="s">
        <v>61</v>
      </c>
      <c r="V136" s="4" t="s">
        <v>583</v>
      </c>
      <c r="W136" s="4" t="s">
        <v>600</v>
      </c>
      <c r="X136" s="4" t="s">
        <v>52</v>
      </c>
      <c r="Y136" s="4" t="s">
        <v>135</v>
      </c>
      <c r="Z136" s="4" t="s">
        <v>54</v>
      </c>
      <c r="AA136" s="4"/>
      <c r="AB136" s="23">
        <v>0</v>
      </c>
      <c r="AC136" s="28" t="e">
        <v>#N/A</v>
      </c>
      <c r="AD136" s="28" t="e">
        <v>#N/A</v>
      </c>
      <c r="AE136" s="28"/>
      <c r="AF136" s="19">
        <v>37851</v>
      </c>
      <c r="AG136" s="19"/>
      <c r="AH136" s="12">
        <f t="shared" si="8"/>
        <v>20</v>
      </c>
      <c r="AI136" s="12">
        <f t="shared" ca="1" si="9"/>
        <v>23</v>
      </c>
      <c r="AJ136" s="12" t="str">
        <f t="shared" si="10"/>
        <v>16-20 Years</v>
      </c>
      <c r="AK136" s="12" t="s">
        <v>9631</v>
      </c>
      <c r="AL136" s="31">
        <v>38</v>
      </c>
      <c r="AM136" s="31">
        <v>40</v>
      </c>
      <c r="AN136" s="12" t="str">
        <f t="shared" si="11"/>
        <v>35-44 Years</v>
      </c>
      <c r="AO136" s="13" t="s">
        <v>9161</v>
      </c>
      <c r="AP136" s="13" t="s">
        <v>9160</v>
      </c>
      <c r="AQ136" s="14" t="s">
        <v>9148</v>
      </c>
      <c r="AR136" s="14" t="s">
        <v>9140</v>
      </c>
      <c r="AS136" s="14"/>
      <c r="AT136" s="14" t="s">
        <v>52</v>
      </c>
      <c r="AU136" s="14" t="s">
        <v>54</v>
      </c>
      <c r="AV136" s="15" t="s">
        <v>9141</v>
      </c>
      <c r="AW136" s="15" t="s">
        <v>9175</v>
      </c>
      <c r="AX136" s="15" t="s">
        <v>9143</v>
      </c>
      <c r="AY136" s="15" t="s">
        <v>9141</v>
      </c>
      <c r="AZ136" s="15" t="s">
        <v>9175</v>
      </c>
      <c r="BA136" s="16" t="s">
        <v>9141</v>
      </c>
      <c r="BB136" s="16" t="s">
        <v>9176</v>
      </c>
    </row>
    <row r="137" spans="1:54" hidden="1" x14ac:dyDescent="0.25">
      <c r="A137" s="4" t="s">
        <v>1254</v>
      </c>
      <c r="B137" s="4" t="s">
        <v>9386</v>
      </c>
      <c r="C137" s="4"/>
      <c r="D137" s="4" t="s">
        <v>39</v>
      </c>
      <c r="E137" s="4">
        <v>296971</v>
      </c>
      <c r="F137" s="4" t="s">
        <v>1221</v>
      </c>
      <c r="G137" s="32">
        <v>32453</v>
      </c>
      <c r="H137" s="25">
        <v>45415</v>
      </c>
      <c r="I137" s="11">
        <v>0.58333333333333337</v>
      </c>
      <c r="J137" s="4" t="s">
        <v>1155</v>
      </c>
      <c r="K137" s="4">
        <v>4043</v>
      </c>
      <c r="L137" s="4" t="s">
        <v>1200</v>
      </c>
      <c r="M137" s="4" t="s">
        <v>1255</v>
      </c>
      <c r="N137" s="4" t="s">
        <v>1256</v>
      </c>
      <c r="O137" s="4" t="s">
        <v>46</v>
      </c>
      <c r="P137" s="4"/>
      <c r="Q137" s="4" t="s">
        <v>47</v>
      </c>
      <c r="R137" s="4" t="s">
        <v>48</v>
      </c>
      <c r="S137" s="4">
        <v>0</v>
      </c>
      <c r="T137" s="4" t="b">
        <v>0</v>
      </c>
      <c r="U137" s="4" t="s">
        <v>49</v>
      </c>
      <c r="V137" s="4" t="s">
        <v>50</v>
      </c>
      <c r="W137" s="4" t="s">
        <v>71</v>
      </c>
      <c r="X137" s="4" t="s">
        <v>72</v>
      </c>
      <c r="Y137" s="4" t="s">
        <v>97</v>
      </c>
      <c r="Z137" s="4" t="s">
        <v>98</v>
      </c>
      <c r="AA137" s="4"/>
      <c r="AB137" s="23">
        <v>0</v>
      </c>
      <c r="AC137" s="28" t="s">
        <v>9580</v>
      </c>
      <c r="AD137" s="28" t="e">
        <v>#N/A</v>
      </c>
      <c r="AE137" s="28"/>
      <c r="AF137" s="19">
        <v>44004</v>
      </c>
      <c r="AG137" s="19"/>
      <c r="AH137" s="12">
        <f t="shared" si="8"/>
        <v>3</v>
      </c>
      <c r="AI137" s="12">
        <f t="shared" ca="1" si="9"/>
        <v>6</v>
      </c>
      <c r="AJ137" s="12" t="str">
        <f t="shared" si="10"/>
        <v>1-5 Years</v>
      </c>
      <c r="AK137" s="12" t="s">
        <v>9632</v>
      </c>
      <c r="AL137" s="31">
        <v>23</v>
      </c>
      <c r="AM137" s="31">
        <v>36</v>
      </c>
      <c r="AN137" s="12" t="str">
        <f t="shared" si="11"/>
        <v>35-44 Years</v>
      </c>
      <c r="AO137" s="13" t="s">
        <v>9161</v>
      </c>
      <c r="AP137" s="13" t="s">
        <v>9160</v>
      </c>
      <c r="AQ137" s="14" t="s">
        <v>9139</v>
      </c>
      <c r="AR137" s="14" t="s">
        <v>9140</v>
      </c>
      <c r="AS137" s="14"/>
      <c r="AT137" s="14" t="s">
        <v>72</v>
      </c>
      <c r="AU137" s="14" t="s">
        <v>98</v>
      </c>
      <c r="AV137" s="15" t="s">
        <v>9141</v>
      </c>
      <c r="AW137" s="15" t="s">
        <v>9187</v>
      </c>
      <c r="AX137" s="15" t="s">
        <v>9143</v>
      </c>
      <c r="AY137" s="15" t="s">
        <v>9141</v>
      </c>
      <c r="AZ137" s="15" t="s">
        <v>9144</v>
      </c>
      <c r="BA137" s="16" t="s">
        <v>9141</v>
      </c>
      <c r="BB137" s="16" t="s">
        <v>9145</v>
      </c>
    </row>
    <row r="138" spans="1:54" hidden="1" x14ac:dyDescent="0.25">
      <c r="A138" s="4" t="s">
        <v>1077</v>
      </c>
      <c r="B138" s="4" t="s">
        <v>9387</v>
      </c>
      <c r="C138" s="4"/>
      <c r="D138" s="4" t="s">
        <v>39</v>
      </c>
      <c r="E138" s="4">
        <v>326653</v>
      </c>
      <c r="F138" s="4" t="s">
        <v>1079</v>
      </c>
      <c r="G138" s="32">
        <v>38278</v>
      </c>
      <c r="H138" s="25">
        <v>45416</v>
      </c>
      <c r="I138" s="11">
        <v>0.55555555555555558</v>
      </c>
      <c r="J138" s="4" t="s">
        <v>463</v>
      </c>
      <c r="K138" s="4">
        <v>2054</v>
      </c>
      <c r="L138" s="4" t="s">
        <v>1067</v>
      </c>
      <c r="M138" s="4" t="s">
        <v>711</v>
      </c>
      <c r="N138" s="4" t="s">
        <v>1080</v>
      </c>
      <c r="O138" s="4" t="s">
        <v>46</v>
      </c>
      <c r="P138" s="4"/>
      <c r="Q138" s="4" t="s">
        <v>47</v>
      </c>
      <c r="R138" s="4" t="s">
        <v>48</v>
      </c>
      <c r="S138" s="4">
        <v>0</v>
      </c>
      <c r="T138" s="4" t="b">
        <v>0</v>
      </c>
      <c r="U138" s="4" t="s">
        <v>61</v>
      </c>
      <c r="V138" s="4" t="s">
        <v>50</v>
      </c>
      <c r="W138" s="4" t="s">
        <v>1081</v>
      </c>
      <c r="X138" s="4" t="s">
        <v>63</v>
      </c>
      <c r="Y138" s="4" t="s">
        <v>108</v>
      </c>
      <c r="Z138" s="4" t="s">
        <v>98</v>
      </c>
      <c r="AA138" s="4"/>
      <c r="AB138" s="23">
        <v>0</v>
      </c>
      <c r="AC138" s="28" t="e">
        <v>#N/A</v>
      </c>
      <c r="AD138" s="28" t="e">
        <v>#N/A</v>
      </c>
      <c r="AE138" s="28"/>
      <c r="AF138" s="19">
        <v>44879</v>
      </c>
      <c r="AG138" s="19">
        <v>45496</v>
      </c>
      <c r="AH138" s="12">
        <f t="shared" si="8"/>
        <v>1</v>
      </c>
      <c r="AI138" s="12">
        <f t="shared" ca="1" si="9"/>
        <v>1</v>
      </c>
      <c r="AJ138" s="12" t="str">
        <f t="shared" si="10"/>
        <v>1-5 Years</v>
      </c>
      <c r="AK138" s="12" t="s">
        <v>9632</v>
      </c>
      <c r="AL138" s="31">
        <v>22.25</v>
      </c>
      <c r="AM138" s="31">
        <v>20</v>
      </c>
      <c r="AN138" s="12" t="str">
        <f t="shared" si="11"/>
        <v>20-24 Years</v>
      </c>
      <c r="AO138" s="13" t="s">
        <v>9161</v>
      </c>
      <c r="AP138" s="13" t="s">
        <v>9160</v>
      </c>
      <c r="AQ138" s="14" t="s">
        <v>9148</v>
      </c>
      <c r="AR138" s="14" t="s">
        <v>9140</v>
      </c>
      <c r="AS138" s="14"/>
      <c r="AT138" s="14" t="s">
        <v>63</v>
      </c>
      <c r="AU138" s="14" t="s">
        <v>98</v>
      </c>
      <c r="AV138" s="15" t="s">
        <v>9141</v>
      </c>
      <c r="AW138" s="15" t="s">
        <v>9175</v>
      </c>
      <c r="AX138" s="15" t="s">
        <v>9143</v>
      </c>
      <c r="AY138" s="15" t="s">
        <v>9141</v>
      </c>
      <c r="AZ138" s="15" t="s">
        <v>9175</v>
      </c>
      <c r="BA138" s="16" t="s">
        <v>9141</v>
      </c>
      <c r="BB138" s="16" t="s">
        <v>9176</v>
      </c>
    </row>
    <row r="139" spans="1:54" hidden="1" x14ac:dyDescent="0.25">
      <c r="A139" s="4" t="s">
        <v>1075</v>
      </c>
      <c r="B139" s="4" t="s">
        <v>9388</v>
      </c>
      <c r="C139" s="4"/>
      <c r="D139" s="4" t="s">
        <v>39</v>
      </c>
      <c r="E139" s="4">
        <v>326476</v>
      </c>
      <c r="F139" s="4" t="s">
        <v>1066</v>
      </c>
      <c r="G139" s="32">
        <v>31087</v>
      </c>
      <c r="H139" s="25">
        <v>45419</v>
      </c>
      <c r="I139" s="11">
        <v>0.43125000000000002</v>
      </c>
      <c r="J139" s="4" t="s">
        <v>463</v>
      </c>
      <c r="K139" s="4">
        <v>2054</v>
      </c>
      <c r="L139" s="4" t="s">
        <v>1067</v>
      </c>
      <c r="M139" s="4" t="s">
        <v>711</v>
      </c>
      <c r="N139" s="4" t="s">
        <v>1076</v>
      </c>
      <c r="O139" s="4" t="s">
        <v>46</v>
      </c>
      <c r="P139" s="4"/>
      <c r="Q139" s="4" t="s">
        <v>47</v>
      </c>
      <c r="R139" s="4" t="s">
        <v>48</v>
      </c>
      <c r="S139" s="4">
        <v>0</v>
      </c>
      <c r="T139" s="4" t="b">
        <v>0</v>
      </c>
      <c r="U139" s="4" t="s">
        <v>49</v>
      </c>
      <c r="V139" s="4" t="s">
        <v>50</v>
      </c>
      <c r="W139" s="4" t="s">
        <v>90</v>
      </c>
      <c r="X139" s="4" t="s">
        <v>63</v>
      </c>
      <c r="Y139" s="4" t="s">
        <v>108</v>
      </c>
      <c r="Z139" s="4" t="s">
        <v>54</v>
      </c>
      <c r="AA139" s="4"/>
      <c r="AB139" s="23">
        <v>0</v>
      </c>
      <c r="AC139" s="28" t="e">
        <v>#N/A</v>
      </c>
      <c r="AD139" s="28" t="e">
        <v>#N/A</v>
      </c>
      <c r="AE139" s="28"/>
      <c r="AF139" s="19">
        <v>44879</v>
      </c>
      <c r="AG139" s="19"/>
      <c r="AH139" s="12">
        <f t="shared" si="8"/>
        <v>1</v>
      </c>
      <c r="AI139" s="12">
        <f t="shared" ca="1" si="9"/>
        <v>3</v>
      </c>
      <c r="AJ139" s="12" t="str">
        <f t="shared" si="10"/>
        <v>1-5 Years</v>
      </c>
      <c r="AK139" s="12" t="s">
        <v>9632</v>
      </c>
      <c r="AL139" s="31">
        <v>20</v>
      </c>
      <c r="AM139" s="31">
        <v>40</v>
      </c>
      <c r="AN139" s="12" t="str">
        <f t="shared" si="11"/>
        <v>35-44 Years</v>
      </c>
      <c r="AO139" s="13" t="s">
        <v>9161</v>
      </c>
      <c r="AP139" s="13" t="s">
        <v>9160</v>
      </c>
      <c r="AQ139" s="14" t="s">
        <v>9139</v>
      </c>
      <c r="AR139" s="14" t="s">
        <v>9140</v>
      </c>
      <c r="AS139" s="14"/>
      <c r="AT139" s="14" t="s">
        <v>63</v>
      </c>
      <c r="AU139" s="14" t="s">
        <v>54</v>
      </c>
      <c r="AV139" s="15" t="s">
        <v>9141</v>
      </c>
      <c r="AW139" s="15" t="s">
        <v>9175</v>
      </c>
      <c r="AX139" s="15" t="s">
        <v>9143</v>
      </c>
      <c r="AY139" s="15" t="s">
        <v>9141</v>
      </c>
      <c r="AZ139" s="15" t="s">
        <v>9175</v>
      </c>
      <c r="BA139" s="16" t="s">
        <v>9141</v>
      </c>
      <c r="BB139" s="16" t="s">
        <v>9176</v>
      </c>
    </row>
    <row r="140" spans="1:54" hidden="1" x14ac:dyDescent="0.25">
      <c r="A140" s="4" t="s">
        <v>1522</v>
      </c>
      <c r="B140" s="4" t="s">
        <v>9389</v>
      </c>
      <c r="C140" s="4" t="s">
        <v>1523</v>
      </c>
      <c r="D140" s="4" t="s">
        <v>39</v>
      </c>
      <c r="E140" s="4">
        <v>324799</v>
      </c>
      <c r="F140" s="4" t="s">
        <v>1498</v>
      </c>
      <c r="G140" s="32">
        <v>31753</v>
      </c>
      <c r="H140" s="25">
        <v>45421</v>
      </c>
      <c r="I140" s="11">
        <v>0.625</v>
      </c>
      <c r="J140" s="4" t="s">
        <v>1476</v>
      </c>
      <c r="K140" s="4">
        <v>6065</v>
      </c>
      <c r="L140" s="4" t="s">
        <v>1508</v>
      </c>
      <c r="M140" s="4" t="s">
        <v>1524</v>
      </c>
      <c r="N140" s="4" t="s">
        <v>1525</v>
      </c>
      <c r="O140" s="4" t="s">
        <v>28</v>
      </c>
      <c r="P140" s="4" t="s">
        <v>183</v>
      </c>
      <c r="Q140" s="4" t="s">
        <v>174</v>
      </c>
      <c r="R140" s="4" t="s">
        <v>48</v>
      </c>
      <c r="S140" s="4">
        <v>5</v>
      </c>
      <c r="T140" s="4" t="b">
        <v>0</v>
      </c>
      <c r="U140" s="4" t="s">
        <v>61</v>
      </c>
      <c r="V140" s="4" t="s">
        <v>89</v>
      </c>
      <c r="W140" s="4" t="s">
        <v>148</v>
      </c>
      <c r="X140" s="4" t="s">
        <v>52</v>
      </c>
      <c r="Y140" s="4" t="s">
        <v>53</v>
      </c>
      <c r="Z140" s="4" t="s">
        <v>54</v>
      </c>
      <c r="AA140" s="4"/>
      <c r="AB140" s="23" t="s">
        <v>48</v>
      </c>
      <c r="AC140" s="28" t="e">
        <v>#N/A</v>
      </c>
      <c r="AD140" s="28" t="e">
        <v>#N/A</v>
      </c>
      <c r="AE140" s="28"/>
      <c r="AF140" s="19">
        <v>44816</v>
      </c>
      <c r="AG140" s="19">
        <v>45438</v>
      </c>
      <c r="AH140" s="12">
        <f t="shared" si="8"/>
        <v>1</v>
      </c>
      <c r="AI140" s="12">
        <f t="shared" ca="1" si="9"/>
        <v>1</v>
      </c>
      <c r="AJ140" s="12" t="str">
        <f t="shared" si="10"/>
        <v>1-5 Years</v>
      </c>
      <c r="AK140" s="12" t="s">
        <v>10046</v>
      </c>
      <c r="AL140" s="31">
        <v>38</v>
      </c>
      <c r="AM140" s="31">
        <v>38</v>
      </c>
      <c r="AN140" s="12" t="str">
        <f t="shared" si="11"/>
        <v>35-44 Years</v>
      </c>
      <c r="AO140" s="13" t="s">
        <v>9161</v>
      </c>
      <c r="AP140" s="13" t="s">
        <v>9160</v>
      </c>
      <c r="AQ140" s="14" t="s">
        <v>9148</v>
      </c>
      <c r="AR140" s="14" t="s">
        <v>28</v>
      </c>
      <c r="AS140" s="14" t="s">
        <v>183</v>
      </c>
      <c r="AT140" s="14" t="s">
        <v>52</v>
      </c>
      <c r="AU140" s="14" t="s">
        <v>54</v>
      </c>
      <c r="AV140" s="15" t="s">
        <v>9141</v>
      </c>
      <c r="AW140" s="15" t="s">
        <v>9193</v>
      </c>
      <c r="AX140" s="15" t="s">
        <v>9143</v>
      </c>
      <c r="AY140" s="15" t="s">
        <v>9141</v>
      </c>
      <c r="AZ140" s="15" t="s">
        <v>9189</v>
      </c>
      <c r="BA140" s="16" t="s">
        <v>9141</v>
      </c>
      <c r="BB140" s="16" t="s">
        <v>9190</v>
      </c>
    </row>
    <row r="141" spans="1:54" hidden="1" x14ac:dyDescent="0.25">
      <c r="A141" s="4" t="s">
        <v>1312</v>
      </c>
      <c r="B141" s="4" t="s">
        <v>9390</v>
      </c>
      <c r="C141" s="4"/>
      <c r="D141" s="4" t="s">
        <v>39</v>
      </c>
      <c r="E141" s="4">
        <v>288389</v>
      </c>
      <c r="F141" s="4" t="s">
        <v>1314</v>
      </c>
      <c r="G141" s="32">
        <v>32906</v>
      </c>
      <c r="H141" s="25">
        <v>45422</v>
      </c>
      <c r="I141" s="11">
        <v>0.4375</v>
      </c>
      <c r="J141" s="4" t="s">
        <v>1155</v>
      </c>
      <c r="K141" s="4">
        <v>4044</v>
      </c>
      <c r="L141" s="4" t="s">
        <v>1285</v>
      </c>
      <c r="M141" s="4" t="s">
        <v>1315</v>
      </c>
      <c r="N141" s="4" t="s">
        <v>1316</v>
      </c>
      <c r="O141" s="4" t="s">
        <v>46</v>
      </c>
      <c r="P141" s="4"/>
      <c r="Q141" s="4" t="s">
        <v>47</v>
      </c>
      <c r="R141" s="4" t="s">
        <v>48</v>
      </c>
      <c r="S141" s="4">
        <v>0</v>
      </c>
      <c r="T141" s="4" t="b">
        <v>0</v>
      </c>
      <c r="U141" s="4" t="s">
        <v>61</v>
      </c>
      <c r="V141" s="4" t="s">
        <v>89</v>
      </c>
      <c r="W141" s="4" t="s">
        <v>148</v>
      </c>
      <c r="X141" s="4" t="s">
        <v>52</v>
      </c>
      <c r="Y141" s="4" t="s">
        <v>53</v>
      </c>
      <c r="Z141" s="4" t="s">
        <v>54</v>
      </c>
      <c r="AA141" s="4"/>
      <c r="AB141" s="23">
        <v>0</v>
      </c>
      <c r="AC141" s="28" t="e">
        <v>#N/A</v>
      </c>
      <c r="AD141" s="28" t="e">
        <v>#N/A</v>
      </c>
      <c r="AE141" s="28"/>
      <c r="AF141" s="19">
        <v>38964</v>
      </c>
      <c r="AG141" s="19"/>
      <c r="AH141" s="12">
        <f t="shared" si="8"/>
        <v>17</v>
      </c>
      <c r="AI141" s="12">
        <f t="shared" ca="1" si="9"/>
        <v>20</v>
      </c>
      <c r="AJ141" s="12" t="str">
        <f t="shared" si="10"/>
        <v>16-20 Years</v>
      </c>
      <c r="AK141" s="12" t="s">
        <v>9632</v>
      </c>
      <c r="AL141" s="31">
        <v>25</v>
      </c>
      <c r="AM141" s="31">
        <v>35</v>
      </c>
      <c r="AN141" s="12" t="str">
        <f t="shared" si="11"/>
        <v>35-44 Years</v>
      </c>
      <c r="AO141" s="13" t="s">
        <v>9161</v>
      </c>
      <c r="AP141" s="13" t="s">
        <v>9160</v>
      </c>
      <c r="AQ141" s="14" t="s">
        <v>9148</v>
      </c>
      <c r="AR141" s="14" t="s">
        <v>9140</v>
      </c>
      <c r="AS141" s="14"/>
      <c r="AT141" s="14" t="s">
        <v>52</v>
      </c>
      <c r="AU141" s="14" t="s">
        <v>54</v>
      </c>
      <c r="AV141" s="15" t="s">
        <v>9141</v>
      </c>
      <c r="AW141" s="15" t="s">
        <v>9187</v>
      </c>
      <c r="AX141" s="15" t="s">
        <v>9143</v>
      </c>
      <c r="AY141" s="15" t="s">
        <v>9141</v>
      </c>
      <c r="AZ141" s="15" t="s">
        <v>9144</v>
      </c>
      <c r="BA141" s="16" t="s">
        <v>9141</v>
      </c>
      <c r="BB141" s="16" t="s">
        <v>9145</v>
      </c>
    </row>
    <row r="142" spans="1:54" x14ac:dyDescent="0.25">
      <c r="A142" s="4" t="s">
        <v>1424</v>
      </c>
      <c r="B142" s="4" t="s">
        <v>9391</v>
      </c>
      <c r="C142" s="4"/>
      <c r="D142" s="4" t="s">
        <v>39</v>
      </c>
      <c r="E142" s="4">
        <v>331913</v>
      </c>
      <c r="F142" s="4" t="s">
        <v>1426</v>
      </c>
      <c r="G142" s="32">
        <v>30996</v>
      </c>
      <c r="H142" s="25">
        <v>45422</v>
      </c>
      <c r="I142" s="11">
        <v>0.53125</v>
      </c>
      <c r="J142" s="4" t="s">
        <v>1366</v>
      </c>
      <c r="K142" s="4">
        <v>5060</v>
      </c>
      <c r="L142" s="4" t="s">
        <v>1412</v>
      </c>
      <c r="M142" s="4" t="s">
        <v>1427</v>
      </c>
      <c r="N142" s="4" t="s">
        <v>1428</v>
      </c>
      <c r="O142" s="4" t="s">
        <v>46</v>
      </c>
      <c r="P142" s="4"/>
      <c r="Q142" s="4" t="s">
        <v>47</v>
      </c>
      <c r="R142" s="4" t="s">
        <v>48</v>
      </c>
      <c r="S142" s="4">
        <v>0</v>
      </c>
      <c r="T142" s="4" t="b">
        <v>0</v>
      </c>
      <c r="U142" s="4" t="s">
        <v>61</v>
      </c>
      <c r="V142" s="4" t="s">
        <v>89</v>
      </c>
      <c r="W142" s="4" t="s">
        <v>148</v>
      </c>
      <c r="X142" s="4" t="s">
        <v>63</v>
      </c>
      <c r="Y142" s="4" t="s">
        <v>108</v>
      </c>
      <c r="Z142" s="4" t="s">
        <v>98</v>
      </c>
      <c r="AA142" s="4"/>
      <c r="AB142" s="23">
        <v>0</v>
      </c>
      <c r="AC142" s="28" t="e">
        <v>#N/A</v>
      </c>
      <c r="AD142" s="28" t="e">
        <v>#N/A</v>
      </c>
      <c r="AE142" s="28"/>
      <c r="AF142" s="19">
        <v>45236</v>
      </c>
      <c r="AG142" s="19">
        <v>45497</v>
      </c>
      <c r="AH142" s="12">
        <f t="shared" si="8"/>
        <v>0</v>
      </c>
      <c r="AI142" s="12">
        <f t="shared" ca="1" si="9"/>
        <v>0</v>
      </c>
      <c r="AJ142" s="12" t="str">
        <f t="shared" si="10"/>
        <v>Under 1 Year</v>
      </c>
      <c r="AK142" s="12" t="s">
        <v>10046</v>
      </c>
      <c r="AL142" s="31">
        <v>38</v>
      </c>
      <c r="AM142" s="31">
        <v>40</v>
      </c>
      <c r="AN142" s="12" t="str">
        <f t="shared" si="11"/>
        <v>35-44 Years</v>
      </c>
      <c r="AO142" s="13" t="s">
        <v>9161</v>
      </c>
      <c r="AP142" s="13" t="s">
        <v>9160</v>
      </c>
      <c r="AQ142" s="14" t="s">
        <v>9148</v>
      </c>
      <c r="AR142" s="14" t="s">
        <v>9140</v>
      </c>
      <c r="AS142" s="14"/>
      <c r="AT142" s="14" t="s">
        <v>63</v>
      </c>
      <c r="AU142" s="14" t="s">
        <v>98</v>
      </c>
      <c r="AV142" s="15" t="s">
        <v>9141</v>
      </c>
      <c r="AW142" s="15" t="s">
        <v>9188</v>
      </c>
      <c r="AX142" s="15" t="s">
        <v>9143</v>
      </c>
      <c r="AY142" s="15" t="s">
        <v>9141</v>
      </c>
      <c r="AZ142" s="15" t="s">
        <v>9191</v>
      </c>
      <c r="BA142" s="16" t="s">
        <v>9141</v>
      </c>
      <c r="BB142" s="16" t="s">
        <v>9192</v>
      </c>
    </row>
    <row r="143" spans="1:54" hidden="1" x14ac:dyDescent="0.25">
      <c r="A143" s="4" t="s">
        <v>590</v>
      </c>
      <c r="B143" s="4" t="s">
        <v>9392</v>
      </c>
      <c r="C143" s="4">
        <v>12230104187</v>
      </c>
      <c r="D143" s="4" t="s">
        <v>39</v>
      </c>
      <c r="E143" s="4">
        <v>291432</v>
      </c>
      <c r="F143" s="4" t="s">
        <v>592</v>
      </c>
      <c r="G143" s="32">
        <v>23855</v>
      </c>
      <c r="H143" s="25">
        <v>45423</v>
      </c>
      <c r="I143" s="11">
        <v>0.50486111111111109</v>
      </c>
      <c r="J143" s="4" t="s">
        <v>463</v>
      </c>
      <c r="K143" s="4">
        <v>2022</v>
      </c>
      <c r="L143" s="4" t="s">
        <v>565</v>
      </c>
      <c r="M143" s="4" t="s">
        <v>593</v>
      </c>
      <c r="N143" s="4" t="s">
        <v>594</v>
      </c>
      <c r="O143" s="4" t="s">
        <v>28</v>
      </c>
      <c r="P143" s="4" t="s">
        <v>183</v>
      </c>
      <c r="Q143" s="4" t="s">
        <v>174</v>
      </c>
      <c r="R143" s="4" t="s">
        <v>48</v>
      </c>
      <c r="S143" s="4">
        <v>1</v>
      </c>
      <c r="T143" s="4" t="b">
        <v>0</v>
      </c>
      <c r="U143" s="4" t="s">
        <v>114</v>
      </c>
      <c r="V143" s="4" t="s">
        <v>89</v>
      </c>
      <c r="W143" s="4" t="s">
        <v>480</v>
      </c>
      <c r="X143" s="4" t="s">
        <v>52</v>
      </c>
      <c r="Y143" s="4" t="s">
        <v>53</v>
      </c>
      <c r="Z143" s="4" t="s">
        <v>54</v>
      </c>
      <c r="AA143" s="4"/>
      <c r="AB143" s="23" t="s">
        <v>48</v>
      </c>
      <c r="AC143" s="28" t="e">
        <v>#N/A</v>
      </c>
      <c r="AD143" s="28" t="e">
        <v>#N/A</v>
      </c>
      <c r="AE143" s="28"/>
      <c r="AF143" s="19">
        <v>40350</v>
      </c>
      <c r="AG143" s="19"/>
      <c r="AH143" s="12">
        <f t="shared" si="8"/>
        <v>13</v>
      </c>
      <c r="AI143" s="12">
        <f t="shared" ca="1" si="9"/>
        <v>16</v>
      </c>
      <c r="AJ143" s="12" t="str">
        <f t="shared" si="10"/>
        <v>11-15 Years</v>
      </c>
      <c r="AK143" s="12" t="s">
        <v>9632</v>
      </c>
      <c r="AL143" s="31">
        <v>29</v>
      </c>
      <c r="AM143" s="31">
        <v>60</v>
      </c>
      <c r="AN143" s="12" t="str">
        <f t="shared" si="11"/>
        <v>More Than 55 Years</v>
      </c>
      <c r="AO143" s="13" t="s">
        <v>9161</v>
      </c>
      <c r="AP143" s="13" t="s">
        <v>9160</v>
      </c>
      <c r="AQ143" s="14" t="s">
        <v>9157</v>
      </c>
      <c r="AR143" s="14" t="s">
        <v>28</v>
      </c>
      <c r="AS143" s="14" t="s">
        <v>183</v>
      </c>
      <c r="AT143" s="14" t="s">
        <v>52</v>
      </c>
      <c r="AU143" s="14" t="s">
        <v>54</v>
      </c>
      <c r="AV143" s="15" t="s">
        <v>9141</v>
      </c>
      <c r="AW143" s="15" t="s">
        <v>9175</v>
      </c>
      <c r="AX143" s="15" t="s">
        <v>9143</v>
      </c>
      <c r="AY143" s="15" t="s">
        <v>9141</v>
      </c>
      <c r="AZ143" s="15" t="s">
        <v>9175</v>
      </c>
      <c r="BA143" s="16" t="s">
        <v>9141</v>
      </c>
      <c r="BB143" s="16" t="s">
        <v>9176</v>
      </c>
    </row>
    <row r="144" spans="1:54" hidden="1" x14ac:dyDescent="0.25">
      <c r="A144" s="4" t="s">
        <v>1040</v>
      </c>
      <c r="B144" s="4" t="s">
        <v>9393</v>
      </c>
      <c r="C144" s="4">
        <v>12230102480</v>
      </c>
      <c r="D144" s="4" t="s">
        <v>39</v>
      </c>
      <c r="E144" s="4">
        <v>318004</v>
      </c>
      <c r="F144" s="4" t="s">
        <v>1042</v>
      </c>
      <c r="G144" s="32">
        <v>35189</v>
      </c>
      <c r="H144" s="25">
        <v>45423</v>
      </c>
      <c r="I144" s="11">
        <v>0.37708333333333333</v>
      </c>
      <c r="J144" s="4" t="s">
        <v>463</v>
      </c>
      <c r="K144" s="4">
        <v>2045</v>
      </c>
      <c r="L144" s="4" t="s">
        <v>1037</v>
      </c>
      <c r="M144" s="4" t="s">
        <v>1043</v>
      </c>
      <c r="N144" s="4" t="s">
        <v>1044</v>
      </c>
      <c r="O144" s="4" t="s">
        <v>28</v>
      </c>
      <c r="P144" s="4" t="s">
        <v>183</v>
      </c>
      <c r="Q144" s="4" t="s">
        <v>174</v>
      </c>
      <c r="R144" s="4" t="s">
        <v>48</v>
      </c>
      <c r="S144" s="4">
        <v>0</v>
      </c>
      <c r="T144" s="4" t="b">
        <v>0</v>
      </c>
      <c r="U144" s="4" t="s">
        <v>49</v>
      </c>
      <c r="V144" s="4" t="s">
        <v>115</v>
      </c>
      <c r="W144" s="4" t="s">
        <v>140</v>
      </c>
      <c r="X144" s="4" t="s">
        <v>123</v>
      </c>
      <c r="Y144" s="4" t="s">
        <v>149</v>
      </c>
      <c r="Z144" s="4" t="s">
        <v>54</v>
      </c>
      <c r="AA144" s="4"/>
      <c r="AB144" s="23" t="s">
        <v>48</v>
      </c>
      <c r="AC144" s="28" t="s">
        <v>9580</v>
      </c>
      <c r="AD144" s="28" t="e">
        <v>#N/A</v>
      </c>
      <c r="AE144" s="28"/>
      <c r="AF144" s="19">
        <v>44501</v>
      </c>
      <c r="AG144" s="19"/>
      <c r="AH144" s="12">
        <f t="shared" si="8"/>
        <v>2</v>
      </c>
      <c r="AI144" s="12">
        <f t="shared" ca="1" si="9"/>
        <v>4</v>
      </c>
      <c r="AJ144" s="12" t="str">
        <f t="shared" si="10"/>
        <v>1-5 Years</v>
      </c>
      <c r="AK144" s="12" t="s">
        <v>9632</v>
      </c>
      <c r="AL144" s="31">
        <v>17.5</v>
      </c>
      <c r="AM144" s="31">
        <v>29</v>
      </c>
      <c r="AN144" s="12" t="str">
        <f t="shared" si="11"/>
        <v>25-34 Years</v>
      </c>
      <c r="AO144" s="13" t="s">
        <v>9161</v>
      </c>
      <c r="AP144" s="13" t="s">
        <v>9160</v>
      </c>
      <c r="AQ144" s="14" t="s">
        <v>9139</v>
      </c>
      <c r="AR144" s="14" t="s">
        <v>28</v>
      </c>
      <c r="AS144" s="14" t="s">
        <v>183</v>
      </c>
      <c r="AT144" s="14" t="s">
        <v>123</v>
      </c>
      <c r="AU144" s="14" t="s">
        <v>54</v>
      </c>
      <c r="AV144" s="15" t="s">
        <v>9141</v>
      </c>
      <c r="AW144" s="15" t="s">
        <v>9175</v>
      </c>
      <c r="AX144" s="15" t="s">
        <v>9143</v>
      </c>
      <c r="AY144" s="15" t="s">
        <v>9141</v>
      </c>
      <c r="AZ144" s="15" t="s">
        <v>9175</v>
      </c>
      <c r="BA144" s="16" t="s">
        <v>9141</v>
      </c>
      <c r="BB144" s="16" t="s">
        <v>9176</v>
      </c>
    </row>
    <row r="145" spans="1:54" hidden="1" x14ac:dyDescent="0.25">
      <c r="A145" s="4" t="s">
        <v>1179</v>
      </c>
      <c r="B145" s="4" t="s">
        <v>9394</v>
      </c>
      <c r="C145" s="4"/>
      <c r="D145" s="4" t="s">
        <v>39</v>
      </c>
      <c r="E145" s="4">
        <v>322452</v>
      </c>
      <c r="F145" s="4" t="s">
        <v>1181</v>
      </c>
      <c r="G145" s="32">
        <v>36283</v>
      </c>
      <c r="H145" s="25">
        <v>45425</v>
      </c>
      <c r="I145" s="11">
        <v>0.65625</v>
      </c>
      <c r="J145" s="4" t="s">
        <v>1155</v>
      </c>
      <c r="K145" s="4">
        <v>4042</v>
      </c>
      <c r="L145" s="4" t="s">
        <v>1173</v>
      </c>
      <c r="M145" s="4" t="s">
        <v>1182</v>
      </c>
      <c r="N145" s="4" t="s">
        <v>1183</v>
      </c>
      <c r="O145" s="4" t="s">
        <v>46</v>
      </c>
      <c r="P145" s="4"/>
      <c r="Q145" s="4" t="s">
        <v>47</v>
      </c>
      <c r="R145" s="4" t="s">
        <v>48</v>
      </c>
      <c r="S145" s="4">
        <v>0</v>
      </c>
      <c r="T145" s="4" t="b">
        <v>0</v>
      </c>
      <c r="U145" s="4" t="s">
        <v>61</v>
      </c>
      <c r="V145" s="4" t="s">
        <v>50</v>
      </c>
      <c r="W145" s="4" t="s">
        <v>90</v>
      </c>
      <c r="X145" s="4" t="s">
        <v>72</v>
      </c>
      <c r="Y145" s="4" t="s">
        <v>73</v>
      </c>
      <c r="Z145" s="4" t="s">
        <v>54</v>
      </c>
      <c r="AA145" s="4"/>
      <c r="AB145" s="23">
        <v>0</v>
      </c>
      <c r="AC145" s="28" t="e">
        <v>#N/A</v>
      </c>
      <c r="AD145" s="28" t="e">
        <v>#N/A</v>
      </c>
      <c r="AE145" s="28"/>
      <c r="AF145" s="19">
        <v>44697</v>
      </c>
      <c r="AG145" s="19"/>
      <c r="AH145" s="12">
        <f t="shared" si="8"/>
        <v>1</v>
      </c>
      <c r="AI145" s="12">
        <f t="shared" ca="1" si="9"/>
        <v>4</v>
      </c>
      <c r="AJ145" s="12" t="str">
        <f t="shared" si="10"/>
        <v>1-5 Years</v>
      </c>
      <c r="AK145" s="12" t="s">
        <v>9632</v>
      </c>
      <c r="AL145" s="31">
        <v>19</v>
      </c>
      <c r="AM145" s="31">
        <v>26</v>
      </c>
      <c r="AN145" s="12" t="str">
        <f t="shared" si="11"/>
        <v>25-34 Years</v>
      </c>
      <c r="AO145" s="13" t="s">
        <v>9161</v>
      </c>
      <c r="AP145" s="13" t="s">
        <v>9160</v>
      </c>
      <c r="AQ145" s="14" t="s">
        <v>9148</v>
      </c>
      <c r="AR145" s="14" t="s">
        <v>9140</v>
      </c>
      <c r="AS145" s="14"/>
      <c r="AT145" s="14" t="s">
        <v>72</v>
      </c>
      <c r="AU145" s="14" t="s">
        <v>54</v>
      </c>
      <c r="AV145" s="15" t="s">
        <v>9141</v>
      </c>
      <c r="AW145" s="15" t="s">
        <v>9187</v>
      </c>
      <c r="AX145" s="15" t="s">
        <v>9143</v>
      </c>
      <c r="AY145" s="15" t="s">
        <v>9141</v>
      </c>
      <c r="AZ145" s="15" t="s">
        <v>9144</v>
      </c>
      <c r="BA145" s="16" t="s">
        <v>9141</v>
      </c>
      <c r="BB145" s="16" t="s">
        <v>9145</v>
      </c>
    </row>
    <row r="146" spans="1:54" x14ac:dyDescent="0.25">
      <c r="A146" s="4" t="s">
        <v>1398</v>
      </c>
      <c r="B146" s="4" t="s">
        <v>9395</v>
      </c>
      <c r="C146" s="4"/>
      <c r="D146" s="4" t="s">
        <v>39</v>
      </c>
      <c r="E146" s="4">
        <v>325622</v>
      </c>
      <c r="F146" s="4" t="s">
        <v>1384</v>
      </c>
      <c r="G146" s="32">
        <v>21584</v>
      </c>
      <c r="H146" s="25">
        <v>45425</v>
      </c>
      <c r="I146" s="11">
        <v>0.39583333333333331</v>
      </c>
      <c r="J146" s="4" t="s">
        <v>1366</v>
      </c>
      <c r="K146" s="4">
        <v>5054</v>
      </c>
      <c r="L146" s="4" t="s">
        <v>1385</v>
      </c>
      <c r="M146" s="4" t="s">
        <v>711</v>
      </c>
      <c r="N146" s="4" t="s">
        <v>1399</v>
      </c>
      <c r="O146" s="4" t="s">
        <v>46</v>
      </c>
      <c r="P146" s="4"/>
      <c r="Q146" s="4" t="s">
        <v>47</v>
      </c>
      <c r="R146" s="4" t="s">
        <v>48</v>
      </c>
      <c r="S146" s="4">
        <v>0</v>
      </c>
      <c r="T146" s="4" t="b">
        <v>0</v>
      </c>
      <c r="U146" s="4" t="s">
        <v>61</v>
      </c>
      <c r="V146" s="4" t="s">
        <v>50</v>
      </c>
      <c r="W146" s="4" t="s">
        <v>90</v>
      </c>
      <c r="X146" s="4" t="s">
        <v>63</v>
      </c>
      <c r="Y146" s="4" t="s">
        <v>108</v>
      </c>
      <c r="Z146" s="4" t="s">
        <v>98</v>
      </c>
      <c r="AA146" s="4"/>
      <c r="AB146" s="23">
        <v>0</v>
      </c>
      <c r="AC146" s="28" t="e">
        <v>#N/A</v>
      </c>
      <c r="AD146" s="28" t="e">
        <v>#N/A</v>
      </c>
      <c r="AE146" s="28"/>
      <c r="AF146" s="19">
        <v>44851</v>
      </c>
      <c r="AG146" s="19"/>
      <c r="AH146" s="12">
        <f t="shared" si="8"/>
        <v>1</v>
      </c>
      <c r="AI146" s="12">
        <f t="shared" ca="1" si="9"/>
        <v>3</v>
      </c>
      <c r="AJ146" s="12" t="str">
        <f t="shared" si="10"/>
        <v>1-5 Years</v>
      </c>
      <c r="AK146" s="12" t="s">
        <v>9632</v>
      </c>
      <c r="AL146" s="31">
        <v>30</v>
      </c>
      <c r="AM146" s="31">
        <v>66</v>
      </c>
      <c r="AN146" s="12" t="str">
        <f t="shared" si="11"/>
        <v>More Than 55 Years</v>
      </c>
      <c r="AO146" s="13" t="s">
        <v>9161</v>
      </c>
      <c r="AP146" s="13" t="s">
        <v>9160</v>
      </c>
      <c r="AQ146" s="14" t="s">
        <v>9148</v>
      </c>
      <c r="AR146" s="14" t="s">
        <v>9140</v>
      </c>
      <c r="AS146" s="14"/>
      <c r="AT146" s="14" t="s">
        <v>63</v>
      </c>
      <c r="AU146" s="14" t="s">
        <v>98</v>
      </c>
      <c r="AV146" s="15" t="s">
        <v>9141</v>
      </c>
      <c r="AW146" s="15" t="s">
        <v>9188</v>
      </c>
      <c r="AX146" s="15" t="s">
        <v>9143</v>
      </c>
      <c r="AY146" s="15" t="s">
        <v>9141</v>
      </c>
      <c r="AZ146" s="15" t="s">
        <v>9189</v>
      </c>
      <c r="BA146" s="16" t="s">
        <v>9141</v>
      </c>
      <c r="BB146" s="16" t="s">
        <v>9190</v>
      </c>
    </row>
    <row r="147" spans="1:54" hidden="1" x14ac:dyDescent="0.25">
      <c r="A147" s="4" t="s">
        <v>177</v>
      </c>
      <c r="B147" s="4" t="s">
        <v>9396</v>
      </c>
      <c r="C147" s="4" t="s">
        <v>178</v>
      </c>
      <c r="D147" s="4" t="s">
        <v>39</v>
      </c>
      <c r="E147" s="4">
        <v>294934</v>
      </c>
      <c r="F147" s="4" t="s">
        <v>180</v>
      </c>
      <c r="G147" s="32">
        <v>23343</v>
      </c>
      <c r="H147" s="25">
        <v>45427</v>
      </c>
      <c r="I147" s="11">
        <v>0.45347222222222222</v>
      </c>
      <c r="J147" s="4" t="s">
        <v>42</v>
      </c>
      <c r="K147" s="4">
        <v>1008</v>
      </c>
      <c r="L147" s="4" t="s">
        <v>170</v>
      </c>
      <c r="M147" s="4" t="s">
        <v>181</v>
      </c>
      <c r="N147" s="4" t="s">
        <v>182</v>
      </c>
      <c r="O147" s="4" t="s">
        <v>28</v>
      </c>
      <c r="P147" s="4" t="s">
        <v>183</v>
      </c>
      <c r="Q147" s="4" t="s">
        <v>174</v>
      </c>
      <c r="R147" s="4" t="s">
        <v>48</v>
      </c>
      <c r="S147" s="4">
        <v>24</v>
      </c>
      <c r="T147" s="4" t="b">
        <v>0</v>
      </c>
      <c r="U147" s="4" t="s">
        <v>184</v>
      </c>
      <c r="V147" s="4" t="s">
        <v>89</v>
      </c>
      <c r="W147" s="4" t="s">
        <v>175</v>
      </c>
      <c r="X147" s="4" t="s">
        <v>52</v>
      </c>
      <c r="Y147" s="4" t="s">
        <v>53</v>
      </c>
      <c r="Z147" s="4" t="s">
        <v>54</v>
      </c>
      <c r="AA147" s="4"/>
      <c r="AB147" s="23" t="s">
        <v>48</v>
      </c>
      <c r="AC147" s="28" t="e">
        <v>#N/A</v>
      </c>
      <c r="AD147" s="28" t="e">
        <v>#N/A</v>
      </c>
      <c r="AE147" s="28"/>
      <c r="AF147" s="19">
        <v>42611</v>
      </c>
      <c r="AG147" s="19"/>
      <c r="AH147" s="12">
        <f t="shared" si="8"/>
        <v>7</v>
      </c>
      <c r="AI147" s="12">
        <f t="shared" ca="1" si="9"/>
        <v>10</v>
      </c>
      <c r="AJ147" s="12" t="str">
        <f t="shared" si="10"/>
        <v>6-10 Years</v>
      </c>
      <c r="AK147" s="12" t="s">
        <v>9632</v>
      </c>
      <c r="AL147" s="31">
        <v>32.5</v>
      </c>
      <c r="AM147" s="31">
        <v>61</v>
      </c>
      <c r="AN147" s="12" t="str">
        <f t="shared" si="11"/>
        <v>More Than 55 Years</v>
      </c>
      <c r="AO147" s="13" t="s">
        <v>9161</v>
      </c>
      <c r="AP147" s="13" t="s">
        <v>9160</v>
      </c>
      <c r="AQ147" s="14" t="s">
        <v>9166</v>
      </c>
      <c r="AR147" s="14" t="s">
        <v>28</v>
      </c>
      <c r="AS147" s="14" t="s">
        <v>183</v>
      </c>
      <c r="AT147" s="14" t="s">
        <v>52</v>
      </c>
      <c r="AU147" s="14" t="s">
        <v>54</v>
      </c>
      <c r="AV147" s="15" t="s">
        <v>9141</v>
      </c>
      <c r="AW147" s="15" t="s">
        <v>9142</v>
      </c>
      <c r="AX147" s="15" t="s">
        <v>9143</v>
      </c>
      <c r="AY147" s="15" t="s">
        <v>9141</v>
      </c>
      <c r="AZ147" s="15" t="s">
        <v>9144</v>
      </c>
      <c r="BA147" s="16" t="s">
        <v>9141</v>
      </c>
      <c r="BB147" s="16" t="s">
        <v>9145</v>
      </c>
    </row>
    <row r="148" spans="1:54" hidden="1" x14ac:dyDescent="0.25">
      <c r="A148" s="4" t="s">
        <v>1687</v>
      </c>
      <c r="B148" s="4" t="s">
        <v>9397</v>
      </c>
      <c r="C148" s="4"/>
      <c r="D148" s="4" t="s">
        <v>39</v>
      </c>
      <c r="E148" s="4">
        <v>324744</v>
      </c>
      <c r="F148" s="4" t="s">
        <v>1689</v>
      </c>
      <c r="G148" s="32">
        <v>29329</v>
      </c>
      <c r="H148" s="25">
        <v>45427</v>
      </c>
      <c r="I148" s="11">
        <v>0.625</v>
      </c>
      <c r="J148" s="4" t="s">
        <v>1654</v>
      </c>
      <c r="K148" s="4">
        <v>9087</v>
      </c>
      <c r="L148" s="4" t="s">
        <v>1666</v>
      </c>
      <c r="M148" s="4" t="s">
        <v>1690</v>
      </c>
      <c r="N148" s="4" t="s">
        <v>1691</v>
      </c>
      <c r="O148" s="4" t="s">
        <v>46</v>
      </c>
      <c r="P148" s="4"/>
      <c r="Q148" s="4" t="s">
        <v>191</v>
      </c>
      <c r="R148" s="4" t="s">
        <v>48</v>
      </c>
      <c r="S148" s="4">
        <v>0</v>
      </c>
      <c r="T148" s="4" t="b">
        <v>0</v>
      </c>
      <c r="U148" s="4" t="s">
        <v>61</v>
      </c>
      <c r="V148" s="4" t="s">
        <v>89</v>
      </c>
      <c r="W148" s="4" t="s">
        <v>373</v>
      </c>
      <c r="X148" s="4" t="s">
        <v>52</v>
      </c>
      <c r="Y148" s="4" t="s">
        <v>53</v>
      </c>
      <c r="Z148" s="4" t="s">
        <v>54</v>
      </c>
      <c r="AA148" s="4"/>
      <c r="AB148" s="23">
        <v>0</v>
      </c>
      <c r="AC148" s="28" t="e">
        <v>#N/A</v>
      </c>
      <c r="AD148" s="28" t="e">
        <v>#N/A</v>
      </c>
      <c r="AE148" s="28"/>
      <c r="AF148" s="19">
        <v>44837</v>
      </c>
      <c r="AG148" s="19"/>
      <c r="AH148" s="12">
        <f t="shared" si="8"/>
        <v>1</v>
      </c>
      <c r="AI148" s="12">
        <f t="shared" ca="1" si="9"/>
        <v>3</v>
      </c>
      <c r="AJ148" s="12" t="str">
        <f t="shared" si="10"/>
        <v>1-5 Years</v>
      </c>
      <c r="AK148" s="12" t="s">
        <v>9632</v>
      </c>
      <c r="AL148" s="31">
        <v>23.5</v>
      </c>
      <c r="AM148" s="31">
        <v>45</v>
      </c>
      <c r="AN148" s="12" t="str">
        <f t="shared" si="11"/>
        <v>45-54 Years</v>
      </c>
      <c r="AO148" s="13" t="s">
        <v>9161</v>
      </c>
      <c r="AP148" s="13" t="s">
        <v>9160</v>
      </c>
      <c r="AQ148" s="14" t="s">
        <v>9148</v>
      </c>
      <c r="AR148" s="14" t="s">
        <v>9140</v>
      </c>
      <c r="AS148" s="14"/>
      <c r="AT148" s="14" t="s">
        <v>52</v>
      </c>
      <c r="AU148" s="14" t="s">
        <v>54</v>
      </c>
      <c r="AV148" s="15" t="s">
        <v>9141</v>
      </c>
      <c r="AW148" s="15" t="s">
        <v>9191</v>
      </c>
      <c r="AX148" s="15" t="s">
        <v>9143</v>
      </c>
      <c r="AY148" s="15" t="s">
        <v>9141</v>
      </c>
      <c r="AZ148" s="15" t="s">
        <v>9191</v>
      </c>
      <c r="BA148" s="16" t="s">
        <v>9141</v>
      </c>
      <c r="BB148" s="16" t="s">
        <v>9192</v>
      </c>
    </row>
    <row r="149" spans="1:54" hidden="1" x14ac:dyDescent="0.25">
      <c r="A149" s="4" t="s">
        <v>1865</v>
      </c>
      <c r="B149" s="4" t="s">
        <v>9398</v>
      </c>
      <c r="C149" s="4"/>
      <c r="D149" s="4" t="s">
        <v>39</v>
      </c>
      <c r="E149" s="4">
        <v>298607</v>
      </c>
      <c r="F149" s="4" t="s">
        <v>1867</v>
      </c>
      <c r="G149" s="32">
        <v>30531</v>
      </c>
      <c r="H149" s="25">
        <v>45427</v>
      </c>
      <c r="I149" s="11">
        <v>0.34375</v>
      </c>
      <c r="J149" s="4" t="s">
        <v>1654</v>
      </c>
      <c r="K149" s="4">
        <v>9097</v>
      </c>
      <c r="L149" s="4" t="s">
        <v>1844</v>
      </c>
      <c r="M149" s="4" t="s">
        <v>1868</v>
      </c>
      <c r="N149" s="4" t="s">
        <v>1869</v>
      </c>
      <c r="O149" s="4" t="s">
        <v>46</v>
      </c>
      <c r="P149" s="4"/>
      <c r="Q149" s="4" t="s">
        <v>47</v>
      </c>
      <c r="R149" s="4" t="s">
        <v>48</v>
      </c>
      <c r="S149" s="4">
        <v>0</v>
      </c>
      <c r="T149" s="4" t="b">
        <v>0</v>
      </c>
      <c r="U149" s="4" t="s">
        <v>61</v>
      </c>
      <c r="V149" s="4" t="s">
        <v>50</v>
      </c>
      <c r="W149" s="4" t="s">
        <v>71</v>
      </c>
      <c r="X149" s="4" t="s">
        <v>63</v>
      </c>
      <c r="Y149" s="4" t="s">
        <v>108</v>
      </c>
      <c r="Z149" s="4" t="s">
        <v>1870</v>
      </c>
      <c r="AA149" s="4"/>
      <c r="AB149" s="23">
        <v>0</v>
      </c>
      <c r="AC149" s="28" t="e">
        <v>#N/A</v>
      </c>
      <c r="AD149" s="28" t="e">
        <v>#N/A</v>
      </c>
      <c r="AE149" s="28"/>
      <c r="AF149" s="19">
        <v>45208</v>
      </c>
      <c r="AG149" s="19"/>
      <c r="AH149" s="12">
        <f t="shared" si="8"/>
        <v>0</v>
      </c>
      <c r="AI149" s="12">
        <f t="shared" ca="1" si="9"/>
        <v>2</v>
      </c>
      <c r="AJ149" s="12" t="str">
        <f t="shared" si="10"/>
        <v>Under 1 Year</v>
      </c>
      <c r="AK149" s="12" t="s">
        <v>10046</v>
      </c>
      <c r="AL149" s="31">
        <v>38</v>
      </c>
      <c r="AM149" s="31">
        <v>41</v>
      </c>
      <c r="AN149" s="12" t="str">
        <f t="shared" si="11"/>
        <v>35-44 Years</v>
      </c>
      <c r="AO149" s="13" t="s">
        <v>9161</v>
      </c>
      <c r="AP149" s="13" t="s">
        <v>9160</v>
      </c>
      <c r="AQ149" s="14" t="s">
        <v>9148</v>
      </c>
      <c r="AR149" s="14" t="s">
        <v>9140</v>
      </c>
      <c r="AS149" s="14"/>
      <c r="AT149" s="14" t="s">
        <v>63</v>
      </c>
      <c r="AU149" s="14" t="s">
        <v>1870</v>
      </c>
      <c r="AV149" s="15" t="s">
        <v>9141</v>
      </c>
      <c r="AW149" s="15" t="s">
        <v>9191</v>
      </c>
      <c r="AX149" s="15" t="s">
        <v>9143</v>
      </c>
      <c r="AY149" s="15" t="s">
        <v>9141</v>
      </c>
      <c r="AZ149" s="15" t="s">
        <v>9191</v>
      </c>
      <c r="BA149" s="16" t="s">
        <v>9141</v>
      </c>
      <c r="BB149" s="16" t="s">
        <v>9192</v>
      </c>
    </row>
    <row r="150" spans="1:54" hidden="1" x14ac:dyDescent="0.25">
      <c r="A150" s="4" t="s">
        <v>141</v>
      </c>
      <c r="B150" s="4" t="s">
        <v>9399</v>
      </c>
      <c r="C150" s="4" t="s">
        <v>142</v>
      </c>
      <c r="D150" s="4" t="s">
        <v>39</v>
      </c>
      <c r="E150" s="4">
        <v>406544</v>
      </c>
      <c r="F150" s="4" t="s">
        <v>144</v>
      </c>
      <c r="G150" s="32">
        <v>26512</v>
      </c>
      <c r="H150" s="25">
        <v>45428</v>
      </c>
      <c r="I150" s="11">
        <v>0.46875</v>
      </c>
      <c r="J150" s="4" t="s">
        <v>42</v>
      </c>
      <c r="K150" s="4">
        <v>1006</v>
      </c>
      <c r="L150" s="4" t="s">
        <v>94</v>
      </c>
      <c r="M150" s="4" t="s">
        <v>145</v>
      </c>
      <c r="N150" s="4" t="s">
        <v>146</v>
      </c>
      <c r="O150" s="4" t="s">
        <v>28</v>
      </c>
      <c r="P150" s="4" t="s">
        <v>147</v>
      </c>
      <c r="Q150" s="4" t="s">
        <v>47</v>
      </c>
      <c r="R150" s="4" t="s">
        <v>48</v>
      </c>
      <c r="S150" s="4">
        <v>0</v>
      </c>
      <c r="T150" s="4" t="b">
        <v>0</v>
      </c>
      <c r="U150" s="4" t="s">
        <v>114</v>
      </c>
      <c r="V150" s="4" t="s">
        <v>89</v>
      </c>
      <c r="W150" s="4" t="s">
        <v>148</v>
      </c>
      <c r="X150" s="4" t="s">
        <v>123</v>
      </c>
      <c r="Y150" s="4" t="s">
        <v>149</v>
      </c>
      <c r="Z150" s="4" t="s">
        <v>54</v>
      </c>
      <c r="AA150" s="4"/>
      <c r="AB150" s="23" t="s">
        <v>48</v>
      </c>
      <c r="AC150" s="28" t="e">
        <v>#N/A</v>
      </c>
      <c r="AD150" s="28" t="e">
        <v>#N/A</v>
      </c>
      <c r="AE150" s="28"/>
      <c r="AF150" s="19">
        <v>40644</v>
      </c>
      <c r="AG150" s="19">
        <v>45606</v>
      </c>
      <c r="AH150" s="12">
        <f t="shared" si="8"/>
        <v>13</v>
      </c>
      <c r="AI150" s="12">
        <f t="shared" ca="1" si="9"/>
        <v>13</v>
      </c>
      <c r="AJ150" s="12" t="str">
        <f t="shared" si="10"/>
        <v>11-15 Years</v>
      </c>
      <c r="AK150" s="12" t="s">
        <v>10046</v>
      </c>
      <c r="AL150" s="31">
        <v>38</v>
      </c>
      <c r="AM150" s="31">
        <v>52</v>
      </c>
      <c r="AN150" s="12" t="str">
        <f t="shared" si="11"/>
        <v>45-54 Years</v>
      </c>
      <c r="AO150" s="13" t="s">
        <v>9161</v>
      </c>
      <c r="AP150" s="13" t="s">
        <v>9160</v>
      </c>
      <c r="AQ150" s="14" t="s">
        <v>9157</v>
      </c>
      <c r="AR150" s="14" t="s">
        <v>28</v>
      </c>
      <c r="AS150" s="14" t="s">
        <v>147</v>
      </c>
      <c r="AT150" s="14" t="s">
        <v>123</v>
      </c>
      <c r="AU150" s="14" t="s">
        <v>54</v>
      </c>
      <c r="AV150" s="15" t="s">
        <v>9141</v>
      </c>
      <c r="AW150" s="15" t="s">
        <v>9142</v>
      </c>
      <c r="AX150" s="15" t="s">
        <v>9143</v>
      </c>
      <c r="AY150" s="15" t="s">
        <v>9141</v>
      </c>
      <c r="AZ150" s="15" t="s">
        <v>9144</v>
      </c>
      <c r="BA150" s="16" t="s">
        <v>9141</v>
      </c>
      <c r="BB150" s="16" t="s">
        <v>9145</v>
      </c>
    </row>
    <row r="151" spans="1:54" x14ac:dyDescent="0.25">
      <c r="A151" s="4" t="s">
        <v>1420</v>
      </c>
      <c r="B151" s="4" t="s">
        <v>9400</v>
      </c>
      <c r="C151" s="4"/>
      <c r="D151" s="4" t="s">
        <v>39</v>
      </c>
      <c r="E151" s="4">
        <v>332334</v>
      </c>
      <c r="F151" s="4" t="s">
        <v>1422</v>
      </c>
      <c r="G151" s="32">
        <v>33852</v>
      </c>
      <c r="H151" s="25">
        <v>45428</v>
      </c>
      <c r="I151" s="11">
        <v>0.61736111111111114</v>
      </c>
      <c r="J151" s="4" t="s">
        <v>1366</v>
      </c>
      <c r="K151" s="4">
        <v>5060</v>
      </c>
      <c r="L151" s="4" t="s">
        <v>1412</v>
      </c>
      <c r="M151" s="4" t="s">
        <v>175</v>
      </c>
      <c r="N151" s="4" t="s">
        <v>1423</v>
      </c>
      <c r="O151" s="4" t="s">
        <v>46</v>
      </c>
      <c r="P151" s="4"/>
      <c r="Q151" s="4" t="s">
        <v>47</v>
      </c>
      <c r="R151" s="4" t="s">
        <v>48</v>
      </c>
      <c r="S151" s="4">
        <v>0</v>
      </c>
      <c r="T151" s="4" t="b">
        <v>0</v>
      </c>
      <c r="U151" s="4" t="s">
        <v>49</v>
      </c>
      <c r="V151" s="4" t="s">
        <v>50</v>
      </c>
      <c r="W151" s="4" t="s">
        <v>175</v>
      </c>
      <c r="X151" s="4" t="s">
        <v>72</v>
      </c>
      <c r="Y151" s="4" t="s">
        <v>73</v>
      </c>
      <c r="Z151" s="4" t="s">
        <v>54</v>
      </c>
      <c r="AA151" s="4"/>
      <c r="AB151" s="23">
        <v>0</v>
      </c>
      <c r="AC151" s="28" t="e">
        <v>#N/A</v>
      </c>
      <c r="AD151" s="28" t="e">
        <v>#N/A</v>
      </c>
      <c r="AE151" s="28"/>
      <c r="AF151" s="19">
        <v>45257</v>
      </c>
      <c r="AG151" s="19">
        <v>45762</v>
      </c>
      <c r="AH151" s="12">
        <f t="shared" si="8"/>
        <v>0</v>
      </c>
      <c r="AI151" s="12">
        <f t="shared" ca="1" si="9"/>
        <v>1</v>
      </c>
      <c r="AJ151" s="12" t="str">
        <f t="shared" si="10"/>
        <v>Under 1 Year</v>
      </c>
      <c r="AK151" s="12" t="s">
        <v>9632</v>
      </c>
      <c r="AL151" s="31">
        <v>20</v>
      </c>
      <c r="AM151" s="31">
        <v>32</v>
      </c>
      <c r="AN151" s="12" t="str">
        <f t="shared" si="11"/>
        <v>25-34 Years</v>
      </c>
      <c r="AO151" s="13" t="s">
        <v>9161</v>
      </c>
      <c r="AP151" s="13" t="s">
        <v>9160</v>
      </c>
      <c r="AQ151" s="14" t="s">
        <v>9139</v>
      </c>
      <c r="AR151" s="14" t="s">
        <v>9140</v>
      </c>
      <c r="AS151" s="14"/>
      <c r="AT151" s="14" t="s">
        <v>72</v>
      </c>
      <c r="AU151" s="14" t="s">
        <v>54</v>
      </c>
      <c r="AV151" s="15" t="s">
        <v>9141</v>
      </c>
      <c r="AW151" s="15" t="s">
        <v>9188</v>
      </c>
      <c r="AX151" s="15" t="s">
        <v>9143</v>
      </c>
      <c r="AY151" s="15" t="s">
        <v>9141</v>
      </c>
      <c r="AZ151" s="15" t="s">
        <v>9191</v>
      </c>
      <c r="BA151" s="16" t="s">
        <v>9141</v>
      </c>
      <c r="BB151" s="16" t="s">
        <v>9192</v>
      </c>
    </row>
    <row r="152" spans="1:54" hidden="1" x14ac:dyDescent="0.25">
      <c r="A152" s="4" t="s">
        <v>585</v>
      </c>
      <c r="B152" s="4" t="s">
        <v>9401</v>
      </c>
      <c r="C152" s="4"/>
      <c r="D152" s="4" t="s">
        <v>39</v>
      </c>
      <c r="E152" s="4">
        <v>290039</v>
      </c>
      <c r="F152" s="4" t="s">
        <v>587</v>
      </c>
      <c r="G152" s="32">
        <v>26890</v>
      </c>
      <c r="H152" s="25">
        <v>45429</v>
      </c>
      <c r="I152" s="11">
        <v>0.54166666666666663</v>
      </c>
      <c r="J152" s="4" t="s">
        <v>463</v>
      </c>
      <c r="K152" s="4">
        <v>2022</v>
      </c>
      <c r="L152" s="4" t="s">
        <v>565</v>
      </c>
      <c r="M152" s="4" t="s">
        <v>588</v>
      </c>
      <c r="N152" s="4" t="s">
        <v>589</v>
      </c>
      <c r="O152" s="4" t="s">
        <v>46</v>
      </c>
      <c r="P152" s="4"/>
      <c r="Q152" s="4" t="s">
        <v>47</v>
      </c>
      <c r="R152" s="4" t="s">
        <v>48</v>
      </c>
      <c r="S152" s="4">
        <v>0</v>
      </c>
      <c r="T152" s="4" t="b">
        <v>0</v>
      </c>
      <c r="U152" s="4" t="s">
        <v>49</v>
      </c>
      <c r="V152" s="4" t="s">
        <v>50</v>
      </c>
      <c r="W152" s="4" t="s">
        <v>71</v>
      </c>
      <c r="X152" s="4" t="s">
        <v>72</v>
      </c>
      <c r="Y152" s="4" t="s">
        <v>73</v>
      </c>
      <c r="Z152" s="4" t="s">
        <v>54</v>
      </c>
      <c r="AA152" s="4"/>
      <c r="AB152" s="23">
        <v>0</v>
      </c>
      <c r="AC152" s="28" t="e">
        <v>#N/A</v>
      </c>
      <c r="AD152" s="28" t="e">
        <v>#N/A</v>
      </c>
      <c r="AE152" s="28"/>
      <c r="AF152" s="19">
        <v>39567</v>
      </c>
      <c r="AG152" s="19"/>
      <c r="AH152" s="12">
        <f t="shared" si="8"/>
        <v>16</v>
      </c>
      <c r="AI152" s="12">
        <f t="shared" ca="1" si="9"/>
        <v>18</v>
      </c>
      <c r="AJ152" s="12" t="str">
        <f t="shared" si="10"/>
        <v>16-20 Years</v>
      </c>
      <c r="AK152" s="12" t="s">
        <v>9631</v>
      </c>
      <c r="AL152" s="31">
        <v>38</v>
      </c>
      <c r="AM152" s="31">
        <v>51</v>
      </c>
      <c r="AN152" s="12" t="str">
        <f t="shared" si="11"/>
        <v>45-54 Years</v>
      </c>
      <c r="AO152" s="13" t="s">
        <v>9161</v>
      </c>
      <c r="AP152" s="13" t="s">
        <v>9160</v>
      </c>
      <c r="AQ152" s="14" t="s">
        <v>9139</v>
      </c>
      <c r="AR152" s="14" t="s">
        <v>9140</v>
      </c>
      <c r="AS152" s="14"/>
      <c r="AT152" s="14" t="s">
        <v>72</v>
      </c>
      <c r="AU152" s="14" t="s">
        <v>54</v>
      </c>
      <c r="AV152" s="15" t="s">
        <v>9141</v>
      </c>
      <c r="AW152" s="15" t="s">
        <v>9175</v>
      </c>
      <c r="AX152" s="15" t="s">
        <v>9143</v>
      </c>
      <c r="AY152" s="15" t="s">
        <v>9141</v>
      </c>
      <c r="AZ152" s="15" t="s">
        <v>9175</v>
      </c>
      <c r="BA152" s="16" t="s">
        <v>9141</v>
      </c>
      <c r="BB152" s="16" t="s">
        <v>9176</v>
      </c>
    </row>
    <row r="153" spans="1:54" hidden="1" x14ac:dyDescent="0.25">
      <c r="A153" s="4" t="s">
        <v>1309</v>
      </c>
      <c r="B153" s="4" t="s">
        <v>9402</v>
      </c>
      <c r="C153" s="4"/>
      <c r="D153" s="4" t="s">
        <v>39</v>
      </c>
      <c r="E153" s="4">
        <v>296953</v>
      </c>
      <c r="F153" s="4" t="s">
        <v>1300</v>
      </c>
      <c r="G153" s="32">
        <v>25948</v>
      </c>
      <c r="H153" s="25">
        <v>45429</v>
      </c>
      <c r="I153" s="11">
        <v>0.66666666666666663</v>
      </c>
      <c r="J153" s="4" t="s">
        <v>1155</v>
      </c>
      <c r="K153" s="4">
        <v>4044</v>
      </c>
      <c r="L153" s="4" t="s">
        <v>1285</v>
      </c>
      <c r="M153" s="4" t="s">
        <v>1310</v>
      </c>
      <c r="N153" s="4" t="s">
        <v>1311</v>
      </c>
      <c r="O153" s="4" t="s">
        <v>46</v>
      </c>
      <c r="P153" s="4"/>
      <c r="Q153" s="4" t="s">
        <v>47</v>
      </c>
      <c r="R153" s="4" t="s">
        <v>48</v>
      </c>
      <c r="S153" s="4">
        <v>0</v>
      </c>
      <c r="T153" s="4" t="b">
        <v>0</v>
      </c>
      <c r="U153" s="4" t="s">
        <v>61</v>
      </c>
      <c r="V153" s="4" t="s">
        <v>89</v>
      </c>
      <c r="W153" s="4" t="s">
        <v>175</v>
      </c>
      <c r="X153" s="4" t="s">
        <v>52</v>
      </c>
      <c r="Y153" s="4" t="s">
        <v>53</v>
      </c>
      <c r="Z153" s="4" t="s">
        <v>54</v>
      </c>
      <c r="AA153" s="4"/>
      <c r="AB153" s="23">
        <v>0</v>
      </c>
      <c r="AC153" s="28" t="e">
        <v>#N/A</v>
      </c>
      <c r="AD153" s="28" t="e">
        <v>#N/A</v>
      </c>
      <c r="AE153" s="28"/>
      <c r="AF153" s="19">
        <v>44039</v>
      </c>
      <c r="AG153" s="19"/>
      <c r="AH153" s="12">
        <f t="shared" si="8"/>
        <v>3</v>
      </c>
      <c r="AI153" s="12">
        <f t="shared" ca="1" si="9"/>
        <v>6</v>
      </c>
      <c r="AJ153" s="12" t="str">
        <f t="shared" si="10"/>
        <v>1-5 Years</v>
      </c>
      <c r="AK153" s="12" t="s">
        <v>9632</v>
      </c>
      <c r="AL153" s="31">
        <v>25</v>
      </c>
      <c r="AM153" s="31">
        <v>54</v>
      </c>
      <c r="AN153" s="12" t="str">
        <f t="shared" si="11"/>
        <v>45-54 Years</v>
      </c>
      <c r="AO153" s="13" t="s">
        <v>9161</v>
      </c>
      <c r="AP153" s="13" t="s">
        <v>9160</v>
      </c>
      <c r="AQ153" s="14" t="s">
        <v>9148</v>
      </c>
      <c r="AR153" s="14" t="s">
        <v>9140</v>
      </c>
      <c r="AS153" s="14"/>
      <c r="AT153" s="14" t="s">
        <v>52</v>
      </c>
      <c r="AU153" s="14" t="s">
        <v>54</v>
      </c>
      <c r="AV153" s="15" t="s">
        <v>9141</v>
      </c>
      <c r="AW153" s="15" t="s">
        <v>9187</v>
      </c>
      <c r="AX153" s="15" t="s">
        <v>9143</v>
      </c>
      <c r="AY153" s="15" t="s">
        <v>9141</v>
      </c>
      <c r="AZ153" s="15" t="s">
        <v>9144</v>
      </c>
      <c r="BA153" s="16" t="s">
        <v>9141</v>
      </c>
      <c r="BB153" s="16" t="s">
        <v>9145</v>
      </c>
    </row>
    <row r="154" spans="1:54" x14ac:dyDescent="0.25">
      <c r="A154" s="4" t="s">
        <v>1458</v>
      </c>
      <c r="B154" s="4" t="s">
        <v>9403</v>
      </c>
      <c r="C154" s="4"/>
      <c r="D154" s="4" t="s">
        <v>39</v>
      </c>
      <c r="E154" s="4">
        <v>326571</v>
      </c>
      <c r="F154" s="4" t="s">
        <v>1460</v>
      </c>
      <c r="G154" s="32">
        <v>23359</v>
      </c>
      <c r="H154" s="25">
        <v>45434</v>
      </c>
      <c r="I154" s="11">
        <v>0.48958333333333331</v>
      </c>
      <c r="J154" s="4" t="s">
        <v>1366</v>
      </c>
      <c r="K154" s="4">
        <v>5089</v>
      </c>
      <c r="L154" s="4" t="s">
        <v>1445</v>
      </c>
      <c r="M154" s="4" t="s">
        <v>1461</v>
      </c>
      <c r="N154" s="4" t="s">
        <v>1462</v>
      </c>
      <c r="O154" s="4" t="s">
        <v>46</v>
      </c>
      <c r="P154" s="4"/>
      <c r="Q154" s="4" t="s">
        <v>47</v>
      </c>
      <c r="R154" s="4" t="s">
        <v>48</v>
      </c>
      <c r="S154" s="4">
        <v>0</v>
      </c>
      <c r="T154" s="4" t="b">
        <v>0</v>
      </c>
      <c r="U154" s="4" t="s">
        <v>49</v>
      </c>
      <c r="V154" s="4" t="s">
        <v>70</v>
      </c>
      <c r="W154" s="4" t="s">
        <v>71</v>
      </c>
      <c r="X154" s="4" t="s">
        <v>72</v>
      </c>
      <c r="Y154" s="4" t="s">
        <v>73</v>
      </c>
      <c r="Z154" s="4" t="s">
        <v>54</v>
      </c>
      <c r="AA154" s="4"/>
      <c r="AB154" s="23">
        <v>0</v>
      </c>
      <c r="AC154" s="28" t="e">
        <v>#N/A</v>
      </c>
      <c r="AD154" s="28" t="e">
        <v>#N/A</v>
      </c>
      <c r="AE154" s="28"/>
      <c r="AF154" s="19">
        <v>44872</v>
      </c>
      <c r="AG154" s="19"/>
      <c r="AH154" s="12">
        <f t="shared" si="8"/>
        <v>1</v>
      </c>
      <c r="AI154" s="12">
        <f t="shared" ca="1" si="9"/>
        <v>3</v>
      </c>
      <c r="AJ154" s="12" t="str">
        <f t="shared" si="10"/>
        <v>1-5 Years</v>
      </c>
      <c r="AK154" s="12" t="s">
        <v>9632</v>
      </c>
      <c r="AL154" s="31">
        <v>25</v>
      </c>
      <c r="AM154" s="31">
        <v>61</v>
      </c>
      <c r="AN154" s="12" t="str">
        <f t="shared" si="11"/>
        <v>More Than 55 Years</v>
      </c>
      <c r="AO154" s="13" t="s">
        <v>9161</v>
      </c>
      <c r="AP154" s="13" t="s">
        <v>9160</v>
      </c>
      <c r="AQ154" s="14" t="s">
        <v>9139</v>
      </c>
      <c r="AR154" s="14" t="s">
        <v>9140</v>
      </c>
      <c r="AS154" s="14"/>
      <c r="AT154" s="14" t="s">
        <v>72</v>
      </c>
      <c r="AU154" s="14" t="s">
        <v>54</v>
      </c>
      <c r="AV154" s="15" t="s">
        <v>9141</v>
      </c>
      <c r="AW154" s="15" t="s">
        <v>9188</v>
      </c>
      <c r="AX154" s="15" t="s">
        <v>9143</v>
      </c>
      <c r="AY154" s="15" t="s">
        <v>9141</v>
      </c>
      <c r="AZ154" s="15" t="s">
        <v>9189</v>
      </c>
      <c r="BA154" s="16" t="s">
        <v>9141</v>
      </c>
      <c r="BB154" s="16" t="s">
        <v>9190</v>
      </c>
    </row>
    <row r="155" spans="1:54" hidden="1" x14ac:dyDescent="0.25">
      <c r="A155" s="4" t="s">
        <v>256</v>
      </c>
      <c r="B155" s="4" t="s">
        <v>9404</v>
      </c>
      <c r="C155" s="4"/>
      <c r="D155" s="4" t="s">
        <v>39</v>
      </c>
      <c r="E155" s="4">
        <v>293815</v>
      </c>
      <c r="F155" s="4" t="s">
        <v>258</v>
      </c>
      <c r="G155" s="32">
        <v>26374</v>
      </c>
      <c r="H155" s="25">
        <v>45435</v>
      </c>
      <c r="I155" s="11">
        <v>0.61111111111111116</v>
      </c>
      <c r="J155" s="4" t="s">
        <v>42</v>
      </c>
      <c r="K155" s="4">
        <v>1011</v>
      </c>
      <c r="L155" s="4" t="s">
        <v>215</v>
      </c>
      <c r="M155" s="4" t="s">
        <v>259</v>
      </c>
      <c r="N155" s="4" t="s">
        <v>260</v>
      </c>
      <c r="O155" s="4" t="s">
        <v>46</v>
      </c>
      <c r="P155" s="4"/>
      <c r="Q155" s="4" t="s">
        <v>47</v>
      </c>
      <c r="R155" s="4" t="s">
        <v>48</v>
      </c>
      <c r="S155" s="4">
        <v>0</v>
      </c>
      <c r="T155" s="4" t="b">
        <v>0</v>
      </c>
      <c r="U155" s="4" t="s">
        <v>49</v>
      </c>
      <c r="V155" s="4" t="s">
        <v>50</v>
      </c>
      <c r="W155" s="4" t="s">
        <v>71</v>
      </c>
      <c r="X155" s="4" t="s">
        <v>72</v>
      </c>
      <c r="Y155" s="4" t="s">
        <v>73</v>
      </c>
      <c r="Z155" s="4" t="s">
        <v>54</v>
      </c>
      <c r="AA155" s="4"/>
      <c r="AB155" s="23">
        <v>0</v>
      </c>
      <c r="AC155" s="28" t="e">
        <v>#N/A</v>
      </c>
      <c r="AD155" s="28" t="e">
        <v>#N/A</v>
      </c>
      <c r="AE155" s="28"/>
      <c r="AF155" s="19">
        <v>41820</v>
      </c>
      <c r="AG155" s="19"/>
      <c r="AH155" s="12">
        <f t="shared" si="8"/>
        <v>9</v>
      </c>
      <c r="AI155" s="12">
        <f t="shared" ca="1" si="9"/>
        <v>12</v>
      </c>
      <c r="AJ155" s="12" t="str">
        <f t="shared" si="10"/>
        <v>6-10 Years</v>
      </c>
      <c r="AK155" s="12" t="s">
        <v>9632</v>
      </c>
      <c r="AL155" s="31">
        <v>35</v>
      </c>
      <c r="AM155" s="31">
        <v>53</v>
      </c>
      <c r="AN155" s="12" t="str">
        <f t="shared" si="11"/>
        <v>45-54 Years</v>
      </c>
      <c r="AO155" s="13" t="s">
        <v>9161</v>
      </c>
      <c r="AP155" s="13" t="s">
        <v>9160</v>
      </c>
      <c r="AQ155" s="14" t="s">
        <v>9139</v>
      </c>
      <c r="AR155" s="14" t="s">
        <v>9140</v>
      </c>
      <c r="AS155" s="14"/>
      <c r="AT155" s="14" t="s">
        <v>72</v>
      </c>
      <c r="AU155" s="14" t="s">
        <v>54</v>
      </c>
      <c r="AV155" s="15" t="s">
        <v>9141</v>
      </c>
      <c r="AW155" s="15" t="s">
        <v>9142</v>
      </c>
      <c r="AX155" s="15" t="s">
        <v>9143</v>
      </c>
      <c r="AY155" s="15" t="s">
        <v>9141</v>
      </c>
      <c r="AZ155" s="15" t="s">
        <v>9144</v>
      </c>
      <c r="BA155" s="16" t="s">
        <v>9141</v>
      </c>
      <c r="BB155" s="16" t="s">
        <v>9145</v>
      </c>
    </row>
    <row r="156" spans="1:54" hidden="1" x14ac:dyDescent="0.25">
      <c r="A156" s="4" t="s">
        <v>1116</v>
      </c>
      <c r="B156" s="4" t="s">
        <v>9405</v>
      </c>
      <c r="C156" s="4"/>
      <c r="D156" s="4" t="s">
        <v>39</v>
      </c>
      <c r="E156" s="4">
        <v>331223</v>
      </c>
      <c r="F156" s="4" t="s">
        <v>1118</v>
      </c>
      <c r="G156" s="32">
        <v>37880</v>
      </c>
      <c r="H156" s="25">
        <v>45435</v>
      </c>
      <c r="I156" s="11">
        <v>0.66666666666666663</v>
      </c>
      <c r="J156" s="4" t="s">
        <v>463</v>
      </c>
      <c r="K156" s="4">
        <v>2059</v>
      </c>
      <c r="L156" s="4" t="s">
        <v>1101</v>
      </c>
      <c r="M156" s="4" t="s">
        <v>1119</v>
      </c>
      <c r="N156" s="4" t="s">
        <v>1120</v>
      </c>
      <c r="O156" s="4" t="s">
        <v>46</v>
      </c>
      <c r="P156" s="4"/>
      <c r="Q156" s="4" t="s">
        <v>47</v>
      </c>
      <c r="R156" s="4" t="s">
        <v>48</v>
      </c>
      <c r="S156" s="4">
        <v>0</v>
      </c>
      <c r="T156" s="4" t="b">
        <v>0</v>
      </c>
      <c r="U156" s="4" t="s">
        <v>61</v>
      </c>
      <c r="V156" s="4" t="s">
        <v>79</v>
      </c>
      <c r="W156" s="4" t="s">
        <v>80</v>
      </c>
      <c r="X156" s="4" t="s">
        <v>672</v>
      </c>
      <c r="Y156" s="4" t="s">
        <v>1121</v>
      </c>
      <c r="Z156" s="4" t="s">
        <v>978</v>
      </c>
      <c r="AA156" s="4"/>
      <c r="AB156" s="23">
        <v>0</v>
      </c>
      <c r="AC156" s="28" t="e">
        <v>#N/A</v>
      </c>
      <c r="AD156" s="28" t="e">
        <v>#N/A</v>
      </c>
      <c r="AE156" s="28"/>
      <c r="AF156" s="19">
        <v>45208</v>
      </c>
      <c r="AG156" s="19">
        <v>45608</v>
      </c>
      <c r="AH156" s="12">
        <f t="shared" si="8"/>
        <v>0</v>
      </c>
      <c r="AI156" s="12">
        <f t="shared" ca="1" si="9"/>
        <v>1</v>
      </c>
      <c r="AJ156" s="12" t="str">
        <f t="shared" si="10"/>
        <v>Under 1 Year</v>
      </c>
      <c r="AK156" s="12" t="s">
        <v>9633</v>
      </c>
      <c r="AL156" s="31">
        <v>0.01</v>
      </c>
      <c r="AM156" s="31">
        <v>21</v>
      </c>
      <c r="AN156" s="12" t="str">
        <f t="shared" si="11"/>
        <v>20-24 Years</v>
      </c>
      <c r="AO156" s="13" t="s">
        <v>9161</v>
      </c>
      <c r="AP156" s="13" t="s">
        <v>9160</v>
      </c>
      <c r="AQ156" s="14" t="s">
        <v>9148</v>
      </c>
      <c r="AR156" s="14" t="s">
        <v>9140</v>
      </c>
      <c r="AS156" s="14"/>
      <c r="AT156" s="14" t="s">
        <v>672</v>
      </c>
      <c r="AU156" s="14" t="s">
        <v>978</v>
      </c>
      <c r="AV156" s="15" t="s">
        <v>9141</v>
      </c>
      <c r="AW156" s="15" t="s">
        <v>9175</v>
      </c>
      <c r="AX156" s="15" t="s">
        <v>9143</v>
      </c>
      <c r="AY156" s="15" t="s">
        <v>9141</v>
      </c>
      <c r="AZ156" s="15" t="s">
        <v>9175</v>
      </c>
      <c r="BA156" s="16" t="s">
        <v>9141</v>
      </c>
      <c r="BB156" s="16" t="s">
        <v>9176</v>
      </c>
    </row>
    <row r="157" spans="1:54" hidden="1" x14ac:dyDescent="0.25">
      <c r="A157" s="4" t="s">
        <v>1682</v>
      </c>
      <c r="B157" s="4" t="s">
        <v>9406</v>
      </c>
      <c r="C157" s="4"/>
      <c r="D157" s="4" t="s">
        <v>39</v>
      </c>
      <c r="E157" s="4">
        <v>298159</v>
      </c>
      <c r="F157" s="4" t="s">
        <v>1684</v>
      </c>
      <c r="G157" s="32">
        <v>22681</v>
      </c>
      <c r="H157" s="25">
        <v>45439</v>
      </c>
      <c r="I157" s="11">
        <v>0.38611111111111113</v>
      </c>
      <c r="J157" s="4" t="s">
        <v>1654</v>
      </c>
      <c r="K157" s="4">
        <v>9087</v>
      </c>
      <c r="L157" s="4" t="s">
        <v>1666</v>
      </c>
      <c r="M157" s="4" t="s">
        <v>1685</v>
      </c>
      <c r="N157" s="4" t="s">
        <v>1686</v>
      </c>
      <c r="O157" s="4" t="s">
        <v>46</v>
      </c>
      <c r="P157" s="4"/>
      <c r="Q157" s="4" t="s">
        <v>47</v>
      </c>
      <c r="R157" s="4" t="s">
        <v>48</v>
      </c>
      <c r="S157" s="4">
        <v>0</v>
      </c>
      <c r="T157" s="4" t="b">
        <v>0</v>
      </c>
      <c r="U157" s="4" t="s">
        <v>61</v>
      </c>
      <c r="V157" s="4" t="s">
        <v>50</v>
      </c>
      <c r="W157" s="4" t="s">
        <v>71</v>
      </c>
      <c r="X157" s="4" t="s">
        <v>72</v>
      </c>
      <c r="Y157" s="4" t="s">
        <v>73</v>
      </c>
      <c r="Z157" s="4" t="s">
        <v>54</v>
      </c>
      <c r="AA157" s="4"/>
      <c r="AB157" s="23">
        <v>0</v>
      </c>
      <c r="AC157" s="28" t="e">
        <v>#N/A</v>
      </c>
      <c r="AD157" s="28" t="e">
        <v>#N/A</v>
      </c>
      <c r="AE157" s="28"/>
      <c r="AF157" s="19">
        <v>45033</v>
      </c>
      <c r="AG157" s="19"/>
      <c r="AH157" s="12">
        <f t="shared" si="8"/>
        <v>1</v>
      </c>
      <c r="AI157" s="12">
        <f t="shared" ca="1" si="9"/>
        <v>3</v>
      </c>
      <c r="AJ157" s="12" t="str">
        <f t="shared" si="10"/>
        <v>1-5 Years</v>
      </c>
      <c r="AK157" s="12" t="s">
        <v>9632</v>
      </c>
      <c r="AL157" s="31">
        <v>15</v>
      </c>
      <c r="AM157" s="31">
        <v>63</v>
      </c>
      <c r="AN157" s="12" t="str">
        <f t="shared" si="11"/>
        <v>More Than 55 Years</v>
      </c>
      <c r="AO157" s="13" t="s">
        <v>9159</v>
      </c>
      <c r="AP157" s="13" t="s">
        <v>9160</v>
      </c>
      <c r="AQ157" s="14" t="s">
        <v>9148</v>
      </c>
      <c r="AR157" s="14" t="s">
        <v>9140</v>
      </c>
      <c r="AS157" s="14"/>
      <c r="AT157" s="14" t="s">
        <v>72</v>
      </c>
      <c r="AU157" s="14" t="s">
        <v>54</v>
      </c>
      <c r="AV157" s="15" t="s">
        <v>9141</v>
      </c>
      <c r="AW157" s="15" t="s">
        <v>9191</v>
      </c>
      <c r="AX157" s="15" t="s">
        <v>9143</v>
      </c>
      <c r="AY157" s="15" t="s">
        <v>9141</v>
      </c>
      <c r="AZ157" s="15" t="s">
        <v>9191</v>
      </c>
      <c r="BA157" s="16" t="s">
        <v>9141</v>
      </c>
      <c r="BB157" s="16" t="s">
        <v>9192</v>
      </c>
    </row>
    <row r="158" spans="1:54" hidden="1" x14ac:dyDescent="0.25">
      <c r="A158" s="4" t="s">
        <v>902</v>
      </c>
      <c r="B158" s="4" t="s">
        <v>9407</v>
      </c>
      <c r="C158" s="4">
        <v>12230108581</v>
      </c>
      <c r="D158" s="4" t="s">
        <v>39</v>
      </c>
      <c r="E158" s="4">
        <v>290021</v>
      </c>
      <c r="F158" s="4" t="s">
        <v>904</v>
      </c>
      <c r="G158" s="32">
        <v>23375</v>
      </c>
      <c r="H158" s="25">
        <v>45441</v>
      </c>
      <c r="I158" s="11">
        <v>0.5625</v>
      </c>
      <c r="J158" s="4" t="s">
        <v>463</v>
      </c>
      <c r="K158" s="4">
        <v>2030</v>
      </c>
      <c r="L158" s="4" t="s">
        <v>876</v>
      </c>
      <c r="M158" s="4" t="s">
        <v>905</v>
      </c>
      <c r="N158" s="4" t="s">
        <v>906</v>
      </c>
      <c r="O158" s="4" t="s">
        <v>28</v>
      </c>
      <c r="P158" s="4" t="s">
        <v>147</v>
      </c>
      <c r="Q158" s="4" t="s">
        <v>174</v>
      </c>
      <c r="R158" s="4" t="s">
        <v>48</v>
      </c>
      <c r="S158" s="4">
        <v>0</v>
      </c>
      <c r="T158" s="4" t="b">
        <v>0</v>
      </c>
      <c r="U158" s="4" t="s">
        <v>114</v>
      </c>
      <c r="V158" s="4" t="s">
        <v>89</v>
      </c>
      <c r="W158" s="4" t="s">
        <v>175</v>
      </c>
      <c r="X158" s="4" t="s">
        <v>52</v>
      </c>
      <c r="Y158" s="4" t="s">
        <v>53</v>
      </c>
      <c r="Z158" s="4" t="s">
        <v>54</v>
      </c>
      <c r="AA158" s="4"/>
      <c r="AB158" s="23" t="s">
        <v>48</v>
      </c>
      <c r="AC158" s="28" t="e">
        <v>#N/A</v>
      </c>
      <c r="AD158" s="28" t="e">
        <v>#N/A</v>
      </c>
      <c r="AE158" s="28"/>
      <c r="AF158" s="19">
        <v>39503</v>
      </c>
      <c r="AG158" s="19"/>
      <c r="AH158" s="12">
        <f t="shared" si="8"/>
        <v>16</v>
      </c>
      <c r="AI158" s="12">
        <f t="shared" ca="1" si="9"/>
        <v>18</v>
      </c>
      <c r="AJ158" s="12" t="str">
        <f t="shared" si="10"/>
        <v>16-20 Years</v>
      </c>
      <c r="AK158" s="12" t="s">
        <v>9632</v>
      </c>
      <c r="AL158" s="31">
        <v>20</v>
      </c>
      <c r="AM158" s="31">
        <v>61</v>
      </c>
      <c r="AN158" s="12" t="str">
        <f t="shared" si="11"/>
        <v>More Than 55 Years</v>
      </c>
      <c r="AO158" s="13" t="s">
        <v>9159</v>
      </c>
      <c r="AP158" s="13" t="s">
        <v>9160</v>
      </c>
      <c r="AQ158" s="14" t="s">
        <v>9157</v>
      </c>
      <c r="AR158" s="14" t="s">
        <v>28</v>
      </c>
      <c r="AS158" s="14" t="s">
        <v>147</v>
      </c>
      <c r="AT158" s="14" t="s">
        <v>52</v>
      </c>
      <c r="AU158" s="14" t="s">
        <v>54</v>
      </c>
      <c r="AV158" s="15" t="s">
        <v>9141</v>
      </c>
      <c r="AW158" s="15" t="s">
        <v>9175</v>
      </c>
      <c r="AX158" s="15" t="s">
        <v>9143</v>
      </c>
      <c r="AY158" s="15" t="s">
        <v>9141</v>
      </c>
      <c r="AZ158" s="15" t="s">
        <v>9177</v>
      </c>
      <c r="BA158" s="16" t="s">
        <v>9141</v>
      </c>
      <c r="BB158" s="16" t="s">
        <v>9178</v>
      </c>
    </row>
    <row r="159" spans="1:54" hidden="1" x14ac:dyDescent="0.25">
      <c r="A159" s="4" t="s">
        <v>1344</v>
      </c>
      <c r="B159" s="4" t="s">
        <v>9408</v>
      </c>
      <c r="C159" s="4"/>
      <c r="D159" s="4" t="s">
        <v>39</v>
      </c>
      <c r="E159" s="4">
        <v>285137</v>
      </c>
      <c r="F159" s="4" t="s">
        <v>1335</v>
      </c>
      <c r="G159" s="32">
        <v>21569</v>
      </c>
      <c r="H159" s="25">
        <v>45444</v>
      </c>
      <c r="I159" s="11">
        <v>0.52013888888888893</v>
      </c>
      <c r="J159" s="4" t="s">
        <v>1155</v>
      </c>
      <c r="K159" s="4">
        <v>4045</v>
      </c>
      <c r="L159" s="4" t="s">
        <v>1329</v>
      </c>
      <c r="M159" s="4" t="s">
        <v>1345</v>
      </c>
      <c r="N159" s="4" t="s">
        <v>1346</v>
      </c>
      <c r="O159" s="4" t="s">
        <v>46</v>
      </c>
      <c r="P159" s="4"/>
      <c r="Q159" s="4" t="s">
        <v>47</v>
      </c>
      <c r="R159" s="4" t="s">
        <v>48</v>
      </c>
      <c r="S159" s="4">
        <v>0</v>
      </c>
      <c r="T159" s="4" t="b">
        <v>0</v>
      </c>
      <c r="U159" s="4" t="s">
        <v>49</v>
      </c>
      <c r="V159" s="4" t="s">
        <v>89</v>
      </c>
      <c r="W159" s="4" t="s">
        <v>175</v>
      </c>
      <c r="X159" s="4" t="s">
        <v>52</v>
      </c>
      <c r="Y159" s="4" t="s">
        <v>53</v>
      </c>
      <c r="Z159" s="4" t="s">
        <v>54</v>
      </c>
      <c r="AA159" s="4"/>
      <c r="AB159" s="23">
        <v>0</v>
      </c>
      <c r="AC159" s="28" t="e">
        <v>#N/A</v>
      </c>
      <c r="AD159" s="28" t="e">
        <v>#N/A</v>
      </c>
      <c r="AE159" s="28"/>
      <c r="AF159" s="19">
        <v>37039</v>
      </c>
      <c r="AG159" s="19"/>
      <c r="AH159" s="12">
        <f t="shared" si="8"/>
        <v>23</v>
      </c>
      <c r="AI159" s="12">
        <f t="shared" ca="1" si="9"/>
        <v>25</v>
      </c>
      <c r="AJ159" s="12" t="str">
        <f t="shared" si="10"/>
        <v>21-25 Years</v>
      </c>
      <c r="AK159" s="12" t="s">
        <v>9632</v>
      </c>
      <c r="AL159" s="31">
        <v>28.25</v>
      </c>
      <c r="AM159" s="31">
        <v>66</v>
      </c>
      <c r="AN159" s="12" t="str">
        <f t="shared" si="11"/>
        <v>More Than 55 Years</v>
      </c>
      <c r="AO159" s="13" t="s">
        <v>9159</v>
      </c>
      <c r="AP159" s="13" t="s">
        <v>9160</v>
      </c>
      <c r="AQ159" s="14" t="s">
        <v>9139</v>
      </c>
      <c r="AR159" s="14" t="s">
        <v>9140</v>
      </c>
      <c r="AS159" s="14"/>
      <c r="AT159" s="14" t="s">
        <v>52</v>
      </c>
      <c r="AU159" s="14" t="s">
        <v>54</v>
      </c>
      <c r="AV159" s="15" t="s">
        <v>9141</v>
      </c>
      <c r="AW159" s="15" t="s">
        <v>9187</v>
      </c>
      <c r="AX159" s="15" t="s">
        <v>9143</v>
      </c>
      <c r="AY159" s="15" t="s">
        <v>9141</v>
      </c>
      <c r="AZ159" s="15" t="s">
        <v>9144</v>
      </c>
      <c r="BA159" s="16" t="s">
        <v>9141</v>
      </c>
      <c r="BB159" s="16" t="s">
        <v>9145</v>
      </c>
    </row>
    <row r="160" spans="1:54" hidden="1" x14ac:dyDescent="0.25">
      <c r="A160" s="4" t="s">
        <v>1859</v>
      </c>
      <c r="B160" s="4" t="s">
        <v>9409</v>
      </c>
      <c r="C160" s="4" t="s">
        <v>1860</v>
      </c>
      <c r="D160" s="4" t="s">
        <v>39</v>
      </c>
      <c r="E160" s="4">
        <v>331276</v>
      </c>
      <c r="F160" s="4" t="s">
        <v>1862</v>
      </c>
      <c r="G160" s="32">
        <v>27480</v>
      </c>
      <c r="H160" s="25">
        <v>45444</v>
      </c>
      <c r="I160" s="11">
        <v>0.61527777777777781</v>
      </c>
      <c r="J160" s="4" t="s">
        <v>1654</v>
      </c>
      <c r="K160" s="4">
        <v>9097</v>
      </c>
      <c r="L160" s="4" t="s">
        <v>1844</v>
      </c>
      <c r="M160" s="4" t="s">
        <v>1863</v>
      </c>
      <c r="N160" s="4" t="s">
        <v>1864</v>
      </c>
      <c r="O160" s="4" t="s">
        <v>28</v>
      </c>
      <c r="P160" s="4" t="s">
        <v>183</v>
      </c>
      <c r="Q160" s="4" t="s">
        <v>174</v>
      </c>
      <c r="R160" s="4" t="s">
        <v>48</v>
      </c>
      <c r="S160" s="4">
        <v>0</v>
      </c>
      <c r="T160" s="4" t="b">
        <v>0</v>
      </c>
      <c r="U160" s="4" t="s">
        <v>114</v>
      </c>
      <c r="V160" s="4" t="s">
        <v>50</v>
      </c>
      <c r="W160" s="4" t="s">
        <v>71</v>
      </c>
      <c r="X160" s="4" t="s">
        <v>123</v>
      </c>
      <c r="Y160" s="4" t="s">
        <v>192</v>
      </c>
      <c r="Z160" s="4" t="s">
        <v>54</v>
      </c>
      <c r="AA160" s="4" t="s">
        <v>302</v>
      </c>
      <c r="AB160" s="23" t="s">
        <v>48</v>
      </c>
      <c r="AC160" s="28" t="e">
        <v>#N/A</v>
      </c>
      <c r="AD160" s="28" t="e">
        <v>#N/A</v>
      </c>
      <c r="AE160" s="28"/>
      <c r="AF160" s="19">
        <v>45222</v>
      </c>
      <c r="AG160" s="19"/>
      <c r="AH160" s="12">
        <f t="shared" si="8"/>
        <v>0</v>
      </c>
      <c r="AI160" s="12">
        <f t="shared" ca="1" si="9"/>
        <v>2</v>
      </c>
      <c r="AJ160" s="12" t="str">
        <f t="shared" si="10"/>
        <v>Under 1 Year</v>
      </c>
      <c r="AK160" s="12" t="s">
        <v>9632</v>
      </c>
      <c r="AL160" s="31">
        <v>14.5</v>
      </c>
      <c r="AM160" s="31">
        <v>50</v>
      </c>
      <c r="AN160" s="12" t="str">
        <f t="shared" si="11"/>
        <v>45-54 Years</v>
      </c>
      <c r="AO160" s="13" t="s">
        <v>9159</v>
      </c>
      <c r="AP160" s="13" t="s">
        <v>9160</v>
      </c>
      <c r="AQ160" s="14" t="s">
        <v>9157</v>
      </c>
      <c r="AR160" s="14" t="s">
        <v>28</v>
      </c>
      <c r="AS160" s="14" t="s">
        <v>183</v>
      </c>
      <c r="AT160" s="14" t="s">
        <v>123</v>
      </c>
      <c r="AU160" s="14" t="s">
        <v>54</v>
      </c>
      <c r="AV160" s="15" t="s">
        <v>9141</v>
      </c>
      <c r="AW160" s="15" t="s">
        <v>9191</v>
      </c>
      <c r="AX160" s="15" t="s">
        <v>9143</v>
      </c>
      <c r="AY160" s="15" t="s">
        <v>9141</v>
      </c>
      <c r="AZ160" s="15" t="s">
        <v>9191</v>
      </c>
      <c r="BA160" s="16" t="s">
        <v>9141</v>
      </c>
      <c r="BB160" s="16" t="s">
        <v>9192</v>
      </c>
    </row>
    <row r="161" spans="1:54" hidden="1" x14ac:dyDescent="0.25">
      <c r="A161" s="4" t="s">
        <v>1783</v>
      </c>
      <c r="B161" s="4" t="s">
        <v>9410</v>
      </c>
      <c r="C161" s="4"/>
      <c r="D161" s="4" t="s">
        <v>39</v>
      </c>
      <c r="E161" s="4">
        <v>295133</v>
      </c>
      <c r="F161" s="4" t="s">
        <v>1785</v>
      </c>
      <c r="G161" s="32">
        <v>33215</v>
      </c>
      <c r="H161" s="25">
        <v>45450</v>
      </c>
      <c r="I161" s="11">
        <v>0.59791666666666665</v>
      </c>
      <c r="J161" s="4" t="s">
        <v>1654</v>
      </c>
      <c r="K161" s="4">
        <v>9095</v>
      </c>
      <c r="L161" s="4" t="s">
        <v>1742</v>
      </c>
      <c r="M161" s="4" t="s">
        <v>1786</v>
      </c>
      <c r="N161" s="4" t="s">
        <v>1787</v>
      </c>
      <c r="O161" s="4" t="s">
        <v>46</v>
      </c>
      <c r="P161" s="4"/>
      <c r="Q161" s="4" t="s">
        <v>47</v>
      </c>
      <c r="R161" s="4" t="s">
        <v>48</v>
      </c>
      <c r="S161" s="4">
        <v>0</v>
      </c>
      <c r="T161" s="4" t="b">
        <v>0</v>
      </c>
      <c r="U161" s="4" t="s">
        <v>61</v>
      </c>
      <c r="V161" s="4" t="s">
        <v>89</v>
      </c>
      <c r="W161" s="4" t="s">
        <v>51</v>
      </c>
      <c r="X161" s="4" t="s">
        <v>52</v>
      </c>
      <c r="Y161" s="4" t="s">
        <v>135</v>
      </c>
      <c r="Z161" s="4" t="s">
        <v>54</v>
      </c>
      <c r="AA161" s="4"/>
      <c r="AB161" s="23">
        <v>0</v>
      </c>
      <c r="AC161" s="28" t="s">
        <v>9580</v>
      </c>
      <c r="AD161" s="28" t="e">
        <v>#N/A</v>
      </c>
      <c r="AE161" s="28"/>
      <c r="AF161" s="19">
        <v>42702</v>
      </c>
      <c r="AG161" s="19">
        <v>45592</v>
      </c>
      <c r="AH161" s="12">
        <f t="shared" si="8"/>
        <v>7</v>
      </c>
      <c r="AI161" s="12">
        <f t="shared" ca="1" si="9"/>
        <v>7</v>
      </c>
      <c r="AJ161" s="12" t="str">
        <f t="shared" si="10"/>
        <v>6-10 Years</v>
      </c>
      <c r="AK161" s="12" t="s">
        <v>9632</v>
      </c>
      <c r="AL161" s="31">
        <v>35.25</v>
      </c>
      <c r="AM161" s="31">
        <v>34</v>
      </c>
      <c r="AN161" s="12" t="str">
        <f t="shared" si="11"/>
        <v>25-34 Years</v>
      </c>
      <c r="AO161" s="13" t="s">
        <v>9159</v>
      </c>
      <c r="AP161" s="13" t="s">
        <v>9160</v>
      </c>
      <c r="AQ161" s="14" t="s">
        <v>9148</v>
      </c>
      <c r="AR161" s="14" t="s">
        <v>9140</v>
      </c>
      <c r="AS161" s="14"/>
      <c r="AT161" s="14" t="s">
        <v>52</v>
      </c>
      <c r="AU161" s="14" t="s">
        <v>54</v>
      </c>
      <c r="AV161" s="15" t="s">
        <v>9141</v>
      </c>
      <c r="AW161" s="15" t="s">
        <v>9191</v>
      </c>
      <c r="AX161" s="15" t="s">
        <v>9143</v>
      </c>
      <c r="AY161" s="15" t="s">
        <v>9141</v>
      </c>
      <c r="AZ161" s="15" t="s">
        <v>9191</v>
      </c>
      <c r="BA161" s="16" t="s">
        <v>9141</v>
      </c>
      <c r="BB161" s="16" t="s">
        <v>9192</v>
      </c>
    </row>
    <row r="162" spans="1:54" hidden="1" x14ac:dyDescent="0.25">
      <c r="A162" s="4" t="s">
        <v>1304</v>
      </c>
      <c r="B162" s="4" t="s">
        <v>9411</v>
      </c>
      <c r="C162" s="4"/>
      <c r="D162" s="4" t="s">
        <v>39</v>
      </c>
      <c r="E162" s="4">
        <v>328764</v>
      </c>
      <c r="F162" s="4" t="s">
        <v>1306</v>
      </c>
      <c r="G162" s="32">
        <v>33570</v>
      </c>
      <c r="H162" s="25">
        <v>45452</v>
      </c>
      <c r="I162" s="11">
        <v>0.5541666666666667</v>
      </c>
      <c r="J162" s="4" t="s">
        <v>1155</v>
      </c>
      <c r="K162" s="4">
        <v>4044</v>
      </c>
      <c r="L162" s="4" t="s">
        <v>1285</v>
      </c>
      <c r="M162" s="4" t="s">
        <v>1307</v>
      </c>
      <c r="N162" s="4" t="s">
        <v>1308</v>
      </c>
      <c r="O162" s="4" t="s">
        <v>46</v>
      </c>
      <c r="P162" s="4"/>
      <c r="Q162" s="4" t="s">
        <v>47</v>
      </c>
      <c r="R162" s="4" t="s">
        <v>48</v>
      </c>
      <c r="S162" s="4">
        <v>0</v>
      </c>
      <c r="T162" s="4" t="b">
        <v>0</v>
      </c>
      <c r="U162" s="4" t="s">
        <v>49</v>
      </c>
      <c r="V162" s="4" t="s">
        <v>89</v>
      </c>
      <c r="W162" s="4" t="s">
        <v>51</v>
      </c>
      <c r="X162" s="4" t="s">
        <v>52</v>
      </c>
      <c r="Y162" s="4" t="s">
        <v>135</v>
      </c>
      <c r="Z162" s="4" t="s">
        <v>54</v>
      </c>
      <c r="AA162" s="4"/>
      <c r="AB162" s="23">
        <v>0</v>
      </c>
      <c r="AC162" s="28" t="e">
        <v>#N/A</v>
      </c>
      <c r="AD162" s="28" t="e">
        <v>#N/A</v>
      </c>
      <c r="AE162" s="28"/>
      <c r="AF162" s="19">
        <v>45033</v>
      </c>
      <c r="AG162" s="19">
        <v>45632</v>
      </c>
      <c r="AH162" s="12">
        <f t="shared" si="8"/>
        <v>1</v>
      </c>
      <c r="AI162" s="12">
        <f t="shared" ca="1" si="9"/>
        <v>1</v>
      </c>
      <c r="AJ162" s="12" t="str">
        <f t="shared" si="10"/>
        <v>1-5 Years</v>
      </c>
      <c r="AK162" s="12" t="s">
        <v>9633</v>
      </c>
      <c r="AL162" s="31">
        <v>0.01</v>
      </c>
      <c r="AM162" s="31">
        <v>33</v>
      </c>
      <c r="AN162" s="12" t="str">
        <f t="shared" si="11"/>
        <v>25-34 Years</v>
      </c>
      <c r="AO162" s="13" t="s">
        <v>9159</v>
      </c>
      <c r="AP162" s="13" t="s">
        <v>9160</v>
      </c>
      <c r="AQ162" s="14" t="s">
        <v>9139</v>
      </c>
      <c r="AR162" s="14" t="s">
        <v>9140</v>
      </c>
      <c r="AS162" s="14"/>
      <c r="AT162" s="14" t="s">
        <v>52</v>
      </c>
      <c r="AU162" s="14" t="s">
        <v>54</v>
      </c>
      <c r="AV162" s="15" t="s">
        <v>9141</v>
      </c>
      <c r="AW162" s="15" t="s">
        <v>9187</v>
      </c>
      <c r="AX162" s="15" t="s">
        <v>9143</v>
      </c>
      <c r="AY162" s="15" t="s">
        <v>9141</v>
      </c>
      <c r="AZ162" s="15" t="s">
        <v>9144</v>
      </c>
      <c r="BA162" s="16" t="s">
        <v>9141</v>
      </c>
      <c r="BB162" s="16" t="s">
        <v>9145</v>
      </c>
    </row>
    <row r="163" spans="1:54" hidden="1" x14ac:dyDescent="0.25">
      <c r="A163" s="4" t="s">
        <v>1777</v>
      </c>
      <c r="B163" s="4" t="s">
        <v>9412</v>
      </c>
      <c r="C163" s="4" t="s">
        <v>1778</v>
      </c>
      <c r="D163" s="4" t="s">
        <v>39</v>
      </c>
      <c r="E163" s="4">
        <v>294522</v>
      </c>
      <c r="F163" s="4" t="s">
        <v>1780</v>
      </c>
      <c r="G163" s="32">
        <v>36311</v>
      </c>
      <c r="H163" s="25">
        <v>45453</v>
      </c>
      <c r="I163" s="11">
        <v>0.45833333333333331</v>
      </c>
      <c r="J163" s="4" t="s">
        <v>1654</v>
      </c>
      <c r="K163" s="4">
        <v>9095</v>
      </c>
      <c r="L163" s="4" t="s">
        <v>1742</v>
      </c>
      <c r="M163" s="4" t="s">
        <v>1781</v>
      </c>
      <c r="N163" s="4" t="s">
        <v>1782</v>
      </c>
      <c r="O163" s="4" t="s">
        <v>28</v>
      </c>
      <c r="P163" s="4" t="s">
        <v>183</v>
      </c>
      <c r="Q163" s="4" t="s">
        <v>174</v>
      </c>
      <c r="R163" s="4" t="s">
        <v>48</v>
      </c>
      <c r="S163" s="4">
        <v>0</v>
      </c>
      <c r="T163" s="4" t="b">
        <v>0</v>
      </c>
      <c r="U163" s="4" t="s">
        <v>61</v>
      </c>
      <c r="V163" s="4" t="s">
        <v>583</v>
      </c>
      <c r="W163" s="4" t="s">
        <v>301</v>
      </c>
      <c r="X163" s="4" t="s">
        <v>52</v>
      </c>
      <c r="Y163" s="4" t="s">
        <v>53</v>
      </c>
      <c r="Z163" s="4" t="s">
        <v>54</v>
      </c>
      <c r="AA163" s="4"/>
      <c r="AB163" s="23" t="s">
        <v>48</v>
      </c>
      <c r="AC163" s="28" t="e">
        <v>#N/A</v>
      </c>
      <c r="AD163" s="28" t="e">
        <v>#N/A</v>
      </c>
      <c r="AE163" s="28"/>
      <c r="AF163" s="19">
        <v>42289</v>
      </c>
      <c r="AG163" s="19"/>
      <c r="AH163" s="12">
        <f t="shared" si="8"/>
        <v>8</v>
      </c>
      <c r="AI163" s="12">
        <f t="shared" ca="1" si="9"/>
        <v>10</v>
      </c>
      <c r="AJ163" s="12" t="str">
        <f t="shared" si="10"/>
        <v>6-10 Years</v>
      </c>
      <c r="AK163" s="12" t="s">
        <v>9632</v>
      </c>
      <c r="AL163" s="31">
        <v>30.25</v>
      </c>
      <c r="AM163" s="31">
        <v>25</v>
      </c>
      <c r="AN163" s="12" t="str">
        <f t="shared" si="11"/>
        <v>25-34 Years</v>
      </c>
      <c r="AO163" s="13" t="s">
        <v>9159</v>
      </c>
      <c r="AP163" s="13" t="s">
        <v>9160</v>
      </c>
      <c r="AQ163" s="14" t="s">
        <v>9148</v>
      </c>
      <c r="AR163" s="14" t="s">
        <v>28</v>
      </c>
      <c r="AS163" s="14" t="s">
        <v>183</v>
      </c>
      <c r="AT163" s="14" t="s">
        <v>52</v>
      </c>
      <c r="AU163" s="14" t="s">
        <v>54</v>
      </c>
      <c r="AV163" s="15" t="s">
        <v>9141</v>
      </c>
      <c r="AW163" s="15" t="s">
        <v>9191</v>
      </c>
      <c r="AX163" s="15" t="s">
        <v>9143</v>
      </c>
      <c r="AY163" s="15" t="s">
        <v>9141</v>
      </c>
      <c r="AZ163" s="15" t="s">
        <v>9191</v>
      </c>
      <c r="BA163" s="16" t="s">
        <v>9141</v>
      </c>
      <c r="BB163" s="16" t="s">
        <v>9192</v>
      </c>
    </row>
    <row r="164" spans="1:54" hidden="1" x14ac:dyDescent="0.25">
      <c r="A164" s="4" t="s">
        <v>1771</v>
      </c>
      <c r="B164" s="4" t="s">
        <v>9413</v>
      </c>
      <c r="C164" s="4" t="s">
        <v>1772</v>
      </c>
      <c r="D164" s="4" t="s">
        <v>39</v>
      </c>
      <c r="E164" s="4">
        <v>324107</v>
      </c>
      <c r="F164" s="4" t="s">
        <v>1774</v>
      </c>
      <c r="G164" s="32">
        <v>29964</v>
      </c>
      <c r="H164" s="25">
        <v>45454</v>
      </c>
      <c r="I164" s="11">
        <v>0.44027777777777777</v>
      </c>
      <c r="J164" s="4" t="s">
        <v>1654</v>
      </c>
      <c r="K164" s="4">
        <v>9095</v>
      </c>
      <c r="L164" s="4" t="s">
        <v>1742</v>
      </c>
      <c r="M164" s="4" t="s">
        <v>1775</v>
      </c>
      <c r="N164" s="4" t="s">
        <v>1776</v>
      </c>
      <c r="O164" s="4" t="s">
        <v>28</v>
      </c>
      <c r="P164" s="4" t="s">
        <v>183</v>
      </c>
      <c r="Q164" s="4" t="s">
        <v>174</v>
      </c>
      <c r="R164" s="4" t="s">
        <v>48</v>
      </c>
      <c r="S164" s="4">
        <v>0</v>
      </c>
      <c r="T164" s="4" t="b">
        <v>0</v>
      </c>
      <c r="U164" s="4" t="s">
        <v>114</v>
      </c>
      <c r="V164" s="4" t="s">
        <v>89</v>
      </c>
      <c r="W164" s="4" t="s">
        <v>71</v>
      </c>
      <c r="X164" s="4" t="s">
        <v>52</v>
      </c>
      <c r="Y164" s="4" t="s">
        <v>53</v>
      </c>
      <c r="Z164" s="4" t="s">
        <v>54</v>
      </c>
      <c r="AA164" s="4"/>
      <c r="AB164" s="23" t="s">
        <v>48</v>
      </c>
      <c r="AC164" s="28" t="e">
        <v>#N/A</v>
      </c>
      <c r="AD164" s="28" t="e">
        <v>#N/A</v>
      </c>
      <c r="AE164" s="28"/>
      <c r="AF164" s="19">
        <v>44788</v>
      </c>
      <c r="AG164" s="19"/>
      <c r="AH164" s="12">
        <f t="shared" si="8"/>
        <v>1</v>
      </c>
      <c r="AI164" s="12">
        <f t="shared" ca="1" si="9"/>
        <v>4</v>
      </c>
      <c r="AJ164" s="12" t="str">
        <f t="shared" si="10"/>
        <v>1-5 Years</v>
      </c>
      <c r="AK164" s="12" t="s">
        <v>9632</v>
      </c>
      <c r="AL164" s="31">
        <v>34.5</v>
      </c>
      <c r="AM164" s="31">
        <v>43</v>
      </c>
      <c r="AN164" s="12" t="str">
        <f t="shared" si="11"/>
        <v>35-44 Years</v>
      </c>
      <c r="AO164" s="13" t="s">
        <v>9159</v>
      </c>
      <c r="AP164" s="13" t="s">
        <v>9160</v>
      </c>
      <c r="AQ164" s="14" t="s">
        <v>9157</v>
      </c>
      <c r="AR164" s="14" t="s">
        <v>28</v>
      </c>
      <c r="AS164" s="14" t="s">
        <v>183</v>
      </c>
      <c r="AT164" s="14" t="s">
        <v>52</v>
      </c>
      <c r="AU164" s="14" t="s">
        <v>54</v>
      </c>
      <c r="AV164" s="15" t="s">
        <v>9141</v>
      </c>
      <c r="AW164" s="15" t="s">
        <v>9191</v>
      </c>
      <c r="AX164" s="15" t="s">
        <v>9143</v>
      </c>
      <c r="AY164" s="15" t="s">
        <v>9141</v>
      </c>
      <c r="AZ164" s="15" t="s">
        <v>9191</v>
      </c>
      <c r="BA164" s="16" t="s">
        <v>9141</v>
      </c>
      <c r="BB164" s="16" t="s">
        <v>9192</v>
      </c>
    </row>
    <row r="165" spans="1:54" hidden="1" x14ac:dyDescent="0.25">
      <c r="A165" s="4" t="s">
        <v>250</v>
      </c>
      <c r="B165" s="4" t="s">
        <v>9414</v>
      </c>
      <c r="C165" s="4"/>
      <c r="D165" s="4" t="s">
        <v>39</v>
      </c>
      <c r="E165" s="4">
        <v>288317</v>
      </c>
      <c r="F165" s="4" t="s">
        <v>252</v>
      </c>
      <c r="G165" s="32">
        <v>32394</v>
      </c>
      <c r="H165" s="25">
        <v>45455</v>
      </c>
      <c r="I165" s="11">
        <v>0.65972222222222221</v>
      </c>
      <c r="J165" s="4" t="s">
        <v>42</v>
      </c>
      <c r="K165" s="4">
        <v>1011</v>
      </c>
      <c r="L165" s="4" t="s">
        <v>215</v>
      </c>
      <c r="M165" s="4" t="s">
        <v>253</v>
      </c>
      <c r="N165" s="4" t="s">
        <v>254</v>
      </c>
      <c r="O165" s="4" t="s">
        <v>46</v>
      </c>
      <c r="P165" s="4"/>
      <c r="Q165" s="4" t="s">
        <v>47</v>
      </c>
      <c r="R165" s="4" t="s">
        <v>48</v>
      </c>
      <c r="S165" s="4">
        <v>0</v>
      </c>
      <c r="T165" s="4" t="b">
        <v>0</v>
      </c>
      <c r="U165" s="4" t="s">
        <v>61</v>
      </c>
      <c r="V165" s="4" t="s">
        <v>89</v>
      </c>
      <c r="W165" s="4" t="s">
        <v>175</v>
      </c>
      <c r="X165" s="4" t="s">
        <v>52</v>
      </c>
      <c r="Y165" s="4" t="s">
        <v>255</v>
      </c>
      <c r="Z165" s="4" t="s">
        <v>54</v>
      </c>
      <c r="AA165" s="4"/>
      <c r="AB165" s="23">
        <v>0</v>
      </c>
      <c r="AC165" s="28" t="e">
        <v>#N/A</v>
      </c>
      <c r="AD165" s="28" t="s">
        <v>8711</v>
      </c>
      <c r="AE165" s="28"/>
      <c r="AF165" s="19">
        <v>38993</v>
      </c>
      <c r="AG165" s="19"/>
      <c r="AH165" s="12">
        <f t="shared" si="8"/>
        <v>17</v>
      </c>
      <c r="AI165" s="12">
        <f t="shared" ca="1" si="9"/>
        <v>19</v>
      </c>
      <c r="AJ165" s="12" t="str">
        <f t="shared" si="10"/>
        <v>16-20 Years</v>
      </c>
      <c r="AK165" s="12" t="s">
        <v>10046</v>
      </c>
      <c r="AL165" s="31">
        <v>38</v>
      </c>
      <c r="AM165" s="31">
        <v>36</v>
      </c>
      <c r="AN165" s="12" t="str">
        <f t="shared" si="11"/>
        <v>35-44 Years</v>
      </c>
      <c r="AO165" s="13" t="s">
        <v>9159</v>
      </c>
      <c r="AP165" s="13" t="s">
        <v>9160</v>
      </c>
      <c r="AQ165" s="14" t="s">
        <v>9148</v>
      </c>
      <c r="AR165" s="14" t="s">
        <v>9140</v>
      </c>
      <c r="AS165" s="14"/>
      <c r="AT165" s="14" t="s">
        <v>52</v>
      </c>
      <c r="AU165" s="14" t="s">
        <v>54</v>
      </c>
      <c r="AV165" s="15" t="s">
        <v>9141</v>
      </c>
      <c r="AW165" s="15" t="s">
        <v>9142</v>
      </c>
      <c r="AX165" s="15" t="s">
        <v>9143</v>
      </c>
      <c r="AY165" s="15" t="s">
        <v>9141</v>
      </c>
      <c r="AZ165" s="15" t="s">
        <v>9144</v>
      </c>
      <c r="BA165" s="16" t="s">
        <v>9141</v>
      </c>
      <c r="BB165" s="16" t="s">
        <v>9145</v>
      </c>
    </row>
    <row r="166" spans="1:54" hidden="1" x14ac:dyDescent="0.25">
      <c r="A166" s="4" t="s">
        <v>137</v>
      </c>
      <c r="B166" s="4" t="s">
        <v>9415</v>
      </c>
      <c r="C166" s="4"/>
      <c r="D166" s="4" t="s">
        <v>39</v>
      </c>
      <c r="E166" s="4">
        <v>185531</v>
      </c>
      <c r="F166" s="4" t="s">
        <v>101</v>
      </c>
      <c r="G166" s="32">
        <v>25237</v>
      </c>
      <c r="H166" s="25">
        <v>45457</v>
      </c>
      <c r="I166" s="11">
        <v>0.3611111111111111</v>
      </c>
      <c r="J166" s="4" t="s">
        <v>42</v>
      </c>
      <c r="K166" s="4">
        <v>1006</v>
      </c>
      <c r="L166" s="4" t="s">
        <v>94</v>
      </c>
      <c r="M166" s="4" t="s">
        <v>138</v>
      </c>
      <c r="N166" s="4" t="s">
        <v>139</v>
      </c>
      <c r="O166" s="4" t="s">
        <v>46</v>
      </c>
      <c r="P166" s="4"/>
      <c r="Q166" s="4" t="s">
        <v>47</v>
      </c>
      <c r="R166" s="4" t="s">
        <v>48</v>
      </c>
      <c r="S166" s="4">
        <v>0</v>
      </c>
      <c r="T166" s="4" t="b">
        <v>0</v>
      </c>
      <c r="U166" s="4" t="s">
        <v>49</v>
      </c>
      <c r="V166" s="4" t="s">
        <v>70</v>
      </c>
      <c r="W166" s="4" t="s">
        <v>140</v>
      </c>
      <c r="X166" s="4" t="s">
        <v>63</v>
      </c>
      <c r="Y166" s="4" t="s">
        <v>108</v>
      </c>
      <c r="Z166" s="4" t="s">
        <v>98</v>
      </c>
      <c r="AA166" s="4"/>
      <c r="AB166" s="23">
        <v>0</v>
      </c>
      <c r="AC166" s="28" t="e">
        <v>#N/A</v>
      </c>
      <c r="AD166" s="28" t="e">
        <v>#N/A</v>
      </c>
      <c r="AE166" s="28"/>
      <c r="AF166" s="19">
        <v>31495</v>
      </c>
      <c r="AG166" s="19"/>
      <c r="AH166" s="12">
        <f t="shared" si="8"/>
        <v>38</v>
      </c>
      <c r="AI166" s="12">
        <f t="shared" ca="1" si="9"/>
        <v>40</v>
      </c>
      <c r="AJ166" s="12" t="str">
        <f t="shared" si="10"/>
        <v>More Than 30 Years</v>
      </c>
      <c r="AK166" s="12" t="s">
        <v>9631</v>
      </c>
      <c r="AL166" s="31">
        <v>38</v>
      </c>
      <c r="AM166" s="31">
        <v>56</v>
      </c>
      <c r="AN166" s="12" t="str">
        <f t="shared" si="11"/>
        <v>More Than 55 Years</v>
      </c>
      <c r="AO166" s="13" t="s">
        <v>9159</v>
      </c>
      <c r="AP166" s="13" t="s">
        <v>9160</v>
      </c>
      <c r="AQ166" s="14" t="s">
        <v>9139</v>
      </c>
      <c r="AR166" s="14" t="s">
        <v>9140</v>
      </c>
      <c r="AS166" s="14"/>
      <c r="AT166" s="14" t="s">
        <v>63</v>
      </c>
      <c r="AU166" s="14" t="s">
        <v>98</v>
      </c>
      <c r="AV166" s="15" t="s">
        <v>9141</v>
      </c>
      <c r="AW166" s="15" t="s">
        <v>9142</v>
      </c>
      <c r="AX166" s="15" t="s">
        <v>9143</v>
      </c>
      <c r="AY166" s="15" t="s">
        <v>9141</v>
      </c>
      <c r="AZ166" s="15" t="s">
        <v>9144</v>
      </c>
      <c r="BA166" s="16" t="s">
        <v>9141</v>
      </c>
      <c r="BB166" s="16" t="s">
        <v>9145</v>
      </c>
    </row>
    <row r="167" spans="1:54" hidden="1" x14ac:dyDescent="0.25">
      <c r="A167" s="4" t="s">
        <v>245</v>
      </c>
      <c r="B167" s="4" t="s">
        <v>9416</v>
      </c>
      <c r="C167" s="4"/>
      <c r="D167" s="4" t="s">
        <v>39</v>
      </c>
      <c r="E167" s="4">
        <v>295859</v>
      </c>
      <c r="F167" s="4" t="s">
        <v>247</v>
      </c>
      <c r="G167" s="32">
        <v>29446</v>
      </c>
      <c r="H167" s="25">
        <v>45457</v>
      </c>
      <c r="I167" s="11">
        <v>0.47916666666666669</v>
      </c>
      <c r="J167" s="4" t="s">
        <v>42</v>
      </c>
      <c r="K167" s="4">
        <v>1011</v>
      </c>
      <c r="L167" s="4" t="s">
        <v>215</v>
      </c>
      <c r="M167" s="4" t="s">
        <v>248</v>
      </c>
      <c r="N167" s="4" t="s">
        <v>249</v>
      </c>
      <c r="O167" s="4" t="s">
        <v>46</v>
      </c>
      <c r="P167" s="4"/>
      <c r="Q167" s="4" t="s">
        <v>47</v>
      </c>
      <c r="R167" s="4" t="s">
        <v>48</v>
      </c>
      <c r="S167" s="4">
        <v>0</v>
      </c>
      <c r="T167" s="4" t="b">
        <v>0</v>
      </c>
      <c r="U167" s="4" t="s">
        <v>49</v>
      </c>
      <c r="V167" s="4" t="s">
        <v>50</v>
      </c>
      <c r="W167" s="4" t="s">
        <v>71</v>
      </c>
      <c r="X167" s="4" t="s">
        <v>72</v>
      </c>
      <c r="Y167" s="4" t="s">
        <v>73</v>
      </c>
      <c r="Z167" s="4" t="s">
        <v>54</v>
      </c>
      <c r="AA167" s="4"/>
      <c r="AB167" s="23">
        <v>0</v>
      </c>
      <c r="AC167" s="28" t="e">
        <v>#N/A</v>
      </c>
      <c r="AD167" s="28" t="e">
        <v>#N/A</v>
      </c>
      <c r="AE167" s="28"/>
      <c r="AF167" s="19">
        <v>43129</v>
      </c>
      <c r="AG167" s="19"/>
      <c r="AH167" s="12">
        <f t="shared" si="8"/>
        <v>6</v>
      </c>
      <c r="AI167" s="12">
        <f t="shared" ca="1" si="9"/>
        <v>8</v>
      </c>
      <c r="AJ167" s="12" t="str">
        <f t="shared" si="10"/>
        <v>6-10 Years</v>
      </c>
      <c r="AK167" s="12" t="s">
        <v>9632</v>
      </c>
      <c r="AL167" s="31">
        <v>27</v>
      </c>
      <c r="AM167" s="31">
        <v>44</v>
      </c>
      <c r="AN167" s="12" t="str">
        <f t="shared" si="11"/>
        <v>35-44 Years</v>
      </c>
      <c r="AO167" s="13" t="s">
        <v>9159</v>
      </c>
      <c r="AP167" s="13" t="s">
        <v>9160</v>
      </c>
      <c r="AQ167" s="14" t="s">
        <v>9139</v>
      </c>
      <c r="AR167" s="14" t="s">
        <v>9140</v>
      </c>
      <c r="AS167" s="14"/>
      <c r="AT167" s="14" t="s">
        <v>72</v>
      </c>
      <c r="AU167" s="14" t="s">
        <v>54</v>
      </c>
      <c r="AV167" s="15" t="s">
        <v>9141</v>
      </c>
      <c r="AW167" s="15" t="s">
        <v>9142</v>
      </c>
      <c r="AX167" s="15" t="s">
        <v>9143</v>
      </c>
      <c r="AY167" s="15" t="s">
        <v>9141</v>
      </c>
      <c r="AZ167" s="15" t="s">
        <v>9144</v>
      </c>
      <c r="BA167" s="16" t="s">
        <v>9141</v>
      </c>
      <c r="BB167" s="16" t="s">
        <v>9145</v>
      </c>
    </row>
    <row r="168" spans="1:54" hidden="1" x14ac:dyDescent="0.25">
      <c r="A168" s="4" t="s">
        <v>1112</v>
      </c>
      <c r="B168" s="4" t="s">
        <v>9417</v>
      </c>
      <c r="C168" s="4"/>
      <c r="D168" s="4" t="s">
        <v>39</v>
      </c>
      <c r="E168" s="4">
        <v>331147</v>
      </c>
      <c r="F168" s="4" t="s">
        <v>1114</v>
      </c>
      <c r="G168" s="32">
        <v>38846</v>
      </c>
      <c r="H168" s="25">
        <v>45461</v>
      </c>
      <c r="I168" s="11">
        <v>0.52777777777777779</v>
      </c>
      <c r="J168" s="4" t="s">
        <v>463</v>
      </c>
      <c r="K168" s="4">
        <v>2059</v>
      </c>
      <c r="L168" s="4" t="s">
        <v>1101</v>
      </c>
      <c r="M168" s="4" t="s">
        <v>627</v>
      </c>
      <c r="N168" s="4" t="s">
        <v>1115</v>
      </c>
      <c r="O168" s="4" t="s">
        <v>46</v>
      </c>
      <c r="P168" s="4"/>
      <c r="Q168" s="4" t="s">
        <v>47</v>
      </c>
      <c r="R168" s="4" t="s">
        <v>48</v>
      </c>
      <c r="S168" s="4">
        <v>0</v>
      </c>
      <c r="T168" s="4" t="b">
        <v>0</v>
      </c>
      <c r="U168" s="4" t="s">
        <v>49</v>
      </c>
      <c r="V168" s="4" t="s">
        <v>89</v>
      </c>
      <c r="W168" s="4" t="s">
        <v>90</v>
      </c>
      <c r="X168" s="4" t="s">
        <v>72</v>
      </c>
      <c r="Y168" s="4" t="s">
        <v>73</v>
      </c>
      <c r="Z168" s="4" t="s">
        <v>54</v>
      </c>
      <c r="AA168" s="4"/>
      <c r="AB168" s="23">
        <v>0</v>
      </c>
      <c r="AC168" s="28" t="e">
        <v>#N/A</v>
      </c>
      <c r="AD168" s="28" t="e">
        <v>#N/A</v>
      </c>
      <c r="AE168" s="28"/>
      <c r="AF168" s="19">
        <v>45208</v>
      </c>
      <c r="AG168" s="19">
        <v>45608</v>
      </c>
      <c r="AH168" s="12">
        <f t="shared" si="8"/>
        <v>0</v>
      </c>
      <c r="AI168" s="12">
        <f t="shared" ca="1" si="9"/>
        <v>1</v>
      </c>
      <c r="AJ168" s="12" t="str">
        <f t="shared" si="10"/>
        <v>Under 1 Year</v>
      </c>
      <c r="AK168" s="12" t="s">
        <v>9633</v>
      </c>
      <c r="AL168" s="31">
        <v>0.01</v>
      </c>
      <c r="AM168" s="31">
        <v>18</v>
      </c>
      <c r="AN168" s="12" t="str">
        <f t="shared" si="11"/>
        <v>Less Than 20 Years</v>
      </c>
      <c r="AO168" s="13" t="s">
        <v>9159</v>
      </c>
      <c r="AP168" s="13" t="s">
        <v>9160</v>
      </c>
      <c r="AQ168" s="14" t="s">
        <v>9139</v>
      </c>
      <c r="AR168" s="14" t="s">
        <v>9140</v>
      </c>
      <c r="AS168" s="14"/>
      <c r="AT168" s="14" t="s">
        <v>72</v>
      </c>
      <c r="AU168" s="14" t="s">
        <v>54</v>
      </c>
      <c r="AV168" s="15" t="s">
        <v>9141</v>
      </c>
      <c r="AW168" s="15" t="s">
        <v>9175</v>
      </c>
      <c r="AX168" s="15" t="s">
        <v>9143</v>
      </c>
      <c r="AY168" s="15" t="s">
        <v>9141</v>
      </c>
      <c r="AZ168" s="15" t="s">
        <v>9175</v>
      </c>
      <c r="BA168" s="16" t="s">
        <v>9141</v>
      </c>
      <c r="BB168" s="16" t="s">
        <v>9176</v>
      </c>
    </row>
    <row r="169" spans="1:54" hidden="1" x14ac:dyDescent="0.25">
      <c r="A169" s="4" t="s">
        <v>1915</v>
      </c>
      <c r="B169" s="4" t="s">
        <v>9418</v>
      </c>
      <c r="C169" s="4"/>
      <c r="D169" s="4" t="s">
        <v>39</v>
      </c>
      <c r="E169" s="4">
        <v>330730</v>
      </c>
      <c r="F169" s="4" t="s">
        <v>1665</v>
      </c>
      <c r="G169" s="32">
        <v>23195</v>
      </c>
      <c r="H169" s="25">
        <v>45461</v>
      </c>
      <c r="I169" s="11">
        <v>0.54166666666666663</v>
      </c>
      <c r="J169" s="4" t="s">
        <v>1654</v>
      </c>
      <c r="K169" s="4">
        <v>9098</v>
      </c>
      <c r="L169" s="4" t="s">
        <v>1896</v>
      </c>
      <c r="M169" s="4" t="s">
        <v>1916</v>
      </c>
      <c r="N169" s="4" t="s">
        <v>1917</v>
      </c>
      <c r="O169" s="4" t="s">
        <v>46</v>
      </c>
      <c r="P169" s="4"/>
      <c r="Q169" s="4" t="s">
        <v>47</v>
      </c>
      <c r="R169" s="4" t="s">
        <v>48</v>
      </c>
      <c r="S169" s="4">
        <v>0</v>
      </c>
      <c r="T169" s="4" t="b">
        <v>0</v>
      </c>
      <c r="U169" s="4" t="s">
        <v>61</v>
      </c>
      <c r="V169" s="4" t="s">
        <v>89</v>
      </c>
      <c r="W169" s="4" t="s">
        <v>1918</v>
      </c>
      <c r="X169" s="4" t="s">
        <v>52</v>
      </c>
      <c r="Y169" s="4" t="s">
        <v>53</v>
      </c>
      <c r="Z169" s="4" t="s">
        <v>54</v>
      </c>
      <c r="AA169" s="4"/>
      <c r="AB169" s="23">
        <v>0</v>
      </c>
      <c r="AC169" s="28" t="e">
        <v>#N/A</v>
      </c>
      <c r="AD169" s="28" t="e">
        <v>#N/A</v>
      </c>
      <c r="AE169" s="28"/>
      <c r="AF169" s="19">
        <v>45173</v>
      </c>
      <c r="AG169" s="19"/>
      <c r="AH169" s="12">
        <f t="shared" si="8"/>
        <v>0</v>
      </c>
      <c r="AI169" s="12">
        <f t="shared" ca="1" si="9"/>
        <v>3</v>
      </c>
      <c r="AJ169" s="12" t="str">
        <f t="shared" si="10"/>
        <v>Under 1 Year</v>
      </c>
      <c r="AK169" s="12" t="s">
        <v>10046</v>
      </c>
      <c r="AL169" s="31">
        <v>38</v>
      </c>
      <c r="AM169" s="31">
        <v>61</v>
      </c>
      <c r="AN169" s="12" t="str">
        <f t="shared" si="11"/>
        <v>More Than 55 Years</v>
      </c>
      <c r="AO169" s="13" t="s">
        <v>9159</v>
      </c>
      <c r="AP169" s="13" t="s">
        <v>9160</v>
      </c>
      <c r="AQ169" s="14" t="s">
        <v>9148</v>
      </c>
      <c r="AR169" s="14" t="s">
        <v>9140</v>
      </c>
      <c r="AS169" s="14"/>
      <c r="AT169" s="14" t="s">
        <v>52</v>
      </c>
      <c r="AU169" s="14" t="s">
        <v>54</v>
      </c>
      <c r="AV169" s="15" t="s">
        <v>9141</v>
      </c>
      <c r="AW169" s="15" t="s">
        <v>9191</v>
      </c>
      <c r="AX169" s="15" t="s">
        <v>9143</v>
      </c>
      <c r="AY169" s="15" t="s">
        <v>9141</v>
      </c>
      <c r="AZ169" s="15" t="s">
        <v>9191</v>
      </c>
      <c r="BA169" s="16" t="s">
        <v>9141</v>
      </c>
      <c r="BB169" s="16" t="s">
        <v>9192</v>
      </c>
    </row>
    <row r="170" spans="1:54" hidden="1" x14ac:dyDescent="0.25">
      <c r="A170" s="4" t="s">
        <v>578</v>
      </c>
      <c r="B170" s="4" t="s">
        <v>9419</v>
      </c>
      <c r="C170" s="4"/>
      <c r="D170" s="4" t="s">
        <v>39</v>
      </c>
      <c r="E170" s="4">
        <v>293047</v>
      </c>
      <c r="F170" s="4" t="s">
        <v>580</v>
      </c>
      <c r="G170" s="32">
        <v>28305</v>
      </c>
      <c r="H170" s="25">
        <v>45462</v>
      </c>
      <c r="I170" s="11">
        <v>0.63194444444444442</v>
      </c>
      <c r="J170" s="4" t="s">
        <v>463</v>
      </c>
      <c r="K170" s="4">
        <v>2022</v>
      </c>
      <c r="L170" s="4" t="s">
        <v>565</v>
      </c>
      <c r="M170" s="4" t="s">
        <v>581</v>
      </c>
      <c r="N170" s="4" t="s">
        <v>582</v>
      </c>
      <c r="O170" s="4" t="s">
        <v>46</v>
      </c>
      <c r="P170" s="4"/>
      <c r="Q170" s="4" t="s">
        <v>47</v>
      </c>
      <c r="R170" s="4" t="s">
        <v>48</v>
      </c>
      <c r="S170" s="4">
        <v>0</v>
      </c>
      <c r="T170" s="4" t="b">
        <v>0</v>
      </c>
      <c r="U170" s="4" t="s">
        <v>61</v>
      </c>
      <c r="V170" s="4" t="s">
        <v>583</v>
      </c>
      <c r="W170" s="4" t="s">
        <v>584</v>
      </c>
      <c r="X170" s="4" t="s">
        <v>52</v>
      </c>
      <c r="Y170" s="4" t="s">
        <v>255</v>
      </c>
      <c r="Z170" s="4" t="s">
        <v>54</v>
      </c>
      <c r="AA170" s="4"/>
      <c r="AB170" s="23">
        <v>0</v>
      </c>
      <c r="AC170" s="28" t="e">
        <v>#N/A</v>
      </c>
      <c r="AD170" s="28" t="e">
        <v>#N/A</v>
      </c>
      <c r="AE170" s="28"/>
      <c r="AF170" s="19">
        <v>41253</v>
      </c>
      <c r="AG170" s="19"/>
      <c r="AH170" s="12">
        <f t="shared" si="8"/>
        <v>11</v>
      </c>
      <c r="AI170" s="12">
        <f t="shared" ca="1" si="9"/>
        <v>13</v>
      </c>
      <c r="AJ170" s="12" t="str">
        <f t="shared" si="10"/>
        <v>11-15 Years</v>
      </c>
      <c r="AK170" s="12" t="s">
        <v>9632</v>
      </c>
      <c r="AL170" s="31">
        <v>36</v>
      </c>
      <c r="AM170" s="31">
        <v>47</v>
      </c>
      <c r="AN170" s="12" t="str">
        <f t="shared" si="11"/>
        <v>45-54 Years</v>
      </c>
      <c r="AO170" s="13" t="s">
        <v>9159</v>
      </c>
      <c r="AP170" s="13" t="s">
        <v>9160</v>
      </c>
      <c r="AQ170" s="14" t="s">
        <v>9148</v>
      </c>
      <c r="AR170" s="14" t="s">
        <v>9140</v>
      </c>
      <c r="AS170" s="14"/>
      <c r="AT170" s="14" t="s">
        <v>52</v>
      </c>
      <c r="AU170" s="14" t="s">
        <v>54</v>
      </c>
      <c r="AV170" s="15" t="s">
        <v>9141</v>
      </c>
      <c r="AW170" s="15" t="s">
        <v>9175</v>
      </c>
      <c r="AX170" s="15" t="s">
        <v>9143</v>
      </c>
      <c r="AY170" s="15" t="s">
        <v>9141</v>
      </c>
      <c r="AZ170" s="15" t="s">
        <v>9175</v>
      </c>
      <c r="BA170" s="16" t="s">
        <v>9141</v>
      </c>
      <c r="BB170" s="16" t="s">
        <v>9176</v>
      </c>
    </row>
    <row r="171" spans="1:54" hidden="1" x14ac:dyDescent="0.25">
      <c r="A171" s="4" t="s">
        <v>449</v>
      </c>
      <c r="B171" s="4" t="s">
        <v>9420</v>
      </c>
      <c r="C171" s="4"/>
      <c r="D171" s="4" t="s">
        <v>39</v>
      </c>
      <c r="E171" s="4">
        <v>280547</v>
      </c>
      <c r="F171" s="4" t="s">
        <v>436</v>
      </c>
      <c r="G171" s="32">
        <v>24987</v>
      </c>
      <c r="H171" s="25">
        <v>45468</v>
      </c>
      <c r="I171" s="11">
        <v>0.65625</v>
      </c>
      <c r="J171" s="4" t="s">
        <v>42</v>
      </c>
      <c r="K171" s="4">
        <v>1013</v>
      </c>
      <c r="L171" s="4" t="s">
        <v>422</v>
      </c>
      <c r="M171" s="4" t="s">
        <v>450</v>
      </c>
      <c r="N171" s="4" t="s">
        <v>451</v>
      </c>
      <c r="O171" s="4" t="s">
        <v>46</v>
      </c>
      <c r="P171" s="4"/>
      <c r="Q171" s="4" t="s">
        <v>47</v>
      </c>
      <c r="R171" s="4" t="s">
        <v>48</v>
      </c>
      <c r="S171" s="4">
        <v>0</v>
      </c>
      <c r="T171" s="4" t="b">
        <v>0</v>
      </c>
      <c r="U171" s="4" t="s">
        <v>61</v>
      </c>
      <c r="V171" s="4" t="s">
        <v>89</v>
      </c>
      <c r="W171" s="4" t="s">
        <v>373</v>
      </c>
      <c r="X171" s="4" t="s">
        <v>52</v>
      </c>
      <c r="Y171" s="4" t="s">
        <v>255</v>
      </c>
      <c r="Z171" s="4" t="s">
        <v>54</v>
      </c>
      <c r="AA171" s="4"/>
      <c r="AB171" s="23">
        <v>0</v>
      </c>
      <c r="AC171" s="28" t="e">
        <v>#N/A</v>
      </c>
      <c r="AD171" s="28" t="e">
        <v>#N/A</v>
      </c>
      <c r="AE171" s="28"/>
      <c r="AF171" s="19">
        <v>35429</v>
      </c>
      <c r="AG171" s="19"/>
      <c r="AH171" s="12">
        <f t="shared" si="8"/>
        <v>27</v>
      </c>
      <c r="AI171" s="12">
        <f t="shared" ca="1" si="9"/>
        <v>29</v>
      </c>
      <c r="AJ171" s="12" t="str">
        <f t="shared" si="10"/>
        <v>26-30 Years</v>
      </c>
      <c r="AK171" s="12" t="s">
        <v>9631</v>
      </c>
      <c r="AL171" s="31">
        <v>38</v>
      </c>
      <c r="AM171" s="31">
        <v>56</v>
      </c>
      <c r="AN171" s="12" t="str">
        <f t="shared" si="11"/>
        <v>More Than 55 Years</v>
      </c>
      <c r="AO171" s="13" t="s">
        <v>9159</v>
      </c>
      <c r="AP171" s="13" t="s">
        <v>9160</v>
      </c>
      <c r="AQ171" s="14" t="s">
        <v>9148</v>
      </c>
      <c r="AR171" s="14" t="s">
        <v>9140</v>
      </c>
      <c r="AS171" s="14"/>
      <c r="AT171" s="14" t="s">
        <v>52</v>
      </c>
      <c r="AU171" s="14" t="s">
        <v>54</v>
      </c>
      <c r="AV171" s="15" t="s">
        <v>9141</v>
      </c>
      <c r="AW171" s="15" t="s">
        <v>9142</v>
      </c>
      <c r="AX171" s="15" t="s">
        <v>9143</v>
      </c>
      <c r="AY171" s="15" t="s">
        <v>9141</v>
      </c>
      <c r="AZ171" s="15" t="s">
        <v>9144</v>
      </c>
      <c r="BA171" s="16" t="s">
        <v>9141</v>
      </c>
      <c r="BB171" s="16" t="s">
        <v>9145</v>
      </c>
    </row>
    <row r="172" spans="1:54" hidden="1" x14ac:dyDescent="0.25">
      <c r="A172" s="4" t="s">
        <v>1250</v>
      </c>
      <c r="B172" s="4" t="s">
        <v>9421</v>
      </c>
      <c r="C172" s="4"/>
      <c r="D172" s="4" t="s">
        <v>39</v>
      </c>
      <c r="E172" s="4">
        <v>296971</v>
      </c>
      <c r="F172" s="4" t="s">
        <v>1221</v>
      </c>
      <c r="G172" s="32">
        <v>32453</v>
      </c>
      <c r="H172" s="25">
        <v>45470</v>
      </c>
      <c r="I172" s="11">
        <v>0.70486111111111116</v>
      </c>
      <c r="J172" s="4" t="s">
        <v>1155</v>
      </c>
      <c r="K172" s="4">
        <v>4043</v>
      </c>
      <c r="L172" s="4" t="s">
        <v>1200</v>
      </c>
      <c r="M172" s="4" t="s">
        <v>1251</v>
      </c>
      <c r="N172" s="4" t="s">
        <v>1252</v>
      </c>
      <c r="O172" s="4" t="s">
        <v>46</v>
      </c>
      <c r="P172" s="4"/>
      <c r="Q172" s="4" t="s">
        <v>47</v>
      </c>
      <c r="R172" s="4" t="s">
        <v>48</v>
      </c>
      <c r="S172" s="4">
        <v>0</v>
      </c>
      <c r="T172" s="4" t="b">
        <v>0</v>
      </c>
      <c r="U172" s="4" t="s">
        <v>49</v>
      </c>
      <c r="V172" s="4" t="s">
        <v>50</v>
      </c>
      <c r="W172" s="4" t="s">
        <v>1253</v>
      </c>
      <c r="X172" s="4" t="s">
        <v>63</v>
      </c>
      <c r="Y172" s="4" t="s">
        <v>108</v>
      </c>
      <c r="Z172" s="4" t="s">
        <v>54</v>
      </c>
      <c r="AA172" s="4" t="s">
        <v>486</v>
      </c>
      <c r="AB172" s="23">
        <v>0</v>
      </c>
      <c r="AC172" s="28" t="s">
        <v>9580</v>
      </c>
      <c r="AD172" s="28" t="e">
        <v>#N/A</v>
      </c>
      <c r="AE172" s="28"/>
      <c r="AF172" s="19">
        <v>44004</v>
      </c>
      <c r="AG172" s="19"/>
      <c r="AH172" s="12">
        <f t="shared" si="8"/>
        <v>4</v>
      </c>
      <c r="AI172" s="12">
        <f t="shared" ca="1" si="9"/>
        <v>6</v>
      </c>
      <c r="AJ172" s="12" t="str">
        <f t="shared" si="10"/>
        <v>1-5 Years</v>
      </c>
      <c r="AK172" s="12" t="s">
        <v>9632</v>
      </c>
      <c r="AL172" s="31">
        <v>23</v>
      </c>
      <c r="AM172" s="31">
        <v>36</v>
      </c>
      <c r="AN172" s="12" t="str">
        <f t="shared" si="11"/>
        <v>35-44 Years</v>
      </c>
      <c r="AO172" s="13" t="s">
        <v>9159</v>
      </c>
      <c r="AP172" s="13" t="s">
        <v>9160</v>
      </c>
      <c r="AQ172" s="14" t="s">
        <v>9139</v>
      </c>
      <c r="AR172" s="14" t="s">
        <v>9140</v>
      </c>
      <c r="AS172" s="14"/>
      <c r="AT172" s="14" t="s">
        <v>63</v>
      </c>
      <c r="AU172" s="14" t="s">
        <v>54</v>
      </c>
      <c r="AV172" s="15" t="s">
        <v>9141</v>
      </c>
      <c r="AW172" s="15" t="s">
        <v>9187</v>
      </c>
      <c r="AX172" s="15" t="s">
        <v>9143</v>
      </c>
      <c r="AY172" s="15" t="s">
        <v>9141</v>
      </c>
      <c r="AZ172" s="15" t="s">
        <v>9144</v>
      </c>
      <c r="BA172" s="16" t="s">
        <v>9141</v>
      </c>
      <c r="BB172" s="16" t="s">
        <v>9145</v>
      </c>
    </row>
    <row r="173" spans="1:54" hidden="1" x14ac:dyDescent="0.25">
      <c r="A173" s="4" t="s">
        <v>240</v>
      </c>
      <c r="B173" s="4" t="s">
        <v>9422</v>
      </c>
      <c r="C173" s="4"/>
      <c r="D173" s="4" t="s">
        <v>39</v>
      </c>
      <c r="E173" s="4">
        <v>281818</v>
      </c>
      <c r="F173" s="4" t="s">
        <v>242</v>
      </c>
      <c r="G173" s="32">
        <v>22447</v>
      </c>
      <c r="H173" s="25">
        <v>45471</v>
      </c>
      <c r="I173" s="11">
        <v>0.63541666666666663</v>
      </c>
      <c r="J173" s="4" t="s">
        <v>42</v>
      </c>
      <c r="K173" s="4">
        <v>1011</v>
      </c>
      <c r="L173" s="4" t="s">
        <v>215</v>
      </c>
      <c r="M173" s="4" t="s">
        <v>243</v>
      </c>
      <c r="N173" s="4" t="s">
        <v>244</v>
      </c>
      <c r="O173" s="4" t="s">
        <v>46</v>
      </c>
      <c r="P173" s="4"/>
      <c r="Q173" s="4" t="s">
        <v>47</v>
      </c>
      <c r="R173" s="4" t="s">
        <v>48</v>
      </c>
      <c r="S173" s="4">
        <v>0</v>
      </c>
      <c r="T173" s="4" t="b">
        <v>0</v>
      </c>
      <c r="U173" s="4" t="s">
        <v>61</v>
      </c>
      <c r="V173" s="4" t="s">
        <v>89</v>
      </c>
      <c r="W173" s="4" t="s">
        <v>51</v>
      </c>
      <c r="X173" s="4" t="s">
        <v>52</v>
      </c>
      <c r="Y173" s="4" t="s">
        <v>135</v>
      </c>
      <c r="Z173" s="4" t="s">
        <v>54</v>
      </c>
      <c r="AA173" s="4"/>
      <c r="AB173" s="23">
        <v>0</v>
      </c>
      <c r="AC173" s="28" t="e">
        <v>#N/A</v>
      </c>
      <c r="AD173" s="28" t="e">
        <v>#N/A</v>
      </c>
      <c r="AE173" s="28"/>
      <c r="AF173" s="19">
        <v>35751</v>
      </c>
      <c r="AG173" s="19"/>
      <c r="AH173" s="12">
        <f t="shared" si="8"/>
        <v>26</v>
      </c>
      <c r="AI173" s="12">
        <f t="shared" ca="1" si="9"/>
        <v>28</v>
      </c>
      <c r="AJ173" s="12" t="str">
        <f t="shared" si="10"/>
        <v>26-30 Years</v>
      </c>
      <c r="AK173" s="12" t="s">
        <v>9631</v>
      </c>
      <c r="AL173" s="31">
        <v>38</v>
      </c>
      <c r="AM173" s="31">
        <v>63</v>
      </c>
      <c r="AN173" s="12" t="str">
        <f t="shared" si="11"/>
        <v>More Than 55 Years</v>
      </c>
      <c r="AO173" s="13" t="s">
        <v>9159</v>
      </c>
      <c r="AP173" s="13" t="s">
        <v>9160</v>
      </c>
      <c r="AQ173" s="14" t="s">
        <v>9148</v>
      </c>
      <c r="AR173" s="14" t="s">
        <v>9140</v>
      </c>
      <c r="AS173" s="14"/>
      <c r="AT173" s="14" t="s">
        <v>52</v>
      </c>
      <c r="AU173" s="14" t="s">
        <v>54</v>
      </c>
      <c r="AV173" s="15" t="s">
        <v>9141</v>
      </c>
      <c r="AW173" s="15" t="s">
        <v>9142</v>
      </c>
      <c r="AX173" s="15" t="s">
        <v>9143</v>
      </c>
      <c r="AY173" s="15" t="s">
        <v>9141</v>
      </c>
      <c r="AZ173" s="15" t="s">
        <v>9144</v>
      </c>
      <c r="BA173" s="16" t="s">
        <v>9141</v>
      </c>
      <c r="BB173" s="16" t="s">
        <v>9145</v>
      </c>
    </row>
    <row r="174" spans="1:54" hidden="1" x14ac:dyDescent="0.25">
      <c r="A174" s="4" t="s">
        <v>129</v>
      </c>
      <c r="B174" s="4" t="s">
        <v>9423</v>
      </c>
      <c r="C174" s="4"/>
      <c r="D174" s="4" t="s">
        <v>39</v>
      </c>
      <c r="E174" s="4">
        <v>295782</v>
      </c>
      <c r="F174" s="4" t="s">
        <v>131</v>
      </c>
      <c r="G174" s="32">
        <v>37230</v>
      </c>
      <c r="H174" s="25">
        <v>45473</v>
      </c>
      <c r="I174" s="11">
        <v>0.64583333333333337</v>
      </c>
      <c r="J174" s="4" t="s">
        <v>42</v>
      </c>
      <c r="K174" s="4">
        <v>1006</v>
      </c>
      <c r="L174" s="4" t="s">
        <v>94</v>
      </c>
      <c r="M174" s="4" t="s">
        <v>132</v>
      </c>
      <c r="N174" s="4" t="s">
        <v>133</v>
      </c>
      <c r="O174" s="4" t="s">
        <v>46</v>
      </c>
      <c r="P174" s="4"/>
      <c r="Q174" s="4" t="s">
        <v>47</v>
      </c>
      <c r="R174" s="4" t="s">
        <v>48</v>
      </c>
      <c r="S174" s="4">
        <v>0</v>
      </c>
      <c r="T174" s="4" t="b">
        <v>0</v>
      </c>
      <c r="U174" s="4" t="s">
        <v>49</v>
      </c>
      <c r="V174" s="4" t="s">
        <v>134</v>
      </c>
      <c r="W174" s="4" t="s">
        <v>107</v>
      </c>
      <c r="X174" s="4" t="s">
        <v>52</v>
      </c>
      <c r="Y174" s="4" t="s">
        <v>135</v>
      </c>
      <c r="Z174" s="4" t="s">
        <v>136</v>
      </c>
      <c r="AA174" s="4"/>
      <c r="AB174" s="23">
        <v>0</v>
      </c>
      <c r="AC174" s="28" t="e">
        <v>#N/A</v>
      </c>
      <c r="AD174" s="28" t="e">
        <v>#N/A</v>
      </c>
      <c r="AE174" s="28"/>
      <c r="AF174" s="19">
        <v>43066</v>
      </c>
      <c r="AG174" s="19"/>
      <c r="AH174" s="12">
        <f t="shared" si="8"/>
        <v>6</v>
      </c>
      <c r="AI174" s="12">
        <f t="shared" ca="1" si="9"/>
        <v>8</v>
      </c>
      <c r="AJ174" s="12" t="str">
        <f t="shared" si="10"/>
        <v>6-10 Years</v>
      </c>
      <c r="AK174" s="12" t="s">
        <v>9633</v>
      </c>
      <c r="AL174" s="31">
        <v>0.01</v>
      </c>
      <c r="AM174" s="31">
        <v>23</v>
      </c>
      <c r="AN174" s="12" t="str">
        <f t="shared" si="11"/>
        <v>20-24 Years</v>
      </c>
      <c r="AO174" s="13" t="s">
        <v>9159</v>
      </c>
      <c r="AP174" s="13" t="s">
        <v>9160</v>
      </c>
      <c r="AQ174" s="14" t="s">
        <v>9139</v>
      </c>
      <c r="AR174" s="14" t="s">
        <v>9140</v>
      </c>
      <c r="AS174" s="14"/>
      <c r="AT174" s="14" t="s">
        <v>52</v>
      </c>
      <c r="AU174" s="14" t="s">
        <v>136</v>
      </c>
      <c r="AV174" s="15" t="s">
        <v>9141</v>
      </c>
      <c r="AW174" s="15" t="s">
        <v>9142</v>
      </c>
      <c r="AX174" s="15" t="s">
        <v>9143</v>
      </c>
      <c r="AY174" s="15" t="s">
        <v>9141</v>
      </c>
      <c r="AZ174" s="15" t="s">
        <v>9144</v>
      </c>
      <c r="BA174" s="16" t="s">
        <v>9141</v>
      </c>
      <c r="BB174" s="16" t="s">
        <v>9145</v>
      </c>
    </row>
    <row r="175" spans="1:54" hidden="1" x14ac:dyDescent="0.25">
      <c r="A175" s="4" t="s">
        <v>1085</v>
      </c>
      <c r="B175" s="4" t="s">
        <v>9424</v>
      </c>
      <c r="C175" s="4">
        <v>12240004552</v>
      </c>
      <c r="D175" s="4" t="s">
        <v>39</v>
      </c>
      <c r="E175" s="4">
        <v>321391</v>
      </c>
      <c r="F175" s="4" t="s">
        <v>1087</v>
      </c>
      <c r="G175" s="32">
        <v>24760</v>
      </c>
      <c r="H175" s="25">
        <v>45476</v>
      </c>
      <c r="I175" s="11">
        <v>0.56944444444444442</v>
      </c>
      <c r="J175" s="4" t="s">
        <v>463</v>
      </c>
      <c r="K175" s="4">
        <v>2055</v>
      </c>
      <c r="L175" s="4" t="s">
        <v>1088</v>
      </c>
      <c r="M175" s="4" t="s">
        <v>1089</v>
      </c>
      <c r="N175" s="4" t="s">
        <v>1090</v>
      </c>
      <c r="O175" s="4" t="s">
        <v>28</v>
      </c>
      <c r="P175" s="4" t="s">
        <v>183</v>
      </c>
      <c r="Q175" s="4" t="s">
        <v>863</v>
      </c>
      <c r="R175" s="4" t="s">
        <v>60</v>
      </c>
      <c r="S175" s="4">
        <v>209</v>
      </c>
      <c r="T175" s="4" t="b">
        <v>0</v>
      </c>
      <c r="U175" s="4" t="s">
        <v>184</v>
      </c>
      <c r="V175" s="4" t="s">
        <v>425</v>
      </c>
      <c r="W175" s="4" t="s">
        <v>618</v>
      </c>
      <c r="X175" s="4" t="s">
        <v>123</v>
      </c>
      <c r="Y175" s="4" t="s">
        <v>192</v>
      </c>
      <c r="Z175" s="4" t="s">
        <v>1091</v>
      </c>
      <c r="AA175" s="4" t="s">
        <v>302</v>
      </c>
      <c r="AB175" s="23" t="s">
        <v>60</v>
      </c>
      <c r="AC175" s="28" t="e">
        <v>#N/A</v>
      </c>
      <c r="AD175" s="28" t="e">
        <v>#N/A</v>
      </c>
      <c r="AE175" s="28"/>
      <c r="AF175" s="19">
        <v>44641</v>
      </c>
      <c r="AG175" s="19"/>
      <c r="AH175" s="12">
        <f t="shared" si="8"/>
        <v>2</v>
      </c>
      <c r="AI175" s="12">
        <f t="shared" ca="1" si="9"/>
        <v>4</v>
      </c>
      <c r="AJ175" s="12" t="str">
        <f t="shared" si="10"/>
        <v>1-5 Years</v>
      </c>
      <c r="AK175" s="12" t="s">
        <v>9632</v>
      </c>
      <c r="AL175" s="31">
        <v>27.25</v>
      </c>
      <c r="AM175" s="31">
        <v>57</v>
      </c>
      <c r="AN175" s="12" t="str">
        <f t="shared" si="11"/>
        <v>More Than 55 Years</v>
      </c>
      <c r="AO175" s="13" t="s">
        <v>9158</v>
      </c>
      <c r="AP175" s="13" t="s">
        <v>9155</v>
      </c>
      <c r="AQ175" s="14" t="s">
        <v>9166</v>
      </c>
      <c r="AR175" s="14" t="s">
        <v>28</v>
      </c>
      <c r="AS175" s="14" t="s">
        <v>183</v>
      </c>
      <c r="AT175" s="14" t="s">
        <v>123</v>
      </c>
      <c r="AU175" s="14" t="s">
        <v>1091</v>
      </c>
      <c r="AV175" s="15" t="s">
        <v>9141</v>
      </c>
      <c r="AW175" s="15" t="s">
        <v>9175</v>
      </c>
      <c r="AX175" s="15" t="s">
        <v>9143</v>
      </c>
      <c r="AY175" s="15" t="s">
        <v>9141</v>
      </c>
      <c r="AZ175" s="15" t="s">
        <v>9177</v>
      </c>
      <c r="BA175" s="16" t="s">
        <v>9141</v>
      </c>
      <c r="BB175" s="16" t="s">
        <v>9178</v>
      </c>
    </row>
    <row r="176" spans="1:54" x14ac:dyDescent="0.25">
      <c r="A176" s="4" t="s">
        <v>1415</v>
      </c>
      <c r="B176" s="4" t="s">
        <v>9425</v>
      </c>
      <c r="C176" s="4">
        <v>6990451</v>
      </c>
      <c r="D176" s="4" t="s">
        <v>39</v>
      </c>
      <c r="E176" s="4">
        <v>332438</v>
      </c>
      <c r="F176" s="4" t="s">
        <v>1417</v>
      </c>
      <c r="G176" s="32">
        <v>37451</v>
      </c>
      <c r="H176" s="25">
        <v>45477</v>
      </c>
      <c r="I176" s="11">
        <v>0.5</v>
      </c>
      <c r="J176" s="4" t="s">
        <v>1366</v>
      </c>
      <c r="K176" s="4">
        <v>5060</v>
      </c>
      <c r="L176" s="4" t="s">
        <v>1412</v>
      </c>
      <c r="M176" s="4" t="s">
        <v>1418</v>
      </c>
      <c r="N176" s="4" t="s">
        <v>1419</v>
      </c>
      <c r="O176" s="4" t="s">
        <v>28</v>
      </c>
      <c r="P176" s="4" t="s">
        <v>183</v>
      </c>
      <c r="Q176" s="4" t="s">
        <v>344</v>
      </c>
      <c r="R176" s="4" t="s">
        <v>48</v>
      </c>
      <c r="S176" s="4">
        <v>7</v>
      </c>
      <c r="T176" s="4" t="b">
        <v>0</v>
      </c>
      <c r="U176" s="4" t="s">
        <v>184</v>
      </c>
      <c r="V176" s="4" t="s">
        <v>583</v>
      </c>
      <c r="W176" s="4" t="s">
        <v>584</v>
      </c>
      <c r="X176" s="4" t="s">
        <v>63</v>
      </c>
      <c r="Y176" s="4" t="s">
        <v>108</v>
      </c>
      <c r="Z176" s="4" t="s">
        <v>54</v>
      </c>
      <c r="AA176" s="4"/>
      <c r="AB176" s="23" t="s">
        <v>48</v>
      </c>
      <c r="AC176" s="28" t="e">
        <v>#N/A</v>
      </c>
      <c r="AD176" s="28" t="e">
        <v>#N/A</v>
      </c>
      <c r="AE176" s="28"/>
      <c r="AF176" s="19">
        <v>45257</v>
      </c>
      <c r="AG176" s="19"/>
      <c r="AH176" s="12">
        <f t="shared" si="8"/>
        <v>0</v>
      </c>
      <c r="AI176" s="12">
        <f t="shared" ca="1" si="9"/>
        <v>2</v>
      </c>
      <c r="AJ176" s="12" t="str">
        <f t="shared" si="10"/>
        <v>Under 1 Year</v>
      </c>
      <c r="AK176" s="12" t="s">
        <v>10046</v>
      </c>
      <c r="AL176" s="31">
        <v>38</v>
      </c>
      <c r="AM176" s="31">
        <v>22</v>
      </c>
      <c r="AN176" s="12" t="str">
        <f t="shared" si="11"/>
        <v>20-24 Years</v>
      </c>
      <c r="AO176" s="13" t="s">
        <v>9158</v>
      </c>
      <c r="AP176" s="13" t="s">
        <v>9155</v>
      </c>
      <c r="AQ176" s="14" t="s">
        <v>9166</v>
      </c>
      <c r="AR176" s="14" t="s">
        <v>28</v>
      </c>
      <c r="AS176" s="14" t="s">
        <v>183</v>
      </c>
      <c r="AT176" s="14" t="s">
        <v>63</v>
      </c>
      <c r="AU176" s="14" t="s">
        <v>54</v>
      </c>
      <c r="AV176" s="15" t="s">
        <v>9141</v>
      </c>
      <c r="AW176" s="15" t="s">
        <v>9188</v>
      </c>
      <c r="AX176" s="15" t="s">
        <v>9143</v>
      </c>
      <c r="AY176" s="15" t="s">
        <v>9141</v>
      </c>
      <c r="AZ176" s="15" t="s">
        <v>9191</v>
      </c>
      <c r="BA176" s="16" t="s">
        <v>9141</v>
      </c>
      <c r="BB176" s="16" t="s">
        <v>9192</v>
      </c>
    </row>
    <row r="177" spans="1:54" hidden="1" x14ac:dyDescent="0.25">
      <c r="A177" s="4" t="s">
        <v>823</v>
      </c>
      <c r="B177" s="4" t="s">
        <v>9426</v>
      </c>
      <c r="C177" s="4"/>
      <c r="D177" s="4" t="s">
        <v>39</v>
      </c>
      <c r="E177" s="4">
        <v>296309</v>
      </c>
      <c r="F177" s="4" t="s">
        <v>825</v>
      </c>
      <c r="G177" s="32">
        <v>35811</v>
      </c>
      <c r="H177" s="25">
        <v>45481</v>
      </c>
      <c r="I177" s="11">
        <v>0.51180555555555551</v>
      </c>
      <c r="J177" s="4" t="s">
        <v>463</v>
      </c>
      <c r="K177" s="4">
        <v>2028</v>
      </c>
      <c r="L177" s="4" t="s">
        <v>804</v>
      </c>
      <c r="M177" s="4" t="s">
        <v>826</v>
      </c>
      <c r="N177" s="4" t="s">
        <v>827</v>
      </c>
      <c r="O177" s="4" t="s">
        <v>46</v>
      </c>
      <c r="P177" s="4"/>
      <c r="Q177" s="4" t="s">
        <v>47</v>
      </c>
      <c r="R177" s="4" t="s">
        <v>48</v>
      </c>
      <c r="S177" s="4">
        <v>0</v>
      </c>
      <c r="T177" s="4" t="b">
        <v>0</v>
      </c>
      <c r="U177" s="4" t="s">
        <v>61</v>
      </c>
      <c r="V177" s="4" t="s">
        <v>89</v>
      </c>
      <c r="W177" s="4" t="s">
        <v>107</v>
      </c>
      <c r="X177" s="4" t="s">
        <v>63</v>
      </c>
      <c r="Y177" s="4" t="s">
        <v>108</v>
      </c>
      <c r="Z177" s="4" t="s">
        <v>54</v>
      </c>
      <c r="AA177" s="4"/>
      <c r="AB177" s="23">
        <v>0</v>
      </c>
      <c r="AC177" s="28" t="e">
        <v>#N/A</v>
      </c>
      <c r="AD177" s="28" t="e">
        <v>#N/A</v>
      </c>
      <c r="AE177" s="28"/>
      <c r="AF177" s="19">
        <v>43381</v>
      </c>
      <c r="AG177" s="19"/>
      <c r="AH177" s="12">
        <f t="shared" si="8"/>
        <v>5</v>
      </c>
      <c r="AI177" s="12">
        <f t="shared" ca="1" si="9"/>
        <v>7</v>
      </c>
      <c r="AJ177" s="12" t="str">
        <f t="shared" si="10"/>
        <v>1-5 Years</v>
      </c>
      <c r="AK177" s="12" t="s">
        <v>9631</v>
      </c>
      <c r="AL177" s="31">
        <v>38</v>
      </c>
      <c r="AM177" s="31">
        <v>27</v>
      </c>
      <c r="AN177" s="12" t="str">
        <f t="shared" si="11"/>
        <v>25-34 Years</v>
      </c>
      <c r="AO177" s="13" t="s">
        <v>9158</v>
      </c>
      <c r="AP177" s="13" t="s">
        <v>9155</v>
      </c>
      <c r="AQ177" s="14" t="s">
        <v>9148</v>
      </c>
      <c r="AR177" s="14" t="s">
        <v>9140</v>
      </c>
      <c r="AS177" s="14"/>
      <c r="AT177" s="14" t="s">
        <v>63</v>
      </c>
      <c r="AU177" s="14" t="s">
        <v>54</v>
      </c>
      <c r="AV177" s="15" t="s">
        <v>9141</v>
      </c>
      <c r="AW177" s="15" t="s">
        <v>9175</v>
      </c>
      <c r="AX177" s="15" t="s">
        <v>9143</v>
      </c>
      <c r="AY177" s="15" t="s">
        <v>9141</v>
      </c>
      <c r="AZ177" s="15" t="s">
        <v>9175</v>
      </c>
      <c r="BA177" s="16" t="s">
        <v>9141</v>
      </c>
      <c r="BB177" s="16" t="s">
        <v>9176</v>
      </c>
    </row>
    <row r="178" spans="1:54" hidden="1" x14ac:dyDescent="0.25">
      <c r="A178" s="4" t="s">
        <v>1651</v>
      </c>
      <c r="B178" s="4" t="s">
        <v>9427</v>
      </c>
      <c r="C178" s="4"/>
      <c r="D178" s="4" t="s">
        <v>39</v>
      </c>
      <c r="E178" s="4">
        <v>406988</v>
      </c>
      <c r="F178" s="4" t="s">
        <v>1653</v>
      </c>
      <c r="G178" s="32">
        <v>28312</v>
      </c>
      <c r="H178" s="25">
        <v>45483</v>
      </c>
      <c r="I178" s="11">
        <v>0.33888888888888891</v>
      </c>
      <c r="J178" s="4" t="s">
        <v>1654</v>
      </c>
      <c r="K178" s="4">
        <v>9086</v>
      </c>
      <c r="L178" s="4" t="s">
        <v>1655</v>
      </c>
      <c r="M178" s="4" t="s">
        <v>1656</v>
      </c>
      <c r="N178" s="4" t="s">
        <v>1657</v>
      </c>
      <c r="O178" s="4" t="s">
        <v>46</v>
      </c>
      <c r="P178" s="4"/>
      <c r="Q178" s="4" t="s">
        <v>47</v>
      </c>
      <c r="R178" s="4" t="s">
        <v>48</v>
      </c>
      <c r="S178" s="4">
        <v>0</v>
      </c>
      <c r="T178" s="4" t="b">
        <v>0</v>
      </c>
      <c r="U178" s="4" t="s">
        <v>61</v>
      </c>
      <c r="V178" s="4" t="s">
        <v>89</v>
      </c>
      <c r="W178" s="4" t="s">
        <v>148</v>
      </c>
      <c r="X178" s="4" t="s">
        <v>52</v>
      </c>
      <c r="Y178" s="4" t="s">
        <v>255</v>
      </c>
      <c r="Z178" s="4" t="s">
        <v>54</v>
      </c>
      <c r="AA178" s="4"/>
      <c r="AB178" s="23">
        <v>0</v>
      </c>
      <c r="AC178" s="28" t="e">
        <v>#N/A</v>
      </c>
      <c r="AD178" s="28" t="e">
        <v>#N/A</v>
      </c>
      <c r="AE178" s="28"/>
      <c r="AF178" s="19">
        <v>43150</v>
      </c>
      <c r="AG178" s="19"/>
      <c r="AH178" s="12">
        <f t="shared" si="8"/>
        <v>6</v>
      </c>
      <c r="AI178" s="12">
        <f t="shared" ca="1" si="9"/>
        <v>8</v>
      </c>
      <c r="AJ178" s="12" t="str">
        <f t="shared" si="10"/>
        <v>6-10 Years</v>
      </c>
      <c r="AK178" s="12" t="s">
        <v>10046</v>
      </c>
      <c r="AL178" s="31">
        <v>38</v>
      </c>
      <c r="AM178" s="31">
        <v>47</v>
      </c>
      <c r="AN178" s="12" t="str">
        <f t="shared" si="11"/>
        <v>45-54 Years</v>
      </c>
      <c r="AO178" s="13" t="s">
        <v>9158</v>
      </c>
      <c r="AP178" s="13" t="s">
        <v>9155</v>
      </c>
      <c r="AQ178" s="14" t="s">
        <v>9148</v>
      </c>
      <c r="AR178" s="14" t="s">
        <v>9140</v>
      </c>
      <c r="AS178" s="14"/>
      <c r="AT178" s="14" t="s">
        <v>52</v>
      </c>
      <c r="AU178" s="14" t="s">
        <v>54</v>
      </c>
      <c r="AV178" s="15" t="s">
        <v>9141</v>
      </c>
      <c r="AW178" s="15" t="s">
        <v>9191</v>
      </c>
      <c r="AX178" s="15" t="s">
        <v>9143</v>
      </c>
      <c r="AY178" s="15" t="s">
        <v>9141</v>
      </c>
      <c r="AZ178" s="15" t="s">
        <v>9191</v>
      </c>
      <c r="BA178" s="16" t="s">
        <v>9141</v>
      </c>
      <c r="BB178" s="16" t="s">
        <v>9192</v>
      </c>
    </row>
    <row r="179" spans="1:54" hidden="1" x14ac:dyDescent="0.25">
      <c r="A179" s="4" t="s">
        <v>1677</v>
      </c>
      <c r="B179" s="4" t="s">
        <v>9428</v>
      </c>
      <c r="C179" s="4"/>
      <c r="D179" s="4" t="s">
        <v>39</v>
      </c>
      <c r="E179" s="4">
        <v>334890</v>
      </c>
      <c r="F179" s="4" t="s">
        <v>1679</v>
      </c>
      <c r="G179" s="32">
        <v>38734</v>
      </c>
      <c r="H179" s="25">
        <v>45483</v>
      </c>
      <c r="I179" s="11">
        <v>0.40972222222222221</v>
      </c>
      <c r="J179" s="4" t="s">
        <v>1654</v>
      </c>
      <c r="K179" s="4">
        <v>9087</v>
      </c>
      <c r="L179" s="4" t="s">
        <v>1666</v>
      </c>
      <c r="M179" s="4" t="s">
        <v>1680</v>
      </c>
      <c r="N179" s="4" t="s">
        <v>1681</v>
      </c>
      <c r="O179" s="4" t="s">
        <v>46</v>
      </c>
      <c r="P179" s="4"/>
      <c r="Q179" s="4" t="s">
        <v>47</v>
      </c>
      <c r="R179" s="4" t="s">
        <v>48</v>
      </c>
      <c r="S179" s="4">
        <v>0</v>
      </c>
      <c r="T179" s="4" t="b">
        <v>0</v>
      </c>
      <c r="U179" s="4" t="s">
        <v>49</v>
      </c>
      <c r="V179" s="4" t="s">
        <v>70</v>
      </c>
      <c r="W179" s="4" t="s">
        <v>71</v>
      </c>
      <c r="X179" s="4" t="s">
        <v>63</v>
      </c>
      <c r="Y179" s="4" t="s">
        <v>198</v>
      </c>
      <c r="Z179" s="4" t="s">
        <v>54</v>
      </c>
      <c r="AA179" s="4"/>
      <c r="AB179" s="23">
        <v>0</v>
      </c>
      <c r="AC179" s="28" t="e">
        <v>#N/A</v>
      </c>
      <c r="AD179" s="28" t="e">
        <v>#N/A</v>
      </c>
      <c r="AE179" s="28"/>
      <c r="AF179" s="19">
        <v>45460</v>
      </c>
      <c r="AG179" s="19"/>
      <c r="AH179" s="12">
        <f t="shared" si="8"/>
        <v>0</v>
      </c>
      <c r="AI179" s="12">
        <f t="shared" ca="1" si="9"/>
        <v>2</v>
      </c>
      <c r="AJ179" s="12" t="str">
        <f t="shared" si="10"/>
        <v>Under 1 Year</v>
      </c>
      <c r="AK179" s="12" t="s">
        <v>9633</v>
      </c>
      <c r="AL179" s="31">
        <v>0.01</v>
      </c>
      <c r="AM179" s="31">
        <v>19</v>
      </c>
      <c r="AN179" s="12" t="str">
        <f t="shared" si="11"/>
        <v>Less Than 20 Years</v>
      </c>
      <c r="AO179" s="13" t="s">
        <v>9158</v>
      </c>
      <c r="AP179" s="13" t="s">
        <v>9155</v>
      </c>
      <c r="AQ179" s="14" t="s">
        <v>9139</v>
      </c>
      <c r="AR179" s="14" t="s">
        <v>9140</v>
      </c>
      <c r="AS179" s="14"/>
      <c r="AT179" s="14" t="s">
        <v>63</v>
      </c>
      <c r="AU179" s="14" t="s">
        <v>54</v>
      </c>
      <c r="AV179" s="15" t="s">
        <v>9141</v>
      </c>
      <c r="AW179" s="15" t="s">
        <v>9191</v>
      </c>
      <c r="AX179" s="15" t="s">
        <v>9143</v>
      </c>
      <c r="AY179" s="15" t="s">
        <v>9141</v>
      </c>
      <c r="AZ179" s="15" t="s">
        <v>9191</v>
      </c>
      <c r="BA179" s="16" t="s">
        <v>9141</v>
      </c>
      <c r="BB179" s="16" t="s">
        <v>9192</v>
      </c>
    </row>
    <row r="180" spans="1:54" hidden="1" x14ac:dyDescent="0.25">
      <c r="A180" s="4" t="s">
        <v>1766</v>
      </c>
      <c r="B180" s="4" t="s">
        <v>9429</v>
      </c>
      <c r="C180" s="4"/>
      <c r="D180" s="4" t="s">
        <v>39</v>
      </c>
      <c r="E180" s="4">
        <v>295734</v>
      </c>
      <c r="F180" s="4" t="s">
        <v>1768</v>
      </c>
      <c r="G180" s="32">
        <v>37271</v>
      </c>
      <c r="H180" s="25">
        <v>45484</v>
      </c>
      <c r="I180" s="11">
        <v>0.50208333333333333</v>
      </c>
      <c r="J180" s="4" t="s">
        <v>1654</v>
      </c>
      <c r="K180" s="4">
        <v>9095</v>
      </c>
      <c r="L180" s="4" t="s">
        <v>1742</v>
      </c>
      <c r="M180" s="4" t="s">
        <v>1769</v>
      </c>
      <c r="N180" s="4" t="s">
        <v>1770</v>
      </c>
      <c r="O180" s="4" t="s">
        <v>46</v>
      </c>
      <c r="P180" s="4"/>
      <c r="Q180" s="4" t="s">
        <v>47</v>
      </c>
      <c r="R180" s="4" t="s">
        <v>48</v>
      </c>
      <c r="S180" s="4">
        <v>0</v>
      </c>
      <c r="T180" s="4" t="b">
        <v>0</v>
      </c>
      <c r="U180" s="4" t="s">
        <v>61</v>
      </c>
      <c r="V180" s="4" t="s">
        <v>89</v>
      </c>
      <c r="W180" s="4" t="s">
        <v>140</v>
      </c>
      <c r="X180" s="4" t="s">
        <v>52</v>
      </c>
      <c r="Y180" s="4" t="s">
        <v>135</v>
      </c>
      <c r="Z180" s="4" t="s">
        <v>54</v>
      </c>
      <c r="AA180" s="4"/>
      <c r="AB180" s="23">
        <v>0</v>
      </c>
      <c r="AC180" s="28" t="e">
        <v>#N/A</v>
      </c>
      <c r="AD180" s="28" t="e">
        <v>#N/A</v>
      </c>
      <c r="AE180" s="28"/>
      <c r="AF180" s="19">
        <v>43024</v>
      </c>
      <c r="AG180" s="19"/>
      <c r="AH180" s="12">
        <f t="shared" si="8"/>
        <v>6</v>
      </c>
      <c r="AI180" s="12">
        <f t="shared" ca="1" si="9"/>
        <v>8</v>
      </c>
      <c r="AJ180" s="12" t="str">
        <f t="shared" si="10"/>
        <v>6-10 Years</v>
      </c>
      <c r="AK180" s="12" t="s">
        <v>9632</v>
      </c>
      <c r="AL180" s="31">
        <v>19</v>
      </c>
      <c r="AM180" s="31">
        <v>23</v>
      </c>
      <c r="AN180" s="12" t="str">
        <f t="shared" si="11"/>
        <v>20-24 Years</v>
      </c>
      <c r="AO180" s="13" t="s">
        <v>9158</v>
      </c>
      <c r="AP180" s="13" t="s">
        <v>9155</v>
      </c>
      <c r="AQ180" s="14" t="s">
        <v>9148</v>
      </c>
      <c r="AR180" s="14" t="s">
        <v>9140</v>
      </c>
      <c r="AS180" s="14"/>
      <c r="AT180" s="14" t="s">
        <v>52</v>
      </c>
      <c r="AU180" s="14" t="s">
        <v>54</v>
      </c>
      <c r="AV180" s="15" t="s">
        <v>9141</v>
      </c>
      <c r="AW180" s="15" t="s">
        <v>9191</v>
      </c>
      <c r="AX180" s="15" t="s">
        <v>9143</v>
      </c>
      <c r="AY180" s="15" t="s">
        <v>9141</v>
      </c>
      <c r="AZ180" s="15" t="s">
        <v>9191</v>
      </c>
      <c r="BA180" s="16" t="s">
        <v>9141</v>
      </c>
      <c r="BB180" s="16" t="s">
        <v>9192</v>
      </c>
    </row>
    <row r="181" spans="1:54" hidden="1" x14ac:dyDescent="0.25">
      <c r="A181" s="4" t="s">
        <v>1698</v>
      </c>
      <c r="B181" s="4" t="s">
        <v>9430</v>
      </c>
      <c r="C181" s="4"/>
      <c r="D181" s="4" t="s">
        <v>39</v>
      </c>
      <c r="E181" s="4">
        <v>331926</v>
      </c>
      <c r="F181" s="4" t="s">
        <v>1700</v>
      </c>
      <c r="G181" s="32">
        <v>30623</v>
      </c>
      <c r="H181" s="25">
        <v>45486</v>
      </c>
      <c r="I181" s="11">
        <v>0.58333333333333337</v>
      </c>
      <c r="J181" s="4" t="s">
        <v>1654</v>
      </c>
      <c r="K181" s="4">
        <v>9088</v>
      </c>
      <c r="L181" s="4" t="s">
        <v>1701</v>
      </c>
      <c r="M181" s="4" t="s">
        <v>1245</v>
      </c>
      <c r="N181" s="4" t="s">
        <v>1702</v>
      </c>
      <c r="O181" s="4" t="s">
        <v>46</v>
      </c>
      <c r="P181" s="4"/>
      <c r="Q181" s="4" t="s">
        <v>47</v>
      </c>
      <c r="R181" s="4" t="s">
        <v>48</v>
      </c>
      <c r="S181" s="4">
        <v>0</v>
      </c>
      <c r="T181" s="4" t="b">
        <v>0</v>
      </c>
      <c r="U181" s="4" t="s">
        <v>61</v>
      </c>
      <c r="V181" s="4" t="s">
        <v>583</v>
      </c>
      <c r="W181" s="4" t="s">
        <v>148</v>
      </c>
      <c r="X181" s="4" t="s">
        <v>52</v>
      </c>
      <c r="Y181" s="4" t="s">
        <v>53</v>
      </c>
      <c r="Z181" s="4" t="s">
        <v>54</v>
      </c>
      <c r="AA181" s="4"/>
      <c r="AB181" s="23">
        <v>0</v>
      </c>
      <c r="AC181" s="28" t="e">
        <v>#N/A</v>
      </c>
      <c r="AD181" s="28" t="e">
        <v>#N/A</v>
      </c>
      <c r="AE181" s="28"/>
      <c r="AF181" s="19">
        <v>45229</v>
      </c>
      <c r="AG181" s="19"/>
      <c r="AH181" s="12">
        <f t="shared" si="8"/>
        <v>0</v>
      </c>
      <c r="AI181" s="12">
        <f t="shared" ca="1" si="9"/>
        <v>2</v>
      </c>
      <c r="AJ181" s="12" t="str">
        <f t="shared" si="10"/>
        <v>Under 1 Year</v>
      </c>
      <c r="AK181" s="12" t="s">
        <v>9632</v>
      </c>
      <c r="AL181" s="31">
        <v>14.75</v>
      </c>
      <c r="AM181" s="31">
        <v>41</v>
      </c>
      <c r="AN181" s="12" t="str">
        <f t="shared" si="11"/>
        <v>35-44 Years</v>
      </c>
      <c r="AO181" s="13" t="s">
        <v>9158</v>
      </c>
      <c r="AP181" s="13" t="s">
        <v>9155</v>
      </c>
      <c r="AQ181" s="14" t="s">
        <v>9148</v>
      </c>
      <c r="AR181" s="14" t="s">
        <v>9140</v>
      </c>
      <c r="AS181" s="14"/>
      <c r="AT181" s="14" t="s">
        <v>52</v>
      </c>
      <c r="AU181" s="14" t="s">
        <v>54</v>
      </c>
      <c r="AV181" s="15" t="s">
        <v>9141</v>
      </c>
      <c r="AW181" s="15" t="s">
        <v>9191</v>
      </c>
      <c r="AX181" s="15" t="s">
        <v>9143</v>
      </c>
      <c r="AY181" s="15" t="s">
        <v>9141</v>
      </c>
      <c r="AZ181" s="15" t="s">
        <v>9191</v>
      </c>
      <c r="BA181" s="16" t="s">
        <v>9141</v>
      </c>
      <c r="BB181" s="16" t="s">
        <v>9192</v>
      </c>
    </row>
    <row r="182" spans="1:54" hidden="1" x14ac:dyDescent="0.25">
      <c r="A182" s="4" t="s">
        <v>795</v>
      </c>
      <c r="B182" s="4" t="s">
        <v>9431</v>
      </c>
      <c r="C182" s="4"/>
      <c r="D182" s="4" t="s">
        <v>39</v>
      </c>
      <c r="E182" s="4">
        <v>406963</v>
      </c>
      <c r="F182" s="4" t="s">
        <v>797</v>
      </c>
      <c r="G182" s="32">
        <v>29531</v>
      </c>
      <c r="H182" s="25">
        <v>45488</v>
      </c>
      <c r="I182" s="11">
        <v>0.5625</v>
      </c>
      <c r="J182" s="4" t="s">
        <v>463</v>
      </c>
      <c r="K182" s="4">
        <v>2027</v>
      </c>
      <c r="L182" s="4" t="s">
        <v>798</v>
      </c>
      <c r="M182" s="4" t="s">
        <v>799</v>
      </c>
      <c r="N182" s="4" t="s">
        <v>800</v>
      </c>
      <c r="O182" s="4" t="s">
        <v>46</v>
      </c>
      <c r="P182" s="4"/>
      <c r="Q182" s="4" t="s">
        <v>47</v>
      </c>
      <c r="R182" s="4" t="s">
        <v>48</v>
      </c>
      <c r="S182" s="4">
        <v>0</v>
      </c>
      <c r="T182" s="4" t="b">
        <v>0</v>
      </c>
      <c r="U182" s="4" t="s">
        <v>49</v>
      </c>
      <c r="V182" s="4" t="s">
        <v>70</v>
      </c>
      <c r="W182" s="4" t="s">
        <v>71</v>
      </c>
      <c r="X182" s="4" t="s">
        <v>72</v>
      </c>
      <c r="Y182" s="4" t="s">
        <v>73</v>
      </c>
      <c r="Z182" s="4" t="s">
        <v>98</v>
      </c>
      <c r="AA182" s="4"/>
      <c r="AB182" s="23">
        <v>0</v>
      </c>
      <c r="AC182" s="28" t="e">
        <v>#N/A</v>
      </c>
      <c r="AD182" s="28" t="e">
        <v>#N/A</v>
      </c>
      <c r="AE182" s="28"/>
      <c r="AF182" s="19">
        <v>43024</v>
      </c>
      <c r="AG182" s="19"/>
      <c r="AH182" s="12">
        <f t="shared" si="8"/>
        <v>6</v>
      </c>
      <c r="AI182" s="12">
        <f t="shared" ca="1" si="9"/>
        <v>8</v>
      </c>
      <c r="AJ182" s="12" t="str">
        <f t="shared" si="10"/>
        <v>6-10 Years</v>
      </c>
      <c r="AK182" s="12" t="s">
        <v>10046</v>
      </c>
      <c r="AL182" s="31">
        <v>38</v>
      </c>
      <c r="AM182" s="31">
        <v>44</v>
      </c>
      <c r="AN182" s="12" t="str">
        <f t="shared" si="11"/>
        <v>35-44 Years</v>
      </c>
      <c r="AO182" s="13" t="s">
        <v>9158</v>
      </c>
      <c r="AP182" s="13" t="s">
        <v>9155</v>
      </c>
      <c r="AQ182" s="14" t="s">
        <v>9139</v>
      </c>
      <c r="AR182" s="14" t="s">
        <v>9140</v>
      </c>
      <c r="AS182" s="14"/>
      <c r="AT182" s="14" t="s">
        <v>72</v>
      </c>
      <c r="AU182" s="14" t="s">
        <v>98</v>
      </c>
      <c r="AV182" s="15" t="s">
        <v>9141</v>
      </c>
      <c r="AW182" s="15" t="s">
        <v>9175</v>
      </c>
      <c r="AX182" s="15" t="s">
        <v>9143</v>
      </c>
      <c r="AY182" s="15" t="s">
        <v>9141</v>
      </c>
      <c r="AZ182" s="15" t="s">
        <v>9177</v>
      </c>
      <c r="BA182" s="16" t="s">
        <v>9141</v>
      </c>
      <c r="BB182" s="16" t="s">
        <v>9178</v>
      </c>
    </row>
    <row r="183" spans="1:54" x14ac:dyDescent="0.25">
      <c r="A183" s="4" t="s">
        <v>1559</v>
      </c>
      <c r="B183" s="4" t="s">
        <v>9432</v>
      </c>
      <c r="C183" s="4"/>
      <c r="D183" s="4" t="s">
        <v>39</v>
      </c>
      <c r="E183" s="4">
        <v>296522</v>
      </c>
      <c r="F183" s="4" t="s">
        <v>1536</v>
      </c>
      <c r="G183" s="32">
        <v>26070</v>
      </c>
      <c r="H183" s="25">
        <v>45488</v>
      </c>
      <c r="I183" s="11">
        <v>0.53472222222222221</v>
      </c>
      <c r="J183" s="4" t="s">
        <v>1366</v>
      </c>
      <c r="K183" s="4">
        <v>6068</v>
      </c>
      <c r="L183" s="4" t="s">
        <v>1537</v>
      </c>
      <c r="M183" s="4" t="s">
        <v>1560</v>
      </c>
      <c r="N183" s="4" t="s">
        <v>1561</v>
      </c>
      <c r="O183" s="4" t="s">
        <v>46</v>
      </c>
      <c r="P183" s="4"/>
      <c r="Q183" s="4" t="s">
        <v>47</v>
      </c>
      <c r="R183" s="4" t="s">
        <v>48</v>
      </c>
      <c r="S183" s="4">
        <v>0</v>
      </c>
      <c r="T183" s="4" t="b">
        <v>0</v>
      </c>
      <c r="U183" s="4" t="s">
        <v>61</v>
      </c>
      <c r="V183" s="4" t="s">
        <v>89</v>
      </c>
      <c r="W183" s="4" t="s">
        <v>345</v>
      </c>
      <c r="X183" s="4" t="s">
        <v>123</v>
      </c>
      <c r="Y183" s="4" t="s">
        <v>124</v>
      </c>
      <c r="Z183" s="4" t="s">
        <v>54</v>
      </c>
      <c r="AA183" s="4"/>
      <c r="AB183" s="23">
        <v>0</v>
      </c>
      <c r="AC183" s="28" t="e">
        <v>#N/A</v>
      </c>
      <c r="AD183" s="28" t="e">
        <v>#N/A</v>
      </c>
      <c r="AE183" s="28"/>
      <c r="AF183" s="19">
        <v>43577</v>
      </c>
      <c r="AG183" s="19"/>
      <c r="AH183" s="12">
        <f t="shared" si="8"/>
        <v>5</v>
      </c>
      <c r="AI183" s="12">
        <f t="shared" ca="1" si="9"/>
        <v>7</v>
      </c>
      <c r="AJ183" s="12" t="str">
        <f t="shared" si="10"/>
        <v>1-5 Years</v>
      </c>
      <c r="AK183" s="12" t="s">
        <v>9632</v>
      </c>
      <c r="AL183" s="31">
        <v>32.25</v>
      </c>
      <c r="AM183" s="31">
        <v>53</v>
      </c>
      <c r="AN183" s="12" t="str">
        <f t="shared" si="11"/>
        <v>45-54 Years</v>
      </c>
      <c r="AO183" s="13" t="s">
        <v>9158</v>
      </c>
      <c r="AP183" s="13" t="s">
        <v>9155</v>
      </c>
      <c r="AQ183" s="14" t="s">
        <v>9148</v>
      </c>
      <c r="AR183" s="14" t="s">
        <v>9140</v>
      </c>
      <c r="AS183" s="14"/>
      <c r="AT183" s="14" t="s">
        <v>123</v>
      </c>
      <c r="AU183" s="14" t="s">
        <v>54</v>
      </c>
      <c r="AV183" s="15" t="s">
        <v>9141</v>
      </c>
      <c r="AW183" s="15" t="s">
        <v>9188</v>
      </c>
      <c r="AX183" s="15" t="s">
        <v>9143</v>
      </c>
      <c r="AY183" s="15" t="s">
        <v>9141</v>
      </c>
      <c r="AZ183" s="15" t="s">
        <v>9189</v>
      </c>
      <c r="BA183" s="16" t="s">
        <v>9141</v>
      </c>
      <c r="BB183" s="16" t="s">
        <v>9190</v>
      </c>
    </row>
    <row r="184" spans="1:54" hidden="1" x14ac:dyDescent="0.25">
      <c r="A184" s="4" t="s">
        <v>1247</v>
      </c>
      <c r="B184" s="4" t="s">
        <v>9433</v>
      </c>
      <c r="C184" s="4"/>
      <c r="D184" s="4" t="s">
        <v>39</v>
      </c>
      <c r="E184" s="4">
        <v>297563</v>
      </c>
      <c r="F184" s="4" t="s">
        <v>1226</v>
      </c>
      <c r="G184" s="32">
        <v>35423</v>
      </c>
      <c r="H184" s="25">
        <v>45490</v>
      </c>
      <c r="I184" s="11">
        <v>0.7006944444444444</v>
      </c>
      <c r="J184" s="4" t="s">
        <v>1155</v>
      </c>
      <c r="K184" s="4">
        <v>4043</v>
      </c>
      <c r="L184" s="4" t="s">
        <v>1200</v>
      </c>
      <c r="M184" s="4" t="s">
        <v>1248</v>
      </c>
      <c r="N184" s="4" t="s">
        <v>1249</v>
      </c>
      <c r="O184" s="4" t="s">
        <v>46</v>
      </c>
      <c r="P184" s="4"/>
      <c r="Q184" s="4" t="s">
        <v>47</v>
      </c>
      <c r="R184" s="4" t="s">
        <v>48</v>
      </c>
      <c r="S184" s="4">
        <v>0</v>
      </c>
      <c r="T184" s="4" t="b">
        <v>0</v>
      </c>
      <c r="U184" s="4" t="s">
        <v>61</v>
      </c>
      <c r="V184" s="4" t="s">
        <v>50</v>
      </c>
      <c r="W184" s="4" t="s">
        <v>90</v>
      </c>
      <c r="X184" s="4" t="s">
        <v>63</v>
      </c>
      <c r="Y184" s="4" t="s">
        <v>108</v>
      </c>
      <c r="Z184" s="4" t="s">
        <v>774</v>
      </c>
      <c r="AA184" s="4" t="s">
        <v>486</v>
      </c>
      <c r="AB184" s="23">
        <v>0</v>
      </c>
      <c r="AC184" s="28" t="e">
        <v>#N/A</v>
      </c>
      <c r="AD184" s="28" t="e">
        <v>#N/A</v>
      </c>
      <c r="AE184" s="28"/>
      <c r="AF184" s="19">
        <v>44424</v>
      </c>
      <c r="AG184" s="19"/>
      <c r="AH184" s="12">
        <f t="shared" si="8"/>
        <v>2</v>
      </c>
      <c r="AI184" s="12">
        <f t="shared" ca="1" si="9"/>
        <v>5</v>
      </c>
      <c r="AJ184" s="12" t="str">
        <f t="shared" si="10"/>
        <v>1-5 Years</v>
      </c>
      <c r="AK184" s="12" t="s">
        <v>9632</v>
      </c>
      <c r="AL184" s="31">
        <v>31</v>
      </c>
      <c r="AM184" s="31">
        <v>28</v>
      </c>
      <c r="AN184" s="12" t="str">
        <f t="shared" si="11"/>
        <v>25-34 Years</v>
      </c>
      <c r="AO184" s="13" t="s">
        <v>9158</v>
      </c>
      <c r="AP184" s="13" t="s">
        <v>9155</v>
      </c>
      <c r="AQ184" s="14" t="s">
        <v>9148</v>
      </c>
      <c r="AR184" s="14" t="s">
        <v>9140</v>
      </c>
      <c r="AS184" s="14"/>
      <c r="AT184" s="14" t="s">
        <v>63</v>
      </c>
      <c r="AU184" s="14" t="s">
        <v>774</v>
      </c>
      <c r="AV184" s="15" t="s">
        <v>9141</v>
      </c>
      <c r="AW184" s="15" t="s">
        <v>9187</v>
      </c>
      <c r="AX184" s="15" t="s">
        <v>9143</v>
      </c>
      <c r="AY184" s="15" t="s">
        <v>9141</v>
      </c>
      <c r="AZ184" s="15" t="s">
        <v>9144</v>
      </c>
      <c r="BA184" s="16" t="s">
        <v>9141</v>
      </c>
      <c r="BB184" s="16" t="s">
        <v>9145</v>
      </c>
    </row>
    <row r="185" spans="1:54" hidden="1" x14ac:dyDescent="0.25">
      <c r="A185" s="4" t="s">
        <v>235</v>
      </c>
      <c r="B185" s="4" t="s">
        <v>9434</v>
      </c>
      <c r="C185" s="4"/>
      <c r="D185" s="4" t="s">
        <v>39</v>
      </c>
      <c r="E185" s="4">
        <v>318097</v>
      </c>
      <c r="F185" s="4" t="s">
        <v>237</v>
      </c>
      <c r="G185" s="32">
        <v>38540</v>
      </c>
      <c r="H185" s="25">
        <v>45491</v>
      </c>
      <c r="I185" s="11">
        <v>0.42708333333333331</v>
      </c>
      <c r="J185" s="4" t="s">
        <v>42</v>
      </c>
      <c r="K185" s="4">
        <v>1011</v>
      </c>
      <c r="L185" s="4" t="s">
        <v>215</v>
      </c>
      <c r="M185" s="4" t="s">
        <v>238</v>
      </c>
      <c r="N185" s="4" t="s">
        <v>239</v>
      </c>
      <c r="O185" s="4" t="s">
        <v>46</v>
      </c>
      <c r="P185" s="4"/>
      <c r="Q185" s="4" t="s">
        <v>47</v>
      </c>
      <c r="R185" s="4" t="s">
        <v>48</v>
      </c>
      <c r="S185" s="4">
        <v>0</v>
      </c>
      <c r="T185" s="4" t="b">
        <v>0</v>
      </c>
      <c r="U185" s="4" t="s">
        <v>49</v>
      </c>
      <c r="V185" s="4" t="s">
        <v>70</v>
      </c>
      <c r="W185" s="4" t="s">
        <v>71</v>
      </c>
      <c r="X185" s="4" t="s">
        <v>63</v>
      </c>
      <c r="Y185" s="4" t="s">
        <v>198</v>
      </c>
      <c r="Z185" s="4" t="s">
        <v>54</v>
      </c>
      <c r="AA185" s="4"/>
      <c r="AB185" s="23">
        <v>0</v>
      </c>
      <c r="AC185" s="28" t="e">
        <v>#N/A</v>
      </c>
      <c r="AD185" s="28" t="e">
        <v>#N/A</v>
      </c>
      <c r="AE185" s="28"/>
      <c r="AF185" s="19">
        <v>44501</v>
      </c>
      <c r="AG185" s="19"/>
      <c r="AH185" s="12">
        <f t="shared" si="8"/>
        <v>2</v>
      </c>
      <c r="AI185" s="12">
        <f t="shared" ca="1" si="9"/>
        <v>4</v>
      </c>
      <c r="AJ185" s="12" t="str">
        <f t="shared" si="10"/>
        <v>1-5 Years</v>
      </c>
      <c r="AK185" s="12" t="s">
        <v>9633</v>
      </c>
      <c r="AL185" s="31">
        <v>0.01</v>
      </c>
      <c r="AM185" s="31">
        <v>19</v>
      </c>
      <c r="AN185" s="12" t="str">
        <f t="shared" si="11"/>
        <v>Less Than 20 Years</v>
      </c>
      <c r="AO185" s="13" t="s">
        <v>9158</v>
      </c>
      <c r="AP185" s="13" t="s">
        <v>9155</v>
      </c>
      <c r="AQ185" s="14" t="s">
        <v>9139</v>
      </c>
      <c r="AR185" s="14" t="s">
        <v>9140</v>
      </c>
      <c r="AS185" s="14"/>
      <c r="AT185" s="14" t="s">
        <v>63</v>
      </c>
      <c r="AU185" s="14" t="s">
        <v>54</v>
      </c>
      <c r="AV185" s="15" t="s">
        <v>9141</v>
      </c>
      <c r="AW185" s="15" t="s">
        <v>9142</v>
      </c>
      <c r="AX185" s="15" t="s">
        <v>9143</v>
      </c>
      <c r="AY185" s="15" t="s">
        <v>9141</v>
      </c>
      <c r="AZ185" s="15" t="s">
        <v>9144</v>
      </c>
      <c r="BA185" s="16" t="s">
        <v>9141</v>
      </c>
      <c r="BB185" s="16" t="s">
        <v>9145</v>
      </c>
    </row>
    <row r="186" spans="1:54" hidden="1" x14ac:dyDescent="0.25">
      <c r="A186" s="4" t="s">
        <v>125</v>
      </c>
      <c r="B186" s="4" t="s">
        <v>9435</v>
      </c>
      <c r="C186" s="4"/>
      <c r="D186" s="4" t="s">
        <v>39</v>
      </c>
      <c r="E186" s="4">
        <v>328739</v>
      </c>
      <c r="F186" s="4" t="s">
        <v>127</v>
      </c>
      <c r="G186" s="32">
        <v>33639</v>
      </c>
      <c r="H186" s="25">
        <v>45493</v>
      </c>
      <c r="I186" s="11">
        <v>0.42083333333333334</v>
      </c>
      <c r="J186" s="4" t="s">
        <v>42</v>
      </c>
      <c r="K186" s="4">
        <v>1006</v>
      </c>
      <c r="L186" s="4" t="s">
        <v>94</v>
      </c>
      <c r="M186" s="4" t="s">
        <v>102</v>
      </c>
      <c r="N186" s="4" t="s">
        <v>128</v>
      </c>
      <c r="O186" s="4" t="s">
        <v>46</v>
      </c>
      <c r="P186" s="4"/>
      <c r="Q186" s="4" t="s">
        <v>47</v>
      </c>
      <c r="R186" s="4" t="s">
        <v>48</v>
      </c>
      <c r="S186" s="4">
        <v>0</v>
      </c>
      <c r="T186" s="4" t="b">
        <v>0</v>
      </c>
      <c r="U186" s="4" t="s">
        <v>49</v>
      </c>
      <c r="V186" s="4" t="s">
        <v>70</v>
      </c>
      <c r="W186" s="4" t="s">
        <v>71</v>
      </c>
      <c r="X186" s="4" t="s">
        <v>72</v>
      </c>
      <c r="Y186" s="4" t="s">
        <v>97</v>
      </c>
      <c r="Z186" s="4" t="s">
        <v>54</v>
      </c>
      <c r="AA186" s="4"/>
      <c r="AB186" s="23">
        <v>0</v>
      </c>
      <c r="AC186" s="28" t="e">
        <v>#N/A</v>
      </c>
      <c r="AD186" s="28" t="e">
        <v>#N/A</v>
      </c>
      <c r="AE186" s="28"/>
      <c r="AF186" s="19">
        <v>45033</v>
      </c>
      <c r="AG186" s="19"/>
      <c r="AH186" s="12">
        <f t="shared" si="8"/>
        <v>1</v>
      </c>
      <c r="AI186" s="12">
        <f t="shared" ca="1" si="9"/>
        <v>3</v>
      </c>
      <c r="AJ186" s="12" t="str">
        <f t="shared" si="10"/>
        <v>1-5 Years</v>
      </c>
      <c r="AK186" s="12" t="s">
        <v>9633</v>
      </c>
      <c r="AL186" s="31">
        <v>0.01</v>
      </c>
      <c r="AM186" s="31">
        <v>33</v>
      </c>
      <c r="AN186" s="12" t="str">
        <f t="shared" si="11"/>
        <v>25-34 Years</v>
      </c>
      <c r="AO186" s="13" t="s">
        <v>9158</v>
      </c>
      <c r="AP186" s="13" t="s">
        <v>9155</v>
      </c>
      <c r="AQ186" s="14" t="s">
        <v>9139</v>
      </c>
      <c r="AR186" s="14" t="s">
        <v>9140</v>
      </c>
      <c r="AS186" s="14"/>
      <c r="AT186" s="14" t="s">
        <v>72</v>
      </c>
      <c r="AU186" s="14" t="s">
        <v>54</v>
      </c>
      <c r="AV186" s="15" t="s">
        <v>9141</v>
      </c>
      <c r="AW186" s="15" t="s">
        <v>9142</v>
      </c>
      <c r="AX186" s="15" t="s">
        <v>9143</v>
      </c>
      <c r="AY186" s="15" t="s">
        <v>9141</v>
      </c>
      <c r="AZ186" s="15" t="s">
        <v>9144</v>
      </c>
      <c r="BA186" s="16" t="s">
        <v>9141</v>
      </c>
      <c r="BB186" s="16" t="s">
        <v>9145</v>
      </c>
    </row>
    <row r="187" spans="1:54" hidden="1" x14ac:dyDescent="0.25">
      <c r="A187" s="4" t="s">
        <v>1909</v>
      </c>
      <c r="B187" s="4" t="s">
        <v>9436</v>
      </c>
      <c r="C187" s="4" t="s">
        <v>1910</v>
      </c>
      <c r="D187" s="4" t="s">
        <v>39</v>
      </c>
      <c r="E187" s="4">
        <v>291282</v>
      </c>
      <c r="F187" s="4" t="s">
        <v>1912</v>
      </c>
      <c r="G187" s="32">
        <v>20868</v>
      </c>
      <c r="H187" s="25">
        <v>45493</v>
      </c>
      <c r="I187" s="11">
        <v>0.51944444444444449</v>
      </c>
      <c r="J187" s="4" t="s">
        <v>1654</v>
      </c>
      <c r="K187" s="4">
        <v>9098</v>
      </c>
      <c r="L187" s="4" t="s">
        <v>1896</v>
      </c>
      <c r="M187" s="4" t="s">
        <v>1913</v>
      </c>
      <c r="N187" s="4" t="s">
        <v>1914</v>
      </c>
      <c r="O187" s="4" t="s">
        <v>28</v>
      </c>
      <c r="P187" s="4" t="s">
        <v>183</v>
      </c>
      <c r="Q187" s="4" t="s">
        <v>174</v>
      </c>
      <c r="R187" s="4" t="s">
        <v>48</v>
      </c>
      <c r="S187" s="4">
        <v>28</v>
      </c>
      <c r="T187" s="4" t="b">
        <v>0</v>
      </c>
      <c r="U187" s="4" t="s">
        <v>184</v>
      </c>
      <c r="V187" s="4" t="s">
        <v>89</v>
      </c>
      <c r="W187" s="4" t="s">
        <v>148</v>
      </c>
      <c r="X187" s="4" t="s">
        <v>52</v>
      </c>
      <c r="Y187" s="4" t="s">
        <v>53</v>
      </c>
      <c r="Z187" s="4" t="s">
        <v>54</v>
      </c>
      <c r="AA187" s="4"/>
      <c r="AB187" s="23" t="s">
        <v>48</v>
      </c>
      <c r="AC187" s="28" t="e">
        <v>#N/A</v>
      </c>
      <c r="AD187" s="28" t="e">
        <v>#N/A</v>
      </c>
      <c r="AE187" s="28"/>
      <c r="AF187" s="19">
        <v>40140</v>
      </c>
      <c r="AG187" s="19">
        <v>45615</v>
      </c>
      <c r="AH187" s="12">
        <f t="shared" si="8"/>
        <v>14</v>
      </c>
      <c r="AI187" s="12">
        <f t="shared" ca="1" si="9"/>
        <v>14</v>
      </c>
      <c r="AJ187" s="12" t="str">
        <f t="shared" si="10"/>
        <v>11-15 Years</v>
      </c>
      <c r="AK187" s="12" t="s">
        <v>9632</v>
      </c>
      <c r="AL187" s="31">
        <v>23.5</v>
      </c>
      <c r="AM187" s="31">
        <v>68</v>
      </c>
      <c r="AN187" s="12" t="str">
        <f t="shared" si="11"/>
        <v>More Than 55 Years</v>
      </c>
      <c r="AO187" s="13" t="s">
        <v>9158</v>
      </c>
      <c r="AP187" s="13" t="s">
        <v>9155</v>
      </c>
      <c r="AQ187" s="14" t="s">
        <v>9166</v>
      </c>
      <c r="AR187" s="14" t="s">
        <v>28</v>
      </c>
      <c r="AS187" s="14" t="s">
        <v>183</v>
      </c>
      <c r="AT187" s="14" t="s">
        <v>52</v>
      </c>
      <c r="AU187" s="14" t="s">
        <v>54</v>
      </c>
      <c r="AV187" s="15" t="s">
        <v>9141</v>
      </c>
      <c r="AW187" s="15" t="s">
        <v>9191</v>
      </c>
      <c r="AX187" s="15" t="s">
        <v>9143</v>
      </c>
      <c r="AY187" s="15" t="s">
        <v>9141</v>
      </c>
      <c r="AZ187" s="15" t="s">
        <v>9191</v>
      </c>
      <c r="BA187" s="16" t="s">
        <v>9141</v>
      </c>
      <c r="BB187" s="16" t="s">
        <v>9192</v>
      </c>
    </row>
    <row r="188" spans="1:54" hidden="1" x14ac:dyDescent="0.25">
      <c r="A188" s="4" t="s">
        <v>444</v>
      </c>
      <c r="B188" s="4" t="s">
        <v>9437</v>
      </c>
      <c r="C188" s="4"/>
      <c r="D188" s="4" t="s">
        <v>39</v>
      </c>
      <c r="E188" s="4">
        <v>319532</v>
      </c>
      <c r="F188" s="4" t="s">
        <v>446</v>
      </c>
      <c r="G188" s="32">
        <v>22357</v>
      </c>
      <c r="H188" s="25">
        <v>45495</v>
      </c>
      <c r="I188" s="11">
        <v>0.6875</v>
      </c>
      <c r="J188" s="4" t="s">
        <v>42</v>
      </c>
      <c r="K188" s="4">
        <v>1013</v>
      </c>
      <c r="L188" s="4" t="s">
        <v>422</v>
      </c>
      <c r="M188" s="4" t="s">
        <v>447</v>
      </c>
      <c r="N188" s="4" t="s">
        <v>448</v>
      </c>
      <c r="O188" s="4" t="s">
        <v>46</v>
      </c>
      <c r="P188" s="4"/>
      <c r="Q188" s="4" t="s">
        <v>47</v>
      </c>
      <c r="R188" s="4" t="s">
        <v>48</v>
      </c>
      <c r="S188" s="4">
        <v>0</v>
      </c>
      <c r="T188" s="4" t="b">
        <v>0</v>
      </c>
      <c r="U188" s="4" t="s">
        <v>61</v>
      </c>
      <c r="V188" s="4" t="s">
        <v>89</v>
      </c>
      <c r="W188" s="4" t="s">
        <v>90</v>
      </c>
      <c r="X188" s="4" t="s">
        <v>72</v>
      </c>
      <c r="Y188" s="4" t="s">
        <v>73</v>
      </c>
      <c r="Z188" s="4" t="s">
        <v>54</v>
      </c>
      <c r="AA188" s="4"/>
      <c r="AB188" s="23">
        <v>0</v>
      </c>
      <c r="AC188" s="28" t="e">
        <v>#N/A</v>
      </c>
      <c r="AD188" s="28" t="e">
        <v>#N/A</v>
      </c>
      <c r="AE188" s="28"/>
      <c r="AF188" s="19">
        <v>44522</v>
      </c>
      <c r="AG188" s="19"/>
      <c r="AH188" s="12">
        <f t="shared" si="8"/>
        <v>2</v>
      </c>
      <c r="AI188" s="12">
        <f t="shared" ca="1" si="9"/>
        <v>4</v>
      </c>
      <c r="AJ188" s="12" t="str">
        <f t="shared" si="10"/>
        <v>1-5 Years</v>
      </c>
      <c r="AK188" s="12" t="s">
        <v>9633</v>
      </c>
      <c r="AL188" s="31">
        <v>0.01</v>
      </c>
      <c r="AM188" s="31">
        <v>64</v>
      </c>
      <c r="AN188" s="12" t="str">
        <f t="shared" si="11"/>
        <v>More Than 55 Years</v>
      </c>
      <c r="AO188" s="13" t="s">
        <v>9158</v>
      </c>
      <c r="AP188" s="13" t="s">
        <v>9155</v>
      </c>
      <c r="AQ188" s="14" t="s">
        <v>9148</v>
      </c>
      <c r="AR188" s="14" t="s">
        <v>9140</v>
      </c>
      <c r="AS188" s="14"/>
      <c r="AT188" s="14" t="s">
        <v>72</v>
      </c>
      <c r="AU188" s="14" t="s">
        <v>54</v>
      </c>
      <c r="AV188" s="15" t="s">
        <v>9141</v>
      </c>
      <c r="AW188" s="15" t="s">
        <v>9142</v>
      </c>
      <c r="AX188" s="15" t="s">
        <v>9143</v>
      </c>
      <c r="AY188" s="15" t="s">
        <v>9141</v>
      </c>
      <c r="AZ188" s="15" t="s">
        <v>9144</v>
      </c>
      <c r="BA188" s="16" t="s">
        <v>9141</v>
      </c>
      <c r="BB188" s="16" t="s">
        <v>9145</v>
      </c>
    </row>
    <row r="189" spans="1:54" hidden="1" x14ac:dyDescent="0.25">
      <c r="A189" s="4" t="s">
        <v>1059</v>
      </c>
      <c r="B189" s="4" t="s">
        <v>9438</v>
      </c>
      <c r="C189" s="4"/>
      <c r="D189" s="4" t="s">
        <v>39</v>
      </c>
      <c r="E189" s="4">
        <v>296667</v>
      </c>
      <c r="F189" s="4" t="s">
        <v>1061</v>
      </c>
      <c r="G189" s="32">
        <v>23458</v>
      </c>
      <c r="H189" s="25">
        <v>45496</v>
      </c>
      <c r="I189" s="11">
        <v>0.69027777777777777</v>
      </c>
      <c r="J189" s="4" t="s">
        <v>463</v>
      </c>
      <c r="K189" s="4">
        <v>2048</v>
      </c>
      <c r="L189" s="4" t="s">
        <v>1055</v>
      </c>
      <c r="M189" s="4" t="s">
        <v>1062</v>
      </c>
      <c r="N189" s="4" t="s">
        <v>1063</v>
      </c>
      <c r="O189" s="4" t="s">
        <v>46</v>
      </c>
      <c r="P189" s="4"/>
      <c r="Q189" s="4" t="s">
        <v>47</v>
      </c>
      <c r="R189" s="4" t="s">
        <v>48</v>
      </c>
      <c r="S189" s="4">
        <v>0</v>
      </c>
      <c r="T189" s="4" t="b">
        <v>0</v>
      </c>
      <c r="U189" s="4" t="s">
        <v>49</v>
      </c>
      <c r="V189" s="4" t="s">
        <v>89</v>
      </c>
      <c r="W189" s="4" t="s">
        <v>71</v>
      </c>
      <c r="X189" s="4" t="s">
        <v>63</v>
      </c>
      <c r="Y189" s="4" t="s">
        <v>108</v>
      </c>
      <c r="Z189" s="4" t="s">
        <v>98</v>
      </c>
      <c r="AA189" s="4"/>
      <c r="AB189" s="23">
        <v>0</v>
      </c>
      <c r="AC189" s="28" t="e">
        <v>#N/A</v>
      </c>
      <c r="AD189" s="28" t="e">
        <v>#N/A</v>
      </c>
      <c r="AE189" s="28"/>
      <c r="AF189" s="19">
        <v>43731</v>
      </c>
      <c r="AG189" s="19"/>
      <c r="AH189" s="12">
        <f t="shared" si="8"/>
        <v>4</v>
      </c>
      <c r="AI189" s="12">
        <f t="shared" ca="1" si="9"/>
        <v>6</v>
      </c>
      <c r="AJ189" s="12" t="str">
        <f t="shared" si="10"/>
        <v>1-5 Years</v>
      </c>
      <c r="AK189" s="12" t="s">
        <v>9632</v>
      </c>
      <c r="AL189" s="31">
        <v>20.75</v>
      </c>
      <c r="AM189" s="31">
        <v>61</v>
      </c>
      <c r="AN189" s="12" t="str">
        <f t="shared" si="11"/>
        <v>More Than 55 Years</v>
      </c>
      <c r="AO189" s="13" t="s">
        <v>9158</v>
      </c>
      <c r="AP189" s="13" t="s">
        <v>9155</v>
      </c>
      <c r="AQ189" s="14" t="s">
        <v>9139</v>
      </c>
      <c r="AR189" s="14" t="s">
        <v>9140</v>
      </c>
      <c r="AS189" s="14"/>
      <c r="AT189" s="14" t="s">
        <v>63</v>
      </c>
      <c r="AU189" s="14" t="s">
        <v>98</v>
      </c>
      <c r="AV189" s="15" t="s">
        <v>9141</v>
      </c>
      <c r="AW189" s="15" t="s">
        <v>9175</v>
      </c>
      <c r="AX189" s="15" t="s">
        <v>9143</v>
      </c>
      <c r="AY189" s="15" t="s">
        <v>9141</v>
      </c>
      <c r="AZ189" s="15" t="s">
        <v>9177</v>
      </c>
      <c r="BA189" s="16" t="s">
        <v>9141</v>
      </c>
      <c r="BB189" s="16" t="s">
        <v>9178</v>
      </c>
    </row>
    <row r="190" spans="1:54" hidden="1" x14ac:dyDescent="0.25">
      <c r="A190" s="4" t="s">
        <v>117</v>
      </c>
      <c r="B190" s="4" t="s">
        <v>9439</v>
      </c>
      <c r="C190" s="4"/>
      <c r="D190" s="4" t="s">
        <v>39</v>
      </c>
      <c r="E190" s="4">
        <v>190888</v>
      </c>
      <c r="F190" s="4" t="s">
        <v>119</v>
      </c>
      <c r="G190" s="32">
        <v>26057</v>
      </c>
      <c r="H190" s="25">
        <v>45499</v>
      </c>
      <c r="I190" s="11">
        <v>0.3888888888888889</v>
      </c>
      <c r="J190" s="4" t="s">
        <v>42</v>
      </c>
      <c r="K190" s="4">
        <v>1006</v>
      </c>
      <c r="L190" s="4" t="s">
        <v>94</v>
      </c>
      <c r="M190" s="4" t="s">
        <v>120</v>
      </c>
      <c r="N190" s="4" t="s">
        <v>121</v>
      </c>
      <c r="O190" s="4" t="s">
        <v>46</v>
      </c>
      <c r="P190" s="4"/>
      <c r="Q190" s="4" t="s">
        <v>47</v>
      </c>
      <c r="R190" s="4" t="s">
        <v>48</v>
      </c>
      <c r="S190" s="4">
        <v>0</v>
      </c>
      <c r="T190" s="4" t="b">
        <v>0</v>
      </c>
      <c r="U190" s="4" t="s">
        <v>49</v>
      </c>
      <c r="V190" s="4" t="s">
        <v>50</v>
      </c>
      <c r="W190" s="4" t="s">
        <v>122</v>
      </c>
      <c r="X190" s="4" t="s">
        <v>123</v>
      </c>
      <c r="Y190" s="4" t="s">
        <v>124</v>
      </c>
      <c r="Z190" s="4" t="s">
        <v>54</v>
      </c>
      <c r="AA190" s="4"/>
      <c r="AB190" s="23">
        <v>0</v>
      </c>
      <c r="AC190" s="28" t="e">
        <v>#N/A</v>
      </c>
      <c r="AD190" s="28" t="e">
        <v>#N/A</v>
      </c>
      <c r="AE190" s="28"/>
      <c r="AF190" s="19">
        <v>31660</v>
      </c>
      <c r="AG190" s="19"/>
      <c r="AH190" s="12">
        <f t="shared" si="8"/>
        <v>37</v>
      </c>
      <c r="AI190" s="12">
        <f t="shared" ca="1" si="9"/>
        <v>40</v>
      </c>
      <c r="AJ190" s="12" t="str">
        <f t="shared" si="10"/>
        <v>More Than 30 Years</v>
      </c>
      <c r="AK190" s="12" t="s">
        <v>9631</v>
      </c>
      <c r="AL190" s="31">
        <v>38</v>
      </c>
      <c r="AM190" s="31">
        <v>54</v>
      </c>
      <c r="AN190" s="12" t="str">
        <f t="shared" si="11"/>
        <v>45-54 Years</v>
      </c>
      <c r="AO190" s="13" t="s">
        <v>9158</v>
      </c>
      <c r="AP190" s="13" t="s">
        <v>9155</v>
      </c>
      <c r="AQ190" s="14" t="s">
        <v>9139</v>
      </c>
      <c r="AR190" s="14" t="s">
        <v>9140</v>
      </c>
      <c r="AS190" s="14"/>
      <c r="AT190" s="14" t="s">
        <v>123</v>
      </c>
      <c r="AU190" s="14" t="s">
        <v>54</v>
      </c>
      <c r="AV190" s="15" t="s">
        <v>9141</v>
      </c>
      <c r="AW190" s="15" t="s">
        <v>9142</v>
      </c>
      <c r="AX190" s="15" t="s">
        <v>9143</v>
      </c>
      <c r="AY190" s="15" t="s">
        <v>9141</v>
      </c>
      <c r="AZ190" s="15" t="s">
        <v>9144</v>
      </c>
      <c r="BA190" s="16" t="s">
        <v>9141</v>
      </c>
      <c r="BB190" s="16" t="s">
        <v>9145</v>
      </c>
    </row>
    <row r="191" spans="1:54" hidden="1" x14ac:dyDescent="0.25">
      <c r="A191" s="4" t="s">
        <v>109</v>
      </c>
      <c r="B191" s="4" t="s">
        <v>9440</v>
      </c>
      <c r="C191" s="4"/>
      <c r="D191" s="4" t="s">
        <v>39</v>
      </c>
      <c r="E191" s="4">
        <v>335067</v>
      </c>
      <c r="F191" s="4" t="s">
        <v>111</v>
      </c>
      <c r="G191" s="32">
        <v>38821</v>
      </c>
      <c r="H191" s="25">
        <v>45503</v>
      </c>
      <c r="I191" s="11">
        <v>0.56527777777777777</v>
      </c>
      <c r="J191" s="4" t="s">
        <v>42</v>
      </c>
      <c r="K191" s="4">
        <v>1006</v>
      </c>
      <c r="L191" s="4" t="s">
        <v>94</v>
      </c>
      <c r="M191" s="4" t="s">
        <v>112</v>
      </c>
      <c r="N191" s="4" t="s">
        <v>113</v>
      </c>
      <c r="O191" s="4" t="s">
        <v>46</v>
      </c>
      <c r="P191" s="4"/>
      <c r="Q191" s="4" t="s">
        <v>47</v>
      </c>
      <c r="R191" s="4" t="s">
        <v>48</v>
      </c>
      <c r="S191" s="4">
        <v>0</v>
      </c>
      <c r="T191" s="4" t="b">
        <v>0</v>
      </c>
      <c r="U191" s="4" t="s">
        <v>114</v>
      </c>
      <c r="V191" s="4" t="s">
        <v>115</v>
      </c>
      <c r="W191" s="4" t="s">
        <v>116</v>
      </c>
      <c r="X191" s="4" t="s">
        <v>52</v>
      </c>
      <c r="Y191" s="4" t="s">
        <v>53</v>
      </c>
      <c r="Z191" s="4" t="s">
        <v>54</v>
      </c>
      <c r="AA191" s="4"/>
      <c r="AB191" s="23">
        <v>0</v>
      </c>
      <c r="AC191" s="28" t="e">
        <v>#N/A</v>
      </c>
      <c r="AD191" s="28" t="e">
        <v>#N/A</v>
      </c>
      <c r="AE191" s="28"/>
      <c r="AF191" s="19">
        <v>45474</v>
      </c>
      <c r="AG191" s="19"/>
      <c r="AH191" s="12">
        <f t="shared" si="8"/>
        <v>0</v>
      </c>
      <c r="AI191" s="12">
        <f t="shared" ca="1" si="9"/>
        <v>2</v>
      </c>
      <c r="AJ191" s="12" t="str">
        <f t="shared" si="10"/>
        <v>Under 1 Year</v>
      </c>
      <c r="AK191" s="12" t="s">
        <v>9633</v>
      </c>
      <c r="AL191" s="31">
        <v>0.01</v>
      </c>
      <c r="AM191" s="31">
        <v>19</v>
      </c>
      <c r="AN191" s="12" t="str">
        <f t="shared" si="11"/>
        <v>Less Than 20 Years</v>
      </c>
      <c r="AO191" s="13" t="s">
        <v>9156</v>
      </c>
      <c r="AP191" s="13" t="s">
        <v>9155</v>
      </c>
      <c r="AQ191" s="14" t="s">
        <v>9157</v>
      </c>
      <c r="AR191" s="14" t="s">
        <v>9140</v>
      </c>
      <c r="AS191" s="14"/>
      <c r="AT191" s="14" t="s">
        <v>52</v>
      </c>
      <c r="AU191" s="14" t="s">
        <v>54</v>
      </c>
      <c r="AV191" s="15" t="s">
        <v>9141</v>
      </c>
      <c r="AW191" s="15" t="s">
        <v>9142</v>
      </c>
      <c r="AX191" s="15" t="s">
        <v>9143</v>
      </c>
      <c r="AY191" s="15" t="s">
        <v>9141</v>
      </c>
      <c r="AZ191" s="15" t="s">
        <v>9144</v>
      </c>
      <c r="BA191" s="16" t="s">
        <v>9141</v>
      </c>
      <c r="BB191" s="16" t="s">
        <v>9145</v>
      </c>
    </row>
    <row r="192" spans="1:54" hidden="1" x14ac:dyDescent="0.25">
      <c r="A192" s="4" t="s">
        <v>1070</v>
      </c>
      <c r="B192" s="4" t="s">
        <v>9441</v>
      </c>
      <c r="C192" s="4">
        <v>12240014348</v>
      </c>
      <c r="D192" s="4" t="s">
        <v>39</v>
      </c>
      <c r="E192" s="4">
        <v>296111</v>
      </c>
      <c r="F192" s="4" t="s">
        <v>1072</v>
      </c>
      <c r="G192" s="32">
        <v>22703</v>
      </c>
      <c r="H192" s="25">
        <v>45503</v>
      </c>
      <c r="I192" s="11">
        <v>0.44374999999999998</v>
      </c>
      <c r="J192" s="4" t="s">
        <v>463</v>
      </c>
      <c r="K192" s="4">
        <v>2054</v>
      </c>
      <c r="L192" s="4" t="s">
        <v>1067</v>
      </c>
      <c r="M192" s="4" t="s">
        <v>1073</v>
      </c>
      <c r="N192" s="4" t="s">
        <v>1074</v>
      </c>
      <c r="O192" s="4" t="s">
        <v>28</v>
      </c>
      <c r="P192" s="4" t="s">
        <v>183</v>
      </c>
      <c r="Q192" s="4" t="s">
        <v>174</v>
      </c>
      <c r="R192" s="4" t="s">
        <v>60</v>
      </c>
      <c r="S192" s="4">
        <v>20</v>
      </c>
      <c r="T192" s="4" t="b">
        <v>0</v>
      </c>
      <c r="U192" s="4" t="s">
        <v>114</v>
      </c>
      <c r="V192" s="4" t="s">
        <v>89</v>
      </c>
      <c r="W192" s="4" t="s">
        <v>426</v>
      </c>
      <c r="X192" s="4" t="s">
        <v>123</v>
      </c>
      <c r="Y192" s="4" t="s">
        <v>192</v>
      </c>
      <c r="Z192" s="4" t="s">
        <v>54</v>
      </c>
      <c r="AA192" s="4"/>
      <c r="AB192" s="23" t="s">
        <v>60</v>
      </c>
      <c r="AC192" s="28" t="e">
        <v>#N/A</v>
      </c>
      <c r="AD192" s="28" t="e">
        <v>#N/A</v>
      </c>
      <c r="AE192" s="28"/>
      <c r="AF192" s="19">
        <v>43262</v>
      </c>
      <c r="AG192" s="19"/>
      <c r="AH192" s="12">
        <f t="shared" si="8"/>
        <v>6</v>
      </c>
      <c r="AI192" s="12">
        <f t="shared" ca="1" si="9"/>
        <v>8</v>
      </c>
      <c r="AJ192" s="12" t="str">
        <f t="shared" si="10"/>
        <v>6-10 Years</v>
      </c>
      <c r="AK192" s="12" t="s">
        <v>9632</v>
      </c>
      <c r="AL192" s="31">
        <v>17.75</v>
      </c>
      <c r="AM192" s="31">
        <v>63</v>
      </c>
      <c r="AN192" s="12" t="str">
        <f t="shared" si="11"/>
        <v>More Than 55 Years</v>
      </c>
      <c r="AO192" s="13" t="s">
        <v>9156</v>
      </c>
      <c r="AP192" s="13" t="s">
        <v>9155</v>
      </c>
      <c r="AQ192" s="14" t="s">
        <v>9157</v>
      </c>
      <c r="AR192" s="14" t="s">
        <v>28</v>
      </c>
      <c r="AS192" s="14" t="s">
        <v>183</v>
      </c>
      <c r="AT192" s="14" t="s">
        <v>123</v>
      </c>
      <c r="AU192" s="14" t="s">
        <v>54</v>
      </c>
      <c r="AV192" s="15" t="s">
        <v>9141</v>
      </c>
      <c r="AW192" s="15" t="s">
        <v>9175</v>
      </c>
      <c r="AX192" s="15" t="s">
        <v>9143</v>
      </c>
      <c r="AY192" s="15" t="s">
        <v>9141</v>
      </c>
      <c r="AZ192" s="15" t="s">
        <v>9175</v>
      </c>
      <c r="BA192" s="16" t="s">
        <v>9141</v>
      </c>
      <c r="BB192" s="16" t="s">
        <v>9176</v>
      </c>
    </row>
    <row r="193" spans="1:54" x14ac:dyDescent="0.25">
      <c r="A193" s="4" t="s">
        <v>1453</v>
      </c>
      <c r="B193" s="4" t="s">
        <v>9442</v>
      </c>
      <c r="C193" s="4"/>
      <c r="D193" s="4" t="s">
        <v>39</v>
      </c>
      <c r="E193" s="4">
        <v>333714</v>
      </c>
      <c r="F193" s="4" t="s">
        <v>1455</v>
      </c>
      <c r="G193" s="32">
        <v>38408</v>
      </c>
      <c r="H193" s="25">
        <v>45503</v>
      </c>
      <c r="I193" s="11">
        <v>0.4375</v>
      </c>
      <c r="J193" s="4" t="s">
        <v>1366</v>
      </c>
      <c r="K193" s="4">
        <v>5089</v>
      </c>
      <c r="L193" s="4" t="s">
        <v>1445</v>
      </c>
      <c r="M193" s="4" t="s">
        <v>1456</v>
      </c>
      <c r="N193" s="4" t="s">
        <v>1457</v>
      </c>
      <c r="O193" s="4" t="s">
        <v>46</v>
      </c>
      <c r="P193" s="4"/>
      <c r="Q193" s="4" t="s">
        <v>47</v>
      </c>
      <c r="R193" s="4" t="s">
        <v>48</v>
      </c>
      <c r="S193" s="4">
        <v>0</v>
      </c>
      <c r="T193" s="4" t="b">
        <v>0</v>
      </c>
      <c r="U193" s="4" t="s">
        <v>114</v>
      </c>
      <c r="V193" s="4" t="s">
        <v>89</v>
      </c>
      <c r="W193" s="4" t="s">
        <v>140</v>
      </c>
      <c r="X193" s="4" t="s">
        <v>72</v>
      </c>
      <c r="Y193" s="4" t="s">
        <v>73</v>
      </c>
      <c r="Z193" s="4" t="s">
        <v>54</v>
      </c>
      <c r="AA193" s="4"/>
      <c r="AB193" s="23">
        <v>0</v>
      </c>
      <c r="AC193" s="28" t="e">
        <v>#N/A</v>
      </c>
      <c r="AD193" s="28" t="e">
        <v>#N/A</v>
      </c>
      <c r="AE193" s="28"/>
      <c r="AF193" s="19">
        <v>45369</v>
      </c>
      <c r="AG193" s="19"/>
      <c r="AH193" s="12">
        <f t="shared" si="8"/>
        <v>0</v>
      </c>
      <c r="AI193" s="12">
        <f t="shared" ca="1" si="9"/>
        <v>2</v>
      </c>
      <c r="AJ193" s="12" t="str">
        <f t="shared" si="10"/>
        <v>Under 1 Year</v>
      </c>
      <c r="AK193" s="12" t="s">
        <v>9632</v>
      </c>
      <c r="AL193" s="31">
        <v>12</v>
      </c>
      <c r="AM193" s="31">
        <v>20</v>
      </c>
      <c r="AN193" s="12" t="str">
        <f t="shared" si="11"/>
        <v>20-24 Years</v>
      </c>
      <c r="AO193" s="13" t="s">
        <v>9156</v>
      </c>
      <c r="AP193" s="13" t="s">
        <v>9155</v>
      </c>
      <c r="AQ193" s="14" t="s">
        <v>9157</v>
      </c>
      <c r="AR193" s="14" t="s">
        <v>9140</v>
      </c>
      <c r="AS193" s="14"/>
      <c r="AT193" s="14" t="s">
        <v>72</v>
      </c>
      <c r="AU193" s="14" t="s">
        <v>54</v>
      </c>
      <c r="AV193" s="15" t="s">
        <v>9141</v>
      </c>
      <c r="AW193" s="15" t="s">
        <v>9188</v>
      </c>
      <c r="AX193" s="15" t="s">
        <v>9143</v>
      </c>
      <c r="AY193" s="15" t="s">
        <v>9141</v>
      </c>
      <c r="AZ193" s="15" t="s">
        <v>9189</v>
      </c>
      <c r="BA193" s="16" t="s">
        <v>9141</v>
      </c>
      <c r="BB193" s="16" t="s">
        <v>9190</v>
      </c>
    </row>
    <row r="194" spans="1:54" hidden="1" x14ac:dyDescent="0.25">
      <c r="A194" s="4" t="s">
        <v>1733</v>
      </c>
      <c r="B194" s="4" t="s">
        <v>9443</v>
      </c>
      <c r="C194" s="4" t="s">
        <v>1734</v>
      </c>
      <c r="D194" s="4" t="s">
        <v>39</v>
      </c>
      <c r="E194" s="4">
        <v>330181</v>
      </c>
      <c r="F194" s="4" t="s">
        <v>1736</v>
      </c>
      <c r="G194" s="32">
        <v>24943</v>
      </c>
      <c r="H194" s="25">
        <v>45503</v>
      </c>
      <c r="I194" s="11">
        <v>0.5</v>
      </c>
      <c r="J194" s="4" t="s">
        <v>1654</v>
      </c>
      <c r="K194" s="4">
        <v>9090</v>
      </c>
      <c r="L194" s="4" t="s">
        <v>1719</v>
      </c>
      <c r="M194" s="4" t="s">
        <v>1737</v>
      </c>
      <c r="N194" s="4" t="s">
        <v>1738</v>
      </c>
      <c r="O194" s="4" t="s">
        <v>28</v>
      </c>
      <c r="P194" s="4" t="s">
        <v>183</v>
      </c>
      <c r="Q194" s="4" t="s">
        <v>191</v>
      </c>
      <c r="R194" s="4" t="s">
        <v>60</v>
      </c>
      <c r="S194" s="4">
        <v>0</v>
      </c>
      <c r="T194" s="4" t="b">
        <v>0</v>
      </c>
      <c r="U194" s="4" t="s">
        <v>114</v>
      </c>
      <c r="V194" s="4" t="s">
        <v>89</v>
      </c>
      <c r="W194" s="4" t="s">
        <v>584</v>
      </c>
      <c r="X194" s="4" t="s">
        <v>52</v>
      </c>
      <c r="Y194" s="4" t="s">
        <v>135</v>
      </c>
      <c r="Z194" s="4" t="s">
        <v>54</v>
      </c>
      <c r="AA194" s="4"/>
      <c r="AB194" s="23" t="s">
        <v>60</v>
      </c>
      <c r="AC194" s="28" t="e">
        <v>#N/A</v>
      </c>
      <c r="AD194" s="28" t="e">
        <v>#N/A</v>
      </c>
      <c r="AE194" s="28"/>
      <c r="AF194" s="19">
        <v>45145</v>
      </c>
      <c r="AG194" s="19"/>
      <c r="AH194" s="12">
        <f t="shared" si="8"/>
        <v>0</v>
      </c>
      <c r="AI194" s="12">
        <f t="shared" ca="1" si="9"/>
        <v>3</v>
      </c>
      <c r="AJ194" s="12" t="str">
        <f t="shared" si="10"/>
        <v>Under 1 Year</v>
      </c>
      <c r="AK194" s="12" t="s">
        <v>9632</v>
      </c>
      <c r="AL194" s="31">
        <v>28.25</v>
      </c>
      <c r="AM194" s="31">
        <v>57</v>
      </c>
      <c r="AN194" s="12" t="str">
        <f t="shared" si="11"/>
        <v>More Than 55 Years</v>
      </c>
      <c r="AO194" s="13" t="s">
        <v>9156</v>
      </c>
      <c r="AP194" s="13" t="s">
        <v>9155</v>
      </c>
      <c r="AQ194" s="14" t="s">
        <v>9157</v>
      </c>
      <c r="AR194" s="14" t="s">
        <v>28</v>
      </c>
      <c r="AS194" s="14" t="s">
        <v>183</v>
      </c>
      <c r="AT194" s="14" t="s">
        <v>52</v>
      </c>
      <c r="AU194" s="14" t="s">
        <v>54</v>
      </c>
      <c r="AV194" s="15" t="s">
        <v>9141</v>
      </c>
      <c r="AW194" s="15" t="s">
        <v>9191</v>
      </c>
      <c r="AX194" s="15" t="s">
        <v>9143</v>
      </c>
      <c r="AY194" s="15" t="s">
        <v>9141</v>
      </c>
      <c r="AZ194" s="15" t="s">
        <v>9191</v>
      </c>
      <c r="BA194" s="16" t="s">
        <v>9141</v>
      </c>
      <c r="BB194" s="16" t="s">
        <v>9192</v>
      </c>
    </row>
    <row r="195" spans="1:54" hidden="1" x14ac:dyDescent="0.25">
      <c r="A195" s="4" t="s">
        <v>893</v>
      </c>
      <c r="B195" s="4" t="s">
        <v>9444</v>
      </c>
      <c r="C195" s="4"/>
      <c r="D195" s="4" t="s">
        <v>39</v>
      </c>
      <c r="E195" s="4">
        <v>323303</v>
      </c>
      <c r="F195" s="4" t="s">
        <v>895</v>
      </c>
      <c r="G195" s="32">
        <v>24815</v>
      </c>
      <c r="H195" s="25">
        <v>45504</v>
      </c>
      <c r="I195" s="11">
        <v>0.64583333333333337</v>
      </c>
      <c r="J195" s="4" t="s">
        <v>463</v>
      </c>
      <c r="K195" s="4">
        <v>2030</v>
      </c>
      <c r="L195" s="4" t="s">
        <v>876</v>
      </c>
      <c r="M195" s="4" t="s">
        <v>896</v>
      </c>
      <c r="N195" s="4" t="s">
        <v>897</v>
      </c>
      <c r="O195" s="4" t="s">
        <v>46</v>
      </c>
      <c r="P195" s="4"/>
      <c r="Q195" s="4" t="s">
        <v>47</v>
      </c>
      <c r="R195" s="4" t="s">
        <v>48</v>
      </c>
      <c r="S195" s="4">
        <v>0</v>
      </c>
      <c r="T195" s="4" t="b">
        <v>0</v>
      </c>
      <c r="U195" s="4" t="s">
        <v>61</v>
      </c>
      <c r="V195" s="4" t="s">
        <v>50</v>
      </c>
      <c r="W195" s="4" t="s">
        <v>90</v>
      </c>
      <c r="X195" s="4" t="s">
        <v>63</v>
      </c>
      <c r="Y195" s="4" t="s">
        <v>108</v>
      </c>
      <c r="Z195" s="4" t="s">
        <v>98</v>
      </c>
      <c r="AA195" s="4"/>
      <c r="AB195" s="23">
        <v>0</v>
      </c>
      <c r="AC195" s="28" t="e">
        <v>#N/A</v>
      </c>
      <c r="AD195" s="28" t="e">
        <v>#N/A</v>
      </c>
      <c r="AE195" s="28"/>
      <c r="AF195" s="19">
        <v>44739</v>
      </c>
      <c r="AG195" s="19"/>
      <c r="AH195" s="12">
        <f t="shared" ref="AH195:AH258" si="12">DATEDIF(AF195,H195,"Y")</f>
        <v>2</v>
      </c>
      <c r="AI195" s="12">
        <f t="shared" ref="AI195:AI258" ca="1" si="13">IF(AG195=0,DATEDIF(AF195,TODAY(),"Y"),DATEDIF(AF195,AG195,"Y"))</f>
        <v>4</v>
      </c>
      <c r="AJ195" s="12" t="str">
        <f t="shared" ref="AJ195:AJ258" si="14">IF(AH195=0,"Under 1 Year",IF(AND(AH195&gt;=1,AH195&lt;=5),"1-5 Years",IF(AND(AH195&gt;=6,AH195&lt;=10),"6-10 Years",IF(AND(AH195&gt;=11,AH195&lt;=15),"11-15 Years",IF(AND(AH195&gt;=16,AH195&lt;=20),"16-20 Years",IF(AND(AH195&gt;=21,AH195&lt;=25),"21-25 Years",IF(AND(AH195&gt;=26,AH195&lt;=30),"26-30 Years","More Than 30 Years")))))))</f>
        <v>1-5 Years</v>
      </c>
      <c r="AK195" s="12" t="s">
        <v>9632</v>
      </c>
      <c r="AL195" s="31">
        <v>27.5</v>
      </c>
      <c r="AM195" s="31">
        <v>57</v>
      </c>
      <c r="AN195" s="12" t="str">
        <f t="shared" ref="AN195:AN258" si="15">IF(AM195&lt;20,"Less Than 20 Years",IF(AND(AM195&gt;=20,AM195&lt;=24),"20-24 Years",IF(AND(AM195&gt;=25,AM195&lt;=34),"25-34 Years",IF(AND(AM195&gt;=35,AM195&lt;=44),"35-44 Years",IF(AND(AM195&gt;=45,AM195&lt;=54),"45-54 Years","More Than 55 Years")))))</f>
        <v>More Than 55 Years</v>
      </c>
      <c r="AO195" s="13" t="s">
        <v>9156</v>
      </c>
      <c r="AP195" s="13" t="s">
        <v>9155</v>
      </c>
      <c r="AQ195" s="14" t="s">
        <v>9148</v>
      </c>
      <c r="AR195" s="14" t="s">
        <v>9140</v>
      </c>
      <c r="AS195" s="14"/>
      <c r="AT195" s="14" t="s">
        <v>63</v>
      </c>
      <c r="AU195" s="14" t="s">
        <v>98</v>
      </c>
      <c r="AV195" s="15" t="s">
        <v>9141</v>
      </c>
      <c r="AW195" s="15" t="s">
        <v>9175</v>
      </c>
      <c r="AX195" s="15" t="s">
        <v>9143</v>
      </c>
      <c r="AY195" s="15" t="s">
        <v>9141</v>
      </c>
      <c r="AZ195" s="15" t="s">
        <v>9177</v>
      </c>
      <c r="BA195" s="16" t="s">
        <v>9141</v>
      </c>
      <c r="BB195" s="16" t="s">
        <v>9178</v>
      </c>
    </row>
    <row r="196" spans="1:54" hidden="1" x14ac:dyDescent="0.25">
      <c r="A196" s="4" t="s">
        <v>898</v>
      </c>
      <c r="B196" s="4" t="s">
        <v>9445</v>
      </c>
      <c r="C196" s="4"/>
      <c r="D196" s="4" t="s">
        <v>39</v>
      </c>
      <c r="E196" s="4">
        <v>297410</v>
      </c>
      <c r="F196" s="4" t="s">
        <v>900</v>
      </c>
      <c r="G196" s="32">
        <v>27432</v>
      </c>
      <c r="H196" s="25">
        <v>45504</v>
      </c>
      <c r="I196" s="11">
        <v>0.64583333333333337</v>
      </c>
      <c r="J196" s="4" t="s">
        <v>463</v>
      </c>
      <c r="K196" s="4">
        <v>2030</v>
      </c>
      <c r="L196" s="4" t="s">
        <v>876</v>
      </c>
      <c r="M196" s="4" t="s">
        <v>901</v>
      </c>
      <c r="N196" s="4" t="s">
        <v>897</v>
      </c>
      <c r="O196" s="4" t="s">
        <v>46</v>
      </c>
      <c r="P196" s="4"/>
      <c r="Q196" s="4" t="s">
        <v>47</v>
      </c>
      <c r="R196" s="4" t="s">
        <v>48</v>
      </c>
      <c r="S196" s="4">
        <v>0</v>
      </c>
      <c r="T196" s="4" t="b">
        <v>0</v>
      </c>
      <c r="U196" s="4" t="s">
        <v>61</v>
      </c>
      <c r="V196" s="4" t="s">
        <v>50</v>
      </c>
      <c r="W196" s="4" t="s">
        <v>90</v>
      </c>
      <c r="X196" s="4" t="s">
        <v>63</v>
      </c>
      <c r="Y196" s="4" t="s">
        <v>108</v>
      </c>
      <c r="Z196" s="4" t="s">
        <v>98</v>
      </c>
      <c r="AA196" s="4"/>
      <c r="AB196" s="23">
        <v>0</v>
      </c>
      <c r="AC196" s="28" t="e">
        <v>#N/A</v>
      </c>
      <c r="AD196" s="28" t="e">
        <v>#N/A</v>
      </c>
      <c r="AE196" s="28"/>
      <c r="AF196" s="19">
        <v>44270</v>
      </c>
      <c r="AG196" s="19"/>
      <c r="AH196" s="12">
        <f t="shared" si="12"/>
        <v>3</v>
      </c>
      <c r="AI196" s="12">
        <f t="shared" ca="1" si="13"/>
        <v>5</v>
      </c>
      <c r="AJ196" s="12" t="str">
        <f t="shared" si="14"/>
        <v>1-5 Years</v>
      </c>
      <c r="AK196" s="12" t="s">
        <v>9632</v>
      </c>
      <c r="AL196" s="31">
        <v>37.75</v>
      </c>
      <c r="AM196" s="31">
        <v>50</v>
      </c>
      <c r="AN196" s="12" t="str">
        <f t="shared" si="15"/>
        <v>45-54 Years</v>
      </c>
      <c r="AO196" s="13" t="s">
        <v>9156</v>
      </c>
      <c r="AP196" s="13" t="s">
        <v>9155</v>
      </c>
      <c r="AQ196" s="14" t="s">
        <v>9148</v>
      </c>
      <c r="AR196" s="14" t="s">
        <v>9140</v>
      </c>
      <c r="AS196" s="14"/>
      <c r="AT196" s="14" t="s">
        <v>63</v>
      </c>
      <c r="AU196" s="14" t="s">
        <v>98</v>
      </c>
      <c r="AV196" s="15" t="s">
        <v>9141</v>
      </c>
      <c r="AW196" s="15" t="s">
        <v>9175</v>
      </c>
      <c r="AX196" s="15" t="s">
        <v>9143</v>
      </c>
      <c r="AY196" s="15" t="s">
        <v>9141</v>
      </c>
      <c r="AZ196" s="15" t="s">
        <v>9177</v>
      </c>
      <c r="BA196" s="16" t="s">
        <v>9141</v>
      </c>
      <c r="BB196" s="16" t="s">
        <v>9178</v>
      </c>
    </row>
    <row r="197" spans="1:54" hidden="1" x14ac:dyDescent="0.25">
      <c r="A197" s="4" t="s">
        <v>667</v>
      </c>
      <c r="B197" s="4" t="s">
        <v>9446</v>
      </c>
      <c r="C197" s="4"/>
      <c r="D197" s="4" t="s">
        <v>39</v>
      </c>
      <c r="E197" s="4">
        <v>325832</v>
      </c>
      <c r="F197" s="4" t="s">
        <v>669</v>
      </c>
      <c r="G197" s="32">
        <v>37559</v>
      </c>
      <c r="H197" s="25">
        <v>45505</v>
      </c>
      <c r="I197" s="11">
        <v>0.80555555555555558</v>
      </c>
      <c r="J197" s="4" t="s">
        <v>463</v>
      </c>
      <c r="K197" s="4">
        <v>2024</v>
      </c>
      <c r="L197" s="4" t="s">
        <v>664</v>
      </c>
      <c r="M197" s="4" t="s">
        <v>670</v>
      </c>
      <c r="N197" s="4" t="s">
        <v>671</v>
      </c>
      <c r="O197" s="4" t="s">
        <v>46</v>
      </c>
      <c r="P197" s="4"/>
      <c r="Q197" s="4" t="s">
        <v>47</v>
      </c>
      <c r="R197" s="4" t="s">
        <v>48</v>
      </c>
      <c r="S197" s="4">
        <v>0</v>
      </c>
      <c r="T197" s="4" t="b">
        <v>0</v>
      </c>
      <c r="U197" s="4" t="s">
        <v>61</v>
      </c>
      <c r="V197" s="4" t="s">
        <v>391</v>
      </c>
      <c r="W197" s="4" t="s">
        <v>175</v>
      </c>
      <c r="X197" s="4" t="s">
        <v>672</v>
      </c>
      <c r="Y197" s="4" t="s">
        <v>673</v>
      </c>
      <c r="Z197" s="4" t="s">
        <v>54</v>
      </c>
      <c r="AA197" s="4"/>
      <c r="AB197" s="23">
        <v>0</v>
      </c>
      <c r="AC197" s="28" t="e">
        <v>#N/A</v>
      </c>
      <c r="AD197" s="28" t="e">
        <v>#N/A</v>
      </c>
      <c r="AE197" s="28"/>
      <c r="AF197" s="19">
        <v>44865</v>
      </c>
      <c r="AG197" s="19"/>
      <c r="AH197" s="12">
        <f t="shared" si="12"/>
        <v>1</v>
      </c>
      <c r="AI197" s="12">
        <f t="shared" ca="1" si="13"/>
        <v>3</v>
      </c>
      <c r="AJ197" s="12" t="str">
        <f t="shared" si="14"/>
        <v>1-5 Years</v>
      </c>
      <c r="AK197" s="12" t="s">
        <v>9633</v>
      </c>
      <c r="AL197" s="31">
        <v>0.01</v>
      </c>
      <c r="AM197" s="31">
        <v>22</v>
      </c>
      <c r="AN197" s="12" t="str">
        <f t="shared" si="15"/>
        <v>20-24 Years</v>
      </c>
      <c r="AO197" s="13" t="s">
        <v>9156</v>
      </c>
      <c r="AP197" s="13" t="s">
        <v>9155</v>
      </c>
      <c r="AQ197" s="14" t="s">
        <v>9148</v>
      </c>
      <c r="AR197" s="14" t="s">
        <v>9140</v>
      </c>
      <c r="AS197" s="14"/>
      <c r="AT197" s="14" t="s">
        <v>672</v>
      </c>
      <c r="AU197" s="14" t="s">
        <v>54</v>
      </c>
      <c r="AV197" s="15" t="s">
        <v>9141</v>
      </c>
      <c r="AW197" s="15" t="s">
        <v>9175</v>
      </c>
      <c r="AX197" s="15" t="s">
        <v>9143</v>
      </c>
      <c r="AY197" s="15" t="s">
        <v>9141</v>
      </c>
      <c r="AZ197" s="15" t="s">
        <v>9177</v>
      </c>
      <c r="BA197" s="16" t="s">
        <v>9141</v>
      </c>
      <c r="BB197" s="16" t="s">
        <v>9178</v>
      </c>
    </row>
    <row r="198" spans="1:54" hidden="1" x14ac:dyDescent="0.25">
      <c r="A198" s="4" t="s">
        <v>1763</v>
      </c>
      <c r="B198" s="4" t="s">
        <v>9447</v>
      </c>
      <c r="C198" s="4"/>
      <c r="D198" s="4" t="s">
        <v>39</v>
      </c>
      <c r="E198" s="4">
        <v>297049</v>
      </c>
      <c r="F198" s="4" t="s">
        <v>1753</v>
      </c>
      <c r="G198" s="32">
        <v>34552</v>
      </c>
      <c r="H198" s="25">
        <v>45506</v>
      </c>
      <c r="I198" s="11">
        <v>0.49444444444444446</v>
      </c>
      <c r="J198" s="4" t="s">
        <v>1654</v>
      </c>
      <c r="K198" s="4">
        <v>9095</v>
      </c>
      <c r="L198" s="4" t="s">
        <v>1742</v>
      </c>
      <c r="M198" s="4" t="s">
        <v>1764</v>
      </c>
      <c r="N198" s="4" t="s">
        <v>1765</v>
      </c>
      <c r="O198" s="4" t="s">
        <v>46</v>
      </c>
      <c r="P198" s="4"/>
      <c r="Q198" s="4" t="s">
        <v>47</v>
      </c>
      <c r="R198" s="4" t="s">
        <v>48</v>
      </c>
      <c r="S198" s="4">
        <v>0</v>
      </c>
      <c r="T198" s="4" t="b">
        <v>0</v>
      </c>
      <c r="U198" s="4" t="s">
        <v>49</v>
      </c>
      <c r="V198" s="4" t="s">
        <v>50</v>
      </c>
      <c r="W198" s="4" t="s">
        <v>71</v>
      </c>
      <c r="X198" s="4" t="s">
        <v>72</v>
      </c>
      <c r="Y198" s="4" t="s">
        <v>73</v>
      </c>
      <c r="Z198" s="4" t="s">
        <v>98</v>
      </c>
      <c r="AA198" s="4"/>
      <c r="AB198" s="23">
        <v>0</v>
      </c>
      <c r="AC198" s="28" t="e">
        <v>#N/A</v>
      </c>
      <c r="AD198" s="28" t="e">
        <v>#N/A</v>
      </c>
      <c r="AE198" s="28"/>
      <c r="AF198" s="19">
        <v>44067</v>
      </c>
      <c r="AG198" s="19">
        <v>45754</v>
      </c>
      <c r="AH198" s="12">
        <f t="shared" si="12"/>
        <v>3</v>
      </c>
      <c r="AI198" s="12">
        <f t="shared" ca="1" si="13"/>
        <v>4</v>
      </c>
      <c r="AJ198" s="12" t="str">
        <f t="shared" si="14"/>
        <v>1-5 Years</v>
      </c>
      <c r="AK198" s="12" t="s">
        <v>9632</v>
      </c>
      <c r="AL198" s="31">
        <v>22</v>
      </c>
      <c r="AM198" s="31">
        <v>30</v>
      </c>
      <c r="AN198" s="12" t="str">
        <f t="shared" si="15"/>
        <v>25-34 Years</v>
      </c>
      <c r="AO198" s="13" t="s">
        <v>9156</v>
      </c>
      <c r="AP198" s="13" t="s">
        <v>9155</v>
      </c>
      <c r="AQ198" s="14" t="s">
        <v>9139</v>
      </c>
      <c r="AR198" s="14" t="s">
        <v>9140</v>
      </c>
      <c r="AS198" s="14"/>
      <c r="AT198" s="14" t="s">
        <v>72</v>
      </c>
      <c r="AU198" s="14" t="s">
        <v>98</v>
      </c>
      <c r="AV198" s="15" t="s">
        <v>9141</v>
      </c>
      <c r="AW198" s="15" t="s">
        <v>9191</v>
      </c>
      <c r="AX198" s="15" t="s">
        <v>9143</v>
      </c>
      <c r="AY198" s="15" t="s">
        <v>9141</v>
      </c>
      <c r="AZ198" s="15" t="s">
        <v>9191</v>
      </c>
      <c r="BA198" s="16" t="s">
        <v>9141</v>
      </c>
      <c r="BB198" s="16" t="s">
        <v>9192</v>
      </c>
    </row>
    <row r="199" spans="1:54" hidden="1" x14ac:dyDescent="0.25">
      <c r="A199" s="4" t="s">
        <v>926</v>
      </c>
      <c r="B199" s="4" t="s">
        <v>9448</v>
      </c>
      <c r="C199" s="4"/>
      <c r="D199" s="4" t="s">
        <v>39</v>
      </c>
      <c r="E199" s="4">
        <v>407036</v>
      </c>
      <c r="F199" s="4" t="s">
        <v>928</v>
      </c>
      <c r="G199" s="32">
        <v>25574</v>
      </c>
      <c r="H199" s="25">
        <v>45508</v>
      </c>
      <c r="I199" s="11">
        <v>0.46458333333333335</v>
      </c>
      <c r="J199" s="4" t="s">
        <v>463</v>
      </c>
      <c r="K199" s="4">
        <v>2032</v>
      </c>
      <c r="L199" s="4" t="s">
        <v>929</v>
      </c>
      <c r="M199" s="4" t="s">
        <v>930</v>
      </c>
      <c r="N199" s="4" t="s">
        <v>931</v>
      </c>
      <c r="O199" s="4" t="s">
        <v>46</v>
      </c>
      <c r="P199" s="4"/>
      <c r="Q199" s="4" t="s">
        <v>47</v>
      </c>
      <c r="R199" s="4" t="s">
        <v>48</v>
      </c>
      <c r="S199" s="4">
        <v>0</v>
      </c>
      <c r="T199" s="4" t="b">
        <v>0</v>
      </c>
      <c r="U199" s="4" t="s">
        <v>61</v>
      </c>
      <c r="V199" s="4" t="s">
        <v>89</v>
      </c>
      <c r="W199" s="4" t="s">
        <v>345</v>
      </c>
      <c r="X199" s="4" t="s">
        <v>123</v>
      </c>
      <c r="Y199" s="4" t="s">
        <v>124</v>
      </c>
      <c r="Z199" s="4" t="s">
        <v>98</v>
      </c>
      <c r="AA199" s="4"/>
      <c r="AB199" s="23">
        <v>0</v>
      </c>
      <c r="AC199" s="28" t="e">
        <v>#N/A</v>
      </c>
      <c r="AD199" s="28" t="e">
        <v>#N/A</v>
      </c>
      <c r="AE199" s="28"/>
      <c r="AF199" s="19">
        <v>43465</v>
      </c>
      <c r="AG199" s="19">
        <v>45613</v>
      </c>
      <c r="AH199" s="12">
        <f t="shared" si="12"/>
        <v>5</v>
      </c>
      <c r="AI199" s="12">
        <f t="shared" ca="1" si="13"/>
        <v>5</v>
      </c>
      <c r="AJ199" s="12" t="str">
        <f t="shared" si="14"/>
        <v>1-5 Years</v>
      </c>
      <c r="AK199" s="12" t="s">
        <v>10046</v>
      </c>
      <c r="AL199" s="31">
        <v>38</v>
      </c>
      <c r="AM199" s="31">
        <v>55</v>
      </c>
      <c r="AN199" s="12" t="str">
        <f t="shared" si="15"/>
        <v>More Than 55 Years</v>
      </c>
      <c r="AO199" s="13" t="s">
        <v>9156</v>
      </c>
      <c r="AP199" s="13" t="s">
        <v>9155</v>
      </c>
      <c r="AQ199" s="14" t="s">
        <v>9148</v>
      </c>
      <c r="AR199" s="14" t="s">
        <v>9140</v>
      </c>
      <c r="AS199" s="14"/>
      <c r="AT199" s="14" t="s">
        <v>123</v>
      </c>
      <c r="AU199" s="14" t="s">
        <v>98</v>
      </c>
      <c r="AV199" s="15" t="s">
        <v>9141</v>
      </c>
      <c r="AW199" s="15" t="s">
        <v>9175</v>
      </c>
      <c r="AX199" s="15" t="s">
        <v>9143</v>
      </c>
      <c r="AY199" s="15" t="s">
        <v>9141</v>
      </c>
      <c r="AZ199" s="15" t="s">
        <v>9175</v>
      </c>
      <c r="BA199" s="16" t="s">
        <v>9141</v>
      </c>
      <c r="BB199" s="16" t="s">
        <v>9176</v>
      </c>
    </row>
    <row r="200" spans="1:54" hidden="1" x14ac:dyDescent="0.25">
      <c r="A200" s="4" t="s">
        <v>717</v>
      </c>
      <c r="B200" s="4" t="s">
        <v>9449</v>
      </c>
      <c r="C200" s="4"/>
      <c r="D200" s="4" t="s">
        <v>39</v>
      </c>
      <c r="E200" s="4">
        <v>335086</v>
      </c>
      <c r="F200" s="4" t="s">
        <v>719</v>
      </c>
      <c r="G200" s="32">
        <v>30153</v>
      </c>
      <c r="H200" s="25">
        <v>45515</v>
      </c>
      <c r="I200" s="11">
        <v>0.60069444444444442</v>
      </c>
      <c r="J200" s="4" t="s">
        <v>463</v>
      </c>
      <c r="K200" s="4">
        <v>2025</v>
      </c>
      <c r="L200" s="4" t="s">
        <v>701</v>
      </c>
      <c r="M200" s="4" t="s">
        <v>720</v>
      </c>
      <c r="N200" s="4" t="s">
        <v>721</v>
      </c>
      <c r="O200" s="4" t="s">
        <v>46</v>
      </c>
      <c r="P200" s="4"/>
      <c r="Q200" s="4" t="s">
        <v>47</v>
      </c>
      <c r="R200" s="4" t="s">
        <v>48</v>
      </c>
      <c r="S200" s="4">
        <v>0</v>
      </c>
      <c r="T200" s="4" t="b">
        <v>0</v>
      </c>
      <c r="U200" s="4" t="s">
        <v>61</v>
      </c>
      <c r="V200" s="4" t="s">
        <v>70</v>
      </c>
      <c r="W200" s="4" t="s">
        <v>107</v>
      </c>
      <c r="X200" s="4" t="s">
        <v>123</v>
      </c>
      <c r="Y200" s="4" t="s">
        <v>149</v>
      </c>
      <c r="Z200" s="4" t="s">
        <v>54</v>
      </c>
      <c r="AA200" s="4"/>
      <c r="AB200" s="23">
        <v>0</v>
      </c>
      <c r="AC200" s="28" t="e">
        <v>#N/A</v>
      </c>
      <c r="AD200" s="28" t="e">
        <v>#N/A</v>
      </c>
      <c r="AE200" s="28"/>
      <c r="AF200" s="19">
        <v>45481</v>
      </c>
      <c r="AG200" s="19"/>
      <c r="AH200" s="12">
        <f t="shared" si="12"/>
        <v>0</v>
      </c>
      <c r="AI200" s="12">
        <f t="shared" ca="1" si="13"/>
        <v>2</v>
      </c>
      <c r="AJ200" s="12" t="str">
        <f t="shared" si="14"/>
        <v>Under 1 Year</v>
      </c>
      <c r="AK200" s="12" t="s">
        <v>9633</v>
      </c>
      <c r="AL200" s="31">
        <v>0.01</v>
      </c>
      <c r="AM200" s="31">
        <v>42</v>
      </c>
      <c r="AN200" s="12" t="str">
        <f t="shared" si="15"/>
        <v>35-44 Years</v>
      </c>
      <c r="AO200" s="13" t="s">
        <v>9156</v>
      </c>
      <c r="AP200" s="13" t="s">
        <v>9155</v>
      </c>
      <c r="AQ200" s="14" t="s">
        <v>9148</v>
      </c>
      <c r="AR200" s="14" t="s">
        <v>9140</v>
      </c>
      <c r="AS200" s="14"/>
      <c r="AT200" s="14" t="s">
        <v>123</v>
      </c>
      <c r="AU200" s="14" t="s">
        <v>54</v>
      </c>
      <c r="AV200" s="15" t="s">
        <v>9141</v>
      </c>
      <c r="AW200" s="15" t="s">
        <v>9175</v>
      </c>
      <c r="AX200" s="15" t="s">
        <v>9143</v>
      </c>
      <c r="AY200" s="15" t="s">
        <v>9141</v>
      </c>
      <c r="AZ200" s="15" t="s">
        <v>9175</v>
      </c>
      <c r="BA200" s="16" t="s">
        <v>9141</v>
      </c>
      <c r="BB200" s="16" t="s">
        <v>9176</v>
      </c>
    </row>
    <row r="201" spans="1:54" hidden="1" x14ac:dyDescent="0.25">
      <c r="A201" s="4" t="s">
        <v>888</v>
      </c>
      <c r="B201" s="4" t="s">
        <v>9450</v>
      </c>
      <c r="C201" s="4"/>
      <c r="D201" s="4" t="s">
        <v>39</v>
      </c>
      <c r="E201" s="4">
        <v>296672</v>
      </c>
      <c r="F201" s="4" t="s">
        <v>890</v>
      </c>
      <c r="G201" s="32">
        <v>29800</v>
      </c>
      <c r="H201" s="25">
        <v>45516</v>
      </c>
      <c r="I201" s="11">
        <v>0.47222222222222221</v>
      </c>
      <c r="J201" s="4" t="s">
        <v>463</v>
      </c>
      <c r="K201" s="4">
        <v>2030</v>
      </c>
      <c r="L201" s="4" t="s">
        <v>876</v>
      </c>
      <c r="M201" s="4" t="s">
        <v>891</v>
      </c>
      <c r="N201" s="4" t="s">
        <v>892</v>
      </c>
      <c r="O201" s="4" t="s">
        <v>46</v>
      </c>
      <c r="P201" s="4"/>
      <c r="Q201" s="4" t="s">
        <v>47</v>
      </c>
      <c r="R201" s="4" t="s">
        <v>48</v>
      </c>
      <c r="S201" s="4">
        <v>0</v>
      </c>
      <c r="T201" s="4" t="b">
        <v>0</v>
      </c>
      <c r="U201" s="4" t="s">
        <v>61</v>
      </c>
      <c r="V201" s="4" t="s">
        <v>89</v>
      </c>
      <c r="W201" s="4" t="s">
        <v>345</v>
      </c>
      <c r="X201" s="4" t="s">
        <v>123</v>
      </c>
      <c r="Y201" s="4" t="s">
        <v>124</v>
      </c>
      <c r="Z201" s="4" t="s">
        <v>83</v>
      </c>
      <c r="AA201" s="4"/>
      <c r="AB201" s="23">
        <v>0</v>
      </c>
      <c r="AC201" s="28" t="e">
        <v>#N/A</v>
      </c>
      <c r="AD201" s="28" t="e">
        <v>#N/A</v>
      </c>
      <c r="AE201" s="28"/>
      <c r="AF201" s="19">
        <v>43731</v>
      </c>
      <c r="AG201" s="19"/>
      <c r="AH201" s="12">
        <f t="shared" si="12"/>
        <v>4</v>
      </c>
      <c r="AI201" s="12">
        <f t="shared" ca="1" si="13"/>
        <v>6</v>
      </c>
      <c r="AJ201" s="12" t="str">
        <f t="shared" si="14"/>
        <v>1-5 Years</v>
      </c>
      <c r="AK201" s="12" t="s">
        <v>9632</v>
      </c>
      <c r="AL201" s="31">
        <v>10.75</v>
      </c>
      <c r="AM201" s="31">
        <v>43</v>
      </c>
      <c r="AN201" s="12" t="str">
        <f t="shared" si="15"/>
        <v>35-44 Years</v>
      </c>
      <c r="AO201" s="13" t="s">
        <v>9156</v>
      </c>
      <c r="AP201" s="13" t="s">
        <v>9155</v>
      </c>
      <c r="AQ201" s="14" t="s">
        <v>9148</v>
      </c>
      <c r="AR201" s="14" t="s">
        <v>9140</v>
      </c>
      <c r="AS201" s="14"/>
      <c r="AT201" s="14" t="s">
        <v>123</v>
      </c>
      <c r="AU201" s="14" t="s">
        <v>83</v>
      </c>
      <c r="AV201" s="15" t="s">
        <v>9141</v>
      </c>
      <c r="AW201" s="15" t="s">
        <v>9175</v>
      </c>
      <c r="AX201" s="15" t="s">
        <v>9143</v>
      </c>
      <c r="AY201" s="15" t="s">
        <v>9141</v>
      </c>
      <c r="AZ201" s="15" t="s">
        <v>9177</v>
      </c>
      <c r="BA201" s="16" t="s">
        <v>9141</v>
      </c>
      <c r="BB201" s="16" t="s">
        <v>9178</v>
      </c>
    </row>
    <row r="202" spans="1:54" hidden="1" x14ac:dyDescent="0.25">
      <c r="A202" s="4" t="s">
        <v>714</v>
      </c>
      <c r="B202" s="4" t="s">
        <v>9451</v>
      </c>
      <c r="C202" s="4"/>
      <c r="D202" s="4" t="s">
        <v>39</v>
      </c>
      <c r="E202" s="4">
        <v>406857</v>
      </c>
      <c r="F202" s="4" t="s">
        <v>710</v>
      </c>
      <c r="G202" s="32">
        <v>26834</v>
      </c>
      <c r="H202" s="25">
        <v>45518</v>
      </c>
      <c r="I202" s="11">
        <v>0.41666666666666669</v>
      </c>
      <c r="J202" s="4" t="s">
        <v>463</v>
      </c>
      <c r="K202" s="4">
        <v>2025</v>
      </c>
      <c r="L202" s="4" t="s">
        <v>701</v>
      </c>
      <c r="M202" s="4" t="s">
        <v>715</v>
      </c>
      <c r="N202" s="4" t="s">
        <v>716</v>
      </c>
      <c r="O202" s="4" t="s">
        <v>46</v>
      </c>
      <c r="P202" s="4"/>
      <c r="Q202" s="4" t="s">
        <v>47</v>
      </c>
      <c r="R202" s="4" t="s">
        <v>48</v>
      </c>
      <c r="S202" s="4">
        <v>0</v>
      </c>
      <c r="T202" s="4" t="b">
        <v>0</v>
      </c>
      <c r="U202" s="4" t="s">
        <v>49</v>
      </c>
      <c r="V202" s="4" t="s">
        <v>70</v>
      </c>
      <c r="W202" s="4" t="s">
        <v>71</v>
      </c>
      <c r="X202" s="4" t="s">
        <v>72</v>
      </c>
      <c r="Y202" s="4" t="s">
        <v>73</v>
      </c>
      <c r="Z202" s="4" t="s">
        <v>54</v>
      </c>
      <c r="AA202" s="4"/>
      <c r="AB202" s="23">
        <v>0</v>
      </c>
      <c r="AC202" s="28" t="e">
        <v>#N/A</v>
      </c>
      <c r="AD202" s="28" t="e">
        <v>#N/A</v>
      </c>
      <c r="AE202" s="28"/>
      <c r="AF202" s="19">
        <v>42324</v>
      </c>
      <c r="AG202" s="19"/>
      <c r="AH202" s="12">
        <f t="shared" si="12"/>
        <v>8</v>
      </c>
      <c r="AI202" s="12">
        <f t="shared" ca="1" si="13"/>
        <v>10</v>
      </c>
      <c r="AJ202" s="12" t="str">
        <f t="shared" si="14"/>
        <v>6-10 Years</v>
      </c>
      <c r="AK202" s="12" t="s">
        <v>10046</v>
      </c>
      <c r="AL202" s="31">
        <v>38</v>
      </c>
      <c r="AM202" s="31">
        <v>51</v>
      </c>
      <c r="AN202" s="12" t="str">
        <f t="shared" si="15"/>
        <v>45-54 Years</v>
      </c>
      <c r="AO202" s="13" t="s">
        <v>9156</v>
      </c>
      <c r="AP202" s="13" t="s">
        <v>9155</v>
      </c>
      <c r="AQ202" s="14" t="s">
        <v>9139</v>
      </c>
      <c r="AR202" s="14" t="s">
        <v>9140</v>
      </c>
      <c r="AS202" s="14"/>
      <c r="AT202" s="14" t="s">
        <v>72</v>
      </c>
      <c r="AU202" s="14" t="s">
        <v>54</v>
      </c>
      <c r="AV202" s="15" t="s">
        <v>9141</v>
      </c>
      <c r="AW202" s="15" t="s">
        <v>9175</v>
      </c>
      <c r="AX202" s="15" t="s">
        <v>9143</v>
      </c>
      <c r="AY202" s="15" t="s">
        <v>9141</v>
      </c>
      <c r="AZ202" s="15" t="s">
        <v>9175</v>
      </c>
      <c r="BA202" s="16" t="s">
        <v>9141</v>
      </c>
      <c r="BB202" s="16" t="s">
        <v>9176</v>
      </c>
    </row>
    <row r="203" spans="1:54" hidden="1" x14ac:dyDescent="0.25">
      <c r="A203" s="4" t="s">
        <v>1480</v>
      </c>
      <c r="B203" s="4" t="s">
        <v>9452</v>
      </c>
      <c r="C203" s="4"/>
      <c r="D203" s="4" t="s">
        <v>39</v>
      </c>
      <c r="E203" s="4">
        <v>335206</v>
      </c>
      <c r="F203" s="4" t="s">
        <v>1482</v>
      </c>
      <c r="G203" s="32">
        <v>28226</v>
      </c>
      <c r="H203" s="25">
        <v>45518</v>
      </c>
      <c r="I203" s="11">
        <v>0.36458333333333331</v>
      </c>
      <c r="J203" s="4" t="s">
        <v>1476</v>
      </c>
      <c r="K203" s="4">
        <v>6059</v>
      </c>
      <c r="L203" s="4" t="s">
        <v>1477</v>
      </c>
      <c r="M203" s="4" t="s">
        <v>1483</v>
      </c>
      <c r="N203" s="4" t="s">
        <v>1484</v>
      </c>
      <c r="O203" s="4" t="s">
        <v>28</v>
      </c>
      <c r="P203" s="4" t="s">
        <v>478</v>
      </c>
      <c r="Q203" s="4" t="s">
        <v>174</v>
      </c>
      <c r="R203" s="4" t="s">
        <v>48</v>
      </c>
      <c r="S203" s="4">
        <v>0</v>
      </c>
      <c r="T203" s="4" t="b">
        <v>0</v>
      </c>
      <c r="U203" s="4" t="s">
        <v>61</v>
      </c>
      <c r="V203" s="4" t="s">
        <v>89</v>
      </c>
      <c r="W203" s="4" t="s">
        <v>148</v>
      </c>
      <c r="X203" s="4" t="s">
        <v>52</v>
      </c>
      <c r="Y203" s="4" t="s">
        <v>255</v>
      </c>
      <c r="Z203" s="4" t="s">
        <v>54</v>
      </c>
      <c r="AA203" s="4"/>
      <c r="AB203" s="23" t="s">
        <v>48</v>
      </c>
      <c r="AC203" s="28" t="e">
        <v>#N/A</v>
      </c>
      <c r="AD203" s="28" t="e">
        <v>#N/A</v>
      </c>
      <c r="AE203" s="28"/>
      <c r="AF203" s="19">
        <v>45481</v>
      </c>
      <c r="AG203" s="19">
        <v>45527</v>
      </c>
      <c r="AH203" s="12">
        <f t="shared" si="12"/>
        <v>0</v>
      </c>
      <c r="AI203" s="12">
        <f t="shared" ca="1" si="13"/>
        <v>0</v>
      </c>
      <c r="AJ203" s="12" t="str">
        <f t="shared" si="14"/>
        <v>Under 1 Year</v>
      </c>
      <c r="AK203" s="12" t="s">
        <v>9632</v>
      </c>
      <c r="AL203" s="31">
        <v>25</v>
      </c>
      <c r="AM203" s="31">
        <v>48</v>
      </c>
      <c r="AN203" s="12" t="str">
        <f t="shared" si="15"/>
        <v>45-54 Years</v>
      </c>
      <c r="AO203" s="13" t="s">
        <v>9156</v>
      </c>
      <c r="AP203" s="13" t="s">
        <v>9155</v>
      </c>
      <c r="AQ203" s="14" t="s">
        <v>9148</v>
      </c>
      <c r="AR203" s="14" t="s">
        <v>28</v>
      </c>
      <c r="AS203" s="14" t="s">
        <v>478</v>
      </c>
      <c r="AT203" s="14" t="s">
        <v>52</v>
      </c>
      <c r="AU203" s="14" t="s">
        <v>54</v>
      </c>
      <c r="AV203" s="15" t="s">
        <v>9141</v>
      </c>
      <c r="AW203" s="15" t="s">
        <v>9193</v>
      </c>
      <c r="AX203" s="15" t="s">
        <v>9143</v>
      </c>
      <c r="AY203" s="15" t="s">
        <v>9141</v>
      </c>
      <c r="AZ203" s="15" t="s">
        <v>9189</v>
      </c>
      <c r="BA203" s="16" t="s">
        <v>9141</v>
      </c>
      <c r="BB203" s="16" t="s">
        <v>9190</v>
      </c>
    </row>
    <row r="204" spans="1:54" hidden="1" x14ac:dyDescent="0.25">
      <c r="A204" s="4" t="s">
        <v>1904</v>
      </c>
      <c r="B204" s="4" t="s">
        <v>9453</v>
      </c>
      <c r="C204" s="4"/>
      <c r="D204" s="4" t="s">
        <v>39</v>
      </c>
      <c r="E204" s="4">
        <v>331639</v>
      </c>
      <c r="F204" s="4" t="s">
        <v>1906</v>
      </c>
      <c r="G204" s="32">
        <v>39075</v>
      </c>
      <c r="H204" s="25">
        <v>45519</v>
      </c>
      <c r="I204" s="11">
        <v>0.78125</v>
      </c>
      <c r="J204" s="4" t="s">
        <v>1654</v>
      </c>
      <c r="K204" s="4">
        <v>9098</v>
      </c>
      <c r="L204" s="4" t="s">
        <v>1896</v>
      </c>
      <c r="M204" s="4" t="s">
        <v>1907</v>
      </c>
      <c r="N204" s="4" t="s">
        <v>1908</v>
      </c>
      <c r="O204" s="4" t="s">
        <v>46</v>
      </c>
      <c r="P204" s="4"/>
      <c r="Q204" s="4" t="s">
        <v>47</v>
      </c>
      <c r="R204" s="4" t="s">
        <v>48</v>
      </c>
      <c r="S204" s="4">
        <v>0</v>
      </c>
      <c r="T204" s="4" t="b">
        <v>0</v>
      </c>
      <c r="U204" s="4" t="s">
        <v>49</v>
      </c>
      <c r="V204" s="4" t="s">
        <v>70</v>
      </c>
      <c r="W204" s="4" t="s">
        <v>71</v>
      </c>
      <c r="X204" s="4" t="s">
        <v>72</v>
      </c>
      <c r="Y204" s="4" t="s">
        <v>97</v>
      </c>
      <c r="Z204" s="4" t="s">
        <v>54</v>
      </c>
      <c r="AA204" s="4"/>
      <c r="AB204" s="23">
        <v>0</v>
      </c>
      <c r="AC204" s="28" t="e">
        <v>#N/A</v>
      </c>
      <c r="AD204" s="28" t="e">
        <v>#N/A</v>
      </c>
      <c r="AE204" s="28"/>
      <c r="AF204" s="19">
        <v>45215</v>
      </c>
      <c r="AG204" s="19"/>
      <c r="AH204" s="12">
        <f t="shared" si="12"/>
        <v>0</v>
      </c>
      <c r="AI204" s="12">
        <f t="shared" ca="1" si="13"/>
        <v>2</v>
      </c>
      <c r="AJ204" s="12" t="str">
        <f t="shared" si="14"/>
        <v>Under 1 Year</v>
      </c>
      <c r="AK204" s="12" t="s">
        <v>9633</v>
      </c>
      <c r="AL204" s="31">
        <v>0.01</v>
      </c>
      <c r="AM204" s="31">
        <v>18</v>
      </c>
      <c r="AN204" s="12" t="str">
        <f t="shared" si="15"/>
        <v>Less Than 20 Years</v>
      </c>
      <c r="AO204" s="13" t="s">
        <v>9156</v>
      </c>
      <c r="AP204" s="13" t="s">
        <v>9155</v>
      </c>
      <c r="AQ204" s="14" t="s">
        <v>9139</v>
      </c>
      <c r="AR204" s="14" t="s">
        <v>9140</v>
      </c>
      <c r="AS204" s="14"/>
      <c r="AT204" s="14" t="s">
        <v>72</v>
      </c>
      <c r="AU204" s="14" t="s">
        <v>54</v>
      </c>
      <c r="AV204" s="15" t="s">
        <v>9141</v>
      </c>
      <c r="AW204" s="15" t="s">
        <v>9191</v>
      </c>
      <c r="AX204" s="15" t="s">
        <v>9143</v>
      </c>
      <c r="AY204" s="15" t="s">
        <v>9141</v>
      </c>
      <c r="AZ204" s="15" t="s">
        <v>9191</v>
      </c>
      <c r="BA204" s="16" t="s">
        <v>9141</v>
      </c>
      <c r="BB204" s="16" t="s">
        <v>9192</v>
      </c>
    </row>
    <row r="205" spans="1:54" hidden="1" x14ac:dyDescent="0.25">
      <c r="A205" s="4" t="s">
        <v>661</v>
      </c>
      <c r="B205" s="4" t="s">
        <v>9454</v>
      </c>
      <c r="C205" s="4"/>
      <c r="D205" s="4" t="s">
        <v>39</v>
      </c>
      <c r="E205" s="4">
        <v>325780</v>
      </c>
      <c r="F205" s="4" t="s">
        <v>663</v>
      </c>
      <c r="G205" s="32">
        <v>24303</v>
      </c>
      <c r="H205" s="25">
        <v>45521</v>
      </c>
      <c r="I205" s="11">
        <v>0.46250000000000002</v>
      </c>
      <c r="J205" s="4" t="s">
        <v>463</v>
      </c>
      <c r="K205" s="4">
        <v>2024</v>
      </c>
      <c r="L205" s="4" t="s">
        <v>664</v>
      </c>
      <c r="M205" s="4" t="s">
        <v>665</v>
      </c>
      <c r="N205" s="4" t="s">
        <v>666</v>
      </c>
      <c r="O205" s="4" t="s">
        <v>46</v>
      </c>
      <c r="P205" s="4"/>
      <c r="Q205" s="4" t="s">
        <v>47</v>
      </c>
      <c r="R205" s="4" t="s">
        <v>48</v>
      </c>
      <c r="S205" s="4">
        <v>0</v>
      </c>
      <c r="T205" s="4" t="b">
        <v>0</v>
      </c>
      <c r="U205" s="4" t="s">
        <v>61</v>
      </c>
      <c r="V205" s="4" t="s">
        <v>89</v>
      </c>
      <c r="W205" s="4" t="s">
        <v>107</v>
      </c>
      <c r="X205" s="4" t="s">
        <v>63</v>
      </c>
      <c r="Y205" s="4" t="s">
        <v>108</v>
      </c>
      <c r="Z205" s="4" t="s">
        <v>54</v>
      </c>
      <c r="AA205" s="4"/>
      <c r="AB205" s="23">
        <v>0</v>
      </c>
      <c r="AC205" s="28" t="e">
        <v>#N/A</v>
      </c>
      <c r="AD205" s="28" t="e">
        <v>#N/A</v>
      </c>
      <c r="AE205" s="28"/>
      <c r="AF205" s="19">
        <v>44851</v>
      </c>
      <c r="AG205" s="19"/>
      <c r="AH205" s="12">
        <f t="shared" si="12"/>
        <v>1</v>
      </c>
      <c r="AI205" s="12">
        <f t="shared" ca="1" si="13"/>
        <v>3</v>
      </c>
      <c r="AJ205" s="12" t="str">
        <f t="shared" si="14"/>
        <v>1-5 Years</v>
      </c>
      <c r="AK205" s="12" t="s">
        <v>9632</v>
      </c>
      <c r="AL205" s="31">
        <v>19</v>
      </c>
      <c r="AM205" s="31">
        <v>58</v>
      </c>
      <c r="AN205" s="12" t="str">
        <f t="shared" si="15"/>
        <v>More Than 55 Years</v>
      </c>
      <c r="AO205" s="13" t="s">
        <v>9156</v>
      </c>
      <c r="AP205" s="13" t="s">
        <v>9155</v>
      </c>
      <c r="AQ205" s="14" t="s">
        <v>9148</v>
      </c>
      <c r="AR205" s="14" t="s">
        <v>9140</v>
      </c>
      <c r="AS205" s="14"/>
      <c r="AT205" s="14" t="s">
        <v>63</v>
      </c>
      <c r="AU205" s="14" t="s">
        <v>54</v>
      </c>
      <c r="AV205" s="15" t="s">
        <v>9141</v>
      </c>
      <c r="AW205" s="15" t="s">
        <v>9175</v>
      </c>
      <c r="AX205" s="15" t="s">
        <v>9143</v>
      </c>
      <c r="AY205" s="15" t="s">
        <v>9141</v>
      </c>
      <c r="AZ205" s="15" t="s">
        <v>9177</v>
      </c>
      <c r="BA205" s="16" t="s">
        <v>9141</v>
      </c>
      <c r="BB205" s="16" t="s">
        <v>9178</v>
      </c>
    </row>
    <row r="206" spans="1:54" hidden="1" x14ac:dyDescent="0.25">
      <c r="A206" s="4" t="s">
        <v>1241</v>
      </c>
      <c r="B206" s="4" t="s">
        <v>9455</v>
      </c>
      <c r="C206" s="4" t="s">
        <v>1242</v>
      </c>
      <c r="D206" s="4" t="s">
        <v>39</v>
      </c>
      <c r="E206" s="4">
        <v>297565</v>
      </c>
      <c r="F206" s="4" t="s">
        <v>1244</v>
      </c>
      <c r="G206" s="32">
        <v>34289</v>
      </c>
      <c r="H206" s="25">
        <v>45521</v>
      </c>
      <c r="I206" s="11">
        <v>0.44930555555555557</v>
      </c>
      <c r="J206" s="4" t="s">
        <v>1155</v>
      </c>
      <c r="K206" s="4">
        <v>4043</v>
      </c>
      <c r="L206" s="4" t="s">
        <v>1200</v>
      </c>
      <c r="M206" s="4" t="s">
        <v>1245</v>
      </c>
      <c r="N206" s="4" t="s">
        <v>1246</v>
      </c>
      <c r="O206" s="4" t="s">
        <v>28</v>
      </c>
      <c r="P206" s="4" t="s">
        <v>183</v>
      </c>
      <c r="Q206" s="4" t="s">
        <v>191</v>
      </c>
      <c r="R206" s="4" t="s">
        <v>48</v>
      </c>
      <c r="S206" s="4">
        <v>0</v>
      </c>
      <c r="T206" s="4" t="b">
        <v>0</v>
      </c>
      <c r="U206" s="4" t="s">
        <v>49</v>
      </c>
      <c r="V206" s="4" t="s">
        <v>89</v>
      </c>
      <c r="W206" s="4" t="s">
        <v>148</v>
      </c>
      <c r="X206" s="4" t="s">
        <v>52</v>
      </c>
      <c r="Y206" s="4" t="s">
        <v>53</v>
      </c>
      <c r="Z206" s="4" t="s">
        <v>54</v>
      </c>
      <c r="AA206" s="4"/>
      <c r="AB206" s="23" t="s">
        <v>48</v>
      </c>
      <c r="AC206" s="28" t="s">
        <v>9580</v>
      </c>
      <c r="AD206" s="28" t="e">
        <v>#N/A</v>
      </c>
      <c r="AE206" s="28"/>
      <c r="AF206" s="19">
        <v>44424</v>
      </c>
      <c r="AG206" s="19"/>
      <c r="AH206" s="12">
        <f t="shared" si="12"/>
        <v>3</v>
      </c>
      <c r="AI206" s="12">
        <f t="shared" ca="1" si="13"/>
        <v>5</v>
      </c>
      <c r="AJ206" s="12" t="str">
        <f t="shared" si="14"/>
        <v>1-5 Years</v>
      </c>
      <c r="AK206" s="12" t="s">
        <v>9632</v>
      </c>
      <c r="AL206" s="31">
        <v>12</v>
      </c>
      <c r="AM206" s="31">
        <v>31</v>
      </c>
      <c r="AN206" s="12" t="str">
        <f t="shared" si="15"/>
        <v>25-34 Years</v>
      </c>
      <c r="AO206" s="13" t="s">
        <v>9156</v>
      </c>
      <c r="AP206" s="13" t="s">
        <v>9155</v>
      </c>
      <c r="AQ206" s="14" t="s">
        <v>9139</v>
      </c>
      <c r="AR206" s="14" t="s">
        <v>28</v>
      </c>
      <c r="AS206" s="14" t="s">
        <v>183</v>
      </c>
      <c r="AT206" s="14" t="s">
        <v>52</v>
      </c>
      <c r="AU206" s="14" t="s">
        <v>54</v>
      </c>
      <c r="AV206" s="15" t="s">
        <v>9141</v>
      </c>
      <c r="AW206" s="15" t="s">
        <v>9187</v>
      </c>
      <c r="AX206" s="15" t="s">
        <v>9143</v>
      </c>
      <c r="AY206" s="15" t="s">
        <v>9141</v>
      </c>
      <c r="AZ206" s="15" t="s">
        <v>9144</v>
      </c>
      <c r="BA206" s="16" t="s">
        <v>9141</v>
      </c>
      <c r="BB206" s="16" t="s">
        <v>9145</v>
      </c>
    </row>
    <row r="207" spans="1:54" hidden="1" x14ac:dyDescent="0.25">
      <c r="A207" s="4" t="s">
        <v>1234</v>
      </c>
      <c r="B207" s="4" t="s">
        <v>9456</v>
      </c>
      <c r="C207" s="4" t="s">
        <v>1235</v>
      </c>
      <c r="D207" s="4" t="s">
        <v>488</v>
      </c>
      <c r="E207" s="4">
        <v>321621</v>
      </c>
      <c r="F207" s="4" t="s">
        <v>1237</v>
      </c>
      <c r="G207" s="32">
        <v>36463</v>
      </c>
      <c r="H207" s="25">
        <v>45524</v>
      </c>
      <c r="I207" s="11">
        <v>0.4826388888888889</v>
      </c>
      <c r="J207" s="4" t="s">
        <v>1155</v>
      </c>
      <c r="K207" s="4">
        <v>4043</v>
      </c>
      <c r="L207" s="4" t="s">
        <v>1200</v>
      </c>
      <c r="M207" s="4" t="s">
        <v>1238</v>
      </c>
      <c r="N207" s="4" t="s">
        <v>1239</v>
      </c>
      <c r="O207" s="4" t="s">
        <v>28</v>
      </c>
      <c r="P207" s="4" t="s">
        <v>478</v>
      </c>
      <c r="Q207" s="4" t="s">
        <v>174</v>
      </c>
      <c r="R207" s="4" t="s">
        <v>48</v>
      </c>
      <c r="S207" s="4">
        <v>51</v>
      </c>
      <c r="T207" s="4" t="b">
        <v>0</v>
      </c>
      <c r="U207" s="4" t="s">
        <v>184</v>
      </c>
      <c r="V207" s="4" t="s">
        <v>1240</v>
      </c>
      <c r="W207" s="4" t="s">
        <v>90</v>
      </c>
      <c r="X207" s="4" t="s">
        <v>267</v>
      </c>
      <c r="Y207" s="4" t="s">
        <v>268</v>
      </c>
      <c r="Z207" s="4" t="s">
        <v>54</v>
      </c>
      <c r="AA207" s="4"/>
      <c r="AB207" s="23" t="s">
        <v>48</v>
      </c>
      <c r="AC207" s="28" t="e">
        <v>#N/A</v>
      </c>
      <c r="AD207" s="28" t="e">
        <v>#N/A</v>
      </c>
      <c r="AE207" s="28"/>
      <c r="AF207" s="19">
        <v>44641</v>
      </c>
      <c r="AG207" s="19">
        <v>45628</v>
      </c>
      <c r="AH207" s="12">
        <f t="shared" si="12"/>
        <v>2</v>
      </c>
      <c r="AI207" s="12">
        <f t="shared" ca="1" si="13"/>
        <v>2</v>
      </c>
      <c r="AJ207" s="12" t="str">
        <f t="shared" si="14"/>
        <v>1-5 Years</v>
      </c>
      <c r="AK207" s="12" t="s">
        <v>9632</v>
      </c>
      <c r="AL207" s="31">
        <v>35</v>
      </c>
      <c r="AM207" s="31">
        <v>25</v>
      </c>
      <c r="AN207" s="12" t="str">
        <f t="shared" si="15"/>
        <v>25-34 Years</v>
      </c>
      <c r="AO207" s="13" t="s">
        <v>9156</v>
      </c>
      <c r="AP207" s="13" t="s">
        <v>9155</v>
      </c>
      <c r="AQ207" s="14" t="s">
        <v>9166</v>
      </c>
      <c r="AR207" s="14" t="s">
        <v>28</v>
      </c>
      <c r="AS207" s="14" t="s">
        <v>478</v>
      </c>
      <c r="AT207" s="14" t="s">
        <v>267</v>
      </c>
      <c r="AU207" s="14" t="s">
        <v>54</v>
      </c>
      <c r="AV207" s="15" t="s">
        <v>9141</v>
      </c>
      <c r="AW207" s="15" t="s">
        <v>9187</v>
      </c>
      <c r="AX207" s="15" t="s">
        <v>9143</v>
      </c>
      <c r="AY207" s="15" t="s">
        <v>9141</v>
      </c>
      <c r="AZ207" s="15" t="s">
        <v>9144</v>
      </c>
      <c r="BA207" s="16" t="s">
        <v>9141</v>
      </c>
      <c r="BB207" s="16" t="s">
        <v>9145</v>
      </c>
    </row>
    <row r="208" spans="1:54" hidden="1" x14ac:dyDescent="0.25">
      <c r="A208" s="4" t="s">
        <v>642</v>
      </c>
      <c r="B208" s="4" t="s">
        <v>9457</v>
      </c>
      <c r="C208" s="4"/>
      <c r="D208" s="4" t="s">
        <v>39</v>
      </c>
      <c r="E208" s="4">
        <v>297431</v>
      </c>
      <c r="F208" s="4" t="s">
        <v>644</v>
      </c>
      <c r="G208" s="32">
        <v>34668</v>
      </c>
      <c r="H208" s="25">
        <v>45525</v>
      </c>
      <c r="I208" s="11">
        <v>0.44027777777777777</v>
      </c>
      <c r="J208" s="4" t="s">
        <v>463</v>
      </c>
      <c r="K208" s="4">
        <v>2023</v>
      </c>
      <c r="L208" s="4" t="s">
        <v>615</v>
      </c>
      <c r="M208" s="4" t="s">
        <v>645</v>
      </c>
      <c r="N208" s="4" t="s">
        <v>646</v>
      </c>
      <c r="O208" s="4" t="s">
        <v>46</v>
      </c>
      <c r="P208" s="4"/>
      <c r="Q208" s="4" t="s">
        <v>47</v>
      </c>
      <c r="R208" s="4" t="s">
        <v>48</v>
      </c>
      <c r="S208" s="4">
        <v>0</v>
      </c>
      <c r="T208" s="4" t="b">
        <v>0</v>
      </c>
      <c r="U208" s="4" t="s">
        <v>61</v>
      </c>
      <c r="V208" s="4" t="s">
        <v>89</v>
      </c>
      <c r="W208" s="4" t="s">
        <v>373</v>
      </c>
      <c r="X208" s="4" t="s">
        <v>52</v>
      </c>
      <c r="Y208" s="4" t="s">
        <v>53</v>
      </c>
      <c r="Z208" s="4"/>
      <c r="AA208" s="4"/>
      <c r="AB208" s="23">
        <v>0</v>
      </c>
      <c r="AC208" s="28" t="e">
        <v>#N/A</v>
      </c>
      <c r="AD208" s="28" t="e">
        <v>#N/A</v>
      </c>
      <c r="AE208" s="28"/>
      <c r="AF208" s="19">
        <v>44305</v>
      </c>
      <c r="AG208" s="19">
        <v>45646</v>
      </c>
      <c r="AH208" s="12">
        <f t="shared" si="12"/>
        <v>3</v>
      </c>
      <c r="AI208" s="12">
        <f t="shared" ca="1" si="13"/>
        <v>3</v>
      </c>
      <c r="AJ208" s="12" t="str">
        <f t="shared" si="14"/>
        <v>1-5 Years</v>
      </c>
      <c r="AK208" s="12" t="s">
        <v>10046</v>
      </c>
      <c r="AL208" s="31">
        <v>38</v>
      </c>
      <c r="AM208" s="31">
        <v>30</v>
      </c>
      <c r="AN208" s="12" t="str">
        <f t="shared" si="15"/>
        <v>25-34 Years</v>
      </c>
      <c r="AO208" s="13" t="s">
        <v>9156</v>
      </c>
      <c r="AP208" s="13" t="s">
        <v>9155</v>
      </c>
      <c r="AQ208" s="14" t="s">
        <v>9148</v>
      </c>
      <c r="AR208" s="14" t="s">
        <v>9140</v>
      </c>
      <c r="AS208" s="14"/>
      <c r="AT208" s="14" t="s">
        <v>52</v>
      </c>
      <c r="AU208" s="14">
        <v>0</v>
      </c>
      <c r="AV208" s="15" t="s">
        <v>9141</v>
      </c>
      <c r="AW208" s="15" t="s">
        <v>9175</v>
      </c>
      <c r="AX208" s="15" t="s">
        <v>9143</v>
      </c>
      <c r="AY208" s="15" t="s">
        <v>9141</v>
      </c>
      <c r="AZ208" s="15" t="s">
        <v>9177</v>
      </c>
      <c r="BA208" s="16" t="s">
        <v>9141</v>
      </c>
      <c r="BB208" s="16" t="s">
        <v>9178</v>
      </c>
    </row>
    <row r="209" spans="1:54" hidden="1" x14ac:dyDescent="0.25">
      <c r="A209" s="4" t="s">
        <v>708</v>
      </c>
      <c r="B209" s="4" t="s">
        <v>9458</v>
      </c>
      <c r="C209" s="4"/>
      <c r="D209" s="4" t="s">
        <v>39</v>
      </c>
      <c r="E209" s="4">
        <v>406857</v>
      </c>
      <c r="F209" s="4" t="s">
        <v>710</v>
      </c>
      <c r="G209" s="32">
        <v>26834</v>
      </c>
      <c r="H209" s="25">
        <v>45527</v>
      </c>
      <c r="I209" s="11">
        <v>0.8125</v>
      </c>
      <c r="J209" s="4" t="s">
        <v>463</v>
      </c>
      <c r="K209" s="4">
        <v>2025</v>
      </c>
      <c r="L209" s="4" t="s">
        <v>701</v>
      </c>
      <c r="M209" s="4" t="s">
        <v>711</v>
      </c>
      <c r="N209" s="4" t="s">
        <v>712</v>
      </c>
      <c r="O209" s="4" t="s">
        <v>46</v>
      </c>
      <c r="P209" s="4"/>
      <c r="Q209" s="4" t="s">
        <v>47</v>
      </c>
      <c r="R209" s="4" t="s">
        <v>48</v>
      </c>
      <c r="S209" s="4">
        <v>0</v>
      </c>
      <c r="T209" s="4" t="b">
        <v>0</v>
      </c>
      <c r="U209" s="4" t="s">
        <v>114</v>
      </c>
      <c r="V209" s="4" t="s">
        <v>713</v>
      </c>
      <c r="W209" s="4" t="s">
        <v>90</v>
      </c>
      <c r="X209" s="4" t="s">
        <v>267</v>
      </c>
      <c r="Y209" s="4" t="s">
        <v>331</v>
      </c>
      <c r="Z209" s="4" t="s">
        <v>54</v>
      </c>
      <c r="AA209" s="4"/>
      <c r="AB209" s="23">
        <v>0</v>
      </c>
      <c r="AC209" s="28" t="e">
        <v>#N/A</v>
      </c>
      <c r="AD209" s="28" t="e">
        <v>#N/A</v>
      </c>
      <c r="AE209" s="28"/>
      <c r="AF209" s="19">
        <v>42324</v>
      </c>
      <c r="AG209" s="19"/>
      <c r="AH209" s="12">
        <f t="shared" si="12"/>
        <v>8</v>
      </c>
      <c r="AI209" s="12">
        <f t="shared" ca="1" si="13"/>
        <v>10</v>
      </c>
      <c r="AJ209" s="12" t="str">
        <f t="shared" si="14"/>
        <v>6-10 Years</v>
      </c>
      <c r="AK209" s="12" t="s">
        <v>10046</v>
      </c>
      <c r="AL209" s="31">
        <v>38</v>
      </c>
      <c r="AM209" s="31">
        <v>51</v>
      </c>
      <c r="AN209" s="12" t="str">
        <f t="shared" si="15"/>
        <v>45-54 Years</v>
      </c>
      <c r="AO209" s="13" t="s">
        <v>9156</v>
      </c>
      <c r="AP209" s="13" t="s">
        <v>9155</v>
      </c>
      <c r="AQ209" s="14" t="s">
        <v>9157</v>
      </c>
      <c r="AR209" s="14" t="s">
        <v>9140</v>
      </c>
      <c r="AS209" s="14"/>
      <c r="AT209" s="14" t="s">
        <v>267</v>
      </c>
      <c r="AU209" s="14" t="s">
        <v>54</v>
      </c>
      <c r="AV209" s="15" t="s">
        <v>9141</v>
      </c>
      <c r="AW209" s="15" t="s">
        <v>9175</v>
      </c>
      <c r="AX209" s="15" t="s">
        <v>9143</v>
      </c>
      <c r="AY209" s="15" t="s">
        <v>9141</v>
      </c>
      <c r="AZ209" s="15" t="s">
        <v>9175</v>
      </c>
      <c r="BA209" s="16" t="s">
        <v>9141</v>
      </c>
      <c r="BB209" s="16" t="s">
        <v>9176</v>
      </c>
    </row>
    <row r="210" spans="1:54" hidden="1" x14ac:dyDescent="0.25">
      <c r="A210" s="4" t="s">
        <v>1727</v>
      </c>
      <c r="B210" s="4" t="s">
        <v>9459</v>
      </c>
      <c r="C210" s="4" t="s">
        <v>1728</v>
      </c>
      <c r="D210" s="4" t="s">
        <v>39</v>
      </c>
      <c r="E210" s="4">
        <v>333815</v>
      </c>
      <c r="F210" s="4" t="s">
        <v>1730</v>
      </c>
      <c r="G210" s="32">
        <v>35979</v>
      </c>
      <c r="H210" s="25">
        <v>45527</v>
      </c>
      <c r="I210" s="11">
        <v>0.43055555555555558</v>
      </c>
      <c r="J210" s="4" t="s">
        <v>1654</v>
      </c>
      <c r="K210" s="4">
        <v>9090</v>
      </c>
      <c r="L210" s="4" t="s">
        <v>1719</v>
      </c>
      <c r="M210" s="4" t="s">
        <v>1731</v>
      </c>
      <c r="N210" s="4" t="s">
        <v>1732</v>
      </c>
      <c r="O210" s="4" t="s">
        <v>28</v>
      </c>
      <c r="P210" s="4" t="s">
        <v>183</v>
      </c>
      <c r="Q210" s="4" t="s">
        <v>174</v>
      </c>
      <c r="R210" s="4" t="s">
        <v>48</v>
      </c>
      <c r="S210" s="4">
        <v>0</v>
      </c>
      <c r="T210" s="4" t="b">
        <v>0</v>
      </c>
      <c r="U210" s="4" t="s">
        <v>114</v>
      </c>
      <c r="V210" s="4" t="s">
        <v>50</v>
      </c>
      <c r="W210" s="4" t="s">
        <v>140</v>
      </c>
      <c r="X210" s="4" t="s">
        <v>52</v>
      </c>
      <c r="Y210" s="4" t="s">
        <v>255</v>
      </c>
      <c r="Z210" s="4" t="s">
        <v>54</v>
      </c>
      <c r="AA210" s="4"/>
      <c r="AB210" s="23" t="s">
        <v>48</v>
      </c>
      <c r="AC210" s="28" t="e">
        <v>#N/A</v>
      </c>
      <c r="AD210" s="28" t="e">
        <v>#N/A</v>
      </c>
      <c r="AE210" s="28"/>
      <c r="AF210" s="19">
        <v>45383</v>
      </c>
      <c r="AG210" s="19">
        <v>45595</v>
      </c>
      <c r="AH210" s="12">
        <f t="shared" si="12"/>
        <v>0</v>
      </c>
      <c r="AI210" s="12">
        <f t="shared" ca="1" si="13"/>
        <v>0</v>
      </c>
      <c r="AJ210" s="12" t="str">
        <f t="shared" si="14"/>
        <v>Under 1 Year</v>
      </c>
      <c r="AK210" s="12" t="s">
        <v>9632</v>
      </c>
      <c r="AL210" s="31">
        <v>25</v>
      </c>
      <c r="AM210" s="31">
        <v>26</v>
      </c>
      <c r="AN210" s="12" t="str">
        <f t="shared" si="15"/>
        <v>25-34 Years</v>
      </c>
      <c r="AO210" s="13" t="s">
        <v>9156</v>
      </c>
      <c r="AP210" s="13" t="s">
        <v>9155</v>
      </c>
      <c r="AQ210" s="14" t="s">
        <v>9157</v>
      </c>
      <c r="AR210" s="14" t="s">
        <v>28</v>
      </c>
      <c r="AS210" s="14" t="s">
        <v>183</v>
      </c>
      <c r="AT210" s="14" t="s">
        <v>52</v>
      </c>
      <c r="AU210" s="14" t="s">
        <v>54</v>
      </c>
      <c r="AV210" s="15" t="s">
        <v>9141</v>
      </c>
      <c r="AW210" s="15" t="s">
        <v>9191</v>
      </c>
      <c r="AX210" s="15" t="s">
        <v>9143</v>
      </c>
      <c r="AY210" s="15" t="s">
        <v>9141</v>
      </c>
      <c r="AZ210" s="15" t="s">
        <v>9191</v>
      </c>
      <c r="BA210" s="16" t="s">
        <v>9141</v>
      </c>
      <c r="BB210" s="16" t="s">
        <v>9192</v>
      </c>
    </row>
    <row r="211" spans="1:54" hidden="1" x14ac:dyDescent="0.25">
      <c r="A211" s="4" t="s">
        <v>1019</v>
      </c>
      <c r="B211" s="4" t="s">
        <v>9460</v>
      </c>
      <c r="C211" s="4"/>
      <c r="D211" s="4" t="s">
        <v>39</v>
      </c>
      <c r="E211" s="4">
        <v>325893</v>
      </c>
      <c r="F211" s="4" t="s">
        <v>1021</v>
      </c>
      <c r="G211" s="32">
        <v>33757</v>
      </c>
      <c r="H211" s="25">
        <v>45531</v>
      </c>
      <c r="I211" s="11">
        <v>0.52083333333333337</v>
      </c>
      <c r="J211" s="4" t="s">
        <v>463</v>
      </c>
      <c r="K211" s="4">
        <v>2042</v>
      </c>
      <c r="L211" s="4" t="s">
        <v>1015</v>
      </c>
      <c r="M211" s="4" t="s">
        <v>1022</v>
      </c>
      <c r="N211" s="4" t="s">
        <v>1023</v>
      </c>
      <c r="O211" s="4" t="s">
        <v>46</v>
      </c>
      <c r="P211" s="4"/>
      <c r="Q211" s="4" t="s">
        <v>47</v>
      </c>
      <c r="R211" s="4" t="s">
        <v>48</v>
      </c>
      <c r="S211" s="4">
        <v>0</v>
      </c>
      <c r="T211" s="4" t="b">
        <v>0</v>
      </c>
      <c r="U211" s="4" t="s">
        <v>49</v>
      </c>
      <c r="V211" s="4" t="s">
        <v>50</v>
      </c>
      <c r="W211" s="4" t="s">
        <v>71</v>
      </c>
      <c r="X211" s="4" t="s">
        <v>63</v>
      </c>
      <c r="Y211" s="4" t="s">
        <v>312</v>
      </c>
      <c r="Z211" s="4" t="s">
        <v>54</v>
      </c>
      <c r="AA211" s="4"/>
      <c r="AB211" s="23">
        <v>0</v>
      </c>
      <c r="AC211" s="28" t="e">
        <v>#N/A</v>
      </c>
      <c r="AD211" s="28" t="e">
        <v>#N/A</v>
      </c>
      <c r="AE211" s="28"/>
      <c r="AF211" s="19">
        <v>44865</v>
      </c>
      <c r="AG211" s="19"/>
      <c r="AH211" s="12">
        <f t="shared" si="12"/>
        <v>1</v>
      </c>
      <c r="AI211" s="12">
        <f t="shared" ca="1" si="13"/>
        <v>3</v>
      </c>
      <c r="AJ211" s="12" t="str">
        <f t="shared" si="14"/>
        <v>1-5 Years</v>
      </c>
      <c r="AK211" s="12" t="s">
        <v>9632</v>
      </c>
      <c r="AL211" s="31">
        <v>23.75</v>
      </c>
      <c r="AM211" s="31">
        <v>32</v>
      </c>
      <c r="AN211" s="12" t="str">
        <f t="shared" si="15"/>
        <v>25-34 Years</v>
      </c>
      <c r="AO211" s="13" t="s">
        <v>9156</v>
      </c>
      <c r="AP211" s="13" t="s">
        <v>9155</v>
      </c>
      <c r="AQ211" s="14" t="s">
        <v>9139</v>
      </c>
      <c r="AR211" s="14" t="s">
        <v>9140</v>
      </c>
      <c r="AS211" s="14"/>
      <c r="AT211" s="14" t="s">
        <v>63</v>
      </c>
      <c r="AU211" s="14" t="s">
        <v>54</v>
      </c>
      <c r="AV211" s="15" t="s">
        <v>9141</v>
      </c>
      <c r="AW211" s="15" t="s">
        <v>9175</v>
      </c>
      <c r="AX211" s="15" t="s">
        <v>9143</v>
      </c>
      <c r="AY211" s="15" t="s">
        <v>9141</v>
      </c>
      <c r="AZ211" s="15" t="s">
        <v>9175</v>
      </c>
      <c r="BA211" s="16" t="s">
        <v>9141</v>
      </c>
      <c r="BB211" s="16" t="s">
        <v>9176</v>
      </c>
    </row>
    <row r="212" spans="1:54" x14ac:dyDescent="0.25">
      <c r="A212" s="4" t="s">
        <v>1641</v>
      </c>
      <c r="B212" s="4" t="s">
        <v>9461</v>
      </c>
      <c r="C212" s="4"/>
      <c r="D212" s="4" t="s">
        <v>39</v>
      </c>
      <c r="E212" s="4">
        <v>296483</v>
      </c>
      <c r="F212" s="4" t="s">
        <v>1643</v>
      </c>
      <c r="G212" s="32">
        <v>28478</v>
      </c>
      <c r="H212" s="25">
        <v>45531</v>
      </c>
      <c r="I212" s="11">
        <v>0.63888888888888884</v>
      </c>
      <c r="J212" s="4" t="s">
        <v>1366</v>
      </c>
      <c r="K212" s="4">
        <v>6078</v>
      </c>
      <c r="L212" s="4" t="s">
        <v>1638</v>
      </c>
      <c r="M212" s="4" t="s">
        <v>1644</v>
      </c>
      <c r="N212" s="4" t="s">
        <v>1645</v>
      </c>
      <c r="O212" s="4" t="s">
        <v>46</v>
      </c>
      <c r="P212" s="4"/>
      <c r="Q212" s="4" t="s">
        <v>47</v>
      </c>
      <c r="R212" s="4" t="s">
        <v>48</v>
      </c>
      <c r="S212" s="4">
        <v>0</v>
      </c>
      <c r="T212" s="4" t="b">
        <v>0</v>
      </c>
      <c r="U212" s="4" t="s">
        <v>61</v>
      </c>
      <c r="V212" s="4" t="s">
        <v>433</v>
      </c>
      <c r="W212" s="4" t="s">
        <v>71</v>
      </c>
      <c r="X212" s="4" t="s">
        <v>72</v>
      </c>
      <c r="Y212" s="4" t="s">
        <v>73</v>
      </c>
      <c r="Z212" s="4" t="s">
        <v>785</v>
      </c>
      <c r="AA212" s="4"/>
      <c r="AB212" s="23">
        <v>0</v>
      </c>
      <c r="AC212" s="28" t="e">
        <v>#N/A</v>
      </c>
      <c r="AD212" s="28" t="e">
        <v>#N/A</v>
      </c>
      <c r="AE212" s="28"/>
      <c r="AF212" s="19">
        <v>43521</v>
      </c>
      <c r="AG212" s="19"/>
      <c r="AH212" s="12">
        <f t="shared" si="12"/>
        <v>5</v>
      </c>
      <c r="AI212" s="12">
        <f t="shared" ca="1" si="13"/>
        <v>7</v>
      </c>
      <c r="AJ212" s="12" t="str">
        <f t="shared" si="14"/>
        <v>1-5 Years</v>
      </c>
      <c r="AK212" s="12" t="s">
        <v>9632</v>
      </c>
      <c r="AL212" s="31">
        <v>24.5</v>
      </c>
      <c r="AM212" s="31">
        <v>47</v>
      </c>
      <c r="AN212" s="12" t="str">
        <f t="shared" si="15"/>
        <v>45-54 Years</v>
      </c>
      <c r="AO212" s="13" t="s">
        <v>9156</v>
      </c>
      <c r="AP212" s="13" t="s">
        <v>9155</v>
      </c>
      <c r="AQ212" s="14" t="s">
        <v>9148</v>
      </c>
      <c r="AR212" s="14" t="s">
        <v>9140</v>
      </c>
      <c r="AS212" s="14"/>
      <c r="AT212" s="14" t="s">
        <v>72</v>
      </c>
      <c r="AU212" s="14" t="s">
        <v>785</v>
      </c>
      <c r="AV212" s="15" t="s">
        <v>9141</v>
      </c>
      <c r="AW212" s="15" t="s">
        <v>9188</v>
      </c>
      <c r="AX212" s="15" t="s">
        <v>9143</v>
      </c>
      <c r="AY212" s="15" t="s">
        <v>9141</v>
      </c>
      <c r="AZ212" s="15" t="s">
        <v>9189</v>
      </c>
      <c r="BA212" s="16" t="s">
        <v>9141</v>
      </c>
      <c r="BB212" s="16" t="s">
        <v>9190</v>
      </c>
    </row>
    <row r="213" spans="1:54" hidden="1" x14ac:dyDescent="0.25">
      <c r="A213" s="4" t="s">
        <v>1229</v>
      </c>
      <c r="B213" s="4" t="s">
        <v>9462</v>
      </c>
      <c r="C213" s="4"/>
      <c r="D213" s="4" t="s">
        <v>39</v>
      </c>
      <c r="E213" s="4">
        <v>296394</v>
      </c>
      <c r="F213" s="4" t="s">
        <v>1231</v>
      </c>
      <c r="G213" s="32">
        <v>36872</v>
      </c>
      <c r="H213" s="25">
        <v>45536</v>
      </c>
      <c r="I213" s="11">
        <v>0.66736111111111107</v>
      </c>
      <c r="J213" s="4" t="s">
        <v>1155</v>
      </c>
      <c r="K213" s="4">
        <v>4043</v>
      </c>
      <c r="L213" s="4" t="s">
        <v>1200</v>
      </c>
      <c r="M213" s="4" t="s">
        <v>1232</v>
      </c>
      <c r="N213" s="4" t="s">
        <v>1233</v>
      </c>
      <c r="O213" s="4" t="s">
        <v>46</v>
      </c>
      <c r="P213" s="4"/>
      <c r="Q213" s="4" t="s">
        <v>47</v>
      </c>
      <c r="R213" s="4" t="s">
        <v>48</v>
      </c>
      <c r="S213" s="4">
        <v>0</v>
      </c>
      <c r="T213" s="4" t="b">
        <v>0</v>
      </c>
      <c r="U213" s="4" t="s">
        <v>61</v>
      </c>
      <c r="V213" s="4" t="s">
        <v>50</v>
      </c>
      <c r="W213" s="4" t="s">
        <v>71</v>
      </c>
      <c r="X213" s="4" t="s">
        <v>63</v>
      </c>
      <c r="Y213" s="4" t="s">
        <v>108</v>
      </c>
      <c r="Z213" s="4" t="s">
        <v>54</v>
      </c>
      <c r="AA213" s="4"/>
      <c r="AB213" s="23">
        <v>0</v>
      </c>
      <c r="AC213" s="28" t="e">
        <v>#N/A</v>
      </c>
      <c r="AD213" s="28" t="e">
        <v>#N/A</v>
      </c>
      <c r="AE213" s="28"/>
      <c r="AF213" s="19">
        <v>43423</v>
      </c>
      <c r="AG213" s="19"/>
      <c r="AH213" s="12">
        <f t="shared" si="12"/>
        <v>5</v>
      </c>
      <c r="AI213" s="12">
        <f t="shared" ca="1" si="13"/>
        <v>7</v>
      </c>
      <c r="AJ213" s="12" t="str">
        <f t="shared" si="14"/>
        <v>1-5 Years</v>
      </c>
      <c r="AK213" s="12" t="s">
        <v>9632</v>
      </c>
      <c r="AL213" s="31">
        <v>34</v>
      </c>
      <c r="AM213" s="31">
        <v>24</v>
      </c>
      <c r="AN213" s="12" t="str">
        <f t="shared" si="15"/>
        <v>20-24 Years</v>
      </c>
      <c r="AO213" s="13" t="s">
        <v>9156</v>
      </c>
      <c r="AP213" s="13" t="s">
        <v>9155</v>
      </c>
      <c r="AQ213" s="14" t="s">
        <v>9148</v>
      </c>
      <c r="AR213" s="14" t="s">
        <v>9140</v>
      </c>
      <c r="AS213" s="14"/>
      <c r="AT213" s="14" t="s">
        <v>63</v>
      </c>
      <c r="AU213" s="14" t="s">
        <v>54</v>
      </c>
      <c r="AV213" s="15" t="s">
        <v>9141</v>
      </c>
      <c r="AW213" s="15" t="s">
        <v>9187</v>
      </c>
      <c r="AX213" s="15" t="s">
        <v>9143</v>
      </c>
      <c r="AY213" s="15" t="s">
        <v>9141</v>
      </c>
      <c r="AZ213" s="15" t="s">
        <v>9144</v>
      </c>
      <c r="BA213" s="16" t="s">
        <v>9141</v>
      </c>
      <c r="BB213" s="16" t="s">
        <v>9145</v>
      </c>
    </row>
    <row r="214" spans="1:54" hidden="1" x14ac:dyDescent="0.25">
      <c r="A214" s="4" t="s">
        <v>1857</v>
      </c>
      <c r="B214" s="4" t="s">
        <v>9463</v>
      </c>
      <c r="C214" s="4"/>
      <c r="D214" s="4" t="s">
        <v>39</v>
      </c>
      <c r="E214" s="4">
        <v>330581</v>
      </c>
      <c r="F214" s="4" t="s">
        <v>1849</v>
      </c>
      <c r="G214" s="32">
        <v>35961</v>
      </c>
      <c r="H214" s="25">
        <v>45536</v>
      </c>
      <c r="I214" s="11">
        <v>0.63263888888888886</v>
      </c>
      <c r="J214" s="4" t="s">
        <v>1654</v>
      </c>
      <c r="K214" s="4">
        <v>9097</v>
      </c>
      <c r="L214" s="4" t="s">
        <v>1844</v>
      </c>
      <c r="M214" s="4" t="s">
        <v>711</v>
      </c>
      <c r="N214" s="4" t="s">
        <v>1858</v>
      </c>
      <c r="O214" s="4" t="s">
        <v>46</v>
      </c>
      <c r="P214" s="4"/>
      <c r="Q214" s="4" t="s">
        <v>47</v>
      </c>
      <c r="R214" s="4" t="s">
        <v>48</v>
      </c>
      <c r="S214" s="4">
        <v>0</v>
      </c>
      <c r="T214" s="4" t="b">
        <v>0</v>
      </c>
      <c r="U214" s="4" t="s">
        <v>49</v>
      </c>
      <c r="V214" s="4" t="s">
        <v>89</v>
      </c>
      <c r="W214" s="4" t="s">
        <v>90</v>
      </c>
      <c r="X214" s="4" t="s">
        <v>63</v>
      </c>
      <c r="Y214" s="4" t="s">
        <v>108</v>
      </c>
      <c r="Z214" s="4" t="s">
        <v>98</v>
      </c>
      <c r="AA214" s="4"/>
      <c r="AB214" s="23">
        <v>0</v>
      </c>
      <c r="AC214" s="28" t="e">
        <v>#N/A</v>
      </c>
      <c r="AD214" s="28" t="e">
        <v>#N/A</v>
      </c>
      <c r="AE214" s="28"/>
      <c r="AF214" s="19">
        <v>45208</v>
      </c>
      <c r="AG214" s="19">
        <v>45593</v>
      </c>
      <c r="AH214" s="12">
        <f t="shared" si="12"/>
        <v>0</v>
      </c>
      <c r="AI214" s="12">
        <f t="shared" ca="1" si="13"/>
        <v>1</v>
      </c>
      <c r="AJ214" s="12" t="str">
        <f t="shared" si="14"/>
        <v>Under 1 Year</v>
      </c>
      <c r="AK214" s="12" t="s">
        <v>10046</v>
      </c>
      <c r="AL214" s="31">
        <v>38</v>
      </c>
      <c r="AM214" s="31">
        <v>26</v>
      </c>
      <c r="AN214" s="12" t="str">
        <f t="shared" si="15"/>
        <v>25-34 Years</v>
      </c>
      <c r="AO214" s="13" t="s">
        <v>9156</v>
      </c>
      <c r="AP214" s="13" t="s">
        <v>9155</v>
      </c>
      <c r="AQ214" s="14" t="s">
        <v>9139</v>
      </c>
      <c r="AR214" s="14" t="s">
        <v>9140</v>
      </c>
      <c r="AS214" s="14"/>
      <c r="AT214" s="14" t="s">
        <v>63</v>
      </c>
      <c r="AU214" s="14" t="s">
        <v>98</v>
      </c>
      <c r="AV214" s="15" t="s">
        <v>9141</v>
      </c>
      <c r="AW214" s="15" t="s">
        <v>9191</v>
      </c>
      <c r="AX214" s="15" t="s">
        <v>9143</v>
      </c>
      <c r="AY214" s="15" t="s">
        <v>9141</v>
      </c>
      <c r="AZ214" s="15" t="s">
        <v>9191</v>
      </c>
      <c r="BA214" s="16" t="s">
        <v>9141</v>
      </c>
      <c r="BB214" s="16" t="s">
        <v>9192</v>
      </c>
    </row>
    <row r="215" spans="1:54" hidden="1" x14ac:dyDescent="0.25">
      <c r="A215" s="4" t="s">
        <v>965</v>
      </c>
      <c r="B215" s="4" t="s">
        <v>9464</v>
      </c>
      <c r="C215" s="4"/>
      <c r="D215" s="4" t="s">
        <v>39</v>
      </c>
      <c r="E215" s="4">
        <v>333561</v>
      </c>
      <c r="F215" s="4" t="s">
        <v>967</v>
      </c>
      <c r="G215" s="32">
        <v>26994</v>
      </c>
      <c r="H215" s="25">
        <v>45540</v>
      </c>
      <c r="I215" s="11">
        <v>0.45833333333333331</v>
      </c>
      <c r="J215" s="4" t="s">
        <v>463</v>
      </c>
      <c r="K215" s="4">
        <v>2033</v>
      </c>
      <c r="L215" s="4" t="s">
        <v>952</v>
      </c>
      <c r="M215" s="4" t="s">
        <v>968</v>
      </c>
      <c r="N215" s="4" t="s">
        <v>969</v>
      </c>
      <c r="O215" s="4" t="s">
        <v>28</v>
      </c>
      <c r="P215" s="4" t="s">
        <v>478</v>
      </c>
      <c r="Q215" s="4" t="s">
        <v>47</v>
      </c>
      <c r="R215" s="4" t="s">
        <v>48</v>
      </c>
      <c r="S215" s="4">
        <v>0</v>
      </c>
      <c r="T215" s="4" t="b">
        <v>0</v>
      </c>
      <c r="U215" s="4" t="s">
        <v>61</v>
      </c>
      <c r="V215" s="4" t="s">
        <v>89</v>
      </c>
      <c r="W215" s="4" t="s">
        <v>148</v>
      </c>
      <c r="X215" s="4" t="s">
        <v>52</v>
      </c>
      <c r="Y215" s="4" t="s">
        <v>135</v>
      </c>
      <c r="Z215" s="4" t="s">
        <v>54</v>
      </c>
      <c r="AA215" s="4"/>
      <c r="AB215" s="23" t="s">
        <v>48</v>
      </c>
      <c r="AC215" s="28" t="e">
        <v>#N/A</v>
      </c>
      <c r="AD215" s="28" t="e">
        <v>#N/A</v>
      </c>
      <c r="AE215" s="28"/>
      <c r="AF215" s="19">
        <v>45348</v>
      </c>
      <c r="AG215" s="19">
        <v>45638</v>
      </c>
      <c r="AH215" s="12">
        <f t="shared" si="12"/>
        <v>0</v>
      </c>
      <c r="AI215" s="12">
        <f t="shared" ca="1" si="13"/>
        <v>0</v>
      </c>
      <c r="AJ215" s="12" t="str">
        <f t="shared" si="14"/>
        <v>Under 1 Year</v>
      </c>
      <c r="AK215" s="12" t="s">
        <v>10046</v>
      </c>
      <c r="AL215" s="31">
        <v>38</v>
      </c>
      <c r="AM215" s="31">
        <v>51</v>
      </c>
      <c r="AN215" s="12" t="str">
        <f t="shared" si="15"/>
        <v>45-54 Years</v>
      </c>
      <c r="AO215" s="13" t="s">
        <v>9154</v>
      </c>
      <c r="AP215" s="13" t="s">
        <v>9155</v>
      </c>
      <c r="AQ215" s="14" t="s">
        <v>9148</v>
      </c>
      <c r="AR215" s="14" t="s">
        <v>28</v>
      </c>
      <c r="AS215" s="14" t="s">
        <v>478</v>
      </c>
      <c r="AT215" s="14" t="s">
        <v>52</v>
      </c>
      <c r="AU215" s="14" t="s">
        <v>54</v>
      </c>
      <c r="AV215" s="15" t="s">
        <v>9141</v>
      </c>
      <c r="AW215" s="15" t="s">
        <v>9175</v>
      </c>
      <c r="AX215" s="15" t="s">
        <v>9143</v>
      </c>
      <c r="AY215" s="15" t="s">
        <v>9141</v>
      </c>
      <c r="AZ215" s="15" t="s">
        <v>9175</v>
      </c>
      <c r="BA215" s="16" t="s">
        <v>9141</v>
      </c>
      <c r="BB215" s="16" t="s">
        <v>9176</v>
      </c>
    </row>
    <row r="216" spans="1:54" hidden="1" x14ac:dyDescent="0.25">
      <c r="A216" s="4" t="s">
        <v>637</v>
      </c>
      <c r="B216" s="4" t="s">
        <v>9465</v>
      </c>
      <c r="C216" s="4"/>
      <c r="D216" s="4" t="s">
        <v>39</v>
      </c>
      <c r="E216" s="4">
        <v>297588</v>
      </c>
      <c r="F216" s="4" t="s">
        <v>639</v>
      </c>
      <c r="G216" s="32">
        <v>37620</v>
      </c>
      <c r="H216" s="25">
        <v>45544</v>
      </c>
      <c r="I216" s="11">
        <v>0.4375</v>
      </c>
      <c r="J216" s="4" t="s">
        <v>463</v>
      </c>
      <c r="K216" s="4">
        <v>2023</v>
      </c>
      <c r="L216" s="4" t="s">
        <v>615</v>
      </c>
      <c r="M216" s="4" t="s">
        <v>640</v>
      </c>
      <c r="N216" s="4" t="s">
        <v>641</v>
      </c>
      <c r="O216" s="4" t="s">
        <v>46</v>
      </c>
      <c r="P216" s="4"/>
      <c r="Q216" s="4" t="s">
        <v>344</v>
      </c>
      <c r="R216" s="4" t="s">
        <v>48</v>
      </c>
      <c r="S216" s="4">
        <v>7</v>
      </c>
      <c r="T216" s="4" t="b">
        <v>0</v>
      </c>
      <c r="U216" s="4" t="s">
        <v>114</v>
      </c>
      <c r="V216" s="4" t="s">
        <v>89</v>
      </c>
      <c r="W216" s="4" t="s">
        <v>71</v>
      </c>
      <c r="X216" s="4" t="s">
        <v>72</v>
      </c>
      <c r="Y216" s="4" t="s">
        <v>73</v>
      </c>
      <c r="Z216" s="4" t="s">
        <v>98</v>
      </c>
      <c r="AA216" s="4"/>
      <c r="AB216" s="23">
        <v>0</v>
      </c>
      <c r="AC216" s="28" t="e">
        <v>#N/A</v>
      </c>
      <c r="AD216" s="28" t="e">
        <v>#N/A</v>
      </c>
      <c r="AE216" s="28"/>
      <c r="AF216" s="19">
        <v>44435</v>
      </c>
      <c r="AG216" s="19"/>
      <c r="AH216" s="12">
        <f t="shared" si="12"/>
        <v>3</v>
      </c>
      <c r="AI216" s="12">
        <f t="shared" ca="1" si="13"/>
        <v>5</v>
      </c>
      <c r="AJ216" s="12" t="str">
        <f t="shared" si="14"/>
        <v>1-5 Years</v>
      </c>
      <c r="AK216" s="12" t="s">
        <v>10046</v>
      </c>
      <c r="AL216" s="31">
        <v>38</v>
      </c>
      <c r="AM216" s="31">
        <v>22</v>
      </c>
      <c r="AN216" s="12" t="str">
        <f t="shared" si="15"/>
        <v>20-24 Years</v>
      </c>
      <c r="AO216" s="13" t="s">
        <v>9154</v>
      </c>
      <c r="AP216" s="13" t="s">
        <v>9155</v>
      </c>
      <c r="AQ216" s="14" t="s">
        <v>9157</v>
      </c>
      <c r="AR216" s="14" t="s">
        <v>9140</v>
      </c>
      <c r="AS216" s="14"/>
      <c r="AT216" s="14" t="s">
        <v>72</v>
      </c>
      <c r="AU216" s="14" t="s">
        <v>98</v>
      </c>
      <c r="AV216" s="15" t="s">
        <v>9141</v>
      </c>
      <c r="AW216" s="15" t="s">
        <v>9175</v>
      </c>
      <c r="AX216" s="15" t="s">
        <v>9143</v>
      </c>
      <c r="AY216" s="15" t="s">
        <v>9141</v>
      </c>
      <c r="AZ216" s="15" t="s">
        <v>9177</v>
      </c>
      <c r="BA216" s="16" t="s">
        <v>9141</v>
      </c>
      <c r="BB216" s="16" t="s">
        <v>9178</v>
      </c>
    </row>
    <row r="217" spans="1:54" x14ac:dyDescent="0.25">
      <c r="A217" s="4" t="s">
        <v>1369</v>
      </c>
      <c r="B217" s="4" t="s">
        <v>9466</v>
      </c>
      <c r="C217" s="4"/>
      <c r="D217" s="4" t="s">
        <v>39</v>
      </c>
      <c r="E217" s="4">
        <v>294356</v>
      </c>
      <c r="F217" s="4" t="s">
        <v>1371</v>
      </c>
      <c r="G217" s="32">
        <v>28165</v>
      </c>
      <c r="H217" s="25">
        <v>45544</v>
      </c>
      <c r="I217" s="11">
        <v>0.55208333333333337</v>
      </c>
      <c r="J217" s="4" t="s">
        <v>1366</v>
      </c>
      <c r="K217" s="4">
        <v>5053</v>
      </c>
      <c r="L217" s="4" t="s">
        <v>1367</v>
      </c>
      <c r="M217" s="4" t="s">
        <v>1372</v>
      </c>
      <c r="N217" s="4" t="s">
        <v>1373</v>
      </c>
      <c r="O217" s="4" t="s">
        <v>46</v>
      </c>
      <c r="P217" s="4"/>
      <c r="Q217" s="4" t="s">
        <v>47</v>
      </c>
      <c r="R217" s="4" t="s">
        <v>48</v>
      </c>
      <c r="S217" s="4">
        <v>0</v>
      </c>
      <c r="T217" s="4" t="b">
        <v>0</v>
      </c>
      <c r="U217" s="4" t="s">
        <v>49</v>
      </c>
      <c r="V217" s="4" t="s">
        <v>70</v>
      </c>
      <c r="W217" s="4" t="s">
        <v>71</v>
      </c>
      <c r="X217" s="4" t="s">
        <v>72</v>
      </c>
      <c r="Y217" s="4" t="s">
        <v>73</v>
      </c>
      <c r="Z217" s="4" t="s">
        <v>98</v>
      </c>
      <c r="AA217" s="4"/>
      <c r="AB217" s="23">
        <v>0</v>
      </c>
      <c r="AC217" s="28" t="e">
        <v>#N/A</v>
      </c>
      <c r="AD217" s="28" t="e">
        <v>#N/A</v>
      </c>
      <c r="AE217" s="28"/>
      <c r="AF217" s="19">
        <v>42198</v>
      </c>
      <c r="AG217" s="19"/>
      <c r="AH217" s="12">
        <f t="shared" si="12"/>
        <v>9</v>
      </c>
      <c r="AI217" s="12">
        <f t="shared" ca="1" si="13"/>
        <v>11</v>
      </c>
      <c r="AJ217" s="12" t="str">
        <f t="shared" si="14"/>
        <v>6-10 Years</v>
      </c>
      <c r="AK217" s="12" t="s">
        <v>9632</v>
      </c>
      <c r="AL217" s="31">
        <v>35</v>
      </c>
      <c r="AM217" s="31">
        <v>48</v>
      </c>
      <c r="AN217" s="12" t="str">
        <f t="shared" si="15"/>
        <v>45-54 Years</v>
      </c>
      <c r="AO217" s="13" t="s">
        <v>9154</v>
      </c>
      <c r="AP217" s="13" t="s">
        <v>9155</v>
      </c>
      <c r="AQ217" s="14" t="s">
        <v>9139</v>
      </c>
      <c r="AR217" s="14" t="s">
        <v>9140</v>
      </c>
      <c r="AS217" s="14"/>
      <c r="AT217" s="14" t="s">
        <v>72</v>
      </c>
      <c r="AU217" s="14" t="s">
        <v>98</v>
      </c>
      <c r="AV217" s="15" t="s">
        <v>9141</v>
      </c>
      <c r="AW217" s="15" t="s">
        <v>9188</v>
      </c>
      <c r="AX217" s="15" t="s">
        <v>9143</v>
      </c>
      <c r="AY217" s="15" t="s">
        <v>9141</v>
      </c>
      <c r="AZ217" s="15" t="s">
        <v>9189</v>
      </c>
      <c r="BA217" s="16" t="s">
        <v>9141</v>
      </c>
      <c r="BB217" s="16" t="s">
        <v>9190</v>
      </c>
    </row>
    <row r="218" spans="1:54" hidden="1" x14ac:dyDescent="0.25">
      <c r="A218" s="4" t="s">
        <v>632</v>
      </c>
      <c r="B218" s="4" t="s">
        <v>9467</v>
      </c>
      <c r="C218" s="4"/>
      <c r="D218" s="4" t="s">
        <v>39</v>
      </c>
      <c r="E218" s="4">
        <v>323263</v>
      </c>
      <c r="F218" s="4" t="s">
        <v>634</v>
      </c>
      <c r="G218" s="32">
        <v>27263</v>
      </c>
      <c r="H218" s="25">
        <v>45546</v>
      </c>
      <c r="I218" s="11">
        <v>0.54722222222222228</v>
      </c>
      <c r="J218" s="4" t="s">
        <v>463</v>
      </c>
      <c r="K218" s="4">
        <v>2023</v>
      </c>
      <c r="L218" s="4" t="s">
        <v>615</v>
      </c>
      <c r="M218" s="4" t="s">
        <v>635</v>
      </c>
      <c r="N218" s="4" t="s">
        <v>636</v>
      </c>
      <c r="O218" s="4" t="s">
        <v>46</v>
      </c>
      <c r="P218" s="4"/>
      <c r="Q218" s="4" t="s">
        <v>47</v>
      </c>
      <c r="R218" s="4" t="s">
        <v>48</v>
      </c>
      <c r="S218" s="4">
        <v>0</v>
      </c>
      <c r="T218" s="4" t="b">
        <v>0</v>
      </c>
      <c r="U218" s="4" t="s">
        <v>61</v>
      </c>
      <c r="V218" s="4" t="s">
        <v>89</v>
      </c>
      <c r="W218" s="4" t="s">
        <v>148</v>
      </c>
      <c r="X218" s="4" t="s">
        <v>52</v>
      </c>
      <c r="Y218" s="4" t="s">
        <v>53</v>
      </c>
      <c r="Z218" s="4" t="s">
        <v>54</v>
      </c>
      <c r="AA218" s="4"/>
      <c r="AB218" s="23">
        <v>0</v>
      </c>
      <c r="AC218" s="28" t="e">
        <v>#N/A</v>
      </c>
      <c r="AD218" s="28" t="e">
        <v>#N/A</v>
      </c>
      <c r="AE218" s="28"/>
      <c r="AF218" s="19">
        <v>44739</v>
      </c>
      <c r="AG218" s="19">
        <v>45603</v>
      </c>
      <c r="AH218" s="12">
        <f t="shared" si="12"/>
        <v>2</v>
      </c>
      <c r="AI218" s="12">
        <f t="shared" ca="1" si="13"/>
        <v>2</v>
      </c>
      <c r="AJ218" s="12" t="str">
        <f t="shared" si="14"/>
        <v>1-5 Years</v>
      </c>
      <c r="AK218" s="12" t="s">
        <v>9632</v>
      </c>
      <c r="AL218" s="31">
        <v>19</v>
      </c>
      <c r="AM218" s="31">
        <v>50</v>
      </c>
      <c r="AN218" s="12" t="str">
        <f t="shared" si="15"/>
        <v>45-54 Years</v>
      </c>
      <c r="AO218" s="13" t="s">
        <v>9154</v>
      </c>
      <c r="AP218" s="13" t="s">
        <v>9155</v>
      </c>
      <c r="AQ218" s="14" t="s">
        <v>9148</v>
      </c>
      <c r="AR218" s="14" t="s">
        <v>9140</v>
      </c>
      <c r="AS218" s="14"/>
      <c r="AT218" s="14" t="s">
        <v>52</v>
      </c>
      <c r="AU218" s="14" t="s">
        <v>54</v>
      </c>
      <c r="AV218" s="15" t="s">
        <v>9141</v>
      </c>
      <c r="AW218" s="15" t="s">
        <v>9175</v>
      </c>
      <c r="AX218" s="15" t="s">
        <v>9143</v>
      </c>
      <c r="AY218" s="15" t="s">
        <v>9141</v>
      </c>
      <c r="AZ218" s="15" t="s">
        <v>9177</v>
      </c>
      <c r="BA218" s="16" t="s">
        <v>9141</v>
      </c>
      <c r="BB218" s="16" t="s">
        <v>9178</v>
      </c>
    </row>
    <row r="219" spans="1:54" x14ac:dyDescent="0.25">
      <c r="A219" s="4" t="s">
        <v>1448</v>
      </c>
      <c r="B219" s="4" t="s">
        <v>9468</v>
      </c>
      <c r="C219" s="4"/>
      <c r="D219" s="4" t="s">
        <v>39</v>
      </c>
      <c r="E219" s="4">
        <v>297407</v>
      </c>
      <c r="F219" s="4" t="s">
        <v>1450</v>
      </c>
      <c r="G219" s="32">
        <v>22691</v>
      </c>
      <c r="H219" s="25">
        <v>45549</v>
      </c>
      <c r="I219" s="11">
        <v>0.33333333333333331</v>
      </c>
      <c r="J219" s="4" t="s">
        <v>1366</v>
      </c>
      <c r="K219" s="4">
        <v>5089</v>
      </c>
      <c r="L219" s="4" t="s">
        <v>1445</v>
      </c>
      <c r="M219" s="4" t="s">
        <v>1451</v>
      </c>
      <c r="N219" s="4" t="s">
        <v>1452</v>
      </c>
      <c r="O219" s="4" t="s">
        <v>46</v>
      </c>
      <c r="P219" s="4"/>
      <c r="Q219" s="4" t="s">
        <v>47</v>
      </c>
      <c r="R219" s="4" t="s">
        <v>48</v>
      </c>
      <c r="S219" s="4">
        <v>3</v>
      </c>
      <c r="T219" s="4" t="b">
        <v>0</v>
      </c>
      <c r="U219" s="4" t="s">
        <v>114</v>
      </c>
      <c r="V219" s="4" t="s">
        <v>89</v>
      </c>
      <c r="W219" s="4" t="s">
        <v>90</v>
      </c>
      <c r="X219" s="4" t="s">
        <v>123</v>
      </c>
      <c r="Y219" s="4" t="s">
        <v>124</v>
      </c>
      <c r="Z219" s="4" t="s">
        <v>54</v>
      </c>
      <c r="AA219" s="4"/>
      <c r="AB219" s="23">
        <v>0</v>
      </c>
      <c r="AC219" s="28" t="e">
        <v>#N/A</v>
      </c>
      <c r="AD219" s="28" t="e">
        <v>#N/A</v>
      </c>
      <c r="AE219" s="28"/>
      <c r="AF219" s="19">
        <v>44249</v>
      </c>
      <c r="AG219" s="19"/>
      <c r="AH219" s="12">
        <f t="shared" si="12"/>
        <v>3</v>
      </c>
      <c r="AI219" s="12">
        <f t="shared" ca="1" si="13"/>
        <v>5</v>
      </c>
      <c r="AJ219" s="12" t="str">
        <f t="shared" si="14"/>
        <v>1-5 Years</v>
      </c>
      <c r="AK219" s="12" t="s">
        <v>9632</v>
      </c>
      <c r="AL219" s="31">
        <v>20</v>
      </c>
      <c r="AM219" s="31">
        <v>63</v>
      </c>
      <c r="AN219" s="12" t="str">
        <f t="shared" si="15"/>
        <v>More Than 55 Years</v>
      </c>
      <c r="AO219" s="13" t="s">
        <v>9154</v>
      </c>
      <c r="AP219" s="13" t="s">
        <v>9155</v>
      </c>
      <c r="AQ219" s="14" t="s">
        <v>9157</v>
      </c>
      <c r="AR219" s="14" t="s">
        <v>9140</v>
      </c>
      <c r="AS219" s="14"/>
      <c r="AT219" s="14" t="s">
        <v>123</v>
      </c>
      <c r="AU219" s="14" t="s">
        <v>54</v>
      </c>
      <c r="AV219" s="15" t="s">
        <v>9141</v>
      </c>
      <c r="AW219" s="15" t="s">
        <v>9188</v>
      </c>
      <c r="AX219" s="15" t="s">
        <v>9143</v>
      </c>
      <c r="AY219" s="15" t="s">
        <v>9141</v>
      </c>
      <c r="AZ219" s="15" t="s">
        <v>9189</v>
      </c>
      <c r="BA219" s="16" t="s">
        <v>9141</v>
      </c>
      <c r="BB219" s="16" t="s">
        <v>9190</v>
      </c>
    </row>
    <row r="220" spans="1:54" hidden="1" x14ac:dyDescent="0.25">
      <c r="A220" s="4" t="s">
        <v>1899</v>
      </c>
      <c r="B220" s="4" t="s">
        <v>9469</v>
      </c>
      <c r="C220" s="4"/>
      <c r="D220" s="4" t="s">
        <v>39</v>
      </c>
      <c r="E220" s="4">
        <v>324015</v>
      </c>
      <c r="F220" s="4" t="s">
        <v>1901</v>
      </c>
      <c r="G220" s="32">
        <v>39069</v>
      </c>
      <c r="H220" s="25">
        <v>45552</v>
      </c>
      <c r="I220" s="11">
        <v>0.4375</v>
      </c>
      <c r="J220" s="4" t="s">
        <v>1654</v>
      </c>
      <c r="K220" s="4">
        <v>9098</v>
      </c>
      <c r="L220" s="4" t="s">
        <v>1896</v>
      </c>
      <c r="M220" s="4" t="s">
        <v>1902</v>
      </c>
      <c r="N220" s="4" t="s">
        <v>1903</v>
      </c>
      <c r="O220" s="4" t="s">
        <v>46</v>
      </c>
      <c r="P220" s="4"/>
      <c r="Q220" s="4" t="s">
        <v>47</v>
      </c>
      <c r="R220" s="4" t="s">
        <v>48</v>
      </c>
      <c r="S220" s="4">
        <v>0</v>
      </c>
      <c r="T220" s="4" t="b">
        <v>0</v>
      </c>
      <c r="U220" s="4" t="s">
        <v>61</v>
      </c>
      <c r="V220" s="4" t="s">
        <v>50</v>
      </c>
      <c r="W220" s="4" t="s">
        <v>71</v>
      </c>
      <c r="X220" s="4" t="s">
        <v>72</v>
      </c>
      <c r="Y220" s="4" t="s">
        <v>73</v>
      </c>
      <c r="Z220" s="4" t="s">
        <v>54</v>
      </c>
      <c r="AA220" s="4"/>
      <c r="AB220" s="23">
        <v>0</v>
      </c>
      <c r="AC220" s="28" t="e">
        <v>#N/A</v>
      </c>
      <c r="AD220" s="28" t="e">
        <v>#N/A</v>
      </c>
      <c r="AE220" s="28"/>
      <c r="AF220" s="19">
        <v>44781</v>
      </c>
      <c r="AG220" s="19">
        <v>45617</v>
      </c>
      <c r="AH220" s="12">
        <f t="shared" si="12"/>
        <v>2</v>
      </c>
      <c r="AI220" s="12">
        <f t="shared" ca="1" si="13"/>
        <v>2</v>
      </c>
      <c r="AJ220" s="12" t="str">
        <f t="shared" si="14"/>
        <v>1-5 Years</v>
      </c>
      <c r="AK220" s="12" t="s">
        <v>9633</v>
      </c>
      <c r="AL220" s="31">
        <v>0.01</v>
      </c>
      <c r="AM220" s="31">
        <v>18</v>
      </c>
      <c r="AN220" s="12" t="str">
        <f t="shared" si="15"/>
        <v>Less Than 20 Years</v>
      </c>
      <c r="AO220" s="13" t="s">
        <v>9154</v>
      </c>
      <c r="AP220" s="13" t="s">
        <v>9155</v>
      </c>
      <c r="AQ220" s="14" t="s">
        <v>9148</v>
      </c>
      <c r="AR220" s="14" t="s">
        <v>9140</v>
      </c>
      <c r="AS220" s="14"/>
      <c r="AT220" s="14" t="s">
        <v>72</v>
      </c>
      <c r="AU220" s="14" t="s">
        <v>54</v>
      </c>
      <c r="AV220" s="15" t="s">
        <v>9141</v>
      </c>
      <c r="AW220" s="15" t="s">
        <v>9191</v>
      </c>
      <c r="AX220" s="15" t="s">
        <v>9143</v>
      </c>
      <c r="AY220" s="15" t="s">
        <v>9141</v>
      </c>
      <c r="AZ220" s="15" t="s">
        <v>9191</v>
      </c>
      <c r="BA220" s="16" t="s">
        <v>9141</v>
      </c>
      <c r="BB220" s="16" t="s">
        <v>9192</v>
      </c>
    </row>
    <row r="221" spans="1:54" hidden="1" x14ac:dyDescent="0.25">
      <c r="A221" s="4" t="s">
        <v>230</v>
      </c>
      <c r="B221" s="4" t="s">
        <v>9470</v>
      </c>
      <c r="C221" s="4"/>
      <c r="D221" s="4" t="s">
        <v>39</v>
      </c>
      <c r="E221" s="4">
        <v>333696</v>
      </c>
      <c r="F221" s="4" t="s">
        <v>232</v>
      </c>
      <c r="G221" s="32">
        <v>25483</v>
      </c>
      <c r="H221" s="25">
        <v>45553</v>
      </c>
      <c r="I221" s="11">
        <v>0.65833333333333333</v>
      </c>
      <c r="J221" s="4" t="s">
        <v>42</v>
      </c>
      <c r="K221" s="4">
        <v>1011</v>
      </c>
      <c r="L221" s="4" t="s">
        <v>215</v>
      </c>
      <c r="M221" s="4" t="s">
        <v>233</v>
      </c>
      <c r="N221" s="4" t="s">
        <v>234</v>
      </c>
      <c r="O221" s="4" t="s">
        <v>46</v>
      </c>
      <c r="P221" s="4"/>
      <c r="Q221" s="4" t="s">
        <v>47</v>
      </c>
      <c r="R221" s="4" t="s">
        <v>48</v>
      </c>
      <c r="S221" s="4">
        <v>0</v>
      </c>
      <c r="T221" s="4" t="b">
        <v>0</v>
      </c>
      <c r="U221" s="4" t="s">
        <v>49</v>
      </c>
      <c r="V221" s="4" t="s">
        <v>70</v>
      </c>
      <c r="W221" s="4" t="s">
        <v>71</v>
      </c>
      <c r="X221" s="4" t="s">
        <v>72</v>
      </c>
      <c r="Y221" s="4" t="s">
        <v>73</v>
      </c>
      <c r="Z221" s="4" t="s">
        <v>54</v>
      </c>
      <c r="AA221" s="4"/>
      <c r="AB221" s="23">
        <v>0</v>
      </c>
      <c r="AC221" s="28" t="e">
        <v>#N/A</v>
      </c>
      <c r="AD221" s="28" t="e">
        <v>#N/A</v>
      </c>
      <c r="AE221" s="28"/>
      <c r="AF221" s="19">
        <v>45369</v>
      </c>
      <c r="AG221" s="19"/>
      <c r="AH221" s="12">
        <f t="shared" si="12"/>
        <v>0</v>
      </c>
      <c r="AI221" s="12">
        <f t="shared" ca="1" si="13"/>
        <v>2</v>
      </c>
      <c r="AJ221" s="12" t="str">
        <f t="shared" si="14"/>
        <v>Under 1 Year</v>
      </c>
      <c r="AK221" s="12" t="s">
        <v>9632</v>
      </c>
      <c r="AL221" s="31">
        <v>25</v>
      </c>
      <c r="AM221" s="31">
        <v>55</v>
      </c>
      <c r="AN221" s="12" t="str">
        <f t="shared" si="15"/>
        <v>More Than 55 Years</v>
      </c>
      <c r="AO221" s="13" t="s">
        <v>9154</v>
      </c>
      <c r="AP221" s="13" t="s">
        <v>9155</v>
      </c>
      <c r="AQ221" s="14" t="s">
        <v>9139</v>
      </c>
      <c r="AR221" s="14" t="s">
        <v>9140</v>
      </c>
      <c r="AS221" s="14"/>
      <c r="AT221" s="14" t="s">
        <v>72</v>
      </c>
      <c r="AU221" s="14" t="s">
        <v>54</v>
      </c>
      <c r="AV221" s="15" t="s">
        <v>9141</v>
      </c>
      <c r="AW221" s="15" t="s">
        <v>9142</v>
      </c>
      <c r="AX221" s="15" t="s">
        <v>9143</v>
      </c>
      <c r="AY221" s="15" t="s">
        <v>9141</v>
      </c>
      <c r="AZ221" s="15" t="s">
        <v>9144</v>
      </c>
      <c r="BA221" s="16" t="s">
        <v>9141</v>
      </c>
      <c r="BB221" s="16" t="s">
        <v>9145</v>
      </c>
    </row>
    <row r="222" spans="1:54" hidden="1" x14ac:dyDescent="0.25">
      <c r="A222" s="4" t="s">
        <v>439</v>
      </c>
      <c r="B222" s="4" t="s">
        <v>9471</v>
      </c>
      <c r="C222" s="4"/>
      <c r="D222" s="4" t="s">
        <v>39</v>
      </c>
      <c r="E222" s="4">
        <v>289748</v>
      </c>
      <c r="F222" s="4" t="s">
        <v>441</v>
      </c>
      <c r="G222" s="32">
        <v>32010</v>
      </c>
      <c r="H222" s="25">
        <v>45555</v>
      </c>
      <c r="I222" s="11">
        <v>0.49861111111111112</v>
      </c>
      <c r="J222" s="4" t="s">
        <v>42</v>
      </c>
      <c r="K222" s="4">
        <v>1013</v>
      </c>
      <c r="L222" s="4" t="s">
        <v>422</v>
      </c>
      <c r="M222" s="4" t="s">
        <v>442</v>
      </c>
      <c r="N222" s="4" t="s">
        <v>443</v>
      </c>
      <c r="O222" s="4" t="s">
        <v>46</v>
      </c>
      <c r="P222" s="4"/>
      <c r="Q222" s="4" t="s">
        <v>47</v>
      </c>
      <c r="R222" s="4" t="s">
        <v>48</v>
      </c>
      <c r="S222" s="4">
        <v>0</v>
      </c>
      <c r="T222" s="4" t="b">
        <v>0</v>
      </c>
      <c r="U222" s="4" t="s">
        <v>49</v>
      </c>
      <c r="V222" s="4" t="s">
        <v>433</v>
      </c>
      <c r="W222" s="4" t="s">
        <v>80</v>
      </c>
      <c r="X222" s="4" t="s">
        <v>63</v>
      </c>
      <c r="Y222" s="4" t="s">
        <v>108</v>
      </c>
      <c r="Z222" s="4" t="s">
        <v>83</v>
      </c>
      <c r="AA222" s="4"/>
      <c r="AB222" s="23">
        <v>0</v>
      </c>
      <c r="AC222" s="28" t="e">
        <v>#N/A</v>
      </c>
      <c r="AD222" s="28" t="s">
        <v>8711</v>
      </c>
      <c r="AE222" s="28"/>
      <c r="AF222" s="19">
        <v>39314</v>
      </c>
      <c r="AG222" s="19"/>
      <c r="AH222" s="12">
        <f t="shared" si="12"/>
        <v>17</v>
      </c>
      <c r="AI222" s="12">
        <f t="shared" ca="1" si="13"/>
        <v>19</v>
      </c>
      <c r="AJ222" s="12" t="str">
        <f t="shared" si="14"/>
        <v>16-20 Years</v>
      </c>
      <c r="AK222" s="12" t="s">
        <v>9632</v>
      </c>
      <c r="AL222" s="31">
        <v>35</v>
      </c>
      <c r="AM222" s="31">
        <v>37</v>
      </c>
      <c r="AN222" s="12" t="str">
        <f t="shared" si="15"/>
        <v>35-44 Years</v>
      </c>
      <c r="AO222" s="13" t="s">
        <v>9154</v>
      </c>
      <c r="AP222" s="13" t="s">
        <v>9155</v>
      </c>
      <c r="AQ222" s="14" t="s">
        <v>9139</v>
      </c>
      <c r="AR222" s="14" t="s">
        <v>9140</v>
      </c>
      <c r="AS222" s="14"/>
      <c r="AT222" s="14" t="s">
        <v>63</v>
      </c>
      <c r="AU222" s="14" t="s">
        <v>83</v>
      </c>
      <c r="AV222" s="15" t="s">
        <v>9141</v>
      </c>
      <c r="AW222" s="15" t="s">
        <v>9142</v>
      </c>
      <c r="AX222" s="15" t="s">
        <v>9143</v>
      </c>
      <c r="AY222" s="15" t="s">
        <v>9141</v>
      </c>
      <c r="AZ222" s="15" t="s">
        <v>9144</v>
      </c>
      <c r="BA222" s="16" t="s">
        <v>9141</v>
      </c>
      <c r="BB222" s="16" t="s">
        <v>9145</v>
      </c>
    </row>
    <row r="223" spans="1:54" hidden="1" x14ac:dyDescent="0.25">
      <c r="A223" s="4" t="s">
        <v>960</v>
      </c>
      <c r="B223" s="4" t="s">
        <v>9472</v>
      </c>
      <c r="C223" s="4">
        <v>12240032595</v>
      </c>
      <c r="D223" s="4" t="s">
        <v>39</v>
      </c>
      <c r="E223" s="4">
        <v>296206</v>
      </c>
      <c r="F223" s="4" t="s">
        <v>962</v>
      </c>
      <c r="G223" s="32">
        <v>37531</v>
      </c>
      <c r="H223" s="25">
        <v>45556</v>
      </c>
      <c r="I223" s="11">
        <v>0.48958333333333331</v>
      </c>
      <c r="J223" s="4" t="s">
        <v>463</v>
      </c>
      <c r="K223" s="4">
        <v>2033</v>
      </c>
      <c r="L223" s="4" t="s">
        <v>952</v>
      </c>
      <c r="M223" s="4" t="s">
        <v>963</v>
      </c>
      <c r="N223" s="4" t="s">
        <v>964</v>
      </c>
      <c r="O223" s="4" t="s">
        <v>28</v>
      </c>
      <c r="P223" s="4" t="s">
        <v>183</v>
      </c>
      <c r="Q223" s="4" t="s">
        <v>174</v>
      </c>
      <c r="R223" s="4" t="s">
        <v>48</v>
      </c>
      <c r="S223" s="4">
        <v>11</v>
      </c>
      <c r="T223" s="4" t="b">
        <v>0</v>
      </c>
      <c r="U223" s="4" t="s">
        <v>49</v>
      </c>
      <c r="V223" s="4" t="s">
        <v>89</v>
      </c>
      <c r="W223" s="4" t="s">
        <v>51</v>
      </c>
      <c r="X223" s="4" t="s">
        <v>52</v>
      </c>
      <c r="Y223" s="4" t="s">
        <v>135</v>
      </c>
      <c r="Z223" s="4" t="s">
        <v>54</v>
      </c>
      <c r="AA223" s="4"/>
      <c r="AB223" s="23" t="s">
        <v>48</v>
      </c>
      <c r="AC223" s="28" t="e">
        <v>#N/A</v>
      </c>
      <c r="AD223" s="28" t="e">
        <v>#N/A</v>
      </c>
      <c r="AE223" s="28"/>
      <c r="AF223" s="19">
        <v>43332</v>
      </c>
      <c r="AG223" s="19"/>
      <c r="AH223" s="12">
        <f t="shared" si="12"/>
        <v>6</v>
      </c>
      <c r="AI223" s="12">
        <f t="shared" ca="1" si="13"/>
        <v>8</v>
      </c>
      <c r="AJ223" s="12" t="str">
        <f t="shared" si="14"/>
        <v>6-10 Years</v>
      </c>
      <c r="AK223" s="12" t="s">
        <v>9632</v>
      </c>
      <c r="AL223" s="31">
        <v>16.5</v>
      </c>
      <c r="AM223" s="31">
        <v>22</v>
      </c>
      <c r="AN223" s="12" t="str">
        <f t="shared" si="15"/>
        <v>20-24 Years</v>
      </c>
      <c r="AO223" s="13" t="s">
        <v>9154</v>
      </c>
      <c r="AP223" s="13" t="s">
        <v>9155</v>
      </c>
      <c r="AQ223" s="14" t="s">
        <v>9139</v>
      </c>
      <c r="AR223" s="14" t="s">
        <v>28</v>
      </c>
      <c r="AS223" s="14" t="s">
        <v>183</v>
      </c>
      <c r="AT223" s="14" t="s">
        <v>52</v>
      </c>
      <c r="AU223" s="14" t="s">
        <v>54</v>
      </c>
      <c r="AV223" s="15" t="s">
        <v>9141</v>
      </c>
      <c r="AW223" s="15" t="s">
        <v>9175</v>
      </c>
      <c r="AX223" s="15" t="s">
        <v>9143</v>
      </c>
      <c r="AY223" s="15" t="s">
        <v>9141</v>
      </c>
      <c r="AZ223" s="15" t="s">
        <v>9175</v>
      </c>
      <c r="BA223" s="16" t="s">
        <v>9141</v>
      </c>
      <c r="BB223" s="16" t="s">
        <v>9176</v>
      </c>
    </row>
    <row r="224" spans="1:54" hidden="1" x14ac:dyDescent="0.25">
      <c r="A224" s="4" t="s">
        <v>573</v>
      </c>
      <c r="B224" s="4" t="s">
        <v>9473</v>
      </c>
      <c r="C224" s="4"/>
      <c r="D224" s="4" t="s">
        <v>39</v>
      </c>
      <c r="E224" s="4">
        <v>405998</v>
      </c>
      <c r="F224" s="4" t="s">
        <v>575</v>
      </c>
      <c r="G224" s="32">
        <v>28363</v>
      </c>
      <c r="H224" s="25">
        <v>45557</v>
      </c>
      <c r="I224" s="11">
        <v>0.65625</v>
      </c>
      <c r="J224" s="4" t="s">
        <v>463</v>
      </c>
      <c r="K224" s="4">
        <v>2022</v>
      </c>
      <c r="L224" s="4" t="s">
        <v>565</v>
      </c>
      <c r="M224" s="4" t="s">
        <v>576</v>
      </c>
      <c r="N224" s="4" t="s">
        <v>577</v>
      </c>
      <c r="O224" s="4" t="s">
        <v>46</v>
      </c>
      <c r="P224" s="4"/>
      <c r="Q224" s="4" t="s">
        <v>47</v>
      </c>
      <c r="R224" s="4" t="s">
        <v>48</v>
      </c>
      <c r="S224" s="4">
        <v>0</v>
      </c>
      <c r="T224" s="4" t="b">
        <v>0</v>
      </c>
      <c r="U224" s="4" t="s">
        <v>114</v>
      </c>
      <c r="V224" s="4" t="s">
        <v>70</v>
      </c>
      <c r="W224" s="4" t="s">
        <v>71</v>
      </c>
      <c r="X224" s="4" t="s">
        <v>63</v>
      </c>
      <c r="Y224" s="4" t="s">
        <v>312</v>
      </c>
      <c r="Z224" s="4" t="s">
        <v>54</v>
      </c>
      <c r="AA224" s="4"/>
      <c r="AB224" s="23">
        <v>0</v>
      </c>
      <c r="AC224" s="28" t="e">
        <v>#N/A</v>
      </c>
      <c r="AD224" s="28" t="e">
        <v>#N/A</v>
      </c>
      <c r="AE224" s="28"/>
      <c r="AF224" s="19">
        <v>38621</v>
      </c>
      <c r="AG224" s="19"/>
      <c r="AH224" s="12">
        <f t="shared" si="12"/>
        <v>18</v>
      </c>
      <c r="AI224" s="12">
        <f t="shared" ca="1" si="13"/>
        <v>20</v>
      </c>
      <c r="AJ224" s="12" t="str">
        <f t="shared" si="14"/>
        <v>16-20 Years</v>
      </c>
      <c r="AK224" s="12" t="s">
        <v>10046</v>
      </c>
      <c r="AL224" s="31">
        <v>38</v>
      </c>
      <c r="AM224" s="31">
        <v>47</v>
      </c>
      <c r="AN224" s="12" t="str">
        <f t="shared" si="15"/>
        <v>45-54 Years</v>
      </c>
      <c r="AO224" s="13" t="s">
        <v>9154</v>
      </c>
      <c r="AP224" s="13" t="s">
        <v>9155</v>
      </c>
      <c r="AQ224" s="14" t="s">
        <v>9157</v>
      </c>
      <c r="AR224" s="14" t="s">
        <v>9140</v>
      </c>
      <c r="AS224" s="14"/>
      <c r="AT224" s="14" t="s">
        <v>63</v>
      </c>
      <c r="AU224" s="14" t="s">
        <v>54</v>
      </c>
      <c r="AV224" s="15" t="s">
        <v>9141</v>
      </c>
      <c r="AW224" s="15" t="s">
        <v>9175</v>
      </c>
      <c r="AX224" s="15" t="s">
        <v>9143</v>
      </c>
      <c r="AY224" s="15" t="s">
        <v>9141</v>
      </c>
      <c r="AZ224" s="15" t="s">
        <v>9175</v>
      </c>
      <c r="BA224" s="16" t="s">
        <v>9141</v>
      </c>
      <c r="BB224" s="16" t="s">
        <v>9176</v>
      </c>
    </row>
    <row r="225" spans="1:54" hidden="1" x14ac:dyDescent="0.25">
      <c r="A225" s="4" t="s">
        <v>434</v>
      </c>
      <c r="B225" s="4" t="s">
        <v>9474</v>
      </c>
      <c r="C225" s="4"/>
      <c r="D225" s="4" t="s">
        <v>39</v>
      </c>
      <c r="E225" s="4">
        <v>280547</v>
      </c>
      <c r="F225" s="4" t="s">
        <v>436</v>
      </c>
      <c r="G225" s="32">
        <v>24987</v>
      </c>
      <c r="H225" s="25">
        <v>45558</v>
      </c>
      <c r="I225" s="11">
        <v>0.66041666666666665</v>
      </c>
      <c r="J225" s="4" t="s">
        <v>42</v>
      </c>
      <c r="K225" s="4">
        <v>1013</v>
      </c>
      <c r="L225" s="4" t="s">
        <v>422</v>
      </c>
      <c r="M225" s="4" t="s">
        <v>437</v>
      </c>
      <c r="N225" s="4" t="s">
        <v>438</v>
      </c>
      <c r="O225" s="4" t="s">
        <v>46</v>
      </c>
      <c r="P225" s="4"/>
      <c r="Q225" s="4" t="s">
        <v>47</v>
      </c>
      <c r="R225" s="4" t="s">
        <v>48</v>
      </c>
      <c r="S225" s="4">
        <v>0</v>
      </c>
      <c r="T225" s="4" t="b">
        <v>0</v>
      </c>
      <c r="U225" s="4" t="s">
        <v>61</v>
      </c>
      <c r="V225" s="4" t="s">
        <v>50</v>
      </c>
      <c r="W225" s="4" t="s">
        <v>218</v>
      </c>
      <c r="X225" s="4" t="s">
        <v>63</v>
      </c>
      <c r="Y225" s="4" t="s">
        <v>108</v>
      </c>
      <c r="Z225" s="4" t="s">
        <v>54</v>
      </c>
      <c r="AA225" s="4"/>
      <c r="AB225" s="23">
        <v>0</v>
      </c>
      <c r="AC225" s="28" t="e">
        <v>#N/A</v>
      </c>
      <c r="AD225" s="28" t="e">
        <v>#N/A</v>
      </c>
      <c r="AE225" s="28"/>
      <c r="AF225" s="19">
        <v>35429</v>
      </c>
      <c r="AG225" s="19"/>
      <c r="AH225" s="12">
        <f t="shared" si="12"/>
        <v>27</v>
      </c>
      <c r="AI225" s="12">
        <f t="shared" ca="1" si="13"/>
        <v>29</v>
      </c>
      <c r="AJ225" s="12" t="str">
        <f t="shared" si="14"/>
        <v>26-30 Years</v>
      </c>
      <c r="AK225" s="12" t="s">
        <v>9631</v>
      </c>
      <c r="AL225" s="31">
        <v>38</v>
      </c>
      <c r="AM225" s="31">
        <v>56</v>
      </c>
      <c r="AN225" s="12" t="str">
        <f t="shared" si="15"/>
        <v>More Than 55 Years</v>
      </c>
      <c r="AO225" s="13" t="s">
        <v>9154</v>
      </c>
      <c r="AP225" s="13" t="s">
        <v>9155</v>
      </c>
      <c r="AQ225" s="14" t="s">
        <v>9148</v>
      </c>
      <c r="AR225" s="14" t="s">
        <v>9140</v>
      </c>
      <c r="AS225" s="14"/>
      <c r="AT225" s="14" t="s">
        <v>63</v>
      </c>
      <c r="AU225" s="14" t="s">
        <v>54</v>
      </c>
      <c r="AV225" s="15" t="s">
        <v>9141</v>
      </c>
      <c r="AW225" s="15" t="s">
        <v>9142</v>
      </c>
      <c r="AX225" s="15" t="s">
        <v>9143</v>
      </c>
      <c r="AY225" s="15" t="s">
        <v>9141</v>
      </c>
      <c r="AZ225" s="15" t="s">
        <v>9144</v>
      </c>
      <c r="BA225" s="16" t="s">
        <v>9141</v>
      </c>
      <c r="BB225" s="16" t="s">
        <v>9145</v>
      </c>
    </row>
    <row r="226" spans="1:54" hidden="1" x14ac:dyDescent="0.25">
      <c r="A226" s="4" t="s">
        <v>769</v>
      </c>
      <c r="B226" s="4" t="s">
        <v>9475</v>
      </c>
      <c r="C226" s="4"/>
      <c r="D226" s="4" t="s">
        <v>39</v>
      </c>
      <c r="E226" s="4">
        <v>335338</v>
      </c>
      <c r="F226" s="4" t="s">
        <v>771</v>
      </c>
      <c r="G226" s="32">
        <v>27170</v>
      </c>
      <c r="H226" s="25">
        <v>45559</v>
      </c>
      <c r="I226" s="11">
        <v>0.33888888888888891</v>
      </c>
      <c r="J226" s="4" t="s">
        <v>463</v>
      </c>
      <c r="K226" s="4">
        <v>2026</v>
      </c>
      <c r="L226" s="4" t="s">
        <v>756</v>
      </c>
      <c r="M226" s="4" t="s">
        <v>772</v>
      </c>
      <c r="N226" s="4" t="s">
        <v>773</v>
      </c>
      <c r="O226" s="4" t="s">
        <v>46</v>
      </c>
      <c r="P226" s="4"/>
      <c r="Q226" s="4" t="s">
        <v>47</v>
      </c>
      <c r="R226" s="4" t="s">
        <v>48</v>
      </c>
      <c r="S226" s="4">
        <v>0</v>
      </c>
      <c r="T226" s="4" t="b">
        <v>0</v>
      </c>
      <c r="U226" s="4" t="s">
        <v>61</v>
      </c>
      <c r="V226" s="4" t="s">
        <v>134</v>
      </c>
      <c r="W226" s="4" t="s">
        <v>618</v>
      </c>
      <c r="X226" s="4" t="s">
        <v>52</v>
      </c>
      <c r="Y226" s="4" t="s">
        <v>255</v>
      </c>
      <c r="Z226" s="4" t="s">
        <v>774</v>
      </c>
      <c r="AA226" s="4" t="s">
        <v>775</v>
      </c>
      <c r="AB226" s="23">
        <v>0</v>
      </c>
      <c r="AC226" s="28" t="e">
        <v>#N/A</v>
      </c>
      <c r="AD226" s="28" t="e">
        <v>#N/A</v>
      </c>
      <c r="AE226" s="28"/>
      <c r="AF226" s="19">
        <v>45488</v>
      </c>
      <c r="AG226" s="19"/>
      <c r="AH226" s="12">
        <f t="shared" si="12"/>
        <v>0</v>
      </c>
      <c r="AI226" s="12">
        <f t="shared" ca="1" si="13"/>
        <v>2</v>
      </c>
      <c r="AJ226" s="12" t="str">
        <f t="shared" si="14"/>
        <v>Under 1 Year</v>
      </c>
      <c r="AK226" s="12" t="s">
        <v>9632</v>
      </c>
      <c r="AL226" s="31">
        <v>22.5</v>
      </c>
      <c r="AM226" s="31">
        <v>50</v>
      </c>
      <c r="AN226" s="12" t="str">
        <f t="shared" si="15"/>
        <v>45-54 Years</v>
      </c>
      <c r="AO226" s="13" t="s">
        <v>9154</v>
      </c>
      <c r="AP226" s="13" t="s">
        <v>9155</v>
      </c>
      <c r="AQ226" s="14" t="s">
        <v>9148</v>
      </c>
      <c r="AR226" s="14" t="s">
        <v>9140</v>
      </c>
      <c r="AS226" s="14"/>
      <c r="AT226" s="14" t="s">
        <v>52</v>
      </c>
      <c r="AU226" s="14" t="s">
        <v>774</v>
      </c>
      <c r="AV226" s="15" t="s">
        <v>9141</v>
      </c>
      <c r="AW226" s="15" t="s">
        <v>9175</v>
      </c>
      <c r="AX226" s="15" t="s">
        <v>9143</v>
      </c>
      <c r="AY226" s="15" t="s">
        <v>9141</v>
      </c>
      <c r="AZ226" s="15" t="s">
        <v>9177</v>
      </c>
      <c r="BA226" s="16" t="s">
        <v>9141</v>
      </c>
      <c r="BB226" s="16" t="s">
        <v>9178</v>
      </c>
    </row>
    <row r="227" spans="1:54" x14ac:dyDescent="0.25">
      <c r="A227" s="4" t="s">
        <v>1403</v>
      </c>
      <c r="B227" s="4" t="s">
        <v>9476</v>
      </c>
      <c r="C227" s="4"/>
      <c r="D227" s="4" t="s">
        <v>39</v>
      </c>
      <c r="E227" s="4">
        <v>321030</v>
      </c>
      <c r="F227" s="4" t="s">
        <v>1405</v>
      </c>
      <c r="G227" s="32">
        <v>36104</v>
      </c>
      <c r="H227" s="25">
        <v>45559</v>
      </c>
      <c r="I227" s="11">
        <v>0.45555555555555555</v>
      </c>
      <c r="J227" s="4" t="s">
        <v>1366</v>
      </c>
      <c r="K227" s="4">
        <v>5058</v>
      </c>
      <c r="L227" s="4" t="s">
        <v>1406</v>
      </c>
      <c r="M227" s="4" t="s">
        <v>1407</v>
      </c>
      <c r="N227" s="4" t="s">
        <v>1408</v>
      </c>
      <c r="O227" s="4" t="s">
        <v>28</v>
      </c>
      <c r="P227" s="4" t="s">
        <v>183</v>
      </c>
      <c r="Q227" s="4" t="s">
        <v>174</v>
      </c>
      <c r="R227" s="4" t="s">
        <v>48</v>
      </c>
      <c r="S227" s="4">
        <v>34</v>
      </c>
      <c r="T227" s="4" t="b">
        <v>0</v>
      </c>
      <c r="U227" s="4" t="s">
        <v>184</v>
      </c>
      <c r="V227" s="4" t="s">
        <v>115</v>
      </c>
      <c r="W227" s="4" t="s">
        <v>148</v>
      </c>
      <c r="X227" s="4" t="s">
        <v>52</v>
      </c>
      <c r="Y227" s="4" t="s">
        <v>53</v>
      </c>
      <c r="Z227" s="4" t="s">
        <v>54</v>
      </c>
      <c r="AA227" s="4"/>
      <c r="AB227" s="23" t="s">
        <v>48</v>
      </c>
      <c r="AC227" s="28" t="e">
        <v>#N/A</v>
      </c>
      <c r="AD227" s="28" t="e">
        <v>#N/A</v>
      </c>
      <c r="AE227" s="28"/>
      <c r="AF227" s="19">
        <v>44606</v>
      </c>
      <c r="AG227" s="19">
        <v>45710</v>
      </c>
      <c r="AH227" s="12">
        <f t="shared" si="12"/>
        <v>2</v>
      </c>
      <c r="AI227" s="12">
        <f t="shared" ca="1" si="13"/>
        <v>3</v>
      </c>
      <c r="AJ227" s="12" t="str">
        <f t="shared" si="14"/>
        <v>1-5 Years</v>
      </c>
      <c r="AK227" s="12" t="s">
        <v>9632</v>
      </c>
      <c r="AL227" s="31">
        <v>20</v>
      </c>
      <c r="AM227" s="31">
        <v>26</v>
      </c>
      <c r="AN227" s="12" t="str">
        <f t="shared" si="15"/>
        <v>25-34 Years</v>
      </c>
      <c r="AO227" s="13" t="s">
        <v>9154</v>
      </c>
      <c r="AP227" s="13" t="s">
        <v>9155</v>
      </c>
      <c r="AQ227" s="14" t="s">
        <v>9166</v>
      </c>
      <c r="AR227" s="14" t="s">
        <v>28</v>
      </c>
      <c r="AS227" s="14" t="s">
        <v>183</v>
      </c>
      <c r="AT227" s="14" t="s">
        <v>52</v>
      </c>
      <c r="AU227" s="14" t="s">
        <v>54</v>
      </c>
      <c r="AV227" s="15" t="s">
        <v>9141</v>
      </c>
      <c r="AW227" s="15" t="s">
        <v>9188</v>
      </c>
      <c r="AX227" s="15" t="s">
        <v>9143</v>
      </c>
      <c r="AY227" s="15" t="s">
        <v>9141</v>
      </c>
      <c r="AZ227" s="15" t="s">
        <v>9189</v>
      </c>
      <c r="BA227" s="16" t="s">
        <v>9141</v>
      </c>
      <c r="BB227" s="16" t="s">
        <v>9190</v>
      </c>
    </row>
    <row r="228" spans="1:54" hidden="1" x14ac:dyDescent="0.25">
      <c r="A228" s="4" t="s">
        <v>104</v>
      </c>
      <c r="B228" s="4" t="s">
        <v>9477</v>
      </c>
      <c r="C228" s="4"/>
      <c r="D228" s="4" t="s">
        <v>39</v>
      </c>
      <c r="E228" s="4">
        <v>185531</v>
      </c>
      <c r="F228" s="4" t="s">
        <v>101</v>
      </c>
      <c r="G228" s="32">
        <v>25237</v>
      </c>
      <c r="H228" s="25">
        <v>45560</v>
      </c>
      <c r="I228" s="11">
        <v>0.40972222222222221</v>
      </c>
      <c r="J228" s="4" t="s">
        <v>42</v>
      </c>
      <c r="K228" s="4">
        <v>1006</v>
      </c>
      <c r="L228" s="4" t="s">
        <v>94</v>
      </c>
      <c r="M228" s="4" t="s">
        <v>105</v>
      </c>
      <c r="N228" s="4" t="s">
        <v>106</v>
      </c>
      <c r="O228" s="4" t="s">
        <v>46</v>
      </c>
      <c r="P228" s="4"/>
      <c r="Q228" s="4" t="s">
        <v>47</v>
      </c>
      <c r="R228" s="4" t="s">
        <v>48</v>
      </c>
      <c r="S228" s="4">
        <v>0</v>
      </c>
      <c r="T228" s="4" t="b">
        <v>0</v>
      </c>
      <c r="U228" s="4" t="s">
        <v>49</v>
      </c>
      <c r="V228" s="4" t="s">
        <v>50</v>
      </c>
      <c r="W228" s="4" t="s">
        <v>107</v>
      </c>
      <c r="X228" s="4" t="s">
        <v>63</v>
      </c>
      <c r="Y228" s="4" t="s">
        <v>108</v>
      </c>
      <c r="Z228" s="4" t="s">
        <v>54</v>
      </c>
      <c r="AA228" s="4"/>
      <c r="AB228" s="23">
        <v>0</v>
      </c>
      <c r="AC228" s="28" t="e">
        <v>#N/A</v>
      </c>
      <c r="AD228" s="28" t="e">
        <v>#N/A</v>
      </c>
      <c r="AE228" s="28"/>
      <c r="AF228" s="19">
        <v>31495</v>
      </c>
      <c r="AG228" s="19"/>
      <c r="AH228" s="12">
        <f t="shared" si="12"/>
        <v>38</v>
      </c>
      <c r="AI228" s="12">
        <f t="shared" ca="1" si="13"/>
        <v>40</v>
      </c>
      <c r="AJ228" s="12" t="str">
        <f t="shared" si="14"/>
        <v>More Than 30 Years</v>
      </c>
      <c r="AK228" s="12" t="s">
        <v>9631</v>
      </c>
      <c r="AL228" s="31">
        <v>38</v>
      </c>
      <c r="AM228" s="31">
        <v>56</v>
      </c>
      <c r="AN228" s="12" t="str">
        <f t="shared" si="15"/>
        <v>More Than 55 Years</v>
      </c>
      <c r="AO228" s="13" t="s">
        <v>9154</v>
      </c>
      <c r="AP228" s="13" t="s">
        <v>9155</v>
      </c>
      <c r="AQ228" s="14" t="s">
        <v>9139</v>
      </c>
      <c r="AR228" s="14" t="s">
        <v>9140</v>
      </c>
      <c r="AS228" s="14"/>
      <c r="AT228" s="14" t="s">
        <v>63</v>
      </c>
      <c r="AU228" s="14" t="s">
        <v>54</v>
      </c>
      <c r="AV228" s="15" t="s">
        <v>9141</v>
      </c>
      <c r="AW228" s="15" t="s">
        <v>9142</v>
      </c>
      <c r="AX228" s="15" t="s">
        <v>9143</v>
      </c>
      <c r="AY228" s="15" t="s">
        <v>9141</v>
      </c>
      <c r="AZ228" s="15" t="s">
        <v>9144</v>
      </c>
      <c r="BA228" s="16" t="s">
        <v>9141</v>
      </c>
      <c r="BB228" s="16" t="s">
        <v>9145</v>
      </c>
    </row>
    <row r="229" spans="1:54" x14ac:dyDescent="0.25">
      <c r="A229" s="4" t="s">
        <v>1393</v>
      </c>
      <c r="B229" s="4" t="s">
        <v>9478</v>
      </c>
      <c r="C229" s="4"/>
      <c r="D229" s="4" t="s">
        <v>39</v>
      </c>
      <c r="E229" s="4">
        <v>334265</v>
      </c>
      <c r="F229" s="4" t="s">
        <v>1395</v>
      </c>
      <c r="G229" s="32">
        <v>36531</v>
      </c>
      <c r="H229" s="25">
        <v>45560</v>
      </c>
      <c r="I229" s="11">
        <v>0.4</v>
      </c>
      <c r="J229" s="4" t="s">
        <v>1366</v>
      </c>
      <c r="K229" s="4">
        <v>5054</v>
      </c>
      <c r="L229" s="4" t="s">
        <v>1385</v>
      </c>
      <c r="M229" s="4" t="s">
        <v>1396</v>
      </c>
      <c r="N229" s="4" t="s">
        <v>1397</v>
      </c>
      <c r="O229" s="4" t="s">
        <v>46</v>
      </c>
      <c r="P229" s="4" t="s">
        <v>478</v>
      </c>
      <c r="Q229" s="4" t="s">
        <v>191</v>
      </c>
      <c r="R229" s="4" t="s">
        <v>48</v>
      </c>
      <c r="S229" s="4">
        <v>0</v>
      </c>
      <c r="T229" s="4" t="b">
        <v>0</v>
      </c>
      <c r="U229" s="4" t="s">
        <v>114</v>
      </c>
      <c r="V229" s="4" t="s">
        <v>583</v>
      </c>
      <c r="W229" s="4" t="s">
        <v>107</v>
      </c>
      <c r="X229" s="4" t="s">
        <v>63</v>
      </c>
      <c r="Y229" s="4" t="s">
        <v>108</v>
      </c>
      <c r="Z229" s="4" t="s">
        <v>54</v>
      </c>
      <c r="AA229" s="4"/>
      <c r="AB229" s="23">
        <v>0</v>
      </c>
      <c r="AC229" s="28" t="e">
        <v>#N/A</v>
      </c>
      <c r="AD229" s="28" t="e">
        <v>#N/A</v>
      </c>
      <c r="AE229" s="28"/>
      <c r="AF229" s="19">
        <v>45411</v>
      </c>
      <c r="AG229" s="19">
        <v>45699</v>
      </c>
      <c r="AH229" s="12">
        <f t="shared" si="12"/>
        <v>0</v>
      </c>
      <c r="AI229" s="12">
        <f t="shared" ca="1" si="13"/>
        <v>0</v>
      </c>
      <c r="AJ229" s="12" t="str">
        <f t="shared" si="14"/>
        <v>Under 1 Year</v>
      </c>
      <c r="AK229" s="12" t="s">
        <v>10046</v>
      </c>
      <c r="AL229" s="31">
        <v>38</v>
      </c>
      <c r="AM229" s="31">
        <v>25</v>
      </c>
      <c r="AN229" s="12" t="str">
        <f t="shared" si="15"/>
        <v>25-34 Years</v>
      </c>
      <c r="AO229" s="13" t="s">
        <v>9154</v>
      </c>
      <c r="AP229" s="13" t="s">
        <v>9155</v>
      </c>
      <c r="AQ229" s="14" t="s">
        <v>9157</v>
      </c>
      <c r="AR229" s="14" t="s">
        <v>9140</v>
      </c>
      <c r="AS229" s="14"/>
      <c r="AT229" s="14" t="s">
        <v>63</v>
      </c>
      <c r="AU229" s="14" t="s">
        <v>54</v>
      </c>
      <c r="AV229" s="15" t="s">
        <v>9141</v>
      </c>
      <c r="AW229" s="15" t="s">
        <v>9188</v>
      </c>
      <c r="AX229" s="15" t="s">
        <v>9143</v>
      </c>
      <c r="AY229" s="15" t="s">
        <v>9141</v>
      </c>
      <c r="AZ229" s="15" t="s">
        <v>9189</v>
      </c>
      <c r="BA229" s="16" t="s">
        <v>9141</v>
      </c>
      <c r="BB229" s="16" t="s">
        <v>9190</v>
      </c>
    </row>
    <row r="230" spans="1:54" hidden="1" x14ac:dyDescent="0.25">
      <c r="A230" s="4" t="s">
        <v>884</v>
      </c>
      <c r="B230" s="4" t="s">
        <v>9479</v>
      </c>
      <c r="C230" s="4"/>
      <c r="D230" s="4" t="s">
        <v>39</v>
      </c>
      <c r="E230" s="4">
        <v>291576</v>
      </c>
      <c r="F230" s="4" t="s">
        <v>875</v>
      </c>
      <c r="G230" s="32">
        <v>32098</v>
      </c>
      <c r="H230" s="25">
        <v>45561</v>
      </c>
      <c r="I230" s="11">
        <v>0.5</v>
      </c>
      <c r="J230" s="4" t="s">
        <v>463</v>
      </c>
      <c r="K230" s="4">
        <v>2030</v>
      </c>
      <c r="L230" s="4" t="s">
        <v>876</v>
      </c>
      <c r="M230" s="4" t="s">
        <v>885</v>
      </c>
      <c r="N230" s="4" t="s">
        <v>886</v>
      </c>
      <c r="O230" s="4" t="s">
        <v>46</v>
      </c>
      <c r="P230" s="4"/>
      <c r="Q230" s="4" t="s">
        <v>47</v>
      </c>
      <c r="R230" s="4" t="s">
        <v>48</v>
      </c>
      <c r="S230" s="4">
        <v>0</v>
      </c>
      <c r="T230" s="4" t="b">
        <v>0</v>
      </c>
      <c r="U230" s="4" t="s">
        <v>61</v>
      </c>
      <c r="V230" s="4" t="s">
        <v>89</v>
      </c>
      <c r="W230" s="4" t="s">
        <v>887</v>
      </c>
      <c r="X230" s="4" t="s">
        <v>52</v>
      </c>
      <c r="Y230" s="4" t="s">
        <v>53</v>
      </c>
      <c r="Z230" s="4" t="s">
        <v>54</v>
      </c>
      <c r="AA230" s="4"/>
      <c r="AB230" s="23">
        <v>0</v>
      </c>
      <c r="AC230" s="28" t="s">
        <v>9580</v>
      </c>
      <c r="AD230" s="28" t="e">
        <v>#N/A</v>
      </c>
      <c r="AE230" s="28"/>
      <c r="AF230" s="19">
        <v>40476</v>
      </c>
      <c r="AG230" s="19">
        <v>45744</v>
      </c>
      <c r="AH230" s="12">
        <f t="shared" si="12"/>
        <v>13</v>
      </c>
      <c r="AI230" s="12">
        <f t="shared" ca="1" si="13"/>
        <v>14</v>
      </c>
      <c r="AJ230" s="12" t="str">
        <f t="shared" si="14"/>
        <v>11-15 Years</v>
      </c>
      <c r="AK230" s="12" t="s">
        <v>9632</v>
      </c>
      <c r="AL230" s="31">
        <v>34</v>
      </c>
      <c r="AM230" s="31">
        <v>37</v>
      </c>
      <c r="AN230" s="12" t="str">
        <f t="shared" si="15"/>
        <v>35-44 Years</v>
      </c>
      <c r="AO230" s="13" t="s">
        <v>9154</v>
      </c>
      <c r="AP230" s="13" t="s">
        <v>9155</v>
      </c>
      <c r="AQ230" s="14" t="s">
        <v>9148</v>
      </c>
      <c r="AR230" s="14" t="s">
        <v>9140</v>
      </c>
      <c r="AS230" s="14"/>
      <c r="AT230" s="14" t="s">
        <v>52</v>
      </c>
      <c r="AU230" s="14" t="s">
        <v>54</v>
      </c>
      <c r="AV230" s="15" t="s">
        <v>9141</v>
      </c>
      <c r="AW230" s="15" t="s">
        <v>9175</v>
      </c>
      <c r="AX230" s="15" t="s">
        <v>9143</v>
      </c>
      <c r="AY230" s="15" t="s">
        <v>9141</v>
      </c>
      <c r="AZ230" s="15" t="s">
        <v>9177</v>
      </c>
      <c r="BA230" s="16" t="s">
        <v>9141</v>
      </c>
      <c r="BB230" s="16" t="s">
        <v>9178</v>
      </c>
    </row>
    <row r="231" spans="1:54" hidden="1" x14ac:dyDescent="0.25">
      <c r="A231" s="4" t="s">
        <v>1852</v>
      </c>
      <c r="B231" s="4" t="s">
        <v>9480</v>
      </c>
      <c r="C231" s="4"/>
      <c r="D231" s="4" t="s">
        <v>39</v>
      </c>
      <c r="E231" s="4">
        <v>328516</v>
      </c>
      <c r="F231" s="4" t="s">
        <v>1854</v>
      </c>
      <c r="G231" s="32">
        <v>24795</v>
      </c>
      <c r="H231" s="25">
        <v>45562</v>
      </c>
      <c r="I231" s="11">
        <v>0.59305555555555556</v>
      </c>
      <c r="J231" s="4" t="s">
        <v>1654</v>
      </c>
      <c r="K231" s="4">
        <v>9097</v>
      </c>
      <c r="L231" s="4" t="s">
        <v>1844</v>
      </c>
      <c r="M231" s="4" t="s">
        <v>1855</v>
      </c>
      <c r="N231" s="4" t="s">
        <v>1856</v>
      </c>
      <c r="O231" s="4" t="s">
        <v>46</v>
      </c>
      <c r="P231" s="4"/>
      <c r="Q231" s="4" t="s">
        <v>47</v>
      </c>
      <c r="R231" s="4" t="s">
        <v>48</v>
      </c>
      <c r="S231" s="4">
        <v>0</v>
      </c>
      <c r="T231" s="4" t="b">
        <v>0</v>
      </c>
      <c r="U231" s="4" t="s">
        <v>49</v>
      </c>
      <c r="V231" s="4" t="s">
        <v>70</v>
      </c>
      <c r="W231" s="4" t="s">
        <v>480</v>
      </c>
      <c r="X231" s="4" t="s">
        <v>72</v>
      </c>
      <c r="Y231" s="4" t="s">
        <v>73</v>
      </c>
      <c r="Z231" s="4" t="s">
        <v>98</v>
      </c>
      <c r="AA231" s="4"/>
      <c r="AB231" s="23">
        <v>0</v>
      </c>
      <c r="AC231" s="28" t="e">
        <v>#N/A</v>
      </c>
      <c r="AD231" s="28" t="e">
        <v>#N/A</v>
      </c>
      <c r="AE231" s="28"/>
      <c r="AF231" s="19">
        <v>45019</v>
      </c>
      <c r="AG231" s="19"/>
      <c r="AH231" s="12">
        <f t="shared" si="12"/>
        <v>1</v>
      </c>
      <c r="AI231" s="12">
        <f t="shared" ca="1" si="13"/>
        <v>3</v>
      </c>
      <c r="AJ231" s="12" t="str">
        <f t="shared" si="14"/>
        <v>1-5 Years</v>
      </c>
      <c r="AK231" s="12" t="s">
        <v>9632</v>
      </c>
      <c r="AL231" s="31">
        <v>20</v>
      </c>
      <c r="AM231" s="31">
        <v>57</v>
      </c>
      <c r="AN231" s="12" t="str">
        <f t="shared" si="15"/>
        <v>More Than 55 Years</v>
      </c>
      <c r="AO231" s="13" t="s">
        <v>9154</v>
      </c>
      <c r="AP231" s="13" t="s">
        <v>9155</v>
      </c>
      <c r="AQ231" s="14" t="s">
        <v>9139</v>
      </c>
      <c r="AR231" s="14" t="s">
        <v>9140</v>
      </c>
      <c r="AS231" s="14"/>
      <c r="AT231" s="14" t="s">
        <v>72</v>
      </c>
      <c r="AU231" s="14" t="s">
        <v>98</v>
      </c>
      <c r="AV231" s="15" t="s">
        <v>9141</v>
      </c>
      <c r="AW231" s="15" t="s">
        <v>9191</v>
      </c>
      <c r="AX231" s="15" t="s">
        <v>9143</v>
      </c>
      <c r="AY231" s="15" t="s">
        <v>9141</v>
      </c>
      <c r="AZ231" s="15" t="s">
        <v>9191</v>
      </c>
      <c r="BA231" s="16" t="s">
        <v>9141</v>
      </c>
      <c r="BB231" s="16" t="s">
        <v>9192</v>
      </c>
    </row>
    <row r="232" spans="1:54" hidden="1" x14ac:dyDescent="0.25">
      <c r="A232" s="4" t="s">
        <v>1224</v>
      </c>
      <c r="B232" s="4" t="s">
        <v>9481</v>
      </c>
      <c r="C232" s="4"/>
      <c r="D232" s="4" t="s">
        <v>39</v>
      </c>
      <c r="E232" s="4">
        <v>297563</v>
      </c>
      <c r="F232" s="4" t="s">
        <v>1226</v>
      </c>
      <c r="G232" s="32">
        <v>35423</v>
      </c>
      <c r="H232" s="25">
        <v>45566</v>
      </c>
      <c r="I232" s="11">
        <v>0.42777777777777776</v>
      </c>
      <c r="J232" s="4" t="s">
        <v>1155</v>
      </c>
      <c r="K232" s="4">
        <v>4043</v>
      </c>
      <c r="L232" s="4" t="s">
        <v>1200</v>
      </c>
      <c r="M232" s="4" t="s">
        <v>1227</v>
      </c>
      <c r="N232" s="4" t="s">
        <v>1228</v>
      </c>
      <c r="O232" s="4" t="s">
        <v>46</v>
      </c>
      <c r="P232" s="4"/>
      <c r="Q232" s="4" t="s">
        <v>47</v>
      </c>
      <c r="R232" s="4" t="s">
        <v>48</v>
      </c>
      <c r="S232" s="4">
        <v>0</v>
      </c>
      <c r="T232" s="4" t="b">
        <v>0</v>
      </c>
      <c r="U232" s="4" t="s">
        <v>61</v>
      </c>
      <c r="V232" s="4" t="s">
        <v>50</v>
      </c>
      <c r="W232" s="4" t="s">
        <v>122</v>
      </c>
      <c r="X232" s="4" t="s">
        <v>123</v>
      </c>
      <c r="Y232" s="4" t="s">
        <v>124</v>
      </c>
      <c r="Z232" s="4" t="s">
        <v>54</v>
      </c>
      <c r="AA232" s="4"/>
      <c r="AB232" s="23">
        <v>0</v>
      </c>
      <c r="AC232" s="28" t="e">
        <v>#N/A</v>
      </c>
      <c r="AD232" s="28" t="e">
        <v>#N/A</v>
      </c>
      <c r="AE232" s="28"/>
      <c r="AF232" s="19">
        <v>44424</v>
      </c>
      <c r="AG232" s="19"/>
      <c r="AH232" s="12">
        <f t="shared" si="12"/>
        <v>3</v>
      </c>
      <c r="AI232" s="12">
        <f t="shared" ca="1" si="13"/>
        <v>5</v>
      </c>
      <c r="AJ232" s="12" t="str">
        <f t="shared" si="14"/>
        <v>1-5 Years</v>
      </c>
      <c r="AK232" s="12" t="s">
        <v>9632</v>
      </c>
      <c r="AL232" s="31">
        <v>31</v>
      </c>
      <c r="AM232" s="31">
        <v>28</v>
      </c>
      <c r="AN232" s="12" t="str">
        <f t="shared" si="15"/>
        <v>25-34 Years</v>
      </c>
      <c r="AO232" s="13" t="s">
        <v>9152</v>
      </c>
      <c r="AP232" s="13" t="s">
        <v>9153</v>
      </c>
      <c r="AQ232" s="14" t="s">
        <v>9148</v>
      </c>
      <c r="AR232" s="14" t="s">
        <v>9140</v>
      </c>
      <c r="AS232" s="14"/>
      <c r="AT232" s="14" t="s">
        <v>123</v>
      </c>
      <c r="AU232" s="14" t="s">
        <v>54</v>
      </c>
      <c r="AV232" s="15" t="s">
        <v>9141</v>
      </c>
      <c r="AW232" s="15" t="s">
        <v>9187</v>
      </c>
      <c r="AX232" s="15" t="s">
        <v>9143</v>
      </c>
      <c r="AY232" s="15" t="s">
        <v>9141</v>
      </c>
      <c r="AZ232" s="15" t="s">
        <v>9144</v>
      </c>
      <c r="BA232" s="16" t="s">
        <v>9141</v>
      </c>
      <c r="BB232" s="16" t="s">
        <v>9145</v>
      </c>
    </row>
    <row r="233" spans="1:54" hidden="1" x14ac:dyDescent="0.25">
      <c r="A233" s="4" t="s">
        <v>166</v>
      </c>
      <c r="B233" s="4" t="s">
        <v>9482</v>
      </c>
      <c r="C233" s="4" t="s">
        <v>167</v>
      </c>
      <c r="D233" s="4" t="s">
        <v>39</v>
      </c>
      <c r="E233" s="4">
        <v>327986</v>
      </c>
      <c r="F233" s="4" t="s">
        <v>169</v>
      </c>
      <c r="G233" s="32">
        <v>32111</v>
      </c>
      <c r="H233" s="25">
        <v>45568</v>
      </c>
      <c r="I233" s="11">
        <v>0.58333333333333337</v>
      </c>
      <c r="J233" s="4" t="s">
        <v>42</v>
      </c>
      <c r="K233" s="4">
        <v>1008</v>
      </c>
      <c r="L233" s="4" t="s">
        <v>170</v>
      </c>
      <c r="M233" s="4" t="s">
        <v>171</v>
      </c>
      <c r="N233" s="4" t="s">
        <v>172</v>
      </c>
      <c r="O233" s="4" t="s">
        <v>28</v>
      </c>
      <c r="P233" s="4" t="s">
        <v>173</v>
      </c>
      <c r="Q233" s="4" t="s">
        <v>174</v>
      </c>
      <c r="R233" s="4" t="s">
        <v>60</v>
      </c>
      <c r="S233" s="4">
        <v>12</v>
      </c>
      <c r="T233" s="4" t="b">
        <v>0</v>
      </c>
      <c r="U233" s="4" t="s">
        <v>114</v>
      </c>
      <c r="V233" s="4" t="s">
        <v>89</v>
      </c>
      <c r="W233" s="4" t="s">
        <v>175</v>
      </c>
      <c r="X233" s="4" t="s">
        <v>63</v>
      </c>
      <c r="Y233" s="4" t="s">
        <v>108</v>
      </c>
      <c r="Z233" s="4" t="s">
        <v>98</v>
      </c>
      <c r="AA233" s="4" t="s">
        <v>176</v>
      </c>
      <c r="AB233" s="23" t="s">
        <v>60</v>
      </c>
      <c r="AC233" s="28" t="e">
        <v>#N/A</v>
      </c>
      <c r="AD233" s="28" t="e">
        <v>#N/A</v>
      </c>
      <c r="AE233" s="28"/>
      <c r="AF233" s="19">
        <v>44984</v>
      </c>
      <c r="AG233" s="19"/>
      <c r="AH233" s="12">
        <f t="shared" si="12"/>
        <v>1</v>
      </c>
      <c r="AI233" s="12">
        <f t="shared" ca="1" si="13"/>
        <v>3</v>
      </c>
      <c r="AJ233" s="12" t="str">
        <f t="shared" si="14"/>
        <v>1-5 Years</v>
      </c>
      <c r="AK233" s="12" t="s">
        <v>9632</v>
      </c>
      <c r="AL233" s="31">
        <v>18.75</v>
      </c>
      <c r="AM233" s="31">
        <v>37</v>
      </c>
      <c r="AN233" s="12" t="str">
        <f t="shared" si="15"/>
        <v>35-44 Years</v>
      </c>
      <c r="AO233" s="13" t="s">
        <v>9152</v>
      </c>
      <c r="AP233" s="13" t="s">
        <v>9153</v>
      </c>
      <c r="AQ233" s="14" t="s">
        <v>9157</v>
      </c>
      <c r="AR233" s="14" t="s">
        <v>28</v>
      </c>
      <c r="AS233" s="14" t="s">
        <v>173</v>
      </c>
      <c r="AT233" s="14" t="s">
        <v>63</v>
      </c>
      <c r="AU233" s="14" t="s">
        <v>98</v>
      </c>
      <c r="AV233" s="15" t="s">
        <v>9141</v>
      </c>
      <c r="AW233" s="15" t="s">
        <v>9142</v>
      </c>
      <c r="AX233" s="15" t="s">
        <v>9143</v>
      </c>
      <c r="AY233" s="15" t="s">
        <v>9141</v>
      </c>
      <c r="AZ233" s="15" t="s">
        <v>9144</v>
      </c>
      <c r="BA233" s="16" t="s">
        <v>9141</v>
      </c>
      <c r="BB233" s="16" t="s">
        <v>9145</v>
      </c>
    </row>
    <row r="234" spans="1:54" hidden="1" x14ac:dyDescent="0.25">
      <c r="A234" s="4" t="s">
        <v>1012</v>
      </c>
      <c r="B234" s="4" t="s">
        <v>9483</v>
      </c>
      <c r="C234" s="4"/>
      <c r="D234" s="4" t="s">
        <v>39</v>
      </c>
      <c r="E234" s="4">
        <v>406840</v>
      </c>
      <c r="F234" s="4" t="s">
        <v>1014</v>
      </c>
      <c r="G234" s="32">
        <v>24698</v>
      </c>
      <c r="H234" s="25">
        <v>45569</v>
      </c>
      <c r="I234" s="11">
        <v>0.35416666666666669</v>
      </c>
      <c r="J234" s="4" t="s">
        <v>463</v>
      </c>
      <c r="K234" s="4">
        <v>2042</v>
      </c>
      <c r="L234" s="4" t="s">
        <v>1015</v>
      </c>
      <c r="M234" s="4" t="s">
        <v>1016</v>
      </c>
      <c r="N234" s="4" t="s">
        <v>1017</v>
      </c>
      <c r="O234" s="4" t="s">
        <v>46</v>
      </c>
      <c r="P234" s="4"/>
      <c r="Q234" s="4" t="s">
        <v>47</v>
      </c>
      <c r="R234" s="4" t="s">
        <v>48</v>
      </c>
      <c r="S234" s="4">
        <v>0</v>
      </c>
      <c r="T234" s="4" t="b">
        <v>0</v>
      </c>
      <c r="U234" s="4" t="s">
        <v>49</v>
      </c>
      <c r="V234" s="4" t="s">
        <v>89</v>
      </c>
      <c r="W234" s="4" t="s">
        <v>148</v>
      </c>
      <c r="X234" s="4" t="s">
        <v>123</v>
      </c>
      <c r="Y234" s="4" t="s">
        <v>124</v>
      </c>
      <c r="Z234" s="4" t="s">
        <v>1018</v>
      </c>
      <c r="AA234" s="4"/>
      <c r="AB234" s="23">
        <v>0</v>
      </c>
      <c r="AC234" s="28" t="e">
        <v>#N/A</v>
      </c>
      <c r="AD234" s="28" t="e">
        <v>#N/A</v>
      </c>
      <c r="AE234" s="28"/>
      <c r="AF234" s="19">
        <v>42233</v>
      </c>
      <c r="AG234" s="19"/>
      <c r="AH234" s="12">
        <f t="shared" si="12"/>
        <v>9</v>
      </c>
      <c r="AI234" s="12">
        <f t="shared" ca="1" si="13"/>
        <v>11</v>
      </c>
      <c r="AJ234" s="12" t="str">
        <f t="shared" si="14"/>
        <v>6-10 Years</v>
      </c>
      <c r="AK234" s="12" t="s">
        <v>10046</v>
      </c>
      <c r="AL234" s="31">
        <v>38</v>
      </c>
      <c r="AM234" s="31">
        <v>57</v>
      </c>
      <c r="AN234" s="12" t="str">
        <f t="shared" si="15"/>
        <v>More Than 55 Years</v>
      </c>
      <c r="AO234" s="13" t="s">
        <v>9152</v>
      </c>
      <c r="AP234" s="13" t="s">
        <v>9153</v>
      </c>
      <c r="AQ234" s="14" t="s">
        <v>9139</v>
      </c>
      <c r="AR234" s="14" t="s">
        <v>9140</v>
      </c>
      <c r="AS234" s="14"/>
      <c r="AT234" s="14" t="s">
        <v>123</v>
      </c>
      <c r="AU234" s="14" t="s">
        <v>1018</v>
      </c>
      <c r="AV234" s="15" t="s">
        <v>9141</v>
      </c>
      <c r="AW234" s="15" t="s">
        <v>9175</v>
      </c>
      <c r="AX234" s="15" t="s">
        <v>9143</v>
      </c>
      <c r="AY234" s="15" t="s">
        <v>9141</v>
      </c>
      <c r="AZ234" s="15" t="s">
        <v>9175</v>
      </c>
      <c r="BA234" s="16" t="s">
        <v>9141</v>
      </c>
      <c r="BB234" s="16" t="s">
        <v>9176</v>
      </c>
    </row>
    <row r="235" spans="1:54" hidden="1" x14ac:dyDescent="0.25">
      <c r="A235" s="4" t="s">
        <v>1034</v>
      </c>
      <c r="B235" s="4" t="s">
        <v>9484</v>
      </c>
      <c r="C235" s="4">
        <v>12240034195</v>
      </c>
      <c r="D235" s="4" t="s">
        <v>39</v>
      </c>
      <c r="E235" s="4">
        <v>296264</v>
      </c>
      <c r="F235" s="4" t="s">
        <v>1036</v>
      </c>
      <c r="G235" s="32">
        <v>37554</v>
      </c>
      <c r="H235" s="25">
        <v>45569</v>
      </c>
      <c r="I235" s="11">
        <v>0.52083333333333337</v>
      </c>
      <c r="J235" s="4" t="s">
        <v>463</v>
      </c>
      <c r="K235" s="4">
        <v>2045</v>
      </c>
      <c r="L235" s="4" t="s">
        <v>1037</v>
      </c>
      <c r="M235" s="4" t="s">
        <v>1038</v>
      </c>
      <c r="N235" s="4" t="s">
        <v>1039</v>
      </c>
      <c r="O235" s="4" t="s">
        <v>28</v>
      </c>
      <c r="P235" s="4" t="s">
        <v>183</v>
      </c>
      <c r="Q235" s="4" t="s">
        <v>174</v>
      </c>
      <c r="R235" s="4" t="s">
        <v>48</v>
      </c>
      <c r="S235" s="4">
        <v>14</v>
      </c>
      <c r="T235" s="4" t="b">
        <v>0</v>
      </c>
      <c r="U235" s="4" t="s">
        <v>114</v>
      </c>
      <c r="V235" s="4" t="s">
        <v>89</v>
      </c>
      <c r="W235" s="4" t="s">
        <v>175</v>
      </c>
      <c r="X235" s="4" t="s">
        <v>63</v>
      </c>
      <c r="Y235" s="4" t="s">
        <v>108</v>
      </c>
      <c r="Z235" s="4" t="s">
        <v>98</v>
      </c>
      <c r="AA235" s="4"/>
      <c r="AB235" s="23" t="s">
        <v>48</v>
      </c>
      <c r="AC235" s="28" t="e">
        <v>#N/A</v>
      </c>
      <c r="AD235" s="28" t="e">
        <v>#N/A</v>
      </c>
      <c r="AE235" s="28"/>
      <c r="AF235" s="19">
        <v>43353</v>
      </c>
      <c r="AG235" s="19">
        <v>45684</v>
      </c>
      <c r="AH235" s="12">
        <f t="shared" si="12"/>
        <v>6</v>
      </c>
      <c r="AI235" s="12">
        <f t="shared" ca="1" si="13"/>
        <v>6</v>
      </c>
      <c r="AJ235" s="12" t="str">
        <f t="shared" si="14"/>
        <v>6-10 Years</v>
      </c>
      <c r="AK235" s="12" t="s">
        <v>9632</v>
      </c>
      <c r="AL235" s="31">
        <v>19.75</v>
      </c>
      <c r="AM235" s="31">
        <v>22</v>
      </c>
      <c r="AN235" s="12" t="str">
        <f t="shared" si="15"/>
        <v>20-24 Years</v>
      </c>
      <c r="AO235" s="13" t="s">
        <v>9152</v>
      </c>
      <c r="AP235" s="13" t="s">
        <v>9153</v>
      </c>
      <c r="AQ235" s="14" t="s">
        <v>9157</v>
      </c>
      <c r="AR235" s="14" t="s">
        <v>28</v>
      </c>
      <c r="AS235" s="14" t="s">
        <v>183</v>
      </c>
      <c r="AT235" s="14" t="s">
        <v>63</v>
      </c>
      <c r="AU235" s="14" t="s">
        <v>98</v>
      </c>
      <c r="AV235" s="15" t="s">
        <v>9141</v>
      </c>
      <c r="AW235" s="15" t="s">
        <v>9175</v>
      </c>
      <c r="AX235" s="15" t="s">
        <v>9143</v>
      </c>
      <c r="AY235" s="15" t="s">
        <v>9141</v>
      </c>
      <c r="AZ235" s="15" t="s">
        <v>9175</v>
      </c>
      <c r="BA235" s="16" t="s">
        <v>9141</v>
      </c>
      <c r="BB235" s="16" t="s">
        <v>9176</v>
      </c>
    </row>
    <row r="236" spans="1:54" x14ac:dyDescent="0.25">
      <c r="A236" s="4" t="s">
        <v>1442</v>
      </c>
      <c r="B236" s="4" t="s">
        <v>9485</v>
      </c>
      <c r="C236" s="4"/>
      <c r="D236" s="4" t="s">
        <v>39</v>
      </c>
      <c r="E236" s="4">
        <v>328609</v>
      </c>
      <c r="F236" s="4" t="s">
        <v>1444</v>
      </c>
      <c r="G236" s="32">
        <v>22018</v>
      </c>
      <c r="H236" s="25">
        <v>45572</v>
      </c>
      <c r="I236" s="11">
        <v>0.66666666666666663</v>
      </c>
      <c r="J236" s="4" t="s">
        <v>1366</v>
      </c>
      <c r="K236" s="4">
        <v>5089</v>
      </c>
      <c r="L236" s="4" t="s">
        <v>1445</v>
      </c>
      <c r="M236" s="4" t="s">
        <v>1446</v>
      </c>
      <c r="N236" s="4" t="s">
        <v>1447</v>
      </c>
      <c r="O236" s="4" t="s">
        <v>46</v>
      </c>
      <c r="P236" s="4"/>
      <c r="Q236" s="4" t="s">
        <v>47</v>
      </c>
      <c r="R236" s="4" t="s">
        <v>48</v>
      </c>
      <c r="S236" s="4">
        <v>0</v>
      </c>
      <c r="T236" s="4" t="b">
        <v>0</v>
      </c>
      <c r="U236" s="4" t="s">
        <v>61</v>
      </c>
      <c r="V236" s="4" t="s">
        <v>89</v>
      </c>
      <c r="W236" s="4" t="s">
        <v>51</v>
      </c>
      <c r="X236" s="4" t="s">
        <v>123</v>
      </c>
      <c r="Y236" s="4" t="s">
        <v>124</v>
      </c>
      <c r="Z236" s="4" t="s">
        <v>98</v>
      </c>
      <c r="AA236" s="4"/>
      <c r="AB236" s="23">
        <v>0</v>
      </c>
      <c r="AC236" s="28" t="e">
        <v>#N/A</v>
      </c>
      <c r="AD236" s="28" t="e">
        <v>#N/A</v>
      </c>
      <c r="AE236" s="28"/>
      <c r="AF236" s="19">
        <v>45019</v>
      </c>
      <c r="AG236" s="19">
        <v>45582</v>
      </c>
      <c r="AH236" s="12">
        <f t="shared" si="12"/>
        <v>1</v>
      </c>
      <c r="AI236" s="12">
        <f t="shared" ca="1" si="13"/>
        <v>1</v>
      </c>
      <c r="AJ236" s="12" t="str">
        <f t="shared" si="14"/>
        <v>1-5 Years</v>
      </c>
      <c r="AK236" s="12" t="s">
        <v>9632</v>
      </c>
      <c r="AL236" s="31">
        <v>18.75</v>
      </c>
      <c r="AM236" s="31">
        <v>65</v>
      </c>
      <c r="AN236" s="12" t="str">
        <f t="shared" si="15"/>
        <v>More Than 55 Years</v>
      </c>
      <c r="AO236" s="13" t="s">
        <v>9152</v>
      </c>
      <c r="AP236" s="13" t="s">
        <v>9153</v>
      </c>
      <c r="AQ236" s="14" t="s">
        <v>9148</v>
      </c>
      <c r="AR236" s="14" t="s">
        <v>9140</v>
      </c>
      <c r="AS236" s="14"/>
      <c r="AT236" s="14" t="s">
        <v>123</v>
      </c>
      <c r="AU236" s="14" t="s">
        <v>98</v>
      </c>
      <c r="AV236" s="15" t="s">
        <v>9141</v>
      </c>
      <c r="AW236" s="15" t="s">
        <v>9188</v>
      </c>
      <c r="AX236" s="15" t="s">
        <v>9143</v>
      </c>
      <c r="AY236" s="15" t="s">
        <v>9141</v>
      </c>
      <c r="AZ236" s="15" t="s">
        <v>9189</v>
      </c>
      <c r="BA236" s="16" t="s">
        <v>9141</v>
      </c>
      <c r="BB236" s="16" t="s">
        <v>9190</v>
      </c>
    </row>
    <row r="237" spans="1:54" x14ac:dyDescent="0.25">
      <c r="A237" s="4" t="s">
        <v>1589</v>
      </c>
      <c r="B237" s="4" t="s">
        <v>9486</v>
      </c>
      <c r="C237" s="4"/>
      <c r="D237" s="4" t="s">
        <v>39</v>
      </c>
      <c r="E237" s="4">
        <v>335580</v>
      </c>
      <c r="F237" s="4" t="s">
        <v>1591</v>
      </c>
      <c r="G237" s="32">
        <v>37869</v>
      </c>
      <c r="H237" s="25">
        <v>45573</v>
      </c>
      <c r="I237" s="11">
        <v>0.5</v>
      </c>
      <c r="J237" s="4" t="s">
        <v>1366</v>
      </c>
      <c r="K237" s="4">
        <v>6071</v>
      </c>
      <c r="L237" s="4" t="s">
        <v>1586</v>
      </c>
      <c r="M237" s="4" t="s">
        <v>1245</v>
      </c>
      <c r="N237" s="4" t="s">
        <v>1592</v>
      </c>
      <c r="O237" s="4" t="s">
        <v>28</v>
      </c>
      <c r="P237" s="4" t="s">
        <v>478</v>
      </c>
      <c r="Q237" s="4" t="s">
        <v>174</v>
      </c>
      <c r="R237" s="4" t="s">
        <v>48</v>
      </c>
      <c r="S237" s="4">
        <v>8</v>
      </c>
      <c r="T237" s="4" t="b">
        <v>0</v>
      </c>
      <c r="U237" s="4" t="s">
        <v>61</v>
      </c>
      <c r="V237" s="4" t="s">
        <v>89</v>
      </c>
      <c r="W237" s="4" t="s">
        <v>148</v>
      </c>
      <c r="X237" s="4" t="s">
        <v>52</v>
      </c>
      <c r="Y237" s="4" t="s">
        <v>53</v>
      </c>
      <c r="Z237" s="4" t="s">
        <v>54</v>
      </c>
      <c r="AA237" s="4"/>
      <c r="AB237" s="23" t="s">
        <v>48</v>
      </c>
      <c r="AC237" s="28" t="e">
        <v>#N/A</v>
      </c>
      <c r="AD237" s="28" t="e">
        <v>#N/A</v>
      </c>
      <c r="AE237" s="28"/>
      <c r="AF237" s="19">
        <v>45502</v>
      </c>
      <c r="AG237" s="19"/>
      <c r="AH237" s="12">
        <f t="shared" si="12"/>
        <v>0</v>
      </c>
      <c r="AI237" s="12">
        <f t="shared" ca="1" si="13"/>
        <v>2</v>
      </c>
      <c r="AJ237" s="12" t="str">
        <f t="shared" si="14"/>
        <v>Under 1 Year</v>
      </c>
      <c r="AK237" s="12" t="s">
        <v>9633</v>
      </c>
      <c r="AL237" s="31">
        <v>0.01</v>
      </c>
      <c r="AM237" s="31">
        <v>21</v>
      </c>
      <c r="AN237" s="12" t="str">
        <f t="shared" si="15"/>
        <v>20-24 Years</v>
      </c>
      <c r="AO237" s="13" t="s">
        <v>9152</v>
      </c>
      <c r="AP237" s="13" t="s">
        <v>9153</v>
      </c>
      <c r="AQ237" s="14" t="s">
        <v>9148</v>
      </c>
      <c r="AR237" s="14" t="s">
        <v>28</v>
      </c>
      <c r="AS237" s="14" t="s">
        <v>478</v>
      </c>
      <c r="AT237" s="14" t="s">
        <v>52</v>
      </c>
      <c r="AU237" s="14" t="s">
        <v>54</v>
      </c>
      <c r="AV237" s="15" t="s">
        <v>9141</v>
      </c>
      <c r="AW237" s="15" t="s">
        <v>9188</v>
      </c>
      <c r="AX237" s="15" t="s">
        <v>9143</v>
      </c>
      <c r="AY237" s="15" t="s">
        <v>9141</v>
      </c>
      <c r="AZ237" s="15" t="s">
        <v>9191</v>
      </c>
      <c r="BA237" s="16" t="s">
        <v>9141</v>
      </c>
      <c r="BB237" s="16" t="s">
        <v>9192</v>
      </c>
    </row>
    <row r="238" spans="1:54" hidden="1" x14ac:dyDescent="0.25">
      <c r="A238" s="4" t="s">
        <v>1759</v>
      </c>
      <c r="B238" s="4" t="s">
        <v>9487</v>
      </c>
      <c r="C238" s="4"/>
      <c r="D238" s="4" t="s">
        <v>39</v>
      </c>
      <c r="E238" s="4">
        <v>292146</v>
      </c>
      <c r="F238" s="4" t="s">
        <v>1761</v>
      </c>
      <c r="G238" s="32">
        <v>34114</v>
      </c>
      <c r="H238" s="25">
        <v>45573</v>
      </c>
      <c r="I238" s="11">
        <v>0.35416666666666669</v>
      </c>
      <c r="J238" s="4" t="s">
        <v>1654</v>
      </c>
      <c r="K238" s="4">
        <v>9095</v>
      </c>
      <c r="L238" s="4" t="s">
        <v>1742</v>
      </c>
      <c r="M238" s="4" t="s">
        <v>757</v>
      </c>
      <c r="N238" s="4" t="s">
        <v>1762</v>
      </c>
      <c r="O238" s="4" t="s">
        <v>46</v>
      </c>
      <c r="P238" s="4"/>
      <c r="Q238" s="4" t="s">
        <v>47</v>
      </c>
      <c r="R238" s="4" t="s">
        <v>48</v>
      </c>
      <c r="S238" s="4">
        <v>0</v>
      </c>
      <c r="T238" s="4" t="b">
        <v>0</v>
      </c>
      <c r="U238" s="4" t="s">
        <v>61</v>
      </c>
      <c r="V238" s="4" t="s">
        <v>89</v>
      </c>
      <c r="W238" s="4" t="s">
        <v>373</v>
      </c>
      <c r="X238" s="4" t="s">
        <v>52</v>
      </c>
      <c r="Y238" s="4" t="s">
        <v>53</v>
      </c>
      <c r="Z238" s="4" t="s">
        <v>54</v>
      </c>
      <c r="AA238" s="4"/>
      <c r="AB238" s="23">
        <v>0</v>
      </c>
      <c r="AC238" s="28" t="e">
        <v>#N/A</v>
      </c>
      <c r="AD238" s="28" t="e">
        <v>#N/A</v>
      </c>
      <c r="AE238" s="28"/>
      <c r="AF238" s="19">
        <v>40721</v>
      </c>
      <c r="AG238" s="19"/>
      <c r="AH238" s="12">
        <f t="shared" si="12"/>
        <v>13</v>
      </c>
      <c r="AI238" s="12">
        <f t="shared" ca="1" si="13"/>
        <v>15</v>
      </c>
      <c r="AJ238" s="12" t="str">
        <f t="shared" si="14"/>
        <v>11-15 Years</v>
      </c>
      <c r="AK238" s="12" t="s">
        <v>9632</v>
      </c>
      <c r="AL238" s="31">
        <v>37</v>
      </c>
      <c r="AM238" s="31">
        <v>31</v>
      </c>
      <c r="AN238" s="12" t="str">
        <f t="shared" si="15"/>
        <v>25-34 Years</v>
      </c>
      <c r="AO238" s="13" t="s">
        <v>9152</v>
      </c>
      <c r="AP238" s="13" t="s">
        <v>9153</v>
      </c>
      <c r="AQ238" s="14" t="s">
        <v>9148</v>
      </c>
      <c r="AR238" s="14" t="s">
        <v>9140</v>
      </c>
      <c r="AS238" s="14"/>
      <c r="AT238" s="14" t="s">
        <v>52</v>
      </c>
      <c r="AU238" s="14" t="s">
        <v>54</v>
      </c>
      <c r="AV238" s="15" t="s">
        <v>9141</v>
      </c>
      <c r="AW238" s="15" t="s">
        <v>9191</v>
      </c>
      <c r="AX238" s="15" t="s">
        <v>9143</v>
      </c>
      <c r="AY238" s="15" t="s">
        <v>9141</v>
      </c>
      <c r="AZ238" s="15" t="s">
        <v>9191</v>
      </c>
      <c r="BA238" s="16" t="s">
        <v>9141</v>
      </c>
      <c r="BB238" s="16" t="s">
        <v>9192</v>
      </c>
    </row>
    <row r="239" spans="1:54" x14ac:dyDescent="0.25">
      <c r="A239" s="4" t="s">
        <v>1388</v>
      </c>
      <c r="B239" s="4" t="s">
        <v>9488</v>
      </c>
      <c r="C239" s="4"/>
      <c r="D239" s="4" t="s">
        <v>39</v>
      </c>
      <c r="E239" s="4">
        <v>325643</v>
      </c>
      <c r="F239" s="4" t="s">
        <v>1390</v>
      </c>
      <c r="G239" s="32">
        <v>35967</v>
      </c>
      <c r="H239" s="25">
        <v>45574</v>
      </c>
      <c r="I239" s="11">
        <v>0.61527777777777781</v>
      </c>
      <c r="J239" s="4" t="s">
        <v>1366</v>
      </c>
      <c r="K239" s="4">
        <v>5054</v>
      </c>
      <c r="L239" s="4" t="s">
        <v>1385</v>
      </c>
      <c r="M239" s="4" t="s">
        <v>1391</v>
      </c>
      <c r="N239" s="4" t="s">
        <v>1392</v>
      </c>
      <c r="O239" s="4" t="s">
        <v>46</v>
      </c>
      <c r="P239" s="4"/>
      <c r="Q239" s="4" t="s">
        <v>47</v>
      </c>
      <c r="R239" s="4" t="s">
        <v>48</v>
      </c>
      <c r="S239" s="4">
        <v>0</v>
      </c>
      <c r="T239" s="4" t="b">
        <v>0</v>
      </c>
      <c r="U239" s="4" t="s">
        <v>61</v>
      </c>
      <c r="V239" s="4" t="s">
        <v>89</v>
      </c>
      <c r="W239" s="4" t="s">
        <v>148</v>
      </c>
      <c r="X239" s="4" t="s">
        <v>52</v>
      </c>
      <c r="Y239" s="4" t="s">
        <v>53</v>
      </c>
      <c r="Z239" s="4" t="s">
        <v>54</v>
      </c>
      <c r="AA239" s="4"/>
      <c r="AB239" s="23">
        <v>0</v>
      </c>
      <c r="AC239" s="28" t="e">
        <v>#N/A</v>
      </c>
      <c r="AD239" s="28" t="e">
        <v>#N/A</v>
      </c>
      <c r="AE239" s="28"/>
      <c r="AF239" s="19">
        <v>44851</v>
      </c>
      <c r="AG239" s="19"/>
      <c r="AH239" s="12">
        <f t="shared" si="12"/>
        <v>1</v>
      </c>
      <c r="AI239" s="12">
        <f t="shared" ca="1" si="13"/>
        <v>3</v>
      </c>
      <c r="AJ239" s="12" t="str">
        <f t="shared" si="14"/>
        <v>1-5 Years</v>
      </c>
      <c r="AK239" s="12" t="s">
        <v>10046</v>
      </c>
      <c r="AL239" s="31">
        <v>38</v>
      </c>
      <c r="AM239" s="31">
        <v>26</v>
      </c>
      <c r="AN239" s="12" t="str">
        <f t="shared" si="15"/>
        <v>25-34 Years</v>
      </c>
      <c r="AO239" s="13" t="s">
        <v>9152</v>
      </c>
      <c r="AP239" s="13" t="s">
        <v>9153</v>
      </c>
      <c r="AQ239" s="14" t="s">
        <v>9148</v>
      </c>
      <c r="AR239" s="14" t="s">
        <v>9140</v>
      </c>
      <c r="AS239" s="14"/>
      <c r="AT239" s="14" t="s">
        <v>52</v>
      </c>
      <c r="AU239" s="14" t="s">
        <v>54</v>
      </c>
      <c r="AV239" s="15" t="s">
        <v>9141</v>
      </c>
      <c r="AW239" s="15" t="s">
        <v>9188</v>
      </c>
      <c r="AX239" s="15" t="s">
        <v>9143</v>
      </c>
      <c r="AY239" s="15" t="s">
        <v>9141</v>
      </c>
      <c r="AZ239" s="15" t="s">
        <v>9189</v>
      </c>
      <c r="BA239" s="16" t="s">
        <v>9141</v>
      </c>
      <c r="BB239" s="16" t="s">
        <v>9190</v>
      </c>
    </row>
    <row r="240" spans="1:54" hidden="1" x14ac:dyDescent="0.25">
      <c r="A240" s="4" t="s">
        <v>99</v>
      </c>
      <c r="B240" s="4" t="s">
        <v>9489</v>
      </c>
      <c r="C240" s="4"/>
      <c r="D240" s="4" t="s">
        <v>39</v>
      </c>
      <c r="E240" s="4">
        <v>185531</v>
      </c>
      <c r="F240" s="4" t="s">
        <v>101</v>
      </c>
      <c r="G240" s="32">
        <v>25237</v>
      </c>
      <c r="H240" s="25">
        <v>45579</v>
      </c>
      <c r="I240" s="11">
        <v>0.42708333333333331</v>
      </c>
      <c r="J240" s="4" t="s">
        <v>42</v>
      </c>
      <c r="K240" s="4">
        <v>1006</v>
      </c>
      <c r="L240" s="4" t="s">
        <v>94</v>
      </c>
      <c r="M240" s="4" t="s">
        <v>102</v>
      </c>
      <c r="N240" s="4" t="s">
        <v>103</v>
      </c>
      <c r="O240" s="4" t="s">
        <v>46</v>
      </c>
      <c r="P240" s="4"/>
      <c r="Q240" s="4" t="s">
        <v>47</v>
      </c>
      <c r="R240" s="4" t="s">
        <v>48</v>
      </c>
      <c r="S240" s="4">
        <v>0</v>
      </c>
      <c r="T240" s="4" t="b">
        <v>0</v>
      </c>
      <c r="U240" s="4" t="s">
        <v>49</v>
      </c>
      <c r="V240" s="4" t="s">
        <v>70</v>
      </c>
      <c r="W240" s="4" t="s">
        <v>71</v>
      </c>
      <c r="X240" s="4" t="s">
        <v>72</v>
      </c>
      <c r="Y240" s="4" t="s">
        <v>73</v>
      </c>
      <c r="Z240" s="4" t="s">
        <v>98</v>
      </c>
      <c r="AA240" s="4"/>
      <c r="AB240" s="23">
        <v>0</v>
      </c>
      <c r="AC240" s="28" t="e">
        <v>#N/A</v>
      </c>
      <c r="AD240" s="28" t="e">
        <v>#N/A</v>
      </c>
      <c r="AE240" s="28"/>
      <c r="AF240" s="19">
        <v>31495</v>
      </c>
      <c r="AG240" s="19"/>
      <c r="AH240" s="12">
        <f t="shared" si="12"/>
        <v>38</v>
      </c>
      <c r="AI240" s="12">
        <f t="shared" ca="1" si="13"/>
        <v>40</v>
      </c>
      <c r="AJ240" s="12" t="str">
        <f t="shared" si="14"/>
        <v>More Than 30 Years</v>
      </c>
      <c r="AK240" s="12" t="s">
        <v>9631</v>
      </c>
      <c r="AL240" s="31">
        <v>38</v>
      </c>
      <c r="AM240" s="31">
        <v>56</v>
      </c>
      <c r="AN240" s="12" t="str">
        <f t="shared" si="15"/>
        <v>More Than 55 Years</v>
      </c>
      <c r="AO240" s="13" t="s">
        <v>9152</v>
      </c>
      <c r="AP240" s="13" t="s">
        <v>9153</v>
      </c>
      <c r="AQ240" s="14" t="s">
        <v>9139</v>
      </c>
      <c r="AR240" s="14" t="s">
        <v>9140</v>
      </c>
      <c r="AS240" s="14"/>
      <c r="AT240" s="14" t="s">
        <v>72</v>
      </c>
      <c r="AU240" s="14" t="s">
        <v>98</v>
      </c>
      <c r="AV240" s="15" t="s">
        <v>9141</v>
      </c>
      <c r="AW240" s="15" t="s">
        <v>9142</v>
      </c>
      <c r="AX240" s="15" t="s">
        <v>9143</v>
      </c>
      <c r="AY240" s="15" t="s">
        <v>9141</v>
      </c>
      <c r="AZ240" s="15" t="s">
        <v>9144</v>
      </c>
      <c r="BA240" s="16" t="s">
        <v>9141</v>
      </c>
      <c r="BB240" s="16" t="s">
        <v>9145</v>
      </c>
    </row>
    <row r="241" spans="1:54" hidden="1" x14ac:dyDescent="0.25">
      <c r="A241" s="4" t="s">
        <v>1672</v>
      </c>
      <c r="B241" s="4" t="s">
        <v>9490</v>
      </c>
      <c r="C241" s="4"/>
      <c r="D241" s="4" t="s">
        <v>39</v>
      </c>
      <c r="E241" s="4">
        <v>334868</v>
      </c>
      <c r="F241" s="4" t="s">
        <v>1674</v>
      </c>
      <c r="G241" s="32">
        <v>38835</v>
      </c>
      <c r="H241" s="25">
        <v>45579</v>
      </c>
      <c r="I241" s="11">
        <v>0.39583333333333331</v>
      </c>
      <c r="J241" s="4" t="s">
        <v>1654</v>
      </c>
      <c r="K241" s="4">
        <v>9087</v>
      </c>
      <c r="L241" s="4" t="s">
        <v>1666</v>
      </c>
      <c r="M241" s="4" t="s">
        <v>1675</v>
      </c>
      <c r="N241" s="4" t="s">
        <v>1676</v>
      </c>
      <c r="O241" s="4" t="s">
        <v>46</v>
      </c>
      <c r="P241" s="4"/>
      <c r="Q241" s="4" t="s">
        <v>47</v>
      </c>
      <c r="R241" s="4" t="s">
        <v>48</v>
      </c>
      <c r="S241" s="4">
        <v>0</v>
      </c>
      <c r="T241" s="4" t="b">
        <v>0</v>
      </c>
      <c r="U241" s="4" t="s">
        <v>49</v>
      </c>
      <c r="V241" s="4" t="s">
        <v>115</v>
      </c>
      <c r="W241" s="4" t="s">
        <v>107</v>
      </c>
      <c r="X241" s="4" t="s">
        <v>123</v>
      </c>
      <c r="Y241" s="4" t="s">
        <v>124</v>
      </c>
      <c r="Z241" s="4" t="s">
        <v>54</v>
      </c>
      <c r="AA241" s="4"/>
      <c r="AB241" s="23">
        <v>0</v>
      </c>
      <c r="AC241" s="28" t="e">
        <v>#N/A</v>
      </c>
      <c r="AD241" s="28" t="e">
        <v>#N/A</v>
      </c>
      <c r="AE241" s="28"/>
      <c r="AF241" s="19">
        <v>45460</v>
      </c>
      <c r="AG241" s="19"/>
      <c r="AH241" s="12">
        <f t="shared" si="12"/>
        <v>0</v>
      </c>
      <c r="AI241" s="12">
        <f t="shared" ca="1" si="13"/>
        <v>2</v>
      </c>
      <c r="AJ241" s="12" t="str">
        <f t="shared" si="14"/>
        <v>Under 1 Year</v>
      </c>
      <c r="AK241" s="12" t="s">
        <v>9633</v>
      </c>
      <c r="AL241" s="31">
        <v>0.01</v>
      </c>
      <c r="AM241" s="31">
        <v>19</v>
      </c>
      <c r="AN241" s="12" t="str">
        <f t="shared" si="15"/>
        <v>Less Than 20 Years</v>
      </c>
      <c r="AO241" s="13" t="s">
        <v>9152</v>
      </c>
      <c r="AP241" s="13" t="s">
        <v>9153</v>
      </c>
      <c r="AQ241" s="14" t="s">
        <v>9139</v>
      </c>
      <c r="AR241" s="14" t="s">
        <v>9140</v>
      </c>
      <c r="AS241" s="14"/>
      <c r="AT241" s="14" t="s">
        <v>123</v>
      </c>
      <c r="AU241" s="14" t="s">
        <v>54</v>
      </c>
      <c r="AV241" s="15" t="s">
        <v>9141</v>
      </c>
      <c r="AW241" s="15" t="s">
        <v>9191</v>
      </c>
      <c r="AX241" s="15" t="s">
        <v>9143</v>
      </c>
      <c r="AY241" s="15" t="s">
        <v>9141</v>
      </c>
      <c r="AZ241" s="15" t="s">
        <v>9191</v>
      </c>
      <c r="BA241" s="16" t="s">
        <v>9141</v>
      </c>
      <c r="BB241" s="16" t="s">
        <v>9192</v>
      </c>
    </row>
    <row r="242" spans="1:54" hidden="1" x14ac:dyDescent="0.25">
      <c r="A242" s="4" t="s">
        <v>1298</v>
      </c>
      <c r="B242" s="4" t="s">
        <v>9491</v>
      </c>
      <c r="C242" s="4"/>
      <c r="D242" s="4" t="s">
        <v>39</v>
      </c>
      <c r="E242" s="4">
        <v>296953</v>
      </c>
      <c r="F242" s="4" t="s">
        <v>1300</v>
      </c>
      <c r="G242" s="32">
        <v>25948</v>
      </c>
      <c r="H242" s="25">
        <v>45581</v>
      </c>
      <c r="I242" s="11">
        <v>0.47916666666666669</v>
      </c>
      <c r="J242" s="4" t="s">
        <v>1155</v>
      </c>
      <c r="K242" s="4">
        <v>4044</v>
      </c>
      <c r="L242" s="4" t="s">
        <v>1285</v>
      </c>
      <c r="M242" s="4" t="s">
        <v>1301</v>
      </c>
      <c r="N242" s="4" t="s">
        <v>1302</v>
      </c>
      <c r="O242" s="4" t="s">
        <v>46</v>
      </c>
      <c r="P242" s="4"/>
      <c r="Q242" s="4" t="s">
        <v>47</v>
      </c>
      <c r="R242" s="4" t="s">
        <v>48</v>
      </c>
      <c r="S242" s="4">
        <v>0</v>
      </c>
      <c r="T242" s="4" t="b">
        <v>0</v>
      </c>
      <c r="U242" s="4" t="s">
        <v>61</v>
      </c>
      <c r="V242" s="4" t="s">
        <v>1303</v>
      </c>
      <c r="W242" s="4" t="s">
        <v>148</v>
      </c>
      <c r="X242" s="4" t="s">
        <v>52</v>
      </c>
      <c r="Y242" s="4" t="s">
        <v>255</v>
      </c>
      <c r="Z242" s="4" t="s">
        <v>54</v>
      </c>
      <c r="AA242" s="4"/>
      <c r="AB242" s="23">
        <v>0</v>
      </c>
      <c r="AC242" s="28" t="e">
        <v>#N/A</v>
      </c>
      <c r="AD242" s="28" t="e">
        <v>#N/A</v>
      </c>
      <c r="AE242" s="28"/>
      <c r="AF242" s="19">
        <v>44039</v>
      </c>
      <c r="AG242" s="19"/>
      <c r="AH242" s="12">
        <f t="shared" si="12"/>
        <v>4</v>
      </c>
      <c r="AI242" s="12">
        <f t="shared" ca="1" si="13"/>
        <v>6</v>
      </c>
      <c r="AJ242" s="12" t="str">
        <f t="shared" si="14"/>
        <v>1-5 Years</v>
      </c>
      <c r="AK242" s="12" t="s">
        <v>9632</v>
      </c>
      <c r="AL242" s="31">
        <v>25</v>
      </c>
      <c r="AM242" s="31">
        <v>54</v>
      </c>
      <c r="AN242" s="12" t="str">
        <f t="shared" si="15"/>
        <v>45-54 Years</v>
      </c>
      <c r="AO242" s="13" t="s">
        <v>9152</v>
      </c>
      <c r="AP242" s="13" t="s">
        <v>9153</v>
      </c>
      <c r="AQ242" s="14" t="s">
        <v>9148</v>
      </c>
      <c r="AR242" s="14" t="s">
        <v>9140</v>
      </c>
      <c r="AS242" s="14"/>
      <c r="AT242" s="14" t="s">
        <v>52</v>
      </c>
      <c r="AU242" s="14" t="s">
        <v>54</v>
      </c>
      <c r="AV242" s="15" t="s">
        <v>9141</v>
      </c>
      <c r="AW242" s="15" t="s">
        <v>9187</v>
      </c>
      <c r="AX242" s="15" t="s">
        <v>9143</v>
      </c>
      <c r="AY242" s="15" t="s">
        <v>9141</v>
      </c>
      <c r="AZ242" s="15" t="s">
        <v>9144</v>
      </c>
      <c r="BA242" s="16" t="s">
        <v>9141</v>
      </c>
      <c r="BB242" s="16" t="s">
        <v>9145</v>
      </c>
    </row>
    <row r="243" spans="1:54" hidden="1" x14ac:dyDescent="0.25">
      <c r="A243" s="4" t="s">
        <v>546</v>
      </c>
      <c r="B243" s="4" t="s">
        <v>9492</v>
      </c>
      <c r="C243" s="4"/>
      <c r="D243" s="4" t="s">
        <v>39</v>
      </c>
      <c r="E243" s="4">
        <v>290306</v>
      </c>
      <c r="F243" s="4" t="s">
        <v>548</v>
      </c>
      <c r="G243" s="32">
        <v>23349</v>
      </c>
      <c r="H243" s="25">
        <v>45584</v>
      </c>
      <c r="I243" s="11">
        <v>0.2951388888888889</v>
      </c>
      <c r="J243" s="4" t="s">
        <v>463</v>
      </c>
      <c r="K243" s="4">
        <v>2020</v>
      </c>
      <c r="L243" s="4" t="s">
        <v>538</v>
      </c>
      <c r="M243" s="4" t="s">
        <v>549</v>
      </c>
      <c r="N243" s="4" t="s">
        <v>550</v>
      </c>
      <c r="O243" s="4" t="s">
        <v>46</v>
      </c>
      <c r="P243" s="4"/>
      <c r="Q243" s="4" t="s">
        <v>47</v>
      </c>
      <c r="R243" s="4" t="s">
        <v>48</v>
      </c>
      <c r="S243" s="4">
        <v>0</v>
      </c>
      <c r="T243" s="4" t="b">
        <v>0</v>
      </c>
      <c r="U243" s="4" t="s">
        <v>49</v>
      </c>
      <c r="V243" s="4" t="s">
        <v>89</v>
      </c>
      <c r="W243" s="4" t="s">
        <v>71</v>
      </c>
      <c r="X243" s="4" t="s">
        <v>63</v>
      </c>
      <c r="Y243" s="4" t="s">
        <v>312</v>
      </c>
      <c r="Z243" s="4" t="s">
        <v>54</v>
      </c>
      <c r="AA243" s="4"/>
      <c r="AB243" s="23">
        <v>0</v>
      </c>
      <c r="AC243" s="28" t="e">
        <v>#N/A</v>
      </c>
      <c r="AD243" s="28" t="e">
        <v>#N/A</v>
      </c>
      <c r="AE243" s="28"/>
      <c r="AF243" s="19">
        <v>39630</v>
      </c>
      <c r="AG243" s="19"/>
      <c r="AH243" s="12">
        <f t="shared" si="12"/>
        <v>16</v>
      </c>
      <c r="AI243" s="12">
        <f t="shared" ca="1" si="13"/>
        <v>18</v>
      </c>
      <c r="AJ243" s="12" t="str">
        <f t="shared" si="14"/>
        <v>16-20 Years</v>
      </c>
      <c r="AK243" s="12" t="s">
        <v>9632</v>
      </c>
      <c r="AL243" s="31">
        <v>23</v>
      </c>
      <c r="AM243" s="31">
        <v>61</v>
      </c>
      <c r="AN243" s="12" t="str">
        <f t="shared" si="15"/>
        <v>More Than 55 Years</v>
      </c>
      <c r="AO243" s="13" t="s">
        <v>9152</v>
      </c>
      <c r="AP243" s="13" t="s">
        <v>9153</v>
      </c>
      <c r="AQ243" s="14" t="s">
        <v>9139</v>
      </c>
      <c r="AR243" s="14" t="s">
        <v>9140</v>
      </c>
      <c r="AS243" s="14"/>
      <c r="AT243" s="14" t="s">
        <v>63</v>
      </c>
      <c r="AU243" s="14" t="s">
        <v>54</v>
      </c>
      <c r="AV243" s="15" t="s">
        <v>9141</v>
      </c>
      <c r="AW243" s="15" t="s">
        <v>9175</v>
      </c>
      <c r="AX243" s="15" t="s">
        <v>9143</v>
      </c>
      <c r="AY243" s="15" t="s">
        <v>9141</v>
      </c>
      <c r="AZ243" s="15" t="s">
        <v>9175</v>
      </c>
      <c r="BA243" s="16" t="s">
        <v>9141</v>
      </c>
      <c r="BB243" s="16" t="s">
        <v>9176</v>
      </c>
    </row>
    <row r="244" spans="1:54" hidden="1" x14ac:dyDescent="0.25">
      <c r="A244" s="4" t="s">
        <v>1847</v>
      </c>
      <c r="B244" s="4" t="s">
        <v>9493</v>
      </c>
      <c r="C244" s="4"/>
      <c r="D244" s="4" t="s">
        <v>39</v>
      </c>
      <c r="E244" s="4">
        <v>330581</v>
      </c>
      <c r="F244" s="4" t="s">
        <v>1849</v>
      </c>
      <c r="G244" s="32">
        <v>35961</v>
      </c>
      <c r="H244" s="25">
        <v>45587</v>
      </c>
      <c r="I244" s="11">
        <v>0.61805555555555558</v>
      </c>
      <c r="J244" s="4" t="s">
        <v>1654</v>
      </c>
      <c r="K244" s="4">
        <v>9097</v>
      </c>
      <c r="L244" s="4" t="s">
        <v>1844</v>
      </c>
      <c r="M244" s="4" t="s">
        <v>1850</v>
      </c>
      <c r="N244" s="4" t="s">
        <v>1851</v>
      </c>
      <c r="O244" s="4" t="s">
        <v>46</v>
      </c>
      <c r="P244" s="4"/>
      <c r="Q244" s="4" t="s">
        <v>47</v>
      </c>
      <c r="R244" s="4" t="s">
        <v>48</v>
      </c>
      <c r="S244" s="4">
        <v>0</v>
      </c>
      <c r="T244" s="4" t="b">
        <v>0</v>
      </c>
      <c r="U244" s="4" t="s">
        <v>49</v>
      </c>
      <c r="V244" s="4" t="s">
        <v>89</v>
      </c>
      <c r="W244" s="4" t="s">
        <v>345</v>
      </c>
      <c r="X244" s="4" t="s">
        <v>123</v>
      </c>
      <c r="Y244" s="4" t="s">
        <v>124</v>
      </c>
      <c r="Z244" s="4" t="s">
        <v>98</v>
      </c>
      <c r="AA244" s="4"/>
      <c r="AB244" s="23">
        <v>0</v>
      </c>
      <c r="AC244" s="28" t="e">
        <v>#N/A</v>
      </c>
      <c r="AD244" s="28" t="e">
        <v>#N/A</v>
      </c>
      <c r="AE244" s="28"/>
      <c r="AF244" s="19">
        <v>45208</v>
      </c>
      <c r="AG244" s="19">
        <v>45593</v>
      </c>
      <c r="AH244" s="12">
        <f t="shared" si="12"/>
        <v>1</v>
      </c>
      <c r="AI244" s="12">
        <f t="shared" ca="1" si="13"/>
        <v>1</v>
      </c>
      <c r="AJ244" s="12" t="str">
        <f t="shared" si="14"/>
        <v>1-5 Years</v>
      </c>
      <c r="AK244" s="12" t="s">
        <v>10046</v>
      </c>
      <c r="AL244" s="31">
        <v>38</v>
      </c>
      <c r="AM244" s="31">
        <v>26</v>
      </c>
      <c r="AN244" s="12" t="str">
        <f t="shared" si="15"/>
        <v>25-34 Years</v>
      </c>
      <c r="AO244" s="13" t="s">
        <v>9152</v>
      </c>
      <c r="AP244" s="13" t="s">
        <v>9153</v>
      </c>
      <c r="AQ244" s="14" t="s">
        <v>9139</v>
      </c>
      <c r="AR244" s="14" t="s">
        <v>9140</v>
      </c>
      <c r="AS244" s="14"/>
      <c r="AT244" s="14" t="s">
        <v>123</v>
      </c>
      <c r="AU244" s="14" t="s">
        <v>98</v>
      </c>
      <c r="AV244" s="15" t="s">
        <v>9141</v>
      </c>
      <c r="AW244" s="15" t="s">
        <v>9191</v>
      </c>
      <c r="AX244" s="15" t="s">
        <v>9143</v>
      </c>
      <c r="AY244" s="15" t="s">
        <v>9141</v>
      </c>
      <c r="AZ244" s="15" t="s">
        <v>9191</v>
      </c>
      <c r="BA244" s="16" t="s">
        <v>9141</v>
      </c>
      <c r="BB244" s="16" t="s">
        <v>9192</v>
      </c>
    </row>
    <row r="245" spans="1:54" hidden="1" x14ac:dyDescent="0.25">
      <c r="A245" s="4" t="s">
        <v>1516</v>
      </c>
      <c r="B245" s="4" t="s">
        <v>9494</v>
      </c>
      <c r="C245" s="4" t="s">
        <v>1517</v>
      </c>
      <c r="D245" s="4" t="s">
        <v>39</v>
      </c>
      <c r="E245" s="4">
        <v>322849</v>
      </c>
      <c r="F245" s="4" t="s">
        <v>1519</v>
      </c>
      <c r="G245" s="32">
        <v>33156</v>
      </c>
      <c r="H245" s="25">
        <v>45590</v>
      </c>
      <c r="I245" s="11">
        <v>0.35416666666666669</v>
      </c>
      <c r="J245" s="4" t="s">
        <v>1476</v>
      </c>
      <c r="K245" s="4">
        <v>6065</v>
      </c>
      <c r="L245" s="4" t="s">
        <v>1508</v>
      </c>
      <c r="M245" s="4" t="s">
        <v>455</v>
      </c>
      <c r="N245" s="4" t="s">
        <v>1520</v>
      </c>
      <c r="O245" s="4" t="s">
        <v>46</v>
      </c>
      <c r="P245" s="4"/>
      <c r="Q245" s="4" t="s">
        <v>174</v>
      </c>
      <c r="R245" s="4" t="s">
        <v>48</v>
      </c>
      <c r="S245" s="4">
        <v>0</v>
      </c>
      <c r="T245" s="4" t="b">
        <v>0</v>
      </c>
      <c r="U245" s="4" t="s">
        <v>1521</v>
      </c>
      <c r="V245" s="4" t="s">
        <v>89</v>
      </c>
      <c r="W245" s="4" t="s">
        <v>148</v>
      </c>
      <c r="X245" s="4" t="s">
        <v>52</v>
      </c>
      <c r="Y245" s="4" t="s">
        <v>53</v>
      </c>
      <c r="Z245" s="4" t="s">
        <v>54</v>
      </c>
      <c r="AA245" s="4"/>
      <c r="AB245" s="23">
        <v>0</v>
      </c>
      <c r="AC245" s="28" t="e">
        <v>#N/A</v>
      </c>
      <c r="AD245" s="28" t="e">
        <v>#N/A</v>
      </c>
      <c r="AE245" s="28"/>
      <c r="AF245" s="19">
        <v>44718</v>
      </c>
      <c r="AG245" s="19"/>
      <c r="AH245" s="12">
        <f t="shared" si="12"/>
        <v>2</v>
      </c>
      <c r="AI245" s="12">
        <f t="shared" ca="1" si="13"/>
        <v>4</v>
      </c>
      <c r="AJ245" s="12" t="str">
        <f t="shared" si="14"/>
        <v>1-5 Years</v>
      </c>
      <c r="AK245" s="12" t="s">
        <v>9632</v>
      </c>
      <c r="AL245" s="31">
        <v>20</v>
      </c>
      <c r="AM245" s="31">
        <v>34</v>
      </c>
      <c r="AN245" s="12" t="str">
        <f t="shared" si="15"/>
        <v>25-34 Years</v>
      </c>
      <c r="AO245" s="13" t="s">
        <v>9152</v>
      </c>
      <c r="AP245" s="13" t="s">
        <v>9153</v>
      </c>
      <c r="AQ245" s="14" t="s">
        <v>9148</v>
      </c>
      <c r="AR245" s="14" t="s">
        <v>9140</v>
      </c>
      <c r="AS245" s="14"/>
      <c r="AT245" s="14" t="s">
        <v>52</v>
      </c>
      <c r="AU245" s="14" t="s">
        <v>54</v>
      </c>
      <c r="AV245" s="15" t="s">
        <v>9141</v>
      </c>
      <c r="AW245" s="15" t="s">
        <v>9193</v>
      </c>
      <c r="AX245" s="15" t="s">
        <v>9143</v>
      </c>
      <c r="AY245" s="15" t="s">
        <v>9141</v>
      </c>
      <c r="AZ245" s="15" t="s">
        <v>9189</v>
      </c>
      <c r="BA245" s="16" t="s">
        <v>9141</v>
      </c>
      <c r="BB245" s="16" t="s">
        <v>9190</v>
      </c>
    </row>
    <row r="246" spans="1:54" hidden="1" x14ac:dyDescent="0.25">
      <c r="A246" s="4" t="s">
        <v>227</v>
      </c>
      <c r="B246" s="4" t="s">
        <v>9495</v>
      </c>
      <c r="C246" s="4"/>
      <c r="D246" s="4" t="s">
        <v>39</v>
      </c>
      <c r="E246" s="4">
        <v>406820</v>
      </c>
      <c r="F246" s="4" t="s">
        <v>221</v>
      </c>
      <c r="G246" s="32">
        <v>25843</v>
      </c>
      <c r="H246" s="25">
        <v>45591</v>
      </c>
      <c r="I246" s="11">
        <v>0.34375</v>
      </c>
      <c r="J246" s="4" t="s">
        <v>42</v>
      </c>
      <c r="K246" s="4">
        <v>1011</v>
      </c>
      <c r="L246" s="4" t="s">
        <v>215</v>
      </c>
      <c r="M246" s="4" t="s">
        <v>228</v>
      </c>
      <c r="N246" s="4" t="s">
        <v>229</v>
      </c>
      <c r="O246" s="4" t="s">
        <v>46</v>
      </c>
      <c r="P246" s="4"/>
      <c r="Q246" s="4" t="s">
        <v>47</v>
      </c>
      <c r="R246" s="4" t="s">
        <v>48</v>
      </c>
      <c r="S246" s="4">
        <v>0</v>
      </c>
      <c r="T246" s="4" t="b">
        <v>0</v>
      </c>
      <c r="U246" s="4" t="s">
        <v>61</v>
      </c>
      <c r="V246" s="4" t="s">
        <v>50</v>
      </c>
      <c r="W246" s="4" t="s">
        <v>165</v>
      </c>
      <c r="X246" s="4" t="s">
        <v>63</v>
      </c>
      <c r="Y246" s="4" t="s">
        <v>108</v>
      </c>
      <c r="Z246" s="4" t="s">
        <v>98</v>
      </c>
      <c r="AA246" s="4"/>
      <c r="AB246" s="23">
        <v>0</v>
      </c>
      <c r="AC246" s="28" t="e">
        <v>#N/A</v>
      </c>
      <c r="AD246" s="28" t="e">
        <v>#N/A</v>
      </c>
      <c r="AE246" s="28"/>
      <c r="AF246" s="19">
        <v>42142</v>
      </c>
      <c r="AG246" s="19"/>
      <c r="AH246" s="12">
        <f t="shared" si="12"/>
        <v>9</v>
      </c>
      <c r="AI246" s="12">
        <f t="shared" ca="1" si="13"/>
        <v>11</v>
      </c>
      <c r="AJ246" s="12" t="str">
        <f t="shared" si="14"/>
        <v>6-10 Years</v>
      </c>
      <c r="AK246" s="12" t="s">
        <v>10046</v>
      </c>
      <c r="AL246" s="31">
        <v>38</v>
      </c>
      <c r="AM246" s="31">
        <v>54</v>
      </c>
      <c r="AN246" s="12" t="str">
        <f t="shared" si="15"/>
        <v>45-54 Years</v>
      </c>
      <c r="AO246" s="13" t="s">
        <v>9152</v>
      </c>
      <c r="AP246" s="13" t="s">
        <v>9153</v>
      </c>
      <c r="AQ246" s="14" t="s">
        <v>9148</v>
      </c>
      <c r="AR246" s="14" t="s">
        <v>9140</v>
      </c>
      <c r="AS246" s="14"/>
      <c r="AT246" s="14" t="s">
        <v>63</v>
      </c>
      <c r="AU246" s="14" t="s">
        <v>98</v>
      </c>
      <c r="AV246" s="15" t="s">
        <v>9141</v>
      </c>
      <c r="AW246" s="15" t="s">
        <v>9142</v>
      </c>
      <c r="AX246" s="15" t="s">
        <v>9143</v>
      </c>
      <c r="AY246" s="15" t="s">
        <v>9141</v>
      </c>
      <c r="AZ246" s="15" t="s">
        <v>9144</v>
      </c>
      <c r="BA246" s="16" t="s">
        <v>9141</v>
      </c>
      <c r="BB246" s="16" t="s">
        <v>9145</v>
      </c>
    </row>
    <row r="247" spans="1:54" hidden="1" x14ac:dyDescent="0.25">
      <c r="A247" s="4" t="s">
        <v>91</v>
      </c>
      <c r="B247" s="4" t="s">
        <v>9496</v>
      </c>
      <c r="C247" s="4"/>
      <c r="D247" s="4" t="s">
        <v>39</v>
      </c>
      <c r="E247" s="4">
        <v>286411</v>
      </c>
      <c r="F247" s="4" t="s">
        <v>93</v>
      </c>
      <c r="G247" s="32">
        <v>31268</v>
      </c>
      <c r="H247" s="25">
        <v>45592</v>
      </c>
      <c r="I247" s="11">
        <v>0.43472222222222223</v>
      </c>
      <c r="J247" s="4" t="s">
        <v>42</v>
      </c>
      <c r="K247" s="4">
        <v>1006</v>
      </c>
      <c r="L247" s="4" t="s">
        <v>94</v>
      </c>
      <c r="M247" s="4" t="s">
        <v>95</v>
      </c>
      <c r="N247" s="4" t="s">
        <v>96</v>
      </c>
      <c r="O247" s="4" t="s">
        <v>46</v>
      </c>
      <c r="P247" s="4"/>
      <c r="Q247" s="4" t="s">
        <v>47</v>
      </c>
      <c r="R247" s="4" t="s">
        <v>48</v>
      </c>
      <c r="S247" s="4">
        <v>0</v>
      </c>
      <c r="T247" s="4" t="b">
        <v>0</v>
      </c>
      <c r="U247" s="4" t="s">
        <v>49</v>
      </c>
      <c r="V247" s="4" t="s">
        <v>70</v>
      </c>
      <c r="W247" s="4" t="s">
        <v>71</v>
      </c>
      <c r="X247" s="4" t="s">
        <v>72</v>
      </c>
      <c r="Y247" s="4" t="s">
        <v>97</v>
      </c>
      <c r="Z247" s="4" t="s">
        <v>98</v>
      </c>
      <c r="AA247" s="4"/>
      <c r="AB247" s="23">
        <v>0</v>
      </c>
      <c r="AC247" s="28" t="e">
        <v>#N/A</v>
      </c>
      <c r="AD247" s="28" t="s">
        <v>8711</v>
      </c>
      <c r="AE247" s="28"/>
      <c r="AF247" s="19">
        <v>37856</v>
      </c>
      <c r="AG247" s="19">
        <v>45630</v>
      </c>
      <c r="AH247" s="12">
        <f t="shared" si="12"/>
        <v>21</v>
      </c>
      <c r="AI247" s="12">
        <f t="shared" ca="1" si="13"/>
        <v>21</v>
      </c>
      <c r="AJ247" s="12" t="str">
        <f t="shared" si="14"/>
        <v>21-25 Years</v>
      </c>
      <c r="AK247" s="12" t="s">
        <v>10046</v>
      </c>
      <c r="AL247" s="31">
        <v>38</v>
      </c>
      <c r="AM247" s="31">
        <v>39</v>
      </c>
      <c r="AN247" s="12" t="str">
        <f t="shared" si="15"/>
        <v>35-44 Years</v>
      </c>
      <c r="AO247" s="13" t="s">
        <v>9152</v>
      </c>
      <c r="AP247" s="13" t="s">
        <v>9153</v>
      </c>
      <c r="AQ247" s="14" t="s">
        <v>9139</v>
      </c>
      <c r="AR247" s="14" t="s">
        <v>9140</v>
      </c>
      <c r="AS247" s="14"/>
      <c r="AT247" s="14" t="s">
        <v>72</v>
      </c>
      <c r="AU247" s="14" t="s">
        <v>98</v>
      </c>
      <c r="AV247" s="15" t="s">
        <v>9141</v>
      </c>
      <c r="AW247" s="15" t="s">
        <v>9142</v>
      </c>
      <c r="AX247" s="15" t="s">
        <v>9143</v>
      </c>
      <c r="AY247" s="15" t="s">
        <v>9141</v>
      </c>
      <c r="AZ247" s="15" t="s">
        <v>9144</v>
      </c>
      <c r="BA247" s="16" t="s">
        <v>9141</v>
      </c>
      <c r="BB247" s="16" t="s">
        <v>9145</v>
      </c>
    </row>
    <row r="248" spans="1:54" x14ac:dyDescent="0.25">
      <c r="A248" s="4" t="s">
        <v>1409</v>
      </c>
      <c r="B248" s="4" t="s">
        <v>9497</v>
      </c>
      <c r="C248" s="4">
        <v>7389240</v>
      </c>
      <c r="D248" s="4" t="s">
        <v>39</v>
      </c>
      <c r="E248" s="4">
        <v>332336</v>
      </c>
      <c r="F248" s="4" t="s">
        <v>1411</v>
      </c>
      <c r="G248" s="32">
        <v>25927</v>
      </c>
      <c r="H248" s="25">
        <v>45596</v>
      </c>
      <c r="I248" s="11">
        <v>0.53125</v>
      </c>
      <c r="J248" s="4" t="s">
        <v>1366</v>
      </c>
      <c r="K248" s="4">
        <v>5060</v>
      </c>
      <c r="L248" s="4" t="s">
        <v>1412</v>
      </c>
      <c r="M248" s="4" t="s">
        <v>1413</v>
      </c>
      <c r="N248" s="4" t="s">
        <v>1414</v>
      </c>
      <c r="O248" s="4" t="s">
        <v>46</v>
      </c>
      <c r="P248" s="4" t="s">
        <v>478</v>
      </c>
      <c r="Q248" s="4" t="s">
        <v>174</v>
      </c>
      <c r="R248" s="4" t="s">
        <v>48</v>
      </c>
      <c r="S248" s="4">
        <v>14</v>
      </c>
      <c r="T248" s="4" t="b">
        <v>0</v>
      </c>
      <c r="U248" s="4" t="s">
        <v>114</v>
      </c>
      <c r="V248" s="4" t="s">
        <v>89</v>
      </c>
      <c r="W248" s="4" t="s">
        <v>71</v>
      </c>
      <c r="X248" s="4" t="s">
        <v>52</v>
      </c>
      <c r="Y248" s="4" t="s">
        <v>53</v>
      </c>
      <c r="Z248" s="4" t="s">
        <v>54</v>
      </c>
      <c r="AA248" s="4"/>
      <c r="AB248" s="23">
        <v>0</v>
      </c>
      <c r="AC248" s="28" t="e">
        <v>#N/A</v>
      </c>
      <c r="AD248" s="28" t="e">
        <v>#N/A</v>
      </c>
      <c r="AE248" s="28"/>
      <c r="AF248" s="19">
        <v>45257</v>
      </c>
      <c r="AG248" s="19"/>
      <c r="AH248" s="12">
        <f t="shared" si="12"/>
        <v>0</v>
      </c>
      <c r="AI248" s="12">
        <f t="shared" ca="1" si="13"/>
        <v>2</v>
      </c>
      <c r="AJ248" s="12" t="str">
        <f t="shared" si="14"/>
        <v>Under 1 Year</v>
      </c>
      <c r="AK248" s="12" t="s">
        <v>10046</v>
      </c>
      <c r="AL248" s="31">
        <v>34</v>
      </c>
      <c r="AM248" s="31">
        <v>54</v>
      </c>
      <c r="AN248" s="12" t="str">
        <f t="shared" si="15"/>
        <v>45-54 Years</v>
      </c>
      <c r="AO248" s="13" t="s">
        <v>9179</v>
      </c>
      <c r="AP248" s="13" t="s">
        <v>9153</v>
      </c>
      <c r="AQ248" s="14" t="s">
        <v>9157</v>
      </c>
      <c r="AR248" s="14" t="s">
        <v>9140</v>
      </c>
      <c r="AS248" s="14"/>
      <c r="AT248" s="14" t="s">
        <v>52</v>
      </c>
      <c r="AU248" s="14" t="s">
        <v>54</v>
      </c>
      <c r="AV248" s="15" t="s">
        <v>9141</v>
      </c>
      <c r="AW248" s="15" t="s">
        <v>9188</v>
      </c>
      <c r="AX248" s="15" t="s">
        <v>9143</v>
      </c>
      <c r="AY248" s="15" t="s">
        <v>9141</v>
      </c>
      <c r="AZ248" s="15" t="s">
        <v>9191</v>
      </c>
      <c r="BA248" s="16" t="s">
        <v>9141</v>
      </c>
      <c r="BB248" s="16" t="s">
        <v>9192</v>
      </c>
    </row>
    <row r="249" spans="1:54" hidden="1" x14ac:dyDescent="0.25">
      <c r="A249" s="4" t="s">
        <v>992</v>
      </c>
      <c r="B249" s="4" t="s">
        <v>9498</v>
      </c>
      <c r="C249" s="4">
        <v>12240040260</v>
      </c>
      <c r="D249" s="4" t="s">
        <v>39</v>
      </c>
      <c r="E249" s="4">
        <v>294876</v>
      </c>
      <c r="F249" s="4" t="s">
        <v>994</v>
      </c>
      <c r="G249" s="32">
        <v>24554</v>
      </c>
      <c r="H249" s="25">
        <v>45600</v>
      </c>
      <c r="I249" s="11">
        <v>0.41319444444444442</v>
      </c>
      <c r="J249" s="4" t="s">
        <v>463</v>
      </c>
      <c r="K249" s="4">
        <v>2039</v>
      </c>
      <c r="L249" s="4" t="s">
        <v>988</v>
      </c>
      <c r="M249" s="4" t="s">
        <v>995</v>
      </c>
      <c r="N249" s="4" t="s">
        <v>996</v>
      </c>
      <c r="O249" s="4" t="s">
        <v>28</v>
      </c>
      <c r="P249" s="4" t="s">
        <v>183</v>
      </c>
      <c r="Q249" s="4" t="s">
        <v>174</v>
      </c>
      <c r="R249" s="4" t="s">
        <v>60</v>
      </c>
      <c r="S249" s="4">
        <v>15</v>
      </c>
      <c r="T249" s="4" t="b">
        <v>0</v>
      </c>
      <c r="U249" s="4" t="s">
        <v>184</v>
      </c>
      <c r="V249" s="4" t="s">
        <v>89</v>
      </c>
      <c r="W249" s="4" t="s">
        <v>140</v>
      </c>
      <c r="X249" s="4" t="s">
        <v>123</v>
      </c>
      <c r="Y249" s="4" t="s">
        <v>149</v>
      </c>
      <c r="Z249" s="4" t="s">
        <v>98</v>
      </c>
      <c r="AA249" s="4" t="s">
        <v>689</v>
      </c>
      <c r="AB249" s="23" t="s">
        <v>60</v>
      </c>
      <c r="AC249" s="28" t="e">
        <v>#N/A</v>
      </c>
      <c r="AD249" s="28" t="e">
        <v>#N/A</v>
      </c>
      <c r="AE249" s="28"/>
      <c r="AF249" s="19">
        <v>42569</v>
      </c>
      <c r="AG249" s="19"/>
      <c r="AH249" s="12">
        <f t="shared" si="12"/>
        <v>8</v>
      </c>
      <c r="AI249" s="12">
        <f t="shared" ca="1" si="13"/>
        <v>10</v>
      </c>
      <c r="AJ249" s="12" t="str">
        <f t="shared" si="14"/>
        <v>6-10 Years</v>
      </c>
      <c r="AK249" s="12" t="s">
        <v>9632</v>
      </c>
      <c r="AL249" s="31">
        <v>33</v>
      </c>
      <c r="AM249" s="31">
        <v>58</v>
      </c>
      <c r="AN249" s="12" t="str">
        <f t="shared" si="15"/>
        <v>More Than 55 Years</v>
      </c>
      <c r="AO249" s="13" t="s">
        <v>9179</v>
      </c>
      <c r="AP249" s="13" t="s">
        <v>9153</v>
      </c>
      <c r="AQ249" s="14" t="s">
        <v>9166</v>
      </c>
      <c r="AR249" s="14" t="s">
        <v>28</v>
      </c>
      <c r="AS249" s="14" t="s">
        <v>183</v>
      </c>
      <c r="AT249" s="14" t="s">
        <v>123</v>
      </c>
      <c r="AU249" s="14" t="s">
        <v>98</v>
      </c>
      <c r="AV249" s="15" t="s">
        <v>9141</v>
      </c>
      <c r="AW249" s="15" t="s">
        <v>9175</v>
      </c>
      <c r="AX249" s="15" t="s">
        <v>9143</v>
      </c>
      <c r="AY249" s="15" t="s">
        <v>9141</v>
      </c>
      <c r="AZ249" s="15" t="s">
        <v>9175</v>
      </c>
      <c r="BA249" s="16" t="s">
        <v>9141</v>
      </c>
      <c r="BB249" s="16" t="s">
        <v>9176</v>
      </c>
    </row>
    <row r="250" spans="1:54" hidden="1" x14ac:dyDescent="0.25">
      <c r="A250" s="4" t="s">
        <v>1293</v>
      </c>
      <c r="B250" s="4" t="s">
        <v>9499</v>
      </c>
      <c r="C250" s="4"/>
      <c r="D250" s="4" t="s">
        <v>39</v>
      </c>
      <c r="E250" s="4">
        <v>297107</v>
      </c>
      <c r="F250" s="4" t="s">
        <v>1295</v>
      </c>
      <c r="G250" s="32">
        <v>26147</v>
      </c>
      <c r="H250" s="25">
        <v>45601</v>
      </c>
      <c r="I250" s="11">
        <v>0.57013888888888886</v>
      </c>
      <c r="J250" s="4" t="s">
        <v>1155</v>
      </c>
      <c r="K250" s="4">
        <v>4044</v>
      </c>
      <c r="L250" s="4" t="s">
        <v>1285</v>
      </c>
      <c r="M250" s="4" t="s">
        <v>1296</v>
      </c>
      <c r="N250" s="4" t="s">
        <v>1297</v>
      </c>
      <c r="O250" s="4" t="s">
        <v>46</v>
      </c>
      <c r="P250" s="4"/>
      <c r="Q250" s="4" t="s">
        <v>47</v>
      </c>
      <c r="R250" s="4" t="s">
        <v>48</v>
      </c>
      <c r="S250" s="4">
        <v>0</v>
      </c>
      <c r="T250" s="4" t="b">
        <v>0</v>
      </c>
      <c r="U250" s="4" t="s">
        <v>61</v>
      </c>
      <c r="V250" s="4" t="s">
        <v>89</v>
      </c>
      <c r="W250" s="4" t="s">
        <v>71</v>
      </c>
      <c r="X250" s="4" t="s">
        <v>52</v>
      </c>
      <c r="Y250" s="4" t="s">
        <v>255</v>
      </c>
      <c r="Z250" s="4" t="s">
        <v>54</v>
      </c>
      <c r="AA250" s="4"/>
      <c r="AB250" s="23">
        <v>0</v>
      </c>
      <c r="AC250" s="28" t="e">
        <v>#N/A</v>
      </c>
      <c r="AD250" s="28" t="e">
        <v>#N/A</v>
      </c>
      <c r="AE250" s="28"/>
      <c r="AF250" s="19">
        <v>44130</v>
      </c>
      <c r="AG250" s="19"/>
      <c r="AH250" s="12">
        <f t="shared" si="12"/>
        <v>4</v>
      </c>
      <c r="AI250" s="12">
        <f t="shared" ca="1" si="13"/>
        <v>5</v>
      </c>
      <c r="AJ250" s="12" t="str">
        <f t="shared" si="14"/>
        <v>1-5 Years</v>
      </c>
      <c r="AK250" s="12" t="s">
        <v>10046</v>
      </c>
      <c r="AL250" s="31">
        <v>38</v>
      </c>
      <c r="AM250" s="31">
        <v>53</v>
      </c>
      <c r="AN250" s="12" t="str">
        <f t="shared" si="15"/>
        <v>45-54 Years</v>
      </c>
      <c r="AO250" s="13" t="s">
        <v>9179</v>
      </c>
      <c r="AP250" s="13" t="s">
        <v>9153</v>
      </c>
      <c r="AQ250" s="14" t="s">
        <v>9148</v>
      </c>
      <c r="AR250" s="14" t="s">
        <v>9140</v>
      </c>
      <c r="AS250" s="14"/>
      <c r="AT250" s="14" t="s">
        <v>52</v>
      </c>
      <c r="AU250" s="14" t="s">
        <v>54</v>
      </c>
      <c r="AV250" s="15" t="s">
        <v>9141</v>
      </c>
      <c r="AW250" s="15" t="s">
        <v>9187</v>
      </c>
      <c r="AX250" s="15" t="s">
        <v>9143</v>
      </c>
      <c r="AY250" s="15" t="s">
        <v>9141</v>
      </c>
      <c r="AZ250" s="15" t="s">
        <v>9144</v>
      </c>
      <c r="BA250" s="16" t="s">
        <v>9141</v>
      </c>
      <c r="BB250" s="16" t="s">
        <v>9145</v>
      </c>
    </row>
    <row r="251" spans="1:54" hidden="1" x14ac:dyDescent="0.25">
      <c r="A251" s="4" t="s">
        <v>629</v>
      </c>
      <c r="B251" s="4" t="s">
        <v>9500</v>
      </c>
      <c r="C251" s="4"/>
      <c r="D251" s="4" t="s">
        <v>39</v>
      </c>
      <c r="E251" s="4">
        <v>286126</v>
      </c>
      <c r="F251" s="4" t="s">
        <v>621</v>
      </c>
      <c r="G251" s="32">
        <v>22376</v>
      </c>
      <c r="H251" s="25">
        <v>45602</v>
      </c>
      <c r="I251" s="11">
        <v>0.65972222222222221</v>
      </c>
      <c r="J251" s="4" t="s">
        <v>463</v>
      </c>
      <c r="K251" s="4">
        <v>2023</v>
      </c>
      <c r="L251" s="4" t="s">
        <v>615</v>
      </c>
      <c r="M251" s="4" t="s">
        <v>630</v>
      </c>
      <c r="N251" s="4" t="s">
        <v>631</v>
      </c>
      <c r="O251" s="4" t="s">
        <v>46</v>
      </c>
      <c r="P251" s="4"/>
      <c r="Q251" s="4" t="s">
        <v>47</v>
      </c>
      <c r="R251" s="4" t="s">
        <v>48</v>
      </c>
      <c r="S251" s="4">
        <v>0</v>
      </c>
      <c r="T251" s="4" t="b">
        <v>0</v>
      </c>
      <c r="U251" s="4" t="s">
        <v>61</v>
      </c>
      <c r="V251" s="4" t="s">
        <v>50</v>
      </c>
      <c r="W251" s="4" t="s">
        <v>80</v>
      </c>
      <c r="X251" s="4" t="s">
        <v>63</v>
      </c>
      <c r="Y251" s="4" t="s">
        <v>108</v>
      </c>
      <c r="Z251" s="4" t="s">
        <v>98</v>
      </c>
      <c r="AA251" s="4"/>
      <c r="AB251" s="23">
        <v>0</v>
      </c>
      <c r="AC251" s="28" t="e">
        <v>#N/A</v>
      </c>
      <c r="AD251" s="28" t="e">
        <v>#N/A</v>
      </c>
      <c r="AE251" s="28"/>
      <c r="AF251" s="19">
        <v>37713</v>
      </c>
      <c r="AG251" s="19"/>
      <c r="AH251" s="12">
        <f t="shared" si="12"/>
        <v>21</v>
      </c>
      <c r="AI251" s="12">
        <f t="shared" ca="1" si="13"/>
        <v>23</v>
      </c>
      <c r="AJ251" s="12" t="str">
        <f t="shared" si="14"/>
        <v>21-25 Years</v>
      </c>
      <c r="AK251" s="12" t="s">
        <v>9632</v>
      </c>
      <c r="AL251" s="31">
        <v>26.5</v>
      </c>
      <c r="AM251" s="31">
        <v>64</v>
      </c>
      <c r="AN251" s="12" t="str">
        <f t="shared" si="15"/>
        <v>More Than 55 Years</v>
      </c>
      <c r="AO251" s="13" t="s">
        <v>9179</v>
      </c>
      <c r="AP251" s="13" t="s">
        <v>9153</v>
      </c>
      <c r="AQ251" s="14" t="s">
        <v>9148</v>
      </c>
      <c r="AR251" s="14" t="s">
        <v>9140</v>
      </c>
      <c r="AS251" s="14"/>
      <c r="AT251" s="14" t="s">
        <v>63</v>
      </c>
      <c r="AU251" s="14" t="s">
        <v>98</v>
      </c>
      <c r="AV251" s="15" t="s">
        <v>9141</v>
      </c>
      <c r="AW251" s="15" t="s">
        <v>9175</v>
      </c>
      <c r="AX251" s="15" t="s">
        <v>9143</v>
      </c>
      <c r="AY251" s="15" t="s">
        <v>9141</v>
      </c>
      <c r="AZ251" s="15" t="s">
        <v>9177</v>
      </c>
      <c r="BA251" s="16" t="s">
        <v>9141</v>
      </c>
      <c r="BB251" s="16" t="s">
        <v>9178</v>
      </c>
    </row>
    <row r="252" spans="1:54" hidden="1" x14ac:dyDescent="0.25">
      <c r="A252" s="4" t="s">
        <v>1511</v>
      </c>
      <c r="B252" s="4" t="s">
        <v>9501</v>
      </c>
      <c r="C252" s="4"/>
      <c r="D252" s="4" t="s">
        <v>39</v>
      </c>
      <c r="E252" s="4">
        <v>406364</v>
      </c>
      <c r="F252" s="4" t="s">
        <v>1513</v>
      </c>
      <c r="G252" s="32">
        <v>26437</v>
      </c>
      <c r="H252" s="25">
        <v>45605</v>
      </c>
      <c r="I252" s="11">
        <v>0.64583333333333337</v>
      </c>
      <c r="J252" s="4" t="s">
        <v>1476</v>
      </c>
      <c r="K252" s="4">
        <v>6065</v>
      </c>
      <c r="L252" s="4" t="s">
        <v>1508</v>
      </c>
      <c r="M252" s="4" t="s">
        <v>1514</v>
      </c>
      <c r="N252" s="4" t="s">
        <v>1515</v>
      </c>
      <c r="O252" s="4" t="s">
        <v>46</v>
      </c>
      <c r="P252" s="4"/>
      <c r="Q252" s="4" t="s">
        <v>47</v>
      </c>
      <c r="R252" s="4" t="s">
        <v>48</v>
      </c>
      <c r="S252" s="4">
        <v>0</v>
      </c>
      <c r="T252" s="4" t="b">
        <v>0</v>
      </c>
      <c r="U252" s="4" t="s">
        <v>61</v>
      </c>
      <c r="V252" s="4" t="s">
        <v>89</v>
      </c>
      <c r="W252" s="4" t="s">
        <v>148</v>
      </c>
      <c r="X252" s="4" t="s">
        <v>123</v>
      </c>
      <c r="Y252" s="4" t="s">
        <v>192</v>
      </c>
      <c r="Z252" s="4" t="s">
        <v>98</v>
      </c>
      <c r="AA252" s="4" t="s">
        <v>486</v>
      </c>
      <c r="AB252" s="23">
        <v>0</v>
      </c>
      <c r="AC252" s="28" t="e">
        <v>#N/A</v>
      </c>
      <c r="AD252" s="28" t="e">
        <v>#N/A</v>
      </c>
      <c r="AE252" s="28"/>
      <c r="AF252" s="19">
        <v>40134</v>
      </c>
      <c r="AG252" s="19"/>
      <c r="AH252" s="12">
        <f t="shared" si="12"/>
        <v>14</v>
      </c>
      <c r="AI252" s="12">
        <f t="shared" ca="1" si="13"/>
        <v>16</v>
      </c>
      <c r="AJ252" s="12" t="str">
        <f t="shared" si="14"/>
        <v>11-15 Years</v>
      </c>
      <c r="AK252" s="12" t="s">
        <v>10046</v>
      </c>
      <c r="AL252" s="31">
        <v>38</v>
      </c>
      <c r="AM252" s="31">
        <v>52</v>
      </c>
      <c r="AN252" s="12" t="str">
        <f t="shared" si="15"/>
        <v>45-54 Years</v>
      </c>
      <c r="AO252" s="13" t="s">
        <v>9179</v>
      </c>
      <c r="AP252" s="13" t="s">
        <v>9153</v>
      </c>
      <c r="AQ252" s="14" t="s">
        <v>9148</v>
      </c>
      <c r="AR252" s="14" t="s">
        <v>9140</v>
      </c>
      <c r="AS252" s="14"/>
      <c r="AT252" s="14" t="s">
        <v>123</v>
      </c>
      <c r="AU252" s="14" t="s">
        <v>98</v>
      </c>
      <c r="AV252" s="15" t="s">
        <v>9141</v>
      </c>
      <c r="AW252" s="15" t="s">
        <v>9193</v>
      </c>
      <c r="AX252" s="15" t="s">
        <v>9143</v>
      </c>
      <c r="AY252" s="15" t="s">
        <v>9141</v>
      </c>
      <c r="AZ252" s="15" t="s">
        <v>9189</v>
      </c>
      <c r="BA252" s="16" t="s">
        <v>9141</v>
      </c>
      <c r="BB252" s="16" t="s">
        <v>9190</v>
      </c>
    </row>
    <row r="253" spans="1:54" hidden="1" x14ac:dyDescent="0.25">
      <c r="A253" s="4" t="s">
        <v>1064</v>
      </c>
      <c r="B253" s="4" t="s">
        <v>9502</v>
      </c>
      <c r="C253" s="4"/>
      <c r="D253" s="4" t="s">
        <v>39</v>
      </c>
      <c r="E253" s="4">
        <v>326476</v>
      </c>
      <c r="F253" s="4" t="s">
        <v>1066</v>
      </c>
      <c r="G253" s="32">
        <v>31087</v>
      </c>
      <c r="H253" s="25">
        <v>45607</v>
      </c>
      <c r="I253" s="11">
        <v>0.5625</v>
      </c>
      <c r="J253" s="4" t="s">
        <v>463</v>
      </c>
      <c r="K253" s="4">
        <v>2054</v>
      </c>
      <c r="L253" s="4" t="s">
        <v>1067</v>
      </c>
      <c r="M253" s="4" t="s">
        <v>1068</v>
      </c>
      <c r="N253" s="4" t="s">
        <v>1069</v>
      </c>
      <c r="O253" s="4" t="s">
        <v>46</v>
      </c>
      <c r="P253" s="4"/>
      <c r="Q253" s="4" t="s">
        <v>47</v>
      </c>
      <c r="R253" s="4" t="s">
        <v>48</v>
      </c>
      <c r="S253" s="4">
        <v>0</v>
      </c>
      <c r="T253" s="4" t="b">
        <v>0</v>
      </c>
      <c r="U253" s="4" t="s">
        <v>61</v>
      </c>
      <c r="V253" s="4" t="s">
        <v>89</v>
      </c>
      <c r="W253" s="4" t="s">
        <v>90</v>
      </c>
      <c r="X253" s="4" t="s">
        <v>63</v>
      </c>
      <c r="Y253" s="4" t="s">
        <v>108</v>
      </c>
      <c r="Z253" s="4" t="s">
        <v>98</v>
      </c>
      <c r="AA253" s="4"/>
      <c r="AB253" s="23">
        <v>0</v>
      </c>
      <c r="AC253" s="28" t="e">
        <v>#N/A</v>
      </c>
      <c r="AD253" s="28" t="e">
        <v>#N/A</v>
      </c>
      <c r="AE253" s="28"/>
      <c r="AF253" s="19">
        <v>44879</v>
      </c>
      <c r="AG253" s="19"/>
      <c r="AH253" s="12">
        <f t="shared" si="12"/>
        <v>1</v>
      </c>
      <c r="AI253" s="12">
        <f t="shared" ca="1" si="13"/>
        <v>3</v>
      </c>
      <c r="AJ253" s="12" t="str">
        <f t="shared" si="14"/>
        <v>1-5 Years</v>
      </c>
      <c r="AK253" s="12" t="s">
        <v>9632</v>
      </c>
      <c r="AL253" s="31">
        <v>20</v>
      </c>
      <c r="AM253" s="31">
        <v>40</v>
      </c>
      <c r="AN253" s="12" t="str">
        <f t="shared" si="15"/>
        <v>35-44 Years</v>
      </c>
      <c r="AO253" s="13" t="s">
        <v>9179</v>
      </c>
      <c r="AP253" s="13" t="s">
        <v>9153</v>
      </c>
      <c r="AQ253" s="14" t="s">
        <v>9148</v>
      </c>
      <c r="AR253" s="14" t="s">
        <v>9140</v>
      </c>
      <c r="AS253" s="14"/>
      <c r="AT253" s="14" t="s">
        <v>63</v>
      </c>
      <c r="AU253" s="14" t="s">
        <v>98</v>
      </c>
      <c r="AV253" s="15" t="s">
        <v>9141</v>
      </c>
      <c r="AW253" s="15" t="s">
        <v>9175</v>
      </c>
      <c r="AX253" s="15" t="s">
        <v>9143</v>
      </c>
      <c r="AY253" s="15" t="s">
        <v>9141</v>
      </c>
      <c r="AZ253" s="15" t="s">
        <v>9175</v>
      </c>
      <c r="BA253" s="16" t="s">
        <v>9141</v>
      </c>
      <c r="BB253" s="16" t="s">
        <v>9176</v>
      </c>
    </row>
    <row r="254" spans="1:54" x14ac:dyDescent="0.25">
      <c r="A254" s="4" t="s">
        <v>1554</v>
      </c>
      <c r="B254" s="4" t="s">
        <v>9503</v>
      </c>
      <c r="C254" s="4"/>
      <c r="D254" s="4" t="s">
        <v>39</v>
      </c>
      <c r="E254" s="4">
        <v>296465</v>
      </c>
      <c r="F254" s="4" t="s">
        <v>1556</v>
      </c>
      <c r="G254" s="32">
        <v>36957</v>
      </c>
      <c r="H254" s="25">
        <v>45611</v>
      </c>
      <c r="I254" s="11">
        <v>0.60763888888888884</v>
      </c>
      <c r="J254" s="4" t="s">
        <v>1366</v>
      </c>
      <c r="K254" s="4">
        <v>6068</v>
      </c>
      <c r="L254" s="4" t="s">
        <v>1537</v>
      </c>
      <c r="M254" s="4" t="s">
        <v>1557</v>
      </c>
      <c r="N254" s="4" t="s">
        <v>1558</v>
      </c>
      <c r="O254" s="4" t="s">
        <v>46</v>
      </c>
      <c r="P254" s="4"/>
      <c r="Q254" s="4" t="s">
        <v>47</v>
      </c>
      <c r="R254" s="4" t="s">
        <v>48</v>
      </c>
      <c r="S254" s="4">
        <v>0</v>
      </c>
      <c r="T254" s="4" t="b">
        <v>0</v>
      </c>
      <c r="U254" s="4" t="s">
        <v>61</v>
      </c>
      <c r="V254" s="4" t="s">
        <v>89</v>
      </c>
      <c r="W254" s="4" t="s">
        <v>140</v>
      </c>
      <c r="X254" s="4" t="s">
        <v>63</v>
      </c>
      <c r="Y254" s="4" t="s">
        <v>108</v>
      </c>
      <c r="Z254" s="4" t="s">
        <v>98</v>
      </c>
      <c r="AA254" s="4"/>
      <c r="AB254" s="23">
        <v>0</v>
      </c>
      <c r="AC254" s="28" t="e">
        <v>#N/A</v>
      </c>
      <c r="AD254" s="28" t="e">
        <v>#N/A</v>
      </c>
      <c r="AE254" s="28"/>
      <c r="AF254" s="19">
        <v>43493</v>
      </c>
      <c r="AG254" s="19"/>
      <c r="AH254" s="12">
        <f t="shared" si="12"/>
        <v>5</v>
      </c>
      <c r="AI254" s="12">
        <f t="shared" ca="1" si="13"/>
        <v>7</v>
      </c>
      <c r="AJ254" s="12" t="str">
        <f t="shared" si="14"/>
        <v>1-5 Years</v>
      </c>
      <c r="AK254" s="12" t="s">
        <v>9632</v>
      </c>
      <c r="AL254" s="31">
        <v>30</v>
      </c>
      <c r="AM254" s="31">
        <v>24</v>
      </c>
      <c r="AN254" s="12" t="str">
        <f t="shared" si="15"/>
        <v>20-24 Years</v>
      </c>
      <c r="AO254" s="13" t="s">
        <v>9179</v>
      </c>
      <c r="AP254" s="13" t="s">
        <v>9153</v>
      </c>
      <c r="AQ254" s="14" t="s">
        <v>9148</v>
      </c>
      <c r="AR254" s="14" t="s">
        <v>9140</v>
      </c>
      <c r="AS254" s="14"/>
      <c r="AT254" s="14" t="s">
        <v>63</v>
      </c>
      <c r="AU254" s="14" t="s">
        <v>98</v>
      </c>
      <c r="AV254" s="15" t="s">
        <v>9141</v>
      </c>
      <c r="AW254" s="15" t="s">
        <v>9188</v>
      </c>
      <c r="AX254" s="15" t="s">
        <v>9143</v>
      </c>
      <c r="AY254" s="15" t="s">
        <v>9141</v>
      </c>
      <c r="AZ254" s="15" t="s">
        <v>9189</v>
      </c>
      <c r="BA254" s="16" t="s">
        <v>9141</v>
      </c>
      <c r="BB254" s="16" t="s">
        <v>9190</v>
      </c>
    </row>
    <row r="255" spans="1:54" hidden="1" x14ac:dyDescent="0.25">
      <c r="A255" s="4" t="s">
        <v>818</v>
      </c>
      <c r="B255" s="4" t="s">
        <v>9504</v>
      </c>
      <c r="C255" s="4"/>
      <c r="D255" s="4" t="s">
        <v>39</v>
      </c>
      <c r="E255" s="4">
        <v>297080</v>
      </c>
      <c r="F255" s="4" t="s">
        <v>820</v>
      </c>
      <c r="G255" s="32">
        <v>37732</v>
      </c>
      <c r="H255" s="25">
        <v>45612</v>
      </c>
      <c r="I255" s="11">
        <v>0.36249999999999999</v>
      </c>
      <c r="J255" s="4" t="s">
        <v>463</v>
      </c>
      <c r="K255" s="4">
        <v>2028</v>
      </c>
      <c r="L255" s="4" t="s">
        <v>804</v>
      </c>
      <c r="M255" s="4" t="s">
        <v>821</v>
      </c>
      <c r="N255" s="4" t="s">
        <v>822</v>
      </c>
      <c r="O255" s="4" t="s">
        <v>46</v>
      </c>
      <c r="P255" s="4"/>
      <c r="Q255" s="4" t="s">
        <v>47</v>
      </c>
      <c r="R255" s="4" t="s">
        <v>48</v>
      </c>
      <c r="S255" s="4">
        <v>0</v>
      </c>
      <c r="T255" s="4" t="b">
        <v>0</v>
      </c>
      <c r="U255" s="4" t="s">
        <v>49</v>
      </c>
      <c r="V255" s="4" t="s">
        <v>134</v>
      </c>
      <c r="W255" s="4" t="s">
        <v>71</v>
      </c>
      <c r="X255" s="4" t="s">
        <v>72</v>
      </c>
      <c r="Y255" s="4" t="s">
        <v>73</v>
      </c>
      <c r="Z255" s="4" t="s">
        <v>54</v>
      </c>
      <c r="AA255" s="4"/>
      <c r="AB255" s="23">
        <v>0</v>
      </c>
      <c r="AC255" s="28" t="e">
        <v>#N/A</v>
      </c>
      <c r="AD255" s="28" t="e">
        <v>#N/A</v>
      </c>
      <c r="AE255" s="28"/>
      <c r="AF255" s="19">
        <v>44118</v>
      </c>
      <c r="AG255" s="19">
        <v>45729</v>
      </c>
      <c r="AH255" s="12">
        <f t="shared" si="12"/>
        <v>4</v>
      </c>
      <c r="AI255" s="12">
        <f t="shared" ca="1" si="13"/>
        <v>4</v>
      </c>
      <c r="AJ255" s="12" t="str">
        <f t="shared" si="14"/>
        <v>1-5 Years</v>
      </c>
      <c r="AK255" s="12" t="s">
        <v>9632</v>
      </c>
      <c r="AL255" s="31">
        <v>36</v>
      </c>
      <c r="AM255" s="31">
        <v>22</v>
      </c>
      <c r="AN255" s="12" t="str">
        <f t="shared" si="15"/>
        <v>20-24 Years</v>
      </c>
      <c r="AO255" s="13" t="s">
        <v>9179</v>
      </c>
      <c r="AP255" s="13" t="s">
        <v>9153</v>
      </c>
      <c r="AQ255" s="14" t="s">
        <v>9139</v>
      </c>
      <c r="AR255" s="14" t="s">
        <v>9140</v>
      </c>
      <c r="AS255" s="14"/>
      <c r="AT255" s="14" t="s">
        <v>72</v>
      </c>
      <c r="AU255" s="14" t="s">
        <v>54</v>
      </c>
      <c r="AV255" s="15" t="s">
        <v>9141</v>
      </c>
      <c r="AW255" s="15" t="s">
        <v>9175</v>
      </c>
      <c r="AX255" s="15" t="s">
        <v>9143</v>
      </c>
      <c r="AY255" s="15" t="s">
        <v>9141</v>
      </c>
      <c r="AZ255" s="15" t="s">
        <v>9175</v>
      </c>
      <c r="BA255" s="16" t="s">
        <v>9141</v>
      </c>
      <c r="BB255" s="16" t="s">
        <v>9176</v>
      </c>
    </row>
    <row r="256" spans="1:54" hidden="1" x14ac:dyDescent="0.25">
      <c r="A256" s="4" t="s">
        <v>861</v>
      </c>
      <c r="B256" s="4" t="s">
        <v>9505</v>
      </c>
      <c r="C256" s="4">
        <v>12240047739</v>
      </c>
      <c r="D256" s="4" t="s">
        <v>39</v>
      </c>
      <c r="E256" s="4">
        <v>297406</v>
      </c>
      <c r="F256" s="4" t="s">
        <v>855</v>
      </c>
      <c r="G256" s="32">
        <v>21251</v>
      </c>
      <c r="H256" s="25">
        <v>45614</v>
      </c>
      <c r="I256" s="11">
        <v>0.33402777777777776</v>
      </c>
      <c r="J256" s="4" t="s">
        <v>463</v>
      </c>
      <c r="K256" s="4">
        <v>2029</v>
      </c>
      <c r="L256" s="4" t="s">
        <v>845</v>
      </c>
      <c r="M256" s="4" t="s">
        <v>859</v>
      </c>
      <c r="N256" s="4" t="s">
        <v>862</v>
      </c>
      <c r="O256" s="4" t="s">
        <v>28</v>
      </c>
      <c r="P256" s="4" t="s">
        <v>478</v>
      </c>
      <c r="Q256" s="4" t="s">
        <v>863</v>
      </c>
      <c r="R256" s="4" t="s">
        <v>60</v>
      </c>
      <c r="S256" s="4">
        <v>90</v>
      </c>
      <c r="T256" s="4" t="b">
        <v>0</v>
      </c>
      <c r="U256" s="4" t="s">
        <v>114</v>
      </c>
      <c r="V256" s="4" t="s">
        <v>89</v>
      </c>
      <c r="W256" s="4" t="s">
        <v>373</v>
      </c>
      <c r="X256" s="4" t="s">
        <v>52</v>
      </c>
      <c r="Y256" s="4" t="s">
        <v>53</v>
      </c>
      <c r="Z256" s="4" t="s">
        <v>54</v>
      </c>
      <c r="AA256" s="4"/>
      <c r="AB256" s="23" t="s">
        <v>60</v>
      </c>
      <c r="AC256" s="28" t="e">
        <v>#N/A</v>
      </c>
      <c r="AD256" s="28" t="e">
        <v>#N/A</v>
      </c>
      <c r="AE256" s="28"/>
      <c r="AF256" s="19">
        <v>44249</v>
      </c>
      <c r="AG256" s="19"/>
      <c r="AH256" s="12">
        <f t="shared" si="12"/>
        <v>3</v>
      </c>
      <c r="AI256" s="12">
        <f t="shared" ca="1" si="13"/>
        <v>5</v>
      </c>
      <c r="AJ256" s="12" t="str">
        <f t="shared" si="14"/>
        <v>1-5 Years</v>
      </c>
      <c r="AK256" s="12" t="s">
        <v>9632</v>
      </c>
      <c r="AL256" s="31">
        <v>20.5</v>
      </c>
      <c r="AM256" s="31">
        <v>67</v>
      </c>
      <c r="AN256" s="12" t="str">
        <f t="shared" si="15"/>
        <v>More Than 55 Years</v>
      </c>
      <c r="AO256" s="13" t="s">
        <v>9179</v>
      </c>
      <c r="AP256" s="13" t="s">
        <v>9153</v>
      </c>
      <c r="AQ256" s="14" t="s">
        <v>9157</v>
      </c>
      <c r="AR256" s="14" t="s">
        <v>28</v>
      </c>
      <c r="AS256" s="14" t="s">
        <v>478</v>
      </c>
      <c r="AT256" s="14" t="s">
        <v>52</v>
      </c>
      <c r="AU256" s="14" t="s">
        <v>54</v>
      </c>
      <c r="AV256" s="15" t="s">
        <v>9141</v>
      </c>
      <c r="AW256" s="15" t="s">
        <v>9175</v>
      </c>
      <c r="AX256" s="15" t="s">
        <v>9143</v>
      </c>
      <c r="AY256" s="15" t="s">
        <v>9141</v>
      </c>
      <c r="AZ256" s="15" t="s">
        <v>9177</v>
      </c>
      <c r="BA256" s="16" t="s">
        <v>9141</v>
      </c>
      <c r="BB256" s="16" t="s">
        <v>9178</v>
      </c>
    </row>
    <row r="257" spans="1:54" hidden="1" x14ac:dyDescent="0.25">
      <c r="A257" s="4" t="s">
        <v>481</v>
      </c>
      <c r="B257" s="4" t="s">
        <v>9506</v>
      </c>
      <c r="C257" s="4"/>
      <c r="D257" s="4" t="s">
        <v>39</v>
      </c>
      <c r="E257" s="4">
        <v>329455</v>
      </c>
      <c r="F257" s="4" t="s">
        <v>483</v>
      </c>
      <c r="G257" s="32">
        <v>30102</v>
      </c>
      <c r="H257" s="25">
        <v>45615</v>
      </c>
      <c r="I257" s="11">
        <v>0.2986111111111111</v>
      </c>
      <c r="J257" s="4" t="s">
        <v>463</v>
      </c>
      <c r="K257" s="4">
        <v>2016</v>
      </c>
      <c r="L257" s="4" t="s">
        <v>475</v>
      </c>
      <c r="M257" s="4" t="s">
        <v>484</v>
      </c>
      <c r="N257" s="4" t="s">
        <v>485</v>
      </c>
      <c r="O257" s="4" t="s">
        <v>46</v>
      </c>
      <c r="P257" s="4"/>
      <c r="Q257" s="4" t="s">
        <v>47</v>
      </c>
      <c r="R257" s="4" t="s">
        <v>48</v>
      </c>
      <c r="S257" s="4">
        <v>0</v>
      </c>
      <c r="T257" s="4" t="b">
        <v>0</v>
      </c>
      <c r="U257" s="4" t="s">
        <v>61</v>
      </c>
      <c r="V257" s="4" t="s">
        <v>89</v>
      </c>
      <c r="W257" s="4" t="s">
        <v>107</v>
      </c>
      <c r="X257" s="4" t="s">
        <v>63</v>
      </c>
      <c r="Y257" s="4" t="s">
        <v>108</v>
      </c>
      <c r="Z257" s="4" t="s">
        <v>98</v>
      </c>
      <c r="AA257" s="4" t="s">
        <v>486</v>
      </c>
      <c r="AB257" s="23">
        <v>0</v>
      </c>
      <c r="AC257" s="28" t="e">
        <v>#N/A</v>
      </c>
      <c r="AD257" s="28" t="e">
        <v>#N/A</v>
      </c>
      <c r="AE257" s="28"/>
      <c r="AF257" s="19">
        <v>45096</v>
      </c>
      <c r="AG257" s="19"/>
      <c r="AH257" s="12">
        <f t="shared" si="12"/>
        <v>1</v>
      </c>
      <c r="AI257" s="12">
        <f t="shared" ca="1" si="13"/>
        <v>3</v>
      </c>
      <c r="AJ257" s="12" t="str">
        <f t="shared" si="14"/>
        <v>1-5 Years</v>
      </c>
      <c r="AK257" s="12" t="s">
        <v>9632</v>
      </c>
      <c r="AL257" s="31">
        <v>17.25</v>
      </c>
      <c r="AM257" s="31">
        <v>42</v>
      </c>
      <c r="AN257" s="12" t="str">
        <f t="shared" si="15"/>
        <v>35-44 Years</v>
      </c>
      <c r="AO257" s="13" t="s">
        <v>9179</v>
      </c>
      <c r="AP257" s="13" t="s">
        <v>9153</v>
      </c>
      <c r="AQ257" s="14" t="s">
        <v>9148</v>
      </c>
      <c r="AR257" s="14" t="s">
        <v>9140</v>
      </c>
      <c r="AS257" s="14"/>
      <c r="AT257" s="14" t="s">
        <v>63</v>
      </c>
      <c r="AU257" s="14" t="s">
        <v>98</v>
      </c>
      <c r="AV257" s="15" t="s">
        <v>9141</v>
      </c>
      <c r="AW257" s="15" t="s">
        <v>9175</v>
      </c>
      <c r="AX257" s="15" t="s">
        <v>9143</v>
      </c>
      <c r="AY257" s="15" t="s">
        <v>9141</v>
      </c>
      <c r="AZ257" s="15" t="s">
        <v>9177</v>
      </c>
      <c r="BA257" s="16" t="s">
        <v>9141</v>
      </c>
      <c r="BB257" s="16" t="s">
        <v>9178</v>
      </c>
    </row>
    <row r="258" spans="1:54" hidden="1" x14ac:dyDescent="0.25">
      <c r="A258" s="4" t="s">
        <v>624</v>
      </c>
      <c r="B258" s="4" t="s">
        <v>9507</v>
      </c>
      <c r="C258" s="4"/>
      <c r="D258" s="4" t="s">
        <v>39</v>
      </c>
      <c r="E258" s="4">
        <v>336597</v>
      </c>
      <c r="F258" s="4" t="s">
        <v>626</v>
      </c>
      <c r="G258" s="32">
        <v>38632</v>
      </c>
      <c r="H258" s="25">
        <v>45621</v>
      </c>
      <c r="I258" s="11">
        <v>0.59722222222222221</v>
      </c>
      <c r="J258" s="4" t="s">
        <v>463</v>
      </c>
      <c r="K258" s="4">
        <v>2023</v>
      </c>
      <c r="L258" s="4" t="s">
        <v>615</v>
      </c>
      <c r="M258" s="4" t="s">
        <v>627</v>
      </c>
      <c r="N258" s="4" t="s">
        <v>628</v>
      </c>
      <c r="O258" s="4" t="s">
        <v>46</v>
      </c>
      <c r="P258" s="4"/>
      <c r="Q258" s="4" t="s">
        <v>47</v>
      </c>
      <c r="R258" s="4" t="s">
        <v>48</v>
      </c>
      <c r="S258" s="4">
        <v>0</v>
      </c>
      <c r="T258" s="4" t="b">
        <v>0</v>
      </c>
      <c r="U258" s="4" t="s">
        <v>61</v>
      </c>
      <c r="V258" s="4" t="s">
        <v>89</v>
      </c>
      <c r="W258" s="4" t="s">
        <v>90</v>
      </c>
      <c r="X258" s="4" t="s">
        <v>72</v>
      </c>
      <c r="Y258" s="4" t="s">
        <v>73</v>
      </c>
      <c r="Z258" s="4" t="s">
        <v>54</v>
      </c>
      <c r="AA258" s="4"/>
      <c r="AB258" s="23">
        <v>0</v>
      </c>
      <c r="AC258" s="28" t="e">
        <v>#N/A</v>
      </c>
      <c r="AD258" s="28" t="e">
        <v>#N/A</v>
      </c>
      <c r="AE258" s="28"/>
      <c r="AF258" s="19">
        <v>45558</v>
      </c>
      <c r="AG258" s="19"/>
      <c r="AH258" s="12">
        <f t="shared" si="12"/>
        <v>0</v>
      </c>
      <c r="AI258" s="12">
        <f t="shared" ca="1" si="13"/>
        <v>1</v>
      </c>
      <c r="AJ258" s="12" t="str">
        <f t="shared" si="14"/>
        <v>Under 1 Year</v>
      </c>
      <c r="AK258" s="12" t="s">
        <v>9633</v>
      </c>
      <c r="AL258" s="31">
        <v>0.01</v>
      </c>
      <c r="AM258" s="31">
        <v>19</v>
      </c>
      <c r="AN258" s="12" t="str">
        <f t="shared" si="15"/>
        <v>Less Than 20 Years</v>
      </c>
      <c r="AO258" s="13" t="s">
        <v>9179</v>
      </c>
      <c r="AP258" s="13" t="s">
        <v>9153</v>
      </c>
      <c r="AQ258" s="14" t="s">
        <v>9148</v>
      </c>
      <c r="AR258" s="14" t="s">
        <v>9140</v>
      </c>
      <c r="AS258" s="14"/>
      <c r="AT258" s="14" t="s">
        <v>72</v>
      </c>
      <c r="AU258" s="14" t="s">
        <v>54</v>
      </c>
      <c r="AV258" s="15" t="s">
        <v>9141</v>
      </c>
      <c r="AW258" s="15" t="s">
        <v>9175</v>
      </c>
      <c r="AX258" s="15" t="s">
        <v>9143</v>
      </c>
      <c r="AY258" s="15" t="s">
        <v>9141</v>
      </c>
      <c r="AZ258" s="15" t="s">
        <v>9177</v>
      </c>
      <c r="BA258" s="16" t="s">
        <v>9141</v>
      </c>
      <c r="BB258" s="16" t="s">
        <v>9178</v>
      </c>
    </row>
    <row r="259" spans="1:54" hidden="1" x14ac:dyDescent="0.25">
      <c r="A259" s="4" t="s">
        <v>1756</v>
      </c>
      <c r="B259" s="4" t="s">
        <v>9508</v>
      </c>
      <c r="C259" s="4"/>
      <c r="D259" s="4" t="s">
        <v>39</v>
      </c>
      <c r="E259" s="4">
        <v>297049</v>
      </c>
      <c r="F259" s="4" t="s">
        <v>1753</v>
      </c>
      <c r="G259" s="32">
        <v>34552</v>
      </c>
      <c r="H259" s="25">
        <v>45623</v>
      </c>
      <c r="I259" s="11">
        <v>0.7006944444444444</v>
      </c>
      <c r="J259" s="4" t="s">
        <v>1654</v>
      </c>
      <c r="K259" s="4">
        <v>9095</v>
      </c>
      <c r="L259" s="4" t="s">
        <v>1742</v>
      </c>
      <c r="M259" s="4" t="s">
        <v>1757</v>
      </c>
      <c r="N259" s="4" t="s">
        <v>1758</v>
      </c>
      <c r="O259" s="4" t="s">
        <v>432</v>
      </c>
      <c r="P259" s="4" t="s">
        <v>478</v>
      </c>
      <c r="Q259" s="4" t="s">
        <v>191</v>
      </c>
      <c r="R259" s="4" t="s">
        <v>48</v>
      </c>
      <c r="S259" s="4">
        <v>0</v>
      </c>
      <c r="T259" s="4" t="b">
        <v>0</v>
      </c>
      <c r="U259" s="4" t="s">
        <v>61</v>
      </c>
      <c r="V259" s="4" t="s">
        <v>89</v>
      </c>
      <c r="W259" s="4" t="s">
        <v>373</v>
      </c>
      <c r="X259" s="4" t="s">
        <v>52</v>
      </c>
      <c r="Y259" s="4" t="s">
        <v>53</v>
      </c>
      <c r="Z259" s="4"/>
      <c r="AA259" s="4"/>
      <c r="AB259" s="23">
        <v>0</v>
      </c>
      <c r="AC259" s="28" t="e">
        <v>#N/A</v>
      </c>
      <c r="AD259" s="28" t="e">
        <v>#N/A</v>
      </c>
      <c r="AE259" s="28"/>
      <c r="AF259" s="19">
        <v>44067</v>
      </c>
      <c r="AG259" s="19">
        <v>45754</v>
      </c>
      <c r="AH259" s="12">
        <f t="shared" ref="AH259:AH322" si="16">DATEDIF(AF259,H259,"Y")</f>
        <v>4</v>
      </c>
      <c r="AI259" s="12">
        <f t="shared" ref="AI259:AI322" ca="1" si="17">IF(AG259=0,DATEDIF(AF259,TODAY(),"Y"),DATEDIF(AF259,AG259,"Y"))</f>
        <v>4</v>
      </c>
      <c r="AJ259" s="12" t="str">
        <f t="shared" ref="AJ259:AJ322" si="18">IF(AH259=0,"Under 1 Year",IF(AND(AH259&gt;=1,AH259&lt;=5),"1-5 Years",IF(AND(AH259&gt;=6,AH259&lt;=10),"6-10 Years",IF(AND(AH259&gt;=11,AH259&lt;=15),"11-15 Years",IF(AND(AH259&gt;=16,AH259&lt;=20),"16-20 Years",IF(AND(AH259&gt;=21,AH259&lt;=25),"21-25 Years",IF(AND(AH259&gt;=26,AH259&lt;=30),"26-30 Years","More Than 30 Years")))))))</f>
        <v>1-5 Years</v>
      </c>
      <c r="AK259" s="12" t="s">
        <v>9632</v>
      </c>
      <c r="AL259" s="31">
        <v>22</v>
      </c>
      <c r="AM259" s="31">
        <v>30</v>
      </c>
      <c r="AN259" s="12" t="str">
        <f t="shared" ref="AN259:AN322" si="19">IF(AM259&lt;20,"Less Than 20 Years",IF(AND(AM259&gt;=20,AM259&lt;=24),"20-24 Years",IF(AND(AM259&gt;=25,AM259&lt;=34),"25-34 Years",IF(AND(AM259&gt;=35,AM259&lt;=44),"35-44 Years",IF(AND(AM259&gt;=45,AM259&lt;=54),"45-54 Years","More Than 55 Years")))))</f>
        <v>25-34 Years</v>
      </c>
      <c r="AO259" s="13" t="s">
        <v>9179</v>
      </c>
      <c r="AP259" s="13" t="s">
        <v>9153</v>
      </c>
      <c r="AQ259" s="14" t="s">
        <v>9148</v>
      </c>
      <c r="AR259" s="14" t="s">
        <v>9140</v>
      </c>
      <c r="AS259" s="14"/>
      <c r="AT259" s="14" t="s">
        <v>52</v>
      </c>
      <c r="AU259" s="14">
        <v>0</v>
      </c>
      <c r="AV259" s="15" t="s">
        <v>9141</v>
      </c>
      <c r="AW259" s="15" t="s">
        <v>9191</v>
      </c>
      <c r="AX259" s="15" t="s">
        <v>9143</v>
      </c>
      <c r="AY259" s="15" t="s">
        <v>9141</v>
      </c>
      <c r="AZ259" s="15" t="s">
        <v>9191</v>
      </c>
      <c r="BA259" s="16" t="s">
        <v>9141</v>
      </c>
      <c r="BB259" s="16" t="s">
        <v>9192</v>
      </c>
    </row>
    <row r="260" spans="1:54" hidden="1" x14ac:dyDescent="0.25">
      <c r="A260" s="4" t="s">
        <v>487</v>
      </c>
      <c r="B260" s="4" t="s">
        <v>9509</v>
      </c>
      <c r="C260" s="4">
        <v>12240081274</v>
      </c>
      <c r="D260" s="4" t="s">
        <v>488</v>
      </c>
      <c r="E260" s="4">
        <v>325296</v>
      </c>
      <c r="F260" s="4" t="s">
        <v>490</v>
      </c>
      <c r="G260" s="32">
        <v>35295</v>
      </c>
      <c r="H260" s="25">
        <v>45624</v>
      </c>
      <c r="I260" s="11">
        <v>0.4375</v>
      </c>
      <c r="J260" s="4" t="s">
        <v>463</v>
      </c>
      <c r="K260" s="4">
        <v>2017</v>
      </c>
      <c r="L260" s="4" t="s">
        <v>491</v>
      </c>
      <c r="M260" s="4" t="s">
        <v>492</v>
      </c>
      <c r="N260" s="4" t="s">
        <v>493</v>
      </c>
      <c r="O260" s="4" t="s">
        <v>28</v>
      </c>
      <c r="P260" s="4" t="s">
        <v>478</v>
      </c>
      <c r="Q260" s="4" t="s">
        <v>344</v>
      </c>
      <c r="R260" s="4" t="s">
        <v>60</v>
      </c>
      <c r="S260" s="4">
        <v>74</v>
      </c>
      <c r="T260" s="4" t="b">
        <v>0</v>
      </c>
      <c r="U260" s="4" t="s">
        <v>114</v>
      </c>
      <c r="V260" s="4" t="s">
        <v>494</v>
      </c>
      <c r="W260" s="4" t="s">
        <v>90</v>
      </c>
      <c r="X260" s="4" t="s">
        <v>267</v>
      </c>
      <c r="Y260" s="4" t="s">
        <v>495</v>
      </c>
      <c r="Z260" s="4" t="s">
        <v>54</v>
      </c>
      <c r="AA260" s="4"/>
      <c r="AB260" s="23" t="s">
        <v>60</v>
      </c>
      <c r="AC260" s="28" t="s">
        <v>9580</v>
      </c>
      <c r="AD260" s="28" t="s">
        <v>8711</v>
      </c>
      <c r="AE260" s="33" t="s">
        <v>9583</v>
      </c>
      <c r="AF260" s="19">
        <v>44859</v>
      </c>
      <c r="AG260" s="19">
        <v>45758</v>
      </c>
      <c r="AH260" s="12">
        <f t="shared" si="16"/>
        <v>2</v>
      </c>
      <c r="AI260" s="12">
        <f t="shared" ca="1" si="17"/>
        <v>2</v>
      </c>
      <c r="AJ260" s="12" t="str">
        <f t="shared" si="18"/>
        <v>1-5 Years</v>
      </c>
      <c r="AK260" s="12" t="s">
        <v>10046</v>
      </c>
      <c r="AL260" s="31">
        <v>38</v>
      </c>
      <c r="AM260" s="31">
        <v>28</v>
      </c>
      <c r="AN260" s="12" t="str">
        <f t="shared" si="19"/>
        <v>25-34 Years</v>
      </c>
      <c r="AO260" s="13" t="s">
        <v>9179</v>
      </c>
      <c r="AP260" s="13" t="s">
        <v>9153</v>
      </c>
      <c r="AQ260" s="14" t="s">
        <v>9157</v>
      </c>
      <c r="AR260" s="14" t="s">
        <v>28</v>
      </c>
      <c r="AS260" s="14" t="s">
        <v>372</v>
      </c>
      <c r="AT260" s="14" t="s">
        <v>267</v>
      </c>
      <c r="AU260" s="14" t="s">
        <v>54</v>
      </c>
      <c r="AV260" s="15" t="s">
        <v>9141</v>
      </c>
      <c r="AW260" s="15" t="s">
        <v>9175</v>
      </c>
      <c r="AX260" s="15" t="s">
        <v>9143</v>
      </c>
      <c r="AY260" s="15" t="s">
        <v>9141</v>
      </c>
      <c r="AZ260" s="15" t="s">
        <v>9177</v>
      </c>
      <c r="BA260" s="16" t="s">
        <v>9141</v>
      </c>
      <c r="BB260" s="16" t="s">
        <v>9178</v>
      </c>
    </row>
    <row r="261" spans="1:54" hidden="1" x14ac:dyDescent="0.25">
      <c r="A261" s="4" t="s">
        <v>619</v>
      </c>
      <c r="B261" s="4" t="s">
        <v>9510</v>
      </c>
      <c r="C261" s="4"/>
      <c r="D261" s="4" t="s">
        <v>39</v>
      </c>
      <c r="E261" s="4">
        <v>286126</v>
      </c>
      <c r="F261" s="4" t="s">
        <v>621</v>
      </c>
      <c r="G261" s="32">
        <v>22376</v>
      </c>
      <c r="H261" s="25">
        <v>45624</v>
      </c>
      <c r="I261" s="11">
        <v>0.5625</v>
      </c>
      <c r="J261" s="4" t="s">
        <v>463</v>
      </c>
      <c r="K261" s="4">
        <v>2023</v>
      </c>
      <c r="L261" s="4" t="s">
        <v>615</v>
      </c>
      <c r="M261" s="4" t="s">
        <v>622</v>
      </c>
      <c r="N261" s="4" t="s">
        <v>623</v>
      </c>
      <c r="O261" s="4" t="s">
        <v>46</v>
      </c>
      <c r="P261" s="4"/>
      <c r="Q261" s="4" t="s">
        <v>47</v>
      </c>
      <c r="R261" s="4" t="s">
        <v>48</v>
      </c>
      <c r="S261" s="4">
        <v>0</v>
      </c>
      <c r="T261" s="4" t="b">
        <v>0</v>
      </c>
      <c r="U261" s="4" t="s">
        <v>61</v>
      </c>
      <c r="V261" s="4" t="s">
        <v>89</v>
      </c>
      <c r="W261" s="4" t="s">
        <v>122</v>
      </c>
      <c r="X261" s="4" t="s">
        <v>123</v>
      </c>
      <c r="Y261" s="4" t="s">
        <v>124</v>
      </c>
      <c r="Z261" s="4" t="s">
        <v>54</v>
      </c>
      <c r="AA261" s="4"/>
      <c r="AB261" s="23">
        <v>0</v>
      </c>
      <c r="AC261" s="28" t="e">
        <v>#N/A</v>
      </c>
      <c r="AD261" s="28" t="e">
        <v>#N/A</v>
      </c>
      <c r="AE261" s="28"/>
      <c r="AF261" s="19">
        <v>37713</v>
      </c>
      <c r="AG261" s="19"/>
      <c r="AH261" s="12">
        <f t="shared" si="16"/>
        <v>21</v>
      </c>
      <c r="AI261" s="12">
        <f t="shared" ca="1" si="17"/>
        <v>23</v>
      </c>
      <c r="AJ261" s="12" t="str">
        <f t="shared" si="18"/>
        <v>21-25 Years</v>
      </c>
      <c r="AK261" s="12" t="s">
        <v>9632</v>
      </c>
      <c r="AL261" s="31">
        <v>26.5</v>
      </c>
      <c r="AM261" s="31">
        <v>64</v>
      </c>
      <c r="AN261" s="12" t="str">
        <f t="shared" si="19"/>
        <v>More Than 55 Years</v>
      </c>
      <c r="AO261" s="13" t="s">
        <v>9179</v>
      </c>
      <c r="AP261" s="13" t="s">
        <v>9153</v>
      </c>
      <c r="AQ261" s="14" t="s">
        <v>9148</v>
      </c>
      <c r="AR261" s="14" t="s">
        <v>9140</v>
      </c>
      <c r="AS261" s="14"/>
      <c r="AT261" s="14" t="s">
        <v>123</v>
      </c>
      <c r="AU261" s="14" t="s">
        <v>54</v>
      </c>
      <c r="AV261" s="15" t="s">
        <v>9141</v>
      </c>
      <c r="AW261" s="15" t="s">
        <v>9175</v>
      </c>
      <c r="AX261" s="15" t="s">
        <v>9143</v>
      </c>
      <c r="AY261" s="15" t="s">
        <v>9141</v>
      </c>
      <c r="AZ261" s="15" t="s">
        <v>9177</v>
      </c>
      <c r="BA261" s="16" t="s">
        <v>9141</v>
      </c>
      <c r="BB261" s="16" t="s">
        <v>9178</v>
      </c>
    </row>
    <row r="262" spans="1:54" hidden="1" x14ac:dyDescent="0.25">
      <c r="A262" s="4" t="s">
        <v>1109</v>
      </c>
      <c r="B262" s="4" t="s">
        <v>9511</v>
      </c>
      <c r="C262" s="4"/>
      <c r="D262" s="4" t="s">
        <v>39</v>
      </c>
      <c r="E262" s="4">
        <v>331149</v>
      </c>
      <c r="F262" s="4" t="s">
        <v>1106</v>
      </c>
      <c r="G262" s="32">
        <v>39262</v>
      </c>
      <c r="H262" s="25">
        <v>45625</v>
      </c>
      <c r="I262" s="11">
        <v>0.71527777777777779</v>
      </c>
      <c r="J262" s="4" t="s">
        <v>463</v>
      </c>
      <c r="K262" s="4">
        <v>2059</v>
      </c>
      <c r="L262" s="4" t="s">
        <v>1101</v>
      </c>
      <c r="M262" s="4" t="s">
        <v>1110</v>
      </c>
      <c r="N262" s="4" t="s">
        <v>1111</v>
      </c>
      <c r="O262" s="4" t="s">
        <v>46</v>
      </c>
      <c r="P262" s="4"/>
      <c r="Q262" s="4" t="s">
        <v>47</v>
      </c>
      <c r="R262" s="4" t="s">
        <v>48</v>
      </c>
      <c r="S262" s="4">
        <v>0</v>
      </c>
      <c r="T262" s="4" t="b">
        <v>0</v>
      </c>
      <c r="U262" s="4" t="s">
        <v>61</v>
      </c>
      <c r="V262" s="4" t="s">
        <v>70</v>
      </c>
      <c r="W262" s="4" t="s">
        <v>71</v>
      </c>
      <c r="X262" s="4" t="s">
        <v>63</v>
      </c>
      <c r="Y262" s="4" t="s">
        <v>312</v>
      </c>
      <c r="Z262" s="4"/>
      <c r="AA262" s="4" t="s">
        <v>689</v>
      </c>
      <c r="AB262" s="23">
        <v>0</v>
      </c>
      <c r="AC262" s="28" t="e">
        <v>#N/A</v>
      </c>
      <c r="AD262" s="28" t="e">
        <v>#N/A</v>
      </c>
      <c r="AE262" s="28"/>
      <c r="AF262" s="19">
        <v>45208</v>
      </c>
      <c r="AG262" s="19"/>
      <c r="AH262" s="12">
        <f t="shared" si="16"/>
        <v>1</v>
      </c>
      <c r="AI262" s="12">
        <f t="shared" ca="1" si="17"/>
        <v>2</v>
      </c>
      <c r="AJ262" s="12" t="str">
        <f t="shared" si="18"/>
        <v>1-5 Years</v>
      </c>
      <c r="AK262" s="12" t="s">
        <v>9632</v>
      </c>
      <c r="AL262" s="31">
        <v>25</v>
      </c>
      <c r="AM262" s="31">
        <v>17</v>
      </c>
      <c r="AN262" s="12" t="str">
        <f t="shared" si="19"/>
        <v>Less Than 20 Years</v>
      </c>
      <c r="AO262" s="13" t="s">
        <v>9179</v>
      </c>
      <c r="AP262" s="13" t="s">
        <v>9153</v>
      </c>
      <c r="AQ262" s="14" t="s">
        <v>9148</v>
      </c>
      <c r="AR262" s="14" t="s">
        <v>9140</v>
      </c>
      <c r="AS262" s="14"/>
      <c r="AT262" s="14" t="s">
        <v>63</v>
      </c>
      <c r="AU262" s="14">
        <v>0</v>
      </c>
      <c r="AV262" s="15" t="s">
        <v>9141</v>
      </c>
      <c r="AW262" s="15" t="s">
        <v>9175</v>
      </c>
      <c r="AX262" s="15" t="s">
        <v>9143</v>
      </c>
      <c r="AY262" s="15" t="s">
        <v>9141</v>
      </c>
      <c r="AZ262" s="15" t="s">
        <v>9175</v>
      </c>
      <c r="BA262" s="16" t="s">
        <v>9141</v>
      </c>
      <c r="BB262" s="16" t="s">
        <v>9176</v>
      </c>
    </row>
    <row r="263" spans="1:54" hidden="1" x14ac:dyDescent="0.25">
      <c r="A263" s="4" t="s">
        <v>858</v>
      </c>
      <c r="B263" s="4" t="s">
        <v>9512</v>
      </c>
      <c r="C263" s="4"/>
      <c r="D263" s="4" t="s">
        <v>39</v>
      </c>
      <c r="E263" s="4">
        <v>297406</v>
      </c>
      <c r="F263" s="4" t="s">
        <v>855</v>
      </c>
      <c r="G263" s="32">
        <v>21251</v>
      </c>
      <c r="H263" s="25">
        <v>45626</v>
      </c>
      <c r="I263" s="11">
        <v>0.5</v>
      </c>
      <c r="J263" s="4" t="s">
        <v>463</v>
      </c>
      <c r="K263" s="4">
        <v>2029</v>
      </c>
      <c r="L263" s="4" t="s">
        <v>845</v>
      </c>
      <c r="M263" s="4" t="s">
        <v>859</v>
      </c>
      <c r="N263" s="4" t="s">
        <v>860</v>
      </c>
      <c r="O263" s="4" t="s">
        <v>46</v>
      </c>
      <c r="P263" s="4"/>
      <c r="Q263" s="4" t="s">
        <v>344</v>
      </c>
      <c r="R263" s="4" t="s">
        <v>48</v>
      </c>
      <c r="S263" s="4">
        <v>23</v>
      </c>
      <c r="T263" s="4" t="b">
        <v>0</v>
      </c>
      <c r="U263" s="4" t="s">
        <v>49</v>
      </c>
      <c r="V263" s="4" t="s">
        <v>89</v>
      </c>
      <c r="W263" s="4" t="s">
        <v>373</v>
      </c>
      <c r="X263" s="4" t="s">
        <v>52</v>
      </c>
      <c r="Y263" s="4" t="s">
        <v>53</v>
      </c>
      <c r="Z263" s="4" t="s">
        <v>54</v>
      </c>
      <c r="AA263" s="4"/>
      <c r="AB263" s="23">
        <v>0</v>
      </c>
      <c r="AC263" s="28" t="e">
        <v>#N/A</v>
      </c>
      <c r="AD263" s="28" t="e">
        <v>#N/A</v>
      </c>
      <c r="AE263" s="28"/>
      <c r="AF263" s="19">
        <v>44249</v>
      </c>
      <c r="AG263" s="19"/>
      <c r="AH263" s="12">
        <f t="shared" si="16"/>
        <v>3</v>
      </c>
      <c r="AI263" s="12">
        <f t="shared" ca="1" si="17"/>
        <v>5</v>
      </c>
      <c r="AJ263" s="12" t="str">
        <f t="shared" si="18"/>
        <v>1-5 Years</v>
      </c>
      <c r="AK263" s="12" t="s">
        <v>9632</v>
      </c>
      <c r="AL263" s="31">
        <v>20.5</v>
      </c>
      <c r="AM263" s="31">
        <v>67</v>
      </c>
      <c r="AN263" s="12" t="str">
        <f t="shared" si="19"/>
        <v>More Than 55 Years</v>
      </c>
      <c r="AO263" s="13" t="s">
        <v>9179</v>
      </c>
      <c r="AP263" s="13" t="s">
        <v>9153</v>
      </c>
      <c r="AQ263" s="14" t="s">
        <v>9139</v>
      </c>
      <c r="AR263" s="14" t="s">
        <v>9140</v>
      </c>
      <c r="AS263" s="14"/>
      <c r="AT263" s="14" t="s">
        <v>52</v>
      </c>
      <c r="AU263" s="14" t="s">
        <v>54</v>
      </c>
      <c r="AV263" s="15" t="s">
        <v>9141</v>
      </c>
      <c r="AW263" s="15" t="s">
        <v>9175</v>
      </c>
      <c r="AX263" s="15" t="s">
        <v>9143</v>
      </c>
      <c r="AY263" s="15" t="s">
        <v>9141</v>
      </c>
      <c r="AZ263" s="15" t="s">
        <v>9177</v>
      </c>
      <c r="BA263" s="16" t="s">
        <v>9141</v>
      </c>
      <c r="BB263" s="16" t="s">
        <v>9178</v>
      </c>
    </row>
    <row r="264" spans="1:54" x14ac:dyDescent="0.25">
      <c r="A264" s="4" t="s">
        <v>1583</v>
      </c>
      <c r="B264" s="4" t="s">
        <v>9513</v>
      </c>
      <c r="C264" s="4">
        <v>7477664</v>
      </c>
      <c r="D264" s="4" t="s">
        <v>39</v>
      </c>
      <c r="E264" s="4">
        <v>324204</v>
      </c>
      <c r="F264" s="4" t="s">
        <v>1585</v>
      </c>
      <c r="G264" s="32">
        <v>28895</v>
      </c>
      <c r="H264" s="25">
        <v>45626</v>
      </c>
      <c r="I264" s="11">
        <v>0.3125</v>
      </c>
      <c r="J264" s="4" t="s">
        <v>1366</v>
      </c>
      <c r="K264" s="4">
        <v>6071</v>
      </c>
      <c r="L264" s="4" t="s">
        <v>1586</v>
      </c>
      <c r="M264" s="4" t="s">
        <v>1587</v>
      </c>
      <c r="N264" s="4" t="s">
        <v>1588</v>
      </c>
      <c r="O264" s="4" t="s">
        <v>28</v>
      </c>
      <c r="P264" s="4" t="s">
        <v>173</v>
      </c>
      <c r="Q264" s="4" t="s">
        <v>47</v>
      </c>
      <c r="R264" s="4" t="s">
        <v>48</v>
      </c>
      <c r="S264" s="4">
        <v>0</v>
      </c>
      <c r="T264" s="4" t="b">
        <v>0</v>
      </c>
      <c r="U264" s="4" t="s">
        <v>49</v>
      </c>
      <c r="V264" s="4" t="s">
        <v>70</v>
      </c>
      <c r="W264" s="4" t="s">
        <v>71</v>
      </c>
      <c r="X264" s="4" t="s">
        <v>63</v>
      </c>
      <c r="Y264" s="4" t="s">
        <v>312</v>
      </c>
      <c r="Z264" s="4" t="s">
        <v>54</v>
      </c>
      <c r="AA264" s="4"/>
      <c r="AB264" s="23" t="s">
        <v>48</v>
      </c>
      <c r="AC264" s="28" t="e">
        <v>#N/A</v>
      </c>
      <c r="AD264" s="28" t="e">
        <v>#N/A</v>
      </c>
      <c r="AE264" s="28"/>
      <c r="AF264" s="19">
        <v>44809</v>
      </c>
      <c r="AG264" s="19"/>
      <c r="AH264" s="12">
        <f t="shared" si="16"/>
        <v>2</v>
      </c>
      <c r="AI264" s="12">
        <f t="shared" ca="1" si="17"/>
        <v>4</v>
      </c>
      <c r="AJ264" s="12" t="str">
        <f t="shared" si="18"/>
        <v>1-5 Years</v>
      </c>
      <c r="AK264" s="12" t="s">
        <v>10046</v>
      </c>
      <c r="AL264" s="31">
        <v>38</v>
      </c>
      <c r="AM264" s="31">
        <v>46</v>
      </c>
      <c r="AN264" s="12" t="str">
        <f t="shared" si="19"/>
        <v>45-54 Years</v>
      </c>
      <c r="AO264" s="13" t="s">
        <v>9179</v>
      </c>
      <c r="AP264" s="13" t="s">
        <v>9153</v>
      </c>
      <c r="AQ264" s="14" t="s">
        <v>9139</v>
      </c>
      <c r="AR264" s="14" t="s">
        <v>28</v>
      </c>
      <c r="AS264" s="14" t="s">
        <v>173</v>
      </c>
      <c r="AT264" s="14" t="s">
        <v>63</v>
      </c>
      <c r="AU264" s="14" t="s">
        <v>54</v>
      </c>
      <c r="AV264" s="15" t="s">
        <v>9141</v>
      </c>
      <c r="AW264" s="15" t="s">
        <v>9188</v>
      </c>
      <c r="AX264" s="15" t="s">
        <v>9143</v>
      </c>
      <c r="AY264" s="15" t="s">
        <v>9141</v>
      </c>
      <c r="AZ264" s="15" t="s">
        <v>9191</v>
      </c>
      <c r="BA264" s="16" t="s">
        <v>9141</v>
      </c>
      <c r="BB264" s="16" t="s">
        <v>9192</v>
      </c>
    </row>
    <row r="265" spans="1:54" hidden="1" x14ac:dyDescent="0.25">
      <c r="A265" s="4" t="s">
        <v>1750</v>
      </c>
      <c r="B265" s="4" t="s">
        <v>9514</v>
      </c>
      <c r="C265" s="4" t="s">
        <v>1751</v>
      </c>
      <c r="D265" s="4" t="s">
        <v>39</v>
      </c>
      <c r="E265" s="4">
        <v>297049</v>
      </c>
      <c r="F265" s="4" t="s">
        <v>1753</v>
      </c>
      <c r="G265" s="32">
        <v>34552</v>
      </c>
      <c r="H265" s="25">
        <v>45627</v>
      </c>
      <c r="I265" s="11">
        <v>0.5</v>
      </c>
      <c r="J265" s="4" t="s">
        <v>1654</v>
      </c>
      <c r="K265" s="4">
        <v>9095</v>
      </c>
      <c r="L265" s="4" t="s">
        <v>1742</v>
      </c>
      <c r="M265" s="4" t="s">
        <v>1754</v>
      </c>
      <c r="N265" s="4" t="s">
        <v>1755</v>
      </c>
      <c r="O265" s="4" t="s">
        <v>28</v>
      </c>
      <c r="P265" s="4" t="s">
        <v>183</v>
      </c>
      <c r="Q265" s="4" t="s">
        <v>191</v>
      </c>
      <c r="R265" s="4" t="s">
        <v>48</v>
      </c>
      <c r="S265" s="4">
        <v>0</v>
      </c>
      <c r="T265" s="4" t="b">
        <v>0</v>
      </c>
      <c r="U265" s="4" t="s">
        <v>49</v>
      </c>
      <c r="V265" s="4" t="s">
        <v>89</v>
      </c>
      <c r="W265" s="4" t="s">
        <v>71</v>
      </c>
      <c r="X265" s="4" t="s">
        <v>63</v>
      </c>
      <c r="Y265" s="4" t="s">
        <v>312</v>
      </c>
      <c r="Z265" s="4" t="s">
        <v>98</v>
      </c>
      <c r="AA265" s="4"/>
      <c r="AB265" s="23" t="s">
        <v>48</v>
      </c>
      <c r="AC265" s="28" t="e">
        <v>#N/A</v>
      </c>
      <c r="AD265" s="28" t="e">
        <v>#N/A</v>
      </c>
      <c r="AE265" s="28"/>
      <c r="AF265" s="19">
        <v>44067</v>
      </c>
      <c r="AG265" s="19">
        <v>45754</v>
      </c>
      <c r="AH265" s="12">
        <f t="shared" si="16"/>
        <v>4</v>
      </c>
      <c r="AI265" s="12">
        <f t="shared" ca="1" si="17"/>
        <v>4</v>
      </c>
      <c r="AJ265" s="12" t="str">
        <f t="shared" si="18"/>
        <v>1-5 Years</v>
      </c>
      <c r="AK265" s="12" t="s">
        <v>9632</v>
      </c>
      <c r="AL265" s="31">
        <v>22</v>
      </c>
      <c r="AM265" s="31">
        <v>30</v>
      </c>
      <c r="AN265" s="12" t="str">
        <f t="shared" si="19"/>
        <v>25-34 Years</v>
      </c>
      <c r="AO265" s="13" t="s">
        <v>9179</v>
      </c>
      <c r="AP265" s="13" t="s">
        <v>9153</v>
      </c>
      <c r="AQ265" s="14" t="s">
        <v>9139</v>
      </c>
      <c r="AR265" s="14" t="s">
        <v>28</v>
      </c>
      <c r="AS265" s="14" t="s">
        <v>183</v>
      </c>
      <c r="AT265" s="14" t="s">
        <v>63</v>
      </c>
      <c r="AU265" s="14" t="s">
        <v>98</v>
      </c>
      <c r="AV265" s="15" t="s">
        <v>9141</v>
      </c>
      <c r="AW265" s="15" t="s">
        <v>9191</v>
      </c>
      <c r="AX265" s="15" t="s">
        <v>9143</v>
      </c>
      <c r="AY265" s="15" t="s">
        <v>9141</v>
      </c>
      <c r="AZ265" s="15" t="s">
        <v>9191</v>
      </c>
      <c r="BA265" s="16" t="s">
        <v>9141</v>
      </c>
      <c r="BB265" s="16" t="s">
        <v>9192</v>
      </c>
    </row>
    <row r="266" spans="1:54" hidden="1" x14ac:dyDescent="0.25">
      <c r="A266" s="4" t="s">
        <v>407</v>
      </c>
      <c r="B266" s="4" t="s">
        <v>9515</v>
      </c>
      <c r="C266" s="4"/>
      <c r="D266" s="4" t="s">
        <v>39</v>
      </c>
      <c r="E266" s="4">
        <v>324289</v>
      </c>
      <c r="F266" s="4" t="s">
        <v>409</v>
      </c>
      <c r="G266" s="32">
        <v>21379</v>
      </c>
      <c r="H266" s="25">
        <v>45628</v>
      </c>
      <c r="I266" s="11">
        <v>0.5</v>
      </c>
      <c r="J266" s="4" t="s">
        <v>42</v>
      </c>
      <c r="K266" s="4">
        <v>1012</v>
      </c>
      <c r="L266" s="4" t="s">
        <v>401</v>
      </c>
      <c r="M266" s="4" t="s">
        <v>410</v>
      </c>
      <c r="N266" s="4" t="s">
        <v>411</v>
      </c>
      <c r="O266" s="4" t="s">
        <v>46</v>
      </c>
      <c r="P266" s="4"/>
      <c r="Q266" s="4" t="s">
        <v>47</v>
      </c>
      <c r="R266" s="4" t="s">
        <v>48</v>
      </c>
      <c r="S266" s="4">
        <v>0</v>
      </c>
      <c r="T266" s="4" t="b">
        <v>0</v>
      </c>
      <c r="U266" s="4" t="s">
        <v>61</v>
      </c>
      <c r="V266" s="4" t="s">
        <v>89</v>
      </c>
      <c r="W266" s="4" t="s">
        <v>51</v>
      </c>
      <c r="X266" s="4" t="s">
        <v>123</v>
      </c>
      <c r="Y266" s="4" t="s">
        <v>192</v>
      </c>
      <c r="Z266" s="4" t="s">
        <v>98</v>
      </c>
      <c r="AA266" s="4"/>
      <c r="AB266" s="23">
        <v>0</v>
      </c>
      <c r="AC266" s="28" t="s">
        <v>9580</v>
      </c>
      <c r="AD266" s="28" t="e">
        <v>#N/A</v>
      </c>
      <c r="AE266" s="28"/>
      <c r="AF266" s="19">
        <v>44795</v>
      </c>
      <c r="AG266" s="19"/>
      <c r="AH266" s="12">
        <f t="shared" si="16"/>
        <v>2</v>
      </c>
      <c r="AI266" s="12">
        <f t="shared" ca="1" si="17"/>
        <v>4</v>
      </c>
      <c r="AJ266" s="12" t="str">
        <f t="shared" si="18"/>
        <v>1-5 Years</v>
      </c>
      <c r="AK266" s="12" t="s">
        <v>9632</v>
      </c>
      <c r="AL266" s="31">
        <v>17.25</v>
      </c>
      <c r="AM266" s="31">
        <v>66</v>
      </c>
      <c r="AN266" s="12" t="str">
        <f t="shared" si="19"/>
        <v>More Than 55 Years</v>
      </c>
      <c r="AO266" s="13" t="s">
        <v>9174</v>
      </c>
      <c r="AP266" s="13" t="s">
        <v>9153</v>
      </c>
      <c r="AQ266" s="14" t="s">
        <v>9148</v>
      </c>
      <c r="AR266" s="14" t="s">
        <v>9140</v>
      </c>
      <c r="AS266" s="14"/>
      <c r="AT266" s="14" t="s">
        <v>123</v>
      </c>
      <c r="AU266" s="14" t="s">
        <v>98</v>
      </c>
      <c r="AV266" s="15" t="s">
        <v>9141</v>
      </c>
      <c r="AW266" s="15" t="s">
        <v>9142</v>
      </c>
      <c r="AX266" s="15" t="s">
        <v>9143</v>
      </c>
      <c r="AY266" s="15" t="s">
        <v>9141</v>
      </c>
      <c r="AZ266" s="15" t="s">
        <v>9144</v>
      </c>
      <c r="BA266" s="16" t="s">
        <v>9141</v>
      </c>
      <c r="BB266" s="16" t="s">
        <v>9145</v>
      </c>
    </row>
    <row r="267" spans="1:54" x14ac:dyDescent="0.25">
      <c r="A267" s="4" t="s">
        <v>1549</v>
      </c>
      <c r="B267" s="4" t="s">
        <v>9516</v>
      </c>
      <c r="C267" s="4"/>
      <c r="D267" s="4" t="s">
        <v>39</v>
      </c>
      <c r="E267" s="4">
        <v>331293</v>
      </c>
      <c r="F267" s="4" t="s">
        <v>1551</v>
      </c>
      <c r="G267" s="32">
        <v>38935</v>
      </c>
      <c r="H267" s="25">
        <v>45628</v>
      </c>
      <c r="I267" s="11">
        <v>0.6875</v>
      </c>
      <c r="J267" s="4" t="s">
        <v>1366</v>
      </c>
      <c r="K267" s="4">
        <v>6068</v>
      </c>
      <c r="L267" s="4" t="s">
        <v>1537</v>
      </c>
      <c r="M267" s="4" t="s">
        <v>1552</v>
      </c>
      <c r="N267" s="4" t="s">
        <v>1553</v>
      </c>
      <c r="O267" s="4" t="s">
        <v>46</v>
      </c>
      <c r="P267" s="4"/>
      <c r="Q267" s="4" t="s">
        <v>47</v>
      </c>
      <c r="R267" s="4" t="s">
        <v>48</v>
      </c>
      <c r="S267" s="4">
        <v>0</v>
      </c>
      <c r="T267" s="4" t="b">
        <v>0</v>
      </c>
      <c r="U267" s="4" t="s">
        <v>61</v>
      </c>
      <c r="V267" s="4" t="s">
        <v>70</v>
      </c>
      <c r="W267" s="4" t="s">
        <v>90</v>
      </c>
      <c r="X267" s="4" t="s">
        <v>72</v>
      </c>
      <c r="Y267" s="4" t="s">
        <v>73</v>
      </c>
      <c r="Z267" s="4" t="s">
        <v>54</v>
      </c>
      <c r="AA267" s="4"/>
      <c r="AB267" s="23">
        <v>0</v>
      </c>
      <c r="AC267" s="28" t="e">
        <v>#N/A</v>
      </c>
      <c r="AD267" s="28" t="e">
        <v>#N/A</v>
      </c>
      <c r="AE267" s="28"/>
      <c r="AF267" s="19">
        <v>45208</v>
      </c>
      <c r="AG267" s="19"/>
      <c r="AH267" s="12">
        <f t="shared" si="16"/>
        <v>1</v>
      </c>
      <c r="AI267" s="12">
        <f t="shared" ca="1" si="17"/>
        <v>2</v>
      </c>
      <c r="AJ267" s="12" t="str">
        <f t="shared" si="18"/>
        <v>1-5 Years</v>
      </c>
      <c r="AK267" s="12" t="s">
        <v>9633</v>
      </c>
      <c r="AL267" s="31">
        <v>0.01</v>
      </c>
      <c r="AM267" s="31">
        <v>18</v>
      </c>
      <c r="AN267" s="12" t="str">
        <f t="shared" si="19"/>
        <v>Less Than 20 Years</v>
      </c>
      <c r="AO267" s="13" t="s">
        <v>9174</v>
      </c>
      <c r="AP267" s="13" t="s">
        <v>9153</v>
      </c>
      <c r="AQ267" s="14" t="s">
        <v>9148</v>
      </c>
      <c r="AR267" s="14" t="s">
        <v>9140</v>
      </c>
      <c r="AS267" s="14"/>
      <c r="AT267" s="14" t="s">
        <v>72</v>
      </c>
      <c r="AU267" s="14" t="s">
        <v>54</v>
      </c>
      <c r="AV267" s="15" t="s">
        <v>9141</v>
      </c>
      <c r="AW267" s="15" t="s">
        <v>9188</v>
      </c>
      <c r="AX267" s="15" t="s">
        <v>9143</v>
      </c>
      <c r="AY267" s="15" t="s">
        <v>9141</v>
      </c>
      <c r="AZ267" s="15" t="s">
        <v>9189</v>
      </c>
      <c r="BA267" s="16" t="s">
        <v>9141</v>
      </c>
      <c r="BB267" s="16" t="s">
        <v>9190</v>
      </c>
    </row>
    <row r="268" spans="1:54" hidden="1" x14ac:dyDescent="0.25">
      <c r="A268" s="4" t="s">
        <v>1723</v>
      </c>
      <c r="B268" s="4" t="s">
        <v>9517</v>
      </c>
      <c r="C268" s="4"/>
      <c r="D268" s="4" t="s">
        <v>39</v>
      </c>
      <c r="E268" s="4">
        <v>319482</v>
      </c>
      <c r="F268" s="4" t="s">
        <v>1725</v>
      </c>
      <c r="G268" s="32">
        <v>26118</v>
      </c>
      <c r="H268" s="25">
        <v>45628</v>
      </c>
      <c r="I268" s="11">
        <v>0.37152777777777779</v>
      </c>
      <c r="J268" s="4" t="s">
        <v>1654</v>
      </c>
      <c r="K268" s="4">
        <v>9090</v>
      </c>
      <c r="L268" s="4" t="s">
        <v>1719</v>
      </c>
      <c r="M268" s="4" t="s">
        <v>851</v>
      </c>
      <c r="N268" s="4" t="s">
        <v>1726</v>
      </c>
      <c r="O268" s="4" t="s">
        <v>46</v>
      </c>
      <c r="P268" s="4"/>
      <c r="Q268" s="4" t="s">
        <v>47</v>
      </c>
      <c r="R268" s="4" t="s">
        <v>48</v>
      </c>
      <c r="S268" s="4">
        <v>0</v>
      </c>
      <c r="T268" s="4" t="b">
        <v>0</v>
      </c>
      <c r="U268" s="4" t="s">
        <v>49</v>
      </c>
      <c r="V268" s="4" t="s">
        <v>89</v>
      </c>
      <c r="W268" s="4" t="s">
        <v>51</v>
      </c>
      <c r="X268" s="4" t="s">
        <v>52</v>
      </c>
      <c r="Y268" s="4" t="s">
        <v>53</v>
      </c>
      <c r="Z268" s="4" t="s">
        <v>54</v>
      </c>
      <c r="AA268" s="4"/>
      <c r="AB268" s="23">
        <v>0</v>
      </c>
      <c r="AC268" s="28" t="e">
        <v>#N/A</v>
      </c>
      <c r="AD268" s="28" t="e">
        <v>#N/A</v>
      </c>
      <c r="AE268" s="28"/>
      <c r="AF268" s="19">
        <v>44536</v>
      </c>
      <c r="AG268" s="19"/>
      <c r="AH268" s="12">
        <f t="shared" si="16"/>
        <v>2</v>
      </c>
      <c r="AI268" s="12">
        <f t="shared" ca="1" si="17"/>
        <v>4</v>
      </c>
      <c r="AJ268" s="12" t="str">
        <f t="shared" si="18"/>
        <v>1-5 Years</v>
      </c>
      <c r="AK268" s="12" t="s">
        <v>10046</v>
      </c>
      <c r="AL268" s="31">
        <v>38</v>
      </c>
      <c r="AM268" s="31">
        <v>53</v>
      </c>
      <c r="AN268" s="12" t="str">
        <f t="shared" si="19"/>
        <v>45-54 Years</v>
      </c>
      <c r="AO268" s="13" t="s">
        <v>9174</v>
      </c>
      <c r="AP268" s="13" t="s">
        <v>9153</v>
      </c>
      <c r="AQ268" s="14" t="s">
        <v>9139</v>
      </c>
      <c r="AR268" s="14" t="s">
        <v>9140</v>
      </c>
      <c r="AS268" s="14"/>
      <c r="AT268" s="14" t="s">
        <v>52</v>
      </c>
      <c r="AU268" s="14" t="s">
        <v>54</v>
      </c>
      <c r="AV268" s="15" t="s">
        <v>9141</v>
      </c>
      <c r="AW268" s="15" t="s">
        <v>9191</v>
      </c>
      <c r="AX268" s="15" t="s">
        <v>9143</v>
      </c>
      <c r="AY268" s="15" t="s">
        <v>9141</v>
      </c>
      <c r="AZ268" s="15" t="s">
        <v>9191</v>
      </c>
      <c r="BA268" s="16" t="s">
        <v>9141</v>
      </c>
      <c r="BB268" s="16" t="s">
        <v>9192</v>
      </c>
    </row>
    <row r="269" spans="1:54" hidden="1" x14ac:dyDescent="0.25">
      <c r="A269" s="4" t="s">
        <v>568</v>
      </c>
      <c r="B269" s="4" t="s">
        <v>9518</v>
      </c>
      <c r="C269" s="4"/>
      <c r="D269" s="4" t="s">
        <v>39</v>
      </c>
      <c r="E269" s="4">
        <v>289054</v>
      </c>
      <c r="F269" s="4" t="s">
        <v>570</v>
      </c>
      <c r="G269" s="32">
        <v>21570</v>
      </c>
      <c r="H269" s="25">
        <v>45629</v>
      </c>
      <c r="I269" s="11">
        <v>0.41736111111111113</v>
      </c>
      <c r="J269" s="4" t="s">
        <v>463</v>
      </c>
      <c r="K269" s="4">
        <v>2022</v>
      </c>
      <c r="L269" s="4" t="s">
        <v>565</v>
      </c>
      <c r="M269" s="4" t="s">
        <v>571</v>
      </c>
      <c r="N269" s="4" t="s">
        <v>572</v>
      </c>
      <c r="O269" s="4" t="s">
        <v>46</v>
      </c>
      <c r="P269" s="4"/>
      <c r="Q269" s="4" t="s">
        <v>47</v>
      </c>
      <c r="R269" s="4" t="s">
        <v>48</v>
      </c>
      <c r="S269" s="4">
        <v>0</v>
      </c>
      <c r="T269" s="4" t="b">
        <v>0</v>
      </c>
      <c r="U269" s="4" t="s">
        <v>61</v>
      </c>
      <c r="V269" s="4" t="s">
        <v>50</v>
      </c>
      <c r="W269" s="4" t="s">
        <v>122</v>
      </c>
      <c r="X269" s="4" t="s">
        <v>123</v>
      </c>
      <c r="Y269" s="4" t="s">
        <v>192</v>
      </c>
      <c r="Z269" s="4" t="s">
        <v>54</v>
      </c>
      <c r="AA269" s="4"/>
      <c r="AB269" s="23">
        <v>0</v>
      </c>
      <c r="AC269" s="28" t="e">
        <v>#N/A</v>
      </c>
      <c r="AD269" s="28" t="e">
        <v>#N/A</v>
      </c>
      <c r="AE269" s="28"/>
      <c r="AF269" s="19">
        <v>39167</v>
      </c>
      <c r="AG269" s="19"/>
      <c r="AH269" s="12">
        <f t="shared" si="16"/>
        <v>17</v>
      </c>
      <c r="AI269" s="12">
        <f t="shared" ca="1" si="17"/>
        <v>19</v>
      </c>
      <c r="AJ269" s="12" t="str">
        <f t="shared" si="18"/>
        <v>16-20 Years</v>
      </c>
      <c r="AK269" s="12" t="s">
        <v>9632</v>
      </c>
      <c r="AL269" s="31">
        <v>24.75</v>
      </c>
      <c r="AM269" s="31">
        <v>66</v>
      </c>
      <c r="AN269" s="12" t="str">
        <f t="shared" si="19"/>
        <v>More Than 55 Years</v>
      </c>
      <c r="AO269" s="13" t="s">
        <v>9174</v>
      </c>
      <c r="AP269" s="13" t="s">
        <v>9153</v>
      </c>
      <c r="AQ269" s="14" t="s">
        <v>9148</v>
      </c>
      <c r="AR269" s="14" t="s">
        <v>9140</v>
      </c>
      <c r="AS269" s="14"/>
      <c r="AT269" s="14" t="s">
        <v>123</v>
      </c>
      <c r="AU269" s="14" t="s">
        <v>54</v>
      </c>
      <c r="AV269" s="15" t="s">
        <v>9141</v>
      </c>
      <c r="AW269" s="15" t="s">
        <v>9175</v>
      </c>
      <c r="AX269" s="15" t="s">
        <v>9143</v>
      </c>
      <c r="AY269" s="15" t="s">
        <v>9141</v>
      </c>
      <c r="AZ269" s="15" t="s">
        <v>9175</v>
      </c>
      <c r="BA269" s="16" t="s">
        <v>9141</v>
      </c>
      <c r="BB269" s="16" t="s">
        <v>9176</v>
      </c>
    </row>
    <row r="270" spans="1:54" hidden="1" x14ac:dyDescent="0.25">
      <c r="A270" s="4" t="s">
        <v>1505</v>
      </c>
      <c r="B270" s="4" t="s">
        <v>9519</v>
      </c>
      <c r="C270" s="4"/>
      <c r="D270" s="4" t="s">
        <v>39</v>
      </c>
      <c r="E270" s="4">
        <v>294945</v>
      </c>
      <c r="F270" s="4" t="s">
        <v>1507</v>
      </c>
      <c r="G270" s="32">
        <v>31704</v>
      </c>
      <c r="H270" s="25">
        <v>45629</v>
      </c>
      <c r="I270" s="11">
        <v>0.46736111111111112</v>
      </c>
      <c r="J270" s="4" t="s">
        <v>1476</v>
      </c>
      <c r="K270" s="4">
        <v>6065</v>
      </c>
      <c r="L270" s="4" t="s">
        <v>1508</v>
      </c>
      <c r="M270" s="4" t="s">
        <v>1509</v>
      </c>
      <c r="N270" s="4" t="s">
        <v>1510</v>
      </c>
      <c r="O270" s="4" t="s">
        <v>46</v>
      </c>
      <c r="P270" s="4"/>
      <c r="Q270" s="4" t="s">
        <v>47</v>
      </c>
      <c r="R270" s="4" t="s">
        <v>48</v>
      </c>
      <c r="S270" s="4">
        <v>0</v>
      </c>
      <c r="T270" s="4" t="b">
        <v>0</v>
      </c>
      <c r="U270" s="4" t="s">
        <v>49</v>
      </c>
      <c r="V270" s="4" t="s">
        <v>89</v>
      </c>
      <c r="W270" s="4" t="s">
        <v>51</v>
      </c>
      <c r="X270" s="4" t="s">
        <v>123</v>
      </c>
      <c r="Y270" s="4" t="s">
        <v>124</v>
      </c>
      <c r="Z270" s="4"/>
      <c r="AA270" s="4"/>
      <c r="AB270" s="23">
        <v>0</v>
      </c>
      <c r="AC270" s="28" t="e">
        <v>#N/A</v>
      </c>
      <c r="AD270" s="28" t="e">
        <v>#N/A</v>
      </c>
      <c r="AE270" s="28"/>
      <c r="AF270" s="19">
        <v>42611</v>
      </c>
      <c r="AG270" s="19"/>
      <c r="AH270" s="12">
        <f t="shared" si="16"/>
        <v>8</v>
      </c>
      <c r="AI270" s="12">
        <f t="shared" ca="1" si="17"/>
        <v>10</v>
      </c>
      <c r="AJ270" s="12" t="str">
        <f t="shared" si="18"/>
        <v>6-10 Years</v>
      </c>
      <c r="AK270" s="12" t="s">
        <v>9631</v>
      </c>
      <c r="AL270" s="31">
        <v>38</v>
      </c>
      <c r="AM270" s="31">
        <v>38</v>
      </c>
      <c r="AN270" s="12" t="str">
        <f t="shared" si="19"/>
        <v>35-44 Years</v>
      </c>
      <c r="AO270" s="13" t="s">
        <v>9174</v>
      </c>
      <c r="AP270" s="13" t="s">
        <v>9153</v>
      </c>
      <c r="AQ270" s="14" t="s">
        <v>9139</v>
      </c>
      <c r="AR270" s="14" t="s">
        <v>9140</v>
      </c>
      <c r="AS270" s="14"/>
      <c r="AT270" s="14" t="s">
        <v>123</v>
      </c>
      <c r="AU270" s="14">
        <v>0</v>
      </c>
      <c r="AV270" s="15" t="s">
        <v>9141</v>
      </c>
      <c r="AW270" s="15" t="s">
        <v>9193</v>
      </c>
      <c r="AX270" s="15" t="s">
        <v>9143</v>
      </c>
      <c r="AY270" s="15" t="s">
        <v>9141</v>
      </c>
      <c r="AZ270" s="15" t="s">
        <v>9189</v>
      </c>
      <c r="BA270" s="16" t="s">
        <v>9141</v>
      </c>
      <c r="BB270" s="16" t="s">
        <v>9190</v>
      </c>
    </row>
    <row r="271" spans="1:54" hidden="1" x14ac:dyDescent="0.25">
      <c r="A271" s="4" t="s">
        <v>704</v>
      </c>
      <c r="B271" s="4" t="s">
        <v>9520</v>
      </c>
      <c r="C271" s="4">
        <v>12240052180</v>
      </c>
      <c r="D271" s="4" t="s">
        <v>39</v>
      </c>
      <c r="E271" s="4">
        <v>323920</v>
      </c>
      <c r="F271" s="4" t="s">
        <v>706</v>
      </c>
      <c r="G271" s="32">
        <v>22399</v>
      </c>
      <c r="H271" s="25">
        <v>45630</v>
      </c>
      <c r="I271" s="11">
        <v>0.33333333333333331</v>
      </c>
      <c r="J271" s="4" t="s">
        <v>463</v>
      </c>
      <c r="K271" s="4">
        <v>2025</v>
      </c>
      <c r="L271" s="4" t="s">
        <v>701</v>
      </c>
      <c r="M271" s="4" t="s">
        <v>455</v>
      </c>
      <c r="N271" s="4" t="s">
        <v>707</v>
      </c>
      <c r="O271" s="4" t="s">
        <v>28</v>
      </c>
      <c r="P271" s="4" t="s">
        <v>183</v>
      </c>
      <c r="Q271" s="4" t="s">
        <v>344</v>
      </c>
      <c r="R271" s="4" t="s">
        <v>60</v>
      </c>
      <c r="S271" s="4">
        <v>34</v>
      </c>
      <c r="T271" s="4" t="b">
        <v>0</v>
      </c>
      <c r="U271" s="4" t="s">
        <v>184</v>
      </c>
      <c r="V271" s="4" t="s">
        <v>89</v>
      </c>
      <c r="W271" s="4" t="s">
        <v>148</v>
      </c>
      <c r="X271" s="4" t="s">
        <v>52</v>
      </c>
      <c r="Y271" s="4" t="s">
        <v>255</v>
      </c>
      <c r="Z271" s="4" t="s">
        <v>54</v>
      </c>
      <c r="AA271" s="4"/>
      <c r="AB271" s="23" t="s">
        <v>60</v>
      </c>
      <c r="AC271" s="28" t="s">
        <v>9580</v>
      </c>
      <c r="AD271" s="28" t="e">
        <v>#N/A</v>
      </c>
      <c r="AE271" s="28"/>
      <c r="AF271" s="19">
        <v>44781</v>
      </c>
      <c r="AG271" s="19"/>
      <c r="AH271" s="12">
        <f t="shared" si="16"/>
        <v>2</v>
      </c>
      <c r="AI271" s="12">
        <f t="shared" ca="1" si="17"/>
        <v>4</v>
      </c>
      <c r="AJ271" s="12" t="str">
        <f t="shared" si="18"/>
        <v>1-5 Years</v>
      </c>
      <c r="AK271" s="12" t="s">
        <v>9632</v>
      </c>
      <c r="AL271" s="31">
        <v>23.25</v>
      </c>
      <c r="AM271" s="31">
        <v>64</v>
      </c>
      <c r="AN271" s="12" t="str">
        <f t="shared" si="19"/>
        <v>More Than 55 Years</v>
      </c>
      <c r="AO271" s="13" t="s">
        <v>9174</v>
      </c>
      <c r="AP271" s="13" t="s">
        <v>9153</v>
      </c>
      <c r="AQ271" s="14" t="s">
        <v>9166</v>
      </c>
      <c r="AR271" s="14" t="s">
        <v>28</v>
      </c>
      <c r="AS271" s="14" t="s">
        <v>183</v>
      </c>
      <c r="AT271" s="14" t="s">
        <v>52</v>
      </c>
      <c r="AU271" s="14" t="s">
        <v>54</v>
      </c>
      <c r="AV271" s="15" t="s">
        <v>9141</v>
      </c>
      <c r="AW271" s="15" t="s">
        <v>9175</v>
      </c>
      <c r="AX271" s="15" t="s">
        <v>9143</v>
      </c>
      <c r="AY271" s="15" t="s">
        <v>9141</v>
      </c>
      <c r="AZ271" s="15" t="s">
        <v>9175</v>
      </c>
      <c r="BA271" s="16" t="s">
        <v>9141</v>
      </c>
      <c r="BB271" s="16" t="s">
        <v>9176</v>
      </c>
    </row>
    <row r="272" spans="1:54" hidden="1" x14ac:dyDescent="0.25">
      <c r="A272" s="4" t="s">
        <v>764</v>
      </c>
      <c r="B272" s="4" t="s">
        <v>9521</v>
      </c>
      <c r="C272" s="4">
        <v>12240055404</v>
      </c>
      <c r="D272" s="4" t="s">
        <v>39</v>
      </c>
      <c r="E272" s="4">
        <v>329541</v>
      </c>
      <c r="F272" s="4" t="s">
        <v>766</v>
      </c>
      <c r="G272" s="32">
        <v>25777</v>
      </c>
      <c r="H272" s="25">
        <v>45631</v>
      </c>
      <c r="I272" s="11">
        <v>0.65277777777777779</v>
      </c>
      <c r="J272" s="4" t="s">
        <v>463</v>
      </c>
      <c r="K272" s="4">
        <v>2026</v>
      </c>
      <c r="L272" s="4" t="s">
        <v>756</v>
      </c>
      <c r="M272" s="4" t="s">
        <v>767</v>
      </c>
      <c r="N272" s="4" t="s">
        <v>768</v>
      </c>
      <c r="O272" s="4" t="s">
        <v>28</v>
      </c>
      <c r="P272" s="4" t="s">
        <v>183</v>
      </c>
      <c r="Q272" s="4" t="s">
        <v>191</v>
      </c>
      <c r="R272" s="4" t="s">
        <v>60</v>
      </c>
      <c r="S272" s="4">
        <v>13</v>
      </c>
      <c r="T272" s="4" t="b">
        <v>0</v>
      </c>
      <c r="U272" s="4" t="s">
        <v>114</v>
      </c>
      <c r="V272" s="4" t="s">
        <v>89</v>
      </c>
      <c r="W272" s="4" t="s">
        <v>140</v>
      </c>
      <c r="X272" s="4" t="s">
        <v>52</v>
      </c>
      <c r="Y272" s="4" t="s">
        <v>135</v>
      </c>
      <c r="Z272" s="4" t="s">
        <v>54</v>
      </c>
      <c r="AA272" s="4"/>
      <c r="AB272" s="23" t="s">
        <v>60</v>
      </c>
      <c r="AC272" s="28" t="s">
        <v>9580</v>
      </c>
      <c r="AD272" s="28" t="e">
        <v>#N/A</v>
      </c>
      <c r="AE272" s="33" t="s">
        <v>9583</v>
      </c>
      <c r="AF272" s="19">
        <v>45103</v>
      </c>
      <c r="AG272" s="19"/>
      <c r="AH272" s="12">
        <f t="shared" si="16"/>
        <v>1</v>
      </c>
      <c r="AI272" s="12">
        <f t="shared" ca="1" si="17"/>
        <v>3</v>
      </c>
      <c r="AJ272" s="12" t="str">
        <f t="shared" si="18"/>
        <v>1-5 Years</v>
      </c>
      <c r="AK272" s="12" t="s">
        <v>10046</v>
      </c>
      <c r="AL272" s="31">
        <v>38</v>
      </c>
      <c r="AM272" s="31">
        <v>54</v>
      </c>
      <c r="AN272" s="12" t="str">
        <f t="shared" si="19"/>
        <v>45-54 Years</v>
      </c>
      <c r="AO272" s="13" t="s">
        <v>9174</v>
      </c>
      <c r="AP272" s="13" t="s">
        <v>9153</v>
      </c>
      <c r="AQ272" s="14" t="s">
        <v>9157</v>
      </c>
      <c r="AR272" s="14" t="s">
        <v>28</v>
      </c>
      <c r="AS272" s="14" t="s">
        <v>183</v>
      </c>
      <c r="AT272" s="14" t="s">
        <v>52</v>
      </c>
      <c r="AU272" s="14" t="s">
        <v>54</v>
      </c>
      <c r="AV272" s="15" t="s">
        <v>9141</v>
      </c>
      <c r="AW272" s="15" t="s">
        <v>9175</v>
      </c>
      <c r="AX272" s="15" t="s">
        <v>9143</v>
      </c>
      <c r="AY272" s="15" t="s">
        <v>9141</v>
      </c>
      <c r="AZ272" s="15" t="s">
        <v>9177</v>
      </c>
      <c r="BA272" s="16" t="s">
        <v>9141</v>
      </c>
      <c r="BB272" s="16" t="s">
        <v>9178</v>
      </c>
    </row>
    <row r="273" spans="1:54" hidden="1" x14ac:dyDescent="0.25">
      <c r="A273" s="4" t="s">
        <v>879</v>
      </c>
      <c r="B273" s="4" t="s">
        <v>9522</v>
      </c>
      <c r="C273" s="4"/>
      <c r="D273" s="4" t="s">
        <v>39</v>
      </c>
      <c r="E273" s="4">
        <v>296539</v>
      </c>
      <c r="F273" s="4" t="s">
        <v>881</v>
      </c>
      <c r="G273" s="32">
        <v>37436</v>
      </c>
      <c r="H273" s="25">
        <v>45639</v>
      </c>
      <c r="I273" s="11">
        <v>0.59375</v>
      </c>
      <c r="J273" s="4" t="s">
        <v>463</v>
      </c>
      <c r="K273" s="4">
        <v>2030</v>
      </c>
      <c r="L273" s="4" t="s">
        <v>876</v>
      </c>
      <c r="M273" s="4" t="s">
        <v>882</v>
      </c>
      <c r="N273" s="4" t="s">
        <v>883</v>
      </c>
      <c r="O273" s="4" t="s">
        <v>46</v>
      </c>
      <c r="P273" s="4"/>
      <c r="Q273" s="4" t="s">
        <v>47</v>
      </c>
      <c r="R273" s="4" t="s">
        <v>48</v>
      </c>
      <c r="S273" s="4">
        <v>0</v>
      </c>
      <c r="T273" s="4" t="b">
        <v>0</v>
      </c>
      <c r="U273" s="4" t="s">
        <v>49</v>
      </c>
      <c r="V273" s="4" t="s">
        <v>89</v>
      </c>
      <c r="W273" s="4" t="s">
        <v>584</v>
      </c>
      <c r="X273" s="4" t="s">
        <v>63</v>
      </c>
      <c r="Y273" s="4" t="s">
        <v>108</v>
      </c>
      <c r="Z273" s="4" t="s">
        <v>98</v>
      </c>
      <c r="AA273" s="4" t="s">
        <v>176</v>
      </c>
      <c r="AB273" s="23">
        <v>0</v>
      </c>
      <c r="AC273" s="28" t="e">
        <v>#N/A</v>
      </c>
      <c r="AD273" s="28" t="e">
        <v>#N/A</v>
      </c>
      <c r="AE273" s="28"/>
      <c r="AF273" s="19">
        <v>43584</v>
      </c>
      <c r="AG273" s="19">
        <v>45662</v>
      </c>
      <c r="AH273" s="12">
        <f t="shared" si="16"/>
        <v>5</v>
      </c>
      <c r="AI273" s="12">
        <f t="shared" ca="1" si="17"/>
        <v>5</v>
      </c>
      <c r="AJ273" s="12" t="str">
        <f t="shared" si="18"/>
        <v>1-5 Years</v>
      </c>
      <c r="AK273" s="12" t="s">
        <v>9632</v>
      </c>
      <c r="AL273" s="31">
        <v>36.75</v>
      </c>
      <c r="AM273" s="31">
        <v>22</v>
      </c>
      <c r="AN273" s="12" t="str">
        <f t="shared" si="19"/>
        <v>20-24 Years</v>
      </c>
      <c r="AO273" s="13" t="s">
        <v>9174</v>
      </c>
      <c r="AP273" s="13" t="s">
        <v>9153</v>
      </c>
      <c r="AQ273" s="14" t="s">
        <v>9139</v>
      </c>
      <c r="AR273" s="14" t="s">
        <v>9140</v>
      </c>
      <c r="AS273" s="14"/>
      <c r="AT273" s="14" t="s">
        <v>63</v>
      </c>
      <c r="AU273" s="14" t="s">
        <v>98</v>
      </c>
      <c r="AV273" s="15" t="s">
        <v>9141</v>
      </c>
      <c r="AW273" s="15" t="s">
        <v>9175</v>
      </c>
      <c r="AX273" s="15" t="s">
        <v>9143</v>
      </c>
      <c r="AY273" s="15" t="s">
        <v>9141</v>
      </c>
      <c r="AZ273" s="15" t="s">
        <v>9177</v>
      </c>
      <c r="BA273" s="16" t="s">
        <v>9141</v>
      </c>
      <c r="BB273" s="16" t="s">
        <v>9178</v>
      </c>
    </row>
    <row r="274" spans="1:54" hidden="1" x14ac:dyDescent="0.25">
      <c r="A274" s="4" t="s">
        <v>398</v>
      </c>
      <c r="B274" s="4" t="s">
        <v>9523</v>
      </c>
      <c r="C274" s="4"/>
      <c r="D274" s="4" t="s">
        <v>39</v>
      </c>
      <c r="E274" s="4">
        <v>296199</v>
      </c>
      <c r="F274" s="4" t="s">
        <v>400</v>
      </c>
      <c r="G274" s="32">
        <v>33799</v>
      </c>
      <c r="H274" s="25">
        <v>45642</v>
      </c>
      <c r="I274" s="11">
        <v>0.70833333333333337</v>
      </c>
      <c r="J274" s="4" t="s">
        <v>42</v>
      </c>
      <c r="K274" s="4">
        <v>1012</v>
      </c>
      <c r="L274" s="4" t="s">
        <v>401</v>
      </c>
      <c r="M274" s="4" t="s">
        <v>402</v>
      </c>
      <c r="N274" s="4" t="s">
        <v>403</v>
      </c>
      <c r="O274" s="4" t="s">
        <v>46</v>
      </c>
      <c r="P274" s="4"/>
      <c r="Q274" s="4" t="s">
        <v>47</v>
      </c>
      <c r="R274" s="4" t="s">
        <v>48</v>
      </c>
      <c r="S274" s="4">
        <v>0</v>
      </c>
      <c r="T274" s="4" t="b">
        <v>0</v>
      </c>
      <c r="U274" s="4" t="s">
        <v>49</v>
      </c>
      <c r="V274" s="4" t="s">
        <v>404</v>
      </c>
      <c r="W274" s="4" t="s">
        <v>71</v>
      </c>
      <c r="X274" s="4" t="s">
        <v>405</v>
      </c>
      <c r="Y274" s="4" t="s">
        <v>406</v>
      </c>
      <c r="Z274" s="4" t="s">
        <v>98</v>
      </c>
      <c r="AA274" s="4"/>
      <c r="AB274" s="23">
        <v>0</v>
      </c>
      <c r="AC274" s="28" t="e">
        <v>#N/A</v>
      </c>
      <c r="AD274" s="28" t="e">
        <v>#N/A</v>
      </c>
      <c r="AE274" s="28"/>
      <c r="AF274" s="19">
        <v>43332</v>
      </c>
      <c r="AG274" s="19">
        <v>45683</v>
      </c>
      <c r="AH274" s="12">
        <f t="shared" si="16"/>
        <v>6</v>
      </c>
      <c r="AI274" s="12">
        <f t="shared" ca="1" si="17"/>
        <v>6</v>
      </c>
      <c r="AJ274" s="12" t="str">
        <f t="shared" si="18"/>
        <v>6-10 Years</v>
      </c>
      <c r="AK274" s="12" t="s">
        <v>9632</v>
      </c>
      <c r="AL274" s="31">
        <v>32</v>
      </c>
      <c r="AM274" s="31">
        <v>32</v>
      </c>
      <c r="AN274" s="12" t="str">
        <f t="shared" si="19"/>
        <v>25-34 Years</v>
      </c>
      <c r="AO274" s="13" t="s">
        <v>9174</v>
      </c>
      <c r="AP274" s="13" t="s">
        <v>9153</v>
      </c>
      <c r="AQ274" s="14" t="s">
        <v>9139</v>
      </c>
      <c r="AR274" s="14" t="s">
        <v>9140</v>
      </c>
      <c r="AS274" s="14"/>
      <c r="AT274" s="14" t="s">
        <v>405</v>
      </c>
      <c r="AU274" s="14" t="s">
        <v>98</v>
      </c>
      <c r="AV274" s="15" t="s">
        <v>9141</v>
      </c>
      <c r="AW274" s="15" t="s">
        <v>9142</v>
      </c>
      <c r="AX274" s="15" t="s">
        <v>9143</v>
      </c>
      <c r="AY274" s="15" t="s">
        <v>9141</v>
      </c>
      <c r="AZ274" s="15" t="s">
        <v>9144</v>
      </c>
      <c r="BA274" s="16" t="s">
        <v>9141</v>
      </c>
      <c r="BB274" s="16" t="s">
        <v>9145</v>
      </c>
    </row>
    <row r="275" spans="1:54" hidden="1" x14ac:dyDescent="0.25">
      <c r="A275" s="4" t="s">
        <v>1219</v>
      </c>
      <c r="B275" s="4" t="s">
        <v>9524</v>
      </c>
      <c r="C275" s="4"/>
      <c r="D275" s="4" t="s">
        <v>39</v>
      </c>
      <c r="E275" s="4">
        <v>296971</v>
      </c>
      <c r="F275" s="4" t="s">
        <v>1221</v>
      </c>
      <c r="G275" s="32">
        <v>32453</v>
      </c>
      <c r="H275" s="25">
        <v>45643</v>
      </c>
      <c r="I275" s="11">
        <v>0.4861111111111111</v>
      </c>
      <c r="J275" s="4" t="s">
        <v>1155</v>
      </c>
      <c r="K275" s="4">
        <v>4043</v>
      </c>
      <c r="L275" s="4" t="s">
        <v>1200</v>
      </c>
      <c r="M275" s="4" t="s">
        <v>1222</v>
      </c>
      <c r="N275" s="4" t="s">
        <v>1223</v>
      </c>
      <c r="O275" s="4" t="s">
        <v>46</v>
      </c>
      <c r="P275" s="4"/>
      <c r="Q275" s="4" t="s">
        <v>47</v>
      </c>
      <c r="R275" s="4" t="s">
        <v>48</v>
      </c>
      <c r="S275" s="4">
        <v>0</v>
      </c>
      <c r="T275" s="4" t="b">
        <v>0</v>
      </c>
      <c r="U275" s="4" t="s">
        <v>49</v>
      </c>
      <c r="V275" s="4" t="s">
        <v>70</v>
      </c>
      <c r="W275" s="4" t="s">
        <v>71</v>
      </c>
      <c r="X275" s="4" t="s">
        <v>72</v>
      </c>
      <c r="Y275" s="4" t="s">
        <v>73</v>
      </c>
      <c r="Z275" s="4" t="s">
        <v>98</v>
      </c>
      <c r="AA275" s="4"/>
      <c r="AB275" s="23">
        <v>0</v>
      </c>
      <c r="AC275" s="28" t="s">
        <v>9580</v>
      </c>
      <c r="AD275" s="28" t="e">
        <v>#N/A</v>
      </c>
      <c r="AE275" s="28"/>
      <c r="AF275" s="19">
        <v>44004</v>
      </c>
      <c r="AG275" s="19"/>
      <c r="AH275" s="12">
        <f t="shared" si="16"/>
        <v>4</v>
      </c>
      <c r="AI275" s="12">
        <f t="shared" ca="1" si="17"/>
        <v>6</v>
      </c>
      <c r="AJ275" s="12" t="str">
        <f t="shared" si="18"/>
        <v>1-5 Years</v>
      </c>
      <c r="AK275" s="12" t="s">
        <v>9632</v>
      </c>
      <c r="AL275" s="31">
        <v>23</v>
      </c>
      <c r="AM275" s="31">
        <v>36</v>
      </c>
      <c r="AN275" s="12" t="str">
        <f t="shared" si="19"/>
        <v>35-44 Years</v>
      </c>
      <c r="AO275" s="13" t="s">
        <v>9174</v>
      </c>
      <c r="AP275" s="13" t="s">
        <v>9153</v>
      </c>
      <c r="AQ275" s="14" t="s">
        <v>9139</v>
      </c>
      <c r="AR275" s="14" t="s">
        <v>9140</v>
      </c>
      <c r="AS275" s="14"/>
      <c r="AT275" s="14" t="s">
        <v>72</v>
      </c>
      <c r="AU275" s="14" t="s">
        <v>98</v>
      </c>
      <c r="AV275" s="15" t="s">
        <v>9141</v>
      </c>
      <c r="AW275" s="15" t="s">
        <v>9187</v>
      </c>
      <c r="AX275" s="15" t="s">
        <v>9143</v>
      </c>
      <c r="AY275" s="15" t="s">
        <v>9141</v>
      </c>
      <c r="AZ275" s="15" t="s">
        <v>9144</v>
      </c>
      <c r="BA275" s="16" t="s">
        <v>9141</v>
      </c>
      <c r="BB275" s="16" t="s">
        <v>9145</v>
      </c>
    </row>
    <row r="276" spans="1:54" hidden="1" x14ac:dyDescent="0.25">
      <c r="A276" s="4" t="s">
        <v>812</v>
      </c>
      <c r="B276" s="4" t="s">
        <v>9525</v>
      </c>
      <c r="C276" s="4"/>
      <c r="D276" s="4" t="s">
        <v>39</v>
      </c>
      <c r="E276" s="4">
        <v>297079</v>
      </c>
      <c r="F276" s="4" t="s">
        <v>814</v>
      </c>
      <c r="G276" s="32">
        <v>37041</v>
      </c>
      <c r="H276" s="25">
        <v>45645</v>
      </c>
      <c r="I276" s="11">
        <v>0.44791666666666669</v>
      </c>
      <c r="J276" s="4" t="s">
        <v>463</v>
      </c>
      <c r="K276" s="4">
        <v>2028</v>
      </c>
      <c r="L276" s="4" t="s">
        <v>804</v>
      </c>
      <c r="M276" s="4" t="s">
        <v>815</v>
      </c>
      <c r="N276" s="4" t="s">
        <v>816</v>
      </c>
      <c r="O276" s="4" t="s">
        <v>46</v>
      </c>
      <c r="P276" s="4"/>
      <c r="Q276" s="4" t="s">
        <v>47</v>
      </c>
      <c r="R276" s="4" t="s">
        <v>48</v>
      </c>
      <c r="S276" s="4">
        <v>0</v>
      </c>
      <c r="T276" s="4" t="b">
        <v>0</v>
      </c>
      <c r="U276" s="4" t="s">
        <v>49</v>
      </c>
      <c r="V276" s="4" t="s">
        <v>70</v>
      </c>
      <c r="W276" s="4" t="s">
        <v>71</v>
      </c>
      <c r="X276" s="4" t="s">
        <v>72</v>
      </c>
      <c r="Y276" s="4" t="s">
        <v>73</v>
      </c>
      <c r="Z276" s="4" t="s">
        <v>817</v>
      </c>
      <c r="AA276" s="4"/>
      <c r="AB276" s="23">
        <v>0</v>
      </c>
      <c r="AC276" s="28" t="e">
        <v>#N/A</v>
      </c>
      <c r="AD276" s="28" t="e">
        <v>#N/A</v>
      </c>
      <c r="AE276" s="28"/>
      <c r="AF276" s="19">
        <v>44112</v>
      </c>
      <c r="AG276" s="19"/>
      <c r="AH276" s="12">
        <f t="shared" si="16"/>
        <v>4</v>
      </c>
      <c r="AI276" s="12">
        <f t="shared" ca="1" si="17"/>
        <v>5</v>
      </c>
      <c r="AJ276" s="12" t="str">
        <f t="shared" si="18"/>
        <v>1-5 Years</v>
      </c>
      <c r="AK276" s="12" t="s">
        <v>9633</v>
      </c>
      <c r="AL276" s="31">
        <v>0.01</v>
      </c>
      <c r="AM276" s="31">
        <v>23</v>
      </c>
      <c r="AN276" s="12" t="str">
        <f t="shared" si="19"/>
        <v>20-24 Years</v>
      </c>
      <c r="AO276" s="13" t="s">
        <v>9174</v>
      </c>
      <c r="AP276" s="13" t="s">
        <v>9153</v>
      </c>
      <c r="AQ276" s="14" t="s">
        <v>9139</v>
      </c>
      <c r="AR276" s="14" t="s">
        <v>9140</v>
      </c>
      <c r="AS276" s="14"/>
      <c r="AT276" s="14" t="s">
        <v>72</v>
      </c>
      <c r="AU276" s="14" t="s">
        <v>817</v>
      </c>
      <c r="AV276" s="15" t="s">
        <v>9141</v>
      </c>
      <c r="AW276" s="15" t="s">
        <v>9175</v>
      </c>
      <c r="AX276" s="15" t="s">
        <v>9143</v>
      </c>
      <c r="AY276" s="15" t="s">
        <v>9141</v>
      </c>
      <c r="AZ276" s="15" t="s">
        <v>9175</v>
      </c>
      <c r="BA276" s="16" t="s">
        <v>9141</v>
      </c>
      <c r="BB276" s="16" t="s">
        <v>9176</v>
      </c>
    </row>
    <row r="277" spans="1:54" x14ac:dyDescent="0.25">
      <c r="A277" s="4" t="s">
        <v>1382</v>
      </c>
      <c r="B277" s="4" t="s">
        <v>9526</v>
      </c>
      <c r="C277" s="4"/>
      <c r="D277" s="4" t="s">
        <v>39</v>
      </c>
      <c r="E277" s="4">
        <v>325622</v>
      </c>
      <c r="F277" s="4" t="s">
        <v>1384</v>
      </c>
      <c r="G277" s="32">
        <v>21584</v>
      </c>
      <c r="H277" s="25">
        <v>45645</v>
      </c>
      <c r="I277" s="11">
        <v>0.48958333333333331</v>
      </c>
      <c r="J277" s="4" t="s">
        <v>1366</v>
      </c>
      <c r="K277" s="4">
        <v>5054</v>
      </c>
      <c r="L277" s="4" t="s">
        <v>1385</v>
      </c>
      <c r="M277" s="4" t="s">
        <v>1386</v>
      </c>
      <c r="N277" s="4" t="s">
        <v>1387</v>
      </c>
      <c r="O277" s="4" t="s">
        <v>46</v>
      </c>
      <c r="P277" s="4"/>
      <c r="Q277" s="4" t="s">
        <v>47</v>
      </c>
      <c r="R277" s="4" t="s">
        <v>48</v>
      </c>
      <c r="S277" s="4">
        <v>0</v>
      </c>
      <c r="T277" s="4" t="b">
        <v>0</v>
      </c>
      <c r="U277" s="4" t="s">
        <v>114</v>
      </c>
      <c r="V277" s="4" t="s">
        <v>70</v>
      </c>
      <c r="W277" s="4" t="s">
        <v>71</v>
      </c>
      <c r="X277" s="4" t="s">
        <v>72</v>
      </c>
      <c r="Y277" s="4" t="s">
        <v>73</v>
      </c>
      <c r="Z277" s="4" t="s">
        <v>54</v>
      </c>
      <c r="AA277" s="4"/>
      <c r="AB277" s="23">
        <v>0</v>
      </c>
      <c r="AC277" s="28" t="e">
        <v>#N/A</v>
      </c>
      <c r="AD277" s="28" t="e">
        <v>#N/A</v>
      </c>
      <c r="AE277" s="28"/>
      <c r="AF277" s="19">
        <v>44851</v>
      </c>
      <c r="AG277" s="19"/>
      <c r="AH277" s="12">
        <f t="shared" si="16"/>
        <v>2</v>
      </c>
      <c r="AI277" s="12">
        <f t="shared" ca="1" si="17"/>
        <v>3</v>
      </c>
      <c r="AJ277" s="12" t="str">
        <f t="shared" si="18"/>
        <v>1-5 Years</v>
      </c>
      <c r="AK277" s="12" t="s">
        <v>9632</v>
      </c>
      <c r="AL277" s="31">
        <v>30</v>
      </c>
      <c r="AM277" s="31">
        <v>66</v>
      </c>
      <c r="AN277" s="12" t="str">
        <f t="shared" si="19"/>
        <v>More Than 55 Years</v>
      </c>
      <c r="AO277" s="13" t="s">
        <v>9174</v>
      </c>
      <c r="AP277" s="13" t="s">
        <v>9153</v>
      </c>
      <c r="AQ277" s="14" t="s">
        <v>9157</v>
      </c>
      <c r="AR277" s="14" t="s">
        <v>9140</v>
      </c>
      <c r="AS277" s="14"/>
      <c r="AT277" s="14" t="s">
        <v>72</v>
      </c>
      <c r="AU277" s="14" t="s">
        <v>54</v>
      </c>
      <c r="AV277" s="15" t="s">
        <v>9141</v>
      </c>
      <c r="AW277" s="15" t="s">
        <v>9188</v>
      </c>
      <c r="AX277" s="15" t="s">
        <v>9143</v>
      </c>
      <c r="AY277" s="15" t="s">
        <v>9141</v>
      </c>
      <c r="AZ277" s="15" t="s">
        <v>9189</v>
      </c>
      <c r="BA277" s="16" t="s">
        <v>9141</v>
      </c>
      <c r="BB277" s="16" t="s">
        <v>9190</v>
      </c>
    </row>
    <row r="278" spans="1:54" hidden="1" x14ac:dyDescent="0.25">
      <c r="A278" s="4" t="s">
        <v>1893</v>
      </c>
      <c r="B278" s="4" t="s">
        <v>9527</v>
      </c>
      <c r="C278" s="4"/>
      <c r="D278" s="4" t="s">
        <v>39</v>
      </c>
      <c r="E278" s="4">
        <v>337378</v>
      </c>
      <c r="F278" s="4" t="s">
        <v>1895</v>
      </c>
      <c r="G278" s="32">
        <v>36366</v>
      </c>
      <c r="H278" s="25">
        <v>45646</v>
      </c>
      <c r="I278" s="11">
        <v>0.40625</v>
      </c>
      <c r="J278" s="4" t="s">
        <v>1654</v>
      </c>
      <c r="K278" s="4">
        <v>9098</v>
      </c>
      <c r="L278" s="4" t="s">
        <v>1896</v>
      </c>
      <c r="M278" s="4" t="s">
        <v>1897</v>
      </c>
      <c r="N278" s="4" t="s">
        <v>1898</v>
      </c>
      <c r="O278" s="4" t="s">
        <v>46</v>
      </c>
      <c r="P278" s="4"/>
      <c r="Q278" s="4" t="s">
        <v>47</v>
      </c>
      <c r="R278" s="4" t="s">
        <v>48</v>
      </c>
      <c r="S278" s="4">
        <v>0</v>
      </c>
      <c r="T278" s="4" t="b">
        <v>0</v>
      </c>
      <c r="U278" s="4" t="s">
        <v>49</v>
      </c>
      <c r="V278" s="4" t="s">
        <v>50</v>
      </c>
      <c r="W278" s="4" t="s">
        <v>71</v>
      </c>
      <c r="X278" s="4" t="s">
        <v>63</v>
      </c>
      <c r="Y278" s="4" t="s">
        <v>108</v>
      </c>
      <c r="Z278" s="4" t="s">
        <v>774</v>
      </c>
      <c r="AA278" s="4" t="s">
        <v>486</v>
      </c>
      <c r="AB278" s="23">
        <v>0</v>
      </c>
      <c r="AC278" s="28" t="e">
        <v>#N/A</v>
      </c>
      <c r="AD278" s="28" t="e">
        <v>#N/A</v>
      </c>
      <c r="AE278" s="28"/>
      <c r="AF278" s="19">
        <v>45586</v>
      </c>
      <c r="AG278" s="19">
        <v>45691</v>
      </c>
      <c r="AH278" s="12">
        <f t="shared" si="16"/>
        <v>0</v>
      </c>
      <c r="AI278" s="12">
        <f t="shared" ca="1" si="17"/>
        <v>0</v>
      </c>
      <c r="AJ278" s="12" t="str">
        <f t="shared" si="18"/>
        <v>Under 1 Year</v>
      </c>
      <c r="AK278" s="12" t="s">
        <v>9633</v>
      </c>
      <c r="AL278" s="31">
        <v>0.01</v>
      </c>
      <c r="AM278" s="31">
        <v>25</v>
      </c>
      <c r="AN278" s="12" t="str">
        <f t="shared" si="19"/>
        <v>25-34 Years</v>
      </c>
      <c r="AO278" s="13" t="s">
        <v>9174</v>
      </c>
      <c r="AP278" s="13" t="s">
        <v>9153</v>
      </c>
      <c r="AQ278" s="14" t="s">
        <v>9139</v>
      </c>
      <c r="AR278" s="14" t="s">
        <v>9140</v>
      </c>
      <c r="AS278" s="14"/>
      <c r="AT278" s="14" t="s">
        <v>63</v>
      </c>
      <c r="AU278" s="14" t="s">
        <v>774</v>
      </c>
      <c r="AV278" s="15" t="s">
        <v>9141</v>
      </c>
      <c r="AW278" s="15" t="s">
        <v>9191</v>
      </c>
      <c r="AX278" s="15" t="s">
        <v>9143</v>
      </c>
      <c r="AY278" s="15" t="s">
        <v>9141</v>
      </c>
      <c r="AZ278" s="15" t="s">
        <v>9191</v>
      </c>
      <c r="BA278" s="16" t="s">
        <v>9141</v>
      </c>
      <c r="BB278" s="16" t="s">
        <v>9192</v>
      </c>
    </row>
    <row r="279" spans="1:54" hidden="1" x14ac:dyDescent="0.25">
      <c r="A279" s="4" t="s">
        <v>1214</v>
      </c>
      <c r="B279" s="4" t="s">
        <v>9528</v>
      </c>
      <c r="C279" s="4"/>
      <c r="D279" s="4" t="s">
        <v>39</v>
      </c>
      <c r="E279" s="4">
        <v>335654</v>
      </c>
      <c r="F279" s="4" t="s">
        <v>1216</v>
      </c>
      <c r="G279" s="32">
        <v>37864</v>
      </c>
      <c r="H279" s="25">
        <v>45649</v>
      </c>
      <c r="I279" s="11">
        <v>0.63541666666666663</v>
      </c>
      <c r="J279" s="4" t="s">
        <v>1155</v>
      </c>
      <c r="K279" s="4">
        <v>4043</v>
      </c>
      <c r="L279" s="4" t="s">
        <v>1200</v>
      </c>
      <c r="M279" s="4" t="s">
        <v>1217</v>
      </c>
      <c r="N279" s="4" t="s">
        <v>1218</v>
      </c>
      <c r="O279" s="4" t="s">
        <v>46</v>
      </c>
      <c r="P279" s="4"/>
      <c r="Q279" s="4" t="s">
        <v>47</v>
      </c>
      <c r="R279" s="4" t="s">
        <v>48</v>
      </c>
      <c r="S279" s="4">
        <v>0</v>
      </c>
      <c r="T279" s="4" t="b">
        <v>0</v>
      </c>
      <c r="U279" s="4" t="s">
        <v>61</v>
      </c>
      <c r="V279" s="4" t="s">
        <v>433</v>
      </c>
      <c r="W279" s="4" t="s">
        <v>80</v>
      </c>
      <c r="X279" s="4" t="s">
        <v>63</v>
      </c>
      <c r="Y279" s="4" t="s">
        <v>198</v>
      </c>
      <c r="Z279" s="4" t="s">
        <v>838</v>
      </c>
      <c r="AA279" s="4" t="s">
        <v>176</v>
      </c>
      <c r="AB279" s="23">
        <v>0</v>
      </c>
      <c r="AC279" s="28" t="e">
        <v>#N/A</v>
      </c>
      <c r="AD279" s="28" t="e">
        <v>#N/A</v>
      </c>
      <c r="AE279" s="28"/>
      <c r="AF279" s="19">
        <v>45509</v>
      </c>
      <c r="AG279" s="19"/>
      <c r="AH279" s="12">
        <f t="shared" si="16"/>
        <v>0</v>
      </c>
      <c r="AI279" s="12">
        <f t="shared" ca="1" si="17"/>
        <v>2</v>
      </c>
      <c r="AJ279" s="12" t="str">
        <f t="shared" si="18"/>
        <v>Under 1 Year</v>
      </c>
      <c r="AK279" s="12" t="s">
        <v>9633</v>
      </c>
      <c r="AL279" s="31">
        <v>0.01</v>
      </c>
      <c r="AM279" s="31">
        <v>21</v>
      </c>
      <c r="AN279" s="12" t="str">
        <f t="shared" si="19"/>
        <v>20-24 Years</v>
      </c>
      <c r="AO279" s="13" t="s">
        <v>9174</v>
      </c>
      <c r="AP279" s="13" t="s">
        <v>9153</v>
      </c>
      <c r="AQ279" s="14" t="s">
        <v>9148</v>
      </c>
      <c r="AR279" s="14" t="s">
        <v>9140</v>
      </c>
      <c r="AS279" s="14"/>
      <c r="AT279" s="14" t="s">
        <v>63</v>
      </c>
      <c r="AU279" s="14" t="s">
        <v>838</v>
      </c>
      <c r="AV279" s="15" t="s">
        <v>9141</v>
      </c>
      <c r="AW279" s="15" t="s">
        <v>9187</v>
      </c>
      <c r="AX279" s="15" t="s">
        <v>9143</v>
      </c>
      <c r="AY279" s="15" t="s">
        <v>9141</v>
      </c>
      <c r="AZ279" s="15" t="s">
        <v>9144</v>
      </c>
      <c r="BA279" s="16" t="s">
        <v>9141</v>
      </c>
      <c r="BB279" s="16" t="s">
        <v>9145</v>
      </c>
    </row>
    <row r="280" spans="1:54" hidden="1" x14ac:dyDescent="0.25">
      <c r="A280" s="4" t="s">
        <v>427</v>
      </c>
      <c r="B280" s="4" t="s">
        <v>9529</v>
      </c>
      <c r="C280" s="4"/>
      <c r="D280" s="4" t="s">
        <v>39</v>
      </c>
      <c r="E280" s="4">
        <v>297023</v>
      </c>
      <c r="F280" s="4" t="s">
        <v>429</v>
      </c>
      <c r="G280" s="32">
        <v>35389</v>
      </c>
      <c r="H280" s="25">
        <v>45653</v>
      </c>
      <c r="I280" s="11">
        <v>0.6118055555555556</v>
      </c>
      <c r="J280" s="4" t="s">
        <v>42</v>
      </c>
      <c r="K280" s="4">
        <v>1013</v>
      </c>
      <c r="L280" s="4" t="s">
        <v>422</v>
      </c>
      <c r="M280" s="4" t="s">
        <v>430</v>
      </c>
      <c r="N280" s="4" t="s">
        <v>431</v>
      </c>
      <c r="O280" s="4" t="s">
        <v>432</v>
      </c>
      <c r="P280" s="4"/>
      <c r="Q280" s="4" t="s">
        <v>47</v>
      </c>
      <c r="R280" s="4" t="s">
        <v>60</v>
      </c>
      <c r="S280" s="4">
        <v>0</v>
      </c>
      <c r="T280" s="4" t="b">
        <v>0</v>
      </c>
      <c r="U280" s="4" t="s">
        <v>61</v>
      </c>
      <c r="V280" s="4" t="s">
        <v>433</v>
      </c>
      <c r="W280" s="4" t="s">
        <v>165</v>
      </c>
      <c r="X280" s="4" t="s">
        <v>63</v>
      </c>
      <c r="Y280" s="4" t="s">
        <v>108</v>
      </c>
      <c r="Z280" s="4" t="s">
        <v>54</v>
      </c>
      <c r="AA280" s="4" t="s">
        <v>176</v>
      </c>
      <c r="AB280" s="23">
        <v>0</v>
      </c>
      <c r="AC280" s="28" t="e">
        <v>#N/A</v>
      </c>
      <c r="AD280" s="28" t="e">
        <v>#N/A</v>
      </c>
      <c r="AE280" s="28"/>
      <c r="AF280" s="19">
        <v>44060</v>
      </c>
      <c r="AG280" s="19"/>
      <c r="AH280" s="12">
        <f t="shared" si="16"/>
        <v>4</v>
      </c>
      <c r="AI280" s="12">
        <f t="shared" ca="1" si="17"/>
        <v>6</v>
      </c>
      <c r="AJ280" s="12" t="str">
        <f t="shared" si="18"/>
        <v>1-5 Years</v>
      </c>
      <c r="AK280" s="12" t="s">
        <v>10046</v>
      </c>
      <c r="AL280" s="31">
        <v>38</v>
      </c>
      <c r="AM280" s="31">
        <v>28</v>
      </c>
      <c r="AN280" s="12" t="str">
        <f t="shared" si="19"/>
        <v>25-34 Years</v>
      </c>
      <c r="AO280" s="13" t="s">
        <v>9174</v>
      </c>
      <c r="AP280" s="13" t="s">
        <v>9153</v>
      </c>
      <c r="AQ280" s="14" t="s">
        <v>9148</v>
      </c>
      <c r="AR280" s="14" t="s">
        <v>9140</v>
      </c>
      <c r="AS280" s="14"/>
      <c r="AT280" s="14" t="s">
        <v>63</v>
      </c>
      <c r="AU280" s="14" t="s">
        <v>54</v>
      </c>
      <c r="AV280" s="15" t="s">
        <v>9141</v>
      </c>
      <c r="AW280" s="15" t="s">
        <v>9142</v>
      </c>
      <c r="AX280" s="15" t="s">
        <v>9143</v>
      </c>
      <c r="AY280" s="15" t="s">
        <v>9141</v>
      </c>
      <c r="AZ280" s="15" t="s">
        <v>9144</v>
      </c>
      <c r="BA280" s="16" t="s">
        <v>9141</v>
      </c>
      <c r="BB280" s="16" t="s">
        <v>9145</v>
      </c>
    </row>
    <row r="281" spans="1:54" hidden="1" x14ac:dyDescent="0.25">
      <c r="A281" s="4" t="s">
        <v>1473</v>
      </c>
      <c r="B281" s="4" t="s">
        <v>9530</v>
      </c>
      <c r="C281" s="4"/>
      <c r="D281" s="4" t="s">
        <v>39</v>
      </c>
      <c r="E281" s="4">
        <v>331904</v>
      </c>
      <c r="F281" s="4" t="s">
        <v>1475</v>
      </c>
      <c r="G281" s="32">
        <v>36274</v>
      </c>
      <c r="H281" s="25">
        <v>45653</v>
      </c>
      <c r="I281" s="11">
        <v>0.45833333333333331</v>
      </c>
      <c r="J281" s="4" t="s">
        <v>1476</v>
      </c>
      <c r="K281" s="4">
        <v>6059</v>
      </c>
      <c r="L281" s="4" t="s">
        <v>1477</v>
      </c>
      <c r="M281" s="4" t="s">
        <v>1478</v>
      </c>
      <c r="N281" s="4" t="s">
        <v>1479</v>
      </c>
      <c r="O281" s="4" t="s">
        <v>46</v>
      </c>
      <c r="P281" s="4"/>
      <c r="Q281" s="4" t="s">
        <v>47</v>
      </c>
      <c r="R281" s="4" t="s">
        <v>48</v>
      </c>
      <c r="S281" s="4">
        <v>0</v>
      </c>
      <c r="T281" s="4" t="b">
        <v>0</v>
      </c>
      <c r="U281" s="4" t="s">
        <v>49</v>
      </c>
      <c r="V281" s="4" t="s">
        <v>50</v>
      </c>
      <c r="W281" s="4" t="s">
        <v>71</v>
      </c>
      <c r="X281" s="4" t="s">
        <v>63</v>
      </c>
      <c r="Y281" s="4" t="s">
        <v>108</v>
      </c>
      <c r="Z281" s="4" t="s">
        <v>136</v>
      </c>
      <c r="AA281" s="4"/>
      <c r="AB281" s="23">
        <v>0</v>
      </c>
      <c r="AC281" s="28" t="e">
        <v>#N/A</v>
      </c>
      <c r="AD281" s="28" t="e">
        <v>#N/A</v>
      </c>
      <c r="AE281" s="28"/>
      <c r="AF281" s="19">
        <v>45222</v>
      </c>
      <c r="AG281" s="19"/>
      <c r="AH281" s="12">
        <f t="shared" si="16"/>
        <v>1</v>
      </c>
      <c r="AI281" s="12">
        <f t="shared" ca="1" si="17"/>
        <v>2</v>
      </c>
      <c r="AJ281" s="12" t="str">
        <f t="shared" si="18"/>
        <v>1-5 Years</v>
      </c>
      <c r="AK281" s="12" t="s">
        <v>9633</v>
      </c>
      <c r="AL281" s="31">
        <v>0.01</v>
      </c>
      <c r="AM281" s="31">
        <v>26</v>
      </c>
      <c r="AN281" s="12" t="str">
        <f t="shared" si="19"/>
        <v>25-34 Years</v>
      </c>
      <c r="AO281" s="13" t="s">
        <v>9174</v>
      </c>
      <c r="AP281" s="13" t="s">
        <v>9153</v>
      </c>
      <c r="AQ281" s="14" t="s">
        <v>9139</v>
      </c>
      <c r="AR281" s="14" t="s">
        <v>9140</v>
      </c>
      <c r="AS281" s="14"/>
      <c r="AT281" s="14" t="s">
        <v>63</v>
      </c>
      <c r="AU281" s="14" t="s">
        <v>136</v>
      </c>
      <c r="AV281" s="15" t="s">
        <v>9141</v>
      </c>
      <c r="AW281" s="15" t="s">
        <v>9193</v>
      </c>
      <c r="AX281" s="15" t="s">
        <v>9143</v>
      </c>
      <c r="AY281" s="15" t="s">
        <v>9141</v>
      </c>
      <c r="AZ281" s="15" t="s">
        <v>9189</v>
      </c>
      <c r="BA281" s="16" t="s">
        <v>9141</v>
      </c>
      <c r="BB281" s="16" t="s">
        <v>9190</v>
      </c>
    </row>
    <row r="282" spans="1:54" hidden="1" x14ac:dyDescent="0.25">
      <c r="A282" s="4" t="s">
        <v>985</v>
      </c>
      <c r="B282" s="4" t="s">
        <v>9531</v>
      </c>
      <c r="C282" s="4">
        <v>12240057088</v>
      </c>
      <c r="D282" s="4" t="s">
        <v>39</v>
      </c>
      <c r="E282" s="4">
        <v>296779</v>
      </c>
      <c r="F282" s="4" t="s">
        <v>987</v>
      </c>
      <c r="G282" s="32">
        <v>36958</v>
      </c>
      <c r="H282" s="25">
        <v>45654</v>
      </c>
      <c r="I282" s="11">
        <v>0.42638888888888887</v>
      </c>
      <c r="J282" s="4" t="s">
        <v>463</v>
      </c>
      <c r="K282" s="4">
        <v>2039</v>
      </c>
      <c r="L282" s="4" t="s">
        <v>988</v>
      </c>
      <c r="M282" s="4" t="s">
        <v>989</v>
      </c>
      <c r="N282" s="4" t="s">
        <v>990</v>
      </c>
      <c r="O282" s="4" t="s">
        <v>28</v>
      </c>
      <c r="P282" s="4" t="s">
        <v>183</v>
      </c>
      <c r="Q282" s="4" t="s">
        <v>174</v>
      </c>
      <c r="R282" s="4" t="s">
        <v>60</v>
      </c>
      <c r="S282" s="4">
        <v>7</v>
      </c>
      <c r="T282" s="4" t="b">
        <v>0</v>
      </c>
      <c r="U282" s="4" t="s">
        <v>184</v>
      </c>
      <c r="V282" s="4" t="s">
        <v>50</v>
      </c>
      <c r="W282" s="4" t="s">
        <v>107</v>
      </c>
      <c r="X282" s="4" t="s">
        <v>63</v>
      </c>
      <c r="Y282" s="4" t="s">
        <v>198</v>
      </c>
      <c r="Z282" s="4" t="s">
        <v>350</v>
      </c>
      <c r="AA282" s="4" t="s">
        <v>991</v>
      </c>
      <c r="AB282" s="23" t="s">
        <v>60</v>
      </c>
      <c r="AC282" s="28" t="e">
        <v>#N/A</v>
      </c>
      <c r="AD282" s="28" t="e">
        <v>#N/A</v>
      </c>
      <c r="AE282" s="28"/>
      <c r="AF282" s="19">
        <v>43780</v>
      </c>
      <c r="AG282" s="19"/>
      <c r="AH282" s="12">
        <f t="shared" si="16"/>
        <v>5</v>
      </c>
      <c r="AI282" s="12">
        <f t="shared" ca="1" si="17"/>
        <v>6</v>
      </c>
      <c r="AJ282" s="12" t="str">
        <f t="shared" si="18"/>
        <v>1-5 Years</v>
      </c>
      <c r="AK282" s="12" t="s">
        <v>9633</v>
      </c>
      <c r="AL282" s="31">
        <v>0.01</v>
      </c>
      <c r="AM282" s="31">
        <v>24</v>
      </c>
      <c r="AN282" s="12" t="str">
        <f t="shared" si="19"/>
        <v>20-24 Years</v>
      </c>
      <c r="AO282" s="13" t="s">
        <v>9174</v>
      </c>
      <c r="AP282" s="13" t="s">
        <v>9153</v>
      </c>
      <c r="AQ282" s="14" t="s">
        <v>9166</v>
      </c>
      <c r="AR282" s="14" t="s">
        <v>28</v>
      </c>
      <c r="AS282" s="14" t="s">
        <v>183</v>
      </c>
      <c r="AT282" s="14" t="s">
        <v>63</v>
      </c>
      <c r="AU282" s="14" t="s">
        <v>350</v>
      </c>
      <c r="AV282" s="15" t="s">
        <v>9141</v>
      </c>
      <c r="AW282" s="15" t="s">
        <v>9175</v>
      </c>
      <c r="AX282" s="15" t="s">
        <v>9143</v>
      </c>
      <c r="AY282" s="15" t="s">
        <v>9141</v>
      </c>
      <c r="AZ282" s="15" t="s">
        <v>9175</v>
      </c>
      <c r="BA282" s="16" t="s">
        <v>9141</v>
      </c>
      <c r="BB282" s="16" t="s">
        <v>9176</v>
      </c>
    </row>
    <row r="283" spans="1:54" hidden="1" x14ac:dyDescent="0.25">
      <c r="A283" s="4" t="s">
        <v>1176</v>
      </c>
      <c r="B283" s="4" t="s">
        <v>9532</v>
      </c>
      <c r="C283" s="4"/>
      <c r="D283" s="4" t="s">
        <v>39</v>
      </c>
      <c r="E283" s="4">
        <v>322470</v>
      </c>
      <c r="F283" s="4" t="s">
        <v>1172</v>
      </c>
      <c r="G283" s="32">
        <v>38227</v>
      </c>
      <c r="H283" s="25">
        <v>45661</v>
      </c>
      <c r="I283" s="11">
        <v>0.44791666666666669</v>
      </c>
      <c r="J283" s="4" t="s">
        <v>1155</v>
      </c>
      <c r="K283" s="4">
        <v>4042</v>
      </c>
      <c r="L283" s="4" t="s">
        <v>1173</v>
      </c>
      <c r="M283" s="4" t="s">
        <v>1177</v>
      </c>
      <c r="N283" s="4" t="s">
        <v>1178</v>
      </c>
      <c r="O283" s="4" t="s">
        <v>46</v>
      </c>
      <c r="P283" s="4"/>
      <c r="Q283" s="4" t="s">
        <v>47</v>
      </c>
      <c r="R283" s="4" t="s">
        <v>48</v>
      </c>
      <c r="S283" s="4">
        <v>0</v>
      </c>
      <c r="T283" s="4" t="b">
        <v>0</v>
      </c>
      <c r="U283" s="4" t="s">
        <v>61</v>
      </c>
      <c r="V283" s="4" t="s">
        <v>89</v>
      </c>
      <c r="W283" s="4" t="s">
        <v>426</v>
      </c>
      <c r="X283" s="4" t="s">
        <v>52</v>
      </c>
      <c r="Y283" s="4" t="s">
        <v>53</v>
      </c>
      <c r="Z283" s="4" t="s">
        <v>54</v>
      </c>
      <c r="AA283" s="4"/>
      <c r="AB283" s="23">
        <v>0</v>
      </c>
      <c r="AC283" s="28" t="e">
        <v>#N/A</v>
      </c>
      <c r="AD283" s="28" t="e">
        <v>#N/A</v>
      </c>
      <c r="AE283" s="28"/>
      <c r="AF283" s="19">
        <v>44697</v>
      </c>
      <c r="AG283" s="19"/>
      <c r="AH283" s="12">
        <f t="shared" si="16"/>
        <v>2</v>
      </c>
      <c r="AI283" s="12">
        <f t="shared" ca="1" si="17"/>
        <v>4</v>
      </c>
      <c r="AJ283" s="12" t="str">
        <f t="shared" si="18"/>
        <v>1-5 Years</v>
      </c>
      <c r="AK283" s="12" t="s">
        <v>9632</v>
      </c>
      <c r="AL283" s="31">
        <v>30</v>
      </c>
      <c r="AM283" s="31">
        <v>20</v>
      </c>
      <c r="AN283" s="12" t="str">
        <f t="shared" si="19"/>
        <v>20-24 Years</v>
      </c>
      <c r="AO283" s="13" t="s">
        <v>9180</v>
      </c>
      <c r="AP283" s="13" t="s">
        <v>9147</v>
      </c>
      <c r="AQ283" s="14" t="s">
        <v>9148</v>
      </c>
      <c r="AR283" s="14" t="s">
        <v>9140</v>
      </c>
      <c r="AS283" s="14"/>
      <c r="AT283" s="14" t="s">
        <v>52</v>
      </c>
      <c r="AU283" s="14" t="s">
        <v>54</v>
      </c>
      <c r="AV283" s="15" t="s">
        <v>9141</v>
      </c>
      <c r="AW283" s="15" t="s">
        <v>9187</v>
      </c>
      <c r="AX283" s="15" t="s">
        <v>9143</v>
      </c>
      <c r="AY283" s="15" t="s">
        <v>9141</v>
      </c>
      <c r="AZ283" s="15" t="s">
        <v>9144</v>
      </c>
      <c r="BA283" s="16" t="s">
        <v>9141</v>
      </c>
      <c r="BB283" s="16" t="s">
        <v>9145</v>
      </c>
    </row>
    <row r="284" spans="1:54" hidden="1" x14ac:dyDescent="0.25">
      <c r="A284" s="4" t="s">
        <v>1212</v>
      </c>
      <c r="B284" s="4" t="s">
        <v>9533</v>
      </c>
      <c r="C284" s="4"/>
      <c r="D284" s="4" t="s">
        <v>39</v>
      </c>
      <c r="E284" s="4">
        <v>294740</v>
      </c>
      <c r="F284" s="4" t="s">
        <v>1199</v>
      </c>
      <c r="G284" s="32">
        <v>36872</v>
      </c>
      <c r="H284" s="25">
        <v>45661</v>
      </c>
      <c r="I284" s="11">
        <v>0.3840277777777778</v>
      </c>
      <c r="J284" s="4" t="s">
        <v>1155</v>
      </c>
      <c r="K284" s="4">
        <v>4043</v>
      </c>
      <c r="L284" s="4" t="s">
        <v>1200</v>
      </c>
      <c r="M284" s="4" t="s">
        <v>604</v>
      </c>
      <c r="N284" s="4" t="s">
        <v>1213</v>
      </c>
      <c r="O284" s="4" t="s">
        <v>46</v>
      </c>
      <c r="P284" s="4"/>
      <c r="Q284" s="4" t="s">
        <v>47</v>
      </c>
      <c r="R284" s="4" t="s">
        <v>48</v>
      </c>
      <c r="S284" s="4">
        <v>0</v>
      </c>
      <c r="T284" s="4" t="b">
        <v>0</v>
      </c>
      <c r="U284" s="4" t="s">
        <v>61</v>
      </c>
      <c r="V284" s="4" t="s">
        <v>89</v>
      </c>
      <c r="W284" s="4" t="s">
        <v>107</v>
      </c>
      <c r="X284" s="4" t="s">
        <v>63</v>
      </c>
      <c r="Y284" s="4" t="s">
        <v>108</v>
      </c>
      <c r="Z284" s="4" t="s">
        <v>98</v>
      </c>
      <c r="AA284" s="4"/>
      <c r="AB284" s="23">
        <v>0</v>
      </c>
      <c r="AC284" s="28" t="e">
        <v>#N/A</v>
      </c>
      <c r="AD284" s="28" t="e">
        <v>#N/A</v>
      </c>
      <c r="AE284" s="28"/>
      <c r="AF284" s="19">
        <v>42464</v>
      </c>
      <c r="AG284" s="19"/>
      <c r="AH284" s="12">
        <f t="shared" si="16"/>
        <v>8</v>
      </c>
      <c r="AI284" s="12">
        <f t="shared" ca="1" si="17"/>
        <v>10</v>
      </c>
      <c r="AJ284" s="12" t="str">
        <f t="shared" si="18"/>
        <v>6-10 Years</v>
      </c>
      <c r="AK284" s="12" t="s">
        <v>9632</v>
      </c>
      <c r="AL284" s="31">
        <v>28</v>
      </c>
      <c r="AM284" s="31">
        <v>24</v>
      </c>
      <c r="AN284" s="12" t="str">
        <f t="shared" si="19"/>
        <v>20-24 Years</v>
      </c>
      <c r="AO284" s="13" t="s">
        <v>9180</v>
      </c>
      <c r="AP284" s="13" t="s">
        <v>9147</v>
      </c>
      <c r="AQ284" s="14" t="s">
        <v>9148</v>
      </c>
      <c r="AR284" s="14" t="s">
        <v>9140</v>
      </c>
      <c r="AS284" s="14"/>
      <c r="AT284" s="14" t="s">
        <v>63</v>
      </c>
      <c r="AU284" s="14" t="s">
        <v>98</v>
      </c>
      <c r="AV284" s="15" t="s">
        <v>9141</v>
      </c>
      <c r="AW284" s="15" t="s">
        <v>9187</v>
      </c>
      <c r="AX284" s="15" t="s">
        <v>9143</v>
      </c>
      <c r="AY284" s="15" t="s">
        <v>9141</v>
      </c>
      <c r="AZ284" s="15" t="s">
        <v>9144</v>
      </c>
      <c r="BA284" s="16" t="s">
        <v>9141</v>
      </c>
      <c r="BB284" s="16" t="s">
        <v>9145</v>
      </c>
    </row>
    <row r="285" spans="1:54" hidden="1" x14ac:dyDescent="0.25">
      <c r="A285" s="4" t="s">
        <v>873</v>
      </c>
      <c r="B285" s="4" t="s">
        <v>9534</v>
      </c>
      <c r="C285" s="4"/>
      <c r="D285" s="4" t="s">
        <v>39</v>
      </c>
      <c r="E285" s="4">
        <v>291576</v>
      </c>
      <c r="F285" s="4" t="s">
        <v>875</v>
      </c>
      <c r="G285" s="32">
        <v>32098</v>
      </c>
      <c r="H285" s="25">
        <v>45663</v>
      </c>
      <c r="I285" s="11">
        <v>0.61458333333333337</v>
      </c>
      <c r="J285" s="4" t="s">
        <v>463</v>
      </c>
      <c r="K285" s="4">
        <v>2030</v>
      </c>
      <c r="L285" s="4" t="s">
        <v>876</v>
      </c>
      <c r="M285" s="4" t="s">
        <v>877</v>
      </c>
      <c r="N285" s="4" t="s">
        <v>878</v>
      </c>
      <c r="O285" s="4" t="s">
        <v>28</v>
      </c>
      <c r="P285" s="4" t="s">
        <v>478</v>
      </c>
      <c r="Q285" s="4" t="s">
        <v>174</v>
      </c>
      <c r="R285" s="4" t="s">
        <v>60</v>
      </c>
      <c r="S285" s="4">
        <v>15</v>
      </c>
      <c r="T285" s="4" t="b">
        <v>0</v>
      </c>
      <c r="U285" s="4" t="s">
        <v>184</v>
      </c>
      <c r="V285" s="4" t="s">
        <v>89</v>
      </c>
      <c r="W285" s="4" t="s">
        <v>140</v>
      </c>
      <c r="X285" s="4" t="s">
        <v>123</v>
      </c>
      <c r="Y285" s="4" t="s">
        <v>124</v>
      </c>
      <c r="Z285" s="4" t="s">
        <v>98</v>
      </c>
      <c r="AA285" s="4"/>
      <c r="AB285" s="23" t="s">
        <v>60</v>
      </c>
      <c r="AC285" s="28" t="s">
        <v>9580</v>
      </c>
      <c r="AD285" s="28" t="e">
        <v>#N/A</v>
      </c>
      <c r="AE285" s="28"/>
      <c r="AF285" s="19">
        <v>40476</v>
      </c>
      <c r="AG285" s="19">
        <v>45744</v>
      </c>
      <c r="AH285" s="12">
        <f t="shared" si="16"/>
        <v>14</v>
      </c>
      <c r="AI285" s="12">
        <f t="shared" ca="1" si="17"/>
        <v>14</v>
      </c>
      <c r="AJ285" s="12" t="str">
        <f t="shared" si="18"/>
        <v>11-15 Years</v>
      </c>
      <c r="AK285" s="12" t="s">
        <v>9632</v>
      </c>
      <c r="AL285" s="31">
        <v>34</v>
      </c>
      <c r="AM285" s="31">
        <v>37</v>
      </c>
      <c r="AN285" s="12" t="str">
        <f t="shared" si="19"/>
        <v>35-44 Years</v>
      </c>
      <c r="AO285" s="13" t="s">
        <v>9180</v>
      </c>
      <c r="AP285" s="13" t="s">
        <v>9147</v>
      </c>
      <c r="AQ285" s="14" t="s">
        <v>9166</v>
      </c>
      <c r="AR285" s="14" t="s">
        <v>28</v>
      </c>
      <c r="AS285" s="14" t="s">
        <v>478</v>
      </c>
      <c r="AT285" s="14" t="s">
        <v>123</v>
      </c>
      <c r="AU285" s="14" t="s">
        <v>98</v>
      </c>
      <c r="AV285" s="15" t="s">
        <v>9141</v>
      </c>
      <c r="AW285" s="15" t="s">
        <v>9175</v>
      </c>
      <c r="AX285" s="15" t="s">
        <v>9143</v>
      </c>
      <c r="AY285" s="15" t="s">
        <v>9141</v>
      </c>
      <c r="AZ285" s="15" t="s">
        <v>9177</v>
      </c>
      <c r="BA285" s="16" t="s">
        <v>9141</v>
      </c>
      <c r="BB285" s="16" t="s">
        <v>9178</v>
      </c>
    </row>
    <row r="286" spans="1:54" hidden="1" x14ac:dyDescent="0.25">
      <c r="A286" s="4" t="s">
        <v>1104</v>
      </c>
      <c r="B286" s="4" t="s">
        <v>9535</v>
      </c>
      <c r="C286" s="4"/>
      <c r="D286" s="4" t="s">
        <v>39</v>
      </c>
      <c r="E286" s="4">
        <v>331149</v>
      </c>
      <c r="F286" s="4" t="s">
        <v>1106</v>
      </c>
      <c r="G286" s="32">
        <v>39262</v>
      </c>
      <c r="H286" s="25">
        <v>45664</v>
      </c>
      <c r="I286" s="11">
        <v>0.48958333333333331</v>
      </c>
      <c r="J286" s="4" t="s">
        <v>463</v>
      </c>
      <c r="K286" s="4">
        <v>2059</v>
      </c>
      <c r="L286" s="4" t="s">
        <v>1101</v>
      </c>
      <c r="M286" s="4" t="s">
        <v>1107</v>
      </c>
      <c r="N286" s="4" t="s">
        <v>1108</v>
      </c>
      <c r="O286" s="4" t="s">
        <v>46</v>
      </c>
      <c r="P286" s="4"/>
      <c r="Q286" s="4" t="s">
        <v>47</v>
      </c>
      <c r="R286" s="4" t="s">
        <v>48</v>
      </c>
      <c r="S286" s="4">
        <v>0</v>
      </c>
      <c r="T286" s="4" t="b">
        <v>0</v>
      </c>
      <c r="U286" s="4" t="s">
        <v>49</v>
      </c>
      <c r="V286" s="4" t="s">
        <v>89</v>
      </c>
      <c r="W286" s="4" t="s">
        <v>140</v>
      </c>
      <c r="X286" s="4" t="s">
        <v>63</v>
      </c>
      <c r="Y286" s="4" t="s">
        <v>198</v>
      </c>
      <c r="Z286" s="4" t="s">
        <v>54</v>
      </c>
      <c r="AA286" s="4"/>
      <c r="AB286" s="23">
        <v>0</v>
      </c>
      <c r="AC286" s="28" t="e">
        <v>#N/A</v>
      </c>
      <c r="AD286" s="28" t="e">
        <v>#N/A</v>
      </c>
      <c r="AE286" s="28"/>
      <c r="AF286" s="19">
        <v>45208</v>
      </c>
      <c r="AG286" s="19"/>
      <c r="AH286" s="12">
        <f t="shared" si="16"/>
        <v>1</v>
      </c>
      <c r="AI286" s="12">
        <f t="shared" ca="1" si="17"/>
        <v>2</v>
      </c>
      <c r="AJ286" s="12" t="str">
        <f t="shared" si="18"/>
        <v>1-5 Years</v>
      </c>
      <c r="AK286" s="12" t="s">
        <v>9632</v>
      </c>
      <c r="AL286" s="31">
        <v>25</v>
      </c>
      <c r="AM286" s="31">
        <v>17</v>
      </c>
      <c r="AN286" s="12" t="str">
        <f t="shared" si="19"/>
        <v>Less Than 20 Years</v>
      </c>
      <c r="AO286" s="13" t="s">
        <v>9180</v>
      </c>
      <c r="AP286" s="13" t="s">
        <v>9147</v>
      </c>
      <c r="AQ286" s="14" t="s">
        <v>9139</v>
      </c>
      <c r="AR286" s="14" t="s">
        <v>9140</v>
      </c>
      <c r="AS286" s="14"/>
      <c r="AT286" s="14" t="s">
        <v>63</v>
      </c>
      <c r="AU286" s="14" t="s">
        <v>54</v>
      </c>
      <c r="AV286" s="15" t="s">
        <v>9141</v>
      </c>
      <c r="AW286" s="15" t="s">
        <v>9175</v>
      </c>
      <c r="AX286" s="15" t="s">
        <v>9143</v>
      </c>
      <c r="AY286" s="15" t="s">
        <v>9141</v>
      </c>
      <c r="AZ286" s="15" t="s">
        <v>9175</v>
      </c>
      <c r="BA286" s="16" t="s">
        <v>9141</v>
      </c>
      <c r="BB286" s="16" t="s">
        <v>9176</v>
      </c>
    </row>
    <row r="287" spans="1:54" hidden="1" x14ac:dyDescent="0.25">
      <c r="A287" s="4" t="s">
        <v>1716</v>
      </c>
      <c r="B287" s="4" t="s">
        <v>9536</v>
      </c>
      <c r="C287" s="4"/>
      <c r="D287" s="4" t="s">
        <v>39</v>
      </c>
      <c r="E287" s="4">
        <v>338317</v>
      </c>
      <c r="F287" s="4" t="s">
        <v>1718</v>
      </c>
      <c r="G287" s="32">
        <v>36544</v>
      </c>
      <c r="H287" s="25">
        <v>45665</v>
      </c>
      <c r="I287" s="11">
        <v>0.66666666666666663</v>
      </c>
      <c r="J287" s="4" t="s">
        <v>1654</v>
      </c>
      <c r="K287" s="4">
        <v>9090</v>
      </c>
      <c r="L287" s="4" t="s">
        <v>1719</v>
      </c>
      <c r="M287" s="4" t="s">
        <v>1720</v>
      </c>
      <c r="N287" s="4" t="s">
        <v>1721</v>
      </c>
      <c r="O287" s="4" t="s">
        <v>46</v>
      </c>
      <c r="P287" s="4"/>
      <c r="Q287" s="4" t="s">
        <v>47</v>
      </c>
      <c r="R287" s="4" t="s">
        <v>48</v>
      </c>
      <c r="S287" s="4">
        <v>0</v>
      </c>
      <c r="T287" s="4" t="b">
        <v>0</v>
      </c>
      <c r="U287" s="4" t="s">
        <v>61</v>
      </c>
      <c r="V287" s="4" t="s">
        <v>1722</v>
      </c>
      <c r="W287" s="4" t="s">
        <v>122</v>
      </c>
      <c r="X287" s="4" t="s">
        <v>672</v>
      </c>
      <c r="Y287" s="4" t="s">
        <v>1121</v>
      </c>
      <c r="Z287" s="4" t="s">
        <v>1131</v>
      </c>
      <c r="AA287" s="4"/>
      <c r="AB287" s="23">
        <v>0</v>
      </c>
      <c r="AC287" s="28" t="e">
        <v>#N/A</v>
      </c>
      <c r="AD287" s="28" t="e">
        <v>#N/A</v>
      </c>
      <c r="AE287" s="28"/>
      <c r="AF287" s="19">
        <v>45649</v>
      </c>
      <c r="AG287" s="19"/>
      <c r="AH287" s="12">
        <f t="shared" si="16"/>
        <v>0</v>
      </c>
      <c r="AI287" s="12">
        <f t="shared" ca="1" si="17"/>
        <v>1</v>
      </c>
      <c r="AJ287" s="12" t="str">
        <f t="shared" si="18"/>
        <v>Under 1 Year</v>
      </c>
      <c r="AK287" s="12" t="s">
        <v>9633</v>
      </c>
      <c r="AL287" s="31">
        <v>0.01</v>
      </c>
      <c r="AM287" s="31">
        <v>25</v>
      </c>
      <c r="AN287" s="12" t="str">
        <f t="shared" si="19"/>
        <v>25-34 Years</v>
      </c>
      <c r="AO287" s="13" t="s">
        <v>9180</v>
      </c>
      <c r="AP287" s="13" t="s">
        <v>9147</v>
      </c>
      <c r="AQ287" s="14" t="s">
        <v>9148</v>
      </c>
      <c r="AR287" s="14" t="s">
        <v>9140</v>
      </c>
      <c r="AS287" s="14"/>
      <c r="AT287" s="14" t="s">
        <v>672</v>
      </c>
      <c r="AU287" s="14" t="s">
        <v>1131</v>
      </c>
      <c r="AV287" s="15" t="s">
        <v>9141</v>
      </c>
      <c r="AW287" s="15" t="s">
        <v>9191</v>
      </c>
      <c r="AX287" s="15" t="s">
        <v>9143</v>
      </c>
      <c r="AY287" s="15" t="s">
        <v>9141</v>
      </c>
      <c r="AZ287" s="15" t="s">
        <v>9191</v>
      </c>
      <c r="BA287" s="16" t="s">
        <v>9141</v>
      </c>
      <c r="BB287" s="16" t="s">
        <v>9192</v>
      </c>
    </row>
    <row r="288" spans="1:54" hidden="1" x14ac:dyDescent="0.25">
      <c r="A288" s="4" t="s">
        <v>1841</v>
      </c>
      <c r="B288" s="4" t="s">
        <v>9537</v>
      </c>
      <c r="C288" s="4"/>
      <c r="D288" s="4" t="s">
        <v>39</v>
      </c>
      <c r="E288" s="4">
        <v>331312</v>
      </c>
      <c r="F288" s="4" t="s">
        <v>1843</v>
      </c>
      <c r="G288" s="32">
        <v>39192</v>
      </c>
      <c r="H288" s="25">
        <v>45666</v>
      </c>
      <c r="I288" s="11">
        <v>0.375</v>
      </c>
      <c r="J288" s="4" t="s">
        <v>1654</v>
      </c>
      <c r="K288" s="4">
        <v>9097</v>
      </c>
      <c r="L288" s="4" t="s">
        <v>1844</v>
      </c>
      <c r="M288" s="4" t="s">
        <v>1845</v>
      </c>
      <c r="N288" s="4" t="s">
        <v>1846</v>
      </c>
      <c r="O288" s="4" t="s">
        <v>46</v>
      </c>
      <c r="P288" s="4"/>
      <c r="Q288" s="4" t="s">
        <v>47</v>
      </c>
      <c r="R288" s="4" t="s">
        <v>48</v>
      </c>
      <c r="S288" s="4">
        <v>0</v>
      </c>
      <c r="T288" s="4" t="b">
        <v>0</v>
      </c>
      <c r="U288" s="4" t="s">
        <v>49</v>
      </c>
      <c r="V288" s="4" t="s">
        <v>70</v>
      </c>
      <c r="W288" s="4" t="s">
        <v>71</v>
      </c>
      <c r="X288" s="4" t="s">
        <v>63</v>
      </c>
      <c r="Y288" s="4" t="s">
        <v>312</v>
      </c>
      <c r="Z288" s="4" t="s">
        <v>54</v>
      </c>
      <c r="AA288" s="4"/>
      <c r="AB288" s="23">
        <v>0</v>
      </c>
      <c r="AC288" s="28" t="e">
        <v>#N/A</v>
      </c>
      <c r="AD288" s="28" t="e">
        <v>#N/A</v>
      </c>
      <c r="AE288" s="28"/>
      <c r="AF288" s="19">
        <v>45222</v>
      </c>
      <c r="AG288" s="19"/>
      <c r="AH288" s="12">
        <f t="shared" si="16"/>
        <v>1</v>
      </c>
      <c r="AI288" s="12">
        <f t="shared" ca="1" si="17"/>
        <v>2</v>
      </c>
      <c r="AJ288" s="12" t="str">
        <f t="shared" si="18"/>
        <v>1-5 Years</v>
      </c>
      <c r="AK288" s="12" t="s">
        <v>9632</v>
      </c>
      <c r="AL288" s="31">
        <v>15</v>
      </c>
      <c r="AM288" s="31">
        <v>18</v>
      </c>
      <c r="AN288" s="12" t="str">
        <f t="shared" si="19"/>
        <v>Less Than 20 Years</v>
      </c>
      <c r="AO288" s="13" t="s">
        <v>9180</v>
      </c>
      <c r="AP288" s="13" t="s">
        <v>9147</v>
      </c>
      <c r="AQ288" s="14" t="s">
        <v>9139</v>
      </c>
      <c r="AR288" s="14" t="s">
        <v>9140</v>
      </c>
      <c r="AS288" s="14"/>
      <c r="AT288" s="14" t="s">
        <v>63</v>
      </c>
      <c r="AU288" s="14" t="s">
        <v>54</v>
      </c>
      <c r="AV288" s="15" t="s">
        <v>9141</v>
      </c>
      <c r="AW288" s="15" t="s">
        <v>9191</v>
      </c>
      <c r="AX288" s="15" t="s">
        <v>9143</v>
      </c>
      <c r="AY288" s="15" t="s">
        <v>9141</v>
      </c>
      <c r="AZ288" s="15" t="s">
        <v>9191</v>
      </c>
      <c r="BA288" s="16" t="s">
        <v>9141</v>
      </c>
      <c r="BB288" s="16" t="s">
        <v>9192</v>
      </c>
    </row>
    <row r="289" spans="1:54" hidden="1" x14ac:dyDescent="0.25">
      <c r="A289" s="4" t="s">
        <v>510</v>
      </c>
      <c r="B289" s="4" t="s">
        <v>9538</v>
      </c>
      <c r="C289" s="4"/>
      <c r="D289" s="4" t="s">
        <v>39</v>
      </c>
      <c r="E289" s="4">
        <v>329940</v>
      </c>
      <c r="F289" s="4" t="s">
        <v>512</v>
      </c>
      <c r="G289" s="32">
        <v>31789</v>
      </c>
      <c r="H289" s="25">
        <v>45673</v>
      </c>
      <c r="I289" s="11">
        <v>0.49305555555555558</v>
      </c>
      <c r="J289" s="4" t="s">
        <v>463</v>
      </c>
      <c r="K289" s="4">
        <v>2019</v>
      </c>
      <c r="L289" s="4" t="s">
        <v>513</v>
      </c>
      <c r="M289" s="4" t="s">
        <v>514</v>
      </c>
      <c r="N289" s="4" t="s">
        <v>515</v>
      </c>
      <c r="O289" s="4" t="s">
        <v>46</v>
      </c>
      <c r="P289" s="4"/>
      <c r="Q289" s="4" t="s">
        <v>47</v>
      </c>
      <c r="R289" s="4" t="s">
        <v>48</v>
      </c>
      <c r="S289" s="4">
        <v>0</v>
      </c>
      <c r="T289" s="4" t="b">
        <v>0</v>
      </c>
      <c r="U289" s="4" t="s">
        <v>114</v>
      </c>
      <c r="V289" s="4" t="s">
        <v>89</v>
      </c>
      <c r="W289" s="4" t="s">
        <v>148</v>
      </c>
      <c r="X289" s="4" t="s">
        <v>52</v>
      </c>
      <c r="Y289" s="4" t="s">
        <v>53</v>
      </c>
      <c r="Z289" s="4" t="s">
        <v>54</v>
      </c>
      <c r="AA289" s="4"/>
      <c r="AB289" s="23">
        <v>0</v>
      </c>
      <c r="AC289" s="28" t="e">
        <v>#N/A</v>
      </c>
      <c r="AD289" s="28" t="s">
        <v>8711</v>
      </c>
      <c r="AE289" s="28"/>
      <c r="AF289" s="19">
        <v>45131</v>
      </c>
      <c r="AG289" s="19">
        <v>45746</v>
      </c>
      <c r="AH289" s="12">
        <f t="shared" si="16"/>
        <v>1</v>
      </c>
      <c r="AI289" s="12">
        <f t="shared" ca="1" si="17"/>
        <v>1</v>
      </c>
      <c r="AJ289" s="12" t="str">
        <f t="shared" si="18"/>
        <v>1-5 Years</v>
      </c>
      <c r="AK289" s="12" t="s">
        <v>9632</v>
      </c>
      <c r="AL289" s="31">
        <v>22.5</v>
      </c>
      <c r="AM289" s="31">
        <v>38</v>
      </c>
      <c r="AN289" s="12" t="str">
        <f t="shared" si="19"/>
        <v>35-44 Years</v>
      </c>
      <c r="AO289" s="13" t="s">
        <v>9180</v>
      </c>
      <c r="AP289" s="13" t="s">
        <v>9147</v>
      </c>
      <c r="AQ289" s="14" t="s">
        <v>9157</v>
      </c>
      <c r="AR289" s="14" t="s">
        <v>9140</v>
      </c>
      <c r="AS289" s="14"/>
      <c r="AT289" s="14" t="s">
        <v>52</v>
      </c>
      <c r="AU289" s="14" t="s">
        <v>54</v>
      </c>
      <c r="AV289" s="15" t="s">
        <v>9141</v>
      </c>
      <c r="AW289" s="15" t="s">
        <v>9175</v>
      </c>
      <c r="AX289" s="15" t="s">
        <v>9143</v>
      </c>
      <c r="AY289" s="15" t="s">
        <v>9141</v>
      </c>
      <c r="AZ289" s="15" t="s">
        <v>9177</v>
      </c>
      <c r="BA289" s="16" t="s">
        <v>9141</v>
      </c>
      <c r="BB289" s="16" t="s">
        <v>9178</v>
      </c>
    </row>
    <row r="290" spans="1:54" hidden="1" x14ac:dyDescent="0.25">
      <c r="A290" s="4" t="s">
        <v>1209</v>
      </c>
      <c r="B290" s="4" t="s">
        <v>9539</v>
      </c>
      <c r="C290" s="4"/>
      <c r="D290" s="4" t="s">
        <v>39</v>
      </c>
      <c r="E290" s="4">
        <v>294740</v>
      </c>
      <c r="F290" s="4" t="s">
        <v>1199</v>
      </c>
      <c r="G290" s="32">
        <v>36872</v>
      </c>
      <c r="H290" s="25">
        <v>45673</v>
      </c>
      <c r="I290" s="11">
        <v>0.4201388888888889</v>
      </c>
      <c r="J290" s="4" t="s">
        <v>1155</v>
      </c>
      <c r="K290" s="4">
        <v>4043</v>
      </c>
      <c r="L290" s="4" t="s">
        <v>1200</v>
      </c>
      <c r="M290" s="4" t="s">
        <v>1210</v>
      </c>
      <c r="N290" s="4" t="s">
        <v>1211</v>
      </c>
      <c r="O290" s="4" t="s">
        <v>46</v>
      </c>
      <c r="P290" s="4"/>
      <c r="Q290" s="4" t="s">
        <v>47</v>
      </c>
      <c r="R290" s="4" t="s">
        <v>48</v>
      </c>
      <c r="S290" s="4">
        <v>0</v>
      </c>
      <c r="T290" s="4" t="b">
        <v>0</v>
      </c>
      <c r="U290" s="4" t="s">
        <v>49</v>
      </c>
      <c r="V290" s="4" t="s">
        <v>50</v>
      </c>
      <c r="W290" s="4" t="s">
        <v>71</v>
      </c>
      <c r="X290" s="4" t="s">
        <v>63</v>
      </c>
      <c r="Y290" s="4" t="s">
        <v>312</v>
      </c>
      <c r="Z290" s="4" t="s">
        <v>54</v>
      </c>
      <c r="AA290" s="4" t="s">
        <v>323</v>
      </c>
      <c r="AB290" s="23">
        <v>0</v>
      </c>
      <c r="AC290" s="28" t="e">
        <v>#N/A</v>
      </c>
      <c r="AD290" s="28" t="e">
        <v>#N/A</v>
      </c>
      <c r="AE290" s="28"/>
      <c r="AF290" s="19">
        <v>42464</v>
      </c>
      <c r="AG290" s="19"/>
      <c r="AH290" s="12">
        <f t="shared" si="16"/>
        <v>8</v>
      </c>
      <c r="AI290" s="12">
        <f t="shared" ca="1" si="17"/>
        <v>10</v>
      </c>
      <c r="AJ290" s="12" t="str">
        <f t="shared" si="18"/>
        <v>6-10 Years</v>
      </c>
      <c r="AK290" s="12" t="s">
        <v>9632</v>
      </c>
      <c r="AL290" s="31">
        <v>28</v>
      </c>
      <c r="AM290" s="31">
        <v>24</v>
      </c>
      <c r="AN290" s="12" t="str">
        <f t="shared" si="19"/>
        <v>20-24 Years</v>
      </c>
      <c r="AO290" s="13" t="s">
        <v>9180</v>
      </c>
      <c r="AP290" s="13" t="s">
        <v>9147</v>
      </c>
      <c r="AQ290" s="14" t="s">
        <v>9139</v>
      </c>
      <c r="AR290" s="14" t="s">
        <v>9140</v>
      </c>
      <c r="AS290" s="14"/>
      <c r="AT290" s="14" t="s">
        <v>63</v>
      </c>
      <c r="AU290" s="14" t="s">
        <v>54</v>
      </c>
      <c r="AV290" s="15" t="s">
        <v>9141</v>
      </c>
      <c r="AW290" s="15" t="s">
        <v>9187</v>
      </c>
      <c r="AX290" s="15" t="s">
        <v>9143</v>
      </c>
      <c r="AY290" s="15" t="s">
        <v>9141</v>
      </c>
      <c r="AZ290" s="15" t="s">
        <v>9144</v>
      </c>
      <c r="BA290" s="16" t="s">
        <v>9141</v>
      </c>
      <c r="BB290" s="16" t="s">
        <v>9145</v>
      </c>
    </row>
    <row r="291" spans="1:54" hidden="1" x14ac:dyDescent="0.25">
      <c r="A291" s="4" t="s">
        <v>219</v>
      </c>
      <c r="B291" s="4" t="s">
        <v>9540</v>
      </c>
      <c r="C291" s="4"/>
      <c r="D291" s="4" t="s">
        <v>39</v>
      </c>
      <c r="E291" s="4">
        <v>406820</v>
      </c>
      <c r="F291" s="4" t="s">
        <v>221</v>
      </c>
      <c r="G291" s="32">
        <v>25843</v>
      </c>
      <c r="H291" s="25">
        <v>45685</v>
      </c>
      <c r="I291" s="11">
        <v>0.4375</v>
      </c>
      <c r="J291" s="4" t="s">
        <v>42</v>
      </c>
      <c r="K291" s="4">
        <v>1011</v>
      </c>
      <c r="L291" s="4" t="s">
        <v>215</v>
      </c>
      <c r="M291" s="4" t="s">
        <v>222</v>
      </c>
      <c r="N291" s="4" t="s">
        <v>223</v>
      </c>
      <c r="O291" s="4" t="s">
        <v>46</v>
      </c>
      <c r="P291" s="4"/>
      <c r="Q291" s="4" t="s">
        <v>47</v>
      </c>
      <c r="R291" s="4" t="s">
        <v>48</v>
      </c>
      <c r="S291" s="4">
        <v>0</v>
      </c>
      <c r="T291" s="4" t="b">
        <v>0</v>
      </c>
      <c r="U291" s="4" t="s">
        <v>49</v>
      </c>
      <c r="V291" s="4" t="s">
        <v>134</v>
      </c>
      <c r="W291" s="4" t="s">
        <v>224</v>
      </c>
      <c r="X291" s="4" t="s">
        <v>225</v>
      </c>
      <c r="Y291" s="4" t="s">
        <v>226</v>
      </c>
      <c r="Z291" s="4" t="s">
        <v>136</v>
      </c>
      <c r="AA291" s="4"/>
      <c r="AB291" s="23">
        <v>0</v>
      </c>
      <c r="AC291" s="28" t="e">
        <v>#N/A</v>
      </c>
      <c r="AD291" s="28" t="e">
        <v>#N/A</v>
      </c>
      <c r="AE291" s="28"/>
      <c r="AF291" s="19">
        <v>42142</v>
      </c>
      <c r="AG291" s="19"/>
      <c r="AH291" s="12">
        <f t="shared" si="16"/>
        <v>9</v>
      </c>
      <c r="AI291" s="12">
        <f t="shared" ca="1" si="17"/>
        <v>11</v>
      </c>
      <c r="AJ291" s="12" t="str">
        <f t="shared" si="18"/>
        <v>6-10 Years</v>
      </c>
      <c r="AK291" s="12" t="s">
        <v>10046</v>
      </c>
      <c r="AL291" s="31">
        <v>38</v>
      </c>
      <c r="AM291" s="31">
        <v>54</v>
      </c>
      <c r="AN291" s="12" t="str">
        <f t="shared" si="19"/>
        <v>45-54 Years</v>
      </c>
      <c r="AO291" s="13" t="s">
        <v>9171</v>
      </c>
      <c r="AP291" s="13" t="s">
        <v>9147</v>
      </c>
      <c r="AQ291" s="14" t="s">
        <v>9139</v>
      </c>
      <c r="AR291" s="14" t="s">
        <v>9140</v>
      </c>
      <c r="AS291" s="14"/>
      <c r="AT291" s="14" t="s">
        <v>225</v>
      </c>
      <c r="AU291" s="14" t="s">
        <v>136</v>
      </c>
      <c r="AV291" s="15" t="s">
        <v>9141</v>
      </c>
      <c r="AW291" s="15" t="s">
        <v>9142</v>
      </c>
      <c r="AX291" s="15" t="s">
        <v>9143</v>
      </c>
      <c r="AY291" s="15" t="s">
        <v>9141</v>
      </c>
      <c r="AZ291" s="15" t="s">
        <v>9144</v>
      </c>
      <c r="BA291" s="16" t="s">
        <v>9141</v>
      </c>
      <c r="BB291" s="16" t="s">
        <v>9145</v>
      </c>
    </row>
    <row r="292" spans="1:54" hidden="1" x14ac:dyDescent="0.25">
      <c r="A292" s="4" t="s">
        <v>759</v>
      </c>
      <c r="B292" s="4" t="s">
        <v>9541</v>
      </c>
      <c r="C292" s="4">
        <v>12240070256</v>
      </c>
      <c r="D292" s="4" t="s">
        <v>39</v>
      </c>
      <c r="E292" s="4">
        <v>288672</v>
      </c>
      <c r="F292" s="4" t="s">
        <v>761</v>
      </c>
      <c r="G292" s="32">
        <v>24388</v>
      </c>
      <c r="H292" s="25">
        <v>45688</v>
      </c>
      <c r="I292" s="11">
        <v>0.56597222222222221</v>
      </c>
      <c r="J292" s="4" t="s">
        <v>463</v>
      </c>
      <c r="K292" s="4">
        <v>2026</v>
      </c>
      <c r="L292" s="4" t="s">
        <v>756</v>
      </c>
      <c r="M292" s="4" t="s">
        <v>762</v>
      </c>
      <c r="N292" s="4" t="s">
        <v>763</v>
      </c>
      <c r="O292" s="4" t="s">
        <v>28</v>
      </c>
      <c r="P292" s="4" t="s">
        <v>478</v>
      </c>
      <c r="Q292" s="4" t="s">
        <v>191</v>
      </c>
      <c r="R292" s="4" t="s">
        <v>60</v>
      </c>
      <c r="S292" s="4">
        <v>0</v>
      </c>
      <c r="T292" s="4" t="b">
        <v>0</v>
      </c>
      <c r="U292" s="4" t="s">
        <v>114</v>
      </c>
      <c r="V292" s="4" t="s">
        <v>583</v>
      </c>
      <c r="W292" s="4" t="s">
        <v>175</v>
      </c>
      <c r="X292" s="4" t="s">
        <v>52</v>
      </c>
      <c r="Y292" s="4" t="s">
        <v>53</v>
      </c>
      <c r="Z292" s="4" t="s">
        <v>54</v>
      </c>
      <c r="AA292" s="4"/>
      <c r="AB292" s="23" t="s">
        <v>60</v>
      </c>
      <c r="AC292" s="28" t="e">
        <v>#N/A</v>
      </c>
      <c r="AD292" s="28" t="e">
        <v>#N/A</v>
      </c>
      <c r="AE292" s="28"/>
      <c r="AF292" s="19">
        <v>39006</v>
      </c>
      <c r="AG292" s="19"/>
      <c r="AH292" s="12">
        <f t="shared" si="16"/>
        <v>18</v>
      </c>
      <c r="AI292" s="12">
        <f t="shared" ca="1" si="17"/>
        <v>19</v>
      </c>
      <c r="AJ292" s="12" t="str">
        <f t="shared" si="18"/>
        <v>16-20 Years</v>
      </c>
      <c r="AK292" s="12" t="s">
        <v>9632</v>
      </c>
      <c r="AL292" s="31">
        <v>35</v>
      </c>
      <c r="AM292" s="31">
        <v>58</v>
      </c>
      <c r="AN292" s="12" t="str">
        <f t="shared" si="19"/>
        <v>More Than 55 Years</v>
      </c>
      <c r="AO292" s="13" t="s">
        <v>9171</v>
      </c>
      <c r="AP292" s="13" t="s">
        <v>9147</v>
      </c>
      <c r="AQ292" s="14" t="s">
        <v>9157</v>
      </c>
      <c r="AR292" s="14" t="s">
        <v>28</v>
      </c>
      <c r="AS292" s="14" t="s">
        <v>478</v>
      </c>
      <c r="AT292" s="14" t="s">
        <v>52</v>
      </c>
      <c r="AU292" s="14" t="s">
        <v>54</v>
      </c>
      <c r="AV292" s="15" t="s">
        <v>9141</v>
      </c>
      <c r="AW292" s="15" t="s">
        <v>9175</v>
      </c>
      <c r="AX292" s="15" t="s">
        <v>9143</v>
      </c>
      <c r="AY292" s="15" t="s">
        <v>9141</v>
      </c>
      <c r="AZ292" s="15" t="s">
        <v>9177</v>
      </c>
      <c r="BA292" s="16" t="s">
        <v>9141</v>
      </c>
      <c r="BB292" s="16" t="s">
        <v>9178</v>
      </c>
    </row>
    <row r="293" spans="1:54" hidden="1" x14ac:dyDescent="0.25">
      <c r="A293" s="4" t="s">
        <v>1203</v>
      </c>
      <c r="B293" s="4" t="s">
        <v>9542</v>
      </c>
      <c r="C293" s="4" t="s">
        <v>1204</v>
      </c>
      <c r="D293" s="4" t="s">
        <v>39</v>
      </c>
      <c r="E293" s="4">
        <v>293616</v>
      </c>
      <c r="F293" s="4" t="s">
        <v>1206</v>
      </c>
      <c r="G293" s="32">
        <v>32978</v>
      </c>
      <c r="H293" s="25">
        <v>45695</v>
      </c>
      <c r="I293" s="11">
        <v>0.33333333333333331</v>
      </c>
      <c r="J293" s="4" t="s">
        <v>1155</v>
      </c>
      <c r="K293" s="4">
        <v>4043</v>
      </c>
      <c r="L293" s="4" t="s">
        <v>1200</v>
      </c>
      <c r="M293" s="4" t="s">
        <v>1207</v>
      </c>
      <c r="N293" s="4" t="s">
        <v>1208</v>
      </c>
      <c r="O293" s="4" t="s">
        <v>28</v>
      </c>
      <c r="P293" s="4" t="s">
        <v>478</v>
      </c>
      <c r="Q293" s="4" t="s">
        <v>344</v>
      </c>
      <c r="R293" s="4" t="s">
        <v>60</v>
      </c>
      <c r="S293" s="4">
        <v>55</v>
      </c>
      <c r="T293" s="4" t="b">
        <v>0</v>
      </c>
      <c r="U293" s="4" t="s">
        <v>61</v>
      </c>
      <c r="V293" s="4" t="s">
        <v>115</v>
      </c>
      <c r="W293" s="4" t="s">
        <v>224</v>
      </c>
      <c r="X293" s="4" t="s">
        <v>52</v>
      </c>
      <c r="Y293" s="4" t="s">
        <v>53</v>
      </c>
      <c r="Z293" s="4" t="s">
        <v>54</v>
      </c>
      <c r="AA293" s="4" t="s">
        <v>775</v>
      </c>
      <c r="AB293" s="23" t="s">
        <v>60</v>
      </c>
      <c r="AC293" s="28" t="s">
        <v>9580</v>
      </c>
      <c r="AD293" s="28" t="e">
        <v>#N/A</v>
      </c>
      <c r="AE293" s="33" t="s">
        <v>9583</v>
      </c>
      <c r="AF293" s="19">
        <v>41603</v>
      </c>
      <c r="AG293" s="19"/>
      <c r="AH293" s="12">
        <f t="shared" si="16"/>
        <v>11</v>
      </c>
      <c r="AI293" s="12">
        <f t="shared" ca="1" si="17"/>
        <v>12</v>
      </c>
      <c r="AJ293" s="12" t="str">
        <f t="shared" si="18"/>
        <v>11-15 Years</v>
      </c>
      <c r="AK293" s="12" t="s">
        <v>9632</v>
      </c>
      <c r="AL293" s="31">
        <v>14.25</v>
      </c>
      <c r="AM293" s="31">
        <v>35</v>
      </c>
      <c r="AN293" s="12" t="str">
        <f t="shared" si="19"/>
        <v>35-44 Years</v>
      </c>
      <c r="AO293" s="13" t="s">
        <v>9171</v>
      </c>
      <c r="AP293" s="13" t="s">
        <v>9147</v>
      </c>
      <c r="AQ293" s="14" t="s">
        <v>9148</v>
      </c>
      <c r="AR293" s="14" t="s">
        <v>28</v>
      </c>
      <c r="AS293" s="14" t="s">
        <v>478</v>
      </c>
      <c r="AT293" s="14" t="s">
        <v>52</v>
      </c>
      <c r="AU293" s="14" t="s">
        <v>54</v>
      </c>
      <c r="AV293" s="15" t="s">
        <v>9141</v>
      </c>
      <c r="AW293" s="15" t="s">
        <v>9187</v>
      </c>
      <c r="AX293" s="15" t="s">
        <v>9143</v>
      </c>
      <c r="AY293" s="15" t="s">
        <v>9141</v>
      </c>
      <c r="AZ293" s="15" t="s">
        <v>9144</v>
      </c>
      <c r="BA293" s="16" t="s">
        <v>9141</v>
      </c>
      <c r="BB293" s="16" t="s">
        <v>9145</v>
      </c>
    </row>
    <row r="294" spans="1:54" x14ac:dyDescent="0.25">
      <c r="A294" s="4" t="s">
        <v>1534</v>
      </c>
      <c r="B294" s="4" t="s">
        <v>9543</v>
      </c>
      <c r="C294" s="4"/>
      <c r="D294" s="4" t="s">
        <v>39</v>
      </c>
      <c r="E294" s="4">
        <v>296522</v>
      </c>
      <c r="F294" s="4" t="s">
        <v>1536</v>
      </c>
      <c r="G294" s="32">
        <v>26070</v>
      </c>
      <c r="H294" s="25">
        <v>45699</v>
      </c>
      <c r="I294" s="11">
        <v>0.52916666666666667</v>
      </c>
      <c r="J294" s="4" t="s">
        <v>1366</v>
      </c>
      <c r="K294" s="4">
        <v>6068</v>
      </c>
      <c r="L294" s="4" t="s">
        <v>1537</v>
      </c>
      <c r="M294" s="4" t="s">
        <v>1538</v>
      </c>
      <c r="N294" s="4" t="s">
        <v>1539</v>
      </c>
      <c r="O294" s="4" t="s">
        <v>46</v>
      </c>
      <c r="P294" s="4"/>
      <c r="Q294" s="4" t="s">
        <v>47</v>
      </c>
      <c r="R294" s="4" t="s">
        <v>48</v>
      </c>
      <c r="S294" s="4">
        <v>0</v>
      </c>
      <c r="T294" s="4" t="b">
        <v>0</v>
      </c>
      <c r="U294" s="4" t="s">
        <v>61</v>
      </c>
      <c r="V294" s="4" t="s">
        <v>50</v>
      </c>
      <c r="W294" s="4" t="s">
        <v>1081</v>
      </c>
      <c r="X294" s="4" t="s">
        <v>63</v>
      </c>
      <c r="Y294" s="4" t="s">
        <v>108</v>
      </c>
      <c r="Z294" s="4" t="s">
        <v>54</v>
      </c>
      <c r="AA294" s="4"/>
      <c r="AB294" s="23">
        <v>0</v>
      </c>
      <c r="AC294" s="28" t="e">
        <v>#N/A</v>
      </c>
      <c r="AD294" s="28" t="e">
        <v>#N/A</v>
      </c>
      <c r="AE294" s="28"/>
      <c r="AF294" s="19">
        <v>43577</v>
      </c>
      <c r="AG294" s="19"/>
      <c r="AH294" s="12">
        <f t="shared" si="16"/>
        <v>5</v>
      </c>
      <c r="AI294" s="12">
        <f t="shared" ca="1" si="17"/>
        <v>7</v>
      </c>
      <c r="AJ294" s="12" t="str">
        <f t="shared" si="18"/>
        <v>1-5 Years</v>
      </c>
      <c r="AK294" s="12" t="s">
        <v>9632</v>
      </c>
      <c r="AL294" s="31">
        <v>32.25</v>
      </c>
      <c r="AM294" s="31">
        <v>53</v>
      </c>
      <c r="AN294" s="12" t="str">
        <f t="shared" si="19"/>
        <v>45-54 Years</v>
      </c>
      <c r="AO294" s="13" t="s">
        <v>9171</v>
      </c>
      <c r="AP294" s="13" t="s">
        <v>9147</v>
      </c>
      <c r="AQ294" s="14" t="s">
        <v>9148</v>
      </c>
      <c r="AR294" s="14" t="s">
        <v>9140</v>
      </c>
      <c r="AS294" s="14"/>
      <c r="AT294" s="14" t="s">
        <v>63</v>
      </c>
      <c r="AU294" s="14" t="s">
        <v>54</v>
      </c>
      <c r="AV294" s="15" t="s">
        <v>9141</v>
      </c>
      <c r="AW294" s="15" t="s">
        <v>9188</v>
      </c>
      <c r="AX294" s="15" t="s">
        <v>9143</v>
      </c>
      <c r="AY294" s="15" t="s">
        <v>9141</v>
      </c>
      <c r="AZ294" s="15" t="s">
        <v>9189</v>
      </c>
      <c r="BA294" s="16" t="s">
        <v>9141</v>
      </c>
      <c r="BB294" s="16" t="s">
        <v>9190</v>
      </c>
    </row>
    <row r="295" spans="1:54" x14ac:dyDescent="0.25">
      <c r="A295" s="4" t="s">
        <v>1540</v>
      </c>
      <c r="B295" s="4" t="s">
        <v>9544</v>
      </c>
      <c r="C295" s="4">
        <v>7687882</v>
      </c>
      <c r="D295" s="4" t="s">
        <v>39</v>
      </c>
      <c r="E295" s="4">
        <v>334999</v>
      </c>
      <c r="F295" s="4" t="s">
        <v>1542</v>
      </c>
      <c r="G295" s="32">
        <v>24355</v>
      </c>
      <c r="H295" s="25">
        <v>45699</v>
      </c>
      <c r="I295" s="11">
        <v>0.7055555555555556</v>
      </c>
      <c r="J295" s="4" t="s">
        <v>1366</v>
      </c>
      <c r="K295" s="4">
        <v>6068</v>
      </c>
      <c r="L295" s="4" t="s">
        <v>1537</v>
      </c>
      <c r="M295" s="4" t="s">
        <v>1543</v>
      </c>
      <c r="N295" s="4" t="s">
        <v>1544</v>
      </c>
      <c r="O295" s="4" t="s">
        <v>46</v>
      </c>
      <c r="P295" s="4"/>
      <c r="Q295" s="4" t="s">
        <v>47</v>
      </c>
      <c r="R295" s="4" t="s">
        <v>48</v>
      </c>
      <c r="S295" s="4">
        <v>0</v>
      </c>
      <c r="T295" s="4" t="b">
        <v>0</v>
      </c>
      <c r="U295" s="4" t="s">
        <v>114</v>
      </c>
      <c r="V295" s="4" t="s">
        <v>1545</v>
      </c>
      <c r="W295" s="4" t="s">
        <v>1546</v>
      </c>
      <c r="X295" s="4" t="s">
        <v>1547</v>
      </c>
      <c r="Y295" s="4" t="s">
        <v>1548</v>
      </c>
      <c r="Z295" s="4" t="s">
        <v>774</v>
      </c>
      <c r="AA295" s="4"/>
      <c r="AB295" s="23">
        <v>0</v>
      </c>
      <c r="AC295" s="28" t="e">
        <v>#N/A</v>
      </c>
      <c r="AD295" s="28" t="e">
        <v>#N/A</v>
      </c>
      <c r="AE295" s="28"/>
      <c r="AF295" s="19">
        <v>45460</v>
      </c>
      <c r="AG295" s="19"/>
      <c r="AH295" s="12">
        <f t="shared" si="16"/>
        <v>0</v>
      </c>
      <c r="AI295" s="12">
        <f t="shared" ca="1" si="17"/>
        <v>2</v>
      </c>
      <c r="AJ295" s="12" t="str">
        <f t="shared" si="18"/>
        <v>Under 1 Year</v>
      </c>
      <c r="AK295" s="12" t="s">
        <v>9633</v>
      </c>
      <c r="AL295" s="31">
        <v>0.01</v>
      </c>
      <c r="AM295" s="31">
        <v>58</v>
      </c>
      <c r="AN295" s="12" t="str">
        <f t="shared" si="19"/>
        <v>More Than 55 Years</v>
      </c>
      <c r="AO295" s="13" t="s">
        <v>9171</v>
      </c>
      <c r="AP295" s="13" t="s">
        <v>9147</v>
      </c>
      <c r="AQ295" s="14" t="s">
        <v>9157</v>
      </c>
      <c r="AR295" s="14" t="s">
        <v>9140</v>
      </c>
      <c r="AS295" s="14"/>
      <c r="AT295" s="14" t="s">
        <v>1547</v>
      </c>
      <c r="AU295" s="14" t="s">
        <v>774</v>
      </c>
      <c r="AV295" s="15" t="s">
        <v>9141</v>
      </c>
      <c r="AW295" s="15" t="s">
        <v>9188</v>
      </c>
      <c r="AX295" s="15" t="s">
        <v>9143</v>
      </c>
      <c r="AY295" s="15" t="s">
        <v>9141</v>
      </c>
      <c r="AZ295" s="15" t="s">
        <v>9189</v>
      </c>
      <c r="BA295" s="16" t="s">
        <v>9141</v>
      </c>
      <c r="BB295" s="16" t="s">
        <v>9190</v>
      </c>
    </row>
    <row r="296" spans="1:54" hidden="1" x14ac:dyDescent="0.25">
      <c r="A296" s="4" t="s">
        <v>955</v>
      </c>
      <c r="B296" s="4" t="s">
        <v>9545</v>
      </c>
      <c r="C296" s="4"/>
      <c r="D296" s="4" t="s">
        <v>39</v>
      </c>
      <c r="E296" s="4">
        <v>337989</v>
      </c>
      <c r="F296" s="4" t="s">
        <v>957</v>
      </c>
      <c r="G296" s="32">
        <v>37384</v>
      </c>
      <c r="H296" s="25">
        <v>45705</v>
      </c>
      <c r="I296" s="11">
        <v>0.45694444444444443</v>
      </c>
      <c r="J296" s="4" t="s">
        <v>463</v>
      </c>
      <c r="K296" s="4">
        <v>2033</v>
      </c>
      <c r="L296" s="4" t="s">
        <v>952</v>
      </c>
      <c r="M296" s="4" t="s">
        <v>958</v>
      </c>
      <c r="N296" s="4" t="s">
        <v>959</v>
      </c>
      <c r="O296" s="4" t="s">
        <v>46</v>
      </c>
      <c r="P296" s="4"/>
      <c r="Q296" s="4" t="s">
        <v>191</v>
      </c>
      <c r="R296" s="4" t="s">
        <v>60</v>
      </c>
      <c r="S296" s="4">
        <v>0</v>
      </c>
      <c r="T296" s="4" t="b">
        <v>0</v>
      </c>
      <c r="U296" s="4" t="s">
        <v>184</v>
      </c>
      <c r="V296" s="4" t="s">
        <v>115</v>
      </c>
      <c r="W296" s="4" t="s">
        <v>373</v>
      </c>
      <c r="X296" s="4" t="s">
        <v>52</v>
      </c>
      <c r="Y296" s="4" t="s">
        <v>255</v>
      </c>
      <c r="Z296" s="4" t="s">
        <v>54</v>
      </c>
      <c r="AA296" s="4"/>
      <c r="AB296" s="23">
        <v>0</v>
      </c>
      <c r="AC296" s="28" t="e">
        <v>#N/A</v>
      </c>
      <c r="AD296" s="28" t="e">
        <v>#N/A</v>
      </c>
      <c r="AE296" s="28"/>
      <c r="AF296" s="19">
        <v>45617</v>
      </c>
      <c r="AG296" s="19"/>
      <c r="AH296" s="12">
        <f t="shared" si="16"/>
        <v>0</v>
      </c>
      <c r="AI296" s="12">
        <f t="shared" ca="1" si="17"/>
        <v>1</v>
      </c>
      <c r="AJ296" s="12" t="str">
        <f t="shared" si="18"/>
        <v>Under 1 Year</v>
      </c>
      <c r="AK296" s="12" t="s">
        <v>9633</v>
      </c>
      <c r="AL296" s="31">
        <v>0.01</v>
      </c>
      <c r="AM296" s="31">
        <v>23</v>
      </c>
      <c r="AN296" s="12" t="str">
        <f t="shared" si="19"/>
        <v>20-24 Years</v>
      </c>
      <c r="AO296" s="13" t="s">
        <v>9171</v>
      </c>
      <c r="AP296" s="13" t="s">
        <v>9147</v>
      </c>
      <c r="AQ296" s="14" t="s">
        <v>9166</v>
      </c>
      <c r="AR296" s="14" t="s">
        <v>9140</v>
      </c>
      <c r="AS296" s="14"/>
      <c r="AT296" s="14" t="s">
        <v>52</v>
      </c>
      <c r="AU296" s="14" t="s">
        <v>54</v>
      </c>
      <c r="AV296" s="15" t="s">
        <v>9141</v>
      </c>
      <c r="AW296" s="15" t="s">
        <v>9175</v>
      </c>
      <c r="AX296" s="15" t="s">
        <v>9143</v>
      </c>
      <c r="AY296" s="15" t="s">
        <v>9141</v>
      </c>
      <c r="AZ296" s="15" t="s">
        <v>9175</v>
      </c>
      <c r="BA296" s="16" t="s">
        <v>9141</v>
      </c>
      <c r="BB296" s="16" t="s">
        <v>9176</v>
      </c>
    </row>
    <row r="297" spans="1:54" hidden="1" x14ac:dyDescent="0.25">
      <c r="A297" s="4" t="s">
        <v>1669</v>
      </c>
      <c r="B297" s="4" t="s">
        <v>9546</v>
      </c>
      <c r="C297" s="4"/>
      <c r="D297" s="4" t="s">
        <v>39</v>
      </c>
      <c r="E297" s="4">
        <v>330730</v>
      </c>
      <c r="F297" s="4" t="s">
        <v>1665</v>
      </c>
      <c r="G297" s="32">
        <v>23195</v>
      </c>
      <c r="H297" s="25">
        <v>45707</v>
      </c>
      <c r="I297" s="11">
        <v>0.63541666666666663</v>
      </c>
      <c r="J297" s="4" t="s">
        <v>1654</v>
      </c>
      <c r="K297" s="4">
        <v>9087</v>
      </c>
      <c r="L297" s="4" t="s">
        <v>1666</v>
      </c>
      <c r="M297" s="4" t="s">
        <v>1670</v>
      </c>
      <c r="N297" s="4" t="s">
        <v>1671</v>
      </c>
      <c r="O297" s="4" t="s">
        <v>46</v>
      </c>
      <c r="P297" s="4"/>
      <c r="Q297" s="4" t="s">
        <v>47</v>
      </c>
      <c r="R297" s="4" t="s">
        <v>48</v>
      </c>
      <c r="S297" s="4">
        <v>0</v>
      </c>
      <c r="T297" s="4" t="b">
        <v>0</v>
      </c>
      <c r="U297" s="4" t="s">
        <v>49</v>
      </c>
      <c r="V297" s="4" t="s">
        <v>115</v>
      </c>
      <c r="W297" s="4" t="s">
        <v>51</v>
      </c>
      <c r="X297" s="4" t="s">
        <v>123</v>
      </c>
      <c r="Y297" s="4" t="s">
        <v>124</v>
      </c>
      <c r="Z297" s="4" t="s">
        <v>54</v>
      </c>
      <c r="AA297" s="4" t="s">
        <v>302</v>
      </c>
      <c r="AB297" s="23">
        <v>0</v>
      </c>
      <c r="AC297" s="28" t="e">
        <v>#N/A</v>
      </c>
      <c r="AD297" s="28" t="e">
        <v>#N/A</v>
      </c>
      <c r="AE297" s="28"/>
      <c r="AF297" s="19">
        <v>45173</v>
      </c>
      <c r="AG297" s="19"/>
      <c r="AH297" s="12">
        <f t="shared" si="16"/>
        <v>1</v>
      </c>
      <c r="AI297" s="12">
        <f t="shared" ca="1" si="17"/>
        <v>3</v>
      </c>
      <c r="AJ297" s="12" t="str">
        <f t="shared" si="18"/>
        <v>1-5 Years</v>
      </c>
      <c r="AK297" s="12" t="s">
        <v>10046</v>
      </c>
      <c r="AL297" s="31">
        <v>38</v>
      </c>
      <c r="AM297" s="31">
        <v>61</v>
      </c>
      <c r="AN297" s="12" t="str">
        <f t="shared" si="19"/>
        <v>More Than 55 Years</v>
      </c>
      <c r="AO297" s="13" t="s">
        <v>9171</v>
      </c>
      <c r="AP297" s="13" t="s">
        <v>9147</v>
      </c>
      <c r="AQ297" s="14" t="s">
        <v>9139</v>
      </c>
      <c r="AR297" s="14" t="s">
        <v>9140</v>
      </c>
      <c r="AS297" s="14"/>
      <c r="AT297" s="14" t="s">
        <v>123</v>
      </c>
      <c r="AU297" s="14" t="s">
        <v>54</v>
      </c>
      <c r="AV297" s="15" t="s">
        <v>9141</v>
      </c>
      <c r="AW297" s="15" t="s">
        <v>9191</v>
      </c>
      <c r="AX297" s="15" t="s">
        <v>9143</v>
      </c>
      <c r="AY297" s="15" t="s">
        <v>9141</v>
      </c>
      <c r="AZ297" s="15" t="s">
        <v>9191</v>
      </c>
      <c r="BA297" s="16" t="s">
        <v>9141</v>
      </c>
      <c r="BB297" s="16" t="s">
        <v>9192</v>
      </c>
    </row>
    <row r="298" spans="1:54" hidden="1" x14ac:dyDescent="0.25">
      <c r="A298" s="4" t="s">
        <v>562</v>
      </c>
      <c r="B298" s="4" t="s">
        <v>9547</v>
      </c>
      <c r="C298" s="4"/>
      <c r="D298" s="4" t="s">
        <v>39</v>
      </c>
      <c r="E298" s="4">
        <v>297528</v>
      </c>
      <c r="F298" s="4" t="s">
        <v>564</v>
      </c>
      <c r="G298" s="32">
        <v>38031</v>
      </c>
      <c r="H298" s="25">
        <v>45710</v>
      </c>
      <c r="I298" s="11">
        <v>0.52083333333333337</v>
      </c>
      <c r="J298" s="4" t="s">
        <v>463</v>
      </c>
      <c r="K298" s="4">
        <v>2022</v>
      </c>
      <c r="L298" s="4" t="s">
        <v>565</v>
      </c>
      <c r="M298" s="4" t="s">
        <v>566</v>
      </c>
      <c r="N298" s="4" t="s">
        <v>567</v>
      </c>
      <c r="O298" s="4" t="s">
        <v>46</v>
      </c>
      <c r="P298" s="4"/>
      <c r="Q298" s="4" t="s">
        <v>47</v>
      </c>
      <c r="R298" s="4" t="s">
        <v>48</v>
      </c>
      <c r="S298" s="4">
        <v>0</v>
      </c>
      <c r="T298" s="4" t="b">
        <v>0</v>
      </c>
      <c r="U298" s="4" t="s">
        <v>114</v>
      </c>
      <c r="V298" s="4" t="s">
        <v>115</v>
      </c>
      <c r="W298" s="4" t="s">
        <v>373</v>
      </c>
      <c r="X298" s="4" t="s">
        <v>52</v>
      </c>
      <c r="Y298" s="4" t="s">
        <v>374</v>
      </c>
      <c r="Z298" s="4" t="s">
        <v>54</v>
      </c>
      <c r="AA298" s="4"/>
      <c r="AB298" s="23">
        <v>0</v>
      </c>
      <c r="AC298" s="28" t="e">
        <v>#N/A</v>
      </c>
      <c r="AD298" s="28" t="e">
        <v>#N/A</v>
      </c>
      <c r="AE298" s="28"/>
      <c r="AF298" s="19">
        <v>44375</v>
      </c>
      <c r="AG298" s="19"/>
      <c r="AH298" s="12">
        <f t="shared" si="16"/>
        <v>3</v>
      </c>
      <c r="AI298" s="12">
        <f t="shared" ca="1" si="17"/>
        <v>5</v>
      </c>
      <c r="AJ298" s="12" t="str">
        <f t="shared" si="18"/>
        <v>1-5 Years</v>
      </c>
      <c r="AK298" s="12" t="s">
        <v>9633</v>
      </c>
      <c r="AL298" s="31">
        <v>0.01</v>
      </c>
      <c r="AM298" s="31">
        <v>21</v>
      </c>
      <c r="AN298" s="12" t="str">
        <f t="shared" si="19"/>
        <v>20-24 Years</v>
      </c>
      <c r="AO298" s="13" t="s">
        <v>9171</v>
      </c>
      <c r="AP298" s="13" t="s">
        <v>9147</v>
      </c>
      <c r="AQ298" s="14" t="s">
        <v>9157</v>
      </c>
      <c r="AR298" s="14" t="s">
        <v>9140</v>
      </c>
      <c r="AS298" s="14"/>
      <c r="AT298" s="14" t="s">
        <v>52</v>
      </c>
      <c r="AU298" s="14" t="s">
        <v>54</v>
      </c>
      <c r="AV298" s="15" t="s">
        <v>9141</v>
      </c>
      <c r="AW298" s="15" t="s">
        <v>9175</v>
      </c>
      <c r="AX298" s="15" t="s">
        <v>9143</v>
      </c>
      <c r="AY298" s="15" t="s">
        <v>9141</v>
      </c>
      <c r="AZ298" s="15" t="s">
        <v>9175</v>
      </c>
      <c r="BA298" s="16" t="s">
        <v>9141</v>
      </c>
      <c r="BB298" s="16" t="s">
        <v>9176</v>
      </c>
    </row>
    <row r="299" spans="1:54" hidden="1" x14ac:dyDescent="0.25">
      <c r="A299" s="4" t="s">
        <v>1745</v>
      </c>
      <c r="B299" s="4" t="s">
        <v>9548</v>
      </c>
      <c r="C299" s="4"/>
      <c r="D299" s="4" t="s">
        <v>39</v>
      </c>
      <c r="E299" s="4">
        <v>296583</v>
      </c>
      <c r="F299" s="4" t="s">
        <v>1747</v>
      </c>
      <c r="G299" s="32">
        <v>33494</v>
      </c>
      <c r="H299" s="25">
        <v>45713</v>
      </c>
      <c r="I299" s="11">
        <v>0.52083333333333337</v>
      </c>
      <c r="J299" s="4" t="s">
        <v>1654</v>
      </c>
      <c r="K299" s="4">
        <v>9095</v>
      </c>
      <c r="L299" s="4" t="s">
        <v>1742</v>
      </c>
      <c r="M299" s="4" t="s">
        <v>1748</v>
      </c>
      <c r="N299" s="4" t="s">
        <v>1749</v>
      </c>
      <c r="O299" s="4" t="s">
        <v>46</v>
      </c>
      <c r="P299" s="4"/>
      <c r="Q299" s="4" t="s">
        <v>47</v>
      </c>
      <c r="R299" s="4" t="s">
        <v>48</v>
      </c>
      <c r="S299" s="4">
        <v>0</v>
      </c>
      <c r="T299" s="4" t="b">
        <v>0</v>
      </c>
      <c r="U299" s="4" t="s">
        <v>49</v>
      </c>
      <c r="V299" s="4" t="s">
        <v>50</v>
      </c>
      <c r="W299" s="4" t="s">
        <v>80</v>
      </c>
      <c r="X299" s="4" t="s">
        <v>63</v>
      </c>
      <c r="Y299" s="4" t="s">
        <v>108</v>
      </c>
      <c r="Z299" s="4" t="s">
        <v>54</v>
      </c>
      <c r="AA299" s="4"/>
      <c r="AB299" s="23">
        <v>0</v>
      </c>
      <c r="AC299" s="28" t="e">
        <v>#N/A</v>
      </c>
      <c r="AD299" s="28" t="e">
        <v>#N/A</v>
      </c>
      <c r="AE299" s="28"/>
      <c r="AF299" s="19">
        <v>43654</v>
      </c>
      <c r="AG299" s="19"/>
      <c r="AH299" s="12">
        <f t="shared" si="16"/>
        <v>5</v>
      </c>
      <c r="AI299" s="12">
        <f t="shared" ca="1" si="17"/>
        <v>7</v>
      </c>
      <c r="AJ299" s="12" t="str">
        <f t="shared" si="18"/>
        <v>1-5 Years</v>
      </c>
      <c r="AK299" s="12" t="s">
        <v>9632</v>
      </c>
      <c r="AL299" s="31">
        <v>30.75</v>
      </c>
      <c r="AM299" s="31">
        <v>33</v>
      </c>
      <c r="AN299" s="12" t="str">
        <f t="shared" si="19"/>
        <v>25-34 Years</v>
      </c>
      <c r="AO299" s="13" t="s">
        <v>9171</v>
      </c>
      <c r="AP299" s="13" t="s">
        <v>9147</v>
      </c>
      <c r="AQ299" s="14" t="s">
        <v>9139</v>
      </c>
      <c r="AR299" s="14" t="s">
        <v>9140</v>
      </c>
      <c r="AS299" s="14"/>
      <c r="AT299" s="14" t="s">
        <v>63</v>
      </c>
      <c r="AU299" s="14" t="s">
        <v>54</v>
      </c>
      <c r="AV299" s="15" t="s">
        <v>9141</v>
      </c>
      <c r="AW299" s="15" t="s">
        <v>9191</v>
      </c>
      <c r="AX299" s="15" t="s">
        <v>9143</v>
      </c>
      <c r="AY299" s="15" t="s">
        <v>9141</v>
      </c>
      <c r="AZ299" s="15" t="s">
        <v>9191</v>
      </c>
      <c r="BA299" s="16" t="s">
        <v>9141</v>
      </c>
      <c r="BB299" s="16" t="s">
        <v>9192</v>
      </c>
    </row>
    <row r="300" spans="1:54" hidden="1" x14ac:dyDescent="0.25">
      <c r="A300" s="4" t="s">
        <v>1338</v>
      </c>
      <c r="B300" s="4" t="s">
        <v>9549</v>
      </c>
      <c r="C300" s="4" t="s">
        <v>1339</v>
      </c>
      <c r="D300" s="4" t="s">
        <v>39</v>
      </c>
      <c r="E300" s="4">
        <v>325722</v>
      </c>
      <c r="F300" s="4" t="s">
        <v>1341</v>
      </c>
      <c r="G300" s="32">
        <v>22410</v>
      </c>
      <c r="H300" s="25">
        <v>45719</v>
      </c>
      <c r="I300" s="11">
        <v>0.56041666666666667</v>
      </c>
      <c r="J300" s="4" t="s">
        <v>1155</v>
      </c>
      <c r="K300" s="4">
        <v>4045</v>
      </c>
      <c r="L300" s="4" t="s">
        <v>1329</v>
      </c>
      <c r="M300" s="4" t="s">
        <v>1342</v>
      </c>
      <c r="N300" s="4" t="s">
        <v>1343</v>
      </c>
      <c r="O300" s="4" t="s">
        <v>46</v>
      </c>
      <c r="P300" s="4"/>
      <c r="Q300" s="4" t="s">
        <v>47</v>
      </c>
      <c r="R300" s="4" t="s">
        <v>48</v>
      </c>
      <c r="S300" s="4">
        <v>0</v>
      </c>
      <c r="T300" s="4" t="b">
        <v>0</v>
      </c>
      <c r="U300" s="4" t="s">
        <v>49</v>
      </c>
      <c r="V300" s="4" t="s">
        <v>70</v>
      </c>
      <c r="W300" s="4" t="s">
        <v>71</v>
      </c>
      <c r="X300" s="4" t="s">
        <v>63</v>
      </c>
      <c r="Y300" s="4" t="s">
        <v>784</v>
      </c>
      <c r="Z300" s="4" t="s">
        <v>54</v>
      </c>
      <c r="AA300" s="4"/>
      <c r="AB300" s="23">
        <v>0</v>
      </c>
      <c r="AC300" s="28" t="e">
        <v>#N/A</v>
      </c>
      <c r="AD300" s="28" t="e">
        <v>#N/A</v>
      </c>
      <c r="AE300" s="28"/>
      <c r="AF300" s="19">
        <v>44858</v>
      </c>
      <c r="AG300" s="19"/>
      <c r="AH300" s="12">
        <f t="shared" si="16"/>
        <v>2</v>
      </c>
      <c r="AI300" s="12">
        <f t="shared" ca="1" si="17"/>
        <v>3</v>
      </c>
      <c r="AJ300" s="12" t="str">
        <f t="shared" si="18"/>
        <v>1-5 Years</v>
      </c>
      <c r="AK300" s="12" t="s">
        <v>9632</v>
      </c>
      <c r="AL300" s="31">
        <v>12</v>
      </c>
      <c r="AM300" s="31">
        <v>63</v>
      </c>
      <c r="AN300" s="12" t="str">
        <f t="shared" si="19"/>
        <v>More Than 55 Years</v>
      </c>
      <c r="AO300" s="13" t="s">
        <v>9146</v>
      </c>
      <c r="AP300" s="13" t="s">
        <v>9147</v>
      </c>
      <c r="AQ300" s="14" t="s">
        <v>9139</v>
      </c>
      <c r="AR300" s="14" t="s">
        <v>9140</v>
      </c>
      <c r="AS300" s="14"/>
      <c r="AT300" s="14" t="s">
        <v>63</v>
      </c>
      <c r="AU300" s="14" t="s">
        <v>54</v>
      </c>
      <c r="AV300" s="15" t="s">
        <v>9141</v>
      </c>
      <c r="AW300" s="15" t="s">
        <v>9187</v>
      </c>
      <c r="AX300" s="15" t="s">
        <v>9143</v>
      </c>
      <c r="AY300" s="15" t="s">
        <v>9141</v>
      </c>
      <c r="AZ300" s="15" t="s">
        <v>9144</v>
      </c>
      <c r="BA300" s="16" t="s">
        <v>9141</v>
      </c>
      <c r="BB300" s="16" t="s">
        <v>9145</v>
      </c>
    </row>
    <row r="301" spans="1:54" hidden="1" x14ac:dyDescent="0.25">
      <c r="A301" s="4" t="s">
        <v>698</v>
      </c>
      <c r="B301" s="4" t="s">
        <v>9550</v>
      </c>
      <c r="C301" s="4"/>
      <c r="D301" s="4" t="s">
        <v>39</v>
      </c>
      <c r="E301" s="4">
        <v>294678</v>
      </c>
      <c r="F301" s="4" t="s">
        <v>700</v>
      </c>
      <c r="G301" s="32">
        <v>25531</v>
      </c>
      <c r="H301" s="25">
        <v>45720</v>
      </c>
      <c r="I301" s="11">
        <v>0.53472222222222221</v>
      </c>
      <c r="J301" s="4" t="s">
        <v>463</v>
      </c>
      <c r="K301" s="4">
        <v>2025</v>
      </c>
      <c r="L301" s="4" t="s">
        <v>701</v>
      </c>
      <c r="M301" s="4" t="s">
        <v>702</v>
      </c>
      <c r="N301" s="4" t="s">
        <v>703</v>
      </c>
      <c r="O301" s="4" t="s">
        <v>46</v>
      </c>
      <c r="P301" s="4"/>
      <c r="Q301" s="4" t="s">
        <v>47</v>
      </c>
      <c r="R301" s="4" t="s">
        <v>48</v>
      </c>
      <c r="S301" s="4">
        <v>0</v>
      </c>
      <c r="T301" s="4" t="b">
        <v>0</v>
      </c>
      <c r="U301" s="4" t="s">
        <v>49</v>
      </c>
      <c r="V301" s="4" t="s">
        <v>50</v>
      </c>
      <c r="W301" s="4" t="s">
        <v>71</v>
      </c>
      <c r="X301" s="4" t="s">
        <v>63</v>
      </c>
      <c r="Y301" s="4" t="s">
        <v>312</v>
      </c>
      <c r="Z301" s="4" t="s">
        <v>54</v>
      </c>
      <c r="AA301" s="4"/>
      <c r="AB301" s="23">
        <v>0</v>
      </c>
      <c r="AC301" s="28" t="e">
        <v>#N/A</v>
      </c>
      <c r="AD301" s="28" t="e">
        <v>#N/A</v>
      </c>
      <c r="AE301" s="28"/>
      <c r="AF301" s="19">
        <v>42422</v>
      </c>
      <c r="AG301" s="19"/>
      <c r="AH301" s="12">
        <f t="shared" si="16"/>
        <v>9</v>
      </c>
      <c r="AI301" s="12">
        <f t="shared" ca="1" si="17"/>
        <v>10</v>
      </c>
      <c r="AJ301" s="12" t="str">
        <f t="shared" si="18"/>
        <v>6-10 Years</v>
      </c>
      <c r="AK301" s="12" t="s">
        <v>9632</v>
      </c>
      <c r="AL301" s="31">
        <v>36.5</v>
      </c>
      <c r="AM301" s="31">
        <v>55</v>
      </c>
      <c r="AN301" s="12" t="str">
        <f t="shared" si="19"/>
        <v>More Than 55 Years</v>
      </c>
      <c r="AO301" s="13" t="s">
        <v>9146</v>
      </c>
      <c r="AP301" s="13" t="s">
        <v>9147</v>
      </c>
      <c r="AQ301" s="14" t="s">
        <v>9139</v>
      </c>
      <c r="AR301" s="14" t="s">
        <v>9140</v>
      </c>
      <c r="AS301" s="14"/>
      <c r="AT301" s="14" t="s">
        <v>63</v>
      </c>
      <c r="AU301" s="14" t="s">
        <v>54</v>
      </c>
      <c r="AV301" s="15" t="s">
        <v>9141</v>
      </c>
      <c r="AW301" s="15" t="s">
        <v>9175</v>
      </c>
      <c r="AX301" s="15" t="s">
        <v>9143</v>
      </c>
      <c r="AY301" s="15" t="s">
        <v>9141</v>
      </c>
      <c r="AZ301" s="15" t="s">
        <v>9175</v>
      </c>
      <c r="BA301" s="16" t="s">
        <v>9141</v>
      </c>
      <c r="BB301" s="16" t="s">
        <v>9176</v>
      </c>
    </row>
    <row r="302" spans="1:54" hidden="1" x14ac:dyDescent="0.25">
      <c r="A302" s="4" t="s">
        <v>853</v>
      </c>
      <c r="B302" s="4" t="s">
        <v>9551</v>
      </c>
      <c r="C302" s="4"/>
      <c r="D302" s="4" t="s">
        <v>39</v>
      </c>
      <c r="E302" s="4">
        <v>297406</v>
      </c>
      <c r="F302" s="4" t="s">
        <v>855</v>
      </c>
      <c r="G302" s="32">
        <v>21251</v>
      </c>
      <c r="H302" s="25">
        <v>45721</v>
      </c>
      <c r="I302" s="11">
        <v>0.53125</v>
      </c>
      <c r="J302" s="4" t="s">
        <v>463</v>
      </c>
      <c r="K302" s="4">
        <v>2029</v>
      </c>
      <c r="L302" s="4" t="s">
        <v>845</v>
      </c>
      <c r="M302" s="4" t="s">
        <v>856</v>
      </c>
      <c r="N302" s="4" t="s">
        <v>857</v>
      </c>
      <c r="O302" s="4" t="s">
        <v>46</v>
      </c>
      <c r="P302" s="4"/>
      <c r="Q302" s="4" t="s">
        <v>47</v>
      </c>
      <c r="R302" s="4" t="s">
        <v>48</v>
      </c>
      <c r="S302" s="4">
        <v>0</v>
      </c>
      <c r="T302" s="4" t="b">
        <v>0</v>
      </c>
      <c r="U302" s="4" t="s">
        <v>49</v>
      </c>
      <c r="V302" s="4" t="s">
        <v>70</v>
      </c>
      <c r="W302" s="4" t="s">
        <v>71</v>
      </c>
      <c r="X302" s="4" t="s">
        <v>63</v>
      </c>
      <c r="Y302" s="4" t="s">
        <v>312</v>
      </c>
      <c r="Z302" s="4" t="s">
        <v>54</v>
      </c>
      <c r="AA302" s="4"/>
      <c r="AB302" s="23">
        <v>0</v>
      </c>
      <c r="AC302" s="28" t="e">
        <v>#N/A</v>
      </c>
      <c r="AD302" s="28" t="e">
        <v>#N/A</v>
      </c>
      <c r="AE302" s="28"/>
      <c r="AF302" s="19">
        <v>44249</v>
      </c>
      <c r="AG302" s="19"/>
      <c r="AH302" s="12">
        <f t="shared" si="16"/>
        <v>4</v>
      </c>
      <c r="AI302" s="12">
        <f t="shared" ca="1" si="17"/>
        <v>5</v>
      </c>
      <c r="AJ302" s="12" t="str">
        <f t="shared" si="18"/>
        <v>1-5 Years</v>
      </c>
      <c r="AK302" s="12" t="s">
        <v>9632</v>
      </c>
      <c r="AL302" s="31">
        <v>20.5</v>
      </c>
      <c r="AM302" s="31">
        <v>67</v>
      </c>
      <c r="AN302" s="12" t="str">
        <f t="shared" si="19"/>
        <v>More Than 55 Years</v>
      </c>
      <c r="AO302" s="13" t="s">
        <v>9146</v>
      </c>
      <c r="AP302" s="13" t="s">
        <v>9147</v>
      </c>
      <c r="AQ302" s="14" t="s">
        <v>9139</v>
      </c>
      <c r="AR302" s="14" t="s">
        <v>9140</v>
      </c>
      <c r="AS302" s="14"/>
      <c r="AT302" s="14" t="s">
        <v>63</v>
      </c>
      <c r="AU302" s="14" t="s">
        <v>54</v>
      </c>
      <c r="AV302" s="15" t="s">
        <v>9141</v>
      </c>
      <c r="AW302" s="15" t="s">
        <v>9175</v>
      </c>
      <c r="AX302" s="15" t="s">
        <v>9143</v>
      </c>
      <c r="AY302" s="15" t="s">
        <v>9141</v>
      </c>
      <c r="AZ302" s="15" t="s">
        <v>9177</v>
      </c>
      <c r="BA302" s="16" t="s">
        <v>9141</v>
      </c>
      <c r="BB302" s="16" t="s">
        <v>9178</v>
      </c>
    </row>
    <row r="303" spans="1:54" hidden="1" x14ac:dyDescent="0.25">
      <c r="A303" s="4" t="s">
        <v>1098</v>
      </c>
      <c r="B303" s="4" t="s">
        <v>9552</v>
      </c>
      <c r="C303" s="4"/>
      <c r="D303" s="4" t="s">
        <v>39</v>
      </c>
      <c r="E303" s="4">
        <v>330482</v>
      </c>
      <c r="F303" s="4" t="s">
        <v>1100</v>
      </c>
      <c r="G303" s="32">
        <v>29223</v>
      </c>
      <c r="H303" s="25">
        <v>45721</v>
      </c>
      <c r="I303" s="11">
        <v>0.50347222222222221</v>
      </c>
      <c r="J303" s="4" t="s">
        <v>463</v>
      </c>
      <c r="K303" s="4">
        <v>2059</v>
      </c>
      <c r="L303" s="4" t="s">
        <v>1101</v>
      </c>
      <c r="M303" s="4" t="s">
        <v>1102</v>
      </c>
      <c r="N303" s="4" t="s">
        <v>1103</v>
      </c>
      <c r="O303" s="4" t="s">
        <v>46</v>
      </c>
      <c r="P303" s="4"/>
      <c r="Q303" s="4" t="s">
        <v>47</v>
      </c>
      <c r="R303" s="4" t="s">
        <v>48</v>
      </c>
      <c r="S303" s="4">
        <v>0</v>
      </c>
      <c r="T303" s="4" t="b">
        <v>0</v>
      </c>
      <c r="U303" s="4" t="s">
        <v>49</v>
      </c>
      <c r="V303" s="4" t="s">
        <v>50</v>
      </c>
      <c r="W303" s="4" t="s">
        <v>218</v>
      </c>
      <c r="X303" s="4" t="s">
        <v>63</v>
      </c>
      <c r="Y303" s="4" t="s">
        <v>108</v>
      </c>
      <c r="Z303" s="4" t="s">
        <v>54</v>
      </c>
      <c r="AA303" s="4"/>
      <c r="AB303" s="23">
        <v>0</v>
      </c>
      <c r="AC303" s="28" t="e">
        <v>#N/A</v>
      </c>
      <c r="AD303" s="28" t="e">
        <v>#N/A</v>
      </c>
      <c r="AE303" s="28"/>
      <c r="AF303" s="19">
        <v>45194</v>
      </c>
      <c r="AG303" s="19"/>
      <c r="AH303" s="12">
        <f t="shared" si="16"/>
        <v>1</v>
      </c>
      <c r="AI303" s="12">
        <f t="shared" ca="1" si="17"/>
        <v>2</v>
      </c>
      <c r="AJ303" s="12" t="str">
        <f t="shared" si="18"/>
        <v>1-5 Years</v>
      </c>
      <c r="AK303" s="12" t="s">
        <v>10046</v>
      </c>
      <c r="AL303" s="31">
        <v>38</v>
      </c>
      <c r="AM303" s="31">
        <v>45</v>
      </c>
      <c r="AN303" s="12" t="str">
        <f t="shared" si="19"/>
        <v>45-54 Years</v>
      </c>
      <c r="AO303" s="13" t="s">
        <v>9146</v>
      </c>
      <c r="AP303" s="13" t="s">
        <v>9147</v>
      </c>
      <c r="AQ303" s="14" t="s">
        <v>9139</v>
      </c>
      <c r="AR303" s="14" t="s">
        <v>9140</v>
      </c>
      <c r="AS303" s="14"/>
      <c r="AT303" s="14" t="s">
        <v>63</v>
      </c>
      <c r="AU303" s="14" t="s">
        <v>54</v>
      </c>
      <c r="AV303" s="15" t="s">
        <v>9141</v>
      </c>
      <c r="AW303" s="15" t="s">
        <v>9175</v>
      </c>
      <c r="AX303" s="15" t="s">
        <v>9143</v>
      </c>
      <c r="AY303" s="15" t="s">
        <v>9141</v>
      </c>
      <c r="AZ303" s="15" t="s">
        <v>9175</v>
      </c>
      <c r="BA303" s="16" t="s">
        <v>9141</v>
      </c>
      <c r="BB303" s="16" t="s">
        <v>9176</v>
      </c>
    </row>
    <row r="304" spans="1:54" hidden="1" x14ac:dyDescent="0.25">
      <c r="A304" s="4" t="s">
        <v>212</v>
      </c>
      <c r="B304" s="4" t="s">
        <v>9553</v>
      </c>
      <c r="C304" s="4"/>
      <c r="D304" s="4" t="s">
        <v>39</v>
      </c>
      <c r="E304" s="4">
        <v>318058</v>
      </c>
      <c r="F304" s="4" t="s">
        <v>214</v>
      </c>
      <c r="G304" s="32">
        <v>25357</v>
      </c>
      <c r="H304" s="25">
        <v>45722</v>
      </c>
      <c r="I304" s="11">
        <v>0.58333333333333337</v>
      </c>
      <c r="J304" s="4" t="s">
        <v>42</v>
      </c>
      <c r="K304" s="4">
        <v>1011</v>
      </c>
      <c r="L304" s="4" t="s">
        <v>215</v>
      </c>
      <c r="M304" s="4" t="s">
        <v>216</v>
      </c>
      <c r="N304" s="4" t="s">
        <v>217</v>
      </c>
      <c r="O304" s="4" t="s">
        <v>46</v>
      </c>
      <c r="P304" s="4"/>
      <c r="Q304" s="4" t="s">
        <v>47</v>
      </c>
      <c r="R304" s="4" t="s">
        <v>48</v>
      </c>
      <c r="S304" s="4">
        <v>0</v>
      </c>
      <c r="T304" s="4" t="b">
        <v>0</v>
      </c>
      <c r="U304" s="4" t="s">
        <v>61</v>
      </c>
      <c r="V304" s="4" t="s">
        <v>70</v>
      </c>
      <c r="W304" s="4" t="s">
        <v>218</v>
      </c>
      <c r="X304" s="4" t="s">
        <v>63</v>
      </c>
      <c r="Y304" s="4" t="s">
        <v>108</v>
      </c>
      <c r="Z304" s="4" t="s">
        <v>54</v>
      </c>
      <c r="AA304" s="4"/>
      <c r="AB304" s="23">
        <v>0</v>
      </c>
      <c r="AC304" s="28" t="e">
        <v>#N/A</v>
      </c>
      <c r="AD304" s="28" t="e">
        <v>#N/A</v>
      </c>
      <c r="AE304" s="28"/>
      <c r="AF304" s="19">
        <v>44501</v>
      </c>
      <c r="AG304" s="19"/>
      <c r="AH304" s="12">
        <f t="shared" si="16"/>
        <v>3</v>
      </c>
      <c r="AI304" s="12">
        <f t="shared" ca="1" si="17"/>
        <v>4</v>
      </c>
      <c r="AJ304" s="12" t="str">
        <f t="shared" si="18"/>
        <v>1-5 Years</v>
      </c>
      <c r="AK304" s="12" t="s">
        <v>9632</v>
      </c>
      <c r="AL304" s="31">
        <v>35</v>
      </c>
      <c r="AM304" s="31">
        <v>55</v>
      </c>
      <c r="AN304" s="12" t="str">
        <f t="shared" si="19"/>
        <v>More Than 55 Years</v>
      </c>
      <c r="AO304" s="13" t="s">
        <v>9146</v>
      </c>
      <c r="AP304" s="13" t="s">
        <v>9147</v>
      </c>
      <c r="AQ304" s="14" t="s">
        <v>9148</v>
      </c>
      <c r="AR304" s="14" t="s">
        <v>9140</v>
      </c>
      <c r="AS304" s="14"/>
      <c r="AT304" s="14" t="s">
        <v>63</v>
      </c>
      <c r="AU304" s="14" t="s">
        <v>54</v>
      </c>
      <c r="AV304" s="15" t="s">
        <v>9141</v>
      </c>
      <c r="AW304" s="15" t="s">
        <v>9142</v>
      </c>
      <c r="AX304" s="15" t="s">
        <v>9143</v>
      </c>
      <c r="AY304" s="15" t="s">
        <v>9141</v>
      </c>
      <c r="AZ304" s="15" t="s">
        <v>9144</v>
      </c>
      <c r="BA304" s="16" t="s">
        <v>9141</v>
      </c>
      <c r="BB304" s="16" t="s">
        <v>9145</v>
      </c>
    </row>
    <row r="305" spans="1:54" hidden="1" x14ac:dyDescent="0.25">
      <c r="A305" s="4" t="s">
        <v>1196</v>
      </c>
      <c r="B305" s="4" t="s">
        <v>9554</v>
      </c>
      <c r="C305" s="4" t="s">
        <v>1197</v>
      </c>
      <c r="D305" s="4" t="s">
        <v>39</v>
      </c>
      <c r="E305" s="4">
        <v>294740</v>
      </c>
      <c r="F305" s="4" t="s">
        <v>1199</v>
      </c>
      <c r="G305" s="32">
        <v>36872</v>
      </c>
      <c r="H305" s="25">
        <v>45722</v>
      </c>
      <c r="I305" s="11">
        <v>0.4826388888888889</v>
      </c>
      <c r="J305" s="4" t="s">
        <v>1155</v>
      </c>
      <c r="K305" s="4">
        <v>4043</v>
      </c>
      <c r="L305" s="4" t="s">
        <v>1200</v>
      </c>
      <c r="M305" s="4" t="s">
        <v>1201</v>
      </c>
      <c r="N305" s="4" t="s">
        <v>1202</v>
      </c>
      <c r="O305" s="4" t="s">
        <v>28</v>
      </c>
      <c r="P305" s="4" t="s">
        <v>478</v>
      </c>
      <c r="Q305" s="4" t="s">
        <v>191</v>
      </c>
      <c r="R305" s="4" t="s">
        <v>60</v>
      </c>
      <c r="S305" s="4">
        <v>0</v>
      </c>
      <c r="T305" s="4" t="b">
        <v>0</v>
      </c>
      <c r="U305" s="4" t="s">
        <v>184</v>
      </c>
      <c r="V305" s="4" t="s">
        <v>115</v>
      </c>
      <c r="W305" s="4" t="s">
        <v>140</v>
      </c>
      <c r="X305" s="4" t="s">
        <v>123</v>
      </c>
      <c r="Y305" s="4" t="s">
        <v>124</v>
      </c>
      <c r="Z305" s="4" t="s">
        <v>54</v>
      </c>
      <c r="AA305" s="4"/>
      <c r="AB305" s="23" t="s">
        <v>60</v>
      </c>
      <c r="AC305" s="28" t="e">
        <v>#N/A</v>
      </c>
      <c r="AD305" s="28" t="e">
        <v>#N/A</v>
      </c>
      <c r="AE305" s="28"/>
      <c r="AF305" s="19">
        <v>42464</v>
      </c>
      <c r="AG305" s="19"/>
      <c r="AH305" s="12">
        <f t="shared" si="16"/>
        <v>8</v>
      </c>
      <c r="AI305" s="12">
        <f t="shared" ca="1" si="17"/>
        <v>10</v>
      </c>
      <c r="AJ305" s="12" t="str">
        <f t="shared" si="18"/>
        <v>6-10 Years</v>
      </c>
      <c r="AK305" s="12" t="s">
        <v>9632</v>
      </c>
      <c r="AL305" s="31">
        <v>28</v>
      </c>
      <c r="AM305" s="31">
        <v>24</v>
      </c>
      <c r="AN305" s="12" t="str">
        <f t="shared" si="19"/>
        <v>20-24 Years</v>
      </c>
      <c r="AO305" s="13" t="s">
        <v>9146</v>
      </c>
      <c r="AP305" s="13" t="s">
        <v>9147</v>
      </c>
      <c r="AQ305" s="14" t="s">
        <v>9166</v>
      </c>
      <c r="AR305" s="14" t="s">
        <v>28</v>
      </c>
      <c r="AS305" s="14" t="s">
        <v>183</v>
      </c>
      <c r="AT305" s="14" t="s">
        <v>123</v>
      </c>
      <c r="AU305" s="14" t="s">
        <v>54</v>
      </c>
      <c r="AV305" s="15" t="s">
        <v>9141</v>
      </c>
      <c r="AW305" s="15" t="s">
        <v>9187</v>
      </c>
      <c r="AX305" s="15" t="s">
        <v>9143</v>
      </c>
      <c r="AY305" s="15" t="s">
        <v>9141</v>
      </c>
      <c r="AZ305" s="15" t="s">
        <v>9144</v>
      </c>
      <c r="BA305" s="16" t="s">
        <v>9141</v>
      </c>
      <c r="BB305" s="16" t="s">
        <v>9145</v>
      </c>
    </row>
    <row r="306" spans="1:54" hidden="1" x14ac:dyDescent="0.25">
      <c r="A306" s="4" t="s">
        <v>472</v>
      </c>
      <c r="B306" s="4" t="s">
        <v>9555</v>
      </c>
      <c r="C306" s="4">
        <v>12240080152</v>
      </c>
      <c r="D306" s="4" t="s">
        <v>39</v>
      </c>
      <c r="E306" s="4">
        <v>316067</v>
      </c>
      <c r="F306" s="4" t="s">
        <v>474</v>
      </c>
      <c r="G306" s="32">
        <v>32804</v>
      </c>
      <c r="H306" s="25">
        <v>45723</v>
      </c>
      <c r="I306" s="11">
        <v>0.63194444444444442</v>
      </c>
      <c r="J306" s="4" t="s">
        <v>463</v>
      </c>
      <c r="K306" s="4">
        <v>2016</v>
      </c>
      <c r="L306" s="4" t="s">
        <v>475</v>
      </c>
      <c r="M306" s="4" t="s">
        <v>476</v>
      </c>
      <c r="N306" s="4" t="s">
        <v>477</v>
      </c>
      <c r="O306" s="4" t="s">
        <v>28</v>
      </c>
      <c r="P306" s="4" t="s">
        <v>478</v>
      </c>
      <c r="Q306" s="4" t="s">
        <v>191</v>
      </c>
      <c r="R306" s="4" t="s">
        <v>60</v>
      </c>
      <c r="S306" s="4">
        <v>27</v>
      </c>
      <c r="T306" s="4" t="b">
        <v>0</v>
      </c>
      <c r="U306" s="4" t="s">
        <v>49</v>
      </c>
      <c r="V306" s="4" t="s">
        <v>479</v>
      </c>
      <c r="W306" s="4" t="s">
        <v>480</v>
      </c>
      <c r="X306" s="4" t="s">
        <v>52</v>
      </c>
      <c r="Y306" s="4" t="s">
        <v>374</v>
      </c>
      <c r="Z306" s="4" t="s">
        <v>54</v>
      </c>
      <c r="AA306" s="4"/>
      <c r="AB306" s="23" t="s">
        <v>60</v>
      </c>
      <c r="AC306" s="28" t="e">
        <v>#N/A</v>
      </c>
      <c r="AD306" s="28" t="e">
        <v>#N/A</v>
      </c>
      <c r="AE306" s="28"/>
      <c r="AF306" s="19">
        <v>45075</v>
      </c>
      <c r="AG306" s="19"/>
      <c r="AH306" s="12">
        <f t="shared" si="16"/>
        <v>1</v>
      </c>
      <c r="AI306" s="12">
        <f t="shared" ca="1" si="17"/>
        <v>3</v>
      </c>
      <c r="AJ306" s="12" t="str">
        <f t="shared" si="18"/>
        <v>1-5 Years</v>
      </c>
      <c r="AK306" s="12" t="s">
        <v>9632</v>
      </c>
      <c r="AL306" s="31">
        <v>15</v>
      </c>
      <c r="AM306" s="31">
        <v>35</v>
      </c>
      <c r="AN306" s="12" t="str">
        <f t="shared" si="19"/>
        <v>35-44 Years</v>
      </c>
      <c r="AO306" s="13" t="s">
        <v>9146</v>
      </c>
      <c r="AP306" s="13" t="s">
        <v>9147</v>
      </c>
      <c r="AQ306" s="14" t="s">
        <v>9139</v>
      </c>
      <c r="AR306" s="14" t="s">
        <v>28</v>
      </c>
      <c r="AS306" s="14" t="s">
        <v>478</v>
      </c>
      <c r="AT306" s="14" t="s">
        <v>52</v>
      </c>
      <c r="AU306" s="14" t="s">
        <v>54</v>
      </c>
      <c r="AV306" s="15" t="s">
        <v>9141</v>
      </c>
      <c r="AW306" s="15" t="s">
        <v>9175</v>
      </c>
      <c r="AX306" s="15" t="s">
        <v>9143</v>
      </c>
      <c r="AY306" s="15" t="s">
        <v>9141</v>
      </c>
      <c r="AZ306" s="15" t="s">
        <v>9177</v>
      </c>
      <c r="BA306" s="16" t="s">
        <v>9141</v>
      </c>
      <c r="BB306" s="16" t="s">
        <v>9178</v>
      </c>
    </row>
    <row r="307" spans="1:54" hidden="1" x14ac:dyDescent="0.25">
      <c r="A307" s="4" t="s">
        <v>418</v>
      </c>
      <c r="B307" s="4" t="s">
        <v>9556</v>
      </c>
      <c r="C307" s="4" t="s">
        <v>419</v>
      </c>
      <c r="D307" s="4" t="s">
        <v>39</v>
      </c>
      <c r="E307" s="4">
        <v>290398</v>
      </c>
      <c r="F307" s="4" t="s">
        <v>421</v>
      </c>
      <c r="G307" s="32">
        <v>23725</v>
      </c>
      <c r="H307" s="25">
        <v>45725</v>
      </c>
      <c r="I307" s="11">
        <v>0.71180555555555558</v>
      </c>
      <c r="J307" s="4" t="s">
        <v>42</v>
      </c>
      <c r="K307" s="4">
        <v>1013</v>
      </c>
      <c r="L307" s="4" t="s">
        <v>422</v>
      </c>
      <c r="M307" s="4" t="s">
        <v>423</v>
      </c>
      <c r="N307" s="4" t="s">
        <v>424</v>
      </c>
      <c r="O307" s="4" t="s">
        <v>28</v>
      </c>
      <c r="P307" s="4" t="s">
        <v>183</v>
      </c>
      <c r="Q307" s="4" t="s">
        <v>344</v>
      </c>
      <c r="R307" s="4" t="s">
        <v>60</v>
      </c>
      <c r="S307" s="4">
        <v>93</v>
      </c>
      <c r="T307" s="4" t="b">
        <v>0</v>
      </c>
      <c r="U307" s="4" t="s">
        <v>184</v>
      </c>
      <c r="V307" s="4" t="s">
        <v>425</v>
      </c>
      <c r="W307" s="4" t="s">
        <v>426</v>
      </c>
      <c r="X307" s="4" t="s">
        <v>123</v>
      </c>
      <c r="Y307" s="4" t="s">
        <v>124</v>
      </c>
      <c r="Z307" s="4" t="s">
        <v>54</v>
      </c>
      <c r="AA307" s="4"/>
      <c r="AB307" s="23" t="s">
        <v>60</v>
      </c>
      <c r="AC307" s="28" t="e">
        <v>#N/A</v>
      </c>
      <c r="AD307" s="28" t="e">
        <v>#N/A</v>
      </c>
      <c r="AE307" s="28"/>
      <c r="AF307" s="19">
        <v>39645</v>
      </c>
      <c r="AG307" s="19"/>
      <c r="AH307" s="12">
        <f t="shared" si="16"/>
        <v>16</v>
      </c>
      <c r="AI307" s="12">
        <f t="shared" ca="1" si="17"/>
        <v>18</v>
      </c>
      <c r="AJ307" s="12" t="str">
        <f t="shared" si="18"/>
        <v>16-20 Years</v>
      </c>
      <c r="AK307" s="12" t="s">
        <v>9632</v>
      </c>
      <c r="AL307" s="31">
        <v>10</v>
      </c>
      <c r="AM307" s="31">
        <v>60</v>
      </c>
      <c r="AN307" s="12" t="str">
        <f t="shared" si="19"/>
        <v>More Than 55 Years</v>
      </c>
      <c r="AO307" s="13" t="s">
        <v>9146</v>
      </c>
      <c r="AP307" s="13" t="s">
        <v>9147</v>
      </c>
      <c r="AQ307" s="14" t="s">
        <v>9166</v>
      </c>
      <c r="AR307" s="14" t="s">
        <v>28</v>
      </c>
      <c r="AS307" s="14" t="s">
        <v>183</v>
      </c>
      <c r="AT307" s="14" t="s">
        <v>123</v>
      </c>
      <c r="AU307" s="14" t="s">
        <v>54</v>
      </c>
      <c r="AV307" s="15" t="s">
        <v>9141</v>
      </c>
      <c r="AW307" s="15" t="s">
        <v>9142</v>
      </c>
      <c r="AX307" s="15" t="s">
        <v>9143</v>
      </c>
      <c r="AY307" s="15" t="s">
        <v>9141</v>
      </c>
      <c r="AZ307" s="15" t="s">
        <v>9144</v>
      </c>
      <c r="BA307" s="16" t="s">
        <v>9141</v>
      </c>
      <c r="BB307" s="16" t="s">
        <v>9145</v>
      </c>
    </row>
    <row r="308" spans="1:54" hidden="1" x14ac:dyDescent="0.25">
      <c r="A308" s="4" t="s">
        <v>1287</v>
      </c>
      <c r="B308" s="4" t="s">
        <v>9557</v>
      </c>
      <c r="C308" s="4" t="s">
        <v>1288</v>
      </c>
      <c r="D308" s="4" t="s">
        <v>39</v>
      </c>
      <c r="E308" s="4">
        <v>335143</v>
      </c>
      <c r="F308" s="4" t="s">
        <v>1290</v>
      </c>
      <c r="G308" s="32">
        <v>26414</v>
      </c>
      <c r="H308" s="25">
        <v>45725</v>
      </c>
      <c r="I308" s="11">
        <v>0.60416666666666663</v>
      </c>
      <c r="J308" s="4" t="s">
        <v>1155</v>
      </c>
      <c r="K308" s="4">
        <v>4044</v>
      </c>
      <c r="L308" s="4" t="s">
        <v>1285</v>
      </c>
      <c r="M308" s="4" t="s">
        <v>1291</v>
      </c>
      <c r="N308" s="4" t="s">
        <v>1292</v>
      </c>
      <c r="O308" s="4" t="s">
        <v>46</v>
      </c>
      <c r="P308" s="4"/>
      <c r="Q308" s="4" t="s">
        <v>47</v>
      </c>
      <c r="R308" s="4" t="s">
        <v>48</v>
      </c>
      <c r="S308" s="4">
        <v>0</v>
      </c>
      <c r="T308" s="4" t="b">
        <v>0</v>
      </c>
      <c r="U308" s="4" t="s">
        <v>61</v>
      </c>
      <c r="V308" s="4" t="s">
        <v>50</v>
      </c>
      <c r="W308" s="4" t="s">
        <v>71</v>
      </c>
      <c r="X308" s="4" t="s">
        <v>63</v>
      </c>
      <c r="Y308" s="4" t="s">
        <v>312</v>
      </c>
      <c r="Z308" s="4" t="s">
        <v>54</v>
      </c>
      <c r="AA308" s="4" t="s">
        <v>176</v>
      </c>
      <c r="AB308" s="23">
        <v>0</v>
      </c>
      <c r="AC308" s="28" t="e">
        <v>#N/A</v>
      </c>
      <c r="AD308" s="28" t="e">
        <v>#N/A</v>
      </c>
      <c r="AE308" s="28"/>
      <c r="AF308" s="19">
        <v>45474</v>
      </c>
      <c r="AG308" s="19"/>
      <c r="AH308" s="12">
        <f t="shared" si="16"/>
        <v>0</v>
      </c>
      <c r="AI308" s="12">
        <f t="shared" ca="1" si="17"/>
        <v>2</v>
      </c>
      <c r="AJ308" s="12" t="str">
        <f t="shared" si="18"/>
        <v>Under 1 Year</v>
      </c>
      <c r="AK308" s="12" t="s">
        <v>9633</v>
      </c>
      <c r="AL308" s="31">
        <v>0.01</v>
      </c>
      <c r="AM308" s="31">
        <v>53</v>
      </c>
      <c r="AN308" s="12" t="str">
        <f t="shared" si="19"/>
        <v>45-54 Years</v>
      </c>
      <c r="AO308" s="13" t="s">
        <v>9146</v>
      </c>
      <c r="AP308" s="13" t="s">
        <v>9147</v>
      </c>
      <c r="AQ308" s="14" t="s">
        <v>9148</v>
      </c>
      <c r="AR308" s="14" t="s">
        <v>9140</v>
      </c>
      <c r="AS308" s="14"/>
      <c r="AT308" s="14" t="s">
        <v>63</v>
      </c>
      <c r="AU308" s="14" t="s">
        <v>54</v>
      </c>
      <c r="AV308" s="15" t="s">
        <v>9141</v>
      </c>
      <c r="AW308" s="15" t="s">
        <v>9187</v>
      </c>
      <c r="AX308" s="15" t="s">
        <v>9143</v>
      </c>
      <c r="AY308" s="15" t="s">
        <v>9141</v>
      </c>
      <c r="AZ308" s="15" t="s">
        <v>9144</v>
      </c>
      <c r="BA308" s="16" t="s">
        <v>9141</v>
      </c>
      <c r="BB308" s="16" t="s">
        <v>9145</v>
      </c>
    </row>
    <row r="309" spans="1:54" hidden="1" x14ac:dyDescent="0.25">
      <c r="A309" s="4" t="s">
        <v>541</v>
      </c>
      <c r="B309" s="4" t="s">
        <v>9558</v>
      </c>
      <c r="C309" s="4"/>
      <c r="D309" s="4" t="s">
        <v>39</v>
      </c>
      <c r="E309" s="4">
        <v>294599</v>
      </c>
      <c r="F309" s="4" t="s">
        <v>543</v>
      </c>
      <c r="G309" s="32">
        <v>23788</v>
      </c>
      <c r="H309" s="25">
        <v>45727</v>
      </c>
      <c r="I309" s="11">
        <v>0.72222222222222221</v>
      </c>
      <c r="J309" s="4" t="s">
        <v>463</v>
      </c>
      <c r="K309" s="4">
        <v>2020</v>
      </c>
      <c r="L309" s="4" t="s">
        <v>538</v>
      </c>
      <c r="M309" s="4" t="s">
        <v>544</v>
      </c>
      <c r="N309" s="4" t="s">
        <v>545</v>
      </c>
      <c r="O309" s="4" t="s">
        <v>46</v>
      </c>
      <c r="P309" s="4"/>
      <c r="Q309" s="4" t="s">
        <v>47</v>
      </c>
      <c r="R309" s="4" t="s">
        <v>48</v>
      </c>
      <c r="S309" s="4">
        <v>0</v>
      </c>
      <c r="T309" s="4" t="b">
        <v>0</v>
      </c>
      <c r="U309" s="4" t="s">
        <v>61</v>
      </c>
      <c r="V309" s="4" t="s">
        <v>115</v>
      </c>
      <c r="W309" s="4" t="s">
        <v>140</v>
      </c>
      <c r="X309" s="4" t="s">
        <v>123</v>
      </c>
      <c r="Y309" s="4" t="s">
        <v>124</v>
      </c>
      <c r="Z309" s="4" t="s">
        <v>54</v>
      </c>
      <c r="AA309" s="4"/>
      <c r="AB309" s="23">
        <v>0</v>
      </c>
      <c r="AC309" s="28" t="e">
        <v>#N/A</v>
      </c>
      <c r="AD309" s="28" t="e">
        <v>#N/A</v>
      </c>
      <c r="AE309" s="28"/>
      <c r="AF309" s="19">
        <v>42338</v>
      </c>
      <c r="AG309" s="19"/>
      <c r="AH309" s="12">
        <f t="shared" si="16"/>
        <v>9</v>
      </c>
      <c r="AI309" s="12">
        <f t="shared" ca="1" si="17"/>
        <v>10</v>
      </c>
      <c r="AJ309" s="12" t="str">
        <f t="shared" si="18"/>
        <v>6-10 Years</v>
      </c>
      <c r="AK309" s="12" t="s">
        <v>9632</v>
      </c>
      <c r="AL309" s="31">
        <v>24.25</v>
      </c>
      <c r="AM309" s="31">
        <v>60</v>
      </c>
      <c r="AN309" s="12" t="str">
        <f t="shared" si="19"/>
        <v>More Than 55 Years</v>
      </c>
      <c r="AO309" s="13" t="s">
        <v>9146</v>
      </c>
      <c r="AP309" s="13" t="s">
        <v>9147</v>
      </c>
      <c r="AQ309" s="14" t="s">
        <v>9148</v>
      </c>
      <c r="AR309" s="14" t="s">
        <v>9140</v>
      </c>
      <c r="AS309" s="14"/>
      <c r="AT309" s="14" t="s">
        <v>123</v>
      </c>
      <c r="AU309" s="14" t="s">
        <v>54</v>
      </c>
      <c r="AV309" s="15" t="s">
        <v>9141</v>
      </c>
      <c r="AW309" s="15" t="s">
        <v>9175</v>
      </c>
      <c r="AX309" s="15" t="s">
        <v>9143</v>
      </c>
      <c r="AY309" s="15" t="s">
        <v>9141</v>
      </c>
      <c r="AZ309" s="15" t="s">
        <v>9175</v>
      </c>
      <c r="BA309" s="16" t="s">
        <v>9141</v>
      </c>
      <c r="BB309" s="16" t="s">
        <v>9176</v>
      </c>
    </row>
    <row r="310" spans="1:54" hidden="1" x14ac:dyDescent="0.25">
      <c r="A310" s="4" t="s">
        <v>1052</v>
      </c>
      <c r="B310" s="4" t="s">
        <v>9559</v>
      </c>
      <c r="C310" s="4"/>
      <c r="D310" s="4" t="s">
        <v>39</v>
      </c>
      <c r="E310" s="4">
        <v>323198</v>
      </c>
      <c r="F310" s="4" t="s">
        <v>1054</v>
      </c>
      <c r="G310" s="32">
        <v>35538</v>
      </c>
      <c r="H310" s="25">
        <v>45727</v>
      </c>
      <c r="I310" s="11">
        <v>0.4513888888888889</v>
      </c>
      <c r="J310" s="4" t="s">
        <v>463</v>
      </c>
      <c r="K310" s="4">
        <v>2048</v>
      </c>
      <c r="L310" s="4" t="s">
        <v>1055</v>
      </c>
      <c r="M310" s="4" t="s">
        <v>1056</v>
      </c>
      <c r="N310" s="4" t="s">
        <v>1057</v>
      </c>
      <c r="O310" s="4" t="s">
        <v>46</v>
      </c>
      <c r="P310" s="4"/>
      <c r="Q310" s="4" t="s">
        <v>47</v>
      </c>
      <c r="R310" s="4" t="s">
        <v>48</v>
      </c>
      <c r="S310" s="4">
        <v>0</v>
      </c>
      <c r="T310" s="4" t="b">
        <v>0</v>
      </c>
      <c r="U310" s="4" t="s">
        <v>49</v>
      </c>
      <c r="V310" s="4" t="s">
        <v>1058</v>
      </c>
      <c r="W310" s="4" t="s">
        <v>71</v>
      </c>
      <c r="X310" s="4" t="s">
        <v>405</v>
      </c>
      <c r="Y310" s="4" t="s">
        <v>406</v>
      </c>
      <c r="Z310" s="4" t="s">
        <v>54</v>
      </c>
      <c r="AA310" s="4"/>
      <c r="AB310" s="23">
        <v>0</v>
      </c>
      <c r="AC310" s="28" t="e">
        <v>#N/A</v>
      </c>
      <c r="AD310" s="28" t="e">
        <v>#N/A</v>
      </c>
      <c r="AE310" s="28"/>
      <c r="AF310" s="19">
        <v>44739</v>
      </c>
      <c r="AG310" s="19"/>
      <c r="AH310" s="12">
        <f t="shared" si="16"/>
        <v>2</v>
      </c>
      <c r="AI310" s="12">
        <f t="shared" ca="1" si="17"/>
        <v>4</v>
      </c>
      <c r="AJ310" s="12" t="str">
        <f t="shared" si="18"/>
        <v>1-5 Years</v>
      </c>
      <c r="AK310" s="12" t="s">
        <v>9632</v>
      </c>
      <c r="AL310" s="31">
        <v>25</v>
      </c>
      <c r="AM310" s="31">
        <v>28</v>
      </c>
      <c r="AN310" s="12" t="str">
        <f t="shared" si="19"/>
        <v>25-34 Years</v>
      </c>
      <c r="AO310" s="13" t="s">
        <v>9146</v>
      </c>
      <c r="AP310" s="13" t="s">
        <v>9147</v>
      </c>
      <c r="AQ310" s="14" t="s">
        <v>9139</v>
      </c>
      <c r="AR310" s="14" t="s">
        <v>9140</v>
      </c>
      <c r="AS310" s="14"/>
      <c r="AT310" s="14" t="s">
        <v>405</v>
      </c>
      <c r="AU310" s="14" t="s">
        <v>54</v>
      </c>
      <c r="AV310" s="15" t="s">
        <v>9141</v>
      </c>
      <c r="AW310" s="15" t="s">
        <v>9175</v>
      </c>
      <c r="AX310" s="15" t="s">
        <v>9143</v>
      </c>
      <c r="AY310" s="15" t="s">
        <v>9141</v>
      </c>
      <c r="AZ310" s="15" t="s">
        <v>9177</v>
      </c>
      <c r="BA310" s="16" t="s">
        <v>9141</v>
      </c>
      <c r="BB310" s="16" t="s">
        <v>9178</v>
      </c>
    </row>
    <row r="311" spans="1:54" hidden="1" x14ac:dyDescent="0.25">
      <c r="A311" s="4" t="s">
        <v>612</v>
      </c>
      <c r="B311" s="4" t="s">
        <v>9560</v>
      </c>
      <c r="C311" s="4"/>
      <c r="D311" s="4" t="s">
        <v>39</v>
      </c>
      <c r="E311" s="4">
        <v>295828</v>
      </c>
      <c r="F311" s="4" t="s">
        <v>614</v>
      </c>
      <c r="G311" s="32">
        <v>36265</v>
      </c>
      <c r="H311" s="25">
        <v>45735</v>
      </c>
      <c r="I311" s="11">
        <v>0.47916666666666669</v>
      </c>
      <c r="J311" s="4" t="s">
        <v>463</v>
      </c>
      <c r="K311" s="4">
        <v>2023</v>
      </c>
      <c r="L311" s="4" t="s">
        <v>615</v>
      </c>
      <c r="M311" s="4" t="s">
        <v>616</v>
      </c>
      <c r="N311" s="4" t="s">
        <v>617</v>
      </c>
      <c r="O311" s="4" t="s">
        <v>46</v>
      </c>
      <c r="P311" s="4"/>
      <c r="Q311" s="4" t="s">
        <v>47</v>
      </c>
      <c r="R311" s="4" t="s">
        <v>48</v>
      </c>
      <c r="S311" s="4">
        <v>0</v>
      </c>
      <c r="T311" s="4" t="b">
        <v>0</v>
      </c>
      <c r="U311" s="4" t="s">
        <v>49</v>
      </c>
      <c r="V311" s="4" t="s">
        <v>50</v>
      </c>
      <c r="W311" s="4" t="s">
        <v>618</v>
      </c>
      <c r="X311" s="4" t="s">
        <v>72</v>
      </c>
      <c r="Y311" s="4" t="s">
        <v>73</v>
      </c>
      <c r="Z311" s="4" t="s">
        <v>54</v>
      </c>
      <c r="AA311" s="4"/>
      <c r="AB311" s="23">
        <v>0</v>
      </c>
      <c r="AC311" s="28" t="e">
        <v>#N/A</v>
      </c>
      <c r="AD311" s="28" t="e">
        <v>#N/A</v>
      </c>
      <c r="AE311" s="28"/>
      <c r="AF311" s="19">
        <v>43087</v>
      </c>
      <c r="AG311" s="19"/>
      <c r="AH311" s="12">
        <f t="shared" si="16"/>
        <v>7</v>
      </c>
      <c r="AI311" s="12">
        <f t="shared" ca="1" si="17"/>
        <v>8</v>
      </c>
      <c r="AJ311" s="12" t="str">
        <f t="shared" si="18"/>
        <v>6-10 Years</v>
      </c>
      <c r="AK311" s="12" t="s">
        <v>10046</v>
      </c>
      <c r="AL311" s="31">
        <v>38</v>
      </c>
      <c r="AM311" s="31">
        <v>26</v>
      </c>
      <c r="AN311" s="12" t="str">
        <f t="shared" si="19"/>
        <v>25-34 Years</v>
      </c>
      <c r="AO311" s="13" t="s">
        <v>9146</v>
      </c>
      <c r="AP311" s="13" t="s">
        <v>9147</v>
      </c>
      <c r="AQ311" s="14" t="s">
        <v>9139</v>
      </c>
      <c r="AR311" s="14" t="s">
        <v>9140</v>
      </c>
      <c r="AS311" s="14"/>
      <c r="AT311" s="14" t="s">
        <v>72</v>
      </c>
      <c r="AU311" s="14" t="s">
        <v>54</v>
      </c>
      <c r="AV311" s="15" t="s">
        <v>9141</v>
      </c>
      <c r="AW311" s="15" t="s">
        <v>9175</v>
      </c>
      <c r="AX311" s="15" t="s">
        <v>9143</v>
      </c>
      <c r="AY311" s="15" t="s">
        <v>9141</v>
      </c>
      <c r="AZ311" s="15" t="s">
        <v>9177</v>
      </c>
      <c r="BA311" s="16" t="s">
        <v>9141</v>
      </c>
      <c r="BB311" s="16" t="s">
        <v>9178</v>
      </c>
    </row>
    <row r="312" spans="1:54" hidden="1" x14ac:dyDescent="0.25">
      <c r="A312" s="4" t="s">
        <v>1281</v>
      </c>
      <c r="B312" s="4" t="s">
        <v>9561</v>
      </c>
      <c r="C312" s="4" t="s">
        <v>1282</v>
      </c>
      <c r="D312" s="4" t="s">
        <v>39</v>
      </c>
      <c r="E312" s="4">
        <v>331215</v>
      </c>
      <c r="F312" s="4" t="s">
        <v>1284</v>
      </c>
      <c r="G312" s="32">
        <v>31304</v>
      </c>
      <c r="H312" s="25">
        <v>45740</v>
      </c>
      <c r="I312" s="11">
        <v>0.51041666666666663</v>
      </c>
      <c r="J312" s="4" t="s">
        <v>1155</v>
      </c>
      <c r="K312" s="4">
        <v>4044</v>
      </c>
      <c r="L312" s="4" t="s">
        <v>1285</v>
      </c>
      <c r="M312" s="4" t="s">
        <v>455</v>
      </c>
      <c r="N312" s="4" t="s">
        <v>1286</v>
      </c>
      <c r="O312" s="4" t="s">
        <v>46</v>
      </c>
      <c r="P312" s="4"/>
      <c r="Q312" s="4" t="s">
        <v>47</v>
      </c>
      <c r="R312" s="4" t="s">
        <v>48</v>
      </c>
      <c r="S312" s="4">
        <v>0</v>
      </c>
      <c r="T312" s="4" t="b">
        <v>0</v>
      </c>
      <c r="U312" s="4" t="s">
        <v>61</v>
      </c>
      <c r="V312" s="4" t="s">
        <v>115</v>
      </c>
      <c r="W312" s="4" t="s">
        <v>148</v>
      </c>
      <c r="X312" s="4" t="s">
        <v>52</v>
      </c>
      <c r="Y312" s="4" t="s">
        <v>53</v>
      </c>
      <c r="Z312" s="4" t="s">
        <v>54</v>
      </c>
      <c r="AA312" s="4"/>
      <c r="AB312" s="23">
        <v>0</v>
      </c>
      <c r="AC312" s="28" t="e">
        <v>#N/A</v>
      </c>
      <c r="AD312" s="28" t="e">
        <v>#N/A</v>
      </c>
      <c r="AE312" s="28"/>
      <c r="AF312" s="19">
        <v>45201</v>
      </c>
      <c r="AG312" s="19"/>
      <c r="AH312" s="12">
        <f t="shared" si="16"/>
        <v>1</v>
      </c>
      <c r="AI312" s="12">
        <f t="shared" ca="1" si="17"/>
        <v>2</v>
      </c>
      <c r="AJ312" s="12" t="str">
        <f t="shared" si="18"/>
        <v>1-5 Years</v>
      </c>
      <c r="AK312" s="12" t="s">
        <v>9632</v>
      </c>
      <c r="AL312" s="31">
        <v>30</v>
      </c>
      <c r="AM312" s="31">
        <v>39</v>
      </c>
      <c r="AN312" s="12" t="str">
        <f t="shared" si="19"/>
        <v>35-44 Years</v>
      </c>
      <c r="AO312" s="13" t="s">
        <v>9146</v>
      </c>
      <c r="AP312" s="13" t="s">
        <v>9147</v>
      </c>
      <c r="AQ312" s="14" t="s">
        <v>9148</v>
      </c>
      <c r="AR312" s="14" t="s">
        <v>9140</v>
      </c>
      <c r="AS312" s="14"/>
      <c r="AT312" s="14" t="s">
        <v>52</v>
      </c>
      <c r="AU312" s="14" t="s">
        <v>54</v>
      </c>
      <c r="AV312" s="15" t="s">
        <v>9141</v>
      </c>
      <c r="AW312" s="15" t="s">
        <v>9187</v>
      </c>
      <c r="AX312" s="15" t="s">
        <v>9143</v>
      </c>
      <c r="AY312" s="15" t="s">
        <v>9141</v>
      </c>
      <c r="AZ312" s="15" t="s">
        <v>9144</v>
      </c>
      <c r="BA312" s="16" t="s">
        <v>9141</v>
      </c>
      <c r="BB312" s="16" t="s">
        <v>9145</v>
      </c>
    </row>
    <row r="313" spans="1:54" hidden="1" x14ac:dyDescent="0.25">
      <c r="A313" s="4" t="s">
        <v>848</v>
      </c>
      <c r="B313" s="4" t="s">
        <v>9562</v>
      </c>
      <c r="C313" s="4"/>
      <c r="D313" s="4" t="s">
        <v>39</v>
      </c>
      <c r="E313" s="4">
        <v>321779</v>
      </c>
      <c r="F313" s="4" t="s">
        <v>850</v>
      </c>
      <c r="G313" s="32">
        <v>23166</v>
      </c>
      <c r="H313" s="25">
        <v>45741</v>
      </c>
      <c r="I313" s="11">
        <v>0.48958333333333331</v>
      </c>
      <c r="J313" s="4" t="s">
        <v>463</v>
      </c>
      <c r="K313" s="4">
        <v>2029</v>
      </c>
      <c r="L313" s="4" t="s">
        <v>845</v>
      </c>
      <c r="M313" s="4" t="s">
        <v>851</v>
      </c>
      <c r="N313" s="4" t="s">
        <v>852</v>
      </c>
      <c r="O313" s="4" t="s">
        <v>46</v>
      </c>
      <c r="P313" s="4"/>
      <c r="Q313" s="4" t="s">
        <v>47</v>
      </c>
      <c r="R313" s="4" t="s">
        <v>48</v>
      </c>
      <c r="S313" s="4">
        <v>0</v>
      </c>
      <c r="T313" s="4" t="b">
        <v>0</v>
      </c>
      <c r="U313" s="4" t="s">
        <v>61</v>
      </c>
      <c r="V313" s="4" t="s">
        <v>50</v>
      </c>
      <c r="W313" s="4" t="s">
        <v>51</v>
      </c>
      <c r="X313" s="4" t="s">
        <v>63</v>
      </c>
      <c r="Y313" s="4" t="s">
        <v>108</v>
      </c>
      <c r="Z313" s="4" t="s">
        <v>54</v>
      </c>
      <c r="AA313" s="4"/>
      <c r="AB313" s="23">
        <v>0</v>
      </c>
      <c r="AC313" s="28" t="e">
        <v>#N/A</v>
      </c>
      <c r="AD313" s="28" t="e">
        <v>#N/A</v>
      </c>
      <c r="AE313" s="28"/>
      <c r="AF313" s="19">
        <v>44655</v>
      </c>
      <c r="AG313" s="19"/>
      <c r="AH313" s="12">
        <f t="shared" si="16"/>
        <v>2</v>
      </c>
      <c r="AI313" s="12">
        <f t="shared" ca="1" si="17"/>
        <v>4</v>
      </c>
      <c r="AJ313" s="12" t="str">
        <f t="shared" si="18"/>
        <v>1-5 Years</v>
      </c>
      <c r="AK313" s="12" t="s">
        <v>9632</v>
      </c>
      <c r="AL313" s="31">
        <v>21.25</v>
      </c>
      <c r="AM313" s="31">
        <v>61</v>
      </c>
      <c r="AN313" s="12" t="str">
        <f t="shared" si="19"/>
        <v>More Than 55 Years</v>
      </c>
      <c r="AO313" s="13" t="s">
        <v>9146</v>
      </c>
      <c r="AP313" s="13" t="s">
        <v>9147</v>
      </c>
      <c r="AQ313" s="14" t="s">
        <v>9148</v>
      </c>
      <c r="AR313" s="14" t="s">
        <v>9140</v>
      </c>
      <c r="AS313" s="14"/>
      <c r="AT313" s="14" t="s">
        <v>63</v>
      </c>
      <c r="AU313" s="14" t="s">
        <v>54</v>
      </c>
      <c r="AV313" s="15" t="s">
        <v>9141</v>
      </c>
      <c r="AW313" s="15" t="s">
        <v>9175</v>
      </c>
      <c r="AX313" s="15" t="s">
        <v>9143</v>
      </c>
      <c r="AY313" s="15" t="s">
        <v>9141</v>
      </c>
      <c r="AZ313" s="15" t="s">
        <v>9177</v>
      </c>
      <c r="BA313" s="16" t="s">
        <v>9141</v>
      </c>
      <c r="BB313" s="16" t="s">
        <v>9178</v>
      </c>
    </row>
    <row r="314" spans="1:54" hidden="1" x14ac:dyDescent="0.25">
      <c r="A314" s="4" t="s">
        <v>1332</v>
      </c>
      <c r="B314" s="4" t="s">
        <v>9563</v>
      </c>
      <c r="C314" s="4" t="s">
        <v>1333</v>
      </c>
      <c r="D314" s="4" t="s">
        <v>39</v>
      </c>
      <c r="E314" s="4">
        <v>285137</v>
      </c>
      <c r="F314" s="4" t="s">
        <v>1335</v>
      </c>
      <c r="G314" s="32">
        <v>21569</v>
      </c>
      <c r="H314" s="25">
        <v>45743</v>
      </c>
      <c r="I314" s="11">
        <v>0.4861111111111111</v>
      </c>
      <c r="J314" s="4" t="s">
        <v>1155</v>
      </c>
      <c r="K314" s="4">
        <v>4045</v>
      </c>
      <c r="L314" s="4" t="s">
        <v>1329</v>
      </c>
      <c r="M314" s="4" t="s">
        <v>1336</v>
      </c>
      <c r="N314" s="4" t="s">
        <v>1337</v>
      </c>
      <c r="O314" s="4" t="s">
        <v>46</v>
      </c>
      <c r="P314" s="4"/>
      <c r="Q314" s="4" t="s">
        <v>47</v>
      </c>
      <c r="R314" s="4" t="s">
        <v>48</v>
      </c>
      <c r="S314" s="4">
        <v>0</v>
      </c>
      <c r="T314" s="4" t="b">
        <v>0</v>
      </c>
      <c r="U314" s="4" t="s">
        <v>49</v>
      </c>
      <c r="V314" s="4" t="s">
        <v>50</v>
      </c>
      <c r="W314" s="4" t="s">
        <v>345</v>
      </c>
      <c r="X314" s="4" t="s">
        <v>123</v>
      </c>
      <c r="Y314" s="4" t="s">
        <v>124</v>
      </c>
      <c r="Z314" s="4" t="s">
        <v>54</v>
      </c>
      <c r="AA314" s="4"/>
      <c r="AB314" s="23">
        <v>0</v>
      </c>
      <c r="AC314" s="28" t="e">
        <v>#N/A</v>
      </c>
      <c r="AD314" s="28" t="e">
        <v>#N/A</v>
      </c>
      <c r="AE314" s="28"/>
      <c r="AF314" s="19">
        <v>37039</v>
      </c>
      <c r="AG314" s="19"/>
      <c r="AH314" s="12">
        <f t="shared" si="16"/>
        <v>23</v>
      </c>
      <c r="AI314" s="12">
        <f t="shared" ca="1" si="17"/>
        <v>25</v>
      </c>
      <c r="AJ314" s="12" t="str">
        <f t="shared" si="18"/>
        <v>21-25 Years</v>
      </c>
      <c r="AK314" s="12" t="s">
        <v>9632</v>
      </c>
      <c r="AL314" s="31">
        <v>28.25</v>
      </c>
      <c r="AM314" s="31">
        <v>66</v>
      </c>
      <c r="AN314" s="12" t="str">
        <f t="shared" si="19"/>
        <v>More Than 55 Years</v>
      </c>
      <c r="AO314" s="13" t="s">
        <v>9146</v>
      </c>
      <c r="AP314" s="13" t="s">
        <v>9147</v>
      </c>
      <c r="AQ314" s="14" t="s">
        <v>9139</v>
      </c>
      <c r="AR314" s="14" t="s">
        <v>9140</v>
      </c>
      <c r="AS314" s="14"/>
      <c r="AT314" s="14" t="s">
        <v>123</v>
      </c>
      <c r="AU314" s="14" t="s">
        <v>54</v>
      </c>
      <c r="AV314" s="15" t="s">
        <v>9141</v>
      </c>
      <c r="AW314" s="15" t="s">
        <v>9187</v>
      </c>
      <c r="AX314" s="15" t="s">
        <v>9143</v>
      </c>
      <c r="AY314" s="15" t="s">
        <v>9141</v>
      </c>
      <c r="AZ314" s="15" t="s">
        <v>9144</v>
      </c>
      <c r="BA314" s="16" t="s">
        <v>9141</v>
      </c>
      <c r="BB314" s="16" t="s">
        <v>9145</v>
      </c>
    </row>
    <row r="315" spans="1:54" hidden="1" x14ac:dyDescent="0.25">
      <c r="A315" s="4" t="s">
        <v>807</v>
      </c>
      <c r="B315" s="4" t="s">
        <v>9564</v>
      </c>
      <c r="C315" s="4"/>
      <c r="D315" s="4" t="s">
        <v>39</v>
      </c>
      <c r="E315" s="4">
        <v>321544</v>
      </c>
      <c r="F315" s="4" t="s">
        <v>809</v>
      </c>
      <c r="G315" s="32">
        <v>25522</v>
      </c>
      <c r="H315" s="25">
        <v>45744</v>
      </c>
      <c r="I315" s="11">
        <v>0.48958333333333331</v>
      </c>
      <c r="J315" s="4" t="s">
        <v>463</v>
      </c>
      <c r="K315" s="4">
        <v>2028</v>
      </c>
      <c r="L315" s="4" t="s">
        <v>804</v>
      </c>
      <c r="M315" s="4" t="s">
        <v>810</v>
      </c>
      <c r="N315" s="4" t="s">
        <v>811</v>
      </c>
      <c r="O315" s="4" t="s">
        <v>46</v>
      </c>
      <c r="P315" s="4"/>
      <c r="Q315" s="4" t="s">
        <v>47</v>
      </c>
      <c r="R315" s="4" t="s">
        <v>60</v>
      </c>
      <c r="S315" s="4">
        <v>0</v>
      </c>
      <c r="T315" s="4" t="b">
        <v>0</v>
      </c>
      <c r="U315" s="4" t="s">
        <v>61</v>
      </c>
      <c r="V315" s="4" t="s">
        <v>70</v>
      </c>
      <c r="W315" s="4" t="s">
        <v>71</v>
      </c>
      <c r="X315" s="4" t="s">
        <v>72</v>
      </c>
      <c r="Y315" s="4" t="s">
        <v>73</v>
      </c>
      <c r="Z315" s="4" t="s">
        <v>54</v>
      </c>
      <c r="AA315" s="4"/>
      <c r="AB315" s="23">
        <v>0</v>
      </c>
      <c r="AC315" s="28" t="e">
        <v>#N/A</v>
      </c>
      <c r="AD315" s="28" t="e">
        <v>#N/A</v>
      </c>
      <c r="AE315" s="28"/>
      <c r="AF315" s="19">
        <v>44641</v>
      </c>
      <c r="AG315" s="19"/>
      <c r="AH315" s="12">
        <f t="shared" si="16"/>
        <v>3</v>
      </c>
      <c r="AI315" s="12">
        <f t="shared" ca="1" si="17"/>
        <v>4</v>
      </c>
      <c r="AJ315" s="12" t="str">
        <f t="shared" si="18"/>
        <v>1-5 Years</v>
      </c>
      <c r="AK315" s="12" t="s">
        <v>9632</v>
      </c>
      <c r="AL315" s="31">
        <v>20.75</v>
      </c>
      <c r="AM315" s="31">
        <v>55</v>
      </c>
      <c r="AN315" s="12" t="str">
        <f t="shared" si="19"/>
        <v>More Than 55 Years</v>
      </c>
      <c r="AO315" s="13" t="s">
        <v>9146</v>
      </c>
      <c r="AP315" s="13" t="s">
        <v>9147</v>
      </c>
      <c r="AQ315" s="14" t="s">
        <v>9148</v>
      </c>
      <c r="AR315" s="14" t="s">
        <v>9140</v>
      </c>
      <c r="AS315" s="14"/>
      <c r="AT315" s="14" t="s">
        <v>72</v>
      </c>
      <c r="AU315" s="14" t="s">
        <v>54</v>
      </c>
      <c r="AV315" s="15" t="s">
        <v>9141</v>
      </c>
      <c r="AW315" s="15" t="s">
        <v>9175</v>
      </c>
      <c r="AX315" s="15" t="s">
        <v>9143</v>
      </c>
      <c r="AY315" s="15" t="s">
        <v>9141</v>
      </c>
      <c r="AZ315" s="15" t="s">
        <v>9175</v>
      </c>
      <c r="BA315" s="16" t="s">
        <v>9141</v>
      </c>
      <c r="BB315" s="16" t="s">
        <v>9176</v>
      </c>
    </row>
    <row r="316" spans="1:54" hidden="1" x14ac:dyDescent="0.25">
      <c r="A316" s="4" t="s">
        <v>55</v>
      </c>
      <c r="B316" s="4" t="s">
        <v>9565</v>
      </c>
      <c r="C316" s="4"/>
      <c r="D316" s="4" t="s">
        <v>39</v>
      </c>
      <c r="E316" s="4">
        <v>330972</v>
      </c>
      <c r="F316" s="4" t="s">
        <v>57</v>
      </c>
      <c r="G316" s="32">
        <v>38496</v>
      </c>
      <c r="H316" s="25">
        <v>45745</v>
      </c>
      <c r="I316" s="11">
        <v>0.42916666666666664</v>
      </c>
      <c r="J316" s="4" t="s">
        <v>42</v>
      </c>
      <c r="K316" s="4">
        <v>1005</v>
      </c>
      <c r="L316" s="4" t="s">
        <v>43</v>
      </c>
      <c r="M316" s="4" t="s">
        <v>58</v>
      </c>
      <c r="N316" s="4" t="s">
        <v>59</v>
      </c>
      <c r="O316" s="4" t="s">
        <v>46</v>
      </c>
      <c r="P316" s="4"/>
      <c r="Q316" s="4" t="s">
        <v>47</v>
      </c>
      <c r="R316" s="4" t="s">
        <v>60</v>
      </c>
      <c r="S316" s="4">
        <v>0</v>
      </c>
      <c r="T316" s="4" t="b">
        <v>0</v>
      </c>
      <c r="U316" s="4" t="s">
        <v>61</v>
      </c>
      <c r="V316" s="4" t="s">
        <v>50</v>
      </c>
      <c r="W316" s="4" t="s">
        <v>62</v>
      </c>
      <c r="X316" s="4" t="s">
        <v>63</v>
      </c>
      <c r="Y316" s="4" t="s">
        <v>64</v>
      </c>
      <c r="Z316" s="4" t="s">
        <v>54</v>
      </c>
      <c r="AA316" s="4"/>
      <c r="AB316" s="23">
        <v>0</v>
      </c>
      <c r="AC316" s="28" t="e">
        <v>#N/A</v>
      </c>
      <c r="AD316" s="28" t="e">
        <v>#N/A</v>
      </c>
      <c r="AE316" s="28"/>
      <c r="AF316" s="19">
        <v>45187</v>
      </c>
      <c r="AG316" s="19"/>
      <c r="AH316" s="12">
        <f t="shared" si="16"/>
        <v>1</v>
      </c>
      <c r="AI316" s="12">
        <f t="shared" ca="1" si="17"/>
        <v>2</v>
      </c>
      <c r="AJ316" s="12" t="str">
        <f t="shared" si="18"/>
        <v>1-5 Years</v>
      </c>
      <c r="AK316" s="12" t="s">
        <v>9633</v>
      </c>
      <c r="AL316" s="31">
        <v>0.01</v>
      </c>
      <c r="AM316" s="31">
        <v>19</v>
      </c>
      <c r="AN316" s="12" t="str">
        <f t="shared" si="19"/>
        <v>Less Than 20 Years</v>
      </c>
      <c r="AO316" s="13" t="s">
        <v>9146</v>
      </c>
      <c r="AP316" s="13" t="s">
        <v>9147</v>
      </c>
      <c r="AQ316" s="14" t="s">
        <v>9148</v>
      </c>
      <c r="AR316" s="14" t="s">
        <v>9140</v>
      </c>
      <c r="AS316" s="14"/>
      <c r="AT316" s="14" t="s">
        <v>63</v>
      </c>
      <c r="AU316" s="14" t="s">
        <v>54</v>
      </c>
      <c r="AV316" s="15" t="s">
        <v>9141</v>
      </c>
      <c r="AW316" s="15" t="s">
        <v>9142</v>
      </c>
      <c r="AX316" s="15" t="s">
        <v>9143</v>
      </c>
      <c r="AY316" s="15" t="s">
        <v>9141</v>
      </c>
      <c r="AZ316" s="15" t="s">
        <v>9144</v>
      </c>
      <c r="BA316" s="16" t="s">
        <v>9141</v>
      </c>
      <c r="BB316" s="16" t="s">
        <v>9145</v>
      </c>
    </row>
    <row r="317" spans="1:54" hidden="1" x14ac:dyDescent="0.25">
      <c r="A317" s="4" t="s">
        <v>801</v>
      </c>
      <c r="B317" s="4" t="s">
        <v>9566</v>
      </c>
      <c r="C317" s="4"/>
      <c r="D317" s="4" t="s">
        <v>39</v>
      </c>
      <c r="E317" s="4">
        <v>297118</v>
      </c>
      <c r="F317" s="4" t="s">
        <v>803</v>
      </c>
      <c r="G317" s="32">
        <v>26362</v>
      </c>
      <c r="H317" s="25">
        <v>45745</v>
      </c>
      <c r="I317" s="11">
        <v>0.64930555555555558</v>
      </c>
      <c r="J317" s="4" t="s">
        <v>463</v>
      </c>
      <c r="K317" s="4">
        <v>2028</v>
      </c>
      <c r="L317" s="4" t="s">
        <v>804</v>
      </c>
      <c r="M317" s="4" t="s">
        <v>805</v>
      </c>
      <c r="N317" s="4" t="s">
        <v>806</v>
      </c>
      <c r="O317" s="4" t="s">
        <v>46</v>
      </c>
      <c r="P317" s="4"/>
      <c r="Q317" s="4" t="s">
        <v>47</v>
      </c>
      <c r="R317" s="4" t="s">
        <v>48</v>
      </c>
      <c r="S317" s="4">
        <v>0</v>
      </c>
      <c r="T317" s="4" t="b">
        <v>0</v>
      </c>
      <c r="U317" s="4" t="s">
        <v>61</v>
      </c>
      <c r="V317" s="4" t="s">
        <v>50</v>
      </c>
      <c r="W317" s="4" t="s">
        <v>90</v>
      </c>
      <c r="X317" s="4" t="s">
        <v>72</v>
      </c>
      <c r="Y317" s="4" t="s">
        <v>73</v>
      </c>
      <c r="Z317" s="4" t="s">
        <v>54</v>
      </c>
      <c r="AA317" s="4"/>
      <c r="AB317" s="23">
        <v>0</v>
      </c>
      <c r="AC317" s="28" t="e">
        <v>#N/A</v>
      </c>
      <c r="AD317" s="28" t="e">
        <v>#N/A</v>
      </c>
      <c r="AE317" s="28"/>
      <c r="AF317" s="19">
        <v>44130</v>
      </c>
      <c r="AG317" s="19"/>
      <c r="AH317" s="12">
        <f t="shared" si="16"/>
        <v>4</v>
      </c>
      <c r="AI317" s="12">
        <f t="shared" ca="1" si="17"/>
        <v>5</v>
      </c>
      <c r="AJ317" s="12" t="str">
        <f t="shared" si="18"/>
        <v>1-5 Years</v>
      </c>
      <c r="AK317" s="12" t="s">
        <v>10046</v>
      </c>
      <c r="AL317" s="31">
        <v>38</v>
      </c>
      <c r="AM317" s="31">
        <v>53</v>
      </c>
      <c r="AN317" s="12" t="str">
        <f t="shared" si="19"/>
        <v>45-54 Years</v>
      </c>
      <c r="AO317" s="13" t="s">
        <v>9146</v>
      </c>
      <c r="AP317" s="13" t="s">
        <v>9147</v>
      </c>
      <c r="AQ317" s="14" t="s">
        <v>9148</v>
      </c>
      <c r="AR317" s="14" t="s">
        <v>9140</v>
      </c>
      <c r="AS317" s="14"/>
      <c r="AT317" s="14" t="s">
        <v>72</v>
      </c>
      <c r="AU317" s="14" t="s">
        <v>54</v>
      </c>
      <c r="AV317" s="15" t="s">
        <v>9141</v>
      </c>
      <c r="AW317" s="15" t="s">
        <v>9175</v>
      </c>
      <c r="AX317" s="15" t="s">
        <v>9143</v>
      </c>
      <c r="AY317" s="15" t="s">
        <v>9141</v>
      </c>
      <c r="AZ317" s="15" t="s">
        <v>9175</v>
      </c>
      <c r="BA317" s="16" t="s">
        <v>9141</v>
      </c>
      <c r="BB317" s="16" t="s">
        <v>9176</v>
      </c>
    </row>
    <row r="318" spans="1:54" hidden="1" x14ac:dyDescent="0.25">
      <c r="A318" s="4" t="s">
        <v>949</v>
      </c>
      <c r="B318" s="4" t="s">
        <v>9567</v>
      </c>
      <c r="C318" s="4"/>
      <c r="D318" s="4" t="s">
        <v>39</v>
      </c>
      <c r="E318" s="4">
        <v>327413</v>
      </c>
      <c r="F318" s="4" t="s">
        <v>951</v>
      </c>
      <c r="G318" s="32">
        <v>37865</v>
      </c>
      <c r="H318" s="25">
        <v>45746</v>
      </c>
      <c r="I318" s="11">
        <v>0.60416666666666663</v>
      </c>
      <c r="J318" s="4" t="s">
        <v>463</v>
      </c>
      <c r="K318" s="4">
        <v>2033</v>
      </c>
      <c r="L318" s="4" t="s">
        <v>952</v>
      </c>
      <c r="M318" s="4" t="s">
        <v>953</v>
      </c>
      <c r="N318" s="4" t="s">
        <v>954</v>
      </c>
      <c r="O318" s="4" t="s">
        <v>46</v>
      </c>
      <c r="P318" s="4"/>
      <c r="Q318" s="4" t="s">
        <v>47</v>
      </c>
      <c r="R318" s="4" t="s">
        <v>48</v>
      </c>
      <c r="S318" s="4">
        <v>0</v>
      </c>
      <c r="T318" s="4" t="b">
        <v>0</v>
      </c>
      <c r="U318" s="4" t="s">
        <v>49</v>
      </c>
      <c r="V318" s="4" t="s">
        <v>50</v>
      </c>
      <c r="W318" s="4" t="s">
        <v>165</v>
      </c>
      <c r="X318" s="4" t="s">
        <v>63</v>
      </c>
      <c r="Y318" s="4" t="s">
        <v>108</v>
      </c>
      <c r="Z318" s="4" t="s">
        <v>54</v>
      </c>
      <c r="AA318" s="4"/>
      <c r="AB318" s="23">
        <v>0</v>
      </c>
      <c r="AC318" s="28" t="e">
        <v>#N/A</v>
      </c>
      <c r="AD318" s="28" t="e">
        <v>#N/A</v>
      </c>
      <c r="AE318" s="28"/>
      <c r="AF318" s="19">
        <v>44914</v>
      </c>
      <c r="AG318" s="19"/>
      <c r="AH318" s="12">
        <f t="shared" si="16"/>
        <v>2</v>
      </c>
      <c r="AI318" s="12">
        <f t="shared" ca="1" si="17"/>
        <v>3</v>
      </c>
      <c r="AJ318" s="12" t="str">
        <f t="shared" si="18"/>
        <v>1-5 Years</v>
      </c>
      <c r="AK318" s="12" t="s">
        <v>9632</v>
      </c>
      <c r="AL318" s="31">
        <v>30.5</v>
      </c>
      <c r="AM318" s="31">
        <v>21</v>
      </c>
      <c r="AN318" s="12" t="str">
        <f t="shared" si="19"/>
        <v>20-24 Years</v>
      </c>
      <c r="AO318" s="13" t="s">
        <v>9146</v>
      </c>
      <c r="AP318" s="13" t="s">
        <v>9147</v>
      </c>
      <c r="AQ318" s="14" t="s">
        <v>9139</v>
      </c>
      <c r="AR318" s="14" t="s">
        <v>9140</v>
      </c>
      <c r="AS318" s="14"/>
      <c r="AT318" s="14" t="s">
        <v>63</v>
      </c>
      <c r="AU318" s="14" t="s">
        <v>54</v>
      </c>
      <c r="AV318" s="15" t="s">
        <v>9141</v>
      </c>
      <c r="AW318" s="15" t="s">
        <v>9175</v>
      </c>
      <c r="AX318" s="15" t="s">
        <v>9143</v>
      </c>
      <c r="AY318" s="15" t="s">
        <v>9141</v>
      </c>
      <c r="AZ318" s="15" t="s">
        <v>9175</v>
      </c>
      <c r="BA318" s="16" t="s">
        <v>9141</v>
      </c>
      <c r="BB318" s="16" t="s">
        <v>9176</v>
      </c>
    </row>
    <row r="319" spans="1:54" hidden="1" x14ac:dyDescent="0.25">
      <c r="A319" s="4" t="s">
        <v>1325</v>
      </c>
      <c r="B319" s="4" t="s">
        <v>9568</v>
      </c>
      <c r="C319" s="4" t="s">
        <v>1326</v>
      </c>
      <c r="D319" s="4" t="s">
        <v>39</v>
      </c>
      <c r="E319" s="4">
        <v>254339</v>
      </c>
      <c r="F319" s="4" t="s">
        <v>1328</v>
      </c>
      <c r="G319" s="32">
        <v>20420</v>
      </c>
      <c r="H319" s="25">
        <v>45747</v>
      </c>
      <c r="I319" s="11">
        <v>0.5625</v>
      </c>
      <c r="J319" s="4" t="s">
        <v>1155</v>
      </c>
      <c r="K319" s="4">
        <v>4045</v>
      </c>
      <c r="L319" s="4" t="s">
        <v>1329</v>
      </c>
      <c r="M319" s="4" t="s">
        <v>1330</v>
      </c>
      <c r="N319" s="4" t="s">
        <v>1331</v>
      </c>
      <c r="O319" s="4" t="s">
        <v>46</v>
      </c>
      <c r="P319" s="4"/>
      <c r="Q319" s="4" t="s">
        <v>47</v>
      </c>
      <c r="R319" s="4" t="s">
        <v>48</v>
      </c>
      <c r="S319" s="4">
        <v>0</v>
      </c>
      <c r="T319" s="4" t="b">
        <v>0</v>
      </c>
      <c r="U319" s="4" t="s">
        <v>61</v>
      </c>
      <c r="V319" s="4" t="s">
        <v>115</v>
      </c>
      <c r="W319" s="4" t="s">
        <v>175</v>
      </c>
      <c r="X319" s="4" t="s">
        <v>52</v>
      </c>
      <c r="Y319" s="4" t="s">
        <v>53</v>
      </c>
      <c r="Z319" s="4" t="s">
        <v>54</v>
      </c>
      <c r="AA319" s="4"/>
      <c r="AB319" s="23">
        <v>0</v>
      </c>
      <c r="AC319" s="28" t="e">
        <v>#N/A</v>
      </c>
      <c r="AD319" s="28" t="e">
        <v>#N/A</v>
      </c>
      <c r="AE319" s="28"/>
      <c r="AF319" s="19">
        <v>34533</v>
      </c>
      <c r="AG319" s="19"/>
      <c r="AH319" s="12">
        <f t="shared" si="16"/>
        <v>30</v>
      </c>
      <c r="AI319" s="12">
        <f t="shared" ca="1" si="17"/>
        <v>32</v>
      </c>
      <c r="AJ319" s="12" t="str">
        <f t="shared" si="18"/>
        <v>26-30 Years</v>
      </c>
      <c r="AK319" s="12" t="s">
        <v>10046</v>
      </c>
      <c r="AL319" s="31">
        <v>38</v>
      </c>
      <c r="AM319" s="31">
        <v>69</v>
      </c>
      <c r="AN319" s="12" t="str">
        <f t="shared" si="19"/>
        <v>More Than 55 Years</v>
      </c>
      <c r="AO319" s="13" t="s">
        <v>9137</v>
      </c>
      <c r="AP319" s="13" t="s">
        <v>9138</v>
      </c>
      <c r="AQ319" s="14" t="s">
        <v>9148</v>
      </c>
      <c r="AR319" s="14" t="s">
        <v>9140</v>
      </c>
      <c r="AS319" s="14"/>
      <c r="AT319" s="14" t="s">
        <v>52</v>
      </c>
      <c r="AU319" s="14" t="s">
        <v>54</v>
      </c>
      <c r="AV319" s="15" t="s">
        <v>9141</v>
      </c>
      <c r="AW319" s="15" t="s">
        <v>9187</v>
      </c>
      <c r="AX319" s="15" t="s">
        <v>9143</v>
      </c>
      <c r="AY319" s="15" t="s">
        <v>9141</v>
      </c>
      <c r="AZ319" s="15" t="s">
        <v>9144</v>
      </c>
      <c r="BA319" s="16" t="s">
        <v>9141</v>
      </c>
      <c r="BB319" s="16" t="s">
        <v>9145</v>
      </c>
    </row>
    <row r="320" spans="1:54" hidden="1" x14ac:dyDescent="0.25">
      <c r="A320" s="4" t="s">
        <v>842</v>
      </c>
      <c r="B320" s="4" t="s">
        <v>9569</v>
      </c>
      <c r="C320" s="4">
        <v>12240083557</v>
      </c>
      <c r="D320" s="4" t="s">
        <v>39</v>
      </c>
      <c r="E320" s="4">
        <v>297419</v>
      </c>
      <c r="F320" s="4" t="s">
        <v>844</v>
      </c>
      <c r="G320" s="32">
        <v>30611</v>
      </c>
      <c r="H320" s="25">
        <v>45748</v>
      </c>
      <c r="I320" s="11">
        <v>0.55138888888888893</v>
      </c>
      <c r="J320" s="4" t="s">
        <v>463</v>
      </c>
      <c r="K320" s="4">
        <v>2029</v>
      </c>
      <c r="L320" s="4" t="s">
        <v>845</v>
      </c>
      <c r="M320" s="4" t="s">
        <v>846</v>
      </c>
      <c r="N320" s="4" t="s">
        <v>847</v>
      </c>
      <c r="O320" s="4" t="s">
        <v>28</v>
      </c>
      <c r="P320" s="4" t="s">
        <v>478</v>
      </c>
      <c r="Q320" s="4" t="s">
        <v>344</v>
      </c>
      <c r="R320" s="4" t="s">
        <v>60</v>
      </c>
      <c r="S320" s="4">
        <v>20</v>
      </c>
      <c r="T320" s="4" t="b">
        <v>0</v>
      </c>
      <c r="U320" s="4" t="s">
        <v>114</v>
      </c>
      <c r="V320" s="4" t="s">
        <v>115</v>
      </c>
      <c r="W320" s="4" t="s">
        <v>71</v>
      </c>
      <c r="X320" s="4" t="s">
        <v>52</v>
      </c>
      <c r="Y320" s="4" t="s">
        <v>53</v>
      </c>
      <c r="Z320" s="4" t="s">
        <v>54</v>
      </c>
      <c r="AA320" s="4" t="s">
        <v>176</v>
      </c>
      <c r="AB320" s="23" t="s">
        <v>60</v>
      </c>
      <c r="AC320" s="28" t="e">
        <v>#N/A</v>
      </c>
      <c r="AD320" s="28" t="e">
        <v>#N/A</v>
      </c>
      <c r="AE320" s="28"/>
      <c r="AF320" s="19">
        <v>44277</v>
      </c>
      <c r="AG320" s="19"/>
      <c r="AH320" s="12">
        <f t="shared" si="16"/>
        <v>4</v>
      </c>
      <c r="AI320" s="12">
        <f t="shared" ca="1" si="17"/>
        <v>5</v>
      </c>
      <c r="AJ320" s="12" t="str">
        <f t="shared" si="18"/>
        <v>1-5 Years</v>
      </c>
      <c r="AK320" s="12" t="s">
        <v>10046</v>
      </c>
      <c r="AL320" s="31">
        <v>38</v>
      </c>
      <c r="AM320" s="31">
        <v>41</v>
      </c>
      <c r="AN320" s="12" t="str">
        <f t="shared" si="19"/>
        <v>35-44 Years</v>
      </c>
      <c r="AO320" s="13" t="s">
        <v>9137</v>
      </c>
      <c r="AP320" s="13" t="s">
        <v>9138</v>
      </c>
      <c r="AQ320" s="14" t="s">
        <v>9157</v>
      </c>
      <c r="AR320" s="14" t="s">
        <v>28</v>
      </c>
      <c r="AS320" s="14" t="s">
        <v>478</v>
      </c>
      <c r="AT320" s="14" t="s">
        <v>52</v>
      </c>
      <c r="AU320" s="14" t="s">
        <v>54</v>
      </c>
      <c r="AV320" s="15" t="s">
        <v>9141</v>
      </c>
      <c r="AW320" s="15" t="s">
        <v>9175</v>
      </c>
      <c r="AX320" s="15" t="s">
        <v>9143</v>
      </c>
      <c r="AY320" s="15" t="s">
        <v>9141</v>
      </c>
      <c r="AZ320" s="15" t="s">
        <v>9177</v>
      </c>
      <c r="BA320" s="16" t="s">
        <v>9141</v>
      </c>
      <c r="BB320" s="16" t="s">
        <v>9178</v>
      </c>
    </row>
    <row r="321" spans="1:54" x14ac:dyDescent="0.25">
      <c r="A321" s="4" t="s">
        <v>1363</v>
      </c>
      <c r="B321" s="4" t="s">
        <v>9570</v>
      </c>
      <c r="C321" s="4">
        <v>7902273</v>
      </c>
      <c r="D321" s="4" t="s">
        <v>39</v>
      </c>
      <c r="E321" s="4">
        <v>331467</v>
      </c>
      <c r="F321" s="4" t="s">
        <v>1365</v>
      </c>
      <c r="G321" s="32">
        <v>37810</v>
      </c>
      <c r="H321" s="25">
        <v>45758</v>
      </c>
      <c r="I321" s="11">
        <v>0.58333333333333337</v>
      </c>
      <c r="J321" s="4" t="s">
        <v>1366</v>
      </c>
      <c r="K321" s="4">
        <v>5053</v>
      </c>
      <c r="L321" s="4" t="s">
        <v>1367</v>
      </c>
      <c r="M321" s="4" t="s">
        <v>1123</v>
      </c>
      <c r="N321" s="4" t="s">
        <v>1368</v>
      </c>
      <c r="O321" s="4" t="s">
        <v>28</v>
      </c>
      <c r="P321" s="4" t="s">
        <v>478</v>
      </c>
      <c r="Q321" s="4" t="s">
        <v>191</v>
      </c>
      <c r="R321" s="4" t="s">
        <v>60</v>
      </c>
      <c r="S321" s="4">
        <v>0</v>
      </c>
      <c r="T321" s="4" t="b">
        <v>0</v>
      </c>
      <c r="U321" s="4" t="s">
        <v>114</v>
      </c>
      <c r="V321" s="4" t="s">
        <v>115</v>
      </c>
      <c r="W321" s="4" t="s">
        <v>51</v>
      </c>
      <c r="X321" s="4" t="s">
        <v>52</v>
      </c>
      <c r="Y321" s="4" t="s">
        <v>53</v>
      </c>
      <c r="Z321" s="4" t="s">
        <v>54</v>
      </c>
      <c r="AA321" s="4"/>
      <c r="AB321" s="23" t="s">
        <v>60</v>
      </c>
      <c r="AC321" s="28" t="e">
        <v>#N/A</v>
      </c>
      <c r="AD321" s="28" t="e">
        <v>#N/A</v>
      </c>
      <c r="AE321" s="28"/>
      <c r="AF321" s="19">
        <v>45208</v>
      </c>
      <c r="AG321" s="19"/>
      <c r="AH321" s="12">
        <f t="shared" si="16"/>
        <v>1</v>
      </c>
      <c r="AI321" s="12">
        <f t="shared" ca="1" si="17"/>
        <v>2</v>
      </c>
      <c r="AJ321" s="12" t="str">
        <f t="shared" si="18"/>
        <v>1-5 Years</v>
      </c>
      <c r="AK321" s="12" t="s">
        <v>9632</v>
      </c>
      <c r="AL321" s="31">
        <v>22.75</v>
      </c>
      <c r="AM321" s="31">
        <v>21</v>
      </c>
      <c r="AN321" s="12" t="str">
        <f t="shared" si="19"/>
        <v>20-24 Years</v>
      </c>
      <c r="AO321" s="13" t="s">
        <v>9137</v>
      </c>
      <c r="AP321" s="13" t="s">
        <v>9138</v>
      </c>
      <c r="AQ321" s="14" t="s">
        <v>9157</v>
      </c>
      <c r="AR321" s="14" t="s">
        <v>28</v>
      </c>
      <c r="AS321" s="14" t="s">
        <v>478</v>
      </c>
      <c r="AT321" s="14" t="s">
        <v>52</v>
      </c>
      <c r="AU321" s="14" t="s">
        <v>54</v>
      </c>
      <c r="AV321" s="15" t="s">
        <v>9141</v>
      </c>
      <c r="AW321" s="15" t="s">
        <v>9188</v>
      </c>
      <c r="AX321" s="15" t="s">
        <v>9143</v>
      </c>
      <c r="AY321" s="15" t="s">
        <v>9141</v>
      </c>
      <c r="AZ321" s="15" t="s">
        <v>9189</v>
      </c>
      <c r="BA321" s="16" t="s">
        <v>9141</v>
      </c>
      <c r="BB321" s="16" t="s">
        <v>9190</v>
      </c>
    </row>
    <row r="322" spans="1:54" hidden="1" x14ac:dyDescent="0.25">
      <c r="A322" s="4" t="s">
        <v>38</v>
      </c>
      <c r="B322" s="4" t="s">
        <v>9571</v>
      </c>
      <c r="C322" s="4"/>
      <c r="D322" s="4" t="s">
        <v>39</v>
      </c>
      <c r="E322" s="4">
        <v>325628</v>
      </c>
      <c r="F322" s="4" t="s">
        <v>41</v>
      </c>
      <c r="G322" s="32">
        <v>23632</v>
      </c>
      <c r="H322" s="25">
        <v>45759</v>
      </c>
      <c r="I322" s="11">
        <v>0.41319444444444442</v>
      </c>
      <c r="J322" s="4" t="s">
        <v>42</v>
      </c>
      <c r="K322" s="4">
        <v>1005</v>
      </c>
      <c r="L322" s="4" t="s">
        <v>43</v>
      </c>
      <c r="M322" s="4" t="s">
        <v>44</v>
      </c>
      <c r="N322" s="4" t="s">
        <v>45</v>
      </c>
      <c r="O322" s="4" t="s">
        <v>46</v>
      </c>
      <c r="P322" s="4"/>
      <c r="Q322" s="4" t="s">
        <v>47</v>
      </c>
      <c r="R322" s="4" t="s">
        <v>48</v>
      </c>
      <c r="S322" s="4">
        <v>0</v>
      </c>
      <c r="T322" s="4" t="b">
        <v>0</v>
      </c>
      <c r="U322" s="4" t="s">
        <v>49</v>
      </c>
      <c r="V322" s="4" t="s">
        <v>50</v>
      </c>
      <c r="W322" s="4" t="s">
        <v>51</v>
      </c>
      <c r="X322" s="4" t="s">
        <v>52</v>
      </c>
      <c r="Y322" s="4" t="s">
        <v>53</v>
      </c>
      <c r="Z322" s="4" t="s">
        <v>54</v>
      </c>
      <c r="AA322" s="4"/>
      <c r="AB322" s="23">
        <v>0</v>
      </c>
      <c r="AC322" s="28" t="e">
        <v>#N/A</v>
      </c>
      <c r="AD322" s="28" t="e">
        <v>#N/A</v>
      </c>
      <c r="AE322" s="28"/>
      <c r="AF322" s="19">
        <v>44858</v>
      </c>
      <c r="AG322" s="19"/>
      <c r="AH322" s="12">
        <f t="shared" si="16"/>
        <v>2</v>
      </c>
      <c r="AI322" s="12">
        <f t="shared" ca="1" si="17"/>
        <v>3</v>
      </c>
      <c r="AJ322" s="12" t="str">
        <f t="shared" si="18"/>
        <v>1-5 Years</v>
      </c>
      <c r="AK322" s="12" t="s">
        <v>9633</v>
      </c>
      <c r="AL322" s="31">
        <v>0.01</v>
      </c>
      <c r="AM322" s="31">
        <v>60</v>
      </c>
      <c r="AN322" s="12" t="str">
        <f t="shared" si="19"/>
        <v>More Than 55 Years</v>
      </c>
      <c r="AO322" s="13" t="s">
        <v>9137</v>
      </c>
      <c r="AP322" s="13" t="s">
        <v>9138</v>
      </c>
      <c r="AQ322" s="14" t="s">
        <v>9139</v>
      </c>
      <c r="AR322" s="14" t="s">
        <v>9140</v>
      </c>
      <c r="AS322" s="14"/>
      <c r="AT322" s="14" t="s">
        <v>52</v>
      </c>
      <c r="AU322" s="14" t="s">
        <v>54</v>
      </c>
      <c r="AV322" s="15" t="s">
        <v>9141</v>
      </c>
      <c r="AW322" s="15" t="s">
        <v>9142</v>
      </c>
      <c r="AX322" s="15" t="s">
        <v>9143</v>
      </c>
      <c r="AY322" s="15" t="s">
        <v>9141</v>
      </c>
      <c r="AZ322" s="15" t="s">
        <v>9144</v>
      </c>
      <c r="BA322" s="16" t="s">
        <v>9141</v>
      </c>
      <c r="BB322" s="16" t="s">
        <v>9145</v>
      </c>
    </row>
    <row r="323" spans="1:54" hidden="1" x14ac:dyDescent="0.25">
      <c r="A323" s="4" t="s">
        <v>1663</v>
      </c>
      <c r="B323" s="4" t="s">
        <v>9572</v>
      </c>
      <c r="C323" s="4"/>
      <c r="D323" s="4" t="s">
        <v>39</v>
      </c>
      <c r="E323" s="4">
        <v>330730</v>
      </c>
      <c r="F323" s="4" t="s">
        <v>1665</v>
      </c>
      <c r="G323" s="32">
        <v>23195</v>
      </c>
      <c r="H323" s="25">
        <v>45761</v>
      </c>
      <c r="I323" s="11">
        <v>0.73750000000000004</v>
      </c>
      <c r="J323" s="4" t="s">
        <v>1654</v>
      </c>
      <c r="K323" s="4">
        <v>9087</v>
      </c>
      <c r="L323" s="4" t="s">
        <v>1666</v>
      </c>
      <c r="M323" s="4" t="s">
        <v>1667</v>
      </c>
      <c r="N323" s="4" t="s">
        <v>1668</v>
      </c>
      <c r="O323" s="4" t="s">
        <v>46</v>
      </c>
      <c r="P323" s="4"/>
      <c r="Q323" s="4" t="s">
        <v>47</v>
      </c>
      <c r="R323" s="4" t="s">
        <v>60</v>
      </c>
      <c r="S323" s="4">
        <v>2</v>
      </c>
      <c r="T323" s="4" t="b">
        <v>0</v>
      </c>
      <c r="U323" s="4" t="s">
        <v>184</v>
      </c>
      <c r="V323" s="4" t="s">
        <v>50</v>
      </c>
      <c r="W323" s="4" t="s">
        <v>122</v>
      </c>
      <c r="X323" s="4" t="s">
        <v>123</v>
      </c>
      <c r="Y323" s="4" t="s">
        <v>124</v>
      </c>
      <c r="Z323" s="4" t="s">
        <v>54</v>
      </c>
      <c r="AA323" s="4"/>
      <c r="AB323" s="23">
        <v>0</v>
      </c>
      <c r="AC323" s="28" t="e">
        <v>#N/A</v>
      </c>
      <c r="AD323" s="28" t="e">
        <v>#N/A</v>
      </c>
      <c r="AE323" s="28"/>
      <c r="AF323" s="19">
        <v>45173</v>
      </c>
      <c r="AG323" s="19"/>
      <c r="AH323" s="12">
        <f t="shared" ref="AH323:AH328" si="20">DATEDIF(AF323,H323,"Y")</f>
        <v>1</v>
      </c>
      <c r="AI323" s="12">
        <f t="shared" ref="AI323:AI328" ca="1" si="21">IF(AG323=0,DATEDIF(AF323,TODAY(),"Y"),DATEDIF(AF323,AG323,"Y"))</f>
        <v>3</v>
      </c>
      <c r="AJ323" s="12" t="str">
        <f t="shared" ref="AJ323:AJ328" si="22">IF(AH323=0,"Under 1 Year",IF(AND(AH323&gt;=1,AH323&lt;=5),"1-5 Years",IF(AND(AH323&gt;=6,AH323&lt;=10),"6-10 Years",IF(AND(AH323&gt;=11,AH323&lt;=15),"11-15 Years",IF(AND(AH323&gt;=16,AH323&lt;=20),"16-20 Years",IF(AND(AH323&gt;=21,AH323&lt;=25),"21-25 Years",IF(AND(AH323&gt;=26,AH323&lt;=30),"26-30 Years","More Than 30 Years")))))))</f>
        <v>1-5 Years</v>
      </c>
      <c r="AK323" s="12" t="s">
        <v>10046</v>
      </c>
      <c r="AL323" s="31">
        <v>38</v>
      </c>
      <c r="AM323" s="31">
        <v>61</v>
      </c>
      <c r="AN323" s="12" t="str">
        <f t="shared" ref="AN323:AN328" si="23">IF(AM323&lt;20,"Less Than 20 Years",IF(AND(AM323&gt;=20,AM323&lt;=24),"20-24 Years",IF(AND(AM323&gt;=25,AM323&lt;=34),"25-34 Years",IF(AND(AM323&gt;=35,AM323&lt;=44),"35-44 Years",IF(AND(AM323&gt;=45,AM323&lt;=54),"45-54 Years","More Than 55 Years")))))</f>
        <v>More Than 55 Years</v>
      </c>
      <c r="AO323" s="13" t="s">
        <v>9137</v>
      </c>
      <c r="AP323" s="13" t="s">
        <v>9138</v>
      </c>
      <c r="AQ323" s="14" t="s">
        <v>9166</v>
      </c>
      <c r="AR323" s="14" t="s">
        <v>9140</v>
      </c>
      <c r="AS323" s="14"/>
      <c r="AT323" s="14" t="s">
        <v>123</v>
      </c>
      <c r="AU323" s="14" t="s">
        <v>54</v>
      </c>
      <c r="AV323" s="15" t="s">
        <v>9141</v>
      </c>
      <c r="AW323" s="15" t="s">
        <v>9191</v>
      </c>
      <c r="AX323" s="15" t="s">
        <v>9143</v>
      </c>
      <c r="AY323" s="15" t="s">
        <v>9141</v>
      </c>
      <c r="AZ323" s="15" t="s">
        <v>9191</v>
      </c>
      <c r="BA323" s="16" t="s">
        <v>9141</v>
      </c>
      <c r="BB323" s="16" t="s">
        <v>9192</v>
      </c>
    </row>
    <row r="324" spans="1:54" hidden="1" x14ac:dyDescent="0.25">
      <c r="A324" s="4" t="s">
        <v>753</v>
      </c>
      <c r="B324" s="4" t="s">
        <v>9573</v>
      </c>
      <c r="C324" s="4"/>
      <c r="D324" s="4" t="s">
        <v>39</v>
      </c>
      <c r="E324" s="4">
        <v>334932</v>
      </c>
      <c r="F324" s="4" t="s">
        <v>755</v>
      </c>
      <c r="G324" s="32">
        <v>28720</v>
      </c>
      <c r="H324" s="25">
        <v>45763</v>
      </c>
      <c r="I324" s="11">
        <v>0.72569444444444442</v>
      </c>
      <c r="J324" s="4" t="s">
        <v>463</v>
      </c>
      <c r="K324" s="4">
        <v>2026</v>
      </c>
      <c r="L324" s="4" t="s">
        <v>756</v>
      </c>
      <c r="M324" s="4" t="s">
        <v>757</v>
      </c>
      <c r="N324" s="4" t="s">
        <v>758</v>
      </c>
      <c r="O324" s="4" t="s">
        <v>46</v>
      </c>
      <c r="P324" s="4" t="s">
        <v>478</v>
      </c>
      <c r="Q324" s="4" t="s">
        <v>344</v>
      </c>
      <c r="R324" s="4" t="s">
        <v>60</v>
      </c>
      <c r="S324" s="4">
        <v>20</v>
      </c>
      <c r="T324" s="4" t="b">
        <v>0</v>
      </c>
      <c r="U324" s="4" t="s">
        <v>114</v>
      </c>
      <c r="V324" s="4" t="s">
        <v>583</v>
      </c>
      <c r="W324" s="4" t="s">
        <v>373</v>
      </c>
      <c r="X324" s="4" t="s">
        <v>123</v>
      </c>
      <c r="Y324" s="4" t="s">
        <v>124</v>
      </c>
      <c r="Z324" s="4" t="s">
        <v>54</v>
      </c>
      <c r="AA324" s="4"/>
      <c r="AB324" s="23">
        <v>0</v>
      </c>
      <c r="AC324" s="28" t="e">
        <v>#N/A</v>
      </c>
      <c r="AD324" s="28" t="e">
        <v>#N/A</v>
      </c>
      <c r="AE324" s="28"/>
      <c r="AF324" s="19">
        <v>45460</v>
      </c>
      <c r="AG324" s="19"/>
      <c r="AH324" s="12">
        <f t="shared" si="20"/>
        <v>0</v>
      </c>
      <c r="AI324" s="12">
        <f t="shared" ca="1" si="21"/>
        <v>2</v>
      </c>
      <c r="AJ324" s="12" t="str">
        <f t="shared" si="22"/>
        <v>Under 1 Year</v>
      </c>
      <c r="AK324" s="12" t="s">
        <v>9633</v>
      </c>
      <c r="AL324" s="31">
        <v>0.01</v>
      </c>
      <c r="AM324" s="31">
        <v>46</v>
      </c>
      <c r="AN324" s="12" t="str">
        <f t="shared" si="23"/>
        <v>45-54 Years</v>
      </c>
      <c r="AO324" s="13" t="s">
        <v>9137</v>
      </c>
      <c r="AP324" s="13" t="s">
        <v>9138</v>
      </c>
      <c r="AQ324" s="14" t="s">
        <v>9157</v>
      </c>
      <c r="AR324" s="14" t="s">
        <v>9140</v>
      </c>
      <c r="AS324" s="14"/>
      <c r="AT324" s="14" t="s">
        <v>123</v>
      </c>
      <c r="AU324" s="14" t="s">
        <v>54</v>
      </c>
      <c r="AV324" s="15" t="s">
        <v>9141</v>
      </c>
      <c r="AW324" s="15" t="s">
        <v>9175</v>
      </c>
      <c r="AX324" s="15" t="s">
        <v>9143</v>
      </c>
      <c r="AY324" s="15" t="s">
        <v>9141</v>
      </c>
      <c r="AZ324" s="15" t="s">
        <v>9177</v>
      </c>
      <c r="BA324" s="16" t="s">
        <v>9141</v>
      </c>
      <c r="BB324" s="16" t="s">
        <v>9178</v>
      </c>
    </row>
    <row r="325" spans="1:54" x14ac:dyDescent="0.25">
      <c r="A325" s="4" t="s">
        <v>1635</v>
      </c>
      <c r="B325" s="4" t="s">
        <v>9574</v>
      </c>
      <c r="C325" s="4"/>
      <c r="D325" s="4" t="s">
        <v>39</v>
      </c>
      <c r="E325" s="4">
        <v>297493</v>
      </c>
      <c r="F325" s="4" t="s">
        <v>1637</v>
      </c>
      <c r="G325" s="32">
        <v>37651</v>
      </c>
      <c r="H325" s="25">
        <v>45764</v>
      </c>
      <c r="I325" s="11">
        <v>0.41666666666666669</v>
      </c>
      <c r="J325" s="4" t="s">
        <v>1366</v>
      </c>
      <c r="K325" s="4">
        <v>6078</v>
      </c>
      <c r="L325" s="4" t="s">
        <v>1638</v>
      </c>
      <c r="M325" s="4" t="s">
        <v>1639</v>
      </c>
      <c r="N325" s="4" t="s">
        <v>1640</v>
      </c>
      <c r="O325" s="4" t="s">
        <v>46</v>
      </c>
      <c r="P325" s="4"/>
      <c r="Q325" s="4" t="s">
        <v>47</v>
      </c>
      <c r="R325" s="4" t="s">
        <v>48</v>
      </c>
      <c r="S325" s="4">
        <v>0</v>
      </c>
      <c r="T325" s="4" t="b">
        <v>0</v>
      </c>
      <c r="U325" s="4" t="s">
        <v>61</v>
      </c>
      <c r="V325" s="4" t="s">
        <v>50</v>
      </c>
      <c r="W325" s="4" t="s">
        <v>527</v>
      </c>
      <c r="X325" s="4" t="s">
        <v>72</v>
      </c>
      <c r="Y325" s="4" t="s">
        <v>73</v>
      </c>
      <c r="Z325" s="4" t="s">
        <v>54</v>
      </c>
      <c r="AA325" s="4"/>
      <c r="AB325" s="23">
        <v>0</v>
      </c>
      <c r="AC325" s="28" t="e">
        <v>#N/A</v>
      </c>
      <c r="AD325" s="28" t="e">
        <v>#N/A</v>
      </c>
      <c r="AE325" s="28"/>
      <c r="AF325" s="19">
        <v>44354</v>
      </c>
      <c r="AG325" s="19"/>
      <c r="AH325" s="12">
        <f t="shared" si="20"/>
        <v>3</v>
      </c>
      <c r="AI325" s="12">
        <f t="shared" ca="1" si="21"/>
        <v>5</v>
      </c>
      <c r="AJ325" s="12" t="str">
        <f t="shared" si="22"/>
        <v>1-5 Years</v>
      </c>
      <c r="AK325" s="12" t="s">
        <v>9633</v>
      </c>
      <c r="AL325" s="31">
        <v>0.01</v>
      </c>
      <c r="AM325" s="31">
        <v>22</v>
      </c>
      <c r="AN325" s="12" t="str">
        <f t="shared" si="23"/>
        <v>20-24 Years</v>
      </c>
      <c r="AO325" s="13" t="s">
        <v>9137</v>
      </c>
      <c r="AP325" s="13" t="s">
        <v>9138</v>
      </c>
      <c r="AQ325" s="14" t="s">
        <v>9148</v>
      </c>
      <c r="AR325" s="14" t="s">
        <v>9140</v>
      </c>
      <c r="AS325" s="14"/>
      <c r="AT325" s="14" t="s">
        <v>72</v>
      </c>
      <c r="AU325" s="14" t="s">
        <v>54</v>
      </c>
      <c r="AV325" s="15" t="s">
        <v>9141</v>
      </c>
      <c r="AW325" s="15" t="s">
        <v>9188</v>
      </c>
      <c r="AX325" s="15" t="s">
        <v>9143</v>
      </c>
      <c r="AY325" s="15" t="s">
        <v>9141</v>
      </c>
      <c r="AZ325" s="15" t="s">
        <v>9189</v>
      </c>
      <c r="BA325" s="16" t="s">
        <v>9141</v>
      </c>
      <c r="BB325" s="16" t="s">
        <v>9190</v>
      </c>
    </row>
    <row r="326" spans="1:54" hidden="1" x14ac:dyDescent="0.25">
      <c r="A326" s="4" t="s">
        <v>535</v>
      </c>
      <c r="B326" s="4" t="s">
        <v>9575</v>
      </c>
      <c r="C326" s="4"/>
      <c r="D326" s="4" t="s">
        <v>39</v>
      </c>
      <c r="E326" s="4">
        <v>319955</v>
      </c>
      <c r="F326" s="4" t="s">
        <v>537</v>
      </c>
      <c r="G326" s="32">
        <v>38976</v>
      </c>
      <c r="H326" s="25">
        <v>45771</v>
      </c>
      <c r="I326" s="11">
        <v>0.56597222222222221</v>
      </c>
      <c r="J326" s="4" t="s">
        <v>463</v>
      </c>
      <c r="K326" s="4">
        <v>2020</v>
      </c>
      <c r="L326" s="4" t="s">
        <v>538</v>
      </c>
      <c r="M326" s="4" t="s">
        <v>539</v>
      </c>
      <c r="N326" s="4" t="s">
        <v>540</v>
      </c>
      <c r="O326" s="4" t="s">
        <v>46</v>
      </c>
      <c r="P326" s="4"/>
      <c r="Q326" s="4" t="s">
        <v>47</v>
      </c>
      <c r="R326" s="4" t="s">
        <v>48</v>
      </c>
      <c r="S326" s="4">
        <v>0</v>
      </c>
      <c r="T326" s="4" t="b">
        <v>0</v>
      </c>
      <c r="U326" s="4" t="s">
        <v>61</v>
      </c>
      <c r="V326" s="4" t="s">
        <v>50</v>
      </c>
      <c r="W326" s="4" t="s">
        <v>480</v>
      </c>
      <c r="X326" s="4" t="s">
        <v>63</v>
      </c>
      <c r="Y326" s="4" t="s">
        <v>64</v>
      </c>
      <c r="Z326" s="4" t="s">
        <v>54</v>
      </c>
      <c r="AA326" s="4"/>
      <c r="AB326" s="23">
        <v>0</v>
      </c>
      <c r="AC326" s="28" t="e">
        <v>#N/A</v>
      </c>
      <c r="AD326" s="28" t="e">
        <v>#N/A</v>
      </c>
      <c r="AE326" s="28"/>
      <c r="AF326" s="19">
        <v>44536</v>
      </c>
      <c r="AG326" s="19"/>
      <c r="AH326" s="12">
        <f t="shared" si="20"/>
        <v>3</v>
      </c>
      <c r="AI326" s="12">
        <f t="shared" ca="1" si="21"/>
        <v>4</v>
      </c>
      <c r="AJ326" s="12" t="str">
        <f t="shared" si="22"/>
        <v>1-5 Years</v>
      </c>
      <c r="AK326" s="12" t="s">
        <v>9633</v>
      </c>
      <c r="AL326" s="31">
        <v>0.01</v>
      </c>
      <c r="AM326" s="31">
        <v>18</v>
      </c>
      <c r="AN326" s="12" t="str">
        <f t="shared" si="23"/>
        <v>Less Than 20 Years</v>
      </c>
      <c r="AO326" s="13" t="s">
        <v>9137</v>
      </c>
      <c r="AP326" s="13" t="s">
        <v>9138</v>
      </c>
      <c r="AQ326" s="14" t="s">
        <v>9148</v>
      </c>
      <c r="AR326" s="14" t="s">
        <v>9140</v>
      </c>
      <c r="AS326" s="14"/>
      <c r="AT326" s="14" t="s">
        <v>63</v>
      </c>
      <c r="AU326" s="14" t="s">
        <v>54</v>
      </c>
      <c r="AV326" s="15" t="s">
        <v>9141</v>
      </c>
      <c r="AW326" s="15" t="s">
        <v>9175</v>
      </c>
      <c r="AX326" s="15" t="s">
        <v>9143</v>
      </c>
      <c r="AY326" s="15" t="s">
        <v>9141</v>
      </c>
      <c r="AZ326" s="15" t="s">
        <v>9175</v>
      </c>
      <c r="BA326" s="16" t="s">
        <v>9141</v>
      </c>
      <c r="BB326" s="16" t="s">
        <v>9176</v>
      </c>
    </row>
    <row r="327" spans="1:54" hidden="1" x14ac:dyDescent="0.25">
      <c r="A327" s="4" t="s">
        <v>1170</v>
      </c>
      <c r="B327" s="4" t="s">
        <v>9576</v>
      </c>
      <c r="C327" s="4"/>
      <c r="D327" s="4" t="s">
        <v>39</v>
      </c>
      <c r="E327" s="4">
        <v>322470</v>
      </c>
      <c r="F327" s="4" t="s">
        <v>1172</v>
      </c>
      <c r="G327" s="32">
        <v>38227</v>
      </c>
      <c r="H327" s="25">
        <v>45773</v>
      </c>
      <c r="I327" s="11">
        <v>0.33333333333333331</v>
      </c>
      <c r="J327" s="4" t="s">
        <v>1155</v>
      </c>
      <c r="K327" s="4">
        <v>4042</v>
      </c>
      <c r="L327" s="4" t="s">
        <v>1173</v>
      </c>
      <c r="M327" s="4" t="s">
        <v>1174</v>
      </c>
      <c r="N327" s="4" t="s">
        <v>1175</v>
      </c>
      <c r="O327" s="4" t="s">
        <v>46</v>
      </c>
      <c r="P327" s="4"/>
      <c r="Q327" s="4" t="s">
        <v>47</v>
      </c>
      <c r="R327" s="4" t="s">
        <v>60</v>
      </c>
      <c r="S327" s="4">
        <v>0</v>
      </c>
      <c r="T327" s="4" t="b">
        <v>0</v>
      </c>
      <c r="U327" s="4" t="s">
        <v>61</v>
      </c>
      <c r="V327" s="4" t="s">
        <v>115</v>
      </c>
      <c r="W327" s="4" t="s">
        <v>426</v>
      </c>
      <c r="X327" s="4" t="s">
        <v>225</v>
      </c>
      <c r="Y327" s="4" t="s">
        <v>226</v>
      </c>
      <c r="Z327" s="4" t="s">
        <v>54</v>
      </c>
      <c r="AA327" s="4"/>
      <c r="AB327" s="23">
        <v>0</v>
      </c>
      <c r="AC327" s="28" t="e">
        <v>#N/A</v>
      </c>
      <c r="AD327" s="28" t="e">
        <v>#N/A</v>
      </c>
      <c r="AE327" s="28"/>
      <c r="AF327" s="19">
        <v>44697</v>
      </c>
      <c r="AG327" s="19"/>
      <c r="AH327" s="12">
        <f t="shared" si="20"/>
        <v>2</v>
      </c>
      <c r="AI327" s="12">
        <f t="shared" ca="1" si="21"/>
        <v>4</v>
      </c>
      <c r="AJ327" s="12" t="str">
        <f t="shared" si="22"/>
        <v>1-5 Years</v>
      </c>
      <c r="AK327" s="12" t="s">
        <v>9632</v>
      </c>
      <c r="AL327" s="31">
        <v>30</v>
      </c>
      <c r="AM327" s="31">
        <v>20</v>
      </c>
      <c r="AN327" s="12" t="str">
        <f t="shared" si="23"/>
        <v>20-24 Years</v>
      </c>
      <c r="AO327" s="13" t="s">
        <v>9137</v>
      </c>
      <c r="AP327" s="13" t="s">
        <v>9138</v>
      </c>
      <c r="AQ327" s="14" t="s">
        <v>9148</v>
      </c>
      <c r="AR327" s="14" t="s">
        <v>9140</v>
      </c>
      <c r="AS327" s="14"/>
      <c r="AT327" s="14" t="s">
        <v>225</v>
      </c>
      <c r="AU327" s="14" t="s">
        <v>54</v>
      </c>
      <c r="AV327" s="15" t="s">
        <v>9141</v>
      </c>
      <c r="AW327" s="15" t="s">
        <v>9187</v>
      </c>
      <c r="AX327" s="15" t="s">
        <v>9143</v>
      </c>
      <c r="AY327" s="15" t="s">
        <v>9141</v>
      </c>
      <c r="AZ327" s="15" t="s">
        <v>9144</v>
      </c>
      <c r="BA327" s="16" t="s">
        <v>9141</v>
      </c>
      <c r="BB327" s="16" t="s">
        <v>9145</v>
      </c>
    </row>
    <row r="328" spans="1:54" hidden="1" x14ac:dyDescent="0.25">
      <c r="A328" s="4" t="s">
        <v>1739</v>
      </c>
      <c r="B328" s="4" t="s">
        <v>9577</v>
      </c>
      <c r="C328" s="4"/>
      <c r="D328" s="4" t="s">
        <v>39</v>
      </c>
      <c r="E328" s="4">
        <v>337411</v>
      </c>
      <c r="F328" s="4" t="s">
        <v>1741</v>
      </c>
      <c r="G328" s="32">
        <v>39108</v>
      </c>
      <c r="H328" s="25">
        <v>45774</v>
      </c>
      <c r="I328" s="11">
        <v>0.50555555555555554</v>
      </c>
      <c r="J328" s="4" t="s">
        <v>1654</v>
      </c>
      <c r="K328" s="4">
        <v>9095</v>
      </c>
      <c r="L328" s="4" t="s">
        <v>1742</v>
      </c>
      <c r="M328" s="4" t="s">
        <v>1743</v>
      </c>
      <c r="N328" s="4" t="s">
        <v>1744</v>
      </c>
      <c r="O328" s="4" t="s">
        <v>46</v>
      </c>
      <c r="P328" s="4"/>
      <c r="Q328" s="4" t="s">
        <v>191</v>
      </c>
      <c r="R328" s="4" t="s">
        <v>60</v>
      </c>
      <c r="S328" s="4">
        <v>0</v>
      </c>
      <c r="T328" s="4" t="b">
        <v>0</v>
      </c>
      <c r="U328" s="4" t="s">
        <v>114</v>
      </c>
      <c r="V328" s="4" t="s">
        <v>115</v>
      </c>
      <c r="W328" s="4" t="s">
        <v>140</v>
      </c>
      <c r="X328" s="4" t="s">
        <v>123</v>
      </c>
      <c r="Y328" s="4" t="s">
        <v>124</v>
      </c>
      <c r="Z328" s="4" t="s">
        <v>54</v>
      </c>
      <c r="AA328" s="4"/>
      <c r="AB328" s="23">
        <v>0</v>
      </c>
      <c r="AC328" s="28" t="e">
        <v>#N/A</v>
      </c>
      <c r="AD328" s="28" t="e">
        <v>#N/A</v>
      </c>
      <c r="AE328" s="28"/>
      <c r="AF328" s="19">
        <v>45590</v>
      </c>
      <c r="AG328" s="19"/>
      <c r="AH328" s="12">
        <f t="shared" si="20"/>
        <v>0</v>
      </c>
      <c r="AI328" s="12">
        <f t="shared" ca="1" si="21"/>
        <v>1</v>
      </c>
      <c r="AJ328" s="12" t="str">
        <f t="shared" si="22"/>
        <v>Under 1 Year</v>
      </c>
      <c r="AK328" s="12" t="s">
        <v>9633</v>
      </c>
      <c r="AL328" s="31">
        <v>0.01</v>
      </c>
      <c r="AM328" s="31">
        <v>18</v>
      </c>
      <c r="AN328" s="12" t="str">
        <f t="shared" si="23"/>
        <v>Less Than 20 Years</v>
      </c>
      <c r="AO328" s="13" t="s">
        <v>9137</v>
      </c>
      <c r="AP328" s="13" t="s">
        <v>9138</v>
      </c>
      <c r="AQ328" s="14" t="s">
        <v>9157</v>
      </c>
      <c r="AR328" s="14" t="s">
        <v>9140</v>
      </c>
      <c r="AS328" s="14"/>
      <c r="AT328" s="14" t="s">
        <v>123</v>
      </c>
      <c r="AU328" s="14" t="s">
        <v>54</v>
      </c>
      <c r="AV328" s="15" t="s">
        <v>9141</v>
      </c>
      <c r="AW328" s="15" t="s">
        <v>9191</v>
      </c>
      <c r="AX328" s="15" t="s">
        <v>9143</v>
      </c>
      <c r="AY328" s="15" t="s">
        <v>9141</v>
      </c>
      <c r="AZ328" s="15" t="s">
        <v>9191</v>
      </c>
      <c r="BA328" s="16" t="s">
        <v>9141</v>
      </c>
      <c r="BB328" s="16" t="s">
        <v>9192</v>
      </c>
    </row>
  </sheetData>
  <autoFilter ref="A1:BB328" xr:uid="{61A9240F-C9DA-4729-94F7-68703C18E001}">
    <filterColumn colId="48">
      <filters>
        <filter val="NSW"/>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INC HS Data</vt:lpstr>
      <vt:lpstr>HS Graphs</vt:lpstr>
      <vt:lpstr>Group Graph</vt:lpstr>
      <vt:lpstr>Pie Charts</vt:lpstr>
      <vt:lpstr>Pivot</vt:lpstr>
      <vt:lpstr>HS FEED</vt:lpstr>
      <vt:lpstr>Group FEED</vt:lpstr>
      <vt:lpstr>INC DATA DUMP - FY23+</vt:lpstr>
      <vt:lpstr>18-Month HS Incidents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Luan Nguyen</dc:creator>
  <cp:lastModifiedBy>Luan Nguyen</cp:lastModifiedBy>
  <dcterms:created xsi:type="dcterms:W3CDTF">2025-05-06T21:49:36Z</dcterms:created>
  <dcterms:modified xsi:type="dcterms:W3CDTF">2026-09-17T15:08:39Z</dcterms:modified>
</cp:coreProperties>
</file>