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htkn0\Downloads\"/>
    </mc:Choice>
  </mc:AlternateContent>
  <xr:revisionPtr revIDLastSave="0" documentId="13_ncr:1_{449167C7-1B8F-42D5-AA6C-58ADC4EF06CD}" xr6:coauthVersionLast="47" xr6:coauthVersionMax="47" xr10:uidLastSave="{00000000-0000-0000-0000-000000000000}"/>
  <bookViews>
    <workbookView xWindow="-120" yWindow="-120" windowWidth="38640" windowHeight="21120" tabRatio="414" activeTab="1" xr2:uid="{00000000-000D-0000-FFFF-FFFF00000000}"/>
  </bookViews>
  <sheets>
    <sheet name="Instructions" sheetId="5" r:id="rId1"/>
    <sheet name="Roster form" sheetId="3" r:id="rId2"/>
    <sheet name="Lists" sheetId="2" state="hidden" r:id="rId3"/>
    <sheet name="Roles" sheetId="6" state="hidden" r:id="rId4"/>
    <sheet name="Dept" sheetId="7" state="hidden" r:id="rId5"/>
    <sheet name="Trading stores" sheetId="4" state="hidden" r:id="rId6"/>
  </sheets>
  <definedNames>
    <definedName name="_xlnm._FilterDatabase" localSheetId="5" hidden="1">'Trading stores'!$A$1:$E$1</definedName>
    <definedName name="Anaconda_SG">Table9[Anaconda_SG]</definedName>
    <definedName name="Anaconda_SG_Roles">Roles!$R$2:$R$7</definedName>
    <definedName name="Anaconda_Stores">Table6[Anaconda_Stores]</definedName>
    <definedName name="Anaconda_Stores_DEPT">Dept!$A$2:$A$19</definedName>
    <definedName name="Anaconda_Stores_Roles">Roles!$O$2:$O$7</definedName>
    <definedName name="Anaconda_Team_Leader">Roles!$H$2:$H$9</definedName>
    <definedName name="Assistant_Store_Manager__Harris_Scarfe_only">Roles!$I$2:$I$9</definedName>
    <definedName name="Assistant_Store_Manager_Harris_Scarfe_only">Roles!$I$2:$I$9</definedName>
    <definedName name="Chnagereason">Lists!$A$3:$A$9</definedName>
    <definedName name="Company">Lists!$M$1:$S$1</definedName>
    <definedName name="Harris_Scarfe_SG">Table11[Harris_Scarfe_SG]</definedName>
    <definedName name="Harris_Scarfe_SG_Roles">Roles!$T$2:$T$7</definedName>
    <definedName name="Harris_Scarfe_Stores">Table8[Harris_Scarfe_Stores]</definedName>
    <definedName name="Harris_Scarfe_Stores_DEPT">Dept!$C$2:$C$19</definedName>
    <definedName name="Harris_Scarfe_Stores_Roles">Roles!$Q$2:$Q$7</definedName>
    <definedName name="Mountain_Designs_Stores_SG">#REF!</definedName>
    <definedName name="_xlnm.Print_Area" localSheetId="1">'Roster form'!$A$1:$K$74</definedName>
    <definedName name="Reset_Supervisor__Spotlight_Only___Level_3">Roles!$D$2:$D$9</definedName>
    <definedName name="Reset_Supervisor_Spotlight_Only_Level_3">Roles!$D$2:$D$9</definedName>
    <definedName name="Roles">Lists!$C$2:$C$13</definedName>
    <definedName name="Sales_Specialist_Salary_Anaconda_only">Roles!$F$2:$F$9</definedName>
    <definedName name="Sales_Specialist_Wages_Anaconda_only">Roles!$E$2:$E$9</definedName>
    <definedName name="Shared_Services">Table13[Shared_Services]</definedName>
    <definedName name="Shared_Services_Roles">Roles!$U$2:$U$7</definedName>
    <definedName name="Spotlight_SG">Table10[Spotlight_SG]</definedName>
    <definedName name="Spotlight_SG_Roles">Roles!$S$2:$S$7</definedName>
    <definedName name="Spotlight_Stores">Table7[Spotlight_Stores]</definedName>
    <definedName name="Spotlight_Stores_DEPT">Dept!$B$2:$B$19</definedName>
    <definedName name="Spotlight_Stores_Roles">Roles!$P$2:$P$7</definedName>
    <definedName name="Spotlight_Team_Leader" localSheetId="3">Roles!$G$2:$G$9</definedName>
    <definedName name="Spotlight_Team_Leader">Roles!$G$2:$G$9</definedName>
    <definedName name="Status">Lists!$B$2:$B$7</definedName>
    <definedName name="Store_Manager">Roles!$J$2:$J$9</definedName>
    <definedName name="sundays">Lists!$F$1:$F$5</definedName>
    <definedName name="Support_group___please_specify">Roles!$K$2:$K$9</definedName>
    <definedName name="Support_group_please_specify">Roles!$K$2:$K$9</definedName>
    <definedName name="Team_Member_Made_2_Measure__Spotlight_Only">Roles!$C$2:$C$9</definedName>
    <definedName name="Team_Member_Made_2_Measure_Spotlight_Only">Roles!$C$2:$C$9</definedName>
    <definedName name="Team_Member_Receiving__Fork_Lift_License___ANA_Only">Roles!$B$2:$B$9</definedName>
    <definedName name="Team_Member_Receiving_Fork_Lift_License_ANA_Only">Roles!$B$2:$B$9</definedName>
    <definedName name="Team_Member_Store">Roles!$A$2:$A$9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28" i="3" l="1"/>
  <c r="B65" i="3"/>
  <c r="B63" i="3" s="1"/>
  <c r="B66" i="3"/>
  <c r="C88" i="4"/>
  <c r="C87" i="4"/>
  <c r="C86" i="4"/>
  <c r="H9" i="3"/>
  <c r="J40" i="3"/>
  <c r="B52" i="3"/>
  <c r="K13" i="3"/>
  <c r="H21" i="3" s="1"/>
  <c r="H11" i="3"/>
  <c r="L22" i="3"/>
  <c r="L23" i="3"/>
  <c r="L24" i="3"/>
  <c r="L25" i="3"/>
  <c r="L26" i="3"/>
  <c r="L27" i="3"/>
  <c r="L28" i="3"/>
  <c r="L29" i="3"/>
  <c r="L30" i="3"/>
  <c r="L31" i="3"/>
  <c r="L32" i="3"/>
  <c r="L33" i="3"/>
  <c r="L34" i="3"/>
  <c r="L21" i="3"/>
  <c r="AF22" i="3" l="1"/>
  <c r="AG22" i="3"/>
  <c r="AF23" i="3"/>
  <c r="AG23" i="3"/>
  <c r="AF24" i="3"/>
  <c r="AG24" i="3"/>
  <c r="AF25" i="3"/>
  <c r="AH25" i="3" s="1"/>
  <c r="AG25" i="3"/>
  <c r="AF26" i="3"/>
  <c r="AG26" i="3"/>
  <c r="AF27" i="3"/>
  <c r="AG27" i="3"/>
  <c r="AF28" i="3"/>
  <c r="AG28" i="3"/>
  <c r="AF29" i="3"/>
  <c r="AG29" i="3"/>
  <c r="AF30" i="3"/>
  <c r="AH30" i="3" s="1"/>
  <c r="AG30" i="3"/>
  <c r="AF31" i="3"/>
  <c r="AH31" i="3" s="1"/>
  <c r="AG31" i="3"/>
  <c r="AF32" i="3"/>
  <c r="AG32" i="3"/>
  <c r="AH32" i="3" s="1"/>
  <c r="AF33" i="3"/>
  <c r="AG33" i="3"/>
  <c r="AF34" i="3"/>
  <c r="AG34" i="3"/>
  <c r="AF21" i="3"/>
  <c r="AH21" i="3" s="1"/>
  <c r="AG21" i="3"/>
  <c r="AH24" i="3" l="1"/>
  <c r="AH33" i="3"/>
  <c r="AH27" i="3"/>
  <c r="AH26" i="3"/>
  <c r="AH29" i="3"/>
  <c r="AH23" i="3"/>
  <c r="AH22" i="3"/>
  <c r="AH34" i="3"/>
  <c r="D48" i="3"/>
  <c r="H14" i="3"/>
  <c r="AH28" i="3"/>
  <c r="J50" i="3" s="1"/>
  <c r="K11" i="3"/>
  <c r="K44" i="4" l="1"/>
  <c r="K45" i="4"/>
  <c r="K46" i="4"/>
  <c r="K47" i="4"/>
  <c r="K48" i="4"/>
  <c r="K49" i="4"/>
  <c r="K50" i="4"/>
  <c r="K51" i="4"/>
  <c r="K52" i="4"/>
  <c r="K53" i="4"/>
  <c r="K54" i="4"/>
  <c r="K55" i="4"/>
  <c r="J47" i="4"/>
  <c r="J48" i="4"/>
  <c r="J49" i="4"/>
  <c r="J50" i="4"/>
  <c r="J51" i="4"/>
  <c r="J52" i="4"/>
  <c r="J53" i="4"/>
  <c r="J54" i="4"/>
  <c r="J55" i="4"/>
  <c r="J46" i="4"/>
  <c r="J45" i="4"/>
  <c r="J44" i="4"/>
  <c r="J14" i="4" l="1"/>
  <c r="K14" i="4"/>
  <c r="O21" i="3" l="1"/>
  <c r="J49" i="3" l="1"/>
  <c r="D10" i="3" s="1"/>
  <c r="O34" i="3" l="1"/>
  <c r="O33" i="3"/>
  <c r="O31" i="3"/>
  <c r="O30" i="3"/>
  <c r="O29" i="3"/>
  <c r="O28" i="3"/>
  <c r="O27" i="3"/>
  <c r="O26" i="3"/>
  <c r="O25" i="3"/>
  <c r="O24" i="3"/>
  <c r="O23" i="3"/>
  <c r="O22" i="3"/>
  <c r="O32" i="3"/>
  <c r="N32" i="3"/>
  <c r="C80" i="4" l="1"/>
  <c r="K11" i="4"/>
  <c r="K10" i="4"/>
  <c r="K8" i="4"/>
  <c r="K9" i="4"/>
  <c r="J8" i="4"/>
  <c r="J9" i="4"/>
  <c r="J11" i="4"/>
  <c r="J10" i="4"/>
  <c r="C205" i="4" l="1"/>
  <c r="K35" i="4" l="1"/>
  <c r="K36" i="4"/>
  <c r="K15" i="4"/>
  <c r="K16" i="4"/>
  <c r="K17" i="4"/>
  <c r="K18" i="4"/>
  <c r="K19" i="4"/>
  <c r="K20" i="4"/>
  <c r="K21" i="4"/>
  <c r="K22" i="4"/>
  <c r="K23" i="4"/>
  <c r="K24" i="4"/>
  <c r="K25" i="4"/>
  <c r="K26" i="4"/>
  <c r="K27" i="4"/>
  <c r="K28" i="4"/>
  <c r="K29" i="4"/>
  <c r="K30" i="4"/>
  <c r="K31" i="4"/>
  <c r="K32" i="4"/>
  <c r="K33" i="4"/>
  <c r="K34" i="4"/>
  <c r="K37" i="4"/>
  <c r="K38" i="4"/>
  <c r="K39" i="4"/>
  <c r="K40" i="4"/>
  <c r="K41" i="4"/>
  <c r="K42" i="4"/>
  <c r="K43" i="4"/>
  <c r="J19" i="4" l="1"/>
  <c r="J43" i="4"/>
  <c r="J40" i="4"/>
  <c r="J37" i="4"/>
  <c r="J34" i="4"/>
  <c r="J31" i="4"/>
  <c r="J28" i="4"/>
  <c r="J25" i="4"/>
  <c r="J22" i="4"/>
  <c r="J16" i="4"/>
  <c r="J41" i="4"/>
  <c r="J42" i="4"/>
  <c r="J17" i="4"/>
  <c r="J18" i="4"/>
  <c r="J39" i="4"/>
  <c r="J36" i="4"/>
  <c r="J33" i="4"/>
  <c r="J30" i="4"/>
  <c r="J27" i="4"/>
  <c r="J24" i="4"/>
  <c r="J21" i="4"/>
  <c r="J15" i="4"/>
  <c r="K13" i="4"/>
  <c r="J13" i="4"/>
  <c r="K7" i="4"/>
  <c r="J7" i="4"/>
  <c r="K5" i="4"/>
  <c r="J5" i="4"/>
  <c r="K3" i="4"/>
  <c r="J3" i="4"/>
  <c r="J4" i="4"/>
  <c r="J6" i="4"/>
  <c r="J20" i="4"/>
  <c r="J23" i="4"/>
  <c r="J26" i="4"/>
  <c r="J29" i="4"/>
  <c r="J32" i="4"/>
  <c r="J35" i="4"/>
  <c r="J38" i="4"/>
  <c r="J12" i="4"/>
  <c r="J2" i="4"/>
  <c r="D38" i="3" a="1"/>
  <c r="D38" i="3" s="1"/>
  <c r="H34" i="3"/>
  <c r="AI34" i="3" s="1"/>
  <c r="AJ34" i="3" s="1"/>
  <c r="H33" i="3"/>
  <c r="AI33" i="3" s="1"/>
  <c r="AJ33" i="3" s="1"/>
  <c r="H27" i="3"/>
  <c r="AI27" i="3" s="1"/>
  <c r="AJ27" i="3" s="1"/>
  <c r="H26" i="3"/>
  <c r="AI26" i="3" s="1"/>
  <c r="AJ26" i="3" s="1"/>
  <c r="AD22" i="3" l="1"/>
  <c r="AE22" i="3"/>
  <c r="AD23" i="3"/>
  <c r="AE23" i="3"/>
  <c r="AD24" i="3"/>
  <c r="AE24" i="3"/>
  <c r="AD25" i="3"/>
  <c r="AE25" i="3"/>
  <c r="AD26" i="3"/>
  <c r="AE26" i="3"/>
  <c r="AD27" i="3"/>
  <c r="AE27" i="3"/>
  <c r="AD28" i="3"/>
  <c r="AE28" i="3"/>
  <c r="AD29" i="3"/>
  <c r="AE29" i="3"/>
  <c r="AD30" i="3"/>
  <c r="AE30" i="3"/>
  <c r="AD31" i="3"/>
  <c r="AE31" i="3"/>
  <c r="AD32" i="3"/>
  <c r="AE32" i="3"/>
  <c r="AD33" i="3"/>
  <c r="AE33" i="3"/>
  <c r="AD34" i="3"/>
  <c r="AE34" i="3"/>
  <c r="AE21" i="3"/>
  <c r="AD21" i="3"/>
  <c r="AI21" i="3" l="1"/>
  <c r="AJ21" i="3" s="1"/>
  <c r="H22" i="3"/>
  <c r="AI22" i="3" s="1"/>
  <c r="AJ22" i="3" s="1"/>
  <c r="H30" i="3"/>
  <c r="AI30" i="3" s="1"/>
  <c r="AJ30" i="3" s="1"/>
  <c r="H25" i="3"/>
  <c r="AI25" i="3" s="1"/>
  <c r="AJ25" i="3" s="1"/>
  <c r="H23" i="3"/>
  <c r="AI23" i="3" s="1"/>
  <c r="AJ23" i="3" s="1"/>
  <c r="H32" i="3"/>
  <c r="AI32" i="3" s="1"/>
  <c r="AJ32" i="3" s="1"/>
  <c r="H31" i="3"/>
  <c r="AI31" i="3" s="1"/>
  <c r="AJ31" i="3" s="1"/>
  <c r="H29" i="3"/>
  <c r="AI29" i="3" s="1"/>
  <c r="AJ29" i="3" s="1"/>
  <c r="H28" i="3"/>
  <c r="AI28" i="3" s="1"/>
  <c r="AJ28" i="3" s="1"/>
  <c r="H24" i="3"/>
  <c r="AI24" i="3" s="1"/>
  <c r="AJ24" i="3" s="1"/>
  <c r="K12" i="4" l="1"/>
  <c r="K4" i="4" l="1"/>
  <c r="K6" i="4"/>
  <c r="K2" i="4"/>
  <c r="V26" i="3" l="1"/>
  <c r="V27" i="3"/>
  <c r="V33" i="3"/>
  <c r="V34" i="3"/>
  <c r="Z22" i="3"/>
  <c r="Z23" i="3"/>
  <c r="Z24" i="3"/>
  <c r="Z25" i="3"/>
  <c r="Z27" i="3"/>
  <c r="Z28" i="3"/>
  <c r="Z29" i="3"/>
  <c r="Z30" i="3"/>
  <c r="Z31" i="3"/>
  <c r="Z32" i="3"/>
  <c r="Z34" i="3"/>
  <c r="AC22" i="3"/>
  <c r="AC23" i="3"/>
  <c r="AC24" i="3"/>
  <c r="AC25" i="3"/>
  <c r="AC26" i="3"/>
  <c r="AC28" i="3"/>
  <c r="AC29" i="3"/>
  <c r="AC30" i="3"/>
  <c r="AC31" i="3"/>
  <c r="AC32" i="3"/>
  <c r="AC33" i="3"/>
  <c r="AC21" i="3"/>
  <c r="Z21" i="3"/>
  <c r="AB22" i="3"/>
  <c r="AB23" i="3"/>
  <c r="AB24" i="3"/>
  <c r="AB25" i="3"/>
  <c r="AB27" i="3"/>
  <c r="AB28" i="3"/>
  <c r="AB29" i="3"/>
  <c r="AB30" i="3"/>
  <c r="AB31" i="3"/>
  <c r="AB32" i="3"/>
  <c r="AB34" i="3"/>
  <c r="AB21" i="3"/>
  <c r="AA22" i="3"/>
  <c r="AA23" i="3"/>
  <c r="AA24" i="3"/>
  <c r="AA25" i="3"/>
  <c r="AA27" i="3"/>
  <c r="AA28" i="3"/>
  <c r="AA29" i="3"/>
  <c r="AA30" i="3"/>
  <c r="AA31" i="3"/>
  <c r="AA32" i="3"/>
  <c r="AA34" i="3"/>
  <c r="AA21" i="3"/>
  <c r="Y26" i="3"/>
  <c r="W26" i="3" s="1"/>
  <c r="Y27" i="3"/>
  <c r="W27" i="3" s="1"/>
  <c r="Y33" i="3"/>
  <c r="W33" i="3" s="1"/>
  <c r="Y34" i="3"/>
  <c r="W34" i="3" s="1"/>
  <c r="D39" i="3" a="1"/>
  <c r="D39" i="3" s="1"/>
  <c r="X26" i="3" l="1"/>
  <c r="X27" i="3"/>
  <c r="X33" i="3"/>
  <c r="X34" i="3"/>
  <c r="J45" i="3" l="1"/>
  <c r="N21" i="3"/>
  <c r="N22" i="3"/>
  <c r="J41" i="3" l="1"/>
  <c r="C83" i="4" l="1"/>
  <c r="C84" i="4"/>
  <c r="C85" i="4"/>
  <c r="C82" i="4"/>
  <c r="C27" i="4" l="1"/>
  <c r="C58" i="4"/>
  <c r="C89" i="4"/>
  <c r="C2" i="4"/>
  <c r="C3" i="4"/>
  <c r="C4" i="4"/>
  <c r="C5" i="4"/>
  <c r="C6" i="4"/>
  <c r="C7" i="4"/>
  <c r="C8" i="4"/>
  <c r="C9" i="4"/>
  <c r="C10" i="4"/>
  <c r="C11" i="4"/>
  <c r="C13" i="4"/>
  <c r="C14" i="4"/>
  <c r="C15" i="4"/>
  <c r="C16" i="4"/>
  <c r="C17" i="4"/>
  <c r="C18" i="4"/>
  <c r="C19" i="4"/>
  <c r="C20" i="4"/>
  <c r="C21" i="4"/>
  <c r="C22" i="4"/>
  <c r="C23" i="4"/>
  <c r="C24" i="4"/>
  <c r="C25" i="4"/>
  <c r="C26" i="4"/>
  <c r="C29" i="4"/>
  <c r="C31" i="4"/>
  <c r="C32" i="4"/>
  <c r="C33" i="4"/>
  <c r="C34" i="4"/>
  <c r="C36" i="4"/>
  <c r="C37" i="4"/>
  <c r="C38" i="4"/>
  <c r="C39" i="4"/>
  <c r="C40" i="4"/>
  <c r="C41" i="4"/>
  <c r="C42" i="4"/>
  <c r="C43" i="4"/>
  <c r="C44" i="4"/>
  <c r="C45" i="4"/>
  <c r="C46" i="4"/>
  <c r="C47" i="4"/>
  <c r="C48" i="4"/>
  <c r="C49" i="4"/>
  <c r="C51" i="4"/>
  <c r="C52" i="4"/>
  <c r="C53" i="4"/>
  <c r="C54" i="4"/>
  <c r="C55" i="4"/>
  <c r="C56" i="4"/>
  <c r="C59" i="4"/>
  <c r="C60" i="4"/>
  <c r="C61" i="4"/>
  <c r="C62" i="4"/>
  <c r="C63" i="4"/>
  <c r="C64" i="4"/>
  <c r="C65" i="4"/>
  <c r="C66" i="4"/>
  <c r="C67" i="4"/>
  <c r="C68" i="4"/>
  <c r="C69" i="4"/>
  <c r="C70" i="4"/>
  <c r="C71" i="4"/>
  <c r="C72" i="4"/>
  <c r="C73" i="4"/>
  <c r="C74" i="4"/>
  <c r="C76" i="4"/>
  <c r="C77" i="4"/>
  <c r="C78" i="4"/>
  <c r="C81" i="4"/>
  <c r="C28" i="4"/>
  <c r="C30" i="4"/>
  <c r="C35" i="4"/>
  <c r="C50" i="4"/>
  <c r="C57" i="4"/>
  <c r="C75" i="4"/>
  <c r="C79" i="4"/>
  <c r="C12" i="4"/>
  <c r="C170" i="4"/>
  <c r="C100" i="4"/>
  <c r="C102" i="4"/>
  <c r="C103" i="4"/>
  <c r="C104" i="4"/>
  <c r="C107" i="4"/>
  <c r="C110" i="4"/>
  <c r="C111" i="4"/>
  <c r="C112" i="4"/>
  <c r="C117" i="4"/>
  <c r="C119" i="4"/>
  <c r="C120" i="4"/>
  <c r="C123" i="4"/>
  <c r="C127" i="4"/>
  <c r="C128" i="4"/>
  <c r="C129" i="4"/>
  <c r="C131" i="4"/>
  <c r="C132" i="4"/>
  <c r="C136" i="4"/>
  <c r="C138" i="4"/>
  <c r="C141" i="4"/>
  <c r="C143" i="4"/>
  <c r="C145" i="4"/>
  <c r="C146" i="4"/>
  <c r="C149" i="4"/>
  <c r="C150" i="4"/>
  <c r="C151" i="4"/>
  <c r="C157" i="4"/>
  <c r="C158" i="4"/>
  <c r="C159" i="4"/>
  <c r="C160" i="4"/>
  <c r="C161" i="4"/>
  <c r="C162" i="4"/>
  <c r="C163" i="4"/>
  <c r="C167" i="4"/>
  <c r="C174" i="4"/>
  <c r="C176" i="4"/>
  <c r="C177" i="4"/>
  <c r="C178" i="4"/>
  <c r="C179" i="4"/>
  <c r="C180" i="4"/>
  <c r="C181" i="4"/>
  <c r="C182" i="4"/>
  <c r="C186" i="4"/>
  <c r="C187" i="4"/>
  <c r="C188" i="4"/>
  <c r="C189" i="4"/>
  <c r="C191" i="4"/>
  <c r="C192" i="4"/>
  <c r="C193" i="4"/>
  <c r="C196" i="4"/>
  <c r="C199" i="4"/>
  <c r="C200" i="4"/>
  <c r="C201" i="4"/>
  <c r="C202" i="4"/>
  <c r="C206" i="4"/>
  <c r="C207" i="4"/>
  <c r="C208" i="4"/>
  <c r="C90" i="4"/>
  <c r="C91" i="4"/>
  <c r="C92" i="4"/>
  <c r="C93" i="4"/>
  <c r="C94" i="4"/>
  <c r="C95" i="4"/>
  <c r="C96" i="4"/>
  <c r="C97" i="4"/>
  <c r="C98" i="4"/>
  <c r="C99" i="4"/>
  <c r="C105" i="4"/>
  <c r="C106" i="4"/>
  <c r="C108" i="4"/>
  <c r="C109" i="4"/>
  <c r="C113" i="4"/>
  <c r="C114" i="4"/>
  <c r="C115" i="4"/>
  <c r="C116" i="4"/>
  <c r="C118" i="4"/>
  <c r="C121" i="4"/>
  <c r="C122" i="4"/>
  <c r="C124" i="4"/>
  <c r="C125" i="4"/>
  <c r="C126" i="4"/>
  <c r="C130" i="4"/>
  <c r="C133" i="4"/>
  <c r="C134" i="4"/>
  <c r="C135" i="4"/>
  <c r="C139" i="4"/>
  <c r="C140" i="4"/>
  <c r="C142" i="4"/>
  <c r="C144" i="4"/>
  <c r="C147" i="4"/>
  <c r="C148" i="4"/>
  <c r="C152" i="4"/>
  <c r="C154" i="4"/>
  <c r="C155" i="4"/>
  <c r="C156" i="4"/>
  <c r="C164" i="4"/>
  <c r="C165" i="4"/>
  <c r="C166" i="4"/>
  <c r="C168" i="4"/>
  <c r="C169" i="4"/>
  <c r="C171" i="4"/>
  <c r="C172" i="4"/>
  <c r="C173" i="4"/>
  <c r="C175" i="4"/>
  <c r="C183" i="4"/>
  <c r="C184" i="4"/>
  <c r="C185" i="4"/>
  <c r="C190" i="4"/>
  <c r="C194" i="4"/>
  <c r="C195" i="4"/>
  <c r="C197" i="4"/>
  <c r="C198" i="4"/>
  <c r="C203" i="4"/>
  <c r="C210" i="4"/>
  <c r="C204" i="4"/>
  <c r="C153" i="4"/>
  <c r="C137" i="4"/>
  <c r="C209" i="4"/>
  <c r="C101" i="4"/>
  <c r="L11" i="3" l="1"/>
  <c r="I27" i="3"/>
  <c r="AC27" i="3" l="1"/>
  <c r="U27" i="3" s="1"/>
  <c r="S27" i="3"/>
  <c r="T27" i="3"/>
  <c r="N23" i="3" l="1"/>
  <c r="N24" i="3"/>
  <c r="N25" i="3"/>
  <c r="N26" i="3"/>
  <c r="N27" i="3"/>
  <c r="N28" i="3"/>
  <c r="N29" i="3"/>
  <c r="N30" i="3"/>
  <c r="N31" i="3"/>
  <c r="N33" i="3"/>
  <c r="N34" i="3"/>
  <c r="D41" i="3" l="1"/>
  <c r="B54" i="3" s="1"/>
  <c r="I21" i="3"/>
  <c r="T21" i="3" s="1"/>
  <c r="I22" i="3"/>
  <c r="I23" i="3"/>
  <c r="I24" i="3"/>
  <c r="I25" i="3"/>
  <c r="I26" i="3"/>
  <c r="I28" i="3"/>
  <c r="I29" i="3"/>
  <c r="I30" i="3"/>
  <c r="I31" i="3"/>
  <c r="I32" i="3"/>
  <c r="I33" i="3"/>
  <c r="I34" i="3"/>
  <c r="D42" i="3" l="1"/>
  <c r="G54" i="3" s="1"/>
  <c r="M22" i="3"/>
  <c r="M21" i="3"/>
  <c r="J48" i="3"/>
  <c r="D47" i="3"/>
  <c r="AC34" i="3"/>
  <c r="U34" i="3" s="1"/>
  <c r="S31" i="3"/>
  <c r="T31" i="3"/>
  <c r="S30" i="3"/>
  <c r="T30" i="3"/>
  <c r="S26" i="3"/>
  <c r="T26" i="3"/>
  <c r="S24" i="3"/>
  <c r="T24" i="3"/>
  <c r="T23" i="3"/>
  <c r="S23" i="3"/>
  <c r="S29" i="3"/>
  <c r="T29" i="3"/>
  <c r="T22" i="3"/>
  <c r="S22" i="3"/>
  <c r="S28" i="3"/>
  <c r="T28" i="3"/>
  <c r="S21" i="3"/>
  <c r="S33" i="3"/>
  <c r="T33" i="3"/>
  <c r="T34" i="3"/>
  <c r="S34" i="3"/>
  <c r="S32" i="3"/>
  <c r="T32" i="3"/>
  <c r="S25" i="3"/>
  <c r="T25" i="3"/>
  <c r="Y29" i="3"/>
  <c r="W29" i="3" s="1"/>
  <c r="AB26" i="3"/>
  <c r="Y25" i="3"/>
  <c r="W25" i="3" s="1"/>
  <c r="Y24" i="3"/>
  <c r="W24" i="3" s="1"/>
  <c r="Y30" i="3"/>
  <c r="W30" i="3" s="1"/>
  <c r="Y23" i="3"/>
  <c r="W23" i="3" s="1"/>
  <c r="Y32" i="3"/>
  <c r="W32" i="3" s="1"/>
  <c r="Y31" i="3"/>
  <c r="W31" i="3" s="1"/>
  <c r="X28" i="3"/>
  <c r="Y28" i="3"/>
  <c r="W28" i="3" s="1"/>
  <c r="V28" i="3" s="1"/>
  <c r="P27" i="3"/>
  <c r="Y22" i="3"/>
  <c r="W22" i="3" s="1"/>
  <c r="X22" i="3"/>
  <c r="P33" i="3"/>
  <c r="AB33" i="3"/>
  <c r="AA33" i="3"/>
  <c r="AA26" i="3"/>
  <c r="X21" i="3"/>
  <c r="Y21" i="3"/>
  <c r="W21" i="3" s="1"/>
  <c r="P26" i="3"/>
  <c r="P29" i="3"/>
  <c r="X29" i="3"/>
  <c r="P25" i="3"/>
  <c r="X25" i="3"/>
  <c r="P24" i="3"/>
  <c r="X24" i="3"/>
  <c r="P30" i="3"/>
  <c r="X30" i="3"/>
  <c r="P23" i="3"/>
  <c r="X23" i="3"/>
  <c r="P22" i="3"/>
  <c r="P32" i="3"/>
  <c r="X32" i="3"/>
  <c r="P31" i="3"/>
  <c r="X31" i="3"/>
  <c r="P28" i="3"/>
  <c r="K34" i="3"/>
  <c r="P34" i="3"/>
  <c r="P21" i="3"/>
  <c r="K27" i="3"/>
  <c r="M27" i="3"/>
  <c r="M30" i="3"/>
  <c r="J27" i="3"/>
  <c r="M33" i="3"/>
  <c r="M31" i="3"/>
  <c r="M29" i="3"/>
  <c r="M32" i="3"/>
  <c r="M34" i="3"/>
  <c r="J34" i="3"/>
  <c r="M28" i="3"/>
  <c r="M25" i="3"/>
  <c r="M26" i="3"/>
  <c r="M23" i="3"/>
  <c r="M24" i="3"/>
  <c r="J44" i="3" l="1"/>
  <c r="J47" i="3"/>
  <c r="V31" i="3"/>
  <c r="U31" i="3" s="1"/>
  <c r="V32" i="3"/>
  <c r="U32" i="3" s="1"/>
  <c r="V23" i="3"/>
  <c r="U23" i="3" s="1"/>
  <c r="V21" i="3"/>
  <c r="U21" i="3" s="1"/>
  <c r="V30" i="3"/>
  <c r="U30" i="3" s="1"/>
  <c r="V29" i="3"/>
  <c r="U29" i="3" s="1"/>
  <c r="Z33" i="3"/>
  <c r="U33" i="3" s="1"/>
  <c r="R21" i="3"/>
  <c r="V24" i="3"/>
  <c r="U24" i="3" s="1"/>
  <c r="U28" i="3"/>
  <c r="Z26" i="3"/>
  <c r="U26" i="3" s="1"/>
  <c r="V25" i="3"/>
  <c r="U25" i="3" s="1"/>
  <c r="J43" i="3"/>
  <c r="V22" i="3"/>
  <c r="U22" i="3" s="1"/>
  <c r="R33" i="3"/>
  <c r="J46" i="3"/>
  <c r="R27" i="3"/>
  <c r="R34" i="3"/>
  <c r="R32" i="3"/>
  <c r="Q31" i="3"/>
  <c r="Q33" i="3"/>
  <c r="Q25" i="3"/>
  <c r="Q27" i="3"/>
  <c r="R26" i="3"/>
  <c r="Q26" i="3"/>
  <c r="Q28" i="3"/>
  <c r="Q24" i="3"/>
  <c r="R23" i="3"/>
  <c r="R30" i="3"/>
  <c r="Q32" i="3"/>
  <c r="R31" i="3"/>
  <c r="R24" i="3"/>
  <c r="R25" i="3"/>
  <c r="Q34" i="3"/>
  <c r="Q29" i="3"/>
  <c r="J42" i="3"/>
  <c r="R29" i="3"/>
  <c r="Q30" i="3"/>
  <c r="Q21" i="3"/>
  <c r="Q23" i="3"/>
  <c r="R22" i="3"/>
  <c r="Q22" i="3"/>
  <c r="J35" i="3"/>
  <c r="J39" i="3" l="1"/>
  <c r="D51" i="3"/>
  <c r="D45" i="3" s="1"/>
  <c r="J51" i="3"/>
  <c r="J36" i="3"/>
  <c r="J38" i="3" s="1"/>
  <c r="H35"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<sst xmlns="http://schemas.openxmlformats.org/spreadsheetml/2006/main" count="1590" uniqueCount="1006">
  <si>
    <t>Reason for change of Status</t>
  </si>
  <si>
    <t>TEAM MEMBER’S PERSONAL DETAILS</t>
  </si>
  <si>
    <t>Payroll Number:</t>
  </si>
  <si>
    <t>First Name:</t>
  </si>
  <si>
    <t xml:space="preserve">Surname:  </t>
  </si>
  <si>
    <t>Account</t>
  </si>
  <si>
    <t>S908</t>
  </si>
  <si>
    <t>S002</t>
  </si>
  <si>
    <t>S004</t>
  </si>
  <si>
    <t>S005</t>
  </si>
  <si>
    <t>S006</t>
  </si>
  <si>
    <t>S110</t>
  </si>
  <si>
    <t>S008</t>
  </si>
  <si>
    <t>S024</t>
  </si>
  <si>
    <t>S009</t>
  </si>
  <si>
    <t>S070</t>
  </si>
  <si>
    <t>S010</t>
  </si>
  <si>
    <t>S011</t>
  </si>
  <si>
    <t>S013</t>
  </si>
  <si>
    <t>S014</t>
  </si>
  <si>
    <t>S021</t>
  </si>
  <si>
    <t>S135</t>
  </si>
  <si>
    <t>S015</t>
  </si>
  <si>
    <t>S016</t>
  </si>
  <si>
    <t>S017</t>
  </si>
  <si>
    <t>S019</t>
  </si>
  <si>
    <t>S020</t>
  </si>
  <si>
    <t>S123</t>
  </si>
  <si>
    <t>S025</t>
  </si>
  <si>
    <t>S026</t>
  </si>
  <si>
    <t>S027</t>
  </si>
  <si>
    <t>S028</t>
  </si>
  <si>
    <t>S029</t>
  </si>
  <si>
    <t>S030</t>
  </si>
  <si>
    <t>S034</t>
  </si>
  <si>
    <t>S035</t>
  </si>
  <si>
    <t>S065</t>
  </si>
  <si>
    <t>S036</t>
  </si>
  <si>
    <t>S037</t>
  </si>
  <si>
    <t>S038</t>
  </si>
  <si>
    <t>S039</t>
  </si>
  <si>
    <t>S040</t>
  </si>
  <si>
    <t>S041</t>
  </si>
  <si>
    <t>S042</t>
  </si>
  <si>
    <t>S136</t>
  </si>
  <si>
    <t>S043</t>
  </si>
  <si>
    <t>S044</t>
  </si>
  <si>
    <t>S045</t>
  </si>
  <si>
    <t>S046</t>
  </si>
  <si>
    <t>S118</t>
  </si>
  <si>
    <t>S047</t>
  </si>
  <si>
    <t>S073</t>
  </si>
  <si>
    <t>S048</t>
  </si>
  <si>
    <t>S049</t>
  </si>
  <si>
    <t>S050</t>
  </si>
  <si>
    <t>S052</t>
  </si>
  <si>
    <t>S104</t>
  </si>
  <si>
    <t>S053</t>
  </si>
  <si>
    <t>S054</t>
  </si>
  <si>
    <t>S055</t>
  </si>
  <si>
    <t>S057</t>
  </si>
  <si>
    <t>S058</t>
  </si>
  <si>
    <t>S116</t>
  </si>
  <si>
    <t>S060</t>
  </si>
  <si>
    <t>S061</t>
  </si>
  <si>
    <t>S062</t>
  </si>
  <si>
    <t>S063</t>
  </si>
  <si>
    <t>S069</t>
  </si>
  <si>
    <t>S072</t>
  </si>
  <si>
    <t>S074</t>
  </si>
  <si>
    <t>S120</t>
  </si>
  <si>
    <t>S077</t>
  </si>
  <si>
    <t>S079</t>
  </si>
  <si>
    <t>S080</t>
  </si>
  <si>
    <t>S081</t>
  </si>
  <si>
    <t>S082</t>
  </si>
  <si>
    <t>S084</t>
  </si>
  <si>
    <t>S088</t>
  </si>
  <si>
    <t>S094</t>
  </si>
  <si>
    <t>S096</t>
  </si>
  <si>
    <t>S098</t>
  </si>
  <si>
    <t>S099</t>
  </si>
  <si>
    <t>S100</t>
  </si>
  <si>
    <t>S102</t>
  </si>
  <si>
    <t>S105</t>
  </si>
  <si>
    <t>S106</t>
  </si>
  <si>
    <t>S107</t>
  </si>
  <si>
    <t>S109</t>
  </si>
  <si>
    <t>S111</t>
  </si>
  <si>
    <t>S112</t>
  </si>
  <si>
    <t>S113</t>
  </si>
  <si>
    <t>S114</t>
  </si>
  <si>
    <t>S115</t>
  </si>
  <si>
    <t>S117</t>
  </si>
  <si>
    <t>S119</t>
  </si>
  <si>
    <t>S121</t>
  </si>
  <si>
    <t>S122</t>
  </si>
  <si>
    <t>S124</t>
  </si>
  <si>
    <t>S125</t>
  </si>
  <si>
    <t>S127</t>
  </si>
  <si>
    <t>S129</t>
  </si>
  <si>
    <t>S131</t>
  </si>
  <si>
    <t>S132</t>
  </si>
  <si>
    <t>S137</t>
  </si>
  <si>
    <t>S138</t>
  </si>
  <si>
    <t>S139</t>
  </si>
  <si>
    <t>S145</t>
  </si>
  <si>
    <t>S146</t>
  </si>
  <si>
    <t>S148</t>
  </si>
  <si>
    <t>S996</t>
  </si>
  <si>
    <t>S901</t>
  </si>
  <si>
    <t>S913</t>
  </si>
  <si>
    <t>S911</t>
  </si>
  <si>
    <t>S915</t>
  </si>
  <si>
    <t>S916</t>
  </si>
  <si>
    <t>S902</t>
  </si>
  <si>
    <t>S907</t>
  </si>
  <si>
    <t>S904</t>
  </si>
  <si>
    <t>S905</t>
  </si>
  <si>
    <t>S991</t>
  </si>
  <si>
    <t>S910</t>
  </si>
  <si>
    <t>S912</t>
  </si>
  <si>
    <t>S914</t>
  </si>
  <si>
    <t>S917</t>
  </si>
  <si>
    <t>S920</t>
  </si>
  <si>
    <t>A904</t>
  </si>
  <si>
    <t>S923</t>
  </si>
  <si>
    <t>S990</t>
  </si>
  <si>
    <t>A001</t>
  </si>
  <si>
    <t>A002</t>
  </si>
  <si>
    <t>A012</t>
  </si>
  <si>
    <t>A003</t>
  </si>
  <si>
    <t>A004</t>
  </si>
  <si>
    <t>A010</t>
  </si>
  <si>
    <t>A005</t>
  </si>
  <si>
    <t>A006</t>
  </si>
  <si>
    <t>A007</t>
  </si>
  <si>
    <t>A008</t>
  </si>
  <si>
    <t>A009</t>
  </si>
  <si>
    <t>A011</t>
  </si>
  <si>
    <t>A013</t>
  </si>
  <si>
    <t>A026</t>
  </si>
  <si>
    <t>A015</t>
  </si>
  <si>
    <t>A016</t>
  </si>
  <si>
    <t>A017</t>
  </si>
  <si>
    <t>A018</t>
  </si>
  <si>
    <t>A020</t>
  </si>
  <si>
    <t>A021</t>
  </si>
  <si>
    <t>A022</t>
  </si>
  <si>
    <t>A023</t>
  </si>
  <si>
    <t>A024</t>
  </si>
  <si>
    <t>A025</t>
  </si>
  <si>
    <t>A027</t>
  </si>
  <si>
    <t>A028</t>
  </si>
  <si>
    <t>A029</t>
  </si>
  <si>
    <t>A030</t>
  </si>
  <si>
    <t>A031</t>
  </si>
  <si>
    <t>A032</t>
  </si>
  <si>
    <t>A034</t>
  </si>
  <si>
    <t>A033</t>
  </si>
  <si>
    <t>A035</t>
  </si>
  <si>
    <t>A036</t>
  </si>
  <si>
    <t>A037</t>
  </si>
  <si>
    <t>A038</t>
  </si>
  <si>
    <t>A906</t>
  </si>
  <si>
    <t>A918</t>
  </si>
  <si>
    <t>A919</t>
  </si>
  <si>
    <t>Account Description</t>
  </si>
  <si>
    <t>Box Hill</t>
  </si>
  <si>
    <t>Sandown</t>
  </si>
  <si>
    <t>Geelong</t>
  </si>
  <si>
    <t>Frankston</t>
  </si>
  <si>
    <t>Essendon</t>
  </si>
  <si>
    <t>West Gosford</t>
  </si>
  <si>
    <t>Traralgon</t>
  </si>
  <si>
    <t>Fountain Gate</t>
  </si>
  <si>
    <t>Maribyrnong</t>
  </si>
  <si>
    <t>Launceston</t>
  </si>
  <si>
    <t>Ballarat</t>
  </si>
  <si>
    <t>Bayswater</t>
  </si>
  <si>
    <t>Albury</t>
  </si>
  <si>
    <t>Cranbourne</t>
  </si>
  <si>
    <t>Bairnsdale</t>
  </si>
  <si>
    <t>Sale</t>
  </si>
  <si>
    <t>Mildura</t>
  </si>
  <si>
    <t>Penrith</t>
  </si>
  <si>
    <t>Wollongong</t>
  </si>
  <si>
    <t>Wagga Wagga</t>
  </si>
  <si>
    <t>Bendigo</t>
  </si>
  <si>
    <t>South Melbourne</t>
  </si>
  <si>
    <t>Bondi Junction</t>
  </si>
  <si>
    <t>Shepparton</t>
  </si>
  <si>
    <t>Birkenhead Point</t>
  </si>
  <si>
    <t>Hoppers Crossing</t>
  </si>
  <si>
    <t>Everton Park</t>
  </si>
  <si>
    <t>Rockingham</t>
  </si>
  <si>
    <t>Mount Gravatt</t>
  </si>
  <si>
    <t>Campbelltown</t>
  </si>
  <si>
    <t>Logan</t>
  </si>
  <si>
    <t>Ashmore</t>
  </si>
  <si>
    <t>Tamworth</t>
  </si>
  <si>
    <t>Dubbo</t>
  </si>
  <si>
    <t>Queanbeyan</t>
  </si>
  <si>
    <t>Griffith</t>
  </si>
  <si>
    <t>Townsville</t>
  </si>
  <si>
    <t>Munno Para</t>
  </si>
  <si>
    <t>Lidcombe</t>
  </si>
  <si>
    <t>Mackay</t>
  </si>
  <si>
    <t>Toowoomba</t>
  </si>
  <si>
    <t>Joondalup</t>
  </si>
  <si>
    <t>Lismore</t>
  </si>
  <si>
    <t>Horsham</t>
  </si>
  <si>
    <t>Belrose</t>
  </si>
  <si>
    <t>Innaloo</t>
  </si>
  <si>
    <t>Mandurah</t>
  </si>
  <si>
    <t>Rockdale</t>
  </si>
  <si>
    <t>Bathurst</t>
  </si>
  <si>
    <t>Indooroopilly</t>
  </si>
  <si>
    <t>Darwin</t>
  </si>
  <si>
    <t>Midland</t>
  </si>
  <si>
    <t>Ipswich</t>
  </si>
  <si>
    <t>Melville</t>
  </si>
  <si>
    <t>Taree</t>
  </si>
  <si>
    <t>Cannington</t>
  </si>
  <si>
    <t>Bundaberg</t>
  </si>
  <si>
    <t>Melrose Park</t>
  </si>
  <si>
    <t>Clovercrest</t>
  </si>
  <si>
    <t>Preston</t>
  </si>
  <si>
    <t>Mt Gambier</t>
  </si>
  <si>
    <t>West Burleigh</t>
  </si>
  <si>
    <t>Kawana</t>
  </si>
  <si>
    <t>Tuggerah</t>
  </si>
  <si>
    <t>Coffs Harbour</t>
  </si>
  <si>
    <t>Bunbury</t>
  </si>
  <si>
    <t>Castle Hill</t>
  </si>
  <si>
    <t>Cairns</t>
  </si>
  <si>
    <t>Browns Plains</t>
  </si>
  <si>
    <t>Watergardens</t>
  </si>
  <si>
    <t>Port Macquarie</t>
  </si>
  <si>
    <t>Nowra</t>
  </si>
  <si>
    <t>Burnie</t>
  </si>
  <si>
    <t>Mt Druitt</t>
  </si>
  <si>
    <t>Mt Barker</t>
  </si>
  <si>
    <t>Geraldton</t>
  </si>
  <si>
    <t>Rutherford</t>
  </si>
  <si>
    <t>Morayfield</t>
  </si>
  <si>
    <t>Warrnambool</t>
  </si>
  <si>
    <t>South Morang</t>
  </si>
  <si>
    <t>Carnegie</t>
  </si>
  <si>
    <t>Albany</t>
  </si>
  <si>
    <t>Noarlunga</t>
  </si>
  <si>
    <t>Gepps Cross</t>
  </si>
  <si>
    <t>Miranda</t>
  </si>
  <si>
    <t>Cockburn</t>
  </si>
  <si>
    <t>Albert Park</t>
  </si>
  <si>
    <t>Wetherill Park</t>
  </si>
  <si>
    <t>Ballina</t>
  </si>
  <si>
    <t>Springfield</t>
  </si>
  <si>
    <t>Capalaba</t>
  </si>
  <si>
    <t>Wangaratta</t>
  </si>
  <si>
    <t>Armidale</t>
  </si>
  <si>
    <t>HERVEY BAY</t>
  </si>
  <si>
    <t>Roxburgh Park</t>
  </si>
  <si>
    <t>Busselton</t>
  </si>
  <si>
    <t>Grafton</t>
  </si>
  <si>
    <t>SRG Finance</t>
  </si>
  <si>
    <t>Customer Services</t>
  </si>
  <si>
    <t>Human Resources</t>
  </si>
  <si>
    <t>IT</t>
  </si>
  <si>
    <t>Spotlight Operations</t>
  </si>
  <si>
    <t>Mile End</t>
  </si>
  <si>
    <t>Cambridge</t>
  </si>
  <si>
    <t>Springvale</t>
  </si>
  <si>
    <t>Moore Park</t>
  </si>
  <si>
    <t>Fyshwick</t>
  </si>
  <si>
    <t>Modbury</t>
  </si>
  <si>
    <t>Company (Select)</t>
  </si>
  <si>
    <t>Roles</t>
  </si>
  <si>
    <t>Day</t>
  </si>
  <si>
    <t>Friday</t>
  </si>
  <si>
    <t>Saturday</t>
  </si>
  <si>
    <t>Sunday</t>
  </si>
  <si>
    <t>INFORMATION</t>
  </si>
  <si>
    <t>Please note</t>
  </si>
  <si>
    <t>I have read and understood the above information and conditions of employment.</t>
  </si>
  <si>
    <t xml:space="preserve">Employee Name:  </t>
  </si>
  <si>
    <t xml:space="preserve">Signature: </t>
  </si>
  <si>
    <t xml:space="preserve">Date:  </t>
  </si>
  <si>
    <t xml:space="preserve">Manager Name:  </t>
  </si>
  <si>
    <t xml:space="preserve">Date: </t>
  </si>
  <si>
    <t>Start</t>
  </si>
  <si>
    <t>Finish</t>
  </si>
  <si>
    <t>Hours</t>
  </si>
  <si>
    <t>Week 1</t>
  </si>
  <si>
    <t>Monday</t>
  </si>
  <si>
    <t>Tuesday</t>
  </si>
  <si>
    <t>Wednesday</t>
  </si>
  <si>
    <t>Thursday</t>
  </si>
  <si>
    <t>Week 2</t>
  </si>
  <si>
    <t>2 Week Total</t>
  </si>
  <si>
    <t>2 Week Average</t>
  </si>
  <si>
    <t>Status</t>
  </si>
  <si>
    <t>Anaconda</t>
  </si>
  <si>
    <t>Spotlight</t>
  </si>
  <si>
    <t>wknd</t>
  </si>
  <si>
    <t xml:space="preserve">  </t>
  </si>
  <si>
    <t>Dept Code</t>
  </si>
  <si>
    <t>Dept name</t>
  </si>
  <si>
    <t>A040</t>
  </si>
  <si>
    <t>A001 Bayswater</t>
  </si>
  <si>
    <t>A002 Ashmore</t>
  </si>
  <si>
    <t>A003 Joondalup</t>
  </si>
  <si>
    <t>A004 Everton Park</t>
  </si>
  <si>
    <t>A005 Townsville</t>
  </si>
  <si>
    <t>A007 Logan</t>
  </si>
  <si>
    <t>A008 Mile End</t>
  </si>
  <si>
    <t>A009 Geelong</t>
  </si>
  <si>
    <t>A010 Innaloo</t>
  </si>
  <si>
    <t>A011 Cambridge</t>
  </si>
  <si>
    <t>A012 Penrith</t>
  </si>
  <si>
    <t>A013 Frankston</t>
  </si>
  <si>
    <t>A015 Moore Park</t>
  </si>
  <si>
    <t>A016 Morayfield</t>
  </si>
  <si>
    <t>A018 Kawana</t>
  </si>
  <si>
    <t>A020 Preston</t>
  </si>
  <si>
    <t>A021 Bendigo</t>
  </si>
  <si>
    <t>A022 Cannington</t>
  </si>
  <si>
    <t>A023 West Gosford</t>
  </si>
  <si>
    <t>A024 Rockdale</t>
  </si>
  <si>
    <t>A025 Belrose</t>
  </si>
  <si>
    <t>A026 Springvale</t>
  </si>
  <si>
    <t>A027 Fyshwick</t>
  </si>
  <si>
    <t>A028 Launceston</t>
  </si>
  <si>
    <t>A030 Hoppers Crossing</t>
  </si>
  <si>
    <t>A031 Port Macquarie</t>
  </si>
  <si>
    <t>A032 Modbury</t>
  </si>
  <si>
    <t>A033 Wagga Wagga</t>
  </si>
  <si>
    <t>A035 Ballarat</t>
  </si>
  <si>
    <t>A037 Cairns</t>
  </si>
  <si>
    <t>A040 Watergardens</t>
  </si>
  <si>
    <t>S002 Box Hill</t>
  </si>
  <si>
    <t>S005 Sandown</t>
  </si>
  <si>
    <t>S006 Geelong</t>
  </si>
  <si>
    <t>S008 Essendon</t>
  </si>
  <si>
    <t>S009 Traralgon</t>
  </si>
  <si>
    <t>S010 Maribyrnong</t>
  </si>
  <si>
    <t>S011 Launceston</t>
  </si>
  <si>
    <t>S013 Ballarat</t>
  </si>
  <si>
    <t>S014 Bayswater</t>
  </si>
  <si>
    <t>S015 Bairnsdale</t>
  </si>
  <si>
    <t>S016 Sale</t>
  </si>
  <si>
    <t>S017 Mildura</t>
  </si>
  <si>
    <t>S019 Penrith</t>
  </si>
  <si>
    <t>S020 Wollongong</t>
  </si>
  <si>
    <t>S021 Albury</t>
  </si>
  <si>
    <t>S024 West Gosford</t>
  </si>
  <si>
    <t>S026 Bendigo</t>
  </si>
  <si>
    <t>S027 South Melbourne</t>
  </si>
  <si>
    <t>S028 Bondi Junction</t>
  </si>
  <si>
    <t>S029 Shepparton</t>
  </si>
  <si>
    <t>S030 Birkenhead Point</t>
  </si>
  <si>
    <t>S034 Hoppers Crossing</t>
  </si>
  <si>
    <t>S035 Everton Park</t>
  </si>
  <si>
    <t>S036 Mount Gravatt</t>
  </si>
  <si>
    <t>S037 Campbelltown</t>
  </si>
  <si>
    <t>S038 Logan</t>
  </si>
  <si>
    <t>S039 Ashmore</t>
  </si>
  <si>
    <t>S040 Tamworth</t>
  </si>
  <si>
    <t>S041 Dubbo</t>
  </si>
  <si>
    <t>S042 Queanbeyan</t>
  </si>
  <si>
    <t>S043 Townsville</t>
  </si>
  <si>
    <t>S044 Munno Para</t>
  </si>
  <si>
    <t>S045 Lidcombe</t>
  </si>
  <si>
    <t>S046 Mackay</t>
  </si>
  <si>
    <t>S047 Rockhampton</t>
  </si>
  <si>
    <t>S048 Lismore</t>
  </si>
  <si>
    <t>S049 Horsham</t>
  </si>
  <si>
    <t>S050 Belrose</t>
  </si>
  <si>
    <t>S052 Innaloo</t>
  </si>
  <si>
    <t>S053 Rockdale</t>
  </si>
  <si>
    <t>S054 Bathurst</t>
  </si>
  <si>
    <t>S055 Indooroopilly</t>
  </si>
  <si>
    <t>S057 Darwin</t>
  </si>
  <si>
    <t>S058 Midland</t>
  </si>
  <si>
    <t>S059 Plaza Singapura</t>
  </si>
  <si>
    <t>S061 Melville</t>
  </si>
  <si>
    <t>S062 Taree</t>
  </si>
  <si>
    <t>S063 Cannington</t>
  </si>
  <si>
    <t>S065 Rockingham</t>
  </si>
  <si>
    <t>S069 Bundaberg</t>
  </si>
  <si>
    <t>S070 Fountain Gate</t>
  </si>
  <si>
    <t>S072 Melrose Park</t>
  </si>
  <si>
    <t>S073 Joondalup</t>
  </si>
  <si>
    <t>S074 Clovercrest</t>
  </si>
  <si>
    <t>S077 Mt Gambier</t>
  </si>
  <si>
    <t>S079 West Burleigh</t>
  </si>
  <si>
    <t>S081 Tuggerah</t>
  </si>
  <si>
    <t>S082 Coffs Harbour</t>
  </si>
  <si>
    <t>S084 Bunbury</t>
  </si>
  <si>
    <t>S088 Castle Hill</t>
  </si>
  <si>
    <t>S094 Cairns</t>
  </si>
  <si>
    <t>S096 Browns Plains</t>
  </si>
  <si>
    <t>S099 Port Macquarie</t>
  </si>
  <si>
    <t>S100 Nowra</t>
  </si>
  <si>
    <t>S102 Burnie</t>
  </si>
  <si>
    <t>S104 Mandurah</t>
  </si>
  <si>
    <t>S105 Mt Druitt</t>
  </si>
  <si>
    <t>S106 Mt Barker</t>
  </si>
  <si>
    <t>S107 Geraldton</t>
  </si>
  <si>
    <t>S109 Rutherford</t>
  </si>
  <si>
    <t>S110 Frankston</t>
  </si>
  <si>
    <t>S111 Morayfield</t>
  </si>
  <si>
    <t>S112 Warrnambool</t>
  </si>
  <si>
    <t>S113 South Morang</t>
  </si>
  <si>
    <t>S114 Carnegie</t>
  </si>
  <si>
    <t>S115 Albany</t>
  </si>
  <si>
    <t>S116 Ipswich</t>
  </si>
  <si>
    <t>S117 Noarlunga</t>
  </si>
  <si>
    <t>S118 Toowoomba</t>
  </si>
  <si>
    <t>S119 Gepps Cross</t>
  </si>
  <si>
    <t>S120 Preston</t>
  </si>
  <si>
    <t>S121 Miranda</t>
  </si>
  <si>
    <t>S122 Cockburn</t>
  </si>
  <si>
    <t>S123 Wagga Wagga</t>
  </si>
  <si>
    <t>S124 Albert Park</t>
  </si>
  <si>
    <t>S125 Wetherill Park</t>
  </si>
  <si>
    <t>S127 Ballina</t>
  </si>
  <si>
    <t>S129 Springfield</t>
  </si>
  <si>
    <t>S131 Capalaba</t>
  </si>
  <si>
    <t>S132 Wangaratta</t>
  </si>
  <si>
    <t>S135 Cranbourne</t>
  </si>
  <si>
    <t>S136 Griffith</t>
  </si>
  <si>
    <t>S138 Armidale</t>
  </si>
  <si>
    <t>S145 Roxburgh Park</t>
  </si>
  <si>
    <t>S146 Busselton</t>
  </si>
  <si>
    <t>S148 Grafton</t>
  </si>
  <si>
    <t>A903</t>
  </si>
  <si>
    <t>Marketing</t>
  </si>
  <si>
    <t>A041</t>
  </si>
  <si>
    <t>A041 Box Hill</t>
  </si>
  <si>
    <t>A042</t>
  </si>
  <si>
    <t>A042 Maribyrnong</t>
  </si>
  <si>
    <t>A039</t>
  </si>
  <si>
    <t>Highett</t>
  </si>
  <si>
    <t>A039 Highett</t>
  </si>
  <si>
    <t>S147</t>
  </si>
  <si>
    <t>Gladstone</t>
  </si>
  <si>
    <t>S147 Gladstone</t>
  </si>
  <si>
    <t>A043</t>
  </si>
  <si>
    <t>A043 Darwin</t>
  </si>
  <si>
    <t>A044</t>
  </si>
  <si>
    <t>A045</t>
  </si>
  <si>
    <t>A046</t>
  </si>
  <si>
    <t>A047</t>
  </si>
  <si>
    <t>NORTH LAKES</t>
  </si>
  <si>
    <t>S149</t>
  </si>
  <si>
    <t>A048</t>
  </si>
  <si>
    <t>CHERMSIDE</t>
  </si>
  <si>
    <t>A050</t>
  </si>
  <si>
    <t>ALBURY</t>
  </si>
  <si>
    <t>Mentone</t>
  </si>
  <si>
    <t>S004 Mentone</t>
  </si>
  <si>
    <t>Trinity Gardens</t>
  </si>
  <si>
    <t>S025 Trinity Gardens</t>
  </si>
  <si>
    <t>A901</t>
  </si>
  <si>
    <t>Anaconda Executive</t>
  </si>
  <si>
    <t>Anaconda Operations</t>
  </si>
  <si>
    <t>S928</t>
  </si>
  <si>
    <t>E Commerce</t>
  </si>
  <si>
    <t>Accounts</t>
  </si>
  <si>
    <t>Payroll</t>
  </si>
  <si>
    <t>Narre Warren</t>
  </si>
  <si>
    <t>A017 Narre Warren</t>
  </si>
  <si>
    <t>A034 Noarlunga</t>
  </si>
  <si>
    <t>A036 West Burleigh</t>
  </si>
  <si>
    <t>A038 Toowoomba</t>
  </si>
  <si>
    <t>WARRINGAH</t>
  </si>
  <si>
    <t>A045 Wollongong</t>
  </si>
  <si>
    <t>ROCKHAMPTON</t>
  </si>
  <si>
    <t>A049</t>
  </si>
  <si>
    <t>Tingalpa</t>
  </si>
  <si>
    <t>A049 Tingalpa</t>
  </si>
  <si>
    <t>A051</t>
  </si>
  <si>
    <t>A051 Rutherford</t>
  </si>
  <si>
    <t>A052</t>
  </si>
  <si>
    <t>Epping</t>
  </si>
  <si>
    <t>A052 Epping</t>
  </si>
  <si>
    <t>A053</t>
  </si>
  <si>
    <t>A053 Midland</t>
  </si>
  <si>
    <t>A054</t>
  </si>
  <si>
    <t>A054 Ipswich</t>
  </si>
  <si>
    <t>A055</t>
  </si>
  <si>
    <t>A055 Shepparton</t>
  </si>
  <si>
    <t>A057</t>
  </si>
  <si>
    <t>A057 Mackay</t>
  </si>
  <si>
    <t>A058</t>
  </si>
  <si>
    <t>Hawthorn East</t>
  </si>
  <si>
    <t>A058 Hawthorn East</t>
  </si>
  <si>
    <t>A061</t>
  </si>
  <si>
    <t>North Lakes</t>
  </si>
  <si>
    <t>S149 North Lakes</t>
  </si>
  <si>
    <t>S154</t>
  </si>
  <si>
    <t>Upper Coomera</t>
  </si>
  <si>
    <t>S154 Upper Coomera</t>
  </si>
  <si>
    <t>A060</t>
  </si>
  <si>
    <t>Devonport</t>
  </si>
  <si>
    <t>A060 Devonport</t>
  </si>
  <si>
    <t>Extension of Contract</t>
  </si>
  <si>
    <t>Casual - Ongoing</t>
  </si>
  <si>
    <t>Shared Services</t>
  </si>
  <si>
    <t>Store Manager</t>
  </si>
  <si>
    <t>A059</t>
  </si>
  <si>
    <t>CHATSWOOD</t>
  </si>
  <si>
    <t>A062</t>
  </si>
  <si>
    <t>A064</t>
  </si>
  <si>
    <t>Gungahlin</t>
  </si>
  <si>
    <t>A065</t>
  </si>
  <si>
    <t>ROCKINGHAM</t>
  </si>
  <si>
    <t>A066</t>
  </si>
  <si>
    <t>BUTLER</t>
  </si>
  <si>
    <t>A067</t>
  </si>
  <si>
    <t>AIRLIE BEACH</t>
  </si>
  <si>
    <t>A070</t>
  </si>
  <si>
    <t>A071</t>
  </si>
  <si>
    <t>BUNBURY</t>
  </si>
  <si>
    <t>M805</t>
  </si>
  <si>
    <t>MOUNTAIN DESIGNS DARK STO</t>
  </si>
  <si>
    <t>S152</t>
  </si>
  <si>
    <t>Hornsby</t>
  </si>
  <si>
    <t>S153</t>
  </si>
  <si>
    <t>S159</t>
  </si>
  <si>
    <t>The Glen</t>
  </si>
  <si>
    <t>S161</t>
  </si>
  <si>
    <t>Carindale</t>
  </si>
  <si>
    <t>S162</t>
  </si>
  <si>
    <t>Butler</t>
  </si>
  <si>
    <t>A064 Gungahlin</t>
  </si>
  <si>
    <t>A070 Melville</t>
  </si>
  <si>
    <t>S142 IPC</t>
  </si>
  <si>
    <t>S144 MY Town</t>
  </si>
  <si>
    <t>S152 Hornsby</t>
  </si>
  <si>
    <t>S153 Gungahlin</t>
  </si>
  <si>
    <t>S159 The Glen</t>
  </si>
  <si>
    <t>S161 Carindale</t>
  </si>
  <si>
    <t>S162 Butler</t>
  </si>
  <si>
    <t>Anaconda Human Resources</t>
  </si>
  <si>
    <t>Ananconda Supply Chain</t>
  </si>
  <si>
    <t>Anaconda TSG</t>
  </si>
  <si>
    <t>Supply Chain- DC</t>
  </si>
  <si>
    <t>Spotlight Merchandise</t>
  </si>
  <si>
    <t>Retail operations</t>
  </si>
  <si>
    <t>Sewing Centre</t>
  </si>
  <si>
    <t>Craft &amp; Yarn</t>
  </si>
  <si>
    <t>Furnishings</t>
  </si>
  <si>
    <t>Manchester</t>
  </si>
  <si>
    <t>Custom Made</t>
  </si>
  <si>
    <t>CM CustomerService Centre</t>
  </si>
  <si>
    <t>A914</t>
  </si>
  <si>
    <t>S921</t>
  </si>
  <si>
    <t>Anaconda Camp &amp; Hike</t>
  </si>
  <si>
    <t>Anaconda_Stores</t>
  </si>
  <si>
    <t>Spotlight_Stores</t>
  </si>
  <si>
    <t>Anaconda_SG</t>
  </si>
  <si>
    <t>Spotlight_SG</t>
  </si>
  <si>
    <t>Break</t>
  </si>
  <si>
    <t>Time</t>
  </si>
  <si>
    <t>Additional Information if any (Please specify)</t>
  </si>
  <si>
    <t>Shared_Services</t>
  </si>
  <si>
    <t>SIGNATURE AND APPROVALS</t>
  </si>
  <si>
    <t>A069 Gepps Cross</t>
  </si>
  <si>
    <t>S163 Ellenbrook</t>
  </si>
  <si>
    <t>S165 Mittagong</t>
  </si>
  <si>
    <t>Harris_Scarfe_SG</t>
  </si>
  <si>
    <t>Harris_Scarfe_Stores</t>
  </si>
  <si>
    <t>Any- SG only</t>
  </si>
  <si>
    <t>A074 Mildura</t>
  </si>
  <si>
    <t>S175 Robina</t>
  </si>
  <si>
    <t>Spotlight Design</t>
  </si>
  <si>
    <t>Area Manager/GM 
(Harris Scarfe Only):</t>
  </si>
  <si>
    <t>S168 Windsor</t>
  </si>
  <si>
    <t>Other</t>
  </si>
  <si>
    <t>Full time - Ongoing</t>
  </si>
  <si>
    <t>Part time - Ongoing</t>
  </si>
  <si>
    <t>Project Team</t>
  </si>
  <si>
    <t>Master Data</t>
  </si>
  <si>
    <t>Dress Fabrics</t>
  </si>
  <si>
    <t>Spartys</t>
  </si>
  <si>
    <t>Home Décor</t>
  </si>
  <si>
    <t>Store/SG Department (Select)</t>
  </si>
  <si>
    <t>Change of Department (same role)</t>
  </si>
  <si>
    <t>Change of Roster/Change in Base hours</t>
  </si>
  <si>
    <t xml:space="preserve">Related Team Member's name/s:  </t>
  </si>
  <si>
    <t>S137 Orange</t>
  </si>
  <si>
    <t>S139 Hervey Bay</t>
  </si>
  <si>
    <t>S163</t>
  </si>
  <si>
    <t>Ellenbrook</t>
  </si>
  <si>
    <t>S165</t>
  </si>
  <si>
    <t>Mittagong</t>
  </si>
  <si>
    <t>S166</t>
  </si>
  <si>
    <t>Bennetts Green</t>
  </si>
  <si>
    <t>S174</t>
  </si>
  <si>
    <t>S175</t>
  </si>
  <si>
    <t>Robina</t>
  </si>
  <si>
    <t>S176</t>
  </si>
  <si>
    <t>Maroochydore</t>
  </si>
  <si>
    <t>Windsor</t>
  </si>
  <si>
    <t>S201</t>
  </si>
  <si>
    <t>Taylors Beach</t>
  </si>
  <si>
    <t>S168</t>
  </si>
  <si>
    <t>S188</t>
  </si>
  <si>
    <t>Belmont</t>
  </si>
  <si>
    <t>S080 Maroochydore</t>
  </si>
  <si>
    <t>S166 Bennetts Green</t>
  </si>
  <si>
    <t>S174 Alexandria</t>
  </si>
  <si>
    <t>S176 Logan Hyperdome</t>
  </si>
  <si>
    <t>S188 Belmont</t>
  </si>
  <si>
    <t>S201 Taylors Beach</t>
  </si>
  <si>
    <t>A046 Rockhampton</t>
  </si>
  <si>
    <t>A047 North Lakes</t>
  </si>
  <si>
    <t>A048 Chermside</t>
  </si>
  <si>
    <t>A050 Albury</t>
  </si>
  <si>
    <t>A059 Chatswood</t>
  </si>
  <si>
    <t>A061 Marsden Park</t>
  </si>
  <si>
    <t>A062 Campbelltown</t>
  </si>
  <si>
    <t>A065 Rockingham</t>
  </si>
  <si>
    <t>A066 Butler</t>
  </si>
  <si>
    <t>A067 Airlie Beach</t>
  </si>
  <si>
    <t>A071 Bunbury</t>
  </si>
  <si>
    <t>A044 Warringah</t>
  </si>
  <si>
    <t>A029 Bennetts Green</t>
  </si>
  <si>
    <t>A068</t>
  </si>
  <si>
    <t>A068 Coffs Harbour</t>
  </si>
  <si>
    <t>A069</t>
  </si>
  <si>
    <t>A072</t>
  </si>
  <si>
    <t>A072 Browns Plains</t>
  </si>
  <si>
    <t>A073</t>
  </si>
  <si>
    <t>Eastern Creek</t>
  </si>
  <si>
    <t>A073 Eastern Creek</t>
  </si>
  <si>
    <t>A074</t>
  </si>
  <si>
    <t>A075</t>
  </si>
  <si>
    <t>A076</t>
  </si>
  <si>
    <t>Smithfield</t>
  </si>
  <si>
    <t>A076 Smithfield</t>
  </si>
  <si>
    <t>A075 Munno Para</t>
  </si>
  <si>
    <t>A077</t>
  </si>
  <si>
    <t>A077 Albany</t>
  </si>
  <si>
    <t>A079</t>
  </si>
  <si>
    <t>Cleveland</t>
  </si>
  <si>
    <t>A080</t>
  </si>
  <si>
    <t>Glenorchy</t>
  </si>
  <si>
    <t>A080 Glenorchy</t>
  </si>
  <si>
    <t>A081</t>
  </si>
  <si>
    <t>A907</t>
  </si>
  <si>
    <t>Anaconda Marketing</t>
  </si>
  <si>
    <t>Anaconda Water Fish Land</t>
  </si>
  <si>
    <t>Talent &amp; Leadership</t>
  </si>
  <si>
    <t>S925</t>
  </si>
  <si>
    <t>S929</t>
  </si>
  <si>
    <t>Campaign Production</t>
  </si>
  <si>
    <t>Insights</t>
  </si>
  <si>
    <t>S966</t>
  </si>
  <si>
    <t>S992</t>
  </si>
  <si>
    <t>Koo</t>
  </si>
  <si>
    <t>S993</t>
  </si>
  <si>
    <t>Digital Performance &amp; CRM</t>
  </si>
  <si>
    <t>S994</t>
  </si>
  <si>
    <t>A006 Chullora</t>
  </si>
  <si>
    <t>A079 Cleveland</t>
  </si>
  <si>
    <t>A086 Nowra</t>
  </si>
  <si>
    <t>S060 Glenorchy</t>
  </si>
  <si>
    <t>S090 Whyalla</t>
  </si>
  <si>
    <t>S098 Burnside</t>
  </si>
  <si>
    <t>A063</t>
  </si>
  <si>
    <t>A063 Maroochydore</t>
  </si>
  <si>
    <t>store type</t>
  </si>
  <si>
    <t>SPL3</t>
  </si>
  <si>
    <t>ANA1</t>
  </si>
  <si>
    <t>SPL1</t>
  </si>
  <si>
    <t>ANA2</t>
  </si>
  <si>
    <t>ORANGE</t>
  </si>
  <si>
    <t>Marsden Park</t>
  </si>
  <si>
    <t>ALEXANDRIA</t>
  </si>
  <si>
    <t>COFFS HARBOUR</t>
  </si>
  <si>
    <t>Logan HYPERDOME</t>
  </si>
  <si>
    <t>GEPPS CROSS</t>
  </si>
  <si>
    <t>SPL2</t>
  </si>
  <si>
    <t>BROWNS PLAINS</t>
  </si>
  <si>
    <t>A086</t>
  </si>
  <si>
    <t>ANA4</t>
  </si>
  <si>
    <t>A082</t>
  </si>
  <si>
    <t>Burnside</t>
  </si>
  <si>
    <t>BENNETTS GREEN</t>
  </si>
  <si>
    <t>S090</t>
  </si>
  <si>
    <t>Whyalla</t>
  </si>
  <si>
    <t>Full Name</t>
  </si>
  <si>
    <t>Payroll Use Only</t>
  </si>
  <si>
    <t>Chullora</t>
  </si>
  <si>
    <t>A081 Busselton</t>
  </si>
  <si>
    <t>A082 Dubbo</t>
  </si>
  <si>
    <t>A090 Mandurah</t>
  </si>
  <si>
    <t>A087 Hervey Bay</t>
  </si>
  <si>
    <t>A085 Palmerston</t>
  </si>
  <si>
    <t>A091 Albion Park</t>
  </si>
  <si>
    <t>A092 Bathurst</t>
  </si>
  <si>
    <t>S171 Albion Park</t>
  </si>
  <si>
    <t>Full time - Max Term</t>
  </si>
  <si>
    <t>Part time - Max Term</t>
  </si>
  <si>
    <t>S202 IOI</t>
  </si>
  <si>
    <t>S902 Customer Care</t>
  </si>
  <si>
    <t>S904 Human Resources</t>
  </si>
  <si>
    <t>S905 IT</t>
  </si>
  <si>
    <t>S907 Marketing</t>
  </si>
  <si>
    <t>S920 Property and Store Dev</t>
  </si>
  <si>
    <t>S928 Master Data</t>
  </si>
  <si>
    <t>S966 Insights</t>
  </si>
  <si>
    <t>S991 eCommerce</t>
  </si>
  <si>
    <t>S996 Finance</t>
  </si>
  <si>
    <t>S997 CSR</t>
  </si>
  <si>
    <t>S994 Digital Performance &amp; CRM</t>
  </si>
  <si>
    <t>F999 FFM Administration</t>
  </si>
  <si>
    <t>D999 SPGD</t>
  </si>
  <si>
    <t>A901 Human Resources</t>
  </si>
  <si>
    <t>A903 Executive</t>
  </si>
  <si>
    <t>A904 Operations</t>
  </si>
  <si>
    <t>A906 Planning</t>
  </si>
  <si>
    <t>A907 Marketing</t>
  </si>
  <si>
    <t>A914 Fish Marine</t>
  </si>
  <si>
    <t>A918 Camp &amp; Hike</t>
  </si>
  <si>
    <t>A919 TSG</t>
  </si>
  <si>
    <t>A915 Land, Water, 4WD</t>
  </si>
  <si>
    <t>S901 Planning</t>
  </si>
  <si>
    <t>S908 Retail operations</t>
  </si>
  <si>
    <t>S911 Sewing Centre</t>
  </si>
  <si>
    <t>S913 Craft &amp; Yarn</t>
  </si>
  <si>
    <t>S914 Spartys</t>
  </si>
  <si>
    <t>S915 Furnishings</t>
  </si>
  <si>
    <t>S916 Manchester</t>
  </si>
  <si>
    <t>S921 Custom Made</t>
  </si>
  <si>
    <t>S923 CM CustomerService Centre</t>
  </si>
  <si>
    <t>S924 CM Relief Consultants</t>
  </si>
  <si>
    <t>S992 Design</t>
  </si>
  <si>
    <t>S925 Talent and Leadership</t>
  </si>
  <si>
    <t>S929 Campaign Production</t>
  </si>
  <si>
    <t>S993 Koo</t>
  </si>
  <si>
    <t>S810 Anaconda DC</t>
  </si>
  <si>
    <t>S811 Spotlight DC</t>
  </si>
  <si>
    <t>S812 Harris Scarfe DC</t>
  </si>
  <si>
    <t>Store Department</t>
  </si>
  <si>
    <t>Casual - Max Term</t>
  </si>
  <si>
    <t>A087</t>
  </si>
  <si>
    <t>Hervey Bay</t>
  </si>
  <si>
    <t>A092</t>
  </si>
  <si>
    <t>A091</t>
  </si>
  <si>
    <t>Albion Park</t>
  </si>
  <si>
    <t>A090</t>
  </si>
  <si>
    <t>You are expected to be a signatory to the Spotlight/Anaconda Team Member Agreements/Harris Scarfe Code of Conduct. Company Guidelines exist for the effective and safe operation of our business and the welfare and interests of those who work for us and team members are expected to comply with them. From time to time, the organisation will exercise the right to change existing agreements and guidelines, or to introduce new ones, with which you as a team member will be required to observe. Information about particular guidelines will normally be provided to team members on notice boards and otherwise brought to the attention of those required to observe them. A breach of such agreements and guidelines may render a team member liable to disciplinary action.  All other terms and conditions remain the same.</t>
  </si>
  <si>
    <t>Change of Store Location only</t>
  </si>
  <si>
    <t xml:space="preserve">Change of Status Full time/Part time/Casual/Max term </t>
  </si>
  <si>
    <t>End Date (if applicable)</t>
  </si>
  <si>
    <t>These Rules CANNOT be Broken</t>
  </si>
  <si>
    <r>
      <t xml:space="preserve">1. Shift </t>
    </r>
    <r>
      <rPr>
        <b/>
        <u/>
        <sz val="11"/>
        <color theme="3"/>
        <rFont val="Arial Unicode MS"/>
        <family val="2"/>
      </rPr>
      <t>START</t>
    </r>
    <r>
      <rPr>
        <b/>
        <sz val="11"/>
        <rFont val="Arial Unicode MS"/>
        <family val="2"/>
      </rPr>
      <t xml:space="preserve"> outside Retail spread of hours (i.e. Overtime)?</t>
    </r>
  </si>
  <si>
    <r>
      <t xml:space="preserve">2. Shift </t>
    </r>
    <r>
      <rPr>
        <b/>
        <u/>
        <sz val="11"/>
        <color theme="3"/>
        <rFont val="Arial Unicode MS"/>
        <family val="2"/>
      </rPr>
      <t>END</t>
    </r>
    <r>
      <rPr>
        <b/>
        <sz val="11"/>
        <rFont val="Arial Unicode MS"/>
        <family val="2"/>
      </rPr>
      <t xml:space="preserve"> outside retail spread of hours (i.e. Overtime)?</t>
    </r>
  </si>
  <si>
    <t>These rules can only be broken if an employee has requested to do this.
 (Please attach the letter the employee provided to make this adjustment)</t>
  </si>
  <si>
    <t>If these rules are broken, please reconsider the roster and make changes if possible</t>
  </si>
  <si>
    <t>Rule 11</t>
  </si>
  <si>
    <t>3 Consecutive</t>
  </si>
  <si>
    <t>2 Consecutive</t>
  </si>
  <si>
    <t>Count of Shifts</t>
  </si>
  <si>
    <t>Roster Checks
If you have broken a rule, it will be RED and say ERROR</t>
  </si>
  <si>
    <t>Leader Mark</t>
  </si>
  <si>
    <t>Tollerance Hours</t>
  </si>
  <si>
    <t>Total Hours for Tollerance Test</t>
  </si>
  <si>
    <t>Weekday 150% berfore 7</t>
  </si>
  <si>
    <t>Weekday 150% after 9</t>
  </si>
  <si>
    <t>Saturday 125%</t>
  </si>
  <si>
    <t>Saturday 150% before 7</t>
  </si>
  <si>
    <t>Saturday 150% after 6</t>
  </si>
  <si>
    <t>Sunday 150%</t>
  </si>
  <si>
    <t>Sunday 200% before 9am</t>
  </si>
  <si>
    <t>Sunday 200% after 6pm</t>
  </si>
  <si>
    <t>Weekday 100%</t>
  </si>
  <si>
    <t>Weekday 125%</t>
  </si>
  <si>
    <t>11 hours</t>
  </si>
  <si>
    <t>9 hours</t>
  </si>
  <si>
    <t>MD1</t>
  </si>
  <si>
    <t>SPL4</t>
  </si>
  <si>
    <t>SPL5</t>
  </si>
  <si>
    <t>SPL6</t>
  </si>
  <si>
    <t>SPL7</t>
  </si>
  <si>
    <t>SPL8</t>
  </si>
  <si>
    <r>
      <t xml:space="preserve">Break Time (Part Time Only) 
</t>
    </r>
    <r>
      <rPr>
        <b/>
        <sz val="11"/>
        <rFont val="Arial Unicode MS"/>
      </rPr>
      <t>Please enter Start and End Time
Must equal break length on right</t>
    </r>
  </si>
  <si>
    <t>Less than 12 hours break between shifts</t>
  </si>
  <si>
    <t>Roster Cycle Start (Payroll Use Only)</t>
  </si>
  <si>
    <t>More than 19 Starts per 
4 week period</t>
  </si>
  <si>
    <t>Break Entered</t>
  </si>
  <si>
    <t>Break Required</t>
  </si>
  <si>
    <t>Break Difference</t>
  </si>
  <si>
    <t>Break times refer to unpaid meal breaks. You must ensure that team members take their break during their allocated break time slot where reasonably practicable.</t>
  </si>
  <si>
    <t xml:space="preserve"> Please be sure to enter both weeks roster, even if the roster is identical for week 1 and week 2.</t>
  </si>
  <si>
    <t>Once the rostered hours have been entered, the allocated break length will appear in the 'Break' column on the right. This dictates the break length that must be assigned to that shift. 0.5 is equal to 30 minutes, 0.75 is equal to 45 minutes, 1.0 is equal to 1 hour.</t>
  </si>
  <si>
    <r>
      <t xml:space="preserve">Use the Roster Check at the bootm of the form to see if you have broken a rule. All Broken Rules will appear in RED stating </t>
    </r>
    <r>
      <rPr>
        <b/>
        <sz val="14"/>
        <color rgb="FFFF0000"/>
        <rFont val="Calibri"/>
        <family val="2"/>
        <scheme val="minor"/>
      </rPr>
      <t>ERROR</t>
    </r>
  </si>
  <si>
    <t xml:space="preserve">Rules are in place to ensure legislative requirements are met. Some of these rules are negotiable if requested by the team member. Other rules are Non Negoitable and can not be broken. </t>
  </si>
  <si>
    <r>
      <t xml:space="preserve">Completed forms MUST be sent to payroll@srg.com.au with any relevant attachments                                                                 </t>
    </r>
    <r>
      <rPr>
        <b/>
        <sz val="6"/>
        <color theme="1"/>
        <rFont val="Arial Unicode MS"/>
      </rPr>
      <t xml:space="preserve">                      </t>
    </r>
  </si>
  <si>
    <t>3. Less than 12 hours between shifts?</t>
  </si>
  <si>
    <t>4. More than 19 starts per 4 week period</t>
  </si>
  <si>
    <t>5. Does not have Consecutive Days Off 
(3 per fortnight, or 2 per week)</t>
  </si>
  <si>
    <t>6. Cannot work 4 Sundays in a 4 week period</t>
  </si>
  <si>
    <t>I agree to revert back to the original status once this Short Term Contract ends</t>
  </si>
  <si>
    <t>S813 Harris Scarfe Dark Store</t>
  </si>
  <si>
    <t>D996 SPGD</t>
  </si>
  <si>
    <t>F996 FFM Administration</t>
  </si>
  <si>
    <t>S910 Supply Chain (Office Only)</t>
  </si>
  <si>
    <t>S917 Home Décor</t>
  </si>
  <si>
    <t>SPL9</t>
  </si>
  <si>
    <t>SPL10</t>
  </si>
  <si>
    <t>Leader Value</t>
  </si>
  <si>
    <t>S171</t>
  </si>
  <si>
    <t>ALBION PARK</t>
  </si>
  <si>
    <t>If Rules 1-4 are broken, please reconsider the roster and make changes if possible</t>
  </si>
  <si>
    <t>Please input both weeks even if the roster is identical for week 1 and 2.
If you are on a Three or Four Week Roster Rotation, please contact the HR Remuneration Team to discuss.</t>
  </si>
  <si>
    <t>ANA6</t>
  </si>
  <si>
    <t>ANA3</t>
  </si>
  <si>
    <t>A085</t>
  </si>
  <si>
    <t>Palmerston</t>
  </si>
  <si>
    <t>A094</t>
  </si>
  <si>
    <t>Rule 3</t>
  </si>
  <si>
    <r>
      <t>ROSTERING</t>
    </r>
    <r>
      <rPr>
        <sz val="12"/>
        <color theme="0"/>
        <rFont val="Arial Unicode MS"/>
      </rPr>
      <t xml:space="preserve"> (If this is a F/T Support Group role working Monday to Friday within normal hours you are not required to complete the Roster Details)</t>
    </r>
  </si>
  <si>
    <t>7. HS Only - Part Time is less than 16 hours per fortnight</t>
  </si>
  <si>
    <t>8. Employment type and rostered hours match?</t>
  </si>
  <si>
    <t>9. Over 76 hours in a fortnight</t>
  </si>
  <si>
    <t>12. No more than 6 consecutive days worked</t>
  </si>
  <si>
    <t>13. No more than 4 days rostered when 6 days rostered in the prior week (Week 1)</t>
  </si>
  <si>
    <t>14. No more than 4 days rostered when 6 days rostered in the prior week (Week 2)</t>
  </si>
  <si>
    <t>15. Less than 10 hours between shifts?</t>
  </si>
  <si>
    <t>16. No Shift exceeds 11 worked hours</t>
  </si>
  <si>
    <t>17. Max 1 shift per week can exceed 9 hours</t>
  </si>
  <si>
    <t>18. Shift length under 3 hours?</t>
  </si>
  <si>
    <t>19. Date of change is the start of a pay period?</t>
  </si>
  <si>
    <t>20. Breaks Entered for Part Time Team Members Only</t>
  </si>
  <si>
    <t>21. Leaders Only - Hours are within approved range</t>
  </si>
  <si>
    <t>Rule 15</t>
  </si>
  <si>
    <t>Rule 12</t>
  </si>
  <si>
    <t>HS1</t>
  </si>
  <si>
    <t>HS2</t>
  </si>
  <si>
    <t>HS3</t>
  </si>
  <si>
    <t>HS4</t>
  </si>
  <si>
    <t>SM GRIA Level</t>
  </si>
  <si>
    <t>If the revised contract is a short term contract</t>
  </si>
  <si>
    <r>
      <t xml:space="preserve">This form is to be </t>
    </r>
    <r>
      <rPr>
        <b/>
        <u/>
        <sz val="14"/>
        <color theme="1"/>
        <rFont val="Calibri"/>
        <family val="2"/>
        <scheme val="minor"/>
      </rPr>
      <t>printed</t>
    </r>
    <r>
      <rPr>
        <sz val="14"/>
        <color theme="1"/>
        <rFont val="Calibri"/>
        <family val="2"/>
        <scheme val="minor"/>
      </rPr>
      <t xml:space="preserve"> and signed by both the Team Member and Manager on a </t>
    </r>
    <r>
      <rPr>
        <b/>
        <u/>
        <sz val="14"/>
        <color theme="1"/>
        <rFont val="Calibri"/>
        <family val="2"/>
        <scheme val="minor"/>
      </rPr>
      <t>single page</t>
    </r>
    <r>
      <rPr>
        <sz val="14"/>
        <color theme="1"/>
        <rFont val="Calibri"/>
        <family val="2"/>
        <scheme val="minor"/>
      </rPr>
      <t xml:space="preserve"> to ensure signature field reflets what is agreed to to above. 
The signed document is to be forwarded to the Payroll department. 
The original document is to be provided to the Team Member. 
All Signatures and approvals </t>
    </r>
    <r>
      <rPr>
        <b/>
        <u/>
        <sz val="14"/>
        <color theme="1"/>
        <rFont val="Calibri"/>
        <family val="2"/>
        <scheme val="minor"/>
      </rPr>
      <t>MUST</t>
    </r>
    <r>
      <rPr>
        <sz val="14"/>
        <color theme="1"/>
        <rFont val="Calibri"/>
        <family val="2"/>
        <scheme val="minor"/>
      </rPr>
      <t xml:space="preserve"> be recorded on the document. This cannot be done as an email. 
A Store Manager must have their Regional / Cluster or Area Manager sign the document as their manager.
*Harris Scarfe COS forms require an Area Manager's signature.</t>
    </r>
  </si>
  <si>
    <r>
      <t>EMPLOYMENT DETAILS</t>
    </r>
    <r>
      <rPr>
        <sz val="12"/>
        <color rgb="FF000000"/>
        <rFont val="Arial Unicode MS"/>
        <family val="2"/>
      </rPr>
      <t> </t>
    </r>
    <r>
      <rPr>
        <sz val="12"/>
        <color theme="0"/>
        <rFont val="Arial Unicode MS"/>
      </rPr>
      <t>(Please populate all fields)</t>
    </r>
  </si>
  <si>
    <t>Effective Date:</t>
  </si>
  <si>
    <t>Manager</t>
  </si>
  <si>
    <t>Status (Select)</t>
  </si>
  <si>
    <t>Role (Select)</t>
  </si>
  <si>
    <t>A094 Forrestdale</t>
  </si>
  <si>
    <t>Department for Shift
(Store Only)</t>
  </si>
  <si>
    <t>Team Member Store</t>
  </si>
  <si>
    <t>CAMP_HIKE</t>
  </si>
  <si>
    <t>DOOR_GREETERS</t>
  </si>
  <si>
    <t>ECOMMERCE</t>
  </si>
  <si>
    <t>EXTERNAL_EVENTS__TRAINING</t>
  </si>
  <si>
    <t>FISH_MARINE_WATER</t>
  </si>
  <si>
    <t>FOOTWEAR</t>
  </si>
  <si>
    <t>LAND</t>
  </si>
  <si>
    <t>OPERATIONS</t>
  </si>
  <si>
    <t>RECEIVING</t>
  </si>
  <si>
    <t>RESET</t>
  </si>
  <si>
    <t>SERVICES</t>
  </si>
  <si>
    <t>STOCKTAKE</t>
  </si>
  <si>
    <t>STORE</t>
  </si>
  <si>
    <t>TSG</t>
  </si>
  <si>
    <t>FITMENT (AHQ ONLY)</t>
  </si>
  <si>
    <t>APPAREL</t>
  </si>
  <si>
    <t>BED_ACCESSORIES_165</t>
  </si>
  <si>
    <t>ELECTRICAL_COOK</t>
  </si>
  <si>
    <t>HOME</t>
  </si>
  <si>
    <t>INTIMATES</t>
  </si>
  <si>
    <t>MANCHESTER</t>
  </si>
  <si>
    <t>MENSWEAR</t>
  </si>
  <si>
    <t>WOMENSWEAR</t>
  </si>
  <si>
    <t>CRAFT</t>
  </si>
  <si>
    <t>FURNISHINGS</t>
  </si>
  <si>
    <t>HOME_DÉCOR</t>
  </si>
  <si>
    <t>MADE_2_MEASURE</t>
  </si>
  <si>
    <t>PARTY</t>
  </si>
  <si>
    <t>SEW_CENTRE</t>
  </si>
  <si>
    <t>MACHESTER_HOME_DECOR</t>
  </si>
  <si>
    <t xml:space="preserve">CRAFT_PARTY </t>
  </si>
  <si>
    <t>CRAFT (LRG Format Only)</t>
  </si>
  <si>
    <t>PARTY (LRG Format Only)</t>
  </si>
  <si>
    <t>MANCHESTER (LRG Format Only)</t>
  </si>
  <si>
    <t>HOME_DÉCOR (LRG Format Only)</t>
  </si>
  <si>
    <t>Anaconda Team Leader</t>
  </si>
  <si>
    <t>Spotlight Team Leader</t>
  </si>
  <si>
    <t>CAMP_HIKE (AHQ Only)</t>
  </si>
  <si>
    <r>
      <t xml:space="preserve">If </t>
    </r>
    <r>
      <rPr>
        <b/>
        <sz val="12"/>
        <color rgb="FFFF0000"/>
        <rFont val="Arial Unicode MS"/>
      </rPr>
      <t>ANA Sales Specialist OR SPL Team Leader</t>
    </r>
    <r>
      <rPr>
        <b/>
        <sz val="12"/>
        <color rgb="FF000000"/>
        <rFont val="Arial Unicode MS"/>
        <family val="2"/>
      </rPr>
      <t>, specify Department</t>
    </r>
  </si>
  <si>
    <t>Team Member Receiving Fork Lift License ANA Only</t>
  </si>
  <si>
    <t>Team Member Made 2 Measure Spotlight Only</t>
  </si>
  <si>
    <t>Reset Supervisor Spotlight Only Level 3</t>
  </si>
  <si>
    <t>Assistant Store Manager Harris Scarfe only</t>
  </si>
  <si>
    <t>Support group please specify</t>
  </si>
  <si>
    <t>Anaconda_Stores_DEPT</t>
  </si>
  <si>
    <t>Spotlight_Stores_DEPT</t>
  </si>
  <si>
    <t>Harris_Scarfe_Stores_DEPT</t>
  </si>
  <si>
    <t>Break Start Entered</t>
  </si>
  <si>
    <t>Break End Entered</t>
  </si>
  <si>
    <r>
      <t>This form is to be used when we adjust someone's pattern of work or contracted hours within the same role and maintaining the same employment type. 
Any change in title, employment type or salary requires a new Contract (please go through TMS to raise a new job).
You must select all the drop downs on this form in order to complete this.</t>
    </r>
    <r>
      <rPr>
        <b/>
        <sz val="12"/>
        <color theme="1"/>
        <rFont val="Calibri"/>
        <family val="2"/>
        <scheme val="minor"/>
      </rPr>
      <t xml:space="preserve"> 
</t>
    </r>
    <r>
      <rPr>
        <b/>
        <sz val="12"/>
        <color rgb="FFFF0000"/>
        <rFont val="Calibri"/>
        <family val="2"/>
        <scheme val="minor"/>
      </rPr>
      <t>DO NOT print this out and write it all manually, otherwise we cannot run automatic checks on the paperwork, and it will be rejected.</t>
    </r>
    <r>
      <rPr>
        <sz val="12"/>
        <color theme="1"/>
        <rFont val="Calibri"/>
        <family val="2"/>
        <scheme val="minor"/>
      </rPr>
      <t xml:space="preserve">
If putting together a Roster to go with a contract for a New or Existing Team Member, please use this Roster Form.
Please look out for flags and follow the instructions they stipulate.</t>
    </r>
  </si>
  <si>
    <t>Please enter the Team Member's current employment Status 
(New Status if for a contract)</t>
  </si>
  <si>
    <r>
      <t xml:space="preserve">Enter the Break Start and Finish Time - This is a requirement for </t>
    </r>
    <r>
      <rPr>
        <b/>
        <u/>
        <sz val="14"/>
        <color theme="1"/>
        <rFont val="Calibri"/>
        <family val="2"/>
        <scheme val="minor"/>
      </rPr>
      <t>Part Time</t>
    </r>
    <r>
      <rPr>
        <sz val="14"/>
        <color theme="1"/>
        <rFont val="Calibri"/>
        <family val="2"/>
        <scheme val="minor"/>
      </rPr>
      <t xml:space="preserve"> Team Members only. </t>
    </r>
  </si>
  <si>
    <t>Using the drop down arrow on the bottom right corner of the cell, enter the Team Members New Roster.
The first drop down "Department for Shift" is required for stores and is a NEW requirement. This is to support the roll out of Dayforce.
Please select where the individual should be rostered for that shift within the store. Note: this is slightly different from the current system you use. Please consult with your Regional Manager if you are unsure which option to choose.</t>
  </si>
  <si>
    <t xml:space="preserve">Rules 5, 6 &amp; 7 can be broken, only if a Team Member has requested to do this. Documentation in the form of a letter from the Team Member is required to make this adjustement. </t>
  </si>
  <si>
    <r>
      <rPr>
        <b/>
        <sz val="14"/>
        <color rgb="FFFF0000"/>
        <rFont val="Calibri"/>
        <family val="2"/>
        <scheme val="minor"/>
      </rPr>
      <t>Rules 8 - 21 Must Not Be Broken</t>
    </r>
    <r>
      <rPr>
        <sz val="14"/>
        <color theme="1"/>
        <rFont val="Calibri"/>
        <family val="2"/>
        <scheme val="minor"/>
      </rPr>
      <t xml:space="preserve">. If these rules are broken the roster will not be approved as workplace legistation has been breached. </t>
    </r>
  </si>
  <si>
    <t>11. Incomplete shifts (start time only, end time only, or no department)?</t>
  </si>
  <si>
    <t>Sales Specialist Salary Anaconda only</t>
  </si>
  <si>
    <t>Sales Specialist Wages Anaconda only</t>
  </si>
  <si>
    <t>Anaconda_Stores_Roles</t>
  </si>
  <si>
    <t>Spotlight_Stores_Roles</t>
  </si>
  <si>
    <t>Harris_Scarfe_Stores_Roles</t>
  </si>
  <si>
    <t>Anaconda_SG_Roles</t>
  </si>
  <si>
    <t>Spotlight_SG_Roles</t>
  </si>
  <si>
    <t>Harris_Scarfe_SG_Roles</t>
  </si>
  <si>
    <t>Shared_Services_Roles</t>
  </si>
  <si>
    <t>H1004 Arndale</t>
  </si>
  <si>
    <t>H1005 Elizabeth</t>
  </si>
  <si>
    <t>H1006 West Lakes</t>
  </si>
  <si>
    <t>H1008 Tea Tree Plaza</t>
  </si>
  <si>
    <t>H1010 Whyalla</t>
  </si>
  <si>
    <t>H1011 Marion</t>
  </si>
  <si>
    <t>H1012 Colonnades</t>
  </si>
  <si>
    <t>H1013 Gepps Cross</t>
  </si>
  <si>
    <t>H2014 Mornington</t>
  </si>
  <si>
    <t>H2016 Spencer Outlet</t>
  </si>
  <si>
    <t>H2017 Woodgrove</t>
  </si>
  <si>
    <t>H2019 Ballarat</t>
  </si>
  <si>
    <t>H2020 Forest Hill</t>
  </si>
  <si>
    <t>H2021 Geelong</t>
  </si>
  <si>
    <t>H2022 Knox City</t>
  </si>
  <si>
    <t>H2023 Epping</t>
  </si>
  <si>
    <t>H2024 Highpoint</t>
  </si>
  <si>
    <t>H2025 Southland</t>
  </si>
  <si>
    <t>H2026 Shepparton</t>
  </si>
  <si>
    <t>H2027 Airport West</t>
  </si>
  <si>
    <t>H2028 Cranbourne</t>
  </si>
  <si>
    <t>H2029 Waurn Ponds</t>
  </si>
  <si>
    <t>H2030 Warrnambool</t>
  </si>
  <si>
    <t>H2031 Sunbury</t>
  </si>
  <si>
    <t>H2032 Traralgon</t>
  </si>
  <si>
    <t>H2039 Fountain Gate</t>
  </si>
  <si>
    <t>H2040 Preston</t>
  </si>
  <si>
    <t>H2042 Carnegie</t>
  </si>
  <si>
    <t>H2045 Frankston</t>
  </si>
  <si>
    <t>H2048 Tarneit</t>
  </si>
  <si>
    <t>H2054 Chirnside Park</t>
  </si>
  <si>
    <t>H2055 Craigieburn</t>
  </si>
  <si>
    <t>H2056 South Morang</t>
  </si>
  <si>
    <t>H2059 Bairnsdale</t>
  </si>
  <si>
    <t>H4041 Moonah</t>
  </si>
  <si>
    <t>H4042 Cambridge</t>
  </si>
  <si>
    <t>H4043 Launceston</t>
  </si>
  <si>
    <t>H4044 Devonport</t>
  </si>
  <si>
    <t>H4045 Ulverstone</t>
  </si>
  <si>
    <t>H5054 Blacktown</t>
  </si>
  <si>
    <t>H5053 Shellharbour</t>
  </si>
  <si>
    <t>H5058 Bennetts Green</t>
  </si>
  <si>
    <t>H5089 Rockdale</t>
  </si>
  <si>
    <t>H5060 Bathurst</t>
  </si>
  <si>
    <t>H6059 Belconnen</t>
  </si>
  <si>
    <t>H6063 Fyshwick</t>
  </si>
  <si>
    <t>H6065 Tuggeranong</t>
  </si>
  <si>
    <t>H6068 Wagga Wagga</t>
  </si>
  <si>
    <t>H6071 Tweed Heads</t>
  </si>
  <si>
    <t>H6075 Merimbula</t>
  </si>
  <si>
    <t>H6076 Moruya</t>
  </si>
  <si>
    <t>H6078 Ulladulla</t>
  </si>
  <si>
    <t>H9086 Mt Gravatt</t>
  </si>
  <si>
    <t>H9087 Loganholme</t>
  </si>
  <si>
    <t>H9095 Chermside</t>
  </si>
  <si>
    <t>H9088 West Burleigh</t>
  </si>
  <si>
    <t>H9097 Hervey Bay</t>
  </si>
  <si>
    <t>H9098 Carindale</t>
  </si>
  <si>
    <t>H9090 Maroochydore</t>
  </si>
  <si>
    <t>H908/9520 Retail Operations</t>
  </si>
  <si>
    <t>H932/9553 Buying Apparel</t>
  </si>
  <si>
    <t>H913/9554Buying Home</t>
  </si>
  <si>
    <t>H901/9547 Planning</t>
  </si>
  <si>
    <t>H904/9549 Human Resources</t>
  </si>
  <si>
    <t>H903/9550 Management</t>
  </si>
  <si>
    <t>H907/9504 Marketing</t>
  </si>
  <si>
    <t>.</t>
  </si>
  <si>
    <t>H2033 Eastland</t>
  </si>
  <si>
    <t>Instructions for Roster Form</t>
  </si>
  <si>
    <t>If Other role, please specify (SG ONLY)</t>
  </si>
  <si>
    <t>10. Part Time hours do not meet or exceed 38 hours per week</t>
  </si>
  <si>
    <t xml:space="preserve">PM/GM name </t>
  </si>
  <si>
    <r>
      <t xml:space="preserve">Family Member(s) </t>
    </r>
    <r>
      <rPr>
        <sz val="12"/>
        <rFont val="Arial Unicode MS"/>
        <family val="2"/>
      </rPr>
      <t>People Manager (PM)/GM Ops authorisation is required for any changes to family members</t>
    </r>
    <r>
      <rPr>
        <b/>
        <sz val="12"/>
        <rFont val="Arial Unicode MS"/>
        <family val="2"/>
      </rPr>
      <t>.</t>
    </r>
    <r>
      <rPr>
        <sz val="12"/>
        <rFont val="Arial Unicode MS"/>
        <family val="2"/>
      </rPr>
      <t xml:space="preserve"> Please record any family members related to the team member and currently employed by Spotlight/Anaconda/Harris Scarfe</t>
    </r>
    <r>
      <rPr>
        <b/>
        <sz val="12"/>
        <rFont val="Arial Unicode MS"/>
        <family val="2"/>
      </rPr>
      <t>.</t>
    </r>
  </si>
  <si>
    <r>
      <t xml:space="preserve">If there is an employee request to have a differing roster arrangement (Rules 5 to 7), you must first send this completed form to your Regional / Area / Cluster Manager to accept this prior to submission to payroll.                                    </t>
    </r>
    <r>
      <rPr>
        <b/>
        <sz val="6"/>
        <color theme="1"/>
        <rFont val="Arial Unicode MS"/>
      </rPr>
      <t xml:space="preserve">                      </t>
    </r>
  </si>
  <si>
    <t xml:space="preserve">ROSTER FORM
This form is for New Hires / Issue of new Contracts and the Reissue of Rosters to Permanent Team Members (who are staying in the same role and on the same employment type)
If a Team Member is reducing their base hours please provide a letter requesting to reduce their hours. If you are filling out this form for any other reason, please consult the guide available on Central. 
You MUST complete this form electronically, and when finished print and sign before submitting to payroll or recruitment. All required approvals MUST be on the page before submission. </t>
  </si>
  <si>
    <t>This roster may change from time to time to meet the operational requirements of the organisation; changes will be documented as a Mutually Agreed Hours Form. All team members are expected to work as part of the overall team and may be required to work in any department/role on a temporary or permanent basis to meet the operational requirements of the organisation. 
If you are a Harris Scarfe Team member and previously provided Standing Consent you are exempt from this clause.</t>
  </si>
  <si>
    <t>Forrestdale</t>
  </si>
  <si>
    <t>*If Store/SG Department not listed please email tmssupport@srg.com.au</t>
  </si>
  <si>
    <t>A089 Bundaberg</t>
  </si>
  <si>
    <t>A083 Mt Gravatt</t>
  </si>
  <si>
    <t>A083</t>
  </si>
  <si>
    <t>Mt Gravatt</t>
  </si>
  <si>
    <t>A089</t>
  </si>
  <si>
    <t>Updated Mar 2025 (V42.2)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</si>
</sst>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_-* #,##0.00_-;\-* #,##0.00_-;_-* &quot;-&quot;??_-;_-@_-"/>
    <numFmt numFmtId="166" formatCode="[$-C09]dd\-mmmm\-yyyy;@"/>
  </numFmts>
  <fonts count="69">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sz val="11"/>
      <color theme="1"/>
      <name val="Times New Roman"/>
      <family val="1"/>
    </font>
    <font>
      <sz val="9"/>
      <color theme="1"/>
      <name val="Arial Narrow"/>
      <family val="2"/>
    </font>
    <font>
      <sz val="9"/>
      <color theme="1"/>
      <name val="Calibri"/>
      <family val="2"/>
      <scheme val="minor"/>
    </font>
    <font>
      <b/>
      <sz val="9"/>
      <name val="Arial Narrow"/>
      <family val="2"/>
    </font>
    <font>
      <sz val="9"/>
      <color theme="1"/>
      <name val="Arial Unicode MS"/>
      <family val="2"/>
    </font>
    <font>
      <sz val="9"/>
      <color theme="0"/>
      <name val="Arial Unicode MS"/>
      <family val="2"/>
    </font>
    <font>
      <b/>
      <sz val="9"/>
      <color theme="1"/>
      <name val="Arial Unicode MS"/>
      <family val="2"/>
    </font>
    <font>
      <b/>
      <sz val="9"/>
      <name val="Arial Unicode MS"/>
      <family val="2"/>
    </font>
    <font>
      <sz val="9"/>
      <name val="Arial Unicode MS"/>
      <family val="2"/>
    </font>
    <font>
      <sz val="9"/>
      <name val="Arial Narrow"/>
      <family val="2"/>
    </font>
    <font>
      <b/>
      <sz val="10"/>
      <color rgb="FF000000"/>
      <name val="Arial Unicode MS"/>
      <family val="2"/>
    </font>
    <font>
      <b/>
      <sz val="16"/>
      <name val="Arial Unicode MS"/>
      <family val="2"/>
    </font>
    <font>
      <sz val="11"/>
      <color theme="0"/>
      <name val="Arial Unicode MS"/>
      <family val="2"/>
    </font>
    <font>
      <sz val="10"/>
      <color rgb="FF000000"/>
      <name val="Arial Unicode MS"/>
      <family val="2"/>
    </font>
    <font>
      <sz val="14"/>
      <name val="Arial Unicode MS"/>
      <family val="2"/>
    </font>
    <font>
      <b/>
      <sz val="10"/>
      <color theme="0"/>
      <name val="Arial Unicode MS"/>
      <family val="2"/>
    </font>
    <font>
      <b/>
      <sz val="10"/>
      <name val="Arial Unicode MS"/>
      <family val="2"/>
    </font>
    <font>
      <b/>
      <sz val="10"/>
      <color theme="1"/>
      <name val="Arial Unicode MS"/>
      <family val="2"/>
    </font>
    <font>
      <sz val="11"/>
      <name val="Calibri"/>
      <family val="2"/>
      <scheme val="minor"/>
    </font>
    <font>
      <sz val="10"/>
      <color rgb="FF333300"/>
      <name val="Verdana"/>
      <family val="2"/>
    </font>
    <font>
      <sz val="12"/>
      <color theme="1"/>
      <name val="Arial Narrow"/>
      <family val="2"/>
    </font>
    <font>
      <b/>
      <sz val="12"/>
      <color rgb="FF000000"/>
      <name val="Arial Unicode MS"/>
      <family val="2"/>
    </font>
    <font>
      <sz val="12"/>
      <color rgb="FF000000"/>
      <name val="Arial Unicode MS"/>
      <family val="2"/>
    </font>
    <font>
      <sz val="12"/>
      <color theme="1"/>
      <name val="Arial Unicode MS"/>
      <family val="2"/>
    </font>
    <font>
      <b/>
      <sz val="12"/>
      <color theme="0"/>
      <name val="Arial Unicode MS"/>
      <family val="2"/>
    </font>
    <font>
      <sz val="12"/>
      <color theme="0"/>
      <name val="Arial Unicode MS"/>
      <family val="2"/>
    </font>
    <font>
      <sz val="12"/>
      <color theme="1"/>
      <name val="Calibri"/>
      <family val="2"/>
      <scheme val="minor"/>
    </font>
    <font>
      <sz val="12"/>
      <color theme="0"/>
      <name val="Arial Unicode MS"/>
    </font>
    <font>
      <b/>
      <sz val="12"/>
      <color theme="5"/>
      <name val="Arial Unicode MS"/>
      <family val="2"/>
    </font>
    <font>
      <sz val="12"/>
      <name val="Arial Unicode MS"/>
      <family val="2"/>
    </font>
    <font>
      <b/>
      <sz val="12"/>
      <name val="Arial Unicode MS"/>
      <family val="2"/>
    </font>
    <font>
      <b/>
      <sz val="12"/>
      <color theme="1"/>
      <name val="Arial Unicode MS"/>
      <family val="2"/>
    </font>
    <font>
      <b/>
      <sz val="12"/>
      <color rgb="FFFF0000"/>
      <name val="Arial Unicode MS"/>
      <family val="2"/>
    </font>
    <font>
      <b/>
      <sz val="14"/>
      <name val="Arial Narrow"/>
      <family val="2"/>
    </font>
    <font>
      <b/>
      <sz val="6"/>
      <color theme="1"/>
      <name val="Arial Unicode MS"/>
    </font>
    <font>
      <b/>
      <sz val="11"/>
      <name val="Arial Unicode MS"/>
      <family val="2"/>
    </font>
    <font>
      <b/>
      <sz val="11"/>
      <color theme="1"/>
      <name val="Arial Unicode MS"/>
      <family val="2"/>
    </font>
    <font>
      <b/>
      <u/>
      <sz val="11"/>
      <color theme="3"/>
      <name val="Arial Unicode MS"/>
      <family val="2"/>
    </font>
    <font>
      <b/>
      <u/>
      <sz val="9"/>
      <color theme="1"/>
      <name val="Calibri"/>
      <family val="2"/>
      <scheme val="minor"/>
    </font>
    <font>
      <b/>
      <u/>
      <sz val="9"/>
      <name val="Arial Narrow"/>
      <family val="2"/>
    </font>
    <font>
      <sz val="8"/>
      <name val="Calibri"/>
      <family val="2"/>
      <scheme val="minor"/>
    </font>
    <font>
      <b/>
      <sz val="11"/>
      <name val="Arial Unicode MS"/>
    </font>
    <font>
      <sz val="14"/>
      <color theme="1"/>
      <name val="Calibri"/>
      <family val="2"/>
      <scheme val="minor"/>
    </font>
    <font>
      <b/>
      <sz val="12"/>
      <color rgb="FFFF0000"/>
      <name val="Arial Unicode MS"/>
    </font>
    <font>
      <b/>
      <sz val="12"/>
      <color theme="1"/>
      <name val="Calibri"/>
      <family val="2"/>
      <scheme val="minor"/>
    </font>
    <font>
      <b/>
      <sz val="12"/>
      <color rgb="FFFF0000"/>
      <name val="Calibri"/>
      <family val="2"/>
      <scheme val="minor"/>
    </font>
    <font>
      <b/>
      <sz val="14"/>
      <color rgb="FFFF0000"/>
      <name val="Calibri"/>
      <family val="2"/>
      <scheme val="minor"/>
    </font>
    <font>
      <b/>
      <u/>
      <sz val="14"/>
      <color theme="1"/>
      <name val="Calibri"/>
      <family val="2"/>
      <scheme val="minor"/>
    </font>
    <font>
      <b/>
      <sz val="18"/>
      <name val="Arial Unicode MS"/>
    </font>
    <font>
      <b/>
      <sz val="20"/>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0E0E0"/>
        <bgColor indexed="64"/>
      </patternFill>
    </fill>
    <fill>
      <patternFill patternType="solid">
        <fgColor theme="4" tint="-0.249977111117893"/>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1" tint="0.499984740745262"/>
        <bgColor indexed="64"/>
      </patternFill>
    </fill>
  </fills>
  <borders count="6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top/>
      <bottom style="medium">
        <color indexed="64"/>
      </bottom>
      <diagonal/>
    </border>
    <border>
      <left style="thick">
        <color rgb="FF999999"/>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medium">
        <color rgb="FF333333"/>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254">
    <xf numFmtId="0" fontId="0" fillId="0" borderId="0" xfId="0"/>
    <xf numFmtId="0" fontId="13" fillId="34" borderId="0" xfId="0" applyFont="1" applyFill="1"/>
    <xf numFmtId="0" fontId="17" fillId="0" borderId="0" xfId="0" applyFont="1"/>
    <xf numFmtId="0" fontId="18" fillId="0" borderId="0" xfId="0" applyFont="1" applyAlignment="1">
      <alignment vertical="center"/>
    </xf>
    <xf numFmtId="0" fontId="19" fillId="0" borderId="0" xfId="0" applyFont="1"/>
    <xf numFmtId="0" fontId="20" fillId="35" borderId="0" xfId="0" applyFont="1" applyFill="1" applyAlignment="1">
      <alignment wrapText="1"/>
    </xf>
    <xf numFmtId="0" fontId="21" fillId="0" borderId="0" xfId="0" applyFont="1"/>
    <xf numFmtId="0" fontId="20" fillId="0" borderId="0" xfId="0" applyFont="1" applyAlignment="1">
      <alignment wrapText="1"/>
    </xf>
    <xf numFmtId="0" fontId="23" fillId="35" borderId="0" xfId="0" applyFont="1" applyFill="1" applyAlignment="1">
      <alignment wrapText="1"/>
    </xf>
    <xf numFmtId="0" fontId="24" fillId="34" borderId="0" xfId="0" applyFont="1" applyFill="1" applyAlignment="1">
      <alignment wrapText="1"/>
    </xf>
    <xf numFmtId="0" fontId="23" fillId="0" borderId="0" xfId="0" applyFont="1" applyAlignment="1">
      <alignment wrapText="1"/>
    </xf>
    <xf numFmtId="2" fontId="26" fillId="35" borderId="0" xfId="0" applyNumberFormat="1" applyFont="1" applyFill="1" applyAlignment="1">
      <alignment wrapText="1"/>
    </xf>
    <xf numFmtId="0" fontId="22" fillId="0" borderId="0" xfId="0" applyFont="1" applyAlignment="1">
      <alignment wrapText="1"/>
    </xf>
    <xf numFmtId="2" fontId="23" fillId="35" borderId="0" xfId="0" applyNumberFormat="1" applyFont="1" applyFill="1" applyAlignment="1">
      <alignment wrapText="1"/>
    </xf>
    <xf numFmtId="0" fontId="27" fillId="35" borderId="0" xfId="0" applyFont="1" applyFill="1" applyAlignment="1">
      <alignment vertical="center" wrapText="1"/>
    </xf>
    <xf numFmtId="0" fontId="28" fillId="0" borderId="0" xfId="0" applyFont="1" applyAlignment="1">
      <alignment vertical="center" wrapText="1"/>
    </xf>
    <xf numFmtId="18" fontId="0" fillId="0" borderId="0" xfId="0" applyNumberFormat="1"/>
    <xf numFmtId="0" fontId="16" fillId="0" borderId="0" xfId="0" applyFont="1"/>
    <xf numFmtId="0" fontId="34" fillId="34" borderId="0" xfId="0" applyFont="1" applyFill="1" applyAlignment="1">
      <alignment horizontal="left" wrapText="1"/>
    </xf>
    <xf numFmtId="0" fontId="29" fillId="33" borderId="0" xfId="0" applyFont="1" applyFill="1" applyAlignment="1">
      <alignment horizontal="center" vertical="center" wrapText="1"/>
    </xf>
    <xf numFmtId="0" fontId="29" fillId="0" borderId="0" xfId="0" applyFont="1" applyAlignment="1">
      <alignment horizontal="center" vertical="center" wrapText="1"/>
    </xf>
    <xf numFmtId="0" fontId="32" fillId="0" borderId="0" xfId="0" applyFont="1" applyAlignment="1">
      <alignment horizontal="left" vertical="top" wrapText="1"/>
    </xf>
    <xf numFmtId="0" fontId="27" fillId="35" borderId="0" xfId="0" applyFont="1" applyFill="1" applyAlignment="1">
      <alignment horizontal="center" vertical="top" wrapText="1"/>
    </xf>
    <xf numFmtId="0" fontId="30" fillId="35" borderId="0" xfId="0" applyFont="1" applyFill="1" applyAlignment="1">
      <alignment horizontal="center" wrapText="1"/>
    </xf>
    <xf numFmtId="2" fontId="25" fillId="35" borderId="0" xfId="0" applyNumberFormat="1" applyFont="1" applyFill="1" applyAlignment="1">
      <alignment wrapText="1"/>
    </xf>
    <xf numFmtId="0" fontId="31" fillId="34" borderId="0" xfId="0" applyFont="1" applyFill="1" applyAlignment="1">
      <alignment horizontal="right" wrapText="1"/>
    </xf>
    <xf numFmtId="0" fontId="33" fillId="38" borderId="0" xfId="0" applyFont="1" applyFill="1" applyAlignment="1" applyProtection="1">
      <alignment horizontal="center" vertical="center" wrapText="1"/>
      <protection locked="0"/>
    </xf>
    <xf numFmtId="0" fontId="32" fillId="38" borderId="0" xfId="0" applyFont="1" applyFill="1" applyAlignment="1" applyProtection="1">
      <alignment horizontal="center" vertical="center" wrapText="1"/>
      <protection locked="0"/>
    </xf>
    <xf numFmtId="0" fontId="35" fillId="0" borderId="0" xfId="0" applyFont="1" applyAlignment="1">
      <alignment horizontal="left" vertical="center" wrapText="1"/>
    </xf>
    <xf numFmtId="14" fontId="32" fillId="38" borderId="0" xfId="0" applyNumberFormat="1" applyFont="1" applyFill="1" applyAlignment="1" applyProtection="1">
      <alignment horizontal="center" vertical="center" wrapText="1"/>
      <protection locked="0"/>
    </xf>
    <xf numFmtId="0" fontId="36" fillId="37" borderId="0" xfId="0" applyFont="1" applyFill="1" applyAlignment="1">
      <alignment horizontal="center" wrapText="1"/>
    </xf>
    <xf numFmtId="0" fontId="34" fillId="0" borderId="0" xfId="0" applyFont="1" applyAlignment="1">
      <alignment wrapText="1"/>
    </xf>
    <xf numFmtId="0" fontId="35" fillId="0" borderId="0" xfId="0" applyFont="1" applyAlignment="1">
      <alignment horizontal="center" wrapText="1"/>
    </xf>
    <xf numFmtId="164" fontId="13" fillId="41" borderId="14" xfId="43" applyFont="1" applyFill="1" applyBorder="1" applyAlignment="1">
      <alignment vertical="top" wrapText="1"/>
    </xf>
    <xf numFmtId="0" fontId="38" fillId="0" borderId="14" xfId="0" applyFont="1" applyBorder="1" applyAlignment="1">
      <alignment horizontal="left" vertical="center" wrapText="1"/>
    </xf>
    <xf numFmtId="0" fontId="39" fillId="35" borderId="0" xfId="0" applyFont="1" applyFill="1" applyAlignment="1">
      <alignment wrapText="1"/>
    </xf>
    <xf numFmtId="0" fontId="42" fillId="35" borderId="0" xfId="0" applyFont="1" applyFill="1" applyAlignment="1">
      <alignment wrapText="1"/>
    </xf>
    <xf numFmtId="0" fontId="40" fillId="33" borderId="19" xfId="0" applyFont="1" applyFill="1" applyBorder="1" applyAlignment="1">
      <alignment vertical="center" wrapText="1"/>
    </xf>
    <xf numFmtId="0" fontId="45" fillId="0" borderId="0" xfId="0" applyFont="1"/>
    <xf numFmtId="0" fontId="42" fillId="0" borderId="0" xfId="0" applyFont="1" applyAlignment="1">
      <alignment wrapText="1"/>
    </xf>
    <xf numFmtId="0" fontId="41" fillId="0" borderId="0" xfId="0" applyFont="1" applyAlignment="1">
      <alignment vertical="center" wrapText="1"/>
    </xf>
    <xf numFmtId="0" fontId="39" fillId="0" borderId="0" xfId="0" applyFont="1" applyAlignment="1">
      <alignment wrapText="1"/>
    </xf>
    <xf numFmtId="0" fontId="49" fillId="35" borderId="0" xfId="0" applyFont="1" applyFill="1" applyAlignment="1">
      <alignment wrapText="1"/>
    </xf>
    <xf numFmtId="0" fontId="49" fillId="36" borderId="0" xfId="0" applyFont="1" applyFill="1" applyAlignment="1">
      <alignment wrapText="1"/>
    </xf>
    <xf numFmtId="2" fontId="49" fillId="36" borderId="0" xfId="0" applyNumberFormat="1" applyFont="1" applyFill="1" applyAlignment="1">
      <alignment wrapText="1"/>
    </xf>
    <xf numFmtId="2" fontId="49" fillId="35" borderId="0" xfId="0" applyNumberFormat="1" applyFont="1" applyFill="1" applyAlignment="1">
      <alignment wrapText="1"/>
    </xf>
    <xf numFmtId="18" fontId="42" fillId="40" borderId="13" xfId="42" applyNumberFormat="1" applyFont="1" applyFill="1" applyBorder="1" applyAlignment="1" applyProtection="1">
      <alignment wrapText="1"/>
      <protection locked="0"/>
    </xf>
    <xf numFmtId="2" fontId="42" fillId="0" borderId="13" xfId="0" applyNumberFormat="1" applyFont="1" applyBorder="1" applyAlignment="1">
      <alignment wrapText="1"/>
    </xf>
    <xf numFmtId="2" fontId="42" fillId="35" borderId="22" xfId="0" applyNumberFormat="1" applyFont="1" applyFill="1" applyBorder="1" applyAlignment="1">
      <alignment wrapText="1"/>
    </xf>
    <xf numFmtId="2" fontId="42" fillId="35" borderId="25" xfId="0" applyNumberFormat="1" applyFont="1" applyFill="1" applyBorder="1" applyAlignment="1">
      <alignment wrapText="1"/>
    </xf>
    <xf numFmtId="2" fontId="50" fillId="35" borderId="23" xfId="0" applyNumberFormat="1" applyFont="1" applyFill="1" applyBorder="1" applyAlignment="1">
      <alignment wrapText="1"/>
    </xf>
    <xf numFmtId="2" fontId="42" fillId="35" borderId="0" xfId="0" applyNumberFormat="1" applyFont="1" applyFill="1" applyAlignment="1">
      <alignment wrapText="1"/>
    </xf>
    <xf numFmtId="2" fontId="51" fillId="35" borderId="0" xfId="0" applyNumberFormat="1" applyFont="1" applyFill="1" applyAlignment="1">
      <alignment horizontal="right"/>
    </xf>
    <xf numFmtId="0" fontId="48" fillId="35" borderId="0" xfId="0" applyFont="1" applyFill="1" applyAlignment="1">
      <alignment vertical="center" wrapText="1"/>
    </xf>
    <xf numFmtId="0" fontId="49" fillId="33" borderId="19" xfId="0" applyFont="1" applyFill="1" applyBorder="1" applyAlignment="1">
      <alignment horizontal="center" vertical="center" wrapText="1"/>
    </xf>
    <xf numFmtId="0" fontId="44" fillId="34" borderId="30" xfId="0" applyFont="1" applyFill="1" applyBorder="1" applyAlignment="1">
      <alignment wrapText="1"/>
    </xf>
    <xf numFmtId="0" fontId="44" fillId="34" borderId="32" xfId="0" applyFont="1" applyFill="1" applyBorder="1" applyAlignment="1">
      <alignment wrapText="1"/>
    </xf>
    <xf numFmtId="0" fontId="40" fillId="33" borderId="19" xfId="0" applyFont="1" applyFill="1" applyBorder="1" applyAlignment="1">
      <alignment horizontal="right" vertical="center" wrapText="1"/>
    </xf>
    <xf numFmtId="0" fontId="40" fillId="33" borderId="20" xfId="0" applyFont="1" applyFill="1" applyBorder="1" applyAlignment="1">
      <alignment horizontal="right" vertical="center" wrapText="1"/>
    </xf>
    <xf numFmtId="0" fontId="40" fillId="33" borderId="10" xfId="0" applyFont="1" applyFill="1" applyBorder="1" applyAlignment="1">
      <alignment horizontal="right" vertical="center" wrapText="1"/>
    </xf>
    <xf numFmtId="0" fontId="40" fillId="33" borderId="11" xfId="0" applyFont="1" applyFill="1" applyBorder="1" applyAlignment="1">
      <alignment horizontal="right" vertical="center" wrapText="1"/>
    </xf>
    <xf numFmtId="0" fontId="40" fillId="33" borderId="26" xfId="0" applyFont="1" applyFill="1" applyBorder="1" applyAlignment="1">
      <alignment horizontal="right" vertical="center" wrapText="1"/>
    </xf>
    <xf numFmtId="18" fontId="42" fillId="40" borderId="14" xfId="42" applyNumberFormat="1" applyFont="1" applyFill="1" applyBorder="1" applyAlignment="1" applyProtection="1">
      <alignment wrapText="1"/>
      <protection locked="0"/>
    </xf>
    <xf numFmtId="2" fontId="42" fillId="0" borderId="14" xfId="0" applyNumberFormat="1" applyFont="1" applyBorder="1" applyAlignment="1">
      <alignment wrapText="1"/>
    </xf>
    <xf numFmtId="18" fontId="42" fillId="40" borderId="15" xfId="42" applyNumberFormat="1" applyFont="1" applyFill="1" applyBorder="1" applyAlignment="1" applyProtection="1">
      <alignment wrapText="1"/>
      <protection locked="0"/>
    </xf>
    <xf numFmtId="2" fontId="42" fillId="0" borderId="15" xfId="0" applyNumberFormat="1" applyFont="1" applyBorder="1" applyAlignment="1">
      <alignment wrapText="1"/>
    </xf>
    <xf numFmtId="0" fontId="49" fillId="35" borderId="24" xfId="0" applyFont="1" applyFill="1" applyBorder="1" applyAlignment="1">
      <alignment wrapText="1"/>
    </xf>
    <xf numFmtId="0" fontId="49" fillId="35" borderId="11" xfId="0" applyFont="1" applyFill="1" applyBorder="1" applyAlignment="1">
      <alignment wrapText="1"/>
    </xf>
    <xf numFmtId="0" fontId="49" fillId="0" borderId="33" xfId="0" applyFont="1" applyBorder="1" applyAlignment="1">
      <alignment wrapText="1"/>
    </xf>
    <xf numFmtId="0" fontId="49" fillId="0" borderId="34" xfId="0" applyFont="1" applyBorder="1" applyAlignment="1">
      <alignment wrapText="1"/>
    </xf>
    <xf numFmtId="0" fontId="49" fillId="0" borderId="35" xfId="0" applyFont="1" applyBorder="1" applyAlignment="1">
      <alignment wrapText="1"/>
    </xf>
    <xf numFmtId="0" fontId="49" fillId="35" borderId="21" xfId="0" applyFont="1" applyFill="1" applyBorder="1" applyAlignment="1">
      <alignment wrapText="1"/>
    </xf>
    <xf numFmtId="2" fontId="42" fillId="35" borderId="36" xfId="0" applyNumberFormat="1" applyFont="1" applyFill="1" applyBorder="1" applyAlignment="1">
      <alignment wrapText="1"/>
    </xf>
    <xf numFmtId="2" fontId="42" fillId="35" borderId="37" xfId="0" applyNumberFormat="1" applyFont="1" applyFill="1" applyBorder="1" applyAlignment="1">
      <alignment wrapText="1"/>
    </xf>
    <xf numFmtId="2" fontId="50" fillId="35" borderId="38" xfId="0" applyNumberFormat="1" applyFont="1" applyFill="1" applyBorder="1" applyAlignment="1">
      <alignment wrapText="1"/>
    </xf>
    <xf numFmtId="0" fontId="43" fillId="34" borderId="0" xfId="0" applyFont="1" applyFill="1" applyAlignment="1">
      <alignment wrapText="1"/>
    </xf>
    <xf numFmtId="0" fontId="49" fillId="0" borderId="31" xfId="0" applyFont="1" applyBorder="1" applyAlignment="1">
      <alignment wrapText="1"/>
    </xf>
    <xf numFmtId="0" fontId="49" fillId="0" borderId="31" xfId="0" applyFont="1" applyBorder="1" applyAlignment="1">
      <alignment horizontal="center" wrapText="1"/>
    </xf>
    <xf numFmtId="0" fontId="54" fillId="35" borderId="34" xfId="0" applyFont="1" applyFill="1" applyBorder="1" applyAlignment="1">
      <alignment horizontal="left" vertical="center"/>
    </xf>
    <xf numFmtId="2" fontId="50" fillId="35" borderId="43" xfId="0" applyNumberFormat="1" applyFont="1" applyFill="1" applyBorder="1" applyAlignment="1">
      <alignment horizontal="center" vertical="center" wrapText="1"/>
    </xf>
    <xf numFmtId="0" fontId="57" fillId="0" borderId="0" xfId="0" applyFont="1"/>
    <xf numFmtId="0" fontId="58" fillId="0" borderId="0" xfId="0" applyFont="1" applyAlignment="1">
      <alignment wrapText="1"/>
    </xf>
    <xf numFmtId="0" fontId="0" fillId="0" borderId="0" xfId="0" applyAlignment="1">
      <alignment horizontal="center"/>
    </xf>
    <xf numFmtId="0" fontId="40" fillId="36" borderId="19" xfId="0" applyFont="1" applyFill="1" applyBorder="1" applyAlignment="1">
      <alignment horizontal="center" vertical="center" wrapText="1"/>
    </xf>
    <xf numFmtId="9" fontId="22" fillId="0" borderId="0" xfId="0" applyNumberFormat="1" applyFont="1" applyAlignment="1">
      <alignment wrapText="1"/>
    </xf>
    <xf numFmtId="0" fontId="22" fillId="0" borderId="0" xfId="0" applyFont="1" applyAlignment="1">
      <alignment horizontal="left"/>
    </xf>
    <xf numFmtId="0" fontId="40" fillId="33" borderId="47" xfId="0" applyFont="1" applyFill="1" applyBorder="1" applyAlignment="1">
      <alignment horizontal="right" vertical="center" wrapText="1"/>
    </xf>
    <xf numFmtId="9" fontId="13" fillId="41" borderId="14" xfId="44" applyFont="1" applyFill="1" applyBorder="1" applyAlignment="1">
      <alignment vertical="top" wrapText="1"/>
    </xf>
    <xf numFmtId="164" fontId="13" fillId="41" borderId="14" xfId="43" applyFont="1" applyFill="1" applyBorder="1" applyAlignment="1">
      <alignment wrapText="1"/>
    </xf>
    <xf numFmtId="9" fontId="20" fillId="0" borderId="0" xfId="0" applyNumberFormat="1" applyFont="1" applyAlignment="1">
      <alignment wrapText="1"/>
    </xf>
    <xf numFmtId="0" fontId="23" fillId="35" borderId="0" xfId="0" applyFont="1" applyFill="1" applyAlignment="1">
      <alignment horizontal="center" wrapText="1"/>
    </xf>
    <xf numFmtId="0" fontId="61" fillId="0" borderId="19" xfId="0" applyFont="1" applyBorder="1"/>
    <xf numFmtId="0" fontId="49" fillId="0" borderId="46" xfId="0" applyFont="1" applyBorder="1" applyAlignment="1">
      <alignment horizontal="center" wrapText="1"/>
    </xf>
    <xf numFmtId="0" fontId="49" fillId="0" borderId="50" xfId="0" applyFont="1" applyBorder="1" applyAlignment="1">
      <alignment wrapText="1"/>
    </xf>
    <xf numFmtId="0" fontId="61" fillId="0" borderId="40" xfId="0" applyFont="1" applyBorder="1" applyAlignment="1">
      <alignment horizontal="center" vertical="center" wrapText="1"/>
    </xf>
    <xf numFmtId="0" fontId="0" fillId="0" borderId="0" xfId="0" applyAlignment="1">
      <alignment horizontal="center" vertical="center" wrapText="1"/>
    </xf>
    <xf numFmtId="0" fontId="61" fillId="0" borderId="26" xfId="0" applyFont="1" applyBorder="1" applyAlignment="1">
      <alignment horizontal="center" vertical="center" wrapText="1"/>
    </xf>
    <xf numFmtId="0" fontId="61" fillId="0" borderId="19" xfId="0" applyFont="1" applyBorder="1" applyAlignment="1">
      <alignment horizontal="center" vertical="center" wrapText="1"/>
    </xf>
    <xf numFmtId="164" fontId="13" fillId="41" borderId="14" xfId="43" applyFont="1" applyFill="1" applyBorder="1" applyAlignment="1">
      <alignment horizontal="center" wrapText="1"/>
    </xf>
    <xf numFmtId="0" fontId="0" fillId="0" borderId="14" xfId="0" applyBorder="1"/>
    <xf numFmtId="14" fontId="0" fillId="0" borderId="14" xfId="0" applyNumberFormat="1" applyBorder="1"/>
    <xf numFmtId="0" fontId="37" fillId="0" borderId="14" xfId="0" applyFont="1" applyBorder="1"/>
    <xf numFmtId="14" fontId="37" fillId="0" borderId="14" xfId="0" applyNumberFormat="1" applyFont="1" applyBorder="1"/>
    <xf numFmtId="0" fontId="61" fillId="0" borderId="27" xfId="0" applyFont="1" applyBorder="1" applyAlignment="1">
      <alignment vertical="center" wrapText="1"/>
    </xf>
    <xf numFmtId="0" fontId="49" fillId="35" borderId="43" xfId="0" applyFont="1" applyFill="1" applyBorder="1" applyAlignment="1">
      <alignment horizontal="center" vertical="center" wrapText="1"/>
    </xf>
    <xf numFmtId="0" fontId="49" fillId="0" borderId="43" xfId="0" applyFont="1" applyBorder="1" applyAlignment="1">
      <alignment horizontal="center" wrapText="1"/>
    </xf>
    <xf numFmtId="0" fontId="49" fillId="0" borderId="54" xfId="0" applyFont="1" applyBorder="1" applyAlignment="1">
      <alignment horizontal="center" wrapText="1"/>
    </xf>
    <xf numFmtId="164" fontId="13" fillId="41" borderId="14" xfId="43" applyFont="1" applyFill="1" applyBorder="1" applyAlignment="1">
      <alignment horizontal="center" vertical="top" wrapText="1"/>
    </xf>
    <xf numFmtId="0" fontId="0" fillId="0" borderId="14" xfId="0" applyBorder="1" applyAlignment="1">
      <alignment horizontal="center"/>
    </xf>
    <xf numFmtId="0" fontId="38" fillId="0" borderId="14" xfId="0" applyFont="1" applyBorder="1" applyAlignment="1">
      <alignment horizontal="center" vertical="center" wrapText="1"/>
    </xf>
    <xf numFmtId="14" fontId="0" fillId="0" borderId="14" xfId="0" applyNumberFormat="1" applyBorder="1" applyAlignment="1">
      <alignment horizontal="center"/>
    </xf>
    <xf numFmtId="1" fontId="0" fillId="0" borderId="14" xfId="0" applyNumberFormat="1" applyBorder="1" applyAlignment="1">
      <alignment horizontal="center"/>
    </xf>
    <xf numFmtId="0" fontId="16" fillId="0" borderId="14" xfId="0" applyFont="1" applyBorder="1" applyAlignment="1">
      <alignment horizontal="center"/>
    </xf>
    <xf numFmtId="1" fontId="16" fillId="0" borderId="14" xfId="0" applyNumberFormat="1" applyFont="1" applyBorder="1" applyAlignment="1">
      <alignment horizontal="center"/>
    </xf>
    <xf numFmtId="0" fontId="43" fillId="34" borderId="0" xfId="0" applyFont="1" applyFill="1" applyAlignment="1">
      <alignment horizontal="left" wrapText="1"/>
    </xf>
    <xf numFmtId="0" fontId="43" fillId="34" borderId="30" xfId="0" applyFont="1" applyFill="1" applyBorder="1" applyAlignment="1">
      <alignment vertical="center" wrapText="1"/>
    </xf>
    <xf numFmtId="0" fontId="40" fillId="36" borderId="16" xfId="0" applyFont="1" applyFill="1" applyBorder="1" applyAlignment="1">
      <alignment horizontal="center" vertical="center" wrapText="1"/>
    </xf>
    <xf numFmtId="0" fontId="40" fillId="33" borderId="16" xfId="0" applyFont="1" applyFill="1" applyBorder="1" applyAlignment="1">
      <alignment vertical="center" wrapText="1"/>
    </xf>
    <xf numFmtId="0" fontId="54" fillId="35" borderId="31" xfId="0" applyFont="1" applyFill="1" applyBorder="1" applyAlignment="1">
      <alignment vertical="center"/>
    </xf>
    <xf numFmtId="0" fontId="54" fillId="35" borderId="32" xfId="0" applyFont="1" applyFill="1" applyBorder="1" applyAlignment="1">
      <alignment vertical="center"/>
    </xf>
    <xf numFmtId="18" fontId="23" fillId="40" borderId="13" xfId="42" applyNumberFormat="1" applyFont="1" applyFill="1" applyBorder="1" applyAlignment="1" applyProtection="1">
      <alignment wrapText="1"/>
      <protection locked="0"/>
    </xf>
    <xf numFmtId="18" fontId="23" fillId="40" borderId="14" xfId="42" applyNumberFormat="1" applyFont="1" applyFill="1" applyBorder="1" applyAlignment="1" applyProtection="1">
      <alignment wrapText="1"/>
      <protection locked="0"/>
    </xf>
    <xf numFmtId="18" fontId="23" fillId="40" borderId="15" xfId="42" applyNumberFormat="1" applyFont="1" applyFill="1" applyBorder="1" applyAlignment="1" applyProtection="1">
      <alignment wrapText="1"/>
      <protection locked="0"/>
    </xf>
    <xf numFmtId="0" fontId="49" fillId="35" borderId="61" xfId="0" applyFont="1" applyFill="1" applyBorder="1" applyAlignment="1">
      <alignment horizontal="center" vertical="center" wrapText="1"/>
    </xf>
    <xf numFmtId="2" fontId="50" fillId="35" borderId="61" xfId="0" applyNumberFormat="1" applyFont="1" applyFill="1" applyBorder="1" applyAlignment="1">
      <alignment horizontal="center" vertical="center" wrapText="1"/>
    </xf>
    <xf numFmtId="2" fontId="50" fillId="35" borderId="23" xfId="0" applyNumberFormat="1" applyFont="1" applyFill="1" applyBorder="1" applyAlignment="1">
      <alignment horizontal="center" vertical="center" wrapText="1"/>
    </xf>
    <xf numFmtId="0" fontId="40" fillId="33" borderId="40" xfId="0" applyFont="1" applyFill="1" applyBorder="1" applyAlignment="1">
      <alignment vertical="center" wrapText="1"/>
    </xf>
    <xf numFmtId="2" fontId="49" fillId="36" borderId="0" xfId="0" applyNumberFormat="1" applyFont="1" applyFill="1" applyAlignment="1">
      <alignment horizontal="center" wrapText="1"/>
    </xf>
    <xf numFmtId="0" fontId="49" fillId="39" borderId="24" xfId="0" applyFont="1" applyFill="1" applyBorder="1" applyAlignment="1">
      <alignment horizontal="left" wrapText="1"/>
    </xf>
    <xf numFmtId="0" fontId="49" fillId="39" borderId="0" xfId="0" applyFont="1" applyFill="1" applyAlignment="1">
      <alignment horizontal="left" wrapText="1"/>
    </xf>
    <xf numFmtId="0" fontId="49" fillId="39" borderId="25" xfId="0" applyFont="1" applyFill="1" applyBorder="1" applyAlignment="1">
      <alignment horizontal="left" wrapText="1"/>
    </xf>
    <xf numFmtId="0" fontId="49" fillId="39" borderId="11" xfId="0" applyFont="1" applyFill="1" applyBorder="1" applyAlignment="1">
      <alignment horizontal="left" wrapText="1"/>
    </xf>
    <xf numFmtId="0" fontId="49" fillId="39" borderId="10" xfId="0" applyFont="1" applyFill="1" applyBorder="1" applyAlignment="1">
      <alignment horizontal="left" wrapText="1"/>
    </xf>
    <xf numFmtId="0" fontId="49" fillId="39" borderId="23" xfId="0" applyFont="1" applyFill="1" applyBorder="1" applyAlignment="1">
      <alignment horizontal="left" wrapText="1"/>
    </xf>
    <xf numFmtId="0" fontId="49" fillId="39" borderId="40" xfId="0" applyFont="1" applyFill="1" applyBorder="1" applyAlignment="1">
      <alignment horizontal="center" vertical="center" wrapText="1"/>
    </xf>
    <xf numFmtId="0" fontId="49" fillId="39" borderId="27" xfId="0" applyFont="1" applyFill="1" applyBorder="1" applyAlignment="1">
      <alignment horizontal="center" vertical="center" wrapText="1"/>
    </xf>
    <xf numFmtId="0" fontId="49" fillId="39" borderId="26" xfId="0" applyFont="1" applyFill="1" applyBorder="1" applyAlignment="1">
      <alignment horizontal="center" vertical="center" wrapText="1"/>
    </xf>
    <xf numFmtId="0" fontId="54" fillId="35" borderId="33" xfId="0" applyFont="1" applyFill="1" applyBorder="1" applyAlignment="1">
      <alignment horizontal="left" vertical="center" wrapText="1"/>
    </xf>
    <xf numFmtId="0" fontId="54" fillId="35" borderId="13" xfId="0" applyFont="1" applyFill="1" applyBorder="1" applyAlignment="1">
      <alignment horizontal="left" vertical="center" wrapText="1"/>
    </xf>
    <xf numFmtId="2" fontId="55" fillId="35" borderId="34" xfId="0" applyNumberFormat="1" applyFont="1" applyFill="1" applyBorder="1" applyAlignment="1">
      <alignment horizontal="left" vertical="center" wrapText="1"/>
    </xf>
    <xf numFmtId="2" fontId="55" fillId="35" borderId="14" xfId="0" applyNumberFormat="1" applyFont="1" applyFill="1" applyBorder="1" applyAlignment="1">
      <alignment horizontal="left" vertical="center" wrapText="1"/>
    </xf>
    <xf numFmtId="0" fontId="54" fillId="35" borderId="34" xfId="0" applyFont="1" applyFill="1" applyBorder="1" applyAlignment="1">
      <alignment horizontal="left" vertical="center" wrapText="1"/>
    </xf>
    <xf numFmtId="0" fontId="54" fillId="35" borderId="14" xfId="0" applyFont="1" applyFill="1" applyBorder="1" applyAlignment="1">
      <alignment horizontal="left" vertical="center" wrapText="1"/>
    </xf>
    <xf numFmtId="0" fontId="54" fillId="0" borderId="34" xfId="0" applyFont="1" applyBorder="1" applyAlignment="1">
      <alignment horizontal="left" wrapText="1"/>
    </xf>
    <xf numFmtId="0" fontId="54" fillId="0" borderId="14" xfId="0" applyFont="1" applyBorder="1" applyAlignment="1">
      <alignment horizontal="left" wrapText="1"/>
    </xf>
    <xf numFmtId="2" fontId="55" fillId="35" borderId="34" xfId="0" applyNumberFormat="1" applyFont="1" applyFill="1" applyBorder="1" applyAlignment="1">
      <alignment horizontal="left" vertical="center"/>
    </xf>
    <xf numFmtId="2" fontId="55" fillId="35" borderId="14" xfId="0" applyNumberFormat="1" applyFont="1" applyFill="1" applyBorder="1" applyAlignment="1">
      <alignment horizontal="left" vertical="center"/>
    </xf>
    <xf numFmtId="0" fontId="54" fillId="0" borderId="21" xfId="0" applyFont="1" applyBorder="1" applyAlignment="1">
      <alignment horizontal="left" vertical="top" wrapText="1"/>
    </xf>
    <xf numFmtId="0" fontId="54" fillId="0" borderId="20" xfId="0" applyFont="1" applyBorder="1" applyAlignment="1">
      <alignment horizontal="left" vertical="top" wrapText="1"/>
    </xf>
    <xf numFmtId="0" fontId="54" fillId="0" borderId="60" xfId="0" applyFont="1" applyBorder="1" applyAlignment="1">
      <alignment horizontal="left" vertical="top" wrapText="1"/>
    </xf>
    <xf numFmtId="0" fontId="54" fillId="0" borderId="28" xfId="0" applyFont="1" applyBorder="1" applyAlignment="1">
      <alignment horizontal="left" vertical="top" wrapText="1"/>
    </xf>
    <xf numFmtId="0" fontId="54" fillId="0" borderId="55" xfId="0" applyFont="1" applyBorder="1" applyAlignment="1">
      <alignment horizontal="left" vertical="top" wrapText="1"/>
    </xf>
    <xf numFmtId="0" fontId="54" fillId="0" borderId="41" xfId="0" applyFont="1" applyBorder="1" applyAlignment="1">
      <alignment horizontal="left" vertical="top" wrapText="1"/>
    </xf>
    <xf numFmtId="0" fontId="54" fillId="0" borderId="29" xfId="0" applyFont="1" applyBorder="1" applyAlignment="1">
      <alignment horizontal="left"/>
    </xf>
    <xf numFmtId="0" fontId="54" fillId="0" borderId="30" xfId="0" applyFont="1" applyBorder="1" applyAlignment="1">
      <alignment horizontal="left"/>
    </xf>
    <xf numFmtId="0" fontId="54" fillId="0" borderId="32" xfId="0" applyFont="1" applyBorder="1" applyAlignment="1">
      <alignment horizontal="left"/>
    </xf>
    <xf numFmtId="0" fontId="41" fillId="40" borderId="16" xfId="0" applyFont="1" applyFill="1" applyBorder="1" applyAlignment="1" applyProtection="1">
      <alignment horizontal="center" vertical="top" wrapText="1"/>
      <protection locked="0"/>
    </xf>
    <xf numFmtId="0" fontId="41" fillId="40" borderId="18" xfId="0" applyFont="1" applyFill="1" applyBorder="1" applyAlignment="1" applyProtection="1">
      <alignment horizontal="center" vertical="top" wrapText="1"/>
      <protection locked="0"/>
    </xf>
    <xf numFmtId="166" fontId="41" fillId="40" borderId="16" xfId="0" applyNumberFormat="1" applyFont="1" applyFill="1" applyBorder="1" applyAlignment="1" applyProtection="1">
      <alignment horizontal="center" vertical="top" wrapText="1"/>
      <protection locked="0"/>
    </xf>
    <xf numFmtId="166" fontId="41" fillId="40" borderId="18" xfId="0" applyNumberFormat="1" applyFont="1" applyFill="1" applyBorder="1" applyAlignment="1" applyProtection="1">
      <alignment horizontal="center" vertical="top" wrapText="1"/>
      <protection locked="0"/>
    </xf>
    <xf numFmtId="0" fontId="40" fillId="0" borderId="20" xfId="0" applyFont="1" applyBorder="1" applyAlignment="1">
      <alignment horizontal="left" vertical="center" wrapText="1"/>
    </xf>
    <xf numFmtId="0" fontId="26" fillId="35" borderId="34" xfId="0" applyFont="1" applyFill="1" applyBorder="1" applyAlignment="1">
      <alignment horizontal="left" vertical="center" wrapText="1"/>
    </xf>
    <xf numFmtId="0" fontId="26" fillId="35" borderId="14" xfId="0" applyFont="1" applyFill="1" applyBorder="1" applyAlignment="1">
      <alignment horizontal="left" vertical="center" wrapText="1"/>
    </xf>
    <xf numFmtId="14" fontId="41" fillId="40" borderId="21" xfId="0" applyNumberFormat="1" applyFont="1" applyFill="1" applyBorder="1" applyAlignment="1" applyProtection="1">
      <alignment horizontal="center" vertical="center" wrapText="1"/>
      <protection locked="0"/>
    </xf>
    <xf numFmtId="0" fontId="41" fillId="40" borderId="22" xfId="0" applyFont="1" applyFill="1" applyBorder="1" applyAlignment="1" applyProtection="1">
      <alignment horizontal="center" vertical="center" wrapText="1"/>
      <protection locked="0"/>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16" xfId="0" applyFont="1" applyBorder="1" applyAlignment="1">
      <alignment horizontal="left" vertical="top" wrapText="1"/>
    </xf>
    <xf numFmtId="0" fontId="41" fillId="0" borderId="17" xfId="0" applyFont="1" applyBorder="1" applyAlignment="1">
      <alignment horizontal="left" vertical="top" wrapText="1"/>
    </xf>
    <xf numFmtId="0" fontId="41" fillId="0" borderId="18" xfId="0" applyFont="1" applyBorder="1" applyAlignment="1">
      <alignment horizontal="left" vertical="top" wrapText="1"/>
    </xf>
    <xf numFmtId="14" fontId="41" fillId="40" borderId="16" xfId="0" applyNumberFormat="1" applyFont="1" applyFill="1" applyBorder="1" applyAlignment="1" applyProtection="1">
      <alignment horizontal="center" vertical="center" wrapText="1"/>
      <protection locked="0"/>
    </xf>
    <xf numFmtId="0" fontId="41" fillId="40" borderId="18" xfId="0" applyFont="1" applyFill="1" applyBorder="1" applyAlignment="1" applyProtection="1">
      <alignment horizontal="center" vertical="center" wrapText="1"/>
      <protection locked="0"/>
    </xf>
    <xf numFmtId="0" fontId="40" fillId="40" borderId="16" xfId="0" applyFont="1" applyFill="1" applyBorder="1" applyAlignment="1" applyProtection="1">
      <alignment vertical="center" wrapText="1"/>
      <protection locked="0"/>
    </xf>
    <xf numFmtId="0" fontId="40" fillId="40" borderId="17" xfId="0" applyFont="1" applyFill="1" applyBorder="1" applyAlignment="1" applyProtection="1">
      <alignment vertical="center" wrapText="1"/>
      <protection locked="0"/>
    </xf>
    <xf numFmtId="0" fontId="40" fillId="40" borderId="18" xfId="0" applyFont="1" applyFill="1" applyBorder="1" applyAlignment="1" applyProtection="1">
      <alignment vertical="center" wrapText="1"/>
      <protection locked="0"/>
    </xf>
    <xf numFmtId="0" fontId="54" fillId="0" borderId="44" xfId="0" applyFont="1" applyBorder="1" applyAlignment="1">
      <alignment horizontal="right"/>
    </xf>
    <xf numFmtId="0" fontId="54" fillId="0" borderId="56" xfId="0" applyFont="1" applyBorder="1" applyAlignment="1">
      <alignment horizontal="right"/>
    </xf>
    <xf numFmtId="0" fontId="54" fillId="0" borderId="45" xfId="0" applyFont="1" applyBorder="1" applyAlignment="1">
      <alignment horizontal="right"/>
    </xf>
    <xf numFmtId="0" fontId="54" fillId="0" borderId="14" xfId="0" applyFont="1" applyBorder="1" applyAlignment="1">
      <alignment horizontal="center" vertical="top" wrapText="1"/>
    </xf>
    <xf numFmtId="14" fontId="41" fillId="40" borderId="18" xfId="0" applyNumberFormat="1" applyFont="1" applyFill="1" applyBorder="1" applyAlignment="1" applyProtection="1">
      <alignment horizontal="center" vertical="center" wrapText="1"/>
      <protection locked="0"/>
    </xf>
    <xf numFmtId="0" fontId="41" fillId="40" borderId="16" xfId="0" applyFont="1" applyFill="1" applyBorder="1" applyAlignment="1" applyProtection="1">
      <alignment horizontal="center" vertical="center" wrapText="1"/>
      <protection locked="0"/>
    </xf>
    <xf numFmtId="0" fontId="41" fillId="40" borderId="17" xfId="0" applyFont="1" applyFill="1" applyBorder="1" applyAlignment="1" applyProtection="1">
      <alignment horizontal="center" vertical="center" wrapText="1"/>
      <protection locked="0"/>
    </xf>
    <xf numFmtId="0" fontId="49" fillId="35" borderId="0" xfId="0" applyFont="1" applyFill="1" applyAlignment="1">
      <alignment horizontal="right" wrapText="1"/>
    </xf>
    <xf numFmtId="0" fontId="43" fillId="34" borderId="0" xfId="0" applyFont="1" applyFill="1" applyAlignment="1">
      <alignment horizontal="left" wrapText="1"/>
    </xf>
    <xf numFmtId="0" fontId="50" fillId="37" borderId="16" xfId="0" applyFont="1" applyFill="1" applyBorder="1" applyAlignment="1">
      <alignment horizontal="center" wrapText="1"/>
    </xf>
    <xf numFmtId="0" fontId="50" fillId="37" borderId="17" xfId="0" applyFont="1" applyFill="1" applyBorder="1" applyAlignment="1">
      <alignment horizontal="center" wrapText="1"/>
    </xf>
    <xf numFmtId="0" fontId="50" fillId="37" borderId="18" xfId="0" applyFont="1" applyFill="1" applyBorder="1" applyAlignment="1">
      <alignment horizontal="center" wrapText="1"/>
    </xf>
    <xf numFmtId="0" fontId="40" fillId="33" borderId="27" xfId="0" applyFont="1" applyFill="1" applyBorder="1" applyAlignment="1">
      <alignment horizontal="right" vertical="center" wrapText="1"/>
    </xf>
    <xf numFmtId="0" fontId="40" fillId="33" borderId="26" xfId="0" applyFont="1" applyFill="1" applyBorder="1" applyAlignment="1">
      <alignment horizontal="right" vertical="center" wrapText="1"/>
    </xf>
    <xf numFmtId="0" fontId="43" fillId="34" borderId="31" xfId="0" applyFont="1" applyFill="1" applyBorder="1" applyAlignment="1">
      <alignment vertical="center" wrapText="1"/>
    </xf>
    <xf numFmtId="0" fontId="43" fillId="34" borderId="30" xfId="0" applyFont="1" applyFill="1" applyBorder="1" applyAlignment="1">
      <alignment vertical="center" wrapText="1"/>
    </xf>
    <xf numFmtId="0" fontId="41" fillId="0" borderId="0" xfId="0" applyFont="1" applyAlignment="1">
      <alignment horizontal="center" vertical="center" wrapText="1"/>
    </xf>
    <xf numFmtId="14" fontId="41" fillId="40" borderId="22" xfId="0" applyNumberFormat="1" applyFont="1" applyFill="1" applyBorder="1" applyAlignment="1" applyProtection="1">
      <alignment horizontal="center" vertical="center" wrapText="1"/>
      <protection locked="0"/>
    </xf>
    <xf numFmtId="14" fontId="41" fillId="40" borderId="11" xfId="0" applyNumberFormat="1" applyFont="1" applyFill="1" applyBorder="1" applyAlignment="1" applyProtection="1">
      <alignment horizontal="center" vertical="center" wrapText="1"/>
      <protection locked="0"/>
    </xf>
    <xf numFmtId="14" fontId="41" fillId="40" borderId="23" xfId="0" applyNumberFormat="1" applyFont="1" applyFill="1" applyBorder="1" applyAlignment="1" applyProtection="1">
      <alignment horizontal="center" vertical="center" wrapText="1"/>
      <protection locked="0"/>
    </xf>
    <xf numFmtId="0" fontId="49" fillId="0" borderId="11" xfId="0" applyFont="1" applyBorder="1" applyAlignment="1">
      <alignment horizontal="left" vertical="center" wrapText="1"/>
    </xf>
    <xf numFmtId="0" fontId="49" fillId="0" borderId="10" xfId="0" applyFont="1" applyBorder="1" applyAlignment="1">
      <alignment horizontal="left" vertical="center" wrapText="1"/>
    </xf>
    <xf numFmtId="0" fontId="49" fillId="0" borderId="23" xfId="0" applyFont="1" applyBorder="1" applyAlignment="1">
      <alignment horizontal="left" vertical="center" wrapText="1"/>
    </xf>
    <xf numFmtId="0" fontId="40" fillId="33" borderId="12" xfId="0" applyFont="1" applyFill="1" applyBorder="1" applyAlignment="1">
      <alignment horizontal="center" vertical="center" wrapText="1"/>
    </xf>
    <xf numFmtId="0" fontId="40" fillId="33" borderId="0" xfId="0" applyFont="1" applyFill="1" applyAlignment="1">
      <alignment horizontal="center" vertical="center" wrapText="1"/>
    </xf>
    <xf numFmtId="0" fontId="40" fillId="0" borderId="0" xfId="0" applyFont="1" applyAlignment="1">
      <alignment horizontal="center" vertical="center" wrapText="1"/>
    </xf>
    <xf numFmtId="0" fontId="41" fillId="40" borderId="16" xfId="0" applyFont="1" applyFill="1" applyBorder="1" applyAlignment="1">
      <alignment horizontal="center" vertical="center" wrapText="1"/>
    </xf>
    <xf numFmtId="0" fontId="41" fillId="40" borderId="18" xfId="0" applyFont="1" applyFill="1" applyBorder="1" applyAlignment="1">
      <alignment horizontal="center" vertical="center" wrapText="1"/>
    </xf>
    <xf numFmtId="0" fontId="52" fillId="35" borderId="0" xfId="0" applyFont="1" applyFill="1" applyAlignment="1">
      <alignment horizontal="center" vertical="center" wrapText="1"/>
    </xf>
    <xf numFmtId="0" fontId="49" fillId="35" borderId="0" xfId="0" applyFont="1" applyFill="1" applyAlignment="1">
      <alignment horizontal="center" wrapText="1"/>
    </xf>
    <xf numFmtId="0" fontId="43" fillId="34" borderId="0" xfId="0" applyFont="1" applyFill="1" applyAlignment="1">
      <alignment wrapText="1"/>
    </xf>
    <xf numFmtId="0" fontId="47" fillId="35" borderId="25" xfId="0" applyFont="1" applyFill="1" applyBorder="1" applyAlignment="1">
      <alignment horizontal="left" vertical="top" wrapText="1"/>
    </xf>
    <xf numFmtId="0" fontId="48" fillId="35" borderId="0" xfId="0" applyFont="1" applyFill="1" applyAlignment="1">
      <alignment horizontal="right" vertical="top" wrapText="1"/>
    </xf>
    <xf numFmtId="0" fontId="43" fillId="34" borderId="51" xfId="0" applyFont="1" applyFill="1" applyBorder="1" applyAlignment="1">
      <alignment horizontal="left" wrapText="1"/>
    </xf>
    <xf numFmtId="0" fontId="43" fillId="34" borderId="52" xfId="0" applyFont="1" applyFill="1" applyBorder="1" applyAlignment="1">
      <alignment horizontal="left" wrapText="1"/>
    </xf>
    <xf numFmtId="0" fontId="43" fillId="34" borderId="53" xfId="0" applyFont="1" applyFill="1" applyBorder="1" applyAlignment="1">
      <alignment horizontal="left" wrapText="1"/>
    </xf>
    <xf numFmtId="0" fontId="67" fillId="34" borderId="0" xfId="0" applyFont="1" applyFill="1" applyAlignment="1">
      <alignment horizontal="right" wrapText="1"/>
    </xf>
    <xf numFmtId="0" fontId="68" fillId="0" borderId="0" xfId="0" applyFont="1" applyAlignment="1">
      <alignment horizontal="right"/>
    </xf>
    <xf numFmtId="0" fontId="48" fillId="35" borderId="24" xfId="0" applyFont="1" applyFill="1" applyBorder="1" applyAlignment="1">
      <alignment horizontal="center" vertical="top" wrapText="1"/>
    </xf>
    <xf numFmtId="0" fontId="48" fillId="35" borderId="0" xfId="0" applyFont="1" applyFill="1" applyAlignment="1">
      <alignment horizontal="center" vertical="top" wrapText="1"/>
    </xf>
    <xf numFmtId="0" fontId="62" fillId="35" borderId="24" xfId="0" applyFont="1" applyFill="1" applyBorder="1" applyAlignment="1">
      <alignment horizontal="center" vertical="top" wrapText="1"/>
    </xf>
    <xf numFmtId="0" fontId="62" fillId="35" borderId="0" xfId="0" applyFont="1" applyFill="1" applyAlignment="1">
      <alignment horizontal="center" vertical="top" wrapText="1"/>
    </xf>
    <xf numFmtId="0" fontId="41" fillId="40" borderId="57" xfId="0" applyFont="1" applyFill="1" applyBorder="1" applyAlignment="1" applyProtection="1">
      <alignment horizontal="center" vertical="top" wrapText="1"/>
      <protection locked="0"/>
    </xf>
    <xf numFmtId="0" fontId="41" fillId="40" borderId="58" xfId="0" applyFont="1" applyFill="1" applyBorder="1" applyAlignment="1" applyProtection="1">
      <alignment horizontal="center" vertical="top" wrapText="1"/>
      <protection locked="0"/>
    </xf>
    <xf numFmtId="0" fontId="41" fillId="40" borderId="21" xfId="0" applyFont="1" applyFill="1" applyBorder="1" applyAlignment="1" applyProtection="1">
      <alignment horizontal="center" vertical="top" wrapText="1"/>
      <protection locked="0"/>
    </xf>
    <xf numFmtId="0" fontId="41" fillId="40" borderId="22" xfId="0" applyFont="1" applyFill="1" applyBorder="1" applyAlignment="1" applyProtection="1">
      <alignment horizontal="center" vertical="top" wrapText="1"/>
      <protection locked="0"/>
    </xf>
    <xf numFmtId="0" fontId="41" fillId="40" borderId="21" xfId="0" applyFont="1" applyFill="1" applyBorder="1" applyAlignment="1" applyProtection="1">
      <alignment horizontal="center" vertical="center" wrapText="1"/>
      <protection locked="0"/>
    </xf>
    <xf numFmtId="0" fontId="41" fillId="40" borderId="11" xfId="0" applyFont="1" applyFill="1" applyBorder="1" applyAlignment="1" applyProtection="1">
      <alignment horizontal="center" vertical="center" wrapText="1"/>
      <protection locked="0"/>
    </xf>
    <xf numFmtId="0" fontId="41" fillId="40" borderId="23" xfId="0" applyFont="1" applyFill="1" applyBorder="1" applyAlignment="1" applyProtection="1">
      <alignment horizontal="center" vertical="center" wrapText="1"/>
      <protection locked="0"/>
    </xf>
    <xf numFmtId="0" fontId="49" fillId="0" borderId="49" xfId="0" applyFont="1" applyBorder="1" applyAlignment="1">
      <alignment horizontal="center" vertical="center" wrapText="1"/>
    </xf>
    <xf numFmtId="0" fontId="49" fillId="0" borderId="48" xfId="0" applyFont="1" applyBorder="1" applyAlignment="1">
      <alignment horizontal="center" vertical="center" wrapText="1"/>
    </xf>
    <xf numFmtId="0" fontId="49" fillId="39" borderId="16" xfId="0" applyFont="1" applyFill="1" applyBorder="1" applyAlignment="1">
      <alignment horizontal="center" wrapText="1"/>
    </xf>
    <xf numFmtId="0" fontId="49" fillId="39" borderId="17" xfId="0" applyFont="1" applyFill="1" applyBorder="1" applyAlignment="1">
      <alignment horizontal="center" wrapText="1"/>
    </xf>
    <xf numFmtId="0" fontId="40" fillId="0" borderId="16" xfId="0" applyFont="1" applyBorder="1" applyAlignment="1">
      <alignment horizontal="center" vertical="center" wrapText="1"/>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4" fillId="34" borderId="0" xfId="0" applyFont="1" applyFill="1" applyAlignment="1">
      <alignment horizontal="right" wrapText="1"/>
    </xf>
    <xf numFmtId="0" fontId="54" fillId="0" borderId="35" xfId="0" applyFont="1" applyBorder="1" applyAlignment="1">
      <alignment horizontal="left" wrapText="1"/>
    </xf>
    <xf numFmtId="0" fontId="54" fillId="0" borderId="15" xfId="0" applyFont="1" applyBorder="1" applyAlignment="1">
      <alignment horizontal="left" wrapText="1"/>
    </xf>
    <xf numFmtId="0" fontId="49" fillId="39" borderId="18" xfId="0" applyFont="1" applyFill="1" applyBorder="1" applyAlignment="1">
      <alignment horizontal="center" wrapText="1"/>
    </xf>
    <xf numFmtId="0" fontId="54" fillId="35" borderId="39" xfId="0" applyFont="1" applyFill="1" applyBorder="1" applyAlignment="1">
      <alignment horizontal="center" vertical="center" wrapText="1"/>
    </xf>
    <xf numFmtId="0" fontId="54" fillId="35" borderId="59" xfId="0" applyFont="1" applyFill="1" applyBorder="1" applyAlignment="1">
      <alignment horizontal="center" vertical="center" wrapText="1"/>
    </xf>
    <xf numFmtId="0" fontId="54" fillId="35" borderId="42" xfId="0" applyFont="1" applyFill="1" applyBorder="1" applyAlignment="1">
      <alignment horizontal="center" vertical="center" wrapText="1"/>
    </xf>
    <xf numFmtId="0" fontId="54" fillId="35" borderId="29" xfId="0" applyFont="1" applyFill="1" applyBorder="1" applyAlignment="1">
      <alignment horizontal="left" vertical="center" wrapText="1"/>
    </xf>
    <xf numFmtId="0" fontId="54" fillId="35" borderId="30" xfId="0" applyFont="1" applyFill="1" applyBorder="1" applyAlignment="1">
      <alignment horizontal="left" vertical="center" wrapText="1"/>
    </xf>
    <xf numFmtId="0" fontId="54" fillId="35" borderId="32" xfId="0" applyFont="1" applyFill="1" applyBorder="1" applyAlignment="1">
      <alignment horizontal="left" vertical="center" wrapText="1"/>
    </xf>
    <xf numFmtId="2" fontId="55" fillId="35" borderId="35" xfId="0" applyNumberFormat="1" applyFont="1" applyFill="1" applyBorder="1" applyAlignment="1">
      <alignment horizontal="left" vertical="center"/>
    </xf>
    <xf numFmtId="2" fontId="55" fillId="35" borderId="15" xfId="0" applyNumberFormat="1" applyFont="1" applyFill="1" applyBorder="1" applyAlignment="1">
      <alignment horizontal="left" vertical="center"/>
    </xf>
    <xf numFmtId="2" fontId="55" fillId="35" borderId="29" xfId="0" applyNumberFormat="1" applyFont="1" applyFill="1" applyBorder="1" applyAlignment="1">
      <alignment horizontal="center" vertical="center"/>
    </xf>
    <xf numFmtId="2" fontId="55" fillId="35" borderId="30" xfId="0" applyNumberFormat="1" applyFont="1" applyFill="1" applyBorder="1" applyAlignment="1">
      <alignment horizontal="center" vertical="center"/>
    </xf>
    <xf numFmtId="2" fontId="55" fillId="35" borderId="32" xfId="0" applyNumberFormat="1" applyFont="1" applyFill="1" applyBorder="1" applyAlignment="1">
      <alignment horizontal="center" vertical="center"/>
    </xf>
    <xf numFmtId="0" fontId="61" fillId="0" borderId="40" xfId="0" applyFont="1" applyBorder="1" applyAlignment="1">
      <alignment horizontal="center" vertical="center" wrapText="1"/>
    </xf>
    <xf numFmtId="0" fontId="61" fillId="0" borderId="27" xfId="0" applyFont="1" applyBorder="1" applyAlignment="1">
      <alignment horizontal="center" vertical="center" wrapText="1"/>
    </xf>
    <xf numFmtId="0" fontId="61" fillId="0" borderId="26" xfId="0" applyFont="1" applyBorder="1" applyAlignment="1">
      <alignment horizontal="center" vertical="center" wrapText="1"/>
    </xf>
    <xf numFmtId="0" fontId="45" fillId="0" borderId="40" xfId="0" applyFont="1" applyBorder="1" applyAlignment="1">
      <alignment horizontal="left" vertical="top" wrapText="1"/>
    </xf>
    <xf numFmtId="0" fontId="45" fillId="0" borderId="27" xfId="0" applyFont="1" applyBorder="1" applyAlignment="1">
      <alignment horizontal="left" vertical="top" wrapText="1"/>
    </xf>
    <xf numFmtId="0" fontId="45" fillId="0" borderId="26" xfId="0" applyFont="1" applyBorder="1" applyAlignment="1">
      <alignment horizontal="left" vertical="top" wrapText="1"/>
    </xf>
    <xf numFmtId="0" fontId="0" fillId="0" borderId="0" xfId="0"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5"/>
      </font>
      <fill>
        <patternFill patternType="none">
          <bgColor auto="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112059</xdr:colOff>
      <xdr:row>24</xdr:row>
      <xdr:rowOff>56029</xdr:rowOff>
    </xdr:from>
    <xdr:to>
      <xdr:col>24</xdr:col>
      <xdr:colOff>231139</xdr:colOff>
      <xdr:row>40</xdr:row>
      <xdr:rowOff>661147</xdr:rowOff>
    </xdr:to>
    <xdr:pic>
      <xdr:nvPicPr>
        <xdr:cNvPr id="6" name="Picture 5">
          <a:extLst>
            <a:ext uri="{FF2B5EF4-FFF2-40B4-BE49-F238E27FC236}">
              <a16:creationId xmlns:a16="http://schemas.microsoft.com/office/drawing/2014/main" id="{009703DD-8E90-4D89-447F-82A60625E3D1}"/>
            </a:ext>
          </a:extLst>
        </xdr:cNvPr>
        <xdr:cNvPicPr>
          <a:picLocks noChangeAspect="1"/>
        </xdr:cNvPicPr>
      </xdr:nvPicPr>
      <xdr:blipFill>
        <a:blip xmlns:r="http://schemas.openxmlformats.org/officeDocument/2006/relationships" r:embed="rId1"/>
        <a:stretch>
          <a:fillRect/>
        </a:stretch>
      </xdr:blipFill>
      <xdr:spPr>
        <a:xfrm>
          <a:off x="5793441" y="4706470"/>
          <a:ext cx="14036786" cy="5109883"/>
        </a:xfrm>
        <a:prstGeom prst="rect">
          <a:avLst/>
        </a:prstGeom>
      </xdr:spPr>
    </xdr:pic>
    <xdr:clientData/>
  </xdr:twoCellAnchor>
  <xdr:twoCellAnchor editAs="oneCell">
    <xdr:from>
      <xdr:col>1</xdr:col>
      <xdr:colOff>67237</xdr:colOff>
      <xdr:row>40</xdr:row>
      <xdr:rowOff>672353</xdr:rowOff>
    </xdr:from>
    <xdr:to>
      <xdr:col>24</xdr:col>
      <xdr:colOff>260041</xdr:colOff>
      <xdr:row>48</xdr:row>
      <xdr:rowOff>268942</xdr:rowOff>
    </xdr:to>
    <xdr:pic>
      <xdr:nvPicPr>
        <xdr:cNvPr id="11" name="Picture 10">
          <a:extLst>
            <a:ext uri="{FF2B5EF4-FFF2-40B4-BE49-F238E27FC236}">
              <a16:creationId xmlns:a16="http://schemas.microsoft.com/office/drawing/2014/main" id="{656F08DD-8999-B149-B4F1-F3E25726288F}"/>
            </a:ext>
          </a:extLst>
        </xdr:cNvPr>
        <xdr:cNvPicPr>
          <a:picLocks noChangeAspect="1"/>
        </xdr:cNvPicPr>
      </xdr:nvPicPr>
      <xdr:blipFill>
        <a:blip xmlns:r="http://schemas.openxmlformats.org/officeDocument/2006/relationships" r:embed="rId2"/>
        <a:stretch>
          <a:fillRect/>
        </a:stretch>
      </xdr:blipFill>
      <xdr:spPr>
        <a:xfrm>
          <a:off x="5838266" y="9827559"/>
          <a:ext cx="14110510" cy="2823883"/>
        </a:xfrm>
        <a:prstGeom prst="rect">
          <a:avLst/>
        </a:prstGeom>
      </xdr:spPr>
    </xdr:pic>
    <xdr:clientData/>
  </xdr:twoCellAnchor>
  <xdr:twoCellAnchor editAs="oneCell">
    <xdr:from>
      <xdr:col>1</xdr:col>
      <xdr:colOff>67236</xdr:colOff>
      <xdr:row>48</xdr:row>
      <xdr:rowOff>268941</xdr:rowOff>
    </xdr:from>
    <xdr:to>
      <xdr:col>24</xdr:col>
      <xdr:colOff>246530</xdr:colOff>
      <xdr:row>84</xdr:row>
      <xdr:rowOff>10656</xdr:rowOff>
    </xdr:to>
    <xdr:pic>
      <xdr:nvPicPr>
        <xdr:cNvPr id="4" name="Picture 3">
          <a:extLst>
            <a:ext uri="{FF2B5EF4-FFF2-40B4-BE49-F238E27FC236}">
              <a16:creationId xmlns:a16="http://schemas.microsoft.com/office/drawing/2014/main" id="{C60EF9C4-AA43-9A82-D2FC-7B0DB6DB930B}"/>
            </a:ext>
          </a:extLst>
        </xdr:cNvPr>
        <xdr:cNvPicPr>
          <a:picLocks noChangeAspect="1"/>
        </xdr:cNvPicPr>
      </xdr:nvPicPr>
      <xdr:blipFill>
        <a:blip xmlns:r="http://schemas.openxmlformats.org/officeDocument/2006/relationships" r:embed="rId3"/>
        <a:stretch>
          <a:fillRect/>
        </a:stretch>
      </xdr:blipFill>
      <xdr:spPr>
        <a:xfrm>
          <a:off x="5838265" y="12651441"/>
          <a:ext cx="14097000" cy="7137597"/>
        </a:xfrm>
        <a:prstGeom prst="rect">
          <a:avLst/>
        </a:prstGeom>
      </xdr:spPr>
    </xdr:pic>
    <xdr:clientData/>
  </xdr:twoCellAnchor>
  <xdr:twoCellAnchor editAs="oneCell">
    <xdr:from>
      <xdr:col>1</xdr:col>
      <xdr:colOff>142503</xdr:colOff>
      <xdr:row>1</xdr:row>
      <xdr:rowOff>92410</xdr:rowOff>
    </xdr:from>
    <xdr:to>
      <xdr:col>24</xdr:col>
      <xdr:colOff>168089</xdr:colOff>
      <xdr:row>23</xdr:row>
      <xdr:rowOff>177928</xdr:rowOff>
    </xdr:to>
    <xdr:pic>
      <xdr:nvPicPr>
        <xdr:cNvPr id="5" name="Picture 4">
          <a:extLst>
            <a:ext uri="{FF2B5EF4-FFF2-40B4-BE49-F238E27FC236}">
              <a16:creationId xmlns:a16="http://schemas.microsoft.com/office/drawing/2014/main" id="{8F0C41D4-224B-8B48-E4B6-F71AE148EE46}"/>
            </a:ext>
          </a:extLst>
        </xdr:cNvPr>
        <xdr:cNvPicPr>
          <a:picLocks noChangeAspect="1"/>
        </xdr:cNvPicPr>
      </xdr:nvPicPr>
      <xdr:blipFill rotWithShape="1">
        <a:blip xmlns:r="http://schemas.openxmlformats.org/officeDocument/2006/relationships" r:embed="rId4"/>
        <a:srcRect r="425"/>
        <a:stretch/>
      </xdr:blipFill>
      <xdr:spPr>
        <a:xfrm>
          <a:off x="6193679" y="327734"/>
          <a:ext cx="13943292" cy="42765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1034117</xdr:colOff>
      <xdr:row>3</xdr:row>
      <xdr:rowOff>41648</xdr:rowOff>
    </xdr:from>
    <xdr:to>
      <xdr:col>8</xdr:col>
      <xdr:colOff>122331</xdr:colOff>
      <xdr:row>4</xdr:row>
      <xdr:rowOff>140820</xdr:rowOff>
    </xdr:to>
    <xdr:sp macro="" textlink="">
      <xdr:nvSpPr>
        <xdr:cNvPr id="1040" name="AutoShape 16" descr="MountainDesigns">
          <a:extLst>
            <a:ext uri="{FF2B5EF4-FFF2-40B4-BE49-F238E27FC236}">
              <a16:creationId xmlns:a16="http://schemas.microsoft.com/office/drawing/2014/main" id="{00000000-0008-0000-0000-000010040000}"/>
            </a:ext>
          </a:extLst>
        </xdr:cNvPr>
        <xdr:cNvSpPr>
          <a:spLocks noChangeAspect="1" noChangeArrowheads="1"/>
        </xdr:cNvSpPr>
      </xdr:nvSpPr>
      <xdr:spPr bwMode="auto">
        <a:xfrm>
          <a:off x="12038293" y="1924236"/>
          <a:ext cx="304800" cy="2063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1359477</xdr:colOff>
      <xdr:row>0</xdr:row>
      <xdr:rowOff>0</xdr:rowOff>
    </xdr:from>
    <xdr:to>
      <xdr:col>9</xdr:col>
      <xdr:colOff>2000249</xdr:colOff>
      <xdr:row>1</xdr:row>
      <xdr:rowOff>26394</xdr:rowOff>
    </xdr:to>
    <xdr:pic>
      <xdr:nvPicPr>
        <xdr:cNvPr id="2" name="Picture 1">
          <a:extLst>
            <a:ext uri="{FF2B5EF4-FFF2-40B4-BE49-F238E27FC236}">
              <a16:creationId xmlns:a16="http://schemas.microsoft.com/office/drawing/2014/main" id="{A4469C73-DBAC-4524-9B76-0CCD6465F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40841" y="0"/>
          <a:ext cx="736022" cy="6097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52884EA-47FE-422A-BA47-C9D7432E45AC}" name="Table6" displayName="Table6" ref="M1:M88" totalsRowShown="0" headerRowDxfId="43" dataDxfId="42">
  <autoFilter ref="M1:M88" xr:uid="{D9F54FBB-EA61-40D2-ADE5-5D4419D7B81E}"/>
  <tableColumns count="1">
    <tableColumn id="1" xr3:uid="{E9E7980E-CA60-4809-9F76-0490D65EFACA}" name="Anaconda_Stores" dataDxfId="4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A4B2739-DC93-477A-B6F6-7A74842B57E2}" name="Table7" displayName="Table7" ref="N1:N126" totalsRowShown="0" headerRowDxfId="40" dataDxfId="39">
  <autoFilter ref="N1:N126" xr:uid="{C2ECD83F-4C4F-4BDF-BA74-7CF18075670F}"/>
  <tableColumns count="1">
    <tableColumn id="1" xr3:uid="{5AC520EC-E8F1-4075-BCD0-83EDFDD46DEC}" name="Spotlight_Stores" dataDxfId="38"/>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19D2E1-2862-4408-BD51-B41D5D47E4DC}" name="Table8" displayName="Table8" ref="O1:O61" totalsRowShown="0" headerRowDxfId="37" dataDxfId="36">
  <autoFilter ref="O1:O61" xr:uid="{0D5E20BB-13F6-4314-AEE9-860430DB798E}"/>
  <tableColumns count="1">
    <tableColumn id="1" xr3:uid="{E1BE9617-3C94-4C2F-8ACF-24FFE3D3EA52}" name="Harris_Scarfe_Stores" dataDxfId="35"/>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1448140-0756-4445-A9E4-5D5E1B662A7B}" name="Table9" displayName="Table9" ref="P1:P10" totalsRowShown="0" headerRowDxfId="34" dataDxfId="33">
  <autoFilter ref="P1:P10" xr:uid="{B9242CCB-F79B-4495-A72D-35E5D6B71BFB}"/>
  <sortState xmlns:xlrd2="http://schemas.microsoft.com/office/spreadsheetml/2017/richdata2" ref="P2:P10">
    <sortCondition ref="P1:P10"/>
  </sortState>
  <tableColumns count="1">
    <tableColumn id="1" xr3:uid="{DDC58B95-3F13-444D-A155-23DB114D4781}" name="Anaconda_SG" dataDxfId="32"/>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7835C65-D5D2-4FEF-AE15-A59C1CF09CFC}" name="Table10" displayName="Table10" ref="Q1:Q16" totalsRowShown="0" headerRowDxfId="31" dataDxfId="30">
  <autoFilter ref="Q1:Q16" xr:uid="{9D82BB32-90DB-4686-85AD-354DA54220C5}"/>
  <sortState xmlns:xlrd2="http://schemas.microsoft.com/office/spreadsheetml/2017/richdata2" ref="Q2:Q16">
    <sortCondition ref="Q1:Q16"/>
  </sortState>
  <tableColumns count="1">
    <tableColumn id="1" xr3:uid="{2062F5EE-AAB6-4558-936C-4CD5D9D71C60}" name="Spotlight_SG" dataDxfId="29"/>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BB5380F-8D03-4D66-BF4E-CA68163EA030}" name="Table11" displayName="Table11" ref="R1:R8" totalsRowShown="0" headerRowDxfId="28" dataDxfId="27">
  <autoFilter ref="R1:R8" xr:uid="{C3E29915-E742-4988-BB9C-EF1A2219E9FE}"/>
  <tableColumns count="1">
    <tableColumn id="1" xr3:uid="{315F3AF6-2AF3-4572-A223-955C5FA39430}" name="Harris_Scarfe_SG" dataDxfId="26"/>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D2048B3-3836-4540-A24F-167D44CE0B75}" name="Table13" displayName="Table13" ref="S1:S22" totalsRowShown="0" headerRowDxfId="25" dataDxfId="24">
  <autoFilter ref="S1:S22" xr:uid="{FCB97782-117E-4DBD-B518-38586E7D3BED}"/>
  <sortState xmlns:xlrd2="http://schemas.microsoft.com/office/spreadsheetml/2017/richdata2" ref="S2:S13">
    <sortCondition ref="S1:S13"/>
  </sortState>
  <tableColumns count="1">
    <tableColumn id="1" xr3:uid="{936D4A0B-3755-469D-8167-F63148BD367D}" name="Shared_Services" dataDxfId="23"/>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EB5A6-D22B-4261-9DFA-3838ACBACF8B}">
  <sheetPr codeName="Sheet1"/>
  <dimension ref="A1:A86"/>
  <sheetViews>
    <sheetView zoomScale="85" zoomScaleNormal="85" workbookViewId="0">
      <selection activeCell="AA16" sqref="AA16"/>
    </sheetView>
  </sheetViews>
  <sheetFormatPr defaultRowHeight="15"/>
  <cols>
    <col min="1" max="1" width="86.5703125" customWidth="1"/>
  </cols>
  <sheetData>
    <row r="1" spans="1:1" ht="19.5" thickBot="1">
      <c r="A1" s="91" t="s">
        <v>990</v>
      </c>
    </row>
    <row r="2" spans="1:1" ht="15.75" thickBot="1"/>
    <row r="3" spans="1:1" ht="15" customHeight="1">
      <c r="A3" s="250" t="s">
        <v>906</v>
      </c>
    </row>
    <row r="4" spans="1:1" ht="15" customHeight="1">
      <c r="A4" s="251"/>
    </row>
    <row r="5" spans="1:1" ht="15" customHeight="1">
      <c r="A5" s="251"/>
    </row>
    <row r="6" spans="1:1" ht="15" customHeight="1">
      <c r="A6" s="251"/>
    </row>
    <row r="7" spans="1:1" ht="15" customHeight="1">
      <c r="A7" s="251"/>
    </row>
    <row r="8" spans="1:1" ht="15" customHeight="1">
      <c r="A8" s="251"/>
    </row>
    <row r="9" spans="1:1" ht="15" customHeight="1">
      <c r="A9" s="251"/>
    </row>
    <row r="10" spans="1:1" ht="15" customHeight="1">
      <c r="A10" s="251"/>
    </row>
    <row r="11" spans="1:1" ht="15" customHeight="1">
      <c r="A11" s="251"/>
    </row>
    <row r="12" spans="1:1" ht="15" customHeight="1">
      <c r="A12" s="251"/>
    </row>
    <row r="13" spans="1:1" ht="14.45" customHeight="1">
      <c r="A13" s="251"/>
    </row>
    <row r="14" spans="1:1" ht="15" customHeight="1">
      <c r="A14" s="251"/>
    </row>
    <row r="15" spans="1:1" ht="15" customHeight="1">
      <c r="A15" s="251"/>
    </row>
    <row r="16" spans="1:1" ht="15" customHeight="1" thickBot="1">
      <c r="A16" s="252"/>
    </row>
    <row r="17" spans="1:1" ht="15" customHeight="1" thickBot="1">
      <c r="A17" s="103"/>
    </row>
    <row r="18" spans="1:1" ht="15" customHeight="1">
      <c r="A18" s="247" t="s">
        <v>907</v>
      </c>
    </row>
    <row r="19" spans="1:1" ht="15" customHeight="1">
      <c r="A19" s="248"/>
    </row>
    <row r="20" spans="1:1" ht="15" customHeight="1">
      <c r="A20" s="248"/>
    </row>
    <row r="21" spans="1:1" ht="15" customHeight="1">
      <c r="A21" s="248"/>
    </row>
    <row r="22" spans="1:1" ht="15" customHeight="1">
      <c r="A22" s="248"/>
    </row>
    <row r="23" spans="1:1" ht="15.75" customHeight="1" thickBot="1">
      <c r="A23" s="249"/>
    </row>
    <row r="24" spans="1:1" ht="15.75" thickBot="1"/>
    <row r="25" spans="1:1" ht="15" customHeight="1">
      <c r="A25" s="247" t="s">
        <v>909</v>
      </c>
    </row>
    <row r="26" spans="1:1" ht="15" customHeight="1">
      <c r="A26" s="248"/>
    </row>
    <row r="27" spans="1:1" ht="15.75" customHeight="1">
      <c r="A27" s="248"/>
    </row>
    <row r="28" spans="1:1">
      <c r="A28" s="248"/>
    </row>
    <row r="29" spans="1:1" ht="19.5" customHeight="1">
      <c r="A29" s="248"/>
    </row>
    <row r="30" spans="1:1" ht="15" customHeight="1">
      <c r="A30" s="248"/>
    </row>
    <row r="31" spans="1:1" ht="15" customHeight="1">
      <c r="A31" s="248"/>
    </row>
    <row r="32" spans="1:1" ht="15" customHeight="1">
      <c r="A32" s="248"/>
    </row>
    <row r="33" spans="1:1" ht="15" customHeight="1">
      <c r="A33" s="248"/>
    </row>
    <row r="34" spans="1:1" ht="15" customHeight="1" thickBot="1">
      <c r="A34" s="249"/>
    </row>
    <row r="35" spans="1:1" ht="15.75" thickBot="1"/>
    <row r="36" spans="1:1" ht="38.25" thickBot="1">
      <c r="A36" s="97" t="s">
        <v>798</v>
      </c>
    </row>
    <row r="37" spans="1:1" ht="15.75" thickBot="1"/>
    <row r="38" spans="1:1" ht="75.75" thickBot="1">
      <c r="A38" s="97" t="s">
        <v>799</v>
      </c>
    </row>
    <row r="39" spans="1:1" ht="15.75" thickBot="1"/>
    <row r="40" spans="1:1" ht="37.5">
      <c r="A40" s="94" t="s">
        <v>908</v>
      </c>
    </row>
    <row r="41" spans="1:1" ht="57" thickBot="1">
      <c r="A41" s="96" t="s">
        <v>797</v>
      </c>
    </row>
    <row r="42" spans="1:1" ht="15.75" thickBot="1"/>
    <row r="43" spans="1:1" ht="57" thickBot="1">
      <c r="A43" s="97" t="s">
        <v>801</v>
      </c>
    </row>
    <row r="44" spans="1:1" ht="15.75" thickBot="1"/>
    <row r="45" spans="1:1" ht="38.25" thickBot="1">
      <c r="A45" s="97" t="s">
        <v>800</v>
      </c>
    </row>
    <row r="46" spans="1:1" ht="15.75" thickBot="1"/>
    <row r="47" spans="1:1" ht="38.25" thickBot="1">
      <c r="A47" s="97" t="s">
        <v>818</v>
      </c>
    </row>
    <row r="48" spans="1:1" ht="15.75" thickBot="1">
      <c r="A48" s="95"/>
    </row>
    <row r="49" spans="1:1" ht="57" thickBot="1">
      <c r="A49" s="97" t="s">
        <v>910</v>
      </c>
    </row>
    <row r="50" spans="1:1" ht="15.75" thickBot="1"/>
    <row r="51" spans="1:1" ht="38.25" thickBot="1">
      <c r="A51" s="97" t="s">
        <v>911</v>
      </c>
    </row>
    <row r="52" spans="1:1" ht="15.75" thickBot="1"/>
    <row r="53" spans="1:1" ht="14.45" customHeight="1">
      <c r="A53" s="247" t="s">
        <v>848</v>
      </c>
    </row>
    <row r="54" spans="1:1" ht="14.45" customHeight="1">
      <c r="A54" s="248"/>
    </row>
    <row r="55" spans="1:1" ht="14.45" customHeight="1">
      <c r="A55" s="248"/>
    </row>
    <row r="56" spans="1:1" ht="14.45" customHeight="1">
      <c r="A56" s="248"/>
    </row>
    <row r="57" spans="1:1" ht="14.45" customHeight="1">
      <c r="A57" s="248"/>
    </row>
    <row r="58" spans="1:1" ht="14.45" customHeight="1">
      <c r="A58" s="248"/>
    </row>
    <row r="59" spans="1:1" ht="14.45" customHeight="1">
      <c r="A59" s="248"/>
    </row>
    <row r="60" spans="1:1" ht="14.45" customHeight="1">
      <c r="A60" s="248"/>
    </row>
    <row r="61" spans="1:1" ht="14.45" customHeight="1">
      <c r="A61" s="248"/>
    </row>
    <row r="62" spans="1:1" ht="14.45" customHeight="1">
      <c r="A62" s="248"/>
    </row>
    <row r="63" spans="1:1" ht="14.45" customHeight="1">
      <c r="A63" s="248"/>
    </row>
    <row r="64" spans="1:1" ht="14.45" customHeight="1">
      <c r="A64" s="248"/>
    </row>
    <row r="65" spans="1:1" ht="14.45" customHeight="1">
      <c r="A65" s="248"/>
    </row>
    <row r="66" spans="1:1" ht="14.45" customHeight="1">
      <c r="A66" s="248"/>
    </row>
    <row r="67" spans="1:1" ht="14.45" customHeight="1">
      <c r="A67" s="248"/>
    </row>
    <row r="68" spans="1:1" ht="14.45" customHeight="1">
      <c r="A68" s="248"/>
    </row>
    <row r="69" spans="1:1" ht="14.45" customHeight="1">
      <c r="A69" s="248"/>
    </row>
    <row r="70" spans="1:1" ht="14.45" customHeight="1">
      <c r="A70" s="248"/>
    </row>
    <row r="71" spans="1:1" ht="14.45" customHeight="1">
      <c r="A71" s="248"/>
    </row>
    <row r="72" spans="1:1" ht="14.45" customHeight="1">
      <c r="A72" s="248"/>
    </row>
    <row r="73" spans="1:1" ht="14.45" customHeight="1">
      <c r="A73" s="248"/>
    </row>
    <row r="74" spans="1:1" ht="14.45" customHeight="1">
      <c r="A74" s="248"/>
    </row>
    <row r="75" spans="1:1" ht="14.45" customHeight="1">
      <c r="A75" s="248"/>
    </row>
    <row r="76" spans="1:1" ht="14.45" customHeight="1">
      <c r="A76" s="248"/>
    </row>
    <row r="77" spans="1:1" ht="14.45" customHeight="1">
      <c r="A77" s="248"/>
    </row>
    <row r="78" spans="1:1" ht="14.45" customHeight="1">
      <c r="A78" s="248"/>
    </row>
    <row r="79" spans="1:1" ht="14.45" customHeight="1">
      <c r="A79" s="248"/>
    </row>
    <row r="80" spans="1:1" ht="14.45" customHeight="1">
      <c r="A80" s="248"/>
    </row>
    <row r="81" spans="1:1">
      <c r="A81" s="248"/>
    </row>
    <row r="82" spans="1:1">
      <c r="A82" s="248"/>
    </row>
    <row r="83" spans="1:1">
      <c r="A83" s="248"/>
    </row>
    <row r="84" spans="1:1">
      <c r="A84" s="248"/>
    </row>
    <row r="85" spans="1:1">
      <c r="A85" s="248"/>
    </row>
    <row r="86" spans="1:1" ht="15.75" thickBot="1">
      <c r="A86" s="249"/>
    </row>
  </sheetData>
  <sheetProtection selectLockedCells="1" selectUnlockedCells="1"/>
  <mergeCells count="4">
    <mergeCell ref="A53:A86"/>
    <mergeCell ref="A3:A16"/>
    <mergeCell ref="A18:A23"/>
    <mergeCell ref="A25:A3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AJ74"/>
  <sheetViews>
    <sheetView showGridLines="0" tabSelected="1" zoomScale="80" zoomScaleNormal="80" zoomScaleSheetLayoutView="85" workbookViewId="0">
      <selection activeCell="AM22" sqref="AM22"/>
    </sheetView>
  </sheetViews>
  <sheetFormatPr defaultColWidth="14" defaultRowHeight="15.75"/>
  <cols>
    <col min="1" max="1" width="27.5703125" style="39" customWidth="1"/>
    <col min="2" max="3" width="21.85546875" style="39" customWidth="1"/>
    <col min="4" max="5" width="26.85546875" style="39" customWidth="1"/>
    <col min="6" max="7" width="18.140625" style="39" customWidth="1"/>
    <col min="8" max="9" width="17.28515625" style="39" customWidth="1"/>
    <col min="10" max="10" width="30" style="39" customWidth="1"/>
    <col min="11" max="11" width="14" style="10" hidden="1" customWidth="1"/>
    <col min="12" max="15" width="11.5703125" style="6" hidden="1" customWidth="1"/>
    <col min="16" max="20" width="11.5703125" style="7" hidden="1" customWidth="1"/>
    <col min="21" max="21" width="21.7109375" style="7" hidden="1" customWidth="1"/>
    <col min="22" max="22" width="14.140625" style="7" hidden="1" customWidth="1"/>
    <col min="23" max="31" width="20.5703125" style="7" hidden="1" customWidth="1"/>
    <col min="32" max="36" width="14" style="7" hidden="1" customWidth="1"/>
    <col min="37" max="40" width="14" style="7" customWidth="1"/>
    <col min="41" max="41" width="0.85546875" style="7" customWidth="1"/>
    <col min="42" max="42" width="14" style="7" customWidth="1"/>
    <col min="43" max="16384" width="14" style="7"/>
  </cols>
  <sheetData>
    <row r="1" spans="1:12" ht="45.95" customHeight="1">
      <c r="A1" s="204" t="s">
        <v>996</v>
      </c>
      <c r="B1" s="204"/>
      <c r="C1" s="204"/>
      <c r="D1" s="204"/>
      <c r="E1" s="204"/>
      <c r="F1" s="204"/>
      <c r="G1" s="204"/>
      <c r="H1" s="204"/>
      <c r="I1" s="204"/>
      <c r="J1" s="204"/>
      <c r="K1" s="5"/>
    </row>
    <row r="2" spans="1:12" ht="45.95" customHeight="1">
      <c r="A2" s="204"/>
      <c r="B2" s="204"/>
      <c r="C2" s="204"/>
      <c r="D2" s="204"/>
      <c r="E2" s="204"/>
      <c r="F2" s="204"/>
      <c r="G2" s="204"/>
      <c r="H2" s="204"/>
      <c r="I2" s="204"/>
      <c r="J2" s="204"/>
      <c r="K2" s="5"/>
    </row>
    <row r="3" spans="1:12" ht="23.25">
      <c r="A3" s="184" t="s">
        <v>1</v>
      </c>
      <c r="B3" s="184"/>
      <c r="C3" s="114"/>
      <c r="D3" s="75"/>
      <c r="E3" s="75"/>
      <c r="F3" s="75"/>
      <c r="G3" s="212"/>
      <c r="H3" s="212"/>
      <c r="I3" s="212"/>
      <c r="J3" s="212"/>
      <c r="K3" s="9"/>
    </row>
    <row r="4" spans="1:12" ht="7.5" customHeight="1" thickBot="1">
      <c r="A4" s="36"/>
      <c r="B4" s="36"/>
      <c r="C4" s="36"/>
      <c r="D4" s="36"/>
      <c r="E4" s="36"/>
      <c r="F4" s="36"/>
      <c r="G4" s="36"/>
      <c r="H4" s="36"/>
      <c r="I4" s="36"/>
      <c r="J4" s="36"/>
      <c r="K4" s="8"/>
    </row>
    <row r="5" spans="1:12" ht="26.25" customHeight="1" thickBot="1">
      <c r="A5" s="117" t="s">
        <v>2</v>
      </c>
      <c r="B5" s="218"/>
      <c r="C5" s="219"/>
      <c r="D5" s="38"/>
      <c r="E5" s="35"/>
      <c r="F5" s="35"/>
      <c r="G5" s="35"/>
      <c r="H5" s="35"/>
      <c r="I5" s="213" t="s">
        <v>1005</v>
      </c>
      <c r="J5" s="213"/>
      <c r="K5" s="8"/>
    </row>
    <row r="6" spans="1:12" ht="26.25" customHeight="1" thickBot="1">
      <c r="A6" s="37" t="s">
        <v>3</v>
      </c>
      <c r="B6" s="156"/>
      <c r="C6" s="157"/>
      <c r="D6" s="35"/>
      <c r="E6" s="37" t="s">
        <v>4</v>
      </c>
      <c r="F6" s="156"/>
      <c r="G6" s="157"/>
      <c r="H6" s="36"/>
      <c r="I6" s="35"/>
      <c r="J6" s="36"/>
      <c r="K6" s="8"/>
    </row>
    <row r="7" spans="1:12" ht="7.5" customHeight="1">
      <c r="A7" s="36"/>
      <c r="B7" s="36"/>
      <c r="C7" s="36"/>
      <c r="D7" s="36"/>
      <c r="E7" s="36"/>
      <c r="F7" s="36"/>
      <c r="G7" s="36"/>
      <c r="H7" s="36"/>
      <c r="I7" s="36"/>
      <c r="J7" s="36"/>
      <c r="K7" s="8"/>
    </row>
    <row r="8" spans="1:12">
      <c r="A8" s="209" t="s">
        <v>849</v>
      </c>
      <c r="B8" s="210"/>
      <c r="C8" s="210"/>
      <c r="D8" s="210"/>
      <c r="E8" s="210"/>
      <c r="F8" s="210"/>
      <c r="G8" s="210"/>
      <c r="H8" s="210"/>
      <c r="I8" s="210"/>
      <c r="J8" s="211"/>
      <c r="K8" s="18"/>
    </row>
    <row r="9" spans="1:12" ht="7.5" customHeight="1" thickBot="1">
      <c r="A9" s="40"/>
      <c r="H9" s="208" t="str">
        <f>IF(AND(F10=Lists!B3,B11=Lists!$O$1),"If Harris Scarfe team member please provide a completed standing consent form with this Roster",IF(AND(F10=Lists!B6,B11=Lists!$O$1),"If Harris Scarfe team member please provide a completed standing consent form with this Roster"," "))</f>
        <v>If Harris Scarfe team member please provide a completed standing consent form with this Roster</v>
      </c>
      <c r="I9" s="208"/>
      <c r="J9" s="208"/>
    </row>
    <row r="10" spans="1:12" ht="26.25" customHeight="1" thickBot="1">
      <c r="A10" s="37" t="s">
        <v>850</v>
      </c>
      <c r="B10" s="158">
        <v>45747</v>
      </c>
      <c r="C10" s="159"/>
      <c r="D10" s="207" t="str">
        <f>IF(J49="ERROR","Not start of 
pay period","")</f>
        <v/>
      </c>
      <c r="E10" s="37" t="s">
        <v>852</v>
      </c>
      <c r="F10" s="156" t="s">
        <v>582</v>
      </c>
      <c r="G10" s="157"/>
      <c r="H10" s="208"/>
      <c r="I10" s="208"/>
      <c r="J10" s="208"/>
      <c r="K10" s="8" t="s">
        <v>695</v>
      </c>
      <c r="L10" s="6" t="s">
        <v>770</v>
      </c>
    </row>
    <row r="11" spans="1:12" ht="26.25" customHeight="1" thickBot="1">
      <c r="A11" s="126" t="s">
        <v>276</v>
      </c>
      <c r="B11" s="220" t="s">
        <v>573</v>
      </c>
      <c r="C11" s="221"/>
      <c r="D11" s="207"/>
      <c r="E11" s="37" t="s">
        <v>758</v>
      </c>
      <c r="F11" s="158"/>
      <c r="G11" s="159"/>
      <c r="H11" s="214" t="str">
        <f>IF(F11="","",IF(MOD((F11-DATE(2020,7,12)),14)=0,"","Not end of a pay period"))&amp;IF(RIGHT(F10,4)="Term",IF(F11="","Please enter end date",""),"")</f>
        <v/>
      </c>
      <c r="I11" s="215"/>
      <c r="J11" s="215"/>
      <c r="K11" s="90" t="str">
        <f>IFERROR(IF(K13&gt;0,VLOOKUP(B12,'Trading stores'!C:D,2,FALSE),"Not Applicable"),"Not Applicable")</f>
        <v>HS3</v>
      </c>
      <c r="L11" s="6">
        <f>IFERROR(VLOOKUP(K11&amp;" "&amp;K13,'Trading stores'!J:K,2,0),"Not Applicable")</f>
        <v>83.6875</v>
      </c>
    </row>
    <row r="12" spans="1:12" ht="32.25" thickBot="1">
      <c r="A12" s="117" t="s">
        <v>588</v>
      </c>
      <c r="B12" s="156" t="s">
        <v>936</v>
      </c>
      <c r="C12" s="157"/>
      <c r="D12" s="36"/>
      <c r="E12" s="37" t="s">
        <v>853</v>
      </c>
      <c r="F12" s="156" t="s">
        <v>510</v>
      </c>
      <c r="G12" s="157"/>
      <c r="H12" s="214"/>
      <c r="I12" s="215"/>
      <c r="J12" s="215"/>
      <c r="K12" s="22"/>
    </row>
    <row r="13" spans="1:12" ht="48" thickBot="1">
      <c r="A13" s="37" t="s">
        <v>851</v>
      </c>
      <c r="B13" s="156"/>
      <c r="C13" s="157"/>
      <c r="D13" s="36"/>
      <c r="E13" s="37" t="s">
        <v>895</v>
      </c>
      <c r="F13" s="156"/>
      <c r="G13" s="157"/>
      <c r="H13" s="216"/>
      <c r="I13" s="217"/>
      <c r="J13" s="217"/>
      <c r="K13" s="8">
        <f>IFERROR(IF(F12="Store Manager",VLOOKUP(B12,'Trading stores'!C:E,3,0),VLOOKUP(F12,Lists!C:D,2,0)),0)</f>
        <v>8</v>
      </c>
    </row>
    <row r="14" spans="1:12" ht="31.5" customHeight="1" thickBot="1">
      <c r="A14" s="160" t="s">
        <v>999</v>
      </c>
      <c r="B14" s="160"/>
      <c r="C14" s="160"/>
      <c r="D14" s="36"/>
      <c r="E14" s="37" t="s">
        <v>991</v>
      </c>
      <c r="F14" s="156"/>
      <c r="G14" s="157"/>
      <c r="H14" s="217" t="str">
        <f>IF(AND(LEFT(F10,4)="PART",K13&gt;0),"ANY CHANGES IN ROSTER OR HOURS FOR A PART TIME LEADER / SALARIED TEAM MEMBER MUST BE SENT TO THE HR REMUNERATION TEAM FOR APPROVAL","")</f>
        <v>ANY CHANGES IN ROSTER OR HOURS FOR A PART TIME LEADER / SALARIED TEAM MEMBER MUST BE SENT TO THE HR REMUNERATION TEAM FOR APPROVAL</v>
      </c>
      <c r="I14" s="217"/>
      <c r="J14" s="217"/>
      <c r="K14" s="8" t="s">
        <v>988</v>
      </c>
    </row>
    <row r="15" spans="1:12" ht="7.5" customHeight="1">
      <c r="A15" s="36"/>
      <c r="B15" s="36"/>
      <c r="C15" s="36"/>
      <c r="D15" s="36"/>
      <c r="E15" s="41"/>
      <c r="F15" s="41"/>
      <c r="G15" s="41"/>
      <c r="H15" s="217"/>
      <c r="I15" s="217"/>
      <c r="J15" s="217"/>
      <c r="K15" s="8"/>
    </row>
    <row r="16" spans="1:12" ht="7.5" customHeight="1">
      <c r="A16" s="40"/>
      <c r="B16" s="40"/>
      <c r="C16" s="40"/>
      <c r="D16" s="36"/>
      <c r="E16" s="36"/>
      <c r="F16" s="36"/>
      <c r="G16" s="36"/>
      <c r="H16" s="36"/>
      <c r="I16" s="36"/>
      <c r="J16" s="36"/>
      <c r="K16" s="8"/>
    </row>
    <row r="17" spans="1:36">
      <c r="A17" s="206" t="s">
        <v>826</v>
      </c>
      <c r="B17" s="206"/>
      <c r="C17" s="206"/>
      <c r="D17" s="206"/>
      <c r="E17" s="206"/>
      <c r="F17" s="206"/>
      <c r="G17" s="206"/>
      <c r="H17" s="206"/>
      <c r="I17" s="206"/>
      <c r="J17" s="206"/>
      <c r="K17" s="31"/>
    </row>
    <row r="18" spans="1:36" ht="18.600000000000001" customHeight="1">
      <c r="A18" s="205" t="s">
        <v>819</v>
      </c>
      <c r="B18" s="205"/>
      <c r="C18" s="205"/>
      <c r="D18" s="205"/>
      <c r="E18" s="205"/>
      <c r="F18" s="205"/>
      <c r="G18" s="205"/>
      <c r="H18" s="205"/>
      <c r="I18" s="205"/>
      <c r="J18" s="205"/>
      <c r="K18" s="23"/>
    </row>
    <row r="19" spans="1:36" ht="18.600000000000001" customHeight="1">
      <c r="A19" s="205"/>
      <c r="B19" s="205"/>
      <c r="C19" s="205"/>
      <c r="D19" s="205"/>
      <c r="E19" s="205"/>
      <c r="F19" s="205"/>
      <c r="G19" s="205"/>
      <c r="H19" s="205"/>
      <c r="I19" s="205"/>
      <c r="J19" s="205"/>
      <c r="K19" s="23"/>
      <c r="V19" s="89">
        <v>1</v>
      </c>
      <c r="W19" s="89">
        <v>1.25</v>
      </c>
      <c r="X19" s="89">
        <v>1.5</v>
      </c>
      <c r="Y19" s="89">
        <v>1.5</v>
      </c>
      <c r="Z19" s="89">
        <v>1.25</v>
      </c>
      <c r="AA19" s="89">
        <v>1.5</v>
      </c>
      <c r="AB19" s="89">
        <v>1.5</v>
      </c>
      <c r="AC19" s="89">
        <v>1.5</v>
      </c>
      <c r="AD19" s="89">
        <v>2</v>
      </c>
      <c r="AE19" s="89">
        <v>2</v>
      </c>
    </row>
    <row r="20" spans="1:36" s="12" customFormat="1" ht="48.6" customHeight="1" thickBot="1">
      <c r="A20" s="42"/>
      <c r="B20" s="43" t="s">
        <v>278</v>
      </c>
      <c r="C20" s="43" t="s">
        <v>855</v>
      </c>
      <c r="D20" s="44" t="s">
        <v>290</v>
      </c>
      <c r="E20" s="44" t="s">
        <v>291</v>
      </c>
      <c r="F20" s="127" t="s">
        <v>790</v>
      </c>
      <c r="G20" s="127"/>
      <c r="H20" s="44" t="s">
        <v>564</v>
      </c>
      <c r="I20" s="44" t="s">
        <v>292</v>
      </c>
      <c r="J20" s="45"/>
      <c r="K20" s="11"/>
      <c r="L20" s="80" t="s">
        <v>764</v>
      </c>
      <c r="M20" s="80" t="s">
        <v>841</v>
      </c>
      <c r="N20" s="80" t="s">
        <v>825</v>
      </c>
      <c r="O20" s="80" t="s">
        <v>840</v>
      </c>
      <c r="P20" s="81" t="s">
        <v>767</v>
      </c>
      <c r="Q20" s="81" t="s">
        <v>765</v>
      </c>
      <c r="R20" s="81" t="s">
        <v>766</v>
      </c>
      <c r="S20" s="81" t="s">
        <v>782</v>
      </c>
      <c r="T20" s="81" t="s">
        <v>783</v>
      </c>
      <c r="U20" s="85" t="s">
        <v>771</v>
      </c>
      <c r="V20" s="84" t="s">
        <v>780</v>
      </c>
      <c r="W20" s="84" t="s">
        <v>781</v>
      </c>
      <c r="X20" s="84" t="s">
        <v>772</v>
      </c>
      <c r="Y20" s="84" t="s">
        <v>773</v>
      </c>
      <c r="Z20" s="12" t="s">
        <v>774</v>
      </c>
      <c r="AA20" s="12" t="s">
        <v>775</v>
      </c>
      <c r="AB20" s="12" t="s">
        <v>776</v>
      </c>
      <c r="AC20" s="12" t="s">
        <v>777</v>
      </c>
      <c r="AD20" s="12" t="s">
        <v>778</v>
      </c>
      <c r="AE20" s="12" t="s">
        <v>779</v>
      </c>
      <c r="AF20" s="12" t="s">
        <v>904</v>
      </c>
      <c r="AG20" s="12" t="s">
        <v>905</v>
      </c>
      <c r="AH20" s="12" t="s">
        <v>794</v>
      </c>
      <c r="AI20" s="12" t="s">
        <v>795</v>
      </c>
      <c r="AJ20" s="12" t="s">
        <v>796</v>
      </c>
    </row>
    <row r="21" spans="1:36" ht="21.75" customHeight="1">
      <c r="A21" s="71" t="s">
        <v>293</v>
      </c>
      <c r="B21" s="68" t="s">
        <v>294</v>
      </c>
      <c r="C21" s="120" t="s">
        <v>869</v>
      </c>
      <c r="D21" s="46"/>
      <c r="E21" s="46"/>
      <c r="F21" s="46"/>
      <c r="G21" s="46"/>
      <c r="H21" s="47">
        <f>IF(OR($B21="Saturday",$B21="Sunday"),IF(((E21-D21)*24)&gt;10,1,IF(((E21-D21)*24)&gt;5,0.5,0)),IF(AND($B$11="Harris_Scarfe_Stores",$K$13&gt;0),IF(((E21-D21)*24)&gt;10,1.5,IF(((E21-D21)*24)&gt;5,0.75,0)),IF(((E21-D21)*24)&gt;10,1,IF(((E21-D21)*24)&gt;5,0.5,0))))</f>
        <v>0</v>
      </c>
      <c r="I21" s="47">
        <f>(HOUR(E21)+MINUTE(E21)/60)-(HOUR(D21)+MINUTE(D21)/60)-H21</f>
        <v>0</v>
      </c>
      <c r="J21" s="72"/>
      <c r="K21" s="13"/>
      <c r="L21" s="6">
        <f>IF(COUNTIF(D21:E21,"")=1,1,IF(COUNTIF(D21:E21,"")=0,IF(COUNTIF(C21,"")=1,1,0),IF(COUNTIF(D21:E21,"")=2,IF(COUNTIF(C21,"")=0,1,0))))</f>
        <v>1</v>
      </c>
      <c r="M21" s="6">
        <f>IF(AND(I21&gt;0,I34&gt;0,I33&gt;0,I32&gt;0,I31&gt;0,I30&gt;0,I29&gt;0),1,0)</f>
        <v>0</v>
      </c>
      <c r="N21" s="6" t="str">
        <f>IF(D21&lt;&gt;"",IF(((HOUR(E34)+MINUTE(E34)/60)-(HOUR(D21)+MINUTE(D21)/60))&gt;12,"yes","No"),"N/A")</f>
        <v>N/A</v>
      </c>
      <c r="O21" s="6" t="str">
        <f>IF(D21&lt;&gt;"",IF(((HOUR(E34)+MINUTE(E34)/60)-(HOUR(D21)+MINUTE(D21)/60))&gt;14,"yes","No"),"N/A")</f>
        <v>N/A</v>
      </c>
      <c r="P21" s="7">
        <f>COUNTIF(I21,"&lt;&gt;0")</f>
        <v>0</v>
      </c>
      <c r="Q21" s="7" t="b">
        <f>IF(SUM($P21,$P33:$P34)=0,TRUE,FALSE)</f>
        <v>0</v>
      </c>
      <c r="R21" s="7" t="b">
        <f>IF(SUM($P21,$P34)=0,TRUE,FALSE)</f>
        <v>1</v>
      </c>
      <c r="S21" s="7">
        <f t="shared" ref="S21:S26" si="0">IF(I21&gt;11,1,0)</f>
        <v>0</v>
      </c>
      <c r="T21" s="7">
        <f>IF(I21&gt;9,1,0)</f>
        <v>0</v>
      </c>
      <c r="U21" s="7">
        <f>V21*$V$19+W21*$W$19+X21*$X$19+Y21*$Y$19+Z21*$Z$19+AA21*$AA$19+AB21*$AB$19+AC21*$AC$19+AD21*$AD$19+AE21*$AE$19</f>
        <v>0</v>
      </c>
      <c r="V21" s="7">
        <f>IF(B21="Saturday",0,IF(B21="Sunday",0,IF(I21&gt;0,((E21-D21)*24)-IF(((E21-D21)*24)&gt;5,H21,0)-W21-X21-Y21,0)))</f>
        <v>0</v>
      </c>
      <c r="W21" s="7">
        <f>IF($B21="Saturday",0,IF($B21="Sunday",0,IF(($E21*24)&gt;18,($E21*24)-18,0)))-Y21</f>
        <v>0</v>
      </c>
      <c r="X21" s="7">
        <f>IF(B21="Saturday",0,IF(B21="Sunday",0,IF(I21&gt;0,IF((D21*24)&lt;7,7-(D21*24),0),0)))</f>
        <v>0</v>
      </c>
      <c r="Y21" s="7">
        <f t="shared" ref="Y21:Y34" si="1">IF(B21="Saturday",0,IF(B21="Sunday",0,IF(I21&gt;0,IF((E21*24)&gt;21,(E21*24)-21,0),0)))</f>
        <v>0</v>
      </c>
      <c r="Z21" s="7">
        <f>IF($B21="Saturday",IF(I21&gt;0,(($E21-$D21)*24)-IF((($E21-$D21)*24)&gt;5,H21,0)-AB21-AA21,0),0)</f>
        <v>0</v>
      </c>
      <c r="AA21" s="7">
        <f>IF($B21="Saturday",IF(I21&gt;0,IF(($D21*24)&lt;7,7-($D21*24),0),0),0)</f>
        <v>0</v>
      </c>
      <c r="AB21" s="7">
        <f>IF($B21="Saturday",IF(I21&gt;0,IF(($E21*24)&gt;18,($E21*24)-18,0),0),0)</f>
        <v>0</v>
      </c>
      <c r="AC21" s="7">
        <f>IF($B21="Sunday",IF(I21&gt;0,(($E21-$D21)*24)-IF((($E21-$D21)*24)&gt;5,H21,0)-AD21-AE21,0),0)</f>
        <v>0</v>
      </c>
      <c r="AD21" s="7">
        <f>ROUNDDOWN(IF($B21="Sunday",IF((D21*24)=0,0,IF((D21*24)&lt;9,9-(D21*24),0)),0),2)</f>
        <v>0</v>
      </c>
      <c r="AE21" s="7">
        <f>ROUNDDOWN(IF($B21="Sunday",IF(($E21*24)&gt;18,($E21*24)-18,0),0),2)</f>
        <v>0</v>
      </c>
      <c r="AF21" s="7">
        <f>IF(F21&gt;0,1,0)</f>
        <v>0</v>
      </c>
      <c r="AG21" s="7">
        <f>IF(G21&gt;0,1,0)</f>
        <v>0</v>
      </c>
      <c r="AH21" s="7">
        <f>IF((AF21+AG21)&gt;1,1,0)</f>
        <v>0</v>
      </c>
      <c r="AI21" s="7">
        <f>IF(H21&gt;0,1,0)</f>
        <v>0</v>
      </c>
      <c r="AJ21" s="7">
        <f>AH21-AI21</f>
        <v>0</v>
      </c>
    </row>
    <row r="22" spans="1:36" ht="21.75" customHeight="1">
      <c r="A22" s="66"/>
      <c r="B22" s="69" t="s">
        <v>295</v>
      </c>
      <c r="C22" s="121" t="s">
        <v>869</v>
      </c>
      <c r="D22" s="62">
        <v>0.312499999999999</v>
      </c>
      <c r="E22" s="62">
        <v>0.66666666666664398</v>
      </c>
      <c r="F22" s="62"/>
      <c r="G22" s="62"/>
      <c r="H22" s="63">
        <f>IF(OR($B22="Saturday",$B22="Sunday"),IF(((E22-D22)*24)&gt;10,1,IF(((E22-D22)*24)&gt;5,0.5,0)),IF(AND($B$11="Harris_Scarfe_Stores",$K$13&gt;0),IF(((E22-D22)*24)&gt;10,1.5,IF(((E22-D22)*24)&gt;5,0.75,0)),IF(((E22-D22)*24)&gt;10,1,IF(((E22-D22)*24)&gt;5,0.5,0))))</f>
        <v>0.75</v>
      </c>
      <c r="I22" s="63">
        <f>(HOUR(E22)+MINUTE(E22)/60)-(HOUR(D22)+MINUTE(D22)/60)-H22</f>
        <v>7.75</v>
      </c>
      <c r="J22" s="73"/>
      <c r="K22" s="13"/>
      <c r="L22" s="6">
        <f t="shared" ref="L22:L34" si="2">IF(COUNTIF(D22:E22,"")=1,1,IF(COUNTIF(D22:E22,"")=0,IF(COUNTIF(C22,"")=1,1,0),IF(COUNTIF(D22:E22,"")=2,IF(COUNTIF(C22,"")=0,1,0))))</f>
        <v>0</v>
      </c>
      <c r="M22" s="6">
        <f>IF(AND(I22&gt;0,I21&gt;0,I34&gt;0,I33&gt;0,I32&gt;0,I31&gt;0,I30&gt;0),1,0)</f>
        <v>0</v>
      </c>
      <c r="N22" s="6" t="str">
        <f>IF(D22&lt;&gt;"",IF(((HOUR(E21)+MINUTE(E21)/60)-(HOUR(D22)+MINUTE(D22)/60))&gt;12,"yes","No"),"N/A")</f>
        <v>No</v>
      </c>
      <c r="O22" s="6" t="str">
        <f>IF(D22&lt;&gt;"",IF(((HOUR(E21)+MINUTE(E21)/60)-(HOUR(D22)+MINUTE(D22)/60))&gt;14,"yes","No"),"N/A")</f>
        <v>No</v>
      </c>
      <c r="P22" s="7">
        <f t="shared" ref="P22:P34" si="3">COUNTIF(I22,"&lt;&gt;0")</f>
        <v>1</v>
      </c>
      <c r="Q22" s="7" t="b">
        <f>IF(SUM(P21:P22,P34)=0,TRUE,FALSE)</f>
        <v>0</v>
      </c>
      <c r="R22" s="7" t="b">
        <f>IF(SUM($P21:$P22)=0,TRUE,FALSE)</f>
        <v>0</v>
      </c>
      <c r="S22" s="7">
        <f t="shared" si="0"/>
        <v>0</v>
      </c>
      <c r="T22" s="7">
        <f t="shared" ref="T22:T34" si="4">IF(I22&gt;9,1,0)</f>
        <v>0</v>
      </c>
      <c r="U22" s="7">
        <f t="shared" ref="U22:U34" si="5">V22*$V$19+W22*$W$19+X22*$X$19+Y22*$Y$19+Z22*$Z$19+AA22*$AA$19+AB22*$AB$19+AC22*$AC$19+AD22*$AD$19+AE22*$AE$19</f>
        <v>7.7499999999994795</v>
      </c>
      <c r="V22" s="7">
        <f>IF(B22="Saturday",0,IF(B22="Sunday",0,IF(I22&gt;0,((E22-D22)*24)-IF(((E22-D22)*24)&gt;5,H22,0)-W22-X22-Y22,0)))</f>
        <v>7.7499999999994795</v>
      </c>
      <c r="W22" s="7">
        <f t="shared" ref="W22:W34" si="6">IF($B22="Saturday",0,IF($B22="Sunday",0,IF(($E22*24)&gt;18,($E22*24)-18,0)))-Y22</f>
        <v>0</v>
      </c>
      <c r="X22" s="7">
        <f>IF(B22="Saturday",0,IF(B22="Sunday",0,IF(I22&gt;0,IF((D22*24)&lt;7,7-(D22*24),0),0)))</f>
        <v>0</v>
      </c>
      <c r="Y22" s="7">
        <f t="shared" si="1"/>
        <v>0</v>
      </c>
      <c r="Z22" s="7">
        <f>IF($B22="Saturday",IF(I22&gt;0,(($E22-$D22)*24)-IF((($E22-$D22)*24)&gt;5,H22,0)-AB22-AA22,0),0)</f>
        <v>0</v>
      </c>
      <c r="AA22" s="7">
        <f>IF($B22="Saturday",IF(I22&gt;0,IF(($D22*24)&lt;7,7-($D22*24),0),0),0)</f>
        <v>0</v>
      </c>
      <c r="AB22" s="7">
        <f t="shared" ref="AB22:AB34" si="7">IF($B22="Saturday",IF(I22&gt;0,IF(($E22*24)&gt;18,($E22*24)-18,0),0),0)</f>
        <v>0</v>
      </c>
      <c r="AC22" s="7">
        <f>IF($B22="Sunday",IF(I22&gt;0,(($E22-$D22)*24)-IF((($E22-$D22)*24)&gt;5,H22,0)-AD22-AE22,0),0)</f>
        <v>0</v>
      </c>
      <c r="AD22" s="7">
        <f>ROUNDDOWN(IF($B22="Sunday",IF((D22*24)=0,0,IF((D22*24)&lt;9,9-(D22*24),0)),0),2)</f>
        <v>0</v>
      </c>
      <c r="AE22" s="7">
        <f t="shared" ref="AE22:AE34" si="8">ROUNDDOWN(IF($B22="Sunday",IF(($E22*24)&gt;18,($E22*24)-18,0),0),2)</f>
        <v>0</v>
      </c>
      <c r="AF22" s="7">
        <f t="shared" ref="AF22:AF34" si="9">IF(F22&gt;0,1,0)</f>
        <v>0</v>
      </c>
      <c r="AG22" s="7">
        <f t="shared" ref="AG22:AG34" si="10">IF(G22&gt;0,1,0)</f>
        <v>0</v>
      </c>
      <c r="AH22" s="7">
        <f t="shared" ref="AH22:AH34" si="11">IF((AF22+AG22)&gt;1,1,0)</f>
        <v>0</v>
      </c>
      <c r="AI22" s="7">
        <f t="shared" ref="AI22:AI34" si="12">IF(H22&gt;0,1,0)</f>
        <v>1</v>
      </c>
      <c r="AJ22" s="7">
        <f t="shared" ref="AJ22:AJ34" si="13">AH22-AI22</f>
        <v>-1</v>
      </c>
    </row>
    <row r="23" spans="1:36" ht="21.75" customHeight="1">
      <c r="A23" s="66"/>
      <c r="B23" s="69" t="s">
        <v>296</v>
      </c>
      <c r="C23" s="121" t="s">
        <v>869</v>
      </c>
      <c r="D23" s="62">
        <v>0.312499999999999</v>
      </c>
      <c r="E23" s="62">
        <v>0.66666666666664398</v>
      </c>
      <c r="F23" s="62"/>
      <c r="G23" s="62"/>
      <c r="H23" s="63">
        <f t="shared" ref="H23:H34" si="14">IF(OR($B23="Saturday",$B23="Sunday"),IF(((E23-D23)*24)&gt;10,1,IF(((E23-D23)*24)&gt;5,0.5,0)),IF(AND($B$11="Harris_Scarfe_Stores",$K$13&gt;0),IF(((E23-D23)*24)&gt;10,1.5,IF(((E23-D23)*24)&gt;5,0.75,0)),IF(((E23-D23)*24)&gt;10,1,IF(((E23-D23)*24)&gt;5,0.5,0))))</f>
        <v>0.75</v>
      </c>
      <c r="I23" s="63">
        <f t="shared" ref="I23:I34" si="15">(HOUR(E23)+MINUTE(E23)/60)-(HOUR(D23)+MINUTE(D23)/60)-H23</f>
        <v>7.75</v>
      </c>
      <c r="J23" s="73"/>
      <c r="K23" s="13"/>
      <c r="L23" s="6">
        <f t="shared" si="2"/>
        <v>0</v>
      </c>
      <c r="M23" s="6">
        <f>IF(AND(I23&gt;0,I22&gt;0,I21&gt;0,I34&gt;0,I33&gt;0,I32&gt;0,I31&gt;0),1,0)</f>
        <v>0</v>
      </c>
      <c r="N23" s="6" t="str">
        <f t="shared" ref="N23:N31" si="16">IF(D23&lt;&gt;"",IF(((HOUR(E22)+MINUTE(E22)/60)-(HOUR(D23)+MINUTE(D23)/60))&gt;12,"yes","No"),"N/A")</f>
        <v>No</v>
      </c>
      <c r="O23" s="6" t="str">
        <f t="shared" ref="O23:O32" si="17">IF(D23&lt;&gt;"",IF(((HOUR(E22)+MINUTE(E22)/60)-(HOUR(D23)+MINUTE(D23)/60))&gt;14,"yes","No"),"N/A")</f>
        <v>No</v>
      </c>
      <c r="P23" s="7">
        <f t="shared" si="3"/>
        <v>1</v>
      </c>
      <c r="Q23" s="7" t="b">
        <f>IF(SUM(P21:P23)=0,TRUE,FALSE)</f>
        <v>0</v>
      </c>
      <c r="R23" s="7" t="b">
        <f>IF(SUM($P22:$P23)=0,TRUE,FALSE)</f>
        <v>0</v>
      </c>
      <c r="S23" s="7">
        <f t="shared" si="0"/>
        <v>0</v>
      </c>
      <c r="T23" s="7">
        <f t="shared" si="4"/>
        <v>0</v>
      </c>
      <c r="U23" s="7">
        <f t="shared" si="5"/>
        <v>7.7499999999994795</v>
      </c>
      <c r="V23" s="7">
        <f t="shared" ref="V23:V34" si="18">IF(B23="Saturday",0,IF(B23="Sunday",0,IF(I23&gt;0,((E23-D23)*24)-IF(((E23-D23)*24)&gt;5,H23,0)-W23-X23-Y23,0)))</f>
        <v>7.7499999999994795</v>
      </c>
      <c r="W23" s="7">
        <f t="shared" si="6"/>
        <v>0</v>
      </c>
      <c r="X23" s="7">
        <f t="shared" ref="X23:X34" si="19">IF(B23="Saturday",0,IF(B23="Sunday",0,IF(I23&gt;0,IF((D23*24)&lt;7,7-(D23*24),0),0)))</f>
        <v>0</v>
      </c>
      <c r="Y23" s="7">
        <f t="shared" si="1"/>
        <v>0</v>
      </c>
      <c r="Z23" s="7">
        <f t="shared" ref="Z23:Z34" si="20">IF($B23="Saturday",IF(I23&gt;0,(($E23-$D23)*24)-IF((($E23-$D23)*24)&gt;5,H23,0)-AB23-AA23,0),0)</f>
        <v>0</v>
      </c>
      <c r="AA23" s="7">
        <f t="shared" ref="AA23:AA34" si="21">IF($B23="Saturday",IF(I23&gt;0,IF(($D23*24)&lt;7,7-($D23*24),0),0),0)</f>
        <v>0</v>
      </c>
      <c r="AB23" s="7">
        <f t="shared" si="7"/>
        <v>0</v>
      </c>
      <c r="AC23" s="7">
        <f t="shared" ref="AC23:AC34" si="22">IF($B23="Sunday",IF(I23&gt;0,(($E23-$D23)*24)-IF((($E23-$D23)*24)&gt;5,H23,0)-AD23-AE23,0),0)</f>
        <v>0</v>
      </c>
      <c r="AD23" s="7">
        <f t="shared" ref="AD23:AD34" si="23">ROUNDDOWN(IF($B23="Sunday",IF((D23*24)=0,0,IF((D23*24)&lt;9,9-(D23*24),0)),0),2)</f>
        <v>0</v>
      </c>
      <c r="AE23" s="7">
        <f t="shared" si="8"/>
        <v>0</v>
      </c>
      <c r="AF23" s="7">
        <f t="shared" si="9"/>
        <v>0</v>
      </c>
      <c r="AG23" s="7">
        <f t="shared" si="10"/>
        <v>0</v>
      </c>
      <c r="AH23" s="7">
        <f t="shared" si="11"/>
        <v>0</v>
      </c>
      <c r="AI23" s="7">
        <f t="shared" si="12"/>
        <v>1</v>
      </c>
      <c r="AJ23" s="7">
        <f t="shared" si="13"/>
        <v>-1</v>
      </c>
    </row>
    <row r="24" spans="1:36" ht="21.75" customHeight="1">
      <c r="A24" s="66"/>
      <c r="B24" s="69" t="s">
        <v>297</v>
      </c>
      <c r="C24" s="121" t="s">
        <v>869</v>
      </c>
      <c r="D24" s="62">
        <v>0.312499999999999</v>
      </c>
      <c r="E24" s="62">
        <v>0.72916666666663998</v>
      </c>
      <c r="F24" s="62"/>
      <c r="G24" s="62"/>
      <c r="H24" s="63">
        <f t="shared" si="14"/>
        <v>0.75</v>
      </c>
      <c r="I24" s="63">
        <f t="shared" si="15"/>
        <v>9.25</v>
      </c>
      <c r="J24" s="73"/>
      <c r="K24" s="13"/>
      <c r="L24" s="6">
        <f t="shared" si="2"/>
        <v>0</v>
      </c>
      <c r="M24" s="6">
        <f>IF(AND(I24&gt;0,I23&gt;0,I22&gt;0,I21&gt;0,I34&gt;0,I33&gt;0,I32&gt;0),1,0)</f>
        <v>0</v>
      </c>
      <c r="N24" s="6" t="str">
        <f t="shared" si="16"/>
        <v>No</v>
      </c>
      <c r="O24" s="6" t="str">
        <f t="shared" si="17"/>
        <v>No</v>
      </c>
      <c r="P24" s="7">
        <f t="shared" si="3"/>
        <v>1</v>
      </c>
      <c r="Q24" s="7" t="b">
        <f t="shared" ref="Q24:Q33" si="24">IF(SUM(P22:P24)=0,TRUE,FALSE)</f>
        <v>0</v>
      </c>
      <c r="R24" s="7" t="b">
        <f t="shared" ref="R24:R34" si="25">IF(SUM($P23:$P24)=0,TRUE,FALSE)</f>
        <v>0</v>
      </c>
      <c r="S24" s="7">
        <f t="shared" si="0"/>
        <v>0</v>
      </c>
      <c r="T24" s="7">
        <f t="shared" si="4"/>
        <v>1</v>
      </c>
      <c r="U24" s="7">
        <f t="shared" si="5"/>
        <v>9.2499999999993836</v>
      </c>
      <c r="V24" s="7">
        <f t="shared" si="18"/>
        <v>9.2499999999993836</v>
      </c>
      <c r="W24" s="7">
        <f t="shared" si="6"/>
        <v>0</v>
      </c>
      <c r="X24" s="7">
        <f t="shared" si="19"/>
        <v>0</v>
      </c>
      <c r="Y24" s="7">
        <f t="shared" si="1"/>
        <v>0</v>
      </c>
      <c r="Z24" s="7">
        <f t="shared" si="20"/>
        <v>0</v>
      </c>
      <c r="AA24" s="7">
        <f t="shared" si="21"/>
        <v>0</v>
      </c>
      <c r="AB24" s="7">
        <f t="shared" si="7"/>
        <v>0</v>
      </c>
      <c r="AC24" s="7">
        <f t="shared" si="22"/>
        <v>0</v>
      </c>
      <c r="AD24" s="7">
        <f t="shared" si="23"/>
        <v>0</v>
      </c>
      <c r="AE24" s="7">
        <f t="shared" si="8"/>
        <v>0</v>
      </c>
      <c r="AF24" s="7">
        <f t="shared" si="9"/>
        <v>0</v>
      </c>
      <c r="AG24" s="7">
        <f t="shared" si="10"/>
        <v>0</v>
      </c>
      <c r="AH24" s="7">
        <f t="shared" si="11"/>
        <v>0</v>
      </c>
      <c r="AI24" s="7">
        <f t="shared" si="12"/>
        <v>1</v>
      </c>
      <c r="AJ24" s="7">
        <f t="shared" si="13"/>
        <v>-1</v>
      </c>
    </row>
    <row r="25" spans="1:36" ht="21.75" customHeight="1">
      <c r="A25" s="66"/>
      <c r="B25" s="69" t="s">
        <v>279</v>
      </c>
      <c r="C25" s="121" t="s">
        <v>869</v>
      </c>
      <c r="D25" s="62">
        <v>0.312499999999999</v>
      </c>
      <c r="E25" s="62">
        <v>0.72916666666663998</v>
      </c>
      <c r="F25" s="62"/>
      <c r="G25" s="62"/>
      <c r="H25" s="63">
        <f t="shared" si="14"/>
        <v>0.75</v>
      </c>
      <c r="I25" s="63">
        <f t="shared" si="15"/>
        <v>9.25</v>
      </c>
      <c r="J25" s="73"/>
      <c r="K25" s="13"/>
      <c r="L25" s="6">
        <f t="shared" si="2"/>
        <v>0</v>
      </c>
      <c r="M25" s="6">
        <f>IF(AND(I25&gt;0,I24&gt;0,I23&gt;0,I22&gt;0,I21&gt;0,I34&gt;0,I33&gt;0),1,0)</f>
        <v>0</v>
      </c>
      <c r="N25" s="6" t="str">
        <f t="shared" si="16"/>
        <v>No</v>
      </c>
      <c r="O25" s="6" t="str">
        <f t="shared" si="17"/>
        <v>No</v>
      </c>
      <c r="P25" s="7">
        <f t="shared" si="3"/>
        <v>1</v>
      </c>
      <c r="Q25" s="7" t="b">
        <f t="shared" si="24"/>
        <v>0</v>
      </c>
      <c r="R25" s="7" t="b">
        <f t="shared" si="25"/>
        <v>0</v>
      </c>
      <c r="S25" s="7">
        <f t="shared" si="0"/>
        <v>0</v>
      </c>
      <c r="T25" s="7">
        <f t="shared" si="4"/>
        <v>1</v>
      </c>
      <c r="U25" s="7">
        <f t="shared" si="5"/>
        <v>9.2499999999993836</v>
      </c>
      <c r="V25" s="7">
        <f t="shared" si="18"/>
        <v>9.2499999999993836</v>
      </c>
      <c r="W25" s="7">
        <f t="shared" si="6"/>
        <v>0</v>
      </c>
      <c r="X25" s="7">
        <f t="shared" si="19"/>
        <v>0</v>
      </c>
      <c r="Y25" s="7">
        <f t="shared" si="1"/>
        <v>0</v>
      </c>
      <c r="Z25" s="7">
        <f t="shared" si="20"/>
        <v>0</v>
      </c>
      <c r="AA25" s="7">
        <f t="shared" si="21"/>
        <v>0</v>
      </c>
      <c r="AB25" s="7">
        <f t="shared" si="7"/>
        <v>0</v>
      </c>
      <c r="AC25" s="7">
        <f t="shared" si="22"/>
        <v>0</v>
      </c>
      <c r="AD25" s="7">
        <f t="shared" si="23"/>
        <v>0</v>
      </c>
      <c r="AE25" s="7">
        <f t="shared" si="8"/>
        <v>0</v>
      </c>
      <c r="AF25" s="7">
        <f t="shared" si="9"/>
        <v>0</v>
      </c>
      <c r="AG25" s="7">
        <f t="shared" si="10"/>
        <v>0</v>
      </c>
      <c r="AH25" s="7">
        <f t="shared" si="11"/>
        <v>0</v>
      </c>
      <c r="AI25" s="7">
        <f t="shared" si="12"/>
        <v>1</v>
      </c>
      <c r="AJ25" s="7">
        <f t="shared" si="13"/>
        <v>-1</v>
      </c>
    </row>
    <row r="26" spans="1:36" ht="21.75" customHeight="1">
      <c r="A26" s="66"/>
      <c r="B26" s="69" t="s">
        <v>280</v>
      </c>
      <c r="C26" s="121" t="s">
        <v>869</v>
      </c>
      <c r="D26" s="62">
        <v>0.312499999999999</v>
      </c>
      <c r="E26" s="62">
        <v>0.65624999999997802</v>
      </c>
      <c r="F26" s="62"/>
      <c r="G26" s="62"/>
      <c r="H26" s="63">
        <f t="shared" si="14"/>
        <v>0.5</v>
      </c>
      <c r="I26" s="63">
        <f>(HOUR(E26)+MINUTE(E26)/60)-(HOUR(D26)+MINUTE(D26)/60)-H26</f>
        <v>7.75</v>
      </c>
      <c r="J26" s="73"/>
      <c r="K26" s="13"/>
      <c r="L26" s="6">
        <f t="shared" si="2"/>
        <v>0</v>
      </c>
      <c r="M26" s="6">
        <f>IF(AND(I26&gt;0,I25&gt;0,I24&gt;0,I23&gt;0,I22&gt;0,I21&gt;0,I34&gt;0),1,0)</f>
        <v>0</v>
      </c>
      <c r="N26" s="6" t="str">
        <f>IF(D26&lt;&gt;"",IF(((HOUR(E25)+MINUTE(E25)/60)-(HOUR(D26)+MINUTE(D26)/60))&gt;12,"yes","No"),"N/A")</f>
        <v>No</v>
      </c>
      <c r="O26" s="6" t="str">
        <f t="shared" si="17"/>
        <v>No</v>
      </c>
      <c r="P26" s="7">
        <f t="shared" si="3"/>
        <v>1</v>
      </c>
      <c r="Q26" s="7" t="b">
        <f t="shared" si="24"/>
        <v>0</v>
      </c>
      <c r="R26" s="7" t="b">
        <f t="shared" si="25"/>
        <v>0</v>
      </c>
      <c r="S26" s="7">
        <f t="shared" si="0"/>
        <v>0</v>
      </c>
      <c r="T26" s="7">
        <f t="shared" si="4"/>
        <v>0</v>
      </c>
      <c r="U26" s="7">
        <f t="shared" si="5"/>
        <v>9.6874999999993694</v>
      </c>
      <c r="V26" s="7">
        <f t="shared" si="18"/>
        <v>0</v>
      </c>
      <c r="W26" s="7">
        <f t="shared" si="6"/>
        <v>0</v>
      </c>
      <c r="X26" s="7">
        <f t="shared" si="19"/>
        <v>0</v>
      </c>
      <c r="Y26" s="7">
        <f t="shared" si="1"/>
        <v>0</v>
      </c>
      <c r="Z26" s="7">
        <f t="shared" si="20"/>
        <v>7.7499999999994955</v>
      </c>
      <c r="AA26" s="7">
        <f t="shared" si="21"/>
        <v>0</v>
      </c>
      <c r="AB26" s="7">
        <f t="shared" si="7"/>
        <v>0</v>
      </c>
      <c r="AC26" s="7">
        <f t="shared" si="22"/>
        <v>0</v>
      </c>
      <c r="AD26" s="7">
        <f t="shared" si="23"/>
        <v>0</v>
      </c>
      <c r="AE26" s="7">
        <f t="shared" si="8"/>
        <v>0</v>
      </c>
      <c r="AF26" s="7">
        <f t="shared" si="9"/>
        <v>0</v>
      </c>
      <c r="AG26" s="7">
        <f t="shared" si="10"/>
        <v>0</v>
      </c>
      <c r="AH26" s="7">
        <f t="shared" si="11"/>
        <v>0</v>
      </c>
      <c r="AI26" s="7">
        <f t="shared" si="12"/>
        <v>1</v>
      </c>
      <c r="AJ26" s="7">
        <f t="shared" si="13"/>
        <v>-1</v>
      </c>
    </row>
    <row r="27" spans="1:36" ht="21.75" customHeight="1" thickBot="1">
      <c r="A27" s="67"/>
      <c r="B27" s="70" t="s">
        <v>281</v>
      </c>
      <c r="C27" s="122"/>
      <c r="D27" s="62"/>
      <c r="E27" s="62"/>
      <c r="F27" s="64"/>
      <c r="G27" s="64"/>
      <c r="H27" s="65">
        <f t="shared" si="14"/>
        <v>0</v>
      </c>
      <c r="I27" s="65">
        <f t="shared" si="15"/>
        <v>0</v>
      </c>
      <c r="J27" s="74">
        <f>SUM(I21:I27)</f>
        <v>41.75</v>
      </c>
      <c r="K27" s="24">
        <f>COUNTIF(I21:I27,"&lt;&gt;0")</f>
        <v>5</v>
      </c>
      <c r="L27" s="6">
        <f t="shared" si="2"/>
        <v>0</v>
      </c>
      <c r="M27" s="6">
        <f>IF(AND(I27&gt;0,I26&gt;0,I25&gt;0,I24&gt;0,I23&gt;0,I22&gt;0,I21&gt;0),1,0)</f>
        <v>0</v>
      </c>
      <c r="N27" s="6" t="str">
        <f t="shared" si="16"/>
        <v>N/A</v>
      </c>
      <c r="O27" s="6" t="str">
        <f t="shared" si="17"/>
        <v>N/A</v>
      </c>
      <c r="P27" s="7">
        <f t="shared" si="3"/>
        <v>0</v>
      </c>
      <c r="Q27" s="7" t="b">
        <f t="shared" si="24"/>
        <v>0</v>
      </c>
      <c r="R27" s="7" t="b">
        <f t="shared" si="25"/>
        <v>0</v>
      </c>
      <c r="S27" s="7">
        <f>IF(I27&gt;11,1,0)</f>
        <v>0</v>
      </c>
      <c r="T27" s="7">
        <f t="shared" si="4"/>
        <v>0</v>
      </c>
      <c r="U27" s="7">
        <f t="shared" si="5"/>
        <v>0</v>
      </c>
      <c r="V27" s="7">
        <f t="shared" si="18"/>
        <v>0</v>
      </c>
      <c r="W27" s="7">
        <f t="shared" si="6"/>
        <v>0</v>
      </c>
      <c r="X27" s="7">
        <f t="shared" si="19"/>
        <v>0</v>
      </c>
      <c r="Y27" s="7">
        <f t="shared" si="1"/>
        <v>0</v>
      </c>
      <c r="Z27" s="7">
        <f t="shared" si="20"/>
        <v>0</v>
      </c>
      <c r="AA27" s="7">
        <f t="shared" si="21"/>
        <v>0</v>
      </c>
      <c r="AB27" s="7">
        <f t="shared" si="7"/>
        <v>0</v>
      </c>
      <c r="AC27" s="7">
        <f t="shared" si="22"/>
        <v>0</v>
      </c>
      <c r="AD27" s="7">
        <f t="shared" si="23"/>
        <v>0</v>
      </c>
      <c r="AE27" s="7">
        <f t="shared" si="8"/>
        <v>0</v>
      </c>
      <c r="AF27" s="7">
        <f t="shared" si="9"/>
        <v>0</v>
      </c>
      <c r="AG27" s="7">
        <f t="shared" si="10"/>
        <v>0</v>
      </c>
      <c r="AH27" s="7">
        <f t="shared" si="11"/>
        <v>0</v>
      </c>
      <c r="AI27" s="7">
        <f t="shared" si="12"/>
        <v>0</v>
      </c>
      <c r="AJ27" s="7">
        <f t="shared" si="13"/>
        <v>0</v>
      </c>
    </row>
    <row r="28" spans="1:36" ht="21.75" customHeight="1">
      <c r="A28" s="71" t="s">
        <v>298</v>
      </c>
      <c r="B28" s="68" t="s">
        <v>294</v>
      </c>
      <c r="C28" s="120"/>
      <c r="D28" s="46"/>
      <c r="E28" s="46"/>
      <c r="F28" s="46"/>
      <c r="G28" s="46"/>
      <c r="H28" s="47">
        <f t="shared" si="14"/>
        <v>0</v>
      </c>
      <c r="I28" s="47">
        <f t="shared" si="15"/>
        <v>0</v>
      </c>
      <c r="J28" s="48"/>
      <c r="K28" s="13"/>
      <c r="L28" s="6">
        <f t="shared" si="2"/>
        <v>0</v>
      </c>
      <c r="M28" s="6">
        <f>IF(AND(I28&gt;0,I27&gt;0,I26&gt;0,I25&gt;0,I24&gt;0,I23&gt;0,I22&gt;0),1,0)</f>
        <v>0</v>
      </c>
      <c r="N28" s="6" t="str">
        <f t="shared" si="16"/>
        <v>N/A</v>
      </c>
      <c r="O28" s="6" t="str">
        <f t="shared" si="17"/>
        <v>N/A</v>
      </c>
      <c r="P28" s="7">
        <f t="shared" si="3"/>
        <v>0</v>
      </c>
      <c r="Q28" s="7" t="b">
        <f t="shared" si="24"/>
        <v>0</v>
      </c>
      <c r="R28" s="7" t="b">
        <f t="shared" si="25"/>
        <v>1</v>
      </c>
      <c r="S28" s="7">
        <f t="shared" ref="S28:S34" si="26">IF(I28&gt;11,1,0)</f>
        <v>0</v>
      </c>
      <c r="T28" s="7">
        <f t="shared" si="4"/>
        <v>0</v>
      </c>
      <c r="U28" s="7">
        <f t="shared" si="5"/>
        <v>0</v>
      </c>
      <c r="V28" s="7">
        <f t="shared" si="18"/>
        <v>0</v>
      </c>
      <c r="W28" s="7">
        <f t="shared" si="6"/>
        <v>0</v>
      </c>
      <c r="X28" s="7">
        <f t="shared" si="19"/>
        <v>0</v>
      </c>
      <c r="Y28" s="7">
        <f t="shared" si="1"/>
        <v>0</v>
      </c>
      <c r="Z28" s="7">
        <f t="shared" si="20"/>
        <v>0</v>
      </c>
      <c r="AA28" s="7">
        <f t="shared" si="21"/>
        <v>0</v>
      </c>
      <c r="AB28" s="7">
        <f t="shared" si="7"/>
        <v>0</v>
      </c>
      <c r="AC28" s="7">
        <f t="shared" si="22"/>
        <v>0</v>
      </c>
      <c r="AD28" s="7">
        <f t="shared" si="23"/>
        <v>0</v>
      </c>
      <c r="AE28" s="7">
        <f t="shared" si="8"/>
        <v>0</v>
      </c>
      <c r="AF28" s="7">
        <f t="shared" si="9"/>
        <v>0</v>
      </c>
      <c r="AG28" s="7">
        <f t="shared" si="10"/>
        <v>0</v>
      </c>
      <c r="AH28" s="7">
        <f t="shared" si="11"/>
        <v>0</v>
      </c>
      <c r="AI28" s="7">
        <f t="shared" si="12"/>
        <v>0</v>
      </c>
      <c r="AJ28" s="7">
        <f t="shared" si="13"/>
        <v>0</v>
      </c>
    </row>
    <row r="29" spans="1:36" ht="21.75" customHeight="1">
      <c r="A29" s="66"/>
      <c r="B29" s="69" t="s">
        <v>295</v>
      </c>
      <c r="C29" s="121"/>
      <c r="D29" s="62"/>
      <c r="E29" s="62"/>
      <c r="F29" s="62"/>
      <c r="G29" s="62"/>
      <c r="H29" s="63">
        <f>IF(OR($B29="Saturday",$B29="Sunday"),IF(((E29-D29)*24)&gt;10,1,IF(((E29-D29)*24)&gt;5,0.5,0)),IF(AND($B$11="Harris_Scarfe_Stores",$K$13&gt;0),IF(((E29-D29)*24)&gt;10,1.5,IF(((E29-D29)*24)&gt;5,0.75,0)),IF(((E29-D29)*24)&gt;10,1,IF(((E29-D29)*24)&gt;5,0.5,0))))</f>
        <v>0</v>
      </c>
      <c r="I29" s="63">
        <f>(HOUR(E29)+MINUTE(E29)/60)-(HOUR(D29)+MINUTE(D29)/60)-H29</f>
        <v>0</v>
      </c>
      <c r="J29" s="49"/>
      <c r="K29" s="13"/>
      <c r="L29" s="6">
        <f>IF(COUNTIF(D29:E29,"")=1,1,IF(COUNTIF(D29:E29,"")=0,IF(COUNTIF(C29,"")=1,1,0),IF(COUNTIF(D29:E29,"")=2,IF(COUNTIF(C29,"")=0,1,0))))</f>
        <v>0</v>
      </c>
      <c r="M29" s="6">
        <f t="shared" ref="M29:M34" si="27">IF(AND(I29&gt;0,I28&gt;0,I27&gt;0,I26&gt;0,I25&gt;0,I24&gt;0,I23&gt;0),1,0)</f>
        <v>0</v>
      </c>
      <c r="N29" s="6" t="str">
        <f>IF(D29&lt;&gt;"",IF(((HOUR(E28)+MINUTE(E28)/60)-(HOUR(D29)+MINUTE(D29)/60))&gt;12,"yes","No"),"N/A")</f>
        <v>N/A</v>
      </c>
      <c r="O29" s="6" t="str">
        <f>IF(D29&lt;&gt;"",IF(((HOUR(E28)+MINUTE(E28)/60)-(HOUR(D29)+MINUTE(D29)/60))&gt;14,"yes","No"),"N/A")</f>
        <v>N/A</v>
      </c>
      <c r="P29" s="7">
        <f t="shared" si="3"/>
        <v>0</v>
      </c>
      <c r="Q29" s="7" t="b">
        <f t="shared" si="24"/>
        <v>1</v>
      </c>
      <c r="R29" s="7" t="b">
        <f t="shared" si="25"/>
        <v>1</v>
      </c>
      <c r="S29" s="7">
        <f t="shared" si="26"/>
        <v>0</v>
      </c>
      <c r="T29" s="7">
        <f t="shared" si="4"/>
        <v>0</v>
      </c>
      <c r="U29" s="7">
        <f t="shared" si="5"/>
        <v>0</v>
      </c>
      <c r="V29" s="7">
        <f>IF(B29="Saturday",0,IF(B29="Sunday",0,IF(I29&gt;0,((E29-D29)*24)-IF(((E29-D29)*24)&gt;5,H29,0)-W29-X29-Y29,0)))</f>
        <v>0</v>
      </c>
      <c r="W29" s="7">
        <f>IF($B29="Saturday",0,IF($B29="Sunday",0,IF(($E29*24)&gt;18,($E29*24)-18,0)))-Y29</f>
        <v>0</v>
      </c>
      <c r="X29" s="7">
        <f>IF(B29="Saturday",0,IF(B29="Sunday",0,IF(I29&gt;0,IF((D29*24)&lt;7,7-(D29*24),0),0)))</f>
        <v>0</v>
      </c>
      <c r="Y29" s="7">
        <f>IF(B29="Saturday",0,IF(B29="Sunday",0,IF(I29&gt;0,IF((E29*24)&gt;21,(E29*24)-21,0),0)))</f>
        <v>0</v>
      </c>
      <c r="Z29" s="7">
        <f>IF($B29="Saturday",IF(I29&gt;0,(($E29-$D29)*24)-IF((($E29-$D29)*24)&gt;5,H29,0)-AB29-AA29,0),0)</f>
        <v>0</v>
      </c>
      <c r="AA29" s="7">
        <f>IF($B29="Saturday",IF(I29&gt;0,IF(($D29*24)&lt;7,7-($D29*24),0),0),0)</f>
        <v>0</v>
      </c>
      <c r="AB29" s="7">
        <f>IF($B29="Saturday",IF(I29&gt;0,IF(($E29*24)&gt;18,($E29*24)-18,0),0),0)</f>
        <v>0</v>
      </c>
      <c r="AC29" s="7">
        <f>IF($B29="Sunday",IF(I29&gt;0,(($E29-$D29)*24)-IF((($E29-$D29)*24)&gt;5,H29,0)-AD29-AE29,0),0)</f>
        <v>0</v>
      </c>
      <c r="AD29" s="7">
        <f>ROUNDDOWN(IF($B29="Sunday",IF((D29*24)=0,0,IF((D29*24)&lt;9,9-(D29*24),0)),0),2)</f>
        <v>0</v>
      </c>
      <c r="AE29" s="7">
        <f>ROUNDDOWN(IF($B29="Sunday",IF(($E29*24)&gt;18,($E29*24)-18,0),0),2)</f>
        <v>0</v>
      </c>
      <c r="AF29" s="7">
        <f t="shared" si="9"/>
        <v>0</v>
      </c>
      <c r="AG29" s="7">
        <f t="shared" si="10"/>
        <v>0</v>
      </c>
      <c r="AH29" s="7">
        <f t="shared" si="11"/>
        <v>0</v>
      </c>
      <c r="AI29" s="7">
        <f t="shared" si="12"/>
        <v>0</v>
      </c>
      <c r="AJ29" s="7">
        <f t="shared" si="13"/>
        <v>0</v>
      </c>
    </row>
    <row r="30" spans="1:36" ht="21.75" customHeight="1">
      <c r="A30" s="66"/>
      <c r="B30" s="69" t="s">
        <v>296</v>
      </c>
      <c r="C30" s="121" t="s">
        <v>869</v>
      </c>
      <c r="D30" s="62">
        <v>0.312499999999999</v>
      </c>
      <c r="E30" s="62">
        <v>0.61458333333331405</v>
      </c>
      <c r="F30" s="62"/>
      <c r="G30" s="62"/>
      <c r="H30" s="63">
        <f t="shared" si="14"/>
        <v>0.75</v>
      </c>
      <c r="I30" s="63">
        <f t="shared" si="15"/>
        <v>6.5</v>
      </c>
      <c r="J30" s="49"/>
      <c r="K30" s="13"/>
      <c r="L30" s="6">
        <f t="shared" si="2"/>
        <v>0</v>
      </c>
      <c r="M30" s="6">
        <f t="shared" si="27"/>
        <v>0</v>
      </c>
      <c r="N30" s="6" t="str">
        <f>IF(D30&lt;&gt;"",IF(((HOUR(E29)+MINUTE(E29)/60)-(HOUR(D30)+MINUTE(D30)/60))&gt;12,"yes","No"),"N/A")</f>
        <v>No</v>
      </c>
      <c r="O30" s="6" t="str">
        <f>IF(D30&lt;&gt;"",IF(((HOUR(E29)+MINUTE(E29)/60)-(HOUR(D30)+MINUTE(D30)/60))&gt;14,"yes","No"),"N/A")</f>
        <v>No</v>
      </c>
      <c r="P30" s="7">
        <f t="shared" si="3"/>
        <v>1</v>
      </c>
      <c r="Q30" s="7" t="b">
        <f t="shared" si="24"/>
        <v>0</v>
      </c>
      <c r="R30" s="7" t="b">
        <f t="shared" si="25"/>
        <v>0</v>
      </c>
      <c r="S30" s="7">
        <f t="shared" si="26"/>
        <v>0</v>
      </c>
      <c r="T30" s="7">
        <f t="shared" si="4"/>
        <v>0</v>
      </c>
      <c r="U30" s="7">
        <f t="shared" si="5"/>
        <v>6.4999999999995612</v>
      </c>
      <c r="V30" s="7">
        <f t="shared" si="18"/>
        <v>6.4999999999995612</v>
      </c>
      <c r="W30" s="7">
        <f t="shared" si="6"/>
        <v>0</v>
      </c>
      <c r="X30" s="7">
        <f t="shared" si="19"/>
        <v>0</v>
      </c>
      <c r="Y30" s="7">
        <f t="shared" si="1"/>
        <v>0</v>
      </c>
      <c r="Z30" s="7">
        <f t="shared" si="20"/>
        <v>0</v>
      </c>
      <c r="AA30" s="7">
        <f t="shared" si="21"/>
        <v>0</v>
      </c>
      <c r="AB30" s="7">
        <f t="shared" si="7"/>
        <v>0</v>
      </c>
      <c r="AC30" s="7">
        <f t="shared" si="22"/>
        <v>0</v>
      </c>
      <c r="AD30" s="7">
        <f t="shared" si="23"/>
        <v>0</v>
      </c>
      <c r="AE30" s="7">
        <f t="shared" si="8"/>
        <v>0</v>
      </c>
      <c r="AF30" s="7">
        <f t="shared" si="9"/>
        <v>0</v>
      </c>
      <c r="AG30" s="7">
        <f t="shared" si="10"/>
        <v>0</v>
      </c>
      <c r="AH30" s="7">
        <f t="shared" si="11"/>
        <v>0</v>
      </c>
      <c r="AI30" s="7">
        <f t="shared" si="12"/>
        <v>1</v>
      </c>
      <c r="AJ30" s="7">
        <f t="shared" si="13"/>
        <v>-1</v>
      </c>
    </row>
    <row r="31" spans="1:36" ht="21.75" customHeight="1">
      <c r="A31" s="66"/>
      <c r="B31" s="69" t="s">
        <v>297</v>
      </c>
      <c r="C31" s="121" t="s">
        <v>869</v>
      </c>
      <c r="D31" s="62">
        <v>0.312499999999999</v>
      </c>
      <c r="E31" s="62">
        <v>0.61458333333331405</v>
      </c>
      <c r="F31" s="62"/>
      <c r="G31" s="62"/>
      <c r="H31" s="63">
        <f t="shared" si="14"/>
        <v>0.75</v>
      </c>
      <c r="I31" s="63">
        <f t="shared" si="15"/>
        <v>6.5</v>
      </c>
      <c r="J31" s="49"/>
      <c r="K31" s="13"/>
      <c r="L31" s="6">
        <f t="shared" si="2"/>
        <v>0</v>
      </c>
      <c r="M31" s="6">
        <f t="shared" si="27"/>
        <v>0</v>
      </c>
      <c r="N31" s="6" t="str">
        <f t="shared" si="16"/>
        <v>No</v>
      </c>
      <c r="O31" s="6" t="str">
        <f t="shared" si="17"/>
        <v>No</v>
      </c>
      <c r="P31" s="7">
        <f t="shared" si="3"/>
        <v>1</v>
      </c>
      <c r="Q31" s="7" t="b">
        <f t="shared" si="24"/>
        <v>0</v>
      </c>
      <c r="R31" s="7" t="b">
        <f t="shared" si="25"/>
        <v>0</v>
      </c>
      <c r="S31" s="7">
        <f t="shared" si="26"/>
        <v>0</v>
      </c>
      <c r="T31" s="7">
        <f t="shared" si="4"/>
        <v>0</v>
      </c>
      <c r="U31" s="7">
        <f t="shared" si="5"/>
        <v>6.4999999999995612</v>
      </c>
      <c r="V31" s="7">
        <f t="shared" si="18"/>
        <v>6.4999999999995612</v>
      </c>
      <c r="W31" s="7">
        <f t="shared" si="6"/>
        <v>0</v>
      </c>
      <c r="X31" s="7">
        <f t="shared" si="19"/>
        <v>0</v>
      </c>
      <c r="Y31" s="7">
        <f t="shared" si="1"/>
        <v>0</v>
      </c>
      <c r="Z31" s="7">
        <f t="shared" si="20"/>
        <v>0</v>
      </c>
      <c r="AA31" s="7">
        <f t="shared" si="21"/>
        <v>0</v>
      </c>
      <c r="AB31" s="7">
        <f t="shared" si="7"/>
        <v>0</v>
      </c>
      <c r="AC31" s="7">
        <f t="shared" si="22"/>
        <v>0</v>
      </c>
      <c r="AD31" s="7">
        <f t="shared" si="23"/>
        <v>0</v>
      </c>
      <c r="AE31" s="7">
        <f t="shared" si="8"/>
        <v>0</v>
      </c>
      <c r="AF31" s="7">
        <f t="shared" si="9"/>
        <v>0</v>
      </c>
      <c r="AG31" s="7">
        <f t="shared" si="10"/>
        <v>0</v>
      </c>
      <c r="AH31" s="7">
        <f t="shared" si="11"/>
        <v>0</v>
      </c>
      <c r="AI31" s="7">
        <f t="shared" si="12"/>
        <v>1</v>
      </c>
      <c r="AJ31" s="7">
        <f t="shared" si="13"/>
        <v>-1</v>
      </c>
    </row>
    <row r="32" spans="1:36" ht="21.75" customHeight="1">
      <c r="A32" s="66"/>
      <c r="B32" s="69" t="s">
        <v>279</v>
      </c>
      <c r="C32" s="121" t="s">
        <v>869</v>
      </c>
      <c r="D32" s="62">
        <v>0.312499999999999</v>
      </c>
      <c r="E32" s="62">
        <v>0.61458333333331405</v>
      </c>
      <c r="F32" s="62"/>
      <c r="G32" s="62"/>
      <c r="H32" s="63">
        <f t="shared" si="14"/>
        <v>0.75</v>
      </c>
      <c r="I32" s="63">
        <f t="shared" si="15"/>
        <v>6.5</v>
      </c>
      <c r="J32" s="49"/>
      <c r="K32" s="13"/>
      <c r="L32" s="6">
        <f t="shared" si="2"/>
        <v>0</v>
      </c>
      <c r="M32" s="6">
        <f t="shared" si="27"/>
        <v>0</v>
      </c>
      <c r="N32" s="6" t="str">
        <f>IF(D32&lt;&gt;"",IF(((HOUR(E31)+MINUTE(E31)/60)-(HOUR(D32)+MINUTE(D32)/60))&gt;12,"yes","No"),"N/A")</f>
        <v>No</v>
      </c>
      <c r="O32" s="6" t="str">
        <f t="shared" si="17"/>
        <v>No</v>
      </c>
      <c r="P32" s="7">
        <f t="shared" si="3"/>
        <v>1</v>
      </c>
      <c r="Q32" s="7" t="b">
        <f t="shared" si="24"/>
        <v>0</v>
      </c>
      <c r="R32" s="7" t="b">
        <f t="shared" si="25"/>
        <v>0</v>
      </c>
      <c r="S32" s="7">
        <f t="shared" si="26"/>
        <v>0</v>
      </c>
      <c r="T32" s="7">
        <f t="shared" si="4"/>
        <v>0</v>
      </c>
      <c r="U32" s="7">
        <f t="shared" si="5"/>
        <v>6.4999999999995612</v>
      </c>
      <c r="V32" s="7">
        <f t="shared" si="18"/>
        <v>6.4999999999995612</v>
      </c>
      <c r="W32" s="7">
        <f t="shared" si="6"/>
        <v>0</v>
      </c>
      <c r="X32" s="7">
        <f t="shared" si="19"/>
        <v>0</v>
      </c>
      <c r="Y32" s="7">
        <f t="shared" si="1"/>
        <v>0</v>
      </c>
      <c r="Z32" s="7">
        <f t="shared" si="20"/>
        <v>0</v>
      </c>
      <c r="AA32" s="7">
        <f t="shared" si="21"/>
        <v>0</v>
      </c>
      <c r="AB32" s="7">
        <f t="shared" si="7"/>
        <v>0</v>
      </c>
      <c r="AC32" s="7">
        <f t="shared" si="22"/>
        <v>0</v>
      </c>
      <c r="AD32" s="7">
        <f t="shared" si="23"/>
        <v>0</v>
      </c>
      <c r="AE32" s="7">
        <f t="shared" si="8"/>
        <v>0</v>
      </c>
      <c r="AF32" s="7">
        <f t="shared" si="9"/>
        <v>0</v>
      </c>
      <c r="AG32" s="7">
        <f t="shared" si="10"/>
        <v>0</v>
      </c>
      <c r="AH32" s="7">
        <f t="shared" si="11"/>
        <v>0</v>
      </c>
      <c r="AI32" s="7">
        <f t="shared" si="12"/>
        <v>1</v>
      </c>
      <c r="AJ32" s="7">
        <f t="shared" si="13"/>
        <v>-1</v>
      </c>
    </row>
    <row r="33" spans="1:36" ht="21.75" customHeight="1">
      <c r="A33" s="66"/>
      <c r="B33" s="69" t="s">
        <v>280</v>
      </c>
      <c r="C33" s="121" t="s">
        <v>869</v>
      </c>
      <c r="D33" s="62">
        <v>0.312499999999999</v>
      </c>
      <c r="E33" s="62">
        <v>0.62499999999998002</v>
      </c>
      <c r="F33" s="62"/>
      <c r="G33" s="62"/>
      <c r="H33" s="63">
        <f>IF(OR($B33="Saturday",$B33="Sunday"),IF(((E33-D33)*24)&gt;10,1,IF(((E33-D33)*24)&gt;5,0.5,0)),IF(AND($B$11="Harris_Scarfe_Stores",$K$13&gt;0),IF(((E33-D33)*24)&gt;10,1.5,IF(((E33-D33)*24)&gt;5,0.75,0)),IF(((E33-D33)*24)&gt;10,1,IF(((E33-D33)*24)&gt;5,0.5,0))))</f>
        <v>0.5</v>
      </c>
      <c r="I33" s="63">
        <f>(HOUR(E33)+MINUTE(E33)/60)-(HOUR(D33)+MINUTE(D33)/60)-H33</f>
        <v>7</v>
      </c>
      <c r="J33" s="49"/>
      <c r="K33" s="13"/>
      <c r="L33" s="6">
        <f>IF(COUNTIF(D33:E33,"")=1,1,IF(COUNTIF(D33:E33,"")=0,IF(COUNTIF(C33,"")=1,1,0),IF(COUNTIF(D33:E33,"")=2,IF(COUNTIF(C33,"")=0,1,0))))</f>
        <v>0</v>
      </c>
      <c r="M33" s="6">
        <f t="shared" si="27"/>
        <v>0</v>
      </c>
      <c r="N33" s="6" t="str">
        <f>IF(D33&lt;&gt;"",IF(((HOUR(E32)+MINUTE(E32)/60)-(HOUR(D33)+MINUTE(D33)/60))&gt;12,"yes","No"),"N/A")</f>
        <v>No</v>
      </c>
      <c r="O33" s="6" t="str">
        <f>IF(D33&lt;&gt;"",IF(((HOUR(E32)+MINUTE(E32)/60)-(HOUR(D33)+MINUTE(D33)/60))&gt;14,"yes","No"),"N/A")</f>
        <v>No</v>
      </c>
      <c r="P33" s="7">
        <f t="shared" si="3"/>
        <v>1</v>
      </c>
      <c r="Q33" s="7" t="b">
        <f t="shared" si="24"/>
        <v>0</v>
      </c>
      <c r="R33" s="7" t="b">
        <f t="shared" si="25"/>
        <v>0</v>
      </c>
      <c r="S33" s="7">
        <f t="shared" si="26"/>
        <v>0</v>
      </c>
      <c r="T33" s="7">
        <f t="shared" si="4"/>
        <v>0</v>
      </c>
      <c r="U33" s="7">
        <f t="shared" si="5"/>
        <v>8.7499999999994298</v>
      </c>
      <c r="V33" s="7">
        <f>IF(B33="Saturday",0,IF(B33="Sunday",0,IF(I33&gt;0,((E33-D33)*24)-IF(((E33-D33)*24)&gt;5,H33,0)-W33-X33-Y33,0)))</f>
        <v>0</v>
      </c>
      <c r="W33" s="7">
        <f>IF($B33="Saturday",0,IF($B33="Sunday",0,IF(($E33*24)&gt;18,($E33*24)-18,0)))-Y33</f>
        <v>0</v>
      </c>
      <c r="X33" s="7">
        <f>IF(B33="Saturday",0,IF(B33="Sunday",0,IF(I33&gt;0,IF((D33*24)&lt;7,7-(D33*24),0),0)))</f>
        <v>0</v>
      </c>
      <c r="Y33" s="7">
        <f>IF(B33="Saturday",0,IF(B33="Sunday",0,IF(I33&gt;0,IF((E33*24)&gt;21,(E33*24)-21,0),0)))</f>
        <v>0</v>
      </c>
      <c r="Z33" s="7">
        <f>IF($B33="Saturday",IF(I33&gt;0,(($E33-$D33)*24)-IF((($E33-$D33)*24)&gt;5,H33,0)-AB33-AA33,0),0)</f>
        <v>6.9999999999995444</v>
      </c>
      <c r="AA33" s="7">
        <f>IF($B33="Saturday",IF(I33&gt;0,IF(($D33*24)&lt;7,7-($D33*24),0),0),0)</f>
        <v>0</v>
      </c>
      <c r="AB33" s="7">
        <f>IF($B33="Saturday",IF(I33&gt;0,IF(($E33*24)&gt;18,($E33*24)-18,0),0),0)</f>
        <v>0</v>
      </c>
      <c r="AC33" s="7">
        <f>IF($B33="Sunday",IF(I33&gt;0,(($E33-$D33)*24)-IF((($E33-$D33)*24)&gt;5,H33,0)-AD33-AE33,0),0)</f>
        <v>0</v>
      </c>
      <c r="AD33" s="7">
        <f>ROUNDDOWN(IF($B33="Sunday",IF((D33*24)=0,0,IF((D33*24)&lt;9,9-(D33*24),0)),0),2)</f>
        <v>0</v>
      </c>
      <c r="AE33" s="7">
        <f>ROUNDDOWN(IF($B33="Sunday",IF(($E33*24)&gt;18,($E33*24)-18,0),0),2)</f>
        <v>0</v>
      </c>
      <c r="AF33" s="7">
        <f t="shared" si="9"/>
        <v>0</v>
      </c>
      <c r="AG33" s="7">
        <f t="shared" si="10"/>
        <v>0</v>
      </c>
      <c r="AH33" s="7">
        <f t="shared" si="11"/>
        <v>0</v>
      </c>
      <c r="AI33" s="7">
        <f t="shared" si="12"/>
        <v>1</v>
      </c>
      <c r="AJ33" s="7">
        <f t="shared" si="13"/>
        <v>-1</v>
      </c>
    </row>
    <row r="34" spans="1:36" ht="21.75" customHeight="1" thickBot="1">
      <c r="A34" s="67"/>
      <c r="B34" s="70" t="s">
        <v>281</v>
      </c>
      <c r="C34" s="122"/>
      <c r="D34" s="62"/>
      <c r="E34" s="62"/>
      <c r="F34" s="64"/>
      <c r="G34" s="64"/>
      <c r="H34" s="65">
        <f t="shared" si="14"/>
        <v>0</v>
      </c>
      <c r="I34" s="65">
        <f t="shared" si="15"/>
        <v>0</v>
      </c>
      <c r="J34" s="50">
        <f>SUM(I28:I34)</f>
        <v>26.5</v>
      </c>
      <c r="K34" s="24">
        <f>COUNTIF(I28:I34,"&lt;&gt;0")</f>
        <v>4</v>
      </c>
      <c r="L34" s="6">
        <f t="shared" si="2"/>
        <v>0</v>
      </c>
      <c r="M34" s="6">
        <f t="shared" si="27"/>
        <v>0</v>
      </c>
      <c r="N34" s="6" t="str">
        <f>IF(D34&lt;&gt;"",IF(((HOUR(E33)+MINUTE(E33)/60)-(HOUR(D34)+MINUTE(D34)/60))&gt;12,"yes","No"),"N/A")</f>
        <v>N/A</v>
      </c>
      <c r="O34" s="6" t="str">
        <f>IF(D34&lt;&gt;"",IF(((HOUR(E33)+MINUTE(E33)/60)-(HOUR(D34)+MINUTE(D34)/60))&gt;14,"yes","No"),"N/A")</f>
        <v>N/A</v>
      </c>
      <c r="P34" s="7">
        <f t="shared" si="3"/>
        <v>0</v>
      </c>
      <c r="Q34" s="7" t="b">
        <f>IF(SUM(P32:P34)=0,TRUE,FALSE)</f>
        <v>0</v>
      </c>
      <c r="R34" s="7" t="b">
        <f t="shared" si="25"/>
        <v>0</v>
      </c>
      <c r="S34" s="7">
        <f t="shared" si="26"/>
        <v>0</v>
      </c>
      <c r="T34" s="7">
        <f t="shared" si="4"/>
        <v>0</v>
      </c>
      <c r="U34" s="7">
        <f t="shared" si="5"/>
        <v>0</v>
      </c>
      <c r="V34" s="7">
        <f t="shared" si="18"/>
        <v>0</v>
      </c>
      <c r="W34" s="7">
        <f t="shared" si="6"/>
        <v>0</v>
      </c>
      <c r="X34" s="7">
        <f t="shared" si="19"/>
        <v>0</v>
      </c>
      <c r="Y34" s="7">
        <f t="shared" si="1"/>
        <v>0</v>
      </c>
      <c r="Z34" s="7">
        <f t="shared" si="20"/>
        <v>0</v>
      </c>
      <c r="AA34" s="7">
        <f t="shared" si="21"/>
        <v>0</v>
      </c>
      <c r="AB34" s="7">
        <f t="shared" si="7"/>
        <v>0</v>
      </c>
      <c r="AC34" s="7">
        <f t="shared" si="22"/>
        <v>0</v>
      </c>
      <c r="AD34" s="7">
        <f t="shared" si="23"/>
        <v>0</v>
      </c>
      <c r="AE34" s="7">
        <f t="shared" si="8"/>
        <v>0</v>
      </c>
      <c r="AF34" s="7">
        <f t="shared" si="9"/>
        <v>0</v>
      </c>
      <c r="AG34" s="7">
        <f t="shared" si="10"/>
        <v>0</v>
      </c>
      <c r="AH34" s="7">
        <f t="shared" si="11"/>
        <v>0</v>
      </c>
      <c r="AI34" s="7">
        <f t="shared" si="12"/>
        <v>0</v>
      </c>
      <c r="AJ34" s="7">
        <f t="shared" si="13"/>
        <v>0</v>
      </c>
    </row>
    <row r="35" spans="1:36">
      <c r="A35" s="42"/>
      <c r="B35" s="42"/>
      <c r="C35" s="42"/>
      <c r="D35" s="51"/>
      <c r="E35" s="51"/>
      <c r="F35" s="51"/>
      <c r="G35" s="51"/>
      <c r="H35" s="52" t="str">
        <f>IF(MOD(J36,0.25)&gt;0,"base hours can only be a multiple of 15 minutes, please amend roster","")</f>
        <v>base hours can only be a multiple of 15 minutes, please amend roster</v>
      </c>
      <c r="I35" s="42" t="s">
        <v>299</v>
      </c>
      <c r="J35" s="51">
        <f>SUM(J34,J27)</f>
        <v>68.25</v>
      </c>
      <c r="K35" s="13"/>
    </row>
    <row r="36" spans="1:36" ht="16.5" thickBot="1">
      <c r="A36" s="42"/>
      <c r="B36" s="42"/>
      <c r="C36" s="42"/>
      <c r="D36" s="51"/>
      <c r="E36" s="51"/>
      <c r="F36" s="51"/>
      <c r="G36" s="51"/>
      <c r="H36" s="183" t="s">
        <v>300</v>
      </c>
      <c r="I36" s="183"/>
      <c r="J36" s="51">
        <f>SUM(J35/2)</f>
        <v>34.125</v>
      </c>
      <c r="K36" s="13"/>
    </row>
    <row r="37" spans="1:36" ht="15.95" customHeight="1" thickBot="1">
      <c r="A37" s="227" t="s">
        <v>763</v>
      </c>
      <c r="B37" s="228"/>
      <c r="C37" s="228"/>
      <c r="D37" s="228"/>
      <c r="E37" s="134" t="s">
        <v>768</v>
      </c>
      <c r="F37" s="228" t="s">
        <v>759</v>
      </c>
      <c r="G37" s="228"/>
      <c r="H37" s="228"/>
      <c r="I37" s="228"/>
      <c r="J37" s="235"/>
      <c r="K37" s="32"/>
    </row>
    <row r="38" spans="1:36" ht="15.95" customHeight="1">
      <c r="A38" s="236" t="s">
        <v>760</v>
      </c>
      <c r="B38" s="237"/>
      <c r="C38" s="238"/>
      <c r="D38" s="124" t="str" cm="1">
        <f t="array" ref="D38">IF(OR(IF($D$21:$D$26="","N/A",IF($D$21:$D$26&lt;TIME(7,0,0),"ERROR","PASS"))="ERROR",IF($D$28:$D$33="","N/A",IF($D$28:$D$33&lt;TIME(7,0,0),"ERROR","PASS"))="ERROR",IF($D$27="","N/A",IF($D$27&lt;TIME(8,59,0),"ERROR","PASS"))="ERROR",IF($D$34="","N/A",IF($D$34&lt;TIME(8,59,0),"ERROR","PASS"))="ERROR"),"ERROR","PASS")</f>
        <v>PASS</v>
      </c>
      <c r="E38" s="135"/>
      <c r="F38" s="137" t="s">
        <v>828</v>
      </c>
      <c r="G38" s="138"/>
      <c r="H38" s="138"/>
      <c r="I38" s="138"/>
      <c r="J38" s="123" t="str">
        <f>IF(F10="","N/A",IF(AND(LEFT(F10,4)="Full",$J$36=38),"PASS",IF(AND(LEFT(F10,3)="Cas",$J$36=0),"PASS",IF(AND(LEFT(F10,4)="Part",AND($J$36&gt;0,$J$36&lt;38)),"PASS","ERROR"))))</f>
        <v>PASS</v>
      </c>
      <c r="K38" s="32"/>
    </row>
    <row r="39" spans="1:36" ht="15.95" customHeight="1">
      <c r="A39" s="78" t="s">
        <v>761</v>
      </c>
      <c r="B39" s="118"/>
      <c r="C39" s="119"/>
      <c r="D39" s="79" t="str" cm="1">
        <f t="array" ref="D39">IF(OR(IF($E$21:$E$25="","N/A",IF($E$21:$E$25&gt;TIME(21,0,0),"ERROR","PASS"))="ERROR",IF($E$28:$E$32="","N/A",IF($E$28:$E$32&gt;TIME(21,0,0),"ERROR","PASS"))="ERROR",IF($E$26:$E$27="","N/A",IF($E$26:$E$27&gt;TIME(18,0,0),"ERROR","PASS"))="ERROR",IF($E$33:$E$34="","N/A",IF($E$33:$E$34&gt;TIME(18,0,0),"ERROR","PASS"))="ERROR"),"ERROR","PASS")</f>
        <v>PASS</v>
      </c>
      <c r="E39" s="135"/>
      <c r="F39" s="139" t="s">
        <v>829</v>
      </c>
      <c r="G39" s="140"/>
      <c r="H39" s="140"/>
      <c r="I39" s="140"/>
      <c r="J39" s="79" t="str">
        <f>IF($J$35&gt;76,"ERROR","PASS")</f>
        <v>PASS</v>
      </c>
      <c r="K39" s="32"/>
    </row>
    <row r="40" spans="1:36" ht="15.95" customHeight="1">
      <c r="A40" s="244"/>
      <c r="B40" s="245"/>
      <c r="C40" s="246"/>
      <c r="D40" s="79"/>
      <c r="E40" s="135"/>
      <c r="F40" s="139" t="s">
        <v>992</v>
      </c>
      <c r="G40" s="140"/>
      <c r="H40" s="140"/>
      <c r="I40" s="140"/>
      <c r="J40" s="79" t="str">
        <f>IF(LEFT(F10,4)="Part",IF(AND($J$34&gt;0,$J$34&lt;38),IF(AND($J$27&gt;0,$J$27&lt;38),"PASS","ERROR"),"ERROR"),"N/A")</f>
        <v>ERROR</v>
      </c>
      <c r="K40" s="32"/>
    </row>
    <row r="41" spans="1:36" ht="15.95" customHeight="1">
      <c r="A41" s="239" t="s">
        <v>803</v>
      </c>
      <c r="B41" s="240"/>
      <c r="C41" s="241"/>
      <c r="D41" s="79" t="str">
        <f>IF(COUNTIF($N$21:$N$34,"yes")&gt;0, CONCATENATE("ERROR - ",COUNTIF($N$21:$N$34,"yes")," shift/s"),"PASS")</f>
        <v>PASS</v>
      </c>
      <c r="E41" s="135"/>
      <c r="F41" s="139" t="s">
        <v>912</v>
      </c>
      <c r="G41" s="140"/>
      <c r="H41" s="140"/>
      <c r="I41" s="140"/>
      <c r="J41" s="79" t="str">
        <f>IF(SUM($L$21:$L$34)&gt;0,"ERROR","PASS")</f>
        <v>ERROR</v>
      </c>
      <c r="K41" s="32"/>
    </row>
    <row r="42" spans="1:36" ht="15.95" customHeight="1" thickBot="1">
      <c r="A42" s="242" t="s">
        <v>804</v>
      </c>
      <c r="B42" s="243"/>
      <c r="C42" s="243"/>
      <c r="D42" s="125" t="str">
        <f>IF(COUNTIF(I21:I34,"&lt;&gt;0")=10,"ERROR","PASS")</f>
        <v>PASS</v>
      </c>
      <c r="E42" s="135"/>
      <c r="F42" s="141" t="s">
        <v>830</v>
      </c>
      <c r="G42" s="142"/>
      <c r="H42" s="142"/>
      <c r="I42" s="142"/>
      <c r="J42" s="79" t="str">
        <f>IF(SUM($M$21:$M$34)&gt;0,"ERROR","PASS")</f>
        <v>PASS</v>
      </c>
      <c r="K42" s="32"/>
    </row>
    <row r="43" spans="1:36" ht="15.75" customHeight="1">
      <c r="A43" s="128" t="s">
        <v>762</v>
      </c>
      <c r="B43" s="129"/>
      <c r="C43" s="129"/>
      <c r="D43" s="130"/>
      <c r="E43" s="135"/>
      <c r="F43" s="161" t="s">
        <v>831</v>
      </c>
      <c r="G43" s="162"/>
      <c r="H43" s="162"/>
      <c r="I43" s="162"/>
      <c r="J43" s="79" t="str">
        <f>IF(K34&gt;=6,IF(K27&gt;4,"ERROR","PASS"),"PASS")</f>
        <v>PASS</v>
      </c>
      <c r="K43" s="32"/>
    </row>
    <row r="44" spans="1:36" ht="15.75" customHeight="1" thickBot="1">
      <c r="A44" s="131"/>
      <c r="B44" s="132"/>
      <c r="C44" s="132"/>
      <c r="D44" s="133"/>
      <c r="E44" s="135"/>
      <c r="F44" s="161" t="s">
        <v>832</v>
      </c>
      <c r="G44" s="162"/>
      <c r="H44" s="162"/>
      <c r="I44" s="162"/>
      <c r="J44" s="79" t="str">
        <f>IF(K27&gt;=6,IF(K34&gt;4,"ERROR","PASS"),"PASS")</f>
        <v>PASS</v>
      </c>
      <c r="K44" s="32"/>
    </row>
    <row r="45" spans="1:36" ht="15.95" customHeight="1">
      <c r="A45" s="147" t="s">
        <v>805</v>
      </c>
      <c r="B45" s="148"/>
      <c r="C45" s="149"/>
      <c r="D45" s="225" t="str">
        <f>IF(D51="1",IF(COUNTIF(Q22:Q34,TRUE)&gt;=1,"PASS",IF(AND(COUNTIF(R22:R27,TRUE)&gt;=1,COUNTIF(R29:R34,TRUE)&gt;=1),"PASS","ERROR")),IF(D51="2",IF(COUNTIF(Q21:Q34,TRUE)&gt;=1,"PASS","ERROR"),IF(D51="11",IF(AND(COUNTIF(R21:R27,TRUE)&gt;=1,COUNTIF(R28:R34,TRUE)&gt;=1),"PASS","ERROR"))))</f>
        <v>PASS</v>
      </c>
      <c r="E45" s="135"/>
      <c r="F45" s="141" t="s">
        <v>833</v>
      </c>
      <c r="G45" s="142"/>
      <c r="H45" s="142"/>
      <c r="I45" s="142"/>
      <c r="J45" s="104" t="str">
        <f>IF(COUNTIF($O$21:$O$34,"yes")&gt;0, CONCATENATE("ERROR - ",COUNTIF($O$21:$O$34,"yes")," shifts"),"PASS")</f>
        <v>PASS</v>
      </c>
      <c r="K45" s="32"/>
    </row>
    <row r="46" spans="1:36" ht="15.95" customHeight="1">
      <c r="A46" s="150"/>
      <c r="B46" s="151"/>
      <c r="C46" s="152"/>
      <c r="D46" s="226"/>
      <c r="E46" s="135"/>
      <c r="F46" s="141" t="s">
        <v>834</v>
      </c>
      <c r="G46" s="142"/>
      <c r="H46" s="142"/>
      <c r="I46" s="142"/>
      <c r="J46" s="105" t="str">
        <f>IF(SUM(S21:S34)&gt;0,"ERROR","PASS")</f>
        <v>PASS</v>
      </c>
      <c r="K46" s="32"/>
    </row>
    <row r="47" spans="1:36" ht="15.95" customHeight="1">
      <c r="A47" s="153" t="s">
        <v>806</v>
      </c>
      <c r="B47" s="154"/>
      <c r="C47" s="155"/>
      <c r="D47" s="77" t="str">
        <f>IF(IF((2*(IF($I$34&gt;0,1,0)+IF($I$27&gt;0,1,0)))=4,4,(2*(IF($I$34&gt;0,1,0)+IF($I$27&gt;0,1,0))))=4,"ERROR","PASS")</f>
        <v>PASS</v>
      </c>
      <c r="E47" s="135"/>
      <c r="F47" s="143" t="s">
        <v>835</v>
      </c>
      <c r="G47" s="144"/>
      <c r="H47" s="144"/>
      <c r="I47" s="144"/>
      <c r="J47" s="105" t="str">
        <f>IF(OR(SUM(T21:T27)&gt;1,SUM(T28:T34)&gt;1),"ERROR","PASS")</f>
        <v>ERROR</v>
      </c>
      <c r="K47" s="32"/>
    </row>
    <row r="48" spans="1:36" ht="15.95" customHeight="1">
      <c r="A48" s="153" t="s">
        <v>827</v>
      </c>
      <c r="B48" s="154"/>
      <c r="C48" s="155"/>
      <c r="D48" s="77" t="str">
        <f>IF(AND($B$11="Harris_Scarfe_Stores",$K$13&lt;1,LEFT(F10,4)="PART"),IF(J35&lt;16,"ERROR","PASS"),"N/A")</f>
        <v>N/A</v>
      </c>
      <c r="E48" s="135"/>
      <c r="F48" s="145" t="s">
        <v>836</v>
      </c>
      <c r="G48" s="146"/>
      <c r="H48" s="146"/>
      <c r="I48" s="146"/>
      <c r="J48" s="79" t="str">
        <f>IF(LEFT($G$10,3)="Cas","N/A",IF(COUNTIFS($I$21:$I$34,"&gt;0",$I$21:$I$34,"&lt;3")&gt;0,"ERROR","PASS"))</f>
        <v>PASS</v>
      </c>
      <c r="K48" s="32"/>
    </row>
    <row r="49" spans="1:15" ht="15.95" customHeight="1">
      <c r="A49" s="179"/>
      <c r="B49" s="179"/>
      <c r="C49" s="179"/>
      <c r="D49" s="76"/>
      <c r="E49" s="135"/>
      <c r="F49" s="141" t="s">
        <v>837</v>
      </c>
      <c r="G49" s="142"/>
      <c r="H49" s="142"/>
      <c r="I49" s="142"/>
      <c r="J49" s="104" t="str">
        <f>IF(B10="","ERROR",IF(MOD((B10-DATE(2020,7,13)),14)=0,"PASS","ERROR"))</f>
        <v>PASS</v>
      </c>
      <c r="K49" s="32"/>
    </row>
    <row r="50" spans="1:15" ht="15.95" customHeight="1">
      <c r="A50" s="179"/>
      <c r="B50" s="179"/>
      <c r="C50" s="179"/>
      <c r="D50" s="93"/>
      <c r="E50" s="135"/>
      <c r="F50" s="141" t="s">
        <v>838</v>
      </c>
      <c r="G50" s="142"/>
      <c r="H50" s="142"/>
      <c r="I50" s="142"/>
      <c r="J50" s="104" t="str">
        <f>IF(LEFT(F10,4)="PART",IF(COUNTIF(AJ21:AJ34,"&lt;&gt;0")&gt;0,"ERROR - "&amp;COUNTIF(AJ21:AJ34,"&lt;&gt;0")&amp;" SHIFT/S","PASS"),IF(COUNTIF(AH21:AH34,"&gt;0")&gt;0,"ERROR","N/A"))</f>
        <v>ERROR - 9 SHIFT/S</v>
      </c>
      <c r="K50" s="32"/>
    </row>
    <row r="51" spans="1:15" ht="15.95" customHeight="1" thickBot="1">
      <c r="A51" s="176" t="s">
        <v>792</v>
      </c>
      <c r="B51" s="177"/>
      <c r="C51" s="178"/>
      <c r="D51" s="92" t="str">
        <f>IF(AND(Q21=TRUE,COUNTIF(Q22:Q34,TRUE)&lt;1),"2",IF(AND(R21=TRUE,R28=TRUE,COUNTIF(R21:R34,TRUE)=2),"11","1"))</f>
        <v>1</v>
      </c>
      <c r="E51" s="136"/>
      <c r="F51" s="233" t="s">
        <v>839</v>
      </c>
      <c r="G51" s="234"/>
      <c r="H51" s="234"/>
      <c r="I51" s="234"/>
      <c r="J51" s="106" t="str">
        <f>IFERROR(IF(SUM(U21:U34)&gt;L11,"ERROR","PASS"),"N/A")</f>
        <v>PASS</v>
      </c>
      <c r="K51" s="32"/>
    </row>
    <row r="52" spans="1:15" ht="16.5" thickBot="1">
      <c r="A52" s="75" t="s">
        <v>282</v>
      </c>
      <c r="B52" s="232" t="str">
        <f>$B$5&amp;" "&amp;$B$6&amp;" "&amp;$F$6</f>
        <v xml:space="preserve">  </v>
      </c>
      <c r="C52" s="232"/>
      <c r="D52" s="232"/>
      <c r="E52" s="232"/>
      <c r="F52" s="232"/>
      <c r="G52" s="232"/>
      <c r="H52" s="232"/>
      <c r="I52" s="232"/>
      <c r="J52" s="232"/>
      <c r="K52" s="25"/>
    </row>
    <row r="53" spans="1:15" ht="51" customHeight="1" thickBot="1">
      <c r="A53" s="83" t="s">
        <v>283</v>
      </c>
      <c r="B53" s="168" t="s">
        <v>997</v>
      </c>
      <c r="C53" s="169"/>
      <c r="D53" s="169"/>
      <c r="E53" s="169"/>
      <c r="F53" s="169"/>
      <c r="G53" s="169"/>
      <c r="H53" s="169"/>
      <c r="I53" s="169"/>
      <c r="J53" s="170"/>
      <c r="K53" s="21"/>
    </row>
    <row r="54" spans="1:15" ht="51" customHeight="1" thickBot="1">
      <c r="A54" s="83" t="s">
        <v>791</v>
      </c>
      <c r="B54" s="165" t="str">
        <f>IF(LEFT(D41,5)="Error","By signing this roster, you agree to have a minimum of 10 hours between shifts instead of 12 hours, on the days noted in the above roster that incurrs said shorter break.","N/A")</f>
        <v>N/A</v>
      </c>
      <c r="C54" s="166"/>
      <c r="D54" s="167"/>
      <c r="E54" s="83" t="s">
        <v>793</v>
      </c>
      <c r="F54" s="116"/>
      <c r="G54" s="165" t="str">
        <f>IF(D42="Error","By signing this roster, you agree to be rostered to work "&amp; (COUNTIF(I21:I34,"&lt;&gt;0")*2) &amp;" starts in a 4 week period","N/A")</f>
        <v>N/A</v>
      </c>
      <c r="H54" s="166"/>
      <c r="I54" s="166"/>
      <c r="J54" s="167"/>
      <c r="K54" s="21"/>
    </row>
    <row r="55" spans="1:15" ht="7.5" customHeight="1" thickBot="1">
      <c r="A55" s="36"/>
      <c r="B55" s="36"/>
      <c r="C55" s="36"/>
      <c r="D55" s="36"/>
      <c r="E55" s="36"/>
      <c r="F55" s="36"/>
      <c r="G55" s="36"/>
      <c r="H55" s="36"/>
      <c r="I55" s="36"/>
      <c r="J55" s="36"/>
      <c r="K55" s="8"/>
    </row>
    <row r="56" spans="1:15" ht="74.25" customHeight="1" thickBot="1">
      <c r="A56" s="168" t="s">
        <v>755</v>
      </c>
      <c r="B56" s="169"/>
      <c r="C56" s="169"/>
      <c r="D56" s="169"/>
      <c r="E56" s="169"/>
      <c r="F56" s="169"/>
      <c r="G56" s="169"/>
      <c r="H56" s="169"/>
      <c r="I56" s="169"/>
      <c r="J56" s="170"/>
      <c r="K56" s="21"/>
    </row>
    <row r="57" spans="1:15" s="15" customFormat="1" ht="7.5" customHeight="1" thickBot="1">
      <c r="A57" s="53"/>
      <c r="B57" s="53"/>
      <c r="C57" s="53"/>
      <c r="D57" s="53"/>
      <c r="E57" s="53"/>
      <c r="F57" s="53"/>
      <c r="G57" s="53"/>
      <c r="H57" s="53"/>
      <c r="I57" s="53"/>
      <c r="J57" s="53"/>
      <c r="K57" s="14"/>
      <c r="L57" s="6"/>
      <c r="M57" s="6"/>
      <c r="N57" s="6"/>
      <c r="O57" s="6"/>
    </row>
    <row r="58" spans="1:15" ht="32.25" thickBot="1">
      <c r="A58" s="54" t="s">
        <v>566</v>
      </c>
      <c r="B58" s="173"/>
      <c r="C58" s="174"/>
      <c r="D58" s="174"/>
      <c r="E58" s="174"/>
      <c r="F58" s="174"/>
      <c r="G58" s="174"/>
      <c r="H58" s="174"/>
      <c r="I58" s="174"/>
      <c r="J58" s="175"/>
      <c r="K58" s="26"/>
    </row>
    <row r="59" spans="1:15" ht="7.5" customHeight="1">
      <c r="A59" s="36"/>
      <c r="B59" s="36"/>
      <c r="C59" s="36"/>
      <c r="D59" s="36"/>
      <c r="E59" s="36"/>
      <c r="F59" s="36"/>
      <c r="G59" s="36"/>
      <c r="H59" s="36"/>
      <c r="I59" s="36"/>
      <c r="J59" s="36"/>
      <c r="K59" s="8"/>
    </row>
    <row r="60" spans="1:15">
      <c r="A60" s="190" t="s">
        <v>568</v>
      </c>
      <c r="B60" s="191"/>
      <c r="C60" s="115"/>
      <c r="D60" s="55"/>
      <c r="E60" s="55"/>
      <c r="F60" s="55"/>
      <c r="G60" s="55"/>
      <c r="H60" s="55"/>
      <c r="I60" s="55"/>
      <c r="J60" s="56"/>
      <c r="K60" s="9"/>
    </row>
    <row r="61" spans="1:15">
      <c r="A61" s="199" t="s">
        <v>847</v>
      </c>
      <c r="B61" s="200"/>
      <c r="C61" s="200"/>
      <c r="D61" s="200"/>
      <c r="E61" s="200"/>
      <c r="F61" s="200"/>
      <c r="G61" s="200"/>
      <c r="H61" s="200"/>
      <c r="I61" s="200"/>
      <c r="J61" s="200"/>
      <c r="K61" s="19"/>
    </row>
    <row r="62" spans="1:15" ht="16.5" thickBot="1">
      <c r="A62" s="201" t="s">
        <v>807</v>
      </c>
      <c r="B62" s="201"/>
      <c r="C62" s="201"/>
      <c r="D62" s="201"/>
      <c r="E62" s="201"/>
      <c r="F62" s="201"/>
      <c r="G62" s="201"/>
      <c r="H62" s="201"/>
      <c r="I62" s="201"/>
      <c r="J62" s="201"/>
      <c r="K62" s="20"/>
    </row>
    <row r="63" spans="1:15" ht="34.5" customHeight="1" thickBot="1">
      <c r="A63" s="57" t="s">
        <v>285</v>
      </c>
      <c r="B63" s="202" t="str">
        <f>B65</f>
        <v xml:space="preserve"> </v>
      </c>
      <c r="C63" s="203"/>
      <c r="D63" s="57" t="s">
        <v>286</v>
      </c>
      <c r="E63" s="181"/>
      <c r="F63" s="182"/>
      <c r="G63" s="172"/>
      <c r="H63" s="57" t="s">
        <v>287</v>
      </c>
      <c r="I63" s="171"/>
      <c r="J63" s="172"/>
      <c r="K63" s="27"/>
    </row>
    <row r="64" spans="1:15" ht="16.5" thickBot="1">
      <c r="A64" s="229" t="s">
        <v>284</v>
      </c>
      <c r="B64" s="230"/>
      <c r="C64" s="230"/>
      <c r="D64" s="230"/>
      <c r="E64" s="230"/>
      <c r="F64" s="230"/>
      <c r="G64" s="230"/>
      <c r="H64" s="230"/>
      <c r="I64" s="230"/>
      <c r="J64" s="231"/>
      <c r="K64" s="20"/>
    </row>
    <row r="65" spans="1:11" ht="34.5" customHeight="1" thickBot="1">
      <c r="A65" s="57" t="s">
        <v>285</v>
      </c>
      <c r="B65" s="202" t="str">
        <f>B6&amp;" "&amp;F6</f>
        <v xml:space="preserve"> </v>
      </c>
      <c r="C65" s="203"/>
      <c r="D65" s="86" t="s">
        <v>286</v>
      </c>
      <c r="E65" s="181"/>
      <c r="F65" s="182"/>
      <c r="G65" s="172"/>
      <c r="H65" s="58" t="s">
        <v>287</v>
      </c>
      <c r="I65" s="163"/>
      <c r="J65" s="164"/>
      <c r="K65" s="27"/>
    </row>
    <row r="66" spans="1:11" ht="34.5" customHeight="1" thickBot="1">
      <c r="A66" s="57" t="s">
        <v>288</v>
      </c>
      <c r="B66" s="202" t="str">
        <f>B13&amp;" "</f>
        <v xml:space="preserve"> </v>
      </c>
      <c r="C66" s="203"/>
      <c r="D66" s="59" t="s">
        <v>286</v>
      </c>
      <c r="E66" s="181"/>
      <c r="F66" s="182"/>
      <c r="G66" s="172"/>
      <c r="H66" s="57" t="s">
        <v>289</v>
      </c>
      <c r="I66" s="171"/>
      <c r="J66" s="172"/>
      <c r="K66" s="27"/>
    </row>
    <row r="67" spans="1:11" ht="33.75" customHeight="1" thickBot="1">
      <c r="A67" s="60" t="s">
        <v>578</v>
      </c>
      <c r="B67" s="181"/>
      <c r="C67" s="172"/>
      <c r="D67" s="59" t="s">
        <v>286</v>
      </c>
      <c r="E67" s="181"/>
      <c r="F67" s="182"/>
      <c r="G67" s="172"/>
      <c r="H67" s="57" t="s">
        <v>289</v>
      </c>
      <c r="I67" s="171"/>
      <c r="J67" s="180"/>
      <c r="K67" s="27"/>
    </row>
    <row r="68" spans="1:11" ht="16.5" thickBot="1">
      <c r="A68" s="196" t="s">
        <v>994</v>
      </c>
      <c r="B68" s="197"/>
      <c r="C68" s="197"/>
      <c r="D68" s="197"/>
      <c r="E68" s="197"/>
      <c r="F68" s="197"/>
      <c r="G68" s="197"/>
      <c r="H68" s="197"/>
      <c r="I68" s="197"/>
      <c r="J68" s="198"/>
      <c r="K68" s="28"/>
    </row>
    <row r="69" spans="1:11" ht="34.5" customHeight="1" thickBot="1">
      <c r="A69" s="188" t="s">
        <v>591</v>
      </c>
      <c r="B69" s="222"/>
      <c r="C69" s="164"/>
      <c r="D69" s="61" t="s">
        <v>993</v>
      </c>
      <c r="E69" s="181"/>
      <c r="F69" s="182"/>
      <c r="G69" s="172"/>
      <c r="H69" s="188" t="s">
        <v>289</v>
      </c>
      <c r="I69" s="163"/>
      <c r="J69" s="193"/>
      <c r="K69" s="29"/>
    </row>
    <row r="70" spans="1:11" ht="34.5" customHeight="1" thickBot="1">
      <c r="A70" s="189"/>
      <c r="B70" s="223"/>
      <c r="C70" s="224"/>
      <c r="D70" s="57" t="s">
        <v>286</v>
      </c>
      <c r="E70" s="181"/>
      <c r="F70" s="182"/>
      <c r="G70" s="172"/>
      <c r="H70" s="189"/>
      <c r="I70" s="194"/>
      <c r="J70" s="195"/>
      <c r="K70" s="29"/>
    </row>
    <row r="71" spans="1:11" ht="16.5" thickBot="1">
      <c r="A71" s="192"/>
      <c r="B71" s="192"/>
      <c r="C71" s="192"/>
      <c r="D71" s="192"/>
      <c r="E71" s="192"/>
      <c r="F71" s="192"/>
      <c r="G71" s="192"/>
      <c r="H71" s="192"/>
      <c r="I71" s="192"/>
      <c r="J71" s="36"/>
      <c r="K71" s="8"/>
    </row>
    <row r="72" spans="1:11" ht="15.95" customHeight="1" thickBot="1">
      <c r="A72" s="185" t="s">
        <v>995</v>
      </c>
      <c r="B72" s="186"/>
      <c r="C72" s="186"/>
      <c r="D72" s="186"/>
      <c r="E72" s="186"/>
      <c r="F72" s="186"/>
      <c r="G72" s="186"/>
      <c r="H72" s="186"/>
      <c r="I72" s="186"/>
      <c r="J72" s="187"/>
      <c r="K72" s="30"/>
    </row>
    <row r="73" spans="1:11" ht="16.5" thickBot="1">
      <c r="A73" s="192"/>
      <c r="B73" s="192"/>
      <c r="C73" s="192"/>
      <c r="D73" s="192"/>
      <c r="E73" s="192"/>
      <c r="F73" s="192"/>
      <c r="G73" s="192"/>
      <c r="H73" s="192"/>
      <c r="I73" s="192"/>
      <c r="J73" s="36"/>
      <c r="K73" s="8"/>
    </row>
    <row r="74" spans="1:11" ht="15.95" customHeight="1" thickBot="1">
      <c r="A74" s="185" t="s">
        <v>802</v>
      </c>
      <c r="B74" s="186"/>
      <c r="C74" s="186"/>
      <c r="D74" s="186"/>
      <c r="E74" s="186"/>
      <c r="F74" s="186"/>
      <c r="G74" s="186"/>
      <c r="H74" s="186"/>
      <c r="I74" s="186"/>
      <c r="J74" s="187"/>
      <c r="K74" s="30"/>
    </row>
  </sheetData>
  <sheetProtection selectLockedCells="1"/>
  <mergeCells count="89">
    <mergeCell ref="B66:C66"/>
    <mergeCell ref="B67:C67"/>
    <mergeCell ref="B69:C70"/>
    <mergeCell ref="D45:D46"/>
    <mergeCell ref="A37:D37"/>
    <mergeCell ref="B65:C65"/>
    <mergeCell ref="A64:J64"/>
    <mergeCell ref="B52:J52"/>
    <mergeCell ref="B54:D54"/>
    <mergeCell ref="F50:I50"/>
    <mergeCell ref="F51:I51"/>
    <mergeCell ref="F37:J37"/>
    <mergeCell ref="A38:C38"/>
    <mergeCell ref="A41:C41"/>
    <mergeCell ref="A42:C42"/>
    <mergeCell ref="A40:C40"/>
    <mergeCell ref="A1:J2"/>
    <mergeCell ref="A18:J19"/>
    <mergeCell ref="A17:J17"/>
    <mergeCell ref="D10:D11"/>
    <mergeCell ref="H9:J10"/>
    <mergeCell ref="A8:J8"/>
    <mergeCell ref="G3:J3"/>
    <mergeCell ref="I5:J5"/>
    <mergeCell ref="H11:J12"/>
    <mergeCell ref="H13:J13"/>
    <mergeCell ref="H14:J15"/>
    <mergeCell ref="F6:G6"/>
    <mergeCell ref="B5:C5"/>
    <mergeCell ref="B6:C6"/>
    <mergeCell ref="B10:C10"/>
    <mergeCell ref="B11:C11"/>
    <mergeCell ref="H36:I36"/>
    <mergeCell ref="A3:B3"/>
    <mergeCell ref="A74:J74"/>
    <mergeCell ref="A69:A70"/>
    <mergeCell ref="H69:H70"/>
    <mergeCell ref="A60:B60"/>
    <mergeCell ref="I66:J66"/>
    <mergeCell ref="A71:I71"/>
    <mergeCell ref="I69:J70"/>
    <mergeCell ref="A68:J68"/>
    <mergeCell ref="A61:J61"/>
    <mergeCell ref="A62:J62"/>
    <mergeCell ref="E63:G63"/>
    <mergeCell ref="A72:J72"/>
    <mergeCell ref="A73:I73"/>
    <mergeCell ref="B63:C63"/>
    <mergeCell ref="I67:J67"/>
    <mergeCell ref="E65:G65"/>
    <mergeCell ref="E66:G66"/>
    <mergeCell ref="E70:G70"/>
    <mergeCell ref="E67:G67"/>
    <mergeCell ref="E69:G69"/>
    <mergeCell ref="F43:I43"/>
    <mergeCell ref="F44:I44"/>
    <mergeCell ref="I65:J65"/>
    <mergeCell ref="G54:J54"/>
    <mergeCell ref="A56:J56"/>
    <mergeCell ref="I63:J63"/>
    <mergeCell ref="B58:J58"/>
    <mergeCell ref="B53:J53"/>
    <mergeCell ref="A51:C51"/>
    <mergeCell ref="A49:C49"/>
    <mergeCell ref="A50:C50"/>
    <mergeCell ref="F10:G10"/>
    <mergeCell ref="F11:G11"/>
    <mergeCell ref="B12:C12"/>
    <mergeCell ref="B13:C13"/>
    <mergeCell ref="F14:G14"/>
    <mergeCell ref="F13:G13"/>
    <mergeCell ref="F12:G12"/>
    <mergeCell ref="A14:C14"/>
    <mergeCell ref="F20:G20"/>
    <mergeCell ref="A43:D44"/>
    <mergeCell ref="E37:E51"/>
    <mergeCell ref="F38:I38"/>
    <mergeCell ref="F39:I39"/>
    <mergeCell ref="F49:I49"/>
    <mergeCell ref="F40:I40"/>
    <mergeCell ref="F45:I45"/>
    <mergeCell ref="F46:I46"/>
    <mergeCell ref="F47:I47"/>
    <mergeCell ref="F48:I48"/>
    <mergeCell ref="A45:C46"/>
    <mergeCell ref="A47:C47"/>
    <mergeCell ref="A48:C48"/>
    <mergeCell ref="F41:I41"/>
    <mergeCell ref="F42:I42"/>
  </mergeCells>
  <conditionalFormatting sqref="D38:D45 D47:D51">
    <cfRule type="containsText" dxfId="22" priority="11" operator="containsText" text="PASS">
      <formula>NOT(ISERROR(SEARCH("PASS",D38)))</formula>
    </cfRule>
    <cfRule type="containsText" dxfId="21" priority="26" operator="containsText" text="ERROR">
      <formula>NOT(ISERROR(SEARCH("ERROR",D38)))</formula>
    </cfRule>
  </conditionalFormatting>
  <conditionalFormatting sqref="D38:D45 D47:D52">
    <cfRule type="containsText" dxfId="20" priority="10" operator="containsText" text="N/A">
      <formula>NOT(ISERROR(SEARCH("N/A",D38)))</formula>
    </cfRule>
  </conditionalFormatting>
  <conditionalFormatting sqref="D52">
    <cfRule type="containsText" dxfId="19" priority="135" operator="containsText" text="No">
      <formula>NOT(ISERROR(SEARCH("No",D52)))</formula>
    </cfRule>
    <cfRule type="containsText" dxfId="18" priority="136" operator="containsText" text="Yes">
      <formula>NOT(ISERROR(SEARCH("Yes",D52)))</formula>
    </cfRule>
  </conditionalFormatting>
  <conditionalFormatting sqref="H9 H11 K12">
    <cfRule type="containsText" dxfId="17" priority="56" operator="containsText" text="not">
      <formula>NOT(ISERROR(SEARCH("not",H9)))</formula>
    </cfRule>
  </conditionalFormatting>
  <conditionalFormatting sqref="I21:I34">
    <cfRule type="cellIs" dxfId="16" priority="134" operator="lessThan">
      <formula>0</formula>
    </cfRule>
    <cfRule type="cellIs" dxfId="15" priority="139" operator="between">
      <formula>0.01</formula>
      <formula>2.99</formula>
    </cfRule>
  </conditionalFormatting>
  <conditionalFormatting sqref="I52">
    <cfRule type="containsText" dxfId="14" priority="82" operator="containsText" text="N/A">
      <formula>NOT(ISERROR(SEARCH("N/A",I52)))</formula>
    </cfRule>
    <cfRule type="containsText" dxfId="13" priority="83" operator="containsText" text="No">
      <formula>NOT(ISERROR(SEARCH("No",I52)))</formula>
    </cfRule>
    <cfRule type="containsText" dxfId="12" priority="84" operator="containsText" text="Yes">
      <formula>NOT(ISERROR(SEARCH("Yes",I52)))</formula>
    </cfRule>
    <cfRule type="containsText" dxfId="11" priority="88" operator="containsText" text="N/A">
      <formula>NOT(ISERROR(SEARCH("N/A",I52)))</formula>
    </cfRule>
    <cfRule type="containsText" dxfId="10" priority="89" operator="containsText" text="No">
      <formula>NOT(ISERROR(SEARCH("No",I52)))</formula>
    </cfRule>
    <cfRule type="containsText" dxfId="9" priority="90" operator="containsText" text="Yes">
      <formula>NOT(ISERROR(SEARCH("Yes",I52)))</formula>
    </cfRule>
  </conditionalFormatting>
  <conditionalFormatting sqref="J38:J51">
    <cfRule type="containsText" dxfId="8" priority="4" operator="containsText" text="N/A">
      <formula>NOT(ISERROR(SEARCH("N/A",J38)))</formula>
    </cfRule>
    <cfRule type="containsText" dxfId="7" priority="5" operator="containsText" text="ERROR">
      <formula>NOT(ISERROR(SEARCH("ERROR",J38)))</formula>
    </cfRule>
    <cfRule type="containsText" dxfId="6" priority="6" operator="containsText" text="PASS">
      <formula>NOT(ISERROR(SEARCH("PASS",J38)))</formula>
    </cfRule>
  </conditionalFormatting>
  <conditionalFormatting sqref="J48">
    <cfRule type="containsText" dxfId="5" priority="1" operator="containsText" text="N/A">
      <formula>NOT(ISERROR(SEARCH("N/A",J48)))</formula>
    </cfRule>
    <cfRule type="containsText" dxfId="4" priority="2" operator="containsText" text="PASS">
      <formula>NOT(ISERROR(SEARCH("PASS",J48)))</formula>
    </cfRule>
    <cfRule type="containsText" dxfId="3" priority="3" operator="containsText" text="ERROR">
      <formula>NOT(ISERROR(SEARCH("ERROR",J48)))</formula>
    </cfRule>
  </conditionalFormatting>
  <dataValidations count="6">
    <dataValidation type="list" allowBlank="1" showInputMessage="1" showErrorMessage="1" sqref="B11" xr:uid="{00000000-0002-0000-0000-000003000000}">
      <formula1>Company</formula1>
    </dataValidation>
    <dataValidation type="list" showInputMessage="1" showErrorMessage="1" sqref="B12" xr:uid="{563BD879-E3B7-4372-8634-876810FC1A12}">
      <formula1>INDIRECT(B11)</formula1>
    </dataValidation>
    <dataValidation type="list" allowBlank="1" showInputMessage="1" showErrorMessage="1" sqref="D10:D11" xr:uid="{F0002D0B-840B-486C-9CAD-3132B06232F8}">
      <formula1>INDIRECT(F12)</formula1>
    </dataValidation>
    <dataValidation type="list" allowBlank="1" showInputMessage="1" showErrorMessage="1" sqref="F13:G13" xr:uid="{478043A5-3079-4603-BE4B-3924A426D215}">
      <formula1>INDIRECT(SUBSTITUTE(F12," ","_"))</formula1>
    </dataValidation>
    <dataValidation type="list" allowBlank="1" showInputMessage="1" showErrorMessage="1" sqref="C21:C34" xr:uid="{8032BC4E-8A93-4124-8F2C-60BC19A8FB28}">
      <formula1>INDIRECT($B$11&amp;"_DEPT")</formula1>
    </dataValidation>
    <dataValidation type="list" allowBlank="1" showInputMessage="1" showErrorMessage="1" sqref="F12:G12" xr:uid="{94F8914D-3421-4A57-B92A-4D4E980D6BFE}">
      <formula1>INDIRECT(B11&amp;"_Roles")</formula1>
    </dataValidation>
  </dataValidations>
  <printOptions horizontalCentered="1"/>
  <pageMargins left="0.23622047244094491" right="0.23622047244094491" top="0" bottom="0" header="0.31496062992125984" footer="0.31496062992125984"/>
  <pageSetup paperSize="9" scale="44" orientation="portrait" verticalDpi="597" r:id="rId1"/>
  <rowBreaks count="2" manualBreakCount="2">
    <brk id="20" max="8" man="1"/>
    <brk id="59" max="16383" man="1"/>
  </rowBreaks>
  <colBreaks count="1" manualBreakCount="1">
    <brk id="1" max="87" man="1"/>
  </col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14B7DDC-6DF7-4729-80A6-815C62FCF2BA}">
          <x14:formula1>
            <xm:f>Lists!$L$2:$L$73</xm:f>
          </x14:formula1>
          <xm:sqref>D21:G34</xm:sqref>
        </x14:dataValidation>
        <x14:dataValidation type="list" allowBlank="1" showInputMessage="1" showErrorMessage="1" xr:uid="{201D2080-95C1-4A5C-AC25-DE5A1B7E440A}">
          <x14:formula1>
            <xm:f>Lists!$B$2:$B$7</xm:f>
          </x14:formula1>
          <xm:sqref>F10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166"/>
  <sheetViews>
    <sheetView zoomScale="110" zoomScaleNormal="110" workbookViewId="0">
      <selection activeCell="C6" sqref="C6"/>
    </sheetView>
  </sheetViews>
  <sheetFormatPr defaultColWidth="9.140625" defaultRowHeight="15"/>
  <cols>
    <col min="1" max="1" width="75.85546875" bestFit="1" customWidth="1"/>
    <col min="2" max="2" width="23.28515625" customWidth="1"/>
    <col min="3" max="3" width="45.85546875" customWidth="1"/>
    <col min="4" max="4" width="14.85546875" customWidth="1"/>
    <col min="5" max="5" width="34.85546875" bestFit="1" customWidth="1"/>
    <col min="6" max="6" width="22.7109375" bestFit="1" customWidth="1"/>
    <col min="7" max="7" width="26.5703125" bestFit="1" customWidth="1"/>
    <col min="8" max="8" width="22.7109375" bestFit="1" customWidth="1"/>
    <col min="9" max="9" width="22.7109375" customWidth="1"/>
    <col min="12" max="12" width="10" bestFit="1" customWidth="1"/>
    <col min="13" max="13" width="37.140625" bestFit="1" customWidth="1"/>
    <col min="14" max="14" width="26.42578125" bestFit="1" customWidth="1"/>
    <col min="15" max="15" width="27.7109375" customWidth="1"/>
    <col min="16" max="16" width="44.140625" customWidth="1"/>
    <col min="17" max="17" width="39.140625" customWidth="1"/>
    <col min="18" max="18" width="28.5703125" customWidth="1"/>
    <col min="19" max="19" width="36.7109375" customWidth="1"/>
  </cols>
  <sheetData>
    <row r="1" spans="1:19" s="2" customFormat="1">
      <c r="A1" s="1" t="s">
        <v>0</v>
      </c>
      <c r="B1" s="1" t="s">
        <v>301</v>
      </c>
      <c r="C1" s="1" t="s">
        <v>277</v>
      </c>
      <c r="D1" s="1" t="s">
        <v>769</v>
      </c>
      <c r="E1" s="1" t="s">
        <v>747</v>
      </c>
      <c r="F1" s="1" t="s">
        <v>304</v>
      </c>
      <c r="G1" s="1" t="s">
        <v>307</v>
      </c>
      <c r="H1" s="1" t="s">
        <v>306</v>
      </c>
      <c r="I1" s="1"/>
      <c r="L1" s="1" t="s">
        <v>565</v>
      </c>
      <c r="M1" s="17" t="s">
        <v>560</v>
      </c>
      <c r="N1" s="17" t="s">
        <v>561</v>
      </c>
      <c r="O1" s="17" t="s">
        <v>573</v>
      </c>
      <c r="P1" s="17" t="s">
        <v>562</v>
      </c>
      <c r="Q1" s="17" t="s">
        <v>563</v>
      </c>
      <c r="R1" s="17" t="s">
        <v>572</v>
      </c>
      <c r="S1" s="17" t="s">
        <v>567</v>
      </c>
    </row>
    <row r="2" spans="1:19">
      <c r="B2" t="s">
        <v>581</v>
      </c>
      <c r="F2" s="3">
        <v>0</v>
      </c>
      <c r="G2" t="s">
        <v>545</v>
      </c>
      <c r="H2" t="s">
        <v>464</v>
      </c>
      <c r="I2" t="s">
        <v>302</v>
      </c>
      <c r="L2" s="16">
        <v>0.250000000000003</v>
      </c>
      <c r="M2" t="s">
        <v>309</v>
      </c>
      <c r="N2" t="s">
        <v>340</v>
      </c>
      <c r="O2" t="s">
        <v>922</v>
      </c>
      <c r="P2" t="s">
        <v>721</v>
      </c>
      <c r="Q2" t="s">
        <v>730</v>
      </c>
      <c r="R2" t="s">
        <v>981</v>
      </c>
      <c r="S2" t="s">
        <v>708</v>
      </c>
    </row>
    <row r="3" spans="1:19">
      <c r="A3" t="s">
        <v>757</v>
      </c>
      <c r="B3" t="s">
        <v>582</v>
      </c>
      <c r="C3" t="s">
        <v>856</v>
      </c>
      <c r="D3" s="82">
        <v>0</v>
      </c>
      <c r="E3" s="4" t="s">
        <v>870</v>
      </c>
      <c r="F3">
        <v>1</v>
      </c>
      <c r="G3" t="s">
        <v>465</v>
      </c>
      <c r="H3" t="s">
        <v>436</v>
      </c>
      <c r="I3" t="s">
        <v>302</v>
      </c>
      <c r="L3" s="16">
        <v>0.26041666666666902</v>
      </c>
      <c r="M3" t="s">
        <v>310</v>
      </c>
      <c r="N3" t="s">
        <v>461</v>
      </c>
      <c r="O3" t="s">
        <v>923</v>
      </c>
      <c r="P3" t="s">
        <v>722</v>
      </c>
      <c r="Q3" t="s">
        <v>731</v>
      </c>
      <c r="R3" t="s">
        <v>982</v>
      </c>
      <c r="S3" t="s">
        <v>709</v>
      </c>
    </row>
    <row r="4" spans="1:19">
      <c r="A4" t="s">
        <v>507</v>
      </c>
      <c r="B4" t="s">
        <v>508</v>
      </c>
      <c r="C4" t="s">
        <v>896</v>
      </c>
      <c r="D4" s="82">
        <v>0</v>
      </c>
      <c r="E4" s="4" t="s">
        <v>862</v>
      </c>
      <c r="F4" s="3">
        <v>2</v>
      </c>
      <c r="G4" t="s">
        <v>466</v>
      </c>
      <c r="H4" t="s">
        <v>125</v>
      </c>
      <c r="I4" t="s">
        <v>302</v>
      </c>
      <c r="L4" s="16">
        <v>0.27083333333333498</v>
      </c>
      <c r="M4" t="s">
        <v>311</v>
      </c>
      <c r="N4" t="s">
        <v>341</v>
      </c>
      <c r="O4" t="s">
        <v>924</v>
      </c>
      <c r="P4" t="s">
        <v>723</v>
      </c>
      <c r="Q4" t="s">
        <v>732</v>
      </c>
      <c r="R4" t="s">
        <v>983</v>
      </c>
      <c r="S4" t="s">
        <v>710</v>
      </c>
    </row>
    <row r="5" spans="1:19">
      <c r="A5" t="s">
        <v>756</v>
      </c>
      <c r="B5" t="s">
        <v>705</v>
      </c>
      <c r="C5" t="s">
        <v>897</v>
      </c>
      <c r="D5" s="82">
        <v>1</v>
      </c>
      <c r="E5" s="4" t="s">
        <v>857</v>
      </c>
      <c r="F5" s="3">
        <v>3</v>
      </c>
      <c r="G5" t="s">
        <v>546</v>
      </c>
      <c r="H5" t="s">
        <v>164</v>
      </c>
      <c r="I5" t="s">
        <v>302</v>
      </c>
      <c r="L5" s="16">
        <v>0.281250000000001</v>
      </c>
      <c r="M5" t="s">
        <v>312</v>
      </c>
      <c r="N5" t="s">
        <v>342</v>
      </c>
      <c r="O5" t="s">
        <v>925</v>
      </c>
      <c r="P5" t="s">
        <v>724</v>
      </c>
      <c r="Q5" t="s">
        <v>733</v>
      </c>
      <c r="R5" t="s">
        <v>984</v>
      </c>
      <c r="S5" t="s">
        <v>711</v>
      </c>
    </row>
    <row r="6" spans="1:19">
      <c r="A6" t="s">
        <v>590</v>
      </c>
      <c r="B6" t="s">
        <v>706</v>
      </c>
      <c r="C6" t="s">
        <v>898</v>
      </c>
      <c r="D6" s="82">
        <v>0</v>
      </c>
      <c r="E6" s="4" t="s">
        <v>863</v>
      </c>
      <c r="F6" s="3">
        <v>4</v>
      </c>
      <c r="G6" t="s">
        <v>653</v>
      </c>
      <c r="H6" t="s">
        <v>652</v>
      </c>
      <c r="I6" t="s">
        <v>302</v>
      </c>
      <c r="L6" s="16">
        <v>0.29166666666666702</v>
      </c>
      <c r="M6" t="s">
        <v>313</v>
      </c>
      <c r="N6" t="s">
        <v>343</v>
      </c>
      <c r="O6" t="s">
        <v>926</v>
      </c>
      <c r="P6" t="s">
        <v>725</v>
      </c>
      <c r="Q6" t="s">
        <v>734</v>
      </c>
      <c r="R6" t="s">
        <v>985</v>
      </c>
      <c r="S6" t="s">
        <v>811</v>
      </c>
    </row>
    <row r="7" spans="1:19">
      <c r="A7" t="s">
        <v>589</v>
      </c>
      <c r="B7" t="s">
        <v>748</v>
      </c>
      <c r="C7" t="s">
        <v>914</v>
      </c>
      <c r="D7" s="82">
        <v>0</v>
      </c>
      <c r="E7" s="4" t="s">
        <v>861</v>
      </c>
      <c r="G7" t="s">
        <v>654</v>
      </c>
      <c r="H7" t="s">
        <v>557</v>
      </c>
      <c r="I7" t="s">
        <v>302</v>
      </c>
      <c r="L7" s="16">
        <v>0.30208333333333298</v>
      </c>
      <c r="M7" t="s">
        <v>666</v>
      </c>
      <c r="N7" t="s">
        <v>344</v>
      </c>
      <c r="O7" t="s">
        <v>927</v>
      </c>
      <c r="P7" t="s">
        <v>726</v>
      </c>
      <c r="Q7" t="s">
        <v>735</v>
      </c>
      <c r="R7" t="s">
        <v>986</v>
      </c>
      <c r="S7" t="s">
        <v>712</v>
      </c>
    </row>
    <row r="8" spans="1:19">
      <c r="A8" t="s">
        <v>580</v>
      </c>
      <c r="C8" t="s">
        <v>913</v>
      </c>
      <c r="D8" s="82">
        <v>4</v>
      </c>
      <c r="E8" s="4" t="s">
        <v>867</v>
      </c>
      <c r="G8" t="s">
        <v>559</v>
      </c>
      <c r="H8" t="s">
        <v>165</v>
      </c>
      <c r="I8" t="s">
        <v>302</v>
      </c>
      <c r="L8" s="16">
        <v>0.312499999999999</v>
      </c>
      <c r="M8" t="s">
        <v>314</v>
      </c>
      <c r="N8" t="s">
        <v>345</v>
      </c>
      <c r="O8" t="s">
        <v>928</v>
      </c>
      <c r="P8" t="s">
        <v>729</v>
      </c>
      <c r="Q8" t="s">
        <v>736</v>
      </c>
      <c r="R8" t="s">
        <v>987</v>
      </c>
      <c r="S8" t="s">
        <v>713</v>
      </c>
    </row>
    <row r="9" spans="1:19">
      <c r="C9" t="s">
        <v>893</v>
      </c>
      <c r="D9" s="82">
        <v>4</v>
      </c>
      <c r="E9" s="4" t="s">
        <v>858</v>
      </c>
      <c r="G9" t="s">
        <v>547</v>
      </c>
      <c r="H9" t="s">
        <v>166</v>
      </c>
      <c r="I9" t="s">
        <v>302</v>
      </c>
      <c r="L9" s="16">
        <v>0.32291666666666502</v>
      </c>
      <c r="M9" t="s">
        <v>315</v>
      </c>
      <c r="N9" t="s">
        <v>346</v>
      </c>
      <c r="O9" t="s">
        <v>929</v>
      </c>
      <c r="P9" t="s">
        <v>727</v>
      </c>
      <c r="Q9" t="s">
        <v>812</v>
      </c>
      <c r="S9" t="s">
        <v>714</v>
      </c>
    </row>
    <row r="10" spans="1:19">
      <c r="C10" t="s">
        <v>892</v>
      </c>
      <c r="D10" s="82">
        <v>4</v>
      </c>
      <c r="E10" s="4" t="s">
        <v>869</v>
      </c>
      <c r="F10" s="3"/>
      <c r="G10" t="s">
        <v>469</v>
      </c>
      <c r="H10" t="s">
        <v>109</v>
      </c>
      <c r="I10" t="s">
        <v>509</v>
      </c>
      <c r="L10" s="16">
        <v>0.33333333333333098</v>
      </c>
      <c r="M10" t="s">
        <v>316</v>
      </c>
      <c r="N10" t="s">
        <v>347</v>
      </c>
      <c r="O10" t="s">
        <v>930</v>
      </c>
      <c r="P10" t="s">
        <v>728</v>
      </c>
      <c r="Q10" t="s">
        <v>737</v>
      </c>
      <c r="S10" t="s">
        <v>715</v>
      </c>
    </row>
    <row r="11" spans="1:19">
      <c r="C11" t="s">
        <v>899</v>
      </c>
      <c r="D11" s="82">
        <v>4</v>
      </c>
      <c r="E11" s="4" t="s">
        <v>865</v>
      </c>
      <c r="F11" s="4"/>
      <c r="G11" t="s">
        <v>470</v>
      </c>
      <c r="H11" t="s">
        <v>109</v>
      </c>
      <c r="I11" t="s">
        <v>509</v>
      </c>
      <c r="L11" s="16">
        <v>0.343749999999997</v>
      </c>
      <c r="M11" t="s">
        <v>317</v>
      </c>
      <c r="N11" t="s">
        <v>348</v>
      </c>
      <c r="O11" t="s">
        <v>931</v>
      </c>
      <c r="Q11" t="s">
        <v>738</v>
      </c>
      <c r="S11" t="s">
        <v>718</v>
      </c>
    </row>
    <row r="12" spans="1:19">
      <c r="A12" t="s">
        <v>305</v>
      </c>
      <c r="C12" t="s">
        <v>510</v>
      </c>
      <c r="D12" s="82">
        <v>8</v>
      </c>
      <c r="E12" s="4" t="s">
        <v>866</v>
      </c>
      <c r="F12" s="3"/>
      <c r="G12" t="s">
        <v>266</v>
      </c>
      <c r="H12" t="s">
        <v>115</v>
      </c>
      <c r="I12" t="s">
        <v>509</v>
      </c>
      <c r="L12" s="16">
        <v>0.35416666666666302</v>
      </c>
      <c r="M12" t="s">
        <v>318</v>
      </c>
      <c r="N12" t="s">
        <v>349</v>
      </c>
      <c r="O12" t="s">
        <v>932</v>
      </c>
      <c r="Q12" t="s">
        <v>739</v>
      </c>
      <c r="S12" t="s">
        <v>716</v>
      </c>
    </row>
    <row r="13" spans="1:19">
      <c r="C13" t="s">
        <v>900</v>
      </c>
      <c r="D13" s="82">
        <v>0</v>
      </c>
      <c r="E13" s="4" t="s">
        <v>868</v>
      </c>
      <c r="F13" s="3"/>
      <c r="G13" t="s">
        <v>267</v>
      </c>
      <c r="H13" t="s">
        <v>117</v>
      </c>
      <c r="I13" t="s">
        <v>509</v>
      </c>
      <c r="L13" s="16">
        <v>0.36458333333332898</v>
      </c>
      <c r="M13" t="s">
        <v>319</v>
      </c>
      <c r="N13" t="s">
        <v>350</v>
      </c>
      <c r="O13" t="s">
        <v>933</v>
      </c>
      <c r="Q13" t="s">
        <v>741</v>
      </c>
      <c r="S13" t="s">
        <v>717</v>
      </c>
    </row>
    <row r="14" spans="1:19">
      <c r="D14" s="82"/>
      <c r="E14" s="4" t="s">
        <v>864</v>
      </c>
      <c r="F14" s="3"/>
      <c r="G14" t="s">
        <v>268</v>
      </c>
      <c r="H14" t="s">
        <v>118</v>
      </c>
      <c r="I14" t="s">
        <v>509</v>
      </c>
      <c r="L14" s="16">
        <v>0.374999999999995</v>
      </c>
      <c r="M14" t="s">
        <v>320</v>
      </c>
      <c r="N14" t="s">
        <v>351</v>
      </c>
      <c r="O14" t="s">
        <v>934</v>
      </c>
      <c r="Q14" t="s">
        <v>742</v>
      </c>
      <c r="S14" t="s">
        <v>809</v>
      </c>
    </row>
    <row r="15" spans="1:19">
      <c r="D15" s="82"/>
      <c r="E15" s="4" t="s">
        <v>859</v>
      </c>
      <c r="F15" s="3"/>
      <c r="G15" t="s">
        <v>437</v>
      </c>
      <c r="H15" t="s">
        <v>116</v>
      </c>
      <c r="I15" t="s">
        <v>509</v>
      </c>
      <c r="L15" s="16">
        <v>0.38541666666666102</v>
      </c>
      <c r="M15" t="s">
        <v>321</v>
      </c>
      <c r="N15" t="s">
        <v>352</v>
      </c>
      <c r="O15" t="s">
        <v>935</v>
      </c>
      <c r="Q15" t="s">
        <v>740</v>
      </c>
      <c r="S15" t="s">
        <v>720</v>
      </c>
    </row>
    <row r="16" spans="1:19">
      <c r="D16" s="82"/>
      <c r="E16" s="4" t="s">
        <v>860</v>
      </c>
      <c r="F16" s="3"/>
      <c r="G16" t="s">
        <v>548</v>
      </c>
      <c r="H16" t="s">
        <v>120</v>
      </c>
      <c r="I16" t="s">
        <v>509</v>
      </c>
      <c r="L16" s="16">
        <v>0.39583333333332699</v>
      </c>
      <c r="M16" t="s">
        <v>322</v>
      </c>
      <c r="N16" t="s">
        <v>353</v>
      </c>
      <c r="O16" t="s">
        <v>936</v>
      </c>
      <c r="Q16" t="s">
        <v>743</v>
      </c>
      <c r="S16" t="s">
        <v>810</v>
      </c>
    </row>
    <row r="17" spans="4:19">
      <c r="D17" s="82"/>
      <c r="E17" s="4" t="s">
        <v>871</v>
      </c>
      <c r="F17" s="3"/>
      <c r="G17" t="s">
        <v>583</v>
      </c>
      <c r="H17" t="s">
        <v>124</v>
      </c>
      <c r="I17" t="s">
        <v>509</v>
      </c>
      <c r="L17" s="16">
        <v>0.40624999999999301</v>
      </c>
      <c r="M17" t="s">
        <v>472</v>
      </c>
      <c r="N17" t="s">
        <v>354</v>
      </c>
      <c r="O17" t="s">
        <v>937</v>
      </c>
      <c r="S17" t="s">
        <v>719</v>
      </c>
    </row>
    <row r="18" spans="4:19">
      <c r="E18" s="4"/>
      <c r="F18" s="4"/>
      <c r="G18" t="s">
        <v>584</v>
      </c>
      <c r="H18" t="s">
        <v>467</v>
      </c>
      <c r="I18" t="s">
        <v>509</v>
      </c>
      <c r="L18" s="16">
        <v>0.41666666666665902</v>
      </c>
      <c r="M18" t="s">
        <v>323</v>
      </c>
      <c r="N18" t="s">
        <v>355</v>
      </c>
      <c r="O18" t="s">
        <v>938</v>
      </c>
      <c r="S18" t="s">
        <v>744</v>
      </c>
    </row>
    <row r="19" spans="4:19">
      <c r="E19" s="4" t="s">
        <v>872</v>
      </c>
      <c r="F19" s="3"/>
      <c r="G19" t="s">
        <v>659</v>
      </c>
      <c r="H19" t="s">
        <v>660</v>
      </c>
      <c r="I19" t="s">
        <v>509</v>
      </c>
      <c r="L19" s="16">
        <v>0.42708333333332499</v>
      </c>
      <c r="M19" t="s">
        <v>324</v>
      </c>
      <c r="N19" t="s">
        <v>463</v>
      </c>
      <c r="O19" t="s">
        <v>939</v>
      </c>
      <c r="S19" t="s">
        <v>745</v>
      </c>
    </row>
    <row r="20" spans="4:19">
      <c r="E20" s="4" t="s">
        <v>879</v>
      </c>
      <c r="F20" s="3"/>
      <c r="G20" t="s">
        <v>468</v>
      </c>
      <c r="H20" t="s">
        <v>119</v>
      </c>
      <c r="I20" t="s">
        <v>509</v>
      </c>
      <c r="L20" s="16">
        <v>0.43749999999999101</v>
      </c>
      <c r="M20" t="s">
        <v>325</v>
      </c>
      <c r="N20" t="s">
        <v>356</v>
      </c>
      <c r="O20" t="s">
        <v>940</v>
      </c>
      <c r="S20" t="s">
        <v>746</v>
      </c>
    </row>
    <row r="21" spans="4:19">
      <c r="E21" s="4" t="s">
        <v>878</v>
      </c>
      <c r="F21" s="3"/>
      <c r="G21" t="s">
        <v>265</v>
      </c>
      <c r="H21" t="s">
        <v>109</v>
      </c>
      <c r="I21" t="s">
        <v>509</v>
      </c>
      <c r="L21" s="16">
        <v>0.44791666666665703</v>
      </c>
      <c r="M21" t="s">
        <v>326</v>
      </c>
      <c r="N21" t="s">
        <v>357</v>
      </c>
      <c r="O21" t="s">
        <v>941</v>
      </c>
      <c r="S21" t="s">
        <v>808</v>
      </c>
    </row>
    <row r="22" spans="4:19">
      <c r="E22" s="4" t="s">
        <v>862</v>
      </c>
      <c r="F22" s="3"/>
      <c r="G22" t="s">
        <v>664</v>
      </c>
      <c r="H22" t="s">
        <v>665</v>
      </c>
      <c r="I22" t="s">
        <v>509</v>
      </c>
      <c r="L22" s="16">
        <v>0.45833333333332299</v>
      </c>
      <c r="M22" t="s">
        <v>327</v>
      </c>
      <c r="N22" t="s">
        <v>358</v>
      </c>
      <c r="O22" t="s">
        <v>942</v>
      </c>
    </row>
    <row r="23" spans="4:19">
      <c r="D23" s="82"/>
      <c r="E23" s="4" t="s">
        <v>876</v>
      </c>
      <c r="F23" s="3"/>
      <c r="G23" t="s">
        <v>549</v>
      </c>
      <c r="H23" t="s">
        <v>110</v>
      </c>
      <c r="I23" t="s">
        <v>303</v>
      </c>
      <c r="L23" s="16">
        <v>0.46874999999998901</v>
      </c>
      <c r="M23" t="s">
        <v>328</v>
      </c>
      <c r="N23" t="s">
        <v>359</v>
      </c>
      <c r="O23" t="s">
        <v>943</v>
      </c>
    </row>
    <row r="24" spans="4:19">
      <c r="D24" s="82"/>
      <c r="E24" s="4" t="s">
        <v>875</v>
      </c>
      <c r="F24" s="3"/>
      <c r="G24" t="s">
        <v>550</v>
      </c>
      <c r="H24" t="s">
        <v>6</v>
      </c>
      <c r="I24" t="s">
        <v>303</v>
      </c>
      <c r="L24" s="16">
        <v>0.47916666666665497</v>
      </c>
      <c r="M24" t="s">
        <v>329</v>
      </c>
      <c r="N24" t="s">
        <v>360</v>
      </c>
      <c r="O24" t="s">
        <v>944</v>
      </c>
    </row>
    <row r="25" spans="4:19">
      <c r="E25" s="4" t="s">
        <v>874</v>
      </c>
      <c r="F25" s="3"/>
      <c r="G25" t="s">
        <v>551</v>
      </c>
      <c r="H25" t="s">
        <v>112</v>
      </c>
      <c r="I25" t="s">
        <v>303</v>
      </c>
      <c r="L25" s="16">
        <v>0.48958333333332099</v>
      </c>
      <c r="M25" t="s">
        <v>330</v>
      </c>
      <c r="N25" t="s">
        <v>361</v>
      </c>
      <c r="O25" t="s">
        <v>945</v>
      </c>
    </row>
    <row r="26" spans="4:19">
      <c r="E26" s="4" t="s">
        <v>877</v>
      </c>
      <c r="F26" s="3"/>
      <c r="G26" t="s">
        <v>585</v>
      </c>
      <c r="H26" t="s">
        <v>121</v>
      </c>
      <c r="I26" t="s">
        <v>303</v>
      </c>
      <c r="L26" s="16">
        <v>0.49999999999998701</v>
      </c>
      <c r="M26" t="s">
        <v>331</v>
      </c>
      <c r="N26" t="s">
        <v>362</v>
      </c>
      <c r="O26" t="s">
        <v>946</v>
      </c>
    </row>
    <row r="27" spans="4:19">
      <c r="E27" s="4" t="s">
        <v>873</v>
      </c>
      <c r="F27" s="3"/>
      <c r="G27" t="s">
        <v>552</v>
      </c>
      <c r="H27" t="s">
        <v>111</v>
      </c>
      <c r="I27" t="s">
        <v>303</v>
      </c>
      <c r="L27" s="16">
        <v>0.51041666666665297</v>
      </c>
      <c r="M27" t="s">
        <v>332</v>
      </c>
      <c r="N27" t="s">
        <v>363</v>
      </c>
      <c r="O27" t="s">
        <v>989</v>
      </c>
    </row>
    <row r="28" spans="4:19">
      <c r="E28" s="4" t="s">
        <v>867</v>
      </c>
      <c r="F28" s="3"/>
      <c r="G28" t="s">
        <v>586</v>
      </c>
      <c r="H28" t="s">
        <v>122</v>
      </c>
      <c r="I28" t="s">
        <v>303</v>
      </c>
      <c r="L28" s="16">
        <v>0.52083333333331905</v>
      </c>
      <c r="M28" t="s">
        <v>629</v>
      </c>
      <c r="N28" t="s">
        <v>364</v>
      </c>
      <c r="O28" t="s">
        <v>947</v>
      </c>
    </row>
    <row r="29" spans="4:19">
      <c r="E29" s="4" t="s">
        <v>858</v>
      </c>
      <c r="F29" s="4"/>
      <c r="G29" t="s">
        <v>553</v>
      </c>
      <c r="H29" t="s">
        <v>113</v>
      </c>
      <c r="I29" t="s">
        <v>303</v>
      </c>
      <c r="L29" s="16">
        <v>0.53124999999998601</v>
      </c>
      <c r="M29" t="s">
        <v>333</v>
      </c>
      <c r="N29" t="s">
        <v>365</v>
      </c>
      <c r="O29" t="s">
        <v>948</v>
      </c>
    </row>
    <row r="30" spans="4:19">
      <c r="E30" s="4" t="s">
        <v>869</v>
      </c>
      <c r="F30" s="3"/>
      <c r="G30" t="s">
        <v>554</v>
      </c>
      <c r="H30" t="s">
        <v>114</v>
      </c>
      <c r="I30" t="s">
        <v>303</v>
      </c>
      <c r="L30" s="16">
        <v>0.54166666666665197</v>
      </c>
      <c r="M30" t="s">
        <v>334</v>
      </c>
      <c r="N30" t="s">
        <v>366</v>
      </c>
      <c r="O30" t="s">
        <v>949</v>
      </c>
    </row>
    <row r="31" spans="4:19">
      <c r="E31" s="4" t="s">
        <v>865</v>
      </c>
      <c r="F31" s="3"/>
      <c r="G31" t="s">
        <v>587</v>
      </c>
      <c r="H31" t="s">
        <v>123</v>
      </c>
      <c r="I31" t="s">
        <v>303</v>
      </c>
      <c r="L31" s="16">
        <v>0.55208333333331805</v>
      </c>
      <c r="M31" t="s">
        <v>335</v>
      </c>
      <c r="N31" t="s">
        <v>367</v>
      </c>
      <c r="O31" t="s">
        <v>950</v>
      </c>
    </row>
    <row r="32" spans="4:19">
      <c r="E32" s="4" t="s">
        <v>866</v>
      </c>
      <c r="F32" s="3"/>
      <c r="G32" t="s">
        <v>555</v>
      </c>
      <c r="H32" t="s">
        <v>558</v>
      </c>
      <c r="I32" t="s">
        <v>303</v>
      </c>
      <c r="L32" s="16">
        <v>0.56249999999998401</v>
      </c>
      <c r="M32" t="s">
        <v>336</v>
      </c>
      <c r="N32" t="s">
        <v>368</v>
      </c>
      <c r="O32" t="s">
        <v>951</v>
      </c>
    </row>
    <row r="33" spans="5:15">
      <c r="E33" s="4" t="s">
        <v>868</v>
      </c>
      <c r="F33" s="3"/>
      <c r="G33" t="s">
        <v>556</v>
      </c>
      <c r="H33" t="s">
        <v>126</v>
      </c>
      <c r="I33" t="s">
        <v>303</v>
      </c>
      <c r="L33" s="16">
        <v>0.57291666666664998</v>
      </c>
      <c r="M33" t="s">
        <v>473</v>
      </c>
      <c r="N33" t="s">
        <v>369</v>
      </c>
      <c r="O33" t="s">
        <v>952</v>
      </c>
    </row>
    <row r="34" spans="5:15">
      <c r="E34" s="4" t="s">
        <v>864</v>
      </c>
      <c r="F34" s="3"/>
      <c r="G34" t="s">
        <v>655</v>
      </c>
      <c r="H34" t="s">
        <v>656</v>
      </c>
      <c r="I34" t="s">
        <v>303</v>
      </c>
      <c r="L34" s="16">
        <v>0.58333333333331605</v>
      </c>
      <c r="M34" t="s">
        <v>337</v>
      </c>
      <c r="N34" t="s">
        <v>370</v>
      </c>
      <c r="O34" t="s">
        <v>953</v>
      </c>
    </row>
    <row r="35" spans="5:15">
      <c r="E35" s="4" t="s">
        <v>859</v>
      </c>
      <c r="F35" s="4"/>
      <c r="G35" t="s">
        <v>658</v>
      </c>
      <c r="H35" t="s">
        <v>657</v>
      </c>
      <c r="I35" t="s">
        <v>303</v>
      </c>
      <c r="L35" s="16">
        <v>0.59374999999998201</v>
      </c>
      <c r="M35" t="s">
        <v>474</v>
      </c>
      <c r="N35" t="s">
        <v>371</v>
      </c>
      <c r="O35" t="s">
        <v>954</v>
      </c>
    </row>
    <row r="36" spans="5:15">
      <c r="E36" s="4" t="s">
        <v>860</v>
      </c>
      <c r="F36" s="3"/>
      <c r="G36" t="s">
        <v>269</v>
      </c>
      <c r="H36" t="s">
        <v>127</v>
      </c>
      <c r="I36" t="s">
        <v>303</v>
      </c>
      <c r="L36" s="16">
        <v>0.60416666666664798</v>
      </c>
      <c r="M36" t="s">
        <v>338</v>
      </c>
      <c r="N36" t="s">
        <v>372</v>
      </c>
      <c r="O36" t="s">
        <v>955</v>
      </c>
    </row>
    <row r="37" spans="5:15">
      <c r="E37" s="4"/>
      <c r="F37" s="4"/>
      <c r="G37" t="s">
        <v>577</v>
      </c>
      <c r="H37" t="s">
        <v>661</v>
      </c>
      <c r="I37" t="s">
        <v>303</v>
      </c>
      <c r="L37" s="16">
        <v>0.61458333333331405</v>
      </c>
      <c r="M37" t="s">
        <v>475</v>
      </c>
      <c r="N37" t="s">
        <v>373</v>
      </c>
      <c r="O37" t="s">
        <v>956</v>
      </c>
    </row>
    <row r="38" spans="5:15">
      <c r="E38" s="4" t="s">
        <v>885</v>
      </c>
      <c r="F38" s="3"/>
      <c r="G38" t="s">
        <v>662</v>
      </c>
      <c r="H38" t="s">
        <v>663</v>
      </c>
      <c r="I38" t="s">
        <v>303</v>
      </c>
      <c r="L38" s="16">
        <v>0.62499999999998002</v>
      </c>
      <c r="M38" t="s">
        <v>444</v>
      </c>
      <c r="N38" t="s">
        <v>374</v>
      </c>
      <c r="O38" t="s">
        <v>957</v>
      </c>
    </row>
    <row r="39" spans="5:15">
      <c r="E39" s="4" t="s">
        <v>880</v>
      </c>
      <c r="F39" s="3"/>
      <c r="H39" s="4"/>
      <c r="L39" s="16">
        <v>0.63541666666664598</v>
      </c>
      <c r="M39" t="s">
        <v>339</v>
      </c>
      <c r="N39" t="s">
        <v>375</v>
      </c>
      <c r="O39" t="s">
        <v>958</v>
      </c>
    </row>
    <row r="40" spans="5:15">
      <c r="E40" s="4" t="s">
        <v>884</v>
      </c>
      <c r="F40" s="3"/>
      <c r="H40" s="4"/>
      <c r="L40" s="16">
        <v>0.64583333333331205</v>
      </c>
      <c r="M40" t="s">
        <v>439</v>
      </c>
      <c r="N40" t="s">
        <v>376</v>
      </c>
      <c r="O40" t="s">
        <v>959</v>
      </c>
    </row>
    <row r="41" spans="5:15">
      <c r="E41" s="4" t="s">
        <v>881</v>
      </c>
      <c r="F41" s="3"/>
      <c r="L41" s="16">
        <v>0.65624999999997802</v>
      </c>
      <c r="M41" t="s">
        <v>441</v>
      </c>
      <c r="N41" t="s">
        <v>377</v>
      </c>
      <c r="O41" t="s">
        <v>960</v>
      </c>
    </row>
    <row r="42" spans="5:15">
      <c r="E42" s="4" t="s">
        <v>877</v>
      </c>
      <c r="F42" s="4"/>
      <c r="L42" s="16">
        <v>0.66666666666664398</v>
      </c>
      <c r="M42" t="s">
        <v>449</v>
      </c>
      <c r="N42" t="s">
        <v>378</v>
      </c>
      <c r="O42" t="s">
        <v>961</v>
      </c>
    </row>
    <row r="43" spans="5:15">
      <c r="E43" s="4" t="s">
        <v>882</v>
      </c>
      <c r="F43" s="4"/>
      <c r="H43" s="4"/>
      <c r="L43" s="16">
        <v>0.67708333333330994</v>
      </c>
      <c r="M43" t="s">
        <v>628</v>
      </c>
      <c r="N43" t="s">
        <v>379</v>
      </c>
      <c r="O43" t="s">
        <v>962</v>
      </c>
    </row>
    <row r="44" spans="5:15">
      <c r="E44" s="4" t="s">
        <v>867</v>
      </c>
      <c r="F44" s="4"/>
      <c r="H44" s="4"/>
      <c r="I44" s="4"/>
      <c r="L44" s="16">
        <v>0.68749999999997602</v>
      </c>
      <c r="M44" t="s">
        <v>477</v>
      </c>
      <c r="N44" t="s">
        <v>380</v>
      </c>
      <c r="O44" t="s">
        <v>963</v>
      </c>
    </row>
    <row r="45" spans="5:15">
      <c r="E45" s="4" t="s">
        <v>883</v>
      </c>
      <c r="F45" s="4"/>
      <c r="H45" s="4"/>
      <c r="I45" s="4"/>
      <c r="L45" s="16">
        <v>0.69791666666664198</v>
      </c>
      <c r="M45" t="s">
        <v>617</v>
      </c>
      <c r="N45" t="s">
        <v>381</v>
      </c>
      <c r="O45" t="s">
        <v>964</v>
      </c>
    </row>
    <row r="46" spans="5:15">
      <c r="E46" s="4" t="s">
        <v>869</v>
      </c>
      <c r="F46" s="4"/>
      <c r="H46" s="4"/>
      <c r="I46" s="4"/>
      <c r="L46" s="16">
        <v>0.70833333333330795</v>
      </c>
      <c r="M46" t="s">
        <v>618</v>
      </c>
      <c r="N46" t="s">
        <v>382</v>
      </c>
      <c r="O46" t="s">
        <v>965</v>
      </c>
    </row>
    <row r="47" spans="5:15">
      <c r="E47" s="4" t="s">
        <v>865</v>
      </c>
      <c r="F47" s="4"/>
      <c r="H47" s="4"/>
      <c r="I47" s="4"/>
      <c r="L47" s="16">
        <v>0.71874999999997402</v>
      </c>
      <c r="M47" t="s">
        <v>619</v>
      </c>
      <c r="N47" t="s">
        <v>383</v>
      </c>
      <c r="O47" t="s">
        <v>966</v>
      </c>
    </row>
    <row r="48" spans="5:15">
      <c r="E48" s="4" t="s">
        <v>866</v>
      </c>
      <c r="F48" s="4"/>
      <c r="H48" s="4"/>
      <c r="I48" s="4"/>
      <c r="L48" s="16">
        <v>0.72916666666663998</v>
      </c>
      <c r="M48" t="s">
        <v>481</v>
      </c>
      <c r="N48" t="s">
        <v>384</v>
      </c>
      <c r="O48" t="s">
        <v>967</v>
      </c>
    </row>
    <row r="49" spans="5:15">
      <c r="E49" s="4" t="s">
        <v>868</v>
      </c>
      <c r="F49" s="4"/>
      <c r="H49" s="4"/>
      <c r="I49" s="4"/>
      <c r="L49" s="16">
        <v>0.73958333333330595</v>
      </c>
      <c r="M49" t="s">
        <v>620</v>
      </c>
      <c r="N49" t="s">
        <v>669</v>
      </c>
      <c r="O49" t="s">
        <v>968</v>
      </c>
    </row>
    <row r="50" spans="5:15">
      <c r="E50" s="4" t="s">
        <v>864</v>
      </c>
      <c r="F50" s="4"/>
      <c r="H50" s="4"/>
      <c r="I50" s="4"/>
      <c r="L50" s="16">
        <v>0.74999999999997202</v>
      </c>
      <c r="M50" t="s">
        <v>483</v>
      </c>
      <c r="N50" t="s">
        <v>385</v>
      </c>
      <c r="O50" t="s">
        <v>969</v>
      </c>
    </row>
    <row r="51" spans="5:15">
      <c r="E51" s="4" t="s">
        <v>859</v>
      </c>
      <c r="F51" s="4"/>
      <c r="H51" s="4"/>
      <c r="I51" s="4"/>
      <c r="L51" s="16">
        <v>0.76041666666663799</v>
      </c>
      <c r="M51" t="s">
        <v>486</v>
      </c>
      <c r="N51" t="s">
        <v>386</v>
      </c>
      <c r="O51" t="s">
        <v>970</v>
      </c>
    </row>
    <row r="52" spans="5:15">
      <c r="E52" s="4" t="s">
        <v>860</v>
      </c>
      <c r="F52" s="4"/>
      <c r="H52" s="4"/>
      <c r="I52" s="4"/>
      <c r="L52" s="16">
        <v>0.77083333333330395</v>
      </c>
      <c r="M52" t="s">
        <v>488</v>
      </c>
      <c r="N52" t="s">
        <v>387</v>
      </c>
      <c r="O52" t="s">
        <v>971</v>
      </c>
    </row>
    <row r="53" spans="5:15">
      <c r="F53" s="4"/>
      <c r="H53" s="4"/>
      <c r="I53" s="4"/>
      <c r="L53" s="16">
        <v>0.78124999999997002</v>
      </c>
      <c r="M53" t="s">
        <v>490</v>
      </c>
      <c r="N53" t="s">
        <v>388</v>
      </c>
      <c r="O53" t="s">
        <v>972</v>
      </c>
    </row>
    <row r="54" spans="5:15">
      <c r="F54" s="4"/>
      <c r="H54" s="4"/>
      <c r="I54" s="4"/>
      <c r="L54" s="16">
        <v>0.79166666666663599</v>
      </c>
      <c r="M54" t="s">
        <v>492</v>
      </c>
      <c r="N54" t="s">
        <v>389</v>
      </c>
      <c r="O54" t="s">
        <v>973</v>
      </c>
    </row>
    <row r="55" spans="5:15">
      <c r="F55" s="4"/>
      <c r="H55" s="4"/>
      <c r="I55" s="4"/>
      <c r="L55" s="16">
        <v>0.80208333333330195</v>
      </c>
      <c r="M55" t="s">
        <v>494</v>
      </c>
      <c r="N55" t="s">
        <v>390</v>
      </c>
      <c r="O55" t="s">
        <v>974</v>
      </c>
    </row>
    <row r="56" spans="5:15">
      <c r="F56" s="4"/>
      <c r="H56" s="4"/>
      <c r="I56" s="4"/>
      <c r="L56" s="16">
        <v>0.81249999999996803</v>
      </c>
      <c r="M56" t="s">
        <v>497</v>
      </c>
      <c r="N56" t="s">
        <v>391</v>
      </c>
      <c r="O56" t="s">
        <v>975</v>
      </c>
    </row>
    <row r="57" spans="5:15">
      <c r="F57" s="4"/>
      <c r="H57" s="4"/>
      <c r="I57" s="4"/>
      <c r="L57" s="16">
        <v>0.82291666666663399</v>
      </c>
      <c r="M57" t="s">
        <v>621</v>
      </c>
      <c r="N57" t="s">
        <v>392</v>
      </c>
      <c r="O57" t="s">
        <v>976</v>
      </c>
    </row>
    <row r="58" spans="5:15">
      <c r="F58" s="4"/>
      <c r="H58" s="4"/>
      <c r="I58" s="4"/>
      <c r="L58" s="16">
        <v>0.83333333333329995</v>
      </c>
      <c r="M58" t="s">
        <v>506</v>
      </c>
      <c r="N58" t="s">
        <v>393</v>
      </c>
      <c r="O58" t="s">
        <v>977</v>
      </c>
    </row>
    <row r="59" spans="5:15">
      <c r="F59" s="4"/>
      <c r="H59" s="4"/>
      <c r="I59" s="4"/>
      <c r="L59" s="16">
        <v>0.84374999999996603</v>
      </c>
      <c r="M59" t="s">
        <v>622</v>
      </c>
      <c r="N59" t="s">
        <v>394</v>
      </c>
      <c r="O59" t="s">
        <v>978</v>
      </c>
    </row>
    <row r="60" spans="5:15">
      <c r="F60" s="4"/>
      <c r="H60" s="4"/>
      <c r="I60" s="4"/>
      <c r="L60" s="16">
        <v>0.85416666666663199</v>
      </c>
      <c r="M60" t="s">
        <v>623</v>
      </c>
      <c r="N60" t="s">
        <v>395</v>
      </c>
      <c r="O60" t="s">
        <v>979</v>
      </c>
    </row>
    <row r="61" spans="5:15">
      <c r="F61" s="4"/>
      <c r="H61" s="4"/>
      <c r="I61" s="4"/>
      <c r="L61" s="16">
        <v>0.86458333333329795</v>
      </c>
      <c r="M61" t="s">
        <v>673</v>
      </c>
      <c r="N61" t="s">
        <v>611</v>
      </c>
      <c r="O61" t="s">
        <v>980</v>
      </c>
    </row>
    <row r="62" spans="5:15">
      <c r="F62" s="4"/>
      <c r="H62" s="4"/>
      <c r="I62" s="4"/>
      <c r="L62" s="16">
        <v>0.87499999999996403</v>
      </c>
      <c r="M62" t="s">
        <v>536</v>
      </c>
      <c r="N62" t="s">
        <v>396</v>
      </c>
    </row>
    <row r="63" spans="5:15">
      <c r="F63" s="4"/>
      <c r="H63" s="4"/>
      <c r="I63" s="4"/>
      <c r="L63" s="16">
        <v>0.88541666666662999</v>
      </c>
      <c r="M63" t="s">
        <v>624</v>
      </c>
      <c r="N63" t="s">
        <v>397</v>
      </c>
    </row>
    <row r="64" spans="5:15">
      <c r="F64" s="4"/>
      <c r="H64" s="4"/>
      <c r="I64" s="4"/>
      <c r="L64" s="16">
        <v>0.89583333333329596</v>
      </c>
      <c r="M64" t="s">
        <v>625</v>
      </c>
      <c r="N64" t="s">
        <v>398</v>
      </c>
    </row>
    <row r="65" spans="6:14">
      <c r="F65" s="4"/>
      <c r="H65" s="4"/>
      <c r="I65" s="4"/>
      <c r="L65" s="16">
        <v>0.90624999999996203</v>
      </c>
      <c r="M65" t="s">
        <v>626</v>
      </c>
      <c r="N65" t="s">
        <v>399</v>
      </c>
    </row>
    <row r="66" spans="6:14">
      <c r="F66" s="4"/>
      <c r="H66" s="4"/>
      <c r="I66" s="4"/>
      <c r="L66" s="16">
        <v>0.91666666666662799</v>
      </c>
      <c r="M66" t="s">
        <v>631</v>
      </c>
      <c r="N66" t="s">
        <v>670</v>
      </c>
    </row>
    <row r="67" spans="6:14">
      <c r="F67" s="4"/>
      <c r="H67" s="4"/>
      <c r="I67" s="4"/>
      <c r="L67" s="16">
        <v>0.92708333333329396</v>
      </c>
      <c r="M67" t="s">
        <v>569</v>
      </c>
      <c r="N67" t="s">
        <v>400</v>
      </c>
    </row>
    <row r="68" spans="6:14">
      <c r="F68" s="4"/>
      <c r="H68" s="4"/>
      <c r="I68" s="4"/>
      <c r="L68" s="16">
        <v>0.93749999999996003</v>
      </c>
      <c r="M68" t="s">
        <v>537</v>
      </c>
      <c r="N68" t="s">
        <v>401</v>
      </c>
    </row>
    <row r="69" spans="6:14">
      <c r="F69" s="4"/>
      <c r="H69" s="4"/>
      <c r="I69" s="4"/>
      <c r="L69" s="16">
        <v>0.947916666666626</v>
      </c>
      <c r="M69" t="s">
        <v>627</v>
      </c>
      <c r="N69" t="s">
        <v>671</v>
      </c>
    </row>
    <row r="70" spans="6:14">
      <c r="F70" s="4"/>
      <c r="H70" s="4"/>
      <c r="I70" s="4"/>
      <c r="L70" s="16">
        <v>0.95833333333333404</v>
      </c>
      <c r="M70" t="s">
        <v>634</v>
      </c>
      <c r="N70" t="s">
        <v>402</v>
      </c>
    </row>
    <row r="71" spans="6:14">
      <c r="F71" s="4"/>
      <c r="H71" s="4"/>
      <c r="I71" s="4"/>
      <c r="L71" s="16">
        <v>0.968750000000001</v>
      </c>
      <c r="M71" t="s">
        <v>637</v>
      </c>
      <c r="N71" t="s">
        <v>403</v>
      </c>
    </row>
    <row r="72" spans="6:14">
      <c r="F72" s="4"/>
      <c r="H72" s="4"/>
      <c r="I72" s="4"/>
      <c r="L72" s="16">
        <v>0.97916666666666696</v>
      </c>
      <c r="M72" t="s">
        <v>575</v>
      </c>
      <c r="N72" t="s">
        <v>404</v>
      </c>
    </row>
    <row r="73" spans="6:14">
      <c r="F73" s="4"/>
      <c r="H73" s="4"/>
      <c r="I73" s="4"/>
      <c r="L73" s="16">
        <v>0.98958333333333404</v>
      </c>
      <c r="M73" t="s">
        <v>643</v>
      </c>
      <c r="N73" t="s">
        <v>405</v>
      </c>
    </row>
    <row r="74" spans="6:14">
      <c r="F74" s="4"/>
      <c r="H74" s="4"/>
      <c r="I74" s="4"/>
      <c r="L74" s="16" t="s">
        <v>574</v>
      </c>
      <c r="M74" t="s">
        <v>642</v>
      </c>
      <c r="N74" t="s">
        <v>406</v>
      </c>
    </row>
    <row r="75" spans="6:14">
      <c r="F75" s="4"/>
      <c r="H75" s="4"/>
      <c r="I75" s="4"/>
      <c r="L75" s="16"/>
      <c r="M75" t="s">
        <v>645</v>
      </c>
      <c r="N75" t="s">
        <v>407</v>
      </c>
    </row>
    <row r="76" spans="6:14">
      <c r="F76" s="4"/>
      <c r="H76" s="4"/>
      <c r="I76" s="4"/>
      <c r="L76" s="16"/>
      <c r="M76" t="s">
        <v>667</v>
      </c>
      <c r="N76" t="s">
        <v>408</v>
      </c>
    </row>
    <row r="77" spans="6:14">
      <c r="F77" s="4"/>
      <c r="H77" s="4"/>
      <c r="I77" s="4"/>
      <c r="L77" s="16"/>
      <c r="M77" t="s">
        <v>650</v>
      </c>
      <c r="N77" t="s">
        <v>409</v>
      </c>
    </row>
    <row r="78" spans="6:14">
      <c r="F78" s="4"/>
      <c r="H78" s="4"/>
      <c r="I78" s="4"/>
      <c r="L78" s="16"/>
      <c r="M78" t="s">
        <v>697</v>
      </c>
      <c r="N78" t="s">
        <v>410</v>
      </c>
    </row>
    <row r="79" spans="6:14">
      <c r="F79" s="4"/>
      <c r="H79" s="4"/>
      <c r="I79" s="4"/>
      <c r="L79" s="16"/>
      <c r="M79" t="s">
        <v>668</v>
      </c>
      <c r="N79" t="s">
        <v>411</v>
      </c>
    </row>
    <row r="80" spans="6:14">
      <c r="F80" s="4"/>
      <c r="H80" s="4"/>
      <c r="I80" s="4"/>
      <c r="L80" s="16"/>
      <c r="M80" t="s">
        <v>698</v>
      </c>
      <c r="N80" t="s">
        <v>412</v>
      </c>
    </row>
    <row r="81" spans="5:14">
      <c r="F81" s="4"/>
      <c r="I81" s="4"/>
      <c r="L81" s="16"/>
      <c r="M81" t="s">
        <v>701</v>
      </c>
      <c r="N81" t="s">
        <v>413</v>
      </c>
    </row>
    <row r="82" spans="5:14">
      <c r="F82" s="4"/>
      <c r="I82" s="4"/>
      <c r="L82" s="16"/>
      <c r="M82" t="s">
        <v>700</v>
      </c>
      <c r="N82" t="s">
        <v>414</v>
      </c>
    </row>
    <row r="83" spans="5:14">
      <c r="F83" s="4"/>
      <c r="I83" s="4"/>
      <c r="L83" s="16"/>
      <c r="M83" t="s">
        <v>699</v>
      </c>
      <c r="N83" t="s">
        <v>415</v>
      </c>
    </row>
    <row r="84" spans="5:14">
      <c r="F84" s="4"/>
      <c r="I84" s="4"/>
      <c r="L84" s="16"/>
      <c r="M84" t="s">
        <v>702</v>
      </c>
      <c r="N84" t="s">
        <v>416</v>
      </c>
    </row>
    <row r="85" spans="5:14">
      <c r="F85" s="4"/>
      <c r="I85" s="4"/>
      <c r="L85" s="16"/>
      <c r="M85" t="s">
        <v>703</v>
      </c>
      <c r="N85" t="s">
        <v>417</v>
      </c>
    </row>
    <row r="86" spans="5:14">
      <c r="E86" s="4"/>
      <c r="F86" s="4"/>
      <c r="L86" s="16"/>
      <c r="M86" t="s">
        <v>854</v>
      </c>
      <c r="N86" t="s">
        <v>418</v>
      </c>
    </row>
    <row r="87" spans="5:14">
      <c r="E87" s="4"/>
      <c r="L87" s="16"/>
      <c r="M87" t="s">
        <v>1001</v>
      </c>
      <c r="N87" t="s">
        <v>419</v>
      </c>
    </row>
    <row r="88" spans="5:14">
      <c r="E88" s="4"/>
      <c r="L88" s="16"/>
      <c r="M88" t="s">
        <v>1000</v>
      </c>
      <c r="N88" t="s">
        <v>420</v>
      </c>
    </row>
    <row r="89" spans="5:14">
      <c r="E89" s="4"/>
      <c r="L89" s="16"/>
      <c r="N89" t="s">
        <v>421</v>
      </c>
    </row>
    <row r="90" spans="5:14">
      <c r="E90" s="4"/>
      <c r="L90" s="16"/>
      <c r="N90" t="s">
        <v>422</v>
      </c>
    </row>
    <row r="91" spans="5:14">
      <c r="E91" s="4"/>
      <c r="L91" s="16"/>
      <c r="N91" t="s">
        <v>423</v>
      </c>
    </row>
    <row r="92" spans="5:14">
      <c r="E92" s="4"/>
      <c r="L92" s="16"/>
      <c r="N92" t="s">
        <v>424</v>
      </c>
    </row>
    <row r="93" spans="5:14">
      <c r="E93" s="4"/>
      <c r="L93" s="16"/>
      <c r="N93" t="s">
        <v>425</v>
      </c>
    </row>
    <row r="94" spans="5:14">
      <c r="E94" s="4"/>
      <c r="L94" s="16"/>
      <c r="N94" t="s">
        <v>426</v>
      </c>
    </row>
    <row r="95" spans="5:14">
      <c r="E95" s="4"/>
      <c r="L95" s="16"/>
      <c r="N95" t="s">
        <v>427</v>
      </c>
    </row>
    <row r="96" spans="5:14">
      <c r="E96" s="4"/>
      <c r="L96" s="16"/>
      <c r="N96" t="s">
        <v>428</v>
      </c>
    </row>
    <row r="97" spans="5:14">
      <c r="E97" s="4"/>
      <c r="L97" s="16"/>
      <c r="N97" t="s">
        <v>429</v>
      </c>
    </row>
    <row r="98" spans="5:14">
      <c r="L98" s="16"/>
      <c r="N98" t="s">
        <v>430</v>
      </c>
    </row>
    <row r="99" spans="5:14">
      <c r="L99" s="16"/>
      <c r="N99" t="s">
        <v>431</v>
      </c>
    </row>
    <row r="100" spans="5:14">
      <c r="L100" s="16"/>
      <c r="N100" t="s">
        <v>592</v>
      </c>
    </row>
    <row r="101" spans="5:14">
      <c r="L101" s="16"/>
      <c r="N101" t="s">
        <v>432</v>
      </c>
    </row>
    <row r="102" spans="5:14">
      <c r="L102" s="16"/>
      <c r="N102" t="s">
        <v>593</v>
      </c>
    </row>
    <row r="103" spans="5:14">
      <c r="L103" s="16"/>
      <c r="N103" t="s">
        <v>538</v>
      </c>
    </row>
    <row r="104" spans="5:14">
      <c r="L104" s="16"/>
      <c r="N104" t="s">
        <v>539</v>
      </c>
    </row>
    <row r="105" spans="5:14">
      <c r="L105" s="16"/>
      <c r="N105" t="s">
        <v>433</v>
      </c>
    </row>
    <row r="106" spans="5:14">
      <c r="L106" s="16"/>
      <c r="N106" t="s">
        <v>434</v>
      </c>
    </row>
    <row r="107" spans="5:14">
      <c r="L107" s="16"/>
      <c r="N107" t="s">
        <v>447</v>
      </c>
    </row>
    <row r="108" spans="5:14">
      <c r="L108" s="16"/>
      <c r="N108" t="s">
        <v>435</v>
      </c>
    </row>
    <row r="109" spans="5:14">
      <c r="L109" s="16"/>
      <c r="N109" t="s">
        <v>500</v>
      </c>
    </row>
    <row r="110" spans="5:14">
      <c r="L110" s="16"/>
      <c r="N110" t="s">
        <v>540</v>
      </c>
    </row>
    <row r="111" spans="5:14">
      <c r="L111" s="16"/>
      <c r="N111" t="s">
        <v>541</v>
      </c>
    </row>
    <row r="112" spans="5:14">
      <c r="L112" s="16"/>
      <c r="N112" t="s">
        <v>503</v>
      </c>
    </row>
    <row r="113" spans="12:14">
      <c r="L113" s="16"/>
      <c r="N113" t="s">
        <v>542</v>
      </c>
    </row>
    <row r="114" spans="12:14">
      <c r="L114" s="16"/>
      <c r="N114" t="s">
        <v>543</v>
      </c>
    </row>
    <row r="115" spans="12:14">
      <c r="L115" s="16"/>
      <c r="N115" t="s">
        <v>544</v>
      </c>
    </row>
    <row r="116" spans="12:14">
      <c r="L116" s="16"/>
      <c r="N116" t="s">
        <v>570</v>
      </c>
    </row>
    <row r="117" spans="12:14">
      <c r="L117" s="16"/>
      <c r="N117" t="s">
        <v>571</v>
      </c>
    </row>
    <row r="118" spans="12:14">
      <c r="L118" s="16"/>
      <c r="N118" t="s">
        <v>612</v>
      </c>
    </row>
    <row r="119" spans="12:14">
      <c r="L119" s="16"/>
      <c r="N119" t="s">
        <v>579</v>
      </c>
    </row>
    <row r="120" spans="12:14">
      <c r="L120" s="16"/>
      <c r="N120" t="s">
        <v>704</v>
      </c>
    </row>
    <row r="121" spans="12:14">
      <c r="L121" s="16"/>
      <c r="N121" t="s">
        <v>613</v>
      </c>
    </row>
    <row r="122" spans="12:14">
      <c r="L122" s="16"/>
      <c r="N122" t="s">
        <v>576</v>
      </c>
    </row>
    <row r="123" spans="12:14">
      <c r="L123" s="16"/>
      <c r="N123" t="s">
        <v>614</v>
      </c>
    </row>
    <row r="124" spans="12:14">
      <c r="L124" s="16"/>
      <c r="N124" t="s">
        <v>615</v>
      </c>
    </row>
    <row r="125" spans="12:14">
      <c r="L125" s="16"/>
      <c r="N125" t="s">
        <v>616</v>
      </c>
    </row>
    <row r="126" spans="12:14">
      <c r="L126" s="16"/>
      <c r="N126" t="s">
        <v>707</v>
      </c>
    </row>
    <row r="127" spans="12:14">
      <c r="L127" s="16"/>
    </row>
    <row r="128" spans="12:14">
      <c r="L128" s="16"/>
    </row>
    <row r="129" spans="12:12">
      <c r="L129" s="16"/>
    </row>
    <row r="130" spans="12:12">
      <c r="L130" s="16"/>
    </row>
    <row r="131" spans="12:12">
      <c r="L131" s="16"/>
    </row>
    <row r="132" spans="12:12">
      <c r="L132" s="16"/>
    </row>
    <row r="133" spans="12:12">
      <c r="L133" s="16"/>
    </row>
    <row r="134" spans="12:12">
      <c r="L134" s="16"/>
    </row>
    <row r="135" spans="12:12">
      <c r="L135" s="16"/>
    </row>
    <row r="136" spans="12:12">
      <c r="L136" s="16"/>
    </row>
    <row r="137" spans="12:12">
      <c r="L137" s="16"/>
    </row>
    <row r="138" spans="12:12">
      <c r="L138" s="16"/>
    </row>
    <row r="139" spans="12:12">
      <c r="L139" s="16"/>
    </row>
    <row r="140" spans="12:12">
      <c r="L140" s="16"/>
    </row>
    <row r="141" spans="12:12">
      <c r="L141" s="16"/>
    </row>
    <row r="142" spans="12:12">
      <c r="L142" s="16"/>
    </row>
    <row r="143" spans="12:12">
      <c r="L143" s="16"/>
    </row>
    <row r="144" spans="12:12">
      <c r="L144" s="16"/>
    </row>
    <row r="145" spans="12:12">
      <c r="L145" s="16"/>
    </row>
    <row r="146" spans="12:12">
      <c r="L146" s="16"/>
    </row>
    <row r="147" spans="12:12">
      <c r="L147" s="16"/>
    </row>
    <row r="148" spans="12:12">
      <c r="L148" s="16"/>
    </row>
    <row r="149" spans="12:12">
      <c r="L149" s="16"/>
    </row>
    <row r="150" spans="12:12">
      <c r="L150" s="16"/>
    </row>
    <row r="151" spans="12:12">
      <c r="L151" s="16"/>
    </row>
    <row r="152" spans="12:12">
      <c r="L152" s="16"/>
    </row>
    <row r="153" spans="12:12">
      <c r="L153" s="16"/>
    </row>
    <row r="154" spans="12:12">
      <c r="L154" s="16"/>
    </row>
    <row r="155" spans="12:12">
      <c r="L155" s="16"/>
    </row>
    <row r="156" spans="12:12">
      <c r="L156" s="16"/>
    </row>
    <row r="157" spans="12:12">
      <c r="L157" s="16"/>
    </row>
    <row r="158" spans="12:12">
      <c r="L158" s="16"/>
    </row>
    <row r="159" spans="12:12">
      <c r="L159" s="16"/>
    </row>
    <row r="160" spans="12:12">
      <c r="L160" s="16"/>
    </row>
    <row r="161" spans="12:12">
      <c r="L161" s="16"/>
    </row>
    <row r="162" spans="12:12">
      <c r="L162" s="16"/>
    </row>
    <row r="163" spans="12:12">
      <c r="L163" s="16"/>
    </row>
    <row r="164" spans="12:12">
      <c r="L164" s="16"/>
    </row>
    <row r="165" spans="12:12">
      <c r="L165" s="16"/>
    </row>
    <row r="166" spans="12:12">
      <c r="L166" s="16"/>
    </row>
  </sheetData>
  <conditionalFormatting sqref="H2:H9 I19 H12:H38">
    <cfRule type="duplicateValues" dxfId="2" priority="96"/>
  </conditionalFormatting>
  <pageMargins left="0.7" right="0.7" top="0.75" bottom="0.75" header="0.3" footer="0.3"/>
  <pageSetup orientation="portrait" r:id="rId1"/>
  <tableParts count="7">
    <tablePart r:id="rId2"/>
    <tablePart r:id="rId3"/>
    <tablePart r:id="rId4"/>
    <tablePart r:id="rId5"/>
    <tablePart r:id="rId6"/>
    <tablePart r:id="rId7"/>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EE56D-CDBB-47CF-9BA6-9A3C638B1E67}">
  <dimension ref="A1:U9"/>
  <sheetViews>
    <sheetView topLeftCell="G1" workbookViewId="0">
      <selection sqref="A1:K1"/>
    </sheetView>
  </sheetViews>
  <sheetFormatPr defaultRowHeight="15"/>
  <cols>
    <col min="1" max="1" width="19.28515625" bestFit="1" customWidth="1"/>
    <col min="2" max="2" width="50.42578125" bestFit="1" customWidth="1"/>
    <col min="3" max="3" width="44.42578125" bestFit="1" customWidth="1"/>
    <col min="4" max="4" width="39" bestFit="1" customWidth="1"/>
    <col min="5" max="5" width="38.85546875" bestFit="1" customWidth="1"/>
    <col min="6" max="6" width="38.28515625" bestFit="1" customWidth="1"/>
    <col min="7" max="7" width="21.5703125" bestFit="1" customWidth="1"/>
    <col min="8" max="8" width="21.85546875" bestFit="1" customWidth="1"/>
    <col min="9" max="9" width="40.42578125" bestFit="1" customWidth="1"/>
    <col min="10" max="10" width="14" bestFit="1" customWidth="1"/>
    <col min="11" max="11" width="28.28515625" bestFit="1" customWidth="1"/>
    <col min="15" max="15" width="45.5703125" bestFit="1" customWidth="1"/>
    <col min="16" max="16" width="41" bestFit="1" customWidth="1"/>
    <col min="17" max="17" width="24.42578125" bestFit="1" customWidth="1"/>
    <col min="18" max="21" width="25.85546875" bestFit="1" customWidth="1"/>
  </cols>
  <sheetData>
    <row r="1" spans="1:21">
      <c r="A1" t="s">
        <v>856</v>
      </c>
      <c r="B1" t="s">
        <v>896</v>
      </c>
      <c r="C1" t="s">
        <v>897</v>
      </c>
      <c r="D1" t="s">
        <v>898</v>
      </c>
      <c r="E1" t="s">
        <v>914</v>
      </c>
      <c r="F1" t="s">
        <v>913</v>
      </c>
      <c r="G1" t="s">
        <v>893</v>
      </c>
      <c r="H1" t="s">
        <v>892</v>
      </c>
      <c r="I1" t="s">
        <v>899</v>
      </c>
      <c r="J1" t="s">
        <v>510</v>
      </c>
      <c r="K1" t="s">
        <v>900</v>
      </c>
      <c r="O1" t="s">
        <v>915</v>
      </c>
      <c r="P1" t="s">
        <v>916</v>
      </c>
      <c r="Q1" t="s">
        <v>917</v>
      </c>
      <c r="R1" t="s">
        <v>918</v>
      </c>
      <c r="S1" t="s">
        <v>919</v>
      </c>
      <c r="T1" t="s">
        <v>920</v>
      </c>
      <c r="U1" t="s">
        <v>921</v>
      </c>
    </row>
    <row r="2" spans="1:21">
      <c r="E2" t="s">
        <v>861</v>
      </c>
      <c r="F2" t="s">
        <v>861</v>
      </c>
      <c r="G2" t="s">
        <v>885</v>
      </c>
      <c r="O2" t="s">
        <v>856</v>
      </c>
      <c r="P2" t="s">
        <v>856</v>
      </c>
      <c r="Q2" t="s">
        <v>856</v>
      </c>
      <c r="R2" t="s">
        <v>900</v>
      </c>
      <c r="S2" t="s">
        <v>900</v>
      </c>
      <c r="T2" t="s">
        <v>900</v>
      </c>
      <c r="U2" t="s">
        <v>900</v>
      </c>
    </row>
    <row r="3" spans="1:21">
      <c r="E3" t="s">
        <v>870</v>
      </c>
      <c r="F3" t="s">
        <v>870</v>
      </c>
      <c r="G3" t="s">
        <v>887</v>
      </c>
      <c r="O3" t="s">
        <v>896</v>
      </c>
      <c r="P3" t="s">
        <v>897</v>
      </c>
      <c r="Q3" t="s">
        <v>899</v>
      </c>
    </row>
    <row r="4" spans="1:21">
      <c r="E4" t="s">
        <v>894</v>
      </c>
      <c r="F4" t="s">
        <v>894</v>
      </c>
      <c r="G4" t="s">
        <v>881</v>
      </c>
      <c r="O4" t="s">
        <v>914</v>
      </c>
      <c r="P4" t="s">
        <v>898</v>
      </c>
      <c r="Q4" t="s">
        <v>510</v>
      </c>
    </row>
    <row r="5" spans="1:21">
      <c r="G5" t="s">
        <v>886</v>
      </c>
      <c r="O5" t="s">
        <v>913</v>
      </c>
      <c r="P5" t="s">
        <v>893</v>
      </c>
    </row>
    <row r="6" spans="1:21">
      <c r="G6" t="s">
        <v>888</v>
      </c>
      <c r="O6" t="s">
        <v>892</v>
      </c>
      <c r="P6" t="s">
        <v>510</v>
      </c>
    </row>
    <row r="7" spans="1:21">
      <c r="G7" t="s">
        <v>889</v>
      </c>
      <c r="O7" t="s">
        <v>510</v>
      </c>
    </row>
    <row r="8" spans="1:21">
      <c r="G8" t="s">
        <v>890</v>
      </c>
    </row>
    <row r="9" spans="1:21">
      <c r="G9" t="s">
        <v>891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2D33A-5E95-460A-8E59-908D1FB48876}">
  <dimension ref="A1:C19"/>
  <sheetViews>
    <sheetView workbookViewId="0">
      <selection activeCell="F13" sqref="F13:G13"/>
    </sheetView>
  </sheetViews>
  <sheetFormatPr defaultRowHeight="15"/>
  <cols>
    <col min="1" max="3" width="25.85546875" customWidth="1"/>
  </cols>
  <sheetData>
    <row r="1" spans="1:3">
      <c r="A1" t="s">
        <v>901</v>
      </c>
      <c r="B1" t="s">
        <v>902</v>
      </c>
      <c r="C1" t="s">
        <v>903</v>
      </c>
    </row>
    <row r="2" spans="1:3">
      <c r="A2" s="4" t="s">
        <v>870</v>
      </c>
      <c r="B2" s="4" t="s">
        <v>885</v>
      </c>
      <c r="C2" s="4" t="s">
        <v>872</v>
      </c>
    </row>
    <row r="3" spans="1:3">
      <c r="A3" s="4" t="s">
        <v>862</v>
      </c>
      <c r="B3" s="4" t="s">
        <v>880</v>
      </c>
      <c r="C3" s="4" t="s">
        <v>879</v>
      </c>
    </row>
    <row r="4" spans="1:3">
      <c r="A4" s="4" t="s">
        <v>857</v>
      </c>
      <c r="B4" s="4" t="s">
        <v>884</v>
      </c>
      <c r="C4" s="4" t="s">
        <v>878</v>
      </c>
    </row>
    <row r="5" spans="1:3">
      <c r="A5" s="4" t="s">
        <v>863</v>
      </c>
      <c r="B5" s="4" t="s">
        <v>881</v>
      </c>
      <c r="C5" s="4" t="s">
        <v>862</v>
      </c>
    </row>
    <row r="6" spans="1:3">
      <c r="A6" s="4" t="s">
        <v>861</v>
      </c>
      <c r="B6" s="4" t="s">
        <v>877</v>
      </c>
      <c r="C6" s="4" t="s">
        <v>876</v>
      </c>
    </row>
    <row r="7" spans="1:3">
      <c r="A7" s="4" t="s">
        <v>867</v>
      </c>
      <c r="B7" s="4" t="s">
        <v>882</v>
      </c>
      <c r="C7" s="4" t="s">
        <v>875</v>
      </c>
    </row>
    <row r="8" spans="1:3">
      <c r="A8" s="4" t="s">
        <v>858</v>
      </c>
      <c r="B8" s="4" t="s">
        <v>867</v>
      </c>
      <c r="C8" s="4" t="s">
        <v>874</v>
      </c>
    </row>
    <row r="9" spans="1:3">
      <c r="A9" s="4" t="s">
        <v>869</v>
      </c>
      <c r="B9" s="4" t="s">
        <v>883</v>
      </c>
      <c r="C9" s="4" t="s">
        <v>877</v>
      </c>
    </row>
    <row r="10" spans="1:3">
      <c r="A10" s="4" t="s">
        <v>865</v>
      </c>
      <c r="B10" s="4" t="s">
        <v>869</v>
      </c>
      <c r="C10" s="4" t="s">
        <v>873</v>
      </c>
    </row>
    <row r="11" spans="1:3">
      <c r="A11" s="4" t="s">
        <v>866</v>
      </c>
      <c r="B11" s="4" t="s">
        <v>865</v>
      </c>
      <c r="C11" s="4" t="s">
        <v>867</v>
      </c>
    </row>
    <row r="12" spans="1:3">
      <c r="A12" s="4" t="s">
        <v>868</v>
      </c>
      <c r="B12" s="4" t="s">
        <v>866</v>
      </c>
      <c r="C12" s="4" t="s">
        <v>858</v>
      </c>
    </row>
    <row r="13" spans="1:3">
      <c r="A13" s="4" t="s">
        <v>864</v>
      </c>
      <c r="B13" s="4" t="s">
        <v>868</v>
      </c>
      <c r="C13" s="4" t="s">
        <v>869</v>
      </c>
    </row>
    <row r="14" spans="1:3">
      <c r="A14" s="4" t="s">
        <v>859</v>
      </c>
      <c r="B14" s="4" t="s">
        <v>864</v>
      </c>
      <c r="C14" s="4" t="s">
        <v>865</v>
      </c>
    </row>
    <row r="15" spans="1:3">
      <c r="A15" s="4" t="s">
        <v>860</v>
      </c>
      <c r="B15" s="4" t="s">
        <v>859</v>
      </c>
      <c r="C15" s="4" t="s">
        <v>866</v>
      </c>
    </row>
    <row r="16" spans="1:3">
      <c r="A16" s="4" t="s">
        <v>871</v>
      </c>
      <c r="B16" s="4" t="s">
        <v>860</v>
      </c>
      <c r="C16" s="4" t="s">
        <v>868</v>
      </c>
    </row>
    <row r="17" spans="3:3">
      <c r="C17" s="4" t="s">
        <v>864</v>
      </c>
    </row>
    <row r="18" spans="3:3">
      <c r="C18" s="4" t="s">
        <v>859</v>
      </c>
    </row>
    <row r="19" spans="3:3">
      <c r="C19" s="4" t="s">
        <v>860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1FA7-88A7-426C-BEF9-AAB807FEB020}">
  <sheetPr codeName="Sheet4"/>
  <dimension ref="A1:W327"/>
  <sheetViews>
    <sheetView workbookViewId="0">
      <selection activeCell="E24" sqref="E24"/>
    </sheetView>
  </sheetViews>
  <sheetFormatPr defaultRowHeight="15"/>
  <cols>
    <col min="1" max="1" width="10.42578125" customWidth="1"/>
    <col min="2" max="2" width="27.5703125" bestFit="1" customWidth="1"/>
    <col min="3" max="3" width="32.7109375" bestFit="1" customWidth="1"/>
    <col min="4" max="4" width="8.7109375" customWidth="1"/>
    <col min="5" max="5" width="10.85546875" style="82" customWidth="1"/>
    <col min="7" max="7" width="8.140625" customWidth="1"/>
    <col min="8" max="9" width="11.140625" style="82" customWidth="1"/>
    <col min="10" max="10" width="10.5703125" customWidth="1"/>
    <col min="11" max="11" width="10.28515625" customWidth="1"/>
    <col min="21" max="21" width="13.85546875" bestFit="1" customWidth="1"/>
    <col min="23" max="23" width="15.5703125" bestFit="1" customWidth="1"/>
  </cols>
  <sheetData>
    <row r="1" spans="1:23" ht="45">
      <c r="A1" s="33" t="s">
        <v>5</v>
      </c>
      <c r="B1" s="33" t="s">
        <v>167</v>
      </c>
      <c r="C1" s="33" t="s">
        <v>694</v>
      </c>
      <c r="D1" s="33" t="s">
        <v>674</v>
      </c>
      <c r="E1" s="107" t="s">
        <v>846</v>
      </c>
      <c r="H1" s="98" t="s">
        <v>674</v>
      </c>
      <c r="I1" s="98" t="s">
        <v>815</v>
      </c>
      <c r="J1" s="88" t="s">
        <v>674</v>
      </c>
      <c r="K1" s="88" t="s">
        <v>770</v>
      </c>
      <c r="L1" s="87">
        <v>1</v>
      </c>
      <c r="M1" s="87">
        <v>1.25</v>
      </c>
      <c r="N1" s="87">
        <v>1.5</v>
      </c>
      <c r="O1" s="87">
        <v>2</v>
      </c>
      <c r="T1" s="253"/>
      <c r="U1" s="253"/>
      <c r="V1" s="253"/>
      <c r="W1" s="253"/>
    </row>
    <row r="2" spans="1:23">
      <c r="A2" s="99" t="s">
        <v>128</v>
      </c>
      <c r="B2" s="99" t="s">
        <v>179</v>
      </c>
      <c r="C2" s="99" t="str">
        <f t="shared" ref="C2:C65" si="0">CONCATENATE(A2," ",B2)</f>
        <v>A001 Bayswater</v>
      </c>
      <c r="D2" s="100" t="s">
        <v>688</v>
      </c>
      <c r="E2" s="108">
        <v>8</v>
      </c>
      <c r="H2" s="110" t="s">
        <v>676</v>
      </c>
      <c r="I2" s="111">
        <v>4</v>
      </c>
      <c r="J2" s="100" t="str">
        <f t="shared" ref="J2:J23" si="1">H2&amp;" "&amp;I2</f>
        <v>ANA1 4</v>
      </c>
      <c r="K2" s="99">
        <f t="shared" ref="K2:K23" si="2">L2*$L$1+M2*$M$1+N2*$N$1+O2*$O$1</f>
        <v>82.375</v>
      </c>
      <c r="L2" s="99">
        <v>59.5</v>
      </c>
      <c r="M2" s="99">
        <v>8.5</v>
      </c>
      <c r="N2" s="99">
        <v>7.5</v>
      </c>
      <c r="O2" s="99">
        <v>0.5</v>
      </c>
    </row>
    <row r="3" spans="1:23">
      <c r="A3" s="99" t="s">
        <v>129</v>
      </c>
      <c r="B3" s="99" t="s">
        <v>199</v>
      </c>
      <c r="C3" s="99" t="str">
        <f t="shared" si="0"/>
        <v>A002 Ashmore</v>
      </c>
      <c r="D3" s="100" t="s">
        <v>688</v>
      </c>
      <c r="E3" s="108">
        <v>8</v>
      </c>
      <c r="H3" s="110" t="s">
        <v>676</v>
      </c>
      <c r="I3" s="111">
        <v>8</v>
      </c>
      <c r="J3" s="100" t="str">
        <f t="shared" si="1"/>
        <v>ANA1 8</v>
      </c>
      <c r="K3" s="99">
        <f t="shared" si="2"/>
        <v>82.375</v>
      </c>
      <c r="L3" s="99">
        <v>59.5</v>
      </c>
      <c r="M3" s="99">
        <v>8.5</v>
      </c>
      <c r="N3" s="99">
        <v>7.5</v>
      </c>
      <c r="O3" s="99">
        <v>0.5</v>
      </c>
    </row>
    <row r="4" spans="1:23">
      <c r="A4" s="99" t="s">
        <v>131</v>
      </c>
      <c r="B4" s="99" t="s">
        <v>209</v>
      </c>
      <c r="C4" s="99" t="str">
        <f t="shared" si="0"/>
        <v>A003 Joondalup</v>
      </c>
      <c r="D4" s="100" t="s">
        <v>688</v>
      </c>
      <c r="E4" s="108">
        <v>8</v>
      </c>
      <c r="H4" s="110" t="s">
        <v>678</v>
      </c>
      <c r="I4" s="111">
        <v>4</v>
      </c>
      <c r="J4" s="100" t="str">
        <f t="shared" si="1"/>
        <v>ANA2 4</v>
      </c>
      <c r="K4" s="99">
        <f t="shared" si="2"/>
        <v>82.625</v>
      </c>
      <c r="L4" s="99">
        <v>58.5</v>
      </c>
      <c r="M4" s="99">
        <v>9.5</v>
      </c>
      <c r="N4" s="99">
        <v>7.5</v>
      </c>
      <c r="O4" s="99">
        <v>0.5</v>
      </c>
    </row>
    <row r="5" spans="1:23">
      <c r="A5" s="99" t="s">
        <v>132</v>
      </c>
      <c r="B5" s="99" t="s">
        <v>194</v>
      </c>
      <c r="C5" s="99" t="str">
        <f t="shared" si="0"/>
        <v>A004 Everton Park</v>
      </c>
      <c r="D5" s="100" t="s">
        <v>688</v>
      </c>
      <c r="E5" s="108">
        <v>8</v>
      </c>
      <c r="H5" s="110" t="s">
        <v>678</v>
      </c>
      <c r="I5" s="111">
        <v>8</v>
      </c>
      <c r="J5" s="100" t="str">
        <f t="shared" si="1"/>
        <v>ANA2 8</v>
      </c>
      <c r="K5" s="99">
        <f t="shared" si="2"/>
        <v>82.625</v>
      </c>
      <c r="L5" s="99">
        <v>58.5</v>
      </c>
      <c r="M5" s="99">
        <v>9.5</v>
      </c>
      <c r="N5" s="99">
        <v>7.5</v>
      </c>
      <c r="O5" s="99">
        <v>0.5</v>
      </c>
    </row>
    <row r="6" spans="1:23">
      <c r="A6" s="99" t="s">
        <v>134</v>
      </c>
      <c r="B6" s="99" t="s">
        <v>204</v>
      </c>
      <c r="C6" s="99" t="str">
        <f t="shared" si="0"/>
        <v>A005 Townsville</v>
      </c>
      <c r="D6" s="100" t="s">
        <v>688</v>
      </c>
      <c r="E6" s="108">
        <v>8</v>
      </c>
      <c r="H6" s="108" t="s">
        <v>821</v>
      </c>
      <c r="I6" s="111">
        <v>4</v>
      </c>
      <c r="J6" s="100" t="str">
        <f t="shared" si="1"/>
        <v>ANA3 4</v>
      </c>
      <c r="K6" s="99">
        <f t="shared" si="2"/>
        <v>82.875</v>
      </c>
      <c r="L6" s="99">
        <v>57.5</v>
      </c>
      <c r="M6" s="99">
        <v>10.5</v>
      </c>
      <c r="N6" s="99">
        <v>7.5</v>
      </c>
      <c r="O6" s="99">
        <v>0.5</v>
      </c>
    </row>
    <row r="7" spans="1:23">
      <c r="A7" s="99" t="s">
        <v>135</v>
      </c>
      <c r="B7" s="99" t="s">
        <v>696</v>
      </c>
      <c r="C7" s="99" t="str">
        <f t="shared" si="0"/>
        <v>A006 Chullora</v>
      </c>
      <c r="D7" s="100" t="s">
        <v>688</v>
      </c>
      <c r="E7" s="108">
        <v>8</v>
      </c>
      <c r="H7" s="108" t="s">
        <v>821</v>
      </c>
      <c r="I7" s="111">
        <v>8</v>
      </c>
      <c r="J7" s="100" t="str">
        <f t="shared" si="1"/>
        <v>ANA3 8</v>
      </c>
      <c r="K7" s="99">
        <f t="shared" si="2"/>
        <v>82.875</v>
      </c>
      <c r="L7" s="99">
        <v>57.5</v>
      </c>
      <c r="M7" s="99">
        <v>10.5</v>
      </c>
      <c r="N7" s="99">
        <v>7.5</v>
      </c>
      <c r="O7" s="99">
        <v>0.5</v>
      </c>
    </row>
    <row r="8" spans="1:23">
      <c r="A8" s="99" t="s">
        <v>136</v>
      </c>
      <c r="B8" s="99" t="s">
        <v>198</v>
      </c>
      <c r="C8" s="99" t="str">
        <f t="shared" si="0"/>
        <v>A007 Logan</v>
      </c>
      <c r="D8" s="100" t="s">
        <v>688</v>
      </c>
      <c r="E8" s="108">
        <v>8</v>
      </c>
      <c r="H8" s="110" t="s">
        <v>688</v>
      </c>
      <c r="I8" s="111">
        <v>4</v>
      </c>
      <c r="J8" s="100" t="str">
        <f t="shared" si="1"/>
        <v>ANA4 4</v>
      </c>
      <c r="K8" s="99">
        <f>L8*$L$1+M8*$M$1+N8*$N$1+O8*$O$1</f>
        <v>83.125</v>
      </c>
      <c r="L8" s="99">
        <v>56.5</v>
      </c>
      <c r="M8" s="99">
        <v>11.5</v>
      </c>
      <c r="N8" s="99">
        <v>7.5</v>
      </c>
      <c r="O8" s="99">
        <v>0.5</v>
      </c>
    </row>
    <row r="9" spans="1:23">
      <c r="A9" s="99" t="s">
        <v>137</v>
      </c>
      <c r="B9" s="99" t="s">
        <v>270</v>
      </c>
      <c r="C9" s="99" t="str">
        <f t="shared" si="0"/>
        <v>A008 Mile End</v>
      </c>
      <c r="D9" s="100" t="s">
        <v>688</v>
      </c>
      <c r="E9" s="108">
        <v>8</v>
      </c>
      <c r="H9" s="110" t="s">
        <v>688</v>
      </c>
      <c r="I9" s="111">
        <v>8</v>
      </c>
      <c r="J9" s="100" t="str">
        <f t="shared" si="1"/>
        <v>ANA4 8</v>
      </c>
      <c r="K9" s="99">
        <f t="shared" si="2"/>
        <v>83.125</v>
      </c>
      <c r="L9" s="99">
        <v>56.5</v>
      </c>
      <c r="M9" s="99">
        <v>11.5</v>
      </c>
      <c r="N9" s="99">
        <v>7.5</v>
      </c>
      <c r="O9" s="99">
        <v>0.5</v>
      </c>
    </row>
    <row r="10" spans="1:23">
      <c r="A10" s="99" t="s">
        <v>138</v>
      </c>
      <c r="B10" s="99" t="s">
        <v>170</v>
      </c>
      <c r="C10" s="99" t="str">
        <f t="shared" si="0"/>
        <v>A009 Geelong</v>
      </c>
      <c r="D10" s="100" t="s">
        <v>688</v>
      </c>
      <c r="E10" s="108">
        <v>8</v>
      </c>
      <c r="H10" s="110" t="s">
        <v>820</v>
      </c>
      <c r="I10" s="111">
        <v>4</v>
      </c>
      <c r="J10" s="100" t="str">
        <f>H10&amp;" "&amp;I10</f>
        <v>ANA6 4</v>
      </c>
      <c r="K10" s="99">
        <f>L10*$L$1+M10*$M$1+N10*$N$1+O10*$O$1</f>
        <v>78.375</v>
      </c>
      <c r="L10" s="99">
        <v>66.5</v>
      </c>
      <c r="M10" s="99">
        <v>9.5</v>
      </c>
      <c r="N10" s="99">
        <v>0</v>
      </c>
      <c r="O10" s="99">
        <v>0</v>
      </c>
    </row>
    <row r="11" spans="1:23">
      <c r="A11" s="99" t="s">
        <v>133</v>
      </c>
      <c r="B11" s="99" t="s">
        <v>213</v>
      </c>
      <c r="C11" s="99" t="str">
        <f t="shared" si="0"/>
        <v>A010 Innaloo</v>
      </c>
      <c r="D11" s="100" t="s">
        <v>688</v>
      </c>
      <c r="E11" s="108">
        <v>8</v>
      </c>
      <c r="H11" s="110" t="s">
        <v>820</v>
      </c>
      <c r="I11" s="111">
        <v>8</v>
      </c>
      <c r="J11" s="100" t="str">
        <f>H11&amp;" "&amp;I11</f>
        <v>ANA6 8</v>
      </c>
      <c r="K11" s="99">
        <f>L11*$L$1+M11*$M$1+N11*$N$1+O11*$O$1</f>
        <v>78.375</v>
      </c>
      <c r="L11" s="99">
        <v>66.5</v>
      </c>
      <c r="M11" s="99">
        <v>9.5</v>
      </c>
      <c r="N11" s="99">
        <v>0</v>
      </c>
      <c r="O11" s="99">
        <v>0</v>
      </c>
    </row>
    <row r="12" spans="1:23">
      <c r="A12" s="99" t="s">
        <v>139</v>
      </c>
      <c r="B12" s="99" t="s">
        <v>271</v>
      </c>
      <c r="C12" s="99" t="str">
        <f t="shared" si="0"/>
        <v>A011 Cambridge</v>
      </c>
      <c r="D12" s="100" t="s">
        <v>676</v>
      </c>
      <c r="E12" s="108">
        <v>8</v>
      </c>
      <c r="H12" s="108" t="s">
        <v>784</v>
      </c>
      <c r="I12" s="111">
        <v>4</v>
      </c>
      <c r="J12" s="100" t="str">
        <f t="shared" si="1"/>
        <v>MD1 4</v>
      </c>
      <c r="K12" s="99">
        <f t="shared" si="2"/>
        <v>76</v>
      </c>
      <c r="L12" s="99">
        <v>76</v>
      </c>
      <c r="M12" s="99">
        <v>0</v>
      </c>
      <c r="N12" s="99">
        <v>0</v>
      </c>
      <c r="O12" s="99">
        <v>0</v>
      </c>
    </row>
    <row r="13" spans="1:23">
      <c r="A13" s="99" t="s">
        <v>130</v>
      </c>
      <c r="B13" s="99" t="s">
        <v>185</v>
      </c>
      <c r="C13" s="99" t="str">
        <f t="shared" si="0"/>
        <v>A012 Penrith</v>
      </c>
      <c r="D13" s="100" t="s">
        <v>688</v>
      </c>
      <c r="E13" s="108">
        <v>8</v>
      </c>
      <c r="H13" s="108" t="s">
        <v>784</v>
      </c>
      <c r="I13" s="111">
        <v>8</v>
      </c>
      <c r="J13" s="100" t="str">
        <f t="shared" si="1"/>
        <v>MD1 8</v>
      </c>
      <c r="K13" s="99">
        <f t="shared" si="2"/>
        <v>76</v>
      </c>
      <c r="L13" s="99">
        <v>76</v>
      </c>
      <c r="M13" s="99">
        <v>0</v>
      </c>
      <c r="N13" s="99">
        <v>0</v>
      </c>
      <c r="O13" s="99">
        <v>0</v>
      </c>
    </row>
    <row r="14" spans="1:23">
      <c r="A14" s="99" t="s">
        <v>140</v>
      </c>
      <c r="B14" s="99" t="s">
        <v>171</v>
      </c>
      <c r="C14" s="99" t="str">
        <f t="shared" si="0"/>
        <v>A013 Frankston</v>
      </c>
      <c r="D14" s="100" t="s">
        <v>688</v>
      </c>
      <c r="E14" s="108">
        <v>8</v>
      </c>
      <c r="H14" s="108" t="s">
        <v>677</v>
      </c>
      <c r="I14" s="111">
        <v>4</v>
      </c>
      <c r="J14" s="100" t="str">
        <f t="shared" si="1"/>
        <v>SPL1 4</v>
      </c>
      <c r="K14" s="99">
        <f t="shared" si="2"/>
        <v>82.625</v>
      </c>
      <c r="L14" s="99">
        <v>57.5</v>
      </c>
      <c r="M14" s="99">
        <v>10.5</v>
      </c>
      <c r="N14" s="99">
        <v>8</v>
      </c>
      <c r="O14" s="99">
        <v>0</v>
      </c>
    </row>
    <row r="15" spans="1:23">
      <c r="A15" s="99" t="s">
        <v>142</v>
      </c>
      <c r="B15" s="99" t="s">
        <v>273</v>
      </c>
      <c r="C15" s="99" t="str">
        <f t="shared" si="0"/>
        <v>A015 Moore Park</v>
      </c>
      <c r="D15" s="100" t="s">
        <v>688</v>
      </c>
      <c r="E15" s="108">
        <v>8</v>
      </c>
      <c r="H15" s="108" t="s">
        <v>677</v>
      </c>
      <c r="I15" s="111">
        <v>8</v>
      </c>
      <c r="J15" s="100" t="str">
        <f t="shared" si="1"/>
        <v>SPL1 8</v>
      </c>
      <c r="K15" s="99">
        <f t="shared" si="2"/>
        <v>82.625</v>
      </c>
      <c r="L15" s="99">
        <v>57.5</v>
      </c>
      <c r="M15" s="99">
        <v>10.5</v>
      </c>
      <c r="N15" s="99">
        <v>8</v>
      </c>
      <c r="O15" s="99">
        <v>0</v>
      </c>
    </row>
    <row r="16" spans="1:23">
      <c r="A16" s="99" t="s">
        <v>143</v>
      </c>
      <c r="B16" s="99" t="s">
        <v>245</v>
      </c>
      <c r="C16" s="99" t="str">
        <f t="shared" si="0"/>
        <v>A016 Morayfield</v>
      </c>
      <c r="D16" s="100" t="s">
        <v>688</v>
      </c>
      <c r="E16" s="108">
        <v>8</v>
      </c>
      <c r="H16" s="108" t="s">
        <v>677</v>
      </c>
      <c r="I16" s="108">
        <v>1</v>
      </c>
      <c r="J16" s="100" t="str">
        <f t="shared" si="1"/>
        <v>SPL1 1</v>
      </c>
      <c r="K16" s="99">
        <f t="shared" si="2"/>
        <v>78.375</v>
      </c>
      <c r="L16" s="99">
        <v>66.5</v>
      </c>
      <c r="M16" s="99">
        <v>9.5</v>
      </c>
      <c r="N16" s="99">
        <v>0</v>
      </c>
      <c r="O16" s="99">
        <v>0</v>
      </c>
    </row>
    <row r="17" spans="1:15">
      <c r="A17" s="99" t="s">
        <v>144</v>
      </c>
      <c r="B17" s="99" t="s">
        <v>471</v>
      </c>
      <c r="C17" s="99" t="str">
        <f t="shared" si="0"/>
        <v>A017 Narre Warren</v>
      </c>
      <c r="D17" s="100" t="s">
        <v>688</v>
      </c>
      <c r="E17" s="108">
        <v>8</v>
      </c>
      <c r="H17" s="108" t="s">
        <v>814</v>
      </c>
      <c r="I17" s="111">
        <v>4</v>
      </c>
      <c r="J17" s="100" t="str">
        <f t="shared" si="1"/>
        <v>SPL10 4</v>
      </c>
      <c r="K17" s="99">
        <f t="shared" si="2"/>
        <v>83.5</v>
      </c>
      <c r="L17" s="99">
        <v>55.5</v>
      </c>
      <c r="M17" s="99">
        <v>12</v>
      </c>
      <c r="N17" s="99">
        <v>8</v>
      </c>
      <c r="O17" s="99">
        <v>0.5</v>
      </c>
    </row>
    <row r="18" spans="1:15">
      <c r="A18" s="99" t="s">
        <v>145</v>
      </c>
      <c r="B18" s="99" t="s">
        <v>230</v>
      </c>
      <c r="C18" s="99" t="str">
        <f t="shared" si="0"/>
        <v>A018 Kawana</v>
      </c>
      <c r="D18" s="100" t="s">
        <v>688</v>
      </c>
      <c r="E18" s="108">
        <v>8</v>
      </c>
      <c r="H18" s="108" t="s">
        <v>814</v>
      </c>
      <c r="I18" s="111">
        <v>8</v>
      </c>
      <c r="J18" s="100" t="str">
        <f t="shared" si="1"/>
        <v>SPL10 8</v>
      </c>
      <c r="K18" s="99">
        <f t="shared" si="2"/>
        <v>83.5</v>
      </c>
      <c r="L18" s="99">
        <v>55.5</v>
      </c>
      <c r="M18" s="99">
        <v>12</v>
      </c>
      <c r="N18" s="99">
        <v>8</v>
      </c>
      <c r="O18" s="99">
        <v>0.5</v>
      </c>
    </row>
    <row r="19" spans="1:15">
      <c r="A19" s="99" t="s">
        <v>146</v>
      </c>
      <c r="B19" s="99" t="s">
        <v>227</v>
      </c>
      <c r="C19" s="99" t="str">
        <f t="shared" si="0"/>
        <v>A020 Preston</v>
      </c>
      <c r="D19" s="100" t="s">
        <v>821</v>
      </c>
      <c r="E19" s="108">
        <v>8</v>
      </c>
      <c r="H19" s="108" t="s">
        <v>814</v>
      </c>
      <c r="I19" s="108">
        <v>1</v>
      </c>
      <c r="J19" s="100" t="str">
        <f t="shared" si="1"/>
        <v>SPL10 1</v>
      </c>
      <c r="K19" s="99">
        <f t="shared" si="2"/>
        <v>78.375</v>
      </c>
      <c r="L19" s="99">
        <v>66.5</v>
      </c>
      <c r="M19" s="99">
        <v>9.5</v>
      </c>
      <c r="N19" s="99">
        <v>0</v>
      </c>
      <c r="O19" s="99">
        <v>0</v>
      </c>
    </row>
    <row r="20" spans="1:15">
      <c r="A20" s="99" t="s">
        <v>147</v>
      </c>
      <c r="B20" s="99" t="s">
        <v>188</v>
      </c>
      <c r="C20" s="99" t="str">
        <f t="shared" si="0"/>
        <v>A021 Bendigo</v>
      </c>
      <c r="D20" s="100" t="s">
        <v>821</v>
      </c>
      <c r="E20" s="108">
        <v>8</v>
      </c>
      <c r="H20" s="112" t="s">
        <v>685</v>
      </c>
      <c r="I20" s="113">
        <v>4</v>
      </c>
      <c r="J20" s="100" t="str">
        <f t="shared" si="1"/>
        <v>SPL2 4</v>
      </c>
      <c r="K20" s="99">
        <f t="shared" si="2"/>
        <v>83.25</v>
      </c>
      <c r="L20" s="99">
        <v>55.5</v>
      </c>
      <c r="M20" s="99">
        <v>12</v>
      </c>
      <c r="N20" s="99">
        <v>8.5</v>
      </c>
      <c r="O20" s="99">
        <v>0</v>
      </c>
    </row>
    <row r="21" spans="1:15">
      <c r="A21" s="99" t="s">
        <v>148</v>
      </c>
      <c r="B21" s="99" t="s">
        <v>223</v>
      </c>
      <c r="C21" s="99" t="str">
        <f t="shared" si="0"/>
        <v>A022 Cannington</v>
      </c>
      <c r="D21" s="100" t="s">
        <v>688</v>
      </c>
      <c r="E21" s="108">
        <v>8</v>
      </c>
      <c r="H21" s="112" t="s">
        <v>685</v>
      </c>
      <c r="I21" s="111">
        <v>8</v>
      </c>
      <c r="J21" s="100" t="str">
        <f t="shared" si="1"/>
        <v>SPL2 8</v>
      </c>
      <c r="K21" s="99">
        <f t="shared" si="2"/>
        <v>83.25</v>
      </c>
      <c r="L21" s="99">
        <v>55.5</v>
      </c>
      <c r="M21" s="99">
        <v>12</v>
      </c>
      <c r="N21" s="99">
        <v>8.5</v>
      </c>
      <c r="O21" s="99">
        <v>0</v>
      </c>
    </row>
    <row r="22" spans="1:15">
      <c r="A22" s="99" t="s">
        <v>149</v>
      </c>
      <c r="B22" s="99" t="s">
        <v>173</v>
      </c>
      <c r="C22" s="99" t="str">
        <f t="shared" si="0"/>
        <v>A023 West Gosford</v>
      </c>
      <c r="D22" s="100" t="s">
        <v>688</v>
      </c>
      <c r="E22" s="108">
        <v>8</v>
      </c>
      <c r="H22" s="112" t="s">
        <v>685</v>
      </c>
      <c r="I22" s="108">
        <v>1</v>
      </c>
      <c r="J22" s="100" t="str">
        <f t="shared" si="1"/>
        <v>SPL2 1</v>
      </c>
      <c r="K22" s="99">
        <f t="shared" si="2"/>
        <v>78.375</v>
      </c>
      <c r="L22" s="99">
        <v>66.5</v>
      </c>
      <c r="M22" s="99">
        <v>9.5</v>
      </c>
      <c r="N22" s="99">
        <v>0</v>
      </c>
      <c r="O22" s="99">
        <v>0</v>
      </c>
    </row>
    <row r="23" spans="1:15">
      <c r="A23" s="99" t="s">
        <v>150</v>
      </c>
      <c r="B23" s="99" t="s">
        <v>215</v>
      </c>
      <c r="C23" s="99" t="str">
        <f t="shared" si="0"/>
        <v>A024 Rockdale</v>
      </c>
      <c r="D23" s="100" t="s">
        <v>688</v>
      </c>
      <c r="E23" s="108">
        <v>8</v>
      </c>
      <c r="H23" s="108" t="s">
        <v>675</v>
      </c>
      <c r="I23" s="111">
        <v>4</v>
      </c>
      <c r="J23" s="100" t="str">
        <f t="shared" si="1"/>
        <v>SPL3 4</v>
      </c>
      <c r="K23" s="99">
        <f t="shared" si="2"/>
        <v>82.125</v>
      </c>
      <c r="L23" s="99">
        <v>58.5</v>
      </c>
      <c r="M23" s="99">
        <v>10.5</v>
      </c>
      <c r="N23" s="99">
        <v>7</v>
      </c>
      <c r="O23" s="99">
        <v>0</v>
      </c>
    </row>
    <row r="24" spans="1:15">
      <c r="A24" s="99" t="s">
        <v>151</v>
      </c>
      <c r="B24" s="99" t="s">
        <v>212</v>
      </c>
      <c r="C24" s="99" t="str">
        <f t="shared" si="0"/>
        <v>A025 Belrose</v>
      </c>
      <c r="D24" s="100" t="s">
        <v>688</v>
      </c>
      <c r="E24" s="108">
        <v>8</v>
      </c>
      <c r="H24" s="108" t="s">
        <v>675</v>
      </c>
      <c r="I24" s="111">
        <v>8</v>
      </c>
      <c r="J24" s="100" t="str">
        <f t="shared" ref="J24:J55" si="3">H24&amp;" "&amp;I24</f>
        <v>SPL3 8</v>
      </c>
      <c r="K24" s="99">
        <f t="shared" ref="K24:K55" si="4">L24*$L$1+M24*$M$1+N24*$N$1+O24*$O$1</f>
        <v>82.125</v>
      </c>
      <c r="L24" s="99">
        <v>58.5</v>
      </c>
      <c r="M24" s="99">
        <v>10.5</v>
      </c>
      <c r="N24" s="99">
        <v>7</v>
      </c>
      <c r="O24" s="99">
        <v>0</v>
      </c>
    </row>
    <row r="25" spans="1:15">
      <c r="A25" s="99" t="s">
        <v>141</v>
      </c>
      <c r="B25" s="99" t="s">
        <v>272</v>
      </c>
      <c r="C25" s="99" t="str">
        <f t="shared" si="0"/>
        <v>A026 Springvale</v>
      </c>
      <c r="D25" s="100" t="s">
        <v>688</v>
      </c>
      <c r="E25" s="108">
        <v>8</v>
      </c>
      <c r="H25" s="108" t="s">
        <v>675</v>
      </c>
      <c r="I25" s="108">
        <v>1</v>
      </c>
      <c r="J25" s="100" t="str">
        <f t="shared" si="3"/>
        <v>SPL3 1</v>
      </c>
      <c r="K25" s="99">
        <f t="shared" si="4"/>
        <v>78.375</v>
      </c>
      <c r="L25" s="99">
        <v>66.5</v>
      </c>
      <c r="M25" s="99">
        <v>9.5</v>
      </c>
      <c r="N25" s="99">
        <v>0</v>
      </c>
      <c r="O25" s="99">
        <v>0</v>
      </c>
    </row>
    <row r="26" spans="1:15">
      <c r="A26" s="99" t="s">
        <v>152</v>
      </c>
      <c r="B26" s="99" t="s">
        <v>274</v>
      </c>
      <c r="C26" s="99" t="str">
        <f t="shared" si="0"/>
        <v>A027 Fyshwick</v>
      </c>
      <c r="D26" s="100" t="s">
        <v>678</v>
      </c>
      <c r="E26" s="108">
        <v>8</v>
      </c>
      <c r="H26" s="108" t="s">
        <v>785</v>
      </c>
      <c r="I26" s="111">
        <v>4</v>
      </c>
      <c r="J26" s="100" t="str">
        <f t="shared" si="3"/>
        <v>SPL4 4</v>
      </c>
      <c r="K26" s="99">
        <f t="shared" si="4"/>
        <v>82.75</v>
      </c>
      <c r="L26" s="99">
        <v>56.5</v>
      </c>
      <c r="M26" s="99">
        <v>12</v>
      </c>
      <c r="N26" s="99">
        <v>7.5</v>
      </c>
      <c r="O26" s="99">
        <v>0</v>
      </c>
    </row>
    <row r="27" spans="1:15">
      <c r="A27" s="99" t="s">
        <v>153</v>
      </c>
      <c r="B27" s="99" t="s">
        <v>177</v>
      </c>
      <c r="C27" s="99" t="str">
        <f t="shared" si="0"/>
        <v>A028 Launceston</v>
      </c>
      <c r="D27" s="100" t="s">
        <v>676</v>
      </c>
      <c r="E27" s="108">
        <v>8</v>
      </c>
      <c r="H27" s="108" t="s">
        <v>785</v>
      </c>
      <c r="I27" s="111">
        <v>8</v>
      </c>
      <c r="J27" s="100" t="str">
        <f t="shared" si="3"/>
        <v>SPL4 8</v>
      </c>
      <c r="K27" s="99">
        <f t="shared" si="4"/>
        <v>82.75</v>
      </c>
      <c r="L27" s="99">
        <v>56.5</v>
      </c>
      <c r="M27" s="99">
        <v>12</v>
      </c>
      <c r="N27" s="99">
        <v>7.5</v>
      </c>
      <c r="O27" s="99">
        <v>0</v>
      </c>
    </row>
    <row r="28" spans="1:15">
      <c r="A28" s="99" t="s">
        <v>154</v>
      </c>
      <c r="B28" s="99" t="s">
        <v>599</v>
      </c>
      <c r="C28" s="99" t="str">
        <f t="shared" si="0"/>
        <v>A029 Bennetts Green</v>
      </c>
      <c r="D28" s="99" t="s">
        <v>688</v>
      </c>
      <c r="E28" s="108">
        <v>8</v>
      </c>
      <c r="H28" s="108" t="s">
        <v>785</v>
      </c>
      <c r="I28" s="108">
        <v>1</v>
      </c>
      <c r="J28" s="100" t="str">
        <f t="shared" si="3"/>
        <v>SPL4 1</v>
      </c>
      <c r="K28" s="99">
        <f t="shared" si="4"/>
        <v>78.375</v>
      </c>
      <c r="L28" s="99">
        <v>66.5</v>
      </c>
      <c r="M28" s="99">
        <v>9.5</v>
      </c>
      <c r="N28" s="99">
        <v>0</v>
      </c>
      <c r="O28" s="99">
        <v>0</v>
      </c>
    </row>
    <row r="29" spans="1:15">
      <c r="A29" s="99" t="s">
        <v>155</v>
      </c>
      <c r="B29" s="99" t="s">
        <v>193</v>
      </c>
      <c r="C29" s="99" t="str">
        <f t="shared" si="0"/>
        <v>A030 Hoppers Crossing</v>
      </c>
      <c r="D29" s="100" t="s">
        <v>821</v>
      </c>
      <c r="E29" s="108">
        <v>8</v>
      </c>
      <c r="H29" s="108" t="s">
        <v>786</v>
      </c>
      <c r="I29" s="111">
        <v>4</v>
      </c>
      <c r="J29" s="100" t="str">
        <f t="shared" si="3"/>
        <v>SPL5 4</v>
      </c>
      <c r="K29" s="99">
        <f t="shared" si="4"/>
        <v>78.625</v>
      </c>
      <c r="L29" s="99">
        <v>65.5</v>
      </c>
      <c r="M29" s="99">
        <v>10.5</v>
      </c>
      <c r="N29" s="99">
        <v>0</v>
      </c>
      <c r="O29" s="99">
        <v>0</v>
      </c>
    </row>
    <row r="30" spans="1:15">
      <c r="A30" s="99" t="s">
        <v>156</v>
      </c>
      <c r="B30" s="99" t="s">
        <v>238</v>
      </c>
      <c r="C30" s="99" t="str">
        <f t="shared" si="0"/>
        <v>A031 Port Macquarie</v>
      </c>
      <c r="D30" s="99" t="s">
        <v>678</v>
      </c>
      <c r="E30" s="108">
        <v>8</v>
      </c>
      <c r="H30" s="108" t="s">
        <v>786</v>
      </c>
      <c r="I30" s="111">
        <v>8</v>
      </c>
      <c r="J30" s="100" t="str">
        <f t="shared" si="3"/>
        <v>SPL5 8</v>
      </c>
      <c r="K30" s="99">
        <f t="shared" si="4"/>
        <v>78.625</v>
      </c>
      <c r="L30" s="99">
        <v>65.5</v>
      </c>
      <c r="M30" s="99">
        <v>10.5</v>
      </c>
      <c r="N30" s="99">
        <v>0</v>
      </c>
      <c r="O30" s="99">
        <v>0</v>
      </c>
    </row>
    <row r="31" spans="1:15">
      <c r="A31" s="99" t="s">
        <v>157</v>
      </c>
      <c r="B31" s="99" t="s">
        <v>275</v>
      </c>
      <c r="C31" s="99" t="str">
        <f t="shared" si="0"/>
        <v>A032 Modbury</v>
      </c>
      <c r="D31" s="100" t="s">
        <v>688</v>
      </c>
      <c r="E31" s="108">
        <v>8</v>
      </c>
      <c r="H31" s="108" t="s">
        <v>786</v>
      </c>
      <c r="I31" s="108">
        <v>1</v>
      </c>
      <c r="J31" s="100" t="str">
        <f t="shared" si="3"/>
        <v>SPL5 1</v>
      </c>
      <c r="K31" s="99">
        <f t="shared" si="4"/>
        <v>78.375</v>
      </c>
      <c r="L31" s="99">
        <v>66.5</v>
      </c>
      <c r="M31" s="99">
        <v>9.5</v>
      </c>
      <c r="N31" s="99">
        <v>0</v>
      </c>
      <c r="O31" s="99">
        <v>0</v>
      </c>
    </row>
    <row r="32" spans="1:15">
      <c r="A32" s="99" t="s">
        <v>159</v>
      </c>
      <c r="B32" s="99" t="s">
        <v>187</v>
      </c>
      <c r="C32" s="99" t="str">
        <f t="shared" si="0"/>
        <v>A033 Wagga Wagga</v>
      </c>
      <c r="D32" s="100" t="s">
        <v>678</v>
      </c>
      <c r="E32" s="108">
        <v>8</v>
      </c>
      <c r="H32" s="108" t="s">
        <v>787</v>
      </c>
      <c r="I32" s="111">
        <v>4</v>
      </c>
      <c r="J32" s="100" t="str">
        <f t="shared" si="3"/>
        <v>SPL6 4</v>
      </c>
      <c r="K32" s="99">
        <f t="shared" si="4"/>
        <v>84</v>
      </c>
      <c r="L32" s="99">
        <v>53</v>
      </c>
      <c r="M32" s="99">
        <v>14</v>
      </c>
      <c r="N32" s="99">
        <v>9</v>
      </c>
      <c r="O32" s="99">
        <v>0</v>
      </c>
    </row>
    <row r="33" spans="1:15">
      <c r="A33" s="99" t="s">
        <v>158</v>
      </c>
      <c r="B33" s="99" t="s">
        <v>250</v>
      </c>
      <c r="C33" s="99" t="str">
        <f t="shared" si="0"/>
        <v>A034 Noarlunga</v>
      </c>
      <c r="D33" s="100" t="s">
        <v>688</v>
      </c>
      <c r="E33" s="108">
        <v>8</v>
      </c>
      <c r="H33" s="108" t="s">
        <v>787</v>
      </c>
      <c r="I33" s="111">
        <v>8</v>
      </c>
      <c r="J33" s="100" t="str">
        <f t="shared" si="3"/>
        <v>SPL6 8</v>
      </c>
      <c r="K33" s="99">
        <f t="shared" si="4"/>
        <v>84</v>
      </c>
      <c r="L33" s="99">
        <v>53</v>
      </c>
      <c r="M33" s="99">
        <v>14</v>
      </c>
      <c r="N33" s="99">
        <v>9</v>
      </c>
      <c r="O33" s="99">
        <v>0</v>
      </c>
    </row>
    <row r="34" spans="1:15">
      <c r="A34" s="99" t="s">
        <v>160</v>
      </c>
      <c r="B34" s="99" t="s">
        <v>178</v>
      </c>
      <c r="C34" s="99" t="str">
        <f t="shared" si="0"/>
        <v>A035 Ballarat</v>
      </c>
      <c r="D34" s="100" t="s">
        <v>821</v>
      </c>
      <c r="E34" s="108">
        <v>8</v>
      </c>
      <c r="H34" s="108" t="s">
        <v>787</v>
      </c>
      <c r="I34" s="108">
        <v>1</v>
      </c>
      <c r="J34" s="100" t="str">
        <f t="shared" si="3"/>
        <v>SPL6 1</v>
      </c>
      <c r="K34" s="99">
        <f t="shared" si="4"/>
        <v>78.375</v>
      </c>
      <c r="L34" s="99">
        <v>66.5</v>
      </c>
      <c r="M34" s="99">
        <v>9.5</v>
      </c>
      <c r="N34" s="99">
        <v>0</v>
      </c>
      <c r="O34" s="99">
        <v>0</v>
      </c>
    </row>
    <row r="35" spans="1:15">
      <c r="A35" s="99" t="s">
        <v>161</v>
      </c>
      <c r="B35" s="99" t="s">
        <v>229</v>
      </c>
      <c r="C35" s="99" t="str">
        <f t="shared" si="0"/>
        <v>A036 West Burleigh</v>
      </c>
      <c r="D35" s="99" t="s">
        <v>688</v>
      </c>
      <c r="E35" s="108">
        <v>8</v>
      </c>
      <c r="H35" s="108" t="s">
        <v>788</v>
      </c>
      <c r="I35" s="111">
        <v>4</v>
      </c>
      <c r="J35" s="100" t="str">
        <f t="shared" si="3"/>
        <v>SPL7 4</v>
      </c>
      <c r="K35" s="99">
        <f t="shared" si="4"/>
        <v>84</v>
      </c>
      <c r="L35" s="99">
        <v>52.5</v>
      </c>
      <c r="M35" s="99">
        <v>15</v>
      </c>
      <c r="N35" s="99">
        <v>8.5</v>
      </c>
      <c r="O35" s="99">
        <v>0</v>
      </c>
    </row>
    <row r="36" spans="1:15">
      <c r="A36" s="99" t="s">
        <v>162</v>
      </c>
      <c r="B36" s="99" t="s">
        <v>235</v>
      </c>
      <c r="C36" s="99" t="str">
        <f t="shared" si="0"/>
        <v>A037 Cairns</v>
      </c>
      <c r="D36" s="100" t="s">
        <v>688</v>
      </c>
      <c r="E36" s="108">
        <v>8</v>
      </c>
      <c r="H36" s="108" t="s">
        <v>788</v>
      </c>
      <c r="I36" s="111">
        <v>8</v>
      </c>
      <c r="J36" s="100" t="str">
        <f t="shared" si="3"/>
        <v>SPL7 8</v>
      </c>
      <c r="K36" s="99">
        <f t="shared" si="4"/>
        <v>83.5</v>
      </c>
      <c r="L36" s="99">
        <v>54.5</v>
      </c>
      <c r="M36" s="99">
        <v>13</v>
      </c>
      <c r="N36" s="99">
        <v>8.5</v>
      </c>
      <c r="O36" s="99">
        <v>0</v>
      </c>
    </row>
    <row r="37" spans="1:15">
      <c r="A37" s="99" t="s">
        <v>163</v>
      </c>
      <c r="B37" s="99" t="s">
        <v>208</v>
      </c>
      <c r="C37" s="99" t="str">
        <f t="shared" si="0"/>
        <v>A038 Toowoomba</v>
      </c>
      <c r="D37" s="100" t="s">
        <v>821</v>
      </c>
      <c r="E37" s="108">
        <v>8</v>
      </c>
      <c r="H37" s="108" t="s">
        <v>788</v>
      </c>
      <c r="I37" s="108">
        <v>1</v>
      </c>
      <c r="J37" s="100" t="str">
        <f t="shared" si="3"/>
        <v>SPL7 1</v>
      </c>
      <c r="K37" s="99">
        <f t="shared" si="4"/>
        <v>78.375</v>
      </c>
      <c r="L37" s="99">
        <v>66.5</v>
      </c>
      <c r="M37" s="99">
        <v>9.5</v>
      </c>
      <c r="N37" s="99">
        <v>0</v>
      </c>
      <c r="O37" s="99">
        <v>0</v>
      </c>
    </row>
    <row r="38" spans="1:15">
      <c r="A38" s="99" t="s">
        <v>442</v>
      </c>
      <c r="B38" s="99" t="s">
        <v>443</v>
      </c>
      <c r="C38" s="99" t="str">
        <f t="shared" si="0"/>
        <v>A039 Highett</v>
      </c>
      <c r="D38" s="100" t="s">
        <v>688</v>
      </c>
      <c r="E38" s="108">
        <v>8</v>
      </c>
      <c r="H38" s="108" t="s">
        <v>789</v>
      </c>
      <c r="I38" s="111">
        <v>4</v>
      </c>
      <c r="J38" s="100" t="str">
        <f t="shared" si="3"/>
        <v>SPL8 4</v>
      </c>
      <c r="K38" s="99">
        <f t="shared" si="4"/>
        <v>84.25</v>
      </c>
      <c r="L38" s="99">
        <v>51.5</v>
      </c>
      <c r="M38" s="99">
        <v>16</v>
      </c>
      <c r="N38" s="99">
        <v>8.5</v>
      </c>
      <c r="O38" s="99">
        <v>0</v>
      </c>
    </row>
    <row r="39" spans="1:15">
      <c r="A39" s="99" t="s">
        <v>308</v>
      </c>
      <c r="B39" s="99" t="s">
        <v>237</v>
      </c>
      <c r="C39" s="99" t="str">
        <f t="shared" si="0"/>
        <v>A040 Watergardens</v>
      </c>
      <c r="D39" s="100" t="s">
        <v>821</v>
      </c>
      <c r="E39" s="108">
        <v>8</v>
      </c>
      <c r="H39" s="108" t="s">
        <v>789</v>
      </c>
      <c r="I39" s="111">
        <v>8</v>
      </c>
      <c r="J39" s="100" t="str">
        <f t="shared" si="3"/>
        <v>SPL8 8</v>
      </c>
      <c r="K39" s="99">
        <f t="shared" si="4"/>
        <v>83.625</v>
      </c>
      <c r="L39" s="99">
        <v>54</v>
      </c>
      <c r="M39" s="99">
        <v>13.5</v>
      </c>
      <c r="N39" s="99">
        <v>8.5</v>
      </c>
      <c r="O39" s="99">
        <v>0</v>
      </c>
    </row>
    <row r="40" spans="1:15">
      <c r="A40" s="99" t="s">
        <v>438</v>
      </c>
      <c r="B40" s="99" t="s">
        <v>168</v>
      </c>
      <c r="C40" s="99" t="str">
        <f t="shared" si="0"/>
        <v>A041 Box Hill</v>
      </c>
      <c r="D40" s="100" t="s">
        <v>688</v>
      </c>
      <c r="E40" s="108">
        <v>8</v>
      </c>
      <c r="H40" s="108" t="s">
        <v>789</v>
      </c>
      <c r="I40" s="108">
        <v>1</v>
      </c>
      <c r="J40" s="100" t="str">
        <f t="shared" si="3"/>
        <v>SPL8 1</v>
      </c>
      <c r="K40" s="99">
        <f t="shared" si="4"/>
        <v>78.375</v>
      </c>
      <c r="L40" s="99">
        <v>66.5</v>
      </c>
      <c r="M40" s="99">
        <v>9.5</v>
      </c>
      <c r="N40" s="99">
        <v>0</v>
      </c>
      <c r="O40" s="99">
        <v>0</v>
      </c>
    </row>
    <row r="41" spans="1:15">
      <c r="A41" s="99" t="s">
        <v>440</v>
      </c>
      <c r="B41" s="99" t="s">
        <v>176</v>
      </c>
      <c r="C41" s="99" t="str">
        <f t="shared" si="0"/>
        <v>A042 Maribyrnong</v>
      </c>
      <c r="D41" s="100" t="s">
        <v>821</v>
      </c>
      <c r="E41" s="108">
        <v>8</v>
      </c>
      <c r="H41" s="108" t="s">
        <v>813</v>
      </c>
      <c r="I41" s="111">
        <v>4</v>
      </c>
      <c r="J41" s="100" t="str">
        <f t="shared" si="3"/>
        <v>SPL9 4</v>
      </c>
      <c r="K41" s="99">
        <f t="shared" si="4"/>
        <v>83.75</v>
      </c>
      <c r="L41" s="99">
        <v>54</v>
      </c>
      <c r="M41" s="99">
        <v>13</v>
      </c>
      <c r="N41" s="99">
        <v>9</v>
      </c>
      <c r="O41" s="99">
        <v>0</v>
      </c>
    </row>
    <row r="42" spans="1:15">
      <c r="A42" s="99" t="s">
        <v>448</v>
      </c>
      <c r="B42" s="99" t="s">
        <v>218</v>
      </c>
      <c r="C42" s="99" t="str">
        <f t="shared" si="0"/>
        <v>A043 Darwin</v>
      </c>
      <c r="D42" s="100" t="s">
        <v>678</v>
      </c>
      <c r="E42" s="108">
        <v>8</v>
      </c>
      <c r="H42" s="108" t="s">
        <v>813</v>
      </c>
      <c r="I42" s="111">
        <v>8</v>
      </c>
      <c r="J42" s="100" t="str">
        <f t="shared" si="3"/>
        <v>SPL9 8</v>
      </c>
      <c r="K42" s="99">
        <f t="shared" si="4"/>
        <v>83.75</v>
      </c>
      <c r="L42" s="99">
        <v>54</v>
      </c>
      <c r="M42" s="99">
        <v>13</v>
      </c>
      <c r="N42" s="99">
        <v>9</v>
      </c>
      <c r="O42" s="99">
        <v>0</v>
      </c>
    </row>
    <row r="43" spans="1:15">
      <c r="A43" s="101" t="s">
        <v>450</v>
      </c>
      <c r="B43" s="101" t="s">
        <v>476</v>
      </c>
      <c r="C43" s="99" t="str">
        <f t="shared" si="0"/>
        <v>A044 WARRINGAH</v>
      </c>
      <c r="D43" s="102" t="s">
        <v>688</v>
      </c>
      <c r="E43" s="108">
        <v>8</v>
      </c>
      <c r="H43" s="108" t="s">
        <v>813</v>
      </c>
      <c r="I43" s="108">
        <v>1</v>
      </c>
      <c r="J43" s="100" t="str">
        <f t="shared" si="3"/>
        <v>SPL9 1</v>
      </c>
      <c r="K43" s="99">
        <f t="shared" si="4"/>
        <v>78.375</v>
      </c>
      <c r="L43" s="99">
        <v>66.5</v>
      </c>
      <c r="M43" s="99">
        <v>9.5</v>
      </c>
      <c r="N43" s="99">
        <v>0</v>
      </c>
      <c r="O43" s="99">
        <v>0</v>
      </c>
    </row>
    <row r="44" spans="1:15">
      <c r="A44" s="101" t="s">
        <v>451</v>
      </c>
      <c r="B44" s="101" t="s">
        <v>186</v>
      </c>
      <c r="C44" s="99" t="str">
        <f t="shared" si="0"/>
        <v>A045 Wollongong</v>
      </c>
      <c r="D44" s="102" t="s">
        <v>688</v>
      </c>
      <c r="E44" s="108">
        <v>8</v>
      </c>
      <c r="H44" s="108" t="s">
        <v>842</v>
      </c>
      <c r="I44" s="108">
        <v>4</v>
      </c>
      <c r="J44" s="100" t="str">
        <f t="shared" si="3"/>
        <v>HS1 4</v>
      </c>
      <c r="K44" s="99">
        <f t="shared" si="4"/>
        <v>81.9375</v>
      </c>
      <c r="L44" s="99">
        <v>59.75</v>
      </c>
      <c r="M44" s="99">
        <v>8.75</v>
      </c>
      <c r="N44" s="99">
        <v>7.5</v>
      </c>
      <c r="O44" s="99">
        <v>0</v>
      </c>
    </row>
    <row r="45" spans="1:15">
      <c r="A45" s="101" t="s">
        <v>452</v>
      </c>
      <c r="B45" s="101" t="s">
        <v>478</v>
      </c>
      <c r="C45" s="99" t="str">
        <f t="shared" si="0"/>
        <v>A046 ROCKHAMPTON</v>
      </c>
      <c r="D45" s="102" t="s">
        <v>688</v>
      </c>
      <c r="E45" s="108">
        <v>8</v>
      </c>
      <c r="H45" s="108" t="s">
        <v>842</v>
      </c>
      <c r="I45" s="108">
        <v>6</v>
      </c>
      <c r="J45" s="100" t="str">
        <f t="shared" si="3"/>
        <v>HS1 6</v>
      </c>
      <c r="K45" s="99">
        <f t="shared" si="4"/>
        <v>81.9375</v>
      </c>
      <c r="L45" s="99">
        <v>59.75</v>
      </c>
      <c r="M45" s="99">
        <v>8.75</v>
      </c>
      <c r="N45" s="99">
        <v>7.5</v>
      </c>
      <c r="O45" s="99">
        <v>0</v>
      </c>
    </row>
    <row r="46" spans="1:15">
      <c r="A46" s="101" t="s">
        <v>453</v>
      </c>
      <c r="B46" s="101" t="s">
        <v>454</v>
      </c>
      <c r="C46" s="99" t="str">
        <f t="shared" si="0"/>
        <v>A047 NORTH LAKES</v>
      </c>
      <c r="D46" s="102" t="s">
        <v>688</v>
      </c>
      <c r="E46" s="108">
        <v>8</v>
      </c>
      <c r="H46" s="108" t="s">
        <v>842</v>
      </c>
      <c r="I46" s="108">
        <v>8</v>
      </c>
      <c r="J46" s="100" t="str">
        <f t="shared" si="3"/>
        <v>HS1 8</v>
      </c>
      <c r="K46" s="99">
        <f t="shared" si="4"/>
        <v>81.9375</v>
      </c>
      <c r="L46" s="99">
        <v>59.75</v>
      </c>
      <c r="M46" s="99">
        <v>8.75</v>
      </c>
      <c r="N46" s="99">
        <v>7.5</v>
      </c>
      <c r="O46" s="99">
        <v>0</v>
      </c>
    </row>
    <row r="47" spans="1:15">
      <c r="A47" s="101" t="s">
        <v>456</v>
      </c>
      <c r="B47" s="101" t="s">
        <v>457</v>
      </c>
      <c r="C47" s="99" t="str">
        <f t="shared" si="0"/>
        <v>A048 CHERMSIDE</v>
      </c>
      <c r="D47" s="102" t="s">
        <v>688</v>
      </c>
      <c r="E47" s="108">
        <v>8</v>
      </c>
      <c r="H47" s="108" t="s">
        <v>843</v>
      </c>
      <c r="I47" s="108">
        <v>4</v>
      </c>
      <c r="J47" s="100" t="str">
        <f t="shared" si="3"/>
        <v>HS2 4</v>
      </c>
      <c r="K47" s="99">
        <f t="shared" si="4"/>
        <v>82.8125</v>
      </c>
      <c r="L47" s="99">
        <v>56.5</v>
      </c>
      <c r="M47" s="99">
        <v>11.75</v>
      </c>
      <c r="N47" s="99">
        <v>7.75</v>
      </c>
      <c r="O47" s="99">
        <v>0</v>
      </c>
    </row>
    <row r="48" spans="1:15">
      <c r="A48" s="101" t="s">
        <v>479</v>
      </c>
      <c r="B48" s="101" t="s">
        <v>480</v>
      </c>
      <c r="C48" s="99" t="str">
        <f t="shared" si="0"/>
        <v>A049 Tingalpa</v>
      </c>
      <c r="D48" s="102" t="s">
        <v>688</v>
      </c>
      <c r="E48" s="108">
        <v>8</v>
      </c>
      <c r="H48" s="108" t="s">
        <v>843</v>
      </c>
      <c r="I48" s="108">
        <v>6</v>
      </c>
      <c r="J48" s="100" t="str">
        <f t="shared" si="3"/>
        <v>HS2 6</v>
      </c>
      <c r="K48" s="99">
        <f t="shared" si="4"/>
        <v>82.8125</v>
      </c>
      <c r="L48" s="99">
        <v>56.5</v>
      </c>
      <c r="M48" s="99">
        <v>11.75</v>
      </c>
      <c r="N48" s="99">
        <v>7.75</v>
      </c>
      <c r="O48" s="99">
        <v>0</v>
      </c>
    </row>
    <row r="49" spans="1:15">
      <c r="A49" s="101" t="s">
        <v>458</v>
      </c>
      <c r="B49" s="101" t="s">
        <v>459</v>
      </c>
      <c r="C49" s="99" t="str">
        <f t="shared" si="0"/>
        <v>A050 ALBURY</v>
      </c>
      <c r="D49" s="102" t="s">
        <v>821</v>
      </c>
      <c r="E49" s="108">
        <v>8</v>
      </c>
      <c r="H49" s="108" t="s">
        <v>843</v>
      </c>
      <c r="I49" s="108">
        <v>8</v>
      </c>
      <c r="J49" s="100" t="str">
        <f t="shared" si="3"/>
        <v>HS2 8</v>
      </c>
      <c r="K49" s="99">
        <f t="shared" si="4"/>
        <v>82.8125</v>
      </c>
      <c r="L49" s="99">
        <v>56.5</v>
      </c>
      <c r="M49" s="99">
        <v>11.75</v>
      </c>
      <c r="N49" s="99">
        <v>7.75</v>
      </c>
      <c r="O49" s="99">
        <v>0</v>
      </c>
    </row>
    <row r="50" spans="1:15">
      <c r="A50" s="99" t="s">
        <v>482</v>
      </c>
      <c r="B50" s="99" t="s">
        <v>244</v>
      </c>
      <c r="C50" s="99" t="str">
        <f t="shared" si="0"/>
        <v>A051 Rutherford</v>
      </c>
      <c r="D50" s="99" t="s">
        <v>688</v>
      </c>
      <c r="E50" s="108">
        <v>8</v>
      </c>
      <c r="H50" s="108" t="s">
        <v>844</v>
      </c>
      <c r="I50" s="108">
        <v>4</v>
      </c>
      <c r="J50" s="100" t="str">
        <f t="shared" si="3"/>
        <v>HS3 4</v>
      </c>
      <c r="K50" s="99">
        <f t="shared" si="4"/>
        <v>83.6875</v>
      </c>
      <c r="L50" s="99">
        <v>53.25</v>
      </c>
      <c r="M50" s="99">
        <v>14.75</v>
      </c>
      <c r="N50" s="99">
        <v>8</v>
      </c>
      <c r="O50" s="99">
        <v>0</v>
      </c>
    </row>
    <row r="51" spans="1:15">
      <c r="A51" s="101" t="s">
        <v>484</v>
      </c>
      <c r="B51" s="101" t="s">
        <v>485</v>
      </c>
      <c r="C51" s="99" t="str">
        <f t="shared" si="0"/>
        <v>A052 Epping</v>
      </c>
      <c r="D51" s="102" t="s">
        <v>688</v>
      </c>
      <c r="E51" s="108">
        <v>8</v>
      </c>
      <c r="H51" s="108" t="s">
        <v>844</v>
      </c>
      <c r="I51" s="108">
        <v>6</v>
      </c>
      <c r="J51" s="100" t="str">
        <f t="shared" si="3"/>
        <v>HS3 6</v>
      </c>
      <c r="K51" s="99">
        <f t="shared" si="4"/>
        <v>83.6875</v>
      </c>
      <c r="L51" s="99">
        <v>53.25</v>
      </c>
      <c r="M51" s="99">
        <v>14.75</v>
      </c>
      <c r="N51" s="99">
        <v>8</v>
      </c>
      <c r="O51" s="99">
        <v>0</v>
      </c>
    </row>
    <row r="52" spans="1:15">
      <c r="A52" s="101" t="s">
        <v>487</v>
      </c>
      <c r="B52" s="101" t="s">
        <v>219</v>
      </c>
      <c r="C52" s="99" t="str">
        <f t="shared" si="0"/>
        <v>A053 Midland</v>
      </c>
      <c r="D52" s="102" t="s">
        <v>688</v>
      </c>
      <c r="E52" s="108">
        <v>8</v>
      </c>
      <c r="H52" s="108" t="s">
        <v>844</v>
      </c>
      <c r="I52" s="108">
        <v>8</v>
      </c>
      <c r="J52" s="100" t="str">
        <f t="shared" si="3"/>
        <v>HS3 8</v>
      </c>
      <c r="K52" s="99">
        <f t="shared" si="4"/>
        <v>83.6875</v>
      </c>
      <c r="L52" s="99">
        <v>53.25</v>
      </c>
      <c r="M52" s="99">
        <v>14.75</v>
      </c>
      <c r="N52" s="99">
        <v>8</v>
      </c>
      <c r="O52" s="99">
        <v>0</v>
      </c>
    </row>
    <row r="53" spans="1:15">
      <c r="A53" s="101" t="s">
        <v>489</v>
      </c>
      <c r="B53" s="101" t="s">
        <v>220</v>
      </c>
      <c r="C53" s="99" t="str">
        <f t="shared" si="0"/>
        <v>A054 Ipswich</v>
      </c>
      <c r="D53" s="102" t="s">
        <v>688</v>
      </c>
      <c r="E53" s="108">
        <v>8</v>
      </c>
      <c r="H53" s="108" t="s">
        <v>845</v>
      </c>
      <c r="I53" s="108">
        <v>4</v>
      </c>
      <c r="J53" s="100" t="str">
        <f t="shared" si="3"/>
        <v>HS4 4</v>
      </c>
      <c r="K53" s="99">
        <f t="shared" si="4"/>
        <v>84.5</v>
      </c>
      <c r="L53" s="99">
        <v>51.5</v>
      </c>
      <c r="M53" s="99">
        <v>15.5</v>
      </c>
      <c r="N53" s="99">
        <v>8.75</v>
      </c>
      <c r="O53" s="99">
        <v>0.25</v>
      </c>
    </row>
    <row r="54" spans="1:15">
      <c r="A54" s="101" t="s">
        <v>491</v>
      </c>
      <c r="B54" s="101" t="s">
        <v>191</v>
      </c>
      <c r="C54" s="99" t="str">
        <f t="shared" si="0"/>
        <v>A055 Shepparton</v>
      </c>
      <c r="D54" s="102" t="s">
        <v>821</v>
      </c>
      <c r="E54" s="108">
        <v>8</v>
      </c>
      <c r="H54" s="108" t="s">
        <v>845</v>
      </c>
      <c r="I54" s="108">
        <v>6</v>
      </c>
      <c r="J54" s="100" t="str">
        <f t="shared" si="3"/>
        <v>HS4 6</v>
      </c>
      <c r="K54" s="99">
        <f t="shared" si="4"/>
        <v>84.5</v>
      </c>
      <c r="L54" s="99">
        <v>51.5</v>
      </c>
      <c r="M54" s="99">
        <v>15.5</v>
      </c>
      <c r="N54" s="99">
        <v>8.75</v>
      </c>
      <c r="O54" s="99">
        <v>0.25</v>
      </c>
    </row>
    <row r="55" spans="1:15">
      <c r="A55" s="101" t="s">
        <v>493</v>
      </c>
      <c r="B55" s="101" t="s">
        <v>207</v>
      </c>
      <c r="C55" s="99" t="str">
        <f t="shared" si="0"/>
        <v>A057 Mackay</v>
      </c>
      <c r="D55" s="102" t="s">
        <v>688</v>
      </c>
      <c r="E55" s="108">
        <v>8</v>
      </c>
      <c r="H55" s="108" t="s">
        <v>845</v>
      </c>
      <c r="I55" s="108">
        <v>8</v>
      </c>
      <c r="J55" s="100" t="str">
        <f t="shared" si="3"/>
        <v>HS4 8</v>
      </c>
      <c r="K55" s="99">
        <f t="shared" si="4"/>
        <v>84.5</v>
      </c>
      <c r="L55" s="99">
        <v>51.5</v>
      </c>
      <c r="M55" s="99">
        <v>15.5</v>
      </c>
      <c r="N55" s="99">
        <v>8.75</v>
      </c>
      <c r="O55" s="99">
        <v>0.25</v>
      </c>
    </row>
    <row r="56" spans="1:15">
      <c r="A56" s="101" t="s">
        <v>495</v>
      </c>
      <c r="B56" s="101" t="s">
        <v>496</v>
      </c>
      <c r="C56" s="99" t="str">
        <f t="shared" si="0"/>
        <v>A058 Hawthorn East</v>
      </c>
      <c r="D56" s="102" t="s">
        <v>688</v>
      </c>
      <c r="E56" s="108">
        <v>8</v>
      </c>
    </row>
    <row r="57" spans="1:15">
      <c r="A57" s="99" t="s">
        <v>511</v>
      </c>
      <c r="B57" s="99" t="s">
        <v>512</v>
      </c>
      <c r="C57" s="99" t="str">
        <f t="shared" si="0"/>
        <v>A059 CHATSWOOD</v>
      </c>
      <c r="D57" s="99" t="s">
        <v>688</v>
      </c>
      <c r="E57" s="108">
        <v>8</v>
      </c>
    </row>
    <row r="58" spans="1:15">
      <c r="A58" s="99" t="s">
        <v>504</v>
      </c>
      <c r="B58" s="99" t="s">
        <v>505</v>
      </c>
      <c r="C58" s="99" t="str">
        <f t="shared" si="0"/>
        <v>A060 Devonport</v>
      </c>
      <c r="D58" s="100" t="s">
        <v>676</v>
      </c>
      <c r="E58" s="108">
        <v>8</v>
      </c>
    </row>
    <row r="59" spans="1:15">
      <c r="A59" s="101" t="s">
        <v>498</v>
      </c>
      <c r="B59" s="101" t="s">
        <v>680</v>
      </c>
      <c r="C59" s="99" t="str">
        <f t="shared" si="0"/>
        <v>A061 Marsden Park</v>
      </c>
      <c r="D59" s="102" t="s">
        <v>688</v>
      </c>
      <c r="E59" s="108">
        <v>8</v>
      </c>
    </row>
    <row r="60" spans="1:15">
      <c r="A60" s="101" t="s">
        <v>513</v>
      </c>
      <c r="B60" s="101" t="s">
        <v>197</v>
      </c>
      <c r="C60" s="99" t="str">
        <f t="shared" si="0"/>
        <v>A062 Campbelltown</v>
      </c>
      <c r="D60" s="102" t="s">
        <v>688</v>
      </c>
      <c r="E60" s="108">
        <v>8</v>
      </c>
    </row>
    <row r="61" spans="1:15">
      <c r="A61" s="101" t="s">
        <v>672</v>
      </c>
      <c r="B61" s="101" t="s">
        <v>604</v>
      </c>
      <c r="C61" s="99" t="str">
        <f t="shared" si="0"/>
        <v>A063 Maroochydore</v>
      </c>
      <c r="D61" s="102" t="s">
        <v>688</v>
      </c>
      <c r="E61" s="108">
        <v>8</v>
      </c>
    </row>
    <row r="62" spans="1:15">
      <c r="A62" s="101" t="s">
        <v>514</v>
      </c>
      <c r="B62" s="101" t="s">
        <v>515</v>
      </c>
      <c r="C62" s="99" t="str">
        <f t="shared" si="0"/>
        <v>A064 Gungahlin</v>
      </c>
      <c r="D62" s="102" t="s">
        <v>678</v>
      </c>
      <c r="E62" s="108">
        <v>8</v>
      </c>
    </row>
    <row r="63" spans="1:15">
      <c r="A63" s="101" t="s">
        <v>516</v>
      </c>
      <c r="B63" s="101" t="s">
        <v>517</v>
      </c>
      <c r="C63" s="99" t="str">
        <f t="shared" si="0"/>
        <v>A065 ROCKINGHAM</v>
      </c>
      <c r="D63" s="102" t="s">
        <v>821</v>
      </c>
      <c r="E63" s="108">
        <v>8</v>
      </c>
    </row>
    <row r="64" spans="1:15">
      <c r="A64" s="101" t="s">
        <v>518</v>
      </c>
      <c r="B64" s="101" t="s">
        <v>519</v>
      </c>
      <c r="C64" s="99" t="str">
        <f t="shared" si="0"/>
        <v>A066 BUTLER</v>
      </c>
      <c r="D64" s="102" t="s">
        <v>688</v>
      </c>
      <c r="E64" s="108">
        <v>8</v>
      </c>
    </row>
    <row r="65" spans="1:5">
      <c r="A65" s="99" t="s">
        <v>520</v>
      </c>
      <c r="B65" s="99" t="s">
        <v>521</v>
      </c>
      <c r="C65" s="99" t="str">
        <f t="shared" si="0"/>
        <v>A067 AIRLIE BEACH</v>
      </c>
      <c r="D65" s="100" t="s">
        <v>678</v>
      </c>
      <c r="E65" s="108">
        <v>8</v>
      </c>
    </row>
    <row r="66" spans="1:5">
      <c r="A66" s="99" t="s">
        <v>630</v>
      </c>
      <c r="B66" s="99" t="s">
        <v>682</v>
      </c>
      <c r="C66" s="99" t="str">
        <f t="shared" ref="C66:C131" si="5">CONCATENATE(A66," ",B66)</f>
        <v>A068 COFFS HARBOUR</v>
      </c>
      <c r="D66" s="100" t="s">
        <v>688</v>
      </c>
      <c r="E66" s="108">
        <v>8</v>
      </c>
    </row>
    <row r="67" spans="1:5">
      <c r="A67" s="99" t="s">
        <v>632</v>
      </c>
      <c r="B67" s="99" t="s">
        <v>684</v>
      </c>
      <c r="C67" s="99" t="str">
        <f t="shared" si="5"/>
        <v>A069 GEPPS CROSS</v>
      </c>
      <c r="D67" s="100" t="s">
        <v>688</v>
      </c>
      <c r="E67" s="108">
        <v>8</v>
      </c>
    </row>
    <row r="68" spans="1:5">
      <c r="A68" s="99" t="s">
        <v>522</v>
      </c>
      <c r="B68" s="99" t="s">
        <v>221</v>
      </c>
      <c r="C68" s="99" t="str">
        <f t="shared" si="5"/>
        <v>A070 Melville</v>
      </c>
      <c r="D68" s="100" t="s">
        <v>688</v>
      </c>
      <c r="E68" s="108">
        <v>8</v>
      </c>
    </row>
    <row r="69" spans="1:5">
      <c r="A69" s="99" t="s">
        <v>523</v>
      </c>
      <c r="B69" s="99" t="s">
        <v>524</v>
      </c>
      <c r="C69" s="99" t="str">
        <f t="shared" si="5"/>
        <v>A071 BUNBURY</v>
      </c>
      <c r="D69" s="100" t="s">
        <v>821</v>
      </c>
      <c r="E69" s="108">
        <v>8</v>
      </c>
    </row>
    <row r="70" spans="1:5">
      <c r="A70" s="99" t="s">
        <v>633</v>
      </c>
      <c r="B70" s="99" t="s">
        <v>686</v>
      </c>
      <c r="C70" s="99" t="str">
        <f t="shared" si="5"/>
        <v>A072 BROWNS PLAINS</v>
      </c>
      <c r="D70" s="100" t="s">
        <v>688</v>
      </c>
      <c r="E70" s="108">
        <v>8</v>
      </c>
    </row>
    <row r="71" spans="1:5">
      <c r="A71" s="99" t="s">
        <v>635</v>
      </c>
      <c r="B71" s="99" t="s">
        <v>636</v>
      </c>
      <c r="C71" s="99" t="str">
        <f t="shared" si="5"/>
        <v>A073 Eastern Creek</v>
      </c>
      <c r="D71" s="100" t="s">
        <v>688</v>
      </c>
      <c r="E71" s="108">
        <v>8</v>
      </c>
    </row>
    <row r="72" spans="1:5">
      <c r="A72" s="99" t="s">
        <v>638</v>
      </c>
      <c r="B72" s="99" t="s">
        <v>184</v>
      </c>
      <c r="C72" s="99" t="str">
        <f t="shared" si="5"/>
        <v>A074 Mildura</v>
      </c>
      <c r="D72" s="100" t="s">
        <v>678</v>
      </c>
      <c r="E72" s="108">
        <v>8</v>
      </c>
    </row>
    <row r="73" spans="1:5">
      <c r="A73" s="99" t="s">
        <v>639</v>
      </c>
      <c r="B73" s="99" t="s">
        <v>205</v>
      </c>
      <c r="C73" s="99" t="str">
        <f t="shared" si="5"/>
        <v>A075 Munno Para</v>
      </c>
      <c r="D73" s="100" t="s">
        <v>821</v>
      </c>
      <c r="E73" s="108">
        <v>8</v>
      </c>
    </row>
    <row r="74" spans="1:5">
      <c r="A74" s="99" t="s">
        <v>640</v>
      </c>
      <c r="B74" s="99" t="s">
        <v>641</v>
      </c>
      <c r="C74" s="99" t="str">
        <f t="shared" si="5"/>
        <v>A076 Smithfield</v>
      </c>
      <c r="D74" s="99" t="s">
        <v>688</v>
      </c>
      <c r="E74" s="108">
        <v>8</v>
      </c>
    </row>
    <row r="75" spans="1:5">
      <c r="A75" s="99" t="s">
        <v>644</v>
      </c>
      <c r="B75" s="99" t="s">
        <v>249</v>
      </c>
      <c r="C75" s="99" t="str">
        <f t="shared" si="5"/>
        <v>A077 Albany</v>
      </c>
      <c r="D75" s="99" t="s">
        <v>678</v>
      </c>
      <c r="E75" s="108">
        <v>8</v>
      </c>
    </row>
    <row r="76" spans="1:5">
      <c r="A76" s="99" t="s">
        <v>646</v>
      </c>
      <c r="B76" s="99" t="s">
        <v>647</v>
      </c>
      <c r="C76" s="99" t="str">
        <f t="shared" si="5"/>
        <v>A079 Cleveland</v>
      </c>
      <c r="D76" s="100" t="s">
        <v>688</v>
      </c>
      <c r="E76" s="108">
        <v>8</v>
      </c>
    </row>
    <row r="77" spans="1:5">
      <c r="A77" s="99" t="s">
        <v>648</v>
      </c>
      <c r="B77" s="99" t="s">
        <v>649</v>
      </c>
      <c r="C77" s="99" t="str">
        <f t="shared" si="5"/>
        <v>A080 Glenorchy</v>
      </c>
      <c r="D77" s="99" t="s">
        <v>676</v>
      </c>
      <c r="E77" s="108">
        <v>8</v>
      </c>
    </row>
    <row r="78" spans="1:5">
      <c r="A78" s="99" t="s">
        <v>651</v>
      </c>
      <c r="B78" s="99" t="s">
        <v>263</v>
      </c>
      <c r="C78" s="99" t="str">
        <f t="shared" si="5"/>
        <v>A081 Busselton</v>
      </c>
      <c r="D78" s="99" t="s">
        <v>678</v>
      </c>
      <c r="E78" s="108">
        <v>8</v>
      </c>
    </row>
    <row r="79" spans="1:5">
      <c r="A79" s="99" t="s">
        <v>689</v>
      </c>
      <c r="B79" s="99" t="s">
        <v>201</v>
      </c>
      <c r="C79" s="99" t="str">
        <f t="shared" si="5"/>
        <v>A082 Dubbo</v>
      </c>
      <c r="D79" s="99" t="s">
        <v>688</v>
      </c>
      <c r="E79" s="108">
        <v>8</v>
      </c>
    </row>
    <row r="80" spans="1:5">
      <c r="A80" s="99" t="s">
        <v>822</v>
      </c>
      <c r="B80" s="99" t="s">
        <v>823</v>
      </c>
      <c r="C80" s="99" t="str">
        <f t="shared" si="5"/>
        <v>A085 Palmerston</v>
      </c>
      <c r="D80" s="99" t="s">
        <v>678</v>
      </c>
      <c r="E80" s="108">
        <v>8</v>
      </c>
    </row>
    <row r="81" spans="1:5">
      <c r="A81" s="99" t="s">
        <v>687</v>
      </c>
      <c r="B81" s="99" t="s">
        <v>239</v>
      </c>
      <c r="C81" s="99" t="str">
        <f t="shared" si="5"/>
        <v>A086 Nowra</v>
      </c>
      <c r="D81" s="99" t="s">
        <v>688</v>
      </c>
      <c r="E81" s="108">
        <v>8</v>
      </c>
    </row>
    <row r="82" spans="1:5">
      <c r="A82" s="99" t="s">
        <v>749</v>
      </c>
      <c r="B82" s="99" t="s">
        <v>750</v>
      </c>
      <c r="C82" s="99" t="str">
        <f t="shared" si="5"/>
        <v>A087 Hervey Bay</v>
      </c>
      <c r="D82" s="99" t="s">
        <v>688</v>
      </c>
      <c r="E82" s="108">
        <v>8</v>
      </c>
    </row>
    <row r="83" spans="1:5">
      <c r="A83" s="99" t="s">
        <v>754</v>
      </c>
      <c r="B83" s="99" t="s">
        <v>214</v>
      </c>
      <c r="C83" s="99" t="str">
        <f t="shared" si="5"/>
        <v>A090 Mandurah</v>
      </c>
      <c r="D83" s="99" t="s">
        <v>688</v>
      </c>
      <c r="E83" s="108">
        <v>8</v>
      </c>
    </row>
    <row r="84" spans="1:5">
      <c r="A84" s="99" t="s">
        <v>752</v>
      </c>
      <c r="B84" s="99" t="s">
        <v>753</v>
      </c>
      <c r="C84" s="99" t="str">
        <f t="shared" si="5"/>
        <v>A091 Albion Park</v>
      </c>
      <c r="D84" s="99" t="s">
        <v>688</v>
      </c>
      <c r="E84" s="108">
        <v>8</v>
      </c>
    </row>
    <row r="85" spans="1:5">
      <c r="A85" s="99" t="s">
        <v>751</v>
      </c>
      <c r="B85" s="99" t="s">
        <v>216</v>
      </c>
      <c r="C85" s="99" t="str">
        <f t="shared" si="5"/>
        <v>A092 Bathurst</v>
      </c>
      <c r="D85" s="99" t="s">
        <v>688</v>
      </c>
      <c r="E85" s="108">
        <v>8</v>
      </c>
    </row>
    <row r="86" spans="1:5">
      <c r="A86" s="99" t="s">
        <v>824</v>
      </c>
      <c r="B86" s="99" t="s">
        <v>998</v>
      </c>
      <c r="C86" s="99" t="str">
        <f>CONCATENATE(A86," ",B86)</f>
        <v>A094 Forrestdale</v>
      </c>
      <c r="D86" s="99" t="s">
        <v>678</v>
      </c>
      <c r="E86" s="108">
        <v>8</v>
      </c>
    </row>
    <row r="87" spans="1:5">
      <c r="A87" s="99" t="s">
        <v>1002</v>
      </c>
      <c r="B87" s="99" t="s">
        <v>1003</v>
      </c>
      <c r="C87" s="99" t="str">
        <f>CONCATENATE(A87," ",B87)</f>
        <v>A083 Mt Gravatt</v>
      </c>
      <c r="D87" s="100" t="s">
        <v>688</v>
      </c>
      <c r="E87" s="108">
        <v>8</v>
      </c>
    </row>
    <row r="88" spans="1:5">
      <c r="A88" s="99" t="s">
        <v>1004</v>
      </c>
      <c r="B88" s="99" t="s">
        <v>224</v>
      </c>
      <c r="C88" s="99" t="str">
        <f>CONCATENATE(A88," ",B88)</f>
        <v>A089 Bundaberg</v>
      </c>
      <c r="D88" s="100" t="s">
        <v>688</v>
      </c>
      <c r="E88" s="108">
        <v>8</v>
      </c>
    </row>
    <row r="89" spans="1:5">
      <c r="A89" s="99" t="s">
        <v>525</v>
      </c>
      <c r="B89" s="99" t="s">
        <v>526</v>
      </c>
      <c r="C89" s="99" t="str">
        <f t="shared" si="5"/>
        <v>M805 MOUNTAIN DESIGNS DARK STO</v>
      </c>
      <c r="D89" s="100" t="s">
        <v>784</v>
      </c>
      <c r="E89" s="108">
        <v>8</v>
      </c>
    </row>
    <row r="90" spans="1:5">
      <c r="A90" s="99" t="s">
        <v>7</v>
      </c>
      <c r="B90" s="99" t="s">
        <v>168</v>
      </c>
      <c r="C90" s="99" t="str">
        <f t="shared" si="5"/>
        <v>S002 Box Hill</v>
      </c>
      <c r="D90" s="99" t="s">
        <v>685</v>
      </c>
      <c r="E90" s="108">
        <v>8</v>
      </c>
    </row>
    <row r="91" spans="1:5">
      <c r="A91" s="99" t="s">
        <v>8</v>
      </c>
      <c r="B91" s="99" t="s">
        <v>460</v>
      </c>
      <c r="C91" s="99" t="str">
        <f t="shared" si="5"/>
        <v>S004 Mentone</v>
      </c>
      <c r="D91" s="99" t="s">
        <v>685</v>
      </c>
      <c r="E91" s="108">
        <v>8</v>
      </c>
    </row>
    <row r="92" spans="1:5">
      <c r="A92" s="99" t="s">
        <v>9</v>
      </c>
      <c r="B92" s="99" t="s">
        <v>169</v>
      </c>
      <c r="C92" s="99" t="str">
        <f t="shared" si="5"/>
        <v>S005 Sandown</v>
      </c>
      <c r="D92" s="99" t="s">
        <v>685</v>
      </c>
      <c r="E92" s="108">
        <v>8</v>
      </c>
    </row>
    <row r="93" spans="1:5">
      <c r="A93" s="99" t="s">
        <v>10</v>
      </c>
      <c r="B93" s="99" t="s">
        <v>170</v>
      </c>
      <c r="C93" s="99" t="str">
        <f t="shared" si="5"/>
        <v>S006 Geelong</v>
      </c>
      <c r="D93" s="99" t="s">
        <v>685</v>
      </c>
      <c r="E93" s="108">
        <v>8</v>
      </c>
    </row>
    <row r="94" spans="1:5">
      <c r="A94" s="99" t="s">
        <v>12</v>
      </c>
      <c r="B94" s="99" t="s">
        <v>172</v>
      </c>
      <c r="C94" s="99" t="str">
        <f t="shared" si="5"/>
        <v>S008 Essendon</v>
      </c>
      <c r="D94" s="99" t="s">
        <v>677</v>
      </c>
      <c r="E94" s="108">
        <v>8</v>
      </c>
    </row>
    <row r="95" spans="1:5">
      <c r="A95" s="99" t="s">
        <v>14</v>
      </c>
      <c r="B95" s="99" t="s">
        <v>174</v>
      </c>
      <c r="C95" s="99" t="str">
        <f t="shared" si="5"/>
        <v>S009 Traralgon</v>
      </c>
      <c r="D95" s="99" t="s">
        <v>677</v>
      </c>
      <c r="E95" s="108">
        <v>8</v>
      </c>
    </row>
    <row r="96" spans="1:5">
      <c r="A96" s="99" t="s">
        <v>16</v>
      </c>
      <c r="B96" s="99" t="s">
        <v>176</v>
      </c>
      <c r="C96" s="99" t="str">
        <f t="shared" si="5"/>
        <v>S010 Maribyrnong</v>
      </c>
      <c r="D96" s="99" t="s">
        <v>685</v>
      </c>
      <c r="E96" s="108">
        <v>8</v>
      </c>
    </row>
    <row r="97" spans="1:5">
      <c r="A97" s="99" t="s">
        <v>17</v>
      </c>
      <c r="B97" s="99" t="s">
        <v>177</v>
      </c>
      <c r="C97" s="99" t="str">
        <f t="shared" si="5"/>
        <v>S011 Launceston</v>
      </c>
      <c r="D97" s="99" t="s">
        <v>677</v>
      </c>
      <c r="E97" s="108">
        <v>8</v>
      </c>
    </row>
    <row r="98" spans="1:5">
      <c r="A98" s="99" t="s">
        <v>18</v>
      </c>
      <c r="B98" s="99" t="s">
        <v>178</v>
      </c>
      <c r="C98" s="99" t="str">
        <f t="shared" si="5"/>
        <v>S013 Ballarat</v>
      </c>
      <c r="D98" s="99" t="s">
        <v>677</v>
      </c>
      <c r="E98" s="108">
        <v>8</v>
      </c>
    </row>
    <row r="99" spans="1:5">
      <c r="A99" s="99" t="s">
        <v>19</v>
      </c>
      <c r="B99" s="99" t="s">
        <v>179</v>
      </c>
      <c r="C99" s="99" t="str">
        <f t="shared" si="5"/>
        <v>S014 Bayswater</v>
      </c>
      <c r="D99" s="99" t="s">
        <v>787</v>
      </c>
      <c r="E99" s="108">
        <v>8</v>
      </c>
    </row>
    <row r="100" spans="1:5">
      <c r="A100" s="99" t="s">
        <v>22</v>
      </c>
      <c r="B100" s="99" t="s">
        <v>182</v>
      </c>
      <c r="C100" s="99" t="str">
        <f t="shared" si="5"/>
        <v>S015 Bairnsdale</v>
      </c>
      <c r="D100" s="99" t="s">
        <v>677</v>
      </c>
      <c r="E100" s="108">
        <v>8</v>
      </c>
    </row>
    <row r="101" spans="1:5">
      <c r="A101" s="99" t="s">
        <v>23</v>
      </c>
      <c r="B101" s="99" t="s">
        <v>183</v>
      </c>
      <c r="C101" s="99" t="str">
        <f t="shared" si="5"/>
        <v>S016 Sale</v>
      </c>
      <c r="D101" s="99" t="s">
        <v>685</v>
      </c>
      <c r="E101" s="108">
        <v>8</v>
      </c>
    </row>
    <row r="102" spans="1:5">
      <c r="A102" s="99" t="s">
        <v>24</v>
      </c>
      <c r="B102" s="99" t="s">
        <v>184</v>
      </c>
      <c r="C102" s="99" t="str">
        <f t="shared" si="5"/>
        <v>S017 Mildura</v>
      </c>
      <c r="D102" s="99" t="s">
        <v>677</v>
      </c>
      <c r="E102" s="108">
        <v>8</v>
      </c>
    </row>
    <row r="103" spans="1:5">
      <c r="A103" s="99" t="s">
        <v>25</v>
      </c>
      <c r="B103" s="99" t="s">
        <v>185</v>
      </c>
      <c r="C103" s="99" t="str">
        <f t="shared" si="5"/>
        <v>S019 Penrith</v>
      </c>
      <c r="D103" s="99" t="s">
        <v>685</v>
      </c>
      <c r="E103" s="108">
        <v>8</v>
      </c>
    </row>
    <row r="104" spans="1:5">
      <c r="A104" s="99" t="s">
        <v>26</v>
      </c>
      <c r="B104" s="99" t="s">
        <v>186</v>
      </c>
      <c r="C104" s="99" t="str">
        <f t="shared" si="5"/>
        <v>S020 Wollongong</v>
      </c>
      <c r="D104" s="99" t="s">
        <v>685</v>
      </c>
      <c r="E104" s="108">
        <v>8</v>
      </c>
    </row>
    <row r="105" spans="1:5">
      <c r="A105" s="99" t="s">
        <v>20</v>
      </c>
      <c r="B105" s="99" t="s">
        <v>180</v>
      </c>
      <c r="C105" s="99" t="str">
        <f t="shared" si="5"/>
        <v>S021 Albury</v>
      </c>
      <c r="D105" s="99" t="s">
        <v>685</v>
      </c>
      <c r="E105" s="108">
        <v>8</v>
      </c>
    </row>
    <row r="106" spans="1:5">
      <c r="A106" s="99" t="s">
        <v>13</v>
      </c>
      <c r="B106" s="99" t="s">
        <v>173</v>
      </c>
      <c r="C106" s="99" t="str">
        <f t="shared" si="5"/>
        <v>S024 West Gosford</v>
      </c>
      <c r="D106" s="99" t="s">
        <v>685</v>
      </c>
      <c r="E106" s="108">
        <v>8</v>
      </c>
    </row>
    <row r="107" spans="1:5">
      <c r="A107" s="99" t="s">
        <v>28</v>
      </c>
      <c r="B107" s="99" t="s">
        <v>462</v>
      </c>
      <c r="C107" s="99" t="str">
        <f t="shared" si="5"/>
        <v>S025 Trinity Gardens</v>
      </c>
      <c r="D107" s="99" t="s">
        <v>685</v>
      </c>
      <c r="E107" s="108">
        <v>8</v>
      </c>
    </row>
    <row r="108" spans="1:5">
      <c r="A108" s="99" t="s">
        <v>29</v>
      </c>
      <c r="B108" s="99" t="s">
        <v>188</v>
      </c>
      <c r="C108" s="99" t="str">
        <f t="shared" si="5"/>
        <v>S026 Bendigo</v>
      </c>
      <c r="D108" s="99" t="s">
        <v>677</v>
      </c>
      <c r="E108" s="108">
        <v>8</v>
      </c>
    </row>
    <row r="109" spans="1:5">
      <c r="A109" s="99" t="s">
        <v>30</v>
      </c>
      <c r="B109" s="99" t="s">
        <v>189</v>
      </c>
      <c r="C109" s="99" t="str">
        <f t="shared" si="5"/>
        <v>S027 South Melbourne</v>
      </c>
      <c r="D109" s="99" t="s">
        <v>813</v>
      </c>
      <c r="E109" s="108">
        <v>8</v>
      </c>
    </row>
    <row r="110" spans="1:5">
      <c r="A110" s="99" t="s">
        <v>31</v>
      </c>
      <c r="B110" s="99" t="s">
        <v>190</v>
      </c>
      <c r="C110" s="99" t="str">
        <f t="shared" si="5"/>
        <v>S028 Bondi Junction</v>
      </c>
      <c r="D110" s="99" t="s">
        <v>685</v>
      </c>
      <c r="E110" s="108">
        <v>8</v>
      </c>
    </row>
    <row r="111" spans="1:5">
      <c r="A111" s="99" t="s">
        <v>32</v>
      </c>
      <c r="B111" s="99" t="s">
        <v>191</v>
      </c>
      <c r="C111" s="99" t="str">
        <f t="shared" si="5"/>
        <v>S029 Shepparton</v>
      </c>
      <c r="D111" s="99" t="s">
        <v>677</v>
      </c>
      <c r="E111" s="108">
        <v>8</v>
      </c>
    </row>
    <row r="112" spans="1:5">
      <c r="A112" s="99" t="s">
        <v>33</v>
      </c>
      <c r="B112" s="99" t="s">
        <v>192</v>
      </c>
      <c r="C112" s="99" t="str">
        <f t="shared" si="5"/>
        <v>S030 Birkenhead Point</v>
      </c>
      <c r="D112" s="99" t="s">
        <v>814</v>
      </c>
      <c r="E112" s="108">
        <v>8</v>
      </c>
    </row>
    <row r="113" spans="1:5">
      <c r="A113" s="99" t="s">
        <v>34</v>
      </c>
      <c r="B113" s="99" t="s">
        <v>193</v>
      </c>
      <c r="C113" s="99" t="str">
        <f t="shared" si="5"/>
        <v>S034 Hoppers Crossing</v>
      </c>
      <c r="D113" s="99" t="s">
        <v>685</v>
      </c>
      <c r="E113" s="108">
        <v>8</v>
      </c>
    </row>
    <row r="114" spans="1:5">
      <c r="A114" s="99" t="s">
        <v>35</v>
      </c>
      <c r="B114" s="99" t="s">
        <v>194</v>
      </c>
      <c r="C114" s="99" t="str">
        <f t="shared" si="5"/>
        <v>S035 Everton Park</v>
      </c>
      <c r="D114" s="99" t="s">
        <v>685</v>
      </c>
      <c r="E114" s="108">
        <v>8</v>
      </c>
    </row>
    <row r="115" spans="1:5">
      <c r="A115" s="99" t="s">
        <v>37</v>
      </c>
      <c r="B115" s="99" t="s">
        <v>196</v>
      </c>
      <c r="C115" s="99" t="str">
        <f t="shared" si="5"/>
        <v>S036 Mount Gravatt</v>
      </c>
      <c r="D115" s="99" t="s">
        <v>685</v>
      </c>
      <c r="E115" s="108">
        <v>8</v>
      </c>
    </row>
    <row r="116" spans="1:5">
      <c r="A116" s="99" t="s">
        <v>38</v>
      </c>
      <c r="B116" s="99" t="s">
        <v>197</v>
      </c>
      <c r="C116" s="99" t="str">
        <f t="shared" si="5"/>
        <v>S037 Campbelltown</v>
      </c>
      <c r="D116" s="99" t="s">
        <v>685</v>
      </c>
      <c r="E116" s="108">
        <v>8</v>
      </c>
    </row>
    <row r="117" spans="1:5">
      <c r="A117" s="99" t="s">
        <v>39</v>
      </c>
      <c r="B117" s="99" t="s">
        <v>198</v>
      </c>
      <c r="C117" s="99" t="str">
        <f t="shared" si="5"/>
        <v>S038 Logan</v>
      </c>
      <c r="D117" s="99" t="s">
        <v>685</v>
      </c>
      <c r="E117" s="108">
        <v>8</v>
      </c>
    </row>
    <row r="118" spans="1:5">
      <c r="A118" s="99" t="s">
        <v>40</v>
      </c>
      <c r="B118" s="99" t="s">
        <v>199</v>
      </c>
      <c r="C118" s="99" t="str">
        <f t="shared" si="5"/>
        <v>S039 Ashmore</v>
      </c>
      <c r="D118" s="99" t="s">
        <v>685</v>
      </c>
      <c r="E118" s="108">
        <v>8</v>
      </c>
    </row>
    <row r="119" spans="1:5">
      <c r="A119" s="99" t="s">
        <v>41</v>
      </c>
      <c r="B119" s="99" t="s">
        <v>200</v>
      </c>
      <c r="C119" s="99" t="str">
        <f t="shared" si="5"/>
        <v>S040 Tamworth</v>
      </c>
      <c r="D119" s="99" t="s">
        <v>677</v>
      </c>
      <c r="E119" s="108">
        <v>8</v>
      </c>
    </row>
    <row r="120" spans="1:5">
      <c r="A120" s="99" t="s">
        <v>42</v>
      </c>
      <c r="B120" s="99" t="s">
        <v>201</v>
      </c>
      <c r="C120" s="99" t="str">
        <f t="shared" si="5"/>
        <v>S041 Dubbo</v>
      </c>
      <c r="D120" s="99" t="s">
        <v>677</v>
      </c>
      <c r="E120" s="108">
        <v>8</v>
      </c>
    </row>
    <row r="121" spans="1:5">
      <c r="A121" s="99" t="s">
        <v>43</v>
      </c>
      <c r="B121" s="99" t="s">
        <v>202</v>
      </c>
      <c r="C121" s="99" t="str">
        <f t="shared" si="5"/>
        <v>S042 Queanbeyan</v>
      </c>
      <c r="D121" s="99" t="s">
        <v>685</v>
      </c>
      <c r="E121" s="108">
        <v>8</v>
      </c>
    </row>
    <row r="122" spans="1:5">
      <c r="A122" s="99" t="s">
        <v>45</v>
      </c>
      <c r="B122" s="99" t="s">
        <v>204</v>
      </c>
      <c r="C122" s="99" t="str">
        <f t="shared" si="5"/>
        <v>S043 Townsville</v>
      </c>
      <c r="D122" s="99" t="s">
        <v>685</v>
      </c>
      <c r="E122" s="108">
        <v>8</v>
      </c>
    </row>
    <row r="123" spans="1:5">
      <c r="A123" s="99" t="s">
        <v>46</v>
      </c>
      <c r="B123" s="99" t="s">
        <v>205</v>
      </c>
      <c r="C123" s="99" t="str">
        <f t="shared" si="5"/>
        <v>S044 Munno Para</v>
      </c>
      <c r="D123" s="99" t="s">
        <v>685</v>
      </c>
      <c r="E123" s="108">
        <v>8</v>
      </c>
    </row>
    <row r="124" spans="1:5">
      <c r="A124" s="99" t="s">
        <v>47</v>
      </c>
      <c r="B124" s="99" t="s">
        <v>206</v>
      </c>
      <c r="C124" s="99" t="str">
        <f t="shared" si="5"/>
        <v>S045 Lidcombe</v>
      </c>
      <c r="D124" s="99" t="s">
        <v>685</v>
      </c>
      <c r="E124" s="108">
        <v>8</v>
      </c>
    </row>
    <row r="125" spans="1:5">
      <c r="A125" s="99" t="s">
        <v>48</v>
      </c>
      <c r="B125" s="99" t="s">
        <v>207</v>
      </c>
      <c r="C125" s="99" t="str">
        <f t="shared" si="5"/>
        <v>S046 Mackay</v>
      </c>
      <c r="D125" s="99" t="s">
        <v>685</v>
      </c>
      <c r="E125" s="108">
        <v>8</v>
      </c>
    </row>
    <row r="126" spans="1:5">
      <c r="A126" s="99" t="s">
        <v>50</v>
      </c>
      <c r="B126" s="99" t="s">
        <v>478</v>
      </c>
      <c r="C126" s="99" t="str">
        <f t="shared" si="5"/>
        <v>S047 ROCKHAMPTON</v>
      </c>
      <c r="D126" s="99" t="s">
        <v>685</v>
      </c>
      <c r="E126" s="108">
        <v>8</v>
      </c>
    </row>
    <row r="127" spans="1:5">
      <c r="A127" s="99" t="s">
        <v>52</v>
      </c>
      <c r="B127" s="99" t="s">
        <v>210</v>
      </c>
      <c r="C127" s="99" t="str">
        <f t="shared" si="5"/>
        <v>S048 Lismore</v>
      </c>
      <c r="D127" s="99" t="s">
        <v>677</v>
      </c>
      <c r="E127" s="108">
        <v>8</v>
      </c>
    </row>
    <row r="128" spans="1:5">
      <c r="A128" s="99" t="s">
        <v>53</v>
      </c>
      <c r="B128" s="99" t="s">
        <v>211</v>
      </c>
      <c r="C128" s="99" t="str">
        <f t="shared" si="5"/>
        <v>S049 Horsham</v>
      </c>
      <c r="D128" s="99" t="s">
        <v>677</v>
      </c>
      <c r="E128" s="108">
        <v>8</v>
      </c>
    </row>
    <row r="129" spans="1:5">
      <c r="A129" s="99" t="s">
        <v>54</v>
      </c>
      <c r="B129" s="99" t="s">
        <v>212</v>
      </c>
      <c r="C129" s="99" t="str">
        <f t="shared" si="5"/>
        <v>S050 Belrose</v>
      </c>
      <c r="D129" s="99" t="s">
        <v>685</v>
      </c>
      <c r="E129" s="108">
        <v>8</v>
      </c>
    </row>
    <row r="130" spans="1:5">
      <c r="A130" s="99" t="s">
        <v>55</v>
      </c>
      <c r="B130" s="99" t="s">
        <v>213</v>
      </c>
      <c r="C130" s="99" t="str">
        <f t="shared" si="5"/>
        <v>S052 Innaloo</v>
      </c>
      <c r="D130" s="99" t="s">
        <v>785</v>
      </c>
      <c r="E130" s="108">
        <v>8</v>
      </c>
    </row>
    <row r="131" spans="1:5">
      <c r="A131" s="99" t="s">
        <v>57</v>
      </c>
      <c r="B131" s="99" t="s">
        <v>215</v>
      </c>
      <c r="C131" s="99" t="str">
        <f t="shared" si="5"/>
        <v>S053 Rockdale</v>
      </c>
      <c r="D131" s="99" t="s">
        <v>685</v>
      </c>
      <c r="E131" s="108">
        <v>8</v>
      </c>
    </row>
    <row r="132" spans="1:5">
      <c r="A132" s="99" t="s">
        <v>58</v>
      </c>
      <c r="B132" s="99" t="s">
        <v>216</v>
      </c>
      <c r="C132" s="99" t="str">
        <f t="shared" ref="C132:C195" si="6">CONCATENATE(A132," ",B132)</f>
        <v>S054 Bathurst</v>
      </c>
      <c r="D132" s="99" t="s">
        <v>677</v>
      </c>
      <c r="E132" s="108">
        <v>8</v>
      </c>
    </row>
    <row r="133" spans="1:5">
      <c r="A133" s="99" t="s">
        <v>59</v>
      </c>
      <c r="B133" s="99" t="s">
        <v>217</v>
      </c>
      <c r="C133" s="99" t="str">
        <f t="shared" si="6"/>
        <v>S055 Indooroopilly</v>
      </c>
      <c r="D133" s="99" t="s">
        <v>685</v>
      </c>
      <c r="E133" s="108">
        <v>8</v>
      </c>
    </row>
    <row r="134" spans="1:5">
      <c r="A134" s="99" t="s">
        <v>60</v>
      </c>
      <c r="B134" s="99" t="s">
        <v>218</v>
      </c>
      <c r="C134" s="99" t="str">
        <f t="shared" si="6"/>
        <v>S057 Darwin</v>
      </c>
      <c r="D134" s="99" t="s">
        <v>685</v>
      </c>
      <c r="E134" s="108">
        <v>8</v>
      </c>
    </row>
    <row r="135" spans="1:5">
      <c r="A135" s="99" t="s">
        <v>61</v>
      </c>
      <c r="B135" s="99" t="s">
        <v>219</v>
      </c>
      <c r="C135" s="99" t="str">
        <f t="shared" si="6"/>
        <v>S058 Midland</v>
      </c>
      <c r="D135" s="99" t="s">
        <v>785</v>
      </c>
      <c r="E135" s="108">
        <v>8</v>
      </c>
    </row>
    <row r="136" spans="1:5">
      <c r="A136" s="99" t="s">
        <v>63</v>
      </c>
      <c r="B136" s="99" t="s">
        <v>649</v>
      </c>
      <c r="C136" s="99" t="str">
        <f t="shared" si="6"/>
        <v>S060 Glenorchy</v>
      </c>
      <c r="D136" s="99" t="s">
        <v>685</v>
      </c>
      <c r="E136" s="108">
        <v>8</v>
      </c>
    </row>
    <row r="137" spans="1:5">
      <c r="A137" s="99" t="s">
        <v>64</v>
      </c>
      <c r="B137" s="99" t="s">
        <v>221</v>
      </c>
      <c r="C137" s="99" t="str">
        <f t="shared" si="6"/>
        <v>S061 Melville</v>
      </c>
      <c r="D137" s="99" t="s">
        <v>785</v>
      </c>
      <c r="E137" s="108">
        <v>8</v>
      </c>
    </row>
    <row r="138" spans="1:5">
      <c r="A138" s="99" t="s">
        <v>65</v>
      </c>
      <c r="B138" s="99" t="s">
        <v>222</v>
      </c>
      <c r="C138" s="99" t="str">
        <f t="shared" si="6"/>
        <v>S062 Taree</v>
      </c>
      <c r="D138" s="99" t="s">
        <v>677</v>
      </c>
      <c r="E138" s="108">
        <v>8</v>
      </c>
    </row>
    <row r="139" spans="1:5">
      <c r="A139" s="99" t="s">
        <v>66</v>
      </c>
      <c r="B139" s="99" t="s">
        <v>223</v>
      </c>
      <c r="C139" s="99" t="str">
        <f t="shared" si="6"/>
        <v>S063 Cannington</v>
      </c>
      <c r="D139" s="99" t="s">
        <v>785</v>
      </c>
      <c r="E139" s="108">
        <v>8</v>
      </c>
    </row>
    <row r="140" spans="1:5">
      <c r="A140" s="99" t="s">
        <v>36</v>
      </c>
      <c r="B140" s="99" t="s">
        <v>195</v>
      </c>
      <c r="C140" s="99" t="str">
        <f t="shared" si="6"/>
        <v>S065 Rockingham</v>
      </c>
      <c r="D140" s="99" t="s">
        <v>785</v>
      </c>
      <c r="E140" s="108">
        <v>8</v>
      </c>
    </row>
    <row r="141" spans="1:5">
      <c r="A141" s="99" t="s">
        <v>67</v>
      </c>
      <c r="B141" s="99" t="s">
        <v>224</v>
      </c>
      <c r="C141" s="99" t="str">
        <f t="shared" si="6"/>
        <v>S069 Bundaberg</v>
      </c>
      <c r="D141" s="99" t="s">
        <v>685</v>
      </c>
      <c r="E141" s="108">
        <v>8</v>
      </c>
    </row>
    <row r="142" spans="1:5">
      <c r="A142" s="99" t="s">
        <v>15</v>
      </c>
      <c r="B142" s="99" t="s">
        <v>175</v>
      </c>
      <c r="C142" s="99" t="str">
        <f t="shared" si="6"/>
        <v>S070 Fountain Gate</v>
      </c>
      <c r="D142" s="99" t="s">
        <v>685</v>
      </c>
      <c r="E142" s="108">
        <v>8</v>
      </c>
    </row>
    <row r="143" spans="1:5">
      <c r="A143" s="99" t="s">
        <v>68</v>
      </c>
      <c r="B143" s="99" t="s">
        <v>225</v>
      </c>
      <c r="C143" s="99" t="str">
        <f t="shared" si="6"/>
        <v>S072 Melrose Park</v>
      </c>
      <c r="D143" s="99" t="s">
        <v>685</v>
      </c>
      <c r="E143" s="108">
        <v>8</v>
      </c>
    </row>
    <row r="144" spans="1:5">
      <c r="A144" s="99" t="s">
        <v>51</v>
      </c>
      <c r="B144" s="99" t="s">
        <v>209</v>
      </c>
      <c r="C144" s="99" t="str">
        <f t="shared" si="6"/>
        <v>S073 Joondalup</v>
      </c>
      <c r="D144" s="99" t="s">
        <v>785</v>
      </c>
      <c r="E144" s="108">
        <v>8</v>
      </c>
    </row>
    <row r="145" spans="1:5">
      <c r="A145" s="99" t="s">
        <v>69</v>
      </c>
      <c r="B145" s="99" t="s">
        <v>226</v>
      </c>
      <c r="C145" s="99" t="str">
        <f t="shared" si="6"/>
        <v>S074 Clovercrest</v>
      </c>
      <c r="D145" s="99" t="s">
        <v>685</v>
      </c>
      <c r="E145" s="108">
        <v>8</v>
      </c>
    </row>
    <row r="146" spans="1:5">
      <c r="A146" s="99" t="s">
        <v>71</v>
      </c>
      <c r="B146" s="99" t="s">
        <v>228</v>
      </c>
      <c r="C146" s="99" t="str">
        <f t="shared" si="6"/>
        <v>S077 Mt Gambier</v>
      </c>
      <c r="D146" s="99" t="s">
        <v>677</v>
      </c>
      <c r="E146" s="108">
        <v>8</v>
      </c>
    </row>
    <row r="147" spans="1:5">
      <c r="A147" s="99" t="s">
        <v>72</v>
      </c>
      <c r="B147" s="99" t="s">
        <v>229</v>
      </c>
      <c r="C147" s="99" t="str">
        <f t="shared" si="6"/>
        <v>S079 West Burleigh</v>
      </c>
      <c r="D147" s="99" t="s">
        <v>685</v>
      </c>
      <c r="E147" s="108">
        <v>8</v>
      </c>
    </row>
    <row r="148" spans="1:5">
      <c r="A148" s="99" t="s">
        <v>73</v>
      </c>
      <c r="B148" s="99" t="s">
        <v>604</v>
      </c>
      <c r="C148" s="99" t="str">
        <f t="shared" si="6"/>
        <v>S080 Maroochydore</v>
      </c>
      <c r="D148" s="99" t="s">
        <v>789</v>
      </c>
      <c r="E148" s="108">
        <v>8</v>
      </c>
    </row>
    <row r="149" spans="1:5">
      <c r="A149" s="99" t="s">
        <v>74</v>
      </c>
      <c r="B149" s="99" t="s">
        <v>231</v>
      </c>
      <c r="C149" s="99" t="str">
        <f t="shared" si="6"/>
        <v>S081 Tuggerah</v>
      </c>
      <c r="D149" s="99" t="s">
        <v>685</v>
      </c>
      <c r="E149" s="108">
        <v>8</v>
      </c>
    </row>
    <row r="150" spans="1:5">
      <c r="A150" s="99" t="s">
        <v>75</v>
      </c>
      <c r="B150" s="99" t="s">
        <v>232</v>
      </c>
      <c r="C150" s="99" t="str">
        <f t="shared" si="6"/>
        <v>S082 Coffs Harbour</v>
      </c>
      <c r="D150" s="99" t="s">
        <v>677</v>
      </c>
      <c r="E150" s="108">
        <v>8</v>
      </c>
    </row>
    <row r="151" spans="1:5">
      <c r="A151" s="99" t="s">
        <v>76</v>
      </c>
      <c r="B151" s="99" t="s">
        <v>233</v>
      </c>
      <c r="C151" s="99" t="str">
        <f t="shared" si="6"/>
        <v>S084 Bunbury</v>
      </c>
      <c r="D151" s="99" t="s">
        <v>675</v>
      </c>
      <c r="E151" s="108">
        <v>8</v>
      </c>
    </row>
    <row r="152" spans="1:5">
      <c r="A152" s="99" t="s">
        <v>77</v>
      </c>
      <c r="B152" s="99" t="s">
        <v>234</v>
      </c>
      <c r="C152" s="99" t="str">
        <f t="shared" si="6"/>
        <v>S088 Castle Hill</v>
      </c>
      <c r="D152" s="99" t="s">
        <v>788</v>
      </c>
      <c r="E152" s="108">
        <v>8</v>
      </c>
    </row>
    <row r="153" spans="1:5">
      <c r="A153" s="99" t="s">
        <v>692</v>
      </c>
      <c r="B153" s="99" t="s">
        <v>693</v>
      </c>
      <c r="C153" s="99" t="str">
        <f t="shared" si="6"/>
        <v>S090 Whyalla</v>
      </c>
      <c r="D153" s="99" t="s">
        <v>677</v>
      </c>
      <c r="E153" s="108">
        <v>8</v>
      </c>
    </row>
    <row r="154" spans="1:5">
      <c r="A154" s="99" t="s">
        <v>78</v>
      </c>
      <c r="B154" s="99" t="s">
        <v>235</v>
      </c>
      <c r="C154" s="99" t="str">
        <f t="shared" si="6"/>
        <v>S094 Cairns</v>
      </c>
      <c r="D154" s="99" t="s">
        <v>685</v>
      </c>
      <c r="E154" s="108">
        <v>8</v>
      </c>
    </row>
    <row r="155" spans="1:5">
      <c r="A155" s="99" t="s">
        <v>79</v>
      </c>
      <c r="B155" s="99" t="s">
        <v>236</v>
      </c>
      <c r="C155" s="99" t="str">
        <f t="shared" si="6"/>
        <v>S096 Browns Plains</v>
      </c>
      <c r="D155" s="99" t="s">
        <v>685</v>
      </c>
      <c r="E155" s="108">
        <v>8</v>
      </c>
    </row>
    <row r="156" spans="1:5">
      <c r="A156" s="99" t="s">
        <v>80</v>
      </c>
      <c r="B156" s="99" t="s">
        <v>690</v>
      </c>
      <c r="C156" s="99" t="str">
        <f t="shared" si="6"/>
        <v>S098 Burnside</v>
      </c>
      <c r="D156" s="99" t="s">
        <v>685</v>
      </c>
      <c r="E156" s="108">
        <v>8</v>
      </c>
    </row>
    <row r="157" spans="1:5">
      <c r="A157" s="99" t="s">
        <v>81</v>
      </c>
      <c r="B157" s="99" t="s">
        <v>238</v>
      </c>
      <c r="C157" s="99" t="str">
        <f t="shared" si="6"/>
        <v>S099 Port Macquarie</v>
      </c>
      <c r="D157" s="99" t="s">
        <v>677</v>
      </c>
      <c r="E157" s="108">
        <v>8</v>
      </c>
    </row>
    <row r="158" spans="1:5">
      <c r="A158" s="99" t="s">
        <v>82</v>
      </c>
      <c r="B158" s="99" t="s">
        <v>239</v>
      </c>
      <c r="C158" s="99" t="str">
        <f t="shared" si="6"/>
        <v>S100 Nowra</v>
      </c>
      <c r="D158" s="99" t="s">
        <v>677</v>
      </c>
      <c r="E158" s="108">
        <v>8</v>
      </c>
    </row>
    <row r="159" spans="1:5">
      <c r="A159" s="99" t="s">
        <v>83</v>
      </c>
      <c r="B159" s="99" t="s">
        <v>240</v>
      </c>
      <c r="C159" s="99" t="str">
        <f t="shared" si="6"/>
        <v>S102 Burnie</v>
      </c>
      <c r="D159" s="99" t="s">
        <v>677</v>
      </c>
      <c r="E159" s="108">
        <v>8</v>
      </c>
    </row>
    <row r="160" spans="1:5">
      <c r="A160" s="99" t="s">
        <v>56</v>
      </c>
      <c r="B160" s="99" t="s">
        <v>214</v>
      </c>
      <c r="C160" s="99" t="str">
        <f t="shared" si="6"/>
        <v>S104 Mandurah</v>
      </c>
      <c r="D160" s="99" t="s">
        <v>785</v>
      </c>
      <c r="E160" s="108">
        <v>8</v>
      </c>
    </row>
    <row r="161" spans="1:5">
      <c r="A161" s="99" t="s">
        <v>84</v>
      </c>
      <c r="B161" s="99" t="s">
        <v>241</v>
      </c>
      <c r="C161" s="99" t="str">
        <f t="shared" si="6"/>
        <v>S105 Mt Druitt</v>
      </c>
      <c r="D161" s="99" t="s">
        <v>677</v>
      </c>
      <c r="E161" s="108">
        <v>8</v>
      </c>
    </row>
    <row r="162" spans="1:5">
      <c r="A162" s="99" t="s">
        <v>85</v>
      </c>
      <c r="B162" s="99" t="s">
        <v>242</v>
      </c>
      <c r="C162" s="99" t="str">
        <f t="shared" si="6"/>
        <v>S106 Mt Barker</v>
      </c>
      <c r="D162" s="99" t="s">
        <v>677</v>
      </c>
      <c r="E162" s="108">
        <v>8</v>
      </c>
    </row>
    <row r="163" spans="1:5">
      <c r="A163" s="99" t="s">
        <v>86</v>
      </c>
      <c r="B163" s="99" t="s">
        <v>243</v>
      </c>
      <c r="C163" s="99" t="str">
        <f t="shared" si="6"/>
        <v>S107 Geraldton</v>
      </c>
      <c r="D163" s="99" t="s">
        <v>675</v>
      </c>
      <c r="E163" s="108">
        <v>8</v>
      </c>
    </row>
    <row r="164" spans="1:5">
      <c r="A164" s="99" t="s">
        <v>87</v>
      </c>
      <c r="B164" s="99" t="s">
        <v>244</v>
      </c>
      <c r="C164" s="99" t="str">
        <f t="shared" si="6"/>
        <v>S109 Rutherford</v>
      </c>
      <c r="D164" s="99" t="s">
        <v>685</v>
      </c>
      <c r="E164" s="108">
        <v>8</v>
      </c>
    </row>
    <row r="165" spans="1:5">
      <c r="A165" s="99" t="s">
        <v>11</v>
      </c>
      <c r="B165" s="99" t="s">
        <v>171</v>
      </c>
      <c r="C165" s="99" t="str">
        <f t="shared" si="6"/>
        <v>S110 Frankston</v>
      </c>
      <c r="D165" s="99" t="s">
        <v>685</v>
      </c>
      <c r="E165" s="108">
        <v>8</v>
      </c>
    </row>
    <row r="166" spans="1:5">
      <c r="A166" s="99" t="s">
        <v>88</v>
      </c>
      <c r="B166" s="99" t="s">
        <v>245</v>
      </c>
      <c r="C166" s="99" t="str">
        <f t="shared" si="6"/>
        <v>S111 Morayfield</v>
      </c>
      <c r="D166" s="99" t="s">
        <v>685</v>
      </c>
      <c r="E166" s="108">
        <v>8</v>
      </c>
    </row>
    <row r="167" spans="1:5">
      <c r="A167" s="99" t="s">
        <v>89</v>
      </c>
      <c r="B167" s="99" t="s">
        <v>246</v>
      </c>
      <c r="C167" s="99" t="str">
        <f t="shared" si="6"/>
        <v>S112 Warrnambool</v>
      </c>
      <c r="D167" s="99" t="s">
        <v>677</v>
      </c>
      <c r="E167" s="108">
        <v>8</v>
      </c>
    </row>
    <row r="168" spans="1:5">
      <c r="A168" s="99" t="s">
        <v>90</v>
      </c>
      <c r="B168" s="99" t="s">
        <v>247</v>
      </c>
      <c r="C168" s="99" t="str">
        <f t="shared" si="6"/>
        <v>S113 South Morang</v>
      </c>
      <c r="D168" s="99" t="s">
        <v>685</v>
      </c>
      <c r="E168" s="108">
        <v>8</v>
      </c>
    </row>
    <row r="169" spans="1:5">
      <c r="A169" s="99" t="s">
        <v>91</v>
      </c>
      <c r="B169" s="99" t="s">
        <v>248</v>
      </c>
      <c r="C169" s="99" t="str">
        <f t="shared" si="6"/>
        <v>S114 Carnegie</v>
      </c>
      <c r="D169" s="99" t="s">
        <v>685</v>
      </c>
      <c r="E169" s="108">
        <v>8</v>
      </c>
    </row>
    <row r="170" spans="1:5">
      <c r="A170" s="99" t="s">
        <v>92</v>
      </c>
      <c r="B170" s="99" t="s">
        <v>249</v>
      </c>
      <c r="C170" s="99" t="str">
        <f t="shared" si="6"/>
        <v>S115 Albany</v>
      </c>
      <c r="D170" s="99" t="s">
        <v>677</v>
      </c>
      <c r="E170" s="108">
        <v>8</v>
      </c>
    </row>
    <row r="171" spans="1:5">
      <c r="A171" s="99" t="s">
        <v>62</v>
      </c>
      <c r="B171" s="99" t="s">
        <v>220</v>
      </c>
      <c r="C171" s="99" t="str">
        <f t="shared" si="6"/>
        <v>S116 Ipswich</v>
      </c>
      <c r="D171" s="99" t="s">
        <v>685</v>
      </c>
      <c r="E171" s="108">
        <v>8</v>
      </c>
    </row>
    <row r="172" spans="1:5">
      <c r="A172" s="99" t="s">
        <v>93</v>
      </c>
      <c r="B172" s="99" t="s">
        <v>250</v>
      </c>
      <c r="C172" s="99" t="str">
        <f t="shared" si="6"/>
        <v>S117 Noarlunga</v>
      </c>
      <c r="D172" s="99" t="s">
        <v>685</v>
      </c>
      <c r="E172" s="108">
        <v>8</v>
      </c>
    </row>
    <row r="173" spans="1:5">
      <c r="A173" s="99" t="s">
        <v>49</v>
      </c>
      <c r="B173" s="99" t="s">
        <v>208</v>
      </c>
      <c r="C173" s="99" t="str">
        <f t="shared" si="6"/>
        <v>S118 Toowoomba</v>
      </c>
      <c r="D173" s="99" t="s">
        <v>685</v>
      </c>
      <c r="E173" s="108">
        <v>8</v>
      </c>
    </row>
    <row r="174" spans="1:5">
      <c r="A174" s="99" t="s">
        <v>94</v>
      </c>
      <c r="B174" s="99" t="s">
        <v>251</v>
      </c>
      <c r="C174" s="99" t="str">
        <f t="shared" si="6"/>
        <v>S119 Gepps Cross</v>
      </c>
      <c r="D174" s="99" t="s">
        <v>685</v>
      </c>
      <c r="E174" s="108">
        <v>8</v>
      </c>
    </row>
    <row r="175" spans="1:5">
      <c r="A175" s="99" t="s">
        <v>70</v>
      </c>
      <c r="B175" s="99" t="s">
        <v>227</v>
      </c>
      <c r="C175" s="99" t="str">
        <f t="shared" si="6"/>
        <v>S120 Preston</v>
      </c>
      <c r="D175" s="99" t="s">
        <v>685</v>
      </c>
      <c r="E175" s="108">
        <v>8</v>
      </c>
    </row>
    <row r="176" spans="1:5">
      <c r="A176" s="99" t="s">
        <v>95</v>
      </c>
      <c r="B176" s="99" t="s">
        <v>252</v>
      </c>
      <c r="C176" s="99" t="str">
        <f t="shared" si="6"/>
        <v>S121 Miranda</v>
      </c>
      <c r="D176" s="99" t="s">
        <v>685</v>
      </c>
      <c r="E176" s="108">
        <v>8</v>
      </c>
    </row>
    <row r="177" spans="1:5">
      <c r="A177" s="99" t="s">
        <v>96</v>
      </c>
      <c r="B177" s="99" t="s">
        <v>253</v>
      </c>
      <c r="C177" s="99" t="str">
        <f t="shared" si="6"/>
        <v>S122 Cockburn</v>
      </c>
      <c r="D177" s="99" t="s">
        <v>785</v>
      </c>
      <c r="E177" s="108">
        <v>8</v>
      </c>
    </row>
    <row r="178" spans="1:5">
      <c r="A178" s="99" t="s">
        <v>27</v>
      </c>
      <c r="B178" s="99" t="s">
        <v>187</v>
      </c>
      <c r="C178" s="99" t="str">
        <f t="shared" si="6"/>
        <v>S123 Wagga Wagga</v>
      </c>
      <c r="D178" s="99" t="s">
        <v>677</v>
      </c>
      <c r="E178" s="108">
        <v>8</v>
      </c>
    </row>
    <row r="179" spans="1:5">
      <c r="A179" s="99" t="s">
        <v>97</v>
      </c>
      <c r="B179" s="99" t="s">
        <v>254</v>
      </c>
      <c r="C179" s="99" t="str">
        <f t="shared" si="6"/>
        <v>S124 Albert Park</v>
      </c>
      <c r="D179" s="99" t="s">
        <v>685</v>
      </c>
      <c r="E179" s="108">
        <v>8</v>
      </c>
    </row>
    <row r="180" spans="1:5">
      <c r="A180" s="99" t="s">
        <v>98</v>
      </c>
      <c r="B180" s="99" t="s">
        <v>255</v>
      </c>
      <c r="C180" s="99" t="str">
        <f t="shared" si="6"/>
        <v>S125 Wetherill Park</v>
      </c>
      <c r="D180" s="99" t="s">
        <v>685</v>
      </c>
      <c r="E180" s="108">
        <v>8</v>
      </c>
    </row>
    <row r="181" spans="1:5">
      <c r="A181" s="99" t="s">
        <v>99</v>
      </c>
      <c r="B181" s="99" t="s">
        <v>256</v>
      </c>
      <c r="C181" s="99" t="str">
        <f t="shared" si="6"/>
        <v>S127 Ballina</v>
      </c>
      <c r="D181" s="99" t="s">
        <v>677</v>
      </c>
      <c r="E181" s="108">
        <v>8</v>
      </c>
    </row>
    <row r="182" spans="1:5">
      <c r="A182" s="99" t="s">
        <v>100</v>
      </c>
      <c r="B182" s="99" t="s">
        <v>257</v>
      </c>
      <c r="C182" s="99" t="str">
        <f t="shared" si="6"/>
        <v>S129 Springfield</v>
      </c>
      <c r="D182" s="99" t="s">
        <v>685</v>
      </c>
      <c r="E182" s="108">
        <v>8</v>
      </c>
    </row>
    <row r="183" spans="1:5">
      <c r="A183" s="99" t="s">
        <v>101</v>
      </c>
      <c r="B183" s="99" t="s">
        <v>258</v>
      </c>
      <c r="C183" s="99" t="str">
        <f t="shared" si="6"/>
        <v>S131 Capalaba</v>
      </c>
      <c r="D183" s="99" t="s">
        <v>685</v>
      </c>
      <c r="E183" s="108">
        <v>8</v>
      </c>
    </row>
    <row r="184" spans="1:5">
      <c r="A184" s="99" t="s">
        <v>102</v>
      </c>
      <c r="B184" s="99" t="s">
        <v>259</v>
      </c>
      <c r="C184" s="99" t="str">
        <f t="shared" si="6"/>
        <v>S132 Wangaratta</v>
      </c>
      <c r="D184" s="99" t="s">
        <v>677</v>
      </c>
      <c r="E184" s="108">
        <v>8</v>
      </c>
    </row>
    <row r="185" spans="1:5">
      <c r="A185" s="99" t="s">
        <v>21</v>
      </c>
      <c r="B185" s="99" t="s">
        <v>181</v>
      </c>
      <c r="C185" s="99" t="str">
        <f t="shared" si="6"/>
        <v>S135 Cranbourne</v>
      </c>
      <c r="D185" s="99" t="s">
        <v>685</v>
      </c>
      <c r="E185" s="108">
        <v>8</v>
      </c>
    </row>
    <row r="186" spans="1:5">
      <c r="A186" s="99" t="s">
        <v>44</v>
      </c>
      <c r="B186" s="99" t="s">
        <v>203</v>
      </c>
      <c r="C186" s="99" t="str">
        <f t="shared" si="6"/>
        <v>S136 Griffith</v>
      </c>
      <c r="D186" s="99" t="s">
        <v>677</v>
      </c>
      <c r="E186" s="108">
        <v>8</v>
      </c>
    </row>
    <row r="187" spans="1:5">
      <c r="A187" s="99" t="s">
        <v>103</v>
      </c>
      <c r="B187" s="99" t="s">
        <v>679</v>
      </c>
      <c r="C187" s="99" t="str">
        <f t="shared" si="6"/>
        <v>S137 ORANGE</v>
      </c>
      <c r="D187" s="99" t="s">
        <v>677</v>
      </c>
      <c r="E187" s="108">
        <v>8</v>
      </c>
    </row>
    <row r="188" spans="1:5">
      <c r="A188" s="99" t="s">
        <v>104</v>
      </c>
      <c r="B188" s="99" t="s">
        <v>260</v>
      </c>
      <c r="C188" s="99" t="str">
        <f t="shared" si="6"/>
        <v>S138 Armidale</v>
      </c>
      <c r="D188" s="99" t="s">
        <v>677</v>
      </c>
      <c r="E188" s="108">
        <v>8</v>
      </c>
    </row>
    <row r="189" spans="1:5">
      <c r="A189" s="99" t="s">
        <v>105</v>
      </c>
      <c r="B189" s="99" t="s">
        <v>261</v>
      </c>
      <c r="C189" s="99" t="str">
        <f t="shared" si="6"/>
        <v>S139 HERVEY BAY</v>
      </c>
      <c r="D189" s="99" t="s">
        <v>685</v>
      </c>
      <c r="E189" s="108">
        <v>8</v>
      </c>
    </row>
    <row r="190" spans="1:5">
      <c r="A190" s="99" t="s">
        <v>106</v>
      </c>
      <c r="B190" s="99" t="s">
        <v>262</v>
      </c>
      <c r="C190" s="99" t="str">
        <f t="shared" si="6"/>
        <v>S145 Roxburgh Park</v>
      </c>
      <c r="D190" s="99" t="s">
        <v>685</v>
      </c>
      <c r="E190" s="108">
        <v>8</v>
      </c>
    </row>
    <row r="191" spans="1:5">
      <c r="A191" s="99" t="s">
        <v>107</v>
      </c>
      <c r="B191" s="99" t="s">
        <v>263</v>
      </c>
      <c r="C191" s="99" t="str">
        <f t="shared" si="6"/>
        <v>S146 Busselton</v>
      </c>
      <c r="D191" s="99" t="s">
        <v>675</v>
      </c>
      <c r="E191" s="108">
        <v>8</v>
      </c>
    </row>
    <row r="192" spans="1:5">
      <c r="A192" s="99" t="s">
        <v>445</v>
      </c>
      <c r="B192" s="99" t="s">
        <v>446</v>
      </c>
      <c r="C192" s="99" t="str">
        <f t="shared" si="6"/>
        <v>S147 Gladstone</v>
      </c>
      <c r="D192" s="99" t="s">
        <v>677</v>
      </c>
      <c r="E192" s="108">
        <v>8</v>
      </c>
    </row>
    <row r="193" spans="1:5">
      <c r="A193" s="99" t="s">
        <v>108</v>
      </c>
      <c r="B193" s="99" t="s">
        <v>264</v>
      </c>
      <c r="C193" s="99" t="str">
        <f t="shared" si="6"/>
        <v>S148 Grafton</v>
      </c>
      <c r="D193" s="99" t="s">
        <v>677</v>
      </c>
      <c r="E193" s="108">
        <v>8</v>
      </c>
    </row>
    <row r="194" spans="1:5">
      <c r="A194" s="99" t="s">
        <v>455</v>
      </c>
      <c r="B194" s="99" t="s">
        <v>499</v>
      </c>
      <c r="C194" s="99" t="str">
        <f t="shared" si="6"/>
        <v>S149 North Lakes</v>
      </c>
      <c r="D194" s="99" t="s">
        <v>685</v>
      </c>
      <c r="E194" s="108">
        <v>8</v>
      </c>
    </row>
    <row r="195" spans="1:5">
      <c r="A195" s="99" t="s">
        <v>527</v>
      </c>
      <c r="B195" s="99" t="s">
        <v>528</v>
      </c>
      <c r="C195" s="99" t="str">
        <f t="shared" si="6"/>
        <v>S152 Hornsby</v>
      </c>
      <c r="D195" s="99" t="s">
        <v>685</v>
      </c>
      <c r="E195" s="108">
        <v>8</v>
      </c>
    </row>
    <row r="196" spans="1:5">
      <c r="A196" s="99" t="s">
        <v>529</v>
      </c>
      <c r="B196" s="99" t="s">
        <v>515</v>
      </c>
      <c r="C196" s="99" t="str">
        <f t="shared" ref="C196:C210" si="7">CONCATENATE(A196," ",B196)</f>
        <v>S153 Gungahlin</v>
      </c>
      <c r="D196" s="99" t="s">
        <v>677</v>
      </c>
      <c r="E196" s="108">
        <v>8</v>
      </c>
    </row>
    <row r="197" spans="1:5">
      <c r="A197" s="99" t="s">
        <v>501</v>
      </c>
      <c r="B197" s="99" t="s">
        <v>502</v>
      </c>
      <c r="C197" s="99" t="str">
        <f t="shared" si="7"/>
        <v>S154 Upper Coomera</v>
      </c>
      <c r="D197" s="99" t="s">
        <v>685</v>
      </c>
      <c r="E197" s="108">
        <v>8</v>
      </c>
    </row>
    <row r="198" spans="1:5">
      <c r="A198" s="99" t="s">
        <v>530</v>
      </c>
      <c r="B198" s="99" t="s">
        <v>531</v>
      </c>
      <c r="C198" s="99" t="str">
        <f t="shared" si="7"/>
        <v>S159 The Glen</v>
      </c>
      <c r="D198" s="99" t="s">
        <v>685</v>
      </c>
      <c r="E198" s="108">
        <v>8</v>
      </c>
    </row>
    <row r="199" spans="1:5">
      <c r="A199" s="99" t="s">
        <v>532</v>
      </c>
      <c r="B199" s="99" t="s">
        <v>533</v>
      </c>
      <c r="C199" s="99" t="str">
        <f t="shared" si="7"/>
        <v>S161 Carindale</v>
      </c>
      <c r="D199" s="99" t="s">
        <v>685</v>
      </c>
      <c r="E199" s="108">
        <v>8</v>
      </c>
    </row>
    <row r="200" spans="1:5">
      <c r="A200" s="99" t="s">
        <v>534</v>
      </c>
      <c r="B200" s="99" t="s">
        <v>535</v>
      </c>
      <c r="C200" s="99" t="str">
        <f t="shared" si="7"/>
        <v>S162 Butler</v>
      </c>
      <c r="D200" s="99" t="s">
        <v>785</v>
      </c>
      <c r="E200" s="108">
        <v>8</v>
      </c>
    </row>
    <row r="201" spans="1:5">
      <c r="A201" s="99" t="s">
        <v>594</v>
      </c>
      <c r="B201" s="99" t="s">
        <v>595</v>
      </c>
      <c r="C201" s="99" t="str">
        <f t="shared" si="7"/>
        <v>S163 Ellenbrook</v>
      </c>
      <c r="D201" s="99" t="s">
        <v>785</v>
      </c>
      <c r="E201" s="108">
        <v>8</v>
      </c>
    </row>
    <row r="202" spans="1:5">
      <c r="A202" s="99" t="s">
        <v>596</v>
      </c>
      <c r="B202" s="99" t="s">
        <v>597</v>
      </c>
      <c r="C202" s="99" t="str">
        <f t="shared" si="7"/>
        <v>S165 Mittagong</v>
      </c>
      <c r="D202" s="99" t="s">
        <v>677</v>
      </c>
      <c r="E202" s="108">
        <v>8</v>
      </c>
    </row>
    <row r="203" spans="1:5">
      <c r="A203" s="99" t="s">
        <v>598</v>
      </c>
      <c r="B203" s="99" t="s">
        <v>691</v>
      </c>
      <c r="C203" s="99" t="str">
        <f t="shared" si="7"/>
        <v>S166 BENNETTS GREEN</v>
      </c>
      <c r="D203" s="99" t="s">
        <v>685</v>
      </c>
      <c r="E203" s="108">
        <v>8</v>
      </c>
    </row>
    <row r="204" spans="1:5">
      <c r="A204" s="99" t="s">
        <v>608</v>
      </c>
      <c r="B204" s="99" t="s">
        <v>605</v>
      </c>
      <c r="C204" s="99" t="str">
        <f t="shared" si="7"/>
        <v>S168 Windsor</v>
      </c>
      <c r="D204" s="99" t="s">
        <v>685</v>
      </c>
      <c r="E204" s="108">
        <v>8</v>
      </c>
    </row>
    <row r="205" spans="1:5">
      <c r="A205" s="99" t="s">
        <v>816</v>
      </c>
      <c r="B205" s="99" t="s">
        <v>817</v>
      </c>
      <c r="C205" s="99" t="str">
        <f t="shared" si="7"/>
        <v>S171 ALBION PARK</v>
      </c>
      <c r="D205" s="99" t="s">
        <v>685</v>
      </c>
      <c r="E205" s="108">
        <v>8</v>
      </c>
    </row>
    <row r="206" spans="1:5">
      <c r="A206" s="99" t="s">
        <v>600</v>
      </c>
      <c r="B206" s="99" t="s">
        <v>681</v>
      </c>
      <c r="C206" s="99" t="str">
        <f t="shared" si="7"/>
        <v>S174 ALEXANDRIA</v>
      </c>
      <c r="D206" s="99" t="s">
        <v>685</v>
      </c>
      <c r="E206" s="108">
        <v>8</v>
      </c>
    </row>
    <row r="207" spans="1:5">
      <c r="A207" s="99" t="s">
        <v>601</v>
      </c>
      <c r="B207" s="99" t="s">
        <v>602</v>
      </c>
      <c r="C207" s="99" t="str">
        <f t="shared" si="7"/>
        <v>S175 Robina</v>
      </c>
      <c r="D207" s="99" t="s">
        <v>685</v>
      </c>
      <c r="E207" s="108">
        <v>8</v>
      </c>
    </row>
    <row r="208" spans="1:5">
      <c r="A208" s="99" t="s">
        <v>603</v>
      </c>
      <c r="B208" s="99" t="s">
        <v>683</v>
      </c>
      <c r="C208" s="99" t="str">
        <f t="shared" si="7"/>
        <v>S176 Logan HYPERDOME</v>
      </c>
      <c r="D208" s="99" t="s">
        <v>685</v>
      </c>
      <c r="E208" s="108">
        <v>8</v>
      </c>
    </row>
    <row r="209" spans="1:5">
      <c r="A209" s="99" t="s">
        <v>609</v>
      </c>
      <c r="B209" s="99" t="s">
        <v>610</v>
      </c>
      <c r="C209" s="99" t="str">
        <f t="shared" si="7"/>
        <v>S188 Belmont</v>
      </c>
      <c r="D209" s="99" t="s">
        <v>785</v>
      </c>
      <c r="E209" s="108">
        <v>8</v>
      </c>
    </row>
    <row r="210" spans="1:5">
      <c r="A210" s="99" t="s">
        <v>606</v>
      </c>
      <c r="B210" s="99" t="s">
        <v>607</v>
      </c>
      <c r="C210" s="99" t="str">
        <f t="shared" si="7"/>
        <v>S201 Taylors Beach</v>
      </c>
      <c r="D210" s="99" t="s">
        <v>677</v>
      </c>
      <c r="E210" s="108">
        <v>8</v>
      </c>
    </row>
    <row r="211" spans="1:5">
      <c r="A211" s="99"/>
      <c r="B211" s="99"/>
      <c r="C211" s="34" t="s">
        <v>930</v>
      </c>
      <c r="D211" s="34" t="s">
        <v>842</v>
      </c>
      <c r="E211" s="109">
        <v>6</v>
      </c>
    </row>
    <row r="212" spans="1:5">
      <c r="A212" s="99"/>
      <c r="B212" s="99"/>
      <c r="C212" s="34" t="s">
        <v>943</v>
      </c>
      <c r="D212" s="34" t="s">
        <v>842</v>
      </c>
      <c r="E212" s="109">
        <v>6</v>
      </c>
    </row>
    <row r="213" spans="1:5">
      <c r="A213" s="99"/>
      <c r="B213" s="99"/>
      <c r="C213" s="34" t="s">
        <v>952</v>
      </c>
      <c r="D213" s="34" t="s">
        <v>842</v>
      </c>
      <c r="E213" s="109">
        <v>6</v>
      </c>
    </row>
    <row r="214" spans="1:5">
      <c r="A214" s="99"/>
      <c r="B214" s="99"/>
      <c r="C214" s="34" t="s">
        <v>953</v>
      </c>
      <c r="D214" s="34" t="s">
        <v>842</v>
      </c>
      <c r="E214" s="109">
        <v>6</v>
      </c>
    </row>
    <row r="215" spans="1:5">
      <c r="A215" s="99"/>
      <c r="B215" s="99"/>
      <c r="C215" s="34" t="s">
        <v>954</v>
      </c>
      <c r="D215" s="34" t="s">
        <v>842</v>
      </c>
      <c r="E215" s="109">
        <v>6</v>
      </c>
    </row>
    <row r="216" spans="1:5">
      <c r="A216" s="99"/>
      <c r="B216" s="99"/>
      <c r="C216" s="34" t="s">
        <v>957</v>
      </c>
      <c r="D216" s="34" t="s">
        <v>842</v>
      </c>
      <c r="E216" s="109">
        <v>6</v>
      </c>
    </row>
    <row r="217" spans="1:5">
      <c r="A217" s="99"/>
      <c r="B217" s="99"/>
      <c r="C217" s="34" t="s">
        <v>944</v>
      </c>
      <c r="D217" s="34" t="s">
        <v>842</v>
      </c>
      <c r="E217" s="109">
        <v>6</v>
      </c>
    </row>
    <row r="218" spans="1:5">
      <c r="A218" s="99"/>
      <c r="B218" s="99"/>
      <c r="C218" s="34" t="s">
        <v>946</v>
      </c>
      <c r="D218" s="34" t="s">
        <v>842</v>
      </c>
      <c r="E218" s="109">
        <v>6</v>
      </c>
    </row>
    <row r="219" spans="1:5">
      <c r="A219" s="99"/>
      <c r="B219" s="99"/>
      <c r="C219" s="34" t="s">
        <v>959</v>
      </c>
      <c r="D219" s="34" t="s">
        <v>842</v>
      </c>
      <c r="E219" s="109">
        <v>6</v>
      </c>
    </row>
    <row r="220" spans="1:5">
      <c r="A220" s="99"/>
      <c r="B220" s="99"/>
      <c r="C220" s="34" t="s">
        <v>960</v>
      </c>
      <c r="D220" s="34" t="s">
        <v>842</v>
      </c>
      <c r="E220" s="109">
        <v>6</v>
      </c>
    </row>
    <row r="221" spans="1:5">
      <c r="A221" s="99"/>
      <c r="B221" s="99"/>
      <c r="C221" s="34" t="s">
        <v>963</v>
      </c>
      <c r="D221" s="34" t="s">
        <v>842</v>
      </c>
      <c r="E221" s="109">
        <v>6</v>
      </c>
    </row>
    <row r="222" spans="1:5">
      <c r="A222" s="99"/>
      <c r="B222" s="99"/>
      <c r="C222" s="34" t="s">
        <v>955</v>
      </c>
      <c r="D222" s="34" t="s">
        <v>842</v>
      </c>
      <c r="E222" s="109">
        <v>6</v>
      </c>
    </row>
    <row r="223" spans="1:5">
      <c r="A223" s="99"/>
      <c r="B223" s="99"/>
      <c r="C223" s="34" t="s">
        <v>965</v>
      </c>
      <c r="D223" s="34" t="s">
        <v>842</v>
      </c>
      <c r="E223" s="109">
        <v>6</v>
      </c>
    </row>
    <row r="224" spans="1:5">
      <c r="A224" s="99"/>
      <c r="B224" s="99"/>
      <c r="C224" s="34" t="s">
        <v>956</v>
      </c>
      <c r="D224" s="34" t="s">
        <v>842</v>
      </c>
      <c r="E224" s="109">
        <v>8</v>
      </c>
    </row>
    <row r="225" spans="1:5">
      <c r="A225" s="99"/>
      <c r="B225" s="99"/>
      <c r="C225" s="34" t="s">
        <v>958</v>
      </c>
      <c r="D225" s="34" t="s">
        <v>842</v>
      </c>
      <c r="E225" s="109">
        <v>8</v>
      </c>
    </row>
    <row r="226" spans="1:5">
      <c r="A226" s="99"/>
      <c r="B226" s="99"/>
      <c r="C226" s="34" t="s">
        <v>926</v>
      </c>
      <c r="D226" s="34" t="s">
        <v>842</v>
      </c>
      <c r="E226" s="109">
        <v>6</v>
      </c>
    </row>
    <row r="227" spans="1:5">
      <c r="A227" s="99"/>
      <c r="B227" s="99"/>
      <c r="C227" s="34" t="s">
        <v>940</v>
      </c>
      <c r="D227" s="34" t="s">
        <v>842</v>
      </c>
      <c r="E227" s="109">
        <v>6</v>
      </c>
    </row>
    <row r="228" spans="1:5">
      <c r="A228" s="99"/>
      <c r="B228" s="99"/>
      <c r="C228" s="34" t="s">
        <v>969</v>
      </c>
      <c r="D228" s="34" t="s">
        <v>842</v>
      </c>
      <c r="E228" s="109">
        <v>6</v>
      </c>
    </row>
    <row r="229" spans="1:5">
      <c r="A229" s="99"/>
      <c r="B229" s="99"/>
      <c r="C229" s="34" t="s">
        <v>971</v>
      </c>
      <c r="D229" s="34" t="s">
        <v>843</v>
      </c>
      <c r="E229" s="109">
        <v>6</v>
      </c>
    </row>
    <row r="230" spans="1:5">
      <c r="A230" s="99"/>
      <c r="B230" s="99"/>
      <c r="C230" s="34" t="s">
        <v>972</v>
      </c>
      <c r="D230" s="34" t="s">
        <v>843</v>
      </c>
      <c r="E230" s="109">
        <v>6</v>
      </c>
    </row>
    <row r="231" spans="1:5">
      <c r="A231" s="99"/>
      <c r="B231" s="99"/>
      <c r="C231" s="34" t="s">
        <v>973</v>
      </c>
      <c r="D231" s="34" t="s">
        <v>843</v>
      </c>
      <c r="E231" s="109">
        <v>6</v>
      </c>
    </row>
    <row r="232" spans="1:5">
      <c r="A232" s="99"/>
      <c r="B232" s="99"/>
      <c r="C232" s="34" t="s">
        <v>975</v>
      </c>
      <c r="D232" s="34" t="s">
        <v>843</v>
      </c>
      <c r="E232" s="109">
        <v>6</v>
      </c>
    </row>
    <row r="233" spans="1:5">
      <c r="A233" s="99"/>
      <c r="B233" s="99"/>
      <c r="C233" s="34" t="s">
        <v>977</v>
      </c>
      <c r="D233" s="34" t="s">
        <v>843</v>
      </c>
      <c r="E233" s="109">
        <v>6</v>
      </c>
    </row>
    <row r="234" spans="1:5">
      <c r="A234" s="99"/>
      <c r="B234" s="99"/>
      <c r="C234" s="34" t="s">
        <v>945</v>
      </c>
      <c r="D234" s="34" t="s">
        <v>843</v>
      </c>
      <c r="E234" s="109">
        <v>6</v>
      </c>
    </row>
    <row r="235" spans="1:5">
      <c r="A235" s="99"/>
      <c r="B235" s="99"/>
      <c r="C235" s="34" t="s">
        <v>929</v>
      </c>
      <c r="D235" s="34" t="s">
        <v>843</v>
      </c>
      <c r="E235" s="109">
        <v>6</v>
      </c>
    </row>
    <row r="236" spans="1:5">
      <c r="A236" s="99"/>
      <c r="B236" s="99"/>
      <c r="C236" s="34" t="s">
        <v>933</v>
      </c>
      <c r="D236" s="34" t="s">
        <v>843</v>
      </c>
      <c r="E236" s="109">
        <v>6</v>
      </c>
    </row>
    <row r="237" spans="1:5">
      <c r="A237" s="99"/>
      <c r="B237" s="99"/>
      <c r="C237" s="34" t="s">
        <v>980</v>
      </c>
      <c r="D237" s="34" t="s">
        <v>843</v>
      </c>
      <c r="E237" s="109">
        <v>8</v>
      </c>
    </row>
    <row r="238" spans="1:5">
      <c r="A238" s="99"/>
      <c r="B238" s="99"/>
      <c r="C238" s="34" t="s">
        <v>978</v>
      </c>
      <c r="D238" s="34" t="s">
        <v>843</v>
      </c>
      <c r="E238" s="109">
        <v>6</v>
      </c>
    </row>
    <row r="239" spans="1:5">
      <c r="A239" s="99"/>
      <c r="B239" s="99"/>
      <c r="C239" s="34" t="s">
        <v>974</v>
      </c>
      <c r="D239" s="34" t="s">
        <v>843</v>
      </c>
      <c r="E239" s="109">
        <v>6</v>
      </c>
    </row>
    <row r="240" spans="1:5">
      <c r="A240" s="99"/>
      <c r="B240" s="99"/>
      <c r="C240" s="34" t="s">
        <v>970</v>
      </c>
      <c r="D240" s="34" t="s">
        <v>843</v>
      </c>
      <c r="E240" s="109">
        <v>6</v>
      </c>
    </row>
    <row r="241" spans="1:5">
      <c r="A241" s="99"/>
      <c r="B241" s="99"/>
      <c r="C241" s="34" t="s">
        <v>922</v>
      </c>
      <c r="D241" s="34" t="s">
        <v>843</v>
      </c>
      <c r="E241" s="109">
        <v>6</v>
      </c>
    </row>
    <row r="242" spans="1:5">
      <c r="A242" s="99"/>
      <c r="B242" s="99"/>
      <c r="C242" s="34" t="s">
        <v>962</v>
      </c>
      <c r="D242" s="34" t="s">
        <v>843</v>
      </c>
      <c r="E242" s="109">
        <v>6</v>
      </c>
    </row>
    <row r="243" spans="1:5">
      <c r="A243" s="99"/>
      <c r="B243" s="99"/>
      <c r="C243" s="34" t="s">
        <v>949</v>
      </c>
      <c r="D243" s="34" t="s">
        <v>843</v>
      </c>
      <c r="E243" s="109">
        <v>6</v>
      </c>
    </row>
    <row r="244" spans="1:5">
      <c r="A244" s="99"/>
      <c r="B244" s="99"/>
      <c r="C244" s="34" t="s">
        <v>928</v>
      </c>
      <c r="D244" s="34" t="s">
        <v>843</v>
      </c>
      <c r="E244" s="109">
        <v>6</v>
      </c>
    </row>
    <row r="245" spans="1:5">
      <c r="A245" s="99"/>
      <c r="B245" s="99"/>
      <c r="C245" s="34" t="s">
        <v>964</v>
      </c>
      <c r="D245" s="34" t="s">
        <v>843</v>
      </c>
      <c r="E245" s="109">
        <v>6</v>
      </c>
    </row>
    <row r="246" spans="1:5">
      <c r="A246" s="99"/>
      <c r="B246" s="99"/>
      <c r="C246" s="34" t="s">
        <v>968</v>
      </c>
      <c r="D246" s="34" t="s">
        <v>843</v>
      </c>
      <c r="E246" s="109">
        <v>6</v>
      </c>
    </row>
    <row r="247" spans="1:5">
      <c r="A247" s="99"/>
      <c r="B247" s="99"/>
      <c r="C247" s="34" t="s">
        <v>979</v>
      </c>
      <c r="D247" s="34" t="s">
        <v>843</v>
      </c>
      <c r="E247" s="109">
        <v>6</v>
      </c>
    </row>
    <row r="248" spans="1:5">
      <c r="A248" s="99"/>
      <c r="B248" s="99"/>
      <c r="C248" s="34" t="s">
        <v>923</v>
      </c>
      <c r="D248" s="34" t="s">
        <v>843</v>
      </c>
      <c r="E248" s="109">
        <v>8</v>
      </c>
    </row>
    <row r="249" spans="1:5">
      <c r="A249" s="99"/>
      <c r="B249" s="99"/>
      <c r="C249" s="34" t="s">
        <v>924</v>
      </c>
      <c r="D249" s="34" t="s">
        <v>843</v>
      </c>
      <c r="E249" s="109">
        <v>8</v>
      </c>
    </row>
    <row r="250" spans="1:5">
      <c r="A250" s="99"/>
      <c r="B250" s="99"/>
      <c r="C250" s="34" t="s">
        <v>925</v>
      </c>
      <c r="D250" s="34" t="s">
        <v>843</v>
      </c>
      <c r="E250" s="109">
        <v>8</v>
      </c>
    </row>
    <row r="251" spans="1:5">
      <c r="A251" s="99"/>
      <c r="B251" s="99"/>
      <c r="C251" s="34" t="s">
        <v>935</v>
      </c>
      <c r="D251" s="34" t="s">
        <v>843</v>
      </c>
      <c r="E251" s="109">
        <v>8</v>
      </c>
    </row>
    <row r="252" spans="1:5">
      <c r="A252" s="99"/>
      <c r="B252" s="99"/>
      <c r="C252" s="34" t="s">
        <v>966</v>
      </c>
      <c r="D252" s="34" t="s">
        <v>843</v>
      </c>
      <c r="E252" s="109">
        <v>8</v>
      </c>
    </row>
    <row r="253" spans="1:5">
      <c r="A253" s="99"/>
      <c r="B253" s="99"/>
      <c r="C253" s="34" t="s">
        <v>976</v>
      </c>
      <c r="D253" s="34" t="s">
        <v>843</v>
      </c>
      <c r="E253" s="109">
        <v>8</v>
      </c>
    </row>
    <row r="254" spans="1:5">
      <c r="A254" s="99"/>
      <c r="B254" s="99"/>
      <c r="C254" s="34" t="s">
        <v>961</v>
      </c>
      <c r="D254" s="34" t="s">
        <v>843</v>
      </c>
      <c r="E254" s="109">
        <v>8</v>
      </c>
    </row>
    <row r="255" spans="1:5">
      <c r="A255" s="99"/>
      <c r="B255" s="99"/>
      <c r="C255" s="34" t="s">
        <v>950</v>
      </c>
      <c r="D255" s="34" t="s">
        <v>844</v>
      </c>
      <c r="E255" s="109">
        <v>6</v>
      </c>
    </row>
    <row r="256" spans="1:5">
      <c r="A256" s="99"/>
      <c r="B256" s="99"/>
      <c r="C256" s="34" t="s">
        <v>948</v>
      </c>
      <c r="D256" s="34" t="s">
        <v>844</v>
      </c>
      <c r="E256" s="109">
        <v>6</v>
      </c>
    </row>
    <row r="257" spans="1:9">
      <c r="A257" s="99"/>
      <c r="B257" s="99"/>
      <c r="C257" s="34" t="s">
        <v>931</v>
      </c>
      <c r="D257" s="34" t="s">
        <v>844</v>
      </c>
      <c r="E257" s="109">
        <v>6</v>
      </c>
      <c r="H257"/>
      <c r="I257"/>
    </row>
    <row r="258" spans="1:9">
      <c r="A258" s="99"/>
      <c r="B258" s="99"/>
      <c r="C258" s="34" t="s">
        <v>932</v>
      </c>
      <c r="D258" s="34" t="s">
        <v>844</v>
      </c>
      <c r="E258" s="109">
        <v>6</v>
      </c>
      <c r="I258"/>
    </row>
    <row r="259" spans="1:9">
      <c r="A259" s="99"/>
      <c r="B259" s="99"/>
      <c r="C259" s="34" t="s">
        <v>942</v>
      </c>
      <c r="D259" s="34" t="s">
        <v>844</v>
      </c>
      <c r="E259" s="109">
        <v>6</v>
      </c>
      <c r="I259"/>
    </row>
    <row r="260" spans="1:9">
      <c r="A260" s="99"/>
      <c r="B260" s="99"/>
      <c r="C260" s="34" t="s">
        <v>951</v>
      </c>
      <c r="D260" s="34" t="s">
        <v>844</v>
      </c>
      <c r="E260" s="109">
        <v>6</v>
      </c>
      <c r="I260"/>
    </row>
    <row r="261" spans="1:9">
      <c r="A261" s="99"/>
      <c r="B261" s="99"/>
      <c r="C261" s="34" t="s">
        <v>967</v>
      </c>
      <c r="D261" s="34" t="s">
        <v>844</v>
      </c>
      <c r="E261" s="109">
        <v>6</v>
      </c>
      <c r="I261"/>
    </row>
    <row r="262" spans="1:9">
      <c r="A262" s="99"/>
      <c r="B262" s="99"/>
      <c r="C262" s="34" t="s">
        <v>934</v>
      </c>
      <c r="D262" s="34" t="s">
        <v>844</v>
      </c>
      <c r="E262" s="109">
        <v>8</v>
      </c>
      <c r="I262"/>
    </row>
    <row r="263" spans="1:9">
      <c r="A263" s="99"/>
      <c r="B263" s="99"/>
      <c r="C263" s="34" t="s">
        <v>936</v>
      </c>
      <c r="D263" s="34" t="s">
        <v>844</v>
      </c>
      <c r="E263" s="109">
        <v>8</v>
      </c>
      <c r="I263"/>
    </row>
    <row r="264" spans="1:9">
      <c r="A264" s="99"/>
      <c r="B264" s="99"/>
      <c r="C264" s="34" t="s">
        <v>937</v>
      </c>
      <c r="D264" s="34" t="s">
        <v>844</v>
      </c>
      <c r="E264" s="109">
        <v>8</v>
      </c>
      <c r="I264"/>
    </row>
    <row r="265" spans="1:9">
      <c r="A265" s="99"/>
      <c r="B265" s="99"/>
      <c r="C265" s="34" t="s">
        <v>939</v>
      </c>
      <c r="D265" s="34" t="s">
        <v>844</v>
      </c>
      <c r="E265" s="109">
        <v>8</v>
      </c>
      <c r="I265"/>
    </row>
    <row r="266" spans="1:9">
      <c r="A266" s="99"/>
      <c r="B266" s="99"/>
      <c r="C266" s="34" t="s">
        <v>941</v>
      </c>
      <c r="D266" s="34" t="s">
        <v>844</v>
      </c>
      <c r="E266" s="109">
        <v>8</v>
      </c>
      <c r="I266"/>
    </row>
    <row r="267" spans="1:9">
      <c r="A267" s="99"/>
      <c r="B267" s="99"/>
      <c r="C267" s="34" t="s">
        <v>989</v>
      </c>
      <c r="D267" s="34" t="s">
        <v>844</v>
      </c>
      <c r="E267" s="109">
        <v>8</v>
      </c>
      <c r="F267" s="82"/>
      <c r="G267" s="82"/>
      <c r="I267"/>
    </row>
    <row r="268" spans="1:9">
      <c r="A268" s="99"/>
      <c r="B268" s="99"/>
      <c r="C268" s="34" t="s">
        <v>927</v>
      </c>
      <c r="D268" s="34" t="s">
        <v>845</v>
      </c>
      <c r="E268" s="109">
        <v>8</v>
      </c>
      <c r="G268" s="82"/>
      <c r="I268"/>
    </row>
    <row r="269" spans="1:9">
      <c r="A269" s="99"/>
      <c r="B269" s="99"/>
      <c r="C269" s="34" t="s">
        <v>938</v>
      </c>
      <c r="D269" s="34" t="s">
        <v>845</v>
      </c>
      <c r="E269" s="109">
        <v>8</v>
      </c>
      <c r="G269" s="82"/>
      <c r="I269"/>
    </row>
    <row r="270" spans="1:9">
      <c r="A270" s="99"/>
      <c r="B270" s="99"/>
      <c r="C270" s="34" t="s">
        <v>947</v>
      </c>
      <c r="D270" s="34" t="s">
        <v>845</v>
      </c>
      <c r="E270" s="109">
        <v>8</v>
      </c>
      <c r="G270" s="82"/>
      <c r="I270"/>
    </row>
    <row r="271" spans="1:9">
      <c r="G271" s="82"/>
      <c r="I271"/>
    </row>
    <row r="272" spans="1:9">
      <c r="G272" s="82"/>
      <c r="I272"/>
    </row>
    <row r="273" spans="7:9">
      <c r="G273" s="82"/>
      <c r="I273"/>
    </row>
    <row r="274" spans="7:9">
      <c r="G274" s="82"/>
      <c r="I274"/>
    </row>
    <row r="275" spans="7:9">
      <c r="G275" s="82"/>
      <c r="I275"/>
    </row>
    <row r="276" spans="7:9">
      <c r="G276" s="82"/>
      <c r="I276"/>
    </row>
    <row r="277" spans="7:9">
      <c r="G277" s="82"/>
      <c r="I277"/>
    </row>
    <row r="278" spans="7:9">
      <c r="G278" s="82"/>
      <c r="I278"/>
    </row>
    <row r="279" spans="7:9">
      <c r="G279" s="82"/>
      <c r="I279"/>
    </row>
    <row r="280" spans="7:9">
      <c r="G280" s="82"/>
      <c r="I280"/>
    </row>
    <row r="281" spans="7:9">
      <c r="G281" s="82"/>
      <c r="I281"/>
    </row>
    <row r="282" spans="7:9">
      <c r="G282" s="82"/>
      <c r="I282"/>
    </row>
    <row r="283" spans="7:9">
      <c r="G283" s="82"/>
      <c r="I283"/>
    </row>
    <row r="284" spans="7:9">
      <c r="G284" s="82"/>
      <c r="I284"/>
    </row>
    <row r="285" spans="7:9">
      <c r="G285" s="82"/>
      <c r="I285"/>
    </row>
    <row r="286" spans="7:9">
      <c r="G286" s="82"/>
      <c r="I286"/>
    </row>
    <row r="287" spans="7:9">
      <c r="G287" s="82"/>
      <c r="I287"/>
    </row>
    <row r="288" spans="7:9">
      <c r="G288" s="82"/>
      <c r="I288"/>
    </row>
    <row r="289" spans="7:9">
      <c r="G289" s="82"/>
      <c r="I289"/>
    </row>
    <row r="290" spans="7:9">
      <c r="G290" s="82"/>
      <c r="I290"/>
    </row>
    <row r="291" spans="7:9">
      <c r="G291" s="82"/>
      <c r="I291"/>
    </row>
    <row r="292" spans="7:9">
      <c r="G292" s="82"/>
      <c r="I292"/>
    </row>
    <row r="293" spans="7:9">
      <c r="G293" s="82"/>
      <c r="I293"/>
    </row>
    <row r="294" spans="7:9">
      <c r="G294" s="82"/>
      <c r="I294"/>
    </row>
    <row r="295" spans="7:9">
      <c r="G295" s="82"/>
      <c r="I295"/>
    </row>
    <row r="296" spans="7:9">
      <c r="G296" s="82"/>
      <c r="I296"/>
    </row>
    <row r="297" spans="7:9">
      <c r="G297" s="82"/>
      <c r="I297"/>
    </row>
    <row r="298" spans="7:9">
      <c r="G298" s="82"/>
      <c r="I298"/>
    </row>
    <row r="299" spans="7:9">
      <c r="G299" s="82"/>
      <c r="I299"/>
    </row>
    <row r="300" spans="7:9">
      <c r="G300" s="82"/>
      <c r="I300"/>
    </row>
    <row r="301" spans="7:9">
      <c r="G301" s="82"/>
      <c r="I301"/>
    </row>
    <row r="302" spans="7:9">
      <c r="G302" s="82"/>
      <c r="I302"/>
    </row>
    <row r="303" spans="7:9">
      <c r="G303" s="82"/>
      <c r="I303"/>
    </row>
    <row r="304" spans="7:9">
      <c r="G304" s="82"/>
      <c r="I304"/>
    </row>
    <row r="305" spans="7:9">
      <c r="G305" s="82"/>
      <c r="I305"/>
    </row>
    <row r="306" spans="7:9">
      <c r="G306" s="82"/>
      <c r="I306"/>
    </row>
    <row r="307" spans="7:9">
      <c r="G307" s="82"/>
      <c r="I307"/>
    </row>
    <row r="308" spans="7:9">
      <c r="G308" s="82"/>
      <c r="I308"/>
    </row>
    <row r="309" spans="7:9">
      <c r="G309" s="82"/>
      <c r="I309"/>
    </row>
    <row r="310" spans="7:9">
      <c r="G310" s="82"/>
      <c r="I310"/>
    </row>
    <row r="311" spans="7:9">
      <c r="G311" s="82"/>
      <c r="I311"/>
    </row>
    <row r="312" spans="7:9">
      <c r="G312" s="82"/>
      <c r="I312"/>
    </row>
    <row r="313" spans="7:9">
      <c r="G313" s="82"/>
      <c r="I313"/>
    </row>
    <row r="314" spans="7:9">
      <c r="G314" s="82"/>
      <c r="I314"/>
    </row>
    <row r="315" spans="7:9">
      <c r="G315" s="82"/>
      <c r="I315"/>
    </row>
    <row r="316" spans="7:9">
      <c r="G316" s="82"/>
      <c r="I316"/>
    </row>
    <row r="317" spans="7:9">
      <c r="G317" s="82"/>
      <c r="I317"/>
    </row>
    <row r="318" spans="7:9">
      <c r="G318" s="82"/>
    </row>
    <row r="319" spans="7:9">
      <c r="G319" s="82"/>
    </row>
    <row r="320" spans="7:9">
      <c r="G320" s="82"/>
    </row>
    <row r="321" spans="7:7">
      <c r="G321" s="82"/>
    </row>
    <row r="322" spans="7:7">
      <c r="G322" s="82"/>
    </row>
    <row r="323" spans="7:7">
      <c r="G323" s="82"/>
    </row>
    <row r="324" spans="7:7">
      <c r="G324" s="82"/>
    </row>
    <row r="325" spans="7:7">
      <c r="G325" s="82"/>
    </row>
    <row r="326" spans="7:7">
      <c r="G326" s="82"/>
    </row>
    <row r="327" spans="7:7">
      <c r="G327" s="82"/>
    </row>
  </sheetData>
  <autoFilter ref="A1:E1" xr:uid="{9C0A1FA7-88A7-426C-BEF9-AAB807FEB020}"/>
  <sortState xmlns:xlrd2="http://schemas.microsoft.com/office/spreadsheetml/2017/richdata2" ref="C211:D269">
    <sortCondition ref="C211:C269"/>
  </sortState>
  <mergeCells count="2">
    <mergeCell ref="T1:U1"/>
    <mergeCell ref="V1:W1"/>
  </mergeCells>
  <phoneticPr fontId="59" type="noConversion"/>
  <conditionalFormatting sqref="A331:A1048576 A1:A270">
    <cfRule type="duplicateValues" dxfId="1" priority="1"/>
  </conditionalFormatting>
  <conditionalFormatting sqref="C331:C1048576 B271:B330 C1:C270">
    <cfRule type="duplicateValues" dxfId="0" priority="28"/>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40</vt:i4>
      </vt:variant>
    </vt:vector>
  </HeadingPairs>
  <TitlesOfParts>
    <vt:vector size="46" baseType="lpstr">
      <vt:lpstr>Instructions</vt:lpstr>
      <vt:lpstr>Roster form</vt:lpstr>
      <vt:lpstr>Lists</vt:lpstr>
      <vt:lpstr>Roles</vt:lpstr>
      <vt:lpstr>Dept</vt:lpstr>
      <vt:lpstr>Trading stores</vt:lpstr>
      <vt:lpstr>Anaconda_SG</vt:lpstr>
      <vt:lpstr>Anaconda_SG_Roles</vt:lpstr>
      <vt:lpstr>Anaconda_Stores</vt:lpstr>
      <vt:lpstr>Anaconda_Stores_DEPT</vt:lpstr>
      <vt:lpstr>Anaconda_Stores_Roles</vt:lpstr>
      <vt:lpstr>Anaconda_Team_Leader</vt:lpstr>
      <vt:lpstr>Assistant_Store_Manager__Harris_Scarfe_only</vt:lpstr>
      <vt:lpstr>Assistant_Store_Manager_Harris_Scarfe_only</vt:lpstr>
      <vt:lpstr>Chnagereason</vt:lpstr>
      <vt:lpstr>Company</vt:lpstr>
      <vt:lpstr>Harris_Scarfe_SG</vt:lpstr>
      <vt:lpstr>Harris_Scarfe_SG_Roles</vt:lpstr>
      <vt:lpstr>Harris_Scarfe_Stores</vt:lpstr>
      <vt:lpstr>Harris_Scarfe_Stores_DEPT</vt:lpstr>
      <vt:lpstr>Harris_Scarfe_Stores_Roles</vt:lpstr>
      <vt:lpstr>'Roster form'!Print_Area</vt:lpstr>
      <vt:lpstr>Reset_Supervisor__Spotlight_Only___Level_3</vt:lpstr>
      <vt:lpstr>Reset_Supervisor_Spotlight_Only_Level_3</vt:lpstr>
      <vt:lpstr>Roles</vt:lpstr>
      <vt:lpstr>Sales_Specialist_Salary_Anaconda_only</vt:lpstr>
      <vt:lpstr>Sales_Specialist_Wages_Anaconda_only</vt:lpstr>
      <vt:lpstr>Shared_Services</vt:lpstr>
      <vt:lpstr>Shared_Services_Roles</vt:lpstr>
      <vt:lpstr>Spotlight_SG</vt:lpstr>
      <vt:lpstr>Spotlight_SG_Roles</vt:lpstr>
      <vt:lpstr>Spotlight_Stores</vt:lpstr>
      <vt:lpstr>Spotlight_Stores_DEPT</vt:lpstr>
      <vt:lpstr>Spotlight_Stores_Roles</vt:lpstr>
      <vt:lpstr>Roles!Spotlight_Team_Leader</vt:lpstr>
      <vt:lpstr>Spotlight_Team_Leader</vt:lpstr>
      <vt:lpstr>Status</vt:lpstr>
      <vt:lpstr>Store_Manager</vt:lpstr>
      <vt:lpstr>sundays</vt:lpstr>
      <vt:lpstr>Support_group___please_specify</vt:lpstr>
      <vt:lpstr>Support_group_please_specify</vt:lpstr>
      <vt:lpstr>Team_Member_Made_2_Measure__Spotlight_Only</vt:lpstr>
      <vt:lpstr>Team_Member_Made_2_Measure_Spotlight_Only</vt:lpstr>
      <vt:lpstr>Team_Member_Receiving__Fork_Lift_License___ANA_Only</vt:lpstr>
      <vt:lpstr>Team_Member_Receiving_Fork_Lift_License_ANA_Only</vt:lpstr>
      <vt:lpstr>Team_Member_Store</vt:lpstr>
    </vt:vector>
  </TitlesOfParts>
  <Company>Spotlight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payroll@123</dc:subject>
  <dc:creator>Shuchita Dikshit (Human Resources)</dc:creator>
  <cp:lastModifiedBy>Luan Nguyen</cp:lastModifiedBy>
  <cp:lastPrinted>2025-02-10T03:38:03Z</cp:lastPrinted>
  <dcterms:created xsi:type="dcterms:W3CDTF">2014-11-11T23:02:09Z</dcterms:created>
  <dcterms:modified xsi:type="dcterms:W3CDTF">2026-09-17T15:07:50Z</dcterms:modified>
</cp:coreProperties>
</file>