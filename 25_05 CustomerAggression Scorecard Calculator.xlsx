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kn0\Downloads\"/>
    </mc:Choice>
  </mc:AlternateContent>
  <xr:revisionPtr revIDLastSave="0" documentId="13_ncr:1_{86D7E2B8-205A-4EFA-BCC8-111563C95CFE}" xr6:coauthVersionLast="47" xr6:coauthVersionMax="47" xr10:uidLastSave="{00000000-0000-0000-0000-000000000000}"/>
  <bookViews>
    <workbookView xWindow="-120" yWindow="-120" windowWidth="38640" windowHeight="21120" xr2:uid="{10281C4E-FAFD-4770-BEDC-0D8B534ABAA7}"/>
  </bookViews>
  <sheets>
    <sheet name="CA Report_APR FY25" sheetId="7" r:id="rId1"/>
    <sheet name="CA REPORT_12-month Graphs" sheetId="9" r:id="rId2"/>
    <sheet name="STORE FEED" sheetId="6" r:id="rId3"/>
    <sheet name="PsychoSocial DataDump" sheetId="3" r:id="rId4"/>
    <sheet name="Sec_Risk DataDump" sheetId="1" r:id="rId5"/>
    <sheet name="TMJ DataDump" sheetId="2" r:id="rId6"/>
    <sheet name="STORE LOOKUP" sheetId="5" r:id="rId7"/>
    <sheet name="FIN CAL LOOKUP" sheetId="4" state="hidden" r:id="rId8"/>
  </sheets>
  <definedNames>
    <definedName name="_xlnm._FilterDatabase" localSheetId="3" hidden="1">'PsychoSocial DataDump'!$A$1:$N$9</definedName>
    <definedName name="_xlnm._FilterDatabase" localSheetId="4" hidden="1">'Sec_Risk DataDump'!$A$1:$M$358</definedName>
    <definedName name="_xlnm._FilterDatabase" localSheetId="6" hidden="1">'STORE LOOKUP'!$A$1:$G$429</definedName>
    <definedName name="_xlnm._FilterDatabase" localSheetId="5" hidden="1">'TMJ DataDump'!$A$1:$M$12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7" l="1"/>
  <c r="X5" i="7"/>
  <c r="W5" i="7"/>
  <c r="V5" i="7"/>
  <c r="S5" i="7"/>
  <c r="R5" i="7"/>
  <c r="Q5" i="7"/>
  <c r="P5" i="7"/>
  <c r="M5" i="7"/>
  <c r="L5" i="7"/>
  <c r="K5" i="7"/>
  <c r="J5" i="7"/>
  <c r="AH29" i="6"/>
  <c r="AG29" i="6"/>
  <c r="AF29" i="6"/>
  <c r="AI29" i="6" s="1"/>
  <c r="AH28" i="6"/>
  <c r="AG28" i="6"/>
  <c r="AF28" i="6"/>
  <c r="AI28" i="6" s="1"/>
  <c r="AD29" i="6"/>
  <c r="AC29" i="6"/>
  <c r="AB29" i="6"/>
  <c r="AE29" i="6" s="1"/>
  <c r="AD28" i="6"/>
  <c r="AC28" i="6"/>
  <c r="AB28" i="6"/>
  <c r="AE28" i="6" s="1"/>
  <c r="Z29" i="6"/>
  <c r="Y29" i="6"/>
  <c r="X29" i="6"/>
  <c r="AA29" i="6" s="1"/>
  <c r="Z28" i="6"/>
  <c r="Y28" i="6"/>
  <c r="X28" i="6"/>
  <c r="AA28" i="6" s="1"/>
  <c r="V29" i="6"/>
  <c r="U29" i="6"/>
  <c r="T29" i="6"/>
  <c r="W29" i="6" s="1"/>
  <c r="V28" i="6"/>
  <c r="U28" i="6"/>
  <c r="T28" i="6"/>
  <c r="W28" i="6" s="1"/>
  <c r="Q29" i="6"/>
  <c r="P29" i="6"/>
  <c r="O29" i="6"/>
  <c r="R29" i="6" s="1"/>
  <c r="Q28" i="6"/>
  <c r="P28" i="6"/>
  <c r="O28" i="6"/>
  <c r="R28" i="6" s="1"/>
  <c r="M29" i="6"/>
  <c r="L29" i="6"/>
  <c r="K29" i="6"/>
  <c r="N29" i="6" s="1"/>
  <c r="M28" i="6"/>
  <c r="L28" i="6"/>
  <c r="K28" i="6"/>
  <c r="N28" i="6" s="1"/>
  <c r="I29" i="6"/>
  <c r="H29" i="6"/>
  <c r="G29" i="6"/>
  <c r="J29" i="6" s="1"/>
  <c r="I28" i="6"/>
  <c r="H28" i="6"/>
  <c r="G28" i="6"/>
  <c r="J28" i="6" s="1"/>
  <c r="E29" i="6"/>
  <c r="D29" i="6"/>
  <c r="E28" i="6"/>
  <c r="D28" i="6"/>
  <c r="C29" i="6"/>
  <c r="C28" i="6"/>
  <c r="AH17" i="6"/>
  <c r="AG17" i="6"/>
  <c r="AF17" i="6"/>
  <c r="AI17" i="6" s="1"/>
  <c r="AH16" i="6"/>
  <c r="AG16" i="6"/>
  <c r="AF16" i="6"/>
  <c r="AI16" i="6" s="1"/>
  <c r="AD17" i="6"/>
  <c r="AC17" i="6"/>
  <c r="AB17" i="6"/>
  <c r="AE17" i="6" s="1"/>
  <c r="AD16" i="6"/>
  <c r="AC16" i="6"/>
  <c r="AB16" i="6"/>
  <c r="AE16" i="6" s="1"/>
  <c r="Z17" i="6"/>
  <c r="Y17" i="6"/>
  <c r="AA17" i="6" s="1"/>
  <c r="X17" i="6"/>
  <c r="Z16" i="6"/>
  <c r="Y16" i="6"/>
  <c r="X16" i="6"/>
  <c r="AA16" i="6" s="1"/>
  <c r="V17" i="6"/>
  <c r="U17" i="6"/>
  <c r="T17" i="6"/>
  <c r="W17" i="6" s="1"/>
  <c r="V16" i="6"/>
  <c r="U16" i="6"/>
  <c r="T16" i="6"/>
  <c r="W16" i="6" s="1"/>
  <c r="Q17" i="6"/>
  <c r="P17" i="6"/>
  <c r="O17" i="6"/>
  <c r="R17" i="6" s="1"/>
  <c r="Q16" i="6"/>
  <c r="P16" i="6"/>
  <c r="O16" i="6"/>
  <c r="R16" i="6" s="1"/>
  <c r="M17" i="6"/>
  <c r="L17" i="6"/>
  <c r="K17" i="6"/>
  <c r="N17" i="6" s="1"/>
  <c r="M16" i="6"/>
  <c r="L16" i="6"/>
  <c r="K16" i="6"/>
  <c r="N16" i="6" s="1"/>
  <c r="I17" i="6"/>
  <c r="H17" i="6"/>
  <c r="G17" i="6"/>
  <c r="J17" i="6" s="1"/>
  <c r="I16" i="6"/>
  <c r="H16" i="6"/>
  <c r="G16" i="6"/>
  <c r="J16" i="6" s="1"/>
  <c r="E17" i="6"/>
  <c r="D17" i="6"/>
  <c r="C17" i="6"/>
  <c r="E16" i="6"/>
  <c r="D16" i="6"/>
  <c r="C16" i="6"/>
  <c r="M14" i="2"/>
  <c r="L14" i="2"/>
  <c r="K14" i="2"/>
  <c r="J14" i="2"/>
  <c r="I14" i="2"/>
  <c r="M13" i="2"/>
  <c r="L13" i="2"/>
  <c r="M358" i="1"/>
  <c r="L358" i="1"/>
  <c r="K358" i="1"/>
  <c r="J358" i="1"/>
  <c r="I358" i="1"/>
  <c r="M357" i="1"/>
  <c r="L357" i="1"/>
  <c r="M356" i="1"/>
  <c r="L356" i="1"/>
  <c r="K356" i="1"/>
  <c r="J356" i="1"/>
  <c r="I356" i="1"/>
  <c r="M355" i="1"/>
  <c r="L355" i="1"/>
  <c r="K355" i="1"/>
  <c r="J355" i="1"/>
  <c r="I355" i="1"/>
  <c r="N10" i="3"/>
  <c r="M10" i="3"/>
  <c r="L10" i="3"/>
  <c r="K10" i="3"/>
  <c r="J10" i="3"/>
  <c r="R9" i="7" a="1"/>
  <c r="P9" i="7" a="1"/>
  <c r="Q9" i="7" a="1"/>
  <c r="S7" i="7" a="1"/>
  <c r="L8" i="7" a="1"/>
  <c r="Q8" i="7" a="1"/>
  <c r="J9" i="7" a="1"/>
  <c r="J7" i="7" a="1"/>
  <c r="S9" i="7" a="1"/>
  <c r="S8" i="7" a="1"/>
  <c r="L9" i="7" a="1"/>
  <c r="K8" i="7" a="1"/>
  <c r="J8" i="7" a="1"/>
  <c r="Q7" i="7" a="1"/>
  <c r="M7" i="7" a="1"/>
  <c r="M9" i="7" a="1"/>
  <c r="P8" i="7" a="1"/>
  <c r="M8" i="7" a="1"/>
  <c r="R8" i="7" a="1"/>
  <c r="K7" i="7" a="1"/>
  <c r="R7" i="7" a="1"/>
  <c r="P7" i="7" a="1"/>
  <c r="L7" i="7" a="1"/>
  <c r="K9" i="7" a="1"/>
  <c r="R8" i="7" l="1"/>
  <c r="S8" i="7"/>
  <c r="R9" i="7"/>
  <c r="R7" i="7"/>
  <c r="S9" i="7"/>
  <c r="S7" i="7"/>
  <c r="Q8" i="7"/>
  <c r="P9" i="7"/>
  <c r="Q9" i="7"/>
  <c r="P8" i="7"/>
  <c r="Q7" i="7"/>
  <c r="P7" i="7"/>
  <c r="M8" i="7"/>
  <c r="L8" i="7"/>
  <c r="L9" i="7"/>
  <c r="L7" i="7"/>
  <c r="M9" i="7"/>
  <c r="M7" i="7"/>
  <c r="J8" i="7"/>
  <c r="K8" i="7"/>
  <c r="J9" i="7"/>
  <c r="K9" i="7"/>
  <c r="K7" i="7"/>
  <c r="J7" i="7"/>
  <c r="F17" i="6"/>
  <c r="L23" i="6" s="1"/>
  <c r="F16" i="6"/>
  <c r="AD34" i="6"/>
  <c r="W34" i="6"/>
  <c r="AE34" i="6"/>
  <c r="E35" i="6"/>
  <c r="U35" i="6"/>
  <c r="F29" i="6"/>
  <c r="L35" i="6" s="1"/>
  <c r="X34" i="6"/>
  <c r="AF34" i="6"/>
  <c r="V35" i="6"/>
  <c r="AD35" i="6"/>
  <c r="AE35" i="6"/>
  <c r="Y34" i="6"/>
  <c r="AG34" i="6"/>
  <c r="W35" i="6"/>
  <c r="Z34" i="6"/>
  <c r="AH34" i="6"/>
  <c r="X35" i="6"/>
  <c r="AF35" i="6"/>
  <c r="C34" i="6"/>
  <c r="AA34" i="6"/>
  <c r="AI34" i="6"/>
  <c r="Y35" i="6"/>
  <c r="AG35" i="6"/>
  <c r="AJ28" i="6"/>
  <c r="AJ34" i="6" s="1"/>
  <c r="D34" i="6"/>
  <c r="T34" i="6"/>
  <c r="AB34" i="6"/>
  <c r="Z35" i="6"/>
  <c r="AH35" i="6"/>
  <c r="E34" i="6"/>
  <c r="U34" i="6"/>
  <c r="AC34" i="6"/>
  <c r="C35" i="6"/>
  <c r="AA35" i="6"/>
  <c r="AI35" i="6"/>
  <c r="F28" i="6"/>
  <c r="AJ29" i="6"/>
  <c r="V34" i="6"/>
  <c r="D35" i="6"/>
  <c r="T35" i="6"/>
  <c r="AB35" i="6"/>
  <c r="AD22" i="6"/>
  <c r="N22" i="6"/>
  <c r="G22" i="6"/>
  <c r="O22" i="6"/>
  <c r="W22" i="6"/>
  <c r="AE22" i="6"/>
  <c r="E23" i="6"/>
  <c r="M23" i="6"/>
  <c r="U23" i="6"/>
  <c r="H22" i="6"/>
  <c r="P22" i="6"/>
  <c r="X22" i="6"/>
  <c r="AF22" i="6"/>
  <c r="F23" i="6"/>
  <c r="N23" i="6"/>
  <c r="V23" i="6"/>
  <c r="AG23" i="6"/>
  <c r="I22" i="6"/>
  <c r="Q22" i="6"/>
  <c r="Y22" i="6"/>
  <c r="AG22" i="6"/>
  <c r="G23" i="6"/>
  <c r="O23" i="6"/>
  <c r="J22" i="6"/>
  <c r="R22" i="6"/>
  <c r="Z22" i="6"/>
  <c r="AH22" i="6"/>
  <c r="H23" i="6"/>
  <c r="P23" i="6"/>
  <c r="S16" i="6"/>
  <c r="S22" i="6" s="1"/>
  <c r="C22" i="6"/>
  <c r="K22" i="6"/>
  <c r="AA22" i="6"/>
  <c r="AI22" i="6"/>
  <c r="I23" i="6"/>
  <c r="Q23" i="6"/>
  <c r="Y23" i="6"/>
  <c r="AJ16" i="6"/>
  <c r="AJ22" i="6" s="1"/>
  <c r="D22" i="6"/>
  <c r="L22" i="6"/>
  <c r="T22" i="6"/>
  <c r="AB22" i="6"/>
  <c r="J23" i="6"/>
  <c r="R23" i="6"/>
  <c r="AH23" i="6"/>
  <c r="S17" i="6"/>
  <c r="S23" i="6" s="1"/>
  <c r="E22" i="6"/>
  <c r="M22" i="6"/>
  <c r="U22" i="6"/>
  <c r="AC22" i="6"/>
  <c r="C23" i="6"/>
  <c r="K23" i="6"/>
  <c r="AJ17" i="6"/>
  <c r="F22" i="6"/>
  <c r="V22" i="6"/>
  <c r="D23" i="6"/>
  <c r="T23" i="6"/>
  <c r="C85" i="5"/>
  <c r="G5" i="7"/>
  <c r="F5" i="7"/>
  <c r="E5" i="7"/>
  <c r="D5" i="7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M3" i="3"/>
  <c r="N3" i="3"/>
  <c r="M4" i="3"/>
  <c r="N4" i="3"/>
  <c r="M5" i="3"/>
  <c r="N5" i="3"/>
  <c r="M6" i="3"/>
  <c r="N6" i="3"/>
  <c r="M7" i="3"/>
  <c r="N7" i="3"/>
  <c r="M8" i="3"/>
  <c r="N8" i="3"/>
  <c r="M9" i="3"/>
  <c r="N9" i="3"/>
  <c r="N2" i="3"/>
  <c r="M2" i="3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M2" i="2"/>
  <c r="L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2" i="1"/>
  <c r="C329" i="5"/>
  <c r="C3" i="5"/>
  <c r="C4" i="5"/>
  <c r="C5" i="5"/>
  <c r="C6" i="5"/>
  <c r="C7" i="5"/>
  <c r="C8" i="5"/>
  <c r="C9" i="5"/>
  <c r="J16" i="1" s="1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2" i="5"/>
  <c r="K9" i="1" s="1"/>
  <c r="R10" i="7" l="1"/>
  <c r="N8" i="7"/>
  <c r="N9" i="7"/>
  <c r="T8" i="7"/>
  <c r="P10" i="7"/>
  <c r="L10" i="7"/>
  <c r="Q10" i="7"/>
  <c r="K10" i="7"/>
  <c r="S10" i="7"/>
  <c r="T7" i="7"/>
  <c r="T9" i="7"/>
  <c r="M10" i="7"/>
  <c r="N7" i="7"/>
  <c r="J10" i="7"/>
  <c r="J34" i="6"/>
  <c r="S28" i="6"/>
  <c r="S34" i="6" s="1"/>
  <c r="F34" i="6"/>
  <c r="J35" i="6"/>
  <c r="G34" i="6"/>
  <c r="K34" i="6"/>
  <c r="K35" i="6"/>
  <c r="O35" i="6"/>
  <c r="AC35" i="6"/>
  <c r="G35" i="6"/>
  <c r="N35" i="6"/>
  <c r="N34" i="6"/>
  <c r="S29" i="6"/>
  <c r="S35" i="6" s="1"/>
  <c r="P35" i="6"/>
  <c r="F35" i="6"/>
  <c r="L34" i="6"/>
  <c r="H35" i="6"/>
  <c r="AJ35" i="6"/>
  <c r="M34" i="6"/>
  <c r="Q35" i="6"/>
  <c r="Q34" i="6"/>
  <c r="M35" i="6"/>
  <c r="I35" i="6"/>
  <c r="I34" i="6"/>
  <c r="P34" i="6"/>
  <c r="R35" i="6"/>
  <c r="R34" i="6"/>
  <c r="H34" i="6"/>
  <c r="O34" i="6"/>
  <c r="AB23" i="6"/>
  <c r="AI23" i="6"/>
  <c r="Z23" i="6"/>
  <c r="AE23" i="6"/>
  <c r="AC23" i="6"/>
  <c r="AA23" i="6"/>
  <c r="W23" i="6"/>
  <c r="AF23" i="6"/>
  <c r="AJ23" i="6"/>
  <c r="X23" i="6"/>
  <c r="AD23" i="6"/>
  <c r="J13" i="2"/>
  <c r="I13" i="2"/>
  <c r="K357" i="1"/>
  <c r="J357" i="1"/>
  <c r="I357" i="1"/>
  <c r="K13" i="2"/>
  <c r="J307" i="1"/>
  <c r="J259" i="1"/>
  <c r="J211" i="1"/>
  <c r="K49" i="1"/>
  <c r="J354" i="1"/>
  <c r="J346" i="1"/>
  <c r="J338" i="1"/>
  <c r="J330" i="1"/>
  <c r="J322" i="1"/>
  <c r="J314" i="1"/>
  <c r="J306" i="1"/>
  <c r="J298" i="1"/>
  <c r="J290" i="1"/>
  <c r="J282" i="1"/>
  <c r="J274" i="1"/>
  <c r="J266" i="1"/>
  <c r="J258" i="1"/>
  <c r="J250" i="1"/>
  <c r="J242" i="1"/>
  <c r="J234" i="1"/>
  <c r="J226" i="1"/>
  <c r="J218" i="1"/>
  <c r="J210" i="1"/>
  <c r="J202" i="1"/>
  <c r="J194" i="1"/>
  <c r="J182" i="1"/>
  <c r="J169" i="1"/>
  <c r="J154" i="1"/>
  <c r="J136" i="1"/>
  <c r="J114" i="1"/>
  <c r="J72" i="1"/>
  <c r="J8" i="1"/>
  <c r="K297" i="1"/>
  <c r="K233" i="1"/>
  <c r="K169" i="1"/>
  <c r="K105" i="1"/>
  <c r="K41" i="1"/>
  <c r="J323" i="1"/>
  <c r="J275" i="1"/>
  <c r="J227" i="1"/>
  <c r="J170" i="1"/>
  <c r="K305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1" i="1"/>
  <c r="J168" i="1"/>
  <c r="J153" i="1"/>
  <c r="J134" i="1"/>
  <c r="J112" i="1"/>
  <c r="J64" i="1"/>
  <c r="K353" i="1"/>
  <c r="K289" i="1"/>
  <c r="K225" i="1"/>
  <c r="K161" i="1"/>
  <c r="K97" i="1"/>
  <c r="K33" i="1"/>
  <c r="I6" i="2"/>
  <c r="J2" i="3"/>
  <c r="J347" i="1"/>
  <c r="J299" i="1"/>
  <c r="J251" i="1"/>
  <c r="J203" i="1"/>
  <c r="J158" i="1"/>
  <c r="K241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78" i="1"/>
  <c r="J166" i="1"/>
  <c r="J152" i="1"/>
  <c r="J130" i="1"/>
  <c r="J110" i="1"/>
  <c r="J56" i="1"/>
  <c r="K345" i="1"/>
  <c r="K281" i="1"/>
  <c r="K217" i="1"/>
  <c r="K153" i="1"/>
  <c r="K89" i="1"/>
  <c r="K25" i="1"/>
  <c r="J9" i="2"/>
  <c r="L4" i="3"/>
  <c r="J2" i="1"/>
  <c r="J315" i="1"/>
  <c r="J267" i="1"/>
  <c r="J235" i="1"/>
  <c r="J184" i="1"/>
  <c r="J138" i="1"/>
  <c r="J80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0" i="1"/>
  <c r="J177" i="1"/>
  <c r="J165" i="1"/>
  <c r="J150" i="1"/>
  <c r="J128" i="1"/>
  <c r="J106" i="1"/>
  <c r="J48" i="1"/>
  <c r="K337" i="1"/>
  <c r="K273" i="1"/>
  <c r="K209" i="1"/>
  <c r="K145" i="1"/>
  <c r="K81" i="1"/>
  <c r="K17" i="1"/>
  <c r="K12" i="2"/>
  <c r="K113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89" i="1"/>
  <c r="J176" i="1"/>
  <c r="J162" i="1"/>
  <c r="J146" i="1"/>
  <c r="J126" i="1"/>
  <c r="J104" i="1"/>
  <c r="J40" i="1"/>
  <c r="K329" i="1"/>
  <c r="K265" i="1"/>
  <c r="K201" i="1"/>
  <c r="K137" i="1"/>
  <c r="K73" i="1"/>
  <c r="J339" i="1"/>
  <c r="J291" i="1"/>
  <c r="J243" i="1"/>
  <c r="J195" i="1"/>
  <c r="J118" i="1"/>
  <c r="K177" i="1"/>
  <c r="I3" i="1"/>
  <c r="J3" i="3"/>
  <c r="K6" i="3"/>
  <c r="L9" i="3"/>
  <c r="I3" i="2"/>
  <c r="J6" i="2"/>
  <c r="K9" i="2"/>
  <c r="I11" i="2"/>
  <c r="K10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K3" i="3"/>
  <c r="L6" i="3"/>
  <c r="J8" i="3"/>
  <c r="J3" i="2"/>
  <c r="K6" i="2"/>
  <c r="I8" i="2"/>
  <c r="J11" i="2"/>
  <c r="K3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2" i="1"/>
  <c r="J10" i="1"/>
  <c r="J18" i="1"/>
  <c r="J26" i="1"/>
  <c r="J34" i="1"/>
  <c r="J42" i="1"/>
  <c r="J50" i="1"/>
  <c r="J58" i="1"/>
  <c r="J66" i="1"/>
  <c r="J74" i="1"/>
  <c r="J82" i="1"/>
  <c r="J90" i="1"/>
  <c r="J98" i="1"/>
  <c r="L3" i="3"/>
  <c r="J5" i="3"/>
  <c r="K8" i="3"/>
  <c r="K3" i="2"/>
  <c r="I5" i="2"/>
  <c r="J8" i="2"/>
  <c r="K11" i="2"/>
  <c r="K4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316" i="1"/>
  <c r="K324" i="1"/>
  <c r="K332" i="1"/>
  <c r="K340" i="1"/>
  <c r="K348" i="1"/>
  <c r="J3" i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187" i="1"/>
  <c r="K5" i="3"/>
  <c r="L8" i="3"/>
  <c r="J5" i="2"/>
  <c r="K8" i="2"/>
  <c r="I10" i="2"/>
  <c r="K5" i="1"/>
  <c r="K13" i="1"/>
  <c r="K21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317" i="1"/>
  <c r="K325" i="1"/>
  <c r="K333" i="1"/>
  <c r="K341" i="1"/>
  <c r="K349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L5" i="3"/>
  <c r="J7" i="3"/>
  <c r="K5" i="2"/>
  <c r="I7" i="2"/>
  <c r="J10" i="2"/>
  <c r="K2" i="2"/>
  <c r="K6" i="1"/>
  <c r="K14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4" i="3"/>
  <c r="K7" i="3"/>
  <c r="L2" i="3"/>
  <c r="I4" i="2"/>
  <c r="J7" i="2"/>
  <c r="K10" i="2"/>
  <c r="I12" i="2"/>
  <c r="J2" i="2"/>
  <c r="K7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319" i="1"/>
  <c r="K327" i="1"/>
  <c r="K335" i="1"/>
  <c r="K343" i="1"/>
  <c r="K351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K4" i="3"/>
  <c r="L7" i="3"/>
  <c r="J9" i="3"/>
  <c r="K2" i="3"/>
  <c r="J4" i="2"/>
  <c r="K7" i="2"/>
  <c r="I9" i="2"/>
  <c r="J12" i="2"/>
  <c r="I2" i="2"/>
  <c r="K8" i="1"/>
  <c r="K16" i="1"/>
  <c r="K24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6" i="1"/>
  <c r="J174" i="1"/>
  <c r="J161" i="1"/>
  <c r="J144" i="1"/>
  <c r="J122" i="1"/>
  <c r="J96" i="1"/>
  <c r="J32" i="1"/>
  <c r="K321" i="1"/>
  <c r="K257" i="1"/>
  <c r="K193" i="1"/>
  <c r="K129" i="1"/>
  <c r="K65" i="1"/>
  <c r="J6" i="3"/>
  <c r="J331" i="1"/>
  <c r="J283" i="1"/>
  <c r="J219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5" i="1"/>
  <c r="J173" i="1"/>
  <c r="J160" i="1"/>
  <c r="J142" i="1"/>
  <c r="J120" i="1"/>
  <c r="J88" i="1"/>
  <c r="J24" i="1"/>
  <c r="K313" i="1"/>
  <c r="K249" i="1"/>
  <c r="K185" i="1"/>
  <c r="K121" i="1"/>
  <c r="K57" i="1"/>
  <c r="K4" i="2"/>
  <c r="K9" i="3"/>
  <c r="I338" i="1"/>
  <c r="I328" i="1"/>
  <c r="I162" i="1"/>
  <c r="I89" i="1"/>
  <c r="I97" i="1"/>
  <c r="I2" i="1"/>
  <c r="I347" i="1"/>
  <c r="I304" i="1"/>
  <c r="I243" i="1"/>
  <c r="I220" i="1"/>
  <c r="I209" i="1"/>
  <c r="I199" i="1"/>
  <c r="I186" i="1"/>
  <c r="I176" i="1"/>
  <c r="I165" i="1"/>
  <c r="I148" i="1"/>
  <c r="I135" i="1"/>
  <c r="I114" i="1"/>
  <c r="I82" i="1"/>
  <c r="I67" i="1"/>
  <c r="I50" i="1"/>
  <c r="I22" i="1"/>
  <c r="I354" i="1"/>
  <c r="I346" i="1"/>
  <c r="I337" i="1"/>
  <c r="I327" i="1"/>
  <c r="I314" i="1"/>
  <c r="I301" i="1"/>
  <c r="I282" i="1"/>
  <c r="I261" i="1"/>
  <c r="I242" i="1"/>
  <c r="I218" i="1"/>
  <c r="I206" i="1"/>
  <c r="I196" i="1"/>
  <c r="I183" i="1"/>
  <c r="I175" i="1"/>
  <c r="I164" i="1"/>
  <c r="I146" i="1"/>
  <c r="I133" i="1"/>
  <c r="I113" i="1"/>
  <c r="I90" i="1"/>
  <c r="I81" i="1"/>
  <c r="I66" i="1"/>
  <c r="I42" i="1"/>
  <c r="I18" i="1"/>
  <c r="I264" i="1"/>
  <c r="I353" i="1"/>
  <c r="I300" i="1"/>
  <c r="I205" i="1"/>
  <c r="I34" i="1"/>
  <c r="I352" i="1"/>
  <c r="I344" i="1"/>
  <c r="I334" i="1"/>
  <c r="I324" i="1"/>
  <c r="I312" i="1"/>
  <c r="I298" i="1"/>
  <c r="I274" i="1"/>
  <c r="I259" i="1"/>
  <c r="I234" i="1"/>
  <c r="I215" i="1"/>
  <c r="I204" i="1"/>
  <c r="I194" i="1"/>
  <c r="I181" i="1"/>
  <c r="I171" i="1"/>
  <c r="I160" i="1"/>
  <c r="I144" i="1"/>
  <c r="I130" i="1"/>
  <c r="I107" i="1"/>
  <c r="I88" i="1"/>
  <c r="I75" i="1"/>
  <c r="I63" i="1"/>
  <c r="I32" i="1"/>
  <c r="I9" i="1"/>
  <c r="I316" i="1"/>
  <c r="I345" i="1"/>
  <c r="I313" i="1"/>
  <c r="I236" i="1"/>
  <c r="I172" i="1"/>
  <c r="I112" i="1"/>
  <c r="I10" i="1"/>
  <c r="I11" i="1"/>
  <c r="I351" i="1"/>
  <c r="I342" i="1"/>
  <c r="I333" i="1"/>
  <c r="I323" i="1"/>
  <c r="I311" i="1"/>
  <c r="I296" i="1"/>
  <c r="I273" i="1"/>
  <c r="I258" i="1"/>
  <c r="I228" i="1"/>
  <c r="I213" i="1"/>
  <c r="I203" i="1"/>
  <c r="I192" i="1"/>
  <c r="I180" i="1"/>
  <c r="I170" i="1"/>
  <c r="I158" i="1"/>
  <c r="I142" i="1"/>
  <c r="I122" i="1"/>
  <c r="I106" i="1"/>
  <c r="I87" i="1"/>
  <c r="I74" i="1"/>
  <c r="I58" i="1"/>
  <c r="I29" i="1"/>
  <c r="I7" i="1"/>
  <c r="I283" i="1"/>
  <c r="I336" i="1"/>
  <c r="I276" i="1"/>
  <c r="I216" i="1"/>
  <c r="I182" i="1"/>
  <c r="I145" i="1"/>
  <c r="I65" i="1"/>
  <c r="I350" i="1"/>
  <c r="I341" i="1"/>
  <c r="I332" i="1"/>
  <c r="I322" i="1"/>
  <c r="I310" i="1"/>
  <c r="I292" i="1"/>
  <c r="I270" i="1"/>
  <c r="I252" i="1"/>
  <c r="I226" i="1"/>
  <c r="I212" i="1"/>
  <c r="I202" i="1"/>
  <c r="I190" i="1"/>
  <c r="I179" i="1"/>
  <c r="I169" i="1"/>
  <c r="I156" i="1"/>
  <c r="I140" i="1"/>
  <c r="I119" i="1"/>
  <c r="I105" i="1"/>
  <c r="I86" i="1"/>
  <c r="I73" i="1"/>
  <c r="I57" i="1"/>
  <c r="I26" i="1"/>
  <c r="I6" i="1"/>
  <c r="I326" i="1"/>
  <c r="I260" i="1"/>
  <c r="I195" i="1"/>
  <c r="I132" i="1"/>
  <c r="I76" i="1"/>
  <c r="I349" i="1"/>
  <c r="I340" i="1"/>
  <c r="I331" i="1"/>
  <c r="I320" i="1"/>
  <c r="I308" i="1"/>
  <c r="I290" i="1"/>
  <c r="I268" i="1"/>
  <c r="I250" i="1"/>
  <c r="I224" i="1"/>
  <c r="I211" i="1"/>
  <c r="I201" i="1"/>
  <c r="I188" i="1"/>
  <c r="I178" i="1"/>
  <c r="I167" i="1"/>
  <c r="I155" i="1"/>
  <c r="I139" i="1"/>
  <c r="I116" i="1"/>
  <c r="I100" i="1"/>
  <c r="I85" i="1"/>
  <c r="I70" i="1"/>
  <c r="I55" i="1"/>
  <c r="I24" i="1"/>
  <c r="I5" i="1"/>
  <c r="I348" i="1"/>
  <c r="I339" i="1"/>
  <c r="I330" i="1"/>
  <c r="I318" i="1"/>
  <c r="I306" i="1"/>
  <c r="I284" i="1"/>
  <c r="I266" i="1"/>
  <c r="I244" i="1"/>
  <c r="I223" i="1"/>
  <c r="I210" i="1"/>
  <c r="I200" i="1"/>
  <c r="I187" i="1"/>
  <c r="I177" i="1"/>
  <c r="I166" i="1"/>
  <c r="I154" i="1"/>
  <c r="I138" i="1"/>
  <c r="I115" i="1"/>
  <c r="I98" i="1"/>
  <c r="I83" i="1"/>
  <c r="I68" i="1"/>
  <c r="I53" i="1"/>
  <c r="I23" i="1"/>
  <c r="I329" i="1"/>
  <c r="I321" i="1"/>
  <c r="I305" i="1"/>
  <c r="I297" i="1"/>
  <c r="I289" i="1"/>
  <c r="I281" i="1"/>
  <c r="I265" i="1"/>
  <c r="I257" i="1"/>
  <c r="I249" i="1"/>
  <c r="I241" i="1"/>
  <c r="I233" i="1"/>
  <c r="I225" i="1"/>
  <c r="I217" i="1"/>
  <c r="I193" i="1"/>
  <c r="I185" i="1"/>
  <c r="I161" i="1"/>
  <c r="I153" i="1"/>
  <c r="I137" i="1"/>
  <c r="I129" i="1"/>
  <c r="I121" i="1"/>
  <c r="I49" i="1"/>
  <c r="I41" i="1"/>
  <c r="I33" i="1"/>
  <c r="I25" i="1"/>
  <c r="I17" i="1"/>
  <c r="I288" i="1"/>
  <c r="I280" i="1"/>
  <c r="I272" i="1"/>
  <c r="I256" i="1"/>
  <c r="I248" i="1"/>
  <c r="I240" i="1"/>
  <c r="I232" i="1"/>
  <c r="I208" i="1"/>
  <c r="I184" i="1"/>
  <c r="I168" i="1"/>
  <c r="I152" i="1"/>
  <c r="I136" i="1"/>
  <c r="I128" i="1"/>
  <c r="I120" i="1"/>
  <c r="I104" i="1"/>
  <c r="I96" i="1"/>
  <c r="I80" i="1"/>
  <c r="I72" i="1"/>
  <c r="I64" i="1"/>
  <c r="I56" i="1"/>
  <c r="I48" i="1"/>
  <c r="I40" i="1"/>
  <c r="I16" i="1"/>
  <c r="I8" i="1"/>
  <c r="I343" i="1"/>
  <c r="I335" i="1"/>
  <c r="I319" i="1"/>
  <c r="I303" i="1"/>
  <c r="I295" i="1"/>
  <c r="I287" i="1"/>
  <c r="I279" i="1"/>
  <c r="I271" i="1"/>
  <c r="I263" i="1"/>
  <c r="I255" i="1"/>
  <c r="I247" i="1"/>
  <c r="I239" i="1"/>
  <c r="I231" i="1"/>
  <c r="I207" i="1"/>
  <c r="I191" i="1"/>
  <c r="I159" i="1"/>
  <c r="I151" i="1"/>
  <c r="I143" i="1"/>
  <c r="I127" i="1"/>
  <c r="I111" i="1"/>
  <c r="I103" i="1"/>
  <c r="I95" i="1"/>
  <c r="I79" i="1"/>
  <c r="I71" i="1"/>
  <c r="I47" i="1"/>
  <c r="I39" i="1"/>
  <c r="I31" i="1"/>
  <c r="I15" i="1"/>
  <c r="I302" i="1"/>
  <c r="I294" i="1"/>
  <c r="I286" i="1"/>
  <c r="I278" i="1"/>
  <c r="I262" i="1"/>
  <c r="I254" i="1"/>
  <c r="I246" i="1"/>
  <c r="I238" i="1"/>
  <c r="I230" i="1"/>
  <c r="I222" i="1"/>
  <c r="I214" i="1"/>
  <c r="I198" i="1"/>
  <c r="I174" i="1"/>
  <c r="I150" i="1"/>
  <c r="I134" i="1"/>
  <c r="I126" i="1"/>
  <c r="I118" i="1"/>
  <c r="I110" i="1"/>
  <c r="I102" i="1"/>
  <c r="I94" i="1"/>
  <c r="I78" i="1"/>
  <c r="I62" i="1"/>
  <c r="I54" i="1"/>
  <c r="I46" i="1"/>
  <c r="I38" i="1"/>
  <c r="I30" i="1"/>
  <c r="I14" i="1"/>
  <c r="I325" i="1"/>
  <c r="I317" i="1"/>
  <c r="I309" i="1"/>
  <c r="I293" i="1"/>
  <c r="I285" i="1"/>
  <c r="I277" i="1"/>
  <c r="I269" i="1"/>
  <c r="I253" i="1"/>
  <c r="I245" i="1"/>
  <c r="I237" i="1"/>
  <c r="I229" i="1"/>
  <c r="I221" i="1"/>
  <c r="I197" i="1"/>
  <c r="I189" i="1"/>
  <c r="I173" i="1"/>
  <c r="I157" i="1"/>
  <c r="I149" i="1"/>
  <c r="I141" i="1"/>
  <c r="I125" i="1"/>
  <c r="I117" i="1"/>
  <c r="I109" i="1"/>
  <c r="I101" i="1"/>
  <c r="I93" i="1"/>
  <c r="I77" i="1"/>
  <c r="I69" i="1"/>
  <c r="I61" i="1"/>
  <c r="I45" i="1"/>
  <c r="I37" i="1"/>
  <c r="I21" i="1"/>
  <c r="I13" i="1"/>
  <c r="I124" i="1"/>
  <c r="I108" i="1"/>
  <c r="I92" i="1"/>
  <c r="I84" i="1"/>
  <c r="I60" i="1"/>
  <c r="I52" i="1"/>
  <c r="I44" i="1"/>
  <c r="I36" i="1"/>
  <c r="I28" i="1"/>
  <c r="I20" i="1"/>
  <c r="I12" i="1"/>
  <c r="I4" i="1"/>
  <c r="I315" i="1"/>
  <c r="I307" i="1"/>
  <c r="I299" i="1"/>
  <c r="I291" i="1"/>
  <c r="I275" i="1"/>
  <c r="I267" i="1"/>
  <c r="I251" i="1"/>
  <c r="I235" i="1"/>
  <c r="I227" i="1"/>
  <c r="I219" i="1"/>
  <c r="I163" i="1"/>
  <c r="I147" i="1"/>
  <c r="I131" i="1"/>
  <c r="I123" i="1"/>
  <c r="I99" i="1"/>
  <c r="I91" i="1"/>
  <c r="I59" i="1"/>
  <c r="I51" i="1"/>
  <c r="I43" i="1"/>
  <c r="I35" i="1"/>
  <c r="I27" i="1"/>
  <c r="I19" i="1"/>
  <c r="N10" i="7" l="1"/>
  <c r="T10" i="7"/>
  <c r="AF27" i="6"/>
  <c r="AC27" i="6"/>
  <c r="AC30" i="6" s="1"/>
  <c r="Z27" i="6"/>
  <c r="Z30" i="6" s="1"/>
  <c r="AF15" i="6"/>
  <c r="AC15" i="6"/>
  <c r="AC18" i="6" s="1"/>
  <c r="Z15" i="6"/>
  <c r="Z18" i="6" s="1"/>
  <c r="H15" i="6"/>
  <c r="H18" i="6" s="1"/>
  <c r="C27" i="6"/>
  <c r="C15" i="6"/>
  <c r="AB27" i="6"/>
  <c r="Y27" i="6"/>
  <c r="Y30" i="6" s="1"/>
  <c r="V27" i="6"/>
  <c r="V30" i="6" s="1"/>
  <c r="AB15" i="6"/>
  <c r="Y15" i="6"/>
  <c r="Y18" i="6" s="1"/>
  <c r="V15" i="6"/>
  <c r="V18" i="6" s="1"/>
  <c r="E15" i="6"/>
  <c r="E18" i="6" s="1"/>
  <c r="AG15" i="6"/>
  <c r="AG18" i="6" s="1"/>
  <c r="X27" i="6"/>
  <c r="U27" i="6"/>
  <c r="U30" i="6" s="1"/>
  <c r="Q27" i="6"/>
  <c r="Q30" i="6" s="1"/>
  <c r="X15" i="6"/>
  <c r="U15" i="6"/>
  <c r="U18" i="6" s="1"/>
  <c r="Q15" i="6"/>
  <c r="Q18" i="6" s="1"/>
  <c r="AD27" i="6"/>
  <c r="AD30" i="6" s="1"/>
  <c r="T27" i="6"/>
  <c r="P27" i="6"/>
  <c r="P30" i="6" s="1"/>
  <c r="M27" i="6"/>
  <c r="M30" i="6" s="1"/>
  <c r="E27" i="6"/>
  <c r="E30" i="6" s="1"/>
  <c r="T15" i="6"/>
  <c r="P15" i="6"/>
  <c r="P18" i="6" s="1"/>
  <c r="M15" i="6"/>
  <c r="M18" i="6" s="1"/>
  <c r="O27" i="6"/>
  <c r="L27" i="6"/>
  <c r="L30" i="6" s="1"/>
  <c r="I27" i="6"/>
  <c r="I30" i="6" s="1"/>
  <c r="D27" i="6"/>
  <c r="D30" i="6" s="1"/>
  <c r="O15" i="6"/>
  <c r="L15" i="6"/>
  <c r="L18" i="6" s="1"/>
  <c r="I15" i="6"/>
  <c r="I18" i="6" s="1"/>
  <c r="K27" i="6"/>
  <c r="H27" i="6"/>
  <c r="H30" i="6" s="1"/>
  <c r="K15" i="6"/>
  <c r="AG27" i="6"/>
  <c r="AG30" i="6" s="1"/>
  <c r="AD15" i="6"/>
  <c r="AD18" i="6" s="1"/>
  <c r="AH27" i="6"/>
  <c r="AH30" i="6" s="1"/>
  <c r="G27" i="6"/>
  <c r="AH15" i="6"/>
  <c r="AH18" i="6" s="1"/>
  <c r="G15" i="6"/>
  <c r="D15" i="6"/>
  <c r="D18" i="6" s="1"/>
  <c r="AG5" i="6"/>
  <c r="E5" i="6"/>
  <c r="H4" i="6"/>
  <c r="I3" i="6"/>
  <c r="AB3" i="6"/>
  <c r="X4" i="6"/>
  <c r="Z3" i="6"/>
  <c r="AG4" i="6"/>
  <c r="O5" i="6"/>
  <c r="P3" i="6"/>
  <c r="AB5" i="6"/>
  <c r="D5" i="6"/>
  <c r="E4" i="6"/>
  <c r="AH5" i="6"/>
  <c r="E3" i="6"/>
  <c r="Q3" i="6"/>
  <c r="X5" i="6"/>
  <c r="V5" i="6"/>
  <c r="AH4" i="6"/>
  <c r="Y5" i="6"/>
  <c r="Y3" i="6"/>
  <c r="G5" i="6"/>
  <c r="T5" i="6"/>
  <c r="K4" i="6"/>
  <c r="O3" i="6"/>
  <c r="K3" i="6"/>
  <c r="AB4" i="6"/>
  <c r="L5" i="6"/>
  <c r="D4" i="6"/>
  <c r="O4" i="6"/>
  <c r="Q5" i="6"/>
  <c r="AD4" i="6"/>
  <c r="L4" i="6"/>
  <c r="C4" i="6"/>
  <c r="C10" i="6" s="1"/>
  <c r="D3" i="6"/>
  <c r="Q4" i="6"/>
  <c r="C5" i="6"/>
  <c r="D11" i="6" s="1"/>
  <c r="AC4" i="6"/>
  <c r="V3" i="6"/>
  <c r="I4" i="6"/>
  <c r="V4" i="6"/>
  <c r="M3" i="6"/>
  <c r="G4" i="6"/>
  <c r="Z4" i="6"/>
  <c r="AG3" i="6"/>
  <c r="AF5" i="6"/>
  <c r="AI5" i="6" s="1"/>
  <c r="AF4" i="6"/>
  <c r="AC5" i="6"/>
  <c r="C3" i="6"/>
  <c r="AF3" i="6"/>
  <c r="P4" i="6"/>
  <c r="Y4" i="6"/>
  <c r="U5" i="6"/>
  <c r="X3" i="6"/>
  <c r="U4" i="6"/>
  <c r="L3" i="6"/>
  <c r="Z5" i="6"/>
  <c r="AA5" i="6" s="1"/>
  <c r="U3" i="6"/>
  <c r="AD3" i="6"/>
  <c r="I5" i="6"/>
  <c r="AD5" i="6"/>
  <c r="M4" i="6"/>
  <c r="AH3" i="6"/>
  <c r="P5" i="6"/>
  <c r="R5" i="6" s="1"/>
  <c r="M5" i="6"/>
  <c r="G3" i="6"/>
  <c r="H3" i="6"/>
  <c r="T4" i="6"/>
  <c r="W4" i="6" s="1"/>
  <c r="K5" i="6"/>
  <c r="T3" i="6"/>
  <c r="AC3" i="6"/>
  <c r="H5" i="6"/>
  <c r="F9" i="7" a="1"/>
  <c r="D9" i="7" a="1"/>
  <c r="D7" i="7" a="1"/>
  <c r="D8" i="7" a="1"/>
  <c r="F7" i="7" a="1"/>
  <c r="F8" i="7" a="1"/>
  <c r="R27" i="6" l="1"/>
  <c r="R30" i="6" s="1"/>
  <c r="O30" i="6"/>
  <c r="E33" i="6"/>
  <c r="D33" i="6"/>
  <c r="C33" i="6"/>
  <c r="C30" i="6"/>
  <c r="F27" i="6"/>
  <c r="I33" i="6" s="1"/>
  <c r="N27" i="6"/>
  <c r="N30" i="6" s="1"/>
  <c r="K30" i="6"/>
  <c r="J15" i="6"/>
  <c r="J18" i="6" s="1"/>
  <c r="G18" i="6"/>
  <c r="J27" i="6"/>
  <c r="J30" i="6" s="1"/>
  <c r="G30" i="6"/>
  <c r="W15" i="6"/>
  <c r="Y21" i="6" s="1"/>
  <c r="T21" i="6"/>
  <c r="U21" i="6"/>
  <c r="T18" i="6"/>
  <c r="V21" i="6"/>
  <c r="X18" i="6"/>
  <c r="AA15" i="6"/>
  <c r="AA18" i="6" s="1"/>
  <c r="AE15" i="6"/>
  <c r="AE18" i="6" s="1"/>
  <c r="AB18" i="6"/>
  <c r="R15" i="6"/>
  <c r="R18" i="6" s="1"/>
  <c r="O18" i="6"/>
  <c r="AI15" i="6"/>
  <c r="AI18" i="6" s="1"/>
  <c r="AF18" i="6"/>
  <c r="AA27" i="6"/>
  <c r="AA30" i="6" s="1"/>
  <c r="X30" i="6"/>
  <c r="AE27" i="6"/>
  <c r="AE30" i="6" s="1"/>
  <c r="AB30" i="6"/>
  <c r="N15" i="6"/>
  <c r="N18" i="6" s="1"/>
  <c r="K18" i="6"/>
  <c r="W27" i="6"/>
  <c r="X33" i="6" s="1"/>
  <c r="T30" i="6"/>
  <c r="U33" i="6"/>
  <c r="T33" i="6"/>
  <c r="V33" i="6"/>
  <c r="D21" i="6"/>
  <c r="C21" i="6"/>
  <c r="E21" i="6"/>
  <c r="C18" i="6"/>
  <c r="F15" i="6"/>
  <c r="F18" i="6" s="1"/>
  <c r="I21" i="6"/>
  <c r="AI27" i="6"/>
  <c r="AI30" i="6" s="1"/>
  <c r="AF30" i="6"/>
  <c r="F10" i="6"/>
  <c r="J4" i="6"/>
  <c r="L10" i="6" s="1"/>
  <c r="E10" i="6"/>
  <c r="F4" i="6"/>
  <c r="G10" i="6" s="1"/>
  <c r="AG6" i="6"/>
  <c r="D6" i="6"/>
  <c r="AA4" i="6"/>
  <c r="AC10" i="6" s="1"/>
  <c r="R3" i="6"/>
  <c r="N3" i="6"/>
  <c r="E9" i="6"/>
  <c r="AB6" i="6"/>
  <c r="E11" i="6"/>
  <c r="AC6" i="6"/>
  <c r="F5" i="6"/>
  <c r="F11" i="6" s="1"/>
  <c r="C11" i="6"/>
  <c r="AE5" i="6"/>
  <c r="V11" i="6"/>
  <c r="AH6" i="6"/>
  <c r="G6" i="6"/>
  <c r="C6" i="6"/>
  <c r="E6" i="6"/>
  <c r="H6" i="6"/>
  <c r="P6" i="6"/>
  <c r="D9" i="7"/>
  <c r="V9" i="7" s="1"/>
  <c r="D9" i="6"/>
  <c r="L6" i="6"/>
  <c r="I6" i="6"/>
  <c r="V6" i="6"/>
  <c r="T6" i="6"/>
  <c r="F3" i="6"/>
  <c r="H9" i="6" s="1"/>
  <c r="N5" i="6"/>
  <c r="Z6" i="6"/>
  <c r="C9" i="6"/>
  <c r="D7" i="7"/>
  <c r="V7" i="7" s="1"/>
  <c r="F8" i="7"/>
  <c r="X8" i="7" s="1"/>
  <c r="F9" i="7"/>
  <c r="X9" i="7" s="1"/>
  <c r="D8" i="7"/>
  <c r="V8" i="7" s="1"/>
  <c r="F7" i="7"/>
  <c r="X7" i="7" s="1"/>
  <c r="T9" i="6"/>
  <c r="U9" i="6"/>
  <c r="U10" i="6"/>
  <c r="AI3" i="6"/>
  <c r="V10" i="6"/>
  <c r="Y10" i="6"/>
  <c r="K6" i="6"/>
  <c r="AI4" i="6"/>
  <c r="O6" i="6"/>
  <c r="W5" i="6"/>
  <c r="X6" i="6"/>
  <c r="AA3" i="6"/>
  <c r="N4" i="6"/>
  <c r="Q6" i="6"/>
  <c r="R4" i="6"/>
  <c r="T11" i="6"/>
  <c r="U11" i="6"/>
  <c r="V9" i="6"/>
  <c r="T10" i="6"/>
  <c r="J5" i="6"/>
  <c r="D10" i="6"/>
  <c r="Y6" i="6"/>
  <c r="J3" i="6"/>
  <c r="AE3" i="6"/>
  <c r="AD6" i="6"/>
  <c r="W3" i="6"/>
  <c r="W9" i="6" s="1"/>
  <c r="W10" i="6"/>
  <c r="U6" i="6"/>
  <c r="AF6" i="6"/>
  <c r="M6" i="6"/>
  <c r="AE4" i="6"/>
  <c r="X10" i="6"/>
  <c r="Z10" i="6"/>
  <c r="H11" i="6"/>
  <c r="X10" i="7" l="1"/>
  <c r="V10" i="7"/>
  <c r="W21" i="6"/>
  <c r="Z21" i="6"/>
  <c r="X21" i="6"/>
  <c r="J21" i="6"/>
  <c r="F21" i="6"/>
  <c r="AH21" i="6"/>
  <c r="Q21" i="6"/>
  <c r="H21" i="6"/>
  <c r="AG33" i="6"/>
  <c r="M21" i="6"/>
  <c r="AA21" i="6"/>
  <c r="G21" i="6"/>
  <c r="AI33" i="6"/>
  <c r="J33" i="6"/>
  <c r="R33" i="6"/>
  <c r="P21" i="6"/>
  <c r="Z33" i="6"/>
  <c r="AI21" i="6"/>
  <c r="F30" i="6"/>
  <c r="G33" i="6"/>
  <c r="O21" i="6"/>
  <c r="S15" i="6"/>
  <c r="S18" i="6" s="1"/>
  <c r="AD33" i="6"/>
  <c r="AA33" i="6"/>
  <c r="W30" i="6"/>
  <c r="AB21" i="6"/>
  <c r="N33" i="6"/>
  <c r="R21" i="6"/>
  <c r="AC33" i="6"/>
  <c r="W33" i="6"/>
  <c r="AJ15" i="6"/>
  <c r="AJ18" i="6" s="1"/>
  <c r="M33" i="6"/>
  <c r="AJ27" i="6"/>
  <c r="AJ30" i="6" s="1"/>
  <c r="K21" i="6"/>
  <c r="AE33" i="6"/>
  <c r="AB33" i="6"/>
  <c r="AE21" i="6"/>
  <c r="AF21" i="6"/>
  <c r="W18" i="6"/>
  <c r="L33" i="6"/>
  <c r="H33" i="6"/>
  <c r="F33" i="6"/>
  <c r="L21" i="6"/>
  <c r="Y33" i="6"/>
  <c r="AH33" i="6"/>
  <c r="AD21" i="6"/>
  <c r="S27" i="6"/>
  <c r="S30" i="6" s="1"/>
  <c r="K33" i="6"/>
  <c r="P33" i="6"/>
  <c r="N21" i="6"/>
  <c r="AF33" i="6"/>
  <c r="AG21" i="6"/>
  <c r="AC21" i="6"/>
  <c r="Q33" i="6"/>
  <c r="O33" i="6"/>
  <c r="R6" i="6"/>
  <c r="F9" i="6"/>
  <c r="I11" i="6"/>
  <c r="AB10" i="6"/>
  <c r="AG10" i="6"/>
  <c r="P10" i="6"/>
  <c r="N9" i="6"/>
  <c r="AD10" i="6"/>
  <c r="I10" i="6"/>
  <c r="R9" i="6"/>
  <c r="K11" i="6"/>
  <c r="K10" i="6"/>
  <c r="M10" i="6"/>
  <c r="J10" i="6"/>
  <c r="H10" i="6"/>
  <c r="AA6" i="6"/>
  <c r="AA10" i="6"/>
  <c r="G9" i="6"/>
  <c r="O9" i="6"/>
  <c r="F6" i="6"/>
  <c r="AE11" i="6"/>
  <c r="G11" i="6"/>
  <c r="AB11" i="6"/>
  <c r="L11" i="6"/>
  <c r="Q9" i="6"/>
  <c r="P11" i="6"/>
  <c r="M9" i="6"/>
  <c r="R11" i="6"/>
  <c r="K9" i="6"/>
  <c r="D10" i="7"/>
  <c r="I9" i="6"/>
  <c r="S5" i="6"/>
  <c r="S11" i="6" s="1"/>
  <c r="AE10" i="6"/>
  <c r="O10" i="6"/>
  <c r="N6" i="6"/>
  <c r="Q10" i="6"/>
  <c r="Q11" i="6"/>
  <c r="O11" i="6"/>
  <c r="AE9" i="6"/>
  <c r="AF10" i="6"/>
  <c r="AI6" i="6"/>
  <c r="M11" i="6"/>
  <c r="J6" i="6"/>
  <c r="N11" i="6"/>
  <c r="J11" i="6"/>
  <c r="S3" i="6"/>
  <c r="S9" i="6" s="1"/>
  <c r="L9" i="6"/>
  <c r="S4" i="6"/>
  <c r="S10" i="6" s="1"/>
  <c r="AJ5" i="6"/>
  <c r="AJ11" i="6" s="1"/>
  <c r="AA11" i="6"/>
  <c r="AI10" i="6"/>
  <c r="AJ3" i="6"/>
  <c r="AH9" i="6"/>
  <c r="AI9" i="6"/>
  <c r="P9" i="6"/>
  <c r="R10" i="6"/>
  <c r="AI11" i="6"/>
  <c r="AC11" i="6"/>
  <c r="AD11" i="6"/>
  <c r="AE6" i="6"/>
  <c r="N10" i="6"/>
  <c r="AC9" i="6"/>
  <c r="W6" i="6"/>
  <c r="X9" i="6"/>
  <c r="AG9" i="6"/>
  <c r="Z9" i="6"/>
  <c r="AF11" i="6"/>
  <c r="AA9" i="6"/>
  <c r="F10" i="7"/>
  <c r="AF9" i="6"/>
  <c r="J9" i="6"/>
  <c r="AB9" i="6"/>
  <c r="AD9" i="6"/>
  <c r="AH10" i="6"/>
  <c r="Z11" i="6"/>
  <c r="X11" i="6"/>
  <c r="W11" i="6"/>
  <c r="Y11" i="6"/>
  <c r="AH11" i="6"/>
  <c r="AG11" i="6"/>
  <c r="AJ4" i="6"/>
  <c r="AJ10" i="6" s="1"/>
  <c r="Y9" i="6"/>
  <c r="J419" i="4"/>
  <c r="I419" i="4"/>
  <c r="H419" i="4"/>
  <c r="G419" i="4"/>
  <c r="J418" i="4"/>
  <c r="I418" i="4"/>
  <c r="H418" i="4"/>
  <c r="G418" i="4"/>
  <c r="J417" i="4"/>
  <c r="I417" i="4"/>
  <c r="H417" i="4"/>
  <c r="G417" i="4"/>
  <c r="J416" i="4"/>
  <c r="I416" i="4"/>
  <c r="H416" i="4"/>
  <c r="G416" i="4"/>
  <c r="J415" i="4"/>
  <c r="I415" i="4"/>
  <c r="H415" i="4"/>
  <c r="G415" i="4"/>
  <c r="J414" i="4"/>
  <c r="I414" i="4"/>
  <c r="H414" i="4"/>
  <c r="G414" i="4"/>
  <c r="J413" i="4"/>
  <c r="I413" i="4"/>
  <c r="H413" i="4"/>
  <c r="G413" i="4"/>
  <c r="J412" i="4"/>
  <c r="I412" i="4"/>
  <c r="H412" i="4"/>
  <c r="G412" i="4"/>
  <c r="J411" i="4"/>
  <c r="I411" i="4"/>
  <c r="H411" i="4"/>
  <c r="G411" i="4"/>
  <c r="J410" i="4"/>
  <c r="I410" i="4"/>
  <c r="H410" i="4"/>
  <c r="G410" i="4"/>
  <c r="J409" i="4"/>
  <c r="I409" i="4"/>
  <c r="H409" i="4"/>
  <c r="G409" i="4"/>
  <c r="J408" i="4"/>
  <c r="I408" i="4"/>
  <c r="H408" i="4"/>
  <c r="G408" i="4"/>
  <c r="J407" i="4"/>
  <c r="I407" i="4"/>
  <c r="H407" i="4"/>
  <c r="G407" i="4"/>
  <c r="J406" i="4"/>
  <c r="I406" i="4"/>
  <c r="H406" i="4"/>
  <c r="G406" i="4"/>
  <c r="J405" i="4"/>
  <c r="I405" i="4"/>
  <c r="H405" i="4"/>
  <c r="G405" i="4"/>
  <c r="J404" i="4"/>
  <c r="I404" i="4"/>
  <c r="H404" i="4"/>
  <c r="G404" i="4"/>
  <c r="J403" i="4"/>
  <c r="I403" i="4"/>
  <c r="H403" i="4"/>
  <c r="G403" i="4"/>
  <c r="J402" i="4"/>
  <c r="I402" i="4"/>
  <c r="H402" i="4"/>
  <c r="G402" i="4"/>
  <c r="J401" i="4"/>
  <c r="I401" i="4"/>
  <c r="H401" i="4"/>
  <c r="G401" i="4"/>
  <c r="J400" i="4"/>
  <c r="I400" i="4"/>
  <c r="H400" i="4"/>
  <c r="G400" i="4"/>
  <c r="J399" i="4"/>
  <c r="I399" i="4"/>
  <c r="H399" i="4"/>
  <c r="G399" i="4"/>
  <c r="J398" i="4"/>
  <c r="I398" i="4"/>
  <c r="H398" i="4"/>
  <c r="G398" i="4"/>
  <c r="J397" i="4"/>
  <c r="I397" i="4"/>
  <c r="H397" i="4"/>
  <c r="G397" i="4"/>
  <c r="J396" i="4"/>
  <c r="I396" i="4"/>
  <c r="H396" i="4"/>
  <c r="G396" i="4"/>
  <c r="J395" i="4"/>
  <c r="I395" i="4"/>
  <c r="H395" i="4"/>
  <c r="G395" i="4"/>
  <c r="J394" i="4"/>
  <c r="I394" i="4"/>
  <c r="H394" i="4"/>
  <c r="G394" i="4"/>
  <c r="J393" i="4"/>
  <c r="I393" i="4"/>
  <c r="H393" i="4"/>
  <c r="G393" i="4"/>
  <c r="J392" i="4"/>
  <c r="I392" i="4"/>
  <c r="H392" i="4"/>
  <c r="G392" i="4"/>
  <c r="J391" i="4"/>
  <c r="I391" i="4"/>
  <c r="H391" i="4"/>
  <c r="G391" i="4"/>
  <c r="J390" i="4"/>
  <c r="I390" i="4"/>
  <c r="H390" i="4"/>
  <c r="G390" i="4"/>
  <c r="J389" i="4"/>
  <c r="I389" i="4"/>
  <c r="H389" i="4"/>
  <c r="G389" i="4"/>
  <c r="J388" i="4"/>
  <c r="I388" i="4"/>
  <c r="H388" i="4"/>
  <c r="G388" i="4"/>
  <c r="J387" i="4"/>
  <c r="I387" i="4"/>
  <c r="H387" i="4"/>
  <c r="G387" i="4"/>
  <c r="J386" i="4"/>
  <c r="I386" i="4"/>
  <c r="H386" i="4"/>
  <c r="G386" i="4"/>
  <c r="J385" i="4"/>
  <c r="I385" i="4"/>
  <c r="H385" i="4"/>
  <c r="G385" i="4"/>
  <c r="J384" i="4"/>
  <c r="I384" i="4"/>
  <c r="H384" i="4"/>
  <c r="G384" i="4"/>
  <c r="J383" i="4"/>
  <c r="I383" i="4"/>
  <c r="H383" i="4"/>
  <c r="G383" i="4"/>
  <c r="J382" i="4"/>
  <c r="I382" i="4"/>
  <c r="H382" i="4"/>
  <c r="G382" i="4"/>
  <c r="J381" i="4"/>
  <c r="I381" i="4"/>
  <c r="H381" i="4"/>
  <c r="G381" i="4"/>
  <c r="J380" i="4"/>
  <c r="I380" i="4"/>
  <c r="H380" i="4"/>
  <c r="G380" i="4"/>
  <c r="J379" i="4"/>
  <c r="I379" i="4"/>
  <c r="H379" i="4"/>
  <c r="G379" i="4"/>
  <c r="J378" i="4"/>
  <c r="I378" i="4"/>
  <c r="H378" i="4"/>
  <c r="G378" i="4"/>
  <c r="J377" i="4"/>
  <c r="I377" i="4"/>
  <c r="H377" i="4"/>
  <c r="G377" i="4"/>
  <c r="J376" i="4"/>
  <c r="I376" i="4"/>
  <c r="H376" i="4"/>
  <c r="G376" i="4"/>
  <c r="J375" i="4"/>
  <c r="I375" i="4"/>
  <c r="H375" i="4"/>
  <c r="G375" i="4"/>
  <c r="J374" i="4"/>
  <c r="I374" i="4"/>
  <c r="H374" i="4"/>
  <c r="G374" i="4"/>
  <c r="J373" i="4"/>
  <c r="I373" i="4"/>
  <c r="H373" i="4"/>
  <c r="G373" i="4"/>
  <c r="J372" i="4"/>
  <c r="I372" i="4"/>
  <c r="H372" i="4"/>
  <c r="G372" i="4"/>
  <c r="J371" i="4"/>
  <c r="I371" i="4"/>
  <c r="H371" i="4"/>
  <c r="G371" i="4"/>
  <c r="J370" i="4"/>
  <c r="I370" i="4"/>
  <c r="H370" i="4"/>
  <c r="G370" i="4"/>
  <c r="J369" i="4"/>
  <c r="I369" i="4"/>
  <c r="H369" i="4"/>
  <c r="G369" i="4"/>
  <c r="J368" i="4"/>
  <c r="I368" i="4"/>
  <c r="H368" i="4"/>
  <c r="G368" i="4"/>
  <c r="J367" i="4"/>
  <c r="I367" i="4"/>
  <c r="H367" i="4"/>
  <c r="G367" i="4"/>
  <c r="J366" i="4"/>
  <c r="I366" i="4"/>
  <c r="H366" i="4"/>
  <c r="G366" i="4"/>
  <c r="J365" i="4"/>
  <c r="I365" i="4"/>
  <c r="H365" i="4"/>
  <c r="G365" i="4"/>
  <c r="J364" i="4"/>
  <c r="I364" i="4"/>
  <c r="H364" i="4"/>
  <c r="G364" i="4"/>
  <c r="J363" i="4"/>
  <c r="I363" i="4"/>
  <c r="H363" i="4"/>
  <c r="G363" i="4"/>
  <c r="J362" i="4"/>
  <c r="I362" i="4"/>
  <c r="H362" i="4"/>
  <c r="G362" i="4"/>
  <c r="J361" i="4"/>
  <c r="I361" i="4"/>
  <c r="H361" i="4"/>
  <c r="G361" i="4"/>
  <c r="J360" i="4"/>
  <c r="I360" i="4"/>
  <c r="H360" i="4"/>
  <c r="G360" i="4"/>
  <c r="J359" i="4"/>
  <c r="I359" i="4"/>
  <c r="H359" i="4"/>
  <c r="G359" i="4"/>
  <c r="J358" i="4"/>
  <c r="I358" i="4"/>
  <c r="H358" i="4"/>
  <c r="G358" i="4"/>
  <c r="J357" i="4"/>
  <c r="I357" i="4"/>
  <c r="H357" i="4"/>
  <c r="G357" i="4"/>
  <c r="J356" i="4"/>
  <c r="I356" i="4"/>
  <c r="H356" i="4"/>
  <c r="G356" i="4"/>
  <c r="J355" i="4"/>
  <c r="I355" i="4"/>
  <c r="H355" i="4"/>
  <c r="G355" i="4"/>
  <c r="J354" i="4"/>
  <c r="I354" i="4"/>
  <c r="H354" i="4"/>
  <c r="G354" i="4"/>
  <c r="J353" i="4"/>
  <c r="I353" i="4"/>
  <c r="H353" i="4"/>
  <c r="G353" i="4"/>
  <c r="J352" i="4"/>
  <c r="I352" i="4"/>
  <c r="H352" i="4"/>
  <c r="G352" i="4"/>
  <c r="J351" i="4"/>
  <c r="I351" i="4"/>
  <c r="H351" i="4"/>
  <c r="G351" i="4"/>
  <c r="J350" i="4"/>
  <c r="I350" i="4"/>
  <c r="H350" i="4"/>
  <c r="G350" i="4"/>
  <c r="J349" i="4"/>
  <c r="I349" i="4"/>
  <c r="H349" i="4"/>
  <c r="G349" i="4"/>
  <c r="J348" i="4"/>
  <c r="I348" i="4"/>
  <c r="H348" i="4"/>
  <c r="G348" i="4"/>
  <c r="J347" i="4"/>
  <c r="I347" i="4"/>
  <c r="H347" i="4"/>
  <c r="G347" i="4"/>
  <c r="J346" i="4"/>
  <c r="I346" i="4"/>
  <c r="H346" i="4"/>
  <c r="G346" i="4"/>
  <c r="J345" i="4"/>
  <c r="I345" i="4"/>
  <c r="H345" i="4"/>
  <c r="G345" i="4"/>
  <c r="J344" i="4"/>
  <c r="I344" i="4"/>
  <c r="H344" i="4"/>
  <c r="G344" i="4"/>
  <c r="J343" i="4"/>
  <c r="I343" i="4"/>
  <c r="H343" i="4"/>
  <c r="G343" i="4"/>
  <c r="J342" i="4"/>
  <c r="I342" i="4"/>
  <c r="H342" i="4"/>
  <c r="G342" i="4"/>
  <c r="J341" i="4"/>
  <c r="I341" i="4"/>
  <c r="H341" i="4"/>
  <c r="G341" i="4"/>
  <c r="J340" i="4"/>
  <c r="I340" i="4"/>
  <c r="H340" i="4"/>
  <c r="G340" i="4"/>
  <c r="J339" i="4"/>
  <c r="I339" i="4"/>
  <c r="H339" i="4"/>
  <c r="G339" i="4"/>
  <c r="J338" i="4"/>
  <c r="I338" i="4"/>
  <c r="H338" i="4"/>
  <c r="G338" i="4"/>
  <c r="J337" i="4"/>
  <c r="I337" i="4"/>
  <c r="H337" i="4"/>
  <c r="G337" i="4"/>
  <c r="J336" i="4"/>
  <c r="I336" i="4"/>
  <c r="H336" i="4"/>
  <c r="G336" i="4"/>
  <c r="J335" i="4"/>
  <c r="I335" i="4"/>
  <c r="H335" i="4"/>
  <c r="G335" i="4"/>
  <c r="J334" i="4"/>
  <c r="I334" i="4"/>
  <c r="H334" i="4"/>
  <c r="G334" i="4"/>
  <c r="J333" i="4"/>
  <c r="I333" i="4"/>
  <c r="H333" i="4"/>
  <c r="G333" i="4"/>
  <c r="J332" i="4"/>
  <c r="I332" i="4"/>
  <c r="H332" i="4"/>
  <c r="G332" i="4"/>
  <c r="J331" i="4"/>
  <c r="I331" i="4"/>
  <c r="H331" i="4"/>
  <c r="G331" i="4"/>
  <c r="J330" i="4"/>
  <c r="I330" i="4"/>
  <c r="H330" i="4"/>
  <c r="G330" i="4"/>
  <c r="J329" i="4"/>
  <c r="I329" i="4"/>
  <c r="H329" i="4"/>
  <c r="G329" i="4"/>
  <c r="J328" i="4"/>
  <c r="I328" i="4"/>
  <c r="H328" i="4"/>
  <c r="G328" i="4"/>
  <c r="J327" i="4"/>
  <c r="I327" i="4"/>
  <c r="H327" i="4"/>
  <c r="G327" i="4"/>
  <c r="J326" i="4"/>
  <c r="I326" i="4"/>
  <c r="H326" i="4"/>
  <c r="G326" i="4"/>
  <c r="J325" i="4"/>
  <c r="I325" i="4"/>
  <c r="H325" i="4"/>
  <c r="G325" i="4"/>
  <c r="J324" i="4"/>
  <c r="I324" i="4"/>
  <c r="H324" i="4"/>
  <c r="G324" i="4"/>
  <c r="J323" i="4"/>
  <c r="I323" i="4"/>
  <c r="H323" i="4"/>
  <c r="G323" i="4"/>
  <c r="J322" i="4"/>
  <c r="I322" i="4"/>
  <c r="H322" i="4"/>
  <c r="G322" i="4"/>
  <c r="J321" i="4"/>
  <c r="I321" i="4"/>
  <c r="H321" i="4"/>
  <c r="G321" i="4"/>
  <c r="J320" i="4"/>
  <c r="I320" i="4"/>
  <c r="H320" i="4"/>
  <c r="G320" i="4"/>
  <c r="J319" i="4"/>
  <c r="I319" i="4"/>
  <c r="H319" i="4"/>
  <c r="G319" i="4"/>
  <c r="J318" i="4"/>
  <c r="I318" i="4"/>
  <c r="H318" i="4"/>
  <c r="G318" i="4"/>
  <c r="J317" i="4"/>
  <c r="I317" i="4"/>
  <c r="H317" i="4"/>
  <c r="G317" i="4"/>
  <c r="J316" i="4"/>
  <c r="I316" i="4"/>
  <c r="H316" i="4"/>
  <c r="G316" i="4"/>
  <c r="J315" i="4"/>
  <c r="I315" i="4"/>
  <c r="H315" i="4"/>
  <c r="G315" i="4"/>
  <c r="I314" i="4"/>
  <c r="H314" i="4"/>
  <c r="G314" i="4"/>
  <c r="I313" i="4"/>
  <c r="H313" i="4"/>
  <c r="G313" i="4"/>
  <c r="E313" i="4"/>
  <c r="J313" i="4" s="1"/>
  <c r="I312" i="4"/>
  <c r="H312" i="4"/>
  <c r="G312" i="4"/>
  <c r="I311" i="4"/>
  <c r="H311" i="4"/>
  <c r="G311" i="4"/>
  <c r="I310" i="4"/>
  <c r="H310" i="4"/>
  <c r="G310" i="4"/>
  <c r="I309" i="4"/>
  <c r="H309" i="4"/>
  <c r="G309" i="4"/>
  <c r="I308" i="4"/>
  <c r="H308" i="4"/>
  <c r="G308" i="4"/>
  <c r="I307" i="4"/>
  <c r="H307" i="4"/>
  <c r="G307" i="4"/>
  <c r="I306" i="4"/>
  <c r="H306" i="4"/>
  <c r="G306" i="4"/>
  <c r="I305" i="4"/>
  <c r="H305" i="4"/>
  <c r="G305" i="4"/>
  <c r="E305" i="4"/>
  <c r="J305" i="4" s="1"/>
  <c r="I304" i="4"/>
  <c r="H304" i="4"/>
  <c r="G304" i="4"/>
  <c r="I303" i="4"/>
  <c r="H303" i="4"/>
  <c r="G303" i="4"/>
  <c r="I302" i="4"/>
  <c r="H302" i="4"/>
  <c r="G302" i="4"/>
  <c r="J301" i="4"/>
  <c r="I301" i="4"/>
  <c r="H301" i="4"/>
  <c r="G301" i="4"/>
  <c r="E301" i="4"/>
  <c r="E314" i="4" s="1"/>
  <c r="J314" i="4" s="1"/>
  <c r="I300" i="4"/>
  <c r="H300" i="4"/>
  <c r="G300" i="4"/>
  <c r="I299" i="4"/>
  <c r="H299" i="4"/>
  <c r="G299" i="4"/>
  <c r="I298" i="4"/>
  <c r="H298" i="4"/>
  <c r="G298" i="4"/>
  <c r="I297" i="4"/>
  <c r="H297" i="4"/>
  <c r="G297" i="4"/>
  <c r="E297" i="4"/>
  <c r="I296" i="4"/>
  <c r="H296" i="4"/>
  <c r="G296" i="4"/>
  <c r="I295" i="4"/>
  <c r="H295" i="4"/>
  <c r="G295" i="4"/>
  <c r="I294" i="4"/>
  <c r="H294" i="4"/>
  <c r="G294" i="4"/>
  <c r="E294" i="4"/>
  <c r="J293" i="4"/>
  <c r="I293" i="4"/>
  <c r="H293" i="4"/>
  <c r="G293" i="4"/>
  <c r="E293" i="4"/>
  <c r="E306" i="4" s="1"/>
  <c r="J306" i="4" s="1"/>
  <c r="I292" i="4"/>
  <c r="H292" i="4"/>
  <c r="G292" i="4"/>
  <c r="I291" i="4"/>
  <c r="H291" i="4"/>
  <c r="G291" i="4"/>
  <c r="I290" i="4"/>
  <c r="H290" i="4"/>
  <c r="G290" i="4"/>
  <c r="I289" i="4"/>
  <c r="H289" i="4"/>
  <c r="G289" i="4"/>
  <c r="E289" i="4"/>
  <c r="J289" i="4" s="1"/>
  <c r="I288" i="4"/>
  <c r="H288" i="4"/>
  <c r="G288" i="4"/>
  <c r="E288" i="4"/>
  <c r="J288" i="4" s="1"/>
  <c r="J287" i="4"/>
  <c r="I287" i="4"/>
  <c r="H287" i="4"/>
  <c r="G287" i="4"/>
  <c r="E287" i="4"/>
  <c r="E300" i="4" s="1"/>
  <c r="J300" i="4" s="1"/>
  <c r="J286" i="4"/>
  <c r="I286" i="4"/>
  <c r="H286" i="4"/>
  <c r="G286" i="4"/>
  <c r="E286" i="4"/>
  <c r="E299" i="4" s="1"/>
  <c r="I285" i="4"/>
  <c r="H285" i="4"/>
  <c r="G285" i="4"/>
  <c r="E285" i="4"/>
  <c r="I284" i="4"/>
  <c r="H284" i="4"/>
  <c r="G284" i="4"/>
  <c r="E284" i="4"/>
  <c r="J284" i="4" s="1"/>
  <c r="I283" i="4"/>
  <c r="H283" i="4"/>
  <c r="G283" i="4"/>
  <c r="E283" i="4"/>
  <c r="E296" i="4" s="1"/>
  <c r="J296" i="4" s="1"/>
  <c r="I282" i="4"/>
  <c r="H282" i="4"/>
  <c r="G282" i="4"/>
  <c r="E282" i="4"/>
  <c r="I281" i="4"/>
  <c r="H281" i="4"/>
  <c r="G281" i="4"/>
  <c r="E281" i="4"/>
  <c r="J281" i="4" s="1"/>
  <c r="I280" i="4"/>
  <c r="H280" i="4"/>
  <c r="G280" i="4"/>
  <c r="E280" i="4"/>
  <c r="J280" i="4" s="1"/>
  <c r="J279" i="4"/>
  <c r="I279" i="4"/>
  <c r="H279" i="4"/>
  <c r="G279" i="4"/>
  <c r="E279" i="4"/>
  <c r="E292" i="4" s="1"/>
  <c r="J292" i="4" s="1"/>
  <c r="I278" i="4"/>
  <c r="H278" i="4"/>
  <c r="G278" i="4"/>
  <c r="E278" i="4"/>
  <c r="J277" i="4"/>
  <c r="I277" i="4"/>
  <c r="H277" i="4"/>
  <c r="G277" i="4"/>
  <c r="E277" i="4"/>
  <c r="E290" i="4" s="1"/>
  <c r="E303" i="4" s="1"/>
  <c r="J303" i="4" s="1"/>
  <c r="J276" i="4"/>
  <c r="I276" i="4"/>
  <c r="H276" i="4"/>
  <c r="G276" i="4"/>
  <c r="E276" i="4"/>
  <c r="J275" i="4"/>
  <c r="I275" i="4"/>
  <c r="H275" i="4"/>
  <c r="G275" i="4"/>
  <c r="J274" i="4"/>
  <c r="I274" i="4"/>
  <c r="H274" i="4"/>
  <c r="G274" i="4"/>
  <c r="J273" i="4"/>
  <c r="I273" i="4"/>
  <c r="H273" i="4"/>
  <c r="G273" i="4"/>
  <c r="J272" i="4"/>
  <c r="I272" i="4"/>
  <c r="H272" i="4"/>
  <c r="G272" i="4"/>
  <c r="J271" i="4"/>
  <c r="I271" i="4"/>
  <c r="H271" i="4"/>
  <c r="G271" i="4"/>
  <c r="J270" i="4"/>
  <c r="I270" i="4"/>
  <c r="H270" i="4"/>
  <c r="G270" i="4"/>
  <c r="J269" i="4"/>
  <c r="I269" i="4"/>
  <c r="H269" i="4"/>
  <c r="G269" i="4"/>
  <c r="J268" i="4"/>
  <c r="I268" i="4"/>
  <c r="H268" i="4"/>
  <c r="G268" i="4"/>
  <c r="J267" i="4"/>
  <c r="I267" i="4"/>
  <c r="H267" i="4"/>
  <c r="G267" i="4"/>
  <c r="J266" i="4"/>
  <c r="I266" i="4"/>
  <c r="H266" i="4"/>
  <c r="G266" i="4"/>
  <c r="J265" i="4"/>
  <c r="I265" i="4"/>
  <c r="H265" i="4"/>
  <c r="G265" i="4"/>
  <c r="J264" i="4"/>
  <c r="I264" i="4"/>
  <c r="H264" i="4"/>
  <c r="G264" i="4"/>
  <c r="J263" i="4"/>
  <c r="I263" i="4"/>
  <c r="H263" i="4"/>
  <c r="G263" i="4"/>
  <c r="I262" i="4"/>
  <c r="H262" i="4"/>
  <c r="G262" i="4"/>
  <c r="I261" i="4"/>
  <c r="H261" i="4"/>
  <c r="G261" i="4"/>
  <c r="I260" i="4"/>
  <c r="H260" i="4"/>
  <c r="G260" i="4"/>
  <c r="I259" i="4"/>
  <c r="H259" i="4"/>
  <c r="G259" i="4"/>
  <c r="E259" i="4"/>
  <c r="J259" i="4" s="1"/>
  <c r="I258" i="4"/>
  <c r="H258" i="4"/>
  <c r="G258" i="4"/>
  <c r="E258" i="4"/>
  <c r="J258" i="4" s="1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H252" i="4"/>
  <c r="G252" i="4"/>
  <c r="I251" i="4"/>
  <c r="H251" i="4"/>
  <c r="G251" i="4"/>
  <c r="E251" i="4"/>
  <c r="J251" i="4" s="1"/>
  <c r="I250" i="4"/>
  <c r="H250" i="4"/>
  <c r="G250" i="4"/>
  <c r="E250" i="4"/>
  <c r="J250" i="4" s="1"/>
  <c r="I249" i="4"/>
  <c r="H249" i="4"/>
  <c r="G249" i="4"/>
  <c r="I248" i="4"/>
  <c r="H248" i="4"/>
  <c r="G248" i="4"/>
  <c r="I247" i="4"/>
  <c r="H247" i="4"/>
  <c r="G247" i="4"/>
  <c r="J246" i="4"/>
  <c r="I246" i="4"/>
  <c r="H246" i="4"/>
  <c r="G246" i="4"/>
  <c r="E246" i="4"/>
  <c r="I245" i="4"/>
  <c r="H245" i="4"/>
  <c r="G245" i="4"/>
  <c r="I244" i="4"/>
  <c r="H244" i="4"/>
  <c r="G244" i="4"/>
  <c r="I243" i="4"/>
  <c r="H243" i="4"/>
  <c r="G243" i="4"/>
  <c r="E243" i="4"/>
  <c r="I242" i="4"/>
  <c r="H242" i="4"/>
  <c r="G242" i="4"/>
  <c r="E242" i="4"/>
  <c r="J242" i="4" s="1"/>
  <c r="I241" i="4"/>
  <c r="H241" i="4"/>
  <c r="G241" i="4"/>
  <c r="I240" i="4"/>
  <c r="H240" i="4"/>
  <c r="G240" i="4"/>
  <c r="I239" i="4"/>
  <c r="H239" i="4"/>
  <c r="G239" i="4"/>
  <c r="J238" i="4"/>
  <c r="I238" i="4"/>
  <c r="H238" i="4"/>
  <c r="G238" i="4"/>
  <c r="E238" i="4"/>
  <c r="I237" i="4"/>
  <c r="H237" i="4"/>
  <c r="G237" i="4"/>
  <c r="J236" i="4"/>
  <c r="I236" i="4"/>
  <c r="H236" i="4"/>
  <c r="G236" i="4"/>
  <c r="E236" i="4"/>
  <c r="E249" i="4" s="1"/>
  <c r="J249" i="4" s="1"/>
  <c r="J235" i="4"/>
  <c r="I235" i="4"/>
  <c r="H235" i="4"/>
  <c r="G235" i="4"/>
  <c r="E235" i="4"/>
  <c r="E248" i="4" s="1"/>
  <c r="I234" i="4"/>
  <c r="H234" i="4"/>
  <c r="G234" i="4"/>
  <c r="E234" i="4"/>
  <c r="J233" i="4"/>
  <c r="I233" i="4"/>
  <c r="H233" i="4"/>
  <c r="G233" i="4"/>
  <c r="E233" i="4"/>
  <c r="I232" i="4"/>
  <c r="H232" i="4"/>
  <c r="G232" i="4"/>
  <c r="E232" i="4"/>
  <c r="E245" i="4" s="1"/>
  <c r="J245" i="4" s="1"/>
  <c r="J231" i="4"/>
  <c r="I231" i="4"/>
  <c r="H231" i="4"/>
  <c r="G231" i="4"/>
  <c r="E231" i="4"/>
  <c r="E244" i="4" s="1"/>
  <c r="I230" i="4"/>
  <c r="H230" i="4"/>
  <c r="G230" i="4"/>
  <c r="E230" i="4"/>
  <c r="J230" i="4" s="1"/>
  <c r="I229" i="4"/>
  <c r="H229" i="4"/>
  <c r="G229" i="4"/>
  <c r="E229" i="4"/>
  <c r="J229" i="4" s="1"/>
  <c r="J228" i="4"/>
  <c r="I228" i="4"/>
  <c r="H228" i="4"/>
  <c r="G228" i="4"/>
  <c r="E228" i="4"/>
  <c r="E241" i="4" s="1"/>
  <c r="J241" i="4" s="1"/>
  <c r="I227" i="4"/>
  <c r="H227" i="4"/>
  <c r="G227" i="4"/>
  <c r="E227" i="4"/>
  <c r="I226" i="4"/>
  <c r="H226" i="4"/>
  <c r="G226" i="4"/>
  <c r="E226" i="4"/>
  <c r="J226" i="4" s="1"/>
  <c r="J225" i="4"/>
  <c r="I225" i="4"/>
  <c r="H225" i="4"/>
  <c r="G225" i="4"/>
  <c r="E225" i="4"/>
  <c r="I224" i="4"/>
  <c r="H224" i="4"/>
  <c r="G224" i="4"/>
  <c r="E224" i="4"/>
  <c r="E237" i="4" s="1"/>
  <c r="J237" i="4" s="1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I210" i="4"/>
  <c r="H210" i="4"/>
  <c r="G210" i="4"/>
  <c r="I209" i="4"/>
  <c r="H209" i="4"/>
  <c r="G209" i="4"/>
  <c r="I208" i="4"/>
  <c r="H208" i="4"/>
  <c r="G208" i="4"/>
  <c r="I207" i="4"/>
  <c r="H207" i="4"/>
  <c r="G207" i="4"/>
  <c r="I206" i="4"/>
  <c r="H206" i="4"/>
  <c r="G206" i="4"/>
  <c r="I205" i="4"/>
  <c r="H205" i="4"/>
  <c r="G205" i="4"/>
  <c r="I204" i="4"/>
  <c r="H204" i="4"/>
  <c r="G204" i="4"/>
  <c r="J203" i="4"/>
  <c r="I203" i="4"/>
  <c r="H203" i="4"/>
  <c r="G203" i="4"/>
  <c r="E203" i="4"/>
  <c r="I202" i="4"/>
  <c r="H202" i="4"/>
  <c r="G202" i="4"/>
  <c r="I201" i="4"/>
  <c r="H201" i="4"/>
  <c r="G201" i="4"/>
  <c r="I200" i="4"/>
  <c r="H200" i="4"/>
  <c r="G200" i="4"/>
  <c r="J199" i="4"/>
  <c r="I199" i="4"/>
  <c r="H199" i="4"/>
  <c r="G199" i="4"/>
  <c r="E199" i="4"/>
  <c r="I198" i="4"/>
  <c r="H198" i="4"/>
  <c r="G198" i="4"/>
  <c r="I197" i="4"/>
  <c r="H197" i="4"/>
  <c r="G197" i="4"/>
  <c r="I196" i="4"/>
  <c r="H196" i="4"/>
  <c r="G196" i="4"/>
  <c r="J195" i="4"/>
  <c r="I195" i="4"/>
  <c r="H195" i="4"/>
  <c r="G195" i="4"/>
  <c r="E195" i="4"/>
  <c r="E208" i="4" s="1"/>
  <c r="J208" i="4" s="1"/>
  <c r="I194" i="4"/>
  <c r="H194" i="4"/>
  <c r="G194" i="4"/>
  <c r="I193" i="4"/>
  <c r="H193" i="4"/>
  <c r="G193" i="4"/>
  <c r="I192" i="4"/>
  <c r="H192" i="4"/>
  <c r="G192" i="4"/>
  <c r="J191" i="4"/>
  <c r="I191" i="4"/>
  <c r="H191" i="4"/>
  <c r="G191" i="4"/>
  <c r="E191" i="4"/>
  <c r="E204" i="4" s="1"/>
  <c r="J204" i="4" s="1"/>
  <c r="I190" i="4"/>
  <c r="H190" i="4"/>
  <c r="G190" i="4"/>
  <c r="I189" i="4"/>
  <c r="H189" i="4"/>
  <c r="G189" i="4"/>
  <c r="I188" i="4"/>
  <c r="H188" i="4"/>
  <c r="G188" i="4"/>
  <c r="J187" i="4"/>
  <c r="I187" i="4"/>
  <c r="H187" i="4"/>
  <c r="G187" i="4"/>
  <c r="E187" i="4"/>
  <c r="E200" i="4" s="1"/>
  <c r="J200" i="4" s="1"/>
  <c r="I186" i="4"/>
  <c r="H186" i="4"/>
  <c r="G186" i="4"/>
  <c r="I185" i="4"/>
  <c r="H185" i="4"/>
  <c r="G185" i="4"/>
  <c r="I184" i="4"/>
  <c r="H184" i="4"/>
  <c r="G184" i="4"/>
  <c r="E184" i="4"/>
  <c r="E197" i="4" s="1"/>
  <c r="I183" i="4"/>
  <c r="H183" i="4"/>
  <c r="G183" i="4"/>
  <c r="E183" i="4"/>
  <c r="I182" i="4"/>
  <c r="H182" i="4"/>
  <c r="G182" i="4"/>
  <c r="E182" i="4"/>
  <c r="J182" i="4" s="1"/>
  <c r="I181" i="4"/>
  <c r="H181" i="4"/>
  <c r="G181" i="4"/>
  <c r="E181" i="4"/>
  <c r="I180" i="4"/>
  <c r="H180" i="4"/>
  <c r="G180" i="4"/>
  <c r="E180" i="4"/>
  <c r="I179" i="4"/>
  <c r="H179" i="4"/>
  <c r="G179" i="4"/>
  <c r="E179" i="4"/>
  <c r="E192" i="4" s="1"/>
  <c r="I178" i="4"/>
  <c r="H178" i="4"/>
  <c r="G178" i="4"/>
  <c r="E178" i="4"/>
  <c r="J178" i="4" s="1"/>
  <c r="J177" i="4"/>
  <c r="I177" i="4"/>
  <c r="H177" i="4"/>
  <c r="G177" i="4"/>
  <c r="E177" i="4"/>
  <c r="E190" i="4" s="1"/>
  <c r="J190" i="4" s="1"/>
  <c r="J176" i="4"/>
  <c r="I176" i="4"/>
  <c r="H176" i="4"/>
  <c r="G176" i="4"/>
  <c r="E176" i="4"/>
  <c r="E189" i="4" s="1"/>
  <c r="I175" i="4"/>
  <c r="H175" i="4"/>
  <c r="G175" i="4"/>
  <c r="E175" i="4"/>
  <c r="I174" i="4"/>
  <c r="H174" i="4"/>
  <c r="G174" i="4"/>
  <c r="E174" i="4"/>
  <c r="J174" i="4" s="1"/>
  <c r="J173" i="4"/>
  <c r="I173" i="4"/>
  <c r="H173" i="4"/>
  <c r="G173" i="4"/>
  <c r="E173" i="4"/>
  <c r="E186" i="4" s="1"/>
  <c r="J186" i="4" s="1"/>
  <c r="J172" i="4"/>
  <c r="I172" i="4"/>
  <c r="H172" i="4"/>
  <c r="G172" i="4"/>
  <c r="E172" i="4"/>
  <c r="E185" i="4" s="1"/>
  <c r="E198" i="4" s="1"/>
  <c r="J198" i="4" s="1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A165" i="4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J164" i="4"/>
  <c r="I164" i="4"/>
  <c r="H164" i="4"/>
  <c r="G164" i="4"/>
  <c r="J163" i="4"/>
  <c r="I163" i="4"/>
  <c r="H163" i="4"/>
  <c r="G163" i="4"/>
  <c r="J162" i="4"/>
  <c r="I162" i="4"/>
  <c r="H162" i="4"/>
  <c r="G162" i="4"/>
  <c r="B162" i="4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J161" i="4"/>
  <c r="I161" i="4"/>
  <c r="H161" i="4"/>
  <c r="G161" i="4"/>
  <c r="A161" i="4"/>
  <c r="A162" i="4" s="1"/>
  <c r="A163" i="4" s="1"/>
  <c r="A164" i="4" s="1"/>
  <c r="J160" i="4"/>
  <c r="I160" i="4"/>
  <c r="H160" i="4"/>
  <c r="G160" i="4"/>
  <c r="A160" i="4"/>
  <c r="J159" i="4"/>
  <c r="I159" i="4"/>
  <c r="H159" i="4"/>
  <c r="G159" i="4"/>
  <c r="B159" i="4"/>
  <c r="B160" i="4" s="1"/>
  <c r="B161" i="4" s="1"/>
  <c r="J158" i="4"/>
  <c r="I158" i="4"/>
  <c r="H158" i="4"/>
  <c r="G158" i="4"/>
  <c r="I157" i="4"/>
  <c r="H157" i="4"/>
  <c r="G157" i="4"/>
  <c r="I156" i="4"/>
  <c r="H156" i="4"/>
  <c r="G156" i="4"/>
  <c r="J155" i="4"/>
  <c r="I155" i="4"/>
  <c r="H155" i="4"/>
  <c r="G155" i="4"/>
  <c r="I154" i="4"/>
  <c r="H154" i="4"/>
  <c r="G154" i="4"/>
  <c r="I153" i="4"/>
  <c r="H153" i="4"/>
  <c r="G153" i="4"/>
  <c r="I152" i="4"/>
  <c r="H152" i="4"/>
  <c r="G152" i="4"/>
  <c r="I151" i="4"/>
  <c r="H151" i="4"/>
  <c r="G151" i="4"/>
  <c r="I150" i="4"/>
  <c r="H150" i="4"/>
  <c r="G150" i="4"/>
  <c r="I149" i="4"/>
  <c r="H149" i="4"/>
  <c r="G149" i="4"/>
  <c r="I148" i="4"/>
  <c r="H148" i="4"/>
  <c r="G148" i="4"/>
  <c r="J147" i="4"/>
  <c r="I147" i="4"/>
  <c r="H147" i="4"/>
  <c r="G147" i="4"/>
  <c r="I146" i="4"/>
  <c r="H146" i="4"/>
  <c r="G146" i="4"/>
  <c r="I145" i="4"/>
  <c r="H145" i="4"/>
  <c r="G145" i="4"/>
  <c r="I144" i="4"/>
  <c r="H144" i="4"/>
  <c r="G144" i="4"/>
  <c r="E144" i="4"/>
  <c r="I143" i="4"/>
  <c r="H143" i="4"/>
  <c r="G143" i="4"/>
  <c r="E143" i="4"/>
  <c r="J142" i="4"/>
  <c r="I142" i="4"/>
  <c r="H142" i="4"/>
  <c r="G142" i="4"/>
  <c r="E142" i="4"/>
  <c r="E155" i="4" s="1"/>
  <c r="I141" i="4"/>
  <c r="H141" i="4"/>
  <c r="G141" i="4"/>
  <c r="I140" i="4"/>
  <c r="H140" i="4"/>
  <c r="G140" i="4"/>
  <c r="I139" i="4"/>
  <c r="H139" i="4"/>
  <c r="G139" i="4"/>
  <c r="I138" i="4"/>
  <c r="H138" i="4"/>
  <c r="G138" i="4"/>
  <c r="E138" i="4"/>
  <c r="I137" i="4"/>
  <c r="H137" i="4"/>
  <c r="G137" i="4"/>
  <c r="I136" i="4"/>
  <c r="H136" i="4"/>
  <c r="G136" i="4"/>
  <c r="E136" i="4"/>
  <c r="I135" i="4"/>
  <c r="H135" i="4"/>
  <c r="G135" i="4"/>
  <c r="J134" i="4"/>
  <c r="I134" i="4"/>
  <c r="H134" i="4"/>
  <c r="G134" i="4"/>
  <c r="E134" i="4"/>
  <c r="E147" i="4" s="1"/>
  <c r="I133" i="4"/>
  <c r="H133" i="4"/>
  <c r="G133" i="4"/>
  <c r="J132" i="4"/>
  <c r="I132" i="4"/>
  <c r="H132" i="4"/>
  <c r="G132" i="4"/>
  <c r="E132" i="4"/>
  <c r="E145" i="4" s="1"/>
  <c r="J145" i="4" s="1"/>
  <c r="J131" i="4"/>
  <c r="I131" i="4"/>
  <c r="H131" i="4"/>
  <c r="G131" i="4"/>
  <c r="E131" i="4"/>
  <c r="J130" i="4"/>
  <c r="I130" i="4"/>
  <c r="H130" i="4"/>
  <c r="G130" i="4"/>
  <c r="E130" i="4"/>
  <c r="J129" i="4"/>
  <c r="I129" i="4"/>
  <c r="H129" i="4"/>
  <c r="G129" i="4"/>
  <c r="E129" i="4"/>
  <c r="I128" i="4"/>
  <c r="H128" i="4"/>
  <c r="G128" i="4"/>
  <c r="E128" i="4"/>
  <c r="I127" i="4"/>
  <c r="H127" i="4"/>
  <c r="G127" i="4"/>
  <c r="E127" i="4"/>
  <c r="I126" i="4"/>
  <c r="H126" i="4"/>
  <c r="G126" i="4"/>
  <c r="E126" i="4"/>
  <c r="I125" i="4"/>
  <c r="H125" i="4"/>
  <c r="G125" i="4"/>
  <c r="E125" i="4"/>
  <c r="J125" i="4" s="1"/>
  <c r="J124" i="4"/>
  <c r="I124" i="4"/>
  <c r="H124" i="4"/>
  <c r="G124" i="4"/>
  <c r="E124" i="4"/>
  <c r="E137" i="4" s="1"/>
  <c r="J137" i="4" s="1"/>
  <c r="J123" i="4"/>
  <c r="I123" i="4"/>
  <c r="H123" i="4"/>
  <c r="G123" i="4"/>
  <c r="E123" i="4"/>
  <c r="I122" i="4"/>
  <c r="H122" i="4"/>
  <c r="G122" i="4"/>
  <c r="E122" i="4"/>
  <c r="J121" i="4"/>
  <c r="I121" i="4"/>
  <c r="H121" i="4"/>
  <c r="G121" i="4"/>
  <c r="E121" i="4"/>
  <c r="I120" i="4"/>
  <c r="H120" i="4"/>
  <c r="G120" i="4"/>
  <c r="E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1" i="4"/>
  <c r="I111" i="4"/>
  <c r="H111" i="4"/>
  <c r="G111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2" i="4"/>
  <c r="H102" i="4"/>
  <c r="G102" i="4"/>
  <c r="I101" i="4"/>
  <c r="H101" i="4"/>
  <c r="G101" i="4"/>
  <c r="E101" i="4"/>
  <c r="J101" i="4" s="1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H96" i="4"/>
  <c r="G96" i="4"/>
  <c r="I95" i="4"/>
  <c r="H95" i="4"/>
  <c r="G95" i="4"/>
  <c r="I94" i="4"/>
  <c r="H94" i="4"/>
  <c r="G94" i="4"/>
  <c r="J93" i="4"/>
  <c r="I93" i="4"/>
  <c r="H93" i="4"/>
  <c r="G93" i="4"/>
  <c r="I92" i="4"/>
  <c r="H92" i="4"/>
  <c r="G92" i="4"/>
  <c r="I91" i="4"/>
  <c r="H91" i="4"/>
  <c r="G91" i="4"/>
  <c r="I90" i="4"/>
  <c r="H90" i="4"/>
  <c r="G90" i="4"/>
  <c r="J89" i="4"/>
  <c r="I89" i="4"/>
  <c r="H89" i="4"/>
  <c r="G89" i="4"/>
  <c r="E89" i="4"/>
  <c r="E102" i="4" s="1"/>
  <c r="J102" i="4" s="1"/>
  <c r="J88" i="4"/>
  <c r="I88" i="4"/>
  <c r="H88" i="4"/>
  <c r="G88" i="4"/>
  <c r="I87" i="4"/>
  <c r="H87" i="4"/>
  <c r="G87" i="4"/>
  <c r="I86" i="4"/>
  <c r="H86" i="4"/>
  <c r="G86" i="4"/>
  <c r="E86" i="4"/>
  <c r="J86" i="4" s="1"/>
  <c r="I85" i="4"/>
  <c r="H85" i="4"/>
  <c r="G85" i="4"/>
  <c r="E85" i="4"/>
  <c r="I84" i="4"/>
  <c r="H84" i="4"/>
  <c r="G84" i="4"/>
  <c r="J83" i="4"/>
  <c r="I83" i="4"/>
  <c r="H83" i="4"/>
  <c r="G83" i="4"/>
  <c r="I82" i="4"/>
  <c r="H82" i="4"/>
  <c r="G82" i="4"/>
  <c r="I81" i="4"/>
  <c r="H81" i="4"/>
  <c r="G81" i="4"/>
  <c r="E81" i="4"/>
  <c r="J81" i="4" s="1"/>
  <c r="J80" i="4"/>
  <c r="I80" i="4"/>
  <c r="H80" i="4"/>
  <c r="G80" i="4"/>
  <c r="I79" i="4"/>
  <c r="H79" i="4"/>
  <c r="G79" i="4"/>
  <c r="E79" i="4"/>
  <c r="I78" i="4"/>
  <c r="H78" i="4"/>
  <c r="G78" i="4"/>
  <c r="E78" i="4"/>
  <c r="I77" i="4"/>
  <c r="H77" i="4"/>
  <c r="G77" i="4"/>
  <c r="E77" i="4"/>
  <c r="J76" i="4"/>
  <c r="I76" i="4"/>
  <c r="H76" i="4"/>
  <c r="G76" i="4"/>
  <c r="E76" i="4"/>
  <c r="J75" i="4"/>
  <c r="I75" i="4"/>
  <c r="H75" i="4"/>
  <c r="G75" i="4"/>
  <c r="E75" i="4"/>
  <c r="E88" i="4" s="1"/>
  <c r="I74" i="4"/>
  <c r="H74" i="4"/>
  <c r="G74" i="4"/>
  <c r="E74" i="4"/>
  <c r="J73" i="4"/>
  <c r="I73" i="4"/>
  <c r="H73" i="4"/>
  <c r="G73" i="4"/>
  <c r="E73" i="4"/>
  <c r="I72" i="4"/>
  <c r="H72" i="4"/>
  <c r="G72" i="4"/>
  <c r="E72" i="4"/>
  <c r="J72" i="4" s="1"/>
  <c r="I71" i="4"/>
  <c r="H71" i="4"/>
  <c r="G71" i="4"/>
  <c r="E71" i="4"/>
  <c r="J70" i="4"/>
  <c r="I70" i="4"/>
  <c r="H70" i="4"/>
  <c r="G70" i="4"/>
  <c r="E70" i="4"/>
  <c r="E83" i="4" s="1"/>
  <c r="E96" i="4" s="1"/>
  <c r="J96" i="4" s="1"/>
  <c r="I69" i="4"/>
  <c r="H69" i="4"/>
  <c r="G69" i="4"/>
  <c r="E69" i="4"/>
  <c r="J68" i="4"/>
  <c r="I68" i="4"/>
  <c r="H68" i="4"/>
  <c r="G68" i="4"/>
  <c r="E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/>
  <c r="H63" i="4"/>
  <c r="G63" i="4"/>
  <c r="J62" i="4"/>
  <c r="I62" i="4"/>
  <c r="H62" i="4"/>
  <c r="G62" i="4"/>
  <c r="J61" i="4"/>
  <c r="I61" i="4"/>
  <c r="H61" i="4"/>
  <c r="G61" i="4"/>
  <c r="J60" i="4"/>
  <c r="I60" i="4"/>
  <c r="H60" i="4"/>
  <c r="G60" i="4"/>
  <c r="J59" i="4"/>
  <c r="I59" i="4"/>
  <c r="H59" i="4"/>
  <c r="G59" i="4"/>
  <c r="J58" i="4"/>
  <c r="I58" i="4"/>
  <c r="H58" i="4"/>
  <c r="G58" i="4"/>
  <c r="J57" i="4"/>
  <c r="I57" i="4"/>
  <c r="H57" i="4"/>
  <c r="G57" i="4"/>
  <c r="J56" i="4"/>
  <c r="I56" i="4"/>
  <c r="H56" i="4"/>
  <c r="G56" i="4"/>
  <c r="J55" i="4"/>
  <c r="I55" i="4"/>
  <c r="H55" i="4"/>
  <c r="G55" i="4"/>
  <c r="J54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E40" i="4"/>
  <c r="J40" i="4" s="1"/>
  <c r="I39" i="4"/>
  <c r="H39" i="4"/>
  <c r="G39" i="4"/>
  <c r="I38" i="4"/>
  <c r="H38" i="4"/>
  <c r="G38" i="4"/>
  <c r="I37" i="4"/>
  <c r="H37" i="4"/>
  <c r="G37" i="4"/>
  <c r="J36" i="4"/>
  <c r="I36" i="4"/>
  <c r="H36" i="4"/>
  <c r="G36" i="4"/>
  <c r="I35" i="4"/>
  <c r="H35" i="4"/>
  <c r="G35" i="4"/>
  <c r="I34" i="4"/>
  <c r="H34" i="4"/>
  <c r="G34" i="4"/>
  <c r="E34" i="4"/>
  <c r="I33" i="4"/>
  <c r="H33" i="4"/>
  <c r="G33" i="4"/>
  <c r="E33" i="4"/>
  <c r="I32" i="4"/>
  <c r="H32" i="4"/>
  <c r="G32" i="4"/>
  <c r="E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E27" i="4"/>
  <c r="J27" i="4" s="1"/>
  <c r="I26" i="4"/>
  <c r="H26" i="4"/>
  <c r="G26" i="4"/>
  <c r="E26" i="4"/>
  <c r="I25" i="4"/>
  <c r="H25" i="4"/>
  <c r="G25" i="4"/>
  <c r="E25" i="4"/>
  <c r="I24" i="4"/>
  <c r="H24" i="4"/>
  <c r="G24" i="4"/>
  <c r="E24" i="4"/>
  <c r="J23" i="4"/>
  <c r="I23" i="4"/>
  <c r="H23" i="4"/>
  <c r="G23" i="4"/>
  <c r="E23" i="4"/>
  <c r="E36" i="4" s="1"/>
  <c r="E49" i="4" s="1"/>
  <c r="J49" i="4" s="1"/>
  <c r="J22" i="4"/>
  <c r="I22" i="4"/>
  <c r="H22" i="4"/>
  <c r="G22" i="4"/>
  <c r="E22" i="4"/>
  <c r="E35" i="4" s="1"/>
  <c r="J35" i="4" s="1"/>
  <c r="J21" i="4"/>
  <c r="I21" i="4"/>
  <c r="H21" i="4"/>
  <c r="G21" i="4"/>
  <c r="E21" i="4"/>
  <c r="J20" i="4"/>
  <c r="I20" i="4"/>
  <c r="H20" i="4"/>
  <c r="G20" i="4"/>
  <c r="E20" i="4"/>
  <c r="I19" i="4"/>
  <c r="H19" i="4"/>
  <c r="G19" i="4"/>
  <c r="E19" i="4"/>
  <c r="J19" i="4" s="1"/>
  <c r="I18" i="4"/>
  <c r="H18" i="4"/>
  <c r="G18" i="4"/>
  <c r="E18" i="4"/>
  <c r="I17" i="4"/>
  <c r="H17" i="4"/>
  <c r="G17" i="4"/>
  <c r="E17" i="4"/>
  <c r="I16" i="4"/>
  <c r="H16" i="4"/>
  <c r="G16" i="4"/>
  <c r="E16" i="4"/>
  <c r="J15" i="4"/>
  <c r="I15" i="4"/>
  <c r="H15" i="4"/>
  <c r="G15" i="4"/>
  <c r="E15" i="4"/>
  <c r="E28" i="4" s="1"/>
  <c r="E41" i="4" s="1"/>
  <c r="J41" i="4" s="1"/>
  <c r="J14" i="4"/>
  <c r="I14" i="4"/>
  <c r="H14" i="4"/>
  <c r="G14" i="4"/>
  <c r="J13" i="4"/>
  <c r="I13" i="4"/>
  <c r="H13" i="4"/>
  <c r="G13" i="4"/>
  <c r="J12" i="4"/>
  <c r="I12" i="4"/>
  <c r="H12" i="4"/>
  <c r="G12" i="4"/>
  <c r="J11" i="4"/>
  <c r="I11" i="4"/>
  <c r="H11" i="4"/>
  <c r="G11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A7" i="4"/>
  <c r="A8" i="4" s="1"/>
  <c r="A9" i="4" s="1"/>
  <c r="A10" i="4" s="1"/>
  <c r="J6" i="4"/>
  <c r="I6" i="4"/>
  <c r="H6" i="4"/>
  <c r="G6" i="4"/>
  <c r="J5" i="4"/>
  <c r="I5" i="4"/>
  <c r="H5" i="4"/>
  <c r="G5" i="4"/>
  <c r="J4" i="4"/>
  <c r="I4" i="4"/>
  <c r="H4" i="4"/>
  <c r="G4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J3" i="4"/>
  <c r="I3" i="4"/>
  <c r="H3" i="4"/>
  <c r="G3" i="4"/>
  <c r="B3" i="4"/>
  <c r="A3" i="4"/>
  <c r="A4" i="4" s="1"/>
  <c r="A5" i="4" s="1"/>
  <c r="A6" i="4" s="1"/>
  <c r="J2" i="4"/>
  <c r="I2" i="4"/>
  <c r="H2" i="4"/>
  <c r="G2" i="4"/>
  <c r="B2" i="4"/>
  <c r="G7" i="7" a="1"/>
  <c r="G8" i="7" a="1"/>
  <c r="E9" i="7" a="1"/>
  <c r="G9" i="7" a="1"/>
  <c r="E8" i="7" a="1"/>
  <c r="E7" i="7" a="1"/>
  <c r="AJ21" i="6" l="1"/>
  <c r="AJ33" i="6"/>
  <c r="S21" i="6"/>
  <c r="S33" i="6"/>
  <c r="E7" i="7"/>
  <c r="W7" i="7" s="1"/>
  <c r="S6" i="6"/>
  <c r="E9" i="7"/>
  <c r="W9" i="7" s="1"/>
  <c r="E8" i="7"/>
  <c r="W8" i="7" s="1"/>
  <c r="G8" i="7"/>
  <c r="Y8" i="7" s="1"/>
  <c r="G7" i="7"/>
  <c r="Y7" i="7" s="1"/>
  <c r="Y10" i="7" s="1"/>
  <c r="G9" i="7"/>
  <c r="Y9" i="7" s="1"/>
  <c r="AJ9" i="6"/>
  <c r="AJ6" i="6"/>
  <c r="J33" i="4"/>
  <c r="E46" i="4"/>
  <c r="J46" i="4" s="1"/>
  <c r="J79" i="4"/>
  <c r="E92" i="4"/>
  <c r="J24" i="4"/>
  <c r="E37" i="4"/>
  <c r="J26" i="4"/>
  <c r="E39" i="4"/>
  <c r="E53" i="4"/>
  <c r="J53" i="4" s="1"/>
  <c r="J74" i="4"/>
  <c r="E87" i="4"/>
  <c r="E94" i="4"/>
  <c r="J94" i="4" s="1"/>
  <c r="E139" i="4"/>
  <c r="J126" i="4"/>
  <c r="J297" i="4"/>
  <c r="E310" i="4"/>
  <c r="J310" i="4" s="1"/>
  <c r="J28" i="4"/>
  <c r="E48" i="4"/>
  <c r="J48" i="4" s="1"/>
  <c r="E98" i="4"/>
  <c r="J98" i="4" s="1"/>
  <c r="J85" i="4"/>
  <c r="J290" i="4"/>
  <c r="J71" i="4"/>
  <c r="E84" i="4"/>
  <c r="E38" i="4"/>
  <c r="J25" i="4"/>
  <c r="J32" i="4"/>
  <c r="E45" i="4"/>
  <c r="J45" i="4" s="1"/>
  <c r="J122" i="4"/>
  <c r="E135" i="4"/>
  <c r="J138" i="4"/>
  <c r="E151" i="4"/>
  <c r="J151" i="4" s="1"/>
  <c r="J144" i="4"/>
  <c r="E157" i="4"/>
  <c r="J157" i="4" s="1"/>
  <c r="E30" i="4"/>
  <c r="J17" i="4"/>
  <c r="J16" i="4"/>
  <c r="E29" i="4"/>
  <c r="J34" i="4"/>
  <c r="E47" i="4"/>
  <c r="J47" i="4" s="1"/>
  <c r="E91" i="4"/>
  <c r="J78" i="4"/>
  <c r="J136" i="4"/>
  <c r="E149" i="4"/>
  <c r="J149" i="4" s="1"/>
  <c r="E193" i="4"/>
  <c r="J180" i="4"/>
  <c r="E240" i="4"/>
  <c r="J227" i="4"/>
  <c r="E295" i="4"/>
  <c r="J282" i="4"/>
  <c r="J18" i="4"/>
  <c r="E31" i="4"/>
  <c r="E210" i="4"/>
  <c r="J210" i="4" s="1"/>
  <c r="J197" i="4"/>
  <c r="J143" i="4"/>
  <c r="E156" i="4"/>
  <c r="J156" i="4" s="1"/>
  <c r="E205" i="4"/>
  <c r="J205" i="4" s="1"/>
  <c r="J192" i="4"/>
  <c r="J234" i="4"/>
  <c r="E247" i="4"/>
  <c r="E256" i="4"/>
  <c r="J256" i="4" s="1"/>
  <c r="J243" i="4"/>
  <c r="J69" i="4"/>
  <c r="E82" i="4"/>
  <c r="E99" i="4"/>
  <c r="J99" i="4" s="1"/>
  <c r="E150" i="4"/>
  <c r="J150" i="4" s="1"/>
  <c r="J175" i="4"/>
  <c r="E188" i="4"/>
  <c r="E302" i="4"/>
  <c r="J302" i="4" s="1"/>
  <c r="J77" i="4"/>
  <c r="E90" i="4"/>
  <c r="J128" i="4"/>
  <c r="E141" i="4"/>
  <c r="E194" i="4"/>
  <c r="J181" i="4"/>
  <c r="J183" i="4"/>
  <c r="E196" i="4"/>
  <c r="J184" i="4"/>
  <c r="E291" i="4"/>
  <c r="J278" i="4"/>
  <c r="E298" i="4"/>
  <c r="J285" i="4"/>
  <c r="E307" i="4"/>
  <c r="J307" i="4" s="1"/>
  <c r="J294" i="4"/>
  <c r="J120" i="4"/>
  <c r="E133" i="4"/>
  <c r="J127" i="4"/>
  <c r="E140" i="4"/>
  <c r="J179" i="4"/>
  <c r="E239" i="4"/>
  <c r="E255" i="4"/>
  <c r="J255" i="4" s="1"/>
  <c r="E309" i="4"/>
  <c r="J309" i="4" s="1"/>
  <c r="E261" i="4"/>
  <c r="J261" i="4" s="1"/>
  <c r="J248" i="4"/>
  <c r="E312" i="4"/>
  <c r="J312" i="4" s="1"/>
  <c r="J299" i="4"/>
  <c r="E202" i="4"/>
  <c r="J202" i="4" s="1"/>
  <c r="J189" i="4"/>
  <c r="J185" i="4"/>
  <c r="J244" i="4"/>
  <c r="E257" i="4"/>
  <c r="J257" i="4" s="1"/>
  <c r="E254" i="4"/>
  <c r="J254" i="4" s="1"/>
  <c r="E262" i="4"/>
  <c r="J262" i="4" s="1"/>
  <c r="J224" i="4"/>
  <c r="J232" i="4"/>
  <c r="J283" i="4"/>
  <c r="Z8" i="7" l="1"/>
  <c r="Z9" i="7"/>
  <c r="W10" i="7"/>
  <c r="Z10" i="7" s="1"/>
  <c r="Z7" i="7"/>
  <c r="E10" i="7"/>
  <c r="H9" i="7"/>
  <c r="H8" i="7"/>
  <c r="G10" i="7"/>
  <c r="H7" i="7"/>
  <c r="J141" i="4"/>
  <c r="E154" i="4"/>
  <c r="J154" i="4" s="1"/>
  <c r="E304" i="4"/>
  <c r="J304" i="4" s="1"/>
  <c r="J291" i="4"/>
  <c r="E103" i="4"/>
  <c r="J103" i="4" s="1"/>
  <c r="J90" i="4"/>
  <c r="E253" i="4"/>
  <c r="J253" i="4" s="1"/>
  <c r="J240" i="4"/>
  <c r="E50" i="4"/>
  <c r="J50" i="4" s="1"/>
  <c r="J37" i="4"/>
  <c r="J133" i="4"/>
  <c r="E146" i="4"/>
  <c r="J146" i="4" s="1"/>
  <c r="E42" i="4"/>
  <c r="J42" i="4" s="1"/>
  <c r="J29" i="4"/>
  <c r="J135" i="4"/>
  <c r="E148" i="4"/>
  <c r="J148" i="4" s="1"/>
  <c r="E152" i="4"/>
  <c r="J152" i="4" s="1"/>
  <c r="J139" i="4"/>
  <c r="E104" i="4"/>
  <c r="J104" i="4" s="1"/>
  <c r="J91" i="4"/>
  <c r="J92" i="4"/>
  <c r="E105" i="4"/>
  <c r="J105" i="4" s="1"/>
  <c r="E311" i="4"/>
  <c r="J311" i="4" s="1"/>
  <c r="J298" i="4"/>
  <c r="E209" i="4"/>
  <c r="J209" i="4" s="1"/>
  <c r="J196" i="4"/>
  <c r="E201" i="4"/>
  <c r="J201" i="4" s="1"/>
  <c r="J188" i="4"/>
  <c r="E260" i="4"/>
  <c r="J260" i="4" s="1"/>
  <c r="J247" i="4"/>
  <c r="J31" i="4"/>
  <c r="E44" i="4"/>
  <c r="J44" i="4" s="1"/>
  <c r="J87" i="4"/>
  <c r="E100" i="4"/>
  <c r="J100" i="4" s="1"/>
  <c r="E51" i="4"/>
  <c r="J51" i="4" s="1"/>
  <c r="J38" i="4"/>
  <c r="E43" i="4"/>
  <c r="J43" i="4" s="1"/>
  <c r="J30" i="4"/>
  <c r="J295" i="4"/>
  <c r="E308" i="4"/>
  <c r="J308" i="4" s="1"/>
  <c r="J39" i="4"/>
  <c r="E52" i="4"/>
  <c r="J52" i="4" s="1"/>
  <c r="E153" i="4"/>
  <c r="J153" i="4" s="1"/>
  <c r="J140" i="4"/>
  <c r="E95" i="4"/>
  <c r="J95" i="4" s="1"/>
  <c r="J82" i="4"/>
  <c r="J84" i="4"/>
  <c r="E97" i="4"/>
  <c r="J97" i="4" s="1"/>
  <c r="J193" i="4"/>
  <c r="E206" i="4"/>
  <c r="J206" i="4" s="1"/>
  <c r="E252" i="4"/>
  <c r="J252" i="4" s="1"/>
  <c r="J239" i="4"/>
  <c r="J194" i="4"/>
  <c r="E207" i="4"/>
  <c r="J207" i="4" s="1"/>
  <c r="H1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<sst xmlns="http://schemas.openxmlformats.org/spreadsheetml/2006/main" count="6274" uniqueCount="1643">
  <si>
    <t>Unique ID</t>
  </si>
  <si>
    <t>Created At</t>
  </si>
  <si>
    <t>Date and Time of the Incident:</t>
  </si>
  <si>
    <t>Created By</t>
  </si>
  <si>
    <t>Incident Type:</t>
  </si>
  <si>
    <t>Security Category:</t>
  </si>
  <si>
    <t>Record Location</t>
  </si>
  <si>
    <t>Record Organization</t>
  </si>
  <si>
    <t>INC0780</t>
  </si>
  <si>
    <t>NATALIE BRUHN</t>
  </si>
  <si>
    <t>Security / Risk</t>
  </si>
  <si>
    <t>Threatening / Unsocial / Aggressive Behaviour</t>
  </si>
  <si>
    <t>A047 North Lakes</t>
  </si>
  <si>
    <t>Anaconda QUEENSLAND</t>
  </si>
  <si>
    <t>INC0998</t>
  </si>
  <si>
    <t>COREY REICHSTEIN</t>
  </si>
  <si>
    <t>A043 Darwin</t>
  </si>
  <si>
    <t>Anaconda NORTHERN TERRITORY</t>
  </si>
  <si>
    <t>INC1189</t>
  </si>
  <si>
    <t>TANYA AL-CHAHER</t>
  </si>
  <si>
    <t>S044 MUNNO PARA</t>
  </si>
  <si>
    <t>Spotlight SOUTH AUSTRALIA</t>
  </si>
  <si>
    <t>INC1203</t>
  </si>
  <si>
    <t>INC1281</t>
  </si>
  <si>
    <t>MICHAEL MILLS</t>
  </si>
  <si>
    <t>A016 Morayfield</t>
  </si>
  <si>
    <t>INC1324</t>
  </si>
  <si>
    <t>BRITTANY DAVIDSON</t>
  </si>
  <si>
    <t>A035 Ballarat</t>
  </si>
  <si>
    <t>Anaconda VICTORIA</t>
  </si>
  <si>
    <t>INC1381</t>
  </si>
  <si>
    <t>CHELSEA HARDING</t>
  </si>
  <si>
    <t>S057 DARWIN</t>
  </si>
  <si>
    <t>Spotlight NORTHERN TERRITORY</t>
  </si>
  <si>
    <t>INC1382</t>
  </si>
  <si>
    <t>MATHEW ARMISTEAD</t>
  </si>
  <si>
    <t>A013 Frankston</t>
  </si>
  <si>
    <t>INC1391</t>
  </si>
  <si>
    <t>Jessica Blackhall</t>
  </si>
  <si>
    <t>HS4041 MOONAH</t>
  </si>
  <si>
    <t>Shared Services VICTORIA</t>
  </si>
  <si>
    <t>INC1399</t>
  </si>
  <si>
    <t>ANTONY FLETCHER</t>
  </si>
  <si>
    <t>S063 CANNINGTON</t>
  </si>
  <si>
    <t>Spotlight WESTERN AUSTRALIA</t>
  </si>
  <si>
    <t>INC1449</t>
  </si>
  <si>
    <t>SCOTT BUTCHER</t>
  </si>
  <si>
    <t>HS9095 CHERMSIDE</t>
  </si>
  <si>
    <t>HARRIS SCARFE PTY LTD QUEENSLAND</t>
  </si>
  <si>
    <t>INC1469</t>
  </si>
  <si>
    <t>LAURA FAZLDEEN</t>
  </si>
  <si>
    <t>S094 CAIRNS</t>
  </si>
  <si>
    <t>Spotlight QUEENSLAND</t>
  </si>
  <si>
    <t>INC1478</t>
  </si>
  <si>
    <t>ROBYN WHITE</t>
  </si>
  <si>
    <t>S015 BAIRNSDALE</t>
  </si>
  <si>
    <t>Spotlight VICTORIA</t>
  </si>
  <si>
    <t>INC1507</t>
  </si>
  <si>
    <t>MICHAEL HAAREN</t>
  </si>
  <si>
    <t>S072 MELROSE PARK</t>
  </si>
  <si>
    <t>INC1548</t>
  </si>
  <si>
    <t>LUCAS ALEXANDER</t>
  </si>
  <si>
    <t>S129 SPRINGFIELD</t>
  </si>
  <si>
    <t>INC1620</t>
  </si>
  <si>
    <t>INC1653</t>
  </si>
  <si>
    <t>EMRE OZKOCA</t>
  </si>
  <si>
    <t>S008 ESSENDON</t>
  </si>
  <si>
    <t>INC1682</t>
  </si>
  <si>
    <t>TANIA CLOTHIER</t>
  </si>
  <si>
    <t>S106 MOUNT BARKER</t>
  </si>
  <si>
    <t>INC1740</t>
  </si>
  <si>
    <t>CHERYL QUARRELL</t>
  </si>
  <si>
    <t>S112 WARRNAMBOOL</t>
  </si>
  <si>
    <t>INC1845</t>
  </si>
  <si>
    <t>MEAGHAN ANDREW</t>
  </si>
  <si>
    <t>S096 BROWNS PLAINS</t>
  </si>
  <si>
    <t>INC1932</t>
  </si>
  <si>
    <t>INC1954</t>
  </si>
  <si>
    <t>SHANE LITCHFIELD</t>
  </si>
  <si>
    <t>A034 Noarlunga</t>
  </si>
  <si>
    <t>Anaconda SOUTH AUSTRALIA</t>
  </si>
  <si>
    <t>INC2100</t>
  </si>
  <si>
    <t>INC2163</t>
  </si>
  <si>
    <t>JOHN STOKMAN</t>
  </si>
  <si>
    <t>HARRIS SCARFE PTY LTD TASMANIA</t>
  </si>
  <si>
    <t>INC2291</t>
  </si>
  <si>
    <t>LACHLAN MITCHELL</t>
  </si>
  <si>
    <t>A086 Nowra</t>
  </si>
  <si>
    <t>Anaconda NEW SOUTH WALES</t>
  </si>
  <si>
    <t>INC2323</t>
  </si>
  <si>
    <t>JESSICA MOOK</t>
  </si>
  <si>
    <t>S004 MENTONE</t>
  </si>
  <si>
    <t>INC2372</t>
  </si>
  <si>
    <t>INC2421</t>
  </si>
  <si>
    <t>STEPHEN BETTS</t>
  </si>
  <si>
    <t>A029 Bennetts Green</t>
  </si>
  <si>
    <t>INC2435</t>
  </si>
  <si>
    <t>ROMANO MERCURIO</t>
  </si>
  <si>
    <t>HS1011 MARION</t>
  </si>
  <si>
    <t>HARRIS SCARFE PTY LTD SOUTH AUSTRALIA</t>
  </si>
  <si>
    <t>INC2441</t>
  </si>
  <si>
    <t>NAOMI GRIFFITHS</t>
  </si>
  <si>
    <t>S114 CARNEGIE</t>
  </si>
  <si>
    <t>INC2535</t>
  </si>
  <si>
    <t>BENJAMIN SYMONDS</t>
  </si>
  <si>
    <t>A065 Rockingham</t>
  </si>
  <si>
    <t>Anaconda WESTERN AUSTRALIA</t>
  </si>
  <si>
    <t>INC2558</t>
  </si>
  <si>
    <t>ESTHER STEELE</t>
  </si>
  <si>
    <t>S126 TAURANGA</t>
  </si>
  <si>
    <t>Spotlight NZ NEW ZEALAND</t>
  </si>
  <si>
    <t>INC2640</t>
  </si>
  <si>
    <t>MARIA BUFO</t>
  </si>
  <si>
    <t>HS1006 WEST LAKES</t>
  </si>
  <si>
    <t>INC2647</t>
  </si>
  <si>
    <t>BROOKE TRENERRY</t>
  </si>
  <si>
    <t>S005 SANDOWN</t>
  </si>
  <si>
    <t>INC2652</t>
  </si>
  <si>
    <t>JOSHUA WHITE</t>
  </si>
  <si>
    <t>HS2031 SUNBURY</t>
  </si>
  <si>
    <t>HARRIS SCARFE PTY LTD VICTORIA</t>
  </si>
  <si>
    <t>INC2718</t>
  </si>
  <si>
    <t>INC2785</t>
  </si>
  <si>
    <t>BRONWYN BRAZIL</t>
  </si>
  <si>
    <t>HS2025 SOUTHLAND</t>
  </si>
  <si>
    <t>INC2803</t>
  </si>
  <si>
    <t>DAVID HVASS</t>
  </si>
  <si>
    <t>HS9098 CARINDALE</t>
  </si>
  <si>
    <t>INC2872</t>
  </si>
  <si>
    <t>MELISSA SPEECHLEY</t>
  </si>
  <si>
    <t>S135 CRANBOURNE</t>
  </si>
  <si>
    <t>INC3104</t>
  </si>
  <si>
    <t>INC3128</t>
  </si>
  <si>
    <t>KRISTIE O'GRADY</t>
  </si>
  <si>
    <t>S042 QUEANBEYAN</t>
  </si>
  <si>
    <t>Spotlight NEW SOUTH WALES</t>
  </si>
  <si>
    <t>INC3149</t>
  </si>
  <si>
    <t>INC3205</t>
  </si>
  <si>
    <t>SHARON DAVIS</t>
  </si>
  <si>
    <t>S017 MILDURA</t>
  </si>
  <si>
    <t>INC3253</t>
  </si>
  <si>
    <t>LYSSA CAMPBELL</t>
  </si>
  <si>
    <t>INC3254</t>
  </si>
  <si>
    <t>INC3319</t>
  </si>
  <si>
    <t>SHERIEN CATTERALL</t>
  </si>
  <si>
    <t>S011 LAUNCESTON</t>
  </si>
  <si>
    <t>Spotlight TASMANIA</t>
  </si>
  <si>
    <t>INC3395</t>
  </si>
  <si>
    <t>Carnegie Security</t>
  </si>
  <si>
    <t>SGH Property</t>
  </si>
  <si>
    <t>Spotlight Property Group</t>
  </si>
  <si>
    <t>INC3427</t>
  </si>
  <si>
    <t>ANURADHA AHLOYAN</t>
  </si>
  <si>
    <t>HS2016 SPENCER OUTLET</t>
  </si>
  <si>
    <t>INC3569</t>
  </si>
  <si>
    <t>LYNDAL PHILLIPS</t>
  </si>
  <si>
    <t>S110 FRANKSTON</t>
  </si>
  <si>
    <t>INC3659</t>
  </si>
  <si>
    <t>INC3670</t>
  </si>
  <si>
    <t>INC3682</t>
  </si>
  <si>
    <t>JASMIN HIRST</t>
  </si>
  <si>
    <t>A027 Fyshwick</t>
  </si>
  <si>
    <t>Anaconda AUSTRALIAN CAPITAL TERRITORY</t>
  </si>
  <si>
    <t>INC3690</t>
  </si>
  <si>
    <t>INC3802</t>
  </si>
  <si>
    <t>INC3818</t>
  </si>
  <si>
    <t>ROMA FORD</t>
  </si>
  <si>
    <t>HS2019 BALLARAT</t>
  </si>
  <si>
    <t>INC3869</t>
  </si>
  <si>
    <t>TIMOTHY INGRAM</t>
  </si>
  <si>
    <t>A001 Bayswater</t>
  </si>
  <si>
    <t>INC3942</t>
  </si>
  <si>
    <t>KYLIE ANDERSON</t>
  </si>
  <si>
    <t>S093 HENDERSON</t>
  </si>
  <si>
    <t>INC3956</t>
  </si>
  <si>
    <t>S124 ALBERT PARK</t>
  </si>
  <si>
    <t>INC3976</t>
  </si>
  <si>
    <t>MANDY SPAULDING</t>
  </si>
  <si>
    <t>S060 GLENORCHY</t>
  </si>
  <si>
    <t>INC4193</t>
  </si>
  <si>
    <t>INC4230</t>
  </si>
  <si>
    <t>PURUSHOTTAM PANDEY</t>
  </si>
  <si>
    <t>HS6063 FYSHWICK</t>
  </si>
  <si>
    <t>HARRIS SCARFE PTY LTD AUSTRALIAN CAPITAL TERRITORY</t>
  </si>
  <si>
    <t>INC4337</t>
  </si>
  <si>
    <t>BROOKE GRAY</t>
  </si>
  <si>
    <t>A017 Narre Warren</t>
  </si>
  <si>
    <t>INC4350</t>
  </si>
  <si>
    <t>INC4361</t>
  </si>
  <si>
    <t>CHRISTOPHER TYERS</t>
  </si>
  <si>
    <t>A085 Palmerston</t>
  </si>
  <si>
    <t>INC4435</t>
  </si>
  <si>
    <t>BRENDAN NOON</t>
  </si>
  <si>
    <t>HS5053 SHELLHARBOUR</t>
  </si>
  <si>
    <t>HARRIS SCARFE PTY LTD NEW SOUTH WALES</t>
  </si>
  <si>
    <t>INC4460</t>
  </si>
  <si>
    <t>INC4462</t>
  </si>
  <si>
    <t>SEAN FULLER</t>
  </si>
  <si>
    <t>A066 Butler</t>
  </si>
  <si>
    <t>INC4486</t>
  </si>
  <si>
    <t>JODY MALEY</t>
  </si>
  <si>
    <t>S107 GERALDTON</t>
  </si>
  <si>
    <t>INC4502</t>
  </si>
  <si>
    <t>INC4509</t>
  </si>
  <si>
    <t>INC4535</t>
  </si>
  <si>
    <t>AMANDA STYLES</t>
  </si>
  <si>
    <t>HS1012 COLONNADES</t>
  </si>
  <si>
    <t>INC4560</t>
  </si>
  <si>
    <t>JESSICA KENT</t>
  </si>
  <si>
    <t>A060 Devonport</t>
  </si>
  <si>
    <t>Anaconda TASMANIA</t>
  </si>
  <si>
    <t>INC4561</t>
  </si>
  <si>
    <t>INC4575</t>
  </si>
  <si>
    <t>INC4628</t>
  </si>
  <si>
    <t>INC4641</t>
  </si>
  <si>
    <t>INC4652</t>
  </si>
  <si>
    <t>JAMES CLISBY</t>
  </si>
  <si>
    <t>HS2045 FRANKSTON</t>
  </si>
  <si>
    <t>INC4697</t>
  </si>
  <si>
    <t>ALISON KNAGGS</t>
  </si>
  <si>
    <t>HS2039 FOUNTAIN GATE</t>
  </si>
  <si>
    <t>INC4709</t>
  </si>
  <si>
    <t>INC4750</t>
  </si>
  <si>
    <t>INC4801</t>
  </si>
  <si>
    <t>BELINDA PENNY</t>
  </si>
  <si>
    <t>S099 PORT MACQUARIE</t>
  </si>
  <si>
    <t>INC4944</t>
  </si>
  <si>
    <t>INC4947</t>
  </si>
  <si>
    <t>MELINDA ZIMMERMANN</t>
  </si>
  <si>
    <t>S115 Albany</t>
  </si>
  <si>
    <t>INC4954</t>
  </si>
  <si>
    <t>CAREY STEWART</t>
  </si>
  <si>
    <t>A041 Box Hill</t>
  </si>
  <si>
    <t>INC4963</t>
  </si>
  <si>
    <t>INC5112</t>
  </si>
  <si>
    <t>SHAWN MCMAHON</t>
  </si>
  <si>
    <t>A051 Rutherford</t>
  </si>
  <si>
    <t>INC5142</t>
  </si>
  <si>
    <t>INC5146</t>
  </si>
  <si>
    <t>INC5148</t>
  </si>
  <si>
    <t>CHRISTOPHER COTTON</t>
  </si>
  <si>
    <t>A006 CHULLORA (AHQ)</t>
  </si>
  <si>
    <t>INC5208</t>
  </si>
  <si>
    <t>INC5302</t>
  </si>
  <si>
    <t>VINCENT GERACE</t>
  </si>
  <si>
    <t>HS2033 EASTLAND</t>
  </si>
  <si>
    <t>INC5309</t>
  </si>
  <si>
    <t>TRACEY QUINCE</t>
  </si>
  <si>
    <t>S165 MITTAGONG</t>
  </si>
  <si>
    <t>INC5323</t>
  </si>
  <si>
    <t>WAYNE MICALLEF</t>
  </si>
  <si>
    <t>S996 SRG Finance</t>
  </si>
  <si>
    <t>Shared Services NEW SOUTH WALES</t>
  </si>
  <si>
    <t>INC5333</t>
  </si>
  <si>
    <t>INC5405</t>
  </si>
  <si>
    <t>CHELSEA MITCHELL</t>
  </si>
  <si>
    <t>S055 INDOOROOPILLY</t>
  </si>
  <si>
    <t>INC5459</t>
  </si>
  <si>
    <t>LESLEY HEATH</t>
  </si>
  <si>
    <t>A018 Kawana</t>
  </si>
  <si>
    <t>INC5543</t>
  </si>
  <si>
    <t>ANTHONY WARREN</t>
  </si>
  <si>
    <t>S077 MOUNT GAMBIER</t>
  </si>
  <si>
    <t>INC5558</t>
  </si>
  <si>
    <t>RYAN HONEY</t>
  </si>
  <si>
    <t>HS2017 WOODGROVE</t>
  </si>
  <si>
    <t>INC5572</t>
  </si>
  <si>
    <t>ROBERT KIRWAN</t>
  </si>
  <si>
    <t>A072 Browns Plains</t>
  </si>
  <si>
    <t>INC5590</t>
  </si>
  <si>
    <t>INC5591</t>
  </si>
  <si>
    <t>INC5715</t>
  </si>
  <si>
    <t>INC5752</t>
  </si>
  <si>
    <t>INC5755</t>
  </si>
  <si>
    <t>TARA BROWN</t>
  </si>
  <si>
    <t>INC5765</t>
  </si>
  <si>
    <t>LIDIA CIKOJA</t>
  </si>
  <si>
    <t>S163 ELLENBROOK</t>
  </si>
  <si>
    <t>INC5840</t>
  </si>
  <si>
    <t>INC5841</t>
  </si>
  <si>
    <t>SEAN O'CONNELL</t>
  </si>
  <si>
    <t>S010 MARIBYRNONG</t>
  </si>
  <si>
    <t>INC5935</t>
  </si>
  <si>
    <t>ALICIA BARSON</t>
  </si>
  <si>
    <t>S159 THE GLEN (C)</t>
  </si>
  <si>
    <t>INC5969</t>
  </si>
  <si>
    <t>INC6085</t>
  </si>
  <si>
    <t>CAMILA SCATOLINI GODINHO</t>
  </si>
  <si>
    <t>S073 JOONDALUP</t>
  </si>
  <si>
    <t>INC6113</t>
  </si>
  <si>
    <t>INC6118</t>
  </si>
  <si>
    <t>JACK DRINKWATER</t>
  </si>
  <si>
    <t>A010 Innaloo</t>
  </si>
  <si>
    <t>INC6119</t>
  </si>
  <si>
    <t>INC6124</t>
  </si>
  <si>
    <t>CHRISTOPHER HARTANTO</t>
  </si>
  <si>
    <t>A022 Cannington</t>
  </si>
  <si>
    <t>INC6169</t>
  </si>
  <si>
    <t>INC6217</t>
  </si>
  <si>
    <t>CAROL COOPER</t>
  </si>
  <si>
    <t>S137 ORANGE</t>
  </si>
  <si>
    <t>INC6279</t>
  </si>
  <si>
    <t>INC6292</t>
  </si>
  <si>
    <t>KERRI THORPE</t>
  </si>
  <si>
    <t>A057 Mackay</t>
  </si>
  <si>
    <t>INC6302</t>
  </si>
  <si>
    <t>KIRSTY FISHER</t>
  </si>
  <si>
    <t>S082 COFFS HARBOUR</t>
  </si>
  <si>
    <t>INC6325</t>
  </si>
  <si>
    <t>INGRID HAYNES</t>
  </si>
  <si>
    <t>S174 ALEXANDRIA</t>
  </si>
  <si>
    <t>INC6329</t>
  </si>
  <si>
    <t>INC6359</t>
  </si>
  <si>
    <t>DEBRA CHESTERFIELD</t>
  </si>
  <si>
    <t>S071 CHRISTCHURCH</t>
  </si>
  <si>
    <t>INC6472</t>
  </si>
  <si>
    <t>SEYEDALIREZA MOHAMMADI</t>
  </si>
  <si>
    <t>HS6065 TUGGERANONG</t>
  </si>
  <si>
    <t>INC6482</t>
  </si>
  <si>
    <t>INC6503</t>
  </si>
  <si>
    <t>GLEN MORRISS</t>
  </si>
  <si>
    <t>S016 SALE</t>
  </si>
  <si>
    <t>INC6507</t>
  </si>
  <si>
    <t>INC6517</t>
  </si>
  <si>
    <t>SAMARA SOLLY</t>
  </si>
  <si>
    <t>INC6588</t>
  </si>
  <si>
    <t>PENNY WEST</t>
  </si>
  <si>
    <t>P3001 SOUTH MELBOURNE CENTRAL</t>
  </si>
  <si>
    <t>INC6606</t>
  </si>
  <si>
    <t>INC6625</t>
  </si>
  <si>
    <t>INC6642</t>
  </si>
  <si>
    <t>INC6677</t>
  </si>
  <si>
    <t>INC6719</t>
  </si>
  <si>
    <t>NICOLETTA BARTLETT</t>
  </si>
  <si>
    <t>S013 BALLARAT</t>
  </si>
  <si>
    <t>INC6720</t>
  </si>
  <si>
    <t>COURTNEY WILCOX</t>
  </si>
  <si>
    <t>A073 Eastern Creek</t>
  </si>
  <si>
    <t>INC6733</t>
  </si>
  <si>
    <t>INC6777</t>
  </si>
  <si>
    <t>INC6801</t>
  </si>
  <si>
    <t>INC6808</t>
  </si>
  <si>
    <t>INC6816</t>
  </si>
  <si>
    <t>INC6831</t>
  </si>
  <si>
    <t>BRITTANY CHANCELLOR-MADDISON</t>
  </si>
  <si>
    <t>S052 INNALOO</t>
  </si>
  <si>
    <t>INC6848</t>
  </si>
  <si>
    <t>INC6862</t>
  </si>
  <si>
    <t>TAYLA COVRE</t>
  </si>
  <si>
    <t>S048 LISMORE</t>
  </si>
  <si>
    <t>INC6875</t>
  </si>
  <si>
    <t>INC6882</t>
  </si>
  <si>
    <t>INC6887</t>
  </si>
  <si>
    <t>INC6892</t>
  </si>
  <si>
    <t>INC6896</t>
  </si>
  <si>
    <t>KIMBERLY YOUNG</t>
  </si>
  <si>
    <t>S014 BAYSWATER</t>
  </si>
  <si>
    <t>INC6934</t>
  </si>
  <si>
    <t>INC6937</t>
  </si>
  <si>
    <t>INC6941</t>
  </si>
  <si>
    <t>ARGO D'ALOIA</t>
  </si>
  <si>
    <t>HS1005 ELIZABETH</t>
  </si>
  <si>
    <t>INC6946</t>
  </si>
  <si>
    <t>INC6952</t>
  </si>
  <si>
    <t>ANDREW BRYANT</t>
  </si>
  <si>
    <t>S088 CASTLE HILL</t>
  </si>
  <si>
    <t>INC6962</t>
  </si>
  <si>
    <t>INC7014</t>
  </si>
  <si>
    <t>INC7033</t>
  </si>
  <si>
    <t>INC7052</t>
  </si>
  <si>
    <t>INC7075</t>
  </si>
  <si>
    <t>INC7137</t>
  </si>
  <si>
    <t>ADAM GRECH</t>
  </si>
  <si>
    <t>S027 SOUTH MELBOURNE</t>
  </si>
  <si>
    <t>INC7144</t>
  </si>
  <si>
    <t>GRANT SMALL</t>
  </si>
  <si>
    <t>A002 Ashmore</t>
  </si>
  <si>
    <t>INC7149</t>
  </si>
  <si>
    <t>INC7183</t>
  </si>
  <si>
    <t>HOPE JACKSON</t>
  </si>
  <si>
    <t>A005 Townsville</t>
  </si>
  <si>
    <t>INC7189</t>
  </si>
  <si>
    <t>INC7220</t>
  </si>
  <si>
    <t>INC7237</t>
  </si>
  <si>
    <t>INC7284</t>
  </si>
  <si>
    <t>LOREN CARR</t>
  </si>
  <si>
    <t>A020 Preston</t>
  </si>
  <si>
    <t>INC7326</t>
  </si>
  <si>
    <t>ANITA PERCIVAL</t>
  </si>
  <si>
    <t>A003 Joondalup</t>
  </si>
  <si>
    <t>INC7328</t>
  </si>
  <si>
    <t>KYLIE SPENCER</t>
  </si>
  <si>
    <t>S058 MIDLAND</t>
  </si>
  <si>
    <t>INC7339</t>
  </si>
  <si>
    <t>INC7340</t>
  </si>
  <si>
    <t>INC7357</t>
  </si>
  <si>
    <t>INC7446</t>
  </si>
  <si>
    <t>INC7488</t>
  </si>
  <si>
    <t>INC7496</t>
  </si>
  <si>
    <t>MASOUMEH ROOSTAEI</t>
  </si>
  <si>
    <t>S105 MT DRUITT</t>
  </si>
  <si>
    <t>INC7515</t>
  </si>
  <si>
    <t>RYAN LOMAX</t>
  </si>
  <si>
    <t>A049 Tingalpa</t>
  </si>
  <si>
    <t>INC7611</t>
  </si>
  <si>
    <t>INC7637</t>
  </si>
  <si>
    <t>INC7647</t>
  </si>
  <si>
    <t>INC7665</t>
  </si>
  <si>
    <t>INC7672</t>
  </si>
  <si>
    <t>INC7675</t>
  </si>
  <si>
    <t>COURTNEY WRIGHT</t>
  </si>
  <si>
    <t>A061 Marsden Park</t>
  </si>
  <si>
    <t>INC7679</t>
  </si>
  <si>
    <t>INC7684</t>
  </si>
  <si>
    <t>ROXANN MAMAKU</t>
  </si>
  <si>
    <t>A040 Watergardens</t>
  </si>
  <si>
    <t>INC7688</t>
  </si>
  <si>
    <t>INC7694</t>
  </si>
  <si>
    <t>INC7730</t>
  </si>
  <si>
    <t>INC7732</t>
  </si>
  <si>
    <t>INC7740</t>
  </si>
  <si>
    <t>DYLAN MILTON-SIMPSON</t>
  </si>
  <si>
    <t>S049 HORSHAM</t>
  </si>
  <si>
    <t>INC7745</t>
  </si>
  <si>
    <t>INC7753</t>
  </si>
  <si>
    <t>INC7783</t>
  </si>
  <si>
    <t>LISA HOWARD</t>
  </si>
  <si>
    <t>INC7849</t>
  </si>
  <si>
    <t>INC7853</t>
  </si>
  <si>
    <t>REBECCA FAULDS</t>
  </si>
  <si>
    <t>S090 WHYALLA</t>
  </si>
  <si>
    <t>INC7854</t>
  </si>
  <si>
    <t>INC7881</t>
  </si>
  <si>
    <t>INC7897</t>
  </si>
  <si>
    <t>KIRSTIN HARPER</t>
  </si>
  <si>
    <t>HS6068 WAGGA WAGGA</t>
  </si>
  <si>
    <t>INC7899</t>
  </si>
  <si>
    <t>INC7925</t>
  </si>
  <si>
    <t>INC7960</t>
  </si>
  <si>
    <t>INC7961</t>
  </si>
  <si>
    <t>INC7962</t>
  </si>
  <si>
    <t>INC7964</t>
  </si>
  <si>
    <t>INC7968</t>
  </si>
  <si>
    <t>INC7976</t>
  </si>
  <si>
    <t>INC7999</t>
  </si>
  <si>
    <t>INC8004</t>
  </si>
  <si>
    <t>INC8019</t>
  </si>
  <si>
    <t>REBEKAH KNIGHT</t>
  </si>
  <si>
    <t>HS4045 ULVERSTONE</t>
  </si>
  <si>
    <t>INC8038</t>
  </si>
  <si>
    <t>INC8044</t>
  </si>
  <si>
    <t>INC8052</t>
  </si>
  <si>
    <t>INC8062</t>
  </si>
  <si>
    <t>INC9045</t>
  </si>
  <si>
    <t>JAMES KUEH</t>
  </si>
  <si>
    <t>INC9060</t>
  </si>
  <si>
    <t>INC9097</t>
  </si>
  <si>
    <t>INC9107</t>
  </si>
  <si>
    <t>INC9123</t>
  </si>
  <si>
    <t>INC9136</t>
  </si>
  <si>
    <t>CORY HARTIGAN</t>
  </si>
  <si>
    <t>HS2028 CRANBOURNE PARK</t>
  </si>
  <si>
    <t>INC9160</t>
  </si>
  <si>
    <t>INC9207</t>
  </si>
  <si>
    <t>INC9212</t>
  </si>
  <si>
    <t>INC9213</t>
  </si>
  <si>
    <t>INC9215</t>
  </si>
  <si>
    <t>INC9230</t>
  </si>
  <si>
    <t>INC9234</t>
  </si>
  <si>
    <t>INC9275</t>
  </si>
  <si>
    <t>Robert Nucifora</t>
  </si>
  <si>
    <t>P3002 FRANKSTON POWER CENTRE</t>
  </si>
  <si>
    <t>INC9298</t>
  </si>
  <si>
    <t>GEORGIA EDWARDS</t>
  </si>
  <si>
    <t>HS2032 TRARALGON</t>
  </si>
  <si>
    <t>INC9360</t>
  </si>
  <si>
    <t>INC9377</t>
  </si>
  <si>
    <t>INC9420</t>
  </si>
  <si>
    <t>INC9427</t>
  </si>
  <si>
    <t>INC9444</t>
  </si>
  <si>
    <t>SUSAN MADDEFORD</t>
  </si>
  <si>
    <t>HS1008 TEA TREE PLAZA</t>
  </si>
  <si>
    <t>INC9459</t>
  </si>
  <si>
    <t>JULIE LEWIS</t>
  </si>
  <si>
    <t>S127 BALLINA</t>
  </si>
  <si>
    <t>INC9473</t>
  </si>
  <si>
    <t>INC9486</t>
  </si>
  <si>
    <t>A032 Modbury</t>
  </si>
  <si>
    <t>INC9492</t>
  </si>
  <si>
    <t>INC9507</t>
  </si>
  <si>
    <t>ANTHONY MILLER</t>
  </si>
  <si>
    <t>A031 Port Macquarie</t>
  </si>
  <si>
    <t>INC9511</t>
  </si>
  <si>
    <t>MELANIE MACOR</t>
  </si>
  <si>
    <t>S166 BENNETTS GREEN</t>
  </si>
  <si>
    <t>INC9574</t>
  </si>
  <si>
    <t>ANNETTE WINIATA</t>
  </si>
  <si>
    <t>S064 WAIRAU PARK</t>
  </si>
  <si>
    <t>INC9628</t>
  </si>
  <si>
    <t>INC9642</t>
  </si>
  <si>
    <t>SHANNON PARKER</t>
  </si>
  <si>
    <t>HS9097 Hervey Bay</t>
  </si>
  <si>
    <t>INC9647</t>
  </si>
  <si>
    <t>INC9661</t>
  </si>
  <si>
    <t>INC9708</t>
  </si>
  <si>
    <t>INC9733</t>
  </si>
  <si>
    <t>INC9734</t>
  </si>
  <si>
    <t>INC9745</t>
  </si>
  <si>
    <t>INC9752</t>
  </si>
  <si>
    <t>INC9755</t>
  </si>
  <si>
    <t>INC9822</t>
  </si>
  <si>
    <t>INC9834</t>
  </si>
  <si>
    <t>INC9911</t>
  </si>
  <si>
    <t>LYNDA GOLDFINCH</t>
  </si>
  <si>
    <t>HS4042 CAMBRIDGE</t>
  </si>
  <si>
    <t>INC9924</t>
  </si>
  <si>
    <t>INC10090</t>
  </si>
  <si>
    <t>INC10170</t>
  </si>
  <si>
    <t>INC10233</t>
  </si>
  <si>
    <t>INC10255</t>
  </si>
  <si>
    <t>LACHLAN GAWDAT</t>
  </si>
  <si>
    <t>A044 Warringah Mall</t>
  </si>
  <si>
    <t>INC10271</t>
  </si>
  <si>
    <t>INC10290</t>
  </si>
  <si>
    <t>INC10298</t>
  </si>
  <si>
    <t>INC10367</t>
  </si>
  <si>
    <t>PATRICIA WILSON</t>
  </si>
  <si>
    <t>HS4043 LAUNCESTON</t>
  </si>
  <si>
    <t>INC10382</t>
  </si>
  <si>
    <t>INC10393</t>
  </si>
  <si>
    <t>INC10431</t>
  </si>
  <si>
    <t>INC10455</t>
  </si>
  <si>
    <t>BRENDAN JOHNSON</t>
  </si>
  <si>
    <t>A012 Penrith</t>
  </si>
  <si>
    <t>INC10487</t>
  </si>
  <si>
    <t>INC10496</t>
  </si>
  <si>
    <t>INC10518</t>
  </si>
  <si>
    <t>FLORIA FOLOMU</t>
  </si>
  <si>
    <t>INC10520</t>
  </si>
  <si>
    <t>INC10523</t>
  </si>
  <si>
    <t>INC10555</t>
  </si>
  <si>
    <t>RILEY KENT</t>
  </si>
  <si>
    <t>INC10558</t>
  </si>
  <si>
    <t>INC10575</t>
  </si>
  <si>
    <t>INC10602</t>
  </si>
  <si>
    <t>INC10605</t>
  </si>
  <si>
    <t>INC10615</t>
  </si>
  <si>
    <t>INC10691</t>
  </si>
  <si>
    <t>INC10701</t>
  </si>
  <si>
    <t>DONNA-LEA BEARD</t>
  </si>
  <si>
    <t>HS2014 MORNINGTON (HS HOME)</t>
  </si>
  <si>
    <t>INC10708</t>
  </si>
  <si>
    <t>INC10709</t>
  </si>
  <si>
    <t>INC10758</t>
  </si>
  <si>
    <t>INC10767</t>
  </si>
  <si>
    <t>CALLUM REYNOLDS</t>
  </si>
  <si>
    <t>S026 BENDIGO</t>
  </si>
  <si>
    <t>INC10786</t>
  </si>
  <si>
    <t>NAOMI HAYDOCK</t>
  </si>
  <si>
    <t>S176 LOGAN HYPERDOME (C)</t>
  </si>
  <si>
    <t>INC10837</t>
  </si>
  <si>
    <t>INC10840</t>
  </si>
  <si>
    <t>INC10847</t>
  </si>
  <si>
    <t>TRACEY RICE</t>
  </si>
  <si>
    <t>S061 MELVILLE</t>
  </si>
  <si>
    <t>INC10853</t>
  </si>
  <si>
    <t>SUSAN O'CONNELL</t>
  </si>
  <si>
    <t>S098 BURNSIDE</t>
  </si>
  <si>
    <t>INC10860</t>
  </si>
  <si>
    <t>Lisa Matchan</t>
  </si>
  <si>
    <t>P4017 HERVEY BAY</t>
  </si>
  <si>
    <t>INC10884</t>
  </si>
  <si>
    <t>INC10885</t>
  </si>
  <si>
    <t>INC10886</t>
  </si>
  <si>
    <t>A087 Hervey Bay</t>
  </si>
  <si>
    <t>INC10940</t>
  </si>
  <si>
    <t>SARAH HICK</t>
  </si>
  <si>
    <t>S147 GLADSTONE</t>
  </si>
  <si>
    <t>INC10949</t>
  </si>
  <si>
    <t>INC10987</t>
  </si>
  <si>
    <t>INC11014</t>
  </si>
  <si>
    <t>TOEKNEE KARAURIA</t>
  </si>
  <si>
    <t>HS9090 Maroochydore</t>
  </si>
  <si>
    <t>INC11019</t>
  </si>
  <si>
    <t>LEANNE HUTCHINSON</t>
  </si>
  <si>
    <t>HS1013 GEPPS CROSS (HS HOME)</t>
  </si>
  <si>
    <t>INC11026</t>
  </si>
  <si>
    <t>INC11124</t>
  </si>
  <si>
    <t>INC11161</t>
  </si>
  <si>
    <t>GILLIAN BROOKS</t>
  </si>
  <si>
    <t>S925 Talent &amp; Leadership</t>
  </si>
  <si>
    <t>INC11168</t>
  </si>
  <si>
    <t>CAROLYN DAY</t>
  </si>
  <si>
    <t>S139 HERVEY BAY</t>
  </si>
  <si>
    <t>INC11380</t>
  </si>
  <si>
    <t>LORRAINE KING</t>
  </si>
  <si>
    <t>S039 ASHMORE</t>
  </si>
  <si>
    <t>INC11388</t>
  </si>
  <si>
    <t>INC11472</t>
  </si>
  <si>
    <t>INC11477</t>
  </si>
  <si>
    <t>INC11492</t>
  </si>
  <si>
    <t>OWEN WALTERS</t>
  </si>
  <si>
    <t>INC11501</t>
  </si>
  <si>
    <t>NATASHA TURNER</t>
  </si>
  <si>
    <t>S188 BELMONT</t>
  </si>
  <si>
    <t>INC11504</t>
  </si>
  <si>
    <t>INC11511</t>
  </si>
  <si>
    <t>INC11588</t>
  </si>
  <si>
    <t>LEAH WAKELY</t>
  </si>
  <si>
    <t>A080 Glenorchy</t>
  </si>
  <si>
    <t>INC11609</t>
  </si>
  <si>
    <t>INC11649</t>
  </si>
  <si>
    <t>AARON BONNER</t>
  </si>
  <si>
    <t>A028 Launceston</t>
  </si>
  <si>
    <t>INC11673</t>
  </si>
  <si>
    <t>INC11711</t>
  </si>
  <si>
    <t>KIM PENNEY</t>
  </si>
  <si>
    <t>S132 WANGARATTA</t>
  </si>
  <si>
    <t>INC11738</t>
  </si>
  <si>
    <t>INC11739</t>
  </si>
  <si>
    <t>A039 Highett</t>
  </si>
  <si>
    <t>INC11779</t>
  </si>
  <si>
    <t>JOEL PEARCE</t>
  </si>
  <si>
    <t>INC11787</t>
  </si>
  <si>
    <t>A083 MT GRAVATT</t>
  </si>
  <si>
    <t>INC11790</t>
  </si>
  <si>
    <t>INC11804</t>
  </si>
  <si>
    <t>INC11815</t>
  </si>
  <si>
    <t>INC11903</t>
  </si>
  <si>
    <t>INC11919</t>
  </si>
  <si>
    <t>INC11935</t>
  </si>
  <si>
    <t>RACHEL KOURLINIS</t>
  </si>
  <si>
    <t>INC11982</t>
  </si>
  <si>
    <t>LUKE SOUTHWELL</t>
  </si>
  <si>
    <t>A038 Toowoomba</t>
  </si>
  <si>
    <t>INC12078</t>
  </si>
  <si>
    <t>INC12081</t>
  </si>
  <si>
    <t>INC12092</t>
  </si>
  <si>
    <t>INC12101</t>
  </si>
  <si>
    <t>SHANAE ACHESON</t>
  </si>
  <si>
    <t>A074 Mildura</t>
  </si>
  <si>
    <t>INC12170</t>
  </si>
  <si>
    <t>INC12179</t>
  </si>
  <si>
    <t>TANIA DURSTON</t>
  </si>
  <si>
    <t>S029 SHEPPARTON</t>
  </si>
  <si>
    <t>INC12191</t>
  </si>
  <si>
    <t>SANDRA O'CONNELL</t>
  </si>
  <si>
    <t>S116 IPSWICH</t>
  </si>
  <si>
    <t>INC12204</t>
  </si>
  <si>
    <t>INC12259</t>
  </si>
  <si>
    <t>LISA FIGG</t>
  </si>
  <si>
    <t>S037 CAMPBELLTOWN</t>
  </si>
  <si>
    <t>INC12268</t>
  </si>
  <si>
    <t>INC12313</t>
  </si>
  <si>
    <t>RAJU NARAYAN</t>
  </si>
  <si>
    <t>INC12325</t>
  </si>
  <si>
    <t>JOI HAINES</t>
  </si>
  <si>
    <t>S043 TOWNSVILLE</t>
  </si>
  <si>
    <t>INC12336</t>
  </si>
  <si>
    <t>INC12346</t>
  </si>
  <si>
    <t>INC12350</t>
  </si>
  <si>
    <t>INC12395</t>
  </si>
  <si>
    <t>INC12428</t>
  </si>
  <si>
    <t>INC12438</t>
  </si>
  <si>
    <t>INC12533</t>
  </si>
  <si>
    <t>SHARIFAH PANTOURS</t>
  </si>
  <si>
    <t>INC12586</t>
  </si>
  <si>
    <t>INC12615</t>
  </si>
  <si>
    <t>INC12649</t>
  </si>
  <si>
    <t>INC12702</t>
  </si>
  <si>
    <t>INC12751</t>
  </si>
  <si>
    <t>INC12764</t>
  </si>
  <si>
    <t>RICHARD BIRD</t>
  </si>
  <si>
    <t>INC12790</t>
  </si>
  <si>
    <t>INC12819</t>
  </si>
  <si>
    <t>INC12824</t>
  </si>
  <si>
    <t>INC12833</t>
  </si>
  <si>
    <t>INC12856</t>
  </si>
  <si>
    <t>INC12936</t>
  </si>
  <si>
    <t>TAMMY-LEE LOUTTIT</t>
  </si>
  <si>
    <t>S123 WAGGA WAGGA</t>
  </si>
  <si>
    <t>Parent Record: Uniq ID</t>
  </si>
  <si>
    <t>Date and Time of the Incident</t>
  </si>
  <si>
    <t>Injury Type</t>
  </si>
  <si>
    <t>Injury Nature</t>
  </si>
  <si>
    <t>Parent Record: Record Location</t>
  </si>
  <si>
    <t>Parent Record: Record Organization</t>
  </si>
  <si>
    <t>INC10009</t>
  </si>
  <si>
    <t>Customer Aggression</t>
  </si>
  <si>
    <t>Other</t>
  </si>
  <si>
    <t>INC10010</t>
  </si>
  <si>
    <t>INC10019</t>
  </si>
  <si>
    <t>RAZIA ALI</t>
  </si>
  <si>
    <t>Psychological Factors</t>
  </si>
  <si>
    <t>S125 WETHERILL PARK</t>
  </si>
  <si>
    <t>INC10072</t>
  </si>
  <si>
    <t>Bruise/Pain/Soreness</t>
  </si>
  <si>
    <t>INC10043</t>
  </si>
  <si>
    <t>ANGELA GEORGIESKA</t>
  </si>
  <si>
    <t>INC10114</t>
  </si>
  <si>
    <t>INC10916</t>
  </si>
  <si>
    <t>THOMAS NADER</t>
  </si>
  <si>
    <t>Cut/Abrasion, Other</t>
  </si>
  <si>
    <t>A023 West Gosford</t>
  </si>
  <si>
    <t>INC10919</t>
  </si>
  <si>
    <t>Bruise/Pain/Soreness, Cut/Abrasion, Sprain/Strain</t>
  </si>
  <si>
    <t>INC12252</t>
  </si>
  <si>
    <t>INC12345</t>
  </si>
  <si>
    <t>INC12608</t>
  </si>
  <si>
    <t>PETER RIGGS</t>
  </si>
  <si>
    <t>HS2020 FOREST HILL</t>
  </si>
  <si>
    <t>Psychosocial Classification:</t>
  </si>
  <si>
    <t>INC11465</t>
  </si>
  <si>
    <t>CHRISTINE BARLOW</t>
  </si>
  <si>
    <t>Psychosocial</t>
  </si>
  <si>
    <t>S113 SOUTH MORANG</t>
  </si>
  <si>
    <t>INC11871</t>
  </si>
  <si>
    <t>INC12002</t>
  </si>
  <si>
    <t>INC12005</t>
  </si>
  <si>
    <t>INC12464</t>
  </si>
  <si>
    <t>INC12492</t>
  </si>
  <si>
    <t>INC12577</t>
  </si>
  <si>
    <t>INC12659</t>
  </si>
  <si>
    <t>KARIN CHURCH</t>
  </si>
  <si>
    <t>S046 MACKAY</t>
  </si>
  <si>
    <t>Start</t>
  </si>
  <si>
    <t>End</t>
  </si>
  <si>
    <t>Week</t>
  </si>
  <si>
    <t>Month</t>
  </si>
  <si>
    <t>QTR</t>
  </si>
  <si>
    <t>FY</t>
  </si>
  <si>
    <t>Month Year Comb</t>
  </si>
  <si>
    <t>Week Month Year Comb</t>
  </si>
  <si>
    <t>Month Year Comb2</t>
  </si>
  <si>
    <t>Qtr Year Comb22</t>
  </si>
  <si>
    <t>Week 1</t>
  </si>
  <si>
    <t>JUL</t>
  </si>
  <si>
    <t>FY19</t>
  </si>
  <si>
    <t>Week 2</t>
  </si>
  <si>
    <t>Week 3</t>
  </si>
  <si>
    <t>Week 4</t>
  </si>
  <si>
    <t>Week 5</t>
  </si>
  <si>
    <t>AUG</t>
  </si>
  <si>
    <t>Week 6</t>
  </si>
  <si>
    <t>Week 7</t>
  </si>
  <si>
    <t>Week 8</t>
  </si>
  <si>
    <t>Week 9</t>
  </si>
  <si>
    <t>Week 10</t>
  </si>
  <si>
    <t>SEP</t>
  </si>
  <si>
    <t>Week 11</t>
  </si>
  <si>
    <t>Week 12</t>
  </si>
  <si>
    <t>Week 13</t>
  </si>
  <si>
    <t>Week 14</t>
  </si>
  <si>
    <t>OCT</t>
  </si>
  <si>
    <t>Week 15</t>
  </si>
  <si>
    <t>Week 16</t>
  </si>
  <si>
    <t>Week 17</t>
  </si>
  <si>
    <t>Week 18</t>
  </si>
  <si>
    <t>NOV</t>
  </si>
  <si>
    <t>Week 19</t>
  </si>
  <si>
    <t>Week 20</t>
  </si>
  <si>
    <t>Week 21</t>
  </si>
  <si>
    <t>Week 22</t>
  </si>
  <si>
    <t>Week 23</t>
  </si>
  <si>
    <t>DEC</t>
  </si>
  <si>
    <t>Week 24</t>
  </si>
  <si>
    <t>Week 25</t>
  </si>
  <si>
    <t>Week 26</t>
  </si>
  <si>
    <t>Week 27</t>
  </si>
  <si>
    <t>JAN</t>
  </si>
  <si>
    <t>Week 28</t>
  </si>
  <si>
    <t>Week 29</t>
  </si>
  <si>
    <t>Week 30</t>
  </si>
  <si>
    <t>Week 31</t>
  </si>
  <si>
    <t>FEB</t>
  </si>
  <si>
    <t>Week 32</t>
  </si>
  <si>
    <t>Week 33</t>
  </si>
  <si>
    <t>Week 34</t>
  </si>
  <si>
    <t>Week 35</t>
  </si>
  <si>
    <t>Week 36</t>
  </si>
  <si>
    <t>MAR</t>
  </si>
  <si>
    <t>Week 37</t>
  </si>
  <si>
    <t>Week 38</t>
  </si>
  <si>
    <t>Week 39</t>
  </si>
  <si>
    <t>Week 40</t>
  </si>
  <si>
    <t>APR</t>
  </si>
  <si>
    <t>Week 41</t>
  </si>
  <si>
    <t>Week 42</t>
  </si>
  <si>
    <t>Week 43</t>
  </si>
  <si>
    <t>Week 44</t>
  </si>
  <si>
    <t>MAY</t>
  </si>
  <si>
    <t>Week 45</t>
  </si>
  <si>
    <t>Week 46</t>
  </si>
  <si>
    <t>Week 47</t>
  </si>
  <si>
    <t>Week 48</t>
  </si>
  <si>
    <t>Week 49</t>
  </si>
  <si>
    <t>JUN</t>
  </si>
  <si>
    <t>Week 50</t>
  </si>
  <si>
    <t>Week 51</t>
  </si>
  <si>
    <t>Week 52</t>
  </si>
  <si>
    <t>Week 53</t>
  </si>
  <si>
    <t>FY20</t>
  </si>
  <si>
    <t>FY21</t>
  </si>
  <si>
    <t>FY22</t>
  </si>
  <si>
    <t>FY23</t>
  </si>
  <si>
    <t>FY24</t>
  </si>
  <si>
    <t>FY25</t>
  </si>
  <si>
    <t>FY26</t>
  </si>
  <si>
    <t>Store No.</t>
  </si>
  <si>
    <t>Store Name</t>
  </si>
  <si>
    <t>Region</t>
  </si>
  <si>
    <t>Country</t>
  </si>
  <si>
    <t>Company</t>
  </si>
  <si>
    <t>Store/ SG</t>
  </si>
  <si>
    <t>A004</t>
  </si>
  <si>
    <t>Everton Park</t>
  </si>
  <si>
    <t>BRISBANE / FNQ Cluster</t>
  </si>
  <si>
    <t>Australia</t>
  </si>
  <si>
    <t>Anaconda</t>
  </si>
  <si>
    <t>Store</t>
  </si>
  <si>
    <t>A005</t>
  </si>
  <si>
    <t>Townsville</t>
  </si>
  <si>
    <t>A037</t>
  </si>
  <si>
    <t>Cairns</t>
  </si>
  <si>
    <t>A048</t>
  </si>
  <si>
    <t>Chermside</t>
  </si>
  <si>
    <t>A076</t>
  </si>
  <si>
    <t>Smithfield</t>
  </si>
  <si>
    <t>A018</t>
  </si>
  <si>
    <t>Kawana</t>
  </si>
  <si>
    <t>A063</t>
  </si>
  <si>
    <t>Maroochydore</t>
  </si>
  <si>
    <t>A031</t>
  </si>
  <si>
    <t>Port Macquarie</t>
  </si>
  <si>
    <t>A068</t>
  </si>
  <si>
    <t>Coffs Harbour</t>
  </si>
  <si>
    <t>A023</t>
  </si>
  <si>
    <t>West Gosford</t>
  </si>
  <si>
    <t>NSW North</t>
  </si>
  <si>
    <t>A025</t>
  </si>
  <si>
    <t>Belrose</t>
  </si>
  <si>
    <t>A029</t>
  </si>
  <si>
    <t>Bennetts Green</t>
  </si>
  <si>
    <t>A044</t>
  </si>
  <si>
    <t>A051</t>
  </si>
  <si>
    <t>Rutherford</t>
  </si>
  <si>
    <t>A059</t>
  </si>
  <si>
    <t>Chatswood</t>
  </si>
  <si>
    <t>A061</t>
  </si>
  <si>
    <t>Marsden Park</t>
  </si>
  <si>
    <t>A082</t>
  </si>
  <si>
    <t>Dubbo</t>
  </si>
  <si>
    <t>A092</t>
  </si>
  <si>
    <t>Bathurst</t>
  </si>
  <si>
    <t>A096</t>
  </si>
  <si>
    <t>Heatherbrae</t>
  </si>
  <si>
    <t>A015</t>
  </si>
  <si>
    <t>Moore Park</t>
  </si>
  <si>
    <t>NSW South</t>
  </si>
  <si>
    <t>A006</t>
  </si>
  <si>
    <t>A012</t>
  </si>
  <si>
    <t>Penrith</t>
  </si>
  <si>
    <t>A024</t>
  </si>
  <si>
    <t>Rockdale</t>
  </si>
  <si>
    <t>A033</t>
  </si>
  <si>
    <t>Wagga Wagga</t>
  </si>
  <si>
    <t>A045</t>
  </si>
  <si>
    <t>Wollongong</t>
  </si>
  <si>
    <t>A050</t>
  </si>
  <si>
    <t>Albury</t>
  </si>
  <si>
    <t>A062</t>
  </si>
  <si>
    <t>Campbelltown</t>
  </si>
  <si>
    <t>A073</t>
  </si>
  <si>
    <t>Eastern Creek</t>
  </si>
  <si>
    <t>A086</t>
  </si>
  <si>
    <t>Nowra</t>
  </si>
  <si>
    <t>A091</t>
  </si>
  <si>
    <t>Albion Park</t>
  </si>
  <si>
    <t>A097</t>
  </si>
  <si>
    <t>Taren Point</t>
  </si>
  <si>
    <t>A047</t>
  </si>
  <si>
    <t>North Lakes</t>
  </si>
  <si>
    <t>QLD Central</t>
  </si>
  <si>
    <t>A049</t>
  </si>
  <si>
    <t>Tingalpa</t>
  </si>
  <si>
    <t>A079</t>
  </si>
  <si>
    <t>Cleveland</t>
  </si>
  <si>
    <t>A087</t>
  </si>
  <si>
    <t>Hervey Bay</t>
  </si>
  <si>
    <t>A002</t>
  </si>
  <si>
    <t>Ashmore</t>
  </si>
  <si>
    <t>A036</t>
  </si>
  <si>
    <t>West Burleigh</t>
  </si>
  <si>
    <t>A016</t>
  </si>
  <si>
    <t>Morayfield</t>
  </si>
  <si>
    <t>A089</t>
  </si>
  <si>
    <t>Bundaberg</t>
  </si>
  <si>
    <t>A083</t>
  </si>
  <si>
    <t>Mt Gravatt</t>
  </si>
  <si>
    <t>A007</t>
  </si>
  <si>
    <t>Logan</t>
  </si>
  <si>
    <t>QLD NW / NT</t>
  </si>
  <si>
    <t>A038</t>
  </si>
  <si>
    <t>Toowoomba</t>
  </si>
  <si>
    <t>A043</t>
  </si>
  <si>
    <t>Darwin</t>
  </si>
  <si>
    <t>A046</t>
  </si>
  <si>
    <t>Rockhampton</t>
  </si>
  <si>
    <t>A054</t>
  </si>
  <si>
    <t>Ipswich</t>
  </si>
  <si>
    <t>A057</t>
  </si>
  <si>
    <t>Mackay</t>
  </si>
  <si>
    <t>A067</t>
  </si>
  <si>
    <t>Airlie Beach</t>
  </si>
  <si>
    <t>A072</t>
  </si>
  <si>
    <t>Browns Plains</t>
  </si>
  <si>
    <t>A085</t>
  </si>
  <si>
    <t>Palmerston</t>
  </si>
  <si>
    <t>A027</t>
  </si>
  <si>
    <t>Fyshwick</t>
  </si>
  <si>
    <t>SA / ACT</t>
  </si>
  <si>
    <t>A064</t>
  </si>
  <si>
    <t>Gungahlin</t>
  </si>
  <si>
    <t>A008</t>
  </si>
  <si>
    <t>Mile End</t>
  </si>
  <si>
    <t>A032</t>
  </si>
  <si>
    <t>Modbury</t>
  </si>
  <si>
    <t>A034</t>
  </si>
  <si>
    <t>Noarlunga</t>
  </si>
  <si>
    <t>A069</t>
  </si>
  <si>
    <t>Gepps Cross</t>
  </si>
  <si>
    <t>A075</t>
  </si>
  <si>
    <t>Munno Para</t>
  </si>
  <si>
    <t>A701</t>
  </si>
  <si>
    <t>Brisbane Show Site</t>
  </si>
  <si>
    <t>Show Sites</t>
  </si>
  <si>
    <t>A702</t>
  </si>
  <si>
    <t>NT Show Site</t>
  </si>
  <si>
    <t>A703</t>
  </si>
  <si>
    <t>VIC Show Site</t>
  </si>
  <si>
    <t>A704</t>
  </si>
  <si>
    <t>NSW Show Site</t>
  </si>
  <si>
    <t>A705</t>
  </si>
  <si>
    <t>SA Show Site</t>
  </si>
  <si>
    <t>A706</t>
  </si>
  <si>
    <t>WA Show Site</t>
  </si>
  <si>
    <t>A001</t>
  </si>
  <si>
    <t>Bayswater</t>
  </si>
  <si>
    <t>VIC North / East</t>
  </si>
  <si>
    <t>A009</t>
  </si>
  <si>
    <t>Geelong</t>
  </si>
  <si>
    <t>A013</t>
  </si>
  <si>
    <t>Frankston</t>
  </si>
  <si>
    <t>A017</t>
  </si>
  <si>
    <t>Narre Warren</t>
  </si>
  <si>
    <t>A021</t>
  </si>
  <si>
    <t>Bendigo</t>
  </si>
  <si>
    <t>A026</t>
  </si>
  <si>
    <t>Springvale</t>
  </si>
  <si>
    <t>A035</t>
  </si>
  <si>
    <t>Ballarat</t>
  </si>
  <si>
    <t>A039</t>
  </si>
  <si>
    <t>Highett</t>
  </si>
  <si>
    <t>A041</t>
  </si>
  <si>
    <t>Box Hill</t>
  </si>
  <si>
    <t>A055</t>
  </si>
  <si>
    <t>Shepparton</t>
  </si>
  <si>
    <t>A011</t>
  </si>
  <si>
    <t>Cambridge</t>
  </si>
  <si>
    <t>VIC West / TAS</t>
  </si>
  <si>
    <t>A028</t>
  </si>
  <si>
    <t>Launceston</t>
  </si>
  <si>
    <t>A060</t>
  </si>
  <si>
    <t>Devonport</t>
  </si>
  <si>
    <t>A080</t>
  </si>
  <si>
    <t>Glenorchy</t>
  </si>
  <si>
    <t>A020</t>
  </si>
  <si>
    <t>Preston</t>
  </si>
  <si>
    <t>A030</t>
  </si>
  <si>
    <t>Hoppers Crossing</t>
  </si>
  <si>
    <t>A040</t>
  </si>
  <si>
    <t>Watergardens</t>
  </si>
  <si>
    <t>A042</t>
  </si>
  <si>
    <t>Maribyrnong</t>
  </si>
  <si>
    <t>A052</t>
  </si>
  <si>
    <t>Epping</t>
  </si>
  <si>
    <t>A058</t>
  </si>
  <si>
    <t>Hawthorn East</t>
  </si>
  <si>
    <t>A074</t>
  </si>
  <si>
    <t>Mildura</t>
  </si>
  <si>
    <t>A003</t>
  </si>
  <si>
    <t>Joondalup</t>
  </si>
  <si>
    <t>WA</t>
  </si>
  <si>
    <t>A010</t>
  </si>
  <si>
    <t>Innaloo</t>
  </si>
  <si>
    <t>A022</t>
  </si>
  <si>
    <t>Cannington</t>
  </si>
  <si>
    <t>A053</t>
  </si>
  <si>
    <t>Midland</t>
  </si>
  <si>
    <t>A065</t>
  </si>
  <si>
    <t>Rockingham</t>
  </si>
  <si>
    <t>A066</t>
  </si>
  <si>
    <t>Butler</t>
  </si>
  <si>
    <t>A070</t>
  </si>
  <si>
    <t>Melville</t>
  </si>
  <si>
    <t>A071</t>
  </si>
  <si>
    <t>Bunbury</t>
  </si>
  <si>
    <t>A077</t>
  </si>
  <si>
    <t>Albany</t>
  </si>
  <si>
    <t>A081</t>
  </si>
  <si>
    <t>Busselton</t>
  </si>
  <si>
    <t>A090</t>
  </si>
  <si>
    <t>Mandurah</t>
  </si>
  <si>
    <t>A094</t>
  </si>
  <si>
    <t>Forestdale</t>
  </si>
  <si>
    <t>A906</t>
  </si>
  <si>
    <t>Planning</t>
  </si>
  <si>
    <t>Ana Merch</t>
  </si>
  <si>
    <t>Anaconda SG</t>
  </si>
  <si>
    <t>SG</t>
  </si>
  <si>
    <t>A914</t>
  </si>
  <si>
    <t>Fish Marine</t>
  </si>
  <si>
    <t>A915</t>
  </si>
  <si>
    <t>Land, Water, 4WD</t>
  </si>
  <si>
    <t>A918</t>
  </si>
  <si>
    <t>Camp &amp; Hike</t>
  </si>
  <si>
    <t>A919</t>
  </si>
  <si>
    <t>TSG</t>
  </si>
  <si>
    <t>A904</t>
  </si>
  <si>
    <t>Operations</t>
  </si>
  <si>
    <t>Ana Ops</t>
  </si>
  <si>
    <t>A900</t>
  </si>
  <si>
    <t>Ana SG</t>
  </si>
  <si>
    <t>A901</t>
  </si>
  <si>
    <t>Human Resources</t>
  </si>
  <si>
    <t>A903</t>
  </si>
  <si>
    <t>Executive</t>
  </si>
  <si>
    <t>A907</t>
  </si>
  <si>
    <t>Marketing</t>
  </si>
  <si>
    <t>M900</t>
  </si>
  <si>
    <t>Mountiain Designs SG</t>
  </si>
  <si>
    <t>F001</t>
  </si>
  <si>
    <t>Family Residence</t>
  </si>
  <si>
    <t>FFM</t>
  </si>
  <si>
    <t>Family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</si>
  <si>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</si>
  <si>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</si>
  <si>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</si>
  <si>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</si>
  <si>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</si>
  <si>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</si>
  <si>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</si>
  <si>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</si>
  <si>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</si>
  <si>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NSW/ACT</t>
  </si>
  <si>
    <t>Harris Scarfe</t>
  </si>
  <si>
    <t>Blacktown</t>
  </si>
  <si>
    <t>DNU eComm</t>
  </si>
  <si>
    <t>Belconnen</t>
  </si>
  <si>
    <t>Tuggeranong</t>
  </si>
  <si>
    <t>Merimbula (HS Home)</t>
  </si>
  <si>
    <t>Moruya</t>
  </si>
  <si>
    <t>Ulladulla</t>
  </si>
  <si>
    <t>QLD</t>
  </si>
  <si>
    <t>Tweed Heads</t>
  </si>
  <si>
    <t>Loganholme</t>
  </si>
  <si>
    <t>West Burleigh (Mega Home)</t>
  </si>
  <si>
    <t>Carindale</t>
  </si>
  <si>
    <t>Arndale</t>
  </si>
  <si>
    <t>SA/TAS</t>
  </si>
  <si>
    <t>Elizabeth</t>
  </si>
  <si>
    <t>West Lakes</t>
  </si>
  <si>
    <t>Tea Tree Plaza</t>
  </si>
  <si>
    <t>Whyalla</t>
  </si>
  <si>
    <t>Marion</t>
  </si>
  <si>
    <t>Colonnades</t>
  </si>
  <si>
    <t>Gepps Cross (HS Home)</t>
  </si>
  <si>
    <t>Moonah</t>
  </si>
  <si>
    <t>Ulverstone</t>
  </si>
  <si>
    <t>Mornington (HS Home)</t>
  </si>
  <si>
    <t>VIC</t>
  </si>
  <si>
    <t>Forest Hill</t>
  </si>
  <si>
    <t>Knox City</t>
  </si>
  <si>
    <t>Southland</t>
  </si>
  <si>
    <t>Cranbourne Park</t>
  </si>
  <si>
    <t>Traralgon</t>
  </si>
  <si>
    <t>Eastland</t>
  </si>
  <si>
    <t>Fountain Gate</t>
  </si>
  <si>
    <t>Preston (HS Home)</t>
  </si>
  <si>
    <t>Carnegie (HS Home)</t>
  </si>
  <si>
    <t>Chirnside Park (HS Home)</t>
  </si>
  <si>
    <t>Warragul</t>
  </si>
  <si>
    <t>Bairnsdale</t>
  </si>
  <si>
    <t>VIC &amp; NSW</t>
  </si>
  <si>
    <t>Woodgrove</t>
  </si>
  <si>
    <t>Highpoint</t>
  </si>
  <si>
    <t>Airport West</t>
  </si>
  <si>
    <t>Waurn Ponds (HS Home)</t>
  </si>
  <si>
    <t>Warrnambool</t>
  </si>
  <si>
    <t>Sunbury</t>
  </si>
  <si>
    <t>Tarneit</t>
  </si>
  <si>
    <t>Craigieburn (HS Home)</t>
  </si>
  <si>
    <t>South Morang (HS Home)</t>
  </si>
  <si>
    <t>HS Merch</t>
  </si>
  <si>
    <t>Harris Scarfe SG</t>
  </si>
  <si>
    <t>Apparel</t>
  </si>
  <si>
    <t>Home</t>
  </si>
  <si>
    <t>HS Ops</t>
  </si>
  <si>
    <t>HS SG</t>
  </si>
  <si>
    <t>Management</t>
  </si>
  <si>
    <t>INFORMATION SYSTEMS</t>
  </si>
  <si>
    <t>FINANCE</t>
  </si>
  <si>
    <t>M805</t>
  </si>
  <si>
    <t>MD Dark Store</t>
  </si>
  <si>
    <t>Mountain Designs Store</t>
  </si>
  <si>
    <t xml:space="preserve">Mountain Designs </t>
  </si>
  <si>
    <t>M500</t>
  </si>
  <si>
    <t>Mountain Designs SG</t>
  </si>
  <si>
    <t>S936</t>
  </si>
  <si>
    <t>Finance - NZ SG (SRG)</t>
  </si>
  <si>
    <t>NZ Finance</t>
  </si>
  <si>
    <t>NZ</t>
  </si>
  <si>
    <t>NZ Shared Services</t>
  </si>
  <si>
    <t>S935</t>
  </si>
  <si>
    <t>NZ Warehouse</t>
  </si>
  <si>
    <t>S928</t>
  </si>
  <si>
    <t>Master Data</t>
  </si>
  <si>
    <t>eCommerce &amp; Omni Channel</t>
  </si>
  <si>
    <t>Shared Serv.</t>
  </si>
  <si>
    <t>S991</t>
  </si>
  <si>
    <t>E Commerce</t>
  </si>
  <si>
    <t>Credit Card</t>
  </si>
  <si>
    <t>Finance</t>
  </si>
  <si>
    <t>S909</t>
  </si>
  <si>
    <t>Risk Management</t>
  </si>
  <si>
    <t>S996</t>
  </si>
  <si>
    <t>SRG Finance</t>
  </si>
  <si>
    <t>S904</t>
  </si>
  <si>
    <t>S966</t>
  </si>
  <si>
    <t>Insights &amp; Analytics</t>
  </si>
  <si>
    <t>S905</t>
  </si>
  <si>
    <t>IT</t>
  </si>
  <si>
    <t>S902</t>
  </si>
  <si>
    <t>Customer Services</t>
  </si>
  <si>
    <t>S907</t>
  </si>
  <si>
    <t>S994</t>
  </si>
  <si>
    <t>Digital Performance &amp; CRM</t>
  </si>
  <si>
    <t>S997</t>
  </si>
  <si>
    <t>Corporate Social Responsibility</t>
  </si>
  <si>
    <t>S920</t>
  </si>
  <si>
    <t>Property and Store Development</t>
  </si>
  <si>
    <t>S995</t>
  </si>
  <si>
    <t>Planning &amp; Development</t>
  </si>
  <si>
    <t>S903</t>
  </si>
  <si>
    <t>Directors</t>
  </si>
  <si>
    <t>S024</t>
  </si>
  <si>
    <t>NSW Central</t>
  </si>
  <si>
    <t>Spotlight AU</t>
  </si>
  <si>
    <t>S028</t>
  </si>
  <si>
    <t>Bondi Junction</t>
  </si>
  <si>
    <t>S030</t>
  </si>
  <si>
    <t>Birkenhead Point</t>
  </si>
  <si>
    <t>S040</t>
  </si>
  <si>
    <t>Tamworth</t>
  </si>
  <si>
    <t>S041</t>
  </si>
  <si>
    <t>S050</t>
  </si>
  <si>
    <t>S053</t>
  </si>
  <si>
    <t>S054</t>
  </si>
  <si>
    <t>S081</t>
  </si>
  <si>
    <t>Tuggerah</t>
  </si>
  <si>
    <t>S088</t>
  </si>
  <si>
    <t>Castle Hill</t>
  </si>
  <si>
    <t>S137</t>
  </si>
  <si>
    <t>Orange</t>
  </si>
  <si>
    <t>S138</t>
  </si>
  <si>
    <t>Armidale</t>
  </si>
  <si>
    <t>S152</t>
  </si>
  <si>
    <t>Hornsby</t>
  </si>
  <si>
    <t>S174</t>
  </si>
  <si>
    <t>Alexandria</t>
  </si>
  <si>
    <t>S039</t>
  </si>
  <si>
    <t>NSW North / QLD South</t>
  </si>
  <si>
    <t>S048</t>
  </si>
  <si>
    <t>Lismore</t>
  </si>
  <si>
    <t>S062</t>
  </si>
  <si>
    <t>Taree</t>
  </si>
  <si>
    <t>S079</t>
  </si>
  <si>
    <t>S082</t>
  </si>
  <si>
    <t>S099</t>
  </si>
  <si>
    <t>S109</t>
  </si>
  <si>
    <t>S127</t>
  </si>
  <si>
    <t>Ballina</t>
  </si>
  <si>
    <t>S148</t>
  </si>
  <si>
    <t>Grafton</t>
  </si>
  <si>
    <t>S154</t>
  </si>
  <si>
    <t>Upper Coomera</t>
  </si>
  <si>
    <t>S166</t>
  </si>
  <si>
    <t>S175</t>
  </si>
  <si>
    <t>Robina</t>
  </si>
  <si>
    <t>S201</t>
  </si>
  <si>
    <t>Taylors Beach</t>
  </si>
  <si>
    <t>S019</t>
  </si>
  <si>
    <t>NSW South / ACT</t>
  </si>
  <si>
    <t>S020</t>
  </si>
  <si>
    <t>S021</t>
  </si>
  <si>
    <t>S037</t>
  </si>
  <si>
    <t>S042</t>
  </si>
  <si>
    <t>Queanbeyan</t>
  </si>
  <si>
    <t>S045</t>
  </si>
  <si>
    <t>Lidcombe</t>
  </si>
  <si>
    <t>S100</t>
  </si>
  <si>
    <t>S105</t>
  </si>
  <si>
    <t>Mt Druitt</t>
  </si>
  <si>
    <t>S121</t>
  </si>
  <si>
    <t>Miranda</t>
  </si>
  <si>
    <t>S123</t>
  </si>
  <si>
    <t>S125</t>
  </si>
  <si>
    <t>Wetherill Park</t>
  </si>
  <si>
    <t>S136</t>
  </si>
  <si>
    <t>Griffith</t>
  </si>
  <si>
    <t>S153</t>
  </si>
  <si>
    <t>S165</t>
  </si>
  <si>
    <t>Mittagong</t>
  </si>
  <si>
    <t>S171</t>
  </si>
  <si>
    <t>S011</t>
  </si>
  <si>
    <t>QLD Central / TAS</t>
  </si>
  <si>
    <t>S038</t>
  </si>
  <si>
    <t>S055</t>
  </si>
  <si>
    <t>Indooroopilly</t>
  </si>
  <si>
    <t>S060</t>
  </si>
  <si>
    <t>S069</t>
  </si>
  <si>
    <t>S080</t>
  </si>
  <si>
    <t>S102</t>
  </si>
  <si>
    <t>Burnie</t>
  </si>
  <si>
    <t>S111</t>
  </si>
  <si>
    <t>S116</t>
  </si>
  <si>
    <t>S139</t>
  </si>
  <si>
    <t>S149</t>
  </si>
  <si>
    <t>S161</t>
  </si>
  <si>
    <t>S176</t>
  </si>
  <si>
    <t>S035</t>
  </si>
  <si>
    <t>QLD North</t>
  </si>
  <si>
    <t>S036</t>
  </si>
  <si>
    <t>Macgregor</t>
  </si>
  <si>
    <t>S043</t>
  </si>
  <si>
    <t>S046</t>
  </si>
  <si>
    <t>S047</t>
  </si>
  <si>
    <t>S094</t>
  </si>
  <si>
    <t>S096</t>
  </si>
  <si>
    <t>S118</t>
  </si>
  <si>
    <t>S129</t>
  </si>
  <si>
    <t>Springfield</t>
  </si>
  <si>
    <t>S131</t>
  </si>
  <si>
    <t>Capalaba</t>
  </si>
  <si>
    <t>S147</t>
  </si>
  <si>
    <t>Gladstone</t>
  </si>
  <si>
    <t>S168</t>
  </si>
  <si>
    <t>Windsor</t>
  </si>
  <si>
    <t>S205</t>
  </si>
  <si>
    <t>S017</t>
  </si>
  <si>
    <t>SA/NT</t>
  </si>
  <si>
    <t>S025</t>
  </si>
  <si>
    <t>Trinity Gardens</t>
  </si>
  <si>
    <t>S044</t>
  </si>
  <si>
    <t>S057</t>
  </si>
  <si>
    <t>S072</t>
  </si>
  <si>
    <t>Melrose Park</t>
  </si>
  <si>
    <t>S074</t>
  </si>
  <si>
    <t>Clovercrest</t>
  </si>
  <si>
    <t>S077</t>
  </si>
  <si>
    <t>S090</t>
  </si>
  <si>
    <t>S106</t>
  </si>
  <si>
    <t>Mount Barker</t>
  </si>
  <si>
    <t>S117</t>
  </si>
  <si>
    <t>S119</t>
  </si>
  <si>
    <t>S124</t>
  </si>
  <si>
    <t>Albert Park</t>
  </si>
  <si>
    <t>S002</t>
  </si>
  <si>
    <t>VIC East</t>
  </si>
  <si>
    <t>S004</t>
  </si>
  <si>
    <t>Mentone</t>
  </si>
  <si>
    <t>S005</t>
  </si>
  <si>
    <t>Sandown</t>
  </si>
  <si>
    <t>S009</t>
  </si>
  <si>
    <t>S014</t>
  </si>
  <si>
    <t>S015</t>
  </si>
  <si>
    <t>S016</t>
  </si>
  <si>
    <t>Sale</t>
  </si>
  <si>
    <t>S029</t>
  </si>
  <si>
    <t>S070</t>
  </si>
  <si>
    <t>S110</t>
  </si>
  <si>
    <t>S114</t>
  </si>
  <si>
    <t>Carnegie</t>
  </si>
  <si>
    <t>S132</t>
  </si>
  <si>
    <t>Wangaratta</t>
  </si>
  <si>
    <t>S135</t>
  </si>
  <si>
    <t>Cranbourne</t>
  </si>
  <si>
    <t>S159</t>
  </si>
  <si>
    <t>S172</t>
  </si>
  <si>
    <t>S006</t>
  </si>
  <si>
    <t>VIC West</t>
  </si>
  <si>
    <t>S008</t>
  </si>
  <si>
    <t>Essendon</t>
  </si>
  <si>
    <t>S010</t>
  </si>
  <si>
    <t>S013</t>
  </si>
  <si>
    <t>S026</t>
  </si>
  <si>
    <t>S027</t>
  </si>
  <si>
    <t>South Melbourne</t>
  </si>
  <si>
    <t>S034</t>
  </si>
  <si>
    <t>S049</t>
  </si>
  <si>
    <t>Horsham</t>
  </si>
  <si>
    <t>S098</t>
  </si>
  <si>
    <t>Burnside</t>
  </si>
  <si>
    <t>S112</t>
  </si>
  <si>
    <t>S113</t>
  </si>
  <si>
    <t>South Morang</t>
  </si>
  <si>
    <t>S120</t>
  </si>
  <si>
    <t>S145</t>
  </si>
  <si>
    <t>Roxburgh Park</t>
  </si>
  <si>
    <t>S052</t>
  </si>
  <si>
    <t>S058</t>
  </si>
  <si>
    <t>S061</t>
  </si>
  <si>
    <t>S063</t>
  </si>
  <si>
    <t>S065</t>
  </si>
  <si>
    <t>S073</t>
  </si>
  <si>
    <t>S084</t>
  </si>
  <si>
    <t>S104</t>
  </si>
  <si>
    <t>S107</t>
  </si>
  <si>
    <t>Geraldton</t>
  </si>
  <si>
    <t>S115</t>
  </si>
  <si>
    <t>S122</t>
  </si>
  <si>
    <t>Cockburn</t>
  </si>
  <si>
    <t>S146</t>
  </si>
  <si>
    <t>S162</t>
  </si>
  <si>
    <t>S163</t>
  </si>
  <si>
    <t>Ellenbrook</t>
  </si>
  <si>
    <t>S164</t>
  </si>
  <si>
    <t>Fremantle</t>
  </si>
  <si>
    <t>S188</t>
  </si>
  <si>
    <t>Belmont</t>
  </si>
  <si>
    <t>F996</t>
  </si>
  <si>
    <t>FFM - Finance</t>
  </si>
  <si>
    <t>Spotlight Group Holdings</t>
  </si>
  <si>
    <t>F999</t>
  </si>
  <si>
    <t>D996</t>
  </si>
  <si>
    <t>SPGD - Finance</t>
  </si>
  <si>
    <t>SPG Development</t>
  </si>
  <si>
    <t>D999</t>
  </si>
  <si>
    <t>SPG Developments</t>
  </si>
  <si>
    <t>H999</t>
  </si>
  <si>
    <t>Spotlight Group Aviation</t>
  </si>
  <si>
    <t>S142</t>
  </si>
  <si>
    <t>IPC</t>
  </si>
  <si>
    <t>Asia</t>
  </si>
  <si>
    <t>Malaysia</t>
  </si>
  <si>
    <t>Spotlight Malaysia</t>
  </si>
  <si>
    <t>S144</t>
  </si>
  <si>
    <t>My Town</t>
  </si>
  <si>
    <t>S202</t>
  </si>
  <si>
    <t>IOI - City Mall</t>
  </si>
  <si>
    <t>S980</t>
  </si>
  <si>
    <t>Malaysia SG</t>
  </si>
  <si>
    <t>Spot Asia SG</t>
  </si>
  <si>
    <t>S064</t>
  </si>
  <si>
    <t>Wairau Park</t>
  </si>
  <si>
    <t>New Zealand North</t>
  </si>
  <si>
    <t>Spotlight NZ</t>
  </si>
  <si>
    <t>S076</t>
  </si>
  <si>
    <t>Hamilton</t>
  </si>
  <si>
    <t>S086</t>
  </si>
  <si>
    <t>Rotorua</t>
  </si>
  <si>
    <t>S126</t>
  </si>
  <si>
    <t>Tauranga</t>
  </si>
  <si>
    <t>S128</t>
  </si>
  <si>
    <t>Sylvia Park</t>
  </si>
  <si>
    <t>S157</t>
  </si>
  <si>
    <t>Pukekohe</t>
  </si>
  <si>
    <t>S067</t>
  </si>
  <si>
    <t>Wellington</t>
  </si>
  <si>
    <t>New Zealand South</t>
  </si>
  <si>
    <t>S071</t>
  </si>
  <si>
    <t>Christchurch</t>
  </si>
  <si>
    <t>S075</t>
  </si>
  <si>
    <t>New Plymouth</t>
  </si>
  <si>
    <t>S083</t>
  </si>
  <si>
    <t>Hastings</t>
  </si>
  <si>
    <t>S085</t>
  </si>
  <si>
    <t>Palmerston North</t>
  </si>
  <si>
    <t>S087</t>
  </si>
  <si>
    <t>Kapiti</t>
  </si>
  <si>
    <t>S091</t>
  </si>
  <si>
    <t>Dunedin</t>
  </si>
  <si>
    <t>S093</t>
  </si>
  <si>
    <t>Henderson</t>
  </si>
  <si>
    <t>S095</t>
  </si>
  <si>
    <t>Whangarei</t>
  </si>
  <si>
    <t>S101</t>
  </si>
  <si>
    <t>Nelson</t>
  </si>
  <si>
    <t>S103</t>
  </si>
  <si>
    <t>Invercargill</t>
  </si>
  <si>
    <t>S130</t>
  </si>
  <si>
    <t>North Harbour</t>
  </si>
  <si>
    <t>S133</t>
  </si>
  <si>
    <t>Manukau</t>
  </si>
  <si>
    <t>S155</t>
  </si>
  <si>
    <t>Queenstown</t>
  </si>
  <si>
    <t>S203</t>
  </si>
  <si>
    <t>Northwood</t>
  </si>
  <si>
    <t>S941</t>
  </si>
  <si>
    <t>Dress &amp; Sew - NZ SG</t>
  </si>
  <si>
    <t>Spot NZ Merch</t>
  </si>
  <si>
    <t>Spotlight NZ SG</t>
  </si>
  <si>
    <t>S943</t>
  </si>
  <si>
    <t>Craft/Yarn/Party - NZ SG</t>
  </si>
  <si>
    <t>S946</t>
  </si>
  <si>
    <t>Manchester - NZ SG</t>
  </si>
  <si>
    <t>S947</t>
  </si>
  <si>
    <t>Home Decor - NZ SG</t>
  </si>
  <si>
    <t>S949</t>
  </si>
  <si>
    <t>Furnishings - NZ SG</t>
  </si>
  <si>
    <t>S948</t>
  </si>
  <si>
    <t>Operations - NZ SG</t>
  </si>
  <si>
    <t>Spot NZ Ops</t>
  </si>
  <si>
    <t>S930</t>
  </si>
  <si>
    <t>NZ Support Group</t>
  </si>
  <si>
    <t>Spot NZ SG</t>
  </si>
  <si>
    <t>S931</t>
  </si>
  <si>
    <t>CMF - NZ Support Group</t>
  </si>
  <si>
    <t>S934</t>
  </si>
  <si>
    <t>HR-NZ Support Group(SRG)</t>
  </si>
  <si>
    <t>S901</t>
  </si>
  <si>
    <t>Merchandise</t>
  </si>
  <si>
    <t>Spot Merch</t>
  </si>
  <si>
    <t>Spotlight SG</t>
  </si>
  <si>
    <t>S911</t>
  </si>
  <si>
    <t>Sewing Centre</t>
  </si>
  <si>
    <t>S912</t>
  </si>
  <si>
    <t>DRESS FABRICS</t>
  </si>
  <si>
    <t>S913</t>
  </si>
  <si>
    <t>Craft &amp; Yarn</t>
  </si>
  <si>
    <t>S914</t>
  </si>
  <si>
    <t>SPARTYS</t>
  </si>
  <si>
    <t>S915</t>
  </si>
  <si>
    <t>Furnishings</t>
  </si>
  <si>
    <t>S916</t>
  </si>
  <si>
    <t>Manchester</t>
  </si>
  <si>
    <t>S917</t>
  </si>
  <si>
    <t>HOME DECOR</t>
  </si>
  <si>
    <t>S918</t>
  </si>
  <si>
    <t>CRAFT PARTY</t>
  </si>
  <si>
    <t>S921</t>
  </si>
  <si>
    <t>Custom Made</t>
  </si>
  <si>
    <t>S922</t>
  </si>
  <si>
    <t>S993</t>
  </si>
  <si>
    <t>Koo</t>
  </si>
  <si>
    <t>S908</t>
  </si>
  <si>
    <t>Retail operations</t>
  </si>
  <si>
    <t>Spot Ops</t>
  </si>
  <si>
    <t>S923</t>
  </si>
  <si>
    <t>CM CustomerService Centre</t>
  </si>
  <si>
    <t>S924</t>
  </si>
  <si>
    <t>CM RELIEF CONSULTANTS</t>
  </si>
  <si>
    <t>S900</t>
  </si>
  <si>
    <t>Spot SG</t>
  </si>
  <si>
    <t>S925</t>
  </si>
  <si>
    <t>S929</t>
  </si>
  <si>
    <t>CAMPAIGN PRODUCTION</t>
  </si>
  <si>
    <t>S990</t>
  </si>
  <si>
    <t>Spotlight Operations</t>
  </si>
  <si>
    <t>S992</t>
  </si>
  <si>
    <t>Spotlight Design</t>
  </si>
  <si>
    <t>S059</t>
  </si>
  <si>
    <t>Plaza Singapura</t>
  </si>
  <si>
    <t>Singapore</t>
  </si>
  <si>
    <t>Spotlight Singapore</t>
  </si>
  <si>
    <t>S156</t>
  </si>
  <si>
    <t>Westgate Singapore</t>
  </si>
  <si>
    <t>Laverton Dark Site</t>
  </si>
  <si>
    <t>Supply Chain</t>
  </si>
  <si>
    <t>DC</t>
  </si>
  <si>
    <t>SUPPLY CHAIN</t>
  </si>
  <si>
    <t>S810</t>
  </si>
  <si>
    <t>Anaconda DC</t>
  </si>
  <si>
    <t>S811</t>
  </si>
  <si>
    <t>Spotlight DC</t>
  </si>
  <si>
    <t>S812</t>
  </si>
  <si>
    <t>Harris Scarfe DC</t>
  </si>
  <si>
    <t>S813</t>
  </si>
  <si>
    <t>Koo Dark Store</t>
  </si>
  <si>
    <t>S814</t>
  </si>
  <si>
    <t>Harris Scarfe Dark Store</t>
  </si>
  <si>
    <t>S910</t>
  </si>
  <si>
    <t>Store Name Combination</t>
  </si>
  <si>
    <t>HS5053</t>
  </si>
  <si>
    <t>HS5054</t>
  </si>
  <si>
    <t>HS5058</t>
  </si>
  <si>
    <t>HS5089</t>
  </si>
  <si>
    <t>HS5653</t>
  </si>
  <si>
    <t>HS5689</t>
  </si>
  <si>
    <t>HS6059</t>
  </si>
  <si>
    <t>HS6063</t>
  </si>
  <si>
    <t>HS6065</t>
  </si>
  <si>
    <t>HS6068</t>
  </si>
  <si>
    <t>HS6075</t>
  </si>
  <si>
    <t>HS6076</t>
  </si>
  <si>
    <t>HS6078</t>
  </si>
  <si>
    <t>HS6663</t>
  </si>
  <si>
    <t>HS6665</t>
  </si>
  <si>
    <t>HS6678</t>
  </si>
  <si>
    <t>HS5060</t>
  </si>
  <si>
    <t>HS6071</t>
  </si>
  <si>
    <t>HS6671</t>
  </si>
  <si>
    <t>HS9086</t>
  </si>
  <si>
    <t>HS9087</t>
  </si>
  <si>
    <t>HS9088</t>
  </si>
  <si>
    <t>HS9090</t>
  </si>
  <si>
    <t>HS9095</t>
  </si>
  <si>
    <t>HS9097</t>
  </si>
  <si>
    <t>HS9098</t>
  </si>
  <si>
    <t>HS9695</t>
  </si>
  <si>
    <t>HS9698</t>
  </si>
  <si>
    <t>HS1004</t>
  </si>
  <si>
    <t>HS1005</t>
  </si>
  <si>
    <t>HS1006</t>
  </si>
  <si>
    <t>HS1008</t>
  </si>
  <si>
    <t>HS1010</t>
  </si>
  <si>
    <t>HS1011</t>
  </si>
  <si>
    <t>HS1012</t>
  </si>
  <si>
    <t>HS1013</t>
  </si>
  <si>
    <t>HS1604</t>
  </si>
  <si>
    <t>HS1605</t>
  </si>
  <si>
    <t>HS1606</t>
  </si>
  <si>
    <t>HS1612</t>
  </si>
  <si>
    <t>HS4041</t>
  </si>
  <si>
    <t>HS4042</t>
  </si>
  <si>
    <t>HS4043</t>
  </si>
  <si>
    <t>HS4044</t>
  </si>
  <si>
    <t>HS4045</t>
  </si>
  <si>
    <t>HS4643</t>
  </si>
  <si>
    <t>HS4644</t>
  </si>
  <si>
    <t>HS2014</t>
  </si>
  <si>
    <t>HS2020</t>
  </si>
  <si>
    <t>HS2022</t>
  </si>
  <si>
    <t>HS2025</t>
  </si>
  <si>
    <t>HS2028</t>
  </si>
  <si>
    <t>HS2032</t>
  </si>
  <si>
    <t>HS2033</t>
  </si>
  <si>
    <t>HS2039</t>
  </si>
  <si>
    <t>HS2040</t>
  </si>
  <si>
    <t>HS2042</t>
  </si>
  <si>
    <t>HS2045</t>
  </si>
  <si>
    <t>HS2054</t>
  </si>
  <si>
    <t>HS2058</t>
  </si>
  <si>
    <t>HS2059</t>
  </si>
  <si>
    <t>HS2620</t>
  </si>
  <si>
    <t>HS2622</t>
  </si>
  <si>
    <t>HS2625</t>
  </si>
  <si>
    <t>HS2633</t>
  </si>
  <si>
    <t>HS2639</t>
  </si>
  <si>
    <t>HS2628</t>
  </si>
  <si>
    <t>HS2016</t>
  </si>
  <si>
    <t>HS2017</t>
  </si>
  <si>
    <t>HS2019</t>
  </si>
  <si>
    <t>HS2021</t>
  </si>
  <si>
    <t>HS2023</t>
  </si>
  <si>
    <t>HS2024</t>
  </si>
  <si>
    <t>HS2026</t>
  </si>
  <si>
    <t>HS2027</t>
  </si>
  <si>
    <t>HS2029</t>
  </si>
  <si>
    <t>HS2030</t>
  </si>
  <si>
    <t>HS2031</t>
  </si>
  <si>
    <t>HS2036</t>
  </si>
  <si>
    <t>HS2048</t>
  </si>
  <si>
    <t>HS2055</t>
  </si>
  <si>
    <t>HS2056</t>
  </si>
  <si>
    <t>HS2616</t>
  </si>
  <si>
    <t>HS2619</t>
  </si>
  <si>
    <t>HS2627</t>
  </si>
  <si>
    <t>HS2629</t>
  </si>
  <si>
    <t>HS2648</t>
  </si>
  <si>
    <t>HS9547</t>
  </si>
  <si>
    <t>HS9553</t>
  </si>
  <si>
    <t>HS9554</t>
  </si>
  <si>
    <t>HS9520</t>
  </si>
  <si>
    <t>HS9504</t>
  </si>
  <si>
    <t>HS9549</t>
  </si>
  <si>
    <t>HS9550</t>
  </si>
  <si>
    <t>HS9551</t>
  </si>
  <si>
    <t>HS9556</t>
  </si>
  <si>
    <t>HSH900</t>
  </si>
  <si>
    <t>HS2900</t>
  </si>
  <si>
    <t>Spencer Outlet</t>
  </si>
  <si>
    <t>Shellharbour</t>
  </si>
  <si>
    <t>Chullora (AHQ)</t>
  </si>
  <si>
    <t>Mount Gambier</t>
  </si>
  <si>
    <t>The Glen (c)</t>
  </si>
  <si>
    <t>Warringah Mall</t>
  </si>
  <si>
    <t>Logan Hyperdome (c)</t>
  </si>
  <si>
    <t>Talent &amp; Leadership</t>
  </si>
  <si>
    <t>Fiscal Month</t>
  </si>
  <si>
    <t>Fiscal Quarter</t>
  </si>
  <si>
    <t>Performance Measures</t>
  </si>
  <si>
    <t xml:space="preserve">Customer Aggression </t>
  </si>
  <si>
    <t>Security Risk</t>
  </si>
  <si>
    <t>Team Member Injury</t>
  </si>
  <si>
    <t xml:space="preserve">PsychoSocial </t>
  </si>
  <si>
    <t>Brand</t>
  </si>
  <si>
    <t>Incident Types</t>
  </si>
  <si>
    <t>YTD</t>
  </si>
  <si>
    <t>VAR</t>
  </si>
  <si>
    <t>Grand Total</t>
  </si>
  <si>
    <t>Spotlight AU Stores</t>
  </si>
  <si>
    <t xml:space="preserve">YTD Customer Aggression </t>
  </si>
  <si>
    <t>YTD Security Risk</t>
  </si>
  <si>
    <t>YTD Team Member Injury</t>
  </si>
  <si>
    <t xml:space="preserve">YTD PsychoSocial </t>
  </si>
  <si>
    <r>
      <rPr>
        <sz val="10"/>
        <color rgb="FFFF0000"/>
        <rFont val="Aptos Narrow"/>
        <family val="2"/>
        <scheme val="minor"/>
      </rPr>
      <t>*</t>
    </r>
    <r>
      <rPr>
        <sz val="10"/>
        <color theme="1"/>
        <rFont val="Aptos Narrow"/>
        <family val="2"/>
        <scheme val="minor"/>
      </rPr>
      <t>Var denotes the Variance in YTD Columns</t>
    </r>
  </si>
  <si>
    <t>Class</t>
  </si>
  <si>
    <t>A084</t>
  </si>
  <si>
    <t>Cause of this complaint</t>
  </si>
  <si>
    <t>INC9237</t>
  </si>
  <si>
    <t>Disability / impairment</t>
  </si>
  <si>
    <t>Customer Interaction</t>
  </si>
  <si>
    <t>Race / ethnicity</t>
  </si>
  <si>
    <t>INC12976</t>
  </si>
  <si>
    <t>INC13031</t>
  </si>
  <si>
    <t>INC13094</t>
  </si>
  <si>
    <t>INC13146</t>
  </si>
  <si>
    <t>MELISSA MOROZOV</t>
  </si>
  <si>
    <t>INC12963</t>
  </si>
  <si>
    <t>JENNIFER GRAY</t>
  </si>
  <si>
    <t>Contact, Customer Aggression</t>
  </si>
  <si>
    <t>S047 NTH ROCKHAMPTON</t>
  </si>
  <si>
    <t>INC13123</t>
  </si>
  <si>
    <t>ROCKSEANE BARGEWELL</t>
  </si>
  <si>
    <t>Customer Aggression, Slip/Trip/Fall</t>
  </si>
  <si>
    <t>Sprain/Strain</t>
  </si>
  <si>
    <t>S079 WEST BURLEIGH</t>
  </si>
  <si>
    <t>NTH ROCKHAMPTON</t>
  </si>
  <si>
    <t>Anaconda Stores</t>
  </si>
  <si>
    <t>Harris Scarfe Stores</t>
  </si>
  <si>
    <t>STORE FEED</t>
  </si>
  <si>
    <t>Brands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</si>
</sst>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Calibri Light"/>
      <family val="2"/>
    </font>
    <font>
      <sz val="8"/>
      <color theme="1"/>
      <name val="Calibri Light"/>
      <family val="2"/>
    </font>
    <font>
      <sz val="8"/>
      <name val="Calibri Light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3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4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2" fillId="5" borderId="3" xfId="1" applyFont="1" applyFill="1" applyBorder="1"/>
    <xf numFmtId="0" fontId="0" fillId="5" borderId="0" xfId="0" applyFill="1"/>
    <xf numFmtId="0" fontId="2" fillId="5" borderId="3" xfId="2" applyFont="1" applyFill="1" applyBorder="1"/>
    <xf numFmtId="0" fontId="1" fillId="5" borderId="0" xfId="2" applyFill="1" applyBorder="1"/>
    <xf numFmtId="0" fontId="2" fillId="6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8" fillId="8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2" xfId="0" applyBorder="1"/>
    <xf numFmtId="0" fontId="2" fillId="9" borderId="1" xfId="0" applyFont="1" applyFill="1" applyBorder="1"/>
    <xf numFmtId="0" fontId="9" fillId="10" borderId="3" xfId="0" applyFont="1" applyFill="1" applyBorder="1"/>
    <xf numFmtId="0" fontId="0" fillId="10" borderId="0" xfId="0" applyFill="1"/>
    <xf numFmtId="0" fontId="0" fillId="10" borderId="35" xfId="0" applyFill="1" applyBorder="1"/>
    <xf numFmtId="0" fontId="0" fillId="10" borderId="36" xfId="0" applyFill="1" applyBorder="1"/>
    <xf numFmtId="0" fontId="0" fillId="10" borderId="37" xfId="0" applyFill="1" applyBorder="1"/>
    <xf numFmtId="0" fontId="0" fillId="10" borderId="23" xfId="0" applyFill="1" applyBorder="1"/>
    <xf numFmtId="0" fontId="0" fillId="10" borderId="38" xfId="0" applyFill="1" applyBorder="1"/>
    <xf numFmtId="0" fontId="0" fillId="10" borderId="22" xfId="0" applyFill="1" applyBorder="1"/>
    <xf numFmtId="0" fontId="0" fillId="10" borderId="11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26" xfId="0" applyFill="1" applyBorder="1"/>
    <xf numFmtId="0" fontId="0" fillId="10" borderId="16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27" xfId="0" applyFill="1" applyBorder="1"/>
    <xf numFmtId="0" fontId="0" fillId="10" borderId="32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2" fillId="10" borderId="4" xfId="0" applyFont="1" applyFill="1" applyBorder="1"/>
    <xf numFmtId="0" fontId="2" fillId="10" borderId="17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center"/>
    </xf>
    <xf numFmtId="0" fontId="0" fillId="10" borderId="8" xfId="0" applyFill="1" applyBorder="1"/>
    <xf numFmtId="0" fontId="0" fillId="10" borderId="3" xfId="0" applyFill="1" applyBorder="1"/>
    <xf numFmtId="0" fontId="0" fillId="10" borderId="39" xfId="0" applyFill="1" applyBorder="1"/>
    <xf numFmtId="0" fontId="2" fillId="11" borderId="24" xfId="0" applyFont="1" applyFill="1" applyBorder="1" applyAlignment="1">
      <alignment horizontal="center" vertical="center"/>
    </xf>
    <xf numFmtId="0" fontId="2" fillId="11" borderId="23" xfId="0" applyFont="1" applyFill="1" applyBorder="1" applyAlignment="1">
      <alignment vertical="center"/>
    </xf>
    <xf numFmtId="0" fontId="2" fillId="11" borderId="25" xfId="0" applyFont="1" applyFill="1" applyBorder="1" applyAlignment="1">
      <alignment vertical="center"/>
    </xf>
    <xf numFmtId="0" fontId="8" fillId="11" borderId="10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" fillId="9" borderId="29" xfId="0" applyFont="1" applyFill="1" applyBorder="1"/>
    <xf numFmtId="0" fontId="0" fillId="0" borderId="11" xfId="0" applyBorder="1"/>
    <xf numFmtId="0" fontId="2" fillId="13" borderId="4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0" fontId="2" fillId="13" borderId="22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4" borderId="20" xfId="0" applyFont="1" applyFill="1" applyBorder="1" applyAlignment="1">
      <alignment horizontal="center"/>
    </xf>
    <xf numFmtId="0" fontId="2" fillId="14" borderId="21" xfId="0" applyFont="1" applyFill="1" applyBorder="1" applyAlignment="1">
      <alignment horizontal="center"/>
    </xf>
    <xf numFmtId="0" fontId="2" fillId="14" borderId="22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2" fillId="9" borderId="39" xfId="0" applyFont="1" applyFill="1" applyBorder="1" applyAlignment="1">
      <alignment horizontal="center" vertical="center" wrapText="1"/>
    </xf>
    <xf numFmtId="0" fontId="2" fillId="9" borderId="24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 wrapText="1"/>
    </xf>
    <xf numFmtId="0" fontId="8" fillId="8" borderId="39" xfId="0" applyFont="1" applyFill="1" applyBorder="1" applyAlignment="1">
      <alignment horizontal="center" vertical="center" wrapText="1"/>
    </xf>
  </cellXfs>
  <cellStyles count="3">
    <cellStyle name="40% - Accent5" xfId="1" builtinId="47"/>
    <cellStyle name="60% - Accent6" xfId="2" builtinId="52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d/mm/yyyy"/>
    </dxf>
    <dxf>
      <numFmt numFmtId="164" formatCode="d/mm/yy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D93D9"/>
      <color rgb="FF2F5597"/>
      <color rgb="FFFFC000"/>
      <color rgb="FF4472C4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Aggression - Spotlight Stores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FEED'!$B$2</c:f>
              <c:strCache>
                <c:ptCount val="1"/>
                <c:pt idx="0">
                  <c:v>Spotlight AU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FEED'!$Q$6:$AG$6</c:f>
              <c:numCache>
                <c:formatCode>General</c:formatCode>
                <c:ptCount val="12"/>
                <c:pt idx="0">
                  <c:v>11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4</c:v>
                </c:pt>
                <c:pt idx="8">
                  <c:v>12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2-4208-A97D-466BE0315A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2908015"/>
        <c:axId val="1382913775"/>
      </c:barChart>
      <c:catAx>
        <c:axId val="13829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13775"/>
        <c:crosses val="autoZero"/>
        <c:auto val="1"/>
        <c:lblAlgn val="ctr"/>
        <c:lblOffset val="100"/>
        <c:noMultiLvlLbl val="0"/>
      </c:catAx>
      <c:valAx>
        <c:axId val="13829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0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Aggression With Incident Types - Spotlight Stores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 FEED'!$B$3</c:f>
              <c:strCache>
                <c:ptCount val="1"/>
                <c:pt idx="0">
                  <c:v>Security Risk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FEED'!$Q$3:$AG$3</c:f>
              <c:numCache>
                <c:formatCode>General</c:formatCode>
                <c:ptCount val="12"/>
                <c:pt idx="0">
                  <c:v>11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4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4-407E-AF10-F927214F048D}"/>
            </c:ext>
          </c:extLst>
        </c:ser>
        <c:ser>
          <c:idx val="1"/>
          <c:order val="1"/>
          <c:tx>
            <c:strRef>
              <c:f>'STORE FEED'!$B$4</c:f>
              <c:strCache>
                <c:ptCount val="1"/>
                <c:pt idx="0">
                  <c:v>Team Member Injury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FEED'!$Q$4:$AG$4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4-407E-AF10-F927214F048D}"/>
            </c:ext>
          </c:extLst>
        </c:ser>
        <c:ser>
          <c:idx val="2"/>
          <c:order val="2"/>
          <c:tx>
            <c:strRef>
              <c:f>'STORE FEED'!$B$5</c:f>
              <c:strCache>
                <c:ptCount val="1"/>
                <c:pt idx="0">
                  <c:v>PsychoSocial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FEED'!$Q$5:$AG$5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4-407E-AF10-F927214F04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32626047"/>
        <c:axId val="532633727"/>
      </c:barChart>
      <c:catAx>
        <c:axId val="53262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33727"/>
        <c:crosses val="autoZero"/>
        <c:auto val="1"/>
        <c:lblAlgn val="ctr"/>
        <c:lblOffset val="100"/>
        <c:noMultiLvlLbl val="0"/>
      </c:catAx>
      <c:valAx>
        <c:axId val="5326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2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Aggression - Anaconda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FEED'!$A$15:$A$18</c:f>
              <c:strCache>
                <c:ptCount val="1"/>
                <c:pt idx="0">
                  <c:v>Customer Aggression 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FEED'!$Q$18:$AG$18</c:f>
              <c:numCache>
                <c:formatCode>General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20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9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2-4208-A97D-466BE0315A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2908015"/>
        <c:axId val="1382913775"/>
      </c:barChart>
      <c:catAx>
        <c:axId val="13829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13775"/>
        <c:crosses val="autoZero"/>
        <c:auto val="1"/>
        <c:lblAlgn val="ctr"/>
        <c:lblOffset val="100"/>
        <c:noMultiLvlLbl val="0"/>
      </c:catAx>
      <c:valAx>
        <c:axId val="13829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0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Aggression With Incident Types - Anaconda Stores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 FEED'!$B$15</c:f>
              <c:strCache>
                <c:ptCount val="1"/>
                <c:pt idx="0">
                  <c:v>Security Risk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FEED'!$Q$15:$AG$15</c:f>
              <c:numCache>
                <c:formatCode>General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20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4-407E-AF10-F927214F048D}"/>
            </c:ext>
          </c:extLst>
        </c:ser>
        <c:ser>
          <c:idx val="1"/>
          <c:order val="1"/>
          <c:tx>
            <c:strRef>
              <c:f>'STORE FEED'!$B$16</c:f>
              <c:strCache>
                <c:ptCount val="1"/>
                <c:pt idx="0">
                  <c:v>Team Member Injury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FEED'!$Q$16:$AG$16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4-407E-AF10-F927214F048D}"/>
            </c:ext>
          </c:extLst>
        </c:ser>
        <c:ser>
          <c:idx val="2"/>
          <c:order val="2"/>
          <c:tx>
            <c:strRef>
              <c:f>'STORE FEED'!$B$17</c:f>
              <c:strCache>
                <c:ptCount val="1"/>
                <c:pt idx="0">
                  <c:v>PsychoSocial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FEED'!$Q$17:$AG$17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4-407E-AF10-F927214F04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32626047"/>
        <c:axId val="532633727"/>
      </c:barChart>
      <c:catAx>
        <c:axId val="53262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33727"/>
        <c:crosses val="autoZero"/>
        <c:auto val="1"/>
        <c:lblAlgn val="ctr"/>
        <c:lblOffset val="100"/>
        <c:noMultiLvlLbl val="0"/>
      </c:catAx>
      <c:valAx>
        <c:axId val="5326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2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Aggression - Harris Scarfe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FEED'!$A$27:$A$30</c:f>
              <c:strCache>
                <c:ptCount val="1"/>
                <c:pt idx="0">
                  <c:v>Customer Aggression 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FEED'!$Q$30:$AG$30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11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2-4208-A97D-466BE0315A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2908015"/>
        <c:axId val="1382913775"/>
      </c:barChart>
      <c:catAx>
        <c:axId val="13829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13775"/>
        <c:crosses val="autoZero"/>
        <c:auto val="1"/>
        <c:lblAlgn val="ctr"/>
        <c:lblOffset val="100"/>
        <c:noMultiLvlLbl val="0"/>
      </c:catAx>
      <c:valAx>
        <c:axId val="13829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0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Aggression With Incident Types - Harris Scarfe Stores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 FEED'!$B$27</c:f>
              <c:strCache>
                <c:ptCount val="1"/>
                <c:pt idx="0">
                  <c:v>Security Risk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FEED'!$Q$27:$AG$27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4-407E-AF10-F927214F048D}"/>
            </c:ext>
          </c:extLst>
        </c:ser>
        <c:ser>
          <c:idx val="1"/>
          <c:order val="1"/>
          <c:tx>
            <c:strRef>
              <c:f>'STORE FEED'!$B$28</c:f>
              <c:strCache>
                <c:ptCount val="1"/>
                <c:pt idx="0">
                  <c:v>Team Member Injury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FEED'!$Q$28:$AG$28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4-407E-AF10-F927214F048D}"/>
            </c:ext>
          </c:extLst>
        </c:ser>
        <c:ser>
          <c:idx val="2"/>
          <c:order val="2"/>
          <c:tx>
            <c:strRef>
              <c:f>'STORE FEED'!$B$29</c:f>
              <c:strCache>
                <c:ptCount val="1"/>
                <c:pt idx="0">
                  <c:v>PsychoSocial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'STORE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'STORE FEED'!$Q$29:$AG$29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4-407E-AF10-F927214F04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32626047"/>
        <c:axId val="532633727"/>
      </c:barChart>
      <c:catAx>
        <c:axId val="53262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33727"/>
        <c:crosses val="autoZero"/>
        <c:auto val="1"/>
        <c:lblAlgn val="ctr"/>
        <c:lblOffset val="100"/>
        <c:noMultiLvlLbl val="0"/>
      </c:catAx>
      <c:valAx>
        <c:axId val="5326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2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61911</xdr:rowOff>
    </xdr:from>
    <xdr:to>
      <xdr:col>12</xdr:col>
      <xdr:colOff>514350</xdr:colOff>
      <xdr:row>15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33644-D89A-3202-946F-C3697C13B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0</xdr:row>
      <xdr:rowOff>57150</xdr:rowOff>
    </xdr:from>
    <xdr:to>
      <xdr:col>24</xdr:col>
      <xdr:colOff>152400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C16BD9-FD00-4573-81AC-D7B512939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16</xdr:row>
      <xdr:rowOff>61911</xdr:rowOff>
    </xdr:from>
    <xdr:to>
      <xdr:col>12</xdr:col>
      <xdr:colOff>504825</xdr:colOff>
      <xdr:row>31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9EABD3-4FA7-F672-419E-62B68B2E6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38100</xdr:colOff>
      <xdr:row>16</xdr:row>
      <xdr:rowOff>66675</xdr:rowOff>
    </xdr:from>
    <xdr:to>
      <xdr:col>24</xdr:col>
      <xdr:colOff>161925</xdr:colOff>
      <xdr:row>31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E441B0-3E1D-D389-009D-73644D396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32</xdr:row>
      <xdr:rowOff>33336</xdr:rowOff>
    </xdr:from>
    <xdr:to>
      <xdr:col>12</xdr:col>
      <xdr:colOff>504825</xdr:colOff>
      <xdr:row>47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FB95E6-61E7-B5B5-CE88-D095D9C73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47625</xdr:colOff>
      <xdr:row>32</xdr:row>
      <xdr:rowOff>38100</xdr:rowOff>
    </xdr:from>
    <xdr:to>
      <xdr:col>24</xdr:col>
      <xdr:colOff>171450</xdr:colOff>
      <xdr:row>47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91C622-9B33-2FA7-C758-0D423454D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D92FD-EA7B-4681-89B6-1C193CD74D27}" name="Table13" displayName="Table13" ref="A1:J419" totalsRowShown="0" headerRowDxfId="31" dataDxfId="30">
  <autoFilter ref="A1:J419" xr:uid="{A6BE76A3-06F5-429E-953B-F4817F119201}"/>
  <tableColumns count="10">
    <tableColumn id="1" xr3:uid="{04C1043C-5307-439E-877D-6E6798978898}" name="Start" dataDxfId="29">
      <calculatedColumnFormula>A1+7</calculatedColumnFormula>
    </tableColumn>
    <tableColumn id="2" xr3:uid="{7AEF41C8-580A-4178-A90D-D56AD6A621D2}" name="End" dataDxfId="28">
      <calculatedColumnFormula>B1+7</calculatedColumnFormula>
    </tableColumn>
    <tableColumn id="3" xr3:uid="{6924A2D1-7ECE-49B3-9FA1-A56BFF5974AF}" name="Week" dataDxfId="27"/>
    <tableColumn id="4" xr3:uid="{B0B2E62F-FB12-4AC9-9EFF-0D1EBDCFE670}" name="Month" dataDxfId="26"/>
    <tableColumn id="5" xr3:uid="{443395C9-4180-4322-B5A1-24693057184C}" name="QTR" dataDxfId="25"/>
    <tableColumn id="7" xr3:uid="{D34B4768-8F1C-470C-9D79-2DA27CE60CA1}" name="FY" dataDxfId="24"/>
    <tableColumn id="9" xr3:uid="{6D29B3A4-8404-4BF8-A72D-C129CC06224E}" name="Month Year Comb" dataDxfId="23">
      <calculatedColumnFormula>Table13[[#This Row],[Month]]&amp;", "&amp;Table13[[#This Row],[FY]]</calculatedColumnFormula>
    </tableColumn>
    <tableColumn id="8" xr3:uid="{329E7579-7465-4244-86F3-CC363EF8546C}" name="Week Month Year Comb" dataDxfId="22">
      <calculatedColumnFormula>Table13[[#This Row],[Week]]&amp;", "&amp;Table13[[#This Row],[Month]]&amp;" "&amp;Table13[[#This Row],[FY]]</calculatedColumnFormula>
    </tableColumn>
    <tableColumn id="11" xr3:uid="{A5F81548-D160-488A-83C9-D57B1D697360}" name="Month Year Comb2" dataDxfId="21">
      <calculatedColumnFormula>Table13[[#This Row],[Month]]&amp;", "&amp;Table13[[#This Row],[FY]]</calculatedColumnFormula>
    </tableColumn>
    <tableColumn id="6" xr3:uid="{A138C97D-1438-4E4A-9C37-7C1A16FDD49B}" name="Qtr Year Comb22" dataDxfId="20">
      <calculatedColumnFormula>"Q"&amp;Table13[[#This Row],[QTR]]&amp;", "&amp;Table13[[#This Row],[FY]]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30CF-11E7-45C0-881F-B64E675638B7}">
  <sheetPr>
    <tabColor theme="5"/>
  </sheetPr>
  <dimension ref="A1:AA12"/>
  <sheetViews>
    <sheetView tabSelected="1" workbookViewId="0"/>
  </sheetViews>
  <sheetFormatPr defaultRowHeight="15" x14ac:dyDescent="0.25"/>
  <cols>
    <col min="1" max="1" width="3.140625" customWidth="1"/>
    <col min="2" max="2" width="32.85546875" bestFit="1" customWidth="1"/>
    <col min="3" max="3" width="2.140625" customWidth="1"/>
    <col min="4" max="4" width="10.7109375" customWidth="1"/>
    <col min="8" max="8" width="9.42578125" customWidth="1"/>
    <col min="9" max="9" width="2.5703125" customWidth="1"/>
    <col min="15" max="15" width="2.140625" customWidth="1"/>
    <col min="21" max="21" width="2.140625" customWidth="1"/>
    <col min="27" max="27" width="2" customWidth="1"/>
  </cols>
  <sheetData>
    <row r="1" spans="1:27" ht="15.75" thickBot="1" x14ac:dyDescent="0.3">
      <c r="A1" s="31"/>
      <c r="B1" s="32"/>
      <c r="C1" s="32"/>
      <c r="D1" s="32"/>
      <c r="E1" s="32"/>
      <c r="F1" s="32"/>
      <c r="G1" s="32"/>
      <c r="H1" s="32"/>
      <c r="I1" s="32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W1" s="30"/>
      <c r="X1" s="30"/>
      <c r="Y1" s="30"/>
      <c r="Z1" s="30"/>
      <c r="AA1" s="34"/>
    </row>
    <row r="2" spans="1:27" ht="15.75" thickBot="1" x14ac:dyDescent="0.3">
      <c r="A2" s="33"/>
      <c r="B2" s="61" t="s">
        <v>1602</v>
      </c>
      <c r="C2" s="30"/>
      <c r="D2" s="92" t="s">
        <v>1611</v>
      </c>
      <c r="E2" s="93"/>
      <c r="F2" s="93"/>
      <c r="G2" s="93"/>
      <c r="H2" s="94"/>
      <c r="I2" s="30"/>
      <c r="J2" s="96" t="s">
        <v>1639</v>
      </c>
      <c r="K2" s="97"/>
      <c r="L2" s="97"/>
      <c r="M2" s="97"/>
      <c r="N2" s="98"/>
      <c r="O2" s="30"/>
      <c r="P2" s="88" t="s">
        <v>1640</v>
      </c>
      <c r="Q2" s="89"/>
      <c r="R2" s="89"/>
      <c r="S2" s="89"/>
      <c r="T2" s="90"/>
      <c r="U2" s="30"/>
      <c r="V2" s="84" t="s">
        <v>1642</v>
      </c>
      <c r="W2" s="85"/>
      <c r="X2" s="85"/>
      <c r="Y2" s="85"/>
      <c r="Z2" s="86"/>
      <c r="AA2" s="34"/>
    </row>
    <row r="3" spans="1:27" ht="15.75" hidden="1" customHeight="1" thickBot="1" x14ac:dyDescent="0.3">
      <c r="A3" s="33"/>
      <c r="B3" s="62"/>
      <c r="C3" s="30"/>
      <c r="D3" s="65" t="s">
        <v>1641</v>
      </c>
      <c r="E3" s="65" t="s">
        <v>1641</v>
      </c>
      <c r="F3" s="65" t="s">
        <v>1641</v>
      </c>
      <c r="G3" s="65" t="s">
        <v>1641</v>
      </c>
      <c r="H3" s="65" t="s">
        <v>1641</v>
      </c>
      <c r="I3" s="30"/>
      <c r="J3" s="77" t="s">
        <v>1641</v>
      </c>
      <c r="K3" s="77" t="s">
        <v>1641</v>
      </c>
      <c r="L3" s="77" t="s">
        <v>1641</v>
      </c>
      <c r="M3" s="77" t="s">
        <v>1641</v>
      </c>
      <c r="N3" s="77" t="s">
        <v>1641</v>
      </c>
      <c r="O3" s="30"/>
      <c r="P3" s="79" t="s">
        <v>1641</v>
      </c>
      <c r="Q3" s="79" t="s">
        <v>1641</v>
      </c>
      <c r="R3" s="79" t="s">
        <v>1641</v>
      </c>
      <c r="S3" s="79" t="s">
        <v>1641</v>
      </c>
      <c r="T3" s="79" t="s">
        <v>1641</v>
      </c>
      <c r="U3" s="30"/>
      <c r="V3" s="81" t="s">
        <v>1641</v>
      </c>
      <c r="W3" s="81" t="s">
        <v>1641</v>
      </c>
      <c r="X3" s="81" t="s">
        <v>1641</v>
      </c>
      <c r="Y3" s="81" t="s">
        <v>1641</v>
      </c>
      <c r="Z3" s="81" t="s">
        <v>1641</v>
      </c>
      <c r="AA3" s="34"/>
    </row>
    <row r="4" spans="1:27" ht="15.75" thickBot="1" x14ac:dyDescent="0.3">
      <c r="A4" s="33"/>
      <c r="B4" s="62"/>
      <c r="C4" s="30"/>
      <c r="D4" s="95" t="s">
        <v>805</v>
      </c>
      <c r="E4" s="95"/>
      <c r="F4" s="95" t="s">
        <v>806</v>
      </c>
      <c r="G4" s="95"/>
      <c r="H4" s="95"/>
      <c r="I4" s="30"/>
      <c r="J4" s="99" t="s">
        <v>805</v>
      </c>
      <c r="K4" s="99"/>
      <c r="L4" s="99" t="s">
        <v>806</v>
      </c>
      <c r="M4" s="99"/>
      <c r="N4" s="99"/>
      <c r="O4" s="30"/>
      <c r="P4" s="91" t="s">
        <v>805</v>
      </c>
      <c r="Q4" s="91"/>
      <c r="R4" s="91" t="s">
        <v>806</v>
      </c>
      <c r="S4" s="91"/>
      <c r="T4" s="91"/>
      <c r="U4" s="30"/>
      <c r="V4" s="87" t="s">
        <v>805</v>
      </c>
      <c r="W4" s="87"/>
      <c r="X4" s="87" t="s">
        <v>806</v>
      </c>
      <c r="Y4" s="87"/>
      <c r="Z4" s="87"/>
      <c r="AA4" s="34"/>
    </row>
    <row r="5" spans="1:27" ht="15.75" hidden="1" customHeight="1" thickBot="1" x14ac:dyDescent="0.3">
      <c r="A5" s="35"/>
      <c r="B5" s="63"/>
      <c r="C5" s="30"/>
      <c r="D5" s="66" t="str">
        <f>D6&amp;", "&amp;D4</f>
        <v>MAY, FY24</v>
      </c>
      <c r="E5" s="66" t="str">
        <f>D6&amp;", "&amp;D4</f>
        <v>MAY, FY24</v>
      </c>
      <c r="F5" s="66" t="str">
        <f>F6&amp;", "&amp;F4</f>
        <v>MAY, FY25</v>
      </c>
      <c r="G5" s="66" t="str">
        <f>F6&amp;", "&amp;F4</f>
        <v>MAY, FY25</v>
      </c>
      <c r="H5" s="66"/>
      <c r="I5" s="30"/>
      <c r="J5" s="73" t="str">
        <f>J6&amp;", "&amp;J4</f>
        <v>MAY, FY24</v>
      </c>
      <c r="K5" s="73" t="str">
        <f>J6&amp;", "&amp;J4</f>
        <v>MAY, FY24</v>
      </c>
      <c r="L5" s="73" t="str">
        <f>L6&amp;", "&amp;L4</f>
        <v>MAY, FY25</v>
      </c>
      <c r="M5" s="73" t="str">
        <f>L6&amp;", "&amp;L4</f>
        <v>MAY, FY25</v>
      </c>
      <c r="N5" s="73"/>
      <c r="O5" s="30"/>
      <c r="P5" s="72" t="str">
        <f>P6&amp;", "&amp;P4</f>
        <v>MAY, FY24</v>
      </c>
      <c r="Q5" s="72" t="str">
        <f>P6&amp;", "&amp;P4</f>
        <v>MAY, FY24</v>
      </c>
      <c r="R5" s="72" t="str">
        <f>R6&amp;", "&amp;R4</f>
        <v>MAY, FY25</v>
      </c>
      <c r="S5" s="72" t="str">
        <f>R6&amp;", "&amp;R4</f>
        <v>MAY, FY25</v>
      </c>
      <c r="T5" s="72"/>
      <c r="U5" s="30"/>
      <c r="V5" s="82" t="str">
        <f>V6&amp;", "&amp;V4</f>
        <v>MAY, FY24</v>
      </c>
      <c r="W5" s="82" t="str">
        <f>V6&amp;", "&amp;V4</f>
        <v>MAY, FY24</v>
      </c>
      <c r="X5" s="82" t="str">
        <f>X6&amp;", "&amp;X4</f>
        <v>MAY, FY25</v>
      </c>
      <c r="Y5" s="82" t="str">
        <f>X6&amp;", "&amp;X4</f>
        <v>MAY, FY25</v>
      </c>
      <c r="Z5" s="82"/>
      <c r="AA5" s="34"/>
    </row>
    <row r="6" spans="1:27" ht="15.75" thickBot="1" x14ac:dyDescent="0.3">
      <c r="A6" s="35"/>
      <c r="B6" s="64" t="s">
        <v>1607</v>
      </c>
      <c r="C6" s="30"/>
      <c r="D6" s="67" t="s">
        <v>790</v>
      </c>
      <c r="E6" s="67" t="s">
        <v>1608</v>
      </c>
      <c r="F6" s="67" t="s">
        <v>790</v>
      </c>
      <c r="G6" s="67" t="s">
        <v>1608</v>
      </c>
      <c r="H6" s="67" t="s">
        <v>1609</v>
      </c>
      <c r="I6" s="30"/>
      <c r="J6" s="78" t="s">
        <v>790</v>
      </c>
      <c r="K6" s="78" t="s">
        <v>1608</v>
      </c>
      <c r="L6" s="78" t="s">
        <v>790</v>
      </c>
      <c r="M6" s="78" t="s">
        <v>1608</v>
      </c>
      <c r="N6" s="78" t="s">
        <v>1609</v>
      </c>
      <c r="O6" s="30"/>
      <c r="P6" s="80" t="s">
        <v>790</v>
      </c>
      <c r="Q6" s="80" t="s">
        <v>1608</v>
      </c>
      <c r="R6" s="80" t="s">
        <v>790</v>
      </c>
      <c r="S6" s="80" t="s">
        <v>1608</v>
      </c>
      <c r="T6" s="80" t="s">
        <v>1609</v>
      </c>
      <c r="U6" s="30"/>
      <c r="V6" s="83" t="s">
        <v>790</v>
      </c>
      <c r="W6" s="83" t="s">
        <v>1608</v>
      </c>
      <c r="X6" s="83" t="s">
        <v>790</v>
      </c>
      <c r="Y6" s="83" t="s">
        <v>1608</v>
      </c>
      <c r="Z6" s="83" t="s">
        <v>1609</v>
      </c>
      <c r="AA6" s="34"/>
    </row>
    <row r="7" spans="1:27" x14ac:dyDescent="0.25">
      <c r="A7" s="33"/>
      <c r="B7" s="36" t="s">
        <v>1603</v>
      </c>
      <c r="C7" s="30"/>
      <c r="D7" s="37" cm="1">
        <f t="array" aca="1" ref="D7" ca="1">_xlfn.XLOOKUP($B7,INDIRECT("'"&amp;D$3&amp;"'!"&amp;"$B3:$B5"),_xlfn.XLOOKUP(D$5,INDIRECT("'"&amp;D$3&amp;"'!"&amp;"$C2:$AZ2"),INDIRECT("'"&amp;D$3&amp;"'!"&amp;"$C3:$AZ5")))</f>
        <v>8</v>
      </c>
      <c r="E7" s="38" cm="1">
        <f t="array" aca="1" ref="E7" ca="1">_xlfn.XLOOKUP(E$6&amp;" "&amp;$B7,INDIRECT("'"&amp;E$3&amp;"'!"&amp;"$B9:$B11"),_xlfn.XLOOKUP(E$5,INDIRECT("'"&amp;E$3&amp;"'!"&amp;"$C2:$AZ2"),INDIRECT("'"&amp;E$3&amp;"'!"&amp;"$C9:$AZ11")))</f>
        <v>39</v>
      </c>
      <c r="F7" s="39" cm="1">
        <f t="array" aca="1" ref="F7" ca="1">_xlfn.XLOOKUP($B7,INDIRECT("'"&amp;F$3&amp;"'!"&amp;"$B3:$B5"),_xlfn.XLOOKUP(F$5,INDIRECT("'"&amp;F$3&amp;"'!"&amp;"$C2:$AZ2"),INDIRECT("'"&amp;F$3&amp;"'!"&amp;"$C3:$AZ5")))</f>
        <v>4</v>
      </c>
      <c r="G7" s="40" cm="1">
        <f t="array" aca="1" ref="G7" ca="1">_xlfn.XLOOKUP(G$6&amp;" "&amp;$B7,INDIRECT("'"&amp;G$3&amp;"'!"&amp;"$B9:$B11"),_xlfn.XLOOKUP(G$5,INDIRECT("'"&amp;G$3&amp;"'!"&amp;"$C2:$AZ2"),INDIRECT("'"&amp;G$3&amp;"'!"&amp;"$C9:$AZ11")))</f>
        <v>61</v>
      </c>
      <c r="H7" s="41">
        <f ca="1">G7-E7</f>
        <v>22</v>
      </c>
      <c r="I7" s="30"/>
      <c r="J7" s="37" cm="1">
        <f t="array" aca="1" ref="J7" ca="1">_xlfn.XLOOKUP($B7,INDIRECT("'"&amp;J$3&amp;"'!"&amp;"$B15:$B17"),_xlfn.XLOOKUP(J$5,INDIRECT("'"&amp;J$3&amp;"'!"&amp;"$C2:$AZ2"),INDIRECT("'"&amp;J$3&amp;"'!"&amp;"$C15:$AZ17")))</f>
        <v>7</v>
      </c>
      <c r="K7" s="38" cm="1">
        <f t="array" aca="1" ref="K7" ca="1">_xlfn.XLOOKUP(K$6&amp;" "&amp;$B7,INDIRECT("'"&amp;K$3&amp;"'!"&amp;"$B21:$B23"),_xlfn.XLOOKUP(K$5,INDIRECT("'"&amp;K$3&amp;"'!"&amp;"$C2:$AZ2"),INDIRECT("'"&amp;K$3&amp;"'!"&amp;"$C21:$AZ23")))</f>
        <v>39</v>
      </c>
      <c r="L7" s="39" cm="1">
        <f t="array" aca="1" ref="L7" ca="1">_xlfn.XLOOKUP($B7,INDIRECT("'"&amp;L$3&amp;"'!"&amp;"$B15:$B17"),_xlfn.XLOOKUP(L$5,INDIRECT("'"&amp;L$3&amp;"'!"&amp;"$C2:$AZ2"),INDIRECT("'"&amp;L$3&amp;"'!"&amp;"$C15:$AZ17")))</f>
        <v>5</v>
      </c>
      <c r="M7" s="40" cm="1">
        <f t="array" aca="1" ref="M7" ca="1">_xlfn.XLOOKUP(M$6&amp;" "&amp;$B7,INDIRECT("'"&amp;M$3&amp;"'!"&amp;"$B21:$B23"),_xlfn.XLOOKUP(M$5,INDIRECT("'"&amp;M$3&amp;"'!"&amp;"$C2:$AZ2"),INDIRECT("'"&amp;M$3&amp;"'!"&amp;"$C21:$AZ23")))</f>
        <v>70</v>
      </c>
      <c r="N7" s="41">
        <f ca="1">M7-K7</f>
        <v>31</v>
      </c>
      <c r="O7" s="30"/>
      <c r="P7" s="37" cm="1">
        <f t="array" aca="1" ref="P7" ca="1">_xlfn.XLOOKUP($B7,INDIRECT("'"&amp;P$3&amp;"'!"&amp;"$B27:$B29"),_xlfn.XLOOKUP(P$5,INDIRECT("'"&amp;P$3&amp;"'!"&amp;"$C2:$AZ2"),INDIRECT("'"&amp;P$3&amp;"'!"&amp;"$C27:$AZ29")))</f>
        <v>4</v>
      </c>
      <c r="Q7" s="38" cm="1">
        <f t="array" aca="1" ref="Q7" ca="1">_xlfn.XLOOKUP(Q$6&amp;" "&amp;$B7,INDIRECT("'"&amp;Q$3&amp;"'!"&amp;"$B33:$B35"),_xlfn.XLOOKUP(Q$5,INDIRECT("'"&amp;Q$3&amp;"'!"&amp;"$C2:$AZ2"),INDIRECT("'"&amp;Q$3&amp;"'!"&amp;"$C33:$AZ35")))</f>
        <v>28</v>
      </c>
      <c r="R7" s="39" cm="1">
        <f t="array" aca="1" ref="R7" ca="1">_xlfn.XLOOKUP($B7,INDIRECT("'"&amp;R$3&amp;"'!"&amp;"$B27:$B29"),_xlfn.XLOOKUP(R$5,INDIRECT("'"&amp;R$3&amp;"'!"&amp;"$C2:$AZ2"),INDIRECT("'"&amp;R$3&amp;"'!"&amp;"$C27:$AZ29")))</f>
        <v>3</v>
      </c>
      <c r="S7" s="40" cm="1">
        <f t="array" aca="1" ref="S7" ca="1">_xlfn.XLOOKUP(S$6&amp;" "&amp;$B7,INDIRECT("'"&amp;S$3&amp;"'!"&amp;"$B33:$B35"),_xlfn.XLOOKUP(S$5,INDIRECT("'"&amp;S$3&amp;"'!"&amp;"$C2:$AZ2"),INDIRECT("'"&amp;S$3&amp;"'!"&amp;"$C33:$AZ35")))</f>
        <v>48</v>
      </c>
      <c r="T7" s="41">
        <f ca="1">S7-Q7</f>
        <v>20</v>
      </c>
      <c r="U7" s="30"/>
      <c r="V7" s="37">
        <f ca="1">D7+J7+P7</f>
        <v>19</v>
      </c>
      <c r="W7" s="38">
        <f ca="1">E7+K7+Q7</f>
        <v>106</v>
      </c>
      <c r="X7" s="39">
        <f t="shared" ref="X7:X9" ca="1" si="0">F7+L7+R7</f>
        <v>12</v>
      </c>
      <c r="Y7" s="40">
        <f t="shared" ref="Y7:Y9" ca="1" si="1">G7+M7+S7</f>
        <v>179</v>
      </c>
      <c r="Z7" s="41">
        <f ca="1">Y7-W7</f>
        <v>73</v>
      </c>
      <c r="AA7" s="34"/>
    </row>
    <row r="8" spans="1:27" x14ac:dyDescent="0.25">
      <c r="A8" s="33"/>
      <c r="B8" s="42" t="s">
        <v>1604</v>
      </c>
      <c r="C8" s="30"/>
      <c r="D8" s="43" cm="1">
        <f t="array" aca="1" ref="D8" ca="1">_xlfn.XLOOKUP($B8,INDIRECT("'"&amp;D$3&amp;"'!"&amp;"$B3:$B5"),_xlfn.XLOOKUP(D$5,INDIRECT("'"&amp;D$3&amp;"'!"&amp;"$C2:$AZ2"),INDIRECT("'"&amp;D$3&amp;"'!"&amp;"$C3:$AZ5")))</f>
        <v>0</v>
      </c>
      <c r="E8" s="44" cm="1">
        <f t="array" aca="1" ref="E8" ca="1">_xlfn.XLOOKUP(E$6&amp;" "&amp;$B8,INDIRECT("'"&amp;E$3&amp;"'!"&amp;"$B9:$B11"),_xlfn.XLOOKUP(E$5,INDIRECT("'"&amp;E$3&amp;"'!"&amp;"$C2:$AZ2"),INDIRECT("'"&amp;E$3&amp;"'!"&amp;"$C9:$AZ11")))</f>
        <v>0</v>
      </c>
      <c r="F8" s="45" cm="1">
        <f t="array" aca="1" ref="F8" ca="1">_xlfn.XLOOKUP($B8,INDIRECT("'"&amp;F$3&amp;"'!"&amp;"$B3:$B5"),_xlfn.XLOOKUP(F$5,INDIRECT("'"&amp;F$3&amp;"'!"&amp;"$C2:$AZ2"),INDIRECT("'"&amp;F$3&amp;"'!"&amp;"$C3:$AZ5")))</f>
        <v>2</v>
      </c>
      <c r="G8" s="46" cm="1">
        <f t="array" aca="1" ref="G8" ca="1">_xlfn.XLOOKUP(G$6&amp;" "&amp;$B8,INDIRECT("'"&amp;G$3&amp;"'!"&amp;"$B9:$B11"),_xlfn.XLOOKUP(G$5,INDIRECT("'"&amp;G$3&amp;"'!"&amp;"$C2:$AZ2"),INDIRECT("'"&amp;G$3&amp;"'!"&amp;"$C9:$AZ11")))</f>
        <v>8</v>
      </c>
      <c r="H8" s="47">
        <f ca="1">G8-E8</f>
        <v>8</v>
      </c>
      <c r="I8" s="30"/>
      <c r="J8" s="43" cm="1">
        <f t="array" aca="1" ref="J8" ca="1">_xlfn.XLOOKUP($B8,INDIRECT("'"&amp;J$3&amp;"'!"&amp;"$B15:$B17"),_xlfn.XLOOKUP(J$5,INDIRECT("'"&amp;J$3&amp;"'!"&amp;"$C2:$AZ2"),INDIRECT("'"&amp;J$3&amp;"'!"&amp;"$C15:$AZ17")))</f>
        <v>0</v>
      </c>
      <c r="K8" s="44" cm="1">
        <f t="array" aca="1" ref="K8" ca="1">_xlfn.XLOOKUP(K$6&amp;" "&amp;$B8,INDIRECT("'"&amp;K$3&amp;"'!"&amp;"$B21:$B23"),_xlfn.XLOOKUP(K$5,INDIRECT("'"&amp;K$3&amp;"'!"&amp;"$C2:$AZ2"),INDIRECT("'"&amp;K$3&amp;"'!"&amp;"$C21:$AZ23")))</f>
        <v>0</v>
      </c>
      <c r="L8" s="45" cm="1">
        <f t="array" aca="1" ref="L8" ca="1">_xlfn.XLOOKUP($B8,INDIRECT("'"&amp;L$3&amp;"'!"&amp;"$B15:$B17"),_xlfn.XLOOKUP(L$5,INDIRECT("'"&amp;L$3&amp;"'!"&amp;"$C2:$AZ2"),INDIRECT("'"&amp;L$3&amp;"'!"&amp;"$C15:$AZ17")))</f>
        <v>0</v>
      </c>
      <c r="M8" s="46" cm="1">
        <f t="array" aca="1" ref="M8" ca="1">_xlfn.XLOOKUP(M$6&amp;" "&amp;$B8,INDIRECT("'"&amp;M$3&amp;"'!"&amp;"$B21:$B23"),_xlfn.XLOOKUP(M$5,INDIRECT("'"&amp;M$3&amp;"'!"&amp;"$C2:$AZ2"),INDIRECT("'"&amp;M$3&amp;"'!"&amp;"$C21:$AZ23")))</f>
        <v>2</v>
      </c>
      <c r="N8" s="47">
        <f ca="1">M8-K8</f>
        <v>2</v>
      </c>
      <c r="O8" s="30"/>
      <c r="P8" s="43" cm="1">
        <f t="array" aca="1" ref="P8" ca="1">_xlfn.XLOOKUP($B8,INDIRECT("'"&amp;P$3&amp;"'!"&amp;"$B27:$B29"),_xlfn.XLOOKUP(P$5,INDIRECT("'"&amp;P$3&amp;"'!"&amp;"$C2:$AZ2"),INDIRECT("'"&amp;P$3&amp;"'!"&amp;"$C27:$AZ29")))</f>
        <v>0</v>
      </c>
      <c r="Q8" s="44" cm="1">
        <f t="array" aca="1" ref="Q8" ca="1">_xlfn.XLOOKUP(Q$6&amp;" "&amp;$B8,INDIRECT("'"&amp;Q$3&amp;"'!"&amp;"$B33:$B35"),_xlfn.XLOOKUP(Q$5,INDIRECT("'"&amp;Q$3&amp;"'!"&amp;"$C2:$AZ2"),INDIRECT("'"&amp;Q$3&amp;"'!"&amp;"$C33:$AZ35")))</f>
        <v>0</v>
      </c>
      <c r="R8" s="45" cm="1">
        <f t="array" aca="1" ref="R8" ca="1">_xlfn.XLOOKUP($B8,INDIRECT("'"&amp;R$3&amp;"'!"&amp;"$B27:$B29"),_xlfn.XLOOKUP(R$5,INDIRECT("'"&amp;R$3&amp;"'!"&amp;"$C2:$AZ2"),INDIRECT("'"&amp;R$3&amp;"'!"&amp;"$C27:$AZ29")))</f>
        <v>0</v>
      </c>
      <c r="S8" s="46" cm="1">
        <f t="array" aca="1" ref="S8" ca="1">_xlfn.XLOOKUP(S$6&amp;" "&amp;$B8,INDIRECT("'"&amp;S$3&amp;"'!"&amp;"$B33:$B35"),_xlfn.XLOOKUP(S$5,INDIRECT("'"&amp;S$3&amp;"'!"&amp;"$C2:$AZ2"),INDIRECT("'"&amp;S$3&amp;"'!"&amp;"$C33:$AZ35")))</f>
        <v>2</v>
      </c>
      <c r="T8" s="47">
        <f ca="1">S8-Q8</f>
        <v>2</v>
      </c>
      <c r="U8" s="30"/>
      <c r="V8" s="43">
        <f t="shared" ref="V8:V9" ca="1" si="2">D8+J8+P8</f>
        <v>0</v>
      </c>
      <c r="W8" s="44">
        <f t="shared" ref="W8:W9" ca="1" si="3">E8+K8+Q8</f>
        <v>0</v>
      </c>
      <c r="X8" s="45">
        <f t="shared" ca="1" si="0"/>
        <v>2</v>
      </c>
      <c r="Y8" s="46">
        <f t="shared" ca="1" si="1"/>
        <v>12</v>
      </c>
      <c r="Z8" s="47">
        <f ca="1">Y8-W8</f>
        <v>12</v>
      </c>
      <c r="AA8" s="34"/>
    </row>
    <row r="9" spans="1:27" ht="15.75" thickBot="1" x14ac:dyDescent="0.3">
      <c r="A9" s="33"/>
      <c r="B9" s="48" t="s">
        <v>1605</v>
      </c>
      <c r="C9" s="30"/>
      <c r="D9" s="49" cm="1">
        <f t="array" aca="1" ref="D9" ca="1">_xlfn.XLOOKUP($B9,INDIRECT("'"&amp;D$3&amp;"'!"&amp;"$B3:$B5"),_xlfn.XLOOKUP(D$5,INDIRECT("'"&amp;D$3&amp;"'!"&amp;"$C2:$AZ2"),INDIRECT("'"&amp;D$3&amp;"'!"&amp;"$C3:$AZ5")))</f>
        <v>0</v>
      </c>
      <c r="E9" s="44" cm="1">
        <f t="array" aca="1" ref="E9" ca="1">_xlfn.XLOOKUP(E$6&amp;" "&amp;$B9,INDIRECT("'"&amp;E$3&amp;"'!"&amp;"$B9:$B11"),_xlfn.XLOOKUP(E$5,INDIRECT("'"&amp;E$3&amp;"'!"&amp;"$C2:$AZ2"),INDIRECT("'"&amp;E$3&amp;"'!"&amp;"$C9:$AZ11")))</f>
        <v>0</v>
      </c>
      <c r="F9" s="50" cm="1">
        <f t="array" aca="1" ref="F9" ca="1">_xlfn.XLOOKUP($B9,INDIRECT("'"&amp;F$3&amp;"'!"&amp;"$B3:$B5"),_xlfn.XLOOKUP(F$5,INDIRECT("'"&amp;F$3&amp;"'!"&amp;"$C2:$AZ2"),INDIRECT("'"&amp;F$3&amp;"'!"&amp;"$C3:$AZ5")))</f>
        <v>0</v>
      </c>
      <c r="G9" s="51" cm="1">
        <f t="array" aca="1" ref="G9" ca="1">_xlfn.XLOOKUP(G$6&amp;" "&amp;$B9,INDIRECT("'"&amp;G$3&amp;"'!"&amp;"$B9:$B11"),_xlfn.XLOOKUP(G$5,INDIRECT("'"&amp;G$3&amp;"'!"&amp;"$C2:$AZ2"),INDIRECT("'"&amp;G$3&amp;"'!"&amp;"$C9:$AZ11")))</f>
        <v>4</v>
      </c>
      <c r="H9" s="52">
        <f ca="1">G9-E9</f>
        <v>4</v>
      </c>
      <c r="I9" s="30"/>
      <c r="J9" s="49" cm="1">
        <f t="array" aca="1" ref="J9" ca="1">_xlfn.XLOOKUP($B9,INDIRECT("'"&amp;J$3&amp;"'!"&amp;"$B15:$B17"),_xlfn.XLOOKUP(J$5,INDIRECT("'"&amp;J$3&amp;"'!"&amp;"$C2:$AZ2"),INDIRECT("'"&amp;J$3&amp;"'!"&amp;"$C15:$AZ17")))</f>
        <v>0</v>
      </c>
      <c r="K9" s="44" cm="1">
        <f t="array" aca="1" ref="K9" ca="1">_xlfn.XLOOKUP(K$6&amp;" "&amp;$B9,INDIRECT("'"&amp;K$3&amp;"'!"&amp;"$B21:$B23"),_xlfn.XLOOKUP(K$5,INDIRECT("'"&amp;K$3&amp;"'!"&amp;"$C2:$AZ2"),INDIRECT("'"&amp;K$3&amp;"'!"&amp;"$C21:$AZ23")))</f>
        <v>0</v>
      </c>
      <c r="L9" s="50" cm="1">
        <f t="array" aca="1" ref="L9" ca="1">_xlfn.XLOOKUP($B9,INDIRECT("'"&amp;L$3&amp;"'!"&amp;"$B15:$B17"),_xlfn.XLOOKUP(L$5,INDIRECT("'"&amp;L$3&amp;"'!"&amp;"$C2:$AZ2"),INDIRECT("'"&amp;L$3&amp;"'!"&amp;"$C15:$AZ17")))</f>
        <v>0</v>
      </c>
      <c r="M9" s="51" cm="1">
        <f t="array" aca="1" ref="M9" ca="1">_xlfn.XLOOKUP(M$6&amp;" "&amp;$B9,INDIRECT("'"&amp;M$3&amp;"'!"&amp;"$B21:$B23"),_xlfn.XLOOKUP(M$5,INDIRECT("'"&amp;M$3&amp;"'!"&amp;"$C2:$AZ2"),INDIRECT("'"&amp;M$3&amp;"'!"&amp;"$C21:$AZ23")))</f>
        <v>1</v>
      </c>
      <c r="N9" s="52">
        <f ca="1">M9-K9</f>
        <v>1</v>
      </c>
      <c r="O9" s="30"/>
      <c r="P9" s="49" cm="1">
        <f t="array" aca="1" ref="P9" ca="1">_xlfn.XLOOKUP($B9,INDIRECT("'"&amp;P$3&amp;"'!"&amp;"$B27:$B29"),_xlfn.XLOOKUP(P$5,INDIRECT("'"&amp;P$3&amp;"'!"&amp;"$C2:$AZ2"),INDIRECT("'"&amp;P$3&amp;"'!"&amp;"$C27:$AZ29")))</f>
        <v>0</v>
      </c>
      <c r="Q9" s="44" cm="1">
        <f t="array" aca="1" ref="Q9" ca="1">_xlfn.XLOOKUP(Q$6&amp;" "&amp;$B9,INDIRECT("'"&amp;Q$3&amp;"'!"&amp;"$B33:$B35"),_xlfn.XLOOKUP(Q$5,INDIRECT("'"&amp;Q$3&amp;"'!"&amp;"$C2:$AZ2"),INDIRECT("'"&amp;Q$3&amp;"'!"&amp;"$C33:$AZ35")))</f>
        <v>0</v>
      </c>
      <c r="R9" s="50" cm="1">
        <f t="array" aca="1" ref="R9" ca="1">_xlfn.XLOOKUP($B9,INDIRECT("'"&amp;R$3&amp;"'!"&amp;"$B27:$B29"),_xlfn.XLOOKUP(R$5,INDIRECT("'"&amp;R$3&amp;"'!"&amp;"$C2:$AZ2"),INDIRECT("'"&amp;R$3&amp;"'!"&amp;"$C27:$AZ29")))</f>
        <v>0</v>
      </c>
      <c r="S9" s="51" cm="1">
        <f t="array" aca="1" ref="S9" ca="1">_xlfn.XLOOKUP(S$6&amp;" "&amp;$B9,INDIRECT("'"&amp;S$3&amp;"'!"&amp;"$B33:$B35"),_xlfn.XLOOKUP(S$5,INDIRECT("'"&amp;S$3&amp;"'!"&amp;"$C2:$AZ2"),INDIRECT("'"&amp;S$3&amp;"'!"&amp;"$C33:$AZ35")))</f>
        <v>4</v>
      </c>
      <c r="T9" s="52">
        <f ca="1">S9-Q9</f>
        <v>4</v>
      </c>
      <c r="U9" s="30"/>
      <c r="V9" s="49">
        <f t="shared" ca="1" si="2"/>
        <v>0</v>
      </c>
      <c r="W9" s="44">
        <f t="shared" ca="1" si="3"/>
        <v>0</v>
      </c>
      <c r="X9" s="50">
        <f t="shared" ca="1" si="0"/>
        <v>0</v>
      </c>
      <c r="Y9" s="51">
        <f t="shared" ca="1" si="1"/>
        <v>9</v>
      </c>
      <c r="Z9" s="52">
        <f ca="1">Y9-W9</f>
        <v>9</v>
      </c>
      <c r="AA9" s="34"/>
    </row>
    <row r="10" spans="1:27" ht="15.75" thickBot="1" x14ac:dyDescent="0.3">
      <c r="A10" s="33"/>
      <c r="B10" s="53" t="s">
        <v>1610</v>
      </c>
      <c r="C10" s="30"/>
      <c r="D10" s="54">
        <f ca="1">SUM(D7:D9)</f>
        <v>8</v>
      </c>
      <c r="E10" s="55">
        <f t="shared" ref="E10:G10" ca="1" si="4">SUM(E7:E9)</f>
        <v>39</v>
      </c>
      <c r="F10" s="56">
        <f t="shared" ca="1" si="4"/>
        <v>6</v>
      </c>
      <c r="G10" s="57">
        <f t="shared" ca="1" si="4"/>
        <v>73</v>
      </c>
      <c r="H10" s="55">
        <f ca="1">G10-E10</f>
        <v>34</v>
      </c>
      <c r="I10" s="30"/>
      <c r="J10" s="54">
        <f ca="1">SUM(J7:J9)</f>
        <v>7</v>
      </c>
      <c r="K10" s="55">
        <f t="shared" ref="K10:M10" ca="1" si="5">SUM(K7:K9)</f>
        <v>39</v>
      </c>
      <c r="L10" s="56">
        <f t="shared" ca="1" si="5"/>
        <v>5</v>
      </c>
      <c r="M10" s="57">
        <f t="shared" ca="1" si="5"/>
        <v>73</v>
      </c>
      <c r="N10" s="55">
        <f ca="1">M10-K10</f>
        <v>34</v>
      </c>
      <c r="O10" s="30"/>
      <c r="P10" s="54">
        <f ca="1">SUM(P7:P9)</f>
        <v>4</v>
      </c>
      <c r="Q10" s="55">
        <f t="shared" ref="Q10:S10" ca="1" si="6">SUM(Q7:Q9)</f>
        <v>28</v>
      </c>
      <c r="R10" s="56">
        <f t="shared" ca="1" si="6"/>
        <v>3</v>
      </c>
      <c r="S10" s="57">
        <f t="shared" ca="1" si="6"/>
        <v>54</v>
      </c>
      <c r="T10" s="55">
        <f ca="1">S10-Q10</f>
        <v>26</v>
      </c>
      <c r="U10" s="30"/>
      <c r="V10" s="54">
        <f ca="1">SUM(V7:V9)</f>
        <v>19</v>
      </c>
      <c r="W10" s="55">
        <f t="shared" ref="W10:Y10" ca="1" si="7">SUM(W7:W9)</f>
        <v>106</v>
      </c>
      <c r="X10" s="56">
        <f t="shared" ca="1" si="7"/>
        <v>14</v>
      </c>
      <c r="Y10" s="57">
        <f t="shared" ca="1" si="7"/>
        <v>200</v>
      </c>
      <c r="Z10" s="55">
        <f ca="1">Y10-W10</f>
        <v>94</v>
      </c>
      <c r="AA10" s="34"/>
    </row>
    <row r="11" spans="1:27" ht="6" customHeight="1" x14ac:dyDescent="0.25">
      <c r="A11" s="3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4"/>
    </row>
    <row r="12" spans="1:27" ht="13.5" customHeight="1" thickBot="1" x14ac:dyDescent="0.3">
      <c r="A12" s="58"/>
      <c r="B12" s="29" t="s">
        <v>1616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60"/>
    </row>
  </sheetData>
  <mergeCells count="12">
    <mergeCell ref="D2:H2"/>
    <mergeCell ref="D4:E4"/>
    <mergeCell ref="F4:H4"/>
    <mergeCell ref="J2:N2"/>
    <mergeCell ref="J4:K4"/>
    <mergeCell ref="L4:N4"/>
    <mergeCell ref="V2:Z2"/>
    <mergeCell ref="V4:W4"/>
    <mergeCell ref="X4:Z4"/>
    <mergeCell ref="P2:T2"/>
    <mergeCell ref="P4:Q4"/>
    <mergeCell ref="R4:T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C873-1683-4595-BAE1-028ED3658107}">
  <sheetPr>
    <tabColor theme="5"/>
  </sheetPr>
  <dimension ref="A1:Y48"/>
  <sheetViews>
    <sheetView view="pageBreakPreview" zoomScaleNormal="100" zoomScaleSheetLayoutView="100" workbookViewId="0">
      <selection activeCell="AB6" sqref="AB6"/>
    </sheetView>
  </sheetViews>
  <sheetFormatPr defaultRowHeight="15" x14ac:dyDescent="0.25"/>
  <cols>
    <col min="25" max="25" width="3.7109375" customWidth="1"/>
  </cols>
  <sheetData>
    <row r="1" spans="1:25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5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spans="1:25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1:25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5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spans="1:25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spans="1:25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spans="1:25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5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25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1:25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25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spans="1:25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spans="1:25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spans="1:25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spans="1:25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spans="1:25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spans="1:25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1:25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 spans="1:25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spans="1:25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spans="1:25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spans="1:25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spans="1:25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spans="1:25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spans="1:25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5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spans="1:25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spans="1:25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1:25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86BB-72A7-44D0-9DE9-9AD964057B9B}">
  <sheetPr>
    <tabColor rgb="FF92D050"/>
  </sheetPr>
  <dimension ref="A1:AJ35"/>
  <sheetViews>
    <sheetView topLeftCell="D1" workbookViewId="0">
      <selection activeCell="O42" sqref="O42"/>
    </sheetView>
  </sheetViews>
  <sheetFormatPr defaultRowHeight="15" outlineLevelCol="1" x14ac:dyDescent="0.25"/>
  <cols>
    <col min="1" max="1" width="20.28515625" bestFit="1" customWidth="1"/>
    <col min="2" max="2" width="23.140625" customWidth="1"/>
    <col min="3" max="17" width="9.140625" customWidth="1" outlineLevel="1"/>
    <col min="18" max="18" width="9.140625" hidden="1" customWidth="1" outlineLevel="1"/>
    <col min="19" max="19" width="13.7109375" hidden="1" customWidth="1" outlineLevel="1"/>
    <col min="23" max="23" width="9.140625" hidden="1" customWidth="1"/>
    <col min="27" max="27" width="9.140625" hidden="1" customWidth="1"/>
    <col min="31" max="31" width="9.140625" hidden="1" customWidth="1"/>
    <col min="35" max="35" width="9.140625" customWidth="1"/>
    <col min="36" max="36" width="13.7109375" bestFit="1" customWidth="1"/>
  </cols>
  <sheetData>
    <row r="1" spans="1:36" ht="15.75" customHeight="1" thickBot="1" x14ac:dyDescent="0.3">
      <c r="A1" s="111" t="s">
        <v>1601</v>
      </c>
      <c r="B1" s="22" t="s">
        <v>1606</v>
      </c>
      <c r="C1" s="100" t="s">
        <v>805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2"/>
      <c r="T1" s="103" t="s">
        <v>806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</row>
    <row r="2" spans="1:36" ht="15.75" thickBot="1" x14ac:dyDescent="0.3">
      <c r="A2" s="112"/>
      <c r="B2" s="20" t="s">
        <v>1157</v>
      </c>
      <c r="C2" s="21" t="str">
        <f>"JUL, "&amp;C1</f>
        <v>JUL, FY24</v>
      </c>
      <c r="D2" s="21" t="str">
        <f>"AUG, "&amp;C1</f>
        <v>AUG, FY24</v>
      </c>
      <c r="E2" s="21" t="str">
        <f>"SEP, "&amp;C1</f>
        <v>SEP, FY24</v>
      </c>
      <c r="F2" s="21" t="str">
        <f>"Q1, "&amp;C1</f>
        <v>Q1, FY24</v>
      </c>
      <c r="G2" s="21" t="str">
        <f>"OCT, "&amp;C1</f>
        <v>OCT, FY24</v>
      </c>
      <c r="H2" s="21" t="str">
        <f>"NOV, "&amp;C1</f>
        <v>NOV, FY24</v>
      </c>
      <c r="I2" s="21" t="str">
        <f>"DEC, "&amp;C1</f>
        <v>DEC, FY24</v>
      </c>
      <c r="J2" s="21" t="str">
        <f>"Q2, "&amp;C1</f>
        <v>Q2, FY24</v>
      </c>
      <c r="K2" s="21" t="str">
        <f>"JAN, "&amp;C1</f>
        <v>JAN, FY24</v>
      </c>
      <c r="L2" s="21" t="str">
        <f>"FEB, "&amp;C1</f>
        <v>FEB, FY24</v>
      </c>
      <c r="M2" s="21" t="str">
        <f>"MAR, "&amp;C1</f>
        <v>MAR, FY24</v>
      </c>
      <c r="N2" s="21" t="str">
        <f>"Q3, "&amp;C1</f>
        <v>Q3, FY24</v>
      </c>
      <c r="O2" s="21" t="str">
        <f>"APR, "&amp;C1</f>
        <v>APR, FY24</v>
      </c>
      <c r="P2" s="21" t="str">
        <f>"MAY, "&amp;C1</f>
        <v>MAY, FY24</v>
      </c>
      <c r="Q2" s="21" t="str">
        <f>"JUN, "&amp;C1</f>
        <v>JUN, FY24</v>
      </c>
      <c r="R2" s="21" t="str">
        <f>"Q4, "&amp;C1</f>
        <v>Q4, FY24</v>
      </c>
      <c r="S2" s="21" t="str">
        <f>"Full Year, "&amp;C1</f>
        <v>Full Year, FY24</v>
      </c>
      <c r="T2" s="21" t="str">
        <f>"JUL, "&amp;T1</f>
        <v>JUL, FY25</v>
      </c>
      <c r="U2" s="21" t="str">
        <f>"AUG, "&amp;T1</f>
        <v>AUG, FY25</v>
      </c>
      <c r="V2" s="21" t="str">
        <f>"SEP, "&amp;T1</f>
        <v>SEP, FY25</v>
      </c>
      <c r="W2" s="21" t="str">
        <f>"Q1, "&amp;T1</f>
        <v>Q1, FY25</v>
      </c>
      <c r="X2" s="21" t="str">
        <f>"OCT, "&amp;T1</f>
        <v>OCT, FY25</v>
      </c>
      <c r="Y2" s="21" t="str">
        <f>"NOV, "&amp;T1</f>
        <v>NOV, FY25</v>
      </c>
      <c r="Z2" s="21" t="str">
        <f>"DEC, "&amp;T1</f>
        <v>DEC, FY25</v>
      </c>
      <c r="AA2" s="21" t="str">
        <f>"Q2, "&amp;T1</f>
        <v>Q2, FY25</v>
      </c>
      <c r="AB2" s="21" t="str">
        <f>"JAN, "&amp;T1</f>
        <v>JAN, FY25</v>
      </c>
      <c r="AC2" s="21" t="str">
        <f>"FEB, "&amp;T1</f>
        <v>FEB, FY25</v>
      </c>
      <c r="AD2" s="21" t="str">
        <f>"MAR, "&amp;T1</f>
        <v>MAR, FY25</v>
      </c>
      <c r="AE2" s="21" t="str">
        <f>"Q3, "&amp;T1</f>
        <v>Q3, FY25</v>
      </c>
      <c r="AF2" s="21" t="str">
        <f>"APR, "&amp;T1</f>
        <v>APR, FY25</v>
      </c>
      <c r="AG2" s="21" t="str">
        <f>"MAY, "&amp;T1</f>
        <v>MAY, FY25</v>
      </c>
      <c r="AH2" s="21" t="str">
        <f>"JUN, "&amp;T1</f>
        <v>JUN, FY25</v>
      </c>
      <c r="AI2" s="21" t="str">
        <f>"Q4, "&amp;T1</f>
        <v>Q4, FY25</v>
      </c>
      <c r="AJ2" s="21" t="str">
        <f>"Full Year, "&amp;T1</f>
        <v>Full Year, FY25</v>
      </c>
    </row>
    <row r="3" spans="1:36" x14ac:dyDescent="0.25">
      <c r="A3" s="108" t="s">
        <v>1602</v>
      </c>
      <c r="B3" s="68" t="s">
        <v>1603</v>
      </c>
      <c r="C3" s="25">
        <f>COUNTIFS('Sec_Risk DataDump'!$J:$J,'STORE FEED'!$B$2,'Sec_Risk DataDump'!$L:$L,'STORE FEED'!C$2)</f>
        <v>3</v>
      </c>
      <c r="D3" s="25">
        <f>COUNTIFS('Sec_Risk DataDump'!$J:$J,'STORE FEED'!$B$2,'Sec_Risk DataDump'!$L:$L,'STORE FEED'!D$2)</f>
        <v>7</v>
      </c>
      <c r="E3" s="25">
        <f>COUNTIFS('Sec_Risk DataDump'!$J:$J,'STORE FEED'!$B$2,'Sec_Risk DataDump'!$L:$L,'STORE FEED'!E$2)</f>
        <v>3</v>
      </c>
      <c r="F3" s="75">
        <f>SUBTOTAL(9,C3:E3)</f>
        <v>13</v>
      </c>
      <c r="G3" s="25">
        <f>COUNTIFS('Sec_Risk DataDump'!$J:$J,'STORE FEED'!$B$2,'Sec_Risk DataDump'!$L:$L,'STORE FEED'!G$2)</f>
        <v>2</v>
      </c>
      <c r="H3" s="25">
        <f>COUNTIFS('Sec_Risk DataDump'!$J:$J,'STORE FEED'!$B$2,'Sec_Risk DataDump'!$L:$L,'STORE FEED'!H$2)</f>
        <v>0</v>
      </c>
      <c r="I3" s="25">
        <f>COUNTIFS('Sec_Risk DataDump'!$J:$J,'STORE FEED'!$B$2,'Sec_Risk DataDump'!$L:$L,'STORE FEED'!I$2)</f>
        <v>4</v>
      </c>
      <c r="J3" s="75">
        <f>SUBTOTAL(9,G3:I3)</f>
        <v>6</v>
      </c>
      <c r="K3" s="25">
        <f>COUNTIFS('Sec_Risk DataDump'!$J:$J,'STORE FEED'!$B$2,'Sec_Risk DataDump'!$L:$L,'STORE FEED'!K$2)</f>
        <v>1</v>
      </c>
      <c r="L3" s="25">
        <f>COUNTIFS('Sec_Risk DataDump'!$J:$J,'STORE FEED'!$B$2,'Sec_Risk DataDump'!$L:$L,'STORE FEED'!L$2)</f>
        <v>5</v>
      </c>
      <c r="M3" s="25">
        <f>COUNTIFS('Sec_Risk DataDump'!$J:$J,'STORE FEED'!$B$2,'Sec_Risk DataDump'!$L:$L,'STORE FEED'!M$2)</f>
        <v>3</v>
      </c>
      <c r="N3" s="75">
        <f>SUBTOTAL(9,K3:M3)</f>
        <v>9</v>
      </c>
      <c r="O3" s="25">
        <f>COUNTIFS('Sec_Risk DataDump'!$J:$J,'STORE FEED'!$B$2,'Sec_Risk DataDump'!$L:$L,'STORE FEED'!O$2)</f>
        <v>3</v>
      </c>
      <c r="P3" s="25">
        <f>COUNTIFS('Sec_Risk DataDump'!$J:$J,'STORE FEED'!$B$2,'Sec_Risk DataDump'!$L:$L,'STORE FEED'!P$2)</f>
        <v>8</v>
      </c>
      <c r="Q3" s="25">
        <f>COUNTIFS('Sec_Risk DataDump'!$J:$J,'STORE FEED'!$B$2,'Sec_Risk DataDump'!$L:$L,'STORE FEED'!Q$2)</f>
        <v>11</v>
      </c>
      <c r="R3" s="75">
        <f>SUBTOTAL(9,O3:Q3)</f>
        <v>22</v>
      </c>
      <c r="S3" s="75">
        <f>SUBTOTAL(9,C3:R3)</f>
        <v>50</v>
      </c>
      <c r="T3" s="25">
        <f>COUNTIFS('Sec_Risk DataDump'!$J:$J,'STORE FEED'!$B$2,'Sec_Risk DataDump'!$L:$L,'STORE FEED'!T$2)</f>
        <v>4</v>
      </c>
      <c r="U3" s="25">
        <f>COUNTIFS('Sec_Risk DataDump'!$J:$J,'STORE FEED'!$B$2,'Sec_Risk DataDump'!$L:$L,'STORE FEED'!U$2)</f>
        <v>4</v>
      </c>
      <c r="V3" s="25">
        <f>COUNTIFS('Sec_Risk DataDump'!$J:$J,'STORE FEED'!$B$2,'Sec_Risk DataDump'!$L:$L,'STORE FEED'!V$2)</f>
        <v>4</v>
      </c>
      <c r="W3" s="75">
        <f>SUBTOTAL(9,T3:V3)</f>
        <v>12</v>
      </c>
      <c r="X3" s="25">
        <f>COUNTIFS('Sec_Risk DataDump'!$J:$J,'STORE FEED'!$B$2,'Sec_Risk DataDump'!$L:$L,'STORE FEED'!X$2)</f>
        <v>2</v>
      </c>
      <c r="Y3" s="25">
        <f>COUNTIFS('Sec_Risk DataDump'!$J:$J,'STORE FEED'!$B$2,'Sec_Risk DataDump'!$L:$L,'STORE FEED'!Y$2)</f>
        <v>7</v>
      </c>
      <c r="Z3" s="25">
        <f>COUNTIFS('Sec_Risk DataDump'!$J:$J,'STORE FEED'!$B$2,'Sec_Risk DataDump'!$L:$L,'STORE FEED'!Z$2)</f>
        <v>9</v>
      </c>
      <c r="AA3" s="75">
        <f>SUBTOTAL(9,X3:Z3)</f>
        <v>18</v>
      </c>
      <c r="AB3" s="25">
        <f>COUNTIFS('Sec_Risk DataDump'!$J:$J,'STORE FEED'!$B$2,'Sec_Risk DataDump'!$L:$L,'STORE FEED'!AB$2)</f>
        <v>4</v>
      </c>
      <c r="AC3" s="25">
        <f>COUNTIFS('Sec_Risk DataDump'!$J:$J,'STORE FEED'!$B$2,'Sec_Risk DataDump'!$L:$L,'STORE FEED'!AC$2)</f>
        <v>10</v>
      </c>
      <c r="AD3" s="25">
        <f>COUNTIFS('Sec_Risk DataDump'!$J:$J,'STORE FEED'!$B$2,'Sec_Risk DataDump'!$L:$L,'STORE FEED'!AD$2)</f>
        <v>8</v>
      </c>
      <c r="AE3" s="75">
        <f>SUBTOTAL(9,AB3:AD3)</f>
        <v>22</v>
      </c>
      <c r="AF3" s="25">
        <f>COUNTIFS('Sec_Risk DataDump'!$J:$J,'STORE FEED'!$B$2,'Sec_Risk DataDump'!$L:$L,'STORE FEED'!AF$2)</f>
        <v>5</v>
      </c>
      <c r="AG3" s="25">
        <f>COUNTIFS('Sec_Risk DataDump'!$J:$J,'STORE FEED'!$B$2,'Sec_Risk DataDump'!$L:$L,'STORE FEED'!AG$2)</f>
        <v>4</v>
      </c>
      <c r="AH3" s="25">
        <f>COUNTIFS('Sec_Risk DataDump'!$J:$J,'STORE FEED'!$B$2,'Sec_Risk DataDump'!$L:$L,'STORE FEED'!AH$2)</f>
        <v>0</v>
      </c>
      <c r="AI3" s="75">
        <f>SUBTOTAL(9,AF3:AH3)</f>
        <v>9</v>
      </c>
      <c r="AJ3" s="75">
        <f>SUBTOTAL(9,T3:AI3)</f>
        <v>61</v>
      </c>
    </row>
    <row r="4" spans="1:36" x14ac:dyDescent="0.25">
      <c r="A4" s="109"/>
      <c r="B4" s="69" t="s">
        <v>1604</v>
      </c>
      <c r="C4" s="24">
        <f>COUNTIFS('TMJ DataDump'!$J:$J,'STORE FEED'!$B$2,'TMJ DataDump'!$L:$L,'STORE FEED'!C$2)</f>
        <v>0</v>
      </c>
      <c r="D4" s="24">
        <f>COUNTIFS('TMJ DataDump'!$J:$J,'STORE FEED'!$B$2,'TMJ DataDump'!$L:$L,'STORE FEED'!D$2)</f>
        <v>0</v>
      </c>
      <c r="E4" s="24">
        <f>COUNTIFS('TMJ DataDump'!$J:$J,'STORE FEED'!$B$2,'TMJ DataDump'!$L:$L,'STORE FEED'!E$2)</f>
        <v>0</v>
      </c>
      <c r="F4" s="76">
        <f>SUBTOTAL(9,C4:E4)</f>
        <v>0</v>
      </c>
      <c r="G4" s="24">
        <f>COUNTIFS('TMJ DataDump'!$J:$J,'STORE FEED'!$B$2,'TMJ DataDump'!$L:$L,'STORE FEED'!G$2)</f>
        <v>0</v>
      </c>
      <c r="H4" s="24">
        <f>COUNTIFS('TMJ DataDump'!$J:$J,'STORE FEED'!$B$2,'TMJ DataDump'!$L:$L,'STORE FEED'!H$2)</f>
        <v>0</v>
      </c>
      <c r="I4" s="24">
        <f>COUNTIFS('TMJ DataDump'!$J:$J,'STORE FEED'!$B$2,'TMJ DataDump'!$L:$L,'STORE FEED'!I$2)</f>
        <v>0</v>
      </c>
      <c r="J4" s="76">
        <f>SUBTOTAL(9,G4:I4)</f>
        <v>0</v>
      </c>
      <c r="K4" s="24">
        <f>COUNTIFS('TMJ DataDump'!$J:$J,'STORE FEED'!$B$2,'TMJ DataDump'!$L:$L,'STORE FEED'!K$2)</f>
        <v>0</v>
      </c>
      <c r="L4" s="24">
        <f>COUNTIFS('TMJ DataDump'!$J:$J,'STORE FEED'!$B$2,'TMJ DataDump'!$L:$L,'STORE FEED'!L$2)</f>
        <v>0</v>
      </c>
      <c r="M4" s="24">
        <f>COUNTIFS('TMJ DataDump'!$J:$J,'STORE FEED'!$B$2,'TMJ DataDump'!$L:$L,'STORE FEED'!M$2)</f>
        <v>0</v>
      </c>
      <c r="N4" s="76">
        <f>SUBTOTAL(9,K4:M4)</f>
        <v>0</v>
      </c>
      <c r="O4" s="24">
        <f>COUNTIFS('TMJ DataDump'!$J:$J,'STORE FEED'!$B$2,'TMJ DataDump'!$L:$L,'STORE FEED'!O$2)</f>
        <v>0</v>
      </c>
      <c r="P4" s="24">
        <f>COUNTIFS('TMJ DataDump'!$J:$J,'STORE FEED'!$B$2,'TMJ DataDump'!$L:$L,'STORE FEED'!P$2)</f>
        <v>0</v>
      </c>
      <c r="Q4" s="24">
        <f>COUNTIFS('TMJ DataDump'!$J:$J,'STORE FEED'!$B$2,'TMJ DataDump'!$L:$L,'STORE FEED'!Q$2)</f>
        <v>0</v>
      </c>
      <c r="R4" s="76">
        <f>SUBTOTAL(9,O4:Q4)</f>
        <v>0</v>
      </c>
      <c r="S4" s="76">
        <f>SUBTOTAL(9,C4:R4)</f>
        <v>0</v>
      </c>
      <c r="T4" s="24">
        <f>COUNTIFS('TMJ DataDump'!$J:$J,'STORE FEED'!$B$2,'TMJ DataDump'!$L:$L,'STORE FEED'!T$2)</f>
        <v>0</v>
      </c>
      <c r="U4" s="24">
        <f>COUNTIFS('TMJ DataDump'!$J:$J,'STORE FEED'!$B$2,'TMJ DataDump'!$L:$L,'STORE FEED'!U$2)</f>
        <v>0</v>
      </c>
      <c r="V4" s="24">
        <f>COUNTIFS('TMJ DataDump'!$J:$J,'STORE FEED'!$B$2,'TMJ DataDump'!$L:$L,'STORE FEED'!V$2)</f>
        <v>0</v>
      </c>
      <c r="W4" s="76">
        <f>SUBTOTAL(9,T4:V4)</f>
        <v>0</v>
      </c>
      <c r="X4" s="24">
        <f>COUNTIFS('TMJ DataDump'!$J:$J,'STORE FEED'!$B$2,'TMJ DataDump'!$L:$L,'STORE FEED'!X$2)</f>
        <v>4</v>
      </c>
      <c r="Y4" s="24">
        <f>COUNTIFS('TMJ DataDump'!$J:$J,'STORE FEED'!$B$2,'TMJ DataDump'!$L:$L,'STORE FEED'!Y$2)</f>
        <v>1</v>
      </c>
      <c r="Z4" s="24">
        <f>COUNTIFS('TMJ DataDump'!$J:$J,'STORE FEED'!$B$2,'TMJ DataDump'!$L:$L,'STORE FEED'!Z$2)</f>
        <v>0</v>
      </c>
      <c r="AA4" s="76">
        <f>SUBTOTAL(9,X4:Z4)</f>
        <v>5</v>
      </c>
      <c r="AB4" s="24">
        <f>COUNTIFS('TMJ DataDump'!$J:$J,'STORE FEED'!$B$2,'TMJ DataDump'!$L:$L,'STORE FEED'!AB$2)</f>
        <v>0</v>
      </c>
      <c r="AC4" s="24">
        <f>COUNTIFS('TMJ DataDump'!$J:$J,'STORE FEED'!$B$2,'TMJ DataDump'!$L:$L,'STORE FEED'!AC$2)</f>
        <v>0</v>
      </c>
      <c r="AD4" s="24">
        <f>COUNTIFS('TMJ DataDump'!$J:$J,'STORE FEED'!$B$2,'TMJ DataDump'!$L:$L,'STORE FEED'!AD$2)</f>
        <v>0</v>
      </c>
      <c r="AE4" s="76">
        <f>SUBTOTAL(9,AB4:AD4)</f>
        <v>0</v>
      </c>
      <c r="AF4" s="24">
        <f>COUNTIFS('TMJ DataDump'!$J:$J,'STORE FEED'!$B$2,'TMJ DataDump'!$L:$L,'STORE FEED'!AF$2)</f>
        <v>1</v>
      </c>
      <c r="AG4" s="24">
        <f>COUNTIFS('TMJ DataDump'!$J:$J,'STORE FEED'!$B$2,'TMJ DataDump'!$L:$L,'STORE FEED'!AG$2)</f>
        <v>2</v>
      </c>
      <c r="AH4" s="24">
        <f>COUNTIFS('TMJ DataDump'!$J:$J,'STORE FEED'!$B$2,'TMJ DataDump'!$L:$L,'STORE FEED'!AH$2)</f>
        <v>0</v>
      </c>
      <c r="AI4" s="76">
        <f>SUBTOTAL(9,AF4:AH4)</f>
        <v>3</v>
      </c>
      <c r="AJ4" s="76">
        <f>SUBTOTAL(9,T4:AI4)</f>
        <v>8</v>
      </c>
    </row>
    <row r="5" spans="1:36" x14ac:dyDescent="0.25">
      <c r="A5" s="109"/>
      <c r="B5" s="69" t="s">
        <v>1605</v>
      </c>
      <c r="C5" s="24">
        <f>COUNTIFS('PsychoSocial DataDump'!$K:$K,'STORE FEED'!$B$2,'PsychoSocial DataDump'!$M:$M,'STORE FEED'!C$2)</f>
        <v>0</v>
      </c>
      <c r="D5" s="24">
        <f>COUNTIFS('PsychoSocial DataDump'!$K:$K,'STORE FEED'!$B$2,'PsychoSocial DataDump'!$M:$M,'STORE FEED'!D$2)</f>
        <v>0</v>
      </c>
      <c r="E5" s="24">
        <f>COUNTIFS('PsychoSocial DataDump'!$K:$K,'STORE FEED'!$B$2,'PsychoSocial DataDump'!$M:$M,'STORE FEED'!E$2)</f>
        <v>0</v>
      </c>
      <c r="F5" s="76">
        <f>SUBTOTAL(9,C5:E5)</f>
        <v>0</v>
      </c>
      <c r="G5" s="24">
        <f>COUNTIFS('PsychoSocial DataDump'!$K:$K,'STORE FEED'!$B$2,'PsychoSocial DataDump'!$M:$M,'STORE FEED'!G$2)</f>
        <v>0</v>
      </c>
      <c r="H5" s="24">
        <f>COUNTIFS('PsychoSocial DataDump'!$K:$K,'STORE FEED'!$B$2,'PsychoSocial DataDump'!$M:$M,'STORE FEED'!H$2)</f>
        <v>0</v>
      </c>
      <c r="I5" s="24">
        <f>COUNTIFS('PsychoSocial DataDump'!$K:$K,'STORE FEED'!$B$2,'PsychoSocial DataDump'!$M:$M,'STORE FEED'!I$2)</f>
        <v>0</v>
      </c>
      <c r="J5" s="76">
        <f>SUBTOTAL(9,G5:I5)</f>
        <v>0</v>
      </c>
      <c r="K5" s="24">
        <f>COUNTIFS('PsychoSocial DataDump'!$K:$K,'STORE FEED'!$B$2,'PsychoSocial DataDump'!$M:$M,'STORE FEED'!K$2)</f>
        <v>0</v>
      </c>
      <c r="L5" s="24">
        <f>COUNTIFS('PsychoSocial DataDump'!$K:$K,'STORE FEED'!$B$2,'PsychoSocial DataDump'!$M:$M,'STORE FEED'!L$2)</f>
        <v>0</v>
      </c>
      <c r="M5" s="24">
        <f>COUNTIFS('PsychoSocial DataDump'!$K:$K,'STORE FEED'!$B$2,'PsychoSocial DataDump'!$M:$M,'STORE FEED'!M$2)</f>
        <v>0</v>
      </c>
      <c r="N5" s="76">
        <f>SUBTOTAL(9,K5:M5)</f>
        <v>0</v>
      </c>
      <c r="O5" s="24">
        <f>COUNTIFS('PsychoSocial DataDump'!$K:$K,'STORE FEED'!$B$2,'PsychoSocial DataDump'!$M:$M,'STORE FEED'!O$2)</f>
        <v>0</v>
      </c>
      <c r="P5" s="24">
        <f>COUNTIFS('PsychoSocial DataDump'!$K:$K,'STORE FEED'!$B$2,'PsychoSocial DataDump'!$M:$M,'STORE FEED'!P$2)</f>
        <v>0</v>
      </c>
      <c r="Q5" s="24">
        <f>COUNTIFS('PsychoSocial DataDump'!$K:$K,'STORE FEED'!$B$2,'PsychoSocial DataDump'!$M:$M,'STORE FEED'!Q$2)</f>
        <v>0</v>
      </c>
      <c r="R5" s="76">
        <f>SUBTOTAL(9,O5:Q5)</f>
        <v>0</v>
      </c>
      <c r="S5" s="76">
        <f>SUBTOTAL(9,C5:R5)</f>
        <v>0</v>
      </c>
      <c r="T5" s="24">
        <f>COUNTIFS('PsychoSocial DataDump'!$K:$K,'STORE FEED'!$B$2,'PsychoSocial DataDump'!$M:$M,'STORE FEED'!T$2)</f>
        <v>0</v>
      </c>
      <c r="U5" s="24">
        <f>COUNTIFS('PsychoSocial DataDump'!$K:$K,'STORE FEED'!$B$2,'PsychoSocial DataDump'!$M:$M,'STORE FEED'!U$2)</f>
        <v>0</v>
      </c>
      <c r="V5" s="24">
        <f>COUNTIFS('PsychoSocial DataDump'!$K:$K,'STORE FEED'!$B$2,'PsychoSocial DataDump'!$M:$M,'STORE FEED'!V$2)</f>
        <v>0</v>
      </c>
      <c r="W5" s="76">
        <f>SUBTOTAL(9,T5:V5)</f>
        <v>0</v>
      </c>
      <c r="X5" s="24">
        <f>COUNTIFS('PsychoSocial DataDump'!$K:$K,'STORE FEED'!$B$2,'PsychoSocial DataDump'!$M:$M,'STORE FEED'!X$2)</f>
        <v>0</v>
      </c>
      <c r="Y5" s="24">
        <f>COUNTIFS('PsychoSocial DataDump'!$K:$K,'STORE FEED'!$B$2,'PsychoSocial DataDump'!$M:$M,'STORE FEED'!Y$2)</f>
        <v>0</v>
      </c>
      <c r="Z5" s="24">
        <f>COUNTIFS('PsychoSocial DataDump'!$K:$K,'STORE FEED'!$B$2,'PsychoSocial DataDump'!$M:$M,'STORE FEED'!Z$2)</f>
        <v>0</v>
      </c>
      <c r="AA5" s="76">
        <f>SUBTOTAL(9,X5:Z5)</f>
        <v>0</v>
      </c>
      <c r="AB5" s="24">
        <f>COUNTIFS('PsychoSocial DataDump'!$K:$K,'STORE FEED'!$B$2,'PsychoSocial DataDump'!$M:$M,'STORE FEED'!AB$2)</f>
        <v>0</v>
      </c>
      <c r="AC5" s="24">
        <f>COUNTIFS('PsychoSocial DataDump'!$K:$K,'STORE FEED'!$B$2,'PsychoSocial DataDump'!$M:$M,'STORE FEED'!AC$2)</f>
        <v>2</v>
      </c>
      <c r="AD5" s="24">
        <f>COUNTIFS('PsychoSocial DataDump'!$K:$K,'STORE FEED'!$B$2,'PsychoSocial DataDump'!$M:$M,'STORE FEED'!AD$2)</f>
        <v>1</v>
      </c>
      <c r="AE5" s="76">
        <f>SUBTOTAL(9,AB5:AD5)</f>
        <v>3</v>
      </c>
      <c r="AF5" s="24">
        <f>COUNTIFS('PsychoSocial DataDump'!$K:$K,'STORE FEED'!$B$2,'PsychoSocial DataDump'!$M:$M,'STORE FEED'!AF$2)</f>
        <v>1</v>
      </c>
      <c r="AG5" s="24">
        <f>COUNTIFS('PsychoSocial DataDump'!$K:$K,'STORE FEED'!$B$2,'PsychoSocial DataDump'!$M:$M,'STORE FEED'!AG$2)</f>
        <v>0</v>
      </c>
      <c r="AH5" s="24">
        <f>COUNTIFS('PsychoSocial DataDump'!$K:$K,'STORE FEED'!$B$2,'PsychoSocial DataDump'!$M:$M,'STORE FEED'!AH$2)</f>
        <v>0</v>
      </c>
      <c r="AI5" s="76">
        <f>SUBTOTAL(9,AF5:AH5)</f>
        <v>1</v>
      </c>
      <c r="AJ5" s="76">
        <f>SUBTOTAL(9,T5:AI5)</f>
        <v>4</v>
      </c>
    </row>
    <row r="6" spans="1:36" ht="15.75" thickBot="1" x14ac:dyDescent="0.3">
      <c r="A6" s="110"/>
      <c r="B6" s="70" t="s">
        <v>1610</v>
      </c>
      <c r="C6" s="26">
        <f>SUM(C3:C5)</f>
        <v>3</v>
      </c>
      <c r="D6" s="26">
        <f t="shared" ref="D6:AJ6" si="0">SUM(D3:D5)</f>
        <v>7</v>
      </c>
      <c r="E6" s="26">
        <f t="shared" si="0"/>
        <v>3</v>
      </c>
      <c r="F6" s="26">
        <f t="shared" si="0"/>
        <v>13</v>
      </c>
      <c r="G6" s="26">
        <f t="shared" si="0"/>
        <v>2</v>
      </c>
      <c r="H6" s="26">
        <f t="shared" si="0"/>
        <v>0</v>
      </c>
      <c r="I6" s="26">
        <f t="shared" si="0"/>
        <v>4</v>
      </c>
      <c r="J6" s="26">
        <f t="shared" si="0"/>
        <v>6</v>
      </c>
      <c r="K6" s="26">
        <f t="shared" si="0"/>
        <v>1</v>
      </c>
      <c r="L6" s="26">
        <f t="shared" si="0"/>
        <v>5</v>
      </c>
      <c r="M6" s="26">
        <f t="shared" si="0"/>
        <v>3</v>
      </c>
      <c r="N6" s="26">
        <f t="shared" si="0"/>
        <v>9</v>
      </c>
      <c r="O6" s="26">
        <f t="shared" si="0"/>
        <v>3</v>
      </c>
      <c r="P6" s="26">
        <f t="shared" si="0"/>
        <v>8</v>
      </c>
      <c r="Q6" s="26">
        <f t="shared" si="0"/>
        <v>11</v>
      </c>
      <c r="R6" s="26">
        <f t="shared" si="0"/>
        <v>22</v>
      </c>
      <c r="S6" s="26">
        <f t="shared" si="0"/>
        <v>50</v>
      </c>
      <c r="T6" s="26">
        <f t="shared" si="0"/>
        <v>4</v>
      </c>
      <c r="U6" s="26">
        <f t="shared" si="0"/>
        <v>4</v>
      </c>
      <c r="V6" s="26">
        <f t="shared" si="0"/>
        <v>4</v>
      </c>
      <c r="W6" s="26">
        <f t="shared" si="0"/>
        <v>12</v>
      </c>
      <c r="X6" s="26">
        <f t="shared" si="0"/>
        <v>6</v>
      </c>
      <c r="Y6" s="26">
        <f t="shared" si="0"/>
        <v>8</v>
      </c>
      <c r="Z6" s="26">
        <f t="shared" si="0"/>
        <v>9</v>
      </c>
      <c r="AA6" s="26">
        <f t="shared" si="0"/>
        <v>23</v>
      </c>
      <c r="AB6" s="26">
        <f t="shared" si="0"/>
        <v>4</v>
      </c>
      <c r="AC6" s="26">
        <f t="shared" si="0"/>
        <v>12</v>
      </c>
      <c r="AD6" s="26">
        <f t="shared" si="0"/>
        <v>9</v>
      </c>
      <c r="AE6" s="26">
        <f t="shared" si="0"/>
        <v>25</v>
      </c>
      <c r="AF6" s="26">
        <f t="shared" si="0"/>
        <v>7</v>
      </c>
      <c r="AG6" s="26">
        <f t="shared" si="0"/>
        <v>6</v>
      </c>
      <c r="AH6" s="26">
        <f t="shared" si="0"/>
        <v>0</v>
      </c>
      <c r="AI6" s="26">
        <f t="shared" si="0"/>
        <v>13</v>
      </c>
      <c r="AJ6" s="26">
        <f t="shared" si="0"/>
        <v>73</v>
      </c>
    </row>
    <row r="7" spans="1:36" ht="15.75" thickBot="1" x14ac:dyDescent="0.3"/>
    <row r="8" spans="1:36" ht="15.75" thickBot="1" x14ac:dyDescent="0.3">
      <c r="B8" s="20" t="s">
        <v>1157</v>
      </c>
    </row>
    <row r="9" spans="1:36" ht="15" customHeight="1" x14ac:dyDescent="0.25">
      <c r="A9" s="105" t="s">
        <v>1612</v>
      </c>
      <c r="B9" s="23" t="s">
        <v>1613</v>
      </c>
      <c r="C9" s="24">
        <f>SUBTOTAL(9,$C3:C3)</f>
        <v>3</v>
      </c>
      <c r="D9" s="24">
        <f>SUBTOTAL(9,$C3:D3)</f>
        <v>10</v>
      </c>
      <c r="E9" s="24">
        <f>SUBTOTAL(9,$C3:E3)</f>
        <v>13</v>
      </c>
      <c r="F9" s="24">
        <f>SUBTOTAL(9,$C3:F3)</f>
        <v>13</v>
      </c>
      <c r="G9" s="24">
        <f>SUBTOTAL(9,$C3:G3)</f>
        <v>15</v>
      </c>
      <c r="H9" s="24">
        <f>SUBTOTAL(9,$C3:H3)</f>
        <v>15</v>
      </c>
      <c r="I9" s="24">
        <f>SUBTOTAL(9,$C3:I3)</f>
        <v>19</v>
      </c>
      <c r="J9" s="24">
        <f>SUBTOTAL(9,$C3:J3)</f>
        <v>19</v>
      </c>
      <c r="K9" s="24">
        <f>SUBTOTAL(9,$C3:K3)</f>
        <v>20</v>
      </c>
      <c r="L9" s="24">
        <f>SUBTOTAL(9,$C3:L3)</f>
        <v>25</v>
      </c>
      <c r="M9" s="24">
        <f>SUBTOTAL(9,$C3:M3)</f>
        <v>28</v>
      </c>
      <c r="N9" s="24">
        <f>SUBTOTAL(9,$C3:N3)</f>
        <v>28</v>
      </c>
      <c r="O9" s="24">
        <f>SUBTOTAL(9,$C3:O3)</f>
        <v>31</v>
      </c>
      <c r="P9" s="24">
        <f>SUBTOTAL(9,$C3:P3)</f>
        <v>39</v>
      </c>
      <c r="Q9" s="24">
        <f>SUBTOTAL(9,$C3:Q3)</f>
        <v>50</v>
      </c>
      <c r="R9" s="24">
        <f>SUBTOTAL(9,$C3:R3)</f>
        <v>50</v>
      </c>
      <c r="S9" s="24">
        <f>SUBTOTAL(9,$C3:S3)</f>
        <v>50</v>
      </c>
      <c r="T9" s="24">
        <f>SUBTOTAL(9,$T3:T3)</f>
        <v>4</v>
      </c>
      <c r="U9" s="24">
        <f>SUBTOTAL(9,$T3:U3)</f>
        <v>8</v>
      </c>
      <c r="V9" s="24">
        <f>SUBTOTAL(9,$T3:V3)</f>
        <v>12</v>
      </c>
      <c r="W9" s="24">
        <f>SUBTOTAL(9,$T3:W3)</f>
        <v>12</v>
      </c>
      <c r="X9" s="24">
        <f>SUBTOTAL(9,$T3:X3)</f>
        <v>14</v>
      </c>
      <c r="Y9" s="24">
        <f>SUBTOTAL(9,$T3:Y3)</f>
        <v>21</v>
      </c>
      <c r="Z9" s="24">
        <f>SUBTOTAL(9,$T3:Z3)</f>
        <v>30</v>
      </c>
      <c r="AA9" s="24">
        <f>SUBTOTAL(9,$T3:AA3)</f>
        <v>30</v>
      </c>
      <c r="AB9" s="24">
        <f>SUBTOTAL(9,$T3:AB3)</f>
        <v>34</v>
      </c>
      <c r="AC9" s="24">
        <f>SUBTOTAL(9,$T3:AC3)</f>
        <v>44</v>
      </c>
      <c r="AD9" s="24">
        <f>SUBTOTAL(9,$T3:AD3)</f>
        <v>52</v>
      </c>
      <c r="AE9" s="24">
        <f>SUBTOTAL(9,$T3:AE3)</f>
        <v>52</v>
      </c>
      <c r="AF9" s="24">
        <f>SUBTOTAL(9,$T3:AF3)</f>
        <v>57</v>
      </c>
      <c r="AG9" s="24">
        <f>SUBTOTAL(9,$T3:AG3)</f>
        <v>61</v>
      </c>
      <c r="AH9" s="24">
        <f>SUBTOTAL(9,$T3:AH3)</f>
        <v>61</v>
      </c>
      <c r="AI9" s="24">
        <f>SUBTOTAL(9,$T3:AI3)</f>
        <v>61</v>
      </c>
      <c r="AJ9" s="24">
        <f>SUBTOTAL(9,$T3:AJ3)</f>
        <v>61</v>
      </c>
    </row>
    <row r="10" spans="1:36" x14ac:dyDescent="0.25">
      <c r="A10" s="106"/>
      <c r="B10" s="23" t="s">
        <v>1614</v>
      </c>
      <c r="C10" s="24">
        <f>SUBTOTAL(9,$C4:C4)</f>
        <v>0</v>
      </c>
      <c r="D10" s="24">
        <f>SUBTOTAL(9,$C4:D4)</f>
        <v>0</v>
      </c>
      <c r="E10" s="24">
        <f>SUBTOTAL(9,$C4:E4)</f>
        <v>0</v>
      </c>
      <c r="F10" s="24">
        <f>SUBTOTAL(9,$C4:F4)</f>
        <v>0</v>
      </c>
      <c r="G10" s="24">
        <f>SUBTOTAL(9,$C4:G4)</f>
        <v>0</v>
      </c>
      <c r="H10" s="24">
        <f>SUBTOTAL(9,$C4:H4)</f>
        <v>0</v>
      </c>
      <c r="I10" s="24">
        <f>SUBTOTAL(9,$C4:I4)</f>
        <v>0</v>
      </c>
      <c r="J10" s="24">
        <f>SUBTOTAL(9,$C4:J4)</f>
        <v>0</v>
      </c>
      <c r="K10" s="24">
        <f>SUBTOTAL(9,$C4:K4)</f>
        <v>0</v>
      </c>
      <c r="L10" s="24">
        <f>SUBTOTAL(9,$C4:L4)</f>
        <v>0</v>
      </c>
      <c r="M10" s="24">
        <f>SUBTOTAL(9,$C4:M4)</f>
        <v>0</v>
      </c>
      <c r="N10" s="24">
        <f>SUBTOTAL(9,$C4:N4)</f>
        <v>0</v>
      </c>
      <c r="O10" s="24">
        <f>SUBTOTAL(9,$C4:O4)</f>
        <v>0</v>
      </c>
      <c r="P10" s="24">
        <f>SUBTOTAL(9,$C4:P4)</f>
        <v>0</v>
      </c>
      <c r="Q10" s="24">
        <f>SUBTOTAL(9,$C4:Q4)</f>
        <v>0</v>
      </c>
      <c r="R10" s="24">
        <f>SUBTOTAL(9,$C4:R4)</f>
        <v>0</v>
      </c>
      <c r="S10" s="24">
        <f>SUBTOTAL(9,$C4:S4)</f>
        <v>0</v>
      </c>
      <c r="T10" s="24">
        <f>SUBTOTAL(9,$T4:T4)</f>
        <v>0</v>
      </c>
      <c r="U10" s="24">
        <f>SUBTOTAL(9,$T4:U4)</f>
        <v>0</v>
      </c>
      <c r="V10" s="24">
        <f>SUBTOTAL(9,$T4:V4)</f>
        <v>0</v>
      </c>
      <c r="W10" s="24">
        <f>SUBTOTAL(9,$T4:W4)</f>
        <v>0</v>
      </c>
      <c r="X10" s="24">
        <f>SUBTOTAL(9,$T4:X4)</f>
        <v>4</v>
      </c>
      <c r="Y10" s="24">
        <f>SUBTOTAL(9,$T4:Y4)</f>
        <v>5</v>
      </c>
      <c r="Z10" s="24">
        <f>SUBTOTAL(9,$T4:Z4)</f>
        <v>5</v>
      </c>
      <c r="AA10" s="24">
        <f>SUBTOTAL(9,$T4:AA4)</f>
        <v>5</v>
      </c>
      <c r="AB10" s="24">
        <f>SUBTOTAL(9,$T4:AB4)</f>
        <v>5</v>
      </c>
      <c r="AC10" s="24">
        <f>SUBTOTAL(9,$T4:AC4)</f>
        <v>5</v>
      </c>
      <c r="AD10" s="24">
        <f>SUBTOTAL(9,$T4:AD4)</f>
        <v>5</v>
      </c>
      <c r="AE10" s="24">
        <f>SUBTOTAL(9,$T4:AE4)</f>
        <v>5</v>
      </c>
      <c r="AF10" s="24">
        <f>SUBTOTAL(9,$T4:AF4)</f>
        <v>6</v>
      </c>
      <c r="AG10" s="24">
        <f>SUBTOTAL(9,$T4:AG4)</f>
        <v>8</v>
      </c>
      <c r="AH10" s="24">
        <f>SUBTOTAL(9,$T4:AH4)</f>
        <v>8</v>
      </c>
      <c r="AI10" s="24">
        <f>SUBTOTAL(9,$T4:AI4)</f>
        <v>8</v>
      </c>
      <c r="AJ10" s="24">
        <f>SUBTOTAL(9,$T4:AJ4)</f>
        <v>8</v>
      </c>
    </row>
    <row r="11" spans="1:36" ht="15.75" thickBot="1" x14ac:dyDescent="0.3">
      <c r="A11" s="107"/>
      <c r="B11" s="23" t="s">
        <v>1615</v>
      </c>
      <c r="C11" s="24">
        <f>SUBTOTAL(9,$C5:C5)</f>
        <v>0</v>
      </c>
      <c r="D11" s="24">
        <f>SUBTOTAL(9,$C5:D5)</f>
        <v>0</v>
      </c>
      <c r="E11" s="24">
        <f>SUBTOTAL(9,$C5:E5)</f>
        <v>0</v>
      </c>
      <c r="F11" s="24">
        <f>SUBTOTAL(9,$C5:F5)</f>
        <v>0</v>
      </c>
      <c r="G11" s="24">
        <f>SUBTOTAL(9,$C5:G5)</f>
        <v>0</v>
      </c>
      <c r="H11" s="24">
        <f>SUBTOTAL(9,$C5:H5)</f>
        <v>0</v>
      </c>
      <c r="I11" s="24">
        <f>SUBTOTAL(9,$C5:I5)</f>
        <v>0</v>
      </c>
      <c r="J11" s="24">
        <f>SUBTOTAL(9,$C5:J5)</f>
        <v>0</v>
      </c>
      <c r="K11" s="24">
        <f>SUBTOTAL(9,$C5:K5)</f>
        <v>0</v>
      </c>
      <c r="L11" s="24">
        <f>SUBTOTAL(9,$C5:L5)</f>
        <v>0</v>
      </c>
      <c r="M11" s="24">
        <f>SUBTOTAL(9,$C5:M5)</f>
        <v>0</v>
      </c>
      <c r="N11" s="24">
        <f>SUBTOTAL(9,$C5:N5)</f>
        <v>0</v>
      </c>
      <c r="O11" s="24">
        <f>SUBTOTAL(9,$C5:O5)</f>
        <v>0</v>
      </c>
      <c r="P11" s="24">
        <f>SUBTOTAL(9,$C5:P5)</f>
        <v>0</v>
      </c>
      <c r="Q11" s="24">
        <f>SUBTOTAL(9,$C5:Q5)</f>
        <v>0</v>
      </c>
      <c r="R11" s="24">
        <f>SUBTOTAL(9,$C5:R5)</f>
        <v>0</v>
      </c>
      <c r="S11" s="24">
        <f>SUBTOTAL(9,$C5:S5)</f>
        <v>0</v>
      </c>
      <c r="T11" s="24">
        <f>SUBTOTAL(9,$T5:T5)</f>
        <v>0</v>
      </c>
      <c r="U11" s="24">
        <f>SUBTOTAL(9,$T5:U5)</f>
        <v>0</v>
      </c>
      <c r="V11" s="24">
        <f>SUBTOTAL(9,$T5:V5)</f>
        <v>0</v>
      </c>
      <c r="W11" s="24">
        <f>SUBTOTAL(9,$T5:W5)</f>
        <v>0</v>
      </c>
      <c r="X11" s="24">
        <f>SUBTOTAL(9,$T5:X5)</f>
        <v>0</v>
      </c>
      <c r="Y11" s="24">
        <f>SUBTOTAL(9,$T5:Y5)</f>
        <v>0</v>
      </c>
      <c r="Z11" s="24">
        <f>SUBTOTAL(9,$T5:Z5)</f>
        <v>0</v>
      </c>
      <c r="AA11" s="24">
        <f>SUBTOTAL(9,$T5:AA5)</f>
        <v>0</v>
      </c>
      <c r="AB11" s="24">
        <f>SUBTOTAL(9,$T5:AB5)</f>
        <v>0</v>
      </c>
      <c r="AC11" s="24">
        <f>SUBTOTAL(9,$T5:AC5)</f>
        <v>2</v>
      </c>
      <c r="AD11" s="24">
        <f>SUBTOTAL(9,$T5:AD5)</f>
        <v>3</v>
      </c>
      <c r="AE11" s="24">
        <f>SUBTOTAL(9,$T5:AE5)</f>
        <v>3</v>
      </c>
      <c r="AF11" s="24">
        <f>SUBTOTAL(9,$T5:AF5)</f>
        <v>4</v>
      </c>
      <c r="AG11" s="24">
        <f>SUBTOTAL(9,$T5:AG5)</f>
        <v>4</v>
      </c>
      <c r="AH11" s="24">
        <f>SUBTOTAL(9,$T5:AH5)</f>
        <v>4</v>
      </c>
      <c r="AI11" s="24">
        <f>SUBTOTAL(9,$T5:AI5)</f>
        <v>4</v>
      </c>
      <c r="AJ11" s="24">
        <f>SUBTOTAL(9,$T5:AJ5)</f>
        <v>4</v>
      </c>
    </row>
    <row r="13" spans="1:36" ht="15.75" thickBot="1" x14ac:dyDescent="0.3"/>
    <row r="14" spans="1:36" ht="15.75" thickBot="1" x14ac:dyDescent="0.3">
      <c r="B14" s="73" t="s">
        <v>818</v>
      </c>
    </row>
    <row r="15" spans="1:36" x14ac:dyDescent="0.25">
      <c r="A15" s="108" t="s">
        <v>1602</v>
      </c>
      <c r="B15" s="27" t="s">
        <v>1603</v>
      </c>
      <c r="C15" s="24">
        <f>COUNTIFS('Sec_Risk DataDump'!$J:$J,'STORE FEED'!$B$14,'Sec_Risk DataDump'!$L:$L,'STORE FEED'!C$2)</f>
        <v>2</v>
      </c>
      <c r="D15" s="24">
        <f>COUNTIFS('Sec_Risk DataDump'!$J:$J,'STORE FEED'!$B$14,'Sec_Risk DataDump'!$L:$L,'STORE FEED'!D$2)</f>
        <v>0</v>
      </c>
      <c r="E15" s="24">
        <f>COUNTIFS('Sec_Risk DataDump'!$J:$J,'STORE FEED'!$B$14,'Sec_Risk DataDump'!$L:$L,'STORE FEED'!E$2)</f>
        <v>1</v>
      </c>
      <c r="F15" s="76">
        <f>SUBTOTAL(9,C15:E15)</f>
        <v>3</v>
      </c>
      <c r="G15" s="24">
        <f>COUNTIFS('Sec_Risk DataDump'!$J:$J,'STORE FEED'!$B$14,'Sec_Risk DataDump'!$L:$L,'STORE FEED'!G$2)</f>
        <v>2</v>
      </c>
      <c r="H15" s="24">
        <f>COUNTIFS('Sec_Risk DataDump'!$J:$J,'STORE FEED'!$B$14,'Sec_Risk DataDump'!$L:$L,'STORE FEED'!H$2)</f>
        <v>4</v>
      </c>
      <c r="I15" s="24">
        <f>COUNTIFS('Sec_Risk DataDump'!$J:$J,'STORE FEED'!$B$14,'Sec_Risk DataDump'!$L:$L,'STORE FEED'!I$2)</f>
        <v>7</v>
      </c>
      <c r="J15" s="76">
        <f>SUBTOTAL(9,G15:I15)</f>
        <v>13</v>
      </c>
      <c r="K15" s="24">
        <f>COUNTIFS('Sec_Risk DataDump'!$J:$J,'STORE FEED'!$B$14,'Sec_Risk DataDump'!$L:$L,'STORE FEED'!K$2)</f>
        <v>7</v>
      </c>
      <c r="L15" s="24">
        <f>COUNTIFS('Sec_Risk DataDump'!$J:$J,'STORE FEED'!$B$14,'Sec_Risk DataDump'!$L:$L,'STORE FEED'!L$2)</f>
        <v>1</v>
      </c>
      <c r="M15" s="24">
        <f>COUNTIFS('Sec_Risk DataDump'!$J:$J,'STORE FEED'!$B$14,'Sec_Risk DataDump'!$L:$L,'STORE FEED'!M$2)</f>
        <v>3</v>
      </c>
      <c r="N15" s="76">
        <f>SUBTOTAL(9,K15:M15)</f>
        <v>11</v>
      </c>
      <c r="O15" s="24">
        <f>COUNTIFS('Sec_Risk DataDump'!$J:$J,'STORE FEED'!$B$14,'Sec_Risk DataDump'!$L:$L,'STORE FEED'!O$2)</f>
        <v>5</v>
      </c>
      <c r="P15" s="24">
        <f>COUNTIFS('Sec_Risk DataDump'!$J:$J,'STORE FEED'!$B$14,'Sec_Risk DataDump'!$L:$L,'STORE FEED'!P$2)</f>
        <v>7</v>
      </c>
      <c r="Q15" s="24">
        <f>COUNTIFS('Sec_Risk DataDump'!$J:$J,'STORE FEED'!$B$14,'Sec_Risk DataDump'!$L:$L,'STORE FEED'!Q$2)</f>
        <v>11</v>
      </c>
      <c r="R15" s="76">
        <f>SUBTOTAL(9,O15:Q15)</f>
        <v>23</v>
      </c>
      <c r="S15" s="76">
        <f>SUBTOTAL(9,C15:R15)</f>
        <v>50</v>
      </c>
      <c r="T15" s="24">
        <f>COUNTIFS('Sec_Risk DataDump'!$J:$J,'STORE FEED'!$B$14,'Sec_Risk DataDump'!$L:$L,'STORE FEED'!T$2)</f>
        <v>13</v>
      </c>
      <c r="U15" s="24">
        <f>COUNTIFS('Sec_Risk DataDump'!$J:$J,'STORE FEED'!$B$14,'Sec_Risk DataDump'!$L:$L,'STORE FEED'!U$2)</f>
        <v>20</v>
      </c>
      <c r="V15" s="24">
        <f>COUNTIFS('Sec_Risk DataDump'!$J:$J,'STORE FEED'!$B$14,'Sec_Risk DataDump'!$L:$L,'STORE FEED'!V$2)</f>
        <v>3</v>
      </c>
      <c r="W15" s="76">
        <f>SUBTOTAL(9,T15:V15)</f>
        <v>36</v>
      </c>
      <c r="X15" s="24">
        <f>COUNTIFS('Sec_Risk DataDump'!$J:$J,'STORE FEED'!$B$14,'Sec_Risk DataDump'!$L:$L,'STORE FEED'!X$2)</f>
        <v>2</v>
      </c>
      <c r="Y15" s="24">
        <f>COUNTIFS('Sec_Risk DataDump'!$J:$J,'STORE FEED'!$B$14,'Sec_Risk DataDump'!$L:$L,'STORE FEED'!Y$2)</f>
        <v>5</v>
      </c>
      <c r="Z15" s="24">
        <f>COUNTIFS('Sec_Risk DataDump'!$J:$J,'STORE FEED'!$B$14,'Sec_Risk DataDump'!$L:$L,'STORE FEED'!Z$2)</f>
        <v>4</v>
      </c>
      <c r="AA15" s="76">
        <f>SUBTOTAL(9,X15:Z15)</f>
        <v>11</v>
      </c>
      <c r="AB15" s="24">
        <f>COUNTIFS('Sec_Risk DataDump'!$J:$J,'STORE FEED'!$B$14,'Sec_Risk DataDump'!$L:$L,'STORE FEED'!AB$2)</f>
        <v>1</v>
      </c>
      <c r="AC15" s="24">
        <f>COUNTIFS('Sec_Risk DataDump'!$J:$J,'STORE FEED'!$B$14,'Sec_Risk DataDump'!$L:$L,'STORE FEED'!AC$2)</f>
        <v>9</v>
      </c>
      <c r="AD15" s="24">
        <f>COUNTIFS('Sec_Risk DataDump'!$J:$J,'STORE FEED'!$B$14,'Sec_Risk DataDump'!$L:$L,'STORE FEED'!AD$2)</f>
        <v>3</v>
      </c>
      <c r="AE15" s="76">
        <f>SUBTOTAL(9,AB15:AD15)</f>
        <v>13</v>
      </c>
      <c r="AF15" s="24">
        <f>COUNTIFS('Sec_Risk DataDump'!$J:$J,'STORE FEED'!$B$14,'Sec_Risk DataDump'!$L:$L,'STORE FEED'!AF$2)</f>
        <v>5</v>
      </c>
      <c r="AG15" s="24">
        <f>COUNTIFS('Sec_Risk DataDump'!$J:$J,'STORE FEED'!$B$14,'Sec_Risk DataDump'!$L:$L,'STORE FEED'!AG$2)</f>
        <v>5</v>
      </c>
      <c r="AH15" s="24">
        <f>COUNTIFS('Sec_Risk DataDump'!$J:$J,'STORE FEED'!$B$14,'Sec_Risk DataDump'!$L:$L,'STORE FEED'!AH$2)</f>
        <v>0</v>
      </c>
      <c r="AI15" s="76">
        <f>SUBTOTAL(9,AF15:AH15)</f>
        <v>10</v>
      </c>
      <c r="AJ15" s="76">
        <f>SUBTOTAL(9,T15:AI15)</f>
        <v>70</v>
      </c>
    </row>
    <row r="16" spans="1:36" x14ac:dyDescent="0.25">
      <c r="A16" s="109"/>
      <c r="B16" s="23" t="s">
        <v>1604</v>
      </c>
      <c r="C16" s="24">
        <f>COUNTIFS('TMJ DataDump'!$J:$J,'STORE FEED'!$B$14,'TMJ DataDump'!$L:$L,'STORE FEED'!C$2)</f>
        <v>0</v>
      </c>
      <c r="D16" s="24">
        <f>COUNTIFS('TMJ DataDump'!$J:$J,'STORE FEED'!$B$14,'TMJ DataDump'!$L:$L,'STORE FEED'!D$2)</f>
        <v>0</v>
      </c>
      <c r="E16" s="24">
        <f>COUNTIFS('TMJ DataDump'!$J:$J,'STORE FEED'!$B$14,'TMJ DataDump'!$L:$L,'STORE FEED'!E$2)</f>
        <v>0</v>
      </c>
      <c r="F16" s="76">
        <f>SUBTOTAL(9,C16:E16)</f>
        <v>0</v>
      </c>
      <c r="G16" s="24">
        <f>COUNTIFS('TMJ DataDump'!$J:$J,'STORE FEED'!$B$14,'TMJ DataDump'!$L:$L,'STORE FEED'!G$2)</f>
        <v>0</v>
      </c>
      <c r="H16" s="24">
        <f>COUNTIFS('TMJ DataDump'!$J:$J,'STORE FEED'!$B$14,'TMJ DataDump'!$L:$L,'STORE FEED'!H$2)</f>
        <v>0</v>
      </c>
      <c r="I16" s="24">
        <f>COUNTIFS('TMJ DataDump'!$J:$J,'STORE FEED'!$B$14,'TMJ DataDump'!$L:$L,'STORE FEED'!I$2)</f>
        <v>0</v>
      </c>
      <c r="J16" s="76">
        <f>SUBTOTAL(9,G16:I16)</f>
        <v>0</v>
      </c>
      <c r="K16" s="24">
        <f>COUNTIFS('TMJ DataDump'!$J:$J,'STORE FEED'!$B$14,'TMJ DataDump'!$L:$L,'STORE FEED'!K$2)</f>
        <v>0</v>
      </c>
      <c r="L16" s="24">
        <f>COUNTIFS('TMJ DataDump'!$J:$J,'STORE FEED'!$B$14,'TMJ DataDump'!$L:$L,'STORE FEED'!L$2)</f>
        <v>0</v>
      </c>
      <c r="M16" s="24">
        <f>COUNTIFS('TMJ DataDump'!$J:$J,'STORE FEED'!$B$14,'TMJ DataDump'!$L:$L,'STORE FEED'!M$2)</f>
        <v>0</v>
      </c>
      <c r="N16" s="76">
        <f>SUBTOTAL(9,K16:M16)</f>
        <v>0</v>
      </c>
      <c r="O16" s="24">
        <f>COUNTIFS('TMJ DataDump'!$J:$J,'STORE FEED'!$B$14,'TMJ DataDump'!$L:$L,'STORE FEED'!O$2)</f>
        <v>0</v>
      </c>
      <c r="P16" s="24">
        <f>COUNTIFS('TMJ DataDump'!$J:$J,'STORE FEED'!$B$14,'TMJ DataDump'!$L:$L,'STORE FEED'!P$2)</f>
        <v>0</v>
      </c>
      <c r="Q16" s="24">
        <f>COUNTIFS('TMJ DataDump'!$J:$J,'STORE FEED'!$B$14,'TMJ DataDump'!$L:$L,'STORE FEED'!Q$2)</f>
        <v>0</v>
      </c>
      <c r="R16" s="76">
        <f>SUBTOTAL(9,O16:Q16)</f>
        <v>0</v>
      </c>
      <c r="S16" s="76">
        <f>SUBTOTAL(9,C16:R16)</f>
        <v>0</v>
      </c>
      <c r="T16" s="24">
        <f>COUNTIFS('TMJ DataDump'!$J:$J,'STORE FEED'!$B$14,'TMJ DataDump'!$L:$L,'STORE FEED'!T$2)</f>
        <v>0</v>
      </c>
      <c r="U16" s="24">
        <f>COUNTIFS('TMJ DataDump'!$J:$J,'STORE FEED'!$B$14,'TMJ DataDump'!$L:$L,'STORE FEED'!U$2)</f>
        <v>0</v>
      </c>
      <c r="V16" s="24">
        <f>COUNTIFS('TMJ DataDump'!$J:$J,'STORE FEED'!$B$14,'TMJ DataDump'!$L:$L,'STORE FEED'!V$2)</f>
        <v>0</v>
      </c>
      <c r="W16" s="76">
        <f>SUBTOTAL(9,T16:V16)</f>
        <v>0</v>
      </c>
      <c r="X16" s="24">
        <f>COUNTIFS('TMJ DataDump'!$J:$J,'STORE FEED'!$B$14,'TMJ DataDump'!$L:$L,'STORE FEED'!X$2)</f>
        <v>0</v>
      </c>
      <c r="Y16" s="24">
        <f>COUNTIFS('TMJ DataDump'!$J:$J,'STORE FEED'!$B$14,'TMJ DataDump'!$L:$L,'STORE FEED'!Y$2)</f>
        <v>0</v>
      </c>
      <c r="Z16" s="24">
        <f>COUNTIFS('TMJ DataDump'!$J:$J,'STORE FEED'!$B$14,'TMJ DataDump'!$L:$L,'STORE FEED'!Z$2)</f>
        <v>2</v>
      </c>
      <c r="AA16" s="76">
        <f>SUBTOTAL(9,X16:Z16)</f>
        <v>2</v>
      </c>
      <c r="AB16" s="24">
        <f>COUNTIFS('TMJ DataDump'!$J:$J,'STORE FEED'!$B$14,'TMJ DataDump'!$L:$L,'STORE FEED'!AB$2)</f>
        <v>0</v>
      </c>
      <c r="AC16" s="24">
        <f>COUNTIFS('TMJ DataDump'!$J:$J,'STORE FEED'!$B$14,'TMJ DataDump'!$L:$L,'STORE FEED'!AC$2)</f>
        <v>0</v>
      </c>
      <c r="AD16" s="24">
        <f>COUNTIFS('TMJ DataDump'!$J:$J,'STORE FEED'!$B$14,'TMJ DataDump'!$L:$L,'STORE FEED'!AD$2)</f>
        <v>0</v>
      </c>
      <c r="AE16" s="76">
        <f>SUBTOTAL(9,AB16:AD16)</f>
        <v>0</v>
      </c>
      <c r="AF16" s="24">
        <f>COUNTIFS('TMJ DataDump'!$J:$J,'STORE FEED'!$B$14,'TMJ DataDump'!$L:$L,'STORE FEED'!AF$2)</f>
        <v>0</v>
      </c>
      <c r="AG16" s="24">
        <f>COUNTIFS('TMJ DataDump'!$J:$J,'STORE FEED'!$B$14,'TMJ DataDump'!$L:$L,'STORE FEED'!AG$2)</f>
        <v>0</v>
      </c>
      <c r="AH16" s="24">
        <f>COUNTIFS('TMJ DataDump'!$J:$J,'STORE FEED'!$B$14,'TMJ DataDump'!$L:$L,'STORE FEED'!AH$2)</f>
        <v>0</v>
      </c>
      <c r="AI16" s="76">
        <f>SUBTOTAL(9,AF16:AH16)</f>
        <v>0</v>
      </c>
      <c r="AJ16" s="76">
        <f>SUBTOTAL(9,T16:AI16)</f>
        <v>2</v>
      </c>
    </row>
    <row r="17" spans="1:36" x14ac:dyDescent="0.25">
      <c r="A17" s="109"/>
      <c r="B17" s="23" t="s">
        <v>1605</v>
      </c>
      <c r="C17" s="24">
        <f>COUNTIFS('PsychoSocial DataDump'!$K:$K,'STORE FEED'!$B$14,'PsychoSocial DataDump'!$M:$M,'STORE FEED'!C$2)</f>
        <v>0</v>
      </c>
      <c r="D17" s="24">
        <f>COUNTIFS('PsychoSocial DataDump'!$K:$K,'STORE FEED'!$B$14,'PsychoSocial DataDump'!$M:$M,'STORE FEED'!D$2)</f>
        <v>0</v>
      </c>
      <c r="E17" s="24">
        <f>COUNTIFS('PsychoSocial DataDump'!$K:$K,'STORE FEED'!$B$14,'PsychoSocial DataDump'!$M:$M,'STORE FEED'!E$2)</f>
        <v>0</v>
      </c>
      <c r="F17" s="76">
        <f>SUBTOTAL(9,C17:E17)</f>
        <v>0</v>
      </c>
      <c r="G17" s="24">
        <f>COUNTIFS('PsychoSocial DataDump'!$K:$K,'STORE FEED'!$B$14,'PsychoSocial DataDump'!$M:$M,'STORE FEED'!G$2)</f>
        <v>0</v>
      </c>
      <c r="H17" s="24">
        <f>COUNTIFS('PsychoSocial DataDump'!$K:$K,'STORE FEED'!$B$14,'PsychoSocial DataDump'!$M:$M,'STORE FEED'!H$2)</f>
        <v>0</v>
      </c>
      <c r="I17" s="24">
        <f>COUNTIFS('PsychoSocial DataDump'!$K:$K,'STORE FEED'!$B$14,'PsychoSocial DataDump'!$M:$M,'STORE FEED'!I$2)</f>
        <v>0</v>
      </c>
      <c r="J17" s="76">
        <f>SUBTOTAL(9,G17:I17)</f>
        <v>0</v>
      </c>
      <c r="K17" s="24">
        <f>COUNTIFS('PsychoSocial DataDump'!$K:$K,'STORE FEED'!$B$14,'PsychoSocial DataDump'!$M:$M,'STORE FEED'!K$2)</f>
        <v>0</v>
      </c>
      <c r="L17" s="24">
        <f>COUNTIFS('PsychoSocial DataDump'!$K:$K,'STORE FEED'!$B$14,'PsychoSocial DataDump'!$M:$M,'STORE FEED'!L$2)</f>
        <v>0</v>
      </c>
      <c r="M17" s="24">
        <f>COUNTIFS('PsychoSocial DataDump'!$K:$K,'STORE FEED'!$B$14,'PsychoSocial DataDump'!$M:$M,'STORE FEED'!M$2)</f>
        <v>0</v>
      </c>
      <c r="N17" s="76">
        <f>SUBTOTAL(9,K17:M17)</f>
        <v>0</v>
      </c>
      <c r="O17" s="24">
        <f>COUNTIFS('PsychoSocial DataDump'!$K:$K,'STORE FEED'!$B$14,'PsychoSocial DataDump'!$M:$M,'STORE FEED'!O$2)</f>
        <v>0</v>
      </c>
      <c r="P17" s="24">
        <f>COUNTIFS('PsychoSocial DataDump'!$K:$K,'STORE FEED'!$B$14,'PsychoSocial DataDump'!$M:$M,'STORE FEED'!P$2)</f>
        <v>0</v>
      </c>
      <c r="Q17" s="24">
        <f>COUNTIFS('PsychoSocial DataDump'!$K:$K,'STORE FEED'!$B$14,'PsychoSocial DataDump'!$M:$M,'STORE FEED'!Q$2)</f>
        <v>0</v>
      </c>
      <c r="R17" s="76">
        <f>SUBTOTAL(9,O17:Q17)</f>
        <v>0</v>
      </c>
      <c r="S17" s="76">
        <f>SUBTOTAL(9,C17:R17)</f>
        <v>0</v>
      </c>
      <c r="T17" s="24">
        <f>COUNTIFS('PsychoSocial DataDump'!$K:$K,'STORE FEED'!$B$14,'PsychoSocial DataDump'!$M:$M,'STORE FEED'!T$2)</f>
        <v>0</v>
      </c>
      <c r="U17" s="24">
        <f>COUNTIFS('PsychoSocial DataDump'!$K:$K,'STORE FEED'!$B$14,'PsychoSocial DataDump'!$M:$M,'STORE FEED'!U$2)</f>
        <v>0</v>
      </c>
      <c r="V17" s="24">
        <f>COUNTIFS('PsychoSocial DataDump'!$K:$K,'STORE FEED'!$B$14,'PsychoSocial DataDump'!$M:$M,'STORE FEED'!V$2)</f>
        <v>0</v>
      </c>
      <c r="W17" s="76">
        <f>SUBTOTAL(9,T17:V17)</f>
        <v>0</v>
      </c>
      <c r="X17" s="24">
        <f>COUNTIFS('PsychoSocial DataDump'!$K:$K,'STORE FEED'!$B$14,'PsychoSocial DataDump'!$M:$M,'STORE FEED'!X$2)</f>
        <v>0</v>
      </c>
      <c r="Y17" s="24">
        <f>COUNTIFS('PsychoSocial DataDump'!$K:$K,'STORE FEED'!$B$14,'PsychoSocial DataDump'!$M:$M,'STORE FEED'!Y$2)</f>
        <v>0</v>
      </c>
      <c r="Z17" s="24">
        <f>COUNTIFS('PsychoSocial DataDump'!$K:$K,'STORE FEED'!$B$14,'PsychoSocial DataDump'!$M:$M,'STORE FEED'!Z$2)</f>
        <v>0</v>
      </c>
      <c r="AA17" s="76">
        <f>SUBTOTAL(9,X17:Z17)</f>
        <v>0</v>
      </c>
      <c r="AB17" s="24">
        <f>COUNTIFS('PsychoSocial DataDump'!$K:$K,'STORE FEED'!$B$14,'PsychoSocial DataDump'!$M:$M,'STORE FEED'!AB$2)</f>
        <v>0</v>
      </c>
      <c r="AC17" s="24">
        <f>COUNTIFS('PsychoSocial DataDump'!$K:$K,'STORE FEED'!$B$14,'PsychoSocial DataDump'!$M:$M,'STORE FEED'!AC$2)</f>
        <v>0</v>
      </c>
      <c r="AD17" s="24">
        <f>COUNTIFS('PsychoSocial DataDump'!$K:$K,'STORE FEED'!$B$14,'PsychoSocial DataDump'!$M:$M,'STORE FEED'!AD$2)</f>
        <v>0</v>
      </c>
      <c r="AE17" s="76">
        <f>SUBTOTAL(9,AB17:AD17)</f>
        <v>0</v>
      </c>
      <c r="AF17" s="24">
        <f>COUNTIFS('PsychoSocial DataDump'!$K:$K,'STORE FEED'!$B$14,'PsychoSocial DataDump'!$M:$M,'STORE FEED'!AF$2)</f>
        <v>1</v>
      </c>
      <c r="AG17" s="24">
        <f>COUNTIFS('PsychoSocial DataDump'!$K:$K,'STORE FEED'!$B$14,'PsychoSocial DataDump'!$M:$M,'STORE FEED'!AG$2)</f>
        <v>0</v>
      </c>
      <c r="AH17" s="24">
        <f>COUNTIFS('PsychoSocial DataDump'!$K:$K,'STORE FEED'!$B$14,'PsychoSocial DataDump'!$M:$M,'STORE FEED'!AH$2)</f>
        <v>0</v>
      </c>
      <c r="AI17" s="76">
        <f>SUBTOTAL(9,AF17:AH17)</f>
        <v>1</v>
      </c>
      <c r="AJ17" s="76">
        <f>SUBTOTAL(9,T17:AI17)</f>
        <v>1</v>
      </c>
    </row>
    <row r="18" spans="1:36" ht="15.75" thickBot="1" x14ac:dyDescent="0.3">
      <c r="A18" s="110"/>
      <c r="B18" s="28" t="s">
        <v>1610</v>
      </c>
      <c r="C18" s="26">
        <f>SUM(C15:C17)</f>
        <v>2</v>
      </c>
      <c r="D18" s="26">
        <f t="shared" ref="D18:AJ18" si="1">SUM(D15:D17)</f>
        <v>0</v>
      </c>
      <c r="E18" s="26">
        <f t="shared" si="1"/>
        <v>1</v>
      </c>
      <c r="F18" s="26">
        <f t="shared" si="1"/>
        <v>3</v>
      </c>
      <c r="G18" s="26">
        <f t="shared" si="1"/>
        <v>2</v>
      </c>
      <c r="H18" s="26">
        <f t="shared" si="1"/>
        <v>4</v>
      </c>
      <c r="I18" s="26">
        <f t="shared" si="1"/>
        <v>7</v>
      </c>
      <c r="J18" s="26">
        <f t="shared" si="1"/>
        <v>13</v>
      </c>
      <c r="K18" s="26">
        <f t="shared" si="1"/>
        <v>7</v>
      </c>
      <c r="L18" s="26">
        <f t="shared" si="1"/>
        <v>1</v>
      </c>
      <c r="M18" s="26">
        <f t="shared" si="1"/>
        <v>3</v>
      </c>
      <c r="N18" s="26">
        <f t="shared" si="1"/>
        <v>11</v>
      </c>
      <c r="O18" s="26">
        <f t="shared" si="1"/>
        <v>5</v>
      </c>
      <c r="P18" s="26">
        <f t="shared" si="1"/>
        <v>7</v>
      </c>
      <c r="Q18" s="26">
        <f t="shared" si="1"/>
        <v>11</v>
      </c>
      <c r="R18" s="26">
        <f t="shared" si="1"/>
        <v>23</v>
      </c>
      <c r="S18" s="26">
        <f t="shared" si="1"/>
        <v>50</v>
      </c>
      <c r="T18" s="26">
        <f t="shared" si="1"/>
        <v>13</v>
      </c>
      <c r="U18" s="26">
        <f t="shared" si="1"/>
        <v>20</v>
      </c>
      <c r="V18" s="26">
        <f t="shared" si="1"/>
        <v>3</v>
      </c>
      <c r="W18" s="26">
        <f t="shared" si="1"/>
        <v>36</v>
      </c>
      <c r="X18" s="26">
        <f t="shared" si="1"/>
        <v>2</v>
      </c>
      <c r="Y18" s="26">
        <f t="shared" si="1"/>
        <v>5</v>
      </c>
      <c r="Z18" s="26">
        <f t="shared" si="1"/>
        <v>6</v>
      </c>
      <c r="AA18" s="26">
        <f t="shared" si="1"/>
        <v>13</v>
      </c>
      <c r="AB18" s="26">
        <f t="shared" si="1"/>
        <v>1</v>
      </c>
      <c r="AC18" s="26">
        <f t="shared" si="1"/>
        <v>9</v>
      </c>
      <c r="AD18" s="26">
        <f t="shared" si="1"/>
        <v>3</v>
      </c>
      <c r="AE18" s="26">
        <f t="shared" si="1"/>
        <v>13</v>
      </c>
      <c r="AF18" s="26">
        <f t="shared" si="1"/>
        <v>6</v>
      </c>
      <c r="AG18" s="26">
        <f t="shared" si="1"/>
        <v>5</v>
      </c>
      <c r="AH18" s="26">
        <f t="shared" si="1"/>
        <v>0</v>
      </c>
      <c r="AI18" s="26">
        <f t="shared" si="1"/>
        <v>11</v>
      </c>
      <c r="AJ18" s="26">
        <f t="shared" si="1"/>
        <v>73</v>
      </c>
    </row>
    <row r="19" spans="1:36" ht="15.75" thickBot="1" x14ac:dyDescent="0.3"/>
    <row r="20" spans="1:36" ht="15.75" thickBot="1" x14ac:dyDescent="0.3">
      <c r="B20" s="74" t="s">
        <v>818</v>
      </c>
    </row>
    <row r="21" spans="1:36" ht="15" customHeight="1" x14ac:dyDescent="0.25">
      <c r="A21" s="105" t="s">
        <v>1612</v>
      </c>
      <c r="B21" s="71" t="s">
        <v>1613</v>
      </c>
      <c r="C21" s="24">
        <f>SUBTOTAL(9,$C15:C15)</f>
        <v>2</v>
      </c>
      <c r="D21" s="24">
        <f>SUBTOTAL(9,$C15:D15)</f>
        <v>2</v>
      </c>
      <c r="E21" s="24">
        <f>SUBTOTAL(9,$C15:E15)</f>
        <v>3</v>
      </c>
      <c r="F21" s="24">
        <f>SUBTOTAL(9,$C15:F15)</f>
        <v>3</v>
      </c>
      <c r="G21" s="24">
        <f>SUBTOTAL(9,$C15:G15)</f>
        <v>5</v>
      </c>
      <c r="H21" s="24">
        <f>SUBTOTAL(9,$C15:H15)</f>
        <v>9</v>
      </c>
      <c r="I21" s="24">
        <f>SUBTOTAL(9,$C15:I15)</f>
        <v>16</v>
      </c>
      <c r="J21" s="24">
        <f>SUBTOTAL(9,$C15:J15)</f>
        <v>16</v>
      </c>
      <c r="K21" s="24">
        <f>SUBTOTAL(9,$C15:K15)</f>
        <v>23</v>
      </c>
      <c r="L21" s="24">
        <f>SUBTOTAL(9,$C15:L15)</f>
        <v>24</v>
      </c>
      <c r="M21" s="24">
        <f>SUBTOTAL(9,$C15:M15)</f>
        <v>27</v>
      </c>
      <c r="N21" s="24">
        <f>SUBTOTAL(9,$C15:N15)</f>
        <v>27</v>
      </c>
      <c r="O21" s="24">
        <f>SUBTOTAL(9,$C15:O15)</f>
        <v>32</v>
      </c>
      <c r="P21" s="24">
        <f>SUBTOTAL(9,$C15:P15)</f>
        <v>39</v>
      </c>
      <c r="Q21" s="24">
        <f>SUBTOTAL(9,$C15:Q15)</f>
        <v>50</v>
      </c>
      <c r="R21" s="24">
        <f>SUBTOTAL(9,$C15:R15)</f>
        <v>50</v>
      </c>
      <c r="S21" s="24">
        <f>SUBTOTAL(9,$C15:S15)</f>
        <v>50</v>
      </c>
      <c r="T21" s="24">
        <f>SUBTOTAL(9,$T15:T15)</f>
        <v>13</v>
      </c>
      <c r="U21" s="24">
        <f>SUBTOTAL(9,$T15:U15)</f>
        <v>33</v>
      </c>
      <c r="V21" s="24">
        <f>SUBTOTAL(9,$T15:V15)</f>
        <v>36</v>
      </c>
      <c r="W21" s="24">
        <f>SUBTOTAL(9,$T15:W15)</f>
        <v>36</v>
      </c>
      <c r="X21" s="24">
        <f>SUBTOTAL(9,$T15:X15)</f>
        <v>38</v>
      </c>
      <c r="Y21" s="24">
        <f>SUBTOTAL(9,$T15:Y15)</f>
        <v>43</v>
      </c>
      <c r="Z21" s="24">
        <f>SUBTOTAL(9,$T15:Z15)</f>
        <v>47</v>
      </c>
      <c r="AA21" s="24">
        <f>SUBTOTAL(9,$T15:AA15)</f>
        <v>47</v>
      </c>
      <c r="AB21" s="24">
        <f>SUBTOTAL(9,$T15:AB15)</f>
        <v>48</v>
      </c>
      <c r="AC21" s="24">
        <f>SUBTOTAL(9,$T15:AC15)</f>
        <v>57</v>
      </c>
      <c r="AD21" s="24">
        <f>SUBTOTAL(9,$T15:AD15)</f>
        <v>60</v>
      </c>
      <c r="AE21" s="24">
        <f>SUBTOTAL(9,$T15:AE15)</f>
        <v>60</v>
      </c>
      <c r="AF21" s="24">
        <f>SUBTOTAL(9,$T15:AF15)</f>
        <v>65</v>
      </c>
      <c r="AG21" s="24">
        <f>SUBTOTAL(9,$T15:AG15)</f>
        <v>70</v>
      </c>
      <c r="AH21" s="24">
        <f>SUBTOTAL(9,$T15:AH15)</f>
        <v>70</v>
      </c>
      <c r="AI21" s="24">
        <f>SUBTOTAL(9,$T15:AI15)</f>
        <v>70</v>
      </c>
      <c r="AJ21" s="24">
        <f>SUBTOTAL(9,$T15:AJ15)</f>
        <v>70</v>
      </c>
    </row>
    <row r="22" spans="1:36" x14ac:dyDescent="0.25">
      <c r="A22" s="106"/>
      <c r="B22" s="23" t="s">
        <v>1614</v>
      </c>
      <c r="C22" s="24">
        <f>SUBTOTAL(9,$C16:C16)</f>
        <v>0</v>
      </c>
      <c r="D22" s="24">
        <f>SUBTOTAL(9,$C16:D16)</f>
        <v>0</v>
      </c>
      <c r="E22" s="24">
        <f>SUBTOTAL(9,$C16:E16)</f>
        <v>0</v>
      </c>
      <c r="F22" s="24">
        <f>SUBTOTAL(9,$C16:F16)</f>
        <v>0</v>
      </c>
      <c r="G22" s="24">
        <f>SUBTOTAL(9,$C16:G16)</f>
        <v>0</v>
      </c>
      <c r="H22" s="24">
        <f>SUBTOTAL(9,$C16:H16)</f>
        <v>0</v>
      </c>
      <c r="I22" s="24">
        <f>SUBTOTAL(9,$C16:I16)</f>
        <v>0</v>
      </c>
      <c r="J22" s="24">
        <f>SUBTOTAL(9,$C16:J16)</f>
        <v>0</v>
      </c>
      <c r="K22" s="24">
        <f>SUBTOTAL(9,$C16:K16)</f>
        <v>0</v>
      </c>
      <c r="L22" s="24">
        <f>SUBTOTAL(9,$C16:L16)</f>
        <v>0</v>
      </c>
      <c r="M22" s="24">
        <f>SUBTOTAL(9,$C16:M16)</f>
        <v>0</v>
      </c>
      <c r="N22" s="24">
        <f>SUBTOTAL(9,$C16:N16)</f>
        <v>0</v>
      </c>
      <c r="O22" s="24">
        <f>SUBTOTAL(9,$C16:O16)</f>
        <v>0</v>
      </c>
      <c r="P22" s="24">
        <f>SUBTOTAL(9,$C16:P16)</f>
        <v>0</v>
      </c>
      <c r="Q22" s="24">
        <f>SUBTOTAL(9,$C16:Q16)</f>
        <v>0</v>
      </c>
      <c r="R22" s="24">
        <f>SUBTOTAL(9,$C16:R16)</f>
        <v>0</v>
      </c>
      <c r="S22" s="24">
        <f>SUBTOTAL(9,$C16:S16)</f>
        <v>0</v>
      </c>
      <c r="T22" s="24">
        <f>SUBTOTAL(9,$T16:T16)</f>
        <v>0</v>
      </c>
      <c r="U22" s="24">
        <f>SUBTOTAL(9,$T16:U16)</f>
        <v>0</v>
      </c>
      <c r="V22" s="24">
        <f>SUBTOTAL(9,$T16:V16)</f>
        <v>0</v>
      </c>
      <c r="W22" s="24">
        <f>SUBTOTAL(9,$T16:W16)</f>
        <v>0</v>
      </c>
      <c r="X22" s="24">
        <f>SUBTOTAL(9,$T16:X16)</f>
        <v>0</v>
      </c>
      <c r="Y22" s="24">
        <f>SUBTOTAL(9,$T16:Y16)</f>
        <v>0</v>
      </c>
      <c r="Z22" s="24">
        <f>SUBTOTAL(9,$T16:Z16)</f>
        <v>2</v>
      </c>
      <c r="AA22" s="24">
        <f>SUBTOTAL(9,$T16:AA16)</f>
        <v>2</v>
      </c>
      <c r="AB22" s="24">
        <f>SUBTOTAL(9,$T16:AB16)</f>
        <v>2</v>
      </c>
      <c r="AC22" s="24">
        <f>SUBTOTAL(9,$T16:AC16)</f>
        <v>2</v>
      </c>
      <c r="AD22" s="24">
        <f>SUBTOTAL(9,$T16:AD16)</f>
        <v>2</v>
      </c>
      <c r="AE22" s="24">
        <f>SUBTOTAL(9,$T16:AE16)</f>
        <v>2</v>
      </c>
      <c r="AF22" s="24">
        <f>SUBTOTAL(9,$T16:AF16)</f>
        <v>2</v>
      </c>
      <c r="AG22" s="24">
        <f>SUBTOTAL(9,$T16:AG16)</f>
        <v>2</v>
      </c>
      <c r="AH22" s="24">
        <f>SUBTOTAL(9,$T16:AH16)</f>
        <v>2</v>
      </c>
      <c r="AI22" s="24">
        <f>SUBTOTAL(9,$T16:AI16)</f>
        <v>2</v>
      </c>
      <c r="AJ22" s="24">
        <f>SUBTOTAL(9,$T16:AJ16)</f>
        <v>2</v>
      </c>
    </row>
    <row r="23" spans="1:36" ht="15.75" thickBot="1" x14ac:dyDescent="0.3">
      <c r="A23" s="107"/>
      <c r="B23" s="23" t="s">
        <v>1615</v>
      </c>
      <c r="C23" s="24">
        <f>SUBTOTAL(9,$C17:C17)</f>
        <v>0</v>
      </c>
      <c r="D23" s="24">
        <f>SUBTOTAL(9,$C17:D17)</f>
        <v>0</v>
      </c>
      <c r="E23" s="24">
        <f>SUBTOTAL(9,$C17:E17)</f>
        <v>0</v>
      </c>
      <c r="F23" s="24">
        <f>SUBTOTAL(9,$C17:F17)</f>
        <v>0</v>
      </c>
      <c r="G23" s="24">
        <f>SUBTOTAL(9,$C17:G17)</f>
        <v>0</v>
      </c>
      <c r="H23" s="24">
        <f>SUBTOTAL(9,$C17:H17)</f>
        <v>0</v>
      </c>
      <c r="I23" s="24">
        <f>SUBTOTAL(9,$C17:I17)</f>
        <v>0</v>
      </c>
      <c r="J23" s="24">
        <f>SUBTOTAL(9,$C17:J17)</f>
        <v>0</v>
      </c>
      <c r="K23" s="24">
        <f>SUBTOTAL(9,$C17:K17)</f>
        <v>0</v>
      </c>
      <c r="L23" s="24">
        <f>SUBTOTAL(9,$C17:L17)</f>
        <v>0</v>
      </c>
      <c r="M23" s="24">
        <f>SUBTOTAL(9,$C17:M17)</f>
        <v>0</v>
      </c>
      <c r="N23" s="24">
        <f>SUBTOTAL(9,$C17:N17)</f>
        <v>0</v>
      </c>
      <c r="O23" s="24">
        <f>SUBTOTAL(9,$C17:O17)</f>
        <v>0</v>
      </c>
      <c r="P23" s="24">
        <f>SUBTOTAL(9,$C17:P17)</f>
        <v>0</v>
      </c>
      <c r="Q23" s="24">
        <f>SUBTOTAL(9,$C17:Q17)</f>
        <v>0</v>
      </c>
      <c r="R23" s="24">
        <f>SUBTOTAL(9,$C17:R17)</f>
        <v>0</v>
      </c>
      <c r="S23" s="24">
        <f>SUBTOTAL(9,$C17:S17)</f>
        <v>0</v>
      </c>
      <c r="T23" s="24">
        <f>SUBTOTAL(9,$T17:T17)</f>
        <v>0</v>
      </c>
      <c r="U23" s="24">
        <f>SUBTOTAL(9,$T17:U17)</f>
        <v>0</v>
      </c>
      <c r="V23" s="24">
        <f>SUBTOTAL(9,$T17:V17)</f>
        <v>0</v>
      </c>
      <c r="W23" s="24">
        <f>SUBTOTAL(9,$T17:W17)</f>
        <v>0</v>
      </c>
      <c r="X23" s="24">
        <f>SUBTOTAL(9,$T17:X17)</f>
        <v>0</v>
      </c>
      <c r="Y23" s="24">
        <f>SUBTOTAL(9,$T17:Y17)</f>
        <v>0</v>
      </c>
      <c r="Z23" s="24">
        <f>SUBTOTAL(9,$T17:Z17)</f>
        <v>0</v>
      </c>
      <c r="AA23" s="24">
        <f>SUBTOTAL(9,$T17:AA17)</f>
        <v>0</v>
      </c>
      <c r="AB23" s="24">
        <f>SUBTOTAL(9,$T17:AB17)</f>
        <v>0</v>
      </c>
      <c r="AC23" s="24">
        <f>SUBTOTAL(9,$T17:AC17)</f>
        <v>0</v>
      </c>
      <c r="AD23" s="24">
        <f>SUBTOTAL(9,$T17:AD17)</f>
        <v>0</v>
      </c>
      <c r="AE23" s="24">
        <f>SUBTOTAL(9,$T17:AE17)</f>
        <v>0</v>
      </c>
      <c r="AF23" s="24">
        <f>SUBTOTAL(9,$T17:AF17)</f>
        <v>1</v>
      </c>
      <c r="AG23" s="24">
        <f>SUBTOTAL(9,$T17:AG17)</f>
        <v>1</v>
      </c>
      <c r="AH23" s="24">
        <f>SUBTOTAL(9,$T17:AH17)</f>
        <v>1</v>
      </c>
      <c r="AI23" s="24">
        <f>SUBTOTAL(9,$T17:AI17)</f>
        <v>1</v>
      </c>
      <c r="AJ23" s="24">
        <f>SUBTOTAL(9,$T17:AJ17)</f>
        <v>1</v>
      </c>
    </row>
    <row r="25" spans="1:36" ht="15.75" thickBot="1" x14ac:dyDescent="0.3"/>
    <row r="26" spans="1:36" ht="15.75" thickBot="1" x14ac:dyDescent="0.3">
      <c r="B26" s="72" t="s">
        <v>1055</v>
      </c>
    </row>
    <row r="27" spans="1:36" x14ac:dyDescent="0.25">
      <c r="A27" s="108" t="s">
        <v>1602</v>
      </c>
      <c r="B27" s="23" t="s">
        <v>1603</v>
      </c>
      <c r="C27" s="24">
        <f>COUNTIFS('Sec_Risk DataDump'!$J:$J,'STORE FEED'!$B$26,'Sec_Risk DataDump'!$L:$L,'STORE FEED'!C$2)</f>
        <v>5</v>
      </c>
      <c r="D27" s="24">
        <f>COUNTIFS('Sec_Risk DataDump'!$J:$J,'STORE FEED'!$B$26,'Sec_Risk DataDump'!$L:$L,'STORE FEED'!D$2)</f>
        <v>0</v>
      </c>
      <c r="E27" s="24">
        <f>COUNTIFS('Sec_Risk DataDump'!$J:$J,'STORE FEED'!$B$26,'Sec_Risk DataDump'!$L:$L,'STORE FEED'!E$2)</f>
        <v>2</v>
      </c>
      <c r="F27" s="76">
        <f>SUBTOTAL(9,C27:E27)</f>
        <v>7</v>
      </c>
      <c r="G27" s="24">
        <f>COUNTIFS('Sec_Risk DataDump'!$J:$J,'STORE FEED'!$B$26,'Sec_Risk DataDump'!$L:$L,'STORE FEED'!G$2)</f>
        <v>1</v>
      </c>
      <c r="H27" s="24">
        <f>COUNTIFS('Sec_Risk DataDump'!$J:$J,'STORE FEED'!$B$26,'Sec_Risk DataDump'!$L:$L,'STORE FEED'!H$2)</f>
        <v>4</v>
      </c>
      <c r="I27" s="24">
        <f>COUNTIFS('Sec_Risk DataDump'!$J:$J,'STORE FEED'!$B$26,'Sec_Risk DataDump'!$L:$L,'STORE FEED'!I$2)</f>
        <v>4</v>
      </c>
      <c r="J27" s="76">
        <f>SUBTOTAL(9,G27:I27)</f>
        <v>9</v>
      </c>
      <c r="K27" s="24">
        <f>COUNTIFS('Sec_Risk DataDump'!$J:$J,'STORE FEED'!$B$26,'Sec_Risk DataDump'!$L:$L,'STORE FEED'!K$2)</f>
        <v>0</v>
      </c>
      <c r="L27" s="24">
        <f>COUNTIFS('Sec_Risk DataDump'!$J:$J,'STORE FEED'!$B$26,'Sec_Risk DataDump'!$L:$L,'STORE FEED'!L$2)</f>
        <v>4</v>
      </c>
      <c r="M27" s="24">
        <f>COUNTIFS('Sec_Risk DataDump'!$J:$J,'STORE FEED'!$B$26,'Sec_Risk DataDump'!$L:$L,'STORE FEED'!M$2)</f>
        <v>3</v>
      </c>
      <c r="N27" s="76">
        <f>SUBTOTAL(9,K27:M27)</f>
        <v>7</v>
      </c>
      <c r="O27" s="24">
        <f>COUNTIFS('Sec_Risk DataDump'!$J:$J,'STORE FEED'!$B$26,'Sec_Risk DataDump'!$L:$L,'STORE FEED'!O$2)</f>
        <v>1</v>
      </c>
      <c r="P27" s="24">
        <f>COUNTIFS('Sec_Risk DataDump'!$J:$J,'STORE FEED'!$B$26,'Sec_Risk DataDump'!$L:$L,'STORE FEED'!P$2)</f>
        <v>4</v>
      </c>
      <c r="Q27" s="24">
        <f>COUNTIFS('Sec_Risk DataDump'!$J:$J,'STORE FEED'!$B$26,'Sec_Risk DataDump'!$L:$L,'STORE FEED'!Q$2)</f>
        <v>6</v>
      </c>
      <c r="R27" s="76">
        <f>SUBTOTAL(9,O27:Q27)</f>
        <v>11</v>
      </c>
      <c r="S27" s="76">
        <f>SUBTOTAL(9,C27:R27)</f>
        <v>34</v>
      </c>
      <c r="T27" s="24">
        <f>COUNTIFS('Sec_Risk DataDump'!$J:$J,'STORE FEED'!$B$26,'Sec_Risk DataDump'!$L:$L,'STORE FEED'!T$2)</f>
        <v>3</v>
      </c>
      <c r="U27" s="24">
        <f>COUNTIFS('Sec_Risk DataDump'!$J:$J,'STORE FEED'!$B$26,'Sec_Risk DataDump'!$L:$L,'STORE FEED'!U$2)</f>
        <v>10</v>
      </c>
      <c r="V27" s="24">
        <f>COUNTIFS('Sec_Risk DataDump'!$J:$J,'STORE FEED'!$B$26,'Sec_Risk DataDump'!$L:$L,'STORE FEED'!V$2)</f>
        <v>8</v>
      </c>
      <c r="W27" s="76">
        <f>SUBTOTAL(9,T27:V27)</f>
        <v>21</v>
      </c>
      <c r="X27" s="24">
        <f>COUNTIFS('Sec_Risk DataDump'!$J:$J,'STORE FEED'!$B$26,'Sec_Risk DataDump'!$L:$L,'STORE FEED'!X$2)</f>
        <v>6</v>
      </c>
      <c r="Y27" s="24">
        <f>COUNTIFS('Sec_Risk DataDump'!$J:$J,'STORE FEED'!$B$26,'Sec_Risk DataDump'!$L:$L,'STORE FEED'!Y$2)</f>
        <v>6</v>
      </c>
      <c r="Z27" s="24">
        <f>COUNTIFS('Sec_Risk DataDump'!$J:$J,'STORE FEED'!$B$26,'Sec_Risk DataDump'!$L:$L,'STORE FEED'!Z$2)</f>
        <v>4</v>
      </c>
      <c r="AA27" s="76">
        <f>SUBTOTAL(9,X27:Z27)</f>
        <v>16</v>
      </c>
      <c r="AB27" s="24">
        <f>COUNTIFS('Sec_Risk DataDump'!$J:$J,'STORE FEED'!$B$26,'Sec_Risk DataDump'!$L:$L,'STORE FEED'!AB$2)</f>
        <v>2</v>
      </c>
      <c r="AC27" s="24">
        <f>COUNTIFS('Sec_Risk DataDump'!$J:$J,'STORE FEED'!$B$26,'Sec_Risk DataDump'!$L:$L,'STORE FEED'!AC$2)</f>
        <v>1</v>
      </c>
      <c r="AD27" s="24">
        <f>COUNTIFS('Sec_Risk DataDump'!$J:$J,'STORE FEED'!$B$26,'Sec_Risk DataDump'!$L:$L,'STORE FEED'!AD$2)</f>
        <v>1</v>
      </c>
      <c r="AE27" s="76">
        <f>SUBTOTAL(9,AB27:AD27)</f>
        <v>4</v>
      </c>
      <c r="AF27" s="24">
        <f>COUNTIFS('Sec_Risk DataDump'!$J:$J,'STORE FEED'!$B$26,'Sec_Risk DataDump'!$L:$L,'STORE FEED'!AF$2)</f>
        <v>4</v>
      </c>
      <c r="AG27" s="24">
        <f>COUNTIFS('Sec_Risk DataDump'!$J:$J,'STORE FEED'!$B$26,'Sec_Risk DataDump'!$L:$L,'STORE FEED'!AG$2)</f>
        <v>3</v>
      </c>
      <c r="AH27" s="24">
        <f>COUNTIFS('Sec_Risk DataDump'!$J:$J,'STORE FEED'!$B$26,'Sec_Risk DataDump'!$L:$L,'STORE FEED'!AH$2)</f>
        <v>0</v>
      </c>
      <c r="AI27" s="76">
        <f>SUBTOTAL(9,AF27:AH27)</f>
        <v>7</v>
      </c>
      <c r="AJ27" s="76">
        <f>SUBTOTAL(9,T27:AI27)</f>
        <v>48</v>
      </c>
    </row>
    <row r="28" spans="1:36" x14ac:dyDescent="0.25">
      <c r="A28" s="109"/>
      <c r="B28" s="69" t="s">
        <v>1604</v>
      </c>
      <c r="C28" s="24">
        <f>COUNTIFS('TMJ DataDump'!$J:$J,'STORE FEED'!$B$26,'TMJ DataDump'!$L:$L,'STORE FEED'!C$2)</f>
        <v>0</v>
      </c>
      <c r="D28" s="24">
        <f>COUNTIFS('TMJ DataDump'!$J:$J,'STORE FEED'!$B$26,'TMJ DataDump'!$L:$L,'STORE FEED'!D$2)</f>
        <v>0</v>
      </c>
      <c r="E28" s="24">
        <f>COUNTIFS('TMJ DataDump'!$J:$J,'STORE FEED'!$B$26,'TMJ DataDump'!$L:$L,'STORE FEED'!E$2)</f>
        <v>0</v>
      </c>
      <c r="F28" s="76">
        <f>SUBTOTAL(9,C28:E28)</f>
        <v>0</v>
      </c>
      <c r="G28" s="24">
        <f>COUNTIFS('TMJ DataDump'!$J:$J,'STORE FEED'!$B$26,'TMJ DataDump'!$L:$L,'STORE FEED'!G$2)</f>
        <v>0</v>
      </c>
      <c r="H28" s="24">
        <f>COUNTIFS('TMJ DataDump'!$J:$J,'STORE FEED'!$B$26,'TMJ DataDump'!$L:$L,'STORE FEED'!H$2)</f>
        <v>0</v>
      </c>
      <c r="I28" s="24">
        <f>COUNTIFS('TMJ DataDump'!$J:$J,'STORE FEED'!$B$26,'TMJ DataDump'!$L:$L,'STORE FEED'!I$2)</f>
        <v>0</v>
      </c>
      <c r="J28" s="76">
        <f>SUBTOTAL(9,G28:I28)</f>
        <v>0</v>
      </c>
      <c r="K28" s="24">
        <f>COUNTIFS('TMJ DataDump'!$J:$J,'STORE FEED'!$B$26,'TMJ DataDump'!$L:$L,'STORE FEED'!K$2)</f>
        <v>0</v>
      </c>
      <c r="L28" s="24">
        <f>COUNTIFS('TMJ DataDump'!$J:$J,'STORE FEED'!$B$26,'TMJ DataDump'!$L:$L,'STORE FEED'!L$2)</f>
        <v>0</v>
      </c>
      <c r="M28" s="24">
        <f>COUNTIFS('TMJ DataDump'!$J:$J,'STORE FEED'!$B$26,'TMJ DataDump'!$L:$L,'STORE FEED'!M$2)</f>
        <v>0</v>
      </c>
      <c r="N28" s="76">
        <f>SUBTOTAL(9,K28:M28)</f>
        <v>0</v>
      </c>
      <c r="O28" s="24">
        <f>COUNTIFS('TMJ DataDump'!$J:$J,'STORE FEED'!$B$26,'TMJ DataDump'!$L:$L,'STORE FEED'!O$2)</f>
        <v>0</v>
      </c>
      <c r="P28" s="24">
        <f>COUNTIFS('TMJ DataDump'!$J:$J,'STORE FEED'!$B$26,'TMJ DataDump'!$L:$L,'STORE FEED'!P$2)</f>
        <v>0</v>
      </c>
      <c r="Q28" s="24">
        <f>COUNTIFS('TMJ DataDump'!$J:$J,'STORE FEED'!$B$26,'TMJ DataDump'!$L:$L,'STORE FEED'!Q$2)</f>
        <v>0</v>
      </c>
      <c r="R28" s="76">
        <f>SUBTOTAL(9,O28:Q28)</f>
        <v>0</v>
      </c>
      <c r="S28" s="76">
        <f>SUBTOTAL(9,C28:R28)</f>
        <v>0</v>
      </c>
      <c r="T28" s="24">
        <f>COUNTIFS('TMJ DataDump'!$J:$J,'STORE FEED'!$B$26,'TMJ DataDump'!$L:$L,'STORE FEED'!T$2)</f>
        <v>0</v>
      </c>
      <c r="U28" s="24">
        <f>COUNTIFS('TMJ DataDump'!$J:$J,'STORE FEED'!$B$26,'TMJ DataDump'!$L:$L,'STORE FEED'!U$2)</f>
        <v>0</v>
      </c>
      <c r="V28" s="24">
        <f>COUNTIFS('TMJ DataDump'!$J:$J,'STORE FEED'!$B$26,'TMJ DataDump'!$L:$L,'STORE FEED'!V$2)</f>
        <v>0</v>
      </c>
      <c r="W28" s="76">
        <f>SUBTOTAL(9,T28:V28)</f>
        <v>0</v>
      </c>
      <c r="X28" s="24">
        <f>COUNTIFS('TMJ DataDump'!$J:$J,'STORE FEED'!$B$26,'TMJ DataDump'!$L:$L,'STORE FEED'!X$2)</f>
        <v>0</v>
      </c>
      <c r="Y28" s="24">
        <f>COUNTIFS('TMJ DataDump'!$J:$J,'STORE FEED'!$B$26,'TMJ DataDump'!$L:$L,'STORE FEED'!Y$2)</f>
        <v>0</v>
      </c>
      <c r="Z28" s="24">
        <f>COUNTIFS('TMJ DataDump'!$J:$J,'STORE FEED'!$B$26,'TMJ DataDump'!$L:$L,'STORE FEED'!Z$2)</f>
        <v>0</v>
      </c>
      <c r="AA28" s="76">
        <f>SUBTOTAL(9,X28:Z28)</f>
        <v>0</v>
      </c>
      <c r="AB28" s="24">
        <f>COUNTIFS('TMJ DataDump'!$J:$J,'STORE FEED'!$B$26,'TMJ DataDump'!$L:$L,'STORE FEED'!AB$2)</f>
        <v>0</v>
      </c>
      <c r="AC28" s="24">
        <f>COUNTIFS('TMJ DataDump'!$J:$J,'STORE FEED'!$B$26,'TMJ DataDump'!$L:$L,'STORE FEED'!AC$2)</f>
        <v>0</v>
      </c>
      <c r="AD28" s="24">
        <f>COUNTIFS('TMJ DataDump'!$J:$J,'STORE FEED'!$B$26,'TMJ DataDump'!$L:$L,'STORE FEED'!AD$2)</f>
        <v>1</v>
      </c>
      <c r="AE28" s="76">
        <f>SUBTOTAL(9,AB28:AD28)</f>
        <v>1</v>
      </c>
      <c r="AF28" s="24">
        <f>COUNTIFS('TMJ DataDump'!$J:$J,'STORE FEED'!$B$26,'TMJ DataDump'!$L:$L,'STORE FEED'!AF$2)</f>
        <v>1</v>
      </c>
      <c r="AG28" s="24">
        <f>COUNTIFS('TMJ DataDump'!$J:$J,'STORE FEED'!$B$26,'TMJ DataDump'!$L:$L,'STORE FEED'!AG$2)</f>
        <v>0</v>
      </c>
      <c r="AH28" s="24">
        <f>COUNTIFS('TMJ DataDump'!$J:$J,'STORE FEED'!$B$26,'TMJ DataDump'!$L:$L,'STORE FEED'!AH$2)</f>
        <v>0</v>
      </c>
      <c r="AI28" s="76">
        <f>SUBTOTAL(9,AF28:AH28)</f>
        <v>1</v>
      </c>
      <c r="AJ28" s="76">
        <f>SUBTOTAL(9,T28:AI28)</f>
        <v>2</v>
      </c>
    </row>
    <row r="29" spans="1:36" x14ac:dyDescent="0.25">
      <c r="A29" s="109"/>
      <c r="B29" s="69" t="s">
        <v>1605</v>
      </c>
      <c r="C29" s="24">
        <f>COUNTIFS('PsychoSocial DataDump'!$K:$K,'STORE FEED'!$B$26,'PsychoSocial DataDump'!$M:$M,'STORE FEED'!C$2)</f>
        <v>0</v>
      </c>
      <c r="D29" s="24">
        <f>COUNTIFS('PsychoSocial DataDump'!$K:$K,'STORE FEED'!$B$26,'PsychoSocial DataDump'!$M:$M,'STORE FEED'!D$2)</f>
        <v>0</v>
      </c>
      <c r="E29" s="24">
        <f>COUNTIFS('PsychoSocial DataDump'!$K:$K,'STORE FEED'!$B$26,'PsychoSocial DataDump'!$M:$M,'STORE FEED'!E$2)</f>
        <v>0</v>
      </c>
      <c r="F29" s="76">
        <f>SUBTOTAL(9,C29:E29)</f>
        <v>0</v>
      </c>
      <c r="G29" s="24">
        <f>COUNTIFS('PsychoSocial DataDump'!$K:$K,'STORE FEED'!$B$26,'PsychoSocial DataDump'!$M:$M,'STORE FEED'!G$2)</f>
        <v>0</v>
      </c>
      <c r="H29" s="24">
        <f>COUNTIFS('PsychoSocial DataDump'!$K:$K,'STORE FEED'!$B$26,'PsychoSocial DataDump'!$M:$M,'STORE FEED'!H$2)</f>
        <v>0</v>
      </c>
      <c r="I29" s="24">
        <f>COUNTIFS('PsychoSocial DataDump'!$K:$K,'STORE FEED'!$B$26,'PsychoSocial DataDump'!$M:$M,'STORE FEED'!I$2)</f>
        <v>0</v>
      </c>
      <c r="J29" s="76">
        <f>SUBTOTAL(9,G29:I29)</f>
        <v>0</v>
      </c>
      <c r="K29" s="24">
        <f>COUNTIFS('PsychoSocial DataDump'!$K:$K,'STORE FEED'!$B$26,'PsychoSocial DataDump'!$M:$M,'STORE FEED'!K$2)</f>
        <v>0</v>
      </c>
      <c r="L29" s="24">
        <f>COUNTIFS('PsychoSocial DataDump'!$K:$K,'STORE FEED'!$B$26,'PsychoSocial DataDump'!$M:$M,'STORE FEED'!L$2)</f>
        <v>0</v>
      </c>
      <c r="M29" s="24">
        <f>COUNTIFS('PsychoSocial DataDump'!$K:$K,'STORE FEED'!$B$26,'PsychoSocial DataDump'!$M:$M,'STORE FEED'!M$2)</f>
        <v>0</v>
      </c>
      <c r="N29" s="76">
        <f>SUBTOTAL(9,K29:M29)</f>
        <v>0</v>
      </c>
      <c r="O29" s="24">
        <f>COUNTIFS('PsychoSocial DataDump'!$K:$K,'STORE FEED'!$B$26,'PsychoSocial DataDump'!$M:$M,'STORE FEED'!O$2)</f>
        <v>0</v>
      </c>
      <c r="P29" s="24">
        <f>COUNTIFS('PsychoSocial DataDump'!$K:$K,'STORE FEED'!$B$26,'PsychoSocial DataDump'!$M:$M,'STORE FEED'!P$2)</f>
        <v>0</v>
      </c>
      <c r="Q29" s="24">
        <f>COUNTIFS('PsychoSocial DataDump'!$K:$K,'STORE FEED'!$B$26,'PsychoSocial DataDump'!$M:$M,'STORE FEED'!Q$2)</f>
        <v>0</v>
      </c>
      <c r="R29" s="76">
        <f>SUBTOTAL(9,O29:Q29)</f>
        <v>0</v>
      </c>
      <c r="S29" s="76">
        <f>SUBTOTAL(9,C29:R29)</f>
        <v>0</v>
      </c>
      <c r="T29" s="24">
        <f>COUNTIFS('PsychoSocial DataDump'!$K:$K,'STORE FEED'!$B$26,'PsychoSocial DataDump'!$M:$M,'STORE FEED'!T$2)</f>
        <v>0</v>
      </c>
      <c r="U29" s="24">
        <f>COUNTIFS('PsychoSocial DataDump'!$K:$K,'STORE FEED'!$B$26,'PsychoSocial DataDump'!$M:$M,'STORE FEED'!U$2)</f>
        <v>1</v>
      </c>
      <c r="V29" s="24">
        <f>COUNTIFS('PsychoSocial DataDump'!$K:$K,'STORE FEED'!$B$26,'PsychoSocial DataDump'!$M:$M,'STORE FEED'!V$2)</f>
        <v>0</v>
      </c>
      <c r="W29" s="76">
        <f>SUBTOTAL(9,T29:V29)</f>
        <v>1</v>
      </c>
      <c r="X29" s="24">
        <f>COUNTIFS('PsychoSocial DataDump'!$K:$K,'STORE FEED'!$B$26,'PsychoSocial DataDump'!$M:$M,'STORE FEED'!X$2)</f>
        <v>0</v>
      </c>
      <c r="Y29" s="24">
        <f>COUNTIFS('PsychoSocial DataDump'!$K:$K,'STORE FEED'!$B$26,'PsychoSocial DataDump'!$M:$M,'STORE FEED'!Y$2)</f>
        <v>0</v>
      </c>
      <c r="Z29" s="24">
        <f>COUNTIFS('PsychoSocial DataDump'!$K:$K,'STORE FEED'!$B$26,'PsychoSocial DataDump'!$M:$M,'STORE FEED'!Z$2)</f>
        <v>0</v>
      </c>
      <c r="AA29" s="76">
        <f>SUBTOTAL(9,X29:Z29)</f>
        <v>0</v>
      </c>
      <c r="AB29" s="24">
        <f>COUNTIFS('PsychoSocial DataDump'!$K:$K,'STORE FEED'!$B$26,'PsychoSocial DataDump'!$M:$M,'STORE FEED'!AB$2)</f>
        <v>0</v>
      </c>
      <c r="AC29" s="24">
        <f>COUNTIFS('PsychoSocial DataDump'!$K:$K,'STORE FEED'!$B$26,'PsychoSocial DataDump'!$M:$M,'STORE FEED'!AC$2)</f>
        <v>0</v>
      </c>
      <c r="AD29" s="24">
        <f>COUNTIFS('PsychoSocial DataDump'!$K:$K,'STORE FEED'!$B$26,'PsychoSocial DataDump'!$M:$M,'STORE FEED'!AD$2)</f>
        <v>1</v>
      </c>
      <c r="AE29" s="76">
        <f>SUBTOTAL(9,AB29:AD29)</f>
        <v>1</v>
      </c>
      <c r="AF29" s="24">
        <f>COUNTIFS('PsychoSocial DataDump'!$K:$K,'STORE FEED'!$B$26,'PsychoSocial DataDump'!$M:$M,'STORE FEED'!AF$2)</f>
        <v>2</v>
      </c>
      <c r="AG29" s="24">
        <f>COUNTIFS('PsychoSocial DataDump'!$K:$K,'STORE FEED'!$B$26,'PsychoSocial DataDump'!$M:$M,'STORE FEED'!AG$2)</f>
        <v>0</v>
      </c>
      <c r="AH29" s="24">
        <f>COUNTIFS('PsychoSocial DataDump'!$K:$K,'STORE FEED'!$B$26,'PsychoSocial DataDump'!$M:$M,'STORE FEED'!AH$2)</f>
        <v>0</v>
      </c>
      <c r="AI29" s="76">
        <f>SUBTOTAL(9,AF29:AH29)</f>
        <v>2</v>
      </c>
      <c r="AJ29" s="76">
        <f>SUBTOTAL(9,T29:AI29)</f>
        <v>4</v>
      </c>
    </row>
    <row r="30" spans="1:36" ht="15.75" thickBot="1" x14ac:dyDescent="0.3">
      <c r="A30" s="110"/>
      <c r="B30" s="70" t="s">
        <v>1610</v>
      </c>
      <c r="C30" s="26">
        <f>SUM(C27:C29)</f>
        <v>5</v>
      </c>
      <c r="D30" s="26">
        <f t="shared" ref="D30:AJ30" si="2">SUM(D27:D29)</f>
        <v>0</v>
      </c>
      <c r="E30" s="26">
        <f t="shared" si="2"/>
        <v>2</v>
      </c>
      <c r="F30" s="26">
        <f t="shared" si="2"/>
        <v>7</v>
      </c>
      <c r="G30" s="26">
        <f t="shared" si="2"/>
        <v>1</v>
      </c>
      <c r="H30" s="26">
        <f t="shared" si="2"/>
        <v>4</v>
      </c>
      <c r="I30" s="26">
        <f t="shared" si="2"/>
        <v>4</v>
      </c>
      <c r="J30" s="26">
        <f t="shared" si="2"/>
        <v>9</v>
      </c>
      <c r="K30" s="26">
        <f t="shared" si="2"/>
        <v>0</v>
      </c>
      <c r="L30" s="26">
        <f t="shared" si="2"/>
        <v>4</v>
      </c>
      <c r="M30" s="26">
        <f t="shared" si="2"/>
        <v>3</v>
      </c>
      <c r="N30" s="26">
        <f t="shared" si="2"/>
        <v>7</v>
      </c>
      <c r="O30" s="26">
        <f t="shared" si="2"/>
        <v>1</v>
      </c>
      <c r="P30" s="26">
        <f t="shared" si="2"/>
        <v>4</v>
      </c>
      <c r="Q30" s="26">
        <f t="shared" si="2"/>
        <v>6</v>
      </c>
      <c r="R30" s="26">
        <f t="shared" si="2"/>
        <v>11</v>
      </c>
      <c r="S30" s="26">
        <f t="shared" si="2"/>
        <v>34</v>
      </c>
      <c r="T30" s="26">
        <f t="shared" si="2"/>
        <v>3</v>
      </c>
      <c r="U30" s="26">
        <f t="shared" si="2"/>
        <v>11</v>
      </c>
      <c r="V30" s="26">
        <f t="shared" si="2"/>
        <v>8</v>
      </c>
      <c r="W30" s="26">
        <f t="shared" si="2"/>
        <v>22</v>
      </c>
      <c r="X30" s="26">
        <f t="shared" si="2"/>
        <v>6</v>
      </c>
      <c r="Y30" s="26">
        <f t="shared" si="2"/>
        <v>6</v>
      </c>
      <c r="Z30" s="26">
        <f t="shared" si="2"/>
        <v>4</v>
      </c>
      <c r="AA30" s="26">
        <f t="shared" si="2"/>
        <v>16</v>
      </c>
      <c r="AB30" s="26">
        <f t="shared" si="2"/>
        <v>2</v>
      </c>
      <c r="AC30" s="26">
        <f t="shared" si="2"/>
        <v>1</v>
      </c>
      <c r="AD30" s="26">
        <f t="shared" si="2"/>
        <v>3</v>
      </c>
      <c r="AE30" s="26">
        <f t="shared" si="2"/>
        <v>6</v>
      </c>
      <c r="AF30" s="26">
        <f t="shared" si="2"/>
        <v>7</v>
      </c>
      <c r="AG30" s="26">
        <f t="shared" si="2"/>
        <v>3</v>
      </c>
      <c r="AH30" s="26">
        <f t="shared" si="2"/>
        <v>0</v>
      </c>
      <c r="AI30" s="26">
        <f t="shared" si="2"/>
        <v>10</v>
      </c>
      <c r="AJ30" s="26">
        <f t="shared" si="2"/>
        <v>54</v>
      </c>
    </row>
    <row r="31" spans="1:36" ht="15.75" thickBot="1" x14ac:dyDescent="0.3"/>
    <row r="32" spans="1:36" ht="15.75" thickBot="1" x14ac:dyDescent="0.3">
      <c r="B32" s="72" t="s">
        <v>1055</v>
      </c>
    </row>
    <row r="33" spans="1:36" ht="15" customHeight="1" x14ac:dyDescent="0.25">
      <c r="A33" s="105" t="s">
        <v>1612</v>
      </c>
      <c r="B33" s="23" t="s">
        <v>1613</v>
      </c>
      <c r="C33" s="24">
        <f>SUBTOTAL(9,$C27:C27)</f>
        <v>5</v>
      </c>
      <c r="D33" s="24">
        <f>SUBTOTAL(9,$C27:D27)</f>
        <v>5</v>
      </c>
      <c r="E33" s="24">
        <f>SUBTOTAL(9,$C27:E27)</f>
        <v>7</v>
      </c>
      <c r="F33" s="24">
        <f>SUBTOTAL(9,$C27:F27)</f>
        <v>7</v>
      </c>
      <c r="G33" s="24">
        <f>SUBTOTAL(9,$C27:G27)</f>
        <v>8</v>
      </c>
      <c r="H33" s="24">
        <f>SUBTOTAL(9,$C27:H27)</f>
        <v>12</v>
      </c>
      <c r="I33" s="24">
        <f>SUBTOTAL(9,$C27:I27)</f>
        <v>16</v>
      </c>
      <c r="J33" s="24">
        <f>SUBTOTAL(9,$C27:J27)</f>
        <v>16</v>
      </c>
      <c r="K33" s="24">
        <f>SUBTOTAL(9,$C27:K27)</f>
        <v>16</v>
      </c>
      <c r="L33" s="24">
        <f>SUBTOTAL(9,$C27:L27)</f>
        <v>20</v>
      </c>
      <c r="M33" s="24">
        <f>SUBTOTAL(9,$C27:M27)</f>
        <v>23</v>
      </c>
      <c r="N33" s="24">
        <f>SUBTOTAL(9,$C27:N27)</f>
        <v>23</v>
      </c>
      <c r="O33" s="24">
        <f>SUBTOTAL(9,$C27:O27)</f>
        <v>24</v>
      </c>
      <c r="P33" s="24">
        <f>SUBTOTAL(9,$C27:P27)</f>
        <v>28</v>
      </c>
      <c r="Q33" s="24">
        <f>SUBTOTAL(9,$C27:Q27)</f>
        <v>34</v>
      </c>
      <c r="R33" s="24">
        <f>SUBTOTAL(9,$C27:R27)</f>
        <v>34</v>
      </c>
      <c r="S33" s="24">
        <f>SUBTOTAL(9,$C27:S27)</f>
        <v>34</v>
      </c>
      <c r="T33" s="24">
        <f>SUBTOTAL(9,$T27:T27)</f>
        <v>3</v>
      </c>
      <c r="U33" s="24">
        <f>SUBTOTAL(9,$T27:U27)</f>
        <v>13</v>
      </c>
      <c r="V33" s="24">
        <f>SUBTOTAL(9,$T27:V27)</f>
        <v>21</v>
      </c>
      <c r="W33" s="24">
        <f>SUBTOTAL(9,$T27:W27)</f>
        <v>21</v>
      </c>
      <c r="X33" s="24">
        <f>SUBTOTAL(9,$T27:X27)</f>
        <v>27</v>
      </c>
      <c r="Y33" s="24">
        <f>SUBTOTAL(9,$T27:Y27)</f>
        <v>33</v>
      </c>
      <c r="Z33" s="24">
        <f>SUBTOTAL(9,$T27:Z27)</f>
        <v>37</v>
      </c>
      <c r="AA33" s="24">
        <f>SUBTOTAL(9,$T27:AA27)</f>
        <v>37</v>
      </c>
      <c r="AB33" s="24">
        <f>SUBTOTAL(9,$T27:AB27)</f>
        <v>39</v>
      </c>
      <c r="AC33" s="24">
        <f>SUBTOTAL(9,$T27:AC27)</f>
        <v>40</v>
      </c>
      <c r="AD33" s="24">
        <f>SUBTOTAL(9,$T27:AD27)</f>
        <v>41</v>
      </c>
      <c r="AE33" s="24">
        <f>SUBTOTAL(9,$T27:AE27)</f>
        <v>41</v>
      </c>
      <c r="AF33" s="24">
        <f>SUBTOTAL(9,$T27:AF27)</f>
        <v>45</v>
      </c>
      <c r="AG33" s="24">
        <f>SUBTOTAL(9,$T27:AG27)</f>
        <v>48</v>
      </c>
      <c r="AH33" s="24">
        <f>SUBTOTAL(9,$T27:AH27)</f>
        <v>48</v>
      </c>
      <c r="AI33" s="24">
        <f>SUBTOTAL(9,$T27:AI27)</f>
        <v>48</v>
      </c>
      <c r="AJ33" s="24">
        <f>SUBTOTAL(9,$T27:AJ27)</f>
        <v>48</v>
      </c>
    </row>
    <row r="34" spans="1:36" x14ac:dyDescent="0.25">
      <c r="A34" s="106"/>
      <c r="B34" s="23" t="s">
        <v>1614</v>
      </c>
      <c r="C34" s="24">
        <f>SUBTOTAL(9,$C28:C28)</f>
        <v>0</v>
      </c>
      <c r="D34" s="24">
        <f>SUBTOTAL(9,$C28:D28)</f>
        <v>0</v>
      </c>
      <c r="E34" s="24">
        <f>SUBTOTAL(9,$C28:E28)</f>
        <v>0</v>
      </c>
      <c r="F34" s="24">
        <f>SUBTOTAL(9,$C28:F28)</f>
        <v>0</v>
      </c>
      <c r="G34" s="24">
        <f>SUBTOTAL(9,$C28:G28)</f>
        <v>0</v>
      </c>
      <c r="H34" s="24">
        <f>SUBTOTAL(9,$C28:H28)</f>
        <v>0</v>
      </c>
      <c r="I34" s="24">
        <f>SUBTOTAL(9,$C28:I28)</f>
        <v>0</v>
      </c>
      <c r="J34" s="24">
        <f>SUBTOTAL(9,$C28:J28)</f>
        <v>0</v>
      </c>
      <c r="K34" s="24">
        <f>SUBTOTAL(9,$C28:K28)</f>
        <v>0</v>
      </c>
      <c r="L34" s="24">
        <f>SUBTOTAL(9,$C28:L28)</f>
        <v>0</v>
      </c>
      <c r="M34" s="24">
        <f>SUBTOTAL(9,$C28:M28)</f>
        <v>0</v>
      </c>
      <c r="N34" s="24">
        <f>SUBTOTAL(9,$C28:N28)</f>
        <v>0</v>
      </c>
      <c r="O34" s="24">
        <f>SUBTOTAL(9,$C28:O28)</f>
        <v>0</v>
      </c>
      <c r="P34" s="24">
        <f>SUBTOTAL(9,$C28:P28)</f>
        <v>0</v>
      </c>
      <c r="Q34" s="24">
        <f>SUBTOTAL(9,$C28:Q28)</f>
        <v>0</v>
      </c>
      <c r="R34" s="24">
        <f>SUBTOTAL(9,$C28:R28)</f>
        <v>0</v>
      </c>
      <c r="S34" s="24">
        <f>SUBTOTAL(9,$C28:S28)</f>
        <v>0</v>
      </c>
      <c r="T34" s="24">
        <f>SUBTOTAL(9,$T28:T28)</f>
        <v>0</v>
      </c>
      <c r="U34" s="24">
        <f>SUBTOTAL(9,$T28:U28)</f>
        <v>0</v>
      </c>
      <c r="V34" s="24">
        <f>SUBTOTAL(9,$T28:V28)</f>
        <v>0</v>
      </c>
      <c r="W34" s="24">
        <f>SUBTOTAL(9,$T28:W28)</f>
        <v>0</v>
      </c>
      <c r="X34" s="24">
        <f>SUBTOTAL(9,$T28:X28)</f>
        <v>0</v>
      </c>
      <c r="Y34" s="24">
        <f>SUBTOTAL(9,$T28:Y28)</f>
        <v>0</v>
      </c>
      <c r="Z34" s="24">
        <f>SUBTOTAL(9,$T28:Z28)</f>
        <v>0</v>
      </c>
      <c r="AA34" s="24">
        <f>SUBTOTAL(9,$T28:AA28)</f>
        <v>0</v>
      </c>
      <c r="AB34" s="24">
        <f>SUBTOTAL(9,$T28:AB28)</f>
        <v>0</v>
      </c>
      <c r="AC34" s="24">
        <f>SUBTOTAL(9,$T28:AC28)</f>
        <v>0</v>
      </c>
      <c r="AD34" s="24">
        <f>SUBTOTAL(9,$T28:AD28)</f>
        <v>1</v>
      </c>
      <c r="AE34" s="24">
        <f>SUBTOTAL(9,$T28:AE28)</f>
        <v>1</v>
      </c>
      <c r="AF34" s="24">
        <f>SUBTOTAL(9,$T28:AF28)</f>
        <v>2</v>
      </c>
      <c r="AG34" s="24">
        <f>SUBTOTAL(9,$T28:AG28)</f>
        <v>2</v>
      </c>
      <c r="AH34" s="24">
        <f>SUBTOTAL(9,$T28:AH28)</f>
        <v>2</v>
      </c>
      <c r="AI34" s="24">
        <f>SUBTOTAL(9,$T28:AI28)</f>
        <v>2</v>
      </c>
      <c r="AJ34" s="24">
        <f>SUBTOTAL(9,$T28:AJ28)</f>
        <v>2</v>
      </c>
    </row>
    <row r="35" spans="1:36" ht="15.75" thickBot="1" x14ac:dyDescent="0.3">
      <c r="A35" s="107"/>
      <c r="B35" s="23" t="s">
        <v>1615</v>
      </c>
      <c r="C35" s="24">
        <f>SUBTOTAL(9,$C29:C29)</f>
        <v>0</v>
      </c>
      <c r="D35" s="24">
        <f>SUBTOTAL(9,$C29:D29)</f>
        <v>0</v>
      </c>
      <c r="E35" s="24">
        <f>SUBTOTAL(9,$C29:E29)</f>
        <v>0</v>
      </c>
      <c r="F35" s="24">
        <f>SUBTOTAL(9,$C29:F29)</f>
        <v>0</v>
      </c>
      <c r="G35" s="24">
        <f>SUBTOTAL(9,$C29:G29)</f>
        <v>0</v>
      </c>
      <c r="H35" s="24">
        <f>SUBTOTAL(9,$C29:H29)</f>
        <v>0</v>
      </c>
      <c r="I35" s="24">
        <f>SUBTOTAL(9,$C29:I29)</f>
        <v>0</v>
      </c>
      <c r="J35" s="24">
        <f>SUBTOTAL(9,$C29:J29)</f>
        <v>0</v>
      </c>
      <c r="K35" s="24">
        <f>SUBTOTAL(9,$C29:K29)</f>
        <v>0</v>
      </c>
      <c r="L35" s="24">
        <f>SUBTOTAL(9,$C29:L29)</f>
        <v>0</v>
      </c>
      <c r="M35" s="24">
        <f>SUBTOTAL(9,$C29:M29)</f>
        <v>0</v>
      </c>
      <c r="N35" s="24">
        <f>SUBTOTAL(9,$C29:N29)</f>
        <v>0</v>
      </c>
      <c r="O35" s="24">
        <f>SUBTOTAL(9,$C29:O29)</f>
        <v>0</v>
      </c>
      <c r="P35" s="24">
        <f>SUBTOTAL(9,$C29:P29)</f>
        <v>0</v>
      </c>
      <c r="Q35" s="24">
        <f>SUBTOTAL(9,$C29:Q29)</f>
        <v>0</v>
      </c>
      <c r="R35" s="24">
        <f>SUBTOTAL(9,$C29:R29)</f>
        <v>0</v>
      </c>
      <c r="S35" s="24">
        <f>SUBTOTAL(9,$C29:S29)</f>
        <v>0</v>
      </c>
      <c r="T35" s="24">
        <f>SUBTOTAL(9,$T29:T29)</f>
        <v>0</v>
      </c>
      <c r="U35" s="24">
        <f>SUBTOTAL(9,$T29:U29)</f>
        <v>1</v>
      </c>
      <c r="V35" s="24">
        <f>SUBTOTAL(9,$T29:V29)</f>
        <v>1</v>
      </c>
      <c r="W35" s="24">
        <f>SUBTOTAL(9,$T29:W29)</f>
        <v>1</v>
      </c>
      <c r="X35" s="24">
        <f>SUBTOTAL(9,$T29:X29)</f>
        <v>1</v>
      </c>
      <c r="Y35" s="24">
        <f>SUBTOTAL(9,$T29:Y29)</f>
        <v>1</v>
      </c>
      <c r="Z35" s="24">
        <f>SUBTOTAL(9,$T29:Z29)</f>
        <v>1</v>
      </c>
      <c r="AA35" s="24">
        <f>SUBTOTAL(9,$T29:AA29)</f>
        <v>1</v>
      </c>
      <c r="AB35" s="24">
        <f>SUBTOTAL(9,$T29:AB29)</f>
        <v>1</v>
      </c>
      <c r="AC35" s="24">
        <f>SUBTOTAL(9,$T29:AC29)</f>
        <v>1</v>
      </c>
      <c r="AD35" s="24">
        <f>SUBTOTAL(9,$T29:AD29)</f>
        <v>2</v>
      </c>
      <c r="AE35" s="24">
        <f>SUBTOTAL(9,$T29:AE29)</f>
        <v>2</v>
      </c>
      <c r="AF35" s="24">
        <f>SUBTOTAL(9,$T29:AF29)</f>
        <v>4</v>
      </c>
      <c r="AG35" s="24">
        <f>SUBTOTAL(9,$T29:AG29)</f>
        <v>4</v>
      </c>
      <c r="AH35" s="24">
        <f>SUBTOTAL(9,$T29:AH29)</f>
        <v>4</v>
      </c>
      <c r="AI35" s="24">
        <f>SUBTOTAL(9,$T29:AI29)</f>
        <v>4</v>
      </c>
      <c r="AJ35" s="24">
        <f>SUBTOTAL(9,$T29:AJ29)</f>
        <v>4</v>
      </c>
    </row>
  </sheetData>
  <mergeCells count="9">
    <mergeCell ref="C1:S1"/>
    <mergeCell ref="T1:AJ1"/>
    <mergeCell ref="A9:A11"/>
    <mergeCell ref="A3:A6"/>
    <mergeCell ref="A33:A35"/>
    <mergeCell ref="A1:A2"/>
    <mergeCell ref="A15:A18"/>
    <mergeCell ref="A21:A23"/>
    <mergeCell ref="A27:A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1F72-BC11-43BD-BCA8-D917921C7841}">
  <sheetPr>
    <tabColor rgb="FF4472C4"/>
  </sheetPr>
  <dimension ref="A1:N10"/>
  <sheetViews>
    <sheetView workbookViewId="0">
      <selection activeCell="N7" sqref="N7"/>
    </sheetView>
  </sheetViews>
  <sheetFormatPr defaultRowHeight="15" x14ac:dyDescent="0.25"/>
  <cols>
    <col min="1" max="1" width="10.7109375" customWidth="1"/>
    <col min="2" max="2" width="15.5703125" bestFit="1" customWidth="1"/>
    <col min="3" max="3" width="21.7109375" customWidth="1"/>
    <col min="5" max="5" width="18" customWidth="1"/>
    <col min="6" max="6" width="25.140625" customWidth="1"/>
    <col min="7" max="7" width="34.85546875" customWidth="1"/>
    <col min="8" max="8" width="45.28515625" customWidth="1"/>
    <col min="9" max="9" width="38.85546875" customWidth="1"/>
    <col min="10" max="10" width="19.42578125" customWidth="1"/>
    <col min="11" max="11" width="17.42578125" customWidth="1"/>
    <col min="12" max="12" width="11" customWidth="1"/>
    <col min="13" max="13" width="11.140625" customWidth="1"/>
    <col min="14" max="14" width="15.7109375" customWidth="1"/>
  </cols>
  <sheetData>
    <row r="1" spans="1:14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711</v>
      </c>
      <c r="G1" t="s">
        <v>6</v>
      </c>
      <c r="H1" t="s">
        <v>7</v>
      </c>
      <c r="I1" t="s">
        <v>1619</v>
      </c>
      <c r="J1" s="18" t="s">
        <v>810</v>
      </c>
      <c r="K1" s="18" t="s">
        <v>812</v>
      </c>
      <c r="L1" s="18" t="s">
        <v>1617</v>
      </c>
      <c r="M1" s="16" t="s">
        <v>1599</v>
      </c>
      <c r="N1" s="16" t="s">
        <v>1600</v>
      </c>
    </row>
    <row r="2" spans="1:14" x14ac:dyDescent="0.25">
      <c r="A2" t="s">
        <v>1620</v>
      </c>
      <c r="B2" s="1">
        <v>45535.541666666664</v>
      </c>
      <c r="C2" s="1">
        <v>45535.512499999997</v>
      </c>
      <c r="D2" t="s">
        <v>244</v>
      </c>
      <c r="E2" t="s">
        <v>714</v>
      </c>
      <c r="F2" t="s">
        <v>688</v>
      </c>
      <c r="G2" t="s">
        <v>245</v>
      </c>
      <c r="H2" t="s">
        <v>120</v>
      </c>
      <c r="I2" t="s">
        <v>689</v>
      </c>
      <c r="J2" s="19" t="str">
        <f>VLOOKUP(G2,'STORE LOOKUP'!$C:$G,2,0)</f>
        <v>VIC</v>
      </c>
      <c r="K2" s="19" t="str">
        <f>VLOOKUP(G2,'STORE LOOKUP'!$C:$G,4,0)</f>
        <v>Harris Scarfe</v>
      </c>
      <c r="L2" s="19" t="str">
        <f>VLOOKUP(G2,'STORE LOOKUP'!$C:$G,5,0)</f>
        <v>Store</v>
      </c>
      <c r="M2" s="17" t="str">
        <f>VLOOKUP(C2,'FIN CAL LOOKUP'!A:J,7,1)</f>
        <v>AUG, FY25</v>
      </c>
      <c r="N2" s="17" t="str">
        <f>VLOOKUP(C2,'FIN CAL LOOKUP'!A:J,10,1)</f>
        <v>Q1, FY25</v>
      </c>
    </row>
    <row r="3" spans="1:14" x14ac:dyDescent="0.25">
      <c r="A3" t="s">
        <v>712</v>
      </c>
      <c r="B3" s="1">
        <v>45694.563194444447</v>
      </c>
      <c r="C3" s="1">
        <v>45694.54583333333</v>
      </c>
      <c r="D3" t="s">
        <v>713</v>
      </c>
      <c r="E3" t="s">
        <v>714</v>
      </c>
      <c r="F3" t="s">
        <v>688</v>
      </c>
      <c r="G3" t="s">
        <v>715</v>
      </c>
      <c r="H3" t="s">
        <v>56</v>
      </c>
      <c r="I3" t="s">
        <v>1621</v>
      </c>
      <c r="J3" s="19" t="str">
        <f>VLOOKUP(G3,'STORE LOOKUP'!$C:$G,2,0)</f>
        <v>VIC West</v>
      </c>
      <c r="K3" s="19" t="str">
        <f>VLOOKUP(G3,'STORE LOOKUP'!$C:$G,4,0)</f>
        <v>Spotlight AU</v>
      </c>
      <c r="L3" s="19" t="str">
        <f>VLOOKUP(G3,'STORE LOOKUP'!$C:$G,5,0)</f>
        <v>Store</v>
      </c>
      <c r="M3" s="17" t="str">
        <f>VLOOKUP(C3,'FIN CAL LOOKUP'!A:J,7,1)</f>
        <v>FEB, FY25</v>
      </c>
      <c r="N3" s="17" t="str">
        <f>VLOOKUP(C3,'FIN CAL LOOKUP'!A:J,10,1)</f>
        <v>Q3, FY25</v>
      </c>
    </row>
    <row r="4" spans="1:14" x14ac:dyDescent="0.25">
      <c r="A4" t="s">
        <v>716</v>
      </c>
      <c r="B4" s="1">
        <v>45722.616666666669</v>
      </c>
      <c r="C4" s="1">
        <v>45716.613888888889</v>
      </c>
      <c r="D4" t="s">
        <v>144</v>
      </c>
      <c r="E4" t="s">
        <v>714</v>
      </c>
      <c r="F4" t="s">
        <v>688</v>
      </c>
      <c r="G4" t="s">
        <v>145</v>
      </c>
      <c r="H4" t="s">
        <v>146</v>
      </c>
      <c r="I4" t="s">
        <v>1622</v>
      </c>
      <c r="J4" s="19" t="str">
        <f>VLOOKUP(G4,'STORE LOOKUP'!$C:$G,2,0)</f>
        <v>QLD Central / TAS</v>
      </c>
      <c r="K4" s="19" t="str">
        <f>VLOOKUP(G4,'STORE LOOKUP'!$C:$G,4,0)</f>
        <v>Spotlight AU</v>
      </c>
      <c r="L4" s="19" t="str">
        <f>VLOOKUP(G4,'STORE LOOKUP'!$C:$G,5,0)</f>
        <v>Store</v>
      </c>
      <c r="M4" s="17" t="str">
        <f>VLOOKUP(C4,'FIN CAL LOOKUP'!A:J,7,1)</f>
        <v>FEB, FY25</v>
      </c>
      <c r="N4" s="17" t="str">
        <f>VLOOKUP(C4,'FIN CAL LOOKUP'!A:J,10,1)</f>
        <v>Q3, FY25</v>
      </c>
    </row>
    <row r="5" spans="1:14" x14ac:dyDescent="0.25">
      <c r="A5" t="s">
        <v>717</v>
      </c>
      <c r="B5" s="1">
        <v>45733.543055555558</v>
      </c>
      <c r="C5" s="1">
        <v>45732.527777777781</v>
      </c>
      <c r="D5" t="s">
        <v>355</v>
      </c>
      <c r="E5" t="s">
        <v>714</v>
      </c>
      <c r="F5" t="s">
        <v>688</v>
      </c>
      <c r="G5" t="s">
        <v>356</v>
      </c>
      <c r="H5" t="s">
        <v>56</v>
      </c>
      <c r="I5" t="s">
        <v>1622</v>
      </c>
      <c r="J5" s="19" t="str">
        <f>VLOOKUP(G5,'STORE LOOKUP'!$C:$G,2,0)</f>
        <v>VIC East</v>
      </c>
      <c r="K5" s="19" t="str">
        <f>VLOOKUP(G5,'STORE LOOKUP'!$C:$G,4,0)</f>
        <v>Spotlight AU</v>
      </c>
      <c r="L5" s="19" t="str">
        <f>VLOOKUP(G5,'STORE LOOKUP'!$C:$G,5,0)</f>
        <v>Store</v>
      </c>
      <c r="M5" s="17" t="str">
        <f>VLOOKUP(C5,'FIN CAL LOOKUP'!A:J,7,1)</f>
        <v>MAR, FY25</v>
      </c>
      <c r="N5" s="17" t="str">
        <f>VLOOKUP(C5,'FIN CAL LOOKUP'!A:J,10,1)</f>
        <v>Q3, FY25</v>
      </c>
    </row>
    <row r="6" spans="1:14" x14ac:dyDescent="0.25">
      <c r="A6" t="s">
        <v>718</v>
      </c>
      <c r="B6" s="1">
        <v>45733.605555555558</v>
      </c>
      <c r="C6" s="1">
        <v>45733.541666666664</v>
      </c>
      <c r="D6" t="s">
        <v>513</v>
      </c>
      <c r="E6" t="s">
        <v>714</v>
      </c>
      <c r="F6" t="s">
        <v>688</v>
      </c>
      <c r="G6" t="s">
        <v>514</v>
      </c>
      <c r="H6" t="s">
        <v>84</v>
      </c>
      <c r="I6" t="s">
        <v>1622</v>
      </c>
      <c r="J6" s="19" t="str">
        <f>VLOOKUP(G6,'STORE LOOKUP'!$C:$G,2,0)</f>
        <v>SA/TAS</v>
      </c>
      <c r="K6" s="19" t="str">
        <f>VLOOKUP(G6,'STORE LOOKUP'!$C:$G,4,0)</f>
        <v>Harris Scarfe</v>
      </c>
      <c r="L6" s="19" t="str">
        <f>VLOOKUP(G6,'STORE LOOKUP'!$C:$G,5,0)</f>
        <v>Store</v>
      </c>
      <c r="M6" s="17" t="str">
        <f>VLOOKUP(C6,'FIN CAL LOOKUP'!A:J,7,1)</f>
        <v>MAR, FY25</v>
      </c>
      <c r="N6" s="17" t="str">
        <f>VLOOKUP(C6,'FIN CAL LOOKUP'!A:J,10,1)</f>
        <v>Q3, FY25</v>
      </c>
    </row>
    <row r="7" spans="1:14" x14ac:dyDescent="0.25">
      <c r="A7" t="s">
        <v>719</v>
      </c>
      <c r="B7" s="1">
        <v>45761.618750000001</v>
      </c>
      <c r="C7" s="1">
        <v>45760.447916666664</v>
      </c>
      <c r="D7" t="s">
        <v>205</v>
      </c>
      <c r="E7" t="s">
        <v>714</v>
      </c>
      <c r="F7" t="s">
        <v>688</v>
      </c>
      <c r="G7" t="s">
        <v>98</v>
      </c>
      <c r="H7" t="s">
        <v>99</v>
      </c>
      <c r="I7" t="s">
        <v>1622</v>
      </c>
      <c r="J7" s="19" t="str">
        <f>VLOOKUP(G7,'STORE LOOKUP'!$C:$G,2,0)</f>
        <v>SA/TAS</v>
      </c>
      <c r="K7" s="19" t="str">
        <f>VLOOKUP(G7,'STORE LOOKUP'!$C:$G,4,0)</f>
        <v>Harris Scarfe</v>
      </c>
      <c r="L7" s="19" t="str">
        <f>VLOOKUP(G7,'STORE LOOKUP'!$C:$G,5,0)</f>
        <v>Store</v>
      </c>
      <c r="M7" s="17" t="str">
        <f>VLOOKUP(C7,'FIN CAL LOOKUP'!A:J,7,1)</f>
        <v>APR, FY25</v>
      </c>
      <c r="N7" s="17" t="str">
        <f>VLOOKUP(C7,'FIN CAL LOOKUP'!A:J,10,1)</f>
        <v>Q4, FY25</v>
      </c>
    </row>
    <row r="8" spans="1:14" x14ac:dyDescent="0.25">
      <c r="A8" t="s">
        <v>720</v>
      </c>
      <c r="B8" s="1">
        <v>45763.436111111114</v>
      </c>
      <c r="C8" s="1">
        <v>45763.385416666664</v>
      </c>
      <c r="D8" t="s">
        <v>205</v>
      </c>
      <c r="E8" t="s">
        <v>714</v>
      </c>
      <c r="F8" t="s">
        <v>688</v>
      </c>
      <c r="G8" t="s">
        <v>98</v>
      </c>
      <c r="H8" t="s">
        <v>99</v>
      </c>
      <c r="I8" t="s">
        <v>1622</v>
      </c>
      <c r="J8" s="19" t="str">
        <f>VLOOKUP(G8,'STORE LOOKUP'!$C:$G,2,0)</f>
        <v>SA/TAS</v>
      </c>
      <c r="K8" s="19" t="str">
        <f>VLOOKUP(G8,'STORE LOOKUP'!$C:$G,4,0)</f>
        <v>Harris Scarfe</v>
      </c>
      <c r="L8" s="19" t="str">
        <f>VLOOKUP(G8,'STORE LOOKUP'!$C:$G,5,0)</f>
        <v>Store</v>
      </c>
      <c r="M8" s="17" t="str">
        <f>VLOOKUP(C8,'FIN CAL LOOKUP'!A:J,7,1)</f>
        <v>APR, FY25</v>
      </c>
      <c r="N8" s="17" t="str">
        <f>VLOOKUP(C8,'FIN CAL LOOKUP'!A:J,10,1)</f>
        <v>Q4, FY25</v>
      </c>
    </row>
    <row r="9" spans="1:14" x14ac:dyDescent="0.25">
      <c r="A9" t="s">
        <v>721</v>
      </c>
      <c r="B9" s="1">
        <v>45769.729166666664</v>
      </c>
      <c r="C9" s="1">
        <v>45769.701388888891</v>
      </c>
      <c r="D9" t="s">
        <v>633</v>
      </c>
      <c r="E9" t="s">
        <v>714</v>
      </c>
      <c r="F9" t="s">
        <v>688</v>
      </c>
      <c r="G9" t="s">
        <v>634</v>
      </c>
      <c r="H9" t="s">
        <v>13</v>
      </c>
      <c r="I9" t="s">
        <v>1623</v>
      </c>
      <c r="J9" s="19" t="str">
        <f>VLOOKUP(G9,'STORE LOOKUP'!$C:$G,2,0)</f>
        <v>QLD NW / NT</v>
      </c>
      <c r="K9" s="19" t="str">
        <f>VLOOKUP(G9,'STORE LOOKUP'!$C:$G,4,0)</f>
        <v>Anaconda</v>
      </c>
      <c r="L9" s="19" t="str">
        <f>VLOOKUP(G9,'STORE LOOKUP'!$C:$G,5,0)</f>
        <v>Store</v>
      </c>
      <c r="M9" s="17" t="str">
        <f>VLOOKUP(C9,'FIN CAL LOOKUP'!A:J,7,1)</f>
        <v>APR, FY25</v>
      </c>
      <c r="N9" s="17" t="str">
        <f>VLOOKUP(C9,'FIN CAL LOOKUP'!A:J,10,1)</f>
        <v>Q4, FY25</v>
      </c>
    </row>
    <row r="10" spans="1:14" x14ac:dyDescent="0.25">
      <c r="A10" t="s">
        <v>722</v>
      </c>
      <c r="B10" s="1">
        <v>45776.428472222222</v>
      </c>
      <c r="C10" s="1">
        <v>45773.541666666664</v>
      </c>
      <c r="D10" t="s">
        <v>723</v>
      </c>
      <c r="E10" t="s">
        <v>714</v>
      </c>
      <c r="F10" t="s">
        <v>688</v>
      </c>
      <c r="G10" t="s">
        <v>724</v>
      </c>
      <c r="H10" t="s">
        <v>52</v>
      </c>
      <c r="I10" t="s">
        <v>1622</v>
      </c>
      <c r="J10" s="19" t="str">
        <f>VLOOKUP(G10,'STORE LOOKUP'!$C:$G,2,0)</f>
        <v>QLD North</v>
      </c>
      <c r="K10" s="19" t="str">
        <f>VLOOKUP(G10,'STORE LOOKUP'!$C:$G,4,0)</f>
        <v>Spotlight AU</v>
      </c>
      <c r="L10" s="19" t="str">
        <f>VLOOKUP(G10,'STORE LOOKUP'!$C:$G,5,0)</f>
        <v>Store</v>
      </c>
      <c r="M10" s="17" t="str">
        <f>VLOOKUP(C10,'FIN CAL LOOKUP'!A:J,7,1)</f>
        <v>APR, FY25</v>
      </c>
      <c r="N10" s="17" t="str">
        <f>VLOOKUP(C10,'FIN CAL LOOKUP'!A:J,10,1)</f>
        <v>Q4, FY25</v>
      </c>
    </row>
  </sheetData>
  <autoFilter ref="A1:N9" xr:uid="{6F571F72-BC11-43BD-BCA8-D917921C784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8AFF-93B8-4137-8394-8658B7977990}">
  <sheetPr>
    <tabColor rgb="FF4472C4"/>
  </sheetPr>
  <dimension ref="A1:M358"/>
  <sheetViews>
    <sheetView workbookViewId="0">
      <selection activeCell="K1" sqref="K1"/>
    </sheetView>
  </sheetViews>
  <sheetFormatPr defaultRowHeight="15" x14ac:dyDescent="0.25"/>
  <cols>
    <col min="2" max="2" width="15.5703125" bestFit="1" customWidth="1"/>
    <col min="3" max="3" width="27.5703125" bestFit="1" customWidth="1"/>
    <col min="5" max="5" width="14.5703125" customWidth="1"/>
    <col min="6" max="6" width="34.28515625" customWidth="1"/>
    <col min="7" max="7" width="25.42578125" customWidth="1"/>
    <col min="8" max="8" width="33.7109375" customWidth="1"/>
    <col min="9" max="9" width="19.140625" customWidth="1"/>
    <col min="10" max="10" width="15.85546875" customWidth="1"/>
    <col min="11" max="11" width="10.28515625" customWidth="1"/>
    <col min="12" max="12" width="17.42578125" customWidth="1"/>
    <col min="13" max="13" width="13.28515625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8" t="s">
        <v>810</v>
      </c>
      <c r="J1" s="18" t="s">
        <v>812</v>
      </c>
      <c r="K1" s="18" t="s">
        <v>1617</v>
      </c>
      <c r="L1" s="16" t="s">
        <v>1599</v>
      </c>
      <c r="M1" s="16" t="s">
        <v>1600</v>
      </c>
    </row>
    <row r="2" spans="1:13" x14ac:dyDescent="0.25">
      <c r="A2" t="s">
        <v>8</v>
      </c>
      <c r="B2" s="1">
        <v>44962.427777777775</v>
      </c>
      <c r="C2" s="1">
        <v>44961.700694444444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19" t="str">
        <f>VLOOKUP(G2,'STORE LOOKUP'!$C:$G,2,0)</f>
        <v>QLD Central</v>
      </c>
      <c r="J2" s="19" t="str">
        <f>VLOOKUP(G2,'STORE LOOKUP'!$C:$G,4,0)</f>
        <v>Anaconda</v>
      </c>
      <c r="K2" s="19" t="str">
        <f>VLOOKUP(G2,'STORE LOOKUP'!$C:$G,5,0)</f>
        <v>Store</v>
      </c>
      <c r="L2" s="17" t="str">
        <f>VLOOKUP(C2,'FIN CAL LOOKUP'!A:J,7,1)</f>
        <v>FEB, FY23</v>
      </c>
      <c r="M2" s="17" t="str">
        <f>VLOOKUP(C2,'FIN CAL LOOKUP'!A:J,10,1)</f>
        <v>Q3, FY23</v>
      </c>
    </row>
    <row r="3" spans="1:13" x14ac:dyDescent="0.25">
      <c r="A3" t="s">
        <v>14</v>
      </c>
      <c r="B3" s="1">
        <v>44989.50277777778</v>
      </c>
      <c r="C3" s="1">
        <v>44988.660416666666</v>
      </c>
      <c r="D3" t="s">
        <v>15</v>
      </c>
      <c r="E3" t="s">
        <v>10</v>
      </c>
      <c r="F3" t="s">
        <v>11</v>
      </c>
      <c r="G3" t="s">
        <v>16</v>
      </c>
      <c r="H3" t="s">
        <v>17</v>
      </c>
      <c r="I3" s="19" t="str">
        <f>VLOOKUP(G3,'STORE LOOKUP'!$C:$G,2,0)</f>
        <v>QLD NW / NT</v>
      </c>
      <c r="J3" s="19" t="str">
        <f>VLOOKUP(G3,'STORE LOOKUP'!$C:$G,4,0)</f>
        <v>Anaconda</v>
      </c>
      <c r="K3" s="19" t="str">
        <f>VLOOKUP(G3,'STORE LOOKUP'!$C:$G,5,0)</f>
        <v>Store</v>
      </c>
      <c r="L3" s="17" t="str">
        <f>VLOOKUP(C3,'FIN CAL LOOKUP'!A:J,7,1)</f>
        <v>MAR, FY23</v>
      </c>
      <c r="M3" s="17" t="str">
        <f>VLOOKUP(C3,'FIN CAL LOOKUP'!A:J,10,1)</f>
        <v>Q3, FY23</v>
      </c>
    </row>
    <row r="4" spans="1:13" x14ac:dyDescent="0.25">
      <c r="A4" t="s">
        <v>18</v>
      </c>
      <c r="B4" s="1">
        <v>45013.620138888888</v>
      </c>
      <c r="C4" s="1">
        <v>45013.565972222219</v>
      </c>
      <c r="D4" t="s">
        <v>19</v>
      </c>
      <c r="E4" t="s">
        <v>10</v>
      </c>
      <c r="F4" t="s">
        <v>11</v>
      </c>
      <c r="G4" t="s">
        <v>20</v>
      </c>
      <c r="H4" t="s">
        <v>21</v>
      </c>
      <c r="I4" s="19" t="str">
        <f>VLOOKUP(G4,'STORE LOOKUP'!$C:$G,2,0)</f>
        <v>SA/NT</v>
      </c>
      <c r="J4" s="19" t="str">
        <f>VLOOKUP(G4,'STORE LOOKUP'!$C:$G,4,0)</f>
        <v>Spotlight AU</v>
      </c>
      <c r="K4" s="19" t="str">
        <f>VLOOKUP(G4,'STORE LOOKUP'!$C:$G,5,0)</f>
        <v>Store</v>
      </c>
      <c r="L4" s="17" t="str">
        <f>VLOOKUP(C4,'FIN CAL LOOKUP'!A:J,7,1)</f>
        <v>APR, FY23</v>
      </c>
      <c r="M4" s="17" t="str">
        <f>VLOOKUP(C4,'FIN CAL LOOKUP'!A:J,10,1)</f>
        <v>Q4, FY23</v>
      </c>
    </row>
    <row r="5" spans="1:13" x14ac:dyDescent="0.25">
      <c r="A5" t="s">
        <v>22</v>
      </c>
      <c r="B5" s="1">
        <v>45014.568749999999</v>
      </c>
      <c r="C5" s="1">
        <v>45013.541666666664</v>
      </c>
      <c r="D5" t="s">
        <v>15</v>
      </c>
      <c r="E5" t="s">
        <v>10</v>
      </c>
      <c r="F5" t="s">
        <v>11</v>
      </c>
      <c r="G5" t="s">
        <v>16</v>
      </c>
      <c r="H5" t="s">
        <v>17</v>
      </c>
      <c r="I5" s="19" t="str">
        <f>VLOOKUP(G5,'STORE LOOKUP'!$C:$G,2,0)</f>
        <v>QLD NW / NT</v>
      </c>
      <c r="J5" s="19" t="str">
        <f>VLOOKUP(G5,'STORE LOOKUP'!$C:$G,4,0)</f>
        <v>Anaconda</v>
      </c>
      <c r="K5" s="19" t="str">
        <f>VLOOKUP(G5,'STORE LOOKUP'!$C:$G,5,0)</f>
        <v>Store</v>
      </c>
      <c r="L5" s="17" t="str">
        <f>VLOOKUP(C5,'FIN CAL LOOKUP'!A:J,7,1)</f>
        <v>APR, FY23</v>
      </c>
      <c r="M5" s="17" t="str">
        <f>VLOOKUP(C5,'FIN CAL LOOKUP'!A:J,10,1)</f>
        <v>Q4, FY23</v>
      </c>
    </row>
    <row r="6" spans="1:13" x14ac:dyDescent="0.25">
      <c r="A6" t="s">
        <v>23</v>
      </c>
      <c r="B6" s="1">
        <v>45021.459027777775</v>
      </c>
      <c r="C6" s="1">
        <v>45018.675000000003</v>
      </c>
      <c r="D6" t="s">
        <v>24</v>
      </c>
      <c r="E6" t="s">
        <v>10</v>
      </c>
      <c r="F6" t="s">
        <v>11</v>
      </c>
      <c r="G6" t="s">
        <v>25</v>
      </c>
      <c r="H6" t="s">
        <v>13</v>
      </c>
      <c r="I6" s="19" t="str">
        <f>VLOOKUP(G6,'STORE LOOKUP'!$C:$G,2,0)</f>
        <v>QLD Central</v>
      </c>
      <c r="J6" s="19" t="str">
        <f>VLOOKUP(G6,'STORE LOOKUP'!$C:$G,4,0)</f>
        <v>Anaconda</v>
      </c>
      <c r="K6" s="19" t="str">
        <f>VLOOKUP(G6,'STORE LOOKUP'!$C:$G,5,0)</f>
        <v>Store</v>
      </c>
      <c r="L6" s="17" t="str">
        <f>VLOOKUP(C6,'FIN CAL LOOKUP'!A:J,7,1)</f>
        <v>APR, FY23</v>
      </c>
      <c r="M6" s="17" t="str">
        <f>VLOOKUP(C6,'FIN CAL LOOKUP'!A:J,10,1)</f>
        <v>Q4, FY23</v>
      </c>
    </row>
    <row r="7" spans="1:13" x14ac:dyDescent="0.25">
      <c r="A7" t="s">
        <v>26</v>
      </c>
      <c r="B7" s="1">
        <v>45022.623611111114</v>
      </c>
      <c r="C7" s="1">
        <v>45022.597222222219</v>
      </c>
      <c r="D7" t="s">
        <v>27</v>
      </c>
      <c r="E7" t="s">
        <v>10</v>
      </c>
      <c r="F7" t="s">
        <v>11</v>
      </c>
      <c r="G7" t="s">
        <v>28</v>
      </c>
      <c r="H7" t="s">
        <v>29</v>
      </c>
      <c r="I7" s="19" t="str">
        <f>VLOOKUP(G7,'STORE LOOKUP'!$C:$G,2,0)</f>
        <v>VIC North / East</v>
      </c>
      <c r="J7" s="19" t="str">
        <f>VLOOKUP(G7,'STORE LOOKUP'!$C:$G,4,0)</f>
        <v>Anaconda</v>
      </c>
      <c r="K7" s="19" t="str">
        <f>VLOOKUP(G7,'STORE LOOKUP'!$C:$G,5,0)</f>
        <v>Store</v>
      </c>
      <c r="L7" s="17" t="str">
        <f>VLOOKUP(C7,'FIN CAL LOOKUP'!A:J,7,1)</f>
        <v>APR, FY23</v>
      </c>
      <c r="M7" s="17" t="str">
        <f>VLOOKUP(C7,'FIN CAL LOOKUP'!A:J,10,1)</f>
        <v>Q4, FY23</v>
      </c>
    </row>
    <row r="8" spans="1:13" x14ac:dyDescent="0.25">
      <c r="A8" t="s">
        <v>30</v>
      </c>
      <c r="B8" s="1">
        <v>45029.545138888891</v>
      </c>
      <c r="C8" s="1">
        <v>45026.6875</v>
      </c>
      <c r="D8" t="s">
        <v>31</v>
      </c>
      <c r="E8" t="s">
        <v>10</v>
      </c>
      <c r="F8" t="s">
        <v>11</v>
      </c>
      <c r="G8" t="s">
        <v>32</v>
      </c>
      <c r="H8" t="s">
        <v>33</v>
      </c>
      <c r="I8" s="19" t="str">
        <f>VLOOKUP(G8,'STORE LOOKUP'!$C:$G,2,0)</f>
        <v>SA/NT</v>
      </c>
      <c r="J8" s="19" t="str">
        <f>VLOOKUP(G8,'STORE LOOKUP'!$C:$G,4,0)</f>
        <v>Spotlight AU</v>
      </c>
      <c r="K8" s="19" t="str">
        <f>VLOOKUP(G8,'STORE LOOKUP'!$C:$G,5,0)</f>
        <v>Store</v>
      </c>
      <c r="L8" s="17" t="str">
        <f>VLOOKUP(C8,'FIN CAL LOOKUP'!A:J,7,1)</f>
        <v>APR, FY23</v>
      </c>
      <c r="M8" s="17" t="str">
        <f>VLOOKUP(C8,'FIN CAL LOOKUP'!A:J,10,1)</f>
        <v>Q4, FY23</v>
      </c>
    </row>
    <row r="9" spans="1:13" x14ac:dyDescent="0.25">
      <c r="A9" t="s">
        <v>34</v>
      </c>
      <c r="B9" s="1">
        <v>45029.55972222222</v>
      </c>
      <c r="C9" s="1">
        <v>45029.513888888891</v>
      </c>
      <c r="D9" t="s">
        <v>35</v>
      </c>
      <c r="E9" t="s">
        <v>10</v>
      </c>
      <c r="F9" t="s">
        <v>11</v>
      </c>
      <c r="G9" t="s">
        <v>36</v>
      </c>
      <c r="H9" t="s">
        <v>29</v>
      </c>
      <c r="I9" s="19" t="str">
        <f>VLOOKUP(G9,'STORE LOOKUP'!$C:$G,2,0)</f>
        <v>VIC North / East</v>
      </c>
      <c r="J9" s="19" t="str">
        <f>VLOOKUP(G9,'STORE LOOKUP'!$C:$G,4,0)</f>
        <v>Anaconda</v>
      </c>
      <c r="K9" s="19" t="str">
        <f>VLOOKUP(G9,'STORE LOOKUP'!$C:$G,5,0)</f>
        <v>Store</v>
      </c>
      <c r="L9" s="17" t="str">
        <f>VLOOKUP(C9,'FIN CAL LOOKUP'!A:J,7,1)</f>
        <v>APR, FY23</v>
      </c>
      <c r="M9" s="17" t="str">
        <f>VLOOKUP(C9,'FIN CAL LOOKUP'!A:J,10,1)</f>
        <v>Q4, FY23</v>
      </c>
    </row>
    <row r="10" spans="1:13" x14ac:dyDescent="0.25">
      <c r="A10" t="s">
        <v>37</v>
      </c>
      <c r="B10" s="1">
        <v>45030.35833333333</v>
      </c>
      <c r="C10" s="1">
        <v>45029.64166666667</v>
      </c>
      <c r="D10" t="s">
        <v>38</v>
      </c>
      <c r="E10" t="s">
        <v>10</v>
      </c>
      <c r="F10" t="s">
        <v>11</v>
      </c>
      <c r="G10" t="s">
        <v>39</v>
      </c>
      <c r="H10" t="s">
        <v>40</v>
      </c>
      <c r="I10" s="19" t="str">
        <f>VLOOKUP(G10,'STORE LOOKUP'!$C:$G,2,0)</f>
        <v>SA/TAS</v>
      </c>
      <c r="J10" s="19" t="str">
        <f>VLOOKUP(G10,'STORE LOOKUP'!$C:$G,4,0)</f>
        <v>Harris Scarfe</v>
      </c>
      <c r="K10" s="19" t="str">
        <f>VLOOKUP(G10,'STORE LOOKUP'!$C:$G,5,0)</f>
        <v>Store</v>
      </c>
      <c r="L10" s="17" t="str">
        <f>VLOOKUP(C10,'FIN CAL LOOKUP'!A:J,7,1)</f>
        <v>APR, FY23</v>
      </c>
      <c r="M10" s="17" t="str">
        <f>VLOOKUP(C10,'FIN CAL LOOKUP'!A:J,10,1)</f>
        <v>Q4, FY23</v>
      </c>
    </row>
    <row r="11" spans="1:13" x14ac:dyDescent="0.25">
      <c r="A11" t="s">
        <v>41</v>
      </c>
      <c r="B11" s="1">
        <v>45030.631944444445</v>
      </c>
      <c r="C11" s="1">
        <v>45030.506944444445</v>
      </c>
      <c r="D11" t="s">
        <v>42</v>
      </c>
      <c r="E11" t="s">
        <v>10</v>
      </c>
      <c r="F11" t="s">
        <v>11</v>
      </c>
      <c r="G11" t="s">
        <v>43</v>
      </c>
      <c r="H11" t="s">
        <v>44</v>
      </c>
      <c r="I11" s="19" t="str">
        <f>VLOOKUP(G11,'STORE LOOKUP'!$C:$G,2,0)</f>
        <v>WA</v>
      </c>
      <c r="J11" s="19" t="str">
        <f>VLOOKUP(G11,'STORE LOOKUP'!$C:$G,4,0)</f>
        <v>Spotlight AU</v>
      </c>
      <c r="K11" s="19" t="str">
        <f>VLOOKUP(G11,'STORE LOOKUP'!$C:$G,5,0)</f>
        <v>Store</v>
      </c>
      <c r="L11" s="17" t="str">
        <f>VLOOKUP(C11,'FIN CAL LOOKUP'!A:J,7,1)</f>
        <v>APR, FY23</v>
      </c>
      <c r="M11" s="17" t="str">
        <f>VLOOKUP(C11,'FIN CAL LOOKUP'!A:J,10,1)</f>
        <v>Q4, FY23</v>
      </c>
    </row>
    <row r="12" spans="1:13" x14ac:dyDescent="0.25">
      <c r="A12" t="s">
        <v>45</v>
      </c>
      <c r="B12" s="1">
        <v>45035.631249999999</v>
      </c>
      <c r="C12" s="1">
        <v>45035.583333333336</v>
      </c>
      <c r="D12" t="s">
        <v>46</v>
      </c>
      <c r="E12" t="s">
        <v>10</v>
      </c>
      <c r="F12" t="s">
        <v>11</v>
      </c>
      <c r="G12" t="s">
        <v>47</v>
      </c>
      <c r="H12" t="s">
        <v>48</v>
      </c>
      <c r="I12" s="19" t="str">
        <f>VLOOKUP(G12,'STORE LOOKUP'!$C:$G,2,0)</f>
        <v>QLD</v>
      </c>
      <c r="J12" s="19" t="str">
        <f>VLOOKUP(G12,'STORE LOOKUP'!$C:$G,4,0)</f>
        <v>Harris Scarfe</v>
      </c>
      <c r="K12" s="19" t="str">
        <f>VLOOKUP(G12,'STORE LOOKUP'!$C:$G,5,0)</f>
        <v>Store</v>
      </c>
      <c r="L12" s="17" t="str">
        <f>VLOOKUP(C12,'FIN CAL LOOKUP'!A:J,7,1)</f>
        <v>APR, FY23</v>
      </c>
      <c r="M12" s="17" t="str">
        <f>VLOOKUP(C12,'FIN CAL LOOKUP'!A:J,10,1)</f>
        <v>Q4, FY23</v>
      </c>
    </row>
    <row r="13" spans="1:13" x14ac:dyDescent="0.25">
      <c r="A13" t="s">
        <v>49</v>
      </c>
      <c r="B13" s="1">
        <v>45037.573611111111</v>
      </c>
      <c r="C13" s="1">
        <v>45037.385416666664</v>
      </c>
      <c r="D13" t="s">
        <v>50</v>
      </c>
      <c r="E13" t="s">
        <v>10</v>
      </c>
      <c r="F13" t="s">
        <v>11</v>
      </c>
      <c r="G13" t="s">
        <v>51</v>
      </c>
      <c r="H13" t="s">
        <v>52</v>
      </c>
      <c r="I13" s="19" t="str">
        <f>VLOOKUP(G13,'STORE LOOKUP'!$C:$G,2,0)</f>
        <v>QLD North</v>
      </c>
      <c r="J13" s="19" t="str">
        <f>VLOOKUP(G13,'STORE LOOKUP'!$C:$G,4,0)</f>
        <v>Spotlight AU</v>
      </c>
      <c r="K13" s="19" t="str">
        <f>VLOOKUP(G13,'STORE LOOKUP'!$C:$G,5,0)</f>
        <v>Store</v>
      </c>
      <c r="L13" s="17" t="str">
        <f>VLOOKUP(C13,'FIN CAL LOOKUP'!A:J,7,1)</f>
        <v>APR, FY23</v>
      </c>
      <c r="M13" s="17" t="str">
        <f>VLOOKUP(C13,'FIN CAL LOOKUP'!A:J,10,1)</f>
        <v>Q4, FY23</v>
      </c>
    </row>
    <row r="14" spans="1:13" x14ac:dyDescent="0.25">
      <c r="A14" t="s">
        <v>53</v>
      </c>
      <c r="B14" s="1">
        <v>45038.54583333333</v>
      </c>
      <c r="C14" s="1">
        <v>45037.670138888891</v>
      </c>
      <c r="D14" t="s">
        <v>54</v>
      </c>
      <c r="E14" t="s">
        <v>10</v>
      </c>
      <c r="F14" t="s">
        <v>11</v>
      </c>
      <c r="G14" t="s">
        <v>55</v>
      </c>
      <c r="H14" t="s">
        <v>56</v>
      </c>
      <c r="I14" s="19" t="str">
        <f>VLOOKUP(G14,'STORE LOOKUP'!$C:$G,2,0)</f>
        <v>VIC East</v>
      </c>
      <c r="J14" s="19" t="str">
        <f>VLOOKUP(G14,'STORE LOOKUP'!$C:$G,4,0)</f>
        <v>Spotlight AU</v>
      </c>
      <c r="K14" s="19" t="str">
        <f>VLOOKUP(G14,'STORE LOOKUP'!$C:$G,5,0)</f>
        <v>Store</v>
      </c>
      <c r="L14" s="17" t="str">
        <f>VLOOKUP(C14,'FIN CAL LOOKUP'!A:J,7,1)</f>
        <v>APR, FY23</v>
      </c>
      <c r="M14" s="17" t="str">
        <f>VLOOKUP(C14,'FIN CAL LOOKUP'!A:J,10,1)</f>
        <v>Q4, FY23</v>
      </c>
    </row>
    <row r="15" spans="1:13" x14ac:dyDescent="0.25">
      <c r="A15" t="s">
        <v>57</v>
      </c>
      <c r="B15" s="1">
        <v>45042.49722222222</v>
      </c>
      <c r="C15" s="1">
        <v>45037.466666666667</v>
      </c>
      <c r="D15" t="s">
        <v>58</v>
      </c>
      <c r="E15" t="s">
        <v>10</v>
      </c>
      <c r="F15" t="s">
        <v>11</v>
      </c>
      <c r="G15" t="s">
        <v>59</v>
      </c>
      <c r="H15" t="s">
        <v>21</v>
      </c>
      <c r="I15" s="19" t="str">
        <f>VLOOKUP(G15,'STORE LOOKUP'!$C:$G,2,0)</f>
        <v>SA/NT</v>
      </c>
      <c r="J15" s="19" t="str">
        <f>VLOOKUP(G15,'STORE LOOKUP'!$C:$G,4,0)</f>
        <v>Spotlight AU</v>
      </c>
      <c r="K15" s="19" t="str">
        <f>VLOOKUP(G15,'STORE LOOKUP'!$C:$G,5,0)</f>
        <v>Store</v>
      </c>
      <c r="L15" s="17" t="str">
        <f>VLOOKUP(C15,'FIN CAL LOOKUP'!A:J,7,1)</f>
        <v>APR, FY23</v>
      </c>
      <c r="M15" s="17" t="str">
        <f>VLOOKUP(C15,'FIN CAL LOOKUP'!A:J,10,1)</f>
        <v>Q4, FY23</v>
      </c>
    </row>
    <row r="16" spans="1:13" x14ac:dyDescent="0.25">
      <c r="A16" t="s">
        <v>60</v>
      </c>
      <c r="B16" s="1">
        <v>45044.647916666669</v>
      </c>
      <c r="C16" s="1">
        <v>45043.661805555559</v>
      </c>
      <c r="D16" t="s">
        <v>61</v>
      </c>
      <c r="E16" t="s">
        <v>10</v>
      </c>
      <c r="F16" t="s">
        <v>11</v>
      </c>
      <c r="G16" t="s">
        <v>62</v>
      </c>
      <c r="H16" t="s">
        <v>52</v>
      </c>
      <c r="I16" s="19" t="str">
        <f>VLOOKUP(G16,'STORE LOOKUP'!$C:$G,2,0)</f>
        <v>QLD North</v>
      </c>
      <c r="J16" s="19" t="str">
        <f>VLOOKUP(G16,'STORE LOOKUP'!$C:$G,4,0)</f>
        <v>Spotlight AU</v>
      </c>
      <c r="K16" s="19" t="str">
        <f>VLOOKUP(G16,'STORE LOOKUP'!$C:$G,5,0)</f>
        <v>Store</v>
      </c>
      <c r="L16" s="17" t="str">
        <f>VLOOKUP(C16,'FIN CAL LOOKUP'!A:J,7,1)</f>
        <v>MAY, FY23</v>
      </c>
      <c r="M16" s="17" t="str">
        <f>VLOOKUP(C16,'FIN CAL LOOKUP'!A:J,10,1)</f>
        <v>Q4, FY23</v>
      </c>
    </row>
    <row r="17" spans="1:13" x14ac:dyDescent="0.25">
      <c r="A17" t="s">
        <v>63</v>
      </c>
      <c r="B17" s="1">
        <v>45049.42291666667</v>
      </c>
      <c r="C17" s="1">
        <v>45048.736111111109</v>
      </c>
      <c r="D17" t="s">
        <v>46</v>
      </c>
      <c r="E17" t="s">
        <v>10</v>
      </c>
      <c r="F17" t="s">
        <v>11</v>
      </c>
      <c r="G17" t="s">
        <v>47</v>
      </c>
      <c r="H17" t="s">
        <v>48</v>
      </c>
      <c r="I17" s="19" t="str">
        <f>VLOOKUP(G17,'STORE LOOKUP'!$C:$G,2,0)</f>
        <v>QLD</v>
      </c>
      <c r="J17" s="19" t="str">
        <f>VLOOKUP(G17,'STORE LOOKUP'!$C:$G,4,0)</f>
        <v>Harris Scarfe</v>
      </c>
      <c r="K17" s="19" t="str">
        <f>VLOOKUP(G17,'STORE LOOKUP'!$C:$G,5,0)</f>
        <v>Store</v>
      </c>
      <c r="L17" s="17" t="str">
        <f>VLOOKUP(C17,'FIN CAL LOOKUP'!A:J,7,1)</f>
        <v>MAY, FY23</v>
      </c>
      <c r="M17" s="17" t="str">
        <f>VLOOKUP(C17,'FIN CAL LOOKUP'!A:J,10,1)</f>
        <v>Q4, FY23</v>
      </c>
    </row>
    <row r="18" spans="1:13" x14ac:dyDescent="0.25">
      <c r="A18" t="s">
        <v>64</v>
      </c>
      <c r="B18" s="1">
        <v>45051.640972222223</v>
      </c>
      <c r="C18" s="1">
        <v>45051.621527777781</v>
      </c>
      <c r="D18" t="s">
        <v>65</v>
      </c>
      <c r="E18" t="s">
        <v>10</v>
      </c>
      <c r="F18" t="s">
        <v>11</v>
      </c>
      <c r="G18" t="s">
        <v>66</v>
      </c>
      <c r="H18" t="s">
        <v>56</v>
      </c>
      <c r="I18" s="19" t="str">
        <f>VLOOKUP(G18,'STORE LOOKUP'!$C:$G,2,0)</f>
        <v>VIC West</v>
      </c>
      <c r="J18" s="19" t="str">
        <f>VLOOKUP(G18,'STORE LOOKUP'!$C:$G,4,0)</f>
        <v>Spotlight AU</v>
      </c>
      <c r="K18" s="19" t="str">
        <f>VLOOKUP(G18,'STORE LOOKUP'!$C:$G,5,0)</f>
        <v>Store</v>
      </c>
      <c r="L18" s="17" t="str">
        <f>VLOOKUP(C18,'FIN CAL LOOKUP'!A:J,7,1)</f>
        <v>MAY, FY23</v>
      </c>
      <c r="M18" s="17" t="str">
        <f>VLOOKUP(C18,'FIN CAL LOOKUP'!A:J,10,1)</f>
        <v>Q4, FY23</v>
      </c>
    </row>
    <row r="19" spans="1:13" x14ac:dyDescent="0.25">
      <c r="A19" t="s">
        <v>67</v>
      </c>
      <c r="B19" s="1">
        <v>45053.702777777777</v>
      </c>
      <c r="C19" s="1">
        <v>45048.560416666667</v>
      </c>
      <c r="D19" t="s">
        <v>68</v>
      </c>
      <c r="E19" t="s">
        <v>10</v>
      </c>
      <c r="F19" t="s">
        <v>11</v>
      </c>
      <c r="G19" t="s">
        <v>69</v>
      </c>
      <c r="H19" t="s">
        <v>21</v>
      </c>
      <c r="I19" s="19" t="str">
        <f>VLOOKUP(G19,'STORE LOOKUP'!$C:$G,2,0)</f>
        <v>SA/NT</v>
      </c>
      <c r="J19" s="19" t="str">
        <f>VLOOKUP(G19,'STORE LOOKUP'!$C:$G,4,0)</f>
        <v>Spotlight AU</v>
      </c>
      <c r="K19" s="19" t="str">
        <f>VLOOKUP(G19,'STORE LOOKUP'!$C:$G,5,0)</f>
        <v>Store</v>
      </c>
      <c r="L19" s="17" t="str">
        <f>VLOOKUP(C19,'FIN CAL LOOKUP'!A:J,7,1)</f>
        <v>MAY, FY23</v>
      </c>
      <c r="M19" s="17" t="str">
        <f>VLOOKUP(C19,'FIN CAL LOOKUP'!A:J,10,1)</f>
        <v>Q4, FY23</v>
      </c>
    </row>
    <row r="20" spans="1:13" x14ac:dyDescent="0.25">
      <c r="A20" t="s">
        <v>70</v>
      </c>
      <c r="B20" s="1">
        <v>45058.599305555559</v>
      </c>
      <c r="C20" s="1">
        <v>45058.5625</v>
      </c>
      <c r="D20" t="s">
        <v>71</v>
      </c>
      <c r="E20" t="s">
        <v>10</v>
      </c>
      <c r="F20" t="s">
        <v>11</v>
      </c>
      <c r="G20" t="s">
        <v>72</v>
      </c>
      <c r="H20" t="s">
        <v>56</v>
      </c>
      <c r="I20" s="19" t="str">
        <f>VLOOKUP(G20,'STORE LOOKUP'!$C:$G,2,0)</f>
        <v>VIC West</v>
      </c>
      <c r="J20" s="19" t="str">
        <f>VLOOKUP(G20,'STORE LOOKUP'!$C:$G,4,0)</f>
        <v>Spotlight AU</v>
      </c>
      <c r="K20" s="19" t="str">
        <f>VLOOKUP(G20,'STORE LOOKUP'!$C:$G,5,0)</f>
        <v>Store</v>
      </c>
      <c r="L20" s="17" t="str">
        <f>VLOOKUP(C20,'FIN CAL LOOKUP'!A:J,7,1)</f>
        <v>MAY, FY23</v>
      </c>
      <c r="M20" s="17" t="str">
        <f>VLOOKUP(C20,'FIN CAL LOOKUP'!A:J,10,1)</f>
        <v>Q4, FY23</v>
      </c>
    </row>
    <row r="21" spans="1:13" x14ac:dyDescent="0.25">
      <c r="A21" t="s">
        <v>73</v>
      </c>
      <c r="B21" s="1">
        <v>45065.484722222223</v>
      </c>
      <c r="C21" s="1">
        <v>45064.805555555555</v>
      </c>
      <c r="D21" t="s">
        <v>74</v>
      </c>
      <c r="E21" t="s">
        <v>10</v>
      </c>
      <c r="F21" t="s">
        <v>11</v>
      </c>
      <c r="G21" t="s">
        <v>75</v>
      </c>
      <c r="H21" t="s">
        <v>52</v>
      </c>
      <c r="I21" s="19" t="str">
        <f>VLOOKUP(G21,'STORE LOOKUP'!$C:$G,2,0)</f>
        <v>QLD North</v>
      </c>
      <c r="J21" s="19" t="str">
        <f>VLOOKUP(G21,'STORE LOOKUP'!$C:$G,4,0)</f>
        <v>Spotlight AU</v>
      </c>
      <c r="K21" s="19" t="str">
        <f>VLOOKUP(G21,'STORE LOOKUP'!$C:$G,5,0)</f>
        <v>Store</v>
      </c>
      <c r="L21" s="17" t="str">
        <f>VLOOKUP(C21,'FIN CAL LOOKUP'!A:J,7,1)</f>
        <v>MAY, FY23</v>
      </c>
      <c r="M21" s="17" t="str">
        <f>VLOOKUP(C21,'FIN CAL LOOKUP'!A:J,10,1)</f>
        <v>Q4, FY23</v>
      </c>
    </row>
    <row r="22" spans="1:13" x14ac:dyDescent="0.25">
      <c r="A22" t="s">
        <v>76</v>
      </c>
      <c r="B22" s="1">
        <v>45070.566666666666</v>
      </c>
      <c r="C22" s="1">
        <v>45066.697916666664</v>
      </c>
      <c r="D22" t="s">
        <v>24</v>
      </c>
      <c r="E22" t="s">
        <v>10</v>
      </c>
      <c r="F22" t="s">
        <v>11</v>
      </c>
      <c r="G22" t="s">
        <v>25</v>
      </c>
      <c r="H22" t="s">
        <v>13</v>
      </c>
      <c r="I22" s="19" t="str">
        <f>VLOOKUP(G22,'STORE LOOKUP'!$C:$G,2,0)</f>
        <v>QLD Central</v>
      </c>
      <c r="J22" s="19" t="str">
        <f>VLOOKUP(G22,'STORE LOOKUP'!$C:$G,4,0)</f>
        <v>Anaconda</v>
      </c>
      <c r="K22" s="19" t="str">
        <f>VLOOKUP(G22,'STORE LOOKUP'!$C:$G,5,0)</f>
        <v>Store</v>
      </c>
      <c r="L22" s="17" t="str">
        <f>VLOOKUP(C22,'FIN CAL LOOKUP'!A:J,7,1)</f>
        <v>MAY, FY23</v>
      </c>
      <c r="M22" s="17" t="str">
        <f>VLOOKUP(C22,'FIN CAL LOOKUP'!A:J,10,1)</f>
        <v>Q4, FY23</v>
      </c>
    </row>
    <row r="23" spans="1:13" x14ac:dyDescent="0.25">
      <c r="A23" t="s">
        <v>77</v>
      </c>
      <c r="B23" s="1">
        <v>45071.692361111112</v>
      </c>
      <c r="C23" s="1">
        <v>45071.645833333336</v>
      </c>
      <c r="D23" t="s">
        <v>78</v>
      </c>
      <c r="E23" t="s">
        <v>10</v>
      </c>
      <c r="F23" t="s">
        <v>11</v>
      </c>
      <c r="G23" t="s">
        <v>79</v>
      </c>
      <c r="H23" t="s">
        <v>80</v>
      </c>
      <c r="I23" s="19" t="str">
        <f>VLOOKUP(G23,'STORE LOOKUP'!$C:$G,2,0)</f>
        <v>SA / ACT</v>
      </c>
      <c r="J23" s="19" t="str">
        <f>VLOOKUP(G23,'STORE LOOKUP'!$C:$G,4,0)</f>
        <v>Anaconda</v>
      </c>
      <c r="K23" s="19" t="str">
        <f>VLOOKUP(G23,'STORE LOOKUP'!$C:$G,5,0)</f>
        <v>Store</v>
      </c>
      <c r="L23" s="17" t="str">
        <f>VLOOKUP(C23,'FIN CAL LOOKUP'!A:J,7,1)</f>
        <v>MAY, FY23</v>
      </c>
      <c r="M23" s="17" t="str">
        <f>VLOOKUP(C23,'FIN CAL LOOKUP'!A:J,10,1)</f>
        <v>Q4, FY23</v>
      </c>
    </row>
    <row r="24" spans="1:13" x14ac:dyDescent="0.25">
      <c r="A24" t="s">
        <v>81</v>
      </c>
      <c r="B24" s="1">
        <v>45082.354861111111</v>
      </c>
      <c r="C24" s="1">
        <v>45081.607638888891</v>
      </c>
      <c r="D24" t="s">
        <v>24</v>
      </c>
      <c r="E24" t="s">
        <v>10</v>
      </c>
      <c r="F24" t="s">
        <v>11</v>
      </c>
      <c r="G24" t="s">
        <v>25</v>
      </c>
      <c r="H24" t="s">
        <v>13</v>
      </c>
      <c r="I24" s="19" t="str">
        <f>VLOOKUP(G24,'STORE LOOKUP'!$C:$G,2,0)</f>
        <v>QLD Central</v>
      </c>
      <c r="J24" s="19" t="str">
        <f>VLOOKUP(G24,'STORE LOOKUP'!$C:$G,4,0)</f>
        <v>Anaconda</v>
      </c>
      <c r="K24" s="19" t="str">
        <f>VLOOKUP(G24,'STORE LOOKUP'!$C:$G,5,0)</f>
        <v>Store</v>
      </c>
      <c r="L24" s="17" t="str">
        <f>VLOOKUP(C24,'FIN CAL LOOKUP'!A:J,7,1)</f>
        <v>JUN, FY23</v>
      </c>
      <c r="M24" s="17" t="str">
        <f>VLOOKUP(C24,'FIN CAL LOOKUP'!A:J,10,1)</f>
        <v>Q4, FY23</v>
      </c>
    </row>
    <row r="25" spans="1:13" x14ac:dyDescent="0.25">
      <c r="A25" t="s">
        <v>82</v>
      </c>
      <c r="B25" s="1">
        <v>45085.570138888892</v>
      </c>
      <c r="C25" s="1">
        <v>45083.579861111109</v>
      </c>
      <c r="D25" t="s">
        <v>83</v>
      </c>
      <c r="E25" t="s">
        <v>10</v>
      </c>
      <c r="F25" t="s">
        <v>11</v>
      </c>
      <c r="G25" t="s">
        <v>39</v>
      </c>
      <c r="H25" t="s">
        <v>84</v>
      </c>
      <c r="I25" s="19" t="str">
        <f>VLOOKUP(G25,'STORE LOOKUP'!$C:$G,2,0)</f>
        <v>SA/TAS</v>
      </c>
      <c r="J25" s="19" t="str">
        <f>VLOOKUP(G25,'STORE LOOKUP'!$C:$G,4,0)</f>
        <v>Harris Scarfe</v>
      </c>
      <c r="K25" s="19" t="str">
        <f>VLOOKUP(G25,'STORE LOOKUP'!$C:$G,5,0)</f>
        <v>Store</v>
      </c>
      <c r="L25" s="17" t="str">
        <f>VLOOKUP(C25,'FIN CAL LOOKUP'!A:J,7,1)</f>
        <v>JUN, FY23</v>
      </c>
      <c r="M25" s="17" t="str">
        <f>VLOOKUP(C25,'FIN CAL LOOKUP'!A:J,10,1)</f>
        <v>Q4, FY23</v>
      </c>
    </row>
    <row r="26" spans="1:13" x14ac:dyDescent="0.25">
      <c r="A26" t="s">
        <v>85</v>
      </c>
      <c r="B26" s="1">
        <v>45093.644444444442</v>
      </c>
      <c r="C26" s="1">
        <v>45093.461805555555</v>
      </c>
      <c r="D26" t="s">
        <v>86</v>
      </c>
      <c r="E26" t="s">
        <v>10</v>
      </c>
      <c r="F26" t="s">
        <v>11</v>
      </c>
      <c r="G26" t="s">
        <v>87</v>
      </c>
      <c r="H26" t="s">
        <v>88</v>
      </c>
      <c r="I26" s="19" t="str">
        <f>VLOOKUP(G26,'STORE LOOKUP'!$C:$G,2,0)</f>
        <v>NSW South</v>
      </c>
      <c r="J26" s="19" t="str">
        <f>VLOOKUP(G26,'STORE LOOKUP'!$C:$G,4,0)</f>
        <v>Anaconda</v>
      </c>
      <c r="K26" s="19" t="str">
        <f>VLOOKUP(G26,'STORE LOOKUP'!$C:$G,5,0)</f>
        <v>Store</v>
      </c>
      <c r="L26" s="17" t="str">
        <f>VLOOKUP(C26,'FIN CAL LOOKUP'!A:J,7,1)</f>
        <v>JUN, FY23</v>
      </c>
      <c r="M26" s="17" t="str">
        <f>VLOOKUP(C26,'FIN CAL LOOKUP'!A:J,10,1)</f>
        <v>Q4, FY23</v>
      </c>
    </row>
    <row r="27" spans="1:13" x14ac:dyDescent="0.25">
      <c r="A27" t="s">
        <v>89</v>
      </c>
      <c r="B27" s="1">
        <v>45096.643750000003</v>
      </c>
      <c r="C27" s="1">
        <v>45096.618055555555</v>
      </c>
      <c r="D27" t="s">
        <v>90</v>
      </c>
      <c r="E27" t="s">
        <v>10</v>
      </c>
      <c r="F27" t="s">
        <v>11</v>
      </c>
      <c r="G27" t="s">
        <v>91</v>
      </c>
      <c r="H27" t="s">
        <v>56</v>
      </c>
      <c r="I27" s="19" t="str">
        <f>VLOOKUP(G27,'STORE LOOKUP'!$C:$G,2,0)</f>
        <v>VIC East</v>
      </c>
      <c r="J27" s="19" t="str">
        <f>VLOOKUP(G27,'STORE LOOKUP'!$C:$G,4,0)</f>
        <v>Spotlight AU</v>
      </c>
      <c r="K27" s="19" t="str">
        <f>VLOOKUP(G27,'STORE LOOKUP'!$C:$G,5,0)</f>
        <v>Store</v>
      </c>
      <c r="L27" s="17" t="str">
        <f>VLOOKUP(C27,'FIN CAL LOOKUP'!A:J,7,1)</f>
        <v>JUN, FY23</v>
      </c>
      <c r="M27" s="17" t="str">
        <f>VLOOKUP(C27,'FIN CAL LOOKUP'!A:J,10,1)</f>
        <v>Q4, FY23</v>
      </c>
    </row>
    <row r="28" spans="1:13" x14ac:dyDescent="0.25">
      <c r="A28" t="s">
        <v>92</v>
      </c>
      <c r="B28" s="1">
        <v>45099.759722222225</v>
      </c>
      <c r="C28" s="1">
        <v>45098.715277777781</v>
      </c>
      <c r="D28" t="s">
        <v>74</v>
      </c>
      <c r="E28" t="s">
        <v>10</v>
      </c>
      <c r="F28" t="s">
        <v>11</v>
      </c>
      <c r="G28" t="s">
        <v>75</v>
      </c>
      <c r="H28" t="s">
        <v>52</v>
      </c>
      <c r="I28" s="19" t="str">
        <f>VLOOKUP(G28,'STORE LOOKUP'!$C:$G,2,0)</f>
        <v>QLD North</v>
      </c>
      <c r="J28" s="19" t="str">
        <f>VLOOKUP(G28,'STORE LOOKUP'!$C:$G,4,0)</f>
        <v>Spotlight AU</v>
      </c>
      <c r="K28" s="19" t="str">
        <f>VLOOKUP(G28,'STORE LOOKUP'!$C:$G,5,0)</f>
        <v>Store</v>
      </c>
      <c r="L28" s="17" t="str">
        <f>VLOOKUP(C28,'FIN CAL LOOKUP'!A:J,7,1)</f>
        <v>JUN, FY23</v>
      </c>
      <c r="M28" s="17" t="str">
        <f>VLOOKUP(C28,'FIN CAL LOOKUP'!A:J,10,1)</f>
        <v>Q4, FY23</v>
      </c>
    </row>
    <row r="29" spans="1:13" x14ac:dyDescent="0.25">
      <c r="A29" t="s">
        <v>93</v>
      </c>
      <c r="B29" s="1">
        <v>45103.594444444447</v>
      </c>
      <c r="C29" s="1">
        <v>45103.534722222219</v>
      </c>
      <c r="D29" t="s">
        <v>94</v>
      </c>
      <c r="E29" t="s">
        <v>10</v>
      </c>
      <c r="F29" t="s">
        <v>11</v>
      </c>
      <c r="G29" t="s">
        <v>95</v>
      </c>
      <c r="H29" t="s">
        <v>88</v>
      </c>
      <c r="I29" s="19" t="str">
        <f>VLOOKUP(G29,'STORE LOOKUP'!$C:$G,2,0)</f>
        <v>NSW North</v>
      </c>
      <c r="J29" s="19" t="str">
        <f>VLOOKUP(G29,'STORE LOOKUP'!$C:$G,4,0)</f>
        <v>Anaconda</v>
      </c>
      <c r="K29" s="19" t="str">
        <f>VLOOKUP(G29,'STORE LOOKUP'!$C:$G,5,0)</f>
        <v>Store</v>
      </c>
      <c r="L29" s="17" t="str">
        <f>VLOOKUP(C29,'FIN CAL LOOKUP'!A:J,7,1)</f>
        <v>JUL, FY24</v>
      </c>
      <c r="M29" s="17" t="str">
        <f>VLOOKUP(C29,'FIN CAL LOOKUP'!A:J,10,1)</f>
        <v>Q1, FY24</v>
      </c>
    </row>
    <row r="30" spans="1:13" x14ac:dyDescent="0.25">
      <c r="A30" t="s">
        <v>96</v>
      </c>
      <c r="B30" s="1">
        <v>45104.69027777778</v>
      </c>
      <c r="C30" s="1">
        <v>45104.46875</v>
      </c>
      <c r="D30" t="s">
        <v>97</v>
      </c>
      <c r="E30" t="s">
        <v>10</v>
      </c>
      <c r="F30" t="s">
        <v>11</v>
      </c>
      <c r="G30" t="s">
        <v>98</v>
      </c>
      <c r="H30" t="s">
        <v>99</v>
      </c>
      <c r="I30" s="19" t="str">
        <f>VLOOKUP(G30,'STORE LOOKUP'!$C:$G,2,0)</f>
        <v>SA/TAS</v>
      </c>
      <c r="J30" s="19" t="str">
        <f>VLOOKUP(G30,'STORE LOOKUP'!$C:$G,4,0)</f>
        <v>Harris Scarfe</v>
      </c>
      <c r="K30" s="19" t="str">
        <f>VLOOKUP(G30,'STORE LOOKUP'!$C:$G,5,0)</f>
        <v>Store</v>
      </c>
      <c r="L30" s="17" t="str">
        <f>VLOOKUP(C30,'FIN CAL LOOKUP'!A:J,7,1)</f>
        <v>JUL, FY24</v>
      </c>
      <c r="M30" s="17" t="str">
        <f>VLOOKUP(C30,'FIN CAL LOOKUP'!A:J,10,1)</f>
        <v>Q1, FY24</v>
      </c>
    </row>
    <row r="31" spans="1:13" x14ac:dyDescent="0.25">
      <c r="A31" t="s">
        <v>100</v>
      </c>
      <c r="B31" s="1">
        <v>45105.470833333333</v>
      </c>
      <c r="C31" s="1">
        <v>45104.693055555559</v>
      </c>
      <c r="D31" t="s">
        <v>101</v>
      </c>
      <c r="E31" t="s">
        <v>10</v>
      </c>
      <c r="F31" t="s">
        <v>11</v>
      </c>
      <c r="G31" t="s">
        <v>102</v>
      </c>
      <c r="H31" t="s">
        <v>56</v>
      </c>
      <c r="I31" s="19" t="str">
        <f>VLOOKUP(G31,'STORE LOOKUP'!$C:$G,2,0)</f>
        <v>VIC East</v>
      </c>
      <c r="J31" s="19" t="str">
        <f>VLOOKUP(G31,'STORE LOOKUP'!$C:$G,4,0)</f>
        <v>Spotlight AU</v>
      </c>
      <c r="K31" s="19" t="str">
        <f>VLOOKUP(G31,'STORE LOOKUP'!$C:$G,5,0)</f>
        <v>Store</v>
      </c>
      <c r="L31" s="17" t="str">
        <f>VLOOKUP(C31,'FIN CAL LOOKUP'!A:J,7,1)</f>
        <v>JUL, FY24</v>
      </c>
      <c r="M31" s="17" t="str">
        <f>VLOOKUP(C31,'FIN CAL LOOKUP'!A:J,10,1)</f>
        <v>Q1, FY24</v>
      </c>
    </row>
    <row r="32" spans="1:13" x14ac:dyDescent="0.25">
      <c r="A32" t="s">
        <v>103</v>
      </c>
      <c r="B32" s="1">
        <v>45111.523611111108</v>
      </c>
      <c r="C32" s="1">
        <v>45108.569444444445</v>
      </c>
      <c r="D32" t="s">
        <v>104</v>
      </c>
      <c r="E32" t="s">
        <v>10</v>
      </c>
      <c r="F32" t="s">
        <v>11</v>
      </c>
      <c r="G32" t="s">
        <v>105</v>
      </c>
      <c r="H32" t="s">
        <v>106</v>
      </c>
      <c r="I32" s="19" t="str">
        <f>VLOOKUP(G32,'STORE LOOKUP'!$C:$G,2,0)</f>
        <v>WA</v>
      </c>
      <c r="J32" s="19" t="str">
        <f>VLOOKUP(G32,'STORE LOOKUP'!$C:$G,4,0)</f>
        <v>Anaconda</v>
      </c>
      <c r="K32" s="19" t="str">
        <f>VLOOKUP(G32,'STORE LOOKUP'!$C:$G,5,0)</f>
        <v>Store</v>
      </c>
      <c r="L32" s="17" t="str">
        <f>VLOOKUP(C32,'FIN CAL LOOKUP'!A:J,7,1)</f>
        <v>JUL, FY24</v>
      </c>
      <c r="M32" s="17" t="str">
        <f>VLOOKUP(C32,'FIN CAL LOOKUP'!A:J,10,1)</f>
        <v>Q1, FY24</v>
      </c>
    </row>
    <row r="33" spans="1:13" x14ac:dyDescent="0.25">
      <c r="A33" t="s">
        <v>107</v>
      </c>
      <c r="B33" s="1">
        <v>45112.576388888891</v>
      </c>
      <c r="C33" s="1">
        <v>45111.399305555555</v>
      </c>
      <c r="D33" t="s">
        <v>108</v>
      </c>
      <c r="E33" t="s">
        <v>10</v>
      </c>
      <c r="F33" t="s">
        <v>11</v>
      </c>
      <c r="G33" t="s">
        <v>109</v>
      </c>
      <c r="H33" t="s">
        <v>110</v>
      </c>
      <c r="I33" s="19" t="str">
        <f>VLOOKUP(G33,'STORE LOOKUP'!$C:$G,2,0)</f>
        <v>New Zealand North</v>
      </c>
      <c r="J33" s="19" t="str">
        <f>VLOOKUP(G33,'STORE LOOKUP'!$C:$G,4,0)</f>
        <v>Spotlight NZ</v>
      </c>
      <c r="K33" s="19" t="str">
        <f>VLOOKUP(G33,'STORE LOOKUP'!$C:$G,5,0)</f>
        <v>Store</v>
      </c>
      <c r="L33" s="17" t="str">
        <f>VLOOKUP(C33,'FIN CAL LOOKUP'!A:J,7,1)</f>
        <v>JUL, FY24</v>
      </c>
      <c r="M33" s="17" t="str">
        <f>VLOOKUP(C33,'FIN CAL LOOKUP'!A:J,10,1)</f>
        <v>Q1, FY24</v>
      </c>
    </row>
    <row r="34" spans="1:13" x14ac:dyDescent="0.25">
      <c r="A34" t="s">
        <v>111</v>
      </c>
      <c r="B34" s="1">
        <v>45118.71597222222</v>
      </c>
      <c r="C34" s="1">
        <v>45118.65625</v>
      </c>
      <c r="D34" t="s">
        <v>112</v>
      </c>
      <c r="E34" t="s">
        <v>10</v>
      </c>
      <c r="F34" t="s">
        <v>11</v>
      </c>
      <c r="G34" t="s">
        <v>113</v>
      </c>
      <c r="H34" t="s">
        <v>99</v>
      </c>
      <c r="I34" s="19" t="str">
        <f>VLOOKUP(G34,'STORE LOOKUP'!$C:$G,2,0)</f>
        <v>SA/TAS</v>
      </c>
      <c r="J34" s="19" t="str">
        <f>VLOOKUP(G34,'STORE LOOKUP'!$C:$G,4,0)</f>
        <v>Harris Scarfe</v>
      </c>
      <c r="K34" s="19" t="str">
        <f>VLOOKUP(G34,'STORE LOOKUP'!$C:$G,5,0)</f>
        <v>Store</v>
      </c>
      <c r="L34" s="17" t="str">
        <f>VLOOKUP(C34,'FIN CAL LOOKUP'!A:J,7,1)</f>
        <v>JUL, FY24</v>
      </c>
      <c r="M34" s="17" t="str">
        <f>VLOOKUP(C34,'FIN CAL LOOKUP'!A:J,10,1)</f>
        <v>Q1, FY24</v>
      </c>
    </row>
    <row r="35" spans="1:13" x14ac:dyDescent="0.25">
      <c r="A35" t="s">
        <v>114</v>
      </c>
      <c r="B35" s="1">
        <v>45119.46875</v>
      </c>
      <c r="C35" s="1">
        <v>45113.836805555555</v>
      </c>
      <c r="D35" t="s">
        <v>115</v>
      </c>
      <c r="E35" t="s">
        <v>10</v>
      </c>
      <c r="F35" t="s">
        <v>11</v>
      </c>
      <c r="G35" t="s">
        <v>116</v>
      </c>
      <c r="H35" t="s">
        <v>56</v>
      </c>
      <c r="I35" s="19" t="str">
        <f>VLOOKUP(G35,'STORE LOOKUP'!$C:$G,2,0)</f>
        <v>VIC East</v>
      </c>
      <c r="J35" s="19" t="str">
        <f>VLOOKUP(G35,'STORE LOOKUP'!$C:$G,4,0)</f>
        <v>Spotlight AU</v>
      </c>
      <c r="K35" s="19" t="str">
        <f>VLOOKUP(G35,'STORE LOOKUP'!$C:$G,5,0)</f>
        <v>Store</v>
      </c>
      <c r="L35" s="17" t="str">
        <f>VLOOKUP(C35,'FIN CAL LOOKUP'!A:J,7,1)</f>
        <v>JUL, FY24</v>
      </c>
      <c r="M35" s="17" t="str">
        <f>VLOOKUP(C35,'FIN CAL LOOKUP'!A:J,10,1)</f>
        <v>Q1, FY24</v>
      </c>
    </row>
    <row r="36" spans="1:13" x14ac:dyDescent="0.25">
      <c r="A36" t="s">
        <v>117</v>
      </c>
      <c r="B36" s="1">
        <v>45119.602083333331</v>
      </c>
      <c r="C36" s="1">
        <v>45119.572916666664</v>
      </c>
      <c r="D36" t="s">
        <v>118</v>
      </c>
      <c r="E36" t="s">
        <v>10</v>
      </c>
      <c r="F36" t="s">
        <v>11</v>
      </c>
      <c r="G36" t="s">
        <v>119</v>
      </c>
      <c r="H36" t="s">
        <v>120</v>
      </c>
      <c r="I36" s="19" t="str">
        <f>VLOOKUP(G36,'STORE LOOKUP'!$C:$G,2,0)</f>
        <v>VIC &amp; NSW</v>
      </c>
      <c r="J36" s="19" t="str">
        <f>VLOOKUP(G36,'STORE LOOKUP'!$C:$G,4,0)</f>
        <v>Harris Scarfe</v>
      </c>
      <c r="K36" s="19" t="str">
        <f>VLOOKUP(G36,'STORE LOOKUP'!$C:$G,5,0)</f>
        <v>Store</v>
      </c>
      <c r="L36" s="17" t="str">
        <f>VLOOKUP(C36,'FIN CAL LOOKUP'!A:J,7,1)</f>
        <v>JUL, FY24</v>
      </c>
      <c r="M36" s="17" t="str">
        <f>VLOOKUP(C36,'FIN CAL LOOKUP'!A:J,10,1)</f>
        <v>Q1, FY24</v>
      </c>
    </row>
    <row r="37" spans="1:13" x14ac:dyDescent="0.25">
      <c r="A37" t="s">
        <v>121</v>
      </c>
      <c r="B37" s="1">
        <v>45122.707638888889</v>
      </c>
      <c r="C37" s="1">
        <v>45120.695138888892</v>
      </c>
      <c r="D37" t="s">
        <v>42</v>
      </c>
      <c r="E37" t="s">
        <v>10</v>
      </c>
      <c r="F37" t="s">
        <v>11</v>
      </c>
      <c r="G37" t="s">
        <v>43</v>
      </c>
      <c r="H37" t="s">
        <v>44</v>
      </c>
      <c r="I37" s="19" t="str">
        <f>VLOOKUP(G37,'STORE LOOKUP'!$C:$G,2,0)</f>
        <v>WA</v>
      </c>
      <c r="J37" s="19" t="str">
        <f>VLOOKUP(G37,'STORE LOOKUP'!$C:$G,4,0)</f>
        <v>Spotlight AU</v>
      </c>
      <c r="K37" s="19" t="str">
        <f>VLOOKUP(G37,'STORE LOOKUP'!$C:$G,5,0)</f>
        <v>Store</v>
      </c>
      <c r="L37" s="17" t="str">
        <f>VLOOKUP(C37,'FIN CAL LOOKUP'!A:J,7,1)</f>
        <v>JUL, FY24</v>
      </c>
      <c r="M37" s="17" t="str">
        <f>VLOOKUP(C37,'FIN CAL LOOKUP'!A:J,10,1)</f>
        <v>Q1, FY24</v>
      </c>
    </row>
    <row r="38" spans="1:13" x14ac:dyDescent="0.25">
      <c r="A38" t="s">
        <v>122</v>
      </c>
      <c r="B38" s="1">
        <v>45127.45208333333</v>
      </c>
      <c r="C38" s="1">
        <v>45126.730555555558</v>
      </c>
      <c r="D38" t="s">
        <v>123</v>
      </c>
      <c r="E38" t="s">
        <v>10</v>
      </c>
      <c r="F38" t="s">
        <v>11</v>
      </c>
      <c r="G38" t="s">
        <v>124</v>
      </c>
      <c r="H38" t="s">
        <v>120</v>
      </c>
      <c r="I38" s="19" t="str">
        <f>VLOOKUP(G38,'STORE LOOKUP'!$C:$G,2,0)</f>
        <v>VIC</v>
      </c>
      <c r="J38" s="19" t="str">
        <f>VLOOKUP(G38,'STORE LOOKUP'!$C:$G,4,0)</f>
        <v>Harris Scarfe</v>
      </c>
      <c r="K38" s="19" t="str">
        <f>VLOOKUP(G38,'STORE LOOKUP'!$C:$G,5,0)</f>
        <v>Store</v>
      </c>
      <c r="L38" s="17" t="str">
        <f>VLOOKUP(C38,'FIN CAL LOOKUP'!A:J,7,1)</f>
        <v>JUL, FY24</v>
      </c>
      <c r="M38" s="17" t="str">
        <f>VLOOKUP(C38,'FIN CAL LOOKUP'!A:J,10,1)</f>
        <v>Q1, FY24</v>
      </c>
    </row>
    <row r="39" spans="1:13" x14ac:dyDescent="0.25">
      <c r="A39" t="s">
        <v>125</v>
      </c>
      <c r="B39" s="1">
        <v>45128.521527777775</v>
      </c>
      <c r="C39" s="1">
        <v>45127.75</v>
      </c>
      <c r="D39" t="s">
        <v>126</v>
      </c>
      <c r="E39" t="s">
        <v>10</v>
      </c>
      <c r="F39" t="s">
        <v>11</v>
      </c>
      <c r="G39" t="s">
        <v>127</v>
      </c>
      <c r="H39" t="s">
        <v>48</v>
      </c>
      <c r="I39" s="19" t="str">
        <f>VLOOKUP(G39,'STORE LOOKUP'!$C:$G,2,0)</f>
        <v>QLD</v>
      </c>
      <c r="J39" s="19" t="str">
        <f>VLOOKUP(G39,'STORE LOOKUP'!$C:$G,4,0)</f>
        <v>Harris Scarfe</v>
      </c>
      <c r="K39" s="19" t="str">
        <f>VLOOKUP(G39,'STORE LOOKUP'!$C:$G,5,0)</f>
        <v>Store</v>
      </c>
      <c r="L39" s="17" t="str">
        <f>VLOOKUP(C39,'FIN CAL LOOKUP'!A:J,7,1)</f>
        <v>JUL, FY24</v>
      </c>
      <c r="M39" s="17" t="str">
        <f>VLOOKUP(C39,'FIN CAL LOOKUP'!A:J,10,1)</f>
        <v>Q1, FY24</v>
      </c>
    </row>
    <row r="40" spans="1:13" x14ac:dyDescent="0.25">
      <c r="A40" t="s">
        <v>128</v>
      </c>
      <c r="B40" s="1">
        <v>45132.398611111108</v>
      </c>
      <c r="C40" s="1">
        <v>45131.65347222222</v>
      </c>
      <c r="D40" t="s">
        <v>129</v>
      </c>
      <c r="E40" t="s">
        <v>10</v>
      </c>
      <c r="F40" t="s">
        <v>11</v>
      </c>
      <c r="G40" t="s">
        <v>130</v>
      </c>
      <c r="H40" t="s">
        <v>56</v>
      </c>
      <c r="I40" s="19" t="str">
        <f>VLOOKUP(G40,'STORE LOOKUP'!$C:$G,2,0)</f>
        <v>VIC East</v>
      </c>
      <c r="J40" s="19" t="str">
        <f>VLOOKUP(G40,'STORE LOOKUP'!$C:$G,4,0)</f>
        <v>Spotlight AU</v>
      </c>
      <c r="K40" s="19" t="str">
        <f>VLOOKUP(G40,'STORE LOOKUP'!$C:$G,5,0)</f>
        <v>Store</v>
      </c>
      <c r="L40" s="17" t="str">
        <f>VLOOKUP(C40,'FIN CAL LOOKUP'!A:J,7,1)</f>
        <v>AUG, FY24</v>
      </c>
      <c r="M40" s="17" t="str">
        <f>VLOOKUP(C40,'FIN CAL LOOKUP'!A:J,10,1)</f>
        <v>Q1, FY24</v>
      </c>
    </row>
    <row r="41" spans="1:13" x14ac:dyDescent="0.25">
      <c r="A41" t="s">
        <v>131</v>
      </c>
      <c r="B41" s="1">
        <v>45147.425000000003</v>
      </c>
      <c r="C41" s="1">
        <v>45144.583333333336</v>
      </c>
      <c r="D41" t="s">
        <v>108</v>
      </c>
      <c r="E41" t="s">
        <v>10</v>
      </c>
      <c r="F41" t="s">
        <v>11</v>
      </c>
      <c r="G41" t="s">
        <v>109</v>
      </c>
      <c r="H41" t="s">
        <v>110</v>
      </c>
      <c r="I41" s="19" t="str">
        <f>VLOOKUP(G41,'STORE LOOKUP'!$C:$G,2,0)</f>
        <v>New Zealand North</v>
      </c>
      <c r="J41" s="19" t="str">
        <f>VLOOKUP(G41,'STORE LOOKUP'!$C:$G,4,0)</f>
        <v>Spotlight NZ</v>
      </c>
      <c r="K41" s="19" t="str">
        <f>VLOOKUP(G41,'STORE LOOKUP'!$C:$G,5,0)</f>
        <v>Store</v>
      </c>
      <c r="L41" s="17" t="str">
        <f>VLOOKUP(C41,'FIN CAL LOOKUP'!A:J,7,1)</f>
        <v>AUG, FY24</v>
      </c>
      <c r="M41" s="17" t="str">
        <f>VLOOKUP(C41,'FIN CAL LOOKUP'!A:J,10,1)</f>
        <v>Q1, FY24</v>
      </c>
    </row>
    <row r="42" spans="1:13" x14ac:dyDescent="0.25">
      <c r="A42" t="s">
        <v>132</v>
      </c>
      <c r="B42" s="1">
        <v>45148.77847222222</v>
      </c>
      <c r="C42" s="1">
        <v>45148.708333333336</v>
      </c>
      <c r="D42" t="s">
        <v>133</v>
      </c>
      <c r="E42" t="s">
        <v>10</v>
      </c>
      <c r="F42" t="s">
        <v>11</v>
      </c>
      <c r="G42" t="s">
        <v>134</v>
      </c>
      <c r="H42" t="s">
        <v>135</v>
      </c>
      <c r="I42" s="19" t="str">
        <f>VLOOKUP(G42,'STORE LOOKUP'!$C:$G,2,0)</f>
        <v>NSW South / ACT</v>
      </c>
      <c r="J42" s="19" t="str">
        <f>VLOOKUP(G42,'STORE LOOKUP'!$C:$G,4,0)</f>
        <v>Spotlight AU</v>
      </c>
      <c r="K42" s="19" t="str">
        <f>VLOOKUP(G42,'STORE LOOKUP'!$C:$G,5,0)</f>
        <v>Store</v>
      </c>
      <c r="L42" s="17" t="str">
        <f>VLOOKUP(C42,'FIN CAL LOOKUP'!A:J,7,1)</f>
        <v>AUG, FY24</v>
      </c>
      <c r="M42" s="17" t="str">
        <f>VLOOKUP(C42,'FIN CAL LOOKUP'!A:J,10,1)</f>
        <v>Q1, FY24</v>
      </c>
    </row>
    <row r="43" spans="1:13" x14ac:dyDescent="0.25">
      <c r="A43" t="s">
        <v>136</v>
      </c>
      <c r="B43" s="1">
        <v>45149.803472222222</v>
      </c>
      <c r="C43" s="1">
        <v>45149.791666666664</v>
      </c>
      <c r="D43" t="s">
        <v>101</v>
      </c>
      <c r="E43" t="s">
        <v>10</v>
      </c>
      <c r="F43" t="s">
        <v>11</v>
      </c>
      <c r="G43" t="s">
        <v>102</v>
      </c>
      <c r="H43" t="s">
        <v>56</v>
      </c>
      <c r="I43" s="19" t="str">
        <f>VLOOKUP(G43,'STORE LOOKUP'!$C:$G,2,0)</f>
        <v>VIC East</v>
      </c>
      <c r="J43" s="19" t="str">
        <f>VLOOKUP(G43,'STORE LOOKUP'!$C:$G,4,0)</f>
        <v>Spotlight AU</v>
      </c>
      <c r="K43" s="19" t="str">
        <f>VLOOKUP(G43,'STORE LOOKUP'!$C:$G,5,0)</f>
        <v>Store</v>
      </c>
      <c r="L43" s="17" t="str">
        <f>VLOOKUP(C43,'FIN CAL LOOKUP'!A:J,7,1)</f>
        <v>AUG, FY24</v>
      </c>
      <c r="M43" s="17" t="str">
        <f>VLOOKUP(C43,'FIN CAL LOOKUP'!A:J,10,1)</f>
        <v>Q1, FY24</v>
      </c>
    </row>
    <row r="44" spans="1:13" x14ac:dyDescent="0.25">
      <c r="A44" t="s">
        <v>137</v>
      </c>
      <c r="B44" s="1">
        <v>45154.802083333336</v>
      </c>
      <c r="C44" s="1">
        <v>45154.784722222219</v>
      </c>
      <c r="D44" t="s">
        <v>138</v>
      </c>
      <c r="E44" t="s">
        <v>10</v>
      </c>
      <c r="F44" t="s">
        <v>11</v>
      </c>
      <c r="G44" t="s">
        <v>139</v>
      </c>
      <c r="H44" t="s">
        <v>56</v>
      </c>
      <c r="I44" s="19" t="str">
        <f>VLOOKUP(G44,'STORE LOOKUP'!$C:$G,2,0)</f>
        <v>SA/NT</v>
      </c>
      <c r="J44" s="19" t="str">
        <f>VLOOKUP(G44,'STORE LOOKUP'!$C:$G,4,0)</f>
        <v>Spotlight AU</v>
      </c>
      <c r="K44" s="19" t="str">
        <f>VLOOKUP(G44,'STORE LOOKUP'!$C:$G,5,0)</f>
        <v>Store</v>
      </c>
      <c r="L44" s="17" t="str">
        <f>VLOOKUP(C44,'FIN CAL LOOKUP'!A:J,7,1)</f>
        <v>AUG, FY24</v>
      </c>
      <c r="M44" s="17" t="str">
        <f>VLOOKUP(C44,'FIN CAL LOOKUP'!A:J,10,1)</f>
        <v>Q1, FY24</v>
      </c>
    </row>
    <row r="45" spans="1:13" x14ac:dyDescent="0.25">
      <c r="A45" t="s">
        <v>140</v>
      </c>
      <c r="B45" s="1">
        <v>45158.70416666667</v>
      </c>
      <c r="C45" s="1">
        <v>45155.702777777777</v>
      </c>
      <c r="D45" t="s">
        <v>141</v>
      </c>
      <c r="E45" t="s">
        <v>10</v>
      </c>
      <c r="F45" t="s">
        <v>11</v>
      </c>
      <c r="G45" t="s">
        <v>43</v>
      </c>
      <c r="H45" t="s">
        <v>44</v>
      </c>
      <c r="I45" s="19" t="str">
        <f>VLOOKUP(G45,'STORE LOOKUP'!$C:$G,2,0)</f>
        <v>WA</v>
      </c>
      <c r="J45" s="19" t="str">
        <f>VLOOKUP(G45,'STORE LOOKUP'!$C:$G,4,0)</f>
        <v>Spotlight AU</v>
      </c>
      <c r="K45" s="19" t="str">
        <f>VLOOKUP(G45,'STORE LOOKUP'!$C:$G,5,0)</f>
        <v>Store</v>
      </c>
      <c r="L45" s="17" t="str">
        <f>VLOOKUP(C45,'FIN CAL LOOKUP'!A:J,7,1)</f>
        <v>AUG, FY24</v>
      </c>
      <c r="M45" s="17" t="str">
        <f>VLOOKUP(C45,'FIN CAL LOOKUP'!A:J,10,1)</f>
        <v>Q1, FY24</v>
      </c>
    </row>
    <row r="46" spans="1:13" x14ac:dyDescent="0.25">
      <c r="A46" t="s">
        <v>142</v>
      </c>
      <c r="B46" s="1">
        <v>45158.729166666664</v>
      </c>
      <c r="C46" s="1">
        <v>45158.693055555559</v>
      </c>
      <c r="D46" t="s">
        <v>31</v>
      </c>
      <c r="E46" t="s">
        <v>10</v>
      </c>
      <c r="F46" t="s">
        <v>11</v>
      </c>
      <c r="G46" t="s">
        <v>32</v>
      </c>
      <c r="H46" t="s">
        <v>33</v>
      </c>
      <c r="I46" s="19" t="str">
        <f>VLOOKUP(G46,'STORE LOOKUP'!$C:$G,2,0)</f>
        <v>SA/NT</v>
      </c>
      <c r="J46" s="19" t="str">
        <f>VLOOKUP(G46,'STORE LOOKUP'!$C:$G,4,0)</f>
        <v>Spotlight AU</v>
      </c>
      <c r="K46" s="19" t="str">
        <f>VLOOKUP(G46,'STORE LOOKUP'!$C:$G,5,0)</f>
        <v>Store</v>
      </c>
      <c r="L46" s="17" t="str">
        <f>VLOOKUP(C46,'FIN CAL LOOKUP'!A:J,7,1)</f>
        <v>AUG, FY24</v>
      </c>
      <c r="M46" s="17" t="str">
        <f>VLOOKUP(C46,'FIN CAL LOOKUP'!A:J,10,1)</f>
        <v>Q1, FY24</v>
      </c>
    </row>
    <row r="47" spans="1:13" x14ac:dyDescent="0.25">
      <c r="A47" t="s">
        <v>143</v>
      </c>
      <c r="B47" s="1">
        <v>45163.491666666669</v>
      </c>
      <c r="C47" s="1">
        <v>45160.604166666664</v>
      </c>
      <c r="D47" t="s">
        <v>144</v>
      </c>
      <c r="E47" t="s">
        <v>10</v>
      </c>
      <c r="F47" t="s">
        <v>11</v>
      </c>
      <c r="G47" t="s">
        <v>145</v>
      </c>
      <c r="H47" t="s">
        <v>146</v>
      </c>
      <c r="I47" s="19" t="str">
        <f>VLOOKUP(G47,'STORE LOOKUP'!$C:$G,2,0)</f>
        <v>QLD Central / TAS</v>
      </c>
      <c r="J47" s="19" t="str">
        <f>VLOOKUP(G47,'STORE LOOKUP'!$C:$G,4,0)</f>
        <v>Spotlight AU</v>
      </c>
      <c r="K47" s="19" t="str">
        <f>VLOOKUP(G47,'STORE LOOKUP'!$C:$G,5,0)</f>
        <v>Store</v>
      </c>
      <c r="L47" s="17" t="str">
        <f>VLOOKUP(C47,'FIN CAL LOOKUP'!A:J,7,1)</f>
        <v>AUG, FY24</v>
      </c>
      <c r="M47" s="17" t="str">
        <f>VLOOKUP(C47,'FIN CAL LOOKUP'!A:J,10,1)</f>
        <v>Q1, FY24</v>
      </c>
    </row>
    <row r="48" spans="1:13" x14ac:dyDescent="0.25">
      <c r="A48" t="s">
        <v>147</v>
      </c>
      <c r="B48" s="1">
        <v>45169.618055555555</v>
      </c>
      <c r="C48" s="1">
        <v>45169.48333333333</v>
      </c>
      <c r="D48" t="s">
        <v>148</v>
      </c>
      <c r="E48" t="s">
        <v>10</v>
      </c>
      <c r="F48" t="s">
        <v>11</v>
      </c>
      <c r="G48" t="s">
        <v>149</v>
      </c>
      <c r="H48" t="s">
        <v>150</v>
      </c>
      <c r="I48" s="19" t="str">
        <f>VLOOKUP(G48,'STORE LOOKUP'!$C:$G,2,0)</f>
        <v>SPG Development</v>
      </c>
      <c r="J48" s="19" t="str">
        <f>VLOOKUP(G48,'STORE LOOKUP'!$C:$G,4,0)</f>
        <v>Spotlight Group Holdings</v>
      </c>
      <c r="K48" s="19" t="str">
        <f>VLOOKUP(G48,'STORE LOOKUP'!$C:$G,5,0)</f>
        <v>SG</v>
      </c>
      <c r="L48" s="17" t="str">
        <f>VLOOKUP(C48,'FIN CAL LOOKUP'!A:J,7,1)</f>
        <v>SEP, FY24</v>
      </c>
      <c r="M48" s="17" t="str">
        <f>VLOOKUP(C48,'FIN CAL LOOKUP'!A:J,10,1)</f>
        <v>Q1, FY24</v>
      </c>
    </row>
    <row r="49" spans="1:13" x14ac:dyDescent="0.25">
      <c r="A49" t="s">
        <v>151</v>
      </c>
      <c r="B49" s="1">
        <v>45171.634027777778</v>
      </c>
      <c r="C49" s="1">
        <v>45171.5625</v>
      </c>
      <c r="D49" t="s">
        <v>152</v>
      </c>
      <c r="E49" t="s">
        <v>10</v>
      </c>
      <c r="F49" t="s">
        <v>11</v>
      </c>
      <c r="G49" t="s">
        <v>153</v>
      </c>
      <c r="H49" t="s">
        <v>120</v>
      </c>
      <c r="I49" s="19" t="str">
        <f>VLOOKUP(G49,'STORE LOOKUP'!$C:$G,2,0)</f>
        <v>VIC &amp; NSW</v>
      </c>
      <c r="J49" s="19" t="str">
        <f>VLOOKUP(G49,'STORE LOOKUP'!$C:$G,4,0)</f>
        <v>Harris Scarfe</v>
      </c>
      <c r="K49" s="19" t="str">
        <f>VLOOKUP(G49,'STORE LOOKUP'!$C:$G,5,0)</f>
        <v>Store</v>
      </c>
      <c r="L49" s="17" t="str">
        <f>VLOOKUP(C49,'FIN CAL LOOKUP'!A:J,7,1)</f>
        <v>SEP, FY24</v>
      </c>
      <c r="M49" s="17" t="str">
        <f>VLOOKUP(C49,'FIN CAL LOOKUP'!A:J,10,1)</f>
        <v>Q1, FY24</v>
      </c>
    </row>
    <row r="50" spans="1:13" x14ac:dyDescent="0.25">
      <c r="A50" t="s">
        <v>154</v>
      </c>
      <c r="B50" s="1">
        <v>45182.640277777777</v>
      </c>
      <c r="C50" s="1">
        <v>45182.611111111109</v>
      </c>
      <c r="D50" t="s">
        <v>155</v>
      </c>
      <c r="E50" t="s">
        <v>10</v>
      </c>
      <c r="F50" t="s">
        <v>11</v>
      </c>
      <c r="G50" t="s">
        <v>156</v>
      </c>
      <c r="H50" t="s">
        <v>56</v>
      </c>
      <c r="I50" s="19" t="str">
        <f>VLOOKUP(G50,'STORE LOOKUP'!$C:$G,2,0)</f>
        <v>VIC East</v>
      </c>
      <c r="J50" s="19" t="str">
        <f>VLOOKUP(G50,'STORE LOOKUP'!$C:$G,4,0)</f>
        <v>Spotlight AU</v>
      </c>
      <c r="K50" s="19" t="str">
        <f>VLOOKUP(G50,'STORE LOOKUP'!$C:$G,5,0)</f>
        <v>Store</v>
      </c>
      <c r="L50" s="17" t="str">
        <f>VLOOKUP(C50,'FIN CAL LOOKUP'!A:J,7,1)</f>
        <v>SEP, FY24</v>
      </c>
      <c r="M50" s="17" t="str">
        <f>VLOOKUP(C50,'FIN CAL LOOKUP'!A:J,10,1)</f>
        <v>Q1, FY24</v>
      </c>
    </row>
    <row r="51" spans="1:13" x14ac:dyDescent="0.25">
      <c r="A51" t="s">
        <v>157</v>
      </c>
      <c r="B51" s="1">
        <v>45189.691666666666</v>
      </c>
      <c r="C51" s="1">
        <v>45189.572916666664</v>
      </c>
      <c r="D51" t="s">
        <v>141</v>
      </c>
      <c r="E51" t="s">
        <v>10</v>
      </c>
      <c r="F51" t="s">
        <v>11</v>
      </c>
      <c r="G51" t="s">
        <v>43</v>
      </c>
      <c r="H51" t="s">
        <v>44</v>
      </c>
      <c r="I51" s="19" t="str">
        <f>VLOOKUP(G51,'STORE LOOKUP'!$C:$G,2,0)</f>
        <v>WA</v>
      </c>
      <c r="J51" s="19" t="str">
        <f>VLOOKUP(G51,'STORE LOOKUP'!$C:$G,4,0)</f>
        <v>Spotlight AU</v>
      </c>
      <c r="K51" s="19" t="str">
        <f>VLOOKUP(G51,'STORE LOOKUP'!$C:$G,5,0)</f>
        <v>Store</v>
      </c>
      <c r="L51" s="17" t="str">
        <f>VLOOKUP(C51,'FIN CAL LOOKUP'!A:J,7,1)</f>
        <v>SEP, FY24</v>
      </c>
      <c r="M51" s="17" t="str">
        <f>VLOOKUP(C51,'FIN CAL LOOKUP'!A:J,10,1)</f>
        <v>Q1, FY24</v>
      </c>
    </row>
    <row r="52" spans="1:13" x14ac:dyDescent="0.25">
      <c r="A52" t="s">
        <v>158</v>
      </c>
      <c r="B52" s="1">
        <v>45190.745833333334</v>
      </c>
      <c r="C52" s="1">
        <v>45183.805555555555</v>
      </c>
      <c r="D52" t="s">
        <v>141</v>
      </c>
      <c r="E52" t="s">
        <v>10</v>
      </c>
      <c r="F52" t="s">
        <v>11</v>
      </c>
      <c r="G52" t="s">
        <v>43</v>
      </c>
      <c r="H52" t="s">
        <v>44</v>
      </c>
      <c r="I52" s="19" t="str">
        <f>VLOOKUP(G52,'STORE LOOKUP'!$C:$G,2,0)</f>
        <v>WA</v>
      </c>
      <c r="J52" s="19" t="str">
        <f>VLOOKUP(G52,'STORE LOOKUP'!$C:$G,4,0)</f>
        <v>Spotlight AU</v>
      </c>
      <c r="K52" s="19" t="str">
        <f>VLOOKUP(G52,'STORE LOOKUP'!$C:$G,5,0)</f>
        <v>Store</v>
      </c>
      <c r="L52" s="17" t="str">
        <f>VLOOKUP(C52,'FIN CAL LOOKUP'!A:J,7,1)</f>
        <v>SEP, FY24</v>
      </c>
      <c r="M52" s="17" t="str">
        <f>VLOOKUP(C52,'FIN CAL LOOKUP'!A:J,10,1)</f>
        <v>Q1, FY24</v>
      </c>
    </row>
    <row r="53" spans="1:13" x14ac:dyDescent="0.25">
      <c r="A53" t="s">
        <v>159</v>
      </c>
      <c r="B53" s="1">
        <v>45191.681944444441</v>
      </c>
      <c r="C53" s="1">
        <v>45188.399305555555</v>
      </c>
      <c r="D53" t="s">
        <v>160</v>
      </c>
      <c r="E53" t="s">
        <v>10</v>
      </c>
      <c r="F53" t="s">
        <v>11</v>
      </c>
      <c r="G53" t="s">
        <v>161</v>
      </c>
      <c r="H53" t="s">
        <v>162</v>
      </c>
      <c r="I53" s="19" t="str">
        <f>VLOOKUP(G53,'STORE LOOKUP'!$C:$G,2,0)</f>
        <v>SA / ACT</v>
      </c>
      <c r="J53" s="19" t="str">
        <f>VLOOKUP(G53,'STORE LOOKUP'!$C:$G,4,0)</f>
        <v>Anaconda</v>
      </c>
      <c r="K53" s="19" t="str">
        <f>VLOOKUP(G53,'STORE LOOKUP'!$C:$G,5,0)</f>
        <v>Store</v>
      </c>
      <c r="L53" s="17" t="str">
        <f>VLOOKUP(C53,'FIN CAL LOOKUP'!A:J,7,1)</f>
        <v>SEP, FY24</v>
      </c>
      <c r="M53" s="17" t="str">
        <f>VLOOKUP(C53,'FIN CAL LOOKUP'!A:J,10,1)</f>
        <v>Q1, FY24</v>
      </c>
    </row>
    <row r="54" spans="1:13" x14ac:dyDescent="0.25">
      <c r="A54" t="s">
        <v>163</v>
      </c>
      <c r="B54" s="1">
        <v>45192.507638888892</v>
      </c>
      <c r="C54" s="1">
        <v>45191.649305555555</v>
      </c>
      <c r="D54" t="s">
        <v>83</v>
      </c>
      <c r="E54" t="s">
        <v>10</v>
      </c>
      <c r="F54" t="s">
        <v>11</v>
      </c>
      <c r="G54" t="s">
        <v>39</v>
      </c>
      <c r="H54" t="s">
        <v>84</v>
      </c>
      <c r="I54" s="19" t="str">
        <f>VLOOKUP(G54,'STORE LOOKUP'!$C:$G,2,0)</f>
        <v>SA/TAS</v>
      </c>
      <c r="J54" s="19" t="str">
        <f>VLOOKUP(G54,'STORE LOOKUP'!$C:$G,4,0)</f>
        <v>Harris Scarfe</v>
      </c>
      <c r="K54" s="19" t="str">
        <f>VLOOKUP(G54,'STORE LOOKUP'!$C:$G,5,0)</f>
        <v>Store</v>
      </c>
      <c r="L54" s="17" t="str">
        <f>VLOOKUP(C54,'FIN CAL LOOKUP'!A:J,7,1)</f>
        <v>SEP, FY24</v>
      </c>
      <c r="M54" s="17" t="str">
        <f>VLOOKUP(C54,'FIN CAL LOOKUP'!A:J,10,1)</f>
        <v>Q1, FY24</v>
      </c>
    </row>
    <row r="55" spans="1:13" x14ac:dyDescent="0.25">
      <c r="A55" t="s">
        <v>164</v>
      </c>
      <c r="B55" s="1">
        <v>45201.384027777778</v>
      </c>
      <c r="C55" s="1">
        <v>45200.520833333336</v>
      </c>
      <c r="D55" t="s">
        <v>35</v>
      </c>
      <c r="E55" t="s">
        <v>10</v>
      </c>
      <c r="F55" t="s">
        <v>11</v>
      </c>
      <c r="G55" t="s">
        <v>36</v>
      </c>
      <c r="H55" t="s">
        <v>29</v>
      </c>
      <c r="I55" s="19" t="str">
        <f>VLOOKUP(G55,'STORE LOOKUP'!$C:$G,2,0)</f>
        <v>VIC North / East</v>
      </c>
      <c r="J55" s="19" t="str">
        <f>VLOOKUP(G55,'STORE LOOKUP'!$C:$G,4,0)</f>
        <v>Anaconda</v>
      </c>
      <c r="K55" s="19" t="str">
        <f>VLOOKUP(G55,'STORE LOOKUP'!$C:$G,5,0)</f>
        <v>Store</v>
      </c>
      <c r="L55" s="17" t="str">
        <f>VLOOKUP(C55,'FIN CAL LOOKUP'!A:J,7,1)</f>
        <v>OCT, FY24</v>
      </c>
      <c r="M55" s="17" t="str">
        <f>VLOOKUP(C55,'FIN CAL LOOKUP'!A:J,10,1)</f>
        <v>Q2, FY24</v>
      </c>
    </row>
    <row r="56" spans="1:13" x14ac:dyDescent="0.25">
      <c r="A56" t="s">
        <v>165</v>
      </c>
      <c r="B56" s="1">
        <v>45202.615972222222</v>
      </c>
      <c r="C56" s="1">
        <v>45202.5</v>
      </c>
      <c r="D56" t="s">
        <v>166</v>
      </c>
      <c r="E56" t="s">
        <v>10</v>
      </c>
      <c r="F56" t="s">
        <v>11</v>
      </c>
      <c r="G56" t="s">
        <v>167</v>
      </c>
      <c r="H56" t="s">
        <v>120</v>
      </c>
      <c r="I56" s="19" t="str">
        <f>VLOOKUP(G56,'STORE LOOKUP'!$C:$G,2,0)</f>
        <v>VIC &amp; NSW</v>
      </c>
      <c r="J56" s="19" t="str">
        <f>VLOOKUP(G56,'STORE LOOKUP'!$C:$G,4,0)</f>
        <v>Harris Scarfe</v>
      </c>
      <c r="K56" s="19" t="str">
        <f>VLOOKUP(G56,'STORE LOOKUP'!$C:$G,5,0)</f>
        <v>Store</v>
      </c>
      <c r="L56" s="17" t="str">
        <f>VLOOKUP(C56,'FIN CAL LOOKUP'!A:J,7,1)</f>
        <v>OCT, FY24</v>
      </c>
      <c r="M56" s="17" t="str">
        <f>VLOOKUP(C56,'FIN CAL LOOKUP'!A:J,10,1)</f>
        <v>Q2, FY24</v>
      </c>
    </row>
    <row r="57" spans="1:13" x14ac:dyDescent="0.25">
      <c r="A57" t="s">
        <v>168</v>
      </c>
      <c r="B57" s="1">
        <v>45206.638888888891</v>
      </c>
      <c r="C57" s="1">
        <v>45206.440972222219</v>
      </c>
      <c r="D57" t="s">
        <v>169</v>
      </c>
      <c r="E57" t="s">
        <v>10</v>
      </c>
      <c r="F57" t="s">
        <v>11</v>
      </c>
      <c r="G57" t="s">
        <v>170</v>
      </c>
      <c r="H57" t="s">
        <v>29</v>
      </c>
      <c r="I57" s="19" t="str">
        <f>VLOOKUP(G57,'STORE LOOKUP'!$C:$G,2,0)</f>
        <v>VIC North / East</v>
      </c>
      <c r="J57" s="19" t="str">
        <f>VLOOKUP(G57,'STORE LOOKUP'!$C:$G,4,0)</f>
        <v>Anaconda</v>
      </c>
      <c r="K57" s="19" t="str">
        <f>VLOOKUP(G57,'STORE LOOKUP'!$C:$G,5,0)</f>
        <v>Store</v>
      </c>
      <c r="L57" s="17" t="str">
        <f>VLOOKUP(C57,'FIN CAL LOOKUP'!A:J,7,1)</f>
        <v>OCT, FY24</v>
      </c>
      <c r="M57" s="17" t="str">
        <f>VLOOKUP(C57,'FIN CAL LOOKUP'!A:J,10,1)</f>
        <v>Q2, FY24</v>
      </c>
    </row>
    <row r="58" spans="1:13" x14ac:dyDescent="0.25">
      <c r="A58" t="s">
        <v>171</v>
      </c>
      <c r="B58" s="1">
        <v>45213.65902777778</v>
      </c>
      <c r="C58" s="1">
        <v>45210.54583333333</v>
      </c>
      <c r="D58" t="s">
        <v>172</v>
      </c>
      <c r="E58" t="s">
        <v>10</v>
      </c>
      <c r="F58" t="s">
        <v>11</v>
      </c>
      <c r="G58" t="s">
        <v>173</v>
      </c>
      <c r="H58" t="s">
        <v>110</v>
      </c>
      <c r="I58" s="19" t="str">
        <f>VLOOKUP(G58,'STORE LOOKUP'!$C:$G,2,0)</f>
        <v>New Zealand South</v>
      </c>
      <c r="J58" s="19" t="str">
        <f>VLOOKUP(G58,'STORE LOOKUP'!$C:$G,4,0)</f>
        <v>Spotlight NZ</v>
      </c>
      <c r="K58" s="19" t="str">
        <f>VLOOKUP(G58,'STORE LOOKUP'!$C:$G,5,0)</f>
        <v>Store</v>
      </c>
      <c r="L58" s="17" t="str">
        <f>VLOOKUP(C58,'FIN CAL LOOKUP'!A:J,7,1)</f>
        <v>OCT, FY24</v>
      </c>
      <c r="M58" s="17" t="str">
        <f>VLOOKUP(C58,'FIN CAL LOOKUP'!A:J,10,1)</f>
        <v>Q2, FY24</v>
      </c>
    </row>
    <row r="59" spans="1:13" x14ac:dyDescent="0.25">
      <c r="A59" t="s">
        <v>174</v>
      </c>
      <c r="B59" s="1">
        <v>45214.7</v>
      </c>
      <c r="C59" s="1">
        <v>45214.631944444445</v>
      </c>
      <c r="D59" t="s">
        <v>19</v>
      </c>
      <c r="E59" t="s">
        <v>10</v>
      </c>
      <c r="F59" t="s">
        <v>11</v>
      </c>
      <c r="G59" t="s">
        <v>175</v>
      </c>
      <c r="H59" t="s">
        <v>21</v>
      </c>
      <c r="I59" s="19" t="str">
        <f>VLOOKUP(G59,'STORE LOOKUP'!$C:$G,2,0)</f>
        <v>SA/NT</v>
      </c>
      <c r="J59" s="19" t="str">
        <f>VLOOKUP(G59,'STORE LOOKUP'!$C:$G,4,0)</f>
        <v>Spotlight AU</v>
      </c>
      <c r="K59" s="19" t="str">
        <f>VLOOKUP(G59,'STORE LOOKUP'!$C:$G,5,0)</f>
        <v>Store</v>
      </c>
      <c r="L59" s="17" t="str">
        <f>VLOOKUP(C59,'FIN CAL LOOKUP'!A:J,7,1)</f>
        <v>OCT, FY24</v>
      </c>
      <c r="M59" s="17" t="str">
        <f>VLOOKUP(C59,'FIN CAL LOOKUP'!A:J,10,1)</f>
        <v>Q2, FY24</v>
      </c>
    </row>
    <row r="60" spans="1:13" x14ac:dyDescent="0.25">
      <c r="A60" t="s">
        <v>176</v>
      </c>
      <c r="B60" s="1">
        <v>45216.50277777778</v>
      </c>
      <c r="C60" s="1">
        <v>45215.643750000003</v>
      </c>
      <c r="D60" t="s">
        <v>177</v>
      </c>
      <c r="E60" t="s">
        <v>10</v>
      </c>
      <c r="F60" t="s">
        <v>11</v>
      </c>
      <c r="G60" t="s">
        <v>178</v>
      </c>
      <c r="H60" t="s">
        <v>146</v>
      </c>
      <c r="I60" s="19" t="str">
        <f>VLOOKUP(G60,'STORE LOOKUP'!$C:$G,2,0)</f>
        <v>QLD Central / TAS</v>
      </c>
      <c r="J60" s="19" t="str">
        <f>VLOOKUP(G60,'STORE LOOKUP'!$C:$G,4,0)</f>
        <v>Spotlight AU</v>
      </c>
      <c r="K60" s="19" t="str">
        <f>VLOOKUP(G60,'STORE LOOKUP'!$C:$G,5,0)</f>
        <v>Store</v>
      </c>
      <c r="L60" s="17" t="str">
        <f>VLOOKUP(C60,'FIN CAL LOOKUP'!A:J,7,1)</f>
        <v>OCT, FY24</v>
      </c>
      <c r="M60" s="17" t="str">
        <f>VLOOKUP(C60,'FIN CAL LOOKUP'!A:J,10,1)</f>
        <v>Q2, FY24</v>
      </c>
    </row>
    <row r="61" spans="1:13" x14ac:dyDescent="0.25">
      <c r="A61" t="s">
        <v>179</v>
      </c>
      <c r="B61" s="1">
        <v>45231.717361111114</v>
      </c>
      <c r="C61" s="1">
        <v>45227.399305555555</v>
      </c>
      <c r="D61" t="s">
        <v>83</v>
      </c>
      <c r="E61" t="s">
        <v>10</v>
      </c>
      <c r="F61" t="s">
        <v>11</v>
      </c>
      <c r="G61" t="s">
        <v>39</v>
      </c>
      <c r="H61" t="s">
        <v>84</v>
      </c>
      <c r="I61" s="19" t="str">
        <f>VLOOKUP(G61,'STORE LOOKUP'!$C:$G,2,0)</f>
        <v>SA/TAS</v>
      </c>
      <c r="J61" s="19" t="str">
        <f>VLOOKUP(G61,'STORE LOOKUP'!$C:$G,4,0)</f>
        <v>Harris Scarfe</v>
      </c>
      <c r="K61" s="19" t="str">
        <f>VLOOKUP(G61,'STORE LOOKUP'!$C:$G,5,0)</f>
        <v>Store</v>
      </c>
      <c r="L61" s="17" t="str">
        <f>VLOOKUP(C61,'FIN CAL LOOKUP'!A:J,7,1)</f>
        <v>NOV, FY24</v>
      </c>
      <c r="M61" s="17" t="str">
        <f>VLOOKUP(C61,'FIN CAL LOOKUP'!A:J,10,1)</f>
        <v>Q2, FY24</v>
      </c>
    </row>
    <row r="62" spans="1:13" x14ac:dyDescent="0.25">
      <c r="A62" t="s">
        <v>180</v>
      </c>
      <c r="B62" s="1">
        <v>45233.638194444444</v>
      </c>
      <c r="C62" s="1">
        <v>45232.631249999999</v>
      </c>
      <c r="D62" t="s">
        <v>181</v>
      </c>
      <c r="E62" t="s">
        <v>10</v>
      </c>
      <c r="F62" t="s">
        <v>11</v>
      </c>
      <c r="G62" t="s">
        <v>182</v>
      </c>
      <c r="H62" t="s">
        <v>183</v>
      </c>
      <c r="I62" s="19" t="str">
        <f>VLOOKUP(G62,'STORE LOOKUP'!$C:$G,2,0)</f>
        <v>NSW/ACT</v>
      </c>
      <c r="J62" s="19" t="str">
        <f>VLOOKUP(G62,'STORE LOOKUP'!$C:$G,4,0)</f>
        <v>Harris Scarfe</v>
      </c>
      <c r="K62" s="19" t="str">
        <f>VLOOKUP(G62,'STORE LOOKUP'!$C:$G,5,0)</f>
        <v>Store</v>
      </c>
      <c r="L62" s="17" t="str">
        <f>VLOOKUP(C62,'FIN CAL LOOKUP'!A:J,7,1)</f>
        <v>NOV, FY24</v>
      </c>
      <c r="M62" s="17" t="str">
        <f>VLOOKUP(C62,'FIN CAL LOOKUP'!A:J,10,1)</f>
        <v>Q2, FY24</v>
      </c>
    </row>
    <row r="63" spans="1:13" x14ac:dyDescent="0.25">
      <c r="A63" t="s">
        <v>184</v>
      </c>
      <c r="B63" s="1">
        <v>45244.716666666667</v>
      </c>
      <c r="C63" s="1">
        <v>45244.585416666669</v>
      </c>
      <c r="D63" t="s">
        <v>185</v>
      </c>
      <c r="E63" t="s">
        <v>10</v>
      </c>
      <c r="F63" t="s">
        <v>11</v>
      </c>
      <c r="G63" t="s">
        <v>186</v>
      </c>
      <c r="H63" t="s">
        <v>29</v>
      </c>
      <c r="I63" s="19" t="str">
        <f>VLOOKUP(G63,'STORE LOOKUP'!$C:$G,2,0)</f>
        <v>VIC North / East</v>
      </c>
      <c r="J63" s="19" t="str">
        <f>VLOOKUP(G63,'STORE LOOKUP'!$C:$G,4,0)</f>
        <v>Anaconda</v>
      </c>
      <c r="K63" s="19" t="str">
        <f>VLOOKUP(G63,'STORE LOOKUP'!$C:$G,5,0)</f>
        <v>Store</v>
      </c>
      <c r="L63" s="17" t="str">
        <f>VLOOKUP(C63,'FIN CAL LOOKUP'!A:J,7,1)</f>
        <v>NOV, FY24</v>
      </c>
      <c r="M63" s="17" t="str">
        <f>VLOOKUP(C63,'FIN CAL LOOKUP'!A:J,10,1)</f>
        <v>Q2, FY24</v>
      </c>
    </row>
    <row r="64" spans="1:13" x14ac:dyDescent="0.25">
      <c r="A64" t="s">
        <v>187</v>
      </c>
      <c r="B64" s="1">
        <v>45245.690972222219</v>
      </c>
      <c r="C64" s="1">
        <v>45245.645833333336</v>
      </c>
      <c r="D64" t="s">
        <v>83</v>
      </c>
      <c r="E64" t="s">
        <v>10</v>
      </c>
      <c r="F64" t="s">
        <v>11</v>
      </c>
      <c r="G64" t="s">
        <v>39</v>
      </c>
      <c r="H64" t="s">
        <v>84</v>
      </c>
      <c r="I64" s="19" t="str">
        <f>VLOOKUP(G64,'STORE LOOKUP'!$C:$G,2,0)</f>
        <v>SA/TAS</v>
      </c>
      <c r="J64" s="19" t="str">
        <f>VLOOKUP(G64,'STORE LOOKUP'!$C:$G,4,0)</f>
        <v>Harris Scarfe</v>
      </c>
      <c r="K64" s="19" t="str">
        <f>VLOOKUP(G64,'STORE LOOKUP'!$C:$G,5,0)</f>
        <v>Store</v>
      </c>
      <c r="L64" s="17" t="str">
        <f>VLOOKUP(C64,'FIN CAL LOOKUP'!A:J,7,1)</f>
        <v>NOV, FY24</v>
      </c>
      <c r="M64" s="17" t="str">
        <f>VLOOKUP(C64,'FIN CAL LOOKUP'!A:J,10,1)</f>
        <v>Q2, FY24</v>
      </c>
    </row>
    <row r="65" spans="1:13" x14ac:dyDescent="0.25">
      <c r="A65" t="s">
        <v>188</v>
      </c>
      <c r="B65" s="1">
        <v>45246.626388888886</v>
      </c>
      <c r="C65" s="1">
        <v>45246.493055555555</v>
      </c>
      <c r="D65" t="s">
        <v>189</v>
      </c>
      <c r="E65" t="s">
        <v>10</v>
      </c>
      <c r="F65" t="s">
        <v>11</v>
      </c>
      <c r="G65" t="s">
        <v>190</v>
      </c>
      <c r="H65" t="s">
        <v>17</v>
      </c>
      <c r="I65" s="19" t="str">
        <f>VLOOKUP(G65,'STORE LOOKUP'!$C:$G,2,0)</f>
        <v>QLD NW / NT</v>
      </c>
      <c r="J65" s="19" t="str">
        <f>VLOOKUP(G65,'STORE LOOKUP'!$C:$G,4,0)</f>
        <v>Anaconda</v>
      </c>
      <c r="K65" s="19" t="str">
        <f>VLOOKUP(G65,'STORE LOOKUP'!$C:$G,5,0)</f>
        <v>Store</v>
      </c>
      <c r="L65" s="17" t="str">
        <f>VLOOKUP(C65,'FIN CAL LOOKUP'!A:J,7,1)</f>
        <v>NOV, FY24</v>
      </c>
      <c r="M65" s="17" t="str">
        <f>VLOOKUP(C65,'FIN CAL LOOKUP'!A:J,10,1)</f>
        <v>Q2, FY24</v>
      </c>
    </row>
    <row r="66" spans="1:13" x14ac:dyDescent="0.25">
      <c r="A66" t="s">
        <v>191</v>
      </c>
      <c r="B66" s="1">
        <v>45253.576388888891</v>
      </c>
      <c r="C66" s="1">
        <v>45253.479166666664</v>
      </c>
      <c r="D66" t="s">
        <v>192</v>
      </c>
      <c r="E66" t="s">
        <v>10</v>
      </c>
      <c r="F66" t="s">
        <v>11</v>
      </c>
      <c r="G66" t="s">
        <v>193</v>
      </c>
      <c r="H66" t="s">
        <v>194</v>
      </c>
      <c r="I66" s="19" t="str">
        <f>VLOOKUP(G66,'STORE LOOKUP'!$C:$G,2,0)</f>
        <v>NSW/ACT</v>
      </c>
      <c r="J66" s="19" t="str">
        <f>VLOOKUP(G66,'STORE LOOKUP'!$C:$G,4,0)</f>
        <v>Harris Scarfe</v>
      </c>
      <c r="K66" s="19" t="str">
        <f>VLOOKUP(G66,'STORE LOOKUP'!$C:$G,5,0)</f>
        <v>Store</v>
      </c>
      <c r="L66" s="17" t="str">
        <f>VLOOKUP(C66,'FIN CAL LOOKUP'!A:J,7,1)</f>
        <v>NOV, FY24</v>
      </c>
      <c r="M66" s="17" t="str">
        <f>VLOOKUP(C66,'FIN CAL LOOKUP'!A:J,10,1)</f>
        <v>Q2, FY24</v>
      </c>
    </row>
    <row r="67" spans="1:13" x14ac:dyDescent="0.25">
      <c r="A67" t="s">
        <v>195</v>
      </c>
      <c r="B67" s="1">
        <v>45256.665972222225</v>
      </c>
      <c r="C67" s="1">
        <v>45256.548611111109</v>
      </c>
      <c r="D67" t="s">
        <v>189</v>
      </c>
      <c r="E67" t="s">
        <v>10</v>
      </c>
      <c r="F67" t="s">
        <v>11</v>
      </c>
      <c r="G67" t="s">
        <v>190</v>
      </c>
      <c r="H67" t="s">
        <v>17</v>
      </c>
      <c r="I67" s="19" t="str">
        <f>VLOOKUP(G67,'STORE LOOKUP'!$C:$G,2,0)</f>
        <v>QLD NW / NT</v>
      </c>
      <c r="J67" s="19" t="str">
        <f>VLOOKUP(G67,'STORE LOOKUP'!$C:$G,4,0)</f>
        <v>Anaconda</v>
      </c>
      <c r="K67" s="19" t="str">
        <f>VLOOKUP(G67,'STORE LOOKUP'!$C:$G,5,0)</f>
        <v>Store</v>
      </c>
      <c r="L67" s="17" t="str">
        <f>VLOOKUP(C67,'FIN CAL LOOKUP'!A:J,7,1)</f>
        <v>NOV, FY24</v>
      </c>
      <c r="M67" s="17" t="str">
        <f>VLOOKUP(C67,'FIN CAL LOOKUP'!A:J,10,1)</f>
        <v>Q2, FY24</v>
      </c>
    </row>
    <row r="68" spans="1:13" x14ac:dyDescent="0.25">
      <c r="A68" t="s">
        <v>196</v>
      </c>
      <c r="B68" s="1">
        <v>45256.694444444445</v>
      </c>
      <c r="C68" s="1">
        <v>45255.645833333336</v>
      </c>
      <c r="D68" t="s">
        <v>197</v>
      </c>
      <c r="E68" t="s">
        <v>10</v>
      </c>
      <c r="F68" t="s">
        <v>11</v>
      </c>
      <c r="G68" t="s">
        <v>198</v>
      </c>
      <c r="H68" t="s">
        <v>106</v>
      </c>
      <c r="I68" s="19" t="str">
        <f>VLOOKUP(G68,'STORE LOOKUP'!$C:$G,2,0)</f>
        <v>WA</v>
      </c>
      <c r="J68" s="19" t="str">
        <f>VLOOKUP(G68,'STORE LOOKUP'!$C:$G,4,0)</f>
        <v>Anaconda</v>
      </c>
      <c r="K68" s="19" t="str">
        <f>VLOOKUP(G68,'STORE LOOKUP'!$C:$G,5,0)</f>
        <v>Store</v>
      </c>
      <c r="L68" s="17" t="str">
        <f>VLOOKUP(C68,'FIN CAL LOOKUP'!A:J,7,1)</f>
        <v>NOV, FY24</v>
      </c>
      <c r="M68" s="17" t="str">
        <f>VLOOKUP(C68,'FIN CAL LOOKUP'!A:J,10,1)</f>
        <v>Q2, FY24</v>
      </c>
    </row>
    <row r="69" spans="1:13" x14ac:dyDescent="0.25">
      <c r="A69" t="s">
        <v>199</v>
      </c>
      <c r="B69" s="1">
        <v>45258.59097222222</v>
      </c>
      <c r="C69" s="1">
        <v>45257.673611111109</v>
      </c>
      <c r="D69" t="s">
        <v>200</v>
      </c>
      <c r="E69" t="s">
        <v>10</v>
      </c>
      <c r="F69" t="s">
        <v>11</v>
      </c>
      <c r="G69" t="s">
        <v>201</v>
      </c>
      <c r="H69" t="s">
        <v>44</v>
      </c>
      <c r="I69" s="19" t="str">
        <f>VLOOKUP(G69,'STORE LOOKUP'!$C:$G,2,0)</f>
        <v>WA</v>
      </c>
      <c r="J69" s="19" t="str">
        <f>VLOOKUP(G69,'STORE LOOKUP'!$C:$G,4,0)</f>
        <v>Spotlight AU</v>
      </c>
      <c r="K69" s="19" t="str">
        <f>VLOOKUP(G69,'STORE LOOKUP'!$C:$G,5,0)</f>
        <v>Store</v>
      </c>
      <c r="L69" s="17" t="str">
        <f>VLOOKUP(C69,'FIN CAL LOOKUP'!A:J,7,1)</f>
        <v>DEC, FY24</v>
      </c>
      <c r="M69" s="17" t="str">
        <f>VLOOKUP(C69,'FIN CAL LOOKUP'!A:J,10,1)</f>
        <v>Q2, FY24</v>
      </c>
    </row>
    <row r="70" spans="1:13" x14ac:dyDescent="0.25">
      <c r="A70" t="s">
        <v>202</v>
      </c>
      <c r="B70" s="1">
        <v>45259.611111111109</v>
      </c>
      <c r="C70" s="1">
        <v>45259.538194444445</v>
      </c>
      <c r="D70" t="s">
        <v>189</v>
      </c>
      <c r="E70" t="s">
        <v>10</v>
      </c>
      <c r="F70" t="s">
        <v>11</v>
      </c>
      <c r="G70" t="s">
        <v>190</v>
      </c>
      <c r="H70" t="s">
        <v>17</v>
      </c>
      <c r="I70" s="19" t="str">
        <f>VLOOKUP(G70,'STORE LOOKUP'!$C:$G,2,0)</f>
        <v>QLD NW / NT</v>
      </c>
      <c r="J70" s="19" t="str">
        <f>VLOOKUP(G70,'STORE LOOKUP'!$C:$G,4,0)</f>
        <v>Anaconda</v>
      </c>
      <c r="K70" s="19" t="str">
        <f>VLOOKUP(G70,'STORE LOOKUP'!$C:$G,5,0)</f>
        <v>Store</v>
      </c>
      <c r="L70" s="17" t="str">
        <f>VLOOKUP(C70,'FIN CAL LOOKUP'!A:J,7,1)</f>
        <v>DEC, FY24</v>
      </c>
      <c r="M70" s="17" t="str">
        <f>VLOOKUP(C70,'FIN CAL LOOKUP'!A:J,10,1)</f>
        <v>Q2, FY24</v>
      </c>
    </row>
    <row r="71" spans="1:13" x14ac:dyDescent="0.25">
      <c r="A71" t="s">
        <v>203</v>
      </c>
      <c r="B71" s="1">
        <v>45260.384027777778</v>
      </c>
      <c r="C71" s="1">
        <v>45260.368750000001</v>
      </c>
      <c r="D71" t="s">
        <v>83</v>
      </c>
      <c r="E71" t="s">
        <v>10</v>
      </c>
      <c r="F71" t="s">
        <v>11</v>
      </c>
      <c r="G71" t="s">
        <v>39</v>
      </c>
      <c r="H71" t="s">
        <v>84</v>
      </c>
      <c r="I71" s="19" t="str">
        <f>VLOOKUP(G71,'STORE LOOKUP'!$C:$G,2,0)</f>
        <v>SA/TAS</v>
      </c>
      <c r="J71" s="19" t="str">
        <f>VLOOKUP(G71,'STORE LOOKUP'!$C:$G,4,0)</f>
        <v>Harris Scarfe</v>
      </c>
      <c r="K71" s="19" t="str">
        <f>VLOOKUP(G71,'STORE LOOKUP'!$C:$G,5,0)</f>
        <v>Store</v>
      </c>
      <c r="L71" s="17" t="str">
        <f>VLOOKUP(C71,'FIN CAL LOOKUP'!A:J,7,1)</f>
        <v>DEC, FY24</v>
      </c>
      <c r="M71" s="17" t="str">
        <f>VLOOKUP(C71,'FIN CAL LOOKUP'!A:J,10,1)</f>
        <v>Q2, FY24</v>
      </c>
    </row>
    <row r="72" spans="1:13" x14ac:dyDescent="0.25">
      <c r="A72" t="s">
        <v>204</v>
      </c>
      <c r="B72" s="1">
        <v>45261.611111111109</v>
      </c>
      <c r="C72" s="1">
        <v>45261.458333333336</v>
      </c>
      <c r="D72" t="s">
        <v>205</v>
      </c>
      <c r="E72" t="s">
        <v>10</v>
      </c>
      <c r="F72" t="s">
        <v>11</v>
      </c>
      <c r="G72" t="s">
        <v>206</v>
      </c>
      <c r="H72" t="s">
        <v>99</v>
      </c>
      <c r="I72" s="19" t="str">
        <f>VLOOKUP(G72,'STORE LOOKUP'!$C:$G,2,0)</f>
        <v>SA/TAS</v>
      </c>
      <c r="J72" s="19" t="str">
        <f>VLOOKUP(G72,'STORE LOOKUP'!$C:$G,4,0)</f>
        <v>Harris Scarfe</v>
      </c>
      <c r="K72" s="19" t="str">
        <f>VLOOKUP(G72,'STORE LOOKUP'!$C:$G,5,0)</f>
        <v>Store</v>
      </c>
      <c r="L72" s="17" t="str">
        <f>VLOOKUP(C72,'FIN CAL LOOKUP'!A:J,7,1)</f>
        <v>DEC, FY24</v>
      </c>
      <c r="M72" s="17" t="str">
        <f>VLOOKUP(C72,'FIN CAL LOOKUP'!A:J,10,1)</f>
        <v>Q2, FY24</v>
      </c>
    </row>
    <row r="73" spans="1:13" x14ac:dyDescent="0.25">
      <c r="A73" t="s">
        <v>207</v>
      </c>
      <c r="B73" s="1">
        <v>45264.620833333334</v>
      </c>
      <c r="C73" s="1">
        <v>45259.595138888886</v>
      </c>
      <c r="D73" t="s">
        <v>208</v>
      </c>
      <c r="E73" t="s">
        <v>10</v>
      </c>
      <c r="F73" t="s">
        <v>11</v>
      </c>
      <c r="G73" t="s">
        <v>209</v>
      </c>
      <c r="H73" t="s">
        <v>210</v>
      </c>
      <c r="I73" s="19" t="str">
        <f>VLOOKUP(G73,'STORE LOOKUP'!$C:$G,2,0)</f>
        <v>VIC West / TAS</v>
      </c>
      <c r="J73" s="19" t="str">
        <f>VLOOKUP(G73,'STORE LOOKUP'!$C:$G,4,0)</f>
        <v>Anaconda</v>
      </c>
      <c r="K73" s="19" t="str">
        <f>VLOOKUP(G73,'STORE LOOKUP'!$C:$G,5,0)</f>
        <v>Store</v>
      </c>
      <c r="L73" s="17" t="str">
        <f>VLOOKUP(C73,'FIN CAL LOOKUP'!A:J,7,1)</f>
        <v>DEC, FY24</v>
      </c>
      <c r="M73" s="17" t="str">
        <f>VLOOKUP(C73,'FIN CAL LOOKUP'!A:J,10,1)</f>
        <v>Q2, FY24</v>
      </c>
    </row>
    <row r="74" spans="1:13" x14ac:dyDescent="0.25">
      <c r="A74" t="s">
        <v>211</v>
      </c>
      <c r="B74" s="1">
        <v>45264.656944444447</v>
      </c>
      <c r="C74" s="1">
        <v>45264.560416666667</v>
      </c>
      <c r="D74" t="s">
        <v>189</v>
      </c>
      <c r="E74" t="s">
        <v>10</v>
      </c>
      <c r="F74" t="s">
        <v>11</v>
      </c>
      <c r="G74" t="s">
        <v>190</v>
      </c>
      <c r="H74" t="s">
        <v>17</v>
      </c>
      <c r="I74" s="19" t="str">
        <f>VLOOKUP(G74,'STORE LOOKUP'!$C:$G,2,0)</f>
        <v>QLD NW / NT</v>
      </c>
      <c r="J74" s="19" t="str">
        <f>VLOOKUP(G74,'STORE LOOKUP'!$C:$G,4,0)</f>
        <v>Anaconda</v>
      </c>
      <c r="K74" s="19" t="str">
        <f>VLOOKUP(G74,'STORE LOOKUP'!$C:$G,5,0)</f>
        <v>Store</v>
      </c>
      <c r="L74" s="17" t="str">
        <f>VLOOKUP(C74,'FIN CAL LOOKUP'!A:J,7,1)</f>
        <v>DEC, FY24</v>
      </c>
      <c r="M74" s="17" t="str">
        <f>VLOOKUP(C74,'FIN CAL LOOKUP'!A:J,10,1)</f>
        <v>Q2, FY24</v>
      </c>
    </row>
    <row r="75" spans="1:13" x14ac:dyDescent="0.25">
      <c r="A75" t="s">
        <v>212</v>
      </c>
      <c r="B75" s="1">
        <v>45265.591666666667</v>
      </c>
      <c r="C75" s="1">
        <v>45265.436111111114</v>
      </c>
      <c r="D75" t="s">
        <v>189</v>
      </c>
      <c r="E75" t="s">
        <v>10</v>
      </c>
      <c r="F75" t="s">
        <v>11</v>
      </c>
      <c r="G75" t="s">
        <v>190</v>
      </c>
      <c r="H75" t="s">
        <v>17</v>
      </c>
      <c r="I75" s="19" t="str">
        <f>VLOOKUP(G75,'STORE LOOKUP'!$C:$G,2,0)</f>
        <v>QLD NW / NT</v>
      </c>
      <c r="J75" s="19" t="str">
        <f>VLOOKUP(G75,'STORE LOOKUP'!$C:$G,4,0)</f>
        <v>Anaconda</v>
      </c>
      <c r="K75" s="19" t="str">
        <f>VLOOKUP(G75,'STORE LOOKUP'!$C:$G,5,0)</f>
        <v>Store</v>
      </c>
      <c r="L75" s="17" t="str">
        <f>VLOOKUP(C75,'FIN CAL LOOKUP'!A:J,7,1)</f>
        <v>DEC, FY24</v>
      </c>
      <c r="M75" s="17" t="str">
        <f>VLOOKUP(C75,'FIN CAL LOOKUP'!A:J,10,1)</f>
        <v>Q2, FY24</v>
      </c>
    </row>
    <row r="76" spans="1:13" x14ac:dyDescent="0.25">
      <c r="A76" t="s">
        <v>213</v>
      </c>
      <c r="B76" s="1">
        <v>45269.706250000003</v>
      </c>
      <c r="C76" s="1">
        <v>45269.617361111108</v>
      </c>
      <c r="D76" t="s">
        <v>189</v>
      </c>
      <c r="E76" t="s">
        <v>10</v>
      </c>
      <c r="F76" t="s">
        <v>11</v>
      </c>
      <c r="G76" t="s">
        <v>190</v>
      </c>
      <c r="H76" t="s">
        <v>17</v>
      </c>
      <c r="I76" s="19" t="str">
        <f>VLOOKUP(G76,'STORE LOOKUP'!$C:$G,2,0)</f>
        <v>QLD NW / NT</v>
      </c>
      <c r="J76" s="19" t="str">
        <f>VLOOKUP(G76,'STORE LOOKUP'!$C:$G,4,0)</f>
        <v>Anaconda</v>
      </c>
      <c r="K76" s="19" t="str">
        <f>VLOOKUP(G76,'STORE LOOKUP'!$C:$G,5,0)</f>
        <v>Store</v>
      </c>
      <c r="L76" s="17" t="str">
        <f>VLOOKUP(C76,'FIN CAL LOOKUP'!A:J,7,1)</f>
        <v>DEC, FY24</v>
      </c>
      <c r="M76" s="17" t="str">
        <f>VLOOKUP(C76,'FIN CAL LOOKUP'!A:J,10,1)</f>
        <v>Q2, FY24</v>
      </c>
    </row>
    <row r="77" spans="1:13" x14ac:dyDescent="0.25">
      <c r="A77" t="s">
        <v>214</v>
      </c>
      <c r="B77" s="1">
        <v>45271.580555555556</v>
      </c>
      <c r="C77" s="1">
        <v>45271.571527777778</v>
      </c>
      <c r="D77" t="s">
        <v>101</v>
      </c>
      <c r="E77" t="s">
        <v>10</v>
      </c>
      <c r="F77" t="s">
        <v>11</v>
      </c>
      <c r="G77" t="s">
        <v>102</v>
      </c>
      <c r="H77" t="s">
        <v>56</v>
      </c>
      <c r="I77" s="19" t="str">
        <f>VLOOKUP(G77,'STORE LOOKUP'!$C:$G,2,0)</f>
        <v>VIC East</v>
      </c>
      <c r="J77" s="19" t="str">
        <f>VLOOKUP(G77,'STORE LOOKUP'!$C:$G,4,0)</f>
        <v>Spotlight AU</v>
      </c>
      <c r="K77" s="19" t="str">
        <f>VLOOKUP(G77,'STORE LOOKUP'!$C:$G,5,0)</f>
        <v>Store</v>
      </c>
      <c r="L77" s="17" t="str">
        <f>VLOOKUP(C77,'FIN CAL LOOKUP'!A:J,7,1)</f>
        <v>DEC, FY24</v>
      </c>
      <c r="M77" s="17" t="str">
        <f>VLOOKUP(C77,'FIN CAL LOOKUP'!A:J,10,1)</f>
        <v>Q2, FY24</v>
      </c>
    </row>
    <row r="78" spans="1:13" x14ac:dyDescent="0.25">
      <c r="A78" t="s">
        <v>215</v>
      </c>
      <c r="B78" s="1">
        <v>45272.536805555559</v>
      </c>
      <c r="C78" s="1">
        <v>45267.645833333336</v>
      </c>
      <c r="D78" t="s">
        <v>216</v>
      </c>
      <c r="E78" t="s">
        <v>10</v>
      </c>
      <c r="F78" t="s">
        <v>11</v>
      </c>
      <c r="G78" t="s">
        <v>217</v>
      </c>
      <c r="H78" t="s">
        <v>120</v>
      </c>
      <c r="I78" s="19" t="str">
        <f>VLOOKUP(G78,'STORE LOOKUP'!$C:$G,2,0)</f>
        <v>VIC</v>
      </c>
      <c r="J78" s="19" t="str">
        <f>VLOOKUP(G78,'STORE LOOKUP'!$C:$G,4,0)</f>
        <v>Harris Scarfe</v>
      </c>
      <c r="K78" s="19" t="str">
        <f>VLOOKUP(G78,'STORE LOOKUP'!$C:$G,5,0)</f>
        <v>Store</v>
      </c>
      <c r="L78" s="17" t="str">
        <f>VLOOKUP(C78,'FIN CAL LOOKUP'!A:J,7,1)</f>
        <v>DEC, FY24</v>
      </c>
      <c r="M78" s="17" t="str">
        <f>VLOOKUP(C78,'FIN CAL LOOKUP'!A:J,10,1)</f>
        <v>Q2, FY24</v>
      </c>
    </row>
    <row r="79" spans="1:13" x14ac:dyDescent="0.25">
      <c r="A79" t="s">
        <v>218</v>
      </c>
      <c r="B79" s="1">
        <v>45274.874305555553</v>
      </c>
      <c r="C79" s="1">
        <v>45274.770833333336</v>
      </c>
      <c r="D79" t="s">
        <v>219</v>
      </c>
      <c r="E79" t="s">
        <v>10</v>
      </c>
      <c r="F79" t="s">
        <v>11</v>
      </c>
      <c r="G79" t="s">
        <v>220</v>
      </c>
      <c r="H79" t="s">
        <v>120</v>
      </c>
      <c r="I79" s="19" t="str">
        <f>VLOOKUP(G79,'STORE LOOKUP'!$C:$G,2,0)</f>
        <v>VIC</v>
      </c>
      <c r="J79" s="19" t="str">
        <f>VLOOKUP(G79,'STORE LOOKUP'!$C:$G,4,0)</f>
        <v>Harris Scarfe</v>
      </c>
      <c r="K79" s="19" t="str">
        <f>VLOOKUP(G79,'STORE LOOKUP'!$C:$G,5,0)</f>
        <v>Store</v>
      </c>
      <c r="L79" s="17" t="str">
        <f>VLOOKUP(C79,'FIN CAL LOOKUP'!A:J,7,1)</f>
        <v>DEC, FY24</v>
      </c>
      <c r="M79" s="17" t="str">
        <f>VLOOKUP(C79,'FIN CAL LOOKUP'!A:J,10,1)</f>
        <v>Q2, FY24</v>
      </c>
    </row>
    <row r="80" spans="1:13" x14ac:dyDescent="0.25">
      <c r="A80" t="s">
        <v>221</v>
      </c>
      <c r="B80" s="1">
        <v>45275.855555555558</v>
      </c>
      <c r="C80" s="1">
        <v>45275.809027777781</v>
      </c>
      <c r="D80" t="s">
        <v>115</v>
      </c>
      <c r="E80" t="s">
        <v>10</v>
      </c>
      <c r="F80" t="s">
        <v>11</v>
      </c>
      <c r="G80" t="s">
        <v>116</v>
      </c>
      <c r="H80" t="s">
        <v>56</v>
      </c>
      <c r="I80" s="19" t="str">
        <f>VLOOKUP(G80,'STORE LOOKUP'!$C:$G,2,0)</f>
        <v>VIC East</v>
      </c>
      <c r="J80" s="19" t="str">
        <f>VLOOKUP(G80,'STORE LOOKUP'!$C:$G,4,0)</f>
        <v>Spotlight AU</v>
      </c>
      <c r="K80" s="19" t="str">
        <f>VLOOKUP(G80,'STORE LOOKUP'!$C:$G,5,0)</f>
        <v>Store</v>
      </c>
      <c r="L80" s="17" t="str">
        <f>VLOOKUP(C80,'FIN CAL LOOKUP'!A:J,7,1)</f>
        <v>DEC, FY24</v>
      </c>
      <c r="M80" s="17" t="str">
        <f>VLOOKUP(C80,'FIN CAL LOOKUP'!A:J,10,1)</f>
        <v>Q2, FY24</v>
      </c>
    </row>
    <row r="81" spans="1:13" x14ac:dyDescent="0.25">
      <c r="A81" t="s">
        <v>222</v>
      </c>
      <c r="B81" s="1">
        <v>45278.804861111108</v>
      </c>
      <c r="C81" s="1">
        <v>45278.75</v>
      </c>
      <c r="D81" t="s">
        <v>27</v>
      </c>
      <c r="E81" t="s">
        <v>10</v>
      </c>
      <c r="F81" t="s">
        <v>11</v>
      </c>
      <c r="G81" t="s">
        <v>28</v>
      </c>
      <c r="H81" t="s">
        <v>29</v>
      </c>
      <c r="I81" s="19" t="str">
        <f>VLOOKUP(G81,'STORE LOOKUP'!$C:$G,2,0)</f>
        <v>VIC North / East</v>
      </c>
      <c r="J81" s="19" t="str">
        <f>VLOOKUP(G81,'STORE LOOKUP'!$C:$G,4,0)</f>
        <v>Anaconda</v>
      </c>
      <c r="K81" s="19" t="str">
        <f>VLOOKUP(G81,'STORE LOOKUP'!$C:$G,5,0)</f>
        <v>Store</v>
      </c>
      <c r="L81" s="17" t="str">
        <f>VLOOKUP(C81,'FIN CAL LOOKUP'!A:J,7,1)</f>
        <v>DEC, FY24</v>
      </c>
      <c r="M81" s="17" t="str">
        <f>VLOOKUP(C81,'FIN CAL LOOKUP'!A:J,10,1)</f>
        <v>Q2, FY24</v>
      </c>
    </row>
    <row r="82" spans="1:13" x14ac:dyDescent="0.25">
      <c r="A82" t="s">
        <v>223</v>
      </c>
      <c r="B82" s="1">
        <v>45282.44027777778</v>
      </c>
      <c r="C82" s="1">
        <v>45280.84375</v>
      </c>
      <c r="D82" t="s">
        <v>224</v>
      </c>
      <c r="E82" t="s">
        <v>10</v>
      </c>
      <c r="F82" t="s">
        <v>11</v>
      </c>
      <c r="G82" t="s">
        <v>225</v>
      </c>
      <c r="H82" t="s">
        <v>135</v>
      </c>
      <c r="I82" s="19" t="str">
        <f>VLOOKUP(G82,'STORE LOOKUP'!$C:$G,2,0)</f>
        <v>NSW North / QLD South</v>
      </c>
      <c r="J82" s="19" t="str">
        <f>VLOOKUP(G82,'STORE LOOKUP'!$C:$G,4,0)</f>
        <v>Spotlight AU</v>
      </c>
      <c r="K82" s="19" t="str">
        <f>VLOOKUP(G82,'STORE LOOKUP'!$C:$G,5,0)</f>
        <v>Store</v>
      </c>
      <c r="L82" s="17" t="str">
        <f>VLOOKUP(C82,'FIN CAL LOOKUP'!A:J,7,1)</f>
        <v>DEC, FY24</v>
      </c>
      <c r="M82" s="17" t="str">
        <f>VLOOKUP(C82,'FIN CAL LOOKUP'!A:J,10,1)</f>
        <v>Q2, FY24</v>
      </c>
    </row>
    <row r="83" spans="1:13" x14ac:dyDescent="0.25">
      <c r="A83" t="s">
        <v>226</v>
      </c>
      <c r="B83" s="1">
        <v>45295.668749999997</v>
      </c>
      <c r="C83" s="1">
        <v>45295.556944444441</v>
      </c>
      <c r="D83" t="s">
        <v>189</v>
      </c>
      <c r="E83" t="s">
        <v>10</v>
      </c>
      <c r="F83" t="s">
        <v>11</v>
      </c>
      <c r="G83" t="s">
        <v>190</v>
      </c>
      <c r="H83" t="s">
        <v>17</v>
      </c>
      <c r="I83" s="19" t="str">
        <f>VLOOKUP(G83,'STORE LOOKUP'!$C:$G,2,0)</f>
        <v>QLD NW / NT</v>
      </c>
      <c r="J83" s="19" t="str">
        <f>VLOOKUP(G83,'STORE LOOKUP'!$C:$G,4,0)</f>
        <v>Anaconda</v>
      </c>
      <c r="K83" s="19" t="str">
        <f>VLOOKUP(G83,'STORE LOOKUP'!$C:$G,5,0)</f>
        <v>Store</v>
      </c>
      <c r="L83" s="17" t="str">
        <f>VLOOKUP(C83,'FIN CAL LOOKUP'!A:J,7,1)</f>
        <v>JAN, FY24</v>
      </c>
      <c r="M83" s="17" t="str">
        <f>VLOOKUP(C83,'FIN CAL LOOKUP'!A:J,10,1)</f>
        <v>Q3, FY24</v>
      </c>
    </row>
    <row r="84" spans="1:13" x14ac:dyDescent="0.25">
      <c r="A84" t="s">
        <v>227</v>
      </c>
      <c r="B84" s="1">
        <v>45295.725694444445</v>
      </c>
      <c r="C84" s="1">
        <v>45295.489583333336</v>
      </c>
      <c r="D84" t="s">
        <v>228</v>
      </c>
      <c r="E84" t="s">
        <v>10</v>
      </c>
      <c r="F84" t="s">
        <v>11</v>
      </c>
      <c r="G84" t="s">
        <v>229</v>
      </c>
      <c r="H84" t="s">
        <v>44</v>
      </c>
      <c r="I84" s="19" t="str">
        <f>VLOOKUP(G84,'STORE LOOKUP'!$C:$G,2,0)</f>
        <v>WA</v>
      </c>
      <c r="J84" s="19" t="str">
        <f>VLOOKUP(G84,'STORE LOOKUP'!$C:$G,4,0)</f>
        <v>Spotlight AU</v>
      </c>
      <c r="K84" s="19" t="str">
        <f>VLOOKUP(G84,'STORE LOOKUP'!$C:$G,5,0)</f>
        <v>Store</v>
      </c>
      <c r="L84" s="17" t="str">
        <f>VLOOKUP(C84,'FIN CAL LOOKUP'!A:J,7,1)</f>
        <v>JAN, FY24</v>
      </c>
      <c r="M84" s="17" t="str">
        <f>VLOOKUP(C84,'FIN CAL LOOKUP'!A:J,10,1)</f>
        <v>Q3, FY24</v>
      </c>
    </row>
    <row r="85" spans="1:13" x14ac:dyDescent="0.25">
      <c r="A85" t="s">
        <v>230</v>
      </c>
      <c r="B85" s="1">
        <v>45296.609027777777</v>
      </c>
      <c r="C85" s="1">
        <v>45294.666666666664</v>
      </c>
      <c r="D85" t="s">
        <v>231</v>
      </c>
      <c r="E85" t="s">
        <v>10</v>
      </c>
      <c r="F85" t="s">
        <v>11</v>
      </c>
      <c r="G85" t="s">
        <v>232</v>
      </c>
      <c r="H85" t="s">
        <v>29</v>
      </c>
      <c r="I85" s="19" t="str">
        <f>VLOOKUP(G85,'STORE LOOKUP'!$C:$G,2,0)</f>
        <v>VIC North / East</v>
      </c>
      <c r="J85" s="19" t="str">
        <f>VLOOKUP(G85,'STORE LOOKUP'!$C:$G,4,0)</f>
        <v>Anaconda</v>
      </c>
      <c r="K85" s="19" t="str">
        <f>VLOOKUP(G85,'STORE LOOKUP'!$C:$G,5,0)</f>
        <v>Store</v>
      </c>
      <c r="L85" s="17" t="str">
        <f>VLOOKUP(C85,'FIN CAL LOOKUP'!A:J,7,1)</f>
        <v>JAN, FY24</v>
      </c>
      <c r="M85" s="17" t="str">
        <f>VLOOKUP(C85,'FIN CAL LOOKUP'!A:J,10,1)</f>
        <v>Q3, FY24</v>
      </c>
    </row>
    <row r="86" spans="1:13" x14ac:dyDescent="0.25">
      <c r="A86" t="s">
        <v>233</v>
      </c>
      <c r="B86" s="1">
        <v>45297.367361111108</v>
      </c>
      <c r="C86" s="1">
        <v>45296.21875</v>
      </c>
      <c r="D86" t="s">
        <v>94</v>
      </c>
      <c r="E86" t="s">
        <v>10</v>
      </c>
      <c r="F86" t="s">
        <v>11</v>
      </c>
      <c r="G86" t="s">
        <v>95</v>
      </c>
      <c r="H86" t="s">
        <v>88</v>
      </c>
      <c r="I86" s="19" t="str">
        <f>VLOOKUP(G86,'STORE LOOKUP'!$C:$G,2,0)</f>
        <v>NSW North</v>
      </c>
      <c r="J86" s="19" t="str">
        <f>VLOOKUP(G86,'STORE LOOKUP'!$C:$G,4,0)</f>
        <v>Anaconda</v>
      </c>
      <c r="K86" s="19" t="str">
        <f>VLOOKUP(G86,'STORE LOOKUP'!$C:$G,5,0)</f>
        <v>Store</v>
      </c>
      <c r="L86" s="17" t="str">
        <f>VLOOKUP(C86,'FIN CAL LOOKUP'!A:J,7,1)</f>
        <v>JAN, FY24</v>
      </c>
      <c r="M86" s="17" t="str">
        <f>VLOOKUP(C86,'FIN CAL LOOKUP'!A:J,10,1)</f>
        <v>Q3, FY24</v>
      </c>
    </row>
    <row r="87" spans="1:13" x14ac:dyDescent="0.25">
      <c r="A87" t="s">
        <v>234</v>
      </c>
      <c r="B87" s="1">
        <v>45309.582638888889</v>
      </c>
      <c r="C87" s="1">
        <v>45309.552083333336</v>
      </c>
      <c r="D87" t="s">
        <v>235</v>
      </c>
      <c r="E87" t="s">
        <v>10</v>
      </c>
      <c r="F87" t="s">
        <v>11</v>
      </c>
      <c r="G87" t="s">
        <v>236</v>
      </c>
      <c r="H87" t="s">
        <v>88</v>
      </c>
      <c r="I87" s="19" t="str">
        <f>VLOOKUP(G87,'STORE LOOKUP'!$C:$G,2,0)</f>
        <v>NSW North</v>
      </c>
      <c r="J87" s="19" t="str">
        <f>VLOOKUP(G87,'STORE LOOKUP'!$C:$G,4,0)</f>
        <v>Anaconda</v>
      </c>
      <c r="K87" s="19" t="str">
        <f>VLOOKUP(G87,'STORE LOOKUP'!$C:$G,5,0)</f>
        <v>Store</v>
      </c>
      <c r="L87" s="17" t="str">
        <f>VLOOKUP(C87,'FIN CAL LOOKUP'!A:J,7,1)</f>
        <v>JAN, FY24</v>
      </c>
      <c r="M87" s="17" t="str">
        <f>VLOOKUP(C87,'FIN CAL LOOKUP'!A:J,10,1)</f>
        <v>Q3, FY24</v>
      </c>
    </row>
    <row r="88" spans="1:13" x14ac:dyDescent="0.25">
      <c r="A88" t="s">
        <v>237</v>
      </c>
      <c r="B88" s="1">
        <v>45311.630555555559</v>
      </c>
      <c r="C88" s="1">
        <v>45311.5625</v>
      </c>
      <c r="D88" t="s">
        <v>189</v>
      </c>
      <c r="E88" t="s">
        <v>10</v>
      </c>
      <c r="F88" t="s">
        <v>11</v>
      </c>
      <c r="G88" t="s">
        <v>190</v>
      </c>
      <c r="H88" t="s">
        <v>17</v>
      </c>
      <c r="I88" s="19" t="str">
        <f>VLOOKUP(G88,'STORE LOOKUP'!$C:$G,2,0)</f>
        <v>QLD NW / NT</v>
      </c>
      <c r="J88" s="19" t="str">
        <f>VLOOKUP(G88,'STORE LOOKUP'!$C:$G,4,0)</f>
        <v>Anaconda</v>
      </c>
      <c r="K88" s="19" t="str">
        <f>VLOOKUP(G88,'STORE LOOKUP'!$C:$G,5,0)</f>
        <v>Store</v>
      </c>
      <c r="L88" s="17" t="str">
        <f>VLOOKUP(C88,'FIN CAL LOOKUP'!A:J,7,1)</f>
        <v>JAN, FY24</v>
      </c>
      <c r="M88" s="17" t="str">
        <f>VLOOKUP(C88,'FIN CAL LOOKUP'!A:J,10,1)</f>
        <v>Q3, FY24</v>
      </c>
    </row>
    <row r="89" spans="1:13" x14ac:dyDescent="0.25">
      <c r="A89" t="s">
        <v>238</v>
      </c>
      <c r="B89" s="1">
        <v>45311.74722222222</v>
      </c>
      <c r="C89" s="1">
        <v>45311.661111111112</v>
      </c>
      <c r="D89" t="s">
        <v>189</v>
      </c>
      <c r="E89" t="s">
        <v>10</v>
      </c>
      <c r="F89" t="s">
        <v>11</v>
      </c>
      <c r="G89" t="s">
        <v>190</v>
      </c>
      <c r="H89" t="s">
        <v>17</v>
      </c>
      <c r="I89" s="19" t="str">
        <f>VLOOKUP(G89,'STORE LOOKUP'!$C:$G,2,0)</f>
        <v>QLD NW / NT</v>
      </c>
      <c r="J89" s="19" t="str">
        <f>VLOOKUP(G89,'STORE LOOKUP'!$C:$G,4,0)</f>
        <v>Anaconda</v>
      </c>
      <c r="K89" s="19" t="str">
        <f>VLOOKUP(G89,'STORE LOOKUP'!$C:$G,5,0)</f>
        <v>Store</v>
      </c>
      <c r="L89" s="17" t="str">
        <f>VLOOKUP(C89,'FIN CAL LOOKUP'!A:J,7,1)</f>
        <v>JAN, FY24</v>
      </c>
      <c r="M89" s="17" t="str">
        <f>VLOOKUP(C89,'FIN CAL LOOKUP'!A:J,10,1)</f>
        <v>Q3, FY24</v>
      </c>
    </row>
    <row r="90" spans="1:13" x14ac:dyDescent="0.25">
      <c r="A90" t="s">
        <v>239</v>
      </c>
      <c r="B90" s="1">
        <v>45312.381249999999</v>
      </c>
      <c r="C90" s="1">
        <v>45311.120833333334</v>
      </c>
      <c r="D90" t="s">
        <v>240</v>
      </c>
      <c r="E90" t="s">
        <v>10</v>
      </c>
      <c r="F90" t="s">
        <v>11</v>
      </c>
      <c r="G90" t="s">
        <v>241</v>
      </c>
      <c r="H90" t="s">
        <v>88</v>
      </c>
      <c r="I90" s="19" t="str">
        <f>VLOOKUP(G90,'STORE LOOKUP'!$C:$G,2,0)</f>
        <v>NSW South</v>
      </c>
      <c r="J90" s="19" t="str">
        <f>VLOOKUP(G90,'STORE LOOKUP'!$C:$G,4,0)</f>
        <v>Anaconda</v>
      </c>
      <c r="K90" s="19" t="str">
        <f>VLOOKUP(G90,'STORE LOOKUP'!$C:$G,5,0)</f>
        <v>Store</v>
      </c>
      <c r="L90" s="17" t="str">
        <f>VLOOKUP(C90,'FIN CAL LOOKUP'!A:J,7,1)</f>
        <v>JAN, FY24</v>
      </c>
      <c r="M90" s="17" t="str">
        <f>VLOOKUP(C90,'FIN CAL LOOKUP'!A:J,10,1)</f>
        <v>Q3, FY24</v>
      </c>
    </row>
    <row r="91" spans="1:13" x14ac:dyDescent="0.25">
      <c r="A91" t="s">
        <v>242</v>
      </c>
      <c r="B91" s="1">
        <v>45317.44027777778</v>
      </c>
      <c r="C91" s="1">
        <v>45317.431944444441</v>
      </c>
      <c r="D91" t="s">
        <v>152</v>
      </c>
      <c r="E91" t="s">
        <v>10</v>
      </c>
      <c r="F91" t="s">
        <v>11</v>
      </c>
      <c r="G91" t="s">
        <v>153</v>
      </c>
      <c r="H91" t="s">
        <v>120</v>
      </c>
      <c r="I91" s="19" t="str">
        <f>VLOOKUP(G91,'STORE LOOKUP'!$C:$G,2,0)</f>
        <v>VIC &amp; NSW</v>
      </c>
      <c r="J91" s="19" t="str">
        <f>VLOOKUP(G91,'STORE LOOKUP'!$C:$G,4,0)</f>
        <v>Harris Scarfe</v>
      </c>
      <c r="K91" s="19" t="str">
        <f>VLOOKUP(G91,'STORE LOOKUP'!$C:$G,5,0)</f>
        <v>Store</v>
      </c>
      <c r="L91" s="17" t="str">
        <f>VLOOKUP(C91,'FIN CAL LOOKUP'!A:J,7,1)</f>
        <v>FEB, FY24</v>
      </c>
      <c r="M91" s="17" t="str">
        <f>VLOOKUP(C91,'FIN CAL LOOKUP'!A:J,10,1)</f>
        <v>Q3, FY24</v>
      </c>
    </row>
    <row r="92" spans="1:13" x14ac:dyDescent="0.25">
      <c r="A92" t="s">
        <v>243</v>
      </c>
      <c r="B92" s="1">
        <v>45325.613888888889</v>
      </c>
      <c r="C92" s="1">
        <v>45325.55972222222</v>
      </c>
      <c r="D92" t="s">
        <v>244</v>
      </c>
      <c r="E92" t="s">
        <v>10</v>
      </c>
      <c r="F92" t="s">
        <v>11</v>
      </c>
      <c r="G92" t="s">
        <v>245</v>
      </c>
      <c r="H92" t="s">
        <v>120</v>
      </c>
      <c r="I92" s="19" t="str">
        <f>VLOOKUP(G92,'STORE LOOKUP'!$C:$G,2,0)</f>
        <v>VIC</v>
      </c>
      <c r="J92" s="19" t="str">
        <f>VLOOKUP(G92,'STORE LOOKUP'!$C:$G,4,0)</f>
        <v>Harris Scarfe</v>
      </c>
      <c r="K92" s="19" t="str">
        <f>VLOOKUP(G92,'STORE LOOKUP'!$C:$G,5,0)</f>
        <v>Store</v>
      </c>
      <c r="L92" s="17" t="str">
        <f>VLOOKUP(C92,'FIN CAL LOOKUP'!A:J,7,1)</f>
        <v>FEB, FY24</v>
      </c>
      <c r="M92" s="17" t="str">
        <f>VLOOKUP(C92,'FIN CAL LOOKUP'!A:J,10,1)</f>
        <v>Q3, FY24</v>
      </c>
    </row>
    <row r="93" spans="1:13" x14ac:dyDescent="0.25">
      <c r="A93" t="s">
        <v>246</v>
      </c>
      <c r="B93" s="1">
        <v>45326.540972222225</v>
      </c>
      <c r="C93" s="1">
        <v>45326.451388888891</v>
      </c>
      <c r="D93" t="s">
        <v>247</v>
      </c>
      <c r="E93" t="s">
        <v>10</v>
      </c>
      <c r="F93" t="s">
        <v>11</v>
      </c>
      <c r="G93" t="s">
        <v>248</v>
      </c>
      <c r="H93" t="s">
        <v>135</v>
      </c>
      <c r="I93" s="19" t="str">
        <f>VLOOKUP(G93,'STORE LOOKUP'!$C:$G,2,0)</f>
        <v>NSW South / ACT</v>
      </c>
      <c r="J93" s="19" t="str">
        <f>VLOOKUP(G93,'STORE LOOKUP'!$C:$G,4,0)</f>
        <v>Spotlight AU</v>
      </c>
      <c r="K93" s="19" t="str">
        <f>VLOOKUP(G93,'STORE LOOKUP'!$C:$G,5,0)</f>
        <v>Store</v>
      </c>
      <c r="L93" s="17" t="str">
        <f>VLOOKUP(C93,'FIN CAL LOOKUP'!A:J,7,1)</f>
        <v>FEB, FY24</v>
      </c>
      <c r="M93" s="17" t="str">
        <f>VLOOKUP(C93,'FIN CAL LOOKUP'!A:J,10,1)</f>
        <v>Q3, FY24</v>
      </c>
    </row>
    <row r="94" spans="1:13" x14ac:dyDescent="0.25">
      <c r="A94" t="s">
        <v>249</v>
      </c>
      <c r="B94" s="1">
        <v>45327.60833333333</v>
      </c>
      <c r="C94" s="1">
        <v>45323.720833333333</v>
      </c>
      <c r="D94" t="s">
        <v>250</v>
      </c>
      <c r="E94" t="s">
        <v>10</v>
      </c>
      <c r="F94" t="s">
        <v>11</v>
      </c>
      <c r="G94" t="s">
        <v>251</v>
      </c>
      <c r="H94" t="s">
        <v>252</v>
      </c>
      <c r="I94" s="19" t="str">
        <f>VLOOKUP(G94,'STORE LOOKUP'!$C:$G,2,0)</f>
        <v>Finance</v>
      </c>
      <c r="J94" s="19" t="str">
        <f>VLOOKUP(G94,'STORE LOOKUP'!$C:$G,4,0)</f>
        <v>Shared Serv.</v>
      </c>
      <c r="K94" s="19" t="str">
        <f>VLOOKUP(G94,'STORE LOOKUP'!$C:$G,5,0)</f>
        <v>SG</v>
      </c>
      <c r="L94" s="17" t="str">
        <f>VLOOKUP(C94,'FIN CAL LOOKUP'!A:J,7,1)</f>
        <v>FEB, FY24</v>
      </c>
      <c r="M94" s="17" t="str">
        <f>VLOOKUP(C94,'FIN CAL LOOKUP'!A:J,10,1)</f>
        <v>Q3, FY24</v>
      </c>
    </row>
    <row r="95" spans="1:13" x14ac:dyDescent="0.25">
      <c r="A95" t="s">
        <v>253</v>
      </c>
      <c r="B95" s="1">
        <v>45328.405555555553</v>
      </c>
      <c r="C95" s="1">
        <v>45325.646527777775</v>
      </c>
      <c r="D95" t="s">
        <v>83</v>
      </c>
      <c r="E95" t="s">
        <v>10</v>
      </c>
      <c r="F95" t="s">
        <v>11</v>
      </c>
      <c r="G95" t="s">
        <v>39</v>
      </c>
      <c r="H95" t="s">
        <v>84</v>
      </c>
      <c r="I95" s="19" t="str">
        <f>VLOOKUP(G95,'STORE LOOKUP'!$C:$G,2,0)</f>
        <v>SA/TAS</v>
      </c>
      <c r="J95" s="19" t="str">
        <f>VLOOKUP(G95,'STORE LOOKUP'!$C:$G,4,0)</f>
        <v>Harris Scarfe</v>
      </c>
      <c r="K95" s="19" t="str">
        <f>VLOOKUP(G95,'STORE LOOKUP'!$C:$G,5,0)</f>
        <v>Store</v>
      </c>
      <c r="L95" s="17" t="str">
        <f>VLOOKUP(C95,'FIN CAL LOOKUP'!A:J,7,1)</f>
        <v>FEB, FY24</v>
      </c>
      <c r="M95" s="17" t="str">
        <f>VLOOKUP(C95,'FIN CAL LOOKUP'!A:J,10,1)</f>
        <v>Q3, FY24</v>
      </c>
    </row>
    <row r="96" spans="1:13" x14ac:dyDescent="0.25">
      <c r="A96" t="s">
        <v>254</v>
      </c>
      <c r="B96" s="1">
        <v>45334.507638888892</v>
      </c>
      <c r="C96" s="1">
        <v>45332.416666666664</v>
      </c>
      <c r="D96" t="s">
        <v>255</v>
      </c>
      <c r="E96" t="s">
        <v>10</v>
      </c>
      <c r="F96" t="s">
        <v>11</v>
      </c>
      <c r="G96" t="s">
        <v>256</v>
      </c>
      <c r="H96" t="s">
        <v>52</v>
      </c>
      <c r="I96" s="19" t="str">
        <f>VLOOKUP(G96,'STORE LOOKUP'!$C:$G,2,0)</f>
        <v>QLD Central / TAS</v>
      </c>
      <c r="J96" s="19" t="str">
        <f>VLOOKUP(G96,'STORE LOOKUP'!$C:$G,4,0)</f>
        <v>Spotlight AU</v>
      </c>
      <c r="K96" s="19" t="str">
        <f>VLOOKUP(G96,'STORE LOOKUP'!$C:$G,5,0)</f>
        <v>Store</v>
      </c>
      <c r="L96" s="17" t="str">
        <f>VLOOKUP(C96,'FIN CAL LOOKUP'!A:J,7,1)</f>
        <v>FEB, FY24</v>
      </c>
      <c r="M96" s="17" t="str">
        <f>VLOOKUP(C96,'FIN CAL LOOKUP'!A:J,10,1)</f>
        <v>Q3, FY24</v>
      </c>
    </row>
    <row r="97" spans="1:13" x14ac:dyDescent="0.25">
      <c r="A97" t="s">
        <v>257</v>
      </c>
      <c r="B97" s="1">
        <v>45338.464583333334</v>
      </c>
      <c r="C97" s="1">
        <v>45327.418055555558</v>
      </c>
      <c r="D97" t="s">
        <v>258</v>
      </c>
      <c r="E97" t="s">
        <v>10</v>
      </c>
      <c r="F97" t="s">
        <v>11</v>
      </c>
      <c r="G97" t="s">
        <v>259</v>
      </c>
      <c r="H97" t="s">
        <v>13</v>
      </c>
      <c r="I97" s="19" t="str">
        <f>VLOOKUP(G97,'STORE LOOKUP'!$C:$G,2,0)</f>
        <v>BRISBANE / FNQ Cluster</v>
      </c>
      <c r="J97" s="19" t="str">
        <f>VLOOKUP(G97,'STORE LOOKUP'!$C:$G,4,0)</f>
        <v>Anaconda</v>
      </c>
      <c r="K97" s="19" t="str">
        <f>VLOOKUP(G97,'STORE LOOKUP'!$C:$G,5,0)</f>
        <v>Store</v>
      </c>
      <c r="L97" s="17" t="str">
        <f>VLOOKUP(C97,'FIN CAL LOOKUP'!A:J,7,1)</f>
        <v>FEB, FY24</v>
      </c>
      <c r="M97" s="17" t="str">
        <f>VLOOKUP(C97,'FIN CAL LOOKUP'!A:J,10,1)</f>
        <v>Q3, FY24</v>
      </c>
    </row>
    <row r="98" spans="1:13" x14ac:dyDescent="0.25">
      <c r="A98" t="s">
        <v>260</v>
      </c>
      <c r="B98" s="1">
        <v>45343.679861111108</v>
      </c>
      <c r="C98" s="1">
        <v>45343.552083333336</v>
      </c>
      <c r="D98" t="s">
        <v>261</v>
      </c>
      <c r="E98" t="s">
        <v>10</v>
      </c>
      <c r="F98" t="s">
        <v>11</v>
      </c>
      <c r="G98" t="s">
        <v>262</v>
      </c>
      <c r="H98" t="s">
        <v>21</v>
      </c>
      <c r="I98" s="19" t="str">
        <f>VLOOKUP(G98,'STORE LOOKUP'!$C:$G,2,0)</f>
        <v>SA/NT</v>
      </c>
      <c r="J98" s="19" t="str">
        <f>VLOOKUP(G98,'STORE LOOKUP'!$C:$G,4,0)</f>
        <v>Spotlight AU</v>
      </c>
      <c r="K98" s="19" t="str">
        <f>VLOOKUP(G98,'STORE LOOKUP'!$C:$G,5,0)</f>
        <v>Store</v>
      </c>
      <c r="L98" s="17" t="str">
        <f>VLOOKUP(C98,'FIN CAL LOOKUP'!A:J,7,1)</f>
        <v>FEB, FY24</v>
      </c>
      <c r="M98" s="17" t="str">
        <f>VLOOKUP(C98,'FIN CAL LOOKUP'!A:J,10,1)</f>
        <v>Q3, FY24</v>
      </c>
    </row>
    <row r="99" spans="1:13" x14ac:dyDescent="0.25">
      <c r="A99" t="s">
        <v>263</v>
      </c>
      <c r="B99" s="1">
        <v>45344.57708333333</v>
      </c>
      <c r="C99" s="1">
        <v>45344.541666666664</v>
      </c>
      <c r="D99" t="s">
        <v>264</v>
      </c>
      <c r="E99" t="s">
        <v>10</v>
      </c>
      <c r="F99" t="s">
        <v>11</v>
      </c>
      <c r="G99" t="s">
        <v>265</v>
      </c>
      <c r="H99" t="s">
        <v>120</v>
      </c>
      <c r="I99" s="19" t="str">
        <f>VLOOKUP(G99,'STORE LOOKUP'!$C:$G,2,0)</f>
        <v>VIC &amp; NSW</v>
      </c>
      <c r="J99" s="19" t="str">
        <f>VLOOKUP(G99,'STORE LOOKUP'!$C:$G,4,0)</f>
        <v>Harris Scarfe</v>
      </c>
      <c r="K99" s="19" t="str">
        <f>VLOOKUP(G99,'STORE LOOKUP'!$C:$G,5,0)</f>
        <v>Store</v>
      </c>
      <c r="L99" s="17" t="str">
        <f>VLOOKUP(C99,'FIN CAL LOOKUP'!A:J,7,1)</f>
        <v>FEB, FY24</v>
      </c>
      <c r="M99" s="17" t="str">
        <f>VLOOKUP(C99,'FIN CAL LOOKUP'!A:J,10,1)</f>
        <v>Q3, FY24</v>
      </c>
    </row>
    <row r="100" spans="1:13" x14ac:dyDescent="0.25">
      <c r="A100" t="s">
        <v>266</v>
      </c>
      <c r="B100" s="1">
        <v>45345.525694444441</v>
      </c>
      <c r="C100" s="1">
        <v>45280.623611111114</v>
      </c>
      <c r="D100" t="s">
        <v>267</v>
      </c>
      <c r="E100" t="s">
        <v>10</v>
      </c>
      <c r="F100" t="s">
        <v>11</v>
      </c>
      <c r="G100" t="s">
        <v>268</v>
      </c>
      <c r="H100" t="s">
        <v>13</v>
      </c>
      <c r="I100" s="19" t="str">
        <f>VLOOKUP(G100,'STORE LOOKUP'!$C:$G,2,0)</f>
        <v>QLD NW / NT</v>
      </c>
      <c r="J100" s="19" t="str">
        <f>VLOOKUP(G100,'STORE LOOKUP'!$C:$G,4,0)</f>
        <v>Anaconda</v>
      </c>
      <c r="K100" s="19" t="str">
        <f>VLOOKUP(G100,'STORE LOOKUP'!$C:$G,5,0)</f>
        <v>Store</v>
      </c>
      <c r="L100" s="17" t="str">
        <f>VLOOKUP(C100,'FIN CAL LOOKUP'!A:J,7,1)</f>
        <v>DEC, FY24</v>
      </c>
      <c r="M100" s="17" t="str">
        <f>VLOOKUP(C100,'FIN CAL LOOKUP'!A:J,10,1)</f>
        <v>Q2, FY24</v>
      </c>
    </row>
    <row r="101" spans="1:13" x14ac:dyDescent="0.25">
      <c r="A101" t="s">
        <v>269</v>
      </c>
      <c r="B101" s="1">
        <v>45346.649305555555</v>
      </c>
      <c r="C101" s="1">
        <v>45341.541666666664</v>
      </c>
      <c r="D101" t="s">
        <v>115</v>
      </c>
      <c r="E101" t="s">
        <v>10</v>
      </c>
      <c r="F101" t="s">
        <v>11</v>
      </c>
      <c r="G101" t="s">
        <v>116</v>
      </c>
      <c r="H101" t="s">
        <v>56</v>
      </c>
      <c r="I101" s="19" t="str">
        <f>VLOOKUP(G101,'STORE LOOKUP'!$C:$G,2,0)</f>
        <v>VIC East</v>
      </c>
      <c r="J101" s="19" t="str">
        <f>VLOOKUP(G101,'STORE LOOKUP'!$C:$G,4,0)</f>
        <v>Spotlight AU</v>
      </c>
      <c r="K101" s="19" t="str">
        <f>VLOOKUP(G101,'STORE LOOKUP'!$C:$G,5,0)</f>
        <v>Store</v>
      </c>
      <c r="L101" s="17" t="str">
        <f>VLOOKUP(C101,'FIN CAL LOOKUP'!A:J,7,1)</f>
        <v>FEB, FY24</v>
      </c>
      <c r="M101" s="17" t="str">
        <f>VLOOKUP(C101,'FIN CAL LOOKUP'!A:J,10,1)</f>
        <v>Q3, FY24</v>
      </c>
    </row>
    <row r="102" spans="1:13" x14ac:dyDescent="0.25">
      <c r="A102" t="s">
        <v>270</v>
      </c>
      <c r="B102" s="1">
        <v>45346.67083333333</v>
      </c>
      <c r="C102" s="1">
        <v>45345.458333333336</v>
      </c>
      <c r="D102" t="s">
        <v>115</v>
      </c>
      <c r="E102" t="s">
        <v>10</v>
      </c>
      <c r="F102" t="s">
        <v>11</v>
      </c>
      <c r="G102" t="s">
        <v>116</v>
      </c>
      <c r="H102" t="s">
        <v>56</v>
      </c>
      <c r="I102" s="19" t="str">
        <f>VLOOKUP(G102,'STORE LOOKUP'!$C:$G,2,0)</f>
        <v>VIC East</v>
      </c>
      <c r="J102" s="19" t="str">
        <f>VLOOKUP(G102,'STORE LOOKUP'!$C:$G,4,0)</f>
        <v>Spotlight AU</v>
      </c>
      <c r="K102" s="19" t="str">
        <f>VLOOKUP(G102,'STORE LOOKUP'!$C:$G,5,0)</f>
        <v>Store</v>
      </c>
      <c r="L102" s="17" t="str">
        <f>VLOOKUP(C102,'FIN CAL LOOKUP'!A:J,7,1)</f>
        <v>FEB, FY24</v>
      </c>
      <c r="M102" s="17" t="str">
        <f>VLOOKUP(C102,'FIN CAL LOOKUP'!A:J,10,1)</f>
        <v>Q3, FY24</v>
      </c>
    </row>
    <row r="103" spans="1:13" x14ac:dyDescent="0.25">
      <c r="A103" t="s">
        <v>271</v>
      </c>
      <c r="B103" s="1">
        <v>45356.69027777778</v>
      </c>
      <c r="C103" s="1">
        <v>45356.666666666664</v>
      </c>
      <c r="D103" t="s">
        <v>166</v>
      </c>
      <c r="E103" t="s">
        <v>10</v>
      </c>
      <c r="F103" t="s">
        <v>11</v>
      </c>
      <c r="G103" t="s">
        <v>167</v>
      </c>
      <c r="H103" t="s">
        <v>120</v>
      </c>
      <c r="I103" s="19" t="str">
        <f>VLOOKUP(G103,'STORE LOOKUP'!$C:$G,2,0)</f>
        <v>VIC &amp; NSW</v>
      </c>
      <c r="J103" s="19" t="str">
        <f>VLOOKUP(G103,'STORE LOOKUP'!$C:$G,4,0)</f>
        <v>Harris Scarfe</v>
      </c>
      <c r="K103" s="19" t="str">
        <f>VLOOKUP(G103,'STORE LOOKUP'!$C:$G,5,0)</f>
        <v>Store</v>
      </c>
      <c r="L103" s="17" t="str">
        <f>VLOOKUP(C103,'FIN CAL LOOKUP'!A:J,7,1)</f>
        <v>MAR, FY24</v>
      </c>
      <c r="M103" s="17" t="str">
        <f>VLOOKUP(C103,'FIN CAL LOOKUP'!A:J,10,1)</f>
        <v>Q3, FY24</v>
      </c>
    </row>
    <row r="104" spans="1:13" x14ac:dyDescent="0.25">
      <c r="A104" t="s">
        <v>272</v>
      </c>
      <c r="B104" s="1">
        <v>45358.882638888892</v>
      </c>
      <c r="C104" s="1">
        <v>45358.836805555555</v>
      </c>
      <c r="D104" t="s">
        <v>97</v>
      </c>
      <c r="E104" t="s">
        <v>10</v>
      </c>
      <c r="F104" t="s">
        <v>11</v>
      </c>
      <c r="G104" t="s">
        <v>98</v>
      </c>
      <c r="H104" t="s">
        <v>99</v>
      </c>
      <c r="I104" s="19" t="str">
        <f>VLOOKUP(G104,'STORE LOOKUP'!$C:$G,2,0)</f>
        <v>SA/TAS</v>
      </c>
      <c r="J104" s="19" t="str">
        <f>VLOOKUP(G104,'STORE LOOKUP'!$C:$G,4,0)</f>
        <v>Harris Scarfe</v>
      </c>
      <c r="K104" s="19" t="str">
        <f>VLOOKUP(G104,'STORE LOOKUP'!$C:$G,5,0)</f>
        <v>Store</v>
      </c>
      <c r="L104" s="17" t="str">
        <f>VLOOKUP(C104,'FIN CAL LOOKUP'!A:J,7,1)</f>
        <v>MAR, FY24</v>
      </c>
      <c r="M104" s="17" t="str">
        <f>VLOOKUP(C104,'FIN CAL LOOKUP'!A:J,10,1)</f>
        <v>Q3, FY24</v>
      </c>
    </row>
    <row r="105" spans="1:13" x14ac:dyDescent="0.25">
      <c r="A105" t="s">
        <v>273</v>
      </c>
      <c r="B105" s="1">
        <v>45359.529861111114</v>
      </c>
      <c r="C105" s="1">
        <v>45359.513888888891</v>
      </c>
      <c r="D105" t="s">
        <v>274</v>
      </c>
      <c r="E105" t="s">
        <v>10</v>
      </c>
      <c r="F105" t="s">
        <v>11</v>
      </c>
      <c r="G105" t="s">
        <v>95</v>
      </c>
      <c r="H105" t="s">
        <v>88</v>
      </c>
      <c r="I105" s="19" t="str">
        <f>VLOOKUP(G105,'STORE LOOKUP'!$C:$G,2,0)</f>
        <v>NSW North</v>
      </c>
      <c r="J105" s="19" t="str">
        <f>VLOOKUP(G105,'STORE LOOKUP'!$C:$G,4,0)</f>
        <v>Anaconda</v>
      </c>
      <c r="K105" s="19" t="str">
        <f>VLOOKUP(G105,'STORE LOOKUP'!$C:$G,5,0)</f>
        <v>Store</v>
      </c>
      <c r="L105" s="17" t="str">
        <f>VLOOKUP(C105,'FIN CAL LOOKUP'!A:J,7,1)</f>
        <v>MAR, FY24</v>
      </c>
      <c r="M105" s="17" t="str">
        <f>VLOOKUP(C105,'FIN CAL LOOKUP'!A:J,10,1)</f>
        <v>Q3, FY24</v>
      </c>
    </row>
    <row r="106" spans="1:13" x14ac:dyDescent="0.25">
      <c r="A106" t="s">
        <v>275</v>
      </c>
      <c r="B106" s="1">
        <v>45359.795138888891</v>
      </c>
      <c r="C106" s="1">
        <v>45358.814583333333</v>
      </c>
      <c r="D106" t="s">
        <v>276</v>
      </c>
      <c r="E106" t="s">
        <v>10</v>
      </c>
      <c r="F106" t="s">
        <v>11</v>
      </c>
      <c r="G106" t="s">
        <v>277</v>
      </c>
      <c r="H106" t="s">
        <v>44</v>
      </c>
      <c r="I106" s="19" t="str">
        <f>VLOOKUP(G106,'STORE LOOKUP'!$C:$G,2,0)</f>
        <v>WA</v>
      </c>
      <c r="J106" s="19" t="str">
        <f>VLOOKUP(G106,'STORE LOOKUP'!$C:$G,4,0)</f>
        <v>Spotlight AU</v>
      </c>
      <c r="K106" s="19" t="str">
        <f>VLOOKUP(G106,'STORE LOOKUP'!$C:$G,5,0)</f>
        <v>Store</v>
      </c>
      <c r="L106" s="17" t="str">
        <f>VLOOKUP(C106,'FIN CAL LOOKUP'!A:J,7,1)</f>
        <v>MAR, FY24</v>
      </c>
      <c r="M106" s="17" t="str">
        <f>VLOOKUP(C106,'FIN CAL LOOKUP'!A:J,10,1)</f>
        <v>Q3, FY24</v>
      </c>
    </row>
    <row r="107" spans="1:13" x14ac:dyDescent="0.25">
      <c r="A107" t="s">
        <v>278</v>
      </c>
      <c r="B107" s="1">
        <v>45365.695833333331</v>
      </c>
      <c r="C107" s="1">
        <v>45365.666666666664</v>
      </c>
      <c r="D107" t="s">
        <v>27</v>
      </c>
      <c r="E107" t="s">
        <v>10</v>
      </c>
      <c r="F107" t="s">
        <v>11</v>
      </c>
      <c r="G107" t="s">
        <v>28</v>
      </c>
      <c r="H107" t="s">
        <v>29</v>
      </c>
      <c r="I107" s="19" t="str">
        <f>VLOOKUP(G107,'STORE LOOKUP'!$C:$G,2,0)</f>
        <v>VIC North / East</v>
      </c>
      <c r="J107" s="19" t="str">
        <f>VLOOKUP(G107,'STORE LOOKUP'!$C:$G,4,0)</f>
        <v>Anaconda</v>
      </c>
      <c r="K107" s="19" t="str">
        <f>VLOOKUP(G107,'STORE LOOKUP'!$C:$G,5,0)</f>
        <v>Store</v>
      </c>
      <c r="L107" s="17" t="str">
        <f>VLOOKUP(C107,'FIN CAL LOOKUP'!A:J,7,1)</f>
        <v>MAR, FY24</v>
      </c>
      <c r="M107" s="17" t="str">
        <f>VLOOKUP(C107,'FIN CAL LOOKUP'!A:J,10,1)</f>
        <v>Q3, FY24</v>
      </c>
    </row>
    <row r="108" spans="1:13" x14ac:dyDescent="0.25">
      <c r="A108" t="s">
        <v>279</v>
      </c>
      <c r="B108" s="1">
        <v>45365.848611111112</v>
      </c>
      <c r="C108" s="1">
        <v>45365.576388888891</v>
      </c>
      <c r="D108" t="s">
        <v>280</v>
      </c>
      <c r="E108" t="s">
        <v>10</v>
      </c>
      <c r="F108" t="s">
        <v>11</v>
      </c>
      <c r="G108" t="s">
        <v>281</v>
      </c>
      <c r="H108" t="s">
        <v>56</v>
      </c>
      <c r="I108" s="19" t="str">
        <f>VLOOKUP(G108,'STORE LOOKUP'!$C:$G,2,0)</f>
        <v>VIC West</v>
      </c>
      <c r="J108" s="19" t="str">
        <f>VLOOKUP(G108,'STORE LOOKUP'!$C:$G,4,0)</f>
        <v>Spotlight AU</v>
      </c>
      <c r="K108" s="19" t="str">
        <f>VLOOKUP(G108,'STORE LOOKUP'!$C:$G,5,0)</f>
        <v>Store</v>
      </c>
      <c r="L108" s="17" t="str">
        <f>VLOOKUP(C108,'FIN CAL LOOKUP'!A:J,7,1)</f>
        <v>MAR, FY24</v>
      </c>
      <c r="M108" s="17" t="str">
        <f>VLOOKUP(C108,'FIN CAL LOOKUP'!A:J,10,1)</f>
        <v>Q3, FY24</v>
      </c>
    </row>
    <row r="109" spans="1:13" x14ac:dyDescent="0.25">
      <c r="A109" t="s">
        <v>282</v>
      </c>
      <c r="B109" s="1">
        <v>45372.861111111109</v>
      </c>
      <c r="C109" s="1">
        <v>45372.805555555555</v>
      </c>
      <c r="D109" t="s">
        <v>283</v>
      </c>
      <c r="E109" t="s">
        <v>10</v>
      </c>
      <c r="F109" t="s">
        <v>11</v>
      </c>
      <c r="G109" t="s">
        <v>284</v>
      </c>
      <c r="H109" t="s">
        <v>56</v>
      </c>
      <c r="I109" s="19" t="str">
        <f>VLOOKUP(G109,'STORE LOOKUP'!$C:$G,2,0)</f>
        <v>VIC East</v>
      </c>
      <c r="J109" s="19" t="str">
        <f>VLOOKUP(G109,'STORE LOOKUP'!$C:$G,4,0)</f>
        <v>Spotlight AU</v>
      </c>
      <c r="K109" s="19" t="str">
        <f>VLOOKUP(G109,'STORE LOOKUP'!$C:$G,5,0)</f>
        <v>Store</v>
      </c>
      <c r="L109" s="17" t="str">
        <f>VLOOKUP(C109,'FIN CAL LOOKUP'!A:J,7,1)</f>
        <v>MAR, FY24</v>
      </c>
      <c r="M109" s="17" t="str">
        <f>VLOOKUP(C109,'FIN CAL LOOKUP'!A:J,10,1)</f>
        <v>Q3, FY24</v>
      </c>
    </row>
    <row r="110" spans="1:13" x14ac:dyDescent="0.25">
      <c r="A110" t="s">
        <v>285</v>
      </c>
      <c r="B110" s="1">
        <v>45375.603472222225</v>
      </c>
      <c r="C110" s="1">
        <v>45375.541666666664</v>
      </c>
      <c r="D110" t="s">
        <v>205</v>
      </c>
      <c r="E110" t="s">
        <v>10</v>
      </c>
      <c r="F110" t="s">
        <v>11</v>
      </c>
      <c r="G110" t="s">
        <v>206</v>
      </c>
      <c r="H110" t="s">
        <v>99</v>
      </c>
      <c r="I110" s="19" t="str">
        <f>VLOOKUP(G110,'STORE LOOKUP'!$C:$G,2,0)</f>
        <v>SA/TAS</v>
      </c>
      <c r="J110" s="19" t="str">
        <f>VLOOKUP(G110,'STORE LOOKUP'!$C:$G,4,0)</f>
        <v>Harris Scarfe</v>
      </c>
      <c r="K110" s="19" t="str">
        <f>VLOOKUP(G110,'STORE LOOKUP'!$C:$G,5,0)</f>
        <v>Store</v>
      </c>
      <c r="L110" s="17" t="str">
        <f>VLOOKUP(C110,'FIN CAL LOOKUP'!A:J,7,1)</f>
        <v>MAR, FY24</v>
      </c>
      <c r="M110" s="17" t="str">
        <f>VLOOKUP(C110,'FIN CAL LOOKUP'!A:J,10,1)</f>
        <v>Q3, FY24</v>
      </c>
    </row>
    <row r="111" spans="1:13" x14ac:dyDescent="0.25">
      <c r="A111" t="s">
        <v>286</v>
      </c>
      <c r="B111" s="1">
        <v>45385.615277777775</v>
      </c>
      <c r="C111" s="1">
        <v>45385.479861111111</v>
      </c>
      <c r="D111" t="s">
        <v>287</v>
      </c>
      <c r="E111" t="s">
        <v>10</v>
      </c>
      <c r="F111" t="s">
        <v>11</v>
      </c>
      <c r="G111" t="s">
        <v>288</v>
      </c>
      <c r="H111" t="s">
        <v>44</v>
      </c>
      <c r="I111" s="19" t="str">
        <f>VLOOKUP(G111,'STORE LOOKUP'!$C:$G,2,0)</f>
        <v>WA</v>
      </c>
      <c r="J111" s="19" t="str">
        <f>VLOOKUP(G111,'STORE LOOKUP'!$C:$G,4,0)</f>
        <v>Spotlight AU</v>
      </c>
      <c r="K111" s="19" t="str">
        <f>VLOOKUP(G111,'STORE LOOKUP'!$C:$G,5,0)</f>
        <v>Store</v>
      </c>
      <c r="L111" s="17" t="str">
        <f>VLOOKUP(C111,'FIN CAL LOOKUP'!A:J,7,1)</f>
        <v>APR, FY24</v>
      </c>
      <c r="M111" s="17" t="str">
        <f>VLOOKUP(C111,'FIN CAL LOOKUP'!A:J,10,1)</f>
        <v>Q4, FY24</v>
      </c>
    </row>
    <row r="112" spans="1:13" x14ac:dyDescent="0.25">
      <c r="A112" t="s">
        <v>289</v>
      </c>
      <c r="B112" s="1">
        <v>45388.414583333331</v>
      </c>
      <c r="C112" s="1">
        <v>45387.760416666664</v>
      </c>
      <c r="D112" t="s">
        <v>27</v>
      </c>
      <c r="E112" t="s">
        <v>10</v>
      </c>
      <c r="F112" t="s">
        <v>11</v>
      </c>
      <c r="G112" t="s">
        <v>28</v>
      </c>
      <c r="H112" t="s">
        <v>29</v>
      </c>
      <c r="I112" s="19" t="str">
        <f>VLOOKUP(G112,'STORE LOOKUP'!$C:$G,2,0)</f>
        <v>VIC North / East</v>
      </c>
      <c r="J112" s="19" t="str">
        <f>VLOOKUP(G112,'STORE LOOKUP'!$C:$G,4,0)</f>
        <v>Anaconda</v>
      </c>
      <c r="K112" s="19" t="str">
        <f>VLOOKUP(G112,'STORE LOOKUP'!$C:$G,5,0)</f>
        <v>Store</v>
      </c>
      <c r="L112" s="17" t="str">
        <f>VLOOKUP(C112,'FIN CAL LOOKUP'!A:J,7,1)</f>
        <v>APR, FY24</v>
      </c>
      <c r="M112" s="17" t="str">
        <f>VLOOKUP(C112,'FIN CAL LOOKUP'!A:J,10,1)</f>
        <v>Q4, FY24</v>
      </c>
    </row>
    <row r="113" spans="1:13" x14ac:dyDescent="0.25">
      <c r="A113" t="s">
        <v>290</v>
      </c>
      <c r="B113" s="1">
        <v>45388.709722222222</v>
      </c>
      <c r="C113" s="1">
        <v>45388.497916666667</v>
      </c>
      <c r="D113" t="s">
        <v>291</v>
      </c>
      <c r="E113" t="s">
        <v>10</v>
      </c>
      <c r="F113" t="s">
        <v>11</v>
      </c>
      <c r="G113" t="s">
        <v>292</v>
      </c>
      <c r="H113" t="s">
        <v>106</v>
      </c>
      <c r="I113" s="19" t="str">
        <f>VLOOKUP(G113,'STORE LOOKUP'!$C:$G,2,0)</f>
        <v>WA</v>
      </c>
      <c r="J113" s="19" t="str">
        <f>VLOOKUP(G113,'STORE LOOKUP'!$C:$G,4,0)</f>
        <v>Anaconda</v>
      </c>
      <c r="K113" s="19" t="str">
        <f>VLOOKUP(G113,'STORE LOOKUP'!$C:$G,5,0)</f>
        <v>Store</v>
      </c>
      <c r="L113" s="17" t="str">
        <f>VLOOKUP(C113,'FIN CAL LOOKUP'!A:J,7,1)</f>
        <v>APR, FY24</v>
      </c>
      <c r="M113" s="17" t="str">
        <f>VLOOKUP(C113,'FIN CAL LOOKUP'!A:J,10,1)</f>
        <v>Q4, FY24</v>
      </c>
    </row>
    <row r="114" spans="1:13" x14ac:dyDescent="0.25">
      <c r="A114" t="s">
        <v>293</v>
      </c>
      <c r="B114" s="1">
        <v>45388.73333333333</v>
      </c>
      <c r="C114" s="1">
        <v>45387.137499999997</v>
      </c>
      <c r="D114" t="s">
        <v>189</v>
      </c>
      <c r="E114" t="s">
        <v>10</v>
      </c>
      <c r="F114" t="s">
        <v>11</v>
      </c>
      <c r="G114" t="s">
        <v>190</v>
      </c>
      <c r="H114" t="s">
        <v>17</v>
      </c>
      <c r="I114" s="19" t="str">
        <f>VLOOKUP(G114,'STORE LOOKUP'!$C:$G,2,0)</f>
        <v>QLD NW / NT</v>
      </c>
      <c r="J114" s="19" t="str">
        <f>VLOOKUP(G114,'STORE LOOKUP'!$C:$G,4,0)</f>
        <v>Anaconda</v>
      </c>
      <c r="K114" s="19" t="str">
        <f>VLOOKUP(G114,'STORE LOOKUP'!$C:$G,5,0)</f>
        <v>Store</v>
      </c>
      <c r="L114" s="17" t="str">
        <f>VLOOKUP(C114,'FIN CAL LOOKUP'!A:J,7,1)</f>
        <v>APR, FY24</v>
      </c>
      <c r="M114" s="17" t="str">
        <f>VLOOKUP(C114,'FIN CAL LOOKUP'!A:J,10,1)</f>
        <v>Q4, FY24</v>
      </c>
    </row>
    <row r="115" spans="1:13" x14ac:dyDescent="0.25">
      <c r="A115" t="s">
        <v>294</v>
      </c>
      <c r="B115" s="1">
        <v>45389.598611111112</v>
      </c>
      <c r="C115" s="1">
        <v>45362.5</v>
      </c>
      <c r="D115" t="s">
        <v>295</v>
      </c>
      <c r="E115" t="s">
        <v>10</v>
      </c>
      <c r="F115" t="s">
        <v>11</v>
      </c>
      <c r="G115" t="s">
        <v>296</v>
      </c>
      <c r="H115" t="s">
        <v>106</v>
      </c>
      <c r="I115" s="19" t="str">
        <f>VLOOKUP(G115,'STORE LOOKUP'!$C:$G,2,0)</f>
        <v>WA</v>
      </c>
      <c r="J115" s="19" t="str">
        <f>VLOOKUP(G115,'STORE LOOKUP'!$C:$G,4,0)</f>
        <v>Anaconda</v>
      </c>
      <c r="K115" s="19" t="str">
        <f>VLOOKUP(G115,'STORE LOOKUP'!$C:$G,5,0)</f>
        <v>Store</v>
      </c>
      <c r="L115" s="17" t="str">
        <f>VLOOKUP(C115,'FIN CAL LOOKUP'!A:J,7,1)</f>
        <v>MAR, FY24</v>
      </c>
      <c r="M115" s="17" t="str">
        <f>VLOOKUP(C115,'FIN CAL LOOKUP'!A:J,10,1)</f>
        <v>Q3, FY24</v>
      </c>
    </row>
    <row r="116" spans="1:13" x14ac:dyDescent="0.25">
      <c r="A116" t="s">
        <v>297</v>
      </c>
      <c r="B116" s="1">
        <v>45392.552777777775</v>
      </c>
      <c r="C116" s="1">
        <v>45392.45416666667</v>
      </c>
      <c r="D116" t="s">
        <v>291</v>
      </c>
      <c r="E116" t="s">
        <v>10</v>
      </c>
      <c r="F116" t="s">
        <v>11</v>
      </c>
      <c r="G116" t="s">
        <v>292</v>
      </c>
      <c r="H116" t="s">
        <v>106</v>
      </c>
      <c r="I116" s="19" t="str">
        <f>VLOOKUP(G116,'STORE LOOKUP'!$C:$G,2,0)</f>
        <v>WA</v>
      </c>
      <c r="J116" s="19" t="str">
        <f>VLOOKUP(G116,'STORE LOOKUP'!$C:$G,4,0)</f>
        <v>Anaconda</v>
      </c>
      <c r="K116" s="19" t="str">
        <f>VLOOKUP(G116,'STORE LOOKUP'!$C:$G,5,0)</f>
        <v>Store</v>
      </c>
      <c r="L116" s="17" t="str">
        <f>VLOOKUP(C116,'FIN CAL LOOKUP'!A:J,7,1)</f>
        <v>APR, FY24</v>
      </c>
      <c r="M116" s="17" t="str">
        <f>VLOOKUP(C116,'FIN CAL LOOKUP'!A:J,10,1)</f>
        <v>Q4, FY24</v>
      </c>
    </row>
    <row r="117" spans="1:13" x14ac:dyDescent="0.25">
      <c r="A117" t="s">
        <v>298</v>
      </c>
      <c r="B117" s="1">
        <v>45395.512499999997</v>
      </c>
      <c r="C117" s="1">
        <v>45395.440972222219</v>
      </c>
      <c r="D117" t="s">
        <v>299</v>
      </c>
      <c r="E117" t="s">
        <v>10</v>
      </c>
      <c r="F117" t="s">
        <v>11</v>
      </c>
      <c r="G117" t="s">
        <v>300</v>
      </c>
      <c r="H117" t="s">
        <v>135</v>
      </c>
      <c r="I117" s="19" t="str">
        <f>VLOOKUP(G117,'STORE LOOKUP'!$C:$G,2,0)</f>
        <v>NSW Central</v>
      </c>
      <c r="J117" s="19" t="str">
        <f>VLOOKUP(G117,'STORE LOOKUP'!$C:$G,4,0)</f>
        <v>Spotlight AU</v>
      </c>
      <c r="K117" s="19" t="str">
        <f>VLOOKUP(G117,'STORE LOOKUP'!$C:$G,5,0)</f>
        <v>Store</v>
      </c>
      <c r="L117" s="17" t="str">
        <f>VLOOKUP(C117,'FIN CAL LOOKUP'!A:J,7,1)</f>
        <v>APR, FY24</v>
      </c>
      <c r="M117" s="17" t="str">
        <f>VLOOKUP(C117,'FIN CAL LOOKUP'!A:J,10,1)</f>
        <v>Q4, FY24</v>
      </c>
    </row>
    <row r="118" spans="1:13" x14ac:dyDescent="0.25">
      <c r="A118" t="s">
        <v>301</v>
      </c>
      <c r="B118" s="1">
        <v>45401.609722222223</v>
      </c>
      <c r="C118" s="1">
        <v>45401.604166666664</v>
      </c>
      <c r="D118" t="s">
        <v>166</v>
      </c>
      <c r="E118" t="s">
        <v>10</v>
      </c>
      <c r="F118" t="s">
        <v>11</v>
      </c>
      <c r="G118" t="s">
        <v>167</v>
      </c>
      <c r="H118" t="s">
        <v>120</v>
      </c>
      <c r="I118" s="19" t="str">
        <f>VLOOKUP(G118,'STORE LOOKUP'!$C:$G,2,0)</f>
        <v>VIC &amp; NSW</v>
      </c>
      <c r="J118" s="19" t="str">
        <f>VLOOKUP(G118,'STORE LOOKUP'!$C:$G,4,0)</f>
        <v>Harris Scarfe</v>
      </c>
      <c r="K118" s="19" t="str">
        <f>VLOOKUP(G118,'STORE LOOKUP'!$C:$G,5,0)</f>
        <v>Store</v>
      </c>
      <c r="L118" s="17" t="str">
        <f>VLOOKUP(C118,'FIN CAL LOOKUP'!A:J,7,1)</f>
        <v>APR, FY24</v>
      </c>
      <c r="M118" s="17" t="str">
        <f>VLOOKUP(C118,'FIN CAL LOOKUP'!A:J,10,1)</f>
        <v>Q4, FY24</v>
      </c>
    </row>
    <row r="119" spans="1:13" x14ac:dyDescent="0.25">
      <c r="A119" t="s">
        <v>302</v>
      </c>
      <c r="B119" s="1">
        <v>45403.44027777778</v>
      </c>
      <c r="C119" s="1">
        <v>45401.65625</v>
      </c>
      <c r="D119" t="s">
        <v>303</v>
      </c>
      <c r="E119" t="s">
        <v>10</v>
      </c>
      <c r="F119" t="s">
        <v>11</v>
      </c>
      <c r="G119" t="s">
        <v>304</v>
      </c>
      <c r="H119" t="s">
        <v>13</v>
      </c>
      <c r="I119" s="19" t="str">
        <f>VLOOKUP(G119,'STORE LOOKUP'!$C:$G,2,0)</f>
        <v>QLD NW / NT</v>
      </c>
      <c r="J119" s="19" t="str">
        <f>VLOOKUP(G119,'STORE LOOKUP'!$C:$G,4,0)</f>
        <v>Anaconda</v>
      </c>
      <c r="K119" s="19" t="str">
        <f>VLOOKUP(G119,'STORE LOOKUP'!$C:$G,5,0)</f>
        <v>Store</v>
      </c>
      <c r="L119" s="17" t="str">
        <f>VLOOKUP(C119,'FIN CAL LOOKUP'!A:J,7,1)</f>
        <v>APR, FY24</v>
      </c>
      <c r="M119" s="17" t="str">
        <f>VLOOKUP(C119,'FIN CAL LOOKUP'!A:J,10,1)</f>
        <v>Q4, FY24</v>
      </c>
    </row>
    <row r="120" spans="1:13" x14ac:dyDescent="0.25">
      <c r="A120" t="s">
        <v>305</v>
      </c>
      <c r="B120" s="1">
        <v>45404.472222222219</v>
      </c>
      <c r="C120" s="1">
        <v>45403.65625</v>
      </c>
      <c r="D120" t="s">
        <v>306</v>
      </c>
      <c r="E120" t="s">
        <v>10</v>
      </c>
      <c r="F120" t="s">
        <v>11</v>
      </c>
      <c r="G120" t="s">
        <v>307</v>
      </c>
      <c r="H120" t="s">
        <v>135</v>
      </c>
      <c r="I120" s="19" t="str">
        <f>VLOOKUP(G120,'STORE LOOKUP'!$C:$G,2,0)</f>
        <v>NSW North / QLD South</v>
      </c>
      <c r="J120" s="19" t="str">
        <f>VLOOKUP(G120,'STORE LOOKUP'!$C:$G,4,0)</f>
        <v>Spotlight AU</v>
      </c>
      <c r="K120" s="19" t="str">
        <f>VLOOKUP(G120,'STORE LOOKUP'!$C:$G,5,0)</f>
        <v>Store</v>
      </c>
      <c r="L120" s="17" t="str">
        <f>VLOOKUP(C120,'FIN CAL LOOKUP'!A:J,7,1)</f>
        <v>APR, FY24</v>
      </c>
      <c r="M120" s="17" t="str">
        <f>VLOOKUP(C120,'FIN CAL LOOKUP'!A:J,10,1)</f>
        <v>Q4, FY24</v>
      </c>
    </row>
    <row r="121" spans="1:13" x14ac:dyDescent="0.25">
      <c r="A121" t="s">
        <v>308</v>
      </c>
      <c r="B121" s="1">
        <v>45405.645138888889</v>
      </c>
      <c r="C121" s="1">
        <v>45404.64166666667</v>
      </c>
      <c r="D121" t="s">
        <v>309</v>
      </c>
      <c r="E121" t="s">
        <v>10</v>
      </c>
      <c r="F121" t="s">
        <v>11</v>
      </c>
      <c r="G121" t="s">
        <v>310</v>
      </c>
      <c r="H121" t="s">
        <v>135</v>
      </c>
      <c r="I121" s="19" t="str">
        <f>VLOOKUP(G121,'STORE LOOKUP'!$C:$G,2,0)</f>
        <v>NSW Central</v>
      </c>
      <c r="J121" s="19" t="str">
        <f>VLOOKUP(G121,'STORE LOOKUP'!$C:$G,4,0)</f>
        <v>Spotlight AU</v>
      </c>
      <c r="K121" s="19" t="str">
        <f>VLOOKUP(G121,'STORE LOOKUP'!$C:$G,5,0)</f>
        <v>Store</v>
      </c>
      <c r="L121" s="17" t="str">
        <f>VLOOKUP(C121,'FIN CAL LOOKUP'!A:J,7,1)</f>
        <v>MAY, FY24</v>
      </c>
      <c r="M121" s="17" t="str">
        <f>VLOOKUP(C121,'FIN CAL LOOKUP'!A:J,10,1)</f>
        <v>Q4, FY24</v>
      </c>
    </row>
    <row r="122" spans="1:13" x14ac:dyDescent="0.25">
      <c r="A122" t="s">
        <v>311</v>
      </c>
      <c r="B122" s="1">
        <v>45405.782638888886</v>
      </c>
      <c r="C122" s="1">
        <v>45405.666666666664</v>
      </c>
      <c r="D122" t="s">
        <v>291</v>
      </c>
      <c r="E122" t="s">
        <v>10</v>
      </c>
      <c r="F122" t="s">
        <v>11</v>
      </c>
      <c r="G122" t="s">
        <v>292</v>
      </c>
      <c r="H122" t="s">
        <v>106</v>
      </c>
      <c r="I122" s="19" t="str">
        <f>VLOOKUP(G122,'STORE LOOKUP'!$C:$G,2,0)</f>
        <v>WA</v>
      </c>
      <c r="J122" s="19" t="str">
        <f>VLOOKUP(G122,'STORE LOOKUP'!$C:$G,4,0)</f>
        <v>Anaconda</v>
      </c>
      <c r="K122" s="19" t="str">
        <f>VLOOKUP(G122,'STORE LOOKUP'!$C:$G,5,0)</f>
        <v>Store</v>
      </c>
      <c r="L122" s="17" t="str">
        <f>VLOOKUP(C122,'FIN CAL LOOKUP'!A:J,7,1)</f>
        <v>MAY, FY24</v>
      </c>
      <c r="M122" s="17" t="str">
        <f>VLOOKUP(C122,'FIN CAL LOOKUP'!A:J,10,1)</f>
        <v>Q4, FY24</v>
      </c>
    </row>
    <row r="123" spans="1:13" x14ac:dyDescent="0.25">
      <c r="A123" t="s">
        <v>312</v>
      </c>
      <c r="B123" s="1">
        <v>45408.410416666666</v>
      </c>
      <c r="C123" s="1">
        <v>45408.246527777781</v>
      </c>
      <c r="D123" t="s">
        <v>313</v>
      </c>
      <c r="E123" t="s">
        <v>10</v>
      </c>
      <c r="F123" t="s">
        <v>11</v>
      </c>
      <c r="G123" t="s">
        <v>314</v>
      </c>
      <c r="H123" t="s">
        <v>110</v>
      </c>
      <c r="I123" s="19" t="str">
        <f>VLOOKUP(G123,'STORE LOOKUP'!$C:$G,2,0)</f>
        <v>New Zealand South</v>
      </c>
      <c r="J123" s="19" t="str">
        <f>VLOOKUP(G123,'STORE LOOKUP'!$C:$G,4,0)</f>
        <v>Spotlight NZ</v>
      </c>
      <c r="K123" s="19" t="str">
        <f>VLOOKUP(G123,'STORE LOOKUP'!$C:$G,5,0)</f>
        <v>Store</v>
      </c>
      <c r="L123" s="17" t="str">
        <f>VLOOKUP(C123,'FIN CAL LOOKUP'!A:J,7,1)</f>
        <v>MAY, FY24</v>
      </c>
      <c r="M123" s="17" t="str">
        <f>VLOOKUP(C123,'FIN CAL LOOKUP'!A:J,10,1)</f>
        <v>Q4, FY24</v>
      </c>
    </row>
    <row r="124" spans="1:13" x14ac:dyDescent="0.25">
      <c r="A124" t="s">
        <v>315</v>
      </c>
      <c r="B124" s="1">
        <v>45415.697222222225</v>
      </c>
      <c r="C124" s="1">
        <v>45415.486805555556</v>
      </c>
      <c r="D124" t="s">
        <v>316</v>
      </c>
      <c r="E124" t="s">
        <v>10</v>
      </c>
      <c r="F124" t="s">
        <v>11</v>
      </c>
      <c r="G124" t="s">
        <v>317</v>
      </c>
      <c r="H124" t="s">
        <v>183</v>
      </c>
      <c r="I124" s="19" t="str">
        <f>VLOOKUP(G124,'STORE LOOKUP'!$C:$G,2,0)</f>
        <v>NSW/ACT</v>
      </c>
      <c r="J124" s="19" t="str">
        <f>VLOOKUP(G124,'STORE LOOKUP'!$C:$G,4,0)</f>
        <v>Harris Scarfe</v>
      </c>
      <c r="K124" s="19" t="str">
        <f>VLOOKUP(G124,'STORE LOOKUP'!$C:$G,5,0)</f>
        <v>Store</v>
      </c>
      <c r="L124" s="17" t="str">
        <f>VLOOKUP(C124,'FIN CAL LOOKUP'!A:J,7,1)</f>
        <v>MAY, FY24</v>
      </c>
      <c r="M124" s="17" t="str">
        <f>VLOOKUP(C124,'FIN CAL LOOKUP'!A:J,10,1)</f>
        <v>Q4, FY24</v>
      </c>
    </row>
    <row r="125" spans="1:13" x14ac:dyDescent="0.25">
      <c r="A125" t="s">
        <v>318</v>
      </c>
      <c r="B125" s="1">
        <v>45416.629861111112</v>
      </c>
      <c r="C125" s="1">
        <v>45416.534722222219</v>
      </c>
      <c r="D125" t="s">
        <v>166</v>
      </c>
      <c r="E125" t="s">
        <v>10</v>
      </c>
      <c r="F125" t="s">
        <v>11</v>
      </c>
      <c r="G125" t="s">
        <v>167</v>
      </c>
      <c r="H125" t="s">
        <v>120</v>
      </c>
      <c r="I125" s="19" t="str">
        <f>VLOOKUP(G125,'STORE LOOKUP'!$C:$G,2,0)</f>
        <v>VIC &amp; NSW</v>
      </c>
      <c r="J125" s="19" t="str">
        <f>VLOOKUP(G125,'STORE LOOKUP'!$C:$G,4,0)</f>
        <v>Harris Scarfe</v>
      </c>
      <c r="K125" s="19" t="str">
        <f>VLOOKUP(G125,'STORE LOOKUP'!$C:$G,5,0)</f>
        <v>Store</v>
      </c>
      <c r="L125" s="17" t="str">
        <f>VLOOKUP(C125,'FIN CAL LOOKUP'!A:J,7,1)</f>
        <v>MAY, FY24</v>
      </c>
      <c r="M125" s="17" t="str">
        <f>VLOOKUP(C125,'FIN CAL LOOKUP'!A:J,10,1)</f>
        <v>Q4, FY24</v>
      </c>
    </row>
    <row r="126" spans="1:13" x14ac:dyDescent="0.25">
      <c r="A126" t="s">
        <v>319</v>
      </c>
      <c r="B126" s="1">
        <v>45419.393055555556</v>
      </c>
      <c r="C126" s="1">
        <v>45404.383333333331</v>
      </c>
      <c r="D126" t="s">
        <v>320</v>
      </c>
      <c r="E126" t="s">
        <v>10</v>
      </c>
      <c r="F126" t="s">
        <v>11</v>
      </c>
      <c r="G126" t="s">
        <v>321</v>
      </c>
      <c r="H126" t="s">
        <v>56</v>
      </c>
      <c r="I126" s="19" t="str">
        <f>VLOOKUP(G126,'STORE LOOKUP'!$C:$G,2,0)</f>
        <v>VIC East</v>
      </c>
      <c r="J126" s="19" t="str">
        <f>VLOOKUP(G126,'STORE LOOKUP'!$C:$G,4,0)</f>
        <v>Spotlight AU</v>
      </c>
      <c r="K126" s="19" t="str">
        <f>VLOOKUP(G126,'STORE LOOKUP'!$C:$G,5,0)</f>
        <v>Store</v>
      </c>
      <c r="L126" s="17" t="str">
        <f>VLOOKUP(C126,'FIN CAL LOOKUP'!A:J,7,1)</f>
        <v>MAY, FY24</v>
      </c>
      <c r="M126" s="17" t="str">
        <f>VLOOKUP(C126,'FIN CAL LOOKUP'!A:J,10,1)</f>
        <v>Q4, FY24</v>
      </c>
    </row>
    <row r="127" spans="1:13" x14ac:dyDescent="0.25">
      <c r="A127" t="s">
        <v>322</v>
      </c>
      <c r="B127" s="1">
        <v>45419.512499999997</v>
      </c>
      <c r="C127" s="1">
        <v>45418.625</v>
      </c>
      <c r="D127" t="s">
        <v>320</v>
      </c>
      <c r="E127" t="s">
        <v>10</v>
      </c>
      <c r="F127" t="s">
        <v>11</v>
      </c>
      <c r="G127" t="s">
        <v>321</v>
      </c>
      <c r="H127" t="s">
        <v>56</v>
      </c>
      <c r="I127" s="19" t="str">
        <f>VLOOKUP(G127,'STORE LOOKUP'!$C:$G,2,0)</f>
        <v>VIC East</v>
      </c>
      <c r="J127" s="19" t="str">
        <f>VLOOKUP(G127,'STORE LOOKUP'!$C:$G,4,0)</f>
        <v>Spotlight AU</v>
      </c>
      <c r="K127" s="19" t="str">
        <f>VLOOKUP(G127,'STORE LOOKUP'!$C:$G,5,0)</f>
        <v>Store</v>
      </c>
      <c r="L127" s="17" t="str">
        <f>VLOOKUP(C127,'FIN CAL LOOKUP'!A:J,7,1)</f>
        <v>MAY, FY24</v>
      </c>
      <c r="M127" s="17" t="str">
        <f>VLOOKUP(C127,'FIN CAL LOOKUP'!A:J,10,1)</f>
        <v>Q4, FY24</v>
      </c>
    </row>
    <row r="128" spans="1:13" x14ac:dyDescent="0.25">
      <c r="A128" t="s">
        <v>323</v>
      </c>
      <c r="B128" s="1">
        <v>45419.734027777777</v>
      </c>
      <c r="C128" s="1">
        <v>45415.722222222219</v>
      </c>
      <c r="D128" t="s">
        <v>324</v>
      </c>
      <c r="E128" t="s">
        <v>10</v>
      </c>
      <c r="F128" t="s">
        <v>11</v>
      </c>
      <c r="G128" t="s">
        <v>20</v>
      </c>
      <c r="H128" t="s">
        <v>21</v>
      </c>
      <c r="I128" s="19" t="str">
        <f>VLOOKUP(G128,'STORE LOOKUP'!$C:$G,2,0)</f>
        <v>SA/NT</v>
      </c>
      <c r="J128" s="19" t="str">
        <f>VLOOKUP(G128,'STORE LOOKUP'!$C:$G,4,0)</f>
        <v>Spotlight AU</v>
      </c>
      <c r="K128" s="19" t="str">
        <f>VLOOKUP(G128,'STORE LOOKUP'!$C:$G,5,0)</f>
        <v>Store</v>
      </c>
      <c r="L128" s="17" t="str">
        <f>VLOOKUP(C128,'FIN CAL LOOKUP'!A:J,7,1)</f>
        <v>MAY, FY24</v>
      </c>
      <c r="M128" s="17" t="str">
        <f>VLOOKUP(C128,'FIN CAL LOOKUP'!A:J,10,1)</f>
        <v>Q4, FY24</v>
      </c>
    </row>
    <row r="129" spans="1:13" x14ac:dyDescent="0.25">
      <c r="A129" t="s">
        <v>325</v>
      </c>
      <c r="B129" s="1">
        <v>45425.427777777775</v>
      </c>
      <c r="C129" s="1">
        <v>45423.4375</v>
      </c>
      <c r="D129" t="s">
        <v>326</v>
      </c>
      <c r="E129" t="s">
        <v>10</v>
      </c>
      <c r="F129" t="s">
        <v>11</v>
      </c>
      <c r="G129" t="s">
        <v>327</v>
      </c>
      <c r="H129" t="s">
        <v>40</v>
      </c>
      <c r="I129" s="19" t="str">
        <f>VLOOKUP(G129,'STORE LOOKUP'!$C:$G,2,0)</f>
        <v>SPG Development</v>
      </c>
      <c r="J129" s="19" t="str">
        <f>VLOOKUP(G129,'STORE LOOKUP'!$C:$G,4,0)</f>
        <v>Spotlight Group Holdings</v>
      </c>
      <c r="K129" s="19" t="str">
        <f>VLOOKUP(G129,'STORE LOOKUP'!$C:$G,5,0)</f>
        <v>SG</v>
      </c>
      <c r="L129" s="17" t="str">
        <f>VLOOKUP(C129,'FIN CAL LOOKUP'!A:J,7,1)</f>
        <v>MAY, FY24</v>
      </c>
      <c r="M129" s="17" t="str">
        <f>VLOOKUP(C129,'FIN CAL LOOKUP'!A:J,10,1)</f>
        <v>Q4, FY24</v>
      </c>
    </row>
    <row r="130" spans="1:13" x14ac:dyDescent="0.25">
      <c r="A130" t="s">
        <v>328</v>
      </c>
      <c r="B130" s="1">
        <v>45426.490277777775</v>
      </c>
      <c r="C130" s="1">
        <v>45426.381944444445</v>
      </c>
      <c r="D130" t="s">
        <v>104</v>
      </c>
      <c r="E130" t="s">
        <v>10</v>
      </c>
      <c r="F130" t="s">
        <v>11</v>
      </c>
      <c r="G130" t="s">
        <v>105</v>
      </c>
      <c r="H130" t="s">
        <v>106</v>
      </c>
      <c r="I130" s="19" t="str">
        <f>VLOOKUP(G130,'STORE LOOKUP'!$C:$G,2,0)</f>
        <v>WA</v>
      </c>
      <c r="J130" s="19" t="str">
        <f>VLOOKUP(G130,'STORE LOOKUP'!$C:$G,4,0)</f>
        <v>Anaconda</v>
      </c>
      <c r="K130" s="19" t="str">
        <f>VLOOKUP(G130,'STORE LOOKUP'!$C:$G,5,0)</f>
        <v>Store</v>
      </c>
      <c r="L130" s="17" t="str">
        <f>VLOOKUP(C130,'FIN CAL LOOKUP'!A:J,7,1)</f>
        <v>MAY, FY24</v>
      </c>
      <c r="M130" s="17" t="str">
        <f>VLOOKUP(C130,'FIN CAL LOOKUP'!A:J,10,1)</f>
        <v>Q4, FY24</v>
      </c>
    </row>
    <row r="131" spans="1:13" x14ac:dyDescent="0.25">
      <c r="A131" t="s">
        <v>329</v>
      </c>
      <c r="B131" s="1">
        <v>45428.401388888888</v>
      </c>
      <c r="C131" s="1">
        <v>45427.390972222223</v>
      </c>
      <c r="D131" t="s">
        <v>244</v>
      </c>
      <c r="E131" t="s">
        <v>10</v>
      </c>
      <c r="F131" t="s">
        <v>11</v>
      </c>
      <c r="G131" t="s">
        <v>245</v>
      </c>
      <c r="H131" t="s">
        <v>120</v>
      </c>
      <c r="I131" s="19" t="str">
        <f>VLOOKUP(G131,'STORE LOOKUP'!$C:$G,2,0)</f>
        <v>VIC</v>
      </c>
      <c r="J131" s="19" t="str">
        <f>VLOOKUP(G131,'STORE LOOKUP'!$C:$G,4,0)</f>
        <v>Harris Scarfe</v>
      </c>
      <c r="K131" s="19" t="str">
        <f>VLOOKUP(G131,'STORE LOOKUP'!$C:$G,5,0)</f>
        <v>Store</v>
      </c>
      <c r="L131" s="17" t="str">
        <f>VLOOKUP(C131,'FIN CAL LOOKUP'!A:J,7,1)</f>
        <v>MAY, FY24</v>
      </c>
      <c r="M131" s="17" t="str">
        <f>VLOOKUP(C131,'FIN CAL LOOKUP'!A:J,10,1)</f>
        <v>Q4, FY24</v>
      </c>
    </row>
    <row r="132" spans="1:13" x14ac:dyDescent="0.25">
      <c r="A132" t="s">
        <v>330</v>
      </c>
      <c r="B132" s="1">
        <v>45428.647916666669</v>
      </c>
      <c r="C132" s="1">
        <v>45428.583333333336</v>
      </c>
      <c r="D132" t="s">
        <v>309</v>
      </c>
      <c r="E132" t="s">
        <v>10</v>
      </c>
      <c r="F132" t="s">
        <v>11</v>
      </c>
      <c r="G132" t="s">
        <v>310</v>
      </c>
      <c r="H132" t="s">
        <v>135</v>
      </c>
      <c r="I132" s="19" t="str">
        <f>VLOOKUP(G132,'STORE LOOKUP'!$C:$G,2,0)</f>
        <v>NSW Central</v>
      </c>
      <c r="J132" s="19" t="str">
        <f>VLOOKUP(G132,'STORE LOOKUP'!$C:$G,4,0)</f>
        <v>Spotlight AU</v>
      </c>
      <c r="K132" s="19" t="str">
        <f>VLOOKUP(G132,'STORE LOOKUP'!$C:$G,5,0)</f>
        <v>Store</v>
      </c>
      <c r="L132" s="17" t="str">
        <f>VLOOKUP(C132,'FIN CAL LOOKUP'!A:J,7,1)</f>
        <v>MAY, FY24</v>
      </c>
      <c r="M132" s="17" t="str">
        <f>VLOOKUP(C132,'FIN CAL LOOKUP'!A:J,10,1)</f>
        <v>Q4, FY24</v>
      </c>
    </row>
    <row r="133" spans="1:13" x14ac:dyDescent="0.25">
      <c r="A133" t="s">
        <v>331</v>
      </c>
      <c r="B133" s="1">
        <v>45430.644444444442</v>
      </c>
      <c r="C133" s="1">
        <v>45430.377083333333</v>
      </c>
      <c r="D133" t="s">
        <v>235</v>
      </c>
      <c r="E133" t="s">
        <v>10</v>
      </c>
      <c r="F133" t="s">
        <v>11</v>
      </c>
      <c r="G133" t="s">
        <v>236</v>
      </c>
      <c r="H133" t="s">
        <v>88</v>
      </c>
      <c r="I133" s="19" t="str">
        <f>VLOOKUP(G133,'STORE LOOKUP'!$C:$G,2,0)</f>
        <v>NSW North</v>
      </c>
      <c r="J133" s="19" t="str">
        <f>VLOOKUP(G133,'STORE LOOKUP'!$C:$G,4,0)</f>
        <v>Anaconda</v>
      </c>
      <c r="K133" s="19" t="str">
        <f>VLOOKUP(G133,'STORE LOOKUP'!$C:$G,5,0)</f>
        <v>Store</v>
      </c>
      <c r="L133" s="17" t="str">
        <f>VLOOKUP(C133,'FIN CAL LOOKUP'!A:J,7,1)</f>
        <v>MAY, FY24</v>
      </c>
      <c r="M133" s="17" t="str">
        <f>VLOOKUP(C133,'FIN CAL LOOKUP'!A:J,10,1)</f>
        <v>Q4, FY24</v>
      </c>
    </row>
    <row r="134" spans="1:13" x14ac:dyDescent="0.25">
      <c r="A134" t="s">
        <v>332</v>
      </c>
      <c r="B134" s="1">
        <v>45432.738194444442</v>
      </c>
      <c r="C134" s="1">
        <v>45432.722222222219</v>
      </c>
      <c r="D134" t="s">
        <v>333</v>
      </c>
      <c r="E134" t="s">
        <v>10</v>
      </c>
      <c r="F134" t="s">
        <v>11</v>
      </c>
      <c r="G134" t="s">
        <v>334</v>
      </c>
      <c r="H134" t="s">
        <v>56</v>
      </c>
      <c r="I134" s="19" t="str">
        <f>VLOOKUP(G134,'STORE LOOKUP'!$C:$G,2,0)</f>
        <v>VIC West</v>
      </c>
      <c r="J134" s="19" t="str">
        <f>VLOOKUP(G134,'STORE LOOKUP'!$C:$G,4,0)</f>
        <v>Spotlight AU</v>
      </c>
      <c r="K134" s="19" t="str">
        <f>VLOOKUP(G134,'STORE LOOKUP'!$C:$G,5,0)</f>
        <v>Store</v>
      </c>
      <c r="L134" s="17" t="str">
        <f>VLOOKUP(C134,'FIN CAL LOOKUP'!A:J,7,1)</f>
        <v>MAY, FY24</v>
      </c>
      <c r="M134" s="17" t="str">
        <f>VLOOKUP(C134,'FIN CAL LOOKUP'!A:J,10,1)</f>
        <v>Q4, FY24</v>
      </c>
    </row>
    <row r="135" spans="1:13" x14ac:dyDescent="0.25">
      <c r="A135" t="s">
        <v>335</v>
      </c>
      <c r="B135" s="1">
        <v>45433.365972222222</v>
      </c>
      <c r="C135" s="1">
        <v>45432.48333333333</v>
      </c>
      <c r="D135" t="s">
        <v>336</v>
      </c>
      <c r="E135" t="s">
        <v>10</v>
      </c>
      <c r="F135" t="s">
        <v>11</v>
      </c>
      <c r="G135" t="s">
        <v>337</v>
      </c>
      <c r="H135" t="s">
        <v>88</v>
      </c>
      <c r="I135" s="19" t="str">
        <f>VLOOKUP(G135,'STORE LOOKUP'!$C:$G,2,0)</f>
        <v>NSW South</v>
      </c>
      <c r="J135" s="19" t="str">
        <f>VLOOKUP(G135,'STORE LOOKUP'!$C:$G,4,0)</f>
        <v>Anaconda</v>
      </c>
      <c r="K135" s="19" t="str">
        <f>VLOOKUP(G135,'STORE LOOKUP'!$C:$G,5,0)</f>
        <v>Store</v>
      </c>
      <c r="L135" s="17" t="str">
        <f>VLOOKUP(C135,'FIN CAL LOOKUP'!A:J,7,1)</f>
        <v>MAY, FY24</v>
      </c>
      <c r="M135" s="17" t="str">
        <f>VLOOKUP(C135,'FIN CAL LOOKUP'!A:J,10,1)</f>
        <v>Q4, FY24</v>
      </c>
    </row>
    <row r="136" spans="1:13" x14ac:dyDescent="0.25">
      <c r="A136" t="s">
        <v>338</v>
      </c>
      <c r="B136" s="1">
        <v>45433.606249999997</v>
      </c>
      <c r="C136" s="1">
        <v>45433.595138888886</v>
      </c>
      <c r="D136" t="s">
        <v>309</v>
      </c>
      <c r="E136" t="s">
        <v>10</v>
      </c>
      <c r="F136" t="s">
        <v>11</v>
      </c>
      <c r="G136" t="s">
        <v>310</v>
      </c>
      <c r="H136" t="s">
        <v>135</v>
      </c>
      <c r="I136" s="19" t="str">
        <f>VLOOKUP(G136,'STORE LOOKUP'!$C:$G,2,0)</f>
        <v>NSW Central</v>
      </c>
      <c r="J136" s="19" t="str">
        <f>VLOOKUP(G136,'STORE LOOKUP'!$C:$G,4,0)</f>
        <v>Spotlight AU</v>
      </c>
      <c r="K136" s="19" t="str">
        <f>VLOOKUP(G136,'STORE LOOKUP'!$C:$G,5,0)</f>
        <v>Store</v>
      </c>
      <c r="L136" s="17" t="str">
        <f>VLOOKUP(C136,'FIN CAL LOOKUP'!A:J,7,1)</f>
        <v>MAY, FY24</v>
      </c>
      <c r="M136" s="17" t="str">
        <f>VLOOKUP(C136,'FIN CAL LOOKUP'!A:J,10,1)</f>
        <v>Q4, FY24</v>
      </c>
    </row>
    <row r="137" spans="1:13" x14ac:dyDescent="0.25">
      <c r="A137" t="s">
        <v>339</v>
      </c>
      <c r="B137" s="1">
        <v>45435.863194444442</v>
      </c>
      <c r="C137" s="1">
        <v>45435.809027777781</v>
      </c>
      <c r="D137" t="s">
        <v>264</v>
      </c>
      <c r="E137" t="s">
        <v>10</v>
      </c>
      <c r="F137" t="s">
        <v>11</v>
      </c>
      <c r="G137" t="s">
        <v>265</v>
      </c>
      <c r="H137" t="s">
        <v>120</v>
      </c>
      <c r="I137" s="19" t="str">
        <f>VLOOKUP(G137,'STORE LOOKUP'!$C:$G,2,0)</f>
        <v>VIC &amp; NSW</v>
      </c>
      <c r="J137" s="19" t="str">
        <f>VLOOKUP(G137,'STORE LOOKUP'!$C:$G,4,0)</f>
        <v>Harris Scarfe</v>
      </c>
      <c r="K137" s="19" t="str">
        <f>VLOOKUP(G137,'STORE LOOKUP'!$C:$G,5,0)</f>
        <v>Store</v>
      </c>
      <c r="L137" s="17" t="str">
        <f>VLOOKUP(C137,'FIN CAL LOOKUP'!A:J,7,1)</f>
        <v>MAY, FY24</v>
      </c>
      <c r="M137" s="17" t="str">
        <f>VLOOKUP(C137,'FIN CAL LOOKUP'!A:J,10,1)</f>
        <v>Q4, FY24</v>
      </c>
    </row>
    <row r="138" spans="1:13" x14ac:dyDescent="0.25">
      <c r="A138" t="s">
        <v>340</v>
      </c>
      <c r="B138" s="1">
        <v>45437.588888888888</v>
      </c>
      <c r="C138" s="1">
        <v>45437.545138888891</v>
      </c>
      <c r="D138" t="s">
        <v>189</v>
      </c>
      <c r="E138" t="s">
        <v>10</v>
      </c>
      <c r="F138" t="s">
        <v>11</v>
      </c>
      <c r="G138" t="s">
        <v>190</v>
      </c>
      <c r="H138" t="s">
        <v>17</v>
      </c>
      <c r="I138" s="19" t="str">
        <f>VLOOKUP(G138,'STORE LOOKUP'!$C:$G,2,0)</f>
        <v>QLD NW / NT</v>
      </c>
      <c r="J138" s="19" t="str">
        <f>VLOOKUP(G138,'STORE LOOKUP'!$C:$G,4,0)</f>
        <v>Anaconda</v>
      </c>
      <c r="K138" s="19" t="str">
        <f>VLOOKUP(G138,'STORE LOOKUP'!$C:$G,5,0)</f>
        <v>Store</v>
      </c>
      <c r="L138" s="17" t="str">
        <f>VLOOKUP(C138,'FIN CAL LOOKUP'!A:J,7,1)</f>
        <v>MAY, FY24</v>
      </c>
      <c r="M138" s="17" t="str">
        <f>VLOOKUP(C138,'FIN CAL LOOKUP'!A:J,10,1)</f>
        <v>Q4, FY24</v>
      </c>
    </row>
    <row r="139" spans="1:13" x14ac:dyDescent="0.25">
      <c r="A139" t="s">
        <v>341</v>
      </c>
      <c r="B139" s="1">
        <v>45438.511111111111</v>
      </c>
      <c r="C139" s="1">
        <v>45437.708333333336</v>
      </c>
      <c r="D139" t="s">
        <v>189</v>
      </c>
      <c r="E139" t="s">
        <v>10</v>
      </c>
      <c r="F139" t="s">
        <v>11</v>
      </c>
      <c r="G139" t="s">
        <v>190</v>
      </c>
      <c r="H139" t="s">
        <v>17</v>
      </c>
      <c r="I139" s="19" t="str">
        <f>VLOOKUP(G139,'STORE LOOKUP'!$C:$G,2,0)</f>
        <v>QLD NW / NT</v>
      </c>
      <c r="J139" s="19" t="str">
        <f>VLOOKUP(G139,'STORE LOOKUP'!$C:$G,4,0)</f>
        <v>Anaconda</v>
      </c>
      <c r="K139" s="19" t="str">
        <f>VLOOKUP(G139,'STORE LOOKUP'!$C:$G,5,0)</f>
        <v>Store</v>
      </c>
      <c r="L139" s="17" t="str">
        <f>VLOOKUP(C139,'FIN CAL LOOKUP'!A:J,7,1)</f>
        <v>MAY, FY24</v>
      </c>
      <c r="M139" s="17" t="str">
        <f>VLOOKUP(C139,'FIN CAL LOOKUP'!A:J,10,1)</f>
        <v>Q4, FY24</v>
      </c>
    </row>
    <row r="140" spans="1:13" x14ac:dyDescent="0.25">
      <c r="A140" t="s">
        <v>342</v>
      </c>
      <c r="B140" s="1">
        <v>45439.457638888889</v>
      </c>
      <c r="C140" s="1">
        <v>45439.395833333336</v>
      </c>
      <c r="D140" t="s">
        <v>324</v>
      </c>
      <c r="E140" t="s">
        <v>10</v>
      </c>
      <c r="F140" t="s">
        <v>11</v>
      </c>
      <c r="G140" t="s">
        <v>20</v>
      </c>
      <c r="H140" t="s">
        <v>21</v>
      </c>
      <c r="I140" s="19" t="str">
        <f>VLOOKUP(G140,'STORE LOOKUP'!$C:$G,2,0)</f>
        <v>SA/NT</v>
      </c>
      <c r="J140" s="19" t="str">
        <f>VLOOKUP(G140,'STORE LOOKUP'!$C:$G,4,0)</f>
        <v>Spotlight AU</v>
      </c>
      <c r="K140" s="19" t="str">
        <f>VLOOKUP(G140,'STORE LOOKUP'!$C:$G,5,0)</f>
        <v>Store</v>
      </c>
      <c r="L140" s="17" t="str">
        <f>VLOOKUP(C140,'FIN CAL LOOKUP'!A:J,7,1)</f>
        <v>JUN, FY24</v>
      </c>
      <c r="M140" s="17" t="str">
        <f>VLOOKUP(C140,'FIN CAL LOOKUP'!A:J,10,1)</f>
        <v>Q4, FY24</v>
      </c>
    </row>
    <row r="141" spans="1:13" x14ac:dyDescent="0.25">
      <c r="A141" t="s">
        <v>343</v>
      </c>
      <c r="B141" s="1">
        <v>45439.718055555553</v>
      </c>
      <c r="C141" s="1">
        <v>45438.751388888886</v>
      </c>
      <c r="D141" t="s">
        <v>344</v>
      </c>
      <c r="E141" t="s">
        <v>10</v>
      </c>
      <c r="F141" t="s">
        <v>11</v>
      </c>
      <c r="G141" t="s">
        <v>345</v>
      </c>
      <c r="H141" t="s">
        <v>44</v>
      </c>
      <c r="I141" s="19" t="str">
        <f>VLOOKUP(G141,'STORE LOOKUP'!$C:$G,2,0)</f>
        <v>WA</v>
      </c>
      <c r="J141" s="19" t="str">
        <f>VLOOKUP(G141,'STORE LOOKUP'!$C:$G,4,0)</f>
        <v>Spotlight AU</v>
      </c>
      <c r="K141" s="19" t="str">
        <f>VLOOKUP(G141,'STORE LOOKUP'!$C:$G,5,0)</f>
        <v>Store</v>
      </c>
      <c r="L141" s="17" t="str">
        <f>VLOOKUP(C141,'FIN CAL LOOKUP'!A:J,7,1)</f>
        <v>MAY, FY24</v>
      </c>
      <c r="M141" s="17" t="str">
        <f>VLOOKUP(C141,'FIN CAL LOOKUP'!A:J,10,1)</f>
        <v>Q4, FY24</v>
      </c>
    </row>
    <row r="142" spans="1:13" x14ac:dyDescent="0.25">
      <c r="A142" t="s">
        <v>346</v>
      </c>
      <c r="B142" s="1">
        <v>45440.696527777778</v>
      </c>
      <c r="C142" s="1">
        <v>45440.65</v>
      </c>
      <c r="D142" t="s">
        <v>189</v>
      </c>
      <c r="E142" t="s">
        <v>10</v>
      </c>
      <c r="F142" t="s">
        <v>11</v>
      </c>
      <c r="G142" t="s">
        <v>190</v>
      </c>
      <c r="H142" t="s">
        <v>17</v>
      </c>
      <c r="I142" s="19" t="str">
        <f>VLOOKUP(G142,'STORE LOOKUP'!$C:$G,2,0)</f>
        <v>QLD NW / NT</v>
      </c>
      <c r="J142" s="19" t="str">
        <f>VLOOKUP(G142,'STORE LOOKUP'!$C:$G,4,0)</f>
        <v>Anaconda</v>
      </c>
      <c r="K142" s="19" t="str">
        <f>VLOOKUP(G142,'STORE LOOKUP'!$C:$G,5,0)</f>
        <v>Store</v>
      </c>
      <c r="L142" s="17" t="str">
        <f>VLOOKUP(C142,'FIN CAL LOOKUP'!A:J,7,1)</f>
        <v>JUN, FY24</v>
      </c>
      <c r="M142" s="17" t="str">
        <f>VLOOKUP(C142,'FIN CAL LOOKUP'!A:J,10,1)</f>
        <v>Q4, FY24</v>
      </c>
    </row>
    <row r="143" spans="1:13" x14ac:dyDescent="0.25">
      <c r="A143" t="s">
        <v>347</v>
      </c>
      <c r="B143" s="1">
        <v>45441.526388888888</v>
      </c>
      <c r="C143" s="1">
        <v>45441.479166666664</v>
      </c>
      <c r="D143" t="s">
        <v>348</v>
      </c>
      <c r="E143" t="s">
        <v>10</v>
      </c>
      <c r="F143" t="s">
        <v>11</v>
      </c>
      <c r="G143" t="s">
        <v>349</v>
      </c>
      <c r="H143" t="s">
        <v>135</v>
      </c>
      <c r="I143" s="19" t="str">
        <f>VLOOKUP(G143,'STORE LOOKUP'!$C:$G,2,0)</f>
        <v>NSW North / QLD South</v>
      </c>
      <c r="J143" s="19" t="str">
        <f>VLOOKUP(G143,'STORE LOOKUP'!$C:$G,4,0)</f>
        <v>Spotlight AU</v>
      </c>
      <c r="K143" s="19" t="str">
        <f>VLOOKUP(G143,'STORE LOOKUP'!$C:$G,5,0)</f>
        <v>Store</v>
      </c>
      <c r="L143" s="17" t="str">
        <f>VLOOKUP(C143,'FIN CAL LOOKUP'!A:J,7,1)</f>
        <v>JUN, FY24</v>
      </c>
      <c r="M143" s="17" t="str">
        <f>VLOOKUP(C143,'FIN CAL LOOKUP'!A:J,10,1)</f>
        <v>Q4, FY24</v>
      </c>
    </row>
    <row r="144" spans="1:13" x14ac:dyDescent="0.25">
      <c r="A144" t="s">
        <v>350</v>
      </c>
      <c r="B144" s="1">
        <v>45442.381944444445</v>
      </c>
      <c r="C144" s="1">
        <v>45441.369444444441</v>
      </c>
      <c r="D144" t="s">
        <v>189</v>
      </c>
      <c r="E144" t="s">
        <v>10</v>
      </c>
      <c r="F144" t="s">
        <v>11</v>
      </c>
      <c r="G144" t="s">
        <v>190</v>
      </c>
      <c r="H144" t="s">
        <v>17</v>
      </c>
      <c r="I144" s="19" t="str">
        <f>VLOOKUP(G144,'STORE LOOKUP'!$C:$G,2,0)</f>
        <v>QLD NW / NT</v>
      </c>
      <c r="J144" s="19" t="str">
        <f>VLOOKUP(G144,'STORE LOOKUP'!$C:$G,4,0)</f>
        <v>Anaconda</v>
      </c>
      <c r="K144" s="19" t="str">
        <f>VLOOKUP(G144,'STORE LOOKUP'!$C:$G,5,0)</f>
        <v>Store</v>
      </c>
      <c r="L144" s="17" t="str">
        <f>VLOOKUP(C144,'FIN CAL LOOKUP'!A:J,7,1)</f>
        <v>JUN, FY24</v>
      </c>
      <c r="M144" s="17" t="str">
        <f>VLOOKUP(C144,'FIN CAL LOOKUP'!A:J,10,1)</f>
        <v>Q4, FY24</v>
      </c>
    </row>
    <row r="145" spans="1:13" x14ac:dyDescent="0.25">
      <c r="A145" t="s">
        <v>351</v>
      </c>
      <c r="B145" s="1">
        <v>45442.567361111112</v>
      </c>
      <c r="C145" s="1">
        <v>45442.534722222219</v>
      </c>
      <c r="D145" t="s">
        <v>189</v>
      </c>
      <c r="E145" t="s">
        <v>10</v>
      </c>
      <c r="F145" t="s">
        <v>11</v>
      </c>
      <c r="G145" t="s">
        <v>190</v>
      </c>
      <c r="H145" t="s">
        <v>17</v>
      </c>
      <c r="I145" s="19" t="str">
        <f>VLOOKUP(G145,'STORE LOOKUP'!$C:$G,2,0)</f>
        <v>QLD NW / NT</v>
      </c>
      <c r="J145" s="19" t="str">
        <f>VLOOKUP(G145,'STORE LOOKUP'!$C:$G,4,0)</f>
        <v>Anaconda</v>
      </c>
      <c r="K145" s="19" t="str">
        <f>VLOOKUP(G145,'STORE LOOKUP'!$C:$G,5,0)</f>
        <v>Store</v>
      </c>
      <c r="L145" s="17" t="str">
        <f>VLOOKUP(C145,'FIN CAL LOOKUP'!A:J,7,1)</f>
        <v>JUN, FY24</v>
      </c>
      <c r="M145" s="17" t="str">
        <f>VLOOKUP(C145,'FIN CAL LOOKUP'!A:J,10,1)</f>
        <v>Q4, FY24</v>
      </c>
    </row>
    <row r="146" spans="1:13" x14ac:dyDescent="0.25">
      <c r="A146" t="s">
        <v>352</v>
      </c>
      <c r="B146" s="1">
        <v>45442.645833333336</v>
      </c>
      <c r="C146" s="1">
        <v>45434.583333333336</v>
      </c>
      <c r="D146" t="s">
        <v>9</v>
      </c>
      <c r="E146" t="s">
        <v>10</v>
      </c>
      <c r="F146" t="s">
        <v>11</v>
      </c>
      <c r="G146" t="s">
        <v>12</v>
      </c>
      <c r="H146" t="s">
        <v>13</v>
      </c>
      <c r="I146" s="19" t="str">
        <f>VLOOKUP(G146,'STORE LOOKUP'!$C:$G,2,0)</f>
        <v>QLD Central</v>
      </c>
      <c r="J146" s="19" t="str">
        <f>VLOOKUP(G146,'STORE LOOKUP'!$C:$G,4,0)</f>
        <v>Anaconda</v>
      </c>
      <c r="K146" s="19" t="str">
        <f>VLOOKUP(G146,'STORE LOOKUP'!$C:$G,5,0)</f>
        <v>Store</v>
      </c>
      <c r="L146" s="17" t="str">
        <f>VLOOKUP(C146,'FIN CAL LOOKUP'!A:J,7,1)</f>
        <v>MAY, FY24</v>
      </c>
      <c r="M146" s="17" t="str">
        <f>VLOOKUP(C146,'FIN CAL LOOKUP'!A:J,10,1)</f>
        <v>Q4, FY24</v>
      </c>
    </row>
    <row r="147" spans="1:13" x14ac:dyDescent="0.25">
      <c r="A147" t="s">
        <v>353</v>
      </c>
      <c r="B147" s="1">
        <v>45442.682638888888</v>
      </c>
      <c r="C147" s="1">
        <v>45442.569444444445</v>
      </c>
      <c r="D147" t="s">
        <v>166</v>
      </c>
      <c r="E147" t="s">
        <v>10</v>
      </c>
      <c r="F147" t="s">
        <v>11</v>
      </c>
      <c r="G147" t="s">
        <v>167</v>
      </c>
      <c r="H147" t="s">
        <v>120</v>
      </c>
      <c r="I147" s="19" t="str">
        <f>VLOOKUP(G147,'STORE LOOKUP'!$C:$G,2,0)</f>
        <v>VIC &amp; NSW</v>
      </c>
      <c r="J147" s="19" t="str">
        <f>VLOOKUP(G147,'STORE LOOKUP'!$C:$G,4,0)</f>
        <v>Harris Scarfe</v>
      </c>
      <c r="K147" s="19" t="str">
        <f>VLOOKUP(G147,'STORE LOOKUP'!$C:$G,5,0)</f>
        <v>Store</v>
      </c>
      <c r="L147" s="17" t="str">
        <f>VLOOKUP(C147,'FIN CAL LOOKUP'!A:J,7,1)</f>
        <v>JUN, FY24</v>
      </c>
      <c r="M147" s="17" t="str">
        <f>VLOOKUP(C147,'FIN CAL LOOKUP'!A:J,10,1)</f>
        <v>Q4, FY24</v>
      </c>
    </row>
    <row r="148" spans="1:13" x14ac:dyDescent="0.25">
      <c r="A148" t="s">
        <v>354</v>
      </c>
      <c r="B148" s="1">
        <v>45442.792361111111</v>
      </c>
      <c r="C148" s="1">
        <v>45441.871527777781</v>
      </c>
      <c r="D148" t="s">
        <v>355</v>
      </c>
      <c r="E148" t="s">
        <v>10</v>
      </c>
      <c r="F148" t="s">
        <v>11</v>
      </c>
      <c r="G148" t="s">
        <v>356</v>
      </c>
      <c r="H148" t="s">
        <v>56</v>
      </c>
      <c r="I148" s="19" t="str">
        <f>VLOOKUP(G148,'STORE LOOKUP'!$C:$G,2,0)</f>
        <v>VIC East</v>
      </c>
      <c r="J148" s="19" t="str">
        <f>VLOOKUP(G148,'STORE LOOKUP'!$C:$G,4,0)</f>
        <v>Spotlight AU</v>
      </c>
      <c r="K148" s="19" t="str">
        <f>VLOOKUP(G148,'STORE LOOKUP'!$C:$G,5,0)</f>
        <v>Store</v>
      </c>
      <c r="L148" s="17" t="str">
        <f>VLOOKUP(C148,'FIN CAL LOOKUP'!A:J,7,1)</f>
        <v>JUN, FY24</v>
      </c>
      <c r="M148" s="17" t="str">
        <f>VLOOKUP(C148,'FIN CAL LOOKUP'!A:J,10,1)</f>
        <v>Q4, FY24</v>
      </c>
    </row>
    <row r="149" spans="1:13" x14ac:dyDescent="0.25">
      <c r="A149" t="s">
        <v>357</v>
      </c>
      <c r="B149" s="1">
        <v>45446.413888888892</v>
      </c>
      <c r="C149" s="1">
        <v>45444.583333333336</v>
      </c>
      <c r="D149" t="s">
        <v>172</v>
      </c>
      <c r="E149" t="s">
        <v>10</v>
      </c>
      <c r="F149" t="s">
        <v>11</v>
      </c>
      <c r="G149" t="s">
        <v>173</v>
      </c>
      <c r="H149" t="s">
        <v>110</v>
      </c>
      <c r="I149" s="19" t="str">
        <f>VLOOKUP(G149,'STORE LOOKUP'!$C:$G,2,0)</f>
        <v>New Zealand South</v>
      </c>
      <c r="J149" s="19" t="str">
        <f>VLOOKUP(G149,'STORE LOOKUP'!$C:$G,4,0)</f>
        <v>Spotlight NZ</v>
      </c>
      <c r="K149" s="19" t="str">
        <f>VLOOKUP(G149,'STORE LOOKUP'!$C:$G,5,0)</f>
        <v>Store</v>
      </c>
      <c r="L149" s="17" t="str">
        <f>VLOOKUP(C149,'FIN CAL LOOKUP'!A:J,7,1)</f>
        <v>JUN, FY24</v>
      </c>
      <c r="M149" s="17" t="str">
        <f>VLOOKUP(C149,'FIN CAL LOOKUP'!A:J,10,1)</f>
        <v>Q4, FY24</v>
      </c>
    </row>
    <row r="150" spans="1:13" x14ac:dyDescent="0.25">
      <c r="A150" t="s">
        <v>358</v>
      </c>
      <c r="B150" s="1">
        <v>45446.448611111111</v>
      </c>
      <c r="C150" s="1">
        <v>45445.690972222219</v>
      </c>
      <c r="D150" t="s">
        <v>264</v>
      </c>
      <c r="E150" t="s">
        <v>10</v>
      </c>
      <c r="F150" t="s">
        <v>11</v>
      </c>
      <c r="G150" t="s">
        <v>265</v>
      </c>
      <c r="H150" t="s">
        <v>120</v>
      </c>
      <c r="I150" s="19" t="str">
        <f>VLOOKUP(G150,'STORE LOOKUP'!$C:$G,2,0)</f>
        <v>VIC &amp; NSW</v>
      </c>
      <c r="J150" s="19" t="str">
        <f>VLOOKUP(G150,'STORE LOOKUP'!$C:$G,4,0)</f>
        <v>Harris Scarfe</v>
      </c>
      <c r="K150" s="19" t="str">
        <f>VLOOKUP(G150,'STORE LOOKUP'!$C:$G,5,0)</f>
        <v>Store</v>
      </c>
      <c r="L150" s="17" t="str">
        <f>VLOOKUP(C150,'FIN CAL LOOKUP'!A:J,7,1)</f>
        <v>JUN, FY24</v>
      </c>
      <c r="M150" s="17" t="str">
        <f>VLOOKUP(C150,'FIN CAL LOOKUP'!A:J,10,1)</f>
        <v>Q4, FY24</v>
      </c>
    </row>
    <row r="151" spans="1:13" x14ac:dyDescent="0.25">
      <c r="A151" t="s">
        <v>359</v>
      </c>
      <c r="B151" s="1">
        <v>45446.47152777778</v>
      </c>
      <c r="C151" s="1">
        <v>45444.434027777781</v>
      </c>
      <c r="D151" t="s">
        <v>360</v>
      </c>
      <c r="E151" t="s">
        <v>10</v>
      </c>
      <c r="F151" t="s">
        <v>11</v>
      </c>
      <c r="G151" t="s">
        <v>361</v>
      </c>
      <c r="H151" t="s">
        <v>99</v>
      </c>
      <c r="I151" s="19" t="str">
        <f>VLOOKUP(G151,'STORE LOOKUP'!$C:$G,2,0)</f>
        <v>SA/TAS</v>
      </c>
      <c r="J151" s="19" t="str">
        <f>VLOOKUP(G151,'STORE LOOKUP'!$C:$G,4,0)</f>
        <v>Harris Scarfe</v>
      </c>
      <c r="K151" s="19" t="str">
        <f>VLOOKUP(G151,'STORE LOOKUP'!$C:$G,5,0)</f>
        <v>Store</v>
      </c>
      <c r="L151" s="17" t="str">
        <f>VLOOKUP(C151,'FIN CAL LOOKUP'!A:J,7,1)</f>
        <v>JUN, FY24</v>
      </c>
      <c r="M151" s="17" t="str">
        <f>VLOOKUP(C151,'FIN CAL LOOKUP'!A:J,10,1)</f>
        <v>Q4, FY24</v>
      </c>
    </row>
    <row r="152" spans="1:13" x14ac:dyDescent="0.25">
      <c r="A152" t="s">
        <v>362</v>
      </c>
      <c r="B152" s="1">
        <v>45446.586805555555</v>
      </c>
      <c r="C152" s="1">
        <v>45446.569444444445</v>
      </c>
      <c r="D152" t="s">
        <v>264</v>
      </c>
      <c r="E152" t="s">
        <v>10</v>
      </c>
      <c r="F152" t="s">
        <v>11</v>
      </c>
      <c r="G152" t="s">
        <v>265</v>
      </c>
      <c r="H152" t="s">
        <v>120</v>
      </c>
      <c r="I152" s="19" t="str">
        <f>VLOOKUP(G152,'STORE LOOKUP'!$C:$G,2,0)</f>
        <v>VIC &amp; NSW</v>
      </c>
      <c r="J152" s="19" t="str">
        <f>VLOOKUP(G152,'STORE LOOKUP'!$C:$G,4,0)</f>
        <v>Harris Scarfe</v>
      </c>
      <c r="K152" s="19" t="str">
        <f>VLOOKUP(G152,'STORE LOOKUP'!$C:$G,5,0)</f>
        <v>Store</v>
      </c>
      <c r="L152" s="17" t="str">
        <f>VLOOKUP(C152,'FIN CAL LOOKUP'!A:J,7,1)</f>
        <v>JUN, FY24</v>
      </c>
      <c r="M152" s="17" t="str">
        <f>VLOOKUP(C152,'FIN CAL LOOKUP'!A:J,10,1)</f>
        <v>Q4, FY24</v>
      </c>
    </row>
    <row r="153" spans="1:13" x14ac:dyDescent="0.25">
      <c r="A153" t="s">
        <v>363</v>
      </c>
      <c r="B153" s="1">
        <v>45446.71875</v>
      </c>
      <c r="C153" s="1">
        <v>45446.697916666664</v>
      </c>
      <c r="D153" t="s">
        <v>364</v>
      </c>
      <c r="E153" t="s">
        <v>10</v>
      </c>
      <c r="F153" t="s">
        <v>11</v>
      </c>
      <c r="G153" t="s">
        <v>365</v>
      </c>
      <c r="H153" t="s">
        <v>135</v>
      </c>
      <c r="I153" s="19" t="str">
        <f>VLOOKUP(G153,'STORE LOOKUP'!$C:$G,2,0)</f>
        <v>NSW Central</v>
      </c>
      <c r="J153" s="19" t="str">
        <f>VLOOKUP(G153,'STORE LOOKUP'!$C:$G,4,0)</f>
        <v>Spotlight AU</v>
      </c>
      <c r="K153" s="19" t="str">
        <f>VLOOKUP(G153,'STORE LOOKUP'!$C:$G,5,0)</f>
        <v>Store</v>
      </c>
      <c r="L153" s="17" t="str">
        <f>VLOOKUP(C153,'FIN CAL LOOKUP'!A:J,7,1)</f>
        <v>JUN, FY24</v>
      </c>
      <c r="M153" s="17" t="str">
        <f>VLOOKUP(C153,'FIN CAL LOOKUP'!A:J,10,1)</f>
        <v>Q4, FY24</v>
      </c>
    </row>
    <row r="154" spans="1:13" x14ac:dyDescent="0.25">
      <c r="A154" t="s">
        <v>366</v>
      </c>
      <c r="B154" s="1">
        <v>45447.592361111114</v>
      </c>
      <c r="C154" s="1">
        <v>45447.385416666664</v>
      </c>
      <c r="D154" t="s">
        <v>280</v>
      </c>
      <c r="E154" t="s">
        <v>10</v>
      </c>
      <c r="F154" t="s">
        <v>11</v>
      </c>
      <c r="G154" t="s">
        <v>281</v>
      </c>
      <c r="H154" t="s">
        <v>56</v>
      </c>
      <c r="I154" s="19" t="str">
        <f>VLOOKUP(G154,'STORE LOOKUP'!$C:$G,2,0)</f>
        <v>VIC West</v>
      </c>
      <c r="J154" s="19" t="str">
        <f>VLOOKUP(G154,'STORE LOOKUP'!$C:$G,4,0)</f>
        <v>Spotlight AU</v>
      </c>
      <c r="K154" s="19" t="str">
        <f>VLOOKUP(G154,'STORE LOOKUP'!$C:$G,5,0)</f>
        <v>Store</v>
      </c>
      <c r="L154" s="17" t="str">
        <f>VLOOKUP(C154,'FIN CAL LOOKUP'!A:J,7,1)</f>
        <v>JUN, FY24</v>
      </c>
      <c r="M154" s="17" t="str">
        <f>VLOOKUP(C154,'FIN CAL LOOKUP'!A:J,10,1)</f>
        <v>Q4, FY24</v>
      </c>
    </row>
    <row r="155" spans="1:13" x14ac:dyDescent="0.25">
      <c r="A155" t="s">
        <v>367</v>
      </c>
      <c r="B155" s="1">
        <v>45450.385416666664</v>
      </c>
      <c r="C155" s="1">
        <v>45449.708333333336</v>
      </c>
      <c r="D155" t="s">
        <v>189</v>
      </c>
      <c r="E155" t="s">
        <v>10</v>
      </c>
      <c r="F155" t="s">
        <v>11</v>
      </c>
      <c r="G155" t="s">
        <v>190</v>
      </c>
      <c r="H155" t="s">
        <v>17</v>
      </c>
      <c r="I155" s="19" t="str">
        <f>VLOOKUP(G155,'STORE LOOKUP'!$C:$G,2,0)</f>
        <v>QLD NW / NT</v>
      </c>
      <c r="J155" s="19" t="str">
        <f>VLOOKUP(G155,'STORE LOOKUP'!$C:$G,4,0)</f>
        <v>Anaconda</v>
      </c>
      <c r="K155" s="19" t="str">
        <f>VLOOKUP(G155,'STORE LOOKUP'!$C:$G,5,0)</f>
        <v>Store</v>
      </c>
      <c r="L155" s="17" t="str">
        <f>VLOOKUP(C155,'FIN CAL LOOKUP'!A:J,7,1)</f>
        <v>JUN, FY24</v>
      </c>
      <c r="M155" s="17" t="str">
        <f>VLOOKUP(C155,'FIN CAL LOOKUP'!A:J,10,1)</f>
        <v>Q4, FY24</v>
      </c>
    </row>
    <row r="156" spans="1:13" x14ac:dyDescent="0.25">
      <c r="A156" t="s">
        <v>368</v>
      </c>
      <c r="B156" s="1">
        <v>45450.745833333334</v>
      </c>
      <c r="C156" s="1">
        <v>45450.729861111111</v>
      </c>
      <c r="D156" t="s">
        <v>309</v>
      </c>
      <c r="E156" t="s">
        <v>10</v>
      </c>
      <c r="F156" t="s">
        <v>11</v>
      </c>
      <c r="G156" t="s">
        <v>310</v>
      </c>
      <c r="H156" t="s">
        <v>135</v>
      </c>
      <c r="I156" s="19" t="str">
        <f>VLOOKUP(G156,'STORE LOOKUP'!$C:$G,2,0)</f>
        <v>NSW Central</v>
      </c>
      <c r="J156" s="19" t="str">
        <f>VLOOKUP(G156,'STORE LOOKUP'!$C:$G,4,0)</f>
        <v>Spotlight AU</v>
      </c>
      <c r="K156" s="19" t="str">
        <f>VLOOKUP(G156,'STORE LOOKUP'!$C:$G,5,0)</f>
        <v>Store</v>
      </c>
      <c r="L156" s="17" t="str">
        <f>VLOOKUP(C156,'FIN CAL LOOKUP'!A:J,7,1)</f>
        <v>JUN, FY24</v>
      </c>
      <c r="M156" s="17" t="str">
        <f>VLOOKUP(C156,'FIN CAL LOOKUP'!A:J,10,1)</f>
        <v>Q4, FY24</v>
      </c>
    </row>
    <row r="157" spans="1:13" x14ac:dyDescent="0.25">
      <c r="A157" t="s">
        <v>369</v>
      </c>
      <c r="B157" s="1">
        <v>45452.55</v>
      </c>
      <c r="C157" s="1">
        <v>45451.683333333334</v>
      </c>
      <c r="D157" t="s">
        <v>200</v>
      </c>
      <c r="E157" t="s">
        <v>10</v>
      </c>
      <c r="F157" t="s">
        <v>11</v>
      </c>
      <c r="G157" t="s">
        <v>201</v>
      </c>
      <c r="H157" t="s">
        <v>44</v>
      </c>
      <c r="I157" s="19" t="str">
        <f>VLOOKUP(G157,'STORE LOOKUP'!$C:$G,2,0)</f>
        <v>WA</v>
      </c>
      <c r="J157" s="19" t="str">
        <f>VLOOKUP(G157,'STORE LOOKUP'!$C:$G,4,0)</f>
        <v>Spotlight AU</v>
      </c>
      <c r="K157" s="19" t="str">
        <f>VLOOKUP(G157,'STORE LOOKUP'!$C:$G,5,0)</f>
        <v>Store</v>
      </c>
      <c r="L157" s="17" t="str">
        <f>VLOOKUP(C157,'FIN CAL LOOKUP'!A:J,7,1)</f>
        <v>JUN, FY24</v>
      </c>
      <c r="M157" s="17" t="str">
        <f>VLOOKUP(C157,'FIN CAL LOOKUP'!A:J,10,1)</f>
        <v>Q4, FY24</v>
      </c>
    </row>
    <row r="158" spans="1:13" x14ac:dyDescent="0.25">
      <c r="A158" t="s">
        <v>370</v>
      </c>
      <c r="B158" s="1">
        <v>45454.622916666667</v>
      </c>
      <c r="C158" s="1">
        <v>45454.545138888891</v>
      </c>
      <c r="D158" t="s">
        <v>189</v>
      </c>
      <c r="E158" t="s">
        <v>10</v>
      </c>
      <c r="F158" t="s">
        <v>11</v>
      </c>
      <c r="G158" t="s">
        <v>190</v>
      </c>
      <c r="H158" t="s">
        <v>17</v>
      </c>
      <c r="I158" s="19" t="str">
        <f>VLOOKUP(G158,'STORE LOOKUP'!$C:$G,2,0)</f>
        <v>QLD NW / NT</v>
      </c>
      <c r="J158" s="19" t="str">
        <f>VLOOKUP(G158,'STORE LOOKUP'!$C:$G,4,0)</f>
        <v>Anaconda</v>
      </c>
      <c r="K158" s="19" t="str">
        <f>VLOOKUP(G158,'STORE LOOKUP'!$C:$G,5,0)</f>
        <v>Store</v>
      </c>
      <c r="L158" s="17" t="str">
        <f>VLOOKUP(C158,'FIN CAL LOOKUP'!A:J,7,1)</f>
        <v>JUN, FY24</v>
      </c>
      <c r="M158" s="17" t="str">
        <f>VLOOKUP(C158,'FIN CAL LOOKUP'!A:J,10,1)</f>
        <v>Q4, FY24</v>
      </c>
    </row>
    <row r="159" spans="1:13" x14ac:dyDescent="0.25">
      <c r="A159" t="s">
        <v>371</v>
      </c>
      <c r="B159" s="1">
        <v>45459.505555555559</v>
      </c>
      <c r="C159" s="1">
        <v>45459.490277777775</v>
      </c>
      <c r="D159" t="s">
        <v>372</v>
      </c>
      <c r="E159" t="s">
        <v>10</v>
      </c>
      <c r="F159" t="s">
        <v>11</v>
      </c>
      <c r="G159" t="s">
        <v>373</v>
      </c>
      <c r="H159" t="s">
        <v>56</v>
      </c>
      <c r="I159" s="19" t="str">
        <f>VLOOKUP(G159,'STORE LOOKUP'!$C:$G,2,0)</f>
        <v>VIC West</v>
      </c>
      <c r="J159" s="19" t="str">
        <f>VLOOKUP(G159,'STORE LOOKUP'!$C:$G,4,0)</f>
        <v>Spotlight AU</v>
      </c>
      <c r="K159" s="19" t="str">
        <f>VLOOKUP(G159,'STORE LOOKUP'!$C:$G,5,0)</f>
        <v>Store</v>
      </c>
      <c r="L159" s="17" t="str">
        <f>VLOOKUP(C159,'FIN CAL LOOKUP'!A:J,7,1)</f>
        <v>JUN, FY24</v>
      </c>
      <c r="M159" s="17" t="str">
        <f>VLOOKUP(C159,'FIN CAL LOOKUP'!A:J,10,1)</f>
        <v>Q4, FY24</v>
      </c>
    </row>
    <row r="160" spans="1:13" x14ac:dyDescent="0.25">
      <c r="A160" t="s">
        <v>374</v>
      </c>
      <c r="B160" s="1">
        <v>45459.599305555559</v>
      </c>
      <c r="C160" s="1">
        <v>45456.847222222219</v>
      </c>
      <c r="D160" t="s">
        <v>375</v>
      </c>
      <c r="E160" t="s">
        <v>10</v>
      </c>
      <c r="F160" t="s">
        <v>11</v>
      </c>
      <c r="G160" t="s">
        <v>376</v>
      </c>
      <c r="H160" t="s">
        <v>13</v>
      </c>
      <c r="I160" s="19" t="str">
        <f>VLOOKUP(G160,'STORE LOOKUP'!$C:$G,2,0)</f>
        <v>QLD Central</v>
      </c>
      <c r="J160" s="19" t="str">
        <f>VLOOKUP(G160,'STORE LOOKUP'!$C:$G,4,0)</f>
        <v>Anaconda</v>
      </c>
      <c r="K160" s="19" t="str">
        <f>VLOOKUP(G160,'STORE LOOKUP'!$C:$G,5,0)</f>
        <v>Store</v>
      </c>
      <c r="L160" s="17" t="str">
        <f>VLOOKUP(C160,'FIN CAL LOOKUP'!A:J,7,1)</f>
        <v>JUN, FY24</v>
      </c>
      <c r="M160" s="17" t="str">
        <f>VLOOKUP(C160,'FIN CAL LOOKUP'!A:J,10,1)</f>
        <v>Q4, FY24</v>
      </c>
    </row>
    <row r="161" spans="1:13" x14ac:dyDescent="0.25">
      <c r="A161" t="s">
        <v>377</v>
      </c>
      <c r="B161" s="1">
        <v>45459.831944444442</v>
      </c>
      <c r="C161" s="1">
        <v>45459.720833333333</v>
      </c>
      <c r="D161" t="s">
        <v>276</v>
      </c>
      <c r="E161" t="s">
        <v>10</v>
      </c>
      <c r="F161" t="s">
        <v>11</v>
      </c>
      <c r="G161" t="s">
        <v>345</v>
      </c>
      <c r="H161" t="s">
        <v>44</v>
      </c>
      <c r="I161" s="19" t="str">
        <f>VLOOKUP(G161,'STORE LOOKUP'!$C:$G,2,0)</f>
        <v>WA</v>
      </c>
      <c r="J161" s="19" t="str">
        <f>VLOOKUP(G161,'STORE LOOKUP'!$C:$G,4,0)</f>
        <v>Spotlight AU</v>
      </c>
      <c r="K161" s="19" t="str">
        <f>VLOOKUP(G161,'STORE LOOKUP'!$C:$G,5,0)</f>
        <v>Store</v>
      </c>
      <c r="L161" s="17" t="str">
        <f>VLOOKUP(C161,'FIN CAL LOOKUP'!A:J,7,1)</f>
        <v>JUN, FY24</v>
      </c>
      <c r="M161" s="17" t="str">
        <f>VLOOKUP(C161,'FIN CAL LOOKUP'!A:J,10,1)</f>
        <v>Q4, FY24</v>
      </c>
    </row>
    <row r="162" spans="1:13" x14ac:dyDescent="0.25">
      <c r="A162" t="s">
        <v>378</v>
      </c>
      <c r="B162" s="1">
        <v>45461.574999999997</v>
      </c>
      <c r="C162" s="1">
        <v>45461.435416666667</v>
      </c>
      <c r="D162" t="s">
        <v>379</v>
      </c>
      <c r="E162" t="s">
        <v>10</v>
      </c>
      <c r="F162" t="s">
        <v>11</v>
      </c>
      <c r="G162" t="s">
        <v>380</v>
      </c>
      <c r="H162" t="s">
        <v>13</v>
      </c>
      <c r="I162" s="19" t="str">
        <f>VLOOKUP(G162,'STORE LOOKUP'!$C:$G,2,0)</f>
        <v>BRISBANE / FNQ Cluster</v>
      </c>
      <c r="J162" s="19" t="str">
        <f>VLOOKUP(G162,'STORE LOOKUP'!$C:$G,4,0)</f>
        <v>Anaconda</v>
      </c>
      <c r="K162" s="19" t="str">
        <f>VLOOKUP(G162,'STORE LOOKUP'!$C:$G,5,0)</f>
        <v>Store</v>
      </c>
      <c r="L162" s="17" t="str">
        <f>VLOOKUP(C162,'FIN CAL LOOKUP'!A:J,7,1)</f>
        <v>JUN, FY24</v>
      </c>
      <c r="M162" s="17" t="str">
        <f>VLOOKUP(C162,'FIN CAL LOOKUP'!A:J,10,1)</f>
        <v>Q4, FY24</v>
      </c>
    </row>
    <row r="163" spans="1:13" x14ac:dyDescent="0.25">
      <c r="A163" t="s">
        <v>381</v>
      </c>
      <c r="B163" s="1">
        <v>45461.709027777775</v>
      </c>
      <c r="C163" s="1">
        <v>45461.604166666664</v>
      </c>
      <c r="D163" t="s">
        <v>205</v>
      </c>
      <c r="E163" t="s">
        <v>10</v>
      </c>
      <c r="F163" t="s">
        <v>11</v>
      </c>
      <c r="G163" t="s">
        <v>206</v>
      </c>
      <c r="H163" t="s">
        <v>99</v>
      </c>
      <c r="I163" s="19" t="str">
        <f>VLOOKUP(G163,'STORE LOOKUP'!$C:$G,2,0)</f>
        <v>SA/TAS</v>
      </c>
      <c r="J163" s="19" t="str">
        <f>VLOOKUP(G163,'STORE LOOKUP'!$C:$G,4,0)</f>
        <v>Harris Scarfe</v>
      </c>
      <c r="K163" s="19" t="str">
        <f>VLOOKUP(G163,'STORE LOOKUP'!$C:$G,5,0)</f>
        <v>Store</v>
      </c>
      <c r="L163" s="17" t="str">
        <f>VLOOKUP(C163,'FIN CAL LOOKUP'!A:J,7,1)</f>
        <v>JUN, FY24</v>
      </c>
      <c r="M163" s="17" t="str">
        <f>VLOOKUP(C163,'FIN CAL LOOKUP'!A:J,10,1)</f>
        <v>Q4, FY24</v>
      </c>
    </row>
    <row r="164" spans="1:13" x14ac:dyDescent="0.25">
      <c r="A164" t="s">
        <v>382</v>
      </c>
      <c r="B164" s="1">
        <v>45464.406944444447</v>
      </c>
      <c r="C164" s="1">
        <v>45462.482638888891</v>
      </c>
      <c r="D164" t="s">
        <v>264</v>
      </c>
      <c r="E164" t="s">
        <v>10</v>
      </c>
      <c r="F164" t="s">
        <v>11</v>
      </c>
      <c r="G164" t="s">
        <v>265</v>
      </c>
      <c r="H164" t="s">
        <v>120</v>
      </c>
      <c r="I164" s="19" t="str">
        <f>VLOOKUP(G164,'STORE LOOKUP'!$C:$G,2,0)</f>
        <v>VIC &amp; NSW</v>
      </c>
      <c r="J164" s="19" t="str">
        <f>VLOOKUP(G164,'STORE LOOKUP'!$C:$G,4,0)</f>
        <v>Harris Scarfe</v>
      </c>
      <c r="K164" s="19" t="str">
        <f>VLOOKUP(G164,'STORE LOOKUP'!$C:$G,5,0)</f>
        <v>Store</v>
      </c>
      <c r="L164" s="17" t="str">
        <f>VLOOKUP(C164,'FIN CAL LOOKUP'!A:J,7,1)</f>
        <v>JUN, FY24</v>
      </c>
      <c r="M164" s="17" t="str">
        <f>VLOOKUP(C164,'FIN CAL LOOKUP'!A:J,10,1)</f>
        <v>Q4, FY24</v>
      </c>
    </row>
    <row r="165" spans="1:13" x14ac:dyDescent="0.25">
      <c r="A165" t="s">
        <v>383</v>
      </c>
      <c r="B165" s="1">
        <v>45466.42291666667</v>
      </c>
      <c r="C165" s="1">
        <v>45466.375</v>
      </c>
      <c r="D165" t="s">
        <v>189</v>
      </c>
      <c r="E165" t="s">
        <v>10</v>
      </c>
      <c r="F165" t="s">
        <v>11</v>
      </c>
      <c r="G165" t="s">
        <v>190</v>
      </c>
      <c r="H165" t="s">
        <v>17</v>
      </c>
      <c r="I165" s="19" t="str">
        <f>VLOOKUP(G165,'STORE LOOKUP'!$C:$G,2,0)</f>
        <v>QLD NW / NT</v>
      </c>
      <c r="J165" s="19" t="str">
        <f>VLOOKUP(G165,'STORE LOOKUP'!$C:$G,4,0)</f>
        <v>Anaconda</v>
      </c>
      <c r="K165" s="19" t="str">
        <f>VLOOKUP(G165,'STORE LOOKUP'!$C:$G,5,0)</f>
        <v>Store</v>
      </c>
      <c r="L165" s="17" t="str">
        <f>VLOOKUP(C165,'FIN CAL LOOKUP'!A:J,7,1)</f>
        <v>JUN, FY24</v>
      </c>
      <c r="M165" s="17" t="str">
        <f>VLOOKUP(C165,'FIN CAL LOOKUP'!A:J,10,1)</f>
        <v>Q4, FY24</v>
      </c>
    </row>
    <row r="166" spans="1:13" x14ac:dyDescent="0.25">
      <c r="A166" t="s">
        <v>384</v>
      </c>
      <c r="B166" s="1">
        <v>45468.734722222223</v>
      </c>
      <c r="C166" s="1">
        <v>45467.715277777781</v>
      </c>
      <c r="D166" t="s">
        <v>385</v>
      </c>
      <c r="E166" t="s">
        <v>10</v>
      </c>
      <c r="F166" t="s">
        <v>11</v>
      </c>
      <c r="G166" t="s">
        <v>386</v>
      </c>
      <c r="H166" t="s">
        <v>29</v>
      </c>
      <c r="I166" s="19" t="str">
        <f>VLOOKUP(G166,'STORE LOOKUP'!$C:$G,2,0)</f>
        <v>VIC West / TAS</v>
      </c>
      <c r="J166" s="19" t="str">
        <f>VLOOKUP(G166,'STORE LOOKUP'!$C:$G,4,0)</f>
        <v>Anaconda</v>
      </c>
      <c r="K166" s="19" t="str">
        <f>VLOOKUP(G166,'STORE LOOKUP'!$C:$G,5,0)</f>
        <v>Store</v>
      </c>
      <c r="L166" s="17" t="str">
        <f>VLOOKUP(C166,'FIN CAL LOOKUP'!A:J,7,1)</f>
        <v>JUN, FY24</v>
      </c>
      <c r="M166" s="17" t="str">
        <f>VLOOKUP(C166,'FIN CAL LOOKUP'!A:J,10,1)</f>
        <v>Q4, FY24</v>
      </c>
    </row>
    <row r="167" spans="1:13" x14ac:dyDescent="0.25">
      <c r="A167" t="s">
        <v>387</v>
      </c>
      <c r="B167" s="1">
        <v>45471.738194444442</v>
      </c>
      <c r="C167" s="1">
        <v>45471.45416666667</v>
      </c>
      <c r="D167" t="s">
        <v>388</v>
      </c>
      <c r="E167" t="s">
        <v>10</v>
      </c>
      <c r="F167" t="s">
        <v>11</v>
      </c>
      <c r="G167" t="s">
        <v>389</v>
      </c>
      <c r="H167" t="s">
        <v>106</v>
      </c>
      <c r="I167" s="19" t="str">
        <f>VLOOKUP(G167,'STORE LOOKUP'!$C:$G,2,0)</f>
        <v>WA</v>
      </c>
      <c r="J167" s="19" t="str">
        <f>VLOOKUP(G167,'STORE LOOKUP'!$C:$G,4,0)</f>
        <v>Anaconda</v>
      </c>
      <c r="K167" s="19" t="str">
        <f>VLOOKUP(G167,'STORE LOOKUP'!$C:$G,5,0)</f>
        <v>Store</v>
      </c>
      <c r="L167" s="17" t="str">
        <f>VLOOKUP(C167,'FIN CAL LOOKUP'!A:J,7,1)</f>
        <v>JUN, FY24</v>
      </c>
      <c r="M167" s="17" t="str">
        <f>VLOOKUP(C167,'FIN CAL LOOKUP'!A:J,10,1)</f>
        <v>Q4, FY24</v>
      </c>
    </row>
    <row r="168" spans="1:13" x14ac:dyDescent="0.25">
      <c r="A168" t="s">
        <v>390</v>
      </c>
      <c r="B168" s="1">
        <v>45471.773611111108</v>
      </c>
      <c r="C168" s="1">
        <v>45470.333333333336</v>
      </c>
      <c r="D168" t="s">
        <v>391</v>
      </c>
      <c r="E168" t="s">
        <v>10</v>
      </c>
      <c r="F168" t="s">
        <v>11</v>
      </c>
      <c r="G168" t="s">
        <v>392</v>
      </c>
      <c r="H168" t="s">
        <v>44</v>
      </c>
      <c r="I168" s="19" t="str">
        <f>VLOOKUP(G168,'STORE LOOKUP'!$C:$G,2,0)</f>
        <v>WA</v>
      </c>
      <c r="J168" s="19" t="str">
        <f>VLOOKUP(G168,'STORE LOOKUP'!$C:$G,4,0)</f>
        <v>Spotlight AU</v>
      </c>
      <c r="K168" s="19" t="str">
        <f>VLOOKUP(G168,'STORE LOOKUP'!$C:$G,5,0)</f>
        <v>Store</v>
      </c>
      <c r="L168" s="17" t="str">
        <f>VLOOKUP(C168,'FIN CAL LOOKUP'!A:J,7,1)</f>
        <v>JUN, FY24</v>
      </c>
      <c r="M168" s="17" t="str">
        <f>VLOOKUP(C168,'FIN CAL LOOKUP'!A:J,10,1)</f>
        <v>Q4, FY24</v>
      </c>
    </row>
    <row r="169" spans="1:13" x14ac:dyDescent="0.25">
      <c r="A169" t="s">
        <v>393</v>
      </c>
      <c r="B169" s="1">
        <v>45472.6875</v>
      </c>
      <c r="C169" s="1">
        <v>45472.541666666664</v>
      </c>
      <c r="D169" t="s">
        <v>291</v>
      </c>
      <c r="E169" t="s">
        <v>10</v>
      </c>
      <c r="F169" t="s">
        <v>11</v>
      </c>
      <c r="G169" t="s">
        <v>292</v>
      </c>
      <c r="H169" t="s">
        <v>106</v>
      </c>
      <c r="I169" s="19" t="str">
        <f>VLOOKUP(G169,'STORE LOOKUP'!$C:$G,2,0)</f>
        <v>WA</v>
      </c>
      <c r="J169" s="19" t="str">
        <f>VLOOKUP(G169,'STORE LOOKUP'!$C:$G,4,0)</f>
        <v>Anaconda</v>
      </c>
      <c r="K169" s="19" t="str">
        <f>VLOOKUP(G169,'STORE LOOKUP'!$C:$G,5,0)</f>
        <v>Store</v>
      </c>
      <c r="L169" s="17" t="str">
        <f>VLOOKUP(C169,'FIN CAL LOOKUP'!A:J,7,1)</f>
        <v>JUN, FY24</v>
      </c>
      <c r="M169" s="17" t="str">
        <f>VLOOKUP(C169,'FIN CAL LOOKUP'!A:J,10,1)</f>
        <v>Q4, FY24</v>
      </c>
    </row>
    <row r="170" spans="1:13" x14ac:dyDescent="0.25">
      <c r="A170" t="s">
        <v>394</v>
      </c>
      <c r="B170" s="1">
        <v>45472.692361111112</v>
      </c>
      <c r="C170" s="1">
        <v>45472.646527777775</v>
      </c>
      <c r="D170" t="s">
        <v>19</v>
      </c>
      <c r="E170" t="s">
        <v>10</v>
      </c>
      <c r="F170" t="s">
        <v>11</v>
      </c>
      <c r="G170" t="s">
        <v>175</v>
      </c>
      <c r="H170" t="s">
        <v>21</v>
      </c>
      <c r="I170" s="19" t="str">
        <f>VLOOKUP(G170,'STORE LOOKUP'!$C:$G,2,0)</f>
        <v>SA/NT</v>
      </c>
      <c r="J170" s="19" t="str">
        <f>VLOOKUP(G170,'STORE LOOKUP'!$C:$G,4,0)</f>
        <v>Spotlight AU</v>
      </c>
      <c r="K170" s="19" t="str">
        <f>VLOOKUP(G170,'STORE LOOKUP'!$C:$G,5,0)</f>
        <v>Store</v>
      </c>
      <c r="L170" s="17" t="str">
        <f>VLOOKUP(C170,'FIN CAL LOOKUP'!A:J,7,1)</f>
        <v>JUN, FY24</v>
      </c>
      <c r="M170" s="17" t="str">
        <f>VLOOKUP(C170,'FIN CAL LOOKUP'!A:J,10,1)</f>
        <v>Q4, FY24</v>
      </c>
    </row>
    <row r="171" spans="1:13" x14ac:dyDescent="0.25">
      <c r="A171" t="s">
        <v>395</v>
      </c>
      <c r="B171" s="1">
        <v>45474.568749999999</v>
      </c>
      <c r="C171" s="1">
        <v>45474.55</v>
      </c>
      <c r="D171" t="s">
        <v>385</v>
      </c>
      <c r="E171" t="s">
        <v>10</v>
      </c>
      <c r="F171" t="s">
        <v>11</v>
      </c>
      <c r="G171" t="s">
        <v>386</v>
      </c>
      <c r="H171" t="s">
        <v>29</v>
      </c>
      <c r="I171" s="19" t="str">
        <f>VLOOKUP(G171,'STORE LOOKUP'!$C:$G,2,0)</f>
        <v>VIC West / TAS</v>
      </c>
      <c r="J171" s="19" t="str">
        <f>VLOOKUP(G171,'STORE LOOKUP'!$C:$G,4,0)</f>
        <v>Anaconda</v>
      </c>
      <c r="K171" s="19" t="str">
        <f>VLOOKUP(G171,'STORE LOOKUP'!$C:$G,5,0)</f>
        <v>Store</v>
      </c>
      <c r="L171" s="17" t="str">
        <f>VLOOKUP(C171,'FIN CAL LOOKUP'!A:J,7,1)</f>
        <v>JUL, FY25</v>
      </c>
      <c r="M171" s="17" t="str">
        <f>VLOOKUP(C171,'FIN CAL LOOKUP'!A:J,10,1)</f>
        <v>Q1, FY25</v>
      </c>
    </row>
    <row r="172" spans="1:13" x14ac:dyDescent="0.25">
      <c r="A172" t="s">
        <v>396</v>
      </c>
      <c r="B172" s="1">
        <v>45477.843055555553</v>
      </c>
      <c r="C172" s="1">
        <v>45477.8125</v>
      </c>
      <c r="D172" t="s">
        <v>219</v>
      </c>
      <c r="E172" t="s">
        <v>10</v>
      </c>
      <c r="F172" t="s">
        <v>11</v>
      </c>
      <c r="G172" t="s">
        <v>220</v>
      </c>
      <c r="H172" t="s">
        <v>120</v>
      </c>
      <c r="I172" s="19" t="str">
        <f>VLOOKUP(G172,'STORE LOOKUP'!$C:$G,2,0)</f>
        <v>VIC</v>
      </c>
      <c r="J172" s="19" t="str">
        <f>VLOOKUP(G172,'STORE LOOKUP'!$C:$G,4,0)</f>
        <v>Harris Scarfe</v>
      </c>
      <c r="K172" s="19" t="str">
        <f>VLOOKUP(G172,'STORE LOOKUP'!$C:$G,5,0)</f>
        <v>Store</v>
      </c>
      <c r="L172" s="17" t="str">
        <f>VLOOKUP(C172,'FIN CAL LOOKUP'!A:J,7,1)</f>
        <v>JUL, FY25</v>
      </c>
      <c r="M172" s="17" t="str">
        <f>VLOOKUP(C172,'FIN CAL LOOKUP'!A:J,10,1)</f>
        <v>Q1, FY25</v>
      </c>
    </row>
    <row r="173" spans="1:13" x14ac:dyDescent="0.25">
      <c r="A173" t="s">
        <v>397</v>
      </c>
      <c r="B173" s="1">
        <v>45481.675694444442</v>
      </c>
      <c r="C173" s="1">
        <v>45481.416666666664</v>
      </c>
      <c r="D173" t="s">
        <v>205</v>
      </c>
      <c r="E173" t="s">
        <v>10</v>
      </c>
      <c r="F173" t="s">
        <v>11</v>
      </c>
      <c r="G173" t="s">
        <v>206</v>
      </c>
      <c r="H173" t="s">
        <v>99</v>
      </c>
      <c r="I173" s="19" t="str">
        <f>VLOOKUP(G173,'STORE LOOKUP'!$C:$G,2,0)</f>
        <v>SA/TAS</v>
      </c>
      <c r="J173" s="19" t="str">
        <f>VLOOKUP(G173,'STORE LOOKUP'!$C:$G,4,0)</f>
        <v>Harris Scarfe</v>
      </c>
      <c r="K173" s="19" t="str">
        <f>VLOOKUP(G173,'STORE LOOKUP'!$C:$G,5,0)</f>
        <v>Store</v>
      </c>
      <c r="L173" s="17" t="str">
        <f>VLOOKUP(C173,'FIN CAL LOOKUP'!A:J,7,1)</f>
        <v>JUL, FY25</v>
      </c>
      <c r="M173" s="17" t="str">
        <f>VLOOKUP(C173,'FIN CAL LOOKUP'!A:J,10,1)</f>
        <v>Q1, FY25</v>
      </c>
    </row>
    <row r="174" spans="1:13" x14ac:dyDescent="0.25">
      <c r="A174" t="s">
        <v>398</v>
      </c>
      <c r="B174" s="1">
        <v>45482.480555555558</v>
      </c>
      <c r="C174" s="1">
        <v>45481.666666666664</v>
      </c>
      <c r="D174" t="s">
        <v>399</v>
      </c>
      <c r="E174" t="s">
        <v>10</v>
      </c>
      <c r="F174" t="s">
        <v>11</v>
      </c>
      <c r="G174" t="s">
        <v>400</v>
      </c>
      <c r="H174" t="s">
        <v>135</v>
      </c>
      <c r="I174" s="19" t="str">
        <f>VLOOKUP(G174,'STORE LOOKUP'!$C:$G,2,0)</f>
        <v>NSW South / ACT</v>
      </c>
      <c r="J174" s="19" t="str">
        <f>VLOOKUP(G174,'STORE LOOKUP'!$C:$G,4,0)</f>
        <v>Spotlight AU</v>
      </c>
      <c r="K174" s="19" t="str">
        <f>VLOOKUP(G174,'STORE LOOKUP'!$C:$G,5,0)</f>
        <v>Store</v>
      </c>
      <c r="L174" s="17" t="str">
        <f>VLOOKUP(C174,'FIN CAL LOOKUP'!A:J,7,1)</f>
        <v>JUL, FY25</v>
      </c>
      <c r="M174" s="17" t="str">
        <f>VLOOKUP(C174,'FIN CAL LOOKUP'!A:J,10,1)</f>
        <v>Q1, FY25</v>
      </c>
    </row>
    <row r="175" spans="1:13" x14ac:dyDescent="0.25">
      <c r="A175" t="s">
        <v>401</v>
      </c>
      <c r="B175" s="1">
        <v>45483.49722222222</v>
      </c>
      <c r="C175" s="1">
        <v>45483.479166666664</v>
      </c>
      <c r="D175" t="s">
        <v>402</v>
      </c>
      <c r="E175" t="s">
        <v>10</v>
      </c>
      <c r="F175" t="s">
        <v>11</v>
      </c>
      <c r="G175" t="s">
        <v>403</v>
      </c>
      <c r="H175" t="s">
        <v>13</v>
      </c>
      <c r="I175" s="19" t="str">
        <f>VLOOKUP(G175,'STORE LOOKUP'!$C:$G,2,0)</f>
        <v>QLD Central</v>
      </c>
      <c r="J175" s="19" t="str">
        <f>VLOOKUP(G175,'STORE LOOKUP'!$C:$G,4,0)</f>
        <v>Anaconda</v>
      </c>
      <c r="K175" s="19" t="str">
        <f>VLOOKUP(G175,'STORE LOOKUP'!$C:$G,5,0)</f>
        <v>Store</v>
      </c>
      <c r="L175" s="17" t="str">
        <f>VLOOKUP(C175,'FIN CAL LOOKUP'!A:J,7,1)</f>
        <v>JUL, FY25</v>
      </c>
      <c r="M175" s="17" t="str">
        <f>VLOOKUP(C175,'FIN CAL LOOKUP'!A:J,10,1)</f>
        <v>Q1, FY25</v>
      </c>
    </row>
    <row r="176" spans="1:13" x14ac:dyDescent="0.25">
      <c r="A176" t="s">
        <v>404</v>
      </c>
      <c r="B176" s="1">
        <v>45489.808333333334</v>
      </c>
      <c r="C176" s="1">
        <v>45489.4375</v>
      </c>
      <c r="D176" t="s">
        <v>388</v>
      </c>
      <c r="E176" t="s">
        <v>10</v>
      </c>
      <c r="F176" t="s">
        <v>11</v>
      </c>
      <c r="G176" t="s">
        <v>389</v>
      </c>
      <c r="H176" t="s">
        <v>106</v>
      </c>
      <c r="I176" s="19" t="str">
        <f>VLOOKUP(G176,'STORE LOOKUP'!$C:$G,2,0)</f>
        <v>WA</v>
      </c>
      <c r="J176" s="19" t="str">
        <f>VLOOKUP(G176,'STORE LOOKUP'!$C:$G,4,0)</f>
        <v>Anaconda</v>
      </c>
      <c r="K176" s="19" t="str">
        <f>VLOOKUP(G176,'STORE LOOKUP'!$C:$G,5,0)</f>
        <v>Store</v>
      </c>
      <c r="L176" s="17" t="str">
        <f>VLOOKUP(C176,'FIN CAL LOOKUP'!A:J,7,1)</f>
        <v>JUL, FY25</v>
      </c>
      <c r="M176" s="17" t="str">
        <f>VLOOKUP(C176,'FIN CAL LOOKUP'!A:J,10,1)</f>
        <v>Q1, FY25</v>
      </c>
    </row>
    <row r="177" spans="1:13" x14ac:dyDescent="0.25">
      <c r="A177" t="s">
        <v>405</v>
      </c>
      <c r="B177" s="1">
        <v>45491.686805555553</v>
      </c>
      <c r="C177" s="1">
        <v>45490.606249999997</v>
      </c>
      <c r="D177" t="s">
        <v>189</v>
      </c>
      <c r="E177" t="s">
        <v>10</v>
      </c>
      <c r="F177" t="s">
        <v>11</v>
      </c>
      <c r="G177" t="s">
        <v>190</v>
      </c>
      <c r="H177" t="s">
        <v>17</v>
      </c>
      <c r="I177" s="19" t="str">
        <f>VLOOKUP(G177,'STORE LOOKUP'!$C:$G,2,0)</f>
        <v>QLD NW / NT</v>
      </c>
      <c r="J177" s="19" t="str">
        <f>VLOOKUP(G177,'STORE LOOKUP'!$C:$G,4,0)</f>
        <v>Anaconda</v>
      </c>
      <c r="K177" s="19" t="str">
        <f>VLOOKUP(G177,'STORE LOOKUP'!$C:$G,5,0)</f>
        <v>Store</v>
      </c>
      <c r="L177" s="17" t="str">
        <f>VLOOKUP(C177,'FIN CAL LOOKUP'!A:J,7,1)</f>
        <v>JUL, FY25</v>
      </c>
      <c r="M177" s="17" t="str">
        <f>VLOOKUP(C177,'FIN CAL LOOKUP'!A:J,10,1)</f>
        <v>Q1, FY25</v>
      </c>
    </row>
    <row r="178" spans="1:13" x14ac:dyDescent="0.25">
      <c r="A178" t="s">
        <v>406</v>
      </c>
      <c r="B178" s="1">
        <v>45492.456944444442</v>
      </c>
      <c r="C178" s="1">
        <v>45491.611111111109</v>
      </c>
      <c r="D178" t="s">
        <v>189</v>
      </c>
      <c r="E178" t="s">
        <v>10</v>
      </c>
      <c r="F178" t="s">
        <v>11</v>
      </c>
      <c r="G178" t="s">
        <v>190</v>
      </c>
      <c r="H178" t="s">
        <v>17</v>
      </c>
      <c r="I178" s="19" t="str">
        <f>VLOOKUP(G178,'STORE LOOKUP'!$C:$G,2,0)</f>
        <v>QLD NW / NT</v>
      </c>
      <c r="J178" s="19" t="str">
        <f>VLOOKUP(G178,'STORE LOOKUP'!$C:$G,4,0)</f>
        <v>Anaconda</v>
      </c>
      <c r="K178" s="19" t="str">
        <f>VLOOKUP(G178,'STORE LOOKUP'!$C:$G,5,0)</f>
        <v>Store</v>
      </c>
      <c r="L178" s="17" t="str">
        <f>VLOOKUP(C178,'FIN CAL LOOKUP'!A:J,7,1)</f>
        <v>JUL, FY25</v>
      </c>
      <c r="M178" s="17" t="str">
        <f>VLOOKUP(C178,'FIN CAL LOOKUP'!A:J,10,1)</f>
        <v>Q1, FY25</v>
      </c>
    </row>
    <row r="179" spans="1:13" x14ac:dyDescent="0.25">
      <c r="A179" t="s">
        <v>407</v>
      </c>
      <c r="B179" s="1">
        <v>45493.464583333334</v>
      </c>
      <c r="C179" s="1">
        <v>45493.354166666664</v>
      </c>
      <c r="D179" t="s">
        <v>189</v>
      </c>
      <c r="E179" t="s">
        <v>10</v>
      </c>
      <c r="F179" t="s">
        <v>11</v>
      </c>
      <c r="G179" t="s">
        <v>190</v>
      </c>
      <c r="H179" t="s">
        <v>17</v>
      </c>
      <c r="I179" s="19" t="str">
        <f>VLOOKUP(G179,'STORE LOOKUP'!$C:$G,2,0)</f>
        <v>QLD NW / NT</v>
      </c>
      <c r="J179" s="19" t="str">
        <f>VLOOKUP(G179,'STORE LOOKUP'!$C:$G,4,0)</f>
        <v>Anaconda</v>
      </c>
      <c r="K179" s="19" t="str">
        <f>VLOOKUP(G179,'STORE LOOKUP'!$C:$G,5,0)</f>
        <v>Store</v>
      </c>
      <c r="L179" s="17" t="str">
        <f>VLOOKUP(C179,'FIN CAL LOOKUP'!A:J,7,1)</f>
        <v>JUL, FY25</v>
      </c>
      <c r="M179" s="17" t="str">
        <f>VLOOKUP(C179,'FIN CAL LOOKUP'!A:J,10,1)</f>
        <v>Q1, FY25</v>
      </c>
    </row>
    <row r="180" spans="1:13" x14ac:dyDescent="0.25">
      <c r="A180" t="s">
        <v>408</v>
      </c>
      <c r="B180" s="1">
        <v>45494.361805555556</v>
      </c>
      <c r="C180" s="1">
        <v>45493.8125</v>
      </c>
      <c r="D180" t="s">
        <v>189</v>
      </c>
      <c r="E180" t="s">
        <v>10</v>
      </c>
      <c r="F180" t="s">
        <v>11</v>
      </c>
      <c r="G180" t="s">
        <v>190</v>
      </c>
      <c r="H180" t="s">
        <v>17</v>
      </c>
      <c r="I180" s="19" t="str">
        <f>VLOOKUP(G180,'STORE LOOKUP'!$C:$G,2,0)</f>
        <v>QLD NW / NT</v>
      </c>
      <c r="J180" s="19" t="str">
        <f>VLOOKUP(G180,'STORE LOOKUP'!$C:$G,4,0)</f>
        <v>Anaconda</v>
      </c>
      <c r="K180" s="19" t="str">
        <f>VLOOKUP(G180,'STORE LOOKUP'!$C:$G,5,0)</f>
        <v>Store</v>
      </c>
      <c r="L180" s="17" t="str">
        <f>VLOOKUP(C180,'FIN CAL LOOKUP'!A:J,7,1)</f>
        <v>JUL, FY25</v>
      </c>
      <c r="M180" s="17" t="str">
        <f>VLOOKUP(C180,'FIN CAL LOOKUP'!A:J,10,1)</f>
        <v>Q1, FY25</v>
      </c>
    </row>
    <row r="181" spans="1:13" x14ac:dyDescent="0.25">
      <c r="A181" t="s">
        <v>409</v>
      </c>
      <c r="B181" s="1">
        <v>45494.604861111111</v>
      </c>
      <c r="C181" s="1">
        <v>45494.552083333336</v>
      </c>
      <c r="D181" t="s">
        <v>410</v>
      </c>
      <c r="E181" t="s">
        <v>10</v>
      </c>
      <c r="F181" t="s">
        <v>11</v>
      </c>
      <c r="G181" t="s">
        <v>411</v>
      </c>
      <c r="H181" t="s">
        <v>88</v>
      </c>
      <c r="I181" s="19" t="str">
        <f>VLOOKUP(G181,'STORE LOOKUP'!$C:$G,2,0)</f>
        <v>NSW North</v>
      </c>
      <c r="J181" s="19" t="str">
        <f>VLOOKUP(G181,'STORE LOOKUP'!$C:$G,4,0)</f>
        <v>Anaconda</v>
      </c>
      <c r="K181" s="19" t="str">
        <f>VLOOKUP(G181,'STORE LOOKUP'!$C:$G,5,0)</f>
        <v>Store</v>
      </c>
      <c r="L181" s="17" t="str">
        <f>VLOOKUP(C181,'FIN CAL LOOKUP'!A:J,7,1)</f>
        <v>JUL, FY25</v>
      </c>
      <c r="M181" s="17" t="str">
        <f>VLOOKUP(C181,'FIN CAL LOOKUP'!A:J,10,1)</f>
        <v>Q1, FY25</v>
      </c>
    </row>
    <row r="182" spans="1:13" x14ac:dyDescent="0.25">
      <c r="A182" t="s">
        <v>412</v>
      </c>
      <c r="B182" s="1">
        <v>45495.384027777778</v>
      </c>
      <c r="C182" s="1">
        <v>45494.98541666667</v>
      </c>
      <c r="D182" t="s">
        <v>189</v>
      </c>
      <c r="E182" t="s">
        <v>10</v>
      </c>
      <c r="F182" t="s">
        <v>11</v>
      </c>
      <c r="G182" t="s">
        <v>190</v>
      </c>
      <c r="H182" t="s">
        <v>17</v>
      </c>
      <c r="I182" s="19" t="str">
        <f>VLOOKUP(G182,'STORE LOOKUP'!$C:$G,2,0)</f>
        <v>QLD NW / NT</v>
      </c>
      <c r="J182" s="19" t="str">
        <f>VLOOKUP(G182,'STORE LOOKUP'!$C:$G,4,0)</f>
        <v>Anaconda</v>
      </c>
      <c r="K182" s="19" t="str">
        <f>VLOOKUP(G182,'STORE LOOKUP'!$C:$G,5,0)</f>
        <v>Store</v>
      </c>
      <c r="L182" s="17" t="str">
        <f>VLOOKUP(C182,'FIN CAL LOOKUP'!A:J,7,1)</f>
        <v>JUL, FY25</v>
      </c>
      <c r="M182" s="17" t="str">
        <f>VLOOKUP(C182,'FIN CAL LOOKUP'!A:J,10,1)</f>
        <v>Q1, FY25</v>
      </c>
    </row>
    <row r="183" spans="1:13" x14ac:dyDescent="0.25">
      <c r="A183" t="s">
        <v>413</v>
      </c>
      <c r="B183" s="1">
        <v>45495.465277777781</v>
      </c>
      <c r="C183" s="1">
        <v>45495.4</v>
      </c>
      <c r="D183" t="s">
        <v>414</v>
      </c>
      <c r="E183" t="s">
        <v>10</v>
      </c>
      <c r="F183" t="s">
        <v>11</v>
      </c>
      <c r="G183" t="s">
        <v>415</v>
      </c>
      <c r="H183" t="s">
        <v>29</v>
      </c>
      <c r="I183" s="19" t="str">
        <f>VLOOKUP(G183,'STORE LOOKUP'!$C:$G,2,0)</f>
        <v>VIC West / TAS</v>
      </c>
      <c r="J183" s="19" t="str">
        <f>VLOOKUP(G183,'STORE LOOKUP'!$C:$G,4,0)</f>
        <v>Anaconda</v>
      </c>
      <c r="K183" s="19" t="str">
        <f>VLOOKUP(G183,'STORE LOOKUP'!$C:$G,5,0)</f>
        <v>Store</v>
      </c>
      <c r="L183" s="17" t="str">
        <f>VLOOKUP(C183,'FIN CAL LOOKUP'!A:J,7,1)</f>
        <v>JUL, FY25</v>
      </c>
      <c r="M183" s="17" t="str">
        <f>VLOOKUP(C183,'FIN CAL LOOKUP'!A:J,10,1)</f>
        <v>Q1, FY25</v>
      </c>
    </row>
    <row r="184" spans="1:13" x14ac:dyDescent="0.25">
      <c r="A184" t="s">
        <v>416</v>
      </c>
      <c r="B184" s="1">
        <v>45495.630555555559</v>
      </c>
      <c r="C184" s="1">
        <v>45495.5</v>
      </c>
      <c r="D184" t="s">
        <v>205</v>
      </c>
      <c r="E184" t="s">
        <v>10</v>
      </c>
      <c r="F184" t="s">
        <v>11</v>
      </c>
      <c r="G184" t="s">
        <v>206</v>
      </c>
      <c r="H184" t="s">
        <v>99</v>
      </c>
      <c r="I184" s="19" t="str">
        <f>VLOOKUP(G184,'STORE LOOKUP'!$C:$G,2,0)</f>
        <v>SA/TAS</v>
      </c>
      <c r="J184" s="19" t="str">
        <f>VLOOKUP(G184,'STORE LOOKUP'!$C:$G,4,0)</f>
        <v>Harris Scarfe</v>
      </c>
      <c r="K184" s="19" t="str">
        <f>VLOOKUP(G184,'STORE LOOKUP'!$C:$G,5,0)</f>
        <v>Store</v>
      </c>
      <c r="L184" s="17" t="str">
        <f>VLOOKUP(C184,'FIN CAL LOOKUP'!A:J,7,1)</f>
        <v>JUL, FY25</v>
      </c>
      <c r="M184" s="17" t="str">
        <f>VLOOKUP(C184,'FIN CAL LOOKUP'!A:J,10,1)</f>
        <v>Q1, FY25</v>
      </c>
    </row>
    <row r="185" spans="1:13" x14ac:dyDescent="0.25">
      <c r="A185" t="s">
        <v>417</v>
      </c>
      <c r="B185" s="1">
        <v>45495.772916666669</v>
      </c>
      <c r="C185" s="1">
        <v>45495.740972222222</v>
      </c>
      <c r="D185" t="s">
        <v>19</v>
      </c>
      <c r="E185" t="s">
        <v>10</v>
      </c>
      <c r="F185" t="s">
        <v>11</v>
      </c>
      <c r="G185" t="s">
        <v>175</v>
      </c>
      <c r="H185" t="s">
        <v>21</v>
      </c>
      <c r="I185" s="19" t="str">
        <f>VLOOKUP(G185,'STORE LOOKUP'!$C:$G,2,0)</f>
        <v>SA/NT</v>
      </c>
      <c r="J185" s="19" t="str">
        <f>VLOOKUP(G185,'STORE LOOKUP'!$C:$G,4,0)</f>
        <v>Spotlight AU</v>
      </c>
      <c r="K185" s="19" t="str">
        <f>VLOOKUP(G185,'STORE LOOKUP'!$C:$G,5,0)</f>
        <v>Store</v>
      </c>
      <c r="L185" s="17" t="str">
        <f>VLOOKUP(C185,'FIN CAL LOOKUP'!A:J,7,1)</f>
        <v>JUL, FY25</v>
      </c>
      <c r="M185" s="17" t="str">
        <f>VLOOKUP(C185,'FIN CAL LOOKUP'!A:J,10,1)</f>
        <v>Q1, FY25</v>
      </c>
    </row>
    <row r="186" spans="1:13" x14ac:dyDescent="0.25">
      <c r="A186" t="s">
        <v>418</v>
      </c>
      <c r="B186" s="1">
        <v>45498.707638888889</v>
      </c>
      <c r="C186" s="1">
        <v>45496.944444444445</v>
      </c>
      <c r="D186" t="s">
        <v>189</v>
      </c>
      <c r="E186" t="s">
        <v>10</v>
      </c>
      <c r="F186" t="s">
        <v>11</v>
      </c>
      <c r="G186" t="s">
        <v>190</v>
      </c>
      <c r="H186" t="s">
        <v>17</v>
      </c>
      <c r="I186" s="19" t="str">
        <f>VLOOKUP(G186,'STORE LOOKUP'!$C:$G,2,0)</f>
        <v>QLD NW / NT</v>
      </c>
      <c r="J186" s="19" t="str">
        <f>VLOOKUP(G186,'STORE LOOKUP'!$C:$G,4,0)</f>
        <v>Anaconda</v>
      </c>
      <c r="K186" s="19" t="str">
        <f>VLOOKUP(G186,'STORE LOOKUP'!$C:$G,5,0)</f>
        <v>Store</v>
      </c>
      <c r="L186" s="17" t="str">
        <f>VLOOKUP(C186,'FIN CAL LOOKUP'!A:J,7,1)</f>
        <v>JUL, FY25</v>
      </c>
      <c r="M186" s="17" t="str">
        <f>VLOOKUP(C186,'FIN CAL LOOKUP'!A:J,10,1)</f>
        <v>Q1, FY25</v>
      </c>
    </row>
    <row r="187" spans="1:13" x14ac:dyDescent="0.25">
      <c r="A187" t="s">
        <v>419</v>
      </c>
      <c r="B187" s="1">
        <v>45498.711805555555</v>
      </c>
      <c r="C187" s="1">
        <v>45498.140277777777</v>
      </c>
      <c r="D187" t="s">
        <v>189</v>
      </c>
      <c r="E187" t="s">
        <v>10</v>
      </c>
      <c r="F187" t="s">
        <v>11</v>
      </c>
      <c r="G187" t="s">
        <v>190</v>
      </c>
      <c r="H187" t="s">
        <v>17</v>
      </c>
      <c r="I187" s="19" t="str">
        <f>VLOOKUP(G187,'STORE LOOKUP'!$C:$G,2,0)</f>
        <v>QLD NW / NT</v>
      </c>
      <c r="J187" s="19" t="str">
        <f>VLOOKUP(G187,'STORE LOOKUP'!$C:$G,4,0)</f>
        <v>Anaconda</v>
      </c>
      <c r="K187" s="19" t="str">
        <f>VLOOKUP(G187,'STORE LOOKUP'!$C:$G,5,0)</f>
        <v>Store</v>
      </c>
      <c r="L187" s="17" t="str">
        <f>VLOOKUP(C187,'FIN CAL LOOKUP'!A:J,7,1)</f>
        <v>JUL, FY25</v>
      </c>
      <c r="M187" s="17" t="str">
        <f>VLOOKUP(C187,'FIN CAL LOOKUP'!A:J,10,1)</f>
        <v>Q1, FY25</v>
      </c>
    </row>
    <row r="188" spans="1:13" x14ac:dyDescent="0.25">
      <c r="A188" t="s">
        <v>420</v>
      </c>
      <c r="B188" s="1">
        <v>45499.519444444442</v>
      </c>
      <c r="C188" s="1">
        <v>45499.475694444445</v>
      </c>
      <c r="D188" t="s">
        <v>421</v>
      </c>
      <c r="E188" t="s">
        <v>10</v>
      </c>
      <c r="F188" t="s">
        <v>11</v>
      </c>
      <c r="G188" t="s">
        <v>422</v>
      </c>
      <c r="H188" t="s">
        <v>56</v>
      </c>
      <c r="I188" s="19" t="str">
        <f>VLOOKUP(G188,'STORE LOOKUP'!$C:$G,2,0)</f>
        <v>VIC West</v>
      </c>
      <c r="J188" s="19" t="str">
        <f>VLOOKUP(G188,'STORE LOOKUP'!$C:$G,4,0)</f>
        <v>Spotlight AU</v>
      </c>
      <c r="K188" s="19" t="str">
        <f>VLOOKUP(G188,'STORE LOOKUP'!$C:$G,5,0)</f>
        <v>Store</v>
      </c>
      <c r="L188" s="17" t="str">
        <f>VLOOKUP(C188,'FIN CAL LOOKUP'!A:J,7,1)</f>
        <v>JUL, FY25</v>
      </c>
      <c r="M188" s="17" t="str">
        <f>VLOOKUP(C188,'FIN CAL LOOKUP'!A:J,10,1)</f>
        <v>Q1, FY25</v>
      </c>
    </row>
    <row r="189" spans="1:13" x14ac:dyDescent="0.25">
      <c r="A189" t="s">
        <v>423</v>
      </c>
      <c r="B189" s="1">
        <v>45499.65</v>
      </c>
      <c r="C189" s="1">
        <v>45499.507638888892</v>
      </c>
      <c r="D189" t="s">
        <v>276</v>
      </c>
      <c r="E189" t="s">
        <v>10</v>
      </c>
      <c r="F189" t="s">
        <v>11</v>
      </c>
      <c r="G189" t="s">
        <v>345</v>
      </c>
      <c r="H189" t="s">
        <v>44</v>
      </c>
      <c r="I189" s="19" t="str">
        <f>VLOOKUP(G189,'STORE LOOKUP'!$C:$G,2,0)</f>
        <v>WA</v>
      </c>
      <c r="J189" s="19" t="str">
        <f>VLOOKUP(G189,'STORE LOOKUP'!$C:$G,4,0)</f>
        <v>Spotlight AU</v>
      </c>
      <c r="K189" s="19" t="str">
        <f>VLOOKUP(G189,'STORE LOOKUP'!$C:$G,5,0)</f>
        <v>Store</v>
      </c>
      <c r="L189" s="17" t="str">
        <f>VLOOKUP(C189,'FIN CAL LOOKUP'!A:J,7,1)</f>
        <v>JUL, FY25</v>
      </c>
      <c r="M189" s="17" t="str">
        <f>VLOOKUP(C189,'FIN CAL LOOKUP'!A:J,10,1)</f>
        <v>Q1, FY25</v>
      </c>
    </row>
    <row r="190" spans="1:13" x14ac:dyDescent="0.25">
      <c r="A190" t="s">
        <v>424</v>
      </c>
      <c r="B190" s="1">
        <v>45500.42083333333</v>
      </c>
      <c r="C190" s="1">
        <v>45499.272916666669</v>
      </c>
      <c r="D190" t="s">
        <v>189</v>
      </c>
      <c r="E190" t="s">
        <v>10</v>
      </c>
      <c r="F190" t="s">
        <v>11</v>
      </c>
      <c r="G190" t="s">
        <v>190</v>
      </c>
      <c r="H190" t="s">
        <v>17</v>
      </c>
      <c r="I190" s="19" t="str">
        <f>VLOOKUP(G190,'STORE LOOKUP'!$C:$G,2,0)</f>
        <v>QLD NW / NT</v>
      </c>
      <c r="J190" s="19" t="str">
        <f>VLOOKUP(G190,'STORE LOOKUP'!$C:$G,4,0)</f>
        <v>Anaconda</v>
      </c>
      <c r="K190" s="19" t="str">
        <f>VLOOKUP(G190,'STORE LOOKUP'!$C:$G,5,0)</f>
        <v>Store</v>
      </c>
      <c r="L190" s="17" t="str">
        <f>VLOOKUP(C190,'FIN CAL LOOKUP'!A:J,7,1)</f>
        <v>JUL, FY25</v>
      </c>
      <c r="M190" s="17" t="str">
        <f>VLOOKUP(C190,'FIN CAL LOOKUP'!A:J,10,1)</f>
        <v>Q1, FY25</v>
      </c>
    </row>
    <row r="191" spans="1:13" x14ac:dyDescent="0.25">
      <c r="A191" t="s">
        <v>425</v>
      </c>
      <c r="B191" s="1">
        <v>45502.649305555555</v>
      </c>
      <c r="C191" s="1">
        <v>45502.590277777781</v>
      </c>
      <c r="D191" t="s">
        <v>426</v>
      </c>
      <c r="E191" t="s">
        <v>10</v>
      </c>
      <c r="F191" t="s">
        <v>11</v>
      </c>
      <c r="G191" t="s">
        <v>334</v>
      </c>
      <c r="H191" t="s">
        <v>56</v>
      </c>
      <c r="I191" s="19" t="str">
        <f>VLOOKUP(G191,'STORE LOOKUP'!$C:$G,2,0)</f>
        <v>VIC West</v>
      </c>
      <c r="J191" s="19" t="str">
        <f>VLOOKUP(G191,'STORE LOOKUP'!$C:$G,4,0)</f>
        <v>Spotlight AU</v>
      </c>
      <c r="K191" s="19" t="str">
        <f>VLOOKUP(G191,'STORE LOOKUP'!$C:$G,5,0)</f>
        <v>Store</v>
      </c>
      <c r="L191" s="17" t="str">
        <f>VLOOKUP(C191,'FIN CAL LOOKUP'!A:J,7,1)</f>
        <v>AUG, FY25</v>
      </c>
      <c r="M191" s="17" t="str">
        <f>VLOOKUP(C191,'FIN CAL LOOKUP'!A:J,10,1)</f>
        <v>Q1, FY25</v>
      </c>
    </row>
    <row r="192" spans="1:13" x14ac:dyDescent="0.25">
      <c r="A192" t="s">
        <v>427</v>
      </c>
      <c r="B192" s="1">
        <v>45507.370138888888</v>
      </c>
      <c r="C192" s="1">
        <v>45506.871527777781</v>
      </c>
      <c r="D192" t="s">
        <v>189</v>
      </c>
      <c r="E192" t="s">
        <v>10</v>
      </c>
      <c r="F192" t="s">
        <v>11</v>
      </c>
      <c r="G192" t="s">
        <v>190</v>
      </c>
      <c r="H192" t="s">
        <v>17</v>
      </c>
      <c r="I192" s="19" t="str">
        <f>VLOOKUP(G192,'STORE LOOKUP'!$C:$G,2,0)</f>
        <v>QLD NW / NT</v>
      </c>
      <c r="J192" s="19" t="str">
        <f>VLOOKUP(G192,'STORE LOOKUP'!$C:$G,4,0)</f>
        <v>Anaconda</v>
      </c>
      <c r="K192" s="19" t="str">
        <f>VLOOKUP(G192,'STORE LOOKUP'!$C:$G,5,0)</f>
        <v>Store</v>
      </c>
      <c r="L192" s="17" t="str">
        <f>VLOOKUP(C192,'FIN CAL LOOKUP'!A:J,7,1)</f>
        <v>AUG, FY25</v>
      </c>
      <c r="M192" s="17" t="str">
        <f>VLOOKUP(C192,'FIN CAL LOOKUP'!A:J,10,1)</f>
        <v>Q1, FY25</v>
      </c>
    </row>
    <row r="193" spans="1:13" x14ac:dyDescent="0.25">
      <c r="A193" t="s">
        <v>428</v>
      </c>
      <c r="B193" s="1">
        <v>45507.637499999997</v>
      </c>
      <c r="C193" s="1">
        <v>45507.479166666664</v>
      </c>
      <c r="D193" t="s">
        <v>429</v>
      </c>
      <c r="E193" t="s">
        <v>10</v>
      </c>
      <c r="F193" t="s">
        <v>11</v>
      </c>
      <c r="G193" t="s">
        <v>430</v>
      </c>
      <c r="H193" t="s">
        <v>21</v>
      </c>
      <c r="I193" s="19" t="str">
        <f>VLOOKUP(G193,'STORE LOOKUP'!$C:$G,2,0)</f>
        <v>SA/NT</v>
      </c>
      <c r="J193" s="19" t="str">
        <f>VLOOKUP(G193,'STORE LOOKUP'!$C:$G,4,0)</f>
        <v>Spotlight AU</v>
      </c>
      <c r="K193" s="19" t="str">
        <f>VLOOKUP(G193,'STORE LOOKUP'!$C:$G,5,0)</f>
        <v>Store</v>
      </c>
      <c r="L193" s="17" t="str">
        <f>VLOOKUP(C193,'FIN CAL LOOKUP'!A:J,7,1)</f>
        <v>AUG, FY25</v>
      </c>
      <c r="M193" s="17" t="str">
        <f>VLOOKUP(C193,'FIN CAL LOOKUP'!A:J,10,1)</f>
        <v>Q1, FY25</v>
      </c>
    </row>
    <row r="194" spans="1:13" x14ac:dyDescent="0.25">
      <c r="A194" t="s">
        <v>431</v>
      </c>
      <c r="B194" s="1">
        <v>45508.354166666664</v>
      </c>
      <c r="C194" s="1">
        <v>45507.125</v>
      </c>
      <c r="D194" t="s">
        <v>189</v>
      </c>
      <c r="E194" t="s">
        <v>10</v>
      </c>
      <c r="F194" t="s">
        <v>11</v>
      </c>
      <c r="G194" t="s">
        <v>190</v>
      </c>
      <c r="H194" t="s">
        <v>17</v>
      </c>
      <c r="I194" s="19" t="str">
        <f>VLOOKUP(G194,'STORE LOOKUP'!$C:$G,2,0)</f>
        <v>QLD NW / NT</v>
      </c>
      <c r="J194" s="19" t="str">
        <f>VLOOKUP(G194,'STORE LOOKUP'!$C:$G,4,0)</f>
        <v>Anaconda</v>
      </c>
      <c r="K194" s="19" t="str">
        <f>VLOOKUP(G194,'STORE LOOKUP'!$C:$G,5,0)</f>
        <v>Store</v>
      </c>
      <c r="L194" s="17" t="str">
        <f>VLOOKUP(C194,'FIN CAL LOOKUP'!A:J,7,1)</f>
        <v>AUG, FY25</v>
      </c>
      <c r="M194" s="17" t="str">
        <f>VLOOKUP(C194,'FIN CAL LOOKUP'!A:J,10,1)</f>
        <v>Q1, FY25</v>
      </c>
    </row>
    <row r="195" spans="1:13" x14ac:dyDescent="0.25">
      <c r="A195" t="s">
        <v>432</v>
      </c>
      <c r="B195" s="1">
        <v>45510.428472222222</v>
      </c>
      <c r="C195" s="1">
        <v>45510.281944444447</v>
      </c>
      <c r="D195" t="s">
        <v>189</v>
      </c>
      <c r="E195" t="s">
        <v>10</v>
      </c>
      <c r="F195" t="s">
        <v>11</v>
      </c>
      <c r="G195" t="s">
        <v>190</v>
      </c>
      <c r="H195" t="s">
        <v>17</v>
      </c>
      <c r="I195" s="19" t="str">
        <f>VLOOKUP(G195,'STORE LOOKUP'!$C:$G,2,0)</f>
        <v>QLD NW / NT</v>
      </c>
      <c r="J195" s="19" t="str">
        <f>VLOOKUP(G195,'STORE LOOKUP'!$C:$G,4,0)</f>
        <v>Anaconda</v>
      </c>
      <c r="K195" s="19" t="str">
        <f>VLOOKUP(G195,'STORE LOOKUP'!$C:$G,5,0)</f>
        <v>Store</v>
      </c>
      <c r="L195" s="17" t="str">
        <f>VLOOKUP(C195,'FIN CAL LOOKUP'!A:J,7,1)</f>
        <v>AUG, FY25</v>
      </c>
      <c r="M195" s="17" t="str">
        <f>VLOOKUP(C195,'FIN CAL LOOKUP'!A:J,10,1)</f>
        <v>Q1, FY25</v>
      </c>
    </row>
    <row r="196" spans="1:13" x14ac:dyDescent="0.25">
      <c r="A196" t="s">
        <v>433</v>
      </c>
      <c r="B196" s="1">
        <v>45510.831250000003</v>
      </c>
      <c r="C196" s="1">
        <v>45510.649305555555</v>
      </c>
      <c r="D196" t="s">
        <v>434</v>
      </c>
      <c r="E196" t="s">
        <v>10</v>
      </c>
      <c r="F196" t="s">
        <v>11</v>
      </c>
      <c r="G196" t="s">
        <v>435</v>
      </c>
      <c r="H196" t="s">
        <v>194</v>
      </c>
      <c r="I196" s="19" t="str">
        <f>VLOOKUP(G196,'STORE LOOKUP'!$C:$G,2,0)</f>
        <v>NSW/ACT</v>
      </c>
      <c r="J196" s="19" t="str">
        <f>VLOOKUP(G196,'STORE LOOKUP'!$C:$G,4,0)</f>
        <v>Harris Scarfe</v>
      </c>
      <c r="K196" s="19" t="str">
        <f>VLOOKUP(G196,'STORE LOOKUP'!$C:$G,5,0)</f>
        <v>Store</v>
      </c>
      <c r="L196" s="17" t="str">
        <f>VLOOKUP(C196,'FIN CAL LOOKUP'!A:J,7,1)</f>
        <v>AUG, FY25</v>
      </c>
      <c r="M196" s="17" t="str">
        <f>VLOOKUP(C196,'FIN CAL LOOKUP'!A:J,10,1)</f>
        <v>Q1, FY25</v>
      </c>
    </row>
    <row r="197" spans="1:13" x14ac:dyDescent="0.25">
      <c r="A197" t="s">
        <v>436</v>
      </c>
      <c r="B197" s="1">
        <v>45511.463194444441</v>
      </c>
      <c r="C197" s="1">
        <v>45509.434027777781</v>
      </c>
      <c r="D197" t="s">
        <v>216</v>
      </c>
      <c r="E197" t="s">
        <v>10</v>
      </c>
      <c r="F197" t="s">
        <v>11</v>
      </c>
      <c r="G197" t="s">
        <v>217</v>
      </c>
      <c r="H197" t="s">
        <v>120</v>
      </c>
      <c r="I197" s="19" t="str">
        <f>VLOOKUP(G197,'STORE LOOKUP'!$C:$G,2,0)</f>
        <v>VIC</v>
      </c>
      <c r="J197" s="19" t="str">
        <f>VLOOKUP(G197,'STORE LOOKUP'!$C:$G,4,0)</f>
        <v>Harris Scarfe</v>
      </c>
      <c r="K197" s="19" t="str">
        <f>VLOOKUP(G197,'STORE LOOKUP'!$C:$G,5,0)</f>
        <v>Store</v>
      </c>
      <c r="L197" s="17" t="str">
        <f>VLOOKUP(C197,'FIN CAL LOOKUP'!A:J,7,1)</f>
        <v>AUG, FY25</v>
      </c>
      <c r="M197" s="17" t="str">
        <f>VLOOKUP(C197,'FIN CAL LOOKUP'!A:J,10,1)</f>
        <v>Q1, FY25</v>
      </c>
    </row>
    <row r="198" spans="1:13" x14ac:dyDescent="0.25">
      <c r="A198" t="s">
        <v>437</v>
      </c>
      <c r="B198" s="1">
        <v>45513.469444444447</v>
      </c>
      <c r="C198" s="1">
        <v>45502.460416666669</v>
      </c>
      <c r="D198" t="s">
        <v>216</v>
      </c>
      <c r="E198" t="s">
        <v>10</v>
      </c>
      <c r="F198" t="s">
        <v>11</v>
      </c>
      <c r="G198" t="s">
        <v>217</v>
      </c>
      <c r="H198" t="s">
        <v>120</v>
      </c>
      <c r="I198" s="19" t="str">
        <f>VLOOKUP(G198,'STORE LOOKUP'!$C:$G,2,0)</f>
        <v>VIC</v>
      </c>
      <c r="J198" s="19" t="str">
        <f>VLOOKUP(G198,'STORE LOOKUP'!$C:$G,4,0)</f>
        <v>Harris Scarfe</v>
      </c>
      <c r="K198" s="19" t="str">
        <f>VLOOKUP(G198,'STORE LOOKUP'!$C:$G,5,0)</f>
        <v>Store</v>
      </c>
      <c r="L198" s="17" t="str">
        <f>VLOOKUP(C198,'FIN CAL LOOKUP'!A:J,7,1)</f>
        <v>AUG, FY25</v>
      </c>
      <c r="M198" s="17" t="str">
        <f>VLOOKUP(C198,'FIN CAL LOOKUP'!A:J,10,1)</f>
        <v>Q1, FY25</v>
      </c>
    </row>
    <row r="199" spans="1:13" x14ac:dyDescent="0.25">
      <c r="A199" t="s">
        <v>438</v>
      </c>
      <c r="B199" s="1">
        <v>45516.423611111109</v>
      </c>
      <c r="C199" s="1">
        <v>45511.323611111111</v>
      </c>
      <c r="D199" t="s">
        <v>189</v>
      </c>
      <c r="E199" t="s">
        <v>10</v>
      </c>
      <c r="F199" t="s">
        <v>11</v>
      </c>
      <c r="G199" t="s">
        <v>190</v>
      </c>
      <c r="H199" t="s">
        <v>17</v>
      </c>
      <c r="I199" s="19" t="str">
        <f>VLOOKUP(G199,'STORE LOOKUP'!$C:$G,2,0)</f>
        <v>QLD NW / NT</v>
      </c>
      <c r="J199" s="19" t="str">
        <f>VLOOKUP(G199,'STORE LOOKUP'!$C:$G,4,0)</f>
        <v>Anaconda</v>
      </c>
      <c r="K199" s="19" t="str">
        <f>VLOOKUP(G199,'STORE LOOKUP'!$C:$G,5,0)</f>
        <v>Store</v>
      </c>
      <c r="L199" s="17" t="str">
        <f>VLOOKUP(C199,'FIN CAL LOOKUP'!A:J,7,1)</f>
        <v>AUG, FY25</v>
      </c>
      <c r="M199" s="17" t="str">
        <f>VLOOKUP(C199,'FIN CAL LOOKUP'!A:J,10,1)</f>
        <v>Q1, FY25</v>
      </c>
    </row>
    <row r="200" spans="1:13" x14ac:dyDescent="0.25">
      <c r="A200" t="s">
        <v>439</v>
      </c>
      <c r="B200" s="1">
        <v>45516.43472222222</v>
      </c>
      <c r="C200" s="1">
        <v>45512.291666666664</v>
      </c>
      <c r="D200" t="s">
        <v>189</v>
      </c>
      <c r="E200" t="s">
        <v>10</v>
      </c>
      <c r="F200" t="s">
        <v>11</v>
      </c>
      <c r="G200" t="s">
        <v>190</v>
      </c>
      <c r="H200" t="s">
        <v>17</v>
      </c>
      <c r="I200" s="19" t="str">
        <f>VLOOKUP(G200,'STORE LOOKUP'!$C:$G,2,0)</f>
        <v>QLD NW / NT</v>
      </c>
      <c r="J200" s="19" t="str">
        <f>VLOOKUP(G200,'STORE LOOKUP'!$C:$G,4,0)</f>
        <v>Anaconda</v>
      </c>
      <c r="K200" s="19" t="str">
        <f>VLOOKUP(G200,'STORE LOOKUP'!$C:$G,5,0)</f>
        <v>Store</v>
      </c>
      <c r="L200" s="17" t="str">
        <f>VLOOKUP(C200,'FIN CAL LOOKUP'!A:J,7,1)</f>
        <v>AUG, FY25</v>
      </c>
      <c r="M200" s="17" t="str">
        <f>VLOOKUP(C200,'FIN CAL LOOKUP'!A:J,10,1)</f>
        <v>Q1, FY25</v>
      </c>
    </row>
    <row r="201" spans="1:13" x14ac:dyDescent="0.25">
      <c r="A201" t="s">
        <v>440</v>
      </c>
      <c r="B201" s="1">
        <v>45516.444444444445</v>
      </c>
      <c r="C201" s="1">
        <v>45513.28125</v>
      </c>
      <c r="D201" t="s">
        <v>189</v>
      </c>
      <c r="E201" t="s">
        <v>10</v>
      </c>
      <c r="F201" t="s">
        <v>11</v>
      </c>
      <c r="G201" t="s">
        <v>190</v>
      </c>
      <c r="H201" t="s">
        <v>17</v>
      </c>
      <c r="I201" s="19" t="str">
        <f>VLOOKUP(G201,'STORE LOOKUP'!$C:$G,2,0)</f>
        <v>QLD NW / NT</v>
      </c>
      <c r="J201" s="19" t="str">
        <f>VLOOKUP(G201,'STORE LOOKUP'!$C:$G,4,0)</f>
        <v>Anaconda</v>
      </c>
      <c r="K201" s="19" t="str">
        <f>VLOOKUP(G201,'STORE LOOKUP'!$C:$G,5,0)</f>
        <v>Store</v>
      </c>
      <c r="L201" s="17" t="str">
        <f>VLOOKUP(C201,'FIN CAL LOOKUP'!A:J,7,1)</f>
        <v>AUG, FY25</v>
      </c>
      <c r="M201" s="17" t="str">
        <f>VLOOKUP(C201,'FIN CAL LOOKUP'!A:J,10,1)</f>
        <v>Q1, FY25</v>
      </c>
    </row>
    <row r="202" spans="1:13" x14ac:dyDescent="0.25">
      <c r="A202" t="s">
        <v>441</v>
      </c>
      <c r="B202" s="1">
        <v>45516.450694444444</v>
      </c>
      <c r="C202" s="1">
        <v>45514.283333333333</v>
      </c>
      <c r="D202" t="s">
        <v>189</v>
      </c>
      <c r="E202" t="s">
        <v>10</v>
      </c>
      <c r="F202" t="s">
        <v>11</v>
      </c>
      <c r="G202" t="s">
        <v>190</v>
      </c>
      <c r="H202" t="s">
        <v>17</v>
      </c>
      <c r="I202" s="19" t="str">
        <f>VLOOKUP(G202,'STORE LOOKUP'!$C:$G,2,0)</f>
        <v>QLD NW / NT</v>
      </c>
      <c r="J202" s="19" t="str">
        <f>VLOOKUP(G202,'STORE LOOKUP'!$C:$G,4,0)</f>
        <v>Anaconda</v>
      </c>
      <c r="K202" s="19" t="str">
        <f>VLOOKUP(G202,'STORE LOOKUP'!$C:$G,5,0)</f>
        <v>Store</v>
      </c>
      <c r="L202" s="17" t="str">
        <f>VLOOKUP(C202,'FIN CAL LOOKUP'!A:J,7,1)</f>
        <v>AUG, FY25</v>
      </c>
      <c r="M202" s="17" t="str">
        <f>VLOOKUP(C202,'FIN CAL LOOKUP'!A:J,10,1)</f>
        <v>Q1, FY25</v>
      </c>
    </row>
    <row r="203" spans="1:13" x14ac:dyDescent="0.25">
      <c r="A203" t="s">
        <v>442</v>
      </c>
      <c r="B203" s="1">
        <v>45516.46875</v>
      </c>
      <c r="C203" s="1">
        <v>45515.32916666667</v>
      </c>
      <c r="D203" t="s">
        <v>189</v>
      </c>
      <c r="E203" t="s">
        <v>10</v>
      </c>
      <c r="F203" t="s">
        <v>11</v>
      </c>
      <c r="G203" t="s">
        <v>190</v>
      </c>
      <c r="H203" t="s">
        <v>17</v>
      </c>
      <c r="I203" s="19" t="str">
        <f>VLOOKUP(G203,'STORE LOOKUP'!$C:$G,2,0)</f>
        <v>QLD NW / NT</v>
      </c>
      <c r="J203" s="19" t="str">
        <f>VLOOKUP(G203,'STORE LOOKUP'!$C:$G,4,0)</f>
        <v>Anaconda</v>
      </c>
      <c r="K203" s="19" t="str">
        <f>VLOOKUP(G203,'STORE LOOKUP'!$C:$G,5,0)</f>
        <v>Store</v>
      </c>
      <c r="L203" s="17" t="str">
        <f>VLOOKUP(C203,'FIN CAL LOOKUP'!A:J,7,1)</f>
        <v>AUG, FY25</v>
      </c>
      <c r="M203" s="17" t="str">
        <f>VLOOKUP(C203,'FIN CAL LOOKUP'!A:J,10,1)</f>
        <v>Q1, FY25</v>
      </c>
    </row>
    <row r="204" spans="1:13" x14ac:dyDescent="0.25">
      <c r="A204" t="s">
        <v>443</v>
      </c>
      <c r="B204" s="1">
        <v>45517.378472222219</v>
      </c>
      <c r="C204" s="1">
        <v>45517.186111111114</v>
      </c>
      <c r="D204" t="s">
        <v>189</v>
      </c>
      <c r="E204" t="s">
        <v>10</v>
      </c>
      <c r="F204" t="s">
        <v>11</v>
      </c>
      <c r="G204" t="s">
        <v>190</v>
      </c>
      <c r="H204" t="s">
        <v>17</v>
      </c>
      <c r="I204" s="19" t="str">
        <f>VLOOKUP(G204,'STORE LOOKUP'!$C:$G,2,0)</f>
        <v>QLD NW / NT</v>
      </c>
      <c r="J204" s="19" t="str">
        <f>VLOOKUP(G204,'STORE LOOKUP'!$C:$G,4,0)</f>
        <v>Anaconda</v>
      </c>
      <c r="K204" s="19" t="str">
        <f>VLOOKUP(G204,'STORE LOOKUP'!$C:$G,5,0)</f>
        <v>Store</v>
      </c>
      <c r="L204" s="17" t="str">
        <f>VLOOKUP(C204,'FIN CAL LOOKUP'!A:J,7,1)</f>
        <v>AUG, FY25</v>
      </c>
      <c r="M204" s="17" t="str">
        <f>VLOOKUP(C204,'FIN CAL LOOKUP'!A:J,10,1)</f>
        <v>Q1, FY25</v>
      </c>
    </row>
    <row r="205" spans="1:13" x14ac:dyDescent="0.25">
      <c r="A205" t="s">
        <v>444</v>
      </c>
      <c r="B205" s="1">
        <v>45518.668749999997</v>
      </c>
      <c r="C205" s="1">
        <v>45518.642361111109</v>
      </c>
      <c r="D205" t="s">
        <v>189</v>
      </c>
      <c r="E205" t="s">
        <v>10</v>
      </c>
      <c r="F205" t="s">
        <v>11</v>
      </c>
      <c r="G205" t="s">
        <v>190</v>
      </c>
      <c r="H205" t="s">
        <v>17</v>
      </c>
      <c r="I205" s="19" t="str">
        <f>VLOOKUP(G205,'STORE LOOKUP'!$C:$G,2,0)</f>
        <v>QLD NW / NT</v>
      </c>
      <c r="J205" s="19" t="str">
        <f>VLOOKUP(G205,'STORE LOOKUP'!$C:$G,4,0)</f>
        <v>Anaconda</v>
      </c>
      <c r="K205" s="19" t="str">
        <f>VLOOKUP(G205,'STORE LOOKUP'!$C:$G,5,0)</f>
        <v>Store</v>
      </c>
      <c r="L205" s="17" t="str">
        <f>VLOOKUP(C205,'FIN CAL LOOKUP'!A:J,7,1)</f>
        <v>AUG, FY25</v>
      </c>
      <c r="M205" s="17" t="str">
        <f>VLOOKUP(C205,'FIN CAL LOOKUP'!A:J,10,1)</f>
        <v>Q1, FY25</v>
      </c>
    </row>
    <row r="206" spans="1:13" x14ac:dyDescent="0.25">
      <c r="A206" t="s">
        <v>445</v>
      </c>
      <c r="B206" s="1">
        <v>45519.443749999999</v>
      </c>
      <c r="C206" s="1">
        <v>45519.1875</v>
      </c>
      <c r="D206" t="s">
        <v>189</v>
      </c>
      <c r="E206" t="s">
        <v>10</v>
      </c>
      <c r="F206" t="s">
        <v>11</v>
      </c>
      <c r="G206" t="s">
        <v>190</v>
      </c>
      <c r="H206" t="s">
        <v>17</v>
      </c>
      <c r="I206" s="19" t="str">
        <f>VLOOKUP(G206,'STORE LOOKUP'!$C:$G,2,0)</f>
        <v>QLD NW / NT</v>
      </c>
      <c r="J206" s="19" t="str">
        <f>VLOOKUP(G206,'STORE LOOKUP'!$C:$G,4,0)</f>
        <v>Anaconda</v>
      </c>
      <c r="K206" s="19" t="str">
        <f>VLOOKUP(G206,'STORE LOOKUP'!$C:$G,5,0)</f>
        <v>Store</v>
      </c>
      <c r="L206" s="17" t="str">
        <f>VLOOKUP(C206,'FIN CAL LOOKUP'!A:J,7,1)</f>
        <v>AUG, FY25</v>
      </c>
      <c r="M206" s="17" t="str">
        <f>VLOOKUP(C206,'FIN CAL LOOKUP'!A:J,10,1)</f>
        <v>Q1, FY25</v>
      </c>
    </row>
    <row r="207" spans="1:13" x14ac:dyDescent="0.25">
      <c r="A207" t="s">
        <v>446</v>
      </c>
      <c r="B207" s="1">
        <v>45519.688194444447</v>
      </c>
      <c r="C207" s="1">
        <v>45516.5625</v>
      </c>
      <c r="D207" t="s">
        <v>447</v>
      </c>
      <c r="E207" t="s">
        <v>10</v>
      </c>
      <c r="F207" t="s">
        <v>11</v>
      </c>
      <c r="G207" t="s">
        <v>448</v>
      </c>
      <c r="H207" t="s">
        <v>84</v>
      </c>
      <c r="I207" s="19" t="str">
        <f>VLOOKUP(G207,'STORE LOOKUP'!$C:$G,2,0)</f>
        <v>SA/TAS</v>
      </c>
      <c r="J207" s="19" t="str">
        <f>VLOOKUP(G207,'STORE LOOKUP'!$C:$G,4,0)</f>
        <v>Harris Scarfe</v>
      </c>
      <c r="K207" s="19" t="str">
        <f>VLOOKUP(G207,'STORE LOOKUP'!$C:$G,5,0)</f>
        <v>Store</v>
      </c>
      <c r="L207" s="17" t="str">
        <f>VLOOKUP(C207,'FIN CAL LOOKUP'!A:J,7,1)</f>
        <v>AUG, FY25</v>
      </c>
      <c r="M207" s="17" t="str">
        <f>VLOOKUP(C207,'FIN CAL LOOKUP'!A:J,10,1)</f>
        <v>Q1, FY25</v>
      </c>
    </row>
    <row r="208" spans="1:13" x14ac:dyDescent="0.25">
      <c r="A208" t="s">
        <v>449</v>
      </c>
      <c r="B208" s="1">
        <v>45520.535416666666</v>
      </c>
      <c r="C208" s="1">
        <v>45517.490277777775</v>
      </c>
      <c r="D208" t="s">
        <v>216</v>
      </c>
      <c r="E208" t="s">
        <v>10</v>
      </c>
      <c r="F208" t="s">
        <v>11</v>
      </c>
      <c r="G208" t="s">
        <v>217</v>
      </c>
      <c r="H208" t="s">
        <v>120</v>
      </c>
      <c r="I208" s="19" t="str">
        <f>VLOOKUP(G208,'STORE LOOKUP'!$C:$G,2,0)</f>
        <v>VIC</v>
      </c>
      <c r="J208" s="19" t="str">
        <f>VLOOKUP(G208,'STORE LOOKUP'!$C:$G,4,0)</f>
        <v>Harris Scarfe</v>
      </c>
      <c r="K208" s="19" t="str">
        <f>VLOOKUP(G208,'STORE LOOKUP'!$C:$G,5,0)</f>
        <v>Store</v>
      </c>
      <c r="L208" s="17" t="str">
        <f>VLOOKUP(C208,'FIN CAL LOOKUP'!A:J,7,1)</f>
        <v>AUG, FY25</v>
      </c>
      <c r="M208" s="17" t="str">
        <f>VLOOKUP(C208,'FIN CAL LOOKUP'!A:J,10,1)</f>
        <v>Q1, FY25</v>
      </c>
    </row>
    <row r="209" spans="1:13" x14ac:dyDescent="0.25">
      <c r="A209" t="s">
        <v>450</v>
      </c>
      <c r="B209" s="1">
        <v>45521.386111111111</v>
      </c>
      <c r="C209" s="1">
        <v>45521.3125</v>
      </c>
      <c r="D209" t="s">
        <v>189</v>
      </c>
      <c r="E209" t="s">
        <v>10</v>
      </c>
      <c r="F209" t="s">
        <v>11</v>
      </c>
      <c r="G209" t="s">
        <v>190</v>
      </c>
      <c r="H209" t="s">
        <v>17</v>
      </c>
      <c r="I209" s="19" t="str">
        <f>VLOOKUP(G209,'STORE LOOKUP'!$C:$G,2,0)</f>
        <v>QLD NW / NT</v>
      </c>
      <c r="J209" s="19" t="str">
        <f>VLOOKUP(G209,'STORE LOOKUP'!$C:$G,4,0)</f>
        <v>Anaconda</v>
      </c>
      <c r="K209" s="19" t="str">
        <f>VLOOKUP(G209,'STORE LOOKUP'!$C:$G,5,0)</f>
        <v>Store</v>
      </c>
      <c r="L209" s="17" t="str">
        <f>VLOOKUP(C209,'FIN CAL LOOKUP'!A:J,7,1)</f>
        <v>AUG, FY25</v>
      </c>
      <c r="M209" s="17" t="str">
        <f>VLOOKUP(C209,'FIN CAL LOOKUP'!A:J,10,1)</f>
        <v>Q1, FY25</v>
      </c>
    </row>
    <row r="210" spans="1:13" x14ac:dyDescent="0.25">
      <c r="A210" t="s">
        <v>451</v>
      </c>
      <c r="B210" s="1">
        <v>45522.361111111109</v>
      </c>
      <c r="C210" s="1">
        <v>45522.3125</v>
      </c>
      <c r="D210" t="s">
        <v>189</v>
      </c>
      <c r="E210" t="s">
        <v>10</v>
      </c>
      <c r="F210" t="s">
        <v>11</v>
      </c>
      <c r="G210" t="s">
        <v>190</v>
      </c>
      <c r="H210" t="s">
        <v>17</v>
      </c>
      <c r="I210" s="19" t="str">
        <f>VLOOKUP(G210,'STORE LOOKUP'!$C:$G,2,0)</f>
        <v>QLD NW / NT</v>
      </c>
      <c r="J210" s="19" t="str">
        <f>VLOOKUP(G210,'STORE LOOKUP'!$C:$G,4,0)</f>
        <v>Anaconda</v>
      </c>
      <c r="K210" s="19" t="str">
        <f>VLOOKUP(G210,'STORE LOOKUP'!$C:$G,5,0)</f>
        <v>Store</v>
      </c>
      <c r="L210" s="17" t="str">
        <f>VLOOKUP(C210,'FIN CAL LOOKUP'!A:J,7,1)</f>
        <v>AUG, FY25</v>
      </c>
      <c r="M210" s="17" t="str">
        <f>VLOOKUP(C210,'FIN CAL LOOKUP'!A:J,10,1)</f>
        <v>Q1, FY25</v>
      </c>
    </row>
    <row r="211" spans="1:13" x14ac:dyDescent="0.25">
      <c r="A211" t="s">
        <v>452</v>
      </c>
      <c r="B211" s="1">
        <v>45523.32916666667</v>
      </c>
      <c r="C211" s="1">
        <v>45523.288194444445</v>
      </c>
      <c r="D211" t="s">
        <v>189</v>
      </c>
      <c r="E211" t="s">
        <v>10</v>
      </c>
      <c r="F211" t="s">
        <v>11</v>
      </c>
      <c r="G211" t="s">
        <v>190</v>
      </c>
      <c r="H211" t="s">
        <v>17</v>
      </c>
      <c r="I211" s="19" t="str">
        <f>VLOOKUP(G211,'STORE LOOKUP'!$C:$G,2,0)</f>
        <v>QLD NW / NT</v>
      </c>
      <c r="J211" s="19" t="str">
        <f>VLOOKUP(G211,'STORE LOOKUP'!$C:$G,4,0)</f>
        <v>Anaconda</v>
      </c>
      <c r="K211" s="19" t="str">
        <f>VLOOKUP(G211,'STORE LOOKUP'!$C:$G,5,0)</f>
        <v>Store</v>
      </c>
      <c r="L211" s="17" t="str">
        <f>VLOOKUP(C211,'FIN CAL LOOKUP'!A:J,7,1)</f>
        <v>AUG, FY25</v>
      </c>
      <c r="M211" s="17" t="str">
        <f>VLOOKUP(C211,'FIN CAL LOOKUP'!A:J,10,1)</f>
        <v>Q1, FY25</v>
      </c>
    </row>
    <row r="212" spans="1:13" x14ac:dyDescent="0.25">
      <c r="A212" t="s">
        <v>453</v>
      </c>
      <c r="B212" s="1">
        <v>45524.590277777781</v>
      </c>
      <c r="C212" s="1">
        <v>45524.425694444442</v>
      </c>
      <c r="D212" t="s">
        <v>454</v>
      </c>
      <c r="E212" t="s">
        <v>10</v>
      </c>
      <c r="F212" t="s">
        <v>11</v>
      </c>
      <c r="G212" t="s">
        <v>43</v>
      </c>
      <c r="H212" t="s">
        <v>44</v>
      </c>
      <c r="I212" s="19" t="str">
        <f>VLOOKUP(G212,'STORE LOOKUP'!$C:$G,2,0)</f>
        <v>WA</v>
      </c>
      <c r="J212" s="19" t="str">
        <f>VLOOKUP(G212,'STORE LOOKUP'!$C:$G,4,0)</f>
        <v>Spotlight AU</v>
      </c>
      <c r="K212" s="19" t="str">
        <f>VLOOKUP(G212,'STORE LOOKUP'!$C:$G,5,0)</f>
        <v>Store</v>
      </c>
      <c r="L212" s="17" t="str">
        <f>VLOOKUP(C212,'FIN CAL LOOKUP'!A:J,7,1)</f>
        <v>AUG, FY25</v>
      </c>
      <c r="M212" s="17" t="str">
        <f>VLOOKUP(C212,'FIN CAL LOOKUP'!A:J,10,1)</f>
        <v>Q1, FY25</v>
      </c>
    </row>
    <row r="213" spans="1:13" x14ac:dyDescent="0.25">
      <c r="A213" t="s">
        <v>455</v>
      </c>
      <c r="B213" s="1">
        <v>45525.512499999997</v>
      </c>
      <c r="C213" s="1">
        <v>45525.4375</v>
      </c>
      <c r="D213" t="s">
        <v>385</v>
      </c>
      <c r="E213" t="s">
        <v>10</v>
      </c>
      <c r="F213" t="s">
        <v>11</v>
      </c>
      <c r="G213" t="s">
        <v>386</v>
      </c>
      <c r="H213" t="s">
        <v>29</v>
      </c>
      <c r="I213" s="19" t="str">
        <f>VLOOKUP(G213,'STORE LOOKUP'!$C:$G,2,0)</f>
        <v>VIC West / TAS</v>
      </c>
      <c r="J213" s="19" t="str">
        <f>VLOOKUP(G213,'STORE LOOKUP'!$C:$G,4,0)</f>
        <v>Anaconda</v>
      </c>
      <c r="K213" s="19" t="str">
        <f>VLOOKUP(G213,'STORE LOOKUP'!$C:$G,5,0)</f>
        <v>Store</v>
      </c>
      <c r="L213" s="17" t="str">
        <f>VLOOKUP(C213,'FIN CAL LOOKUP'!A:J,7,1)</f>
        <v>AUG, FY25</v>
      </c>
      <c r="M213" s="17" t="str">
        <f>VLOOKUP(C213,'FIN CAL LOOKUP'!A:J,10,1)</f>
        <v>Q1, FY25</v>
      </c>
    </row>
    <row r="214" spans="1:13" x14ac:dyDescent="0.25">
      <c r="A214" t="s">
        <v>456</v>
      </c>
      <c r="B214" s="1">
        <v>45526.911111111112</v>
      </c>
      <c r="C214" s="1">
        <v>45526.840277777781</v>
      </c>
      <c r="D214" t="s">
        <v>205</v>
      </c>
      <c r="E214" t="s">
        <v>10</v>
      </c>
      <c r="F214" t="s">
        <v>11</v>
      </c>
      <c r="G214" t="s">
        <v>206</v>
      </c>
      <c r="H214" t="s">
        <v>99</v>
      </c>
      <c r="I214" s="19" t="str">
        <f>VLOOKUP(G214,'STORE LOOKUP'!$C:$G,2,0)</f>
        <v>SA/TAS</v>
      </c>
      <c r="J214" s="19" t="str">
        <f>VLOOKUP(G214,'STORE LOOKUP'!$C:$G,4,0)</f>
        <v>Harris Scarfe</v>
      </c>
      <c r="K214" s="19" t="str">
        <f>VLOOKUP(G214,'STORE LOOKUP'!$C:$G,5,0)</f>
        <v>Store</v>
      </c>
      <c r="L214" s="17" t="str">
        <f>VLOOKUP(C214,'FIN CAL LOOKUP'!A:J,7,1)</f>
        <v>AUG, FY25</v>
      </c>
      <c r="M214" s="17" t="str">
        <f>VLOOKUP(C214,'FIN CAL LOOKUP'!A:J,10,1)</f>
        <v>Q1, FY25</v>
      </c>
    </row>
    <row r="215" spans="1:13" x14ac:dyDescent="0.25">
      <c r="A215" t="s">
        <v>457</v>
      </c>
      <c r="B215" s="1">
        <v>45527.809027777781</v>
      </c>
      <c r="C215" s="1">
        <v>45527.694444444445</v>
      </c>
      <c r="D215" t="s">
        <v>385</v>
      </c>
      <c r="E215" t="s">
        <v>10</v>
      </c>
      <c r="F215" t="s">
        <v>11</v>
      </c>
      <c r="G215" t="s">
        <v>386</v>
      </c>
      <c r="H215" t="s">
        <v>29</v>
      </c>
      <c r="I215" s="19" t="str">
        <f>VLOOKUP(G215,'STORE LOOKUP'!$C:$G,2,0)</f>
        <v>VIC West / TAS</v>
      </c>
      <c r="J215" s="19" t="str">
        <f>VLOOKUP(G215,'STORE LOOKUP'!$C:$G,4,0)</f>
        <v>Anaconda</v>
      </c>
      <c r="K215" s="19" t="str">
        <f>VLOOKUP(G215,'STORE LOOKUP'!$C:$G,5,0)</f>
        <v>Store</v>
      </c>
      <c r="L215" s="17" t="str">
        <f>VLOOKUP(C215,'FIN CAL LOOKUP'!A:J,7,1)</f>
        <v>AUG, FY25</v>
      </c>
      <c r="M215" s="17" t="str">
        <f>VLOOKUP(C215,'FIN CAL LOOKUP'!A:J,10,1)</f>
        <v>Q1, FY25</v>
      </c>
    </row>
    <row r="216" spans="1:13" x14ac:dyDescent="0.25">
      <c r="A216" t="s">
        <v>458</v>
      </c>
      <c r="B216" s="1">
        <v>45529.527083333334</v>
      </c>
      <c r="C216" s="1">
        <v>45528.934027777781</v>
      </c>
      <c r="D216" t="s">
        <v>189</v>
      </c>
      <c r="E216" t="s">
        <v>10</v>
      </c>
      <c r="F216" t="s">
        <v>11</v>
      </c>
      <c r="G216" t="s">
        <v>190</v>
      </c>
      <c r="H216" t="s">
        <v>17</v>
      </c>
      <c r="I216" s="19" t="str">
        <f>VLOOKUP(G216,'STORE LOOKUP'!$C:$G,2,0)</f>
        <v>QLD NW / NT</v>
      </c>
      <c r="J216" s="19" t="str">
        <f>VLOOKUP(G216,'STORE LOOKUP'!$C:$G,4,0)</f>
        <v>Anaconda</v>
      </c>
      <c r="K216" s="19" t="str">
        <f>VLOOKUP(G216,'STORE LOOKUP'!$C:$G,5,0)</f>
        <v>Store</v>
      </c>
      <c r="L216" s="17" t="str">
        <f>VLOOKUP(C216,'FIN CAL LOOKUP'!A:J,7,1)</f>
        <v>AUG, FY25</v>
      </c>
      <c r="M216" s="17" t="str">
        <f>VLOOKUP(C216,'FIN CAL LOOKUP'!A:J,10,1)</f>
        <v>Q1, FY25</v>
      </c>
    </row>
    <row r="217" spans="1:13" x14ac:dyDescent="0.25">
      <c r="A217" t="s">
        <v>459</v>
      </c>
      <c r="B217" s="1">
        <v>45530.609722222223</v>
      </c>
      <c r="C217" s="1">
        <v>45530.584722222222</v>
      </c>
      <c r="D217" t="s">
        <v>460</v>
      </c>
      <c r="E217" t="s">
        <v>10</v>
      </c>
      <c r="F217" t="s">
        <v>11</v>
      </c>
      <c r="G217" t="s">
        <v>461</v>
      </c>
      <c r="H217" t="s">
        <v>120</v>
      </c>
      <c r="I217" s="19" t="str">
        <f>VLOOKUP(G217,'STORE LOOKUP'!$C:$G,2,0)</f>
        <v>VIC</v>
      </c>
      <c r="J217" s="19" t="str">
        <f>VLOOKUP(G217,'STORE LOOKUP'!$C:$G,4,0)</f>
        <v>Harris Scarfe</v>
      </c>
      <c r="K217" s="19" t="str">
        <f>VLOOKUP(G217,'STORE LOOKUP'!$C:$G,5,0)</f>
        <v>Store</v>
      </c>
      <c r="L217" s="17" t="str">
        <f>VLOOKUP(C217,'FIN CAL LOOKUP'!A:J,7,1)</f>
        <v>AUG, FY25</v>
      </c>
      <c r="M217" s="17" t="str">
        <f>VLOOKUP(C217,'FIN CAL LOOKUP'!A:J,10,1)</f>
        <v>Q1, FY25</v>
      </c>
    </row>
    <row r="218" spans="1:13" x14ac:dyDescent="0.25">
      <c r="A218" t="s">
        <v>462</v>
      </c>
      <c r="B218" s="1">
        <v>45531.667361111111</v>
      </c>
      <c r="C218" s="1">
        <v>45531.625</v>
      </c>
      <c r="D218" t="s">
        <v>205</v>
      </c>
      <c r="E218" t="s">
        <v>10</v>
      </c>
      <c r="F218" t="s">
        <v>11</v>
      </c>
      <c r="G218" t="s">
        <v>206</v>
      </c>
      <c r="H218" t="s">
        <v>99</v>
      </c>
      <c r="I218" s="19" t="str">
        <f>VLOOKUP(G218,'STORE LOOKUP'!$C:$G,2,0)</f>
        <v>SA/TAS</v>
      </c>
      <c r="J218" s="19" t="str">
        <f>VLOOKUP(G218,'STORE LOOKUP'!$C:$G,4,0)</f>
        <v>Harris Scarfe</v>
      </c>
      <c r="K218" s="19" t="str">
        <f>VLOOKUP(G218,'STORE LOOKUP'!$C:$G,5,0)</f>
        <v>Store</v>
      </c>
      <c r="L218" s="17" t="str">
        <f>VLOOKUP(C218,'FIN CAL LOOKUP'!A:J,7,1)</f>
        <v>AUG, FY25</v>
      </c>
      <c r="M218" s="17" t="str">
        <f>VLOOKUP(C218,'FIN CAL LOOKUP'!A:J,10,1)</f>
        <v>Q1, FY25</v>
      </c>
    </row>
    <row r="219" spans="1:13" x14ac:dyDescent="0.25">
      <c r="A219" t="s">
        <v>463</v>
      </c>
      <c r="B219" s="1">
        <v>45533.904166666667</v>
      </c>
      <c r="C219" s="1">
        <v>45533.795138888891</v>
      </c>
      <c r="D219" t="s">
        <v>205</v>
      </c>
      <c r="E219" t="s">
        <v>10</v>
      </c>
      <c r="F219" t="s">
        <v>11</v>
      </c>
      <c r="G219" t="s">
        <v>206</v>
      </c>
      <c r="H219" t="s">
        <v>99</v>
      </c>
      <c r="I219" s="19" t="str">
        <f>VLOOKUP(G219,'STORE LOOKUP'!$C:$G,2,0)</f>
        <v>SA/TAS</v>
      </c>
      <c r="J219" s="19" t="str">
        <f>VLOOKUP(G219,'STORE LOOKUP'!$C:$G,4,0)</f>
        <v>Harris Scarfe</v>
      </c>
      <c r="K219" s="19" t="str">
        <f>VLOOKUP(G219,'STORE LOOKUP'!$C:$G,5,0)</f>
        <v>Store</v>
      </c>
      <c r="L219" s="17" t="str">
        <f>VLOOKUP(C219,'FIN CAL LOOKUP'!A:J,7,1)</f>
        <v>AUG, FY25</v>
      </c>
      <c r="M219" s="17" t="str">
        <f>VLOOKUP(C219,'FIN CAL LOOKUP'!A:J,10,1)</f>
        <v>Q1, FY25</v>
      </c>
    </row>
    <row r="220" spans="1:13" x14ac:dyDescent="0.25">
      <c r="A220" t="s">
        <v>464</v>
      </c>
      <c r="B220" s="1">
        <v>45534.454861111109</v>
      </c>
      <c r="C220" s="1">
        <v>45529.472222222219</v>
      </c>
      <c r="D220" t="s">
        <v>27</v>
      </c>
      <c r="E220" t="s">
        <v>10</v>
      </c>
      <c r="F220" t="s">
        <v>11</v>
      </c>
      <c r="G220" t="s">
        <v>28</v>
      </c>
      <c r="H220" t="s">
        <v>29</v>
      </c>
      <c r="I220" s="19" t="str">
        <f>VLOOKUP(G220,'STORE LOOKUP'!$C:$G,2,0)</f>
        <v>VIC North / East</v>
      </c>
      <c r="J220" s="19" t="str">
        <f>VLOOKUP(G220,'STORE LOOKUP'!$C:$G,4,0)</f>
        <v>Anaconda</v>
      </c>
      <c r="K220" s="19" t="str">
        <f>VLOOKUP(G220,'STORE LOOKUP'!$C:$G,5,0)</f>
        <v>Store</v>
      </c>
      <c r="L220" s="17" t="str">
        <f>VLOOKUP(C220,'FIN CAL LOOKUP'!A:J,7,1)</f>
        <v>AUG, FY25</v>
      </c>
      <c r="M220" s="17" t="str">
        <f>VLOOKUP(C220,'FIN CAL LOOKUP'!A:J,10,1)</f>
        <v>Q1, FY25</v>
      </c>
    </row>
    <row r="221" spans="1:13" x14ac:dyDescent="0.25">
      <c r="A221" t="s">
        <v>465</v>
      </c>
      <c r="B221" s="1">
        <v>45534.462500000001</v>
      </c>
      <c r="C221" s="1">
        <v>45534.395833333336</v>
      </c>
      <c r="D221" t="s">
        <v>219</v>
      </c>
      <c r="E221" t="s">
        <v>10</v>
      </c>
      <c r="F221" t="s">
        <v>11</v>
      </c>
      <c r="G221" t="s">
        <v>220</v>
      </c>
      <c r="H221" t="s">
        <v>120</v>
      </c>
      <c r="I221" s="19" t="str">
        <f>VLOOKUP(G221,'STORE LOOKUP'!$C:$G,2,0)</f>
        <v>VIC</v>
      </c>
      <c r="J221" s="19" t="str">
        <f>VLOOKUP(G221,'STORE LOOKUP'!$C:$G,4,0)</f>
        <v>Harris Scarfe</v>
      </c>
      <c r="K221" s="19" t="str">
        <f>VLOOKUP(G221,'STORE LOOKUP'!$C:$G,5,0)</f>
        <v>Store</v>
      </c>
      <c r="L221" s="17" t="str">
        <f>VLOOKUP(C221,'FIN CAL LOOKUP'!A:J,7,1)</f>
        <v>AUG, FY25</v>
      </c>
      <c r="M221" s="17" t="str">
        <f>VLOOKUP(C221,'FIN CAL LOOKUP'!A:J,10,1)</f>
        <v>Q1, FY25</v>
      </c>
    </row>
    <row r="222" spans="1:13" x14ac:dyDescent="0.25">
      <c r="A222" t="s">
        <v>466</v>
      </c>
      <c r="B222" s="1">
        <v>45534.501388888886</v>
      </c>
      <c r="C222" s="1">
        <v>45534.482638888891</v>
      </c>
      <c r="D222" t="s">
        <v>333</v>
      </c>
      <c r="E222" t="s">
        <v>10</v>
      </c>
      <c r="F222" t="s">
        <v>11</v>
      </c>
      <c r="G222" t="s">
        <v>334</v>
      </c>
      <c r="H222" t="s">
        <v>56</v>
      </c>
      <c r="I222" s="19" t="str">
        <f>VLOOKUP(G222,'STORE LOOKUP'!$C:$G,2,0)</f>
        <v>VIC West</v>
      </c>
      <c r="J222" s="19" t="str">
        <f>VLOOKUP(G222,'STORE LOOKUP'!$C:$G,4,0)</f>
        <v>Spotlight AU</v>
      </c>
      <c r="K222" s="19" t="str">
        <f>VLOOKUP(G222,'STORE LOOKUP'!$C:$G,5,0)</f>
        <v>Store</v>
      </c>
      <c r="L222" s="17" t="str">
        <f>VLOOKUP(C222,'FIN CAL LOOKUP'!A:J,7,1)</f>
        <v>AUG, FY25</v>
      </c>
      <c r="M222" s="17" t="str">
        <f>VLOOKUP(C222,'FIN CAL LOOKUP'!A:J,10,1)</f>
        <v>Q1, FY25</v>
      </c>
    </row>
    <row r="223" spans="1:13" x14ac:dyDescent="0.25">
      <c r="A223" t="s">
        <v>467</v>
      </c>
      <c r="B223" s="1">
        <v>45534.76666666667</v>
      </c>
      <c r="C223" s="1">
        <v>45534.145833333336</v>
      </c>
      <c r="D223" t="s">
        <v>189</v>
      </c>
      <c r="E223" t="s">
        <v>10</v>
      </c>
      <c r="F223" t="s">
        <v>11</v>
      </c>
      <c r="G223" t="s">
        <v>190</v>
      </c>
      <c r="H223" t="s">
        <v>17</v>
      </c>
      <c r="I223" s="19" t="str">
        <f>VLOOKUP(G223,'STORE LOOKUP'!$C:$G,2,0)</f>
        <v>QLD NW / NT</v>
      </c>
      <c r="J223" s="19" t="str">
        <f>VLOOKUP(G223,'STORE LOOKUP'!$C:$G,4,0)</f>
        <v>Anaconda</v>
      </c>
      <c r="K223" s="19" t="str">
        <f>VLOOKUP(G223,'STORE LOOKUP'!$C:$G,5,0)</f>
        <v>Store</v>
      </c>
      <c r="L223" s="17" t="str">
        <f>VLOOKUP(C223,'FIN CAL LOOKUP'!A:J,7,1)</f>
        <v>AUG, FY25</v>
      </c>
      <c r="M223" s="17" t="str">
        <f>VLOOKUP(C223,'FIN CAL LOOKUP'!A:J,10,1)</f>
        <v>Q1, FY25</v>
      </c>
    </row>
    <row r="224" spans="1:13" x14ac:dyDescent="0.25">
      <c r="A224" t="s">
        <v>468</v>
      </c>
      <c r="B224" s="1">
        <v>45535.451388888891</v>
      </c>
      <c r="C224" s="1">
        <v>45535.226388888892</v>
      </c>
      <c r="D224" t="s">
        <v>189</v>
      </c>
      <c r="E224" t="s">
        <v>10</v>
      </c>
      <c r="F224" t="s">
        <v>11</v>
      </c>
      <c r="G224" t="s">
        <v>190</v>
      </c>
      <c r="H224" t="s">
        <v>17</v>
      </c>
      <c r="I224" s="19" t="str">
        <f>VLOOKUP(G224,'STORE LOOKUP'!$C:$G,2,0)</f>
        <v>QLD NW / NT</v>
      </c>
      <c r="J224" s="19" t="str">
        <f>VLOOKUP(G224,'STORE LOOKUP'!$C:$G,4,0)</f>
        <v>Anaconda</v>
      </c>
      <c r="K224" s="19" t="str">
        <f>VLOOKUP(G224,'STORE LOOKUP'!$C:$G,5,0)</f>
        <v>Store</v>
      </c>
      <c r="L224" s="17" t="str">
        <f>VLOOKUP(C224,'FIN CAL LOOKUP'!A:J,7,1)</f>
        <v>AUG, FY25</v>
      </c>
      <c r="M224" s="17" t="str">
        <f>VLOOKUP(C224,'FIN CAL LOOKUP'!A:J,10,1)</f>
        <v>Q1, FY25</v>
      </c>
    </row>
    <row r="225" spans="1:13" x14ac:dyDescent="0.25">
      <c r="A225" t="s">
        <v>469</v>
      </c>
      <c r="B225" s="1">
        <v>45538.330555555556</v>
      </c>
      <c r="C225" s="1">
        <v>45535.708333333336</v>
      </c>
      <c r="D225" t="s">
        <v>470</v>
      </c>
      <c r="E225" t="s">
        <v>10</v>
      </c>
      <c r="F225" t="s">
        <v>11</v>
      </c>
      <c r="G225" t="s">
        <v>471</v>
      </c>
      <c r="H225" t="s">
        <v>150</v>
      </c>
      <c r="I225" s="19" t="str">
        <f>VLOOKUP(G225,'STORE LOOKUP'!$C:$G,2,0)</f>
        <v>SPG Development</v>
      </c>
      <c r="J225" s="19" t="str">
        <f>VLOOKUP(G225,'STORE LOOKUP'!$C:$G,4,0)</f>
        <v>Spotlight Group Holdings</v>
      </c>
      <c r="K225" s="19" t="str">
        <f>VLOOKUP(G225,'STORE LOOKUP'!$C:$G,5,0)</f>
        <v>SG</v>
      </c>
      <c r="L225" s="17" t="str">
        <f>VLOOKUP(C225,'FIN CAL LOOKUP'!A:J,7,1)</f>
        <v>AUG, FY25</v>
      </c>
      <c r="M225" s="17" t="str">
        <f>VLOOKUP(C225,'FIN CAL LOOKUP'!A:J,10,1)</f>
        <v>Q1, FY25</v>
      </c>
    </row>
    <row r="226" spans="1:13" x14ac:dyDescent="0.25">
      <c r="A226" t="s">
        <v>472</v>
      </c>
      <c r="B226" s="1">
        <v>45539.495138888888</v>
      </c>
      <c r="C226" s="1">
        <v>45539.468055555553</v>
      </c>
      <c r="D226" t="s">
        <v>473</v>
      </c>
      <c r="E226" t="s">
        <v>10</v>
      </c>
      <c r="F226" t="s">
        <v>11</v>
      </c>
      <c r="G226" t="s">
        <v>474</v>
      </c>
      <c r="H226" t="s">
        <v>120</v>
      </c>
      <c r="I226" s="19" t="str">
        <f>VLOOKUP(G226,'STORE LOOKUP'!$C:$G,2,0)</f>
        <v>VIC</v>
      </c>
      <c r="J226" s="19" t="str">
        <f>VLOOKUP(G226,'STORE LOOKUP'!$C:$G,4,0)</f>
        <v>Harris Scarfe</v>
      </c>
      <c r="K226" s="19" t="str">
        <f>VLOOKUP(G226,'STORE LOOKUP'!$C:$G,5,0)</f>
        <v>Store</v>
      </c>
      <c r="L226" s="17" t="str">
        <f>VLOOKUP(C226,'FIN CAL LOOKUP'!A:J,7,1)</f>
        <v>SEP, FY25</v>
      </c>
      <c r="M226" s="17" t="str">
        <f>VLOOKUP(C226,'FIN CAL LOOKUP'!A:J,10,1)</f>
        <v>Q1, FY25</v>
      </c>
    </row>
    <row r="227" spans="1:13" x14ac:dyDescent="0.25">
      <c r="A227" t="s">
        <v>475</v>
      </c>
      <c r="B227" s="1">
        <v>45544.599305555559</v>
      </c>
      <c r="C227" s="1">
        <v>45544.586111111108</v>
      </c>
      <c r="D227" t="s">
        <v>192</v>
      </c>
      <c r="E227" t="s">
        <v>10</v>
      </c>
      <c r="F227" t="s">
        <v>11</v>
      </c>
      <c r="G227" t="s">
        <v>193</v>
      </c>
      <c r="H227" t="s">
        <v>194</v>
      </c>
      <c r="I227" s="19" t="str">
        <f>VLOOKUP(G227,'STORE LOOKUP'!$C:$G,2,0)</f>
        <v>NSW/ACT</v>
      </c>
      <c r="J227" s="19" t="str">
        <f>VLOOKUP(G227,'STORE LOOKUP'!$C:$G,4,0)</f>
        <v>Harris Scarfe</v>
      </c>
      <c r="K227" s="19" t="str">
        <f>VLOOKUP(G227,'STORE LOOKUP'!$C:$G,5,0)</f>
        <v>Store</v>
      </c>
      <c r="L227" s="17" t="str">
        <f>VLOOKUP(C227,'FIN CAL LOOKUP'!A:J,7,1)</f>
        <v>SEP, FY25</v>
      </c>
      <c r="M227" s="17" t="str">
        <f>VLOOKUP(C227,'FIN CAL LOOKUP'!A:J,10,1)</f>
        <v>Q1, FY25</v>
      </c>
    </row>
    <row r="228" spans="1:13" x14ac:dyDescent="0.25">
      <c r="A228" t="s">
        <v>476</v>
      </c>
      <c r="B228" s="1">
        <v>45545.505555555559</v>
      </c>
      <c r="C228" s="1">
        <v>45545.495833333334</v>
      </c>
      <c r="D228" t="s">
        <v>375</v>
      </c>
      <c r="E228" t="s">
        <v>10</v>
      </c>
      <c r="F228" t="s">
        <v>11</v>
      </c>
      <c r="G228" t="s">
        <v>376</v>
      </c>
      <c r="H228" t="s">
        <v>13</v>
      </c>
      <c r="I228" s="19" t="str">
        <f>VLOOKUP(G228,'STORE LOOKUP'!$C:$G,2,0)</f>
        <v>QLD Central</v>
      </c>
      <c r="J228" s="19" t="str">
        <f>VLOOKUP(G228,'STORE LOOKUP'!$C:$G,4,0)</f>
        <v>Anaconda</v>
      </c>
      <c r="K228" s="19" t="str">
        <f>VLOOKUP(G228,'STORE LOOKUP'!$C:$G,5,0)</f>
        <v>Store</v>
      </c>
      <c r="L228" s="17" t="str">
        <f>VLOOKUP(C228,'FIN CAL LOOKUP'!A:J,7,1)</f>
        <v>SEP, FY25</v>
      </c>
      <c r="M228" s="17" t="str">
        <f>VLOOKUP(C228,'FIN CAL LOOKUP'!A:J,10,1)</f>
        <v>Q1, FY25</v>
      </c>
    </row>
    <row r="229" spans="1:13" x14ac:dyDescent="0.25">
      <c r="A229" t="s">
        <v>477</v>
      </c>
      <c r="B229" s="1">
        <v>45547.632638888892</v>
      </c>
      <c r="C229" s="1">
        <v>45547.580555555556</v>
      </c>
      <c r="D229" t="s">
        <v>264</v>
      </c>
      <c r="E229" t="s">
        <v>10</v>
      </c>
      <c r="F229" t="s">
        <v>11</v>
      </c>
      <c r="G229" t="s">
        <v>265</v>
      </c>
      <c r="H229" t="s">
        <v>120</v>
      </c>
      <c r="I229" s="19" t="str">
        <f>VLOOKUP(G229,'STORE LOOKUP'!$C:$G,2,0)</f>
        <v>VIC &amp; NSW</v>
      </c>
      <c r="J229" s="19" t="str">
        <f>VLOOKUP(G229,'STORE LOOKUP'!$C:$G,4,0)</f>
        <v>Harris Scarfe</v>
      </c>
      <c r="K229" s="19" t="str">
        <f>VLOOKUP(G229,'STORE LOOKUP'!$C:$G,5,0)</f>
        <v>Store</v>
      </c>
      <c r="L229" s="17" t="str">
        <f>VLOOKUP(C229,'FIN CAL LOOKUP'!A:J,7,1)</f>
        <v>SEP, FY25</v>
      </c>
      <c r="M229" s="17" t="str">
        <f>VLOOKUP(C229,'FIN CAL LOOKUP'!A:J,10,1)</f>
        <v>Q1, FY25</v>
      </c>
    </row>
    <row r="230" spans="1:13" x14ac:dyDescent="0.25">
      <c r="A230" t="s">
        <v>478</v>
      </c>
      <c r="B230" s="1">
        <v>45548.467361111114</v>
      </c>
      <c r="C230" s="1">
        <v>45548.395833333336</v>
      </c>
      <c r="D230" t="s">
        <v>205</v>
      </c>
      <c r="E230" t="s">
        <v>10</v>
      </c>
      <c r="F230" t="s">
        <v>11</v>
      </c>
      <c r="G230" t="s">
        <v>206</v>
      </c>
      <c r="H230" t="s">
        <v>99</v>
      </c>
      <c r="I230" s="19" t="str">
        <f>VLOOKUP(G230,'STORE LOOKUP'!$C:$G,2,0)</f>
        <v>SA/TAS</v>
      </c>
      <c r="J230" s="19" t="str">
        <f>VLOOKUP(G230,'STORE LOOKUP'!$C:$G,4,0)</f>
        <v>Harris Scarfe</v>
      </c>
      <c r="K230" s="19" t="str">
        <f>VLOOKUP(G230,'STORE LOOKUP'!$C:$G,5,0)</f>
        <v>Store</v>
      </c>
      <c r="L230" s="17" t="str">
        <f>VLOOKUP(C230,'FIN CAL LOOKUP'!A:J,7,1)</f>
        <v>SEP, FY25</v>
      </c>
      <c r="M230" s="17" t="str">
        <f>VLOOKUP(C230,'FIN CAL LOOKUP'!A:J,10,1)</f>
        <v>Q1, FY25</v>
      </c>
    </row>
    <row r="231" spans="1:13" x14ac:dyDescent="0.25">
      <c r="A231" t="s">
        <v>479</v>
      </c>
      <c r="B231" s="1">
        <v>45549.53125</v>
      </c>
      <c r="C231" s="1">
        <v>45547.216666666667</v>
      </c>
      <c r="D231" t="s">
        <v>480</v>
      </c>
      <c r="E231" t="s">
        <v>10</v>
      </c>
      <c r="F231" t="s">
        <v>11</v>
      </c>
      <c r="G231" t="s">
        <v>481</v>
      </c>
      <c r="H231" t="s">
        <v>99</v>
      </c>
      <c r="I231" s="19" t="str">
        <f>VLOOKUP(G231,'STORE LOOKUP'!$C:$G,2,0)</f>
        <v>SA/TAS</v>
      </c>
      <c r="J231" s="19" t="str">
        <f>VLOOKUP(G231,'STORE LOOKUP'!$C:$G,4,0)</f>
        <v>Harris Scarfe</v>
      </c>
      <c r="K231" s="19" t="str">
        <f>VLOOKUP(G231,'STORE LOOKUP'!$C:$G,5,0)</f>
        <v>Store</v>
      </c>
      <c r="L231" s="17" t="str">
        <f>VLOOKUP(C231,'FIN CAL LOOKUP'!A:J,7,1)</f>
        <v>SEP, FY25</v>
      </c>
      <c r="M231" s="17" t="str">
        <f>VLOOKUP(C231,'FIN CAL LOOKUP'!A:J,10,1)</f>
        <v>Q1, FY25</v>
      </c>
    </row>
    <row r="232" spans="1:13" x14ac:dyDescent="0.25">
      <c r="A232" t="s">
        <v>482</v>
      </c>
      <c r="B232" s="1">
        <v>45550.581250000003</v>
      </c>
      <c r="C232" s="1">
        <v>45549.620833333334</v>
      </c>
      <c r="D232" t="s">
        <v>483</v>
      </c>
      <c r="E232" t="s">
        <v>10</v>
      </c>
      <c r="F232" t="s">
        <v>11</v>
      </c>
      <c r="G232" t="s">
        <v>484</v>
      </c>
      <c r="H232" t="s">
        <v>135</v>
      </c>
      <c r="I232" s="19" t="str">
        <f>VLOOKUP(G232,'STORE LOOKUP'!$C:$G,2,0)</f>
        <v>NSW North / QLD South</v>
      </c>
      <c r="J232" s="19" t="str">
        <f>VLOOKUP(G232,'STORE LOOKUP'!$C:$G,4,0)</f>
        <v>Spotlight AU</v>
      </c>
      <c r="K232" s="19" t="str">
        <f>VLOOKUP(G232,'STORE LOOKUP'!$C:$G,5,0)</f>
        <v>Store</v>
      </c>
      <c r="L232" s="17" t="str">
        <f>VLOOKUP(C232,'FIN CAL LOOKUP'!A:J,7,1)</f>
        <v>SEP, FY25</v>
      </c>
      <c r="M232" s="17" t="str">
        <f>VLOOKUP(C232,'FIN CAL LOOKUP'!A:J,10,1)</f>
        <v>Q1, FY25</v>
      </c>
    </row>
    <row r="233" spans="1:13" x14ac:dyDescent="0.25">
      <c r="A233" t="s">
        <v>485</v>
      </c>
      <c r="B233" s="1">
        <v>45551.523611111108</v>
      </c>
      <c r="C233" s="1">
        <v>45551.475694444445</v>
      </c>
      <c r="D233" t="s">
        <v>97</v>
      </c>
      <c r="E233" t="s">
        <v>10</v>
      </c>
      <c r="F233" t="s">
        <v>11</v>
      </c>
      <c r="G233" t="s">
        <v>98</v>
      </c>
      <c r="H233" t="s">
        <v>99</v>
      </c>
      <c r="I233" s="19" t="str">
        <f>VLOOKUP(G233,'STORE LOOKUP'!$C:$G,2,0)</f>
        <v>SA/TAS</v>
      </c>
      <c r="J233" s="19" t="str">
        <f>VLOOKUP(G233,'STORE LOOKUP'!$C:$G,4,0)</f>
        <v>Harris Scarfe</v>
      </c>
      <c r="K233" s="19" t="str">
        <f>VLOOKUP(G233,'STORE LOOKUP'!$C:$G,5,0)</f>
        <v>Store</v>
      </c>
      <c r="L233" s="17" t="str">
        <f>VLOOKUP(C233,'FIN CAL LOOKUP'!A:J,7,1)</f>
        <v>SEP, FY25</v>
      </c>
      <c r="M233" s="17" t="str">
        <f>VLOOKUP(C233,'FIN CAL LOOKUP'!A:J,10,1)</f>
        <v>Q1, FY25</v>
      </c>
    </row>
    <row r="234" spans="1:13" x14ac:dyDescent="0.25">
      <c r="A234" t="s">
        <v>486</v>
      </c>
      <c r="B234" s="1">
        <v>45552.401388888888</v>
      </c>
      <c r="C234" s="1">
        <v>45551.666666666664</v>
      </c>
      <c r="D234" t="s">
        <v>78</v>
      </c>
      <c r="E234" t="s">
        <v>10</v>
      </c>
      <c r="F234" t="s">
        <v>11</v>
      </c>
      <c r="G234" t="s">
        <v>487</v>
      </c>
      <c r="H234" t="s">
        <v>80</v>
      </c>
      <c r="I234" s="19" t="str">
        <f>VLOOKUP(G234,'STORE LOOKUP'!$C:$G,2,0)</f>
        <v>SA / ACT</v>
      </c>
      <c r="J234" s="19" t="str">
        <f>VLOOKUP(G234,'STORE LOOKUP'!$C:$G,4,0)</f>
        <v>Anaconda</v>
      </c>
      <c r="K234" s="19" t="str">
        <f>VLOOKUP(G234,'STORE LOOKUP'!$C:$G,5,0)</f>
        <v>Store</v>
      </c>
      <c r="L234" s="17" t="str">
        <f>VLOOKUP(C234,'FIN CAL LOOKUP'!A:J,7,1)</f>
        <v>SEP, FY25</v>
      </c>
      <c r="M234" s="17" t="str">
        <f>VLOOKUP(C234,'FIN CAL LOOKUP'!A:J,10,1)</f>
        <v>Q1, FY25</v>
      </c>
    </row>
    <row r="235" spans="1:13" x14ac:dyDescent="0.25">
      <c r="A235" t="s">
        <v>488</v>
      </c>
      <c r="B235" s="1">
        <v>45552.538888888892</v>
      </c>
      <c r="C235" s="1">
        <v>45552.430555555555</v>
      </c>
      <c r="D235" t="s">
        <v>391</v>
      </c>
      <c r="E235" t="s">
        <v>10</v>
      </c>
      <c r="F235" t="s">
        <v>11</v>
      </c>
      <c r="G235" t="s">
        <v>392</v>
      </c>
      <c r="H235" t="s">
        <v>44</v>
      </c>
      <c r="I235" s="19" t="str">
        <f>VLOOKUP(G235,'STORE LOOKUP'!$C:$G,2,0)</f>
        <v>WA</v>
      </c>
      <c r="J235" s="19" t="str">
        <f>VLOOKUP(G235,'STORE LOOKUP'!$C:$G,4,0)</f>
        <v>Spotlight AU</v>
      </c>
      <c r="K235" s="19" t="str">
        <f>VLOOKUP(G235,'STORE LOOKUP'!$C:$G,5,0)</f>
        <v>Store</v>
      </c>
      <c r="L235" s="17" t="str">
        <f>VLOOKUP(C235,'FIN CAL LOOKUP'!A:J,7,1)</f>
        <v>SEP, FY25</v>
      </c>
      <c r="M235" s="17" t="str">
        <f>VLOOKUP(C235,'FIN CAL LOOKUP'!A:J,10,1)</f>
        <v>Q1, FY25</v>
      </c>
    </row>
    <row r="236" spans="1:13" x14ac:dyDescent="0.25">
      <c r="A236" t="s">
        <v>489</v>
      </c>
      <c r="B236" s="1">
        <v>45553.370833333334</v>
      </c>
      <c r="C236" s="1">
        <v>45551.583333333336</v>
      </c>
      <c r="D236" t="s">
        <v>490</v>
      </c>
      <c r="E236" t="s">
        <v>10</v>
      </c>
      <c r="F236" t="s">
        <v>11</v>
      </c>
      <c r="G236" t="s">
        <v>491</v>
      </c>
      <c r="H236" t="s">
        <v>88</v>
      </c>
      <c r="I236" s="19" t="str">
        <f>VLOOKUP(G236,'STORE LOOKUP'!$C:$G,2,0)</f>
        <v>BRISBANE / FNQ Cluster</v>
      </c>
      <c r="J236" s="19" t="str">
        <f>VLOOKUP(G236,'STORE LOOKUP'!$C:$G,4,0)</f>
        <v>Anaconda</v>
      </c>
      <c r="K236" s="19" t="str">
        <f>VLOOKUP(G236,'STORE LOOKUP'!$C:$G,5,0)</f>
        <v>Store</v>
      </c>
      <c r="L236" s="17" t="str">
        <f>VLOOKUP(C236,'FIN CAL LOOKUP'!A:J,7,1)</f>
        <v>SEP, FY25</v>
      </c>
      <c r="M236" s="17" t="str">
        <f>VLOOKUP(C236,'FIN CAL LOOKUP'!A:J,10,1)</f>
        <v>Q1, FY25</v>
      </c>
    </row>
    <row r="237" spans="1:13" x14ac:dyDescent="0.25">
      <c r="A237" t="s">
        <v>492</v>
      </c>
      <c r="B237" s="1">
        <v>45553.429166666669</v>
      </c>
      <c r="C237" s="1">
        <v>45540.506249999999</v>
      </c>
      <c r="D237" t="s">
        <v>493</v>
      </c>
      <c r="E237" t="s">
        <v>10</v>
      </c>
      <c r="F237" t="s">
        <v>11</v>
      </c>
      <c r="G237" t="s">
        <v>494</v>
      </c>
      <c r="H237" t="s">
        <v>135</v>
      </c>
      <c r="I237" s="19" t="str">
        <f>VLOOKUP(G237,'STORE LOOKUP'!$C:$G,2,0)</f>
        <v>NSW North / QLD South</v>
      </c>
      <c r="J237" s="19" t="str">
        <f>VLOOKUP(G237,'STORE LOOKUP'!$C:$G,4,0)</f>
        <v>Spotlight AU</v>
      </c>
      <c r="K237" s="19" t="str">
        <f>VLOOKUP(G237,'STORE LOOKUP'!$C:$G,5,0)</f>
        <v>Store</v>
      </c>
      <c r="L237" s="17" t="str">
        <f>VLOOKUP(C237,'FIN CAL LOOKUP'!A:J,7,1)</f>
        <v>SEP, FY25</v>
      </c>
      <c r="M237" s="17" t="str">
        <f>VLOOKUP(C237,'FIN CAL LOOKUP'!A:J,10,1)</f>
        <v>Q1, FY25</v>
      </c>
    </row>
    <row r="238" spans="1:13" x14ac:dyDescent="0.25">
      <c r="A238" t="s">
        <v>495</v>
      </c>
      <c r="B238" s="1">
        <v>45558.563194444447</v>
      </c>
      <c r="C238" s="1">
        <v>45550.666666666664</v>
      </c>
      <c r="D238" t="s">
        <v>496</v>
      </c>
      <c r="E238" t="s">
        <v>10</v>
      </c>
      <c r="F238" t="s">
        <v>11</v>
      </c>
      <c r="G238" t="s">
        <v>497</v>
      </c>
      <c r="H238" t="s">
        <v>110</v>
      </c>
      <c r="I238" s="19" t="str">
        <f>VLOOKUP(G238,'STORE LOOKUP'!$C:$G,2,0)</f>
        <v>New Zealand North</v>
      </c>
      <c r="J238" s="19" t="str">
        <f>VLOOKUP(G238,'STORE LOOKUP'!$C:$G,4,0)</f>
        <v>Spotlight NZ</v>
      </c>
      <c r="K238" s="19" t="str">
        <f>VLOOKUP(G238,'STORE LOOKUP'!$C:$G,5,0)</f>
        <v>Store</v>
      </c>
      <c r="L238" s="17" t="str">
        <f>VLOOKUP(C238,'FIN CAL LOOKUP'!A:J,7,1)</f>
        <v>SEP, FY25</v>
      </c>
      <c r="M238" s="17" t="str">
        <f>VLOOKUP(C238,'FIN CAL LOOKUP'!A:J,10,1)</f>
        <v>Q1, FY25</v>
      </c>
    </row>
    <row r="239" spans="1:13" x14ac:dyDescent="0.25">
      <c r="A239" t="s">
        <v>498</v>
      </c>
      <c r="B239" s="1">
        <v>45561.595138888886</v>
      </c>
      <c r="C239" s="1">
        <v>45561.588194444441</v>
      </c>
      <c r="D239" t="s">
        <v>493</v>
      </c>
      <c r="E239" t="s">
        <v>10</v>
      </c>
      <c r="F239" t="s">
        <v>11</v>
      </c>
      <c r="G239" t="s">
        <v>494</v>
      </c>
      <c r="H239" t="s">
        <v>135</v>
      </c>
      <c r="I239" s="19" t="str">
        <f>VLOOKUP(G239,'STORE LOOKUP'!$C:$G,2,0)</f>
        <v>NSW North / QLD South</v>
      </c>
      <c r="J239" s="19" t="str">
        <f>VLOOKUP(G239,'STORE LOOKUP'!$C:$G,4,0)</f>
        <v>Spotlight AU</v>
      </c>
      <c r="K239" s="19" t="str">
        <f>VLOOKUP(G239,'STORE LOOKUP'!$C:$G,5,0)</f>
        <v>Store</v>
      </c>
      <c r="L239" s="17" t="str">
        <f>VLOOKUP(C239,'FIN CAL LOOKUP'!A:J,7,1)</f>
        <v>SEP, FY25</v>
      </c>
      <c r="M239" s="17" t="str">
        <f>VLOOKUP(C239,'FIN CAL LOOKUP'!A:J,10,1)</f>
        <v>Q1, FY25</v>
      </c>
    </row>
    <row r="240" spans="1:13" x14ac:dyDescent="0.25">
      <c r="A240" t="s">
        <v>499</v>
      </c>
      <c r="B240" s="1">
        <v>45562.381944444445</v>
      </c>
      <c r="C240" s="1">
        <v>45557.600694444445</v>
      </c>
      <c r="D240" t="s">
        <v>500</v>
      </c>
      <c r="E240" t="s">
        <v>10</v>
      </c>
      <c r="F240" t="s">
        <v>11</v>
      </c>
      <c r="G240" t="s">
        <v>501</v>
      </c>
      <c r="H240" t="s">
        <v>48</v>
      </c>
      <c r="I240" s="19" t="str">
        <f>VLOOKUP(G240,'STORE LOOKUP'!$C:$G,2,0)</f>
        <v>QLD</v>
      </c>
      <c r="J240" s="19" t="str">
        <f>VLOOKUP(G240,'STORE LOOKUP'!$C:$G,4,0)</f>
        <v>Harris Scarfe</v>
      </c>
      <c r="K240" s="19" t="str">
        <f>VLOOKUP(G240,'STORE LOOKUP'!$C:$G,5,0)</f>
        <v>Store</v>
      </c>
      <c r="L240" s="17" t="str">
        <f>VLOOKUP(C240,'FIN CAL LOOKUP'!A:J,7,1)</f>
        <v>SEP, FY25</v>
      </c>
      <c r="M240" s="17" t="str">
        <f>VLOOKUP(C240,'FIN CAL LOOKUP'!A:J,10,1)</f>
        <v>Q1, FY25</v>
      </c>
    </row>
    <row r="241" spans="1:13" x14ac:dyDescent="0.25">
      <c r="A241" t="s">
        <v>502</v>
      </c>
      <c r="B241" s="1">
        <v>45562.631249999999</v>
      </c>
      <c r="C241" s="1">
        <v>45562.048611111109</v>
      </c>
      <c r="D241" t="s">
        <v>205</v>
      </c>
      <c r="E241" t="s">
        <v>10</v>
      </c>
      <c r="F241" t="s">
        <v>11</v>
      </c>
      <c r="G241" t="s">
        <v>206</v>
      </c>
      <c r="H241" t="s">
        <v>99</v>
      </c>
      <c r="I241" s="19" t="str">
        <f>VLOOKUP(G241,'STORE LOOKUP'!$C:$G,2,0)</f>
        <v>SA/TAS</v>
      </c>
      <c r="J241" s="19" t="str">
        <f>VLOOKUP(G241,'STORE LOOKUP'!$C:$G,4,0)</f>
        <v>Harris Scarfe</v>
      </c>
      <c r="K241" s="19" t="str">
        <f>VLOOKUP(G241,'STORE LOOKUP'!$C:$G,5,0)</f>
        <v>Store</v>
      </c>
      <c r="L241" s="17" t="str">
        <f>VLOOKUP(C241,'FIN CAL LOOKUP'!A:J,7,1)</f>
        <v>SEP, FY25</v>
      </c>
      <c r="M241" s="17" t="str">
        <f>VLOOKUP(C241,'FIN CAL LOOKUP'!A:J,10,1)</f>
        <v>Q1, FY25</v>
      </c>
    </row>
    <row r="242" spans="1:13" x14ac:dyDescent="0.25">
      <c r="A242" t="s">
        <v>503</v>
      </c>
      <c r="B242" s="1">
        <v>45564.353472222225</v>
      </c>
      <c r="C242" s="1">
        <v>45561.673611111109</v>
      </c>
      <c r="D242" t="s">
        <v>172</v>
      </c>
      <c r="E242" t="s">
        <v>10</v>
      </c>
      <c r="F242" t="s">
        <v>11</v>
      </c>
      <c r="G242" t="s">
        <v>173</v>
      </c>
      <c r="H242" t="s">
        <v>110</v>
      </c>
      <c r="I242" s="19" t="str">
        <f>VLOOKUP(G242,'STORE LOOKUP'!$C:$G,2,0)</f>
        <v>New Zealand South</v>
      </c>
      <c r="J242" s="19" t="str">
        <f>VLOOKUP(G242,'STORE LOOKUP'!$C:$G,4,0)</f>
        <v>Spotlight NZ</v>
      </c>
      <c r="K242" s="19" t="str">
        <f>VLOOKUP(G242,'STORE LOOKUP'!$C:$G,5,0)</f>
        <v>Store</v>
      </c>
      <c r="L242" s="17" t="str">
        <f>VLOOKUP(C242,'FIN CAL LOOKUP'!A:J,7,1)</f>
        <v>SEP, FY25</v>
      </c>
      <c r="M242" s="17" t="str">
        <f>VLOOKUP(C242,'FIN CAL LOOKUP'!A:J,10,1)</f>
        <v>Q1, FY25</v>
      </c>
    </row>
    <row r="243" spans="1:13" x14ac:dyDescent="0.25">
      <c r="A243" t="s">
        <v>504</v>
      </c>
      <c r="B243" s="1">
        <v>45567.707638888889</v>
      </c>
      <c r="C243" s="1">
        <v>45567.618055555555</v>
      </c>
      <c r="D243" t="s">
        <v>189</v>
      </c>
      <c r="E243" t="s">
        <v>10</v>
      </c>
      <c r="F243" t="s">
        <v>11</v>
      </c>
      <c r="G243" t="s">
        <v>190</v>
      </c>
      <c r="H243" t="s">
        <v>17</v>
      </c>
      <c r="I243" s="19" t="str">
        <f>VLOOKUP(G243,'STORE LOOKUP'!$C:$G,2,0)</f>
        <v>QLD NW / NT</v>
      </c>
      <c r="J243" s="19" t="str">
        <f>VLOOKUP(G243,'STORE LOOKUP'!$C:$G,4,0)</f>
        <v>Anaconda</v>
      </c>
      <c r="K243" s="19" t="str">
        <f>VLOOKUP(G243,'STORE LOOKUP'!$C:$G,5,0)</f>
        <v>Store</v>
      </c>
      <c r="L243" s="17" t="str">
        <f>VLOOKUP(C243,'FIN CAL LOOKUP'!A:J,7,1)</f>
        <v>OCT, FY25</v>
      </c>
      <c r="M243" s="17" t="str">
        <f>VLOOKUP(C243,'FIN CAL LOOKUP'!A:J,10,1)</f>
        <v>Q2, FY25</v>
      </c>
    </row>
    <row r="244" spans="1:13" x14ac:dyDescent="0.25">
      <c r="A244" t="s">
        <v>505</v>
      </c>
      <c r="B244" s="1">
        <v>45569.454861111109</v>
      </c>
      <c r="C244" s="1">
        <v>45569.423611111109</v>
      </c>
      <c r="D244" t="s">
        <v>360</v>
      </c>
      <c r="E244" t="s">
        <v>10</v>
      </c>
      <c r="F244" t="s">
        <v>11</v>
      </c>
      <c r="G244" t="s">
        <v>361</v>
      </c>
      <c r="H244" t="s">
        <v>99</v>
      </c>
      <c r="I244" s="19" t="str">
        <f>VLOOKUP(G244,'STORE LOOKUP'!$C:$G,2,0)</f>
        <v>SA/TAS</v>
      </c>
      <c r="J244" s="19" t="str">
        <f>VLOOKUP(G244,'STORE LOOKUP'!$C:$G,4,0)</f>
        <v>Harris Scarfe</v>
      </c>
      <c r="K244" s="19" t="str">
        <f>VLOOKUP(G244,'STORE LOOKUP'!$C:$G,5,0)</f>
        <v>Store</v>
      </c>
      <c r="L244" s="17" t="str">
        <f>VLOOKUP(C244,'FIN CAL LOOKUP'!A:J,7,1)</f>
        <v>OCT, FY25</v>
      </c>
      <c r="M244" s="17" t="str">
        <f>VLOOKUP(C244,'FIN CAL LOOKUP'!A:J,10,1)</f>
        <v>Q2, FY25</v>
      </c>
    </row>
    <row r="245" spans="1:13" x14ac:dyDescent="0.25">
      <c r="A245" t="s">
        <v>506</v>
      </c>
      <c r="B245" s="1">
        <v>45569.456944444442</v>
      </c>
      <c r="C245" s="1">
        <v>45569.423611111109</v>
      </c>
      <c r="D245" t="s">
        <v>360</v>
      </c>
      <c r="E245" t="s">
        <v>10</v>
      </c>
      <c r="F245" t="s">
        <v>11</v>
      </c>
      <c r="G245" t="s">
        <v>361</v>
      </c>
      <c r="H245" t="s">
        <v>99</v>
      </c>
      <c r="I245" s="19" t="str">
        <f>VLOOKUP(G245,'STORE LOOKUP'!$C:$G,2,0)</f>
        <v>SA/TAS</v>
      </c>
      <c r="J245" s="19" t="str">
        <f>VLOOKUP(G245,'STORE LOOKUP'!$C:$G,4,0)</f>
        <v>Harris Scarfe</v>
      </c>
      <c r="K245" s="19" t="str">
        <f>VLOOKUP(G245,'STORE LOOKUP'!$C:$G,5,0)</f>
        <v>Store</v>
      </c>
      <c r="L245" s="17" t="str">
        <f>VLOOKUP(C245,'FIN CAL LOOKUP'!A:J,7,1)</f>
        <v>OCT, FY25</v>
      </c>
      <c r="M245" s="17" t="str">
        <f>VLOOKUP(C245,'FIN CAL LOOKUP'!A:J,10,1)</f>
        <v>Q2, FY25</v>
      </c>
    </row>
    <row r="246" spans="1:13" x14ac:dyDescent="0.25">
      <c r="A246" t="s">
        <v>507</v>
      </c>
      <c r="B246" s="1">
        <v>45570.489583333336</v>
      </c>
      <c r="C246" s="1">
        <v>45569.736111111109</v>
      </c>
      <c r="D246" t="s">
        <v>493</v>
      </c>
      <c r="E246" t="s">
        <v>10</v>
      </c>
      <c r="F246" t="s">
        <v>11</v>
      </c>
      <c r="G246" t="s">
        <v>494</v>
      </c>
      <c r="H246" t="s">
        <v>135</v>
      </c>
      <c r="I246" s="19" t="str">
        <f>VLOOKUP(G246,'STORE LOOKUP'!$C:$G,2,0)</f>
        <v>NSW North / QLD South</v>
      </c>
      <c r="J246" s="19" t="str">
        <f>VLOOKUP(G246,'STORE LOOKUP'!$C:$G,4,0)</f>
        <v>Spotlight AU</v>
      </c>
      <c r="K246" s="19" t="str">
        <f>VLOOKUP(G246,'STORE LOOKUP'!$C:$G,5,0)</f>
        <v>Store</v>
      </c>
      <c r="L246" s="17" t="str">
        <f>VLOOKUP(C246,'FIN CAL LOOKUP'!A:J,7,1)</f>
        <v>OCT, FY25</v>
      </c>
      <c r="M246" s="17" t="str">
        <f>VLOOKUP(C246,'FIN CAL LOOKUP'!A:J,10,1)</f>
        <v>Q2, FY25</v>
      </c>
    </row>
    <row r="247" spans="1:13" x14ac:dyDescent="0.25">
      <c r="A247" t="s">
        <v>508</v>
      </c>
      <c r="B247" s="1">
        <v>45570.702777777777</v>
      </c>
      <c r="C247" s="1">
        <v>45570.666666666664</v>
      </c>
      <c r="D247" t="s">
        <v>83</v>
      </c>
      <c r="E247" t="s">
        <v>10</v>
      </c>
      <c r="F247" t="s">
        <v>11</v>
      </c>
      <c r="G247" t="s">
        <v>39</v>
      </c>
      <c r="H247" t="s">
        <v>84</v>
      </c>
      <c r="I247" s="19" t="str">
        <f>VLOOKUP(G247,'STORE LOOKUP'!$C:$G,2,0)</f>
        <v>SA/TAS</v>
      </c>
      <c r="J247" s="19" t="str">
        <f>VLOOKUP(G247,'STORE LOOKUP'!$C:$G,4,0)</f>
        <v>Harris Scarfe</v>
      </c>
      <c r="K247" s="19" t="str">
        <f>VLOOKUP(G247,'STORE LOOKUP'!$C:$G,5,0)</f>
        <v>Store</v>
      </c>
      <c r="L247" s="17" t="str">
        <f>VLOOKUP(C247,'FIN CAL LOOKUP'!A:J,7,1)</f>
        <v>OCT, FY25</v>
      </c>
      <c r="M247" s="17" t="str">
        <f>VLOOKUP(C247,'FIN CAL LOOKUP'!A:J,10,1)</f>
        <v>Q2, FY25</v>
      </c>
    </row>
    <row r="248" spans="1:13" x14ac:dyDescent="0.25">
      <c r="A248" t="s">
        <v>509</v>
      </c>
      <c r="B248" s="1">
        <v>45571.588888888888</v>
      </c>
      <c r="C248" s="1">
        <v>45571.5</v>
      </c>
      <c r="D248" t="s">
        <v>205</v>
      </c>
      <c r="E248" t="s">
        <v>10</v>
      </c>
      <c r="F248" t="s">
        <v>11</v>
      </c>
      <c r="G248" t="s">
        <v>206</v>
      </c>
      <c r="H248" t="s">
        <v>99</v>
      </c>
      <c r="I248" s="19" t="str">
        <f>VLOOKUP(G248,'STORE LOOKUP'!$C:$G,2,0)</f>
        <v>SA/TAS</v>
      </c>
      <c r="J248" s="19" t="str">
        <f>VLOOKUP(G248,'STORE LOOKUP'!$C:$G,4,0)</f>
        <v>Harris Scarfe</v>
      </c>
      <c r="K248" s="19" t="str">
        <f>VLOOKUP(G248,'STORE LOOKUP'!$C:$G,5,0)</f>
        <v>Store</v>
      </c>
      <c r="L248" s="17" t="str">
        <f>VLOOKUP(C248,'FIN CAL LOOKUP'!A:J,7,1)</f>
        <v>OCT, FY25</v>
      </c>
      <c r="M248" s="17" t="str">
        <f>VLOOKUP(C248,'FIN CAL LOOKUP'!A:J,10,1)</f>
        <v>Q2, FY25</v>
      </c>
    </row>
    <row r="249" spans="1:13" x14ac:dyDescent="0.25">
      <c r="A249" t="s">
        <v>510</v>
      </c>
      <c r="B249" s="1">
        <v>45577.649305555555</v>
      </c>
      <c r="C249" s="1">
        <v>45577.583333333336</v>
      </c>
      <c r="D249" t="s">
        <v>19</v>
      </c>
      <c r="E249" t="s">
        <v>10</v>
      </c>
      <c r="F249" t="s">
        <v>11</v>
      </c>
      <c r="G249" t="s">
        <v>175</v>
      </c>
      <c r="H249" t="s">
        <v>21</v>
      </c>
      <c r="I249" s="19" t="str">
        <f>VLOOKUP(G249,'STORE LOOKUP'!$C:$G,2,0)</f>
        <v>SA/NT</v>
      </c>
      <c r="J249" s="19" t="str">
        <f>VLOOKUP(G249,'STORE LOOKUP'!$C:$G,4,0)</f>
        <v>Spotlight AU</v>
      </c>
      <c r="K249" s="19" t="str">
        <f>VLOOKUP(G249,'STORE LOOKUP'!$C:$G,5,0)</f>
        <v>Store</v>
      </c>
      <c r="L249" s="17" t="str">
        <f>VLOOKUP(C249,'FIN CAL LOOKUP'!A:J,7,1)</f>
        <v>OCT, FY25</v>
      </c>
      <c r="M249" s="17" t="str">
        <f>VLOOKUP(C249,'FIN CAL LOOKUP'!A:J,10,1)</f>
        <v>Q2, FY25</v>
      </c>
    </row>
    <row r="250" spans="1:13" x14ac:dyDescent="0.25">
      <c r="A250" t="s">
        <v>511</v>
      </c>
      <c r="B250" s="1">
        <v>45578.659722222219</v>
      </c>
      <c r="C250" s="1">
        <v>45578.621527777781</v>
      </c>
      <c r="D250" t="s">
        <v>169</v>
      </c>
      <c r="E250" t="s">
        <v>10</v>
      </c>
      <c r="F250" t="s">
        <v>11</v>
      </c>
      <c r="G250" t="s">
        <v>170</v>
      </c>
      <c r="H250" t="s">
        <v>29</v>
      </c>
      <c r="I250" s="19" t="str">
        <f>VLOOKUP(G250,'STORE LOOKUP'!$C:$G,2,0)</f>
        <v>VIC North / East</v>
      </c>
      <c r="J250" s="19" t="str">
        <f>VLOOKUP(G250,'STORE LOOKUP'!$C:$G,4,0)</f>
        <v>Anaconda</v>
      </c>
      <c r="K250" s="19" t="str">
        <f>VLOOKUP(G250,'STORE LOOKUP'!$C:$G,5,0)</f>
        <v>Store</v>
      </c>
      <c r="L250" s="17" t="str">
        <f>VLOOKUP(C250,'FIN CAL LOOKUP'!A:J,7,1)</f>
        <v>OCT, FY25</v>
      </c>
      <c r="M250" s="17" t="str">
        <f>VLOOKUP(C250,'FIN CAL LOOKUP'!A:J,10,1)</f>
        <v>Q2, FY25</v>
      </c>
    </row>
    <row r="251" spans="1:13" x14ac:dyDescent="0.25">
      <c r="A251" t="s">
        <v>512</v>
      </c>
      <c r="B251" s="1">
        <v>45583.543055555558</v>
      </c>
      <c r="C251" s="1">
        <v>45583.451388888891</v>
      </c>
      <c r="D251" t="s">
        <v>513</v>
      </c>
      <c r="E251" t="s">
        <v>10</v>
      </c>
      <c r="F251" t="s">
        <v>11</v>
      </c>
      <c r="G251" t="s">
        <v>514</v>
      </c>
      <c r="H251" t="s">
        <v>84</v>
      </c>
      <c r="I251" s="19" t="str">
        <f>VLOOKUP(G251,'STORE LOOKUP'!$C:$G,2,0)</f>
        <v>SA/TAS</v>
      </c>
      <c r="J251" s="19" t="str">
        <f>VLOOKUP(G251,'STORE LOOKUP'!$C:$G,4,0)</f>
        <v>Harris Scarfe</v>
      </c>
      <c r="K251" s="19" t="str">
        <f>VLOOKUP(G251,'STORE LOOKUP'!$C:$G,5,0)</f>
        <v>Store</v>
      </c>
      <c r="L251" s="17" t="str">
        <f>VLOOKUP(C251,'FIN CAL LOOKUP'!A:J,7,1)</f>
        <v>OCT, FY25</v>
      </c>
      <c r="M251" s="17" t="str">
        <f>VLOOKUP(C251,'FIN CAL LOOKUP'!A:J,10,1)</f>
        <v>Q2, FY25</v>
      </c>
    </row>
    <row r="252" spans="1:13" x14ac:dyDescent="0.25">
      <c r="A252" t="s">
        <v>515</v>
      </c>
      <c r="B252" s="1">
        <v>45584.64166666667</v>
      </c>
      <c r="C252" s="1">
        <v>45584.628472222219</v>
      </c>
      <c r="D252" t="s">
        <v>264</v>
      </c>
      <c r="E252" t="s">
        <v>10</v>
      </c>
      <c r="F252" t="s">
        <v>11</v>
      </c>
      <c r="G252" t="s">
        <v>265</v>
      </c>
      <c r="H252" t="s">
        <v>120</v>
      </c>
      <c r="I252" s="19" t="str">
        <f>VLOOKUP(G252,'STORE LOOKUP'!$C:$G,2,0)</f>
        <v>VIC &amp; NSW</v>
      </c>
      <c r="J252" s="19" t="str">
        <f>VLOOKUP(G252,'STORE LOOKUP'!$C:$G,4,0)</f>
        <v>Harris Scarfe</v>
      </c>
      <c r="K252" s="19" t="str">
        <f>VLOOKUP(G252,'STORE LOOKUP'!$C:$G,5,0)</f>
        <v>Store</v>
      </c>
      <c r="L252" s="17" t="str">
        <f>VLOOKUP(C252,'FIN CAL LOOKUP'!A:J,7,1)</f>
        <v>OCT, FY25</v>
      </c>
      <c r="M252" s="17" t="str">
        <f>VLOOKUP(C252,'FIN CAL LOOKUP'!A:J,10,1)</f>
        <v>Q2, FY25</v>
      </c>
    </row>
    <row r="253" spans="1:13" x14ac:dyDescent="0.25">
      <c r="A253" t="s">
        <v>516</v>
      </c>
      <c r="B253" s="1">
        <v>45594.722916666666</v>
      </c>
      <c r="C253" s="1">
        <v>45594.628472222219</v>
      </c>
      <c r="D253" t="s">
        <v>205</v>
      </c>
      <c r="E253" t="s">
        <v>10</v>
      </c>
      <c r="F253" t="s">
        <v>11</v>
      </c>
      <c r="G253" t="s">
        <v>206</v>
      </c>
      <c r="H253" t="s">
        <v>99</v>
      </c>
      <c r="I253" s="19" t="str">
        <f>VLOOKUP(G253,'STORE LOOKUP'!$C:$G,2,0)</f>
        <v>SA/TAS</v>
      </c>
      <c r="J253" s="19" t="str">
        <f>VLOOKUP(G253,'STORE LOOKUP'!$C:$G,4,0)</f>
        <v>Harris Scarfe</v>
      </c>
      <c r="K253" s="19" t="str">
        <f>VLOOKUP(G253,'STORE LOOKUP'!$C:$G,5,0)</f>
        <v>Store</v>
      </c>
      <c r="L253" s="17" t="str">
        <f>VLOOKUP(C253,'FIN CAL LOOKUP'!A:J,7,1)</f>
        <v>NOV, FY25</v>
      </c>
      <c r="M253" s="17" t="str">
        <f>VLOOKUP(C253,'FIN CAL LOOKUP'!A:J,10,1)</f>
        <v>Q2, FY25</v>
      </c>
    </row>
    <row r="254" spans="1:13" x14ac:dyDescent="0.25">
      <c r="A254" t="s">
        <v>517</v>
      </c>
      <c r="B254" s="1">
        <v>45600.781944444447</v>
      </c>
      <c r="C254" s="1">
        <v>45600.729166666664</v>
      </c>
      <c r="D254" t="s">
        <v>19</v>
      </c>
      <c r="E254" t="s">
        <v>10</v>
      </c>
      <c r="F254" t="s">
        <v>11</v>
      </c>
      <c r="G254" t="s">
        <v>175</v>
      </c>
      <c r="H254" t="s">
        <v>21</v>
      </c>
      <c r="I254" s="19" t="str">
        <f>VLOOKUP(G254,'STORE LOOKUP'!$C:$G,2,0)</f>
        <v>SA/NT</v>
      </c>
      <c r="J254" s="19" t="str">
        <f>VLOOKUP(G254,'STORE LOOKUP'!$C:$G,4,0)</f>
        <v>Spotlight AU</v>
      </c>
      <c r="K254" s="19" t="str">
        <f>VLOOKUP(G254,'STORE LOOKUP'!$C:$G,5,0)</f>
        <v>Store</v>
      </c>
      <c r="L254" s="17" t="str">
        <f>VLOOKUP(C254,'FIN CAL LOOKUP'!A:J,7,1)</f>
        <v>NOV, FY25</v>
      </c>
      <c r="M254" s="17" t="str">
        <f>VLOOKUP(C254,'FIN CAL LOOKUP'!A:J,10,1)</f>
        <v>Q2, FY25</v>
      </c>
    </row>
    <row r="255" spans="1:13" x14ac:dyDescent="0.25">
      <c r="A255" t="s">
        <v>518</v>
      </c>
      <c r="B255" s="1">
        <v>45604.395138888889</v>
      </c>
      <c r="C255" s="1">
        <v>45600.597222222219</v>
      </c>
      <c r="D255" t="s">
        <v>333</v>
      </c>
      <c r="E255" t="s">
        <v>10</v>
      </c>
      <c r="F255" t="s">
        <v>11</v>
      </c>
      <c r="G255" t="s">
        <v>334</v>
      </c>
      <c r="H255" t="s">
        <v>56</v>
      </c>
      <c r="I255" s="19" t="str">
        <f>VLOOKUP(G255,'STORE LOOKUP'!$C:$G,2,0)</f>
        <v>VIC West</v>
      </c>
      <c r="J255" s="19" t="str">
        <f>VLOOKUP(G255,'STORE LOOKUP'!$C:$G,4,0)</f>
        <v>Spotlight AU</v>
      </c>
      <c r="K255" s="19" t="str">
        <f>VLOOKUP(G255,'STORE LOOKUP'!$C:$G,5,0)</f>
        <v>Store</v>
      </c>
      <c r="L255" s="17" t="str">
        <f>VLOOKUP(C255,'FIN CAL LOOKUP'!A:J,7,1)</f>
        <v>NOV, FY25</v>
      </c>
      <c r="M255" s="17" t="str">
        <f>VLOOKUP(C255,'FIN CAL LOOKUP'!A:J,10,1)</f>
        <v>Q2, FY25</v>
      </c>
    </row>
    <row r="256" spans="1:13" x14ac:dyDescent="0.25">
      <c r="A256" t="s">
        <v>519</v>
      </c>
      <c r="B256" s="1">
        <v>45605.601388888892</v>
      </c>
      <c r="C256" s="1">
        <v>45603.666666666664</v>
      </c>
      <c r="D256" t="s">
        <v>520</v>
      </c>
      <c r="E256" t="s">
        <v>10</v>
      </c>
      <c r="F256" t="s">
        <v>11</v>
      </c>
      <c r="G256" t="s">
        <v>521</v>
      </c>
      <c r="H256" t="s">
        <v>88</v>
      </c>
      <c r="I256" s="19" t="str">
        <f>VLOOKUP(G256,'STORE LOOKUP'!$C:$G,2,0)</f>
        <v>NSW North</v>
      </c>
      <c r="J256" s="19" t="str">
        <f>VLOOKUP(G256,'STORE LOOKUP'!$C:$G,4,0)</f>
        <v>Anaconda</v>
      </c>
      <c r="K256" s="19" t="str">
        <f>VLOOKUP(G256,'STORE LOOKUP'!$C:$G,5,0)</f>
        <v>Store</v>
      </c>
      <c r="L256" s="17" t="str">
        <f>VLOOKUP(C256,'FIN CAL LOOKUP'!A:J,7,1)</f>
        <v>NOV, FY25</v>
      </c>
      <c r="M256" s="17" t="str">
        <f>VLOOKUP(C256,'FIN CAL LOOKUP'!A:J,10,1)</f>
        <v>Q2, FY25</v>
      </c>
    </row>
    <row r="257" spans="1:13" x14ac:dyDescent="0.25">
      <c r="A257" t="s">
        <v>522</v>
      </c>
      <c r="B257" s="1">
        <v>45607.357638888891</v>
      </c>
      <c r="C257" s="1">
        <v>45606.347222222219</v>
      </c>
      <c r="D257" t="s">
        <v>90</v>
      </c>
      <c r="E257" t="s">
        <v>10</v>
      </c>
      <c r="F257" t="s">
        <v>11</v>
      </c>
      <c r="G257" t="s">
        <v>91</v>
      </c>
      <c r="H257" t="s">
        <v>56</v>
      </c>
      <c r="I257" s="19" t="str">
        <f>VLOOKUP(G257,'STORE LOOKUP'!$C:$G,2,0)</f>
        <v>VIC East</v>
      </c>
      <c r="J257" s="19" t="str">
        <f>VLOOKUP(G257,'STORE LOOKUP'!$C:$G,4,0)</f>
        <v>Spotlight AU</v>
      </c>
      <c r="K257" s="19" t="str">
        <f>VLOOKUP(G257,'STORE LOOKUP'!$C:$G,5,0)</f>
        <v>Store</v>
      </c>
      <c r="L257" s="17" t="str">
        <f>VLOOKUP(C257,'FIN CAL LOOKUP'!A:J,7,1)</f>
        <v>NOV, FY25</v>
      </c>
      <c r="M257" s="17" t="str">
        <f>VLOOKUP(C257,'FIN CAL LOOKUP'!A:J,10,1)</f>
        <v>Q2, FY25</v>
      </c>
    </row>
    <row r="258" spans="1:13" x14ac:dyDescent="0.25">
      <c r="A258" t="s">
        <v>523</v>
      </c>
      <c r="B258" s="1">
        <v>45608.644444444442</v>
      </c>
      <c r="C258" s="1">
        <v>45608.631944444445</v>
      </c>
      <c r="D258" t="s">
        <v>264</v>
      </c>
      <c r="E258" t="s">
        <v>10</v>
      </c>
      <c r="F258" t="s">
        <v>11</v>
      </c>
      <c r="G258" t="s">
        <v>265</v>
      </c>
      <c r="H258" t="s">
        <v>120</v>
      </c>
      <c r="I258" s="19" t="str">
        <f>VLOOKUP(G258,'STORE LOOKUP'!$C:$G,2,0)</f>
        <v>VIC &amp; NSW</v>
      </c>
      <c r="J258" s="19" t="str">
        <f>VLOOKUP(G258,'STORE LOOKUP'!$C:$G,4,0)</f>
        <v>Harris Scarfe</v>
      </c>
      <c r="K258" s="19" t="str">
        <f>VLOOKUP(G258,'STORE LOOKUP'!$C:$G,5,0)</f>
        <v>Store</v>
      </c>
      <c r="L258" s="17" t="str">
        <f>VLOOKUP(C258,'FIN CAL LOOKUP'!A:J,7,1)</f>
        <v>NOV, FY25</v>
      </c>
      <c r="M258" s="17" t="str">
        <f>VLOOKUP(C258,'FIN CAL LOOKUP'!A:J,10,1)</f>
        <v>Q2, FY25</v>
      </c>
    </row>
    <row r="259" spans="1:13" x14ac:dyDescent="0.25">
      <c r="A259" t="s">
        <v>524</v>
      </c>
      <c r="B259" s="1">
        <v>45609.405555555553</v>
      </c>
      <c r="C259" s="1">
        <v>45604.593055555553</v>
      </c>
      <c r="D259" t="s">
        <v>185</v>
      </c>
      <c r="E259" t="s">
        <v>10</v>
      </c>
      <c r="F259" t="s">
        <v>11</v>
      </c>
      <c r="G259" t="s">
        <v>186</v>
      </c>
      <c r="H259" t="s">
        <v>29</v>
      </c>
      <c r="I259" s="19" t="str">
        <f>VLOOKUP(G259,'STORE LOOKUP'!$C:$G,2,0)</f>
        <v>VIC North / East</v>
      </c>
      <c r="J259" s="19" t="str">
        <f>VLOOKUP(G259,'STORE LOOKUP'!$C:$G,4,0)</f>
        <v>Anaconda</v>
      </c>
      <c r="K259" s="19" t="str">
        <f>VLOOKUP(G259,'STORE LOOKUP'!$C:$G,5,0)</f>
        <v>Store</v>
      </c>
      <c r="L259" s="17" t="str">
        <f>VLOOKUP(C259,'FIN CAL LOOKUP'!A:J,7,1)</f>
        <v>NOV, FY25</v>
      </c>
      <c r="M259" s="17" t="str">
        <f>VLOOKUP(C259,'FIN CAL LOOKUP'!A:J,10,1)</f>
        <v>Q2, FY25</v>
      </c>
    </row>
    <row r="260" spans="1:13" x14ac:dyDescent="0.25">
      <c r="A260" t="s">
        <v>525</v>
      </c>
      <c r="B260" s="1">
        <v>45614.497916666667</v>
      </c>
      <c r="C260" s="1">
        <v>45614.472222222219</v>
      </c>
      <c r="D260" t="s">
        <v>526</v>
      </c>
      <c r="E260" t="s">
        <v>10</v>
      </c>
      <c r="F260" t="s">
        <v>11</v>
      </c>
      <c r="G260" t="s">
        <v>527</v>
      </c>
      <c r="H260" t="s">
        <v>84</v>
      </c>
      <c r="I260" s="19" t="str">
        <f>VLOOKUP(G260,'STORE LOOKUP'!$C:$G,2,0)</f>
        <v>SA/TAS</v>
      </c>
      <c r="J260" s="19" t="str">
        <f>VLOOKUP(G260,'STORE LOOKUP'!$C:$G,4,0)</f>
        <v>Harris Scarfe</v>
      </c>
      <c r="K260" s="19" t="str">
        <f>VLOOKUP(G260,'STORE LOOKUP'!$C:$G,5,0)</f>
        <v>Store</v>
      </c>
      <c r="L260" s="17" t="str">
        <f>VLOOKUP(C260,'FIN CAL LOOKUP'!A:J,7,1)</f>
        <v>NOV, FY25</v>
      </c>
      <c r="M260" s="17" t="str">
        <f>VLOOKUP(C260,'FIN CAL LOOKUP'!A:J,10,1)</f>
        <v>Q2, FY25</v>
      </c>
    </row>
    <row r="261" spans="1:13" x14ac:dyDescent="0.25">
      <c r="A261" t="s">
        <v>528</v>
      </c>
      <c r="B261" s="1">
        <v>45615.484027777777</v>
      </c>
      <c r="C261" s="1">
        <v>45612.375</v>
      </c>
      <c r="D261" t="s">
        <v>379</v>
      </c>
      <c r="E261" t="s">
        <v>10</v>
      </c>
      <c r="F261" t="s">
        <v>11</v>
      </c>
      <c r="G261" t="s">
        <v>380</v>
      </c>
      <c r="H261" t="s">
        <v>13</v>
      </c>
      <c r="I261" s="19" t="str">
        <f>VLOOKUP(G261,'STORE LOOKUP'!$C:$G,2,0)</f>
        <v>BRISBANE / FNQ Cluster</v>
      </c>
      <c r="J261" s="19" t="str">
        <f>VLOOKUP(G261,'STORE LOOKUP'!$C:$G,4,0)</f>
        <v>Anaconda</v>
      </c>
      <c r="K261" s="19" t="str">
        <f>VLOOKUP(G261,'STORE LOOKUP'!$C:$G,5,0)</f>
        <v>Store</v>
      </c>
      <c r="L261" s="17" t="str">
        <f>VLOOKUP(C261,'FIN CAL LOOKUP'!A:J,7,1)</f>
        <v>NOV, FY25</v>
      </c>
      <c r="M261" s="17" t="str">
        <f>VLOOKUP(C261,'FIN CAL LOOKUP'!A:J,10,1)</f>
        <v>Q2, FY25</v>
      </c>
    </row>
    <row r="262" spans="1:13" x14ac:dyDescent="0.25">
      <c r="A262" t="s">
        <v>529</v>
      </c>
      <c r="B262" s="1">
        <v>45616.338888888888</v>
      </c>
      <c r="C262" s="1">
        <v>45615.704861111109</v>
      </c>
      <c r="D262" t="s">
        <v>333</v>
      </c>
      <c r="E262" t="s">
        <v>10</v>
      </c>
      <c r="F262" t="s">
        <v>11</v>
      </c>
      <c r="G262" t="s">
        <v>334</v>
      </c>
      <c r="H262" t="s">
        <v>56</v>
      </c>
      <c r="I262" s="19" t="str">
        <f>VLOOKUP(G262,'STORE LOOKUP'!$C:$G,2,0)</f>
        <v>VIC West</v>
      </c>
      <c r="J262" s="19" t="str">
        <f>VLOOKUP(G262,'STORE LOOKUP'!$C:$G,4,0)</f>
        <v>Spotlight AU</v>
      </c>
      <c r="K262" s="19" t="str">
        <f>VLOOKUP(G262,'STORE LOOKUP'!$C:$G,5,0)</f>
        <v>Store</v>
      </c>
      <c r="L262" s="17" t="str">
        <f>VLOOKUP(C262,'FIN CAL LOOKUP'!A:J,7,1)</f>
        <v>NOV, FY25</v>
      </c>
      <c r="M262" s="17" t="str">
        <f>VLOOKUP(C262,'FIN CAL LOOKUP'!A:J,10,1)</f>
        <v>Q2, FY25</v>
      </c>
    </row>
    <row r="263" spans="1:13" x14ac:dyDescent="0.25">
      <c r="A263" t="s">
        <v>530</v>
      </c>
      <c r="B263" s="1">
        <v>45618.65347222222</v>
      </c>
      <c r="C263" s="1">
        <v>45618.631944444445</v>
      </c>
      <c r="D263" t="s">
        <v>421</v>
      </c>
      <c r="E263" t="s">
        <v>10</v>
      </c>
      <c r="F263" t="s">
        <v>11</v>
      </c>
      <c r="G263" t="s">
        <v>422</v>
      </c>
      <c r="H263" t="s">
        <v>56</v>
      </c>
      <c r="I263" s="19" t="str">
        <f>VLOOKUP(G263,'STORE LOOKUP'!$C:$G,2,0)</f>
        <v>VIC West</v>
      </c>
      <c r="J263" s="19" t="str">
        <f>VLOOKUP(G263,'STORE LOOKUP'!$C:$G,4,0)</f>
        <v>Spotlight AU</v>
      </c>
      <c r="K263" s="19" t="str">
        <f>VLOOKUP(G263,'STORE LOOKUP'!$C:$G,5,0)</f>
        <v>Store</v>
      </c>
      <c r="L263" s="17" t="str">
        <f>VLOOKUP(C263,'FIN CAL LOOKUP'!A:J,7,1)</f>
        <v>NOV, FY25</v>
      </c>
      <c r="M263" s="17" t="str">
        <f>VLOOKUP(C263,'FIN CAL LOOKUP'!A:J,10,1)</f>
        <v>Q2, FY25</v>
      </c>
    </row>
    <row r="264" spans="1:13" x14ac:dyDescent="0.25">
      <c r="A264" t="s">
        <v>531</v>
      </c>
      <c r="B264" s="1">
        <v>45620.773611111108</v>
      </c>
      <c r="C264" s="1">
        <v>45620.625</v>
      </c>
      <c r="D264" t="s">
        <v>532</v>
      </c>
      <c r="E264" t="s">
        <v>10</v>
      </c>
      <c r="F264" t="s">
        <v>11</v>
      </c>
      <c r="G264" t="s">
        <v>533</v>
      </c>
      <c r="H264" t="s">
        <v>88</v>
      </c>
      <c r="I264" s="19" t="str">
        <f>VLOOKUP(G264,'STORE LOOKUP'!$C:$G,2,0)</f>
        <v>NSW South</v>
      </c>
      <c r="J264" s="19" t="str">
        <f>VLOOKUP(G264,'STORE LOOKUP'!$C:$G,4,0)</f>
        <v>Anaconda</v>
      </c>
      <c r="K264" s="19" t="str">
        <f>VLOOKUP(G264,'STORE LOOKUP'!$C:$G,5,0)</f>
        <v>Store</v>
      </c>
      <c r="L264" s="17" t="str">
        <f>VLOOKUP(C264,'FIN CAL LOOKUP'!A:J,7,1)</f>
        <v>NOV, FY25</v>
      </c>
      <c r="M264" s="17" t="str">
        <f>VLOOKUP(C264,'FIN CAL LOOKUP'!A:J,10,1)</f>
        <v>Q2, FY25</v>
      </c>
    </row>
    <row r="265" spans="1:13" x14ac:dyDescent="0.25">
      <c r="A265" t="s">
        <v>534</v>
      </c>
      <c r="B265" s="1">
        <v>45623.751388888886</v>
      </c>
      <c r="C265" s="1">
        <v>45623.715277777781</v>
      </c>
      <c r="D265" t="s">
        <v>333</v>
      </c>
      <c r="E265" t="s">
        <v>10</v>
      </c>
      <c r="F265" t="s">
        <v>11</v>
      </c>
      <c r="G265" t="s">
        <v>334</v>
      </c>
      <c r="H265" t="s">
        <v>56</v>
      </c>
      <c r="I265" s="19" t="str">
        <f>VLOOKUP(G265,'STORE LOOKUP'!$C:$G,2,0)</f>
        <v>VIC West</v>
      </c>
      <c r="J265" s="19" t="str">
        <f>VLOOKUP(G265,'STORE LOOKUP'!$C:$G,4,0)</f>
        <v>Spotlight AU</v>
      </c>
      <c r="K265" s="19" t="str">
        <f>VLOOKUP(G265,'STORE LOOKUP'!$C:$G,5,0)</f>
        <v>Store</v>
      </c>
      <c r="L265" s="17" t="str">
        <f>VLOOKUP(C265,'FIN CAL LOOKUP'!A:J,7,1)</f>
        <v>NOV, FY25</v>
      </c>
      <c r="M265" s="17" t="str">
        <f>VLOOKUP(C265,'FIN CAL LOOKUP'!A:J,10,1)</f>
        <v>Q2, FY25</v>
      </c>
    </row>
    <row r="266" spans="1:13" x14ac:dyDescent="0.25">
      <c r="A266" t="s">
        <v>535</v>
      </c>
      <c r="B266" s="1">
        <v>45624.589583333334</v>
      </c>
      <c r="C266" s="1">
        <v>45623.712500000001</v>
      </c>
      <c r="D266" t="s">
        <v>115</v>
      </c>
      <c r="E266" t="s">
        <v>10</v>
      </c>
      <c r="F266" t="s">
        <v>11</v>
      </c>
      <c r="G266" t="s">
        <v>116</v>
      </c>
      <c r="H266" t="s">
        <v>56</v>
      </c>
      <c r="I266" s="19" t="str">
        <f>VLOOKUP(G266,'STORE LOOKUP'!$C:$G,2,0)</f>
        <v>VIC East</v>
      </c>
      <c r="J266" s="19" t="str">
        <f>VLOOKUP(G266,'STORE LOOKUP'!$C:$G,4,0)</f>
        <v>Spotlight AU</v>
      </c>
      <c r="K266" s="19" t="str">
        <f>VLOOKUP(G266,'STORE LOOKUP'!$C:$G,5,0)</f>
        <v>Store</v>
      </c>
      <c r="L266" s="17" t="str">
        <f>VLOOKUP(C266,'FIN CAL LOOKUP'!A:J,7,1)</f>
        <v>NOV, FY25</v>
      </c>
      <c r="M266" s="17" t="str">
        <f>VLOOKUP(C266,'FIN CAL LOOKUP'!A:J,10,1)</f>
        <v>Q2, FY25</v>
      </c>
    </row>
    <row r="267" spans="1:13" x14ac:dyDescent="0.25">
      <c r="A267" t="s">
        <v>536</v>
      </c>
      <c r="B267" s="1">
        <v>45626.410416666666</v>
      </c>
      <c r="C267" s="1">
        <v>45625.390972222223</v>
      </c>
      <c r="D267" t="s">
        <v>537</v>
      </c>
      <c r="E267" t="s">
        <v>10</v>
      </c>
      <c r="F267" t="s">
        <v>11</v>
      </c>
      <c r="G267" t="s">
        <v>153</v>
      </c>
      <c r="H267" t="s">
        <v>120</v>
      </c>
      <c r="I267" s="19" t="str">
        <f>VLOOKUP(G267,'STORE LOOKUP'!$C:$G,2,0)</f>
        <v>VIC &amp; NSW</v>
      </c>
      <c r="J267" s="19" t="str">
        <f>VLOOKUP(G267,'STORE LOOKUP'!$C:$G,4,0)</f>
        <v>Harris Scarfe</v>
      </c>
      <c r="K267" s="19" t="str">
        <f>VLOOKUP(G267,'STORE LOOKUP'!$C:$G,5,0)</f>
        <v>Store</v>
      </c>
      <c r="L267" s="17" t="str">
        <f>VLOOKUP(C267,'FIN CAL LOOKUP'!A:J,7,1)</f>
        <v>NOV, FY25</v>
      </c>
      <c r="M267" s="17" t="str">
        <f>VLOOKUP(C267,'FIN CAL LOOKUP'!A:J,10,1)</f>
        <v>Q2, FY25</v>
      </c>
    </row>
    <row r="268" spans="1:13" x14ac:dyDescent="0.25">
      <c r="A268" t="s">
        <v>538</v>
      </c>
      <c r="B268" s="1">
        <v>45626.622916666667</v>
      </c>
      <c r="C268" s="1">
        <v>45625.390972222223</v>
      </c>
      <c r="D268" t="s">
        <v>537</v>
      </c>
      <c r="E268" t="s">
        <v>10</v>
      </c>
      <c r="F268" t="s">
        <v>11</v>
      </c>
      <c r="G268" t="s">
        <v>153</v>
      </c>
      <c r="H268" t="s">
        <v>120</v>
      </c>
      <c r="I268" s="19" t="str">
        <f>VLOOKUP(G268,'STORE LOOKUP'!$C:$G,2,0)</f>
        <v>VIC &amp; NSW</v>
      </c>
      <c r="J268" s="19" t="str">
        <f>VLOOKUP(G268,'STORE LOOKUP'!$C:$G,4,0)</f>
        <v>Harris Scarfe</v>
      </c>
      <c r="K268" s="19" t="str">
        <f>VLOOKUP(G268,'STORE LOOKUP'!$C:$G,5,0)</f>
        <v>Store</v>
      </c>
      <c r="L268" s="17" t="str">
        <f>VLOOKUP(C268,'FIN CAL LOOKUP'!A:J,7,1)</f>
        <v>NOV, FY25</v>
      </c>
      <c r="M268" s="17" t="str">
        <f>VLOOKUP(C268,'FIN CAL LOOKUP'!A:J,10,1)</f>
        <v>Q2, FY25</v>
      </c>
    </row>
    <row r="269" spans="1:13" x14ac:dyDescent="0.25">
      <c r="A269" t="s">
        <v>539</v>
      </c>
      <c r="B269" s="1">
        <v>45626.677777777775</v>
      </c>
      <c r="C269" s="1">
        <v>45625.568749999999</v>
      </c>
      <c r="D269" t="s">
        <v>537</v>
      </c>
      <c r="E269" t="s">
        <v>10</v>
      </c>
      <c r="F269" t="s">
        <v>11</v>
      </c>
      <c r="G269" t="s">
        <v>153</v>
      </c>
      <c r="H269" t="s">
        <v>120</v>
      </c>
      <c r="I269" s="19" t="str">
        <f>VLOOKUP(G269,'STORE LOOKUP'!$C:$G,2,0)</f>
        <v>VIC &amp; NSW</v>
      </c>
      <c r="J269" s="19" t="str">
        <f>VLOOKUP(G269,'STORE LOOKUP'!$C:$G,4,0)</f>
        <v>Harris Scarfe</v>
      </c>
      <c r="K269" s="19" t="str">
        <f>VLOOKUP(G269,'STORE LOOKUP'!$C:$G,5,0)</f>
        <v>Store</v>
      </c>
      <c r="L269" s="17" t="str">
        <f>VLOOKUP(C269,'FIN CAL LOOKUP'!A:J,7,1)</f>
        <v>NOV, FY25</v>
      </c>
      <c r="M269" s="17" t="str">
        <f>VLOOKUP(C269,'FIN CAL LOOKUP'!A:J,10,1)</f>
        <v>Q2, FY25</v>
      </c>
    </row>
    <row r="270" spans="1:13" x14ac:dyDescent="0.25">
      <c r="A270" t="s">
        <v>540</v>
      </c>
      <c r="B270" s="1">
        <v>45628.697916666664</v>
      </c>
      <c r="C270" s="1">
        <v>45628.5625</v>
      </c>
      <c r="D270" t="s">
        <v>541</v>
      </c>
      <c r="E270" t="s">
        <v>10</v>
      </c>
      <c r="F270" t="s">
        <v>11</v>
      </c>
      <c r="G270" t="s">
        <v>386</v>
      </c>
      <c r="H270" t="s">
        <v>29</v>
      </c>
      <c r="I270" s="19" t="str">
        <f>VLOOKUP(G270,'STORE LOOKUP'!$C:$G,2,0)</f>
        <v>VIC West / TAS</v>
      </c>
      <c r="J270" s="19" t="str">
        <f>VLOOKUP(G270,'STORE LOOKUP'!$C:$G,4,0)</f>
        <v>Anaconda</v>
      </c>
      <c r="K270" s="19" t="str">
        <f>VLOOKUP(G270,'STORE LOOKUP'!$C:$G,5,0)</f>
        <v>Store</v>
      </c>
      <c r="L270" s="17" t="str">
        <f>VLOOKUP(C270,'FIN CAL LOOKUP'!A:J,7,1)</f>
        <v>DEC, FY25</v>
      </c>
      <c r="M270" s="17" t="str">
        <f>VLOOKUP(C270,'FIN CAL LOOKUP'!A:J,10,1)</f>
        <v>Q2, FY25</v>
      </c>
    </row>
    <row r="271" spans="1:13" x14ac:dyDescent="0.25">
      <c r="A271" t="s">
        <v>542</v>
      </c>
      <c r="B271" s="1">
        <v>45628.720833333333</v>
      </c>
      <c r="C271" s="1">
        <v>45628.663888888892</v>
      </c>
      <c r="D271" t="s">
        <v>434</v>
      </c>
      <c r="E271" t="s">
        <v>10</v>
      </c>
      <c r="F271" t="s">
        <v>11</v>
      </c>
      <c r="G271" t="s">
        <v>435</v>
      </c>
      <c r="H271" t="s">
        <v>194</v>
      </c>
      <c r="I271" s="19" t="str">
        <f>VLOOKUP(G271,'STORE LOOKUP'!$C:$G,2,0)</f>
        <v>NSW/ACT</v>
      </c>
      <c r="J271" s="19" t="str">
        <f>VLOOKUP(G271,'STORE LOOKUP'!$C:$G,4,0)</f>
        <v>Harris Scarfe</v>
      </c>
      <c r="K271" s="19" t="str">
        <f>VLOOKUP(G271,'STORE LOOKUP'!$C:$G,5,0)</f>
        <v>Store</v>
      </c>
      <c r="L271" s="17" t="str">
        <f>VLOOKUP(C271,'FIN CAL LOOKUP'!A:J,7,1)</f>
        <v>DEC, FY25</v>
      </c>
      <c r="M271" s="17" t="str">
        <f>VLOOKUP(C271,'FIN CAL LOOKUP'!A:J,10,1)</f>
        <v>Q2, FY25</v>
      </c>
    </row>
    <row r="272" spans="1:13" x14ac:dyDescent="0.25">
      <c r="A272" t="s">
        <v>543</v>
      </c>
      <c r="B272" s="1">
        <v>45629.772916666669</v>
      </c>
      <c r="C272" s="1">
        <v>45629.666666666664</v>
      </c>
      <c r="D272" t="s">
        <v>19</v>
      </c>
      <c r="E272" t="s">
        <v>10</v>
      </c>
      <c r="F272" t="s">
        <v>11</v>
      </c>
      <c r="G272" t="s">
        <v>175</v>
      </c>
      <c r="H272" t="s">
        <v>21</v>
      </c>
      <c r="I272" s="19" t="str">
        <f>VLOOKUP(G272,'STORE LOOKUP'!$C:$G,2,0)</f>
        <v>SA/NT</v>
      </c>
      <c r="J272" s="19" t="str">
        <f>VLOOKUP(G272,'STORE LOOKUP'!$C:$G,4,0)</f>
        <v>Spotlight AU</v>
      </c>
      <c r="K272" s="19" t="str">
        <f>VLOOKUP(G272,'STORE LOOKUP'!$C:$G,5,0)</f>
        <v>Store</v>
      </c>
      <c r="L272" s="17" t="str">
        <f>VLOOKUP(C272,'FIN CAL LOOKUP'!A:J,7,1)</f>
        <v>DEC, FY25</v>
      </c>
      <c r="M272" s="17" t="str">
        <f>VLOOKUP(C272,'FIN CAL LOOKUP'!A:J,10,1)</f>
        <v>Q2, FY25</v>
      </c>
    </row>
    <row r="273" spans="1:13" x14ac:dyDescent="0.25">
      <c r="A273" t="s">
        <v>544</v>
      </c>
      <c r="B273" s="1">
        <v>45632.571527777778</v>
      </c>
      <c r="C273" s="1">
        <v>45627.717361111114</v>
      </c>
      <c r="D273" t="s">
        <v>189</v>
      </c>
      <c r="E273" t="s">
        <v>10</v>
      </c>
      <c r="F273" t="s">
        <v>11</v>
      </c>
      <c r="G273" t="s">
        <v>190</v>
      </c>
      <c r="H273" t="s">
        <v>17</v>
      </c>
      <c r="I273" s="19" t="str">
        <f>VLOOKUP(G273,'STORE LOOKUP'!$C:$G,2,0)</f>
        <v>QLD NW / NT</v>
      </c>
      <c r="J273" s="19" t="str">
        <f>VLOOKUP(G273,'STORE LOOKUP'!$C:$G,4,0)</f>
        <v>Anaconda</v>
      </c>
      <c r="K273" s="19" t="str">
        <f>VLOOKUP(G273,'STORE LOOKUP'!$C:$G,5,0)</f>
        <v>Store</v>
      </c>
      <c r="L273" s="17" t="str">
        <f>VLOOKUP(C273,'FIN CAL LOOKUP'!A:J,7,1)</f>
        <v>NOV, FY25</v>
      </c>
      <c r="M273" s="17" t="str">
        <f>VLOOKUP(C273,'FIN CAL LOOKUP'!A:J,10,1)</f>
        <v>Q2, FY25</v>
      </c>
    </row>
    <row r="274" spans="1:13" x14ac:dyDescent="0.25">
      <c r="A274" t="s">
        <v>545</v>
      </c>
      <c r="B274" s="1">
        <v>45632.621527777781</v>
      </c>
      <c r="C274" s="1">
        <v>45631.628472222219</v>
      </c>
      <c r="D274" t="s">
        <v>299</v>
      </c>
      <c r="E274" t="s">
        <v>10</v>
      </c>
      <c r="F274" t="s">
        <v>11</v>
      </c>
      <c r="G274" t="s">
        <v>300</v>
      </c>
      <c r="H274" t="s">
        <v>135</v>
      </c>
      <c r="I274" s="19" t="str">
        <f>VLOOKUP(G274,'STORE LOOKUP'!$C:$G,2,0)</f>
        <v>NSW Central</v>
      </c>
      <c r="J274" s="19" t="str">
        <f>VLOOKUP(G274,'STORE LOOKUP'!$C:$G,4,0)</f>
        <v>Spotlight AU</v>
      </c>
      <c r="K274" s="19" t="str">
        <f>VLOOKUP(G274,'STORE LOOKUP'!$C:$G,5,0)</f>
        <v>Store</v>
      </c>
      <c r="L274" s="17" t="str">
        <f>VLOOKUP(C274,'FIN CAL LOOKUP'!A:J,7,1)</f>
        <v>DEC, FY25</v>
      </c>
      <c r="M274" s="17" t="str">
        <f>VLOOKUP(C274,'FIN CAL LOOKUP'!A:J,10,1)</f>
        <v>Q2, FY25</v>
      </c>
    </row>
    <row r="275" spans="1:13" x14ac:dyDescent="0.25">
      <c r="A275" t="s">
        <v>546</v>
      </c>
      <c r="B275" s="1">
        <v>45633.411111111112</v>
      </c>
      <c r="C275" s="1">
        <v>45632.611111111109</v>
      </c>
      <c r="D275" t="s">
        <v>447</v>
      </c>
      <c r="E275" t="s">
        <v>10</v>
      </c>
      <c r="F275" t="s">
        <v>11</v>
      </c>
      <c r="G275" t="s">
        <v>448</v>
      </c>
      <c r="H275" t="s">
        <v>84</v>
      </c>
      <c r="I275" s="19" t="str">
        <f>VLOOKUP(G275,'STORE LOOKUP'!$C:$G,2,0)</f>
        <v>SA/TAS</v>
      </c>
      <c r="J275" s="19" t="str">
        <f>VLOOKUP(G275,'STORE LOOKUP'!$C:$G,4,0)</f>
        <v>Harris Scarfe</v>
      </c>
      <c r="K275" s="19" t="str">
        <f>VLOOKUP(G275,'STORE LOOKUP'!$C:$G,5,0)</f>
        <v>Store</v>
      </c>
      <c r="L275" s="17" t="str">
        <f>VLOOKUP(C275,'FIN CAL LOOKUP'!A:J,7,1)</f>
        <v>DEC, FY25</v>
      </c>
      <c r="M275" s="17" t="str">
        <f>VLOOKUP(C275,'FIN CAL LOOKUP'!A:J,10,1)</f>
        <v>Q2, FY25</v>
      </c>
    </row>
    <row r="276" spans="1:13" x14ac:dyDescent="0.25">
      <c r="A276" t="s">
        <v>547</v>
      </c>
      <c r="B276" s="1">
        <v>45639.431944444441</v>
      </c>
      <c r="C276" s="1">
        <v>45639.083333333336</v>
      </c>
      <c r="D276" t="s">
        <v>189</v>
      </c>
      <c r="E276" t="s">
        <v>10</v>
      </c>
      <c r="F276" t="s">
        <v>11</v>
      </c>
      <c r="G276" t="s">
        <v>190</v>
      </c>
      <c r="H276" t="s">
        <v>17</v>
      </c>
      <c r="I276" s="19" t="str">
        <f>VLOOKUP(G276,'STORE LOOKUP'!$C:$G,2,0)</f>
        <v>QLD NW / NT</v>
      </c>
      <c r="J276" s="19" t="str">
        <f>VLOOKUP(G276,'STORE LOOKUP'!$C:$G,4,0)</f>
        <v>Anaconda</v>
      </c>
      <c r="K276" s="19" t="str">
        <f>VLOOKUP(G276,'STORE LOOKUP'!$C:$G,5,0)</f>
        <v>Store</v>
      </c>
      <c r="L276" s="17" t="str">
        <f>VLOOKUP(C276,'FIN CAL LOOKUP'!A:J,7,1)</f>
        <v>DEC, FY25</v>
      </c>
      <c r="M276" s="17" t="str">
        <f>VLOOKUP(C276,'FIN CAL LOOKUP'!A:J,10,1)</f>
        <v>Q2, FY25</v>
      </c>
    </row>
    <row r="277" spans="1:13" x14ac:dyDescent="0.25">
      <c r="A277" t="s">
        <v>548</v>
      </c>
      <c r="B277" s="1">
        <v>45639.597916666666</v>
      </c>
      <c r="C277" s="1">
        <v>45639.579861111109</v>
      </c>
      <c r="D277" t="s">
        <v>549</v>
      </c>
      <c r="E277" t="s">
        <v>10</v>
      </c>
      <c r="F277" t="s">
        <v>11</v>
      </c>
      <c r="G277" t="s">
        <v>550</v>
      </c>
      <c r="H277" t="s">
        <v>120</v>
      </c>
      <c r="I277" s="19" t="str">
        <f>VLOOKUP(G277,'STORE LOOKUP'!$C:$G,2,0)</f>
        <v>VIC</v>
      </c>
      <c r="J277" s="19" t="str">
        <f>VLOOKUP(G277,'STORE LOOKUP'!$C:$G,4,0)</f>
        <v>Harris Scarfe</v>
      </c>
      <c r="K277" s="19" t="str">
        <f>VLOOKUP(G277,'STORE LOOKUP'!$C:$G,5,0)</f>
        <v>Store</v>
      </c>
      <c r="L277" s="17" t="str">
        <f>VLOOKUP(C277,'FIN CAL LOOKUP'!A:J,7,1)</f>
        <v>DEC, FY25</v>
      </c>
      <c r="M277" s="17" t="str">
        <f>VLOOKUP(C277,'FIN CAL LOOKUP'!A:J,10,1)</f>
        <v>Q2, FY25</v>
      </c>
    </row>
    <row r="278" spans="1:13" x14ac:dyDescent="0.25">
      <c r="A278" t="s">
        <v>551</v>
      </c>
      <c r="B278" s="1">
        <v>45639.815972222219</v>
      </c>
      <c r="C278" s="1">
        <v>45639.524305555555</v>
      </c>
      <c r="D278" t="s">
        <v>155</v>
      </c>
      <c r="E278" t="s">
        <v>10</v>
      </c>
      <c r="F278" t="s">
        <v>11</v>
      </c>
      <c r="G278" t="s">
        <v>156</v>
      </c>
      <c r="H278" t="s">
        <v>56</v>
      </c>
      <c r="I278" s="19" t="str">
        <f>VLOOKUP(G278,'STORE LOOKUP'!$C:$G,2,0)</f>
        <v>VIC East</v>
      </c>
      <c r="J278" s="19" t="str">
        <f>VLOOKUP(G278,'STORE LOOKUP'!$C:$G,4,0)</f>
        <v>Spotlight AU</v>
      </c>
      <c r="K278" s="19" t="str">
        <f>VLOOKUP(G278,'STORE LOOKUP'!$C:$G,5,0)</f>
        <v>Store</v>
      </c>
      <c r="L278" s="17" t="str">
        <f>VLOOKUP(C278,'FIN CAL LOOKUP'!A:J,7,1)</f>
        <v>DEC, FY25</v>
      </c>
      <c r="M278" s="17" t="str">
        <f>VLOOKUP(C278,'FIN CAL LOOKUP'!A:J,10,1)</f>
        <v>Q2, FY25</v>
      </c>
    </row>
    <row r="279" spans="1:13" x14ac:dyDescent="0.25">
      <c r="A279" t="s">
        <v>552</v>
      </c>
      <c r="B279" s="1">
        <v>45639.831250000003</v>
      </c>
      <c r="C279" s="1">
        <v>45639.525000000001</v>
      </c>
      <c r="D279" t="s">
        <v>155</v>
      </c>
      <c r="E279" t="s">
        <v>10</v>
      </c>
      <c r="F279" t="s">
        <v>11</v>
      </c>
      <c r="G279" t="s">
        <v>156</v>
      </c>
      <c r="H279" t="s">
        <v>56</v>
      </c>
      <c r="I279" s="19" t="str">
        <f>VLOOKUP(G279,'STORE LOOKUP'!$C:$G,2,0)</f>
        <v>VIC East</v>
      </c>
      <c r="J279" s="19" t="str">
        <f>VLOOKUP(G279,'STORE LOOKUP'!$C:$G,4,0)</f>
        <v>Spotlight AU</v>
      </c>
      <c r="K279" s="19" t="str">
        <f>VLOOKUP(G279,'STORE LOOKUP'!$C:$G,5,0)</f>
        <v>Store</v>
      </c>
      <c r="L279" s="17" t="str">
        <f>VLOOKUP(C279,'FIN CAL LOOKUP'!A:J,7,1)</f>
        <v>DEC, FY25</v>
      </c>
      <c r="M279" s="17" t="str">
        <f>VLOOKUP(C279,'FIN CAL LOOKUP'!A:J,10,1)</f>
        <v>Q2, FY25</v>
      </c>
    </row>
    <row r="280" spans="1:13" x14ac:dyDescent="0.25">
      <c r="A280" t="s">
        <v>553</v>
      </c>
      <c r="B280" s="1">
        <v>45643.424305555556</v>
      </c>
      <c r="C280" s="1">
        <v>45642.676388888889</v>
      </c>
      <c r="D280" t="s">
        <v>434</v>
      </c>
      <c r="E280" t="s">
        <v>10</v>
      </c>
      <c r="F280" t="s">
        <v>11</v>
      </c>
      <c r="G280" t="s">
        <v>435</v>
      </c>
      <c r="H280" t="s">
        <v>194</v>
      </c>
      <c r="I280" s="19" t="str">
        <f>VLOOKUP(G280,'STORE LOOKUP'!$C:$G,2,0)</f>
        <v>NSW/ACT</v>
      </c>
      <c r="J280" s="19" t="str">
        <f>VLOOKUP(G280,'STORE LOOKUP'!$C:$G,4,0)</f>
        <v>Harris Scarfe</v>
      </c>
      <c r="K280" s="19" t="str">
        <f>VLOOKUP(G280,'STORE LOOKUP'!$C:$G,5,0)</f>
        <v>Store</v>
      </c>
      <c r="L280" s="17" t="str">
        <f>VLOOKUP(C280,'FIN CAL LOOKUP'!A:J,7,1)</f>
        <v>DEC, FY25</v>
      </c>
      <c r="M280" s="17" t="str">
        <f>VLOOKUP(C280,'FIN CAL LOOKUP'!A:J,10,1)</f>
        <v>Q2, FY25</v>
      </c>
    </row>
    <row r="281" spans="1:13" x14ac:dyDescent="0.25">
      <c r="A281" t="s">
        <v>554</v>
      </c>
      <c r="B281" s="1">
        <v>45643.600694444445</v>
      </c>
      <c r="C281" s="1">
        <v>45643.576388888891</v>
      </c>
      <c r="D281" t="s">
        <v>555</v>
      </c>
      <c r="E281" t="s">
        <v>10</v>
      </c>
      <c r="F281" t="s">
        <v>11</v>
      </c>
      <c r="G281" t="s">
        <v>556</v>
      </c>
      <c r="H281" t="s">
        <v>56</v>
      </c>
      <c r="I281" s="19" t="str">
        <f>VLOOKUP(G281,'STORE LOOKUP'!$C:$G,2,0)</f>
        <v>VIC West</v>
      </c>
      <c r="J281" s="19" t="str">
        <f>VLOOKUP(G281,'STORE LOOKUP'!$C:$G,4,0)</f>
        <v>Spotlight AU</v>
      </c>
      <c r="K281" s="19" t="str">
        <f>VLOOKUP(G281,'STORE LOOKUP'!$C:$G,5,0)</f>
        <v>Store</v>
      </c>
      <c r="L281" s="17" t="str">
        <f>VLOOKUP(C281,'FIN CAL LOOKUP'!A:J,7,1)</f>
        <v>DEC, FY25</v>
      </c>
      <c r="M281" s="17" t="str">
        <f>VLOOKUP(C281,'FIN CAL LOOKUP'!A:J,10,1)</f>
        <v>Q2, FY25</v>
      </c>
    </row>
    <row r="282" spans="1:13" x14ac:dyDescent="0.25">
      <c r="A282" t="s">
        <v>557</v>
      </c>
      <c r="B282" s="1">
        <v>45644.724999999999</v>
      </c>
      <c r="C282" s="1">
        <v>45644.440972222219</v>
      </c>
      <c r="D282" t="s">
        <v>558</v>
      </c>
      <c r="E282" t="s">
        <v>10</v>
      </c>
      <c r="F282" t="s">
        <v>11</v>
      </c>
      <c r="G282" t="s">
        <v>559</v>
      </c>
      <c r="H282" t="s">
        <v>52</v>
      </c>
      <c r="I282" s="19" t="str">
        <f>VLOOKUP(G282,'STORE LOOKUP'!$C:$G,2,0)</f>
        <v>QLD Central / TAS</v>
      </c>
      <c r="J282" s="19" t="str">
        <f>VLOOKUP(G282,'STORE LOOKUP'!$C:$G,4,0)</f>
        <v>Spotlight AU</v>
      </c>
      <c r="K282" s="19" t="str">
        <f>VLOOKUP(G282,'STORE LOOKUP'!$C:$G,5,0)</f>
        <v>Store</v>
      </c>
      <c r="L282" s="17" t="str">
        <f>VLOOKUP(C282,'FIN CAL LOOKUP'!A:J,7,1)</f>
        <v>DEC, FY25</v>
      </c>
      <c r="M282" s="17" t="str">
        <f>VLOOKUP(C282,'FIN CAL LOOKUP'!A:J,10,1)</f>
        <v>Q2, FY25</v>
      </c>
    </row>
    <row r="283" spans="1:13" x14ac:dyDescent="0.25">
      <c r="A283" t="s">
        <v>560</v>
      </c>
      <c r="B283" s="1">
        <v>45648.555555555555</v>
      </c>
      <c r="C283" s="1">
        <v>45646.75</v>
      </c>
      <c r="D283" t="s">
        <v>189</v>
      </c>
      <c r="E283" t="s">
        <v>10</v>
      </c>
      <c r="F283" t="s">
        <v>11</v>
      </c>
      <c r="G283" t="s">
        <v>190</v>
      </c>
      <c r="H283" t="s">
        <v>17</v>
      </c>
      <c r="I283" s="19" t="str">
        <f>VLOOKUP(G283,'STORE LOOKUP'!$C:$G,2,0)</f>
        <v>QLD NW / NT</v>
      </c>
      <c r="J283" s="19" t="str">
        <f>VLOOKUP(G283,'STORE LOOKUP'!$C:$G,4,0)</f>
        <v>Anaconda</v>
      </c>
      <c r="K283" s="19" t="str">
        <f>VLOOKUP(G283,'STORE LOOKUP'!$C:$G,5,0)</f>
        <v>Store</v>
      </c>
      <c r="L283" s="17" t="str">
        <f>VLOOKUP(C283,'FIN CAL LOOKUP'!A:J,7,1)</f>
        <v>DEC, FY25</v>
      </c>
      <c r="M283" s="17" t="str">
        <f>VLOOKUP(C283,'FIN CAL LOOKUP'!A:J,10,1)</f>
        <v>Q2, FY25</v>
      </c>
    </row>
    <row r="284" spans="1:13" x14ac:dyDescent="0.25">
      <c r="A284" t="s">
        <v>561</v>
      </c>
      <c r="B284" s="1">
        <v>45648.59652777778</v>
      </c>
      <c r="C284" s="1">
        <v>45648.572916666664</v>
      </c>
      <c r="D284" t="s">
        <v>155</v>
      </c>
      <c r="E284" t="s">
        <v>10</v>
      </c>
      <c r="F284" t="s">
        <v>11</v>
      </c>
      <c r="G284" t="s">
        <v>156</v>
      </c>
      <c r="H284" t="s">
        <v>56</v>
      </c>
      <c r="I284" s="19" t="str">
        <f>VLOOKUP(G284,'STORE LOOKUP'!$C:$G,2,0)</f>
        <v>VIC East</v>
      </c>
      <c r="J284" s="19" t="str">
        <f>VLOOKUP(G284,'STORE LOOKUP'!$C:$G,4,0)</f>
        <v>Spotlight AU</v>
      </c>
      <c r="K284" s="19" t="str">
        <f>VLOOKUP(G284,'STORE LOOKUP'!$C:$G,5,0)</f>
        <v>Store</v>
      </c>
      <c r="L284" s="17" t="str">
        <f>VLOOKUP(C284,'FIN CAL LOOKUP'!A:J,7,1)</f>
        <v>DEC, FY25</v>
      </c>
      <c r="M284" s="17" t="str">
        <f>VLOOKUP(C284,'FIN CAL LOOKUP'!A:J,10,1)</f>
        <v>Q2, FY25</v>
      </c>
    </row>
    <row r="285" spans="1:13" x14ac:dyDescent="0.25">
      <c r="A285" t="s">
        <v>562</v>
      </c>
      <c r="B285" s="1">
        <v>45648.847916666666</v>
      </c>
      <c r="C285" s="1">
        <v>45646.701388888891</v>
      </c>
      <c r="D285" t="s">
        <v>563</v>
      </c>
      <c r="E285" t="s">
        <v>10</v>
      </c>
      <c r="F285" t="s">
        <v>11</v>
      </c>
      <c r="G285" t="s">
        <v>564</v>
      </c>
      <c r="H285" t="s">
        <v>44</v>
      </c>
      <c r="I285" s="19" t="str">
        <f>VLOOKUP(G285,'STORE LOOKUP'!$C:$G,2,0)</f>
        <v>WA</v>
      </c>
      <c r="J285" s="19" t="str">
        <f>VLOOKUP(G285,'STORE LOOKUP'!$C:$G,4,0)</f>
        <v>Spotlight AU</v>
      </c>
      <c r="K285" s="19" t="str">
        <f>VLOOKUP(G285,'STORE LOOKUP'!$C:$G,5,0)</f>
        <v>Store</v>
      </c>
      <c r="L285" s="17" t="str">
        <f>VLOOKUP(C285,'FIN CAL LOOKUP'!A:J,7,1)</f>
        <v>DEC, FY25</v>
      </c>
      <c r="M285" s="17" t="str">
        <f>VLOOKUP(C285,'FIN CAL LOOKUP'!A:J,10,1)</f>
        <v>Q2, FY25</v>
      </c>
    </row>
    <row r="286" spans="1:13" x14ac:dyDescent="0.25">
      <c r="A286" t="s">
        <v>565</v>
      </c>
      <c r="B286" s="1">
        <v>45649.623611111114</v>
      </c>
      <c r="C286" s="1">
        <v>45649.602083333331</v>
      </c>
      <c r="D286" t="s">
        <v>566</v>
      </c>
      <c r="E286" t="s">
        <v>10</v>
      </c>
      <c r="F286" t="s">
        <v>11</v>
      </c>
      <c r="G286" t="s">
        <v>567</v>
      </c>
      <c r="H286" t="s">
        <v>56</v>
      </c>
      <c r="I286" s="19" t="str">
        <f>VLOOKUP(G286,'STORE LOOKUP'!$C:$G,2,0)</f>
        <v>VIC West</v>
      </c>
      <c r="J286" s="19" t="str">
        <f>VLOOKUP(G286,'STORE LOOKUP'!$C:$G,4,0)</f>
        <v>Spotlight AU</v>
      </c>
      <c r="K286" s="19" t="str">
        <f>VLOOKUP(G286,'STORE LOOKUP'!$C:$G,5,0)</f>
        <v>Store</v>
      </c>
      <c r="L286" s="17" t="str">
        <f>VLOOKUP(C286,'FIN CAL LOOKUP'!A:J,7,1)</f>
        <v>DEC, FY25</v>
      </c>
      <c r="M286" s="17" t="str">
        <f>VLOOKUP(C286,'FIN CAL LOOKUP'!A:J,10,1)</f>
        <v>Q2, FY25</v>
      </c>
    </row>
    <row r="287" spans="1:13" x14ac:dyDescent="0.25">
      <c r="A287" t="s">
        <v>568</v>
      </c>
      <c r="B287" s="1">
        <v>45649.739583333336</v>
      </c>
      <c r="C287" s="1">
        <v>45627.597222222219</v>
      </c>
      <c r="D287" t="s">
        <v>569</v>
      </c>
      <c r="E287" t="s">
        <v>10</v>
      </c>
      <c r="F287" t="s">
        <v>11</v>
      </c>
      <c r="G287" t="s">
        <v>570</v>
      </c>
      <c r="H287" t="s">
        <v>150</v>
      </c>
      <c r="I287" s="19" t="str">
        <f>VLOOKUP(G287,'STORE LOOKUP'!$C:$G,2,0)</f>
        <v>SPG Development</v>
      </c>
      <c r="J287" s="19" t="str">
        <f>VLOOKUP(G287,'STORE LOOKUP'!$C:$G,4,0)</f>
        <v>Spotlight Group Holdings</v>
      </c>
      <c r="K287" s="19" t="str">
        <f>VLOOKUP(G287,'STORE LOOKUP'!$C:$G,5,0)</f>
        <v>SG</v>
      </c>
      <c r="L287" s="17" t="str">
        <f>VLOOKUP(C287,'FIN CAL LOOKUP'!A:J,7,1)</f>
        <v>NOV, FY25</v>
      </c>
      <c r="M287" s="17" t="str">
        <f>VLOOKUP(C287,'FIN CAL LOOKUP'!A:J,10,1)</f>
        <v>Q2, FY25</v>
      </c>
    </row>
    <row r="288" spans="1:13" x14ac:dyDescent="0.25">
      <c r="A288" t="s">
        <v>571</v>
      </c>
      <c r="B288" s="1">
        <v>45650.691666666666</v>
      </c>
      <c r="C288" s="1">
        <v>45635.583333333336</v>
      </c>
      <c r="D288" t="s">
        <v>569</v>
      </c>
      <c r="E288" t="s">
        <v>10</v>
      </c>
      <c r="F288" t="s">
        <v>11</v>
      </c>
      <c r="G288" t="s">
        <v>149</v>
      </c>
      <c r="H288" t="s">
        <v>150</v>
      </c>
      <c r="I288" s="19" t="str">
        <f>VLOOKUP(G288,'STORE LOOKUP'!$C:$G,2,0)</f>
        <v>SPG Development</v>
      </c>
      <c r="J288" s="19" t="str">
        <f>VLOOKUP(G288,'STORE LOOKUP'!$C:$G,4,0)</f>
        <v>Spotlight Group Holdings</v>
      </c>
      <c r="K288" s="19" t="str">
        <f>VLOOKUP(G288,'STORE LOOKUP'!$C:$G,5,0)</f>
        <v>SG</v>
      </c>
      <c r="L288" s="17" t="str">
        <f>VLOOKUP(C288,'FIN CAL LOOKUP'!A:J,7,1)</f>
        <v>DEC, FY25</v>
      </c>
      <c r="M288" s="17" t="str">
        <f>VLOOKUP(C288,'FIN CAL LOOKUP'!A:J,10,1)</f>
        <v>Q2, FY25</v>
      </c>
    </row>
    <row r="289" spans="1:13" x14ac:dyDescent="0.25">
      <c r="A289" t="s">
        <v>572</v>
      </c>
      <c r="B289" s="1">
        <v>45650.694444444445</v>
      </c>
      <c r="C289" s="1">
        <v>45636.576388888891</v>
      </c>
      <c r="D289" t="s">
        <v>569</v>
      </c>
      <c r="E289" t="s">
        <v>10</v>
      </c>
      <c r="F289" t="s">
        <v>11</v>
      </c>
      <c r="G289" t="s">
        <v>570</v>
      </c>
      <c r="H289" t="s">
        <v>150</v>
      </c>
      <c r="I289" s="19" t="str">
        <f>VLOOKUP(G289,'STORE LOOKUP'!$C:$G,2,0)</f>
        <v>SPG Development</v>
      </c>
      <c r="J289" s="19" t="str">
        <f>VLOOKUP(G289,'STORE LOOKUP'!$C:$G,4,0)</f>
        <v>Spotlight Group Holdings</v>
      </c>
      <c r="K289" s="19" t="str">
        <f>VLOOKUP(G289,'STORE LOOKUP'!$C:$G,5,0)</f>
        <v>SG</v>
      </c>
      <c r="L289" s="17" t="str">
        <f>VLOOKUP(C289,'FIN CAL LOOKUP'!A:J,7,1)</f>
        <v>DEC, FY25</v>
      </c>
      <c r="M289" s="17" t="str">
        <f>VLOOKUP(C289,'FIN CAL LOOKUP'!A:J,10,1)</f>
        <v>Q2, FY25</v>
      </c>
    </row>
    <row r="290" spans="1:13" x14ac:dyDescent="0.25">
      <c r="A290" t="s">
        <v>573</v>
      </c>
      <c r="B290" s="1">
        <v>45650.696527777778</v>
      </c>
      <c r="C290" s="1">
        <v>45636.4375</v>
      </c>
      <c r="D290" t="s">
        <v>569</v>
      </c>
      <c r="E290" t="s">
        <v>10</v>
      </c>
      <c r="F290" t="s">
        <v>11</v>
      </c>
      <c r="G290" t="s">
        <v>574</v>
      </c>
      <c r="H290" t="s">
        <v>150</v>
      </c>
      <c r="I290" s="19" t="str">
        <f>VLOOKUP(G290,'STORE LOOKUP'!$C:$G,2,0)</f>
        <v>QLD Central</v>
      </c>
      <c r="J290" s="19" t="str">
        <f>VLOOKUP(G290,'STORE LOOKUP'!$C:$G,4,0)</f>
        <v>Anaconda</v>
      </c>
      <c r="K290" s="19" t="str">
        <f>VLOOKUP(G290,'STORE LOOKUP'!$C:$G,5,0)</f>
        <v>Store</v>
      </c>
      <c r="L290" s="17" t="str">
        <f>VLOOKUP(C290,'FIN CAL LOOKUP'!A:J,7,1)</f>
        <v>DEC, FY25</v>
      </c>
      <c r="M290" s="17" t="str">
        <f>VLOOKUP(C290,'FIN CAL LOOKUP'!A:J,10,1)</f>
        <v>Q2, FY25</v>
      </c>
    </row>
    <row r="291" spans="1:13" x14ac:dyDescent="0.25">
      <c r="A291" t="s">
        <v>575</v>
      </c>
      <c r="B291" s="1">
        <v>45657.475694444445</v>
      </c>
      <c r="C291" s="1">
        <v>45657.326388888891</v>
      </c>
      <c r="D291" t="s">
        <v>576</v>
      </c>
      <c r="E291" t="s">
        <v>10</v>
      </c>
      <c r="F291" t="s">
        <v>11</v>
      </c>
      <c r="G291" t="s">
        <v>577</v>
      </c>
      <c r="H291" t="s">
        <v>52</v>
      </c>
      <c r="I291" s="19" t="str">
        <f>VLOOKUP(G291,'STORE LOOKUP'!$C:$G,2,0)</f>
        <v>QLD North</v>
      </c>
      <c r="J291" s="19" t="str">
        <f>VLOOKUP(G291,'STORE LOOKUP'!$C:$G,4,0)</f>
        <v>Spotlight AU</v>
      </c>
      <c r="K291" s="19" t="str">
        <f>VLOOKUP(G291,'STORE LOOKUP'!$C:$G,5,0)</f>
        <v>Store</v>
      </c>
      <c r="L291" s="17" t="str">
        <f>VLOOKUP(C291,'FIN CAL LOOKUP'!A:J,7,1)</f>
        <v>JAN, FY25</v>
      </c>
      <c r="M291" s="17" t="str">
        <f>VLOOKUP(C291,'FIN CAL LOOKUP'!A:J,10,1)</f>
        <v>Q3, FY25</v>
      </c>
    </row>
    <row r="292" spans="1:13" x14ac:dyDescent="0.25">
      <c r="A292" t="s">
        <v>578</v>
      </c>
      <c r="B292" s="1">
        <v>45657.561111111114</v>
      </c>
      <c r="C292" s="1">
        <v>45657.519444444442</v>
      </c>
      <c r="D292" t="s">
        <v>19</v>
      </c>
      <c r="E292" t="s">
        <v>10</v>
      </c>
      <c r="F292" t="s">
        <v>11</v>
      </c>
      <c r="G292" t="s">
        <v>175</v>
      </c>
      <c r="H292" t="s">
        <v>21</v>
      </c>
      <c r="I292" s="19" t="str">
        <f>VLOOKUP(G292,'STORE LOOKUP'!$C:$G,2,0)</f>
        <v>SA/NT</v>
      </c>
      <c r="J292" s="19" t="str">
        <f>VLOOKUP(G292,'STORE LOOKUP'!$C:$G,4,0)</f>
        <v>Spotlight AU</v>
      </c>
      <c r="K292" s="19" t="str">
        <f>VLOOKUP(G292,'STORE LOOKUP'!$C:$G,5,0)</f>
        <v>Store</v>
      </c>
      <c r="L292" s="17" t="str">
        <f>VLOOKUP(C292,'FIN CAL LOOKUP'!A:J,7,1)</f>
        <v>JAN, FY25</v>
      </c>
      <c r="M292" s="17" t="str">
        <f>VLOOKUP(C292,'FIN CAL LOOKUP'!A:J,10,1)</f>
        <v>Q3, FY25</v>
      </c>
    </row>
    <row r="293" spans="1:13" x14ac:dyDescent="0.25">
      <c r="A293" t="s">
        <v>579</v>
      </c>
      <c r="B293" s="1">
        <v>45659.804166666669</v>
      </c>
      <c r="C293" s="1">
        <v>45659.65</v>
      </c>
      <c r="D293" t="s">
        <v>276</v>
      </c>
      <c r="E293" t="s">
        <v>10</v>
      </c>
      <c r="F293" t="s">
        <v>11</v>
      </c>
      <c r="G293" t="s">
        <v>345</v>
      </c>
      <c r="H293" t="s">
        <v>44</v>
      </c>
      <c r="I293" s="19" t="str">
        <f>VLOOKUP(G293,'STORE LOOKUP'!$C:$G,2,0)</f>
        <v>WA</v>
      </c>
      <c r="J293" s="19" t="str">
        <f>VLOOKUP(G293,'STORE LOOKUP'!$C:$G,4,0)</f>
        <v>Spotlight AU</v>
      </c>
      <c r="K293" s="19" t="str">
        <f>VLOOKUP(G293,'STORE LOOKUP'!$C:$G,5,0)</f>
        <v>Store</v>
      </c>
      <c r="L293" s="17" t="str">
        <f>VLOOKUP(C293,'FIN CAL LOOKUP'!A:J,7,1)</f>
        <v>JAN, FY25</v>
      </c>
      <c r="M293" s="17" t="str">
        <f>VLOOKUP(C293,'FIN CAL LOOKUP'!A:J,10,1)</f>
        <v>Q3, FY25</v>
      </c>
    </row>
    <row r="294" spans="1:13" x14ac:dyDescent="0.25">
      <c r="A294" t="s">
        <v>580</v>
      </c>
      <c r="B294" s="1">
        <v>45662.529861111114</v>
      </c>
      <c r="C294" s="1">
        <v>45662.461111111108</v>
      </c>
      <c r="D294" t="s">
        <v>581</v>
      </c>
      <c r="E294" t="s">
        <v>10</v>
      </c>
      <c r="F294" t="s">
        <v>11</v>
      </c>
      <c r="G294" t="s">
        <v>582</v>
      </c>
      <c r="H294" t="s">
        <v>48</v>
      </c>
      <c r="I294" s="19" t="str">
        <f>VLOOKUP(G294,'STORE LOOKUP'!$C:$G,2,0)</f>
        <v>QLD</v>
      </c>
      <c r="J294" s="19" t="str">
        <f>VLOOKUP(G294,'STORE LOOKUP'!$C:$G,4,0)</f>
        <v>Harris Scarfe</v>
      </c>
      <c r="K294" s="19" t="str">
        <f>VLOOKUP(G294,'STORE LOOKUP'!$C:$G,5,0)</f>
        <v>Store</v>
      </c>
      <c r="L294" s="17" t="str">
        <f>VLOOKUP(C294,'FIN CAL LOOKUP'!A:J,7,1)</f>
        <v>JAN, FY25</v>
      </c>
      <c r="M294" s="17" t="str">
        <f>VLOOKUP(C294,'FIN CAL LOOKUP'!A:J,10,1)</f>
        <v>Q3, FY25</v>
      </c>
    </row>
    <row r="295" spans="1:13" x14ac:dyDescent="0.25">
      <c r="A295" t="s">
        <v>583</v>
      </c>
      <c r="B295" s="1">
        <v>45663.588194444441</v>
      </c>
      <c r="C295" s="1">
        <v>45663.555555555555</v>
      </c>
      <c r="D295" t="s">
        <v>584</v>
      </c>
      <c r="E295" t="s">
        <v>10</v>
      </c>
      <c r="F295" t="s">
        <v>11</v>
      </c>
      <c r="G295" t="s">
        <v>585</v>
      </c>
      <c r="H295" t="s">
        <v>99</v>
      </c>
      <c r="I295" s="19" t="str">
        <f>VLOOKUP(G295,'STORE LOOKUP'!$C:$G,2,0)</f>
        <v>SA/TAS</v>
      </c>
      <c r="J295" s="19" t="str">
        <f>VLOOKUP(G295,'STORE LOOKUP'!$C:$G,4,0)</f>
        <v>Harris Scarfe</v>
      </c>
      <c r="K295" s="19" t="str">
        <f>VLOOKUP(G295,'STORE LOOKUP'!$C:$G,5,0)</f>
        <v>Store</v>
      </c>
      <c r="L295" s="17" t="str">
        <f>VLOOKUP(C295,'FIN CAL LOOKUP'!A:J,7,1)</f>
        <v>JAN, FY25</v>
      </c>
      <c r="M295" s="17" t="str">
        <f>VLOOKUP(C295,'FIN CAL LOOKUP'!A:J,10,1)</f>
        <v>Q3, FY25</v>
      </c>
    </row>
    <row r="296" spans="1:13" x14ac:dyDescent="0.25">
      <c r="A296" t="s">
        <v>586</v>
      </c>
      <c r="B296" s="1">
        <v>45663.662499999999</v>
      </c>
      <c r="C296" s="1">
        <v>45658.449305555558</v>
      </c>
      <c r="D296" t="s">
        <v>9</v>
      </c>
      <c r="E296" t="s">
        <v>10</v>
      </c>
      <c r="F296" t="s">
        <v>11</v>
      </c>
      <c r="G296" t="s">
        <v>12</v>
      </c>
      <c r="H296" t="s">
        <v>13</v>
      </c>
      <c r="I296" s="19" t="str">
        <f>VLOOKUP(G296,'STORE LOOKUP'!$C:$G,2,0)</f>
        <v>QLD Central</v>
      </c>
      <c r="J296" s="19" t="str">
        <f>VLOOKUP(G296,'STORE LOOKUP'!$C:$G,4,0)</f>
        <v>Anaconda</v>
      </c>
      <c r="K296" s="19" t="str">
        <f>VLOOKUP(G296,'STORE LOOKUP'!$C:$G,5,0)</f>
        <v>Store</v>
      </c>
      <c r="L296" s="17" t="str">
        <f>VLOOKUP(C296,'FIN CAL LOOKUP'!A:J,7,1)</f>
        <v>JAN, FY25</v>
      </c>
      <c r="M296" s="17" t="str">
        <f>VLOOKUP(C296,'FIN CAL LOOKUP'!A:J,10,1)</f>
        <v>Q3, FY25</v>
      </c>
    </row>
    <row r="297" spans="1:13" x14ac:dyDescent="0.25">
      <c r="A297" t="s">
        <v>587</v>
      </c>
      <c r="B297" s="1">
        <v>45670.443749999999</v>
      </c>
      <c r="C297" s="1">
        <v>45667.638888888891</v>
      </c>
      <c r="D297" t="s">
        <v>569</v>
      </c>
      <c r="E297" t="s">
        <v>10</v>
      </c>
      <c r="F297" t="s">
        <v>11</v>
      </c>
      <c r="G297" t="s">
        <v>570</v>
      </c>
      <c r="H297" t="s">
        <v>150</v>
      </c>
      <c r="I297" s="19" t="str">
        <f>VLOOKUP(G297,'STORE LOOKUP'!$C:$G,2,0)</f>
        <v>SPG Development</v>
      </c>
      <c r="J297" s="19" t="str">
        <f>VLOOKUP(G297,'STORE LOOKUP'!$C:$G,4,0)</f>
        <v>Spotlight Group Holdings</v>
      </c>
      <c r="K297" s="19" t="str">
        <f>VLOOKUP(G297,'STORE LOOKUP'!$C:$G,5,0)</f>
        <v>SG</v>
      </c>
      <c r="L297" s="17" t="str">
        <f>VLOOKUP(C297,'FIN CAL LOOKUP'!A:J,7,1)</f>
        <v>JAN, FY25</v>
      </c>
      <c r="M297" s="17" t="str">
        <f>VLOOKUP(C297,'FIN CAL LOOKUP'!A:J,10,1)</f>
        <v>Q3, FY25</v>
      </c>
    </row>
    <row r="298" spans="1:13" x14ac:dyDescent="0.25">
      <c r="A298" t="s">
        <v>588</v>
      </c>
      <c r="B298" s="1">
        <v>45672.567361111112</v>
      </c>
      <c r="C298" s="1">
        <v>45672.479166666664</v>
      </c>
      <c r="D298" t="s">
        <v>589</v>
      </c>
      <c r="E298" t="s">
        <v>10</v>
      </c>
      <c r="F298" t="s">
        <v>11</v>
      </c>
      <c r="G298" t="s">
        <v>590</v>
      </c>
      <c r="H298" t="s">
        <v>56</v>
      </c>
      <c r="I298" s="19" t="str">
        <f>VLOOKUP(G298,'STORE LOOKUP'!$C:$G,2,0)</f>
        <v>Spot SG</v>
      </c>
      <c r="J298" s="19" t="str">
        <f>VLOOKUP(G298,'STORE LOOKUP'!$C:$G,4,0)</f>
        <v>Spotlight SG</v>
      </c>
      <c r="K298" s="19" t="str">
        <f>VLOOKUP(G298,'STORE LOOKUP'!$C:$G,5,0)</f>
        <v>SG</v>
      </c>
      <c r="L298" s="17" t="str">
        <f>VLOOKUP(C298,'FIN CAL LOOKUP'!A:J,7,1)</f>
        <v>JAN, FY25</v>
      </c>
      <c r="M298" s="17" t="str">
        <f>VLOOKUP(C298,'FIN CAL LOOKUP'!A:J,10,1)</f>
        <v>Q3, FY25</v>
      </c>
    </row>
    <row r="299" spans="1:13" x14ac:dyDescent="0.25">
      <c r="A299" t="s">
        <v>591</v>
      </c>
      <c r="B299" s="1">
        <v>45672.694444444445</v>
      </c>
      <c r="C299" s="1">
        <v>45672.546527777777</v>
      </c>
      <c r="D299" t="s">
        <v>592</v>
      </c>
      <c r="E299" t="s">
        <v>10</v>
      </c>
      <c r="F299" t="s">
        <v>11</v>
      </c>
      <c r="G299" t="s">
        <v>593</v>
      </c>
      <c r="H299" t="s">
        <v>52</v>
      </c>
      <c r="I299" s="19" t="str">
        <f>VLOOKUP(G299,'STORE LOOKUP'!$C:$G,2,0)</f>
        <v>QLD Central / TAS</v>
      </c>
      <c r="J299" s="19" t="str">
        <f>VLOOKUP(G299,'STORE LOOKUP'!$C:$G,4,0)</f>
        <v>Spotlight AU</v>
      </c>
      <c r="K299" s="19" t="str">
        <f>VLOOKUP(G299,'STORE LOOKUP'!$C:$G,5,0)</f>
        <v>Store</v>
      </c>
      <c r="L299" s="17" t="str">
        <f>VLOOKUP(C299,'FIN CAL LOOKUP'!A:J,7,1)</f>
        <v>JAN, FY25</v>
      </c>
      <c r="M299" s="17" t="str">
        <f>VLOOKUP(C299,'FIN CAL LOOKUP'!A:J,10,1)</f>
        <v>Q3, FY25</v>
      </c>
    </row>
    <row r="300" spans="1:13" x14ac:dyDescent="0.25">
      <c r="A300" t="s">
        <v>594</v>
      </c>
      <c r="B300" s="1">
        <v>45688.62222222222</v>
      </c>
      <c r="C300" s="1">
        <v>45688.518750000003</v>
      </c>
      <c r="D300" t="s">
        <v>595</v>
      </c>
      <c r="E300" t="s">
        <v>10</v>
      </c>
      <c r="F300" t="s">
        <v>11</v>
      </c>
      <c r="G300" t="s">
        <v>596</v>
      </c>
      <c r="H300" t="s">
        <v>52</v>
      </c>
      <c r="I300" s="19" t="str">
        <f>VLOOKUP(G300,'STORE LOOKUP'!$C:$G,2,0)</f>
        <v>NSW North / QLD South</v>
      </c>
      <c r="J300" s="19" t="str">
        <f>VLOOKUP(G300,'STORE LOOKUP'!$C:$G,4,0)</f>
        <v>Spotlight AU</v>
      </c>
      <c r="K300" s="19" t="str">
        <f>VLOOKUP(G300,'STORE LOOKUP'!$C:$G,5,0)</f>
        <v>Store</v>
      </c>
      <c r="L300" s="17" t="str">
        <f>VLOOKUP(C300,'FIN CAL LOOKUP'!A:J,7,1)</f>
        <v>FEB, FY25</v>
      </c>
      <c r="M300" s="17" t="str">
        <f>VLOOKUP(C300,'FIN CAL LOOKUP'!A:J,10,1)</f>
        <v>Q3, FY25</v>
      </c>
    </row>
    <row r="301" spans="1:13" x14ac:dyDescent="0.25">
      <c r="A301" t="s">
        <v>597</v>
      </c>
      <c r="B301" s="1">
        <v>45688.711111111108</v>
      </c>
      <c r="C301" s="1">
        <v>45688.697916666664</v>
      </c>
      <c r="D301" t="s">
        <v>274</v>
      </c>
      <c r="E301" t="s">
        <v>10</v>
      </c>
      <c r="F301" t="s">
        <v>11</v>
      </c>
      <c r="G301" t="s">
        <v>95</v>
      </c>
      <c r="H301" t="s">
        <v>88</v>
      </c>
      <c r="I301" s="19" t="str">
        <f>VLOOKUP(G301,'STORE LOOKUP'!$C:$G,2,0)</f>
        <v>NSW North</v>
      </c>
      <c r="J301" s="19" t="str">
        <f>VLOOKUP(G301,'STORE LOOKUP'!$C:$G,4,0)</f>
        <v>Anaconda</v>
      </c>
      <c r="K301" s="19" t="str">
        <f>VLOOKUP(G301,'STORE LOOKUP'!$C:$G,5,0)</f>
        <v>Store</v>
      </c>
      <c r="L301" s="17" t="str">
        <f>VLOOKUP(C301,'FIN CAL LOOKUP'!A:J,7,1)</f>
        <v>FEB, FY25</v>
      </c>
      <c r="M301" s="17" t="str">
        <f>VLOOKUP(C301,'FIN CAL LOOKUP'!A:J,10,1)</f>
        <v>Q3, FY25</v>
      </c>
    </row>
    <row r="302" spans="1:13" x14ac:dyDescent="0.25">
      <c r="A302" t="s">
        <v>598</v>
      </c>
      <c r="B302" s="1">
        <v>45694.709722222222</v>
      </c>
      <c r="C302" s="1">
        <v>45693.739583333336</v>
      </c>
      <c r="D302" t="s">
        <v>19</v>
      </c>
      <c r="E302" t="s">
        <v>10</v>
      </c>
      <c r="F302" t="s">
        <v>11</v>
      </c>
      <c r="G302" t="s">
        <v>175</v>
      </c>
      <c r="H302" t="s">
        <v>21</v>
      </c>
      <c r="I302" s="19" t="str">
        <f>VLOOKUP(G302,'STORE LOOKUP'!$C:$G,2,0)</f>
        <v>SA/NT</v>
      </c>
      <c r="J302" s="19" t="str">
        <f>VLOOKUP(G302,'STORE LOOKUP'!$C:$G,4,0)</f>
        <v>Spotlight AU</v>
      </c>
      <c r="K302" s="19" t="str">
        <f>VLOOKUP(G302,'STORE LOOKUP'!$C:$G,5,0)</f>
        <v>Store</v>
      </c>
      <c r="L302" s="17" t="str">
        <f>VLOOKUP(C302,'FIN CAL LOOKUP'!A:J,7,1)</f>
        <v>FEB, FY25</v>
      </c>
      <c r="M302" s="17" t="str">
        <f>VLOOKUP(C302,'FIN CAL LOOKUP'!A:J,10,1)</f>
        <v>Q3, FY25</v>
      </c>
    </row>
    <row r="303" spans="1:13" x14ac:dyDescent="0.25">
      <c r="A303" t="s">
        <v>599</v>
      </c>
      <c r="B303" s="1">
        <v>45694.736111111109</v>
      </c>
      <c r="C303" s="1">
        <v>45693.736111111109</v>
      </c>
      <c r="D303" t="s">
        <v>19</v>
      </c>
      <c r="E303" t="s">
        <v>10</v>
      </c>
      <c r="F303" t="s">
        <v>11</v>
      </c>
      <c r="G303" t="s">
        <v>175</v>
      </c>
      <c r="H303" t="s">
        <v>21</v>
      </c>
      <c r="I303" s="19" t="str">
        <f>VLOOKUP(G303,'STORE LOOKUP'!$C:$G,2,0)</f>
        <v>SA/NT</v>
      </c>
      <c r="J303" s="19" t="str">
        <f>VLOOKUP(G303,'STORE LOOKUP'!$C:$G,4,0)</f>
        <v>Spotlight AU</v>
      </c>
      <c r="K303" s="19" t="str">
        <f>VLOOKUP(G303,'STORE LOOKUP'!$C:$G,5,0)</f>
        <v>Store</v>
      </c>
      <c r="L303" s="17" t="str">
        <f>VLOOKUP(C303,'FIN CAL LOOKUP'!A:J,7,1)</f>
        <v>FEB, FY25</v>
      </c>
      <c r="M303" s="17" t="str">
        <f>VLOOKUP(C303,'FIN CAL LOOKUP'!A:J,10,1)</f>
        <v>Q3, FY25</v>
      </c>
    </row>
    <row r="304" spans="1:13" x14ac:dyDescent="0.25">
      <c r="A304" t="s">
        <v>600</v>
      </c>
      <c r="B304" s="1">
        <v>45695.751388888886</v>
      </c>
      <c r="C304" s="1">
        <v>45693.636805555558</v>
      </c>
      <c r="D304" t="s">
        <v>601</v>
      </c>
      <c r="E304" t="s">
        <v>10</v>
      </c>
      <c r="F304" t="s">
        <v>11</v>
      </c>
      <c r="G304" t="s">
        <v>198</v>
      </c>
      <c r="H304" t="s">
        <v>106</v>
      </c>
      <c r="I304" s="19" t="str">
        <f>VLOOKUP(G304,'STORE LOOKUP'!$C:$G,2,0)</f>
        <v>WA</v>
      </c>
      <c r="J304" s="19" t="str">
        <f>VLOOKUP(G304,'STORE LOOKUP'!$C:$G,4,0)</f>
        <v>Anaconda</v>
      </c>
      <c r="K304" s="19" t="str">
        <f>VLOOKUP(G304,'STORE LOOKUP'!$C:$G,5,0)</f>
        <v>Store</v>
      </c>
      <c r="L304" s="17" t="str">
        <f>VLOOKUP(C304,'FIN CAL LOOKUP'!A:J,7,1)</f>
        <v>FEB, FY25</v>
      </c>
      <c r="M304" s="17" t="str">
        <f>VLOOKUP(C304,'FIN CAL LOOKUP'!A:J,10,1)</f>
        <v>Q3, FY25</v>
      </c>
    </row>
    <row r="305" spans="1:13" x14ac:dyDescent="0.25">
      <c r="A305" t="s">
        <v>602</v>
      </c>
      <c r="B305" s="1">
        <v>45696.723611111112</v>
      </c>
      <c r="C305" s="1">
        <v>45696.500694444447</v>
      </c>
      <c r="D305" t="s">
        <v>603</v>
      </c>
      <c r="E305" t="s">
        <v>10</v>
      </c>
      <c r="F305" t="s">
        <v>11</v>
      </c>
      <c r="G305" t="s">
        <v>604</v>
      </c>
      <c r="H305" t="s">
        <v>44</v>
      </c>
      <c r="I305" s="19" t="str">
        <f>VLOOKUP(G305,'STORE LOOKUP'!$C:$G,2,0)</f>
        <v>WA</v>
      </c>
      <c r="J305" s="19" t="str">
        <f>VLOOKUP(G305,'STORE LOOKUP'!$C:$G,4,0)</f>
        <v>Spotlight AU</v>
      </c>
      <c r="K305" s="19" t="str">
        <f>VLOOKUP(G305,'STORE LOOKUP'!$C:$G,5,0)</f>
        <v>Store</v>
      </c>
      <c r="L305" s="17" t="str">
        <f>VLOOKUP(C305,'FIN CAL LOOKUP'!A:J,7,1)</f>
        <v>FEB, FY25</v>
      </c>
      <c r="M305" s="17" t="str">
        <f>VLOOKUP(C305,'FIN CAL LOOKUP'!A:J,10,1)</f>
        <v>Q3, FY25</v>
      </c>
    </row>
    <row r="306" spans="1:13" x14ac:dyDescent="0.25">
      <c r="A306" t="s">
        <v>605</v>
      </c>
      <c r="B306" s="1">
        <v>45696.832638888889</v>
      </c>
      <c r="C306" s="1">
        <v>45696.5</v>
      </c>
      <c r="D306" t="s">
        <v>276</v>
      </c>
      <c r="E306" t="s">
        <v>10</v>
      </c>
      <c r="F306" t="s">
        <v>11</v>
      </c>
      <c r="G306" t="s">
        <v>345</v>
      </c>
      <c r="H306" t="s">
        <v>44</v>
      </c>
      <c r="I306" s="19" t="str">
        <f>VLOOKUP(G306,'STORE LOOKUP'!$C:$G,2,0)</f>
        <v>WA</v>
      </c>
      <c r="J306" s="19" t="str">
        <f>VLOOKUP(G306,'STORE LOOKUP'!$C:$G,4,0)</f>
        <v>Spotlight AU</v>
      </c>
      <c r="K306" s="19" t="str">
        <f>VLOOKUP(G306,'STORE LOOKUP'!$C:$G,5,0)</f>
        <v>Store</v>
      </c>
      <c r="L306" s="17" t="str">
        <f>VLOOKUP(C306,'FIN CAL LOOKUP'!A:J,7,1)</f>
        <v>FEB, FY25</v>
      </c>
      <c r="M306" s="17" t="str">
        <f>VLOOKUP(C306,'FIN CAL LOOKUP'!A:J,10,1)</f>
        <v>Q3, FY25</v>
      </c>
    </row>
    <row r="307" spans="1:13" x14ac:dyDescent="0.25">
      <c r="A307" t="s">
        <v>606</v>
      </c>
      <c r="B307" s="1">
        <v>45697.556944444441</v>
      </c>
      <c r="C307" s="1">
        <v>45697.434027777781</v>
      </c>
      <c r="D307" t="s">
        <v>595</v>
      </c>
      <c r="E307" t="s">
        <v>10</v>
      </c>
      <c r="F307" t="s">
        <v>11</v>
      </c>
      <c r="G307" t="s">
        <v>596</v>
      </c>
      <c r="H307" t="s">
        <v>52</v>
      </c>
      <c r="I307" s="19" t="str">
        <f>VLOOKUP(G307,'STORE LOOKUP'!$C:$G,2,0)</f>
        <v>NSW North / QLD South</v>
      </c>
      <c r="J307" s="19" t="str">
        <f>VLOOKUP(G307,'STORE LOOKUP'!$C:$G,4,0)</f>
        <v>Spotlight AU</v>
      </c>
      <c r="K307" s="19" t="str">
        <f>VLOOKUP(G307,'STORE LOOKUP'!$C:$G,5,0)</f>
        <v>Store</v>
      </c>
      <c r="L307" s="17" t="str">
        <f>VLOOKUP(C307,'FIN CAL LOOKUP'!A:J,7,1)</f>
        <v>FEB, FY25</v>
      </c>
      <c r="M307" s="17" t="str">
        <f>VLOOKUP(C307,'FIN CAL LOOKUP'!A:J,10,1)</f>
        <v>Q3, FY25</v>
      </c>
    </row>
    <row r="308" spans="1:13" x14ac:dyDescent="0.25">
      <c r="A308" t="s">
        <v>607</v>
      </c>
      <c r="B308" s="1">
        <v>45702.554861111108</v>
      </c>
      <c r="C308" s="1">
        <v>45701.729166666664</v>
      </c>
      <c r="D308" t="s">
        <v>608</v>
      </c>
      <c r="E308" t="s">
        <v>10</v>
      </c>
      <c r="F308" t="s">
        <v>11</v>
      </c>
      <c r="G308" t="s">
        <v>609</v>
      </c>
      <c r="H308" t="s">
        <v>210</v>
      </c>
      <c r="I308" s="19" t="str">
        <f>VLOOKUP(G308,'STORE LOOKUP'!$C:$G,2,0)</f>
        <v>VIC West / TAS</v>
      </c>
      <c r="J308" s="19" t="str">
        <f>VLOOKUP(G308,'STORE LOOKUP'!$C:$G,4,0)</f>
        <v>Anaconda</v>
      </c>
      <c r="K308" s="19" t="str">
        <f>VLOOKUP(G308,'STORE LOOKUP'!$C:$G,5,0)</f>
        <v>Store</v>
      </c>
      <c r="L308" s="17" t="str">
        <f>VLOOKUP(C308,'FIN CAL LOOKUP'!A:J,7,1)</f>
        <v>FEB, FY25</v>
      </c>
      <c r="M308" s="17" t="str">
        <f>VLOOKUP(C308,'FIN CAL LOOKUP'!A:J,10,1)</f>
        <v>Q3, FY25</v>
      </c>
    </row>
    <row r="309" spans="1:13" x14ac:dyDescent="0.25">
      <c r="A309" t="s">
        <v>610</v>
      </c>
      <c r="B309" s="1">
        <v>45704.741666666669</v>
      </c>
      <c r="C309" s="1">
        <v>45704.572916666664</v>
      </c>
      <c r="D309" t="s">
        <v>276</v>
      </c>
      <c r="E309" t="s">
        <v>10</v>
      </c>
      <c r="F309" t="s">
        <v>11</v>
      </c>
      <c r="G309" t="s">
        <v>345</v>
      </c>
      <c r="H309" t="s">
        <v>44</v>
      </c>
      <c r="I309" s="19" t="str">
        <f>VLOOKUP(G309,'STORE LOOKUP'!$C:$G,2,0)</f>
        <v>WA</v>
      </c>
      <c r="J309" s="19" t="str">
        <f>VLOOKUP(G309,'STORE LOOKUP'!$C:$G,4,0)</f>
        <v>Spotlight AU</v>
      </c>
      <c r="K309" s="19" t="str">
        <f>VLOOKUP(G309,'STORE LOOKUP'!$C:$G,5,0)</f>
        <v>Store</v>
      </c>
      <c r="L309" s="17" t="str">
        <f>VLOOKUP(C309,'FIN CAL LOOKUP'!A:J,7,1)</f>
        <v>FEB, FY25</v>
      </c>
      <c r="M309" s="17" t="str">
        <f>VLOOKUP(C309,'FIN CAL LOOKUP'!A:J,10,1)</f>
        <v>Q3, FY25</v>
      </c>
    </row>
    <row r="310" spans="1:13" x14ac:dyDescent="0.25">
      <c r="A310" t="s">
        <v>611</v>
      </c>
      <c r="B310" s="1">
        <v>45707.613888888889</v>
      </c>
      <c r="C310" s="1">
        <v>45707.502083333333</v>
      </c>
      <c r="D310" t="s">
        <v>612</v>
      </c>
      <c r="E310" t="s">
        <v>10</v>
      </c>
      <c r="F310" t="s">
        <v>11</v>
      </c>
      <c r="G310" t="s">
        <v>613</v>
      </c>
      <c r="H310" t="s">
        <v>210</v>
      </c>
      <c r="I310" s="19" t="str">
        <f>VLOOKUP(G310,'STORE LOOKUP'!$C:$G,2,0)</f>
        <v>VIC West / TAS</v>
      </c>
      <c r="J310" s="19" t="str">
        <f>VLOOKUP(G310,'STORE LOOKUP'!$C:$G,4,0)</f>
        <v>Anaconda</v>
      </c>
      <c r="K310" s="19" t="str">
        <f>VLOOKUP(G310,'STORE LOOKUP'!$C:$G,5,0)</f>
        <v>Store</v>
      </c>
      <c r="L310" s="17" t="str">
        <f>VLOOKUP(C310,'FIN CAL LOOKUP'!A:J,7,1)</f>
        <v>FEB, FY25</v>
      </c>
      <c r="M310" s="17" t="str">
        <f>VLOOKUP(C310,'FIN CAL LOOKUP'!A:J,10,1)</f>
        <v>Q3, FY25</v>
      </c>
    </row>
    <row r="311" spans="1:13" x14ac:dyDescent="0.25">
      <c r="A311" t="s">
        <v>614</v>
      </c>
      <c r="B311" s="1">
        <v>45708.584722222222</v>
      </c>
      <c r="C311" s="1">
        <v>45708.361111111109</v>
      </c>
      <c r="D311" t="s">
        <v>295</v>
      </c>
      <c r="E311" t="s">
        <v>10</v>
      </c>
      <c r="F311" t="s">
        <v>11</v>
      </c>
      <c r="G311" t="s">
        <v>296</v>
      </c>
      <c r="H311" t="s">
        <v>106</v>
      </c>
      <c r="I311" s="19" t="str">
        <f>VLOOKUP(G311,'STORE LOOKUP'!$C:$G,2,0)</f>
        <v>WA</v>
      </c>
      <c r="J311" s="19" t="str">
        <f>VLOOKUP(G311,'STORE LOOKUP'!$C:$G,4,0)</f>
        <v>Anaconda</v>
      </c>
      <c r="K311" s="19" t="str">
        <f>VLOOKUP(G311,'STORE LOOKUP'!$C:$G,5,0)</f>
        <v>Store</v>
      </c>
      <c r="L311" s="17" t="str">
        <f>VLOOKUP(C311,'FIN CAL LOOKUP'!A:J,7,1)</f>
        <v>FEB, FY25</v>
      </c>
      <c r="M311" s="17" t="str">
        <f>VLOOKUP(C311,'FIN CAL LOOKUP'!A:J,10,1)</f>
        <v>Q3, FY25</v>
      </c>
    </row>
    <row r="312" spans="1:13" x14ac:dyDescent="0.25">
      <c r="A312" t="s">
        <v>615</v>
      </c>
      <c r="B312" s="1">
        <v>45710.643750000003</v>
      </c>
      <c r="C312" s="1">
        <v>45709.790972222225</v>
      </c>
      <c r="D312" t="s">
        <v>616</v>
      </c>
      <c r="E312" t="s">
        <v>10</v>
      </c>
      <c r="F312" t="s">
        <v>11</v>
      </c>
      <c r="G312" t="s">
        <v>617</v>
      </c>
      <c r="H312" t="s">
        <v>56</v>
      </c>
      <c r="I312" s="19" t="str">
        <f>VLOOKUP(G312,'STORE LOOKUP'!$C:$G,2,0)</f>
        <v>VIC East</v>
      </c>
      <c r="J312" s="19" t="str">
        <f>VLOOKUP(G312,'STORE LOOKUP'!$C:$G,4,0)</f>
        <v>Spotlight AU</v>
      </c>
      <c r="K312" s="19" t="str">
        <f>VLOOKUP(G312,'STORE LOOKUP'!$C:$G,5,0)</f>
        <v>Store</v>
      </c>
      <c r="L312" s="17" t="str">
        <f>VLOOKUP(C312,'FIN CAL LOOKUP'!A:J,7,1)</f>
        <v>FEB, FY25</v>
      </c>
      <c r="M312" s="17" t="str">
        <f>VLOOKUP(C312,'FIN CAL LOOKUP'!A:J,10,1)</f>
        <v>Q3, FY25</v>
      </c>
    </row>
    <row r="313" spans="1:13" x14ac:dyDescent="0.25">
      <c r="A313" t="s">
        <v>618</v>
      </c>
      <c r="B313" s="1">
        <v>45713.576388888891</v>
      </c>
      <c r="C313" s="1">
        <v>45713.509722222225</v>
      </c>
      <c r="D313" t="s">
        <v>612</v>
      </c>
      <c r="E313" t="s">
        <v>10</v>
      </c>
      <c r="F313" t="s">
        <v>11</v>
      </c>
      <c r="G313" t="s">
        <v>613</v>
      </c>
      <c r="H313" t="s">
        <v>210</v>
      </c>
      <c r="I313" s="19" t="str">
        <f>VLOOKUP(G313,'STORE LOOKUP'!$C:$G,2,0)</f>
        <v>VIC West / TAS</v>
      </c>
      <c r="J313" s="19" t="str">
        <f>VLOOKUP(G313,'STORE LOOKUP'!$C:$G,4,0)</f>
        <v>Anaconda</v>
      </c>
      <c r="K313" s="19" t="str">
        <f>VLOOKUP(G313,'STORE LOOKUP'!$C:$G,5,0)</f>
        <v>Store</v>
      </c>
      <c r="L313" s="17" t="str">
        <f>VLOOKUP(C313,'FIN CAL LOOKUP'!A:J,7,1)</f>
        <v>FEB, FY25</v>
      </c>
      <c r="M313" s="17" t="str">
        <f>VLOOKUP(C313,'FIN CAL LOOKUP'!A:J,10,1)</f>
        <v>Q3, FY25</v>
      </c>
    </row>
    <row r="314" spans="1:13" x14ac:dyDescent="0.25">
      <c r="A314" t="s">
        <v>619</v>
      </c>
      <c r="B314" s="1">
        <v>45713.640277777777</v>
      </c>
      <c r="C314" s="1">
        <v>45713.592361111114</v>
      </c>
      <c r="D314" t="s">
        <v>385</v>
      </c>
      <c r="E314" t="s">
        <v>10</v>
      </c>
      <c r="F314" t="s">
        <v>11</v>
      </c>
      <c r="G314" t="s">
        <v>620</v>
      </c>
      <c r="H314" t="s">
        <v>29</v>
      </c>
      <c r="I314" s="19" t="str">
        <f>VLOOKUP(G314,'STORE LOOKUP'!$C:$G,2,0)</f>
        <v>VIC North / East</v>
      </c>
      <c r="J314" s="19" t="str">
        <f>VLOOKUP(G314,'STORE LOOKUP'!$C:$G,4,0)</f>
        <v>Anaconda</v>
      </c>
      <c r="K314" s="19" t="str">
        <f>VLOOKUP(G314,'STORE LOOKUP'!$C:$G,5,0)</f>
        <v>Store</v>
      </c>
      <c r="L314" s="17" t="str">
        <f>VLOOKUP(C314,'FIN CAL LOOKUP'!A:J,7,1)</f>
        <v>FEB, FY25</v>
      </c>
      <c r="M314" s="17" t="str">
        <f>VLOOKUP(C314,'FIN CAL LOOKUP'!A:J,10,1)</f>
        <v>Q3, FY25</v>
      </c>
    </row>
    <row r="315" spans="1:13" x14ac:dyDescent="0.25">
      <c r="A315" t="s">
        <v>621</v>
      </c>
      <c r="B315" s="1">
        <v>45715.707638888889</v>
      </c>
      <c r="C315" s="1">
        <v>45715.635416666664</v>
      </c>
      <c r="D315" t="s">
        <v>622</v>
      </c>
      <c r="E315" t="s">
        <v>10</v>
      </c>
      <c r="F315" t="s">
        <v>11</v>
      </c>
      <c r="G315" t="s">
        <v>182</v>
      </c>
      <c r="H315" t="s">
        <v>183</v>
      </c>
      <c r="I315" s="19" t="str">
        <f>VLOOKUP(G315,'STORE LOOKUP'!$C:$G,2,0)</f>
        <v>NSW/ACT</v>
      </c>
      <c r="J315" s="19" t="str">
        <f>VLOOKUP(G315,'STORE LOOKUP'!$C:$G,4,0)</f>
        <v>Harris Scarfe</v>
      </c>
      <c r="K315" s="19" t="str">
        <f>VLOOKUP(G315,'STORE LOOKUP'!$C:$G,5,0)</f>
        <v>Store</v>
      </c>
      <c r="L315" s="17" t="str">
        <f>VLOOKUP(C315,'FIN CAL LOOKUP'!A:J,7,1)</f>
        <v>FEB, FY25</v>
      </c>
      <c r="M315" s="17" t="str">
        <f>VLOOKUP(C315,'FIN CAL LOOKUP'!A:J,10,1)</f>
        <v>Q3, FY25</v>
      </c>
    </row>
    <row r="316" spans="1:13" x14ac:dyDescent="0.25">
      <c r="A316" t="s">
        <v>623</v>
      </c>
      <c r="B316" s="1">
        <v>45716.52847222222</v>
      </c>
      <c r="C316" s="1">
        <v>45716.450694444444</v>
      </c>
      <c r="D316" t="s">
        <v>402</v>
      </c>
      <c r="E316" t="s">
        <v>10</v>
      </c>
      <c r="F316" t="s">
        <v>11</v>
      </c>
      <c r="G316" t="s">
        <v>624</v>
      </c>
      <c r="H316" t="s">
        <v>13</v>
      </c>
      <c r="I316" s="19" t="str">
        <f>VLOOKUP(G316,'STORE LOOKUP'!$C:$G,2,0)</f>
        <v>QLD Central</v>
      </c>
      <c r="J316" s="19" t="str">
        <f>VLOOKUP(G316,'STORE LOOKUP'!$C:$G,4,0)</f>
        <v>Anaconda</v>
      </c>
      <c r="K316" s="19" t="str">
        <f>VLOOKUP(G316,'STORE LOOKUP'!$C:$G,5,0)</f>
        <v>Store</v>
      </c>
      <c r="L316" s="17" t="str">
        <f>VLOOKUP(C316,'FIN CAL LOOKUP'!A:J,7,1)</f>
        <v>FEB, FY25</v>
      </c>
      <c r="M316" s="17" t="str">
        <f>VLOOKUP(C316,'FIN CAL LOOKUP'!A:J,10,1)</f>
        <v>Q3, FY25</v>
      </c>
    </row>
    <row r="317" spans="1:13" x14ac:dyDescent="0.25">
      <c r="A317" t="s">
        <v>625</v>
      </c>
      <c r="B317" s="1">
        <v>45716.57916666667</v>
      </c>
      <c r="C317" s="1">
        <v>45716.479166666664</v>
      </c>
      <c r="D317" t="s">
        <v>333</v>
      </c>
      <c r="E317" t="s">
        <v>10</v>
      </c>
      <c r="F317" t="s">
        <v>11</v>
      </c>
      <c r="G317" t="s">
        <v>334</v>
      </c>
      <c r="H317" t="s">
        <v>56</v>
      </c>
      <c r="I317" s="19" t="str">
        <f>VLOOKUP(G317,'STORE LOOKUP'!$C:$G,2,0)</f>
        <v>VIC West</v>
      </c>
      <c r="J317" s="19" t="str">
        <f>VLOOKUP(G317,'STORE LOOKUP'!$C:$G,4,0)</f>
        <v>Spotlight AU</v>
      </c>
      <c r="K317" s="19" t="str">
        <f>VLOOKUP(G317,'STORE LOOKUP'!$C:$G,5,0)</f>
        <v>Store</v>
      </c>
      <c r="L317" s="17" t="str">
        <f>VLOOKUP(C317,'FIN CAL LOOKUP'!A:J,7,1)</f>
        <v>FEB, FY25</v>
      </c>
      <c r="M317" s="17" t="str">
        <f>VLOOKUP(C317,'FIN CAL LOOKUP'!A:J,10,1)</f>
        <v>Q3, FY25</v>
      </c>
    </row>
    <row r="318" spans="1:13" x14ac:dyDescent="0.25">
      <c r="A318" t="s">
        <v>626</v>
      </c>
      <c r="B318" s="1">
        <v>45717.522916666669</v>
      </c>
      <c r="C318" s="1">
        <v>45712.69027777778</v>
      </c>
      <c r="D318" t="s">
        <v>385</v>
      </c>
      <c r="E318" t="s">
        <v>10</v>
      </c>
      <c r="F318" t="s">
        <v>11</v>
      </c>
      <c r="G318" t="s">
        <v>620</v>
      </c>
      <c r="H318" t="s">
        <v>29</v>
      </c>
      <c r="I318" s="19" t="str">
        <f>VLOOKUP(G318,'STORE LOOKUP'!$C:$G,2,0)</f>
        <v>VIC North / East</v>
      </c>
      <c r="J318" s="19" t="str">
        <f>VLOOKUP(G318,'STORE LOOKUP'!$C:$G,4,0)</f>
        <v>Anaconda</v>
      </c>
      <c r="K318" s="19" t="str">
        <f>VLOOKUP(G318,'STORE LOOKUP'!$C:$G,5,0)</f>
        <v>Store</v>
      </c>
      <c r="L318" s="17" t="str">
        <f>VLOOKUP(C318,'FIN CAL LOOKUP'!A:J,7,1)</f>
        <v>FEB, FY25</v>
      </c>
      <c r="M318" s="17" t="str">
        <f>VLOOKUP(C318,'FIN CAL LOOKUP'!A:J,10,1)</f>
        <v>Q3, FY25</v>
      </c>
    </row>
    <row r="319" spans="1:13" x14ac:dyDescent="0.25">
      <c r="A319" t="s">
        <v>627</v>
      </c>
      <c r="B319" s="1">
        <v>45718.615277777775</v>
      </c>
      <c r="C319" s="1">
        <v>45718.491666666669</v>
      </c>
      <c r="D319" t="s">
        <v>19</v>
      </c>
      <c r="E319" t="s">
        <v>10</v>
      </c>
      <c r="F319" t="s">
        <v>11</v>
      </c>
      <c r="G319" t="s">
        <v>175</v>
      </c>
      <c r="H319" t="s">
        <v>21</v>
      </c>
      <c r="I319" s="19" t="str">
        <f>VLOOKUP(G319,'STORE LOOKUP'!$C:$G,2,0)</f>
        <v>SA/NT</v>
      </c>
      <c r="J319" s="19" t="str">
        <f>VLOOKUP(G319,'STORE LOOKUP'!$C:$G,4,0)</f>
        <v>Spotlight AU</v>
      </c>
      <c r="K319" s="19" t="str">
        <f>VLOOKUP(G319,'STORE LOOKUP'!$C:$G,5,0)</f>
        <v>Store</v>
      </c>
      <c r="L319" s="17" t="str">
        <f>VLOOKUP(C319,'FIN CAL LOOKUP'!A:J,7,1)</f>
        <v>FEB, FY25</v>
      </c>
      <c r="M319" s="17" t="str">
        <f>VLOOKUP(C319,'FIN CAL LOOKUP'!A:J,10,1)</f>
        <v>Q3, FY25</v>
      </c>
    </row>
    <row r="320" spans="1:13" x14ac:dyDescent="0.25">
      <c r="A320" t="s">
        <v>628</v>
      </c>
      <c r="B320" s="1">
        <v>45724.56527777778</v>
      </c>
      <c r="C320" s="1">
        <v>45721.461805555555</v>
      </c>
      <c r="D320" t="s">
        <v>19</v>
      </c>
      <c r="E320" t="s">
        <v>10</v>
      </c>
      <c r="F320" t="s">
        <v>11</v>
      </c>
      <c r="G320" t="s">
        <v>175</v>
      </c>
      <c r="H320" t="s">
        <v>21</v>
      </c>
      <c r="I320" s="19" t="str">
        <f>VLOOKUP(G320,'STORE LOOKUP'!$C:$G,2,0)</f>
        <v>SA/NT</v>
      </c>
      <c r="J320" s="19" t="str">
        <f>VLOOKUP(G320,'STORE LOOKUP'!$C:$G,4,0)</f>
        <v>Spotlight AU</v>
      </c>
      <c r="K320" s="19" t="str">
        <f>VLOOKUP(G320,'STORE LOOKUP'!$C:$G,5,0)</f>
        <v>Store</v>
      </c>
      <c r="L320" s="17" t="str">
        <f>VLOOKUP(C320,'FIN CAL LOOKUP'!A:J,7,1)</f>
        <v>MAR, FY25</v>
      </c>
      <c r="M320" s="17" t="str">
        <f>VLOOKUP(C320,'FIN CAL LOOKUP'!A:J,10,1)</f>
        <v>Q3, FY25</v>
      </c>
    </row>
    <row r="321" spans="1:13" x14ac:dyDescent="0.25">
      <c r="A321" t="s">
        <v>629</v>
      </c>
      <c r="B321" s="1">
        <v>45727.46597222222</v>
      </c>
      <c r="C321" s="1">
        <v>45725.545138888891</v>
      </c>
      <c r="D321" t="s">
        <v>19</v>
      </c>
      <c r="E321" t="s">
        <v>10</v>
      </c>
      <c r="F321" t="s">
        <v>11</v>
      </c>
      <c r="G321" t="s">
        <v>175</v>
      </c>
      <c r="H321" t="s">
        <v>21</v>
      </c>
      <c r="I321" s="19" t="str">
        <f>VLOOKUP(G321,'STORE LOOKUP'!$C:$G,2,0)</f>
        <v>SA/NT</v>
      </c>
      <c r="J321" s="19" t="str">
        <f>VLOOKUP(G321,'STORE LOOKUP'!$C:$G,4,0)</f>
        <v>Spotlight AU</v>
      </c>
      <c r="K321" s="19" t="str">
        <f>VLOOKUP(G321,'STORE LOOKUP'!$C:$G,5,0)</f>
        <v>Store</v>
      </c>
      <c r="L321" s="17" t="str">
        <f>VLOOKUP(C321,'FIN CAL LOOKUP'!A:J,7,1)</f>
        <v>MAR, FY25</v>
      </c>
      <c r="M321" s="17" t="str">
        <f>VLOOKUP(C321,'FIN CAL LOOKUP'!A:J,10,1)</f>
        <v>Q3, FY25</v>
      </c>
    </row>
    <row r="322" spans="1:13" x14ac:dyDescent="0.25">
      <c r="A322" t="s">
        <v>630</v>
      </c>
      <c r="B322" s="1">
        <v>45728.654166666667</v>
      </c>
      <c r="C322" s="1">
        <v>45728.615277777775</v>
      </c>
      <c r="D322" t="s">
        <v>631</v>
      </c>
      <c r="E322" t="s">
        <v>10</v>
      </c>
      <c r="F322" t="s">
        <v>11</v>
      </c>
      <c r="G322" t="s">
        <v>373</v>
      </c>
      <c r="H322" t="s">
        <v>56</v>
      </c>
      <c r="I322" s="19" t="str">
        <f>VLOOKUP(G322,'STORE LOOKUP'!$C:$G,2,0)</f>
        <v>VIC West</v>
      </c>
      <c r="J322" s="19" t="str">
        <f>VLOOKUP(G322,'STORE LOOKUP'!$C:$G,4,0)</f>
        <v>Spotlight AU</v>
      </c>
      <c r="K322" s="19" t="str">
        <f>VLOOKUP(G322,'STORE LOOKUP'!$C:$G,5,0)</f>
        <v>Store</v>
      </c>
      <c r="L322" s="17" t="str">
        <f>VLOOKUP(C322,'FIN CAL LOOKUP'!A:J,7,1)</f>
        <v>MAR, FY25</v>
      </c>
      <c r="M322" s="17" t="str">
        <f>VLOOKUP(C322,'FIN CAL LOOKUP'!A:J,10,1)</f>
        <v>Q3, FY25</v>
      </c>
    </row>
    <row r="323" spans="1:13" x14ac:dyDescent="0.25">
      <c r="A323" t="s">
        <v>632</v>
      </c>
      <c r="B323" s="1">
        <v>45732.381249999999</v>
      </c>
      <c r="C323" s="1">
        <v>45731.711805555555</v>
      </c>
      <c r="D323" t="s">
        <v>633</v>
      </c>
      <c r="E323" t="s">
        <v>10</v>
      </c>
      <c r="F323" t="s">
        <v>11</v>
      </c>
      <c r="G323" t="s">
        <v>634</v>
      </c>
      <c r="H323" t="s">
        <v>13</v>
      </c>
      <c r="I323" s="19" t="str">
        <f>VLOOKUP(G323,'STORE LOOKUP'!$C:$G,2,0)</f>
        <v>QLD NW / NT</v>
      </c>
      <c r="J323" s="19" t="str">
        <f>VLOOKUP(G323,'STORE LOOKUP'!$C:$G,4,0)</f>
        <v>Anaconda</v>
      </c>
      <c r="K323" s="19" t="str">
        <f>VLOOKUP(G323,'STORE LOOKUP'!$C:$G,5,0)</f>
        <v>Store</v>
      </c>
      <c r="L323" s="17" t="str">
        <f>VLOOKUP(C323,'FIN CAL LOOKUP'!A:J,7,1)</f>
        <v>MAR, FY25</v>
      </c>
      <c r="M323" s="17" t="str">
        <f>VLOOKUP(C323,'FIN CAL LOOKUP'!A:J,10,1)</f>
        <v>Q3, FY25</v>
      </c>
    </row>
    <row r="324" spans="1:13" x14ac:dyDescent="0.25">
      <c r="A324" t="s">
        <v>635</v>
      </c>
      <c r="B324" s="1">
        <v>45737.693055555559</v>
      </c>
      <c r="C324" s="1">
        <v>45737.607638888891</v>
      </c>
      <c r="D324" t="s">
        <v>333</v>
      </c>
      <c r="E324" t="s">
        <v>10</v>
      </c>
      <c r="F324" t="s">
        <v>11</v>
      </c>
      <c r="G324" t="s">
        <v>334</v>
      </c>
      <c r="H324" t="s">
        <v>56</v>
      </c>
      <c r="I324" s="19" t="str">
        <f>VLOOKUP(G324,'STORE LOOKUP'!$C:$G,2,0)</f>
        <v>VIC West</v>
      </c>
      <c r="J324" s="19" t="str">
        <f>VLOOKUP(G324,'STORE LOOKUP'!$C:$G,4,0)</f>
        <v>Spotlight AU</v>
      </c>
      <c r="K324" s="19" t="str">
        <f>VLOOKUP(G324,'STORE LOOKUP'!$C:$G,5,0)</f>
        <v>Store</v>
      </c>
      <c r="L324" s="17" t="str">
        <f>VLOOKUP(C324,'FIN CAL LOOKUP'!A:J,7,1)</f>
        <v>MAR, FY25</v>
      </c>
      <c r="M324" s="17" t="str">
        <f>VLOOKUP(C324,'FIN CAL LOOKUP'!A:J,10,1)</f>
        <v>Q3, FY25</v>
      </c>
    </row>
    <row r="325" spans="1:13" x14ac:dyDescent="0.25">
      <c r="A325" t="s">
        <v>636</v>
      </c>
      <c r="B325" s="1">
        <v>45738.415972222225</v>
      </c>
      <c r="C325" s="1">
        <v>45735.520833333336</v>
      </c>
      <c r="D325" t="s">
        <v>133</v>
      </c>
      <c r="E325" t="s">
        <v>10</v>
      </c>
      <c r="F325" t="s">
        <v>11</v>
      </c>
      <c r="G325" t="s">
        <v>134</v>
      </c>
      <c r="H325" t="s">
        <v>135</v>
      </c>
      <c r="I325" s="19" t="str">
        <f>VLOOKUP(G325,'STORE LOOKUP'!$C:$G,2,0)</f>
        <v>NSW South / ACT</v>
      </c>
      <c r="J325" s="19" t="str">
        <f>VLOOKUP(G325,'STORE LOOKUP'!$C:$G,4,0)</f>
        <v>Spotlight AU</v>
      </c>
      <c r="K325" s="19" t="str">
        <f>VLOOKUP(G325,'STORE LOOKUP'!$C:$G,5,0)</f>
        <v>Store</v>
      </c>
      <c r="L325" s="17" t="str">
        <f>VLOOKUP(C325,'FIN CAL LOOKUP'!A:J,7,1)</f>
        <v>MAR, FY25</v>
      </c>
      <c r="M325" s="17" t="str">
        <f>VLOOKUP(C325,'FIN CAL LOOKUP'!A:J,10,1)</f>
        <v>Q3, FY25</v>
      </c>
    </row>
    <row r="326" spans="1:13" x14ac:dyDescent="0.25">
      <c r="A326" t="s">
        <v>637</v>
      </c>
      <c r="B326" s="1">
        <v>45738.730555555558</v>
      </c>
      <c r="C326" s="1">
        <v>45719.635416666664</v>
      </c>
      <c r="D326" t="s">
        <v>333</v>
      </c>
      <c r="E326" t="s">
        <v>10</v>
      </c>
      <c r="F326" t="s">
        <v>11</v>
      </c>
      <c r="G326" t="s">
        <v>334</v>
      </c>
      <c r="H326" t="s">
        <v>56</v>
      </c>
      <c r="I326" s="19" t="str">
        <f>VLOOKUP(G326,'STORE LOOKUP'!$C:$G,2,0)</f>
        <v>VIC West</v>
      </c>
      <c r="J326" s="19" t="str">
        <f>VLOOKUP(G326,'STORE LOOKUP'!$C:$G,4,0)</f>
        <v>Spotlight AU</v>
      </c>
      <c r="K326" s="19" t="str">
        <f>VLOOKUP(G326,'STORE LOOKUP'!$C:$G,5,0)</f>
        <v>Store</v>
      </c>
      <c r="L326" s="17" t="str">
        <f>VLOOKUP(C326,'FIN CAL LOOKUP'!A:J,7,1)</f>
        <v>MAR, FY25</v>
      </c>
      <c r="M326" s="17" t="str">
        <f>VLOOKUP(C326,'FIN CAL LOOKUP'!A:J,10,1)</f>
        <v>Q3, FY25</v>
      </c>
    </row>
    <row r="327" spans="1:13" x14ac:dyDescent="0.25">
      <c r="A327" t="s">
        <v>638</v>
      </c>
      <c r="B327" s="1">
        <v>45739.626388888886</v>
      </c>
      <c r="C327" s="1">
        <v>45739.59375</v>
      </c>
      <c r="D327" t="s">
        <v>639</v>
      </c>
      <c r="E327" t="s">
        <v>10</v>
      </c>
      <c r="F327" t="s">
        <v>11</v>
      </c>
      <c r="G327" t="s">
        <v>640</v>
      </c>
      <c r="H327" t="s">
        <v>29</v>
      </c>
      <c r="I327" s="19" t="str">
        <f>VLOOKUP(G327,'STORE LOOKUP'!$C:$G,2,0)</f>
        <v>VIC West / TAS</v>
      </c>
      <c r="J327" s="19" t="str">
        <f>VLOOKUP(G327,'STORE LOOKUP'!$C:$G,4,0)</f>
        <v>Anaconda</v>
      </c>
      <c r="K327" s="19" t="str">
        <f>VLOOKUP(G327,'STORE LOOKUP'!$C:$G,5,0)</f>
        <v>Store</v>
      </c>
      <c r="L327" s="17" t="str">
        <f>VLOOKUP(C327,'FIN CAL LOOKUP'!A:J,7,1)</f>
        <v>MAR, FY25</v>
      </c>
      <c r="M327" s="17" t="str">
        <f>VLOOKUP(C327,'FIN CAL LOOKUP'!A:J,10,1)</f>
        <v>Q3, FY25</v>
      </c>
    </row>
    <row r="328" spans="1:13" x14ac:dyDescent="0.25">
      <c r="A328" t="s">
        <v>641</v>
      </c>
      <c r="B328" s="1">
        <v>45744.535416666666</v>
      </c>
      <c r="C328" s="1">
        <v>45742.4375</v>
      </c>
      <c r="D328" t="s">
        <v>379</v>
      </c>
      <c r="E328" t="s">
        <v>10</v>
      </c>
      <c r="F328" t="s">
        <v>11</v>
      </c>
      <c r="G328" t="s">
        <v>380</v>
      </c>
      <c r="H328" t="s">
        <v>13</v>
      </c>
      <c r="I328" s="19" t="str">
        <f>VLOOKUP(G328,'STORE LOOKUP'!$C:$G,2,0)</f>
        <v>BRISBANE / FNQ Cluster</v>
      </c>
      <c r="J328" s="19" t="str">
        <f>VLOOKUP(G328,'STORE LOOKUP'!$C:$G,4,0)</f>
        <v>Anaconda</v>
      </c>
      <c r="K328" s="19" t="str">
        <f>VLOOKUP(G328,'STORE LOOKUP'!$C:$G,5,0)</f>
        <v>Store</v>
      </c>
      <c r="L328" s="17" t="str">
        <f>VLOOKUP(C328,'FIN CAL LOOKUP'!A:J,7,1)</f>
        <v>MAR, FY25</v>
      </c>
      <c r="M328" s="17" t="str">
        <f>VLOOKUP(C328,'FIN CAL LOOKUP'!A:J,10,1)</f>
        <v>Q3, FY25</v>
      </c>
    </row>
    <row r="329" spans="1:13" x14ac:dyDescent="0.25">
      <c r="A329" t="s">
        <v>642</v>
      </c>
      <c r="B329" s="1">
        <v>45744.684027777781</v>
      </c>
      <c r="C329" s="1">
        <v>45744.672222222223</v>
      </c>
      <c r="D329" t="s">
        <v>643</v>
      </c>
      <c r="E329" t="s">
        <v>10</v>
      </c>
      <c r="F329" t="s">
        <v>11</v>
      </c>
      <c r="G329" t="s">
        <v>644</v>
      </c>
      <c r="H329" t="s">
        <v>56</v>
      </c>
      <c r="I329" s="19" t="str">
        <f>VLOOKUP(G329,'STORE LOOKUP'!$C:$G,2,0)</f>
        <v>VIC East</v>
      </c>
      <c r="J329" s="19" t="str">
        <f>VLOOKUP(G329,'STORE LOOKUP'!$C:$G,4,0)</f>
        <v>Spotlight AU</v>
      </c>
      <c r="K329" s="19" t="str">
        <f>VLOOKUP(G329,'STORE LOOKUP'!$C:$G,5,0)</f>
        <v>Store</v>
      </c>
      <c r="L329" s="17" t="str">
        <f>VLOOKUP(C329,'FIN CAL LOOKUP'!A:J,7,1)</f>
        <v>MAR, FY25</v>
      </c>
      <c r="M329" s="17" t="str">
        <f>VLOOKUP(C329,'FIN CAL LOOKUP'!A:J,10,1)</f>
        <v>Q3, FY25</v>
      </c>
    </row>
    <row r="330" spans="1:13" x14ac:dyDescent="0.25">
      <c r="A330" t="s">
        <v>645</v>
      </c>
      <c r="B330" s="1">
        <v>45745.527083333334</v>
      </c>
      <c r="C330" s="1">
        <v>45744.770833333336</v>
      </c>
      <c r="D330" t="s">
        <v>646</v>
      </c>
      <c r="E330" t="s">
        <v>10</v>
      </c>
      <c r="F330" t="s">
        <v>11</v>
      </c>
      <c r="G330" t="s">
        <v>647</v>
      </c>
      <c r="H330" t="s">
        <v>52</v>
      </c>
      <c r="I330" s="19" t="str">
        <f>VLOOKUP(G330,'STORE LOOKUP'!$C:$G,2,0)</f>
        <v>QLD Central / TAS</v>
      </c>
      <c r="J330" s="19" t="str">
        <f>VLOOKUP(G330,'STORE LOOKUP'!$C:$G,4,0)</f>
        <v>Spotlight AU</v>
      </c>
      <c r="K330" s="19" t="str">
        <f>VLOOKUP(G330,'STORE LOOKUP'!$C:$G,5,0)</f>
        <v>Store</v>
      </c>
      <c r="L330" s="17" t="str">
        <f>VLOOKUP(C330,'FIN CAL LOOKUP'!A:J,7,1)</f>
        <v>MAR, FY25</v>
      </c>
      <c r="M330" s="17" t="str">
        <f>VLOOKUP(C330,'FIN CAL LOOKUP'!A:J,10,1)</f>
        <v>Q3, FY25</v>
      </c>
    </row>
    <row r="331" spans="1:13" x14ac:dyDescent="0.25">
      <c r="A331" t="s">
        <v>648</v>
      </c>
      <c r="B331" s="1">
        <v>45745.728472222225</v>
      </c>
      <c r="C331" s="1">
        <v>45745.552083333336</v>
      </c>
      <c r="D331" t="s">
        <v>360</v>
      </c>
      <c r="E331" t="s">
        <v>10</v>
      </c>
      <c r="F331" t="s">
        <v>11</v>
      </c>
      <c r="G331" t="s">
        <v>361</v>
      </c>
      <c r="H331" t="s">
        <v>99</v>
      </c>
      <c r="I331" s="19" t="str">
        <f>VLOOKUP(G331,'STORE LOOKUP'!$C:$G,2,0)</f>
        <v>SA/TAS</v>
      </c>
      <c r="J331" s="19" t="str">
        <f>VLOOKUP(G331,'STORE LOOKUP'!$C:$G,4,0)</f>
        <v>Harris Scarfe</v>
      </c>
      <c r="K331" s="19" t="str">
        <f>VLOOKUP(G331,'STORE LOOKUP'!$C:$G,5,0)</f>
        <v>Store</v>
      </c>
      <c r="L331" s="17" t="str">
        <f>VLOOKUP(C331,'FIN CAL LOOKUP'!A:J,7,1)</f>
        <v>MAR, FY25</v>
      </c>
      <c r="M331" s="17" t="str">
        <f>VLOOKUP(C331,'FIN CAL LOOKUP'!A:J,10,1)</f>
        <v>Q3, FY25</v>
      </c>
    </row>
    <row r="332" spans="1:13" x14ac:dyDescent="0.25">
      <c r="A332" t="s">
        <v>649</v>
      </c>
      <c r="B332" s="1">
        <v>45748.572916666664</v>
      </c>
      <c r="C332" s="1">
        <v>45747.708333333336</v>
      </c>
      <c r="D332" t="s">
        <v>650</v>
      </c>
      <c r="E332" t="s">
        <v>10</v>
      </c>
      <c r="F332" t="s">
        <v>11</v>
      </c>
      <c r="G332" t="s">
        <v>651</v>
      </c>
      <c r="H332" t="s">
        <v>135</v>
      </c>
      <c r="I332" s="19" t="str">
        <f>VLOOKUP(G332,'STORE LOOKUP'!$C:$G,2,0)</f>
        <v>NSW South / ACT</v>
      </c>
      <c r="J332" s="19" t="str">
        <f>VLOOKUP(G332,'STORE LOOKUP'!$C:$G,4,0)</f>
        <v>Spotlight AU</v>
      </c>
      <c r="K332" s="19" t="str">
        <f>VLOOKUP(G332,'STORE LOOKUP'!$C:$G,5,0)</f>
        <v>Store</v>
      </c>
      <c r="L332" s="17" t="str">
        <f>VLOOKUP(C332,'FIN CAL LOOKUP'!A:J,7,1)</f>
        <v>APR, FY25</v>
      </c>
      <c r="M332" s="17" t="str">
        <f>VLOOKUP(C332,'FIN CAL LOOKUP'!A:J,10,1)</f>
        <v>Q4, FY25</v>
      </c>
    </row>
    <row r="333" spans="1:13" x14ac:dyDescent="0.25">
      <c r="A333" t="s">
        <v>652</v>
      </c>
      <c r="B333" s="1">
        <v>45748.737500000003</v>
      </c>
      <c r="C333" s="1">
        <v>45748.666666666664</v>
      </c>
      <c r="D333" t="s">
        <v>19</v>
      </c>
      <c r="E333" t="s">
        <v>10</v>
      </c>
      <c r="F333" t="s">
        <v>11</v>
      </c>
      <c r="G333" t="s">
        <v>175</v>
      </c>
      <c r="H333" t="s">
        <v>21</v>
      </c>
      <c r="I333" s="19" t="str">
        <f>VLOOKUP(G333,'STORE LOOKUP'!$C:$G,2,0)</f>
        <v>SA/NT</v>
      </c>
      <c r="J333" s="19" t="str">
        <f>VLOOKUP(G333,'STORE LOOKUP'!$C:$G,4,0)</f>
        <v>Spotlight AU</v>
      </c>
      <c r="K333" s="19" t="str">
        <f>VLOOKUP(G333,'STORE LOOKUP'!$C:$G,5,0)</f>
        <v>Store</v>
      </c>
      <c r="L333" s="17" t="str">
        <f>VLOOKUP(C333,'FIN CAL LOOKUP'!A:J,7,1)</f>
        <v>APR, FY25</v>
      </c>
      <c r="M333" s="17" t="str">
        <f>VLOOKUP(C333,'FIN CAL LOOKUP'!A:J,10,1)</f>
        <v>Q4, FY25</v>
      </c>
    </row>
    <row r="334" spans="1:13" x14ac:dyDescent="0.25">
      <c r="A334" t="s">
        <v>653</v>
      </c>
      <c r="B334" s="1">
        <v>45751.477083333331</v>
      </c>
      <c r="C334" s="1">
        <v>45751.4375</v>
      </c>
      <c r="D334" t="s">
        <v>654</v>
      </c>
      <c r="E334" t="s">
        <v>10</v>
      </c>
      <c r="F334" t="s">
        <v>11</v>
      </c>
      <c r="G334" t="s">
        <v>186</v>
      </c>
      <c r="H334" t="s">
        <v>29</v>
      </c>
      <c r="I334" s="19" t="str">
        <f>VLOOKUP(G334,'STORE LOOKUP'!$C:$G,2,0)</f>
        <v>VIC North / East</v>
      </c>
      <c r="J334" s="19" t="str">
        <f>VLOOKUP(G334,'STORE LOOKUP'!$C:$G,4,0)</f>
        <v>Anaconda</v>
      </c>
      <c r="K334" s="19" t="str">
        <f>VLOOKUP(G334,'STORE LOOKUP'!$C:$G,5,0)</f>
        <v>Store</v>
      </c>
      <c r="L334" s="17" t="str">
        <f>VLOOKUP(C334,'FIN CAL LOOKUP'!A:J,7,1)</f>
        <v>APR, FY25</v>
      </c>
      <c r="M334" s="17" t="str">
        <f>VLOOKUP(C334,'FIN CAL LOOKUP'!A:J,10,1)</f>
        <v>Q4, FY25</v>
      </c>
    </row>
    <row r="335" spans="1:13" x14ac:dyDescent="0.25">
      <c r="A335" t="s">
        <v>655</v>
      </c>
      <c r="B335" s="1">
        <v>45752.579861111109</v>
      </c>
      <c r="C335" s="1">
        <v>45752.473611111112</v>
      </c>
      <c r="D335" t="s">
        <v>656</v>
      </c>
      <c r="E335" t="s">
        <v>10</v>
      </c>
      <c r="F335" t="s">
        <v>11</v>
      </c>
      <c r="G335" t="s">
        <v>657</v>
      </c>
      <c r="H335" t="s">
        <v>52</v>
      </c>
      <c r="I335" s="19" t="str">
        <f>VLOOKUP(G335,'STORE LOOKUP'!$C:$G,2,0)</f>
        <v>QLD North</v>
      </c>
      <c r="J335" s="19" t="str">
        <f>VLOOKUP(G335,'STORE LOOKUP'!$C:$G,4,0)</f>
        <v>Spotlight AU</v>
      </c>
      <c r="K335" s="19" t="str">
        <f>VLOOKUP(G335,'STORE LOOKUP'!$C:$G,5,0)</f>
        <v>Store</v>
      </c>
      <c r="L335" s="17" t="str">
        <f>VLOOKUP(C335,'FIN CAL LOOKUP'!A:J,7,1)</f>
        <v>APR, FY25</v>
      </c>
      <c r="M335" s="17" t="str">
        <f>VLOOKUP(C335,'FIN CAL LOOKUP'!A:J,10,1)</f>
        <v>Q4, FY25</v>
      </c>
    </row>
    <row r="336" spans="1:13" x14ac:dyDescent="0.25">
      <c r="A336" t="s">
        <v>658</v>
      </c>
      <c r="B336" s="1">
        <v>45754.404166666667</v>
      </c>
      <c r="C336" s="1">
        <v>45751.536805555559</v>
      </c>
      <c r="D336" t="s">
        <v>385</v>
      </c>
      <c r="E336" t="s">
        <v>10</v>
      </c>
      <c r="F336" t="s">
        <v>11</v>
      </c>
      <c r="G336" t="s">
        <v>620</v>
      </c>
      <c r="H336" t="s">
        <v>29</v>
      </c>
      <c r="I336" s="19" t="str">
        <f>VLOOKUP(G336,'STORE LOOKUP'!$C:$G,2,0)</f>
        <v>VIC North / East</v>
      </c>
      <c r="J336" s="19" t="str">
        <f>VLOOKUP(G336,'STORE LOOKUP'!$C:$G,4,0)</f>
        <v>Anaconda</v>
      </c>
      <c r="K336" s="19" t="str">
        <f>VLOOKUP(G336,'STORE LOOKUP'!$C:$G,5,0)</f>
        <v>Store</v>
      </c>
      <c r="L336" s="17" t="str">
        <f>VLOOKUP(C336,'FIN CAL LOOKUP'!A:J,7,1)</f>
        <v>APR, FY25</v>
      </c>
      <c r="M336" s="17" t="str">
        <f>VLOOKUP(C336,'FIN CAL LOOKUP'!A:J,10,1)</f>
        <v>Q4, FY25</v>
      </c>
    </row>
    <row r="337" spans="1:13" x14ac:dyDescent="0.25">
      <c r="A337" t="s">
        <v>659</v>
      </c>
      <c r="B337" s="1">
        <v>45754.69027777778</v>
      </c>
      <c r="C337" s="1">
        <v>45754.525694444441</v>
      </c>
      <c r="D337" t="s">
        <v>189</v>
      </c>
      <c r="E337" t="s">
        <v>10</v>
      </c>
      <c r="F337" t="s">
        <v>11</v>
      </c>
      <c r="G337" t="s">
        <v>190</v>
      </c>
      <c r="H337" t="s">
        <v>17</v>
      </c>
      <c r="I337" s="19" t="str">
        <f>VLOOKUP(G337,'STORE LOOKUP'!$C:$G,2,0)</f>
        <v>QLD NW / NT</v>
      </c>
      <c r="J337" s="19" t="str">
        <f>VLOOKUP(G337,'STORE LOOKUP'!$C:$G,4,0)</f>
        <v>Anaconda</v>
      </c>
      <c r="K337" s="19" t="str">
        <f>VLOOKUP(G337,'STORE LOOKUP'!$C:$G,5,0)</f>
        <v>Store</v>
      </c>
      <c r="L337" s="17" t="str">
        <f>VLOOKUP(C337,'FIN CAL LOOKUP'!A:J,7,1)</f>
        <v>APR, FY25</v>
      </c>
      <c r="M337" s="17" t="str">
        <f>VLOOKUP(C337,'FIN CAL LOOKUP'!A:J,10,1)</f>
        <v>Q4, FY25</v>
      </c>
    </row>
    <row r="338" spans="1:13" x14ac:dyDescent="0.25">
      <c r="A338" t="s">
        <v>660</v>
      </c>
      <c r="B338" s="1">
        <v>45755.583333333336</v>
      </c>
      <c r="C338" s="1">
        <v>45751.238888888889</v>
      </c>
      <c r="D338" t="s">
        <v>177</v>
      </c>
      <c r="E338" t="s">
        <v>10</v>
      </c>
      <c r="F338" t="s">
        <v>11</v>
      </c>
      <c r="G338" t="s">
        <v>178</v>
      </c>
      <c r="H338" t="s">
        <v>146</v>
      </c>
      <c r="I338" s="19" t="str">
        <f>VLOOKUP(G338,'STORE LOOKUP'!$C:$G,2,0)</f>
        <v>QLD Central / TAS</v>
      </c>
      <c r="J338" s="19" t="str">
        <f>VLOOKUP(G338,'STORE LOOKUP'!$C:$G,4,0)</f>
        <v>Spotlight AU</v>
      </c>
      <c r="K338" s="19" t="str">
        <f>VLOOKUP(G338,'STORE LOOKUP'!$C:$G,5,0)</f>
        <v>Store</v>
      </c>
      <c r="L338" s="17" t="str">
        <f>VLOOKUP(C338,'FIN CAL LOOKUP'!A:J,7,1)</f>
        <v>APR, FY25</v>
      </c>
      <c r="M338" s="17" t="str">
        <f>VLOOKUP(C338,'FIN CAL LOOKUP'!A:J,10,1)</f>
        <v>Q4, FY25</v>
      </c>
    </row>
    <row r="339" spans="1:13" x14ac:dyDescent="0.25">
      <c r="A339" t="s">
        <v>661</v>
      </c>
      <c r="B339" s="1">
        <v>45757.845138888886</v>
      </c>
      <c r="C339" s="1">
        <v>45757.8125</v>
      </c>
      <c r="D339" t="s">
        <v>219</v>
      </c>
      <c r="E339" t="s">
        <v>10</v>
      </c>
      <c r="F339" t="s">
        <v>11</v>
      </c>
      <c r="G339" t="s">
        <v>220</v>
      </c>
      <c r="H339" t="s">
        <v>120</v>
      </c>
      <c r="I339" s="19" t="str">
        <f>VLOOKUP(G339,'STORE LOOKUP'!$C:$G,2,0)</f>
        <v>VIC</v>
      </c>
      <c r="J339" s="19" t="str">
        <f>VLOOKUP(G339,'STORE LOOKUP'!$C:$G,4,0)</f>
        <v>Harris Scarfe</v>
      </c>
      <c r="K339" s="19" t="str">
        <f>VLOOKUP(G339,'STORE LOOKUP'!$C:$G,5,0)</f>
        <v>Store</v>
      </c>
      <c r="L339" s="17" t="str">
        <f>VLOOKUP(C339,'FIN CAL LOOKUP'!A:J,7,1)</f>
        <v>APR, FY25</v>
      </c>
      <c r="M339" s="17" t="str">
        <f>VLOOKUP(C339,'FIN CAL LOOKUP'!A:J,10,1)</f>
        <v>Q4, FY25</v>
      </c>
    </row>
    <row r="340" spans="1:13" x14ac:dyDescent="0.25">
      <c r="A340" t="s">
        <v>662</v>
      </c>
      <c r="B340" s="1">
        <v>45759.63958333333</v>
      </c>
      <c r="C340" s="1">
        <v>45759.54583333333</v>
      </c>
      <c r="D340" t="s">
        <v>189</v>
      </c>
      <c r="E340" t="s">
        <v>10</v>
      </c>
      <c r="F340" t="s">
        <v>11</v>
      </c>
      <c r="G340" t="s">
        <v>190</v>
      </c>
      <c r="H340" t="s">
        <v>17</v>
      </c>
      <c r="I340" s="19" t="str">
        <f>VLOOKUP(G340,'STORE LOOKUP'!$C:$G,2,0)</f>
        <v>QLD NW / NT</v>
      </c>
      <c r="J340" s="19" t="str">
        <f>VLOOKUP(G340,'STORE LOOKUP'!$C:$G,4,0)</f>
        <v>Anaconda</v>
      </c>
      <c r="K340" s="19" t="str">
        <f>VLOOKUP(G340,'STORE LOOKUP'!$C:$G,5,0)</f>
        <v>Store</v>
      </c>
      <c r="L340" s="17" t="str">
        <f>VLOOKUP(C340,'FIN CAL LOOKUP'!A:J,7,1)</f>
        <v>APR, FY25</v>
      </c>
      <c r="M340" s="17" t="str">
        <f>VLOOKUP(C340,'FIN CAL LOOKUP'!A:J,10,1)</f>
        <v>Q4, FY25</v>
      </c>
    </row>
    <row r="341" spans="1:13" x14ac:dyDescent="0.25">
      <c r="A341" t="s">
        <v>663</v>
      </c>
      <c r="B341" s="1">
        <v>45760.527083333334</v>
      </c>
      <c r="C341" s="1">
        <v>45760.479166666664</v>
      </c>
      <c r="D341" t="s">
        <v>205</v>
      </c>
      <c r="E341" t="s">
        <v>10</v>
      </c>
      <c r="F341" t="s">
        <v>11</v>
      </c>
      <c r="G341" t="s">
        <v>98</v>
      </c>
      <c r="H341" t="s">
        <v>99</v>
      </c>
      <c r="I341" s="19" t="str">
        <f>VLOOKUP(G341,'STORE LOOKUP'!$C:$G,2,0)</f>
        <v>SA/TAS</v>
      </c>
      <c r="J341" s="19" t="str">
        <f>VLOOKUP(G341,'STORE LOOKUP'!$C:$G,4,0)</f>
        <v>Harris Scarfe</v>
      </c>
      <c r="K341" s="19" t="str">
        <f>VLOOKUP(G341,'STORE LOOKUP'!$C:$G,5,0)</f>
        <v>Store</v>
      </c>
      <c r="L341" s="17" t="str">
        <f>VLOOKUP(C341,'FIN CAL LOOKUP'!A:J,7,1)</f>
        <v>APR, FY25</v>
      </c>
      <c r="M341" s="17" t="str">
        <f>VLOOKUP(C341,'FIN CAL LOOKUP'!A:J,10,1)</f>
        <v>Q4, FY25</v>
      </c>
    </row>
    <row r="342" spans="1:13" x14ac:dyDescent="0.25">
      <c r="A342" t="s">
        <v>664</v>
      </c>
      <c r="B342" s="1">
        <v>45766.557638888888</v>
      </c>
      <c r="C342" s="1">
        <v>45758.868055555555</v>
      </c>
      <c r="D342" t="s">
        <v>665</v>
      </c>
      <c r="E342" t="s">
        <v>10</v>
      </c>
      <c r="F342" t="s">
        <v>11</v>
      </c>
      <c r="G342" t="s">
        <v>130</v>
      </c>
      <c r="H342" t="s">
        <v>56</v>
      </c>
      <c r="I342" s="19" t="str">
        <f>VLOOKUP(G342,'STORE LOOKUP'!$C:$G,2,0)</f>
        <v>VIC East</v>
      </c>
      <c r="J342" s="19" t="str">
        <f>VLOOKUP(G342,'STORE LOOKUP'!$C:$G,4,0)</f>
        <v>Spotlight AU</v>
      </c>
      <c r="K342" s="19" t="str">
        <f>VLOOKUP(G342,'STORE LOOKUP'!$C:$G,5,0)</f>
        <v>Store</v>
      </c>
      <c r="L342" s="17" t="str">
        <f>VLOOKUP(C342,'FIN CAL LOOKUP'!A:J,7,1)</f>
        <v>APR, FY25</v>
      </c>
      <c r="M342" s="17" t="str">
        <f>VLOOKUP(C342,'FIN CAL LOOKUP'!A:J,10,1)</f>
        <v>Q4, FY25</v>
      </c>
    </row>
    <row r="343" spans="1:13" x14ac:dyDescent="0.25">
      <c r="A343" t="s">
        <v>666</v>
      </c>
      <c r="B343" s="1">
        <v>45770.646527777775</v>
      </c>
      <c r="C343" s="1">
        <v>45770.552083333336</v>
      </c>
      <c r="D343" t="s">
        <v>581</v>
      </c>
      <c r="E343" t="s">
        <v>10</v>
      </c>
      <c r="F343" t="s">
        <v>11</v>
      </c>
      <c r="G343" t="s">
        <v>582</v>
      </c>
      <c r="H343" t="s">
        <v>48</v>
      </c>
      <c r="I343" s="19" t="str">
        <f>VLOOKUP(G343,'STORE LOOKUP'!$C:$G,2,0)</f>
        <v>QLD</v>
      </c>
      <c r="J343" s="19" t="str">
        <f>VLOOKUP(G343,'STORE LOOKUP'!$C:$G,4,0)</f>
        <v>Harris Scarfe</v>
      </c>
      <c r="K343" s="19" t="str">
        <f>VLOOKUP(G343,'STORE LOOKUP'!$C:$G,5,0)</f>
        <v>Store</v>
      </c>
      <c r="L343" s="17" t="str">
        <f>VLOOKUP(C343,'FIN CAL LOOKUP'!A:J,7,1)</f>
        <v>APR, FY25</v>
      </c>
      <c r="M343" s="17" t="str">
        <f>VLOOKUP(C343,'FIN CAL LOOKUP'!A:J,10,1)</f>
        <v>Q4, FY25</v>
      </c>
    </row>
    <row r="344" spans="1:13" x14ac:dyDescent="0.25">
      <c r="A344" t="s">
        <v>667</v>
      </c>
      <c r="B344" s="1">
        <v>45771.694444444445</v>
      </c>
      <c r="C344" s="1">
        <v>45771.649305555555</v>
      </c>
      <c r="D344" t="s">
        <v>500</v>
      </c>
      <c r="E344" t="s">
        <v>10</v>
      </c>
      <c r="F344" t="s">
        <v>11</v>
      </c>
      <c r="G344" t="s">
        <v>501</v>
      </c>
      <c r="H344" t="s">
        <v>48</v>
      </c>
      <c r="I344" s="19" t="str">
        <f>VLOOKUP(G344,'STORE LOOKUP'!$C:$G,2,0)</f>
        <v>QLD</v>
      </c>
      <c r="J344" s="19" t="str">
        <f>VLOOKUP(G344,'STORE LOOKUP'!$C:$G,4,0)</f>
        <v>Harris Scarfe</v>
      </c>
      <c r="K344" s="19" t="str">
        <f>VLOOKUP(G344,'STORE LOOKUP'!$C:$G,5,0)</f>
        <v>Store</v>
      </c>
      <c r="L344" s="17" t="str">
        <f>VLOOKUP(C344,'FIN CAL LOOKUP'!A:J,7,1)</f>
        <v>APR, FY25</v>
      </c>
      <c r="M344" s="17" t="str">
        <f>VLOOKUP(C344,'FIN CAL LOOKUP'!A:J,10,1)</f>
        <v>Q4, FY25</v>
      </c>
    </row>
    <row r="345" spans="1:13" x14ac:dyDescent="0.25">
      <c r="A345" t="s">
        <v>668</v>
      </c>
      <c r="B345" s="1">
        <v>45775.603472222225</v>
      </c>
      <c r="C345" s="1">
        <v>45775.572916666664</v>
      </c>
      <c r="D345" t="s">
        <v>219</v>
      </c>
      <c r="E345" t="s">
        <v>10</v>
      </c>
      <c r="F345" t="s">
        <v>11</v>
      </c>
      <c r="G345" t="s">
        <v>220</v>
      </c>
      <c r="H345" t="s">
        <v>120</v>
      </c>
      <c r="I345" s="19" t="str">
        <f>VLOOKUP(G345,'STORE LOOKUP'!$C:$G,2,0)</f>
        <v>VIC</v>
      </c>
      <c r="J345" s="19" t="str">
        <f>VLOOKUP(G345,'STORE LOOKUP'!$C:$G,4,0)</f>
        <v>Harris Scarfe</v>
      </c>
      <c r="K345" s="19" t="str">
        <f>VLOOKUP(G345,'STORE LOOKUP'!$C:$G,5,0)</f>
        <v>Store</v>
      </c>
      <c r="L345" s="17" t="str">
        <f>VLOOKUP(C345,'FIN CAL LOOKUP'!A:J,7,1)</f>
        <v>MAY, FY25</v>
      </c>
      <c r="M345" s="17" t="str">
        <f>VLOOKUP(C345,'FIN CAL LOOKUP'!A:J,10,1)</f>
        <v>Q4, FY25</v>
      </c>
    </row>
    <row r="346" spans="1:13" x14ac:dyDescent="0.25">
      <c r="A346" t="s">
        <v>669</v>
      </c>
      <c r="B346" s="1">
        <v>45778.702777777777</v>
      </c>
      <c r="C346" s="1">
        <v>45778.45</v>
      </c>
      <c r="D346" t="s">
        <v>219</v>
      </c>
      <c r="E346" t="s">
        <v>10</v>
      </c>
      <c r="F346" t="s">
        <v>11</v>
      </c>
      <c r="G346" t="s">
        <v>220</v>
      </c>
      <c r="H346" t="s">
        <v>120</v>
      </c>
      <c r="I346" s="19" t="str">
        <f>VLOOKUP(G346,'STORE LOOKUP'!$C:$G,2,0)</f>
        <v>VIC</v>
      </c>
      <c r="J346" s="19" t="str">
        <f>VLOOKUP(G346,'STORE LOOKUP'!$C:$G,4,0)</f>
        <v>Harris Scarfe</v>
      </c>
      <c r="K346" s="19" t="str">
        <f>VLOOKUP(G346,'STORE LOOKUP'!$C:$G,5,0)</f>
        <v>Store</v>
      </c>
      <c r="L346" s="17" t="str">
        <f>VLOOKUP(C346,'FIN CAL LOOKUP'!A:J,7,1)</f>
        <v>MAY, FY25</v>
      </c>
      <c r="M346" s="17" t="str">
        <f>VLOOKUP(C346,'FIN CAL LOOKUP'!A:J,10,1)</f>
        <v>Q4, FY25</v>
      </c>
    </row>
    <row r="347" spans="1:13" x14ac:dyDescent="0.25">
      <c r="A347" t="s">
        <v>670</v>
      </c>
      <c r="B347" s="1">
        <v>45782.705555555556</v>
      </c>
      <c r="C347" s="1">
        <v>45781.705555555556</v>
      </c>
      <c r="D347" t="s">
        <v>189</v>
      </c>
      <c r="E347" t="s">
        <v>10</v>
      </c>
      <c r="F347" t="s">
        <v>11</v>
      </c>
      <c r="G347" t="s">
        <v>190</v>
      </c>
      <c r="H347" t="s">
        <v>17</v>
      </c>
      <c r="I347" s="19" t="str">
        <f>VLOOKUP(G347,'STORE LOOKUP'!$C:$G,2,0)</f>
        <v>QLD NW / NT</v>
      </c>
      <c r="J347" s="19" t="str">
        <f>VLOOKUP(G347,'STORE LOOKUP'!$C:$G,4,0)</f>
        <v>Anaconda</v>
      </c>
      <c r="K347" s="19" t="str">
        <f>VLOOKUP(G347,'STORE LOOKUP'!$C:$G,5,0)</f>
        <v>Store</v>
      </c>
      <c r="L347" s="17" t="str">
        <f>VLOOKUP(C347,'FIN CAL LOOKUP'!A:J,7,1)</f>
        <v>MAY, FY25</v>
      </c>
      <c r="M347" s="17" t="str">
        <f>VLOOKUP(C347,'FIN CAL LOOKUP'!A:J,10,1)</f>
        <v>Q4, FY25</v>
      </c>
    </row>
    <row r="348" spans="1:13" x14ac:dyDescent="0.25">
      <c r="A348" t="s">
        <v>671</v>
      </c>
      <c r="B348" s="1">
        <v>45783.57708333333</v>
      </c>
      <c r="C348" s="1">
        <v>45780.558333333334</v>
      </c>
      <c r="D348" t="s">
        <v>672</v>
      </c>
      <c r="E348" t="s">
        <v>10</v>
      </c>
      <c r="F348" t="s">
        <v>11</v>
      </c>
      <c r="G348" t="s">
        <v>284</v>
      </c>
      <c r="H348" t="s">
        <v>56</v>
      </c>
      <c r="I348" s="19" t="str">
        <f>VLOOKUP(G348,'STORE LOOKUP'!$C:$G,2,0)</f>
        <v>VIC East</v>
      </c>
      <c r="J348" s="19" t="str">
        <f>VLOOKUP(G348,'STORE LOOKUP'!$C:$G,4,0)</f>
        <v>Spotlight AU</v>
      </c>
      <c r="K348" s="19" t="str">
        <f>VLOOKUP(G348,'STORE LOOKUP'!$C:$G,5,0)</f>
        <v>Store</v>
      </c>
      <c r="L348" s="17" t="str">
        <f>VLOOKUP(C348,'FIN CAL LOOKUP'!A:J,7,1)</f>
        <v>MAY, FY25</v>
      </c>
      <c r="M348" s="17" t="str">
        <f>VLOOKUP(C348,'FIN CAL LOOKUP'!A:J,10,1)</f>
        <v>Q4, FY25</v>
      </c>
    </row>
    <row r="349" spans="1:13" x14ac:dyDescent="0.25">
      <c r="A349" t="s">
        <v>673</v>
      </c>
      <c r="B349" s="1">
        <v>45785.555555555555</v>
      </c>
      <c r="C349" s="1">
        <v>45771.75</v>
      </c>
      <c r="D349" t="s">
        <v>385</v>
      </c>
      <c r="E349" t="s">
        <v>10</v>
      </c>
      <c r="F349" t="s">
        <v>11</v>
      </c>
      <c r="G349" t="s">
        <v>620</v>
      </c>
      <c r="H349" t="s">
        <v>29</v>
      </c>
      <c r="I349" s="19" t="str">
        <f>VLOOKUP(G349,'STORE LOOKUP'!$C:$G,2,0)</f>
        <v>VIC North / East</v>
      </c>
      <c r="J349" s="19" t="str">
        <f>VLOOKUP(G349,'STORE LOOKUP'!$C:$G,4,0)</f>
        <v>Anaconda</v>
      </c>
      <c r="K349" s="19" t="str">
        <f>VLOOKUP(G349,'STORE LOOKUP'!$C:$G,5,0)</f>
        <v>Store</v>
      </c>
      <c r="L349" s="17" t="str">
        <f>VLOOKUP(C349,'FIN CAL LOOKUP'!A:J,7,1)</f>
        <v>APR, FY25</v>
      </c>
      <c r="M349" s="17" t="str">
        <f>VLOOKUP(C349,'FIN CAL LOOKUP'!A:J,10,1)</f>
        <v>Q4, FY25</v>
      </c>
    </row>
    <row r="350" spans="1:13" x14ac:dyDescent="0.25">
      <c r="A350" t="s">
        <v>674</v>
      </c>
      <c r="B350" s="1">
        <v>45786.623611111114</v>
      </c>
      <c r="C350" s="1">
        <v>45786.583333333336</v>
      </c>
      <c r="D350" t="s">
        <v>83</v>
      </c>
      <c r="E350" t="s">
        <v>10</v>
      </c>
      <c r="F350" t="s">
        <v>11</v>
      </c>
      <c r="G350" t="s">
        <v>39</v>
      </c>
      <c r="H350" t="s">
        <v>84</v>
      </c>
      <c r="I350" s="19" t="str">
        <f>VLOOKUP(G350,'STORE LOOKUP'!$C:$G,2,0)</f>
        <v>SA/TAS</v>
      </c>
      <c r="J350" s="19" t="str">
        <f>VLOOKUP(G350,'STORE LOOKUP'!$C:$G,4,0)</f>
        <v>Harris Scarfe</v>
      </c>
      <c r="K350" s="19" t="str">
        <f>VLOOKUP(G350,'STORE LOOKUP'!$C:$G,5,0)</f>
        <v>Store</v>
      </c>
      <c r="L350" s="17" t="str">
        <f>VLOOKUP(C350,'FIN CAL LOOKUP'!A:J,7,1)</f>
        <v>MAY, FY25</v>
      </c>
      <c r="M350" s="17" t="str">
        <f>VLOOKUP(C350,'FIN CAL LOOKUP'!A:J,10,1)</f>
        <v>Q4, FY25</v>
      </c>
    </row>
    <row r="351" spans="1:13" x14ac:dyDescent="0.25">
      <c r="A351" t="s">
        <v>675</v>
      </c>
      <c r="B351" s="1">
        <v>45786.780555555553</v>
      </c>
      <c r="C351" s="1">
        <v>45786.595833333333</v>
      </c>
      <c r="D351" t="s">
        <v>385</v>
      </c>
      <c r="E351" t="s">
        <v>10</v>
      </c>
      <c r="F351" t="s">
        <v>11</v>
      </c>
      <c r="G351" t="s">
        <v>620</v>
      </c>
      <c r="H351" t="s">
        <v>29</v>
      </c>
      <c r="I351" s="19" t="str">
        <f>VLOOKUP(G351,'STORE LOOKUP'!$C:$G,2,0)</f>
        <v>VIC North / East</v>
      </c>
      <c r="J351" s="19" t="str">
        <f>VLOOKUP(G351,'STORE LOOKUP'!$C:$G,4,0)</f>
        <v>Anaconda</v>
      </c>
      <c r="K351" s="19" t="str">
        <f>VLOOKUP(G351,'STORE LOOKUP'!$C:$G,5,0)</f>
        <v>Store</v>
      </c>
      <c r="L351" s="17" t="str">
        <f>VLOOKUP(C351,'FIN CAL LOOKUP'!A:J,7,1)</f>
        <v>MAY, FY25</v>
      </c>
      <c r="M351" s="17" t="str">
        <f>VLOOKUP(C351,'FIN CAL LOOKUP'!A:J,10,1)</f>
        <v>Q4, FY25</v>
      </c>
    </row>
    <row r="352" spans="1:13" x14ac:dyDescent="0.25">
      <c r="A352" t="s">
        <v>676</v>
      </c>
      <c r="B352" s="1">
        <v>45788.556250000001</v>
      </c>
      <c r="C352" s="1">
        <v>45787.701388888891</v>
      </c>
      <c r="D352" t="s">
        <v>388</v>
      </c>
      <c r="E352" t="s">
        <v>10</v>
      </c>
      <c r="F352" t="s">
        <v>11</v>
      </c>
      <c r="G352" t="s">
        <v>389</v>
      </c>
      <c r="H352" t="s">
        <v>106</v>
      </c>
      <c r="I352" s="19" t="str">
        <f>VLOOKUP(G352,'STORE LOOKUP'!$C:$G,2,0)</f>
        <v>WA</v>
      </c>
      <c r="J352" s="19" t="str">
        <f>VLOOKUP(G352,'STORE LOOKUP'!$C:$G,4,0)</f>
        <v>Anaconda</v>
      </c>
      <c r="K352" s="19" t="str">
        <f>VLOOKUP(G352,'STORE LOOKUP'!$C:$G,5,0)</f>
        <v>Store</v>
      </c>
      <c r="L352" s="17" t="str">
        <f>VLOOKUP(C352,'FIN CAL LOOKUP'!A:J,7,1)</f>
        <v>MAY, FY25</v>
      </c>
      <c r="M352" s="17" t="str">
        <f>VLOOKUP(C352,'FIN CAL LOOKUP'!A:J,10,1)</f>
        <v>Q4, FY25</v>
      </c>
    </row>
    <row r="353" spans="1:13" x14ac:dyDescent="0.25">
      <c r="A353" t="s">
        <v>677</v>
      </c>
      <c r="B353" s="1">
        <v>45790.537499999999</v>
      </c>
      <c r="C353" s="1">
        <v>45789.633333333331</v>
      </c>
      <c r="D353" t="s">
        <v>569</v>
      </c>
      <c r="E353" t="s">
        <v>10</v>
      </c>
      <c r="F353" t="s">
        <v>11</v>
      </c>
      <c r="G353" t="s">
        <v>570</v>
      </c>
      <c r="H353" t="s">
        <v>150</v>
      </c>
      <c r="I353" s="19" t="str">
        <f>VLOOKUP(G353,'STORE LOOKUP'!$C:$G,2,0)</f>
        <v>SPG Development</v>
      </c>
      <c r="J353" s="19" t="str">
        <f>VLOOKUP(G353,'STORE LOOKUP'!$C:$G,4,0)</f>
        <v>Spotlight Group Holdings</v>
      </c>
      <c r="K353" s="19" t="str">
        <f>VLOOKUP(G353,'STORE LOOKUP'!$C:$G,5,0)</f>
        <v>SG</v>
      </c>
      <c r="L353" s="17" t="str">
        <f>VLOOKUP(C353,'FIN CAL LOOKUP'!A:J,7,1)</f>
        <v>MAY, FY25</v>
      </c>
      <c r="M353" s="17" t="str">
        <f>VLOOKUP(C353,'FIN CAL LOOKUP'!A:J,10,1)</f>
        <v>Q4, FY25</v>
      </c>
    </row>
    <row r="354" spans="1:13" x14ac:dyDescent="0.25">
      <c r="A354" t="s">
        <v>678</v>
      </c>
      <c r="B354" s="1">
        <v>45795.456944444442</v>
      </c>
      <c r="C354" s="1">
        <v>45794.690972222219</v>
      </c>
      <c r="D354" t="s">
        <v>679</v>
      </c>
      <c r="E354" t="s">
        <v>10</v>
      </c>
      <c r="F354" t="s">
        <v>11</v>
      </c>
      <c r="G354" t="s">
        <v>680</v>
      </c>
      <c r="H354" t="s">
        <v>135</v>
      </c>
      <c r="I354" s="19" t="str">
        <f>VLOOKUP(G354,'STORE LOOKUP'!$C:$G,2,0)</f>
        <v>NSW South / ACT</v>
      </c>
      <c r="J354" s="19" t="str">
        <f>VLOOKUP(G354,'STORE LOOKUP'!$C:$G,4,0)</f>
        <v>Spotlight AU</v>
      </c>
      <c r="K354" s="19" t="str">
        <f>VLOOKUP(G354,'STORE LOOKUP'!$C:$G,5,0)</f>
        <v>Store</v>
      </c>
      <c r="L354" s="17" t="str">
        <f>VLOOKUP(C354,'FIN CAL LOOKUP'!A:J,7,1)</f>
        <v>MAY, FY25</v>
      </c>
      <c r="M354" s="17" t="str">
        <f>VLOOKUP(C354,'FIN CAL LOOKUP'!A:J,10,1)</f>
        <v>Q4, FY25</v>
      </c>
    </row>
    <row r="355" spans="1:13" x14ac:dyDescent="0.25">
      <c r="A355" t="s">
        <v>1624</v>
      </c>
      <c r="B355" s="1">
        <v>45797.618750000001</v>
      </c>
      <c r="C355" s="1">
        <v>45797.59375</v>
      </c>
      <c r="D355" t="s">
        <v>133</v>
      </c>
      <c r="E355" t="s">
        <v>10</v>
      </c>
      <c r="F355" t="s">
        <v>11</v>
      </c>
      <c r="G355" t="s">
        <v>134</v>
      </c>
      <c r="H355" t="s">
        <v>135</v>
      </c>
      <c r="I355" s="19" t="str">
        <f>VLOOKUP(G355,'STORE LOOKUP'!$C:$G,2,0)</f>
        <v>NSW South / ACT</v>
      </c>
      <c r="J355" s="19" t="str">
        <f>VLOOKUP(G355,'STORE LOOKUP'!$C:$G,4,0)</f>
        <v>Spotlight AU</v>
      </c>
      <c r="K355" s="19" t="str">
        <f>VLOOKUP(G355,'STORE LOOKUP'!$C:$G,5,0)</f>
        <v>Store</v>
      </c>
      <c r="L355" s="17" t="str">
        <f>VLOOKUP(C355,'FIN CAL LOOKUP'!A:J,7,1)</f>
        <v>MAY, FY25</v>
      </c>
      <c r="M355" s="17" t="str">
        <f>VLOOKUP(C355,'FIN CAL LOOKUP'!A:J,10,1)</f>
        <v>Q4, FY25</v>
      </c>
    </row>
    <row r="356" spans="1:13" x14ac:dyDescent="0.25">
      <c r="A356" t="s">
        <v>1625</v>
      </c>
      <c r="B356" s="1">
        <v>45800.728472222225</v>
      </c>
      <c r="C356" s="1">
        <v>45800.6875</v>
      </c>
      <c r="D356" t="s">
        <v>189</v>
      </c>
      <c r="E356" t="s">
        <v>10</v>
      </c>
      <c r="F356" t="s">
        <v>11</v>
      </c>
      <c r="G356" t="s">
        <v>190</v>
      </c>
      <c r="H356" t="s">
        <v>17</v>
      </c>
      <c r="I356" s="19" t="str">
        <f>VLOOKUP(G356,'STORE LOOKUP'!$C:$G,2,0)</f>
        <v>QLD NW / NT</v>
      </c>
      <c r="J356" s="19" t="str">
        <f>VLOOKUP(G356,'STORE LOOKUP'!$C:$G,4,0)</f>
        <v>Anaconda</v>
      </c>
      <c r="K356" s="19" t="str">
        <f>VLOOKUP(G356,'STORE LOOKUP'!$C:$G,5,0)</f>
        <v>Store</v>
      </c>
      <c r="L356" s="17" t="str">
        <f>VLOOKUP(C356,'FIN CAL LOOKUP'!A:J,7,1)</f>
        <v>MAY, FY25</v>
      </c>
      <c r="M356" s="17" t="str">
        <f>VLOOKUP(C356,'FIN CAL LOOKUP'!A:J,10,1)</f>
        <v>Q4, FY25</v>
      </c>
    </row>
    <row r="357" spans="1:13" x14ac:dyDescent="0.25">
      <c r="A357" t="s">
        <v>1626</v>
      </c>
      <c r="B357" s="1">
        <v>45805.665972222225</v>
      </c>
      <c r="C357" s="1">
        <v>45805.583333333336</v>
      </c>
      <c r="D357" t="s">
        <v>19</v>
      </c>
      <c r="E357" t="s">
        <v>10</v>
      </c>
      <c r="F357" t="s">
        <v>11</v>
      </c>
      <c r="G357" t="s">
        <v>175</v>
      </c>
      <c r="H357" t="s">
        <v>21</v>
      </c>
      <c r="I357" s="19" t="str">
        <f>VLOOKUP(G357,'STORE LOOKUP'!$C:$G,2,0)</f>
        <v>SA/NT</v>
      </c>
      <c r="J357" s="19" t="str">
        <f>VLOOKUP(G357,'STORE LOOKUP'!$C:$G,4,0)</f>
        <v>Spotlight AU</v>
      </c>
      <c r="K357" s="19" t="str">
        <f>VLOOKUP(G357,'STORE LOOKUP'!$C:$G,5,0)</f>
        <v>Store</v>
      </c>
      <c r="L357" s="17" t="str">
        <f>VLOOKUP(C357,'FIN CAL LOOKUP'!A:J,7,1)</f>
        <v>MAY, FY25</v>
      </c>
      <c r="M357" s="17" t="str">
        <f>VLOOKUP(C357,'FIN CAL LOOKUP'!A:J,10,1)</f>
        <v>Q4, FY25</v>
      </c>
    </row>
    <row r="358" spans="1:13" x14ac:dyDescent="0.25">
      <c r="A358" t="s">
        <v>1627</v>
      </c>
      <c r="B358" s="1">
        <v>45809.689583333333</v>
      </c>
      <c r="C358" s="1">
        <v>45809.665277777778</v>
      </c>
      <c r="D358" t="s">
        <v>1628</v>
      </c>
      <c r="E358" t="s">
        <v>10</v>
      </c>
      <c r="F358" t="s">
        <v>11</v>
      </c>
      <c r="G358" t="s">
        <v>386</v>
      </c>
      <c r="H358" t="s">
        <v>29</v>
      </c>
      <c r="I358" s="19" t="str">
        <f>VLOOKUP(G358,'STORE LOOKUP'!$C:$G,2,0)</f>
        <v>VIC West / TAS</v>
      </c>
      <c r="J358" s="19" t="str">
        <f>VLOOKUP(G358,'STORE LOOKUP'!$C:$G,4,0)</f>
        <v>Anaconda</v>
      </c>
      <c r="K358" s="19" t="str">
        <f>VLOOKUP(G358,'STORE LOOKUP'!$C:$G,5,0)</f>
        <v>Store</v>
      </c>
      <c r="L358" s="17" t="str">
        <f>VLOOKUP(C358,'FIN CAL LOOKUP'!A:J,7,1)</f>
        <v>MAY, FY25</v>
      </c>
      <c r="M358" s="17" t="str">
        <f>VLOOKUP(C358,'FIN CAL LOOKUP'!A:J,10,1)</f>
        <v>Q4, FY25</v>
      </c>
    </row>
  </sheetData>
  <autoFilter ref="A1:M358" xr:uid="{EBC68AFF-93B8-4137-8394-8658B79779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4C6B-DA45-46C8-96E0-1E65BCBA812F}">
  <sheetPr>
    <tabColor rgb="FF4472C4"/>
  </sheetPr>
  <dimension ref="A1:M14"/>
  <sheetViews>
    <sheetView workbookViewId="0">
      <selection activeCell="D20" sqref="D20:E20"/>
    </sheetView>
  </sheetViews>
  <sheetFormatPr defaultRowHeight="15" x14ac:dyDescent="0.25"/>
  <cols>
    <col min="2" max="2" width="15.5703125" bestFit="1" customWidth="1"/>
    <col min="3" max="3" width="20.85546875" customWidth="1"/>
    <col min="4" max="4" width="19.7109375" bestFit="1" customWidth="1"/>
    <col min="5" max="5" width="18.28515625" customWidth="1"/>
    <col min="6" max="6" width="21" customWidth="1"/>
    <col min="7" max="7" width="27.140625" customWidth="1"/>
    <col min="8" max="8" width="38.42578125" bestFit="1" customWidth="1"/>
    <col min="9" max="9" width="18.140625" bestFit="1" customWidth="1"/>
    <col min="10" max="10" width="27.28515625" customWidth="1"/>
    <col min="11" max="11" width="11.7109375" customWidth="1"/>
    <col min="12" max="12" width="10.7109375" customWidth="1"/>
    <col min="13" max="13" width="15.85546875" bestFit="1" customWidth="1"/>
  </cols>
  <sheetData>
    <row r="1" spans="1:13" ht="15.75" thickBot="1" x14ac:dyDescent="0.3">
      <c r="A1" t="s">
        <v>681</v>
      </c>
      <c r="B1" t="s">
        <v>1</v>
      </c>
      <c r="C1" t="s">
        <v>682</v>
      </c>
      <c r="D1" t="s">
        <v>3</v>
      </c>
      <c r="E1" t="s">
        <v>683</v>
      </c>
      <c r="F1" t="s">
        <v>684</v>
      </c>
      <c r="G1" t="s">
        <v>685</v>
      </c>
      <c r="H1" t="s">
        <v>686</v>
      </c>
      <c r="I1" s="18" t="s">
        <v>810</v>
      </c>
      <c r="J1" s="18" t="s">
        <v>812</v>
      </c>
      <c r="K1" s="18" t="s">
        <v>1617</v>
      </c>
      <c r="L1" s="16" t="s">
        <v>1599</v>
      </c>
      <c r="M1" s="16" t="s">
        <v>1600</v>
      </c>
    </row>
    <row r="2" spans="1:13" x14ac:dyDescent="0.25">
      <c r="A2" t="s">
        <v>687</v>
      </c>
      <c r="B2" s="1">
        <v>45589.823611111111</v>
      </c>
      <c r="C2" s="1">
        <v>45589.690972222219</v>
      </c>
      <c r="D2" t="s">
        <v>324</v>
      </c>
      <c r="E2" t="s">
        <v>688</v>
      </c>
      <c r="F2" t="s">
        <v>689</v>
      </c>
      <c r="G2" t="s">
        <v>20</v>
      </c>
      <c r="H2" t="s">
        <v>21</v>
      </c>
      <c r="I2" s="19" t="str">
        <f>VLOOKUP(G2,'STORE LOOKUP'!$C:$G,2,0)</f>
        <v>SA/NT</v>
      </c>
      <c r="J2" s="19" t="str">
        <f>VLOOKUP(G2,'STORE LOOKUP'!$C:$G,4,0)</f>
        <v>Spotlight AU</v>
      </c>
      <c r="K2" s="19" t="str">
        <f>VLOOKUP(G2,'STORE LOOKUP'!$C:$G,5,0)</f>
        <v>Store</v>
      </c>
      <c r="L2" s="17" t="str">
        <f>VLOOKUP(C2,'FIN CAL LOOKUP'!A:J,7,1)</f>
        <v>OCT, FY25</v>
      </c>
      <c r="M2" s="17" t="str">
        <f>VLOOKUP(C2,'FIN CAL LOOKUP'!A:J,10,1)</f>
        <v>Q2, FY25</v>
      </c>
    </row>
    <row r="3" spans="1:13" x14ac:dyDescent="0.25">
      <c r="A3" t="s">
        <v>690</v>
      </c>
      <c r="B3" s="1">
        <v>45589.836111111108</v>
      </c>
      <c r="C3" s="1">
        <v>45589.690972222219</v>
      </c>
      <c r="D3" t="s">
        <v>324</v>
      </c>
      <c r="E3" t="s">
        <v>688</v>
      </c>
      <c r="F3" t="s">
        <v>689</v>
      </c>
      <c r="G3" t="s">
        <v>20</v>
      </c>
      <c r="H3" t="s">
        <v>21</v>
      </c>
      <c r="I3" s="19" t="str">
        <f>VLOOKUP(G3,'STORE LOOKUP'!$C:$G,2,0)</f>
        <v>SA/NT</v>
      </c>
      <c r="J3" s="19" t="str">
        <f>VLOOKUP(G3,'STORE LOOKUP'!$C:$G,4,0)</f>
        <v>Spotlight AU</v>
      </c>
      <c r="K3" s="19" t="str">
        <f>VLOOKUP(G3,'STORE LOOKUP'!$C:$G,5,0)</f>
        <v>Store</v>
      </c>
      <c r="L3" s="17" t="str">
        <f>VLOOKUP(C3,'FIN CAL LOOKUP'!A:J,7,1)</f>
        <v>OCT, FY25</v>
      </c>
      <c r="M3" s="17" t="str">
        <f>VLOOKUP(C3,'FIN CAL LOOKUP'!A:J,10,1)</f>
        <v>Q2, FY25</v>
      </c>
    </row>
    <row r="4" spans="1:13" x14ac:dyDescent="0.25">
      <c r="A4" t="s">
        <v>691</v>
      </c>
      <c r="B4" s="1">
        <v>45591.512499999997</v>
      </c>
      <c r="C4" s="1">
        <v>45589.666666666664</v>
      </c>
      <c r="D4" t="s">
        <v>692</v>
      </c>
      <c r="E4" t="s">
        <v>688</v>
      </c>
      <c r="F4" t="s">
        <v>693</v>
      </c>
      <c r="G4" t="s">
        <v>694</v>
      </c>
      <c r="H4" t="s">
        <v>135</v>
      </c>
      <c r="I4" s="19" t="str">
        <f>VLOOKUP(G4,'STORE LOOKUP'!$C:$G,2,0)</f>
        <v>NSW South / ACT</v>
      </c>
      <c r="J4" s="19" t="str">
        <f>VLOOKUP(G4,'STORE LOOKUP'!$C:$G,4,0)</f>
        <v>Spotlight AU</v>
      </c>
      <c r="K4" s="19" t="str">
        <f>VLOOKUP(G4,'STORE LOOKUP'!$C:$G,5,0)</f>
        <v>Store</v>
      </c>
      <c r="L4" s="17" t="str">
        <f>VLOOKUP(C4,'FIN CAL LOOKUP'!A:J,7,1)</f>
        <v>OCT, FY25</v>
      </c>
      <c r="M4" s="17" t="str">
        <f>VLOOKUP(C4,'FIN CAL LOOKUP'!A:J,10,1)</f>
        <v>Q2, FY25</v>
      </c>
    </row>
    <row r="5" spans="1:13" x14ac:dyDescent="0.25">
      <c r="A5" t="s">
        <v>695</v>
      </c>
      <c r="B5" s="1">
        <v>45593.556944444441</v>
      </c>
      <c r="C5" s="1">
        <v>45592.708333333336</v>
      </c>
      <c r="D5" t="s">
        <v>313</v>
      </c>
      <c r="E5" t="s">
        <v>688</v>
      </c>
      <c r="F5" t="s">
        <v>696</v>
      </c>
      <c r="G5" t="s">
        <v>314</v>
      </c>
      <c r="H5" t="s">
        <v>110</v>
      </c>
      <c r="I5" s="19" t="str">
        <f>VLOOKUP(G5,'STORE LOOKUP'!$C:$G,2,0)</f>
        <v>New Zealand South</v>
      </c>
      <c r="J5" s="19" t="str">
        <f>VLOOKUP(G5,'STORE LOOKUP'!$C:$G,4,0)</f>
        <v>Spotlight NZ</v>
      </c>
      <c r="K5" s="19" t="str">
        <f>VLOOKUP(G5,'STORE LOOKUP'!$C:$G,5,0)</f>
        <v>Store</v>
      </c>
      <c r="L5" s="17" t="str">
        <f>VLOOKUP(C5,'FIN CAL LOOKUP'!A:J,7,1)</f>
        <v>OCT, FY25</v>
      </c>
      <c r="M5" s="17" t="str">
        <f>VLOOKUP(C5,'FIN CAL LOOKUP'!A:J,10,1)</f>
        <v>Q2, FY25</v>
      </c>
    </row>
    <row r="6" spans="1:13" x14ac:dyDescent="0.25">
      <c r="A6" t="s">
        <v>697</v>
      </c>
      <c r="B6" s="1">
        <v>45593.560416666667</v>
      </c>
      <c r="C6" s="1">
        <v>45589.6875</v>
      </c>
      <c r="D6" t="s">
        <v>698</v>
      </c>
      <c r="E6" t="s">
        <v>688</v>
      </c>
      <c r="F6" t="s">
        <v>693</v>
      </c>
      <c r="G6" t="s">
        <v>20</v>
      </c>
      <c r="H6" t="s">
        <v>21</v>
      </c>
      <c r="I6" s="19" t="str">
        <f>VLOOKUP(G6,'STORE LOOKUP'!$C:$G,2,0)</f>
        <v>SA/NT</v>
      </c>
      <c r="J6" s="19" t="str">
        <f>VLOOKUP(G6,'STORE LOOKUP'!$C:$G,4,0)</f>
        <v>Spotlight AU</v>
      </c>
      <c r="K6" s="19" t="str">
        <f>VLOOKUP(G6,'STORE LOOKUP'!$C:$G,5,0)</f>
        <v>Store</v>
      </c>
      <c r="L6" s="17" t="str">
        <f>VLOOKUP(C6,'FIN CAL LOOKUP'!A:J,7,1)</f>
        <v>OCT, FY25</v>
      </c>
      <c r="M6" s="17" t="str">
        <f>VLOOKUP(C6,'FIN CAL LOOKUP'!A:J,10,1)</f>
        <v>Q2, FY25</v>
      </c>
    </row>
    <row r="7" spans="1:13" x14ac:dyDescent="0.25">
      <c r="A7" t="s">
        <v>699</v>
      </c>
      <c r="B7" s="1">
        <v>45596.470138888886</v>
      </c>
      <c r="C7" s="1">
        <v>45596.451388888891</v>
      </c>
      <c r="D7" t="s">
        <v>566</v>
      </c>
      <c r="E7" t="s">
        <v>688</v>
      </c>
      <c r="F7" t="s">
        <v>693</v>
      </c>
      <c r="G7" t="s">
        <v>567</v>
      </c>
      <c r="H7" t="s">
        <v>56</v>
      </c>
      <c r="I7" s="19" t="str">
        <f>VLOOKUP(G7,'STORE LOOKUP'!$C:$G,2,0)</f>
        <v>VIC West</v>
      </c>
      <c r="J7" s="19" t="str">
        <f>VLOOKUP(G7,'STORE LOOKUP'!$C:$G,4,0)</f>
        <v>Spotlight AU</v>
      </c>
      <c r="K7" s="19" t="str">
        <f>VLOOKUP(G7,'STORE LOOKUP'!$C:$G,5,0)</f>
        <v>Store</v>
      </c>
      <c r="L7" s="17" t="str">
        <f>VLOOKUP(C7,'FIN CAL LOOKUP'!A:J,7,1)</f>
        <v>NOV, FY25</v>
      </c>
      <c r="M7" s="17" t="str">
        <f>VLOOKUP(C7,'FIN CAL LOOKUP'!A:J,10,1)</f>
        <v>Q2, FY25</v>
      </c>
    </row>
    <row r="8" spans="1:13" x14ac:dyDescent="0.25">
      <c r="A8" t="s">
        <v>700</v>
      </c>
      <c r="B8" s="1">
        <v>45654.652083333334</v>
      </c>
      <c r="C8" s="1">
        <v>45654.571527777778</v>
      </c>
      <c r="D8" t="s">
        <v>701</v>
      </c>
      <c r="E8" t="s">
        <v>688</v>
      </c>
      <c r="F8" t="s">
        <v>702</v>
      </c>
      <c r="G8" t="s">
        <v>703</v>
      </c>
      <c r="H8" t="s">
        <v>88</v>
      </c>
      <c r="I8" s="19" t="str">
        <f>VLOOKUP(G8,'STORE LOOKUP'!$C:$G,2,0)</f>
        <v>NSW North</v>
      </c>
      <c r="J8" s="19" t="str">
        <f>VLOOKUP(G8,'STORE LOOKUP'!$C:$G,4,0)</f>
        <v>Anaconda</v>
      </c>
      <c r="K8" s="19" t="str">
        <f>VLOOKUP(G8,'STORE LOOKUP'!$C:$G,5,0)</f>
        <v>Store</v>
      </c>
      <c r="L8" s="17" t="str">
        <f>VLOOKUP(C8,'FIN CAL LOOKUP'!A:J,7,1)</f>
        <v>DEC, FY25</v>
      </c>
      <c r="M8" s="17" t="str">
        <f>VLOOKUP(C8,'FIN CAL LOOKUP'!A:J,10,1)</f>
        <v>Q2, FY25</v>
      </c>
    </row>
    <row r="9" spans="1:13" x14ac:dyDescent="0.25">
      <c r="A9" t="s">
        <v>704</v>
      </c>
      <c r="B9" s="1">
        <v>45654.69027777778</v>
      </c>
      <c r="C9" s="1">
        <v>45654.571527777778</v>
      </c>
      <c r="D9" t="s">
        <v>701</v>
      </c>
      <c r="E9" t="s">
        <v>688</v>
      </c>
      <c r="F9" t="s">
        <v>705</v>
      </c>
      <c r="G9" t="s">
        <v>703</v>
      </c>
      <c r="H9" t="s">
        <v>88</v>
      </c>
      <c r="I9" s="19" t="str">
        <f>VLOOKUP(G9,'STORE LOOKUP'!$C:$G,2,0)</f>
        <v>NSW North</v>
      </c>
      <c r="J9" s="19" t="str">
        <f>VLOOKUP(G9,'STORE LOOKUP'!$C:$G,4,0)</f>
        <v>Anaconda</v>
      </c>
      <c r="K9" s="19" t="str">
        <f>VLOOKUP(G9,'STORE LOOKUP'!$C:$G,5,0)</f>
        <v>Store</v>
      </c>
      <c r="L9" s="17" t="str">
        <f>VLOOKUP(C9,'FIN CAL LOOKUP'!A:J,7,1)</f>
        <v>DEC, FY25</v>
      </c>
      <c r="M9" s="17" t="str">
        <f>VLOOKUP(C9,'FIN CAL LOOKUP'!A:J,10,1)</f>
        <v>Q2, FY25</v>
      </c>
    </row>
    <row r="10" spans="1:13" x14ac:dyDescent="0.25">
      <c r="A10" t="s">
        <v>706</v>
      </c>
      <c r="B10" s="1">
        <v>45748.456944444442</v>
      </c>
      <c r="C10" s="1">
        <v>45745.429166666669</v>
      </c>
      <c r="D10" t="s">
        <v>360</v>
      </c>
      <c r="E10" t="s">
        <v>688</v>
      </c>
      <c r="F10" t="s">
        <v>693</v>
      </c>
      <c r="G10" t="s">
        <v>361</v>
      </c>
      <c r="H10" t="s">
        <v>99</v>
      </c>
      <c r="I10" s="19" t="str">
        <f>VLOOKUP(G10,'STORE LOOKUP'!$C:$G,2,0)</f>
        <v>SA/TAS</v>
      </c>
      <c r="J10" s="19" t="str">
        <f>VLOOKUP(G10,'STORE LOOKUP'!$C:$G,4,0)</f>
        <v>Harris Scarfe</v>
      </c>
      <c r="K10" s="19" t="str">
        <f>VLOOKUP(G10,'STORE LOOKUP'!$C:$G,5,0)</f>
        <v>Store</v>
      </c>
      <c r="L10" s="17" t="str">
        <f>VLOOKUP(C10,'FIN CAL LOOKUP'!A:J,7,1)</f>
        <v>MAR, FY25</v>
      </c>
      <c r="M10" s="17" t="str">
        <f>VLOOKUP(C10,'FIN CAL LOOKUP'!A:J,10,1)</f>
        <v>Q3, FY25</v>
      </c>
    </row>
    <row r="11" spans="1:13" x14ac:dyDescent="0.25">
      <c r="A11" t="s">
        <v>707</v>
      </c>
      <c r="B11" s="1">
        <v>45754.651388888888</v>
      </c>
      <c r="C11" s="1">
        <v>45753.625</v>
      </c>
      <c r="D11" t="s">
        <v>155</v>
      </c>
      <c r="E11" t="s">
        <v>688</v>
      </c>
      <c r="F11" t="s">
        <v>689</v>
      </c>
      <c r="G11" t="s">
        <v>156</v>
      </c>
      <c r="H11" t="s">
        <v>56</v>
      </c>
      <c r="I11" s="19" t="str">
        <f>VLOOKUP(G11,'STORE LOOKUP'!$C:$G,2,0)</f>
        <v>VIC East</v>
      </c>
      <c r="J11" s="19" t="str">
        <f>VLOOKUP(G11,'STORE LOOKUP'!$C:$G,4,0)</f>
        <v>Spotlight AU</v>
      </c>
      <c r="K11" s="19" t="str">
        <f>VLOOKUP(G11,'STORE LOOKUP'!$C:$G,5,0)</f>
        <v>Store</v>
      </c>
      <c r="L11" s="17" t="str">
        <f>VLOOKUP(C11,'FIN CAL LOOKUP'!A:J,7,1)</f>
        <v>APR, FY25</v>
      </c>
      <c r="M11" s="17" t="str">
        <f>VLOOKUP(C11,'FIN CAL LOOKUP'!A:J,10,1)</f>
        <v>Q4, FY25</v>
      </c>
    </row>
    <row r="12" spans="1:13" x14ac:dyDescent="0.25">
      <c r="A12" t="s">
        <v>708</v>
      </c>
      <c r="B12" s="1">
        <v>45771.611111111109</v>
      </c>
      <c r="C12" s="1">
        <v>45771.565972222219</v>
      </c>
      <c r="D12" t="s">
        <v>709</v>
      </c>
      <c r="E12" t="s">
        <v>688</v>
      </c>
      <c r="F12" t="s">
        <v>696</v>
      </c>
      <c r="G12" t="s">
        <v>710</v>
      </c>
      <c r="H12" t="s">
        <v>120</v>
      </c>
      <c r="I12" s="19" t="str">
        <f>VLOOKUP(G12,'STORE LOOKUP'!$C:$G,2,0)</f>
        <v>VIC</v>
      </c>
      <c r="J12" s="19" t="str">
        <f>VLOOKUP(G12,'STORE LOOKUP'!$C:$G,4,0)</f>
        <v>Harris Scarfe</v>
      </c>
      <c r="K12" s="19" t="str">
        <f>VLOOKUP(G12,'STORE LOOKUP'!$C:$G,5,0)</f>
        <v>Store</v>
      </c>
      <c r="L12" s="17" t="str">
        <f>VLOOKUP(C12,'FIN CAL LOOKUP'!A:J,7,1)</f>
        <v>APR, FY25</v>
      </c>
      <c r="M12" s="17" t="str">
        <f>VLOOKUP(C12,'FIN CAL LOOKUP'!A:J,10,1)</f>
        <v>Q4, FY25</v>
      </c>
    </row>
    <row r="13" spans="1:13" x14ac:dyDescent="0.25">
      <c r="A13" t="s">
        <v>1629</v>
      </c>
      <c r="B13" s="1">
        <v>45796.581250000003</v>
      </c>
      <c r="C13" s="1">
        <v>45795.659722222219</v>
      </c>
      <c r="D13" t="s">
        <v>1630</v>
      </c>
      <c r="E13" t="s">
        <v>1631</v>
      </c>
      <c r="F13" t="s">
        <v>696</v>
      </c>
      <c r="G13" t="s">
        <v>1632</v>
      </c>
      <c r="H13" t="s">
        <v>52</v>
      </c>
      <c r="I13" s="19" t="str">
        <f>VLOOKUP(G13,'STORE LOOKUP'!$C:$G,2,0)</f>
        <v>QLD North</v>
      </c>
      <c r="J13" s="19" t="str">
        <f>VLOOKUP(G13,'STORE LOOKUP'!$C:$G,4,0)</f>
        <v>Spotlight AU</v>
      </c>
      <c r="K13" s="19" t="str">
        <f>VLOOKUP(G13,'STORE LOOKUP'!$C:$G,5,0)</f>
        <v>Store</v>
      </c>
      <c r="L13" s="17" t="str">
        <f>VLOOKUP(C13,'FIN CAL LOOKUP'!A:J,7,1)</f>
        <v>MAY, FY25</v>
      </c>
      <c r="M13" s="17" t="str">
        <f>VLOOKUP(C13,'FIN CAL LOOKUP'!A:J,10,1)</f>
        <v>Q4, FY25</v>
      </c>
    </row>
    <row r="14" spans="1:13" x14ac:dyDescent="0.25">
      <c r="A14" t="s">
        <v>1633</v>
      </c>
      <c r="B14" s="1">
        <v>45807.635416666664</v>
      </c>
      <c r="C14" s="1">
        <v>45807.5625</v>
      </c>
      <c r="D14" t="s">
        <v>1634</v>
      </c>
      <c r="E14" t="s">
        <v>1635</v>
      </c>
      <c r="F14" t="s">
        <v>1636</v>
      </c>
      <c r="G14" t="s">
        <v>1637</v>
      </c>
      <c r="H14" t="s">
        <v>52</v>
      </c>
      <c r="I14" s="19" t="str">
        <f>VLOOKUP(G14,'STORE LOOKUP'!$C:$G,2,0)</f>
        <v>NSW North / QLD South</v>
      </c>
      <c r="J14" s="19" t="str">
        <f>VLOOKUP(G14,'STORE LOOKUP'!$C:$G,4,0)</f>
        <v>Spotlight AU</v>
      </c>
      <c r="K14" s="19" t="str">
        <f>VLOOKUP(G14,'STORE LOOKUP'!$C:$G,5,0)</f>
        <v>Store</v>
      </c>
      <c r="L14" s="17" t="str">
        <f>VLOOKUP(C14,'FIN CAL LOOKUP'!A:J,7,1)</f>
        <v>MAY, FY25</v>
      </c>
      <c r="M14" s="17" t="str">
        <f>VLOOKUP(C14,'FIN CAL LOOKUP'!A:J,10,1)</f>
        <v>Q4, FY25</v>
      </c>
    </row>
  </sheetData>
  <autoFilter ref="A1:M12" xr:uid="{244F4C6B-DA45-46C8-96E0-1E65BCBA812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91FF-363A-42EF-9E92-835570D199D7}">
  <sheetPr>
    <tabColor theme="6"/>
  </sheetPr>
  <dimension ref="A1:G433"/>
  <sheetViews>
    <sheetView topLeftCell="A283" zoomScale="145" zoomScaleNormal="145" workbookViewId="0">
      <selection activeCell="C297" sqref="C297"/>
    </sheetView>
  </sheetViews>
  <sheetFormatPr defaultRowHeight="15" x14ac:dyDescent="0.25"/>
  <cols>
    <col min="1" max="1" width="9.140625" style="13"/>
    <col min="2" max="3" width="14.140625" style="14" customWidth="1"/>
    <col min="4" max="4" width="17.7109375" style="15" bestFit="1" customWidth="1"/>
    <col min="5" max="5" width="9.140625" style="14"/>
    <col min="6" max="6" width="19" style="14" customWidth="1"/>
    <col min="7" max="7" width="9.140625" style="14"/>
  </cols>
  <sheetData>
    <row r="1" spans="1:7" ht="22.5" x14ac:dyDescent="0.25">
      <c r="A1" s="4" t="s">
        <v>808</v>
      </c>
      <c r="B1" s="5" t="s">
        <v>809</v>
      </c>
      <c r="C1" s="5" t="s">
        <v>1492</v>
      </c>
      <c r="D1" s="5" t="s">
        <v>810</v>
      </c>
      <c r="E1" s="5" t="s">
        <v>811</v>
      </c>
      <c r="F1" s="5" t="s">
        <v>812</v>
      </c>
      <c r="G1" s="5" t="s">
        <v>813</v>
      </c>
    </row>
    <row r="2" spans="1:7" x14ac:dyDescent="0.25">
      <c r="A2" s="6" t="s">
        <v>814</v>
      </c>
      <c r="B2" s="6" t="s">
        <v>815</v>
      </c>
      <c r="C2" s="6" t="str">
        <f t="shared" ref="C2:C65" si="0">A2&amp;" "&amp;B2</f>
        <v>A004 Everton Park</v>
      </c>
      <c r="D2" s="6" t="s">
        <v>816</v>
      </c>
      <c r="E2" s="6" t="s">
        <v>817</v>
      </c>
      <c r="F2" s="6" t="s">
        <v>818</v>
      </c>
      <c r="G2" s="6" t="s">
        <v>819</v>
      </c>
    </row>
    <row r="3" spans="1:7" x14ac:dyDescent="0.25">
      <c r="A3" s="6" t="s">
        <v>820</v>
      </c>
      <c r="B3" s="6" t="s">
        <v>821</v>
      </c>
      <c r="C3" s="6" t="str">
        <f t="shared" si="0"/>
        <v>A005 Townsville</v>
      </c>
      <c r="D3" s="6" t="s">
        <v>816</v>
      </c>
      <c r="E3" s="6" t="s">
        <v>817</v>
      </c>
      <c r="F3" s="6" t="s">
        <v>818</v>
      </c>
      <c r="G3" s="6" t="s">
        <v>819</v>
      </c>
    </row>
    <row r="4" spans="1:7" x14ac:dyDescent="0.25">
      <c r="A4" s="6" t="s">
        <v>822</v>
      </c>
      <c r="B4" s="6" t="s">
        <v>823</v>
      </c>
      <c r="C4" s="6" t="str">
        <f t="shared" si="0"/>
        <v>A037 Cairns</v>
      </c>
      <c r="D4" s="6" t="s">
        <v>816</v>
      </c>
      <c r="E4" s="6" t="s">
        <v>817</v>
      </c>
      <c r="F4" s="6" t="s">
        <v>818</v>
      </c>
      <c r="G4" s="6" t="s">
        <v>819</v>
      </c>
    </row>
    <row r="5" spans="1:7" x14ac:dyDescent="0.25">
      <c r="A5" s="6" t="s">
        <v>824</v>
      </c>
      <c r="B5" s="6" t="s">
        <v>825</v>
      </c>
      <c r="C5" s="6" t="str">
        <f t="shared" si="0"/>
        <v>A048 Chermside</v>
      </c>
      <c r="D5" s="6" t="s">
        <v>816</v>
      </c>
      <c r="E5" s="6" t="s">
        <v>817</v>
      </c>
      <c r="F5" s="6" t="s">
        <v>818</v>
      </c>
      <c r="G5" s="6" t="s">
        <v>819</v>
      </c>
    </row>
    <row r="6" spans="1:7" x14ac:dyDescent="0.25">
      <c r="A6" s="6" t="s">
        <v>826</v>
      </c>
      <c r="B6" s="6" t="s">
        <v>827</v>
      </c>
      <c r="C6" s="6" t="str">
        <f t="shared" si="0"/>
        <v>A076 Smithfield</v>
      </c>
      <c r="D6" s="6" t="s">
        <v>816</v>
      </c>
      <c r="E6" s="6" t="s">
        <v>817</v>
      </c>
      <c r="F6" s="6" t="s">
        <v>818</v>
      </c>
      <c r="G6" s="6" t="s">
        <v>819</v>
      </c>
    </row>
    <row r="7" spans="1:7" x14ac:dyDescent="0.25">
      <c r="A7" s="6" t="s">
        <v>828</v>
      </c>
      <c r="B7" s="6" t="s">
        <v>829</v>
      </c>
      <c r="C7" s="6" t="str">
        <f t="shared" si="0"/>
        <v>A018 Kawana</v>
      </c>
      <c r="D7" s="6" t="s">
        <v>816</v>
      </c>
      <c r="E7" s="6" t="s">
        <v>817</v>
      </c>
      <c r="F7" s="6" t="s">
        <v>818</v>
      </c>
      <c r="G7" s="6" t="s">
        <v>819</v>
      </c>
    </row>
    <row r="8" spans="1:7" x14ac:dyDescent="0.25">
      <c r="A8" s="6" t="s">
        <v>830</v>
      </c>
      <c r="B8" s="6" t="s">
        <v>831</v>
      </c>
      <c r="C8" s="6" t="str">
        <f t="shared" si="0"/>
        <v>A063 Maroochydore</v>
      </c>
      <c r="D8" s="6" t="s">
        <v>816</v>
      </c>
      <c r="E8" s="6" t="s">
        <v>817</v>
      </c>
      <c r="F8" s="6" t="s">
        <v>818</v>
      </c>
      <c r="G8" s="6" t="s">
        <v>819</v>
      </c>
    </row>
    <row r="9" spans="1:7" x14ac:dyDescent="0.25">
      <c r="A9" s="6" t="s">
        <v>832</v>
      </c>
      <c r="B9" s="6" t="s">
        <v>833</v>
      </c>
      <c r="C9" s="6" t="str">
        <f t="shared" si="0"/>
        <v>A031 Port Macquarie</v>
      </c>
      <c r="D9" s="6" t="s">
        <v>816</v>
      </c>
      <c r="E9" s="6" t="s">
        <v>817</v>
      </c>
      <c r="F9" s="6" t="s">
        <v>818</v>
      </c>
      <c r="G9" s="6" t="s">
        <v>819</v>
      </c>
    </row>
    <row r="10" spans="1:7" x14ac:dyDescent="0.25">
      <c r="A10" s="6" t="s">
        <v>834</v>
      </c>
      <c r="B10" s="6" t="s">
        <v>835</v>
      </c>
      <c r="C10" s="6" t="str">
        <f t="shared" si="0"/>
        <v>A068 Coffs Harbour</v>
      </c>
      <c r="D10" s="6" t="s">
        <v>816</v>
      </c>
      <c r="E10" s="6" t="s">
        <v>817</v>
      </c>
      <c r="F10" s="6" t="s">
        <v>818</v>
      </c>
      <c r="G10" s="6" t="s">
        <v>819</v>
      </c>
    </row>
    <row r="11" spans="1:7" x14ac:dyDescent="0.25">
      <c r="A11" s="6" t="s">
        <v>836</v>
      </c>
      <c r="B11" s="6" t="s">
        <v>837</v>
      </c>
      <c r="C11" s="6" t="str">
        <f t="shared" si="0"/>
        <v>A023 West Gosford</v>
      </c>
      <c r="D11" s="6" t="s">
        <v>838</v>
      </c>
      <c r="E11" s="6" t="s">
        <v>817</v>
      </c>
      <c r="F11" s="6" t="s">
        <v>818</v>
      </c>
      <c r="G11" s="6" t="s">
        <v>819</v>
      </c>
    </row>
    <row r="12" spans="1:7" x14ac:dyDescent="0.25">
      <c r="A12" s="6" t="s">
        <v>839</v>
      </c>
      <c r="B12" s="6" t="s">
        <v>840</v>
      </c>
      <c r="C12" s="6" t="str">
        <f t="shared" si="0"/>
        <v>A025 Belrose</v>
      </c>
      <c r="D12" s="6" t="s">
        <v>838</v>
      </c>
      <c r="E12" s="6" t="s">
        <v>817</v>
      </c>
      <c r="F12" s="6" t="s">
        <v>818</v>
      </c>
      <c r="G12" s="6" t="s">
        <v>819</v>
      </c>
    </row>
    <row r="13" spans="1:7" x14ac:dyDescent="0.25">
      <c r="A13" s="6" t="s">
        <v>841</v>
      </c>
      <c r="B13" s="6" t="s">
        <v>842</v>
      </c>
      <c r="C13" s="6" t="str">
        <f t="shared" si="0"/>
        <v>A029 Bennetts Green</v>
      </c>
      <c r="D13" s="6" t="s">
        <v>838</v>
      </c>
      <c r="E13" s="6" t="s">
        <v>817</v>
      </c>
      <c r="F13" s="6" t="s">
        <v>818</v>
      </c>
      <c r="G13" s="6" t="s">
        <v>819</v>
      </c>
    </row>
    <row r="14" spans="1:7" x14ac:dyDescent="0.25">
      <c r="A14" s="6" t="s">
        <v>843</v>
      </c>
      <c r="B14" s="6" t="s">
        <v>1596</v>
      </c>
      <c r="C14" s="6" t="str">
        <f t="shared" si="0"/>
        <v>A044 Warringah Mall</v>
      </c>
      <c r="D14" s="6" t="s">
        <v>838</v>
      </c>
      <c r="E14" s="6" t="s">
        <v>817</v>
      </c>
      <c r="F14" s="6" t="s">
        <v>818</v>
      </c>
      <c r="G14" s="6" t="s">
        <v>819</v>
      </c>
    </row>
    <row r="15" spans="1:7" x14ac:dyDescent="0.25">
      <c r="A15" s="6" t="s">
        <v>844</v>
      </c>
      <c r="B15" s="6" t="s">
        <v>845</v>
      </c>
      <c r="C15" s="6" t="str">
        <f t="shared" si="0"/>
        <v>A051 Rutherford</v>
      </c>
      <c r="D15" s="6" t="s">
        <v>838</v>
      </c>
      <c r="E15" s="6" t="s">
        <v>817</v>
      </c>
      <c r="F15" s="6" t="s">
        <v>818</v>
      </c>
      <c r="G15" s="6" t="s">
        <v>819</v>
      </c>
    </row>
    <row r="16" spans="1:7" x14ac:dyDescent="0.25">
      <c r="A16" s="6" t="s">
        <v>846</v>
      </c>
      <c r="B16" s="6" t="s">
        <v>847</v>
      </c>
      <c r="C16" s="6" t="str">
        <f t="shared" si="0"/>
        <v>A059 Chatswood</v>
      </c>
      <c r="D16" s="6" t="s">
        <v>838</v>
      </c>
      <c r="E16" s="6" t="s">
        <v>817</v>
      </c>
      <c r="F16" s="6" t="s">
        <v>818</v>
      </c>
      <c r="G16" s="6" t="s">
        <v>819</v>
      </c>
    </row>
    <row r="17" spans="1:7" x14ac:dyDescent="0.25">
      <c r="A17" s="6" t="s">
        <v>848</v>
      </c>
      <c r="B17" s="6" t="s">
        <v>849</v>
      </c>
      <c r="C17" s="6" t="str">
        <f t="shared" si="0"/>
        <v>A061 Marsden Park</v>
      </c>
      <c r="D17" s="6" t="s">
        <v>838</v>
      </c>
      <c r="E17" s="6" t="s">
        <v>817</v>
      </c>
      <c r="F17" s="6" t="s">
        <v>818</v>
      </c>
      <c r="G17" s="6" t="s">
        <v>819</v>
      </c>
    </row>
    <row r="18" spans="1:7" x14ac:dyDescent="0.25">
      <c r="A18" s="6" t="s">
        <v>850</v>
      </c>
      <c r="B18" s="6" t="s">
        <v>851</v>
      </c>
      <c r="C18" s="6" t="str">
        <f t="shared" si="0"/>
        <v>A082 Dubbo</v>
      </c>
      <c r="D18" s="6" t="s">
        <v>838</v>
      </c>
      <c r="E18" s="6" t="s">
        <v>817</v>
      </c>
      <c r="F18" s="6" t="s">
        <v>818</v>
      </c>
      <c r="G18" s="6" t="s">
        <v>819</v>
      </c>
    </row>
    <row r="19" spans="1:7" x14ac:dyDescent="0.25">
      <c r="A19" s="6" t="s">
        <v>852</v>
      </c>
      <c r="B19" s="7" t="s">
        <v>853</v>
      </c>
      <c r="C19" s="6" t="str">
        <f t="shared" si="0"/>
        <v>A092 Bathurst</v>
      </c>
      <c r="D19" s="6" t="s">
        <v>838</v>
      </c>
      <c r="E19" s="7" t="s">
        <v>817</v>
      </c>
      <c r="F19" s="7" t="s">
        <v>818</v>
      </c>
      <c r="G19" s="7" t="s">
        <v>819</v>
      </c>
    </row>
    <row r="20" spans="1:7" x14ac:dyDescent="0.25">
      <c r="A20" s="6" t="s">
        <v>854</v>
      </c>
      <c r="B20" s="7" t="s">
        <v>855</v>
      </c>
      <c r="C20" s="6" t="str">
        <f t="shared" si="0"/>
        <v>A096 Heatherbrae</v>
      </c>
      <c r="D20" s="6" t="s">
        <v>838</v>
      </c>
      <c r="E20" s="7" t="s">
        <v>817</v>
      </c>
      <c r="F20" s="7" t="s">
        <v>818</v>
      </c>
      <c r="G20" s="7" t="s">
        <v>819</v>
      </c>
    </row>
    <row r="21" spans="1:7" x14ac:dyDescent="0.25">
      <c r="A21" s="6" t="s">
        <v>856</v>
      </c>
      <c r="B21" s="6" t="s">
        <v>857</v>
      </c>
      <c r="C21" s="6" t="str">
        <f t="shared" si="0"/>
        <v>A015 Moore Park</v>
      </c>
      <c r="D21" s="6" t="s">
        <v>858</v>
      </c>
      <c r="E21" s="6" t="s">
        <v>817</v>
      </c>
      <c r="F21" s="6" t="s">
        <v>818</v>
      </c>
      <c r="G21" s="6" t="s">
        <v>819</v>
      </c>
    </row>
    <row r="22" spans="1:7" x14ac:dyDescent="0.25">
      <c r="A22" s="6" t="s">
        <v>859</v>
      </c>
      <c r="B22" s="6" t="s">
        <v>1593</v>
      </c>
      <c r="C22" s="6" t="str">
        <f t="shared" si="0"/>
        <v>A006 Chullora (AHQ)</v>
      </c>
      <c r="D22" s="8" t="s">
        <v>858</v>
      </c>
      <c r="E22" s="6" t="s">
        <v>817</v>
      </c>
      <c r="F22" s="6" t="s">
        <v>818</v>
      </c>
      <c r="G22" s="6" t="s">
        <v>819</v>
      </c>
    </row>
    <row r="23" spans="1:7" x14ac:dyDescent="0.25">
      <c r="A23" s="6" t="s">
        <v>860</v>
      </c>
      <c r="B23" s="6" t="s">
        <v>861</v>
      </c>
      <c r="C23" s="6" t="str">
        <f t="shared" si="0"/>
        <v>A012 Penrith</v>
      </c>
      <c r="D23" s="8" t="s">
        <v>858</v>
      </c>
      <c r="E23" s="6" t="s">
        <v>817</v>
      </c>
      <c r="F23" s="6" t="s">
        <v>818</v>
      </c>
      <c r="G23" s="6" t="s">
        <v>819</v>
      </c>
    </row>
    <row r="24" spans="1:7" x14ac:dyDescent="0.25">
      <c r="A24" s="6" t="s">
        <v>862</v>
      </c>
      <c r="B24" s="6" t="s">
        <v>863</v>
      </c>
      <c r="C24" s="6" t="str">
        <f t="shared" si="0"/>
        <v>A024 Rockdale</v>
      </c>
      <c r="D24" s="8" t="s">
        <v>858</v>
      </c>
      <c r="E24" s="6" t="s">
        <v>817</v>
      </c>
      <c r="F24" s="6" t="s">
        <v>818</v>
      </c>
      <c r="G24" s="6" t="s">
        <v>819</v>
      </c>
    </row>
    <row r="25" spans="1:7" x14ac:dyDescent="0.25">
      <c r="A25" s="6" t="s">
        <v>864</v>
      </c>
      <c r="B25" s="6" t="s">
        <v>865</v>
      </c>
      <c r="C25" s="6" t="str">
        <f t="shared" si="0"/>
        <v>A033 Wagga Wagga</v>
      </c>
      <c r="D25" s="8" t="s">
        <v>858</v>
      </c>
      <c r="E25" s="6" t="s">
        <v>817</v>
      </c>
      <c r="F25" s="6" t="s">
        <v>818</v>
      </c>
      <c r="G25" s="6" t="s">
        <v>819</v>
      </c>
    </row>
    <row r="26" spans="1:7" x14ac:dyDescent="0.25">
      <c r="A26" s="6" t="s">
        <v>866</v>
      </c>
      <c r="B26" s="6" t="s">
        <v>867</v>
      </c>
      <c r="C26" s="6" t="str">
        <f t="shared" si="0"/>
        <v>A045 Wollongong</v>
      </c>
      <c r="D26" s="8" t="s">
        <v>858</v>
      </c>
      <c r="E26" s="6" t="s">
        <v>817</v>
      </c>
      <c r="F26" s="6" t="s">
        <v>818</v>
      </c>
      <c r="G26" s="6" t="s">
        <v>819</v>
      </c>
    </row>
    <row r="27" spans="1:7" x14ac:dyDescent="0.25">
      <c r="A27" s="6" t="s">
        <v>868</v>
      </c>
      <c r="B27" s="6" t="s">
        <v>869</v>
      </c>
      <c r="C27" s="6" t="str">
        <f t="shared" si="0"/>
        <v>A050 Albury</v>
      </c>
      <c r="D27" s="8" t="s">
        <v>858</v>
      </c>
      <c r="E27" s="6" t="s">
        <v>817</v>
      </c>
      <c r="F27" s="6" t="s">
        <v>818</v>
      </c>
      <c r="G27" s="6" t="s">
        <v>819</v>
      </c>
    </row>
    <row r="28" spans="1:7" x14ac:dyDescent="0.25">
      <c r="A28" s="6" t="s">
        <v>870</v>
      </c>
      <c r="B28" s="6" t="s">
        <v>871</v>
      </c>
      <c r="C28" s="6" t="str">
        <f t="shared" si="0"/>
        <v>A062 Campbelltown</v>
      </c>
      <c r="D28" s="8" t="s">
        <v>858</v>
      </c>
      <c r="E28" s="6" t="s">
        <v>817</v>
      </c>
      <c r="F28" s="6" t="s">
        <v>818</v>
      </c>
      <c r="G28" s="6" t="s">
        <v>819</v>
      </c>
    </row>
    <row r="29" spans="1:7" x14ac:dyDescent="0.25">
      <c r="A29" s="6" t="s">
        <v>872</v>
      </c>
      <c r="B29" s="6" t="s">
        <v>873</v>
      </c>
      <c r="C29" s="6" t="str">
        <f t="shared" si="0"/>
        <v>A073 Eastern Creek</v>
      </c>
      <c r="D29" s="8" t="s">
        <v>858</v>
      </c>
      <c r="E29" s="6" t="s">
        <v>817</v>
      </c>
      <c r="F29" s="6" t="s">
        <v>818</v>
      </c>
      <c r="G29" s="6" t="s">
        <v>819</v>
      </c>
    </row>
    <row r="30" spans="1:7" x14ac:dyDescent="0.25">
      <c r="A30" s="6" t="s">
        <v>874</v>
      </c>
      <c r="B30" s="7" t="s">
        <v>875</v>
      </c>
      <c r="C30" s="6" t="str">
        <f t="shared" si="0"/>
        <v>A086 Nowra</v>
      </c>
      <c r="D30" s="8" t="s">
        <v>858</v>
      </c>
      <c r="E30" s="7" t="s">
        <v>817</v>
      </c>
      <c r="F30" s="7" t="s">
        <v>818</v>
      </c>
      <c r="G30" s="7" t="s">
        <v>819</v>
      </c>
    </row>
    <row r="31" spans="1:7" x14ac:dyDescent="0.25">
      <c r="A31" s="6" t="s">
        <v>876</v>
      </c>
      <c r="B31" s="7" t="s">
        <v>877</v>
      </c>
      <c r="C31" s="6" t="str">
        <f t="shared" si="0"/>
        <v>A091 Albion Park</v>
      </c>
      <c r="D31" s="8" t="s">
        <v>858</v>
      </c>
      <c r="E31" s="7" t="s">
        <v>817</v>
      </c>
      <c r="F31" s="7" t="s">
        <v>818</v>
      </c>
      <c r="G31" s="7" t="s">
        <v>819</v>
      </c>
    </row>
    <row r="32" spans="1:7" x14ac:dyDescent="0.25">
      <c r="A32" s="6" t="s">
        <v>878</v>
      </c>
      <c r="B32" s="6" t="s">
        <v>879</v>
      </c>
      <c r="C32" s="6" t="str">
        <f t="shared" si="0"/>
        <v>A097 Taren Point</v>
      </c>
      <c r="D32" s="6" t="s">
        <v>858</v>
      </c>
      <c r="E32" s="7" t="s">
        <v>817</v>
      </c>
      <c r="F32" s="7" t="s">
        <v>818</v>
      </c>
      <c r="G32" s="7" t="s">
        <v>819</v>
      </c>
    </row>
    <row r="33" spans="1:7" x14ac:dyDescent="0.25">
      <c r="A33" s="6" t="s">
        <v>880</v>
      </c>
      <c r="B33" s="6" t="s">
        <v>881</v>
      </c>
      <c r="C33" s="6" t="str">
        <f t="shared" si="0"/>
        <v>A047 North Lakes</v>
      </c>
      <c r="D33" s="6" t="s">
        <v>882</v>
      </c>
      <c r="E33" s="6" t="s">
        <v>817</v>
      </c>
      <c r="F33" s="6" t="s">
        <v>818</v>
      </c>
      <c r="G33" s="6" t="s">
        <v>819</v>
      </c>
    </row>
    <row r="34" spans="1:7" x14ac:dyDescent="0.25">
      <c r="A34" s="6" t="s">
        <v>883</v>
      </c>
      <c r="B34" s="6" t="s">
        <v>884</v>
      </c>
      <c r="C34" s="6" t="str">
        <f t="shared" si="0"/>
        <v>A049 Tingalpa</v>
      </c>
      <c r="D34" s="6" t="s">
        <v>882</v>
      </c>
      <c r="E34" s="6" t="s">
        <v>817</v>
      </c>
      <c r="F34" s="6" t="s">
        <v>818</v>
      </c>
      <c r="G34" s="6" t="s">
        <v>819</v>
      </c>
    </row>
    <row r="35" spans="1:7" x14ac:dyDescent="0.25">
      <c r="A35" s="6" t="s">
        <v>885</v>
      </c>
      <c r="B35" s="6" t="s">
        <v>886</v>
      </c>
      <c r="C35" s="6" t="str">
        <f t="shared" si="0"/>
        <v>A079 Cleveland</v>
      </c>
      <c r="D35" s="6" t="s">
        <v>882</v>
      </c>
      <c r="E35" s="6" t="s">
        <v>817</v>
      </c>
      <c r="F35" s="6" t="s">
        <v>818</v>
      </c>
      <c r="G35" s="6" t="s">
        <v>819</v>
      </c>
    </row>
    <row r="36" spans="1:7" x14ac:dyDescent="0.25">
      <c r="A36" s="6" t="s">
        <v>887</v>
      </c>
      <c r="B36" s="7" t="s">
        <v>888</v>
      </c>
      <c r="C36" s="6" t="str">
        <f t="shared" si="0"/>
        <v>A087 Hervey Bay</v>
      </c>
      <c r="D36" s="8" t="s">
        <v>882</v>
      </c>
      <c r="E36" s="7" t="s">
        <v>817</v>
      </c>
      <c r="F36" s="7" t="s">
        <v>818</v>
      </c>
      <c r="G36" s="7" t="s">
        <v>819</v>
      </c>
    </row>
    <row r="37" spans="1:7" x14ac:dyDescent="0.25">
      <c r="A37" s="6" t="s">
        <v>889</v>
      </c>
      <c r="B37" s="6" t="s">
        <v>890</v>
      </c>
      <c r="C37" s="6" t="str">
        <f t="shared" si="0"/>
        <v>A002 Ashmore</v>
      </c>
      <c r="D37" s="6" t="s">
        <v>882</v>
      </c>
      <c r="E37" s="6" t="s">
        <v>817</v>
      </c>
      <c r="F37" s="6" t="s">
        <v>818</v>
      </c>
      <c r="G37" s="6" t="s">
        <v>819</v>
      </c>
    </row>
    <row r="38" spans="1:7" x14ac:dyDescent="0.25">
      <c r="A38" s="6" t="s">
        <v>891</v>
      </c>
      <c r="B38" s="6" t="s">
        <v>892</v>
      </c>
      <c r="C38" s="6" t="str">
        <f t="shared" si="0"/>
        <v>A036 West Burleigh</v>
      </c>
      <c r="D38" s="6" t="s">
        <v>882</v>
      </c>
      <c r="E38" s="6" t="s">
        <v>817</v>
      </c>
      <c r="F38" s="6" t="s">
        <v>818</v>
      </c>
      <c r="G38" s="6" t="s">
        <v>819</v>
      </c>
    </row>
    <row r="39" spans="1:7" x14ac:dyDescent="0.25">
      <c r="A39" s="6" t="s">
        <v>893</v>
      </c>
      <c r="B39" s="6" t="s">
        <v>894</v>
      </c>
      <c r="C39" s="6" t="str">
        <f t="shared" si="0"/>
        <v>A016 Morayfield</v>
      </c>
      <c r="D39" s="6" t="s">
        <v>882</v>
      </c>
      <c r="E39" s="6" t="s">
        <v>817</v>
      </c>
      <c r="F39" s="6" t="s">
        <v>818</v>
      </c>
      <c r="G39" s="6" t="s">
        <v>819</v>
      </c>
    </row>
    <row r="40" spans="1:7" x14ac:dyDescent="0.25">
      <c r="A40" s="6" t="s">
        <v>895</v>
      </c>
      <c r="B40" s="6" t="s">
        <v>896</v>
      </c>
      <c r="C40" s="6" t="str">
        <f t="shared" si="0"/>
        <v>A089 Bundaberg</v>
      </c>
      <c r="D40" s="6" t="s">
        <v>882</v>
      </c>
      <c r="E40" s="6" t="s">
        <v>817</v>
      </c>
      <c r="F40" s="6" t="s">
        <v>818</v>
      </c>
      <c r="G40" s="6" t="s">
        <v>819</v>
      </c>
    </row>
    <row r="41" spans="1:7" x14ac:dyDescent="0.25">
      <c r="A41" s="9" t="s">
        <v>897</v>
      </c>
      <c r="B41" s="6" t="s">
        <v>898</v>
      </c>
      <c r="C41" s="6" t="str">
        <f t="shared" si="0"/>
        <v>A083 Mt Gravatt</v>
      </c>
      <c r="D41" s="6" t="s">
        <v>882</v>
      </c>
      <c r="E41" s="6" t="s">
        <v>817</v>
      </c>
      <c r="F41" s="6" t="s">
        <v>818</v>
      </c>
      <c r="G41" s="6" t="s">
        <v>819</v>
      </c>
    </row>
    <row r="42" spans="1:7" x14ac:dyDescent="0.25">
      <c r="A42" s="6" t="s">
        <v>899</v>
      </c>
      <c r="B42" s="6" t="s">
        <v>900</v>
      </c>
      <c r="C42" s="6" t="str">
        <f t="shared" si="0"/>
        <v>A007 Logan</v>
      </c>
      <c r="D42" s="6" t="s">
        <v>901</v>
      </c>
      <c r="E42" s="6" t="s">
        <v>817</v>
      </c>
      <c r="F42" s="6" t="s">
        <v>818</v>
      </c>
      <c r="G42" s="6" t="s">
        <v>819</v>
      </c>
    </row>
    <row r="43" spans="1:7" x14ac:dyDescent="0.25">
      <c r="A43" s="6" t="s">
        <v>902</v>
      </c>
      <c r="B43" s="6" t="s">
        <v>903</v>
      </c>
      <c r="C43" s="6" t="str">
        <f t="shared" si="0"/>
        <v>A038 Toowoomba</v>
      </c>
      <c r="D43" s="6" t="s">
        <v>901</v>
      </c>
      <c r="E43" s="6" t="s">
        <v>817</v>
      </c>
      <c r="F43" s="6" t="s">
        <v>818</v>
      </c>
      <c r="G43" s="6" t="s">
        <v>819</v>
      </c>
    </row>
    <row r="44" spans="1:7" x14ac:dyDescent="0.25">
      <c r="A44" s="6" t="s">
        <v>904</v>
      </c>
      <c r="B44" s="6" t="s">
        <v>905</v>
      </c>
      <c r="C44" s="6" t="str">
        <f t="shared" si="0"/>
        <v>A043 Darwin</v>
      </c>
      <c r="D44" s="6" t="s">
        <v>901</v>
      </c>
      <c r="E44" s="6" t="s">
        <v>817</v>
      </c>
      <c r="F44" s="6" t="s">
        <v>818</v>
      </c>
      <c r="G44" s="6" t="s">
        <v>819</v>
      </c>
    </row>
    <row r="45" spans="1:7" x14ac:dyDescent="0.25">
      <c r="A45" s="6" t="s">
        <v>906</v>
      </c>
      <c r="B45" s="6" t="s">
        <v>907</v>
      </c>
      <c r="C45" s="6" t="str">
        <f t="shared" si="0"/>
        <v>A046 Rockhampton</v>
      </c>
      <c r="D45" s="6" t="s">
        <v>901</v>
      </c>
      <c r="E45" s="6" t="s">
        <v>817</v>
      </c>
      <c r="F45" s="6" t="s">
        <v>818</v>
      </c>
      <c r="G45" s="6" t="s">
        <v>819</v>
      </c>
    </row>
    <row r="46" spans="1:7" x14ac:dyDescent="0.25">
      <c r="A46" s="6" t="s">
        <v>908</v>
      </c>
      <c r="B46" s="6" t="s">
        <v>909</v>
      </c>
      <c r="C46" s="6" t="str">
        <f t="shared" si="0"/>
        <v>A054 Ipswich</v>
      </c>
      <c r="D46" s="6" t="s">
        <v>901</v>
      </c>
      <c r="E46" s="6" t="s">
        <v>817</v>
      </c>
      <c r="F46" s="6" t="s">
        <v>818</v>
      </c>
      <c r="G46" s="6" t="s">
        <v>819</v>
      </c>
    </row>
    <row r="47" spans="1:7" x14ac:dyDescent="0.25">
      <c r="A47" s="6" t="s">
        <v>910</v>
      </c>
      <c r="B47" s="6" t="s">
        <v>911</v>
      </c>
      <c r="C47" s="6" t="str">
        <f t="shared" si="0"/>
        <v>A057 Mackay</v>
      </c>
      <c r="D47" s="6" t="s">
        <v>901</v>
      </c>
      <c r="E47" s="6" t="s">
        <v>817</v>
      </c>
      <c r="F47" s="6" t="s">
        <v>818</v>
      </c>
      <c r="G47" s="6" t="s">
        <v>819</v>
      </c>
    </row>
    <row r="48" spans="1:7" x14ac:dyDescent="0.25">
      <c r="A48" s="6" t="s">
        <v>912</v>
      </c>
      <c r="B48" s="6" t="s">
        <v>913</v>
      </c>
      <c r="C48" s="6" t="str">
        <f t="shared" si="0"/>
        <v>A067 Airlie Beach</v>
      </c>
      <c r="D48" s="6" t="s">
        <v>901</v>
      </c>
      <c r="E48" s="6" t="s">
        <v>817</v>
      </c>
      <c r="F48" s="6" t="s">
        <v>818</v>
      </c>
      <c r="G48" s="6" t="s">
        <v>819</v>
      </c>
    </row>
    <row r="49" spans="1:7" x14ac:dyDescent="0.25">
      <c r="A49" s="6" t="s">
        <v>914</v>
      </c>
      <c r="B49" s="6" t="s">
        <v>915</v>
      </c>
      <c r="C49" s="6" t="str">
        <f t="shared" si="0"/>
        <v>A072 Browns Plains</v>
      </c>
      <c r="D49" s="6" t="s">
        <v>901</v>
      </c>
      <c r="E49" s="6" t="s">
        <v>817</v>
      </c>
      <c r="F49" s="6" t="s">
        <v>818</v>
      </c>
      <c r="G49" s="6" t="s">
        <v>819</v>
      </c>
    </row>
    <row r="50" spans="1:7" x14ac:dyDescent="0.25">
      <c r="A50" s="6" t="s">
        <v>916</v>
      </c>
      <c r="B50" s="6" t="s">
        <v>917</v>
      </c>
      <c r="C50" s="6" t="str">
        <f t="shared" si="0"/>
        <v>A085 Palmerston</v>
      </c>
      <c r="D50" s="6" t="s">
        <v>901</v>
      </c>
      <c r="E50" s="6" t="s">
        <v>817</v>
      </c>
      <c r="F50" s="6" t="s">
        <v>818</v>
      </c>
      <c r="G50" s="6" t="s">
        <v>819</v>
      </c>
    </row>
    <row r="51" spans="1:7" x14ac:dyDescent="0.25">
      <c r="A51" s="6" t="s">
        <v>918</v>
      </c>
      <c r="B51" s="6" t="s">
        <v>919</v>
      </c>
      <c r="C51" s="6" t="str">
        <f t="shared" si="0"/>
        <v>A027 Fyshwick</v>
      </c>
      <c r="D51" s="8" t="s">
        <v>920</v>
      </c>
      <c r="E51" s="6" t="s">
        <v>817</v>
      </c>
      <c r="F51" s="6" t="s">
        <v>818</v>
      </c>
      <c r="G51" s="6" t="s">
        <v>819</v>
      </c>
    </row>
    <row r="52" spans="1:7" x14ac:dyDescent="0.25">
      <c r="A52" s="6" t="s">
        <v>921</v>
      </c>
      <c r="B52" s="6" t="s">
        <v>922</v>
      </c>
      <c r="C52" s="6" t="str">
        <f t="shared" si="0"/>
        <v>A064 Gungahlin</v>
      </c>
      <c r="D52" s="8" t="s">
        <v>920</v>
      </c>
      <c r="E52" s="6" t="s">
        <v>817</v>
      </c>
      <c r="F52" s="6" t="s">
        <v>818</v>
      </c>
      <c r="G52" s="6" t="s">
        <v>819</v>
      </c>
    </row>
    <row r="53" spans="1:7" x14ac:dyDescent="0.25">
      <c r="A53" s="6" t="s">
        <v>923</v>
      </c>
      <c r="B53" s="6" t="s">
        <v>924</v>
      </c>
      <c r="C53" s="6" t="str">
        <f t="shared" si="0"/>
        <v>A008 Mile End</v>
      </c>
      <c r="D53" s="6" t="s">
        <v>920</v>
      </c>
      <c r="E53" s="6" t="s">
        <v>817</v>
      </c>
      <c r="F53" s="6" t="s">
        <v>818</v>
      </c>
      <c r="G53" s="6" t="s">
        <v>819</v>
      </c>
    </row>
    <row r="54" spans="1:7" x14ac:dyDescent="0.25">
      <c r="A54" s="6" t="s">
        <v>925</v>
      </c>
      <c r="B54" s="6" t="s">
        <v>926</v>
      </c>
      <c r="C54" s="6" t="str">
        <f t="shared" si="0"/>
        <v>A032 Modbury</v>
      </c>
      <c r="D54" s="6" t="s">
        <v>920</v>
      </c>
      <c r="E54" s="6" t="s">
        <v>817</v>
      </c>
      <c r="F54" s="6" t="s">
        <v>818</v>
      </c>
      <c r="G54" s="6" t="s">
        <v>819</v>
      </c>
    </row>
    <row r="55" spans="1:7" x14ac:dyDescent="0.25">
      <c r="A55" s="6" t="s">
        <v>927</v>
      </c>
      <c r="B55" s="6" t="s">
        <v>928</v>
      </c>
      <c r="C55" s="6" t="str">
        <f t="shared" si="0"/>
        <v>A034 Noarlunga</v>
      </c>
      <c r="D55" s="6" t="s">
        <v>920</v>
      </c>
      <c r="E55" s="6" t="s">
        <v>817</v>
      </c>
      <c r="F55" s="6" t="s">
        <v>818</v>
      </c>
      <c r="G55" s="6" t="s">
        <v>819</v>
      </c>
    </row>
    <row r="56" spans="1:7" x14ac:dyDescent="0.25">
      <c r="A56" s="6" t="s">
        <v>929</v>
      </c>
      <c r="B56" s="6" t="s">
        <v>930</v>
      </c>
      <c r="C56" s="6" t="str">
        <f t="shared" si="0"/>
        <v>A069 Gepps Cross</v>
      </c>
      <c r="D56" s="6" t="s">
        <v>920</v>
      </c>
      <c r="E56" s="6" t="s">
        <v>817</v>
      </c>
      <c r="F56" s="6" t="s">
        <v>818</v>
      </c>
      <c r="G56" s="6" t="s">
        <v>819</v>
      </c>
    </row>
    <row r="57" spans="1:7" x14ac:dyDescent="0.25">
      <c r="A57" s="6" t="s">
        <v>931</v>
      </c>
      <c r="B57" s="6" t="s">
        <v>932</v>
      </c>
      <c r="C57" s="6" t="str">
        <f t="shared" si="0"/>
        <v>A075 Munno Para</v>
      </c>
      <c r="D57" s="6" t="s">
        <v>920</v>
      </c>
      <c r="E57" s="6" t="s">
        <v>817</v>
      </c>
      <c r="F57" s="6" t="s">
        <v>818</v>
      </c>
      <c r="G57" s="6" t="s">
        <v>819</v>
      </c>
    </row>
    <row r="58" spans="1:7" x14ac:dyDescent="0.25">
      <c r="A58" s="9" t="s">
        <v>933</v>
      </c>
      <c r="B58" s="10" t="s">
        <v>934</v>
      </c>
      <c r="C58" s="6" t="str">
        <f t="shared" si="0"/>
        <v>A701 Brisbane Show Site</v>
      </c>
      <c r="D58" s="11" t="s">
        <v>935</v>
      </c>
      <c r="E58" s="10" t="s">
        <v>817</v>
      </c>
      <c r="F58" s="10" t="s">
        <v>818</v>
      </c>
      <c r="G58" s="10" t="s">
        <v>819</v>
      </c>
    </row>
    <row r="59" spans="1:7" x14ac:dyDescent="0.25">
      <c r="A59" s="9" t="s">
        <v>936</v>
      </c>
      <c r="B59" s="10" t="s">
        <v>937</v>
      </c>
      <c r="C59" s="6" t="str">
        <f t="shared" si="0"/>
        <v>A702 NT Show Site</v>
      </c>
      <c r="D59" s="11" t="s">
        <v>935</v>
      </c>
      <c r="E59" s="10" t="s">
        <v>817</v>
      </c>
      <c r="F59" s="10" t="s">
        <v>818</v>
      </c>
      <c r="G59" s="10" t="s">
        <v>819</v>
      </c>
    </row>
    <row r="60" spans="1:7" x14ac:dyDescent="0.25">
      <c r="A60" s="9" t="s">
        <v>938</v>
      </c>
      <c r="B60" s="10" t="s">
        <v>939</v>
      </c>
      <c r="C60" s="6" t="str">
        <f t="shared" si="0"/>
        <v>A703 VIC Show Site</v>
      </c>
      <c r="D60" s="11" t="s">
        <v>935</v>
      </c>
      <c r="E60" s="10" t="s">
        <v>817</v>
      </c>
      <c r="F60" s="10" t="s">
        <v>818</v>
      </c>
      <c r="G60" s="10" t="s">
        <v>819</v>
      </c>
    </row>
    <row r="61" spans="1:7" x14ac:dyDescent="0.25">
      <c r="A61" s="9" t="s">
        <v>940</v>
      </c>
      <c r="B61" s="10" t="s">
        <v>941</v>
      </c>
      <c r="C61" s="6" t="str">
        <f t="shared" si="0"/>
        <v>A704 NSW Show Site</v>
      </c>
      <c r="D61" s="11" t="s">
        <v>935</v>
      </c>
      <c r="E61" s="10" t="s">
        <v>817</v>
      </c>
      <c r="F61" s="10" t="s">
        <v>818</v>
      </c>
      <c r="G61" s="10" t="s">
        <v>819</v>
      </c>
    </row>
    <row r="62" spans="1:7" x14ac:dyDescent="0.25">
      <c r="A62" s="9" t="s">
        <v>942</v>
      </c>
      <c r="B62" s="10" t="s">
        <v>943</v>
      </c>
      <c r="C62" s="6" t="str">
        <f t="shared" si="0"/>
        <v>A705 SA Show Site</v>
      </c>
      <c r="D62" s="11" t="s">
        <v>935</v>
      </c>
      <c r="E62" s="10" t="s">
        <v>817</v>
      </c>
      <c r="F62" s="10" t="s">
        <v>818</v>
      </c>
      <c r="G62" s="10" t="s">
        <v>819</v>
      </c>
    </row>
    <row r="63" spans="1:7" x14ac:dyDescent="0.25">
      <c r="A63" s="9" t="s">
        <v>944</v>
      </c>
      <c r="B63" s="10" t="s">
        <v>945</v>
      </c>
      <c r="C63" s="6" t="str">
        <f t="shared" si="0"/>
        <v>A706 WA Show Site</v>
      </c>
      <c r="D63" s="11" t="s">
        <v>935</v>
      </c>
      <c r="E63" s="10" t="s">
        <v>817</v>
      </c>
      <c r="F63" s="10" t="s">
        <v>818</v>
      </c>
      <c r="G63" s="10" t="s">
        <v>819</v>
      </c>
    </row>
    <row r="64" spans="1:7" x14ac:dyDescent="0.25">
      <c r="A64" s="6" t="s">
        <v>946</v>
      </c>
      <c r="B64" s="6" t="s">
        <v>947</v>
      </c>
      <c r="C64" s="6" t="str">
        <f t="shared" si="0"/>
        <v>A001 Bayswater</v>
      </c>
      <c r="D64" s="6" t="s">
        <v>948</v>
      </c>
      <c r="E64" s="6" t="s">
        <v>817</v>
      </c>
      <c r="F64" s="6" t="s">
        <v>818</v>
      </c>
      <c r="G64" s="6" t="s">
        <v>819</v>
      </c>
    </row>
    <row r="65" spans="1:7" x14ac:dyDescent="0.25">
      <c r="A65" s="6" t="s">
        <v>949</v>
      </c>
      <c r="B65" s="6" t="s">
        <v>950</v>
      </c>
      <c r="C65" s="6" t="str">
        <f t="shared" si="0"/>
        <v>A009 Geelong</v>
      </c>
      <c r="D65" s="6" t="s">
        <v>948</v>
      </c>
      <c r="E65" s="6" t="s">
        <v>817</v>
      </c>
      <c r="F65" s="6" t="s">
        <v>818</v>
      </c>
      <c r="G65" s="6" t="s">
        <v>819</v>
      </c>
    </row>
    <row r="66" spans="1:7" x14ac:dyDescent="0.25">
      <c r="A66" s="6" t="s">
        <v>951</v>
      </c>
      <c r="B66" s="6" t="s">
        <v>952</v>
      </c>
      <c r="C66" s="6" t="str">
        <f t="shared" ref="C66:C130" si="1">A66&amp;" "&amp;B66</f>
        <v>A013 Frankston</v>
      </c>
      <c r="D66" s="6" t="s">
        <v>948</v>
      </c>
      <c r="E66" s="6" t="s">
        <v>817</v>
      </c>
      <c r="F66" s="6" t="s">
        <v>818</v>
      </c>
      <c r="G66" s="6" t="s">
        <v>819</v>
      </c>
    </row>
    <row r="67" spans="1:7" x14ac:dyDescent="0.25">
      <c r="A67" s="6" t="s">
        <v>953</v>
      </c>
      <c r="B67" s="6" t="s">
        <v>954</v>
      </c>
      <c r="C67" s="6" t="str">
        <f t="shared" si="1"/>
        <v>A017 Narre Warren</v>
      </c>
      <c r="D67" s="6" t="s">
        <v>948</v>
      </c>
      <c r="E67" s="6" t="s">
        <v>817</v>
      </c>
      <c r="F67" s="6" t="s">
        <v>818</v>
      </c>
      <c r="G67" s="6" t="s">
        <v>819</v>
      </c>
    </row>
    <row r="68" spans="1:7" x14ac:dyDescent="0.25">
      <c r="A68" s="6" t="s">
        <v>955</v>
      </c>
      <c r="B68" s="6" t="s">
        <v>956</v>
      </c>
      <c r="C68" s="6" t="str">
        <f t="shared" si="1"/>
        <v>A021 Bendigo</v>
      </c>
      <c r="D68" s="6" t="s">
        <v>948</v>
      </c>
      <c r="E68" s="6" t="s">
        <v>817</v>
      </c>
      <c r="F68" s="6" t="s">
        <v>818</v>
      </c>
      <c r="G68" s="6" t="s">
        <v>819</v>
      </c>
    </row>
    <row r="69" spans="1:7" x14ac:dyDescent="0.25">
      <c r="A69" s="6" t="s">
        <v>957</v>
      </c>
      <c r="B69" s="6" t="s">
        <v>958</v>
      </c>
      <c r="C69" s="6" t="str">
        <f t="shared" si="1"/>
        <v>A026 Springvale</v>
      </c>
      <c r="D69" s="6" t="s">
        <v>948</v>
      </c>
      <c r="E69" s="6" t="s">
        <v>817</v>
      </c>
      <c r="F69" s="6" t="s">
        <v>818</v>
      </c>
      <c r="G69" s="6" t="s">
        <v>819</v>
      </c>
    </row>
    <row r="70" spans="1:7" x14ac:dyDescent="0.25">
      <c r="A70" s="6" t="s">
        <v>959</v>
      </c>
      <c r="B70" s="6" t="s">
        <v>960</v>
      </c>
      <c r="C70" s="6" t="str">
        <f t="shared" si="1"/>
        <v>A035 Ballarat</v>
      </c>
      <c r="D70" s="6" t="s">
        <v>948</v>
      </c>
      <c r="E70" s="6" t="s">
        <v>817</v>
      </c>
      <c r="F70" s="6" t="s">
        <v>818</v>
      </c>
      <c r="G70" s="6" t="s">
        <v>819</v>
      </c>
    </row>
    <row r="71" spans="1:7" x14ac:dyDescent="0.25">
      <c r="A71" s="6" t="s">
        <v>961</v>
      </c>
      <c r="B71" s="6" t="s">
        <v>962</v>
      </c>
      <c r="C71" s="6" t="str">
        <f t="shared" si="1"/>
        <v>A039 Highett</v>
      </c>
      <c r="D71" s="6" t="s">
        <v>948</v>
      </c>
      <c r="E71" s="6" t="s">
        <v>817</v>
      </c>
      <c r="F71" s="6" t="s">
        <v>818</v>
      </c>
      <c r="G71" s="6" t="s">
        <v>819</v>
      </c>
    </row>
    <row r="72" spans="1:7" x14ac:dyDescent="0.25">
      <c r="A72" s="6" t="s">
        <v>963</v>
      </c>
      <c r="B72" s="6" t="s">
        <v>964</v>
      </c>
      <c r="C72" s="6" t="str">
        <f t="shared" si="1"/>
        <v>A041 Box Hill</v>
      </c>
      <c r="D72" s="6" t="s">
        <v>948</v>
      </c>
      <c r="E72" s="6" t="s">
        <v>817</v>
      </c>
      <c r="F72" s="6" t="s">
        <v>818</v>
      </c>
      <c r="G72" s="6" t="s">
        <v>819</v>
      </c>
    </row>
    <row r="73" spans="1:7" x14ac:dyDescent="0.25">
      <c r="A73" s="6" t="s">
        <v>965</v>
      </c>
      <c r="B73" s="6" t="s">
        <v>966</v>
      </c>
      <c r="C73" s="6" t="str">
        <f t="shared" si="1"/>
        <v>A055 Shepparton</v>
      </c>
      <c r="D73" s="6" t="s">
        <v>948</v>
      </c>
      <c r="E73" s="6" t="s">
        <v>817</v>
      </c>
      <c r="F73" s="6" t="s">
        <v>818</v>
      </c>
      <c r="G73" s="6" t="s">
        <v>819</v>
      </c>
    </row>
    <row r="74" spans="1:7" x14ac:dyDescent="0.25">
      <c r="A74" s="6" t="s">
        <v>967</v>
      </c>
      <c r="B74" s="6" t="s">
        <v>968</v>
      </c>
      <c r="C74" s="6" t="str">
        <f t="shared" si="1"/>
        <v>A011 Cambridge</v>
      </c>
      <c r="D74" s="6" t="s">
        <v>969</v>
      </c>
      <c r="E74" s="6" t="s">
        <v>817</v>
      </c>
      <c r="F74" s="6" t="s">
        <v>818</v>
      </c>
      <c r="G74" s="6" t="s">
        <v>819</v>
      </c>
    </row>
    <row r="75" spans="1:7" x14ac:dyDescent="0.25">
      <c r="A75" s="6" t="s">
        <v>970</v>
      </c>
      <c r="B75" s="6" t="s">
        <v>971</v>
      </c>
      <c r="C75" s="6" t="str">
        <f t="shared" si="1"/>
        <v>A028 Launceston</v>
      </c>
      <c r="D75" s="6" t="s">
        <v>969</v>
      </c>
      <c r="E75" s="6" t="s">
        <v>817</v>
      </c>
      <c r="F75" s="6" t="s">
        <v>818</v>
      </c>
      <c r="G75" s="6" t="s">
        <v>819</v>
      </c>
    </row>
    <row r="76" spans="1:7" x14ac:dyDescent="0.25">
      <c r="A76" s="6" t="s">
        <v>972</v>
      </c>
      <c r="B76" s="6" t="s">
        <v>973</v>
      </c>
      <c r="C76" s="6" t="str">
        <f t="shared" si="1"/>
        <v>A060 Devonport</v>
      </c>
      <c r="D76" s="6" t="s">
        <v>969</v>
      </c>
      <c r="E76" s="6" t="s">
        <v>817</v>
      </c>
      <c r="F76" s="6" t="s">
        <v>818</v>
      </c>
      <c r="G76" s="6" t="s">
        <v>819</v>
      </c>
    </row>
    <row r="77" spans="1:7" x14ac:dyDescent="0.25">
      <c r="A77" s="6" t="s">
        <v>974</v>
      </c>
      <c r="B77" s="6" t="s">
        <v>975</v>
      </c>
      <c r="C77" s="6" t="str">
        <f t="shared" si="1"/>
        <v>A080 Glenorchy</v>
      </c>
      <c r="D77" s="6" t="s">
        <v>969</v>
      </c>
      <c r="E77" s="6" t="s">
        <v>817</v>
      </c>
      <c r="F77" s="6" t="s">
        <v>818</v>
      </c>
      <c r="G77" s="6" t="s">
        <v>819</v>
      </c>
    </row>
    <row r="78" spans="1:7" x14ac:dyDescent="0.25">
      <c r="A78" s="6" t="s">
        <v>976</v>
      </c>
      <c r="B78" s="6" t="s">
        <v>977</v>
      </c>
      <c r="C78" s="6" t="str">
        <f t="shared" si="1"/>
        <v>A020 Preston</v>
      </c>
      <c r="D78" s="6" t="s">
        <v>969</v>
      </c>
      <c r="E78" s="6" t="s">
        <v>817</v>
      </c>
      <c r="F78" s="6" t="s">
        <v>818</v>
      </c>
      <c r="G78" s="6" t="s">
        <v>819</v>
      </c>
    </row>
    <row r="79" spans="1:7" x14ac:dyDescent="0.25">
      <c r="A79" s="6" t="s">
        <v>978</v>
      </c>
      <c r="B79" s="6" t="s">
        <v>979</v>
      </c>
      <c r="C79" s="6" t="str">
        <f t="shared" si="1"/>
        <v>A030 Hoppers Crossing</v>
      </c>
      <c r="D79" s="6" t="s">
        <v>969</v>
      </c>
      <c r="E79" s="6" t="s">
        <v>817</v>
      </c>
      <c r="F79" s="6" t="s">
        <v>818</v>
      </c>
      <c r="G79" s="6" t="s">
        <v>819</v>
      </c>
    </row>
    <row r="80" spans="1:7" x14ac:dyDescent="0.25">
      <c r="A80" s="6" t="s">
        <v>980</v>
      </c>
      <c r="B80" s="6" t="s">
        <v>981</v>
      </c>
      <c r="C80" s="6" t="str">
        <f t="shared" si="1"/>
        <v>A040 Watergardens</v>
      </c>
      <c r="D80" s="6" t="s">
        <v>969</v>
      </c>
      <c r="E80" s="6" t="s">
        <v>817</v>
      </c>
      <c r="F80" s="6" t="s">
        <v>818</v>
      </c>
      <c r="G80" s="6" t="s">
        <v>819</v>
      </c>
    </row>
    <row r="81" spans="1:7" x14ac:dyDescent="0.25">
      <c r="A81" s="6" t="s">
        <v>982</v>
      </c>
      <c r="B81" s="6" t="s">
        <v>983</v>
      </c>
      <c r="C81" s="6" t="str">
        <f t="shared" si="1"/>
        <v>A042 Maribyrnong</v>
      </c>
      <c r="D81" s="6" t="s">
        <v>969</v>
      </c>
      <c r="E81" s="6" t="s">
        <v>817</v>
      </c>
      <c r="F81" s="6" t="s">
        <v>818</v>
      </c>
      <c r="G81" s="6" t="s">
        <v>819</v>
      </c>
    </row>
    <row r="82" spans="1:7" x14ac:dyDescent="0.25">
      <c r="A82" s="6" t="s">
        <v>984</v>
      </c>
      <c r="B82" s="6" t="s">
        <v>985</v>
      </c>
      <c r="C82" s="6" t="str">
        <f t="shared" si="1"/>
        <v>A052 Epping</v>
      </c>
      <c r="D82" s="6" t="s">
        <v>969</v>
      </c>
      <c r="E82" s="6" t="s">
        <v>817</v>
      </c>
      <c r="F82" s="6" t="s">
        <v>818</v>
      </c>
      <c r="G82" s="6" t="s">
        <v>819</v>
      </c>
    </row>
    <row r="83" spans="1:7" x14ac:dyDescent="0.25">
      <c r="A83" s="6" t="s">
        <v>986</v>
      </c>
      <c r="B83" s="6" t="s">
        <v>987</v>
      </c>
      <c r="C83" s="6" t="str">
        <f t="shared" si="1"/>
        <v>A058 Hawthorn East</v>
      </c>
      <c r="D83" s="6" t="s">
        <v>969</v>
      </c>
      <c r="E83" s="6" t="s">
        <v>817</v>
      </c>
      <c r="F83" s="6" t="s">
        <v>818</v>
      </c>
      <c r="G83" s="6" t="s">
        <v>819</v>
      </c>
    </row>
    <row r="84" spans="1:7" x14ac:dyDescent="0.25">
      <c r="A84" s="6" t="s">
        <v>988</v>
      </c>
      <c r="B84" s="6" t="s">
        <v>989</v>
      </c>
      <c r="C84" s="6" t="str">
        <f t="shared" si="1"/>
        <v>A074 Mildura</v>
      </c>
      <c r="D84" s="6" t="s">
        <v>969</v>
      </c>
      <c r="E84" s="6" t="s">
        <v>817</v>
      </c>
      <c r="F84" s="6" t="s">
        <v>818</v>
      </c>
      <c r="G84" s="6" t="s">
        <v>819</v>
      </c>
    </row>
    <row r="85" spans="1:7" x14ac:dyDescent="0.25">
      <c r="A85" s="6" t="s">
        <v>1618</v>
      </c>
      <c r="B85" s="6" t="s">
        <v>1098</v>
      </c>
      <c r="C85" s="6" t="str">
        <f t="shared" si="1"/>
        <v>A084 Warrnambool</v>
      </c>
      <c r="D85" s="6" t="s">
        <v>969</v>
      </c>
      <c r="E85" s="6" t="s">
        <v>817</v>
      </c>
      <c r="F85" s="6" t="s">
        <v>818</v>
      </c>
      <c r="G85" s="6" t="s">
        <v>819</v>
      </c>
    </row>
    <row r="86" spans="1:7" x14ac:dyDescent="0.25">
      <c r="A86" s="6" t="s">
        <v>990</v>
      </c>
      <c r="B86" s="6" t="s">
        <v>991</v>
      </c>
      <c r="C86" s="6" t="str">
        <f t="shared" si="1"/>
        <v>A003 Joondalup</v>
      </c>
      <c r="D86" s="6" t="s">
        <v>992</v>
      </c>
      <c r="E86" s="6" t="s">
        <v>817</v>
      </c>
      <c r="F86" s="6" t="s">
        <v>818</v>
      </c>
      <c r="G86" s="6" t="s">
        <v>819</v>
      </c>
    </row>
    <row r="87" spans="1:7" x14ac:dyDescent="0.25">
      <c r="A87" s="6" t="s">
        <v>993</v>
      </c>
      <c r="B87" s="6" t="s">
        <v>994</v>
      </c>
      <c r="C87" s="6" t="str">
        <f t="shared" si="1"/>
        <v>A010 Innaloo</v>
      </c>
      <c r="D87" s="6" t="s">
        <v>992</v>
      </c>
      <c r="E87" s="6" t="s">
        <v>817</v>
      </c>
      <c r="F87" s="6" t="s">
        <v>818</v>
      </c>
      <c r="G87" s="6" t="s">
        <v>819</v>
      </c>
    </row>
    <row r="88" spans="1:7" x14ac:dyDescent="0.25">
      <c r="A88" s="6" t="s">
        <v>995</v>
      </c>
      <c r="B88" s="6" t="s">
        <v>996</v>
      </c>
      <c r="C88" s="6" t="str">
        <f t="shared" si="1"/>
        <v>A022 Cannington</v>
      </c>
      <c r="D88" s="6" t="s">
        <v>992</v>
      </c>
      <c r="E88" s="6" t="s">
        <v>817</v>
      </c>
      <c r="F88" s="6" t="s">
        <v>818</v>
      </c>
      <c r="G88" s="6" t="s">
        <v>819</v>
      </c>
    </row>
    <row r="89" spans="1:7" x14ac:dyDescent="0.25">
      <c r="A89" s="6" t="s">
        <v>997</v>
      </c>
      <c r="B89" s="6" t="s">
        <v>998</v>
      </c>
      <c r="C89" s="6" t="str">
        <f t="shared" si="1"/>
        <v>A053 Midland</v>
      </c>
      <c r="D89" s="6" t="s">
        <v>992</v>
      </c>
      <c r="E89" s="6" t="s">
        <v>817</v>
      </c>
      <c r="F89" s="6" t="s">
        <v>818</v>
      </c>
      <c r="G89" s="6" t="s">
        <v>819</v>
      </c>
    </row>
    <row r="90" spans="1:7" x14ac:dyDescent="0.25">
      <c r="A90" s="6" t="s">
        <v>999</v>
      </c>
      <c r="B90" s="6" t="s">
        <v>1000</v>
      </c>
      <c r="C90" s="6" t="str">
        <f t="shared" si="1"/>
        <v>A065 Rockingham</v>
      </c>
      <c r="D90" s="6" t="s">
        <v>992</v>
      </c>
      <c r="E90" s="6" t="s">
        <v>817</v>
      </c>
      <c r="F90" s="6" t="s">
        <v>818</v>
      </c>
      <c r="G90" s="6" t="s">
        <v>819</v>
      </c>
    </row>
    <row r="91" spans="1:7" x14ac:dyDescent="0.25">
      <c r="A91" s="6" t="s">
        <v>1001</v>
      </c>
      <c r="B91" s="6" t="s">
        <v>1002</v>
      </c>
      <c r="C91" s="6" t="str">
        <f t="shared" si="1"/>
        <v>A066 Butler</v>
      </c>
      <c r="D91" s="6" t="s">
        <v>992</v>
      </c>
      <c r="E91" s="6" t="s">
        <v>817</v>
      </c>
      <c r="F91" s="6" t="s">
        <v>818</v>
      </c>
      <c r="G91" s="6" t="s">
        <v>819</v>
      </c>
    </row>
    <row r="92" spans="1:7" x14ac:dyDescent="0.25">
      <c r="A92" s="6" t="s">
        <v>1003</v>
      </c>
      <c r="B92" s="6" t="s">
        <v>1004</v>
      </c>
      <c r="C92" s="6" t="str">
        <f t="shared" si="1"/>
        <v>A070 Melville</v>
      </c>
      <c r="D92" s="6" t="s">
        <v>992</v>
      </c>
      <c r="E92" s="6" t="s">
        <v>817</v>
      </c>
      <c r="F92" s="6" t="s">
        <v>818</v>
      </c>
      <c r="G92" s="6" t="s">
        <v>819</v>
      </c>
    </row>
    <row r="93" spans="1:7" x14ac:dyDescent="0.25">
      <c r="A93" s="6" t="s">
        <v>1005</v>
      </c>
      <c r="B93" s="6" t="s">
        <v>1006</v>
      </c>
      <c r="C93" s="6" t="str">
        <f t="shared" si="1"/>
        <v>A071 Bunbury</v>
      </c>
      <c r="D93" s="6" t="s">
        <v>992</v>
      </c>
      <c r="E93" s="6" t="s">
        <v>817</v>
      </c>
      <c r="F93" s="6" t="s">
        <v>818</v>
      </c>
      <c r="G93" s="6" t="s">
        <v>819</v>
      </c>
    </row>
    <row r="94" spans="1:7" x14ac:dyDescent="0.25">
      <c r="A94" s="6" t="s">
        <v>1007</v>
      </c>
      <c r="B94" s="6" t="s">
        <v>1008</v>
      </c>
      <c r="C94" s="6" t="str">
        <f t="shared" si="1"/>
        <v>A077 Albany</v>
      </c>
      <c r="D94" s="6" t="s">
        <v>992</v>
      </c>
      <c r="E94" s="6" t="s">
        <v>817</v>
      </c>
      <c r="F94" s="6" t="s">
        <v>818</v>
      </c>
      <c r="G94" s="6" t="s">
        <v>819</v>
      </c>
    </row>
    <row r="95" spans="1:7" x14ac:dyDescent="0.25">
      <c r="A95" s="6" t="s">
        <v>1009</v>
      </c>
      <c r="B95" s="6" t="s">
        <v>1010</v>
      </c>
      <c r="C95" s="6" t="str">
        <f t="shared" si="1"/>
        <v>A081 Busselton</v>
      </c>
      <c r="D95" s="6" t="s">
        <v>992</v>
      </c>
      <c r="E95" s="6" t="s">
        <v>817</v>
      </c>
      <c r="F95" s="6" t="s">
        <v>818</v>
      </c>
      <c r="G95" s="6" t="s">
        <v>819</v>
      </c>
    </row>
    <row r="96" spans="1:7" x14ac:dyDescent="0.25">
      <c r="A96" s="6" t="s">
        <v>1011</v>
      </c>
      <c r="B96" s="6" t="s">
        <v>1012</v>
      </c>
      <c r="C96" s="6" t="str">
        <f t="shared" si="1"/>
        <v>A090 Mandurah</v>
      </c>
      <c r="D96" s="6" t="s">
        <v>992</v>
      </c>
      <c r="E96" s="6" t="s">
        <v>817</v>
      </c>
      <c r="F96" s="6" t="s">
        <v>818</v>
      </c>
      <c r="G96" s="6" t="s">
        <v>819</v>
      </c>
    </row>
    <row r="97" spans="1:7" x14ac:dyDescent="0.25">
      <c r="A97" s="9" t="s">
        <v>1013</v>
      </c>
      <c r="B97" s="10" t="s">
        <v>1014</v>
      </c>
      <c r="C97" s="6" t="str">
        <f t="shared" si="1"/>
        <v>A094 Forestdale</v>
      </c>
      <c r="D97" s="11" t="s">
        <v>992</v>
      </c>
      <c r="E97" s="10" t="s">
        <v>817</v>
      </c>
      <c r="F97" s="10" t="s">
        <v>818</v>
      </c>
      <c r="G97" s="10" t="s">
        <v>819</v>
      </c>
    </row>
    <row r="98" spans="1:7" x14ac:dyDescent="0.25">
      <c r="A98" s="6" t="s">
        <v>1015</v>
      </c>
      <c r="B98" s="6" t="s">
        <v>1016</v>
      </c>
      <c r="C98" s="6" t="str">
        <f t="shared" si="1"/>
        <v>A906 Planning</v>
      </c>
      <c r="D98" s="6" t="s">
        <v>1017</v>
      </c>
      <c r="E98" s="6" t="s">
        <v>817</v>
      </c>
      <c r="F98" s="6" t="s">
        <v>1018</v>
      </c>
      <c r="G98" s="6" t="s">
        <v>1019</v>
      </c>
    </row>
    <row r="99" spans="1:7" x14ac:dyDescent="0.25">
      <c r="A99" s="6" t="s">
        <v>1020</v>
      </c>
      <c r="B99" s="6" t="s">
        <v>1021</v>
      </c>
      <c r="C99" s="6" t="str">
        <f t="shared" si="1"/>
        <v>A914 Fish Marine</v>
      </c>
      <c r="D99" s="6" t="s">
        <v>1017</v>
      </c>
      <c r="E99" s="6" t="s">
        <v>817</v>
      </c>
      <c r="F99" s="6" t="s">
        <v>1018</v>
      </c>
      <c r="G99" s="6" t="s">
        <v>1019</v>
      </c>
    </row>
    <row r="100" spans="1:7" x14ac:dyDescent="0.25">
      <c r="A100" s="9" t="s">
        <v>1022</v>
      </c>
      <c r="B100" s="10" t="s">
        <v>1023</v>
      </c>
      <c r="C100" s="6" t="str">
        <f t="shared" si="1"/>
        <v>A915 Land, Water, 4WD</v>
      </c>
      <c r="D100" s="11" t="s">
        <v>1017</v>
      </c>
      <c r="E100" s="10" t="s">
        <v>817</v>
      </c>
      <c r="F100" s="10" t="s">
        <v>1018</v>
      </c>
      <c r="G100" s="10" t="s">
        <v>1019</v>
      </c>
    </row>
    <row r="101" spans="1:7" x14ac:dyDescent="0.25">
      <c r="A101" s="6" t="s">
        <v>1024</v>
      </c>
      <c r="B101" s="6" t="s">
        <v>1025</v>
      </c>
      <c r="C101" s="6" t="str">
        <f t="shared" si="1"/>
        <v>A918 Camp &amp; Hike</v>
      </c>
      <c r="D101" s="6" t="s">
        <v>1017</v>
      </c>
      <c r="E101" s="6" t="s">
        <v>817</v>
      </c>
      <c r="F101" s="6" t="s">
        <v>1018</v>
      </c>
      <c r="G101" s="6" t="s">
        <v>1019</v>
      </c>
    </row>
    <row r="102" spans="1:7" x14ac:dyDescent="0.25">
      <c r="A102" s="6" t="s">
        <v>1026</v>
      </c>
      <c r="B102" s="6" t="s">
        <v>1027</v>
      </c>
      <c r="C102" s="6" t="str">
        <f t="shared" si="1"/>
        <v>A919 TSG</v>
      </c>
      <c r="D102" s="6" t="s">
        <v>1017</v>
      </c>
      <c r="E102" s="6" t="s">
        <v>817</v>
      </c>
      <c r="F102" s="6" t="s">
        <v>1018</v>
      </c>
      <c r="G102" s="6" t="s">
        <v>1019</v>
      </c>
    </row>
    <row r="103" spans="1:7" x14ac:dyDescent="0.25">
      <c r="A103" s="6" t="s">
        <v>1028</v>
      </c>
      <c r="B103" s="6" t="s">
        <v>1029</v>
      </c>
      <c r="C103" s="6" t="str">
        <f t="shared" si="1"/>
        <v>A904 Operations</v>
      </c>
      <c r="D103" s="6" t="s">
        <v>1030</v>
      </c>
      <c r="E103" s="6" t="s">
        <v>817</v>
      </c>
      <c r="F103" s="6" t="s">
        <v>1018</v>
      </c>
      <c r="G103" s="6" t="s">
        <v>1019</v>
      </c>
    </row>
    <row r="104" spans="1:7" x14ac:dyDescent="0.25">
      <c r="A104" s="6" t="s">
        <v>1031</v>
      </c>
      <c r="B104" s="7" t="s">
        <v>1018</v>
      </c>
      <c r="C104" s="6" t="str">
        <f t="shared" si="1"/>
        <v>A900 Anaconda SG</v>
      </c>
      <c r="D104" s="8" t="s">
        <v>1032</v>
      </c>
      <c r="E104" s="7" t="s">
        <v>817</v>
      </c>
      <c r="F104" s="7" t="s">
        <v>1018</v>
      </c>
      <c r="G104" s="7" t="s">
        <v>1019</v>
      </c>
    </row>
    <row r="105" spans="1:7" x14ac:dyDescent="0.25">
      <c r="A105" s="6" t="s">
        <v>1033</v>
      </c>
      <c r="B105" s="6" t="s">
        <v>1034</v>
      </c>
      <c r="C105" s="6" t="str">
        <f t="shared" si="1"/>
        <v>A901 Human Resources</v>
      </c>
      <c r="D105" s="6" t="s">
        <v>1032</v>
      </c>
      <c r="E105" s="6" t="s">
        <v>817</v>
      </c>
      <c r="F105" s="6" t="s">
        <v>1018</v>
      </c>
      <c r="G105" s="6" t="s">
        <v>1019</v>
      </c>
    </row>
    <row r="106" spans="1:7" x14ac:dyDescent="0.25">
      <c r="A106" s="6" t="s">
        <v>1035</v>
      </c>
      <c r="B106" s="6" t="s">
        <v>1036</v>
      </c>
      <c r="C106" s="6" t="str">
        <f t="shared" si="1"/>
        <v>A903 Executive</v>
      </c>
      <c r="D106" s="6" t="s">
        <v>1032</v>
      </c>
      <c r="E106" s="6" t="s">
        <v>817</v>
      </c>
      <c r="F106" s="6" t="s">
        <v>1018</v>
      </c>
      <c r="G106" s="6" t="s">
        <v>1019</v>
      </c>
    </row>
    <row r="107" spans="1:7" x14ac:dyDescent="0.25">
      <c r="A107" s="6" t="s">
        <v>1037</v>
      </c>
      <c r="B107" s="6" t="s">
        <v>1038</v>
      </c>
      <c r="C107" s="6" t="str">
        <f t="shared" si="1"/>
        <v>A907 Marketing</v>
      </c>
      <c r="D107" s="6" t="s">
        <v>1032</v>
      </c>
      <c r="E107" s="6" t="s">
        <v>817</v>
      </c>
      <c r="F107" s="6" t="s">
        <v>1018</v>
      </c>
      <c r="G107" s="6" t="s">
        <v>1019</v>
      </c>
    </row>
    <row r="108" spans="1:7" x14ac:dyDescent="0.25">
      <c r="A108" s="6" t="s">
        <v>1039</v>
      </c>
      <c r="B108" s="7" t="s">
        <v>1040</v>
      </c>
      <c r="C108" s="6" t="str">
        <f t="shared" si="1"/>
        <v>M900 Mountiain Designs SG</v>
      </c>
      <c r="D108" s="8" t="s">
        <v>1032</v>
      </c>
      <c r="E108" s="7" t="s">
        <v>817</v>
      </c>
      <c r="F108" s="7" t="s">
        <v>1018</v>
      </c>
      <c r="G108" s="7" t="s">
        <v>1019</v>
      </c>
    </row>
    <row r="109" spans="1:7" x14ac:dyDescent="0.25">
      <c r="A109" s="6" t="s">
        <v>1041</v>
      </c>
      <c r="B109" s="7" t="s">
        <v>1042</v>
      </c>
      <c r="C109" s="6" t="str">
        <f t="shared" si="1"/>
        <v>F001 Family Residence</v>
      </c>
      <c r="D109" s="7" t="s">
        <v>1042</v>
      </c>
      <c r="E109" s="7" t="s">
        <v>817</v>
      </c>
      <c r="F109" s="7" t="s">
        <v>1043</v>
      </c>
      <c r="G109" s="7" t="s">
        <v>1044</v>
      </c>
    </row>
    <row r="110" spans="1:7" x14ac:dyDescent="0.25">
      <c r="A110" s="6" t="s">
        <v>1045</v>
      </c>
      <c r="B110" s="7" t="s">
        <v>1042</v>
      </c>
      <c r="C110" s="6" t="str">
        <f t="shared" si="1"/>
        <v>F002 Family Residence</v>
      </c>
      <c r="D110" s="7" t="s">
        <v>1042</v>
      </c>
      <c r="E110" s="7" t="s">
        <v>817</v>
      </c>
      <c r="F110" s="7" t="s">
        <v>1043</v>
      </c>
      <c r="G110" s="7" t="s">
        <v>1044</v>
      </c>
    </row>
    <row r="111" spans="1:7" x14ac:dyDescent="0.25">
      <c r="A111" s="6" t="s">
        <v>1046</v>
      </c>
      <c r="B111" s="7" t="s">
        <v>1042</v>
      </c>
      <c r="C111" s="6" t="str">
        <f t="shared" si="1"/>
        <v>F003 Family Residence</v>
      </c>
      <c r="D111" s="7" t="s">
        <v>1042</v>
      </c>
      <c r="E111" s="7" t="s">
        <v>817</v>
      </c>
      <c r="F111" s="7" t="s">
        <v>1043</v>
      </c>
      <c r="G111" s="7" t="s">
        <v>1044</v>
      </c>
    </row>
    <row r="112" spans="1:7" x14ac:dyDescent="0.25">
      <c r="A112" s="6" t="s">
        <v>1047</v>
      </c>
      <c r="B112" s="7" t="s">
        <v>1042</v>
      </c>
      <c r="C112" s="6" t="str">
        <f t="shared" si="1"/>
        <v>F004 Family Residence</v>
      </c>
      <c r="D112" s="7" t="s">
        <v>1042</v>
      </c>
      <c r="E112" s="7" t="s">
        <v>817</v>
      </c>
      <c r="F112" s="7" t="s">
        <v>1043</v>
      </c>
      <c r="G112" s="7" t="s">
        <v>1044</v>
      </c>
    </row>
    <row r="113" spans="1:7" x14ac:dyDescent="0.25">
      <c r="A113" s="6" t="s">
        <v>1048</v>
      </c>
      <c r="B113" s="7" t="s">
        <v>1042</v>
      </c>
      <c r="C113" s="6" t="str">
        <f t="shared" si="1"/>
        <v>F005 Family Residence</v>
      </c>
      <c r="D113" s="7" t="s">
        <v>1042</v>
      </c>
      <c r="E113" s="7" t="s">
        <v>817</v>
      </c>
      <c r="F113" s="7" t="s">
        <v>1043</v>
      </c>
      <c r="G113" s="7" t="s">
        <v>1044</v>
      </c>
    </row>
    <row r="114" spans="1:7" x14ac:dyDescent="0.25">
      <c r="A114" s="6" t="s">
        <v>1049</v>
      </c>
      <c r="B114" s="7" t="s">
        <v>1042</v>
      </c>
      <c r="C114" s="6" t="str">
        <f t="shared" si="1"/>
        <v>F006 Family Residence</v>
      </c>
      <c r="D114" s="7" t="s">
        <v>1042</v>
      </c>
      <c r="E114" s="7" t="s">
        <v>817</v>
      </c>
      <c r="F114" s="7" t="s">
        <v>1043</v>
      </c>
      <c r="G114" s="7" t="s">
        <v>1044</v>
      </c>
    </row>
    <row r="115" spans="1:7" x14ac:dyDescent="0.25">
      <c r="A115" s="6" t="s">
        <v>1050</v>
      </c>
      <c r="B115" s="7" t="s">
        <v>1042</v>
      </c>
      <c r="C115" s="6" t="str">
        <f t="shared" si="1"/>
        <v>F007 Family Residence</v>
      </c>
      <c r="D115" s="7" t="s">
        <v>1042</v>
      </c>
      <c r="E115" s="7" t="s">
        <v>817</v>
      </c>
      <c r="F115" s="7" t="s">
        <v>1043</v>
      </c>
      <c r="G115" s="7" t="s">
        <v>1044</v>
      </c>
    </row>
    <row r="116" spans="1:7" x14ac:dyDescent="0.25">
      <c r="A116" s="6" t="s">
        <v>1051</v>
      </c>
      <c r="B116" s="7" t="s">
        <v>1042</v>
      </c>
      <c r="C116" s="6" t="str">
        <f t="shared" si="1"/>
        <v>F008 Family Residence</v>
      </c>
      <c r="D116" s="7" t="s">
        <v>1042</v>
      </c>
      <c r="E116" s="7" t="s">
        <v>817</v>
      </c>
      <c r="F116" s="7" t="s">
        <v>1043</v>
      </c>
      <c r="G116" s="7" t="s">
        <v>1044</v>
      </c>
    </row>
    <row r="117" spans="1:7" x14ac:dyDescent="0.25">
      <c r="A117" s="6" t="s">
        <v>1052</v>
      </c>
      <c r="B117" s="7" t="s">
        <v>1042</v>
      </c>
      <c r="C117" s="6" t="str">
        <f t="shared" si="1"/>
        <v>F009 Family Residence</v>
      </c>
      <c r="D117" s="7" t="s">
        <v>1042</v>
      </c>
      <c r="E117" s="7" t="s">
        <v>817</v>
      </c>
      <c r="F117" s="7" t="s">
        <v>1043</v>
      </c>
      <c r="G117" s="7" t="s">
        <v>1044</v>
      </c>
    </row>
    <row r="118" spans="1:7" x14ac:dyDescent="0.25">
      <c r="A118" s="6" t="s">
        <v>1053</v>
      </c>
      <c r="B118" s="7" t="s">
        <v>1042</v>
      </c>
      <c r="C118" s="6" t="str">
        <f t="shared" si="1"/>
        <v>F010 Family Residence</v>
      </c>
      <c r="D118" s="7" t="s">
        <v>1042</v>
      </c>
      <c r="E118" s="7" t="s">
        <v>817</v>
      </c>
      <c r="F118" s="7" t="s">
        <v>1043</v>
      </c>
      <c r="G118" s="7" t="s">
        <v>1044</v>
      </c>
    </row>
    <row r="119" spans="1:7" x14ac:dyDescent="0.25">
      <c r="A119" s="6" t="s">
        <v>1493</v>
      </c>
      <c r="B119" s="6" t="s">
        <v>1592</v>
      </c>
      <c r="C119" s="6" t="str">
        <f t="shared" si="1"/>
        <v>HS5053 Shellharbour</v>
      </c>
      <c r="D119" s="6" t="s">
        <v>1054</v>
      </c>
      <c r="E119" s="6" t="s">
        <v>817</v>
      </c>
      <c r="F119" s="6" t="s">
        <v>1055</v>
      </c>
      <c r="G119" s="6" t="s">
        <v>819</v>
      </c>
    </row>
    <row r="120" spans="1:7" x14ac:dyDescent="0.25">
      <c r="A120" s="6" t="s">
        <v>1494</v>
      </c>
      <c r="B120" s="6" t="s">
        <v>1056</v>
      </c>
      <c r="C120" s="6" t="str">
        <f t="shared" si="1"/>
        <v>HS5054 Blacktown</v>
      </c>
      <c r="D120" s="6" t="s">
        <v>1054</v>
      </c>
      <c r="E120" s="6" t="s">
        <v>817</v>
      </c>
      <c r="F120" s="6" t="s">
        <v>1055</v>
      </c>
      <c r="G120" s="6" t="s">
        <v>819</v>
      </c>
    </row>
    <row r="121" spans="1:7" x14ac:dyDescent="0.25">
      <c r="A121" s="6" t="s">
        <v>1495</v>
      </c>
      <c r="B121" s="6" t="s">
        <v>842</v>
      </c>
      <c r="C121" s="6" t="str">
        <f t="shared" si="1"/>
        <v>HS5058 Bennetts Green</v>
      </c>
      <c r="D121" s="6" t="s">
        <v>1054</v>
      </c>
      <c r="E121" s="6" t="s">
        <v>817</v>
      </c>
      <c r="F121" s="6" t="s">
        <v>1055</v>
      </c>
      <c r="G121" s="6" t="s">
        <v>819</v>
      </c>
    </row>
    <row r="122" spans="1:7" x14ac:dyDescent="0.25">
      <c r="A122" s="6" t="s">
        <v>1496</v>
      </c>
      <c r="B122" s="6" t="s">
        <v>863</v>
      </c>
      <c r="C122" s="6" t="str">
        <f t="shared" si="1"/>
        <v>HS5089 Rockdale</v>
      </c>
      <c r="D122" s="6" t="s">
        <v>1054</v>
      </c>
      <c r="E122" s="6" t="s">
        <v>817</v>
      </c>
      <c r="F122" s="6" t="s">
        <v>1055</v>
      </c>
      <c r="G122" s="6" t="s">
        <v>819</v>
      </c>
    </row>
    <row r="123" spans="1:7" x14ac:dyDescent="0.25">
      <c r="A123" s="6" t="s">
        <v>1497</v>
      </c>
      <c r="B123" s="10" t="s">
        <v>1057</v>
      </c>
      <c r="C123" s="6" t="str">
        <f t="shared" si="1"/>
        <v>HS5653 DNU eComm</v>
      </c>
      <c r="D123" s="11" t="s">
        <v>1054</v>
      </c>
      <c r="E123" s="10" t="s">
        <v>817</v>
      </c>
      <c r="F123" s="10" t="s">
        <v>1055</v>
      </c>
      <c r="G123" s="10" t="s">
        <v>819</v>
      </c>
    </row>
    <row r="124" spans="1:7" x14ac:dyDescent="0.25">
      <c r="A124" s="6" t="s">
        <v>1498</v>
      </c>
      <c r="B124" s="10" t="s">
        <v>1057</v>
      </c>
      <c r="C124" s="6" t="str">
        <f t="shared" si="1"/>
        <v>HS5689 DNU eComm</v>
      </c>
      <c r="D124" s="11" t="s">
        <v>1054</v>
      </c>
      <c r="E124" s="10" t="s">
        <v>817</v>
      </c>
      <c r="F124" s="10" t="s">
        <v>1055</v>
      </c>
      <c r="G124" s="10" t="s">
        <v>819</v>
      </c>
    </row>
    <row r="125" spans="1:7" x14ac:dyDescent="0.25">
      <c r="A125" s="6" t="s">
        <v>1499</v>
      </c>
      <c r="B125" s="6" t="s">
        <v>1058</v>
      </c>
      <c r="C125" s="6" t="str">
        <f t="shared" si="1"/>
        <v>HS6059 Belconnen</v>
      </c>
      <c r="D125" s="6" t="s">
        <v>1054</v>
      </c>
      <c r="E125" s="6" t="s">
        <v>817</v>
      </c>
      <c r="F125" s="6" t="s">
        <v>1055</v>
      </c>
      <c r="G125" s="6" t="s">
        <v>819</v>
      </c>
    </row>
    <row r="126" spans="1:7" x14ac:dyDescent="0.25">
      <c r="A126" s="6" t="s">
        <v>1500</v>
      </c>
      <c r="B126" s="6" t="s">
        <v>919</v>
      </c>
      <c r="C126" s="6" t="str">
        <f t="shared" si="1"/>
        <v>HS6063 Fyshwick</v>
      </c>
      <c r="D126" s="6" t="s">
        <v>1054</v>
      </c>
      <c r="E126" s="6" t="s">
        <v>817</v>
      </c>
      <c r="F126" s="6" t="s">
        <v>1055</v>
      </c>
      <c r="G126" s="6" t="s">
        <v>819</v>
      </c>
    </row>
    <row r="127" spans="1:7" x14ac:dyDescent="0.25">
      <c r="A127" s="6" t="s">
        <v>1501</v>
      </c>
      <c r="B127" s="6" t="s">
        <v>1059</v>
      </c>
      <c r="C127" s="6" t="str">
        <f t="shared" si="1"/>
        <v>HS6065 Tuggeranong</v>
      </c>
      <c r="D127" s="6" t="s">
        <v>1054</v>
      </c>
      <c r="E127" s="6" t="s">
        <v>817</v>
      </c>
      <c r="F127" s="6" t="s">
        <v>1055</v>
      </c>
      <c r="G127" s="6" t="s">
        <v>819</v>
      </c>
    </row>
    <row r="128" spans="1:7" x14ac:dyDescent="0.25">
      <c r="A128" s="6" t="s">
        <v>1502</v>
      </c>
      <c r="B128" s="6" t="s">
        <v>865</v>
      </c>
      <c r="C128" s="6" t="str">
        <f t="shared" si="1"/>
        <v>HS6068 Wagga Wagga</v>
      </c>
      <c r="D128" s="6" t="s">
        <v>1054</v>
      </c>
      <c r="E128" s="6" t="s">
        <v>817</v>
      </c>
      <c r="F128" s="6" t="s">
        <v>1055</v>
      </c>
      <c r="G128" s="6" t="s">
        <v>819</v>
      </c>
    </row>
    <row r="129" spans="1:7" x14ac:dyDescent="0.25">
      <c r="A129" s="6" t="s">
        <v>1503</v>
      </c>
      <c r="B129" s="6" t="s">
        <v>1060</v>
      </c>
      <c r="C129" s="6" t="str">
        <f t="shared" si="1"/>
        <v>HS6075 Merimbula (HS Home)</v>
      </c>
      <c r="D129" s="6" t="s">
        <v>1054</v>
      </c>
      <c r="E129" s="6" t="s">
        <v>817</v>
      </c>
      <c r="F129" s="6" t="s">
        <v>1055</v>
      </c>
      <c r="G129" s="6" t="s">
        <v>819</v>
      </c>
    </row>
    <row r="130" spans="1:7" x14ac:dyDescent="0.25">
      <c r="A130" s="6" t="s">
        <v>1504</v>
      </c>
      <c r="B130" s="6" t="s">
        <v>1061</v>
      </c>
      <c r="C130" s="6" t="str">
        <f t="shared" si="1"/>
        <v>HS6076 Moruya</v>
      </c>
      <c r="D130" s="6" t="s">
        <v>1054</v>
      </c>
      <c r="E130" s="6" t="s">
        <v>817</v>
      </c>
      <c r="F130" s="6" t="s">
        <v>1055</v>
      </c>
      <c r="G130" s="6" t="s">
        <v>819</v>
      </c>
    </row>
    <row r="131" spans="1:7" x14ac:dyDescent="0.25">
      <c r="A131" s="6" t="s">
        <v>1505</v>
      </c>
      <c r="B131" s="6" t="s">
        <v>1062</v>
      </c>
      <c r="C131" s="6" t="str">
        <f t="shared" ref="C131:C194" si="2">A131&amp;" "&amp;B131</f>
        <v>HS6078 Ulladulla</v>
      </c>
      <c r="D131" s="6" t="s">
        <v>1054</v>
      </c>
      <c r="E131" s="6" t="s">
        <v>817</v>
      </c>
      <c r="F131" s="6" t="s">
        <v>1055</v>
      </c>
      <c r="G131" s="6" t="s">
        <v>819</v>
      </c>
    </row>
    <row r="132" spans="1:7" x14ac:dyDescent="0.25">
      <c r="A132" s="6" t="s">
        <v>1506</v>
      </c>
      <c r="B132" s="10" t="s">
        <v>1057</v>
      </c>
      <c r="C132" s="6" t="str">
        <f t="shared" si="2"/>
        <v>HS6663 DNU eComm</v>
      </c>
      <c r="D132" s="11" t="s">
        <v>1054</v>
      </c>
      <c r="E132" s="10" t="s">
        <v>817</v>
      </c>
      <c r="F132" s="10" t="s">
        <v>1055</v>
      </c>
      <c r="G132" s="10" t="s">
        <v>819</v>
      </c>
    </row>
    <row r="133" spans="1:7" x14ac:dyDescent="0.25">
      <c r="A133" s="6" t="s">
        <v>1507</v>
      </c>
      <c r="B133" s="10" t="s">
        <v>1057</v>
      </c>
      <c r="C133" s="6" t="str">
        <f t="shared" si="2"/>
        <v>HS6665 DNU eComm</v>
      </c>
      <c r="D133" s="11" t="s">
        <v>1054</v>
      </c>
      <c r="E133" s="10" t="s">
        <v>817</v>
      </c>
      <c r="F133" s="10" t="s">
        <v>1055</v>
      </c>
      <c r="G133" s="10" t="s">
        <v>819</v>
      </c>
    </row>
    <row r="134" spans="1:7" x14ac:dyDescent="0.25">
      <c r="A134" s="6" t="s">
        <v>1508</v>
      </c>
      <c r="B134" s="10" t="s">
        <v>1057</v>
      </c>
      <c r="C134" s="6" t="str">
        <f t="shared" si="2"/>
        <v>HS6678 DNU eComm</v>
      </c>
      <c r="D134" s="11" t="s">
        <v>1054</v>
      </c>
      <c r="E134" s="10" t="s">
        <v>817</v>
      </c>
      <c r="F134" s="10" t="s">
        <v>1055</v>
      </c>
      <c r="G134" s="10" t="s">
        <v>819</v>
      </c>
    </row>
    <row r="135" spans="1:7" x14ac:dyDescent="0.25">
      <c r="A135" s="6" t="s">
        <v>1509</v>
      </c>
      <c r="B135" s="7" t="s">
        <v>853</v>
      </c>
      <c r="C135" s="6" t="str">
        <f t="shared" si="2"/>
        <v>HS5060 Bathurst</v>
      </c>
      <c r="D135" s="6" t="s">
        <v>1063</v>
      </c>
      <c r="E135" s="7" t="s">
        <v>817</v>
      </c>
      <c r="F135" s="7" t="s">
        <v>1055</v>
      </c>
      <c r="G135" s="7" t="s">
        <v>819</v>
      </c>
    </row>
    <row r="136" spans="1:7" x14ac:dyDescent="0.25">
      <c r="A136" s="6" t="s">
        <v>1510</v>
      </c>
      <c r="B136" s="6" t="s">
        <v>1064</v>
      </c>
      <c r="C136" s="6" t="str">
        <f t="shared" si="2"/>
        <v>HS6071 Tweed Heads</v>
      </c>
      <c r="D136" s="6" t="s">
        <v>1063</v>
      </c>
      <c r="E136" s="6" t="s">
        <v>817</v>
      </c>
      <c r="F136" s="6" t="s">
        <v>1055</v>
      </c>
      <c r="G136" s="6" t="s">
        <v>819</v>
      </c>
    </row>
    <row r="137" spans="1:7" x14ac:dyDescent="0.25">
      <c r="A137" s="6" t="s">
        <v>1511</v>
      </c>
      <c r="B137" s="10" t="s">
        <v>1057</v>
      </c>
      <c r="C137" s="6" t="str">
        <f t="shared" si="2"/>
        <v>HS6671 DNU eComm</v>
      </c>
      <c r="D137" s="11" t="s">
        <v>1063</v>
      </c>
      <c r="E137" s="10" t="s">
        <v>817</v>
      </c>
      <c r="F137" s="10" t="s">
        <v>1055</v>
      </c>
      <c r="G137" s="10" t="s">
        <v>819</v>
      </c>
    </row>
    <row r="138" spans="1:7" x14ac:dyDescent="0.25">
      <c r="A138" s="6" t="s">
        <v>1512</v>
      </c>
      <c r="B138" s="7" t="s">
        <v>898</v>
      </c>
      <c r="C138" s="6" t="str">
        <f t="shared" si="2"/>
        <v>HS9086 Mt Gravatt</v>
      </c>
      <c r="D138" s="6" t="s">
        <v>1063</v>
      </c>
      <c r="E138" s="7" t="s">
        <v>817</v>
      </c>
      <c r="F138" s="7" t="s">
        <v>1055</v>
      </c>
      <c r="G138" s="7" t="s">
        <v>819</v>
      </c>
    </row>
    <row r="139" spans="1:7" x14ac:dyDescent="0.25">
      <c r="A139" s="6" t="s">
        <v>1513</v>
      </c>
      <c r="B139" s="12" t="s">
        <v>1065</v>
      </c>
      <c r="C139" s="6" t="str">
        <f t="shared" si="2"/>
        <v>HS9087 Loganholme</v>
      </c>
      <c r="D139" s="6" t="s">
        <v>1063</v>
      </c>
      <c r="E139" s="12" t="s">
        <v>817</v>
      </c>
      <c r="F139" s="12" t="s">
        <v>1055</v>
      </c>
      <c r="G139" s="12" t="s">
        <v>819</v>
      </c>
    </row>
    <row r="140" spans="1:7" x14ac:dyDescent="0.25">
      <c r="A140" s="6" t="s">
        <v>1514</v>
      </c>
      <c r="B140" s="6" t="s">
        <v>1066</v>
      </c>
      <c r="C140" s="6" t="str">
        <f t="shared" si="2"/>
        <v>HS9088 West Burleigh (Mega Home)</v>
      </c>
      <c r="D140" s="6" t="s">
        <v>1063</v>
      </c>
      <c r="E140" s="6" t="s">
        <v>817</v>
      </c>
      <c r="F140" s="6" t="s">
        <v>1055</v>
      </c>
      <c r="G140" s="6" t="s">
        <v>819</v>
      </c>
    </row>
    <row r="141" spans="1:7" x14ac:dyDescent="0.25">
      <c r="A141" s="6" t="s">
        <v>1515</v>
      </c>
      <c r="B141" s="6" t="s">
        <v>831</v>
      </c>
      <c r="C141" s="6" t="str">
        <f t="shared" si="2"/>
        <v>HS9090 Maroochydore</v>
      </c>
      <c r="D141" s="6" t="s">
        <v>1063</v>
      </c>
      <c r="E141" s="6" t="s">
        <v>817</v>
      </c>
      <c r="F141" s="6" t="s">
        <v>1055</v>
      </c>
      <c r="G141" s="6" t="s">
        <v>819</v>
      </c>
    </row>
    <row r="142" spans="1:7" x14ac:dyDescent="0.25">
      <c r="A142" s="6" t="s">
        <v>1516</v>
      </c>
      <c r="B142" s="6" t="s">
        <v>825</v>
      </c>
      <c r="C142" s="6" t="str">
        <f t="shared" si="2"/>
        <v>HS9095 Chermside</v>
      </c>
      <c r="D142" s="6" t="s">
        <v>1063</v>
      </c>
      <c r="E142" s="6" t="s">
        <v>817</v>
      </c>
      <c r="F142" s="6" t="s">
        <v>1055</v>
      </c>
      <c r="G142" s="6" t="s">
        <v>819</v>
      </c>
    </row>
    <row r="143" spans="1:7" x14ac:dyDescent="0.25">
      <c r="A143" s="6" t="s">
        <v>1517</v>
      </c>
      <c r="B143" s="7" t="s">
        <v>888</v>
      </c>
      <c r="C143" s="6" t="str">
        <f t="shared" si="2"/>
        <v>HS9097 Hervey Bay</v>
      </c>
      <c r="D143" s="6" t="s">
        <v>1063</v>
      </c>
      <c r="E143" s="7" t="s">
        <v>817</v>
      </c>
      <c r="F143" s="7" t="s">
        <v>1055</v>
      </c>
      <c r="G143" s="7" t="s">
        <v>819</v>
      </c>
    </row>
    <row r="144" spans="1:7" x14ac:dyDescent="0.25">
      <c r="A144" s="6" t="s">
        <v>1518</v>
      </c>
      <c r="B144" s="6" t="s">
        <v>1067</v>
      </c>
      <c r="C144" s="6" t="str">
        <f t="shared" si="2"/>
        <v>HS9098 Carindale</v>
      </c>
      <c r="D144" s="6" t="s">
        <v>1063</v>
      </c>
      <c r="E144" s="6" t="s">
        <v>817</v>
      </c>
      <c r="F144" s="6" t="s">
        <v>1055</v>
      </c>
      <c r="G144" s="6" t="s">
        <v>819</v>
      </c>
    </row>
    <row r="145" spans="1:7" x14ac:dyDescent="0.25">
      <c r="A145" s="6" t="s">
        <v>1519</v>
      </c>
      <c r="B145" s="10" t="s">
        <v>1057</v>
      </c>
      <c r="C145" s="6" t="str">
        <f t="shared" si="2"/>
        <v>HS9695 DNU eComm</v>
      </c>
      <c r="D145" s="11" t="s">
        <v>1063</v>
      </c>
      <c r="E145" s="10" t="s">
        <v>817</v>
      </c>
      <c r="F145" s="10" t="s">
        <v>1055</v>
      </c>
      <c r="G145" s="10" t="s">
        <v>819</v>
      </c>
    </row>
    <row r="146" spans="1:7" x14ac:dyDescent="0.25">
      <c r="A146" s="6" t="s">
        <v>1520</v>
      </c>
      <c r="B146" s="10" t="s">
        <v>1057</v>
      </c>
      <c r="C146" s="6" t="str">
        <f t="shared" si="2"/>
        <v>HS9698 DNU eComm</v>
      </c>
      <c r="D146" s="11" t="s">
        <v>1063</v>
      </c>
      <c r="E146" s="10" t="s">
        <v>817</v>
      </c>
      <c r="F146" s="10" t="s">
        <v>1055</v>
      </c>
      <c r="G146" s="10" t="s">
        <v>819</v>
      </c>
    </row>
    <row r="147" spans="1:7" x14ac:dyDescent="0.25">
      <c r="A147" s="6" t="s">
        <v>1521</v>
      </c>
      <c r="B147" s="6" t="s">
        <v>1068</v>
      </c>
      <c r="C147" s="6" t="str">
        <f t="shared" si="2"/>
        <v>HS1004 Arndale</v>
      </c>
      <c r="D147" s="6" t="s">
        <v>1069</v>
      </c>
      <c r="E147" s="6" t="s">
        <v>817</v>
      </c>
      <c r="F147" s="6" t="s">
        <v>1055</v>
      </c>
      <c r="G147" s="6" t="s">
        <v>819</v>
      </c>
    </row>
    <row r="148" spans="1:7" x14ac:dyDescent="0.25">
      <c r="A148" s="6" t="s">
        <v>1522</v>
      </c>
      <c r="B148" s="6" t="s">
        <v>1070</v>
      </c>
      <c r="C148" s="6" t="str">
        <f t="shared" si="2"/>
        <v>HS1005 Elizabeth</v>
      </c>
      <c r="D148" s="6" t="s">
        <v>1069</v>
      </c>
      <c r="E148" s="6" t="s">
        <v>817</v>
      </c>
      <c r="F148" s="6" t="s">
        <v>1055</v>
      </c>
      <c r="G148" s="6" t="s">
        <v>819</v>
      </c>
    </row>
    <row r="149" spans="1:7" x14ac:dyDescent="0.25">
      <c r="A149" s="6" t="s">
        <v>1523</v>
      </c>
      <c r="B149" s="6" t="s">
        <v>1071</v>
      </c>
      <c r="C149" s="6" t="str">
        <f t="shared" si="2"/>
        <v>HS1006 West Lakes</v>
      </c>
      <c r="D149" s="6" t="s">
        <v>1069</v>
      </c>
      <c r="E149" s="6" t="s">
        <v>817</v>
      </c>
      <c r="F149" s="6" t="s">
        <v>1055</v>
      </c>
      <c r="G149" s="6" t="s">
        <v>819</v>
      </c>
    </row>
    <row r="150" spans="1:7" x14ac:dyDescent="0.25">
      <c r="A150" s="6" t="s">
        <v>1524</v>
      </c>
      <c r="B150" s="6" t="s">
        <v>1072</v>
      </c>
      <c r="C150" s="6" t="str">
        <f t="shared" si="2"/>
        <v>HS1008 Tea Tree Plaza</v>
      </c>
      <c r="D150" s="6" t="s">
        <v>1069</v>
      </c>
      <c r="E150" s="6" t="s">
        <v>817</v>
      </c>
      <c r="F150" s="6" t="s">
        <v>1055</v>
      </c>
      <c r="G150" s="6" t="s">
        <v>819</v>
      </c>
    </row>
    <row r="151" spans="1:7" x14ac:dyDescent="0.25">
      <c r="A151" s="6" t="s">
        <v>1525</v>
      </c>
      <c r="B151" s="6" t="s">
        <v>1073</v>
      </c>
      <c r="C151" s="6" t="str">
        <f t="shared" si="2"/>
        <v>HS1010 Whyalla</v>
      </c>
      <c r="D151" s="6" t="s">
        <v>1069</v>
      </c>
      <c r="E151" s="6" t="s">
        <v>817</v>
      </c>
      <c r="F151" s="6" t="s">
        <v>1055</v>
      </c>
      <c r="G151" s="6" t="s">
        <v>819</v>
      </c>
    </row>
    <row r="152" spans="1:7" x14ac:dyDescent="0.25">
      <c r="A152" s="6" t="s">
        <v>1526</v>
      </c>
      <c r="B152" s="6" t="s">
        <v>1074</v>
      </c>
      <c r="C152" s="6" t="str">
        <f t="shared" si="2"/>
        <v>HS1011 Marion</v>
      </c>
      <c r="D152" s="6" t="s">
        <v>1069</v>
      </c>
      <c r="E152" s="6" t="s">
        <v>817</v>
      </c>
      <c r="F152" s="6" t="s">
        <v>1055</v>
      </c>
      <c r="G152" s="6" t="s">
        <v>819</v>
      </c>
    </row>
    <row r="153" spans="1:7" x14ac:dyDescent="0.25">
      <c r="A153" s="6" t="s">
        <v>1527</v>
      </c>
      <c r="B153" s="6" t="s">
        <v>1075</v>
      </c>
      <c r="C153" s="6" t="str">
        <f t="shared" si="2"/>
        <v>HS1012 Colonnades</v>
      </c>
      <c r="D153" s="6" t="s">
        <v>1069</v>
      </c>
      <c r="E153" s="6" t="s">
        <v>817</v>
      </c>
      <c r="F153" s="6" t="s">
        <v>1055</v>
      </c>
      <c r="G153" s="6" t="s">
        <v>819</v>
      </c>
    </row>
    <row r="154" spans="1:7" x14ac:dyDescent="0.25">
      <c r="A154" s="6" t="s">
        <v>1528</v>
      </c>
      <c r="B154" s="6" t="s">
        <v>1076</v>
      </c>
      <c r="C154" s="6" t="str">
        <f t="shared" si="2"/>
        <v>HS1013 Gepps Cross (HS Home)</v>
      </c>
      <c r="D154" s="6" t="s">
        <v>1069</v>
      </c>
      <c r="E154" s="6" t="s">
        <v>817</v>
      </c>
      <c r="F154" s="6" t="s">
        <v>1055</v>
      </c>
      <c r="G154" s="6" t="s">
        <v>819</v>
      </c>
    </row>
    <row r="155" spans="1:7" x14ac:dyDescent="0.25">
      <c r="A155" s="6" t="s">
        <v>1529</v>
      </c>
      <c r="B155" s="10" t="s">
        <v>1057</v>
      </c>
      <c r="C155" s="6" t="str">
        <f t="shared" si="2"/>
        <v>HS1604 DNU eComm</v>
      </c>
      <c r="D155" s="11" t="s">
        <v>1069</v>
      </c>
      <c r="E155" s="10" t="s">
        <v>817</v>
      </c>
      <c r="F155" s="10" t="s">
        <v>1055</v>
      </c>
      <c r="G155" s="10" t="s">
        <v>819</v>
      </c>
    </row>
    <row r="156" spans="1:7" x14ac:dyDescent="0.25">
      <c r="A156" s="6" t="s">
        <v>1530</v>
      </c>
      <c r="B156" s="10" t="s">
        <v>1057</v>
      </c>
      <c r="C156" s="6" t="str">
        <f t="shared" si="2"/>
        <v>HS1605 DNU eComm</v>
      </c>
      <c r="D156" s="11" t="s">
        <v>1069</v>
      </c>
      <c r="E156" s="10" t="s">
        <v>817</v>
      </c>
      <c r="F156" s="10" t="s">
        <v>1055</v>
      </c>
      <c r="G156" s="10" t="s">
        <v>819</v>
      </c>
    </row>
    <row r="157" spans="1:7" x14ac:dyDescent="0.25">
      <c r="A157" s="6" t="s">
        <v>1531</v>
      </c>
      <c r="B157" s="10" t="s">
        <v>1057</v>
      </c>
      <c r="C157" s="6" t="str">
        <f t="shared" si="2"/>
        <v>HS1606 DNU eComm</v>
      </c>
      <c r="D157" s="11" t="s">
        <v>1069</v>
      </c>
      <c r="E157" s="10" t="s">
        <v>817</v>
      </c>
      <c r="F157" s="10" t="s">
        <v>1055</v>
      </c>
      <c r="G157" s="10" t="s">
        <v>819</v>
      </c>
    </row>
    <row r="158" spans="1:7" x14ac:dyDescent="0.25">
      <c r="A158" s="6" t="s">
        <v>1532</v>
      </c>
      <c r="B158" s="10" t="s">
        <v>1057</v>
      </c>
      <c r="C158" s="6" t="str">
        <f t="shared" si="2"/>
        <v>HS1612 DNU eComm</v>
      </c>
      <c r="D158" s="11" t="s">
        <v>1069</v>
      </c>
      <c r="E158" s="10" t="s">
        <v>817</v>
      </c>
      <c r="F158" s="10" t="s">
        <v>1055</v>
      </c>
      <c r="G158" s="10" t="s">
        <v>819</v>
      </c>
    </row>
    <row r="159" spans="1:7" x14ac:dyDescent="0.25">
      <c r="A159" s="6" t="s">
        <v>1533</v>
      </c>
      <c r="B159" s="6" t="s">
        <v>1077</v>
      </c>
      <c r="C159" s="6" t="str">
        <f t="shared" si="2"/>
        <v>HS4041 Moonah</v>
      </c>
      <c r="D159" s="6" t="s">
        <v>1069</v>
      </c>
      <c r="E159" s="6" t="s">
        <v>817</v>
      </c>
      <c r="F159" s="6" t="s">
        <v>1055</v>
      </c>
      <c r="G159" s="6" t="s">
        <v>819</v>
      </c>
    </row>
    <row r="160" spans="1:7" x14ac:dyDescent="0.25">
      <c r="A160" s="6" t="s">
        <v>1534</v>
      </c>
      <c r="B160" s="6" t="s">
        <v>968</v>
      </c>
      <c r="C160" s="6" t="str">
        <f t="shared" si="2"/>
        <v>HS4042 Cambridge</v>
      </c>
      <c r="D160" s="6" t="s">
        <v>1069</v>
      </c>
      <c r="E160" s="6" t="s">
        <v>817</v>
      </c>
      <c r="F160" s="6" t="s">
        <v>1055</v>
      </c>
      <c r="G160" s="6" t="s">
        <v>819</v>
      </c>
    </row>
    <row r="161" spans="1:7" x14ac:dyDescent="0.25">
      <c r="A161" s="6" t="s">
        <v>1535</v>
      </c>
      <c r="B161" s="6" t="s">
        <v>971</v>
      </c>
      <c r="C161" s="6" t="str">
        <f t="shared" si="2"/>
        <v>HS4043 Launceston</v>
      </c>
      <c r="D161" s="6" t="s">
        <v>1069</v>
      </c>
      <c r="E161" s="6" t="s">
        <v>817</v>
      </c>
      <c r="F161" s="6" t="s">
        <v>1055</v>
      </c>
      <c r="G161" s="6" t="s">
        <v>819</v>
      </c>
    </row>
    <row r="162" spans="1:7" x14ac:dyDescent="0.25">
      <c r="A162" s="6" t="s">
        <v>1536</v>
      </c>
      <c r="B162" s="6" t="s">
        <v>973</v>
      </c>
      <c r="C162" s="6" t="str">
        <f t="shared" si="2"/>
        <v>HS4044 Devonport</v>
      </c>
      <c r="D162" s="6" t="s">
        <v>1069</v>
      </c>
      <c r="E162" s="6" t="s">
        <v>817</v>
      </c>
      <c r="F162" s="6" t="s">
        <v>1055</v>
      </c>
      <c r="G162" s="6" t="s">
        <v>819</v>
      </c>
    </row>
    <row r="163" spans="1:7" x14ac:dyDescent="0.25">
      <c r="A163" s="6" t="s">
        <v>1537</v>
      </c>
      <c r="B163" s="6" t="s">
        <v>1078</v>
      </c>
      <c r="C163" s="6" t="str">
        <f t="shared" si="2"/>
        <v>HS4045 Ulverstone</v>
      </c>
      <c r="D163" s="6" t="s">
        <v>1069</v>
      </c>
      <c r="E163" s="6" t="s">
        <v>817</v>
      </c>
      <c r="F163" s="6" t="s">
        <v>1055</v>
      </c>
      <c r="G163" s="6" t="s">
        <v>819</v>
      </c>
    </row>
    <row r="164" spans="1:7" x14ac:dyDescent="0.25">
      <c r="A164" s="6" t="s">
        <v>1538</v>
      </c>
      <c r="B164" s="10" t="s">
        <v>1057</v>
      </c>
      <c r="C164" s="6" t="str">
        <f t="shared" si="2"/>
        <v>HS4643 DNU eComm</v>
      </c>
      <c r="D164" s="11" t="s">
        <v>1069</v>
      </c>
      <c r="E164" s="10" t="s">
        <v>817</v>
      </c>
      <c r="F164" s="10" t="s">
        <v>1055</v>
      </c>
      <c r="G164" s="10" t="s">
        <v>819</v>
      </c>
    </row>
    <row r="165" spans="1:7" x14ac:dyDescent="0.25">
      <c r="A165" s="6" t="s">
        <v>1539</v>
      </c>
      <c r="B165" s="10" t="s">
        <v>1057</v>
      </c>
      <c r="C165" s="6" t="str">
        <f t="shared" si="2"/>
        <v>HS4644 DNU eComm</v>
      </c>
      <c r="D165" s="11" t="s">
        <v>1069</v>
      </c>
      <c r="E165" s="10" t="s">
        <v>817</v>
      </c>
      <c r="F165" s="10" t="s">
        <v>1055</v>
      </c>
      <c r="G165" s="10" t="s">
        <v>819</v>
      </c>
    </row>
    <row r="166" spans="1:7" x14ac:dyDescent="0.25">
      <c r="A166" s="6" t="s">
        <v>1540</v>
      </c>
      <c r="B166" s="6" t="s">
        <v>1079</v>
      </c>
      <c r="C166" s="6" t="str">
        <f t="shared" si="2"/>
        <v>HS2014 Mornington (HS Home)</v>
      </c>
      <c r="D166" s="6" t="s">
        <v>1080</v>
      </c>
      <c r="E166" s="6" t="s">
        <v>817</v>
      </c>
      <c r="F166" s="6" t="s">
        <v>1055</v>
      </c>
      <c r="G166" s="6" t="s">
        <v>819</v>
      </c>
    </row>
    <row r="167" spans="1:7" x14ac:dyDescent="0.25">
      <c r="A167" s="6" t="s">
        <v>1541</v>
      </c>
      <c r="B167" s="6" t="s">
        <v>1081</v>
      </c>
      <c r="C167" s="6" t="str">
        <f t="shared" si="2"/>
        <v>HS2020 Forest Hill</v>
      </c>
      <c r="D167" s="6" t="s">
        <v>1080</v>
      </c>
      <c r="E167" s="6" t="s">
        <v>817</v>
      </c>
      <c r="F167" s="6" t="s">
        <v>1055</v>
      </c>
      <c r="G167" s="6" t="s">
        <v>819</v>
      </c>
    </row>
    <row r="168" spans="1:7" x14ac:dyDescent="0.25">
      <c r="A168" s="6" t="s">
        <v>1542</v>
      </c>
      <c r="B168" s="6" t="s">
        <v>1082</v>
      </c>
      <c r="C168" s="6" t="str">
        <f t="shared" si="2"/>
        <v>HS2022 Knox City</v>
      </c>
      <c r="D168" s="6" t="s">
        <v>1080</v>
      </c>
      <c r="E168" s="6" t="s">
        <v>817</v>
      </c>
      <c r="F168" s="6" t="s">
        <v>1055</v>
      </c>
      <c r="G168" s="6" t="s">
        <v>819</v>
      </c>
    </row>
    <row r="169" spans="1:7" x14ac:dyDescent="0.25">
      <c r="A169" s="6" t="s">
        <v>1543</v>
      </c>
      <c r="B169" s="6" t="s">
        <v>1083</v>
      </c>
      <c r="C169" s="6" t="str">
        <f t="shared" si="2"/>
        <v>HS2025 Southland</v>
      </c>
      <c r="D169" s="6" t="s">
        <v>1080</v>
      </c>
      <c r="E169" s="6" t="s">
        <v>817</v>
      </c>
      <c r="F169" s="6" t="s">
        <v>1055</v>
      </c>
      <c r="G169" s="6" t="s">
        <v>819</v>
      </c>
    </row>
    <row r="170" spans="1:7" x14ac:dyDescent="0.25">
      <c r="A170" s="6" t="s">
        <v>1544</v>
      </c>
      <c r="B170" s="6" t="s">
        <v>1084</v>
      </c>
      <c r="C170" s="6" t="str">
        <f t="shared" si="2"/>
        <v>HS2028 Cranbourne Park</v>
      </c>
      <c r="D170" s="6" t="s">
        <v>1080</v>
      </c>
      <c r="E170" s="6" t="s">
        <v>817</v>
      </c>
      <c r="F170" s="6" t="s">
        <v>1055</v>
      </c>
      <c r="G170" s="6" t="s">
        <v>819</v>
      </c>
    </row>
    <row r="171" spans="1:7" x14ac:dyDescent="0.25">
      <c r="A171" s="6" t="s">
        <v>1545</v>
      </c>
      <c r="B171" s="6" t="s">
        <v>1085</v>
      </c>
      <c r="C171" s="6" t="str">
        <f t="shared" si="2"/>
        <v>HS2032 Traralgon</v>
      </c>
      <c r="D171" s="6" t="s">
        <v>1080</v>
      </c>
      <c r="E171" s="6" t="s">
        <v>817</v>
      </c>
      <c r="F171" s="6" t="s">
        <v>1055</v>
      </c>
      <c r="G171" s="6" t="s">
        <v>819</v>
      </c>
    </row>
    <row r="172" spans="1:7" x14ac:dyDescent="0.25">
      <c r="A172" s="6" t="s">
        <v>1546</v>
      </c>
      <c r="B172" s="6" t="s">
        <v>1086</v>
      </c>
      <c r="C172" s="6" t="str">
        <f t="shared" si="2"/>
        <v>HS2033 Eastland</v>
      </c>
      <c r="D172" s="6" t="s">
        <v>1080</v>
      </c>
      <c r="E172" s="6" t="s">
        <v>817</v>
      </c>
      <c r="F172" s="6" t="s">
        <v>1055</v>
      </c>
      <c r="G172" s="6" t="s">
        <v>819</v>
      </c>
    </row>
    <row r="173" spans="1:7" x14ac:dyDescent="0.25">
      <c r="A173" s="6" t="s">
        <v>1547</v>
      </c>
      <c r="B173" s="6" t="s">
        <v>1087</v>
      </c>
      <c r="C173" s="6" t="str">
        <f t="shared" si="2"/>
        <v>HS2039 Fountain Gate</v>
      </c>
      <c r="D173" s="6" t="s">
        <v>1080</v>
      </c>
      <c r="E173" s="6" t="s">
        <v>817</v>
      </c>
      <c r="F173" s="6" t="s">
        <v>1055</v>
      </c>
      <c r="G173" s="6" t="s">
        <v>819</v>
      </c>
    </row>
    <row r="174" spans="1:7" x14ac:dyDescent="0.25">
      <c r="A174" s="6" t="s">
        <v>1548</v>
      </c>
      <c r="B174" s="6" t="s">
        <v>1088</v>
      </c>
      <c r="C174" s="6" t="str">
        <f t="shared" si="2"/>
        <v>HS2040 Preston (HS Home)</v>
      </c>
      <c r="D174" s="6" t="s">
        <v>1080</v>
      </c>
      <c r="E174" s="6" t="s">
        <v>817</v>
      </c>
      <c r="F174" s="6" t="s">
        <v>1055</v>
      </c>
      <c r="G174" s="6" t="s">
        <v>819</v>
      </c>
    </row>
    <row r="175" spans="1:7" x14ac:dyDescent="0.25">
      <c r="A175" s="6" t="s">
        <v>1549</v>
      </c>
      <c r="B175" s="6" t="s">
        <v>1089</v>
      </c>
      <c r="C175" s="6" t="str">
        <f t="shared" si="2"/>
        <v>HS2042 Carnegie (HS Home)</v>
      </c>
      <c r="D175" s="6" t="s">
        <v>1080</v>
      </c>
      <c r="E175" s="6" t="s">
        <v>817</v>
      </c>
      <c r="F175" s="6" t="s">
        <v>1055</v>
      </c>
      <c r="G175" s="6" t="s">
        <v>819</v>
      </c>
    </row>
    <row r="176" spans="1:7" x14ac:dyDescent="0.25">
      <c r="A176" s="6" t="s">
        <v>1550</v>
      </c>
      <c r="B176" s="6" t="s">
        <v>952</v>
      </c>
      <c r="C176" s="6" t="str">
        <f t="shared" si="2"/>
        <v>HS2045 Frankston</v>
      </c>
      <c r="D176" s="6" t="s">
        <v>1080</v>
      </c>
      <c r="E176" s="6" t="s">
        <v>817</v>
      </c>
      <c r="F176" s="6" t="s">
        <v>1055</v>
      </c>
      <c r="G176" s="6" t="s">
        <v>819</v>
      </c>
    </row>
    <row r="177" spans="1:7" x14ac:dyDescent="0.25">
      <c r="A177" s="6" t="s">
        <v>1551</v>
      </c>
      <c r="B177" s="6" t="s">
        <v>1090</v>
      </c>
      <c r="C177" s="6" t="str">
        <f t="shared" si="2"/>
        <v>HS2054 Chirnside Park (HS Home)</v>
      </c>
      <c r="D177" s="6" t="s">
        <v>1080</v>
      </c>
      <c r="E177" s="6" t="s">
        <v>817</v>
      </c>
      <c r="F177" s="6" t="s">
        <v>1055</v>
      </c>
      <c r="G177" s="6" t="s">
        <v>819</v>
      </c>
    </row>
    <row r="178" spans="1:7" x14ac:dyDescent="0.25">
      <c r="A178" s="6" t="s">
        <v>1552</v>
      </c>
      <c r="B178" s="6" t="s">
        <v>1091</v>
      </c>
      <c r="C178" s="6" t="str">
        <f t="shared" si="2"/>
        <v>HS2058 Warragul</v>
      </c>
      <c r="D178" s="6" t="s">
        <v>1080</v>
      </c>
      <c r="E178" s="6" t="s">
        <v>817</v>
      </c>
      <c r="F178" s="6" t="s">
        <v>1055</v>
      </c>
      <c r="G178" s="6" t="s">
        <v>819</v>
      </c>
    </row>
    <row r="179" spans="1:7" x14ac:dyDescent="0.25">
      <c r="A179" s="6" t="s">
        <v>1553</v>
      </c>
      <c r="B179" s="6" t="s">
        <v>1092</v>
      </c>
      <c r="C179" s="6" t="str">
        <f t="shared" si="2"/>
        <v>HS2059 Bairnsdale</v>
      </c>
      <c r="D179" s="6" t="s">
        <v>1080</v>
      </c>
      <c r="E179" s="6" t="s">
        <v>817</v>
      </c>
      <c r="F179" s="6" t="s">
        <v>1055</v>
      </c>
      <c r="G179" s="6" t="s">
        <v>819</v>
      </c>
    </row>
    <row r="180" spans="1:7" x14ac:dyDescent="0.25">
      <c r="A180" s="6" t="s">
        <v>1554</v>
      </c>
      <c r="B180" s="10" t="s">
        <v>1057</v>
      </c>
      <c r="C180" s="6" t="str">
        <f t="shared" si="2"/>
        <v>HS2620 DNU eComm</v>
      </c>
      <c r="D180" s="11" t="s">
        <v>1080</v>
      </c>
      <c r="E180" s="10" t="s">
        <v>817</v>
      </c>
      <c r="F180" s="10" t="s">
        <v>1055</v>
      </c>
      <c r="G180" s="10" t="s">
        <v>819</v>
      </c>
    </row>
    <row r="181" spans="1:7" x14ac:dyDescent="0.25">
      <c r="A181" s="6" t="s">
        <v>1555</v>
      </c>
      <c r="B181" s="10" t="s">
        <v>1057</v>
      </c>
      <c r="C181" s="6" t="str">
        <f t="shared" si="2"/>
        <v>HS2622 DNU eComm</v>
      </c>
      <c r="D181" s="11" t="s">
        <v>1080</v>
      </c>
      <c r="E181" s="10" t="s">
        <v>817</v>
      </c>
      <c r="F181" s="10" t="s">
        <v>1055</v>
      </c>
      <c r="G181" s="10" t="s">
        <v>819</v>
      </c>
    </row>
    <row r="182" spans="1:7" x14ac:dyDescent="0.25">
      <c r="A182" s="6" t="s">
        <v>1556</v>
      </c>
      <c r="B182" s="10" t="s">
        <v>1057</v>
      </c>
      <c r="C182" s="6" t="str">
        <f t="shared" si="2"/>
        <v>HS2625 DNU eComm</v>
      </c>
      <c r="D182" s="11" t="s">
        <v>1080</v>
      </c>
      <c r="E182" s="10" t="s">
        <v>817</v>
      </c>
      <c r="F182" s="10" t="s">
        <v>1055</v>
      </c>
      <c r="G182" s="10" t="s">
        <v>819</v>
      </c>
    </row>
    <row r="183" spans="1:7" x14ac:dyDescent="0.25">
      <c r="A183" s="6" t="s">
        <v>1557</v>
      </c>
      <c r="B183" s="10" t="s">
        <v>1057</v>
      </c>
      <c r="C183" s="6" t="str">
        <f t="shared" si="2"/>
        <v>HS2633 DNU eComm</v>
      </c>
      <c r="D183" s="11" t="s">
        <v>1080</v>
      </c>
      <c r="E183" s="10" t="s">
        <v>817</v>
      </c>
      <c r="F183" s="10" t="s">
        <v>1055</v>
      </c>
      <c r="G183" s="10" t="s">
        <v>819</v>
      </c>
    </row>
    <row r="184" spans="1:7" x14ac:dyDescent="0.25">
      <c r="A184" s="6" t="s">
        <v>1558</v>
      </c>
      <c r="B184" s="10" t="s">
        <v>1057</v>
      </c>
      <c r="C184" s="6" t="str">
        <f t="shared" si="2"/>
        <v>HS2639 DNU eComm</v>
      </c>
      <c r="D184" s="11" t="s">
        <v>1080</v>
      </c>
      <c r="E184" s="10" t="s">
        <v>817</v>
      </c>
      <c r="F184" s="10" t="s">
        <v>1055</v>
      </c>
      <c r="G184" s="10" t="s">
        <v>819</v>
      </c>
    </row>
    <row r="185" spans="1:7" x14ac:dyDescent="0.25">
      <c r="A185" s="6" t="s">
        <v>1559</v>
      </c>
      <c r="B185" s="6" t="s">
        <v>1057</v>
      </c>
      <c r="C185" s="6" t="str">
        <f t="shared" si="2"/>
        <v>HS2628 DNU eComm</v>
      </c>
      <c r="D185" s="6" t="s">
        <v>1080</v>
      </c>
      <c r="E185" s="6" t="s">
        <v>817</v>
      </c>
      <c r="F185" s="6" t="s">
        <v>1055</v>
      </c>
      <c r="G185" s="6" t="s">
        <v>819</v>
      </c>
    </row>
    <row r="186" spans="1:7" x14ac:dyDescent="0.25">
      <c r="A186" s="6" t="s">
        <v>1560</v>
      </c>
      <c r="B186" s="6" t="s">
        <v>1591</v>
      </c>
      <c r="C186" s="6" t="str">
        <f t="shared" si="2"/>
        <v>HS2016 Spencer Outlet</v>
      </c>
      <c r="D186" s="6" t="s">
        <v>1093</v>
      </c>
      <c r="E186" s="6" t="s">
        <v>817</v>
      </c>
      <c r="F186" s="6" t="s">
        <v>1055</v>
      </c>
      <c r="G186" s="6" t="s">
        <v>819</v>
      </c>
    </row>
    <row r="187" spans="1:7" x14ac:dyDescent="0.25">
      <c r="A187" s="6" t="s">
        <v>1561</v>
      </c>
      <c r="B187" s="6" t="s">
        <v>1094</v>
      </c>
      <c r="C187" s="6" t="str">
        <f t="shared" si="2"/>
        <v>HS2017 Woodgrove</v>
      </c>
      <c r="D187" s="6" t="s">
        <v>1093</v>
      </c>
      <c r="E187" s="6" t="s">
        <v>817</v>
      </c>
      <c r="F187" s="6" t="s">
        <v>1055</v>
      </c>
      <c r="G187" s="6" t="s">
        <v>819</v>
      </c>
    </row>
    <row r="188" spans="1:7" x14ac:dyDescent="0.25">
      <c r="A188" s="6" t="s">
        <v>1562</v>
      </c>
      <c r="B188" s="6" t="s">
        <v>960</v>
      </c>
      <c r="C188" s="6" t="str">
        <f t="shared" si="2"/>
        <v>HS2019 Ballarat</v>
      </c>
      <c r="D188" s="6" t="s">
        <v>1093</v>
      </c>
      <c r="E188" s="6" t="s">
        <v>817</v>
      </c>
      <c r="F188" s="6" t="s">
        <v>1055</v>
      </c>
      <c r="G188" s="6" t="s">
        <v>819</v>
      </c>
    </row>
    <row r="189" spans="1:7" x14ac:dyDescent="0.25">
      <c r="A189" s="6" t="s">
        <v>1563</v>
      </c>
      <c r="B189" s="6" t="s">
        <v>950</v>
      </c>
      <c r="C189" s="6" t="str">
        <f t="shared" si="2"/>
        <v>HS2021 Geelong</v>
      </c>
      <c r="D189" s="6" t="s">
        <v>1093</v>
      </c>
      <c r="E189" s="6" t="s">
        <v>817</v>
      </c>
      <c r="F189" s="6" t="s">
        <v>1055</v>
      </c>
      <c r="G189" s="6" t="s">
        <v>819</v>
      </c>
    </row>
    <row r="190" spans="1:7" x14ac:dyDescent="0.25">
      <c r="A190" s="6" t="s">
        <v>1564</v>
      </c>
      <c r="B190" s="6" t="s">
        <v>985</v>
      </c>
      <c r="C190" s="6" t="str">
        <f t="shared" si="2"/>
        <v>HS2023 Epping</v>
      </c>
      <c r="D190" s="6" t="s">
        <v>1093</v>
      </c>
      <c r="E190" s="6" t="s">
        <v>817</v>
      </c>
      <c r="F190" s="6" t="s">
        <v>1055</v>
      </c>
      <c r="G190" s="6" t="s">
        <v>819</v>
      </c>
    </row>
    <row r="191" spans="1:7" x14ac:dyDescent="0.25">
      <c r="A191" s="6" t="s">
        <v>1565</v>
      </c>
      <c r="B191" s="6" t="s">
        <v>1095</v>
      </c>
      <c r="C191" s="6" t="str">
        <f t="shared" si="2"/>
        <v>HS2024 Highpoint</v>
      </c>
      <c r="D191" s="6" t="s">
        <v>1093</v>
      </c>
      <c r="E191" s="6" t="s">
        <v>817</v>
      </c>
      <c r="F191" s="6" t="s">
        <v>1055</v>
      </c>
      <c r="G191" s="6" t="s">
        <v>819</v>
      </c>
    </row>
    <row r="192" spans="1:7" x14ac:dyDescent="0.25">
      <c r="A192" s="6" t="s">
        <v>1566</v>
      </c>
      <c r="B192" s="6" t="s">
        <v>966</v>
      </c>
      <c r="C192" s="6" t="str">
        <f t="shared" si="2"/>
        <v>HS2026 Shepparton</v>
      </c>
      <c r="D192" s="6" t="s">
        <v>1093</v>
      </c>
      <c r="E192" s="6" t="s">
        <v>817</v>
      </c>
      <c r="F192" s="6" t="s">
        <v>1055</v>
      </c>
      <c r="G192" s="6" t="s">
        <v>819</v>
      </c>
    </row>
    <row r="193" spans="1:7" x14ac:dyDescent="0.25">
      <c r="A193" s="6" t="s">
        <v>1567</v>
      </c>
      <c r="B193" s="6" t="s">
        <v>1096</v>
      </c>
      <c r="C193" s="6" t="str">
        <f t="shared" si="2"/>
        <v>HS2027 Airport West</v>
      </c>
      <c r="D193" s="6" t="s">
        <v>1093</v>
      </c>
      <c r="E193" s="6" t="s">
        <v>817</v>
      </c>
      <c r="F193" s="6" t="s">
        <v>1055</v>
      </c>
      <c r="G193" s="6" t="s">
        <v>819</v>
      </c>
    </row>
    <row r="194" spans="1:7" x14ac:dyDescent="0.25">
      <c r="A194" s="6" t="s">
        <v>1568</v>
      </c>
      <c r="B194" s="6" t="s">
        <v>1097</v>
      </c>
      <c r="C194" s="6" t="str">
        <f t="shared" si="2"/>
        <v>HS2029 Waurn Ponds (HS Home)</v>
      </c>
      <c r="D194" s="6" t="s">
        <v>1093</v>
      </c>
      <c r="E194" s="6" t="s">
        <v>817</v>
      </c>
      <c r="F194" s="6" t="s">
        <v>1055</v>
      </c>
      <c r="G194" s="6" t="s">
        <v>819</v>
      </c>
    </row>
    <row r="195" spans="1:7" x14ac:dyDescent="0.25">
      <c r="A195" s="6" t="s">
        <v>1569</v>
      </c>
      <c r="B195" s="6" t="s">
        <v>1098</v>
      </c>
      <c r="C195" s="6" t="str">
        <f t="shared" ref="C195:C258" si="3">A195&amp;" "&amp;B195</f>
        <v>HS2030 Warrnambool</v>
      </c>
      <c r="D195" s="6" t="s">
        <v>1093</v>
      </c>
      <c r="E195" s="6" t="s">
        <v>817</v>
      </c>
      <c r="F195" s="6" t="s">
        <v>1055</v>
      </c>
      <c r="G195" s="6" t="s">
        <v>819</v>
      </c>
    </row>
    <row r="196" spans="1:7" x14ac:dyDescent="0.25">
      <c r="A196" s="6" t="s">
        <v>1570</v>
      </c>
      <c r="B196" s="6" t="s">
        <v>1099</v>
      </c>
      <c r="C196" s="6" t="str">
        <f t="shared" si="3"/>
        <v>HS2031 Sunbury</v>
      </c>
      <c r="D196" s="6" t="s">
        <v>1093</v>
      </c>
      <c r="E196" s="6" t="s">
        <v>817</v>
      </c>
      <c r="F196" s="6" t="s">
        <v>1055</v>
      </c>
      <c r="G196" s="6" t="s">
        <v>819</v>
      </c>
    </row>
    <row r="197" spans="1:7" x14ac:dyDescent="0.25">
      <c r="A197" s="6" t="s">
        <v>1571</v>
      </c>
      <c r="B197" s="10" t="s">
        <v>1057</v>
      </c>
      <c r="C197" s="6" t="str">
        <f t="shared" si="3"/>
        <v>HS2036 DNU eComm</v>
      </c>
      <c r="D197" s="11" t="s">
        <v>1093</v>
      </c>
      <c r="E197" s="10" t="s">
        <v>817</v>
      </c>
      <c r="F197" s="10" t="s">
        <v>1055</v>
      </c>
      <c r="G197" s="10" t="s">
        <v>819</v>
      </c>
    </row>
    <row r="198" spans="1:7" x14ac:dyDescent="0.25">
      <c r="A198" s="6" t="s">
        <v>1572</v>
      </c>
      <c r="B198" s="6" t="s">
        <v>1100</v>
      </c>
      <c r="C198" s="6" t="str">
        <f t="shared" si="3"/>
        <v>HS2048 Tarneit</v>
      </c>
      <c r="D198" s="6" t="s">
        <v>1093</v>
      </c>
      <c r="E198" s="6" t="s">
        <v>817</v>
      </c>
      <c r="F198" s="6" t="s">
        <v>1055</v>
      </c>
      <c r="G198" s="6" t="s">
        <v>819</v>
      </c>
    </row>
    <row r="199" spans="1:7" x14ac:dyDescent="0.25">
      <c r="A199" s="6" t="s">
        <v>1573</v>
      </c>
      <c r="B199" s="6" t="s">
        <v>1101</v>
      </c>
      <c r="C199" s="6" t="str">
        <f t="shared" si="3"/>
        <v>HS2055 Craigieburn (HS Home)</v>
      </c>
      <c r="D199" s="6" t="s">
        <v>1093</v>
      </c>
      <c r="E199" s="6" t="s">
        <v>817</v>
      </c>
      <c r="F199" s="6" t="s">
        <v>1055</v>
      </c>
      <c r="G199" s="6" t="s">
        <v>819</v>
      </c>
    </row>
    <row r="200" spans="1:7" x14ac:dyDescent="0.25">
      <c r="A200" s="6" t="s">
        <v>1574</v>
      </c>
      <c r="B200" s="6" t="s">
        <v>1102</v>
      </c>
      <c r="C200" s="6" t="str">
        <f t="shared" si="3"/>
        <v>HS2056 South Morang (HS Home)</v>
      </c>
      <c r="D200" s="6" t="s">
        <v>1093</v>
      </c>
      <c r="E200" s="6" t="s">
        <v>817</v>
      </c>
      <c r="F200" s="6" t="s">
        <v>1055</v>
      </c>
      <c r="G200" s="6" t="s">
        <v>819</v>
      </c>
    </row>
    <row r="201" spans="1:7" x14ac:dyDescent="0.25">
      <c r="A201" s="6" t="s">
        <v>1575</v>
      </c>
      <c r="B201" s="10" t="s">
        <v>1057</v>
      </c>
      <c r="C201" s="6" t="str">
        <f t="shared" si="3"/>
        <v>HS2616 DNU eComm</v>
      </c>
      <c r="D201" s="11" t="s">
        <v>1093</v>
      </c>
      <c r="E201" s="10" t="s">
        <v>817</v>
      </c>
      <c r="F201" s="10" t="s">
        <v>1055</v>
      </c>
      <c r="G201" s="10" t="s">
        <v>819</v>
      </c>
    </row>
    <row r="202" spans="1:7" x14ac:dyDescent="0.25">
      <c r="A202" s="6" t="s">
        <v>1576</v>
      </c>
      <c r="B202" s="10" t="s">
        <v>1057</v>
      </c>
      <c r="C202" s="6" t="str">
        <f t="shared" si="3"/>
        <v>HS2619 DNU eComm</v>
      </c>
      <c r="D202" s="11" t="s">
        <v>1093</v>
      </c>
      <c r="E202" s="10" t="s">
        <v>817</v>
      </c>
      <c r="F202" s="10" t="s">
        <v>1055</v>
      </c>
      <c r="G202" s="10" t="s">
        <v>819</v>
      </c>
    </row>
    <row r="203" spans="1:7" x14ac:dyDescent="0.25">
      <c r="A203" s="6" t="s">
        <v>1577</v>
      </c>
      <c r="B203" s="10" t="s">
        <v>1057</v>
      </c>
      <c r="C203" s="6" t="str">
        <f t="shared" si="3"/>
        <v>HS2627 DNU eComm</v>
      </c>
      <c r="D203" s="11" t="s">
        <v>1093</v>
      </c>
      <c r="E203" s="10" t="s">
        <v>817</v>
      </c>
      <c r="F203" s="10" t="s">
        <v>1055</v>
      </c>
      <c r="G203" s="10" t="s">
        <v>819</v>
      </c>
    </row>
    <row r="204" spans="1:7" x14ac:dyDescent="0.25">
      <c r="A204" s="6" t="s">
        <v>1578</v>
      </c>
      <c r="B204" s="10" t="s">
        <v>1057</v>
      </c>
      <c r="C204" s="6" t="str">
        <f t="shared" si="3"/>
        <v>HS2629 DNU eComm</v>
      </c>
      <c r="D204" s="11" t="s">
        <v>1093</v>
      </c>
      <c r="E204" s="10" t="s">
        <v>817</v>
      </c>
      <c r="F204" s="10" t="s">
        <v>1055</v>
      </c>
      <c r="G204" s="10" t="s">
        <v>819</v>
      </c>
    </row>
    <row r="205" spans="1:7" x14ac:dyDescent="0.25">
      <c r="A205" s="6" t="s">
        <v>1579</v>
      </c>
      <c r="B205" s="10" t="s">
        <v>1057</v>
      </c>
      <c r="C205" s="6" t="str">
        <f t="shared" si="3"/>
        <v>HS2648 DNU eComm</v>
      </c>
      <c r="D205" s="11" t="s">
        <v>1093</v>
      </c>
      <c r="E205" s="10" t="s">
        <v>817</v>
      </c>
      <c r="F205" s="10" t="s">
        <v>1055</v>
      </c>
      <c r="G205" s="10" t="s">
        <v>819</v>
      </c>
    </row>
    <row r="206" spans="1:7" x14ac:dyDescent="0.25">
      <c r="A206" s="6" t="s">
        <v>1580</v>
      </c>
      <c r="B206" s="6" t="s">
        <v>1016</v>
      </c>
      <c r="C206" s="6" t="str">
        <f t="shared" si="3"/>
        <v>HS9547 Planning</v>
      </c>
      <c r="D206" s="6" t="s">
        <v>1103</v>
      </c>
      <c r="E206" s="6" t="s">
        <v>817</v>
      </c>
      <c r="F206" s="6" t="s">
        <v>1104</v>
      </c>
      <c r="G206" s="6" t="s">
        <v>1019</v>
      </c>
    </row>
    <row r="207" spans="1:7" x14ac:dyDescent="0.25">
      <c r="A207" s="6" t="s">
        <v>1581</v>
      </c>
      <c r="B207" s="6" t="s">
        <v>1105</v>
      </c>
      <c r="C207" s="6" t="str">
        <f t="shared" si="3"/>
        <v>HS9553 Apparel</v>
      </c>
      <c r="D207" s="6" t="s">
        <v>1103</v>
      </c>
      <c r="E207" s="6" t="s">
        <v>817</v>
      </c>
      <c r="F207" s="6" t="s">
        <v>1104</v>
      </c>
      <c r="G207" s="6" t="s">
        <v>1019</v>
      </c>
    </row>
    <row r="208" spans="1:7" x14ac:dyDescent="0.25">
      <c r="A208" s="6" t="s">
        <v>1582</v>
      </c>
      <c r="B208" s="6" t="s">
        <v>1106</v>
      </c>
      <c r="C208" s="6" t="str">
        <f t="shared" si="3"/>
        <v>HS9554 Home</v>
      </c>
      <c r="D208" s="6" t="s">
        <v>1103</v>
      </c>
      <c r="E208" s="6" t="s">
        <v>817</v>
      </c>
      <c r="F208" s="6" t="s">
        <v>1104</v>
      </c>
      <c r="G208" s="6" t="s">
        <v>1019</v>
      </c>
    </row>
    <row r="209" spans="1:7" x14ac:dyDescent="0.25">
      <c r="A209" s="6" t="s">
        <v>1583</v>
      </c>
      <c r="B209" s="6" t="s">
        <v>1029</v>
      </c>
      <c r="C209" s="6" t="str">
        <f t="shared" si="3"/>
        <v>HS9520 Operations</v>
      </c>
      <c r="D209" s="6" t="s">
        <v>1107</v>
      </c>
      <c r="E209" s="6" t="s">
        <v>817</v>
      </c>
      <c r="F209" s="6" t="s">
        <v>1104</v>
      </c>
      <c r="G209" s="6" t="s">
        <v>1019</v>
      </c>
    </row>
    <row r="210" spans="1:7" x14ac:dyDescent="0.25">
      <c r="A210" s="6" t="s">
        <v>1584</v>
      </c>
      <c r="B210" s="6" t="s">
        <v>1038</v>
      </c>
      <c r="C210" s="6" t="str">
        <f t="shared" si="3"/>
        <v>HS9504 Marketing</v>
      </c>
      <c r="D210" s="6" t="s">
        <v>1108</v>
      </c>
      <c r="E210" s="6" t="s">
        <v>817</v>
      </c>
      <c r="F210" s="6" t="s">
        <v>1104</v>
      </c>
      <c r="G210" s="6" t="s">
        <v>1019</v>
      </c>
    </row>
    <row r="211" spans="1:7" x14ac:dyDescent="0.25">
      <c r="A211" s="6" t="s">
        <v>1585</v>
      </c>
      <c r="B211" s="6" t="s">
        <v>1034</v>
      </c>
      <c r="C211" s="6" t="str">
        <f t="shared" si="3"/>
        <v>HS9549 Human Resources</v>
      </c>
      <c r="D211" s="6" t="s">
        <v>1108</v>
      </c>
      <c r="E211" s="6" t="s">
        <v>817</v>
      </c>
      <c r="F211" s="6" t="s">
        <v>1104</v>
      </c>
      <c r="G211" s="6" t="s">
        <v>1019</v>
      </c>
    </row>
    <row r="212" spans="1:7" x14ac:dyDescent="0.25">
      <c r="A212" s="6" t="s">
        <v>1586</v>
      </c>
      <c r="B212" s="6" t="s">
        <v>1109</v>
      </c>
      <c r="C212" s="6" t="str">
        <f t="shared" si="3"/>
        <v>HS9550 Management</v>
      </c>
      <c r="D212" s="6" t="s">
        <v>1108</v>
      </c>
      <c r="E212" s="6" t="s">
        <v>817</v>
      </c>
      <c r="F212" s="6" t="s">
        <v>1104</v>
      </c>
      <c r="G212" s="6" t="s">
        <v>1019</v>
      </c>
    </row>
    <row r="213" spans="1:7" x14ac:dyDescent="0.25">
      <c r="A213" s="6" t="s">
        <v>1587</v>
      </c>
      <c r="B213" s="6" t="s">
        <v>1110</v>
      </c>
      <c r="C213" s="6" t="str">
        <f t="shared" si="3"/>
        <v>HS9551 INFORMATION SYSTEMS</v>
      </c>
      <c r="D213" s="6" t="s">
        <v>1108</v>
      </c>
      <c r="E213" s="6" t="s">
        <v>817</v>
      </c>
      <c r="F213" s="6" t="s">
        <v>1104</v>
      </c>
      <c r="G213" s="6" t="s">
        <v>1019</v>
      </c>
    </row>
    <row r="214" spans="1:7" x14ac:dyDescent="0.25">
      <c r="A214" s="6" t="s">
        <v>1588</v>
      </c>
      <c r="B214" s="6" t="s">
        <v>1111</v>
      </c>
      <c r="C214" s="6" t="str">
        <f t="shared" si="3"/>
        <v>HS9556 FINANCE</v>
      </c>
      <c r="D214" s="6" t="s">
        <v>1108</v>
      </c>
      <c r="E214" s="6" t="s">
        <v>817</v>
      </c>
      <c r="F214" s="6" t="s">
        <v>1104</v>
      </c>
      <c r="G214" s="6" t="s">
        <v>1019</v>
      </c>
    </row>
    <row r="215" spans="1:7" x14ac:dyDescent="0.25">
      <c r="A215" s="6" t="s">
        <v>1589</v>
      </c>
      <c r="B215" s="7" t="s">
        <v>1104</v>
      </c>
      <c r="C215" s="6" t="str">
        <f t="shared" si="3"/>
        <v>HSH900 Harris Scarfe SG</v>
      </c>
      <c r="D215" s="8" t="s">
        <v>1108</v>
      </c>
      <c r="E215" s="7" t="s">
        <v>817</v>
      </c>
      <c r="F215" s="7" t="s">
        <v>1104</v>
      </c>
      <c r="G215" s="7" t="s">
        <v>1019</v>
      </c>
    </row>
    <row r="216" spans="1:7" x14ac:dyDescent="0.25">
      <c r="A216" s="6" t="s">
        <v>1590</v>
      </c>
      <c r="B216" s="7" t="s">
        <v>1104</v>
      </c>
      <c r="C216" s="6" t="str">
        <f t="shared" si="3"/>
        <v>HS2900 Harris Scarfe SG</v>
      </c>
      <c r="D216" s="8" t="s">
        <v>1108</v>
      </c>
      <c r="E216" s="7" t="s">
        <v>817</v>
      </c>
      <c r="F216" s="7" t="s">
        <v>1104</v>
      </c>
      <c r="G216" s="7" t="s">
        <v>1019</v>
      </c>
    </row>
    <row r="217" spans="1:7" x14ac:dyDescent="0.25">
      <c r="A217" s="6" t="s">
        <v>1112</v>
      </c>
      <c r="B217" s="6" t="s">
        <v>1113</v>
      </c>
      <c r="C217" s="6" t="str">
        <f t="shared" si="3"/>
        <v>M805 MD Dark Store</v>
      </c>
      <c r="D217" s="6" t="s">
        <v>1114</v>
      </c>
      <c r="E217" s="6" t="s">
        <v>817</v>
      </c>
      <c r="F217" s="6" t="s">
        <v>1115</v>
      </c>
      <c r="G217" s="6" t="s">
        <v>819</v>
      </c>
    </row>
    <row r="218" spans="1:7" x14ac:dyDescent="0.25">
      <c r="A218" s="6" t="s">
        <v>1116</v>
      </c>
      <c r="B218" s="6" t="s">
        <v>1117</v>
      </c>
      <c r="C218" s="6" t="str">
        <f t="shared" si="3"/>
        <v>M500 Mountain Designs SG</v>
      </c>
      <c r="D218" s="6" t="s">
        <v>1117</v>
      </c>
      <c r="E218" s="6" t="s">
        <v>817</v>
      </c>
      <c r="F218" s="6" t="s">
        <v>1117</v>
      </c>
      <c r="G218" s="6" t="s">
        <v>1019</v>
      </c>
    </row>
    <row r="219" spans="1:7" x14ac:dyDescent="0.25">
      <c r="A219" s="6" t="s">
        <v>1118</v>
      </c>
      <c r="B219" s="6" t="s">
        <v>1119</v>
      </c>
      <c r="C219" s="6" t="str">
        <f t="shared" si="3"/>
        <v>S936 Finance - NZ SG (SRG)</v>
      </c>
      <c r="D219" s="6" t="s">
        <v>1120</v>
      </c>
      <c r="E219" s="6" t="s">
        <v>1121</v>
      </c>
      <c r="F219" s="6" t="s">
        <v>1122</v>
      </c>
      <c r="G219" s="6" t="s">
        <v>1019</v>
      </c>
    </row>
    <row r="220" spans="1:7" x14ac:dyDescent="0.25">
      <c r="A220" s="6" t="s">
        <v>1123</v>
      </c>
      <c r="B220" s="6" t="s">
        <v>1124</v>
      </c>
      <c r="C220" s="6" t="str">
        <f t="shared" si="3"/>
        <v>S935 NZ Warehouse</v>
      </c>
      <c r="D220" s="6" t="s">
        <v>1122</v>
      </c>
      <c r="E220" s="6" t="s">
        <v>1121</v>
      </c>
      <c r="F220" s="6" t="s">
        <v>1122</v>
      </c>
      <c r="G220" s="6" t="s">
        <v>1019</v>
      </c>
    </row>
    <row r="221" spans="1:7" x14ac:dyDescent="0.25">
      <c r="A221" s="12" t="s">
        <v>1125</v>
      </c>
      <c r="B221" s="12" t="s">
        <v>1126</v>
      </c>
      <c r="C221" s="6" t="str">
        <f t="shared" si="3"/>
        <v>S928 Master Data</v>
      </c>
      <c r="D221" s="12" t="s">
        <v>1127</v>
      </c>
      <c r="E221" s="12" t="s">
        <v>817</v>
      </c>
      <c r="F221" s="12" t="s">
        <v>1128</v>
      </c>
      <c r="G221" s="12" t="s">
        <v>1019</v>
      </c>
    </row>
    <row r="222" spans="1:7" x14ac:dyDescent="0.25">
      <c r="A222" s="6" t="s">
        <v>1129</v>
      </c>
      <c r="B222" s="6" t="s">
        <v>1130</v>
      </c>
      <c r="C222" s="6" t="str">
        <f t="shared" si="3"/>
        <v>S991 E Commerce</v>
      </c>
      <c r="D222" s="6" t="s">
        <v>1127</v>
      </c>
      <c r="E222" s="6" t="s">
        <v>817</v>
      </c>
      <c r="F222" s="6" t="s">
        <v>1128</v>
      </c>
      <c r="G222" s="6" t="s">
        <v>1019</v>
      </c>
    </row>
    <row r="223" spans="1:7" x14ac:dyDescent="0.25">
      <c r="A223" s="6">
        <v>9557</v>
      </c>
      <c r="B223" s="6" t="s">
        <v>1131</v>
      </c>
      <c r="C223" s="6" t="str">
        <f t="shared" si="3"/>
        <v>9557 Credit Card</v>
      </c>
      <c r="D223" s="6" t="s">
        <v>1132</v>
      </c>
      <c r="E223" s="6" t="s">
        <v>817</v>
      </c>
      <c r="F223" s="6" t="s">
        <v>1128</v>
      </c>
      <c r="G223" s="6" t="s">
        <v>1019</v>
      </c>
    </row>
    <row r="224" spans="1:7" x14ac:dyDescent="0.25">
      <c r="A224" s="6" t="s">
        <v>1133</v>
      </c>
      <c r="B224" s="6" t="s">
        <v>1134</v>
      </c>
      <c r="C224" s="6" t="str">
        <f t="shared" si="3"/>
        <v>S909 Risk Management</v>
      </c>
      <c r="D224" s="6" t="s">
        <v>1132</v>
      </c>
      <c r="E224" s="6" t="s">
        <v>817</v>
      </c>
      <c r="F224" s="6" t="s">
        <v>1128</v>
      </c>
      <c r="G224" s="6" t="s">
        <v>1019</v>
      </c>
    </row>
    <row r="225" spans="1:7" x14ac:dyDescent="0.25">
      <c r="A225" s="6" t="s">
        <v>1135</v>
      </c>
      <c r="B225" s="6" t="s">
        <v>1136</v>
      </c>
      <c r="C225" s="6" t="str">
        <f t="shared" si="3"/>
        <v>S996 SRG Finance</v>
      </c>
      <c r="D225" s="6" t="s">
        <v>1132</v>
      </c>
      <c r="E225" s="6" t="s">
        <v>817</v>
      </c>
      <c r="F225" s="6" t="s">
        <v>1128</v>
      </c>
      <c r="G225" s="6" t="s">
        <v>1019</v>
      </c>
    </row>
    <row r="226" spans="1:7" x14ac:dyDescent="0.25">
      <c r="A226" s="6" t="s">
        <v>1137</v>
      </c>
      <c r="B226" s="6" t="s">
        <v>1034</v>
      </c>
      <c r="C226" s="6" t="str">
        <f t="shared" si="3"/>
        <v>S904 Human Resources</v>
      </c>
      <c r="D226" s="6" t="s">
        <v>1034</v>
      </c>
      <c r="E226" s="6" t="s">
        <v>817</v>
      </c>
      <c r="F226" s="6" t="s">
        <v>1128</v>
      </c>
      <c r="G226" s="6" t="s">
        <v>1019</v>
      </c>
    </row>
    <row r="227" spans="1:7" x14ac:dyDescent="0.25">
      <c r="A227" s="6" t="s">
        <v>1138</v>
      </c>
      <c r="B227" s="6" t="s">
        <v>1139</v>
      </c>
      <c r="C227" s="6" t="str">
        <f t="shared" si="3"/>
        <v>S966 Insights &amp; Analytics</v>
      </c>
      <c r="D227" s="6" t="s">
        <v>1139</v>
      </c>
      <c r="E227" s="6" t="s">
        <v>817</v>
      </c>
      <c r="F227" s="6" t="s">
        <v>1128</v>
      </c>
      <c r="G227" s="6" t="s">
        <v>1019</v>
      </c>
    </row>
    <row r="228" spans="1:7" x14ac:dyDescent="0.25">
      <c r="A228" s="6" t="s">
        <v>1140</v>
      </c>
      <c r="B228" s="6" t="s">
        <v>1141</v>
      </c>
      <c r="C228" s="6" t="str">
        <f t="shared" si="3"/>
        <v>S905 IT</v>
      </c>
      <c r="D228" s="6" t="s">
        <v>1141</v>
      </c>
      <c r="E228" s="6" t="s">
        <v>817</v>
      </c>
      <c r="F228" s="6" t="s">
        <v>1128</v>
      </c>
      <c r="G228" s="6" t="s">
        <v>1019</v>
      </c>
    </row>
    <row r="229" spans="1:7" x14ac:dyDescent="0.25">
      <c r="A229" s="6" t="s">
        <v>1142</v>
      </c>
      <c r="B229" s="6" t="s">
        <v>1143</v>
      </c>
      <c r="C229" s="6" t="str">
        <f t="shared" si="3"/>
        <v>S902 Customer Services</v>
      </c>
      <c r="D229" s="6" t="s">
        <v>1038</v>
      </c>
      <c r="E229" s="6" t="s">
        <v>817</v>
      </c>
      <c r="F229" s="6" t="s">
        <v>1128</v>
      </c>
      <c r="G229" s="6" t="s">
        <v>1019</v>
      </c>
    </row>
    <row r="230" spans="1:7" x14ac:dyDescent="0.25">
      <c r="A230" s="6" t="s">
        <v>1144</v>
      </c>
      <c r="B230" s="6" t="s">
        <v>1038</v>
      </c>
      <c r="C230" s="6" t="str">
        <f t="shared" si="3"/>
        <v>S907 Marketing</v>
      </c>
      <c r="D230" s="6" t="s">
        <v>1038</v>
      </c>
      <c r="E230" s="6" t="s">
        <v>817</v>
      </c>
      <c r="F230" s="6" t="s">
        <v>1128</v>
      </c>
      <c r="G230" s="6" t="s">
        <v>1019</v>
      </c>
    </row>
    <row r="231" spans="1:7" x14ac:dyDescent="0.25">
      <c r="A231" s="6" t="s">
        <v>1145</v>
      </c>
      <c r="B231" s="6" t="s">
        <v>1146</v>
      </c>
      <c r="C231" s="6" t="str">
        <f t="shared" si="3"/>
        <v>S994 Digital Performance &amp; CRM</v>
      </c>
      <c r="D231" s="6" t="s">
        <v>1038</v>
      </c>
      <c r="E231" s="6" t="s">
        <v>817</v>
      </c>
      <c r="F231" s="6" t="s">
        <v>1128</v>
      </c>
      <c r="G231" s="6" t="s">
        <v>1019</v>
      </c>
    </row>
    <row r="232" spans="1:7" x14ac:dyDescent="0.25">
      <c r="A232" s="9" t="s">
        <v>1147</v>
      </c>
      <c r="B232" s="10" t="s">
        <v>1148</v>
      </c>
      <c r="C232" s="6" t="str">
        <f t="shared" si="3"/>
        <v>S997 Corporate Social Responsibility</v>
      </c>
      <c r="D232" s="6" t="s">
        <v>1038</v>
      </c>
      <c r="E232" s="10" t="s">
        <v>817</v>
      </c>
      <c r="F232" s="10" t="s">
        <v>1128</v>
      </c>
      <c r="G232" s="10" t="s">
        <v>1019</v>
      </c>
    </row>
    <row r="233" spans="1:7" x14ac:dyDescent="0.25">
      <c r="A233" s="6" t="s">
        <v>1149</v>
      </c>
      <c r="B233" s="6" t="s">
        <v>1150</v>
      </c>
      <c r="C233" s="6" t="str">
        <f t="shared" si="3"/>
        <v>S920 Property and Store Development</v>
      </c>
      <c r="D233" s="6" t="s">
        <v>1150</v>
      </c>
      <c r="E233" s="6" t="s">
        <v>817</v>
      </c>
      <c r="F233" s="6" t="s">
        <v>1128</v>
      </c>
      <c r="G233" s="6" t="s">
        <v>1019</v>
      </c>
    </row>
    <row r="234" spans="1:7" x14ac:dyDescent="0.25">
      <c r="A234" s="6" t="s">
        <v>1151</v>
      </c>
      <c r="B234" s="6" t="s">
        <v>1152</v>
      </c>
      <c r="C234" s="6" t="str">
        <f t="shared" si="3"/>
        <v>S995 Planning &amp; Development</v>
      </c>
      <c r="D234" s="6" t="s">
        <v>1150</v>
      </c>
      <c r="E234" s="6" t="s">
        <v>817</v>
      </c>
      <c r="F234" s="6" t="s">
        <v>1128</v>
      </c>
      <c r="G234" s="6" t="s">
        <v>1019</v>
      </c>
    </row>
    <row r="235" spans="1:7" x14ac:dyDescent="0.25">
      <c r="A235" s="6" t="s">
        <v>1153</v>
      </c>
      <c r="B235" s="6" t="s">
        <v>1154</v>
      </c>
      <c r="C235" s="6" t="str">
        <f t="shared" si="3"/>
        <v>S903 Directors</v>
      </c>
      <c r="D235" s="6" t="s">
        <v>1128</v>
      </c>
      <c r="E235" s="6" t="s">
        <v>817</v>
      </c>
      <c r="F235" s="6" t="s">
        <v>1128</v>
      </c>
      <c r="G235" s="6" t="s">
        <v>1019</v>
      </c>
    </row>
    <row r="236" spans="1:7" x14ac:dyDescent="0.25">
      <c r="A236" s="6" t="s">
        <v>1155</v>
      </c>
      <c r="B236" s="6" t="s">
        <v>837</v>
      </c>
      <c r="C236" s="6" t="str">
        <f t="shared" si="3"/>
        <v>S024 West Gosford</v>
      </c>
      <c r="D236" s="6" t="s">
        <v>1156</v>
      </c>
      <c r="E236" s="6" t="s">
        <v>817</v>
      </c>
      <c r="F236" s="6" t="s">
        <v>1157</v>
      </c>
      <c r="G236" s="6" t="s">
        <v>819</v>
      </c>
    </row>
    <row r="237" spans="1:7" x14ac:dyDescent="0.25">
      <c r="A237" s="6" t="s">
        <v>1158</v>
      </c>
      <c r="B237" s="6" t="s">
        <v>1159</v>
      </c>
      <c r="C237" s="6" t="str">
        <f t="shared" si="3"/>
        <v>S028 Bondi Junction</v>
      </c>
      <c r="D237" s="6" t="s">
        <v>1156</v>
      </c>
      <c r="E237" s="6" t="s">
        <v>817</v>
      </c>
      <c r="F237" s="6" t="s">
        <v>1157</v>
      </c>
      <c r="G237" s="6" t="s">
        <v>819</v>
      </c>
    </row>
    <row r="238" spans="1:7" x14ac:dyDescent="0.25">
      <c r="A238" s="6" t="s">
        <v>1160</v>
      </c>
      <c r="B238" s="6" t="s">
        <v>1161</v>
      </c>
      <c r="C238" s="6" t="str">
        <f t="shared" si="3"/>
        <v>S030 Birkenhead Point</v>
      </c>
      <c r="D238" s="6" t="s">
        <v>1156</v>
      </c>
      <c r="E238" s="6" t="s">
        <v>817</v>
      </c>
      <c r="F238" s="6" t="s">
        <v>1157</v>
      </c>
      <c r="G238" s="6" t="s">
        <v>819</v>
      </c>
    </row>
    <row r="239" spans="1:7" x14ac:dyDescent="0.25">
      <c r="A239" s="6" t="s">
        <v>1162</v>
      </c>
      <c r="B239" s="6" t="s">
        <v>1163</v>
      </c>
      <c r="C239" s="6" t="str">
        <f t="shared" si="3"/>
        <v>S040 Tamworth</v>
      </c>
      <c r="D239" s="6" t="s">
        <v>1156</v>
      </c>
      <c r="E239" s="6" t="s">
        <v>817</v>
      </c>
      <c r="F239" s="6" t="s">
        <v>1157</v>
      </c>
      <c r="G239" s="6" t="s">
        <v>819</v>
      </c>
    </row>
    <row r="240" spans="1:7" x14ac:dyDescent="0.25">
      <c r="A240" s="6" t="s">
        <v>1164</v>
      </c>
      <c r="B240" s="6" t="s">
        <v>851</v>
      </c>
      <c r="C240" s="6" t="str">
        <f t="shared" si="3"/>
        <v>S041 Dubbo</v>
      </c>
      <c r="D240" s="6" t="s">
        <v>1156</v>
      </c>
      <c r="E240" s="6" t="s">
        <v>817</v>
      </c>
      <c r="F240" s="6" t="s">
        <v>1157</v>
      </c>
      <c r="G240" s="6" t="s">
        <v>819</v>
      </c>
    </row>
    <row r="241" spans="1:7" x14ac:dyDescent="0.25">
      <c r="A241" s="6" t="s">
        <v>1165</v>
      </c>
      <c r="B241" s="6" t="s">
        <v>840</v>
      </c>
      <c r="C241" s="6" t="str">
        <f t="shared" si="3"/>
        <v>S050 Belrose</v>
      </c>
      <c r="D241" s="6" t="s">
        <v>1156</v>
      </c>
      <c r="E241" s="6" t="s">
        <v>817</v>
      </c>
      <c r="F241" s="6" t="s">
        <v>1157</v>
      </c>
      <c r="G241" s="6" t="s">
        <v>819</v>
      </c>
    </row>
    <row r="242" spans="1:7" x14ac:dyDescent="0.25">
      <c r="A242" s="6" t="s">
        <v>1166</v>
      </c>
      <c r="B242" s="6" t="s">
        <v>863</v>
      </c>
      <c r="C242" s="6" t="str">
        <f t="shared" si="3"/>
        <v>S053 Rockdale</v>
      </c>
      <c r="D242" s="6" t="s">
        <v>1156</v>
      </c>
      <c r="E242" s="6" t="s">
        <v>817</v>
      </c>
      <c r="F242" s="6" t="s">
        <v>1157</v>
      </c>
      <c r="G242" s="6" t="s">
        <v>819</v>
      </c>
    </row>
    <row r="243" spans="1:7" x14ac:dyDescent="0.25">
      <c r="A243" s="6" t="s">
        <v>1167</v>
      </c>
      <c r="B243" s="6" t="s">
        <v>853</v>
      </c>
      <c r="C243" s="6" t="str">
        <f t="shared" si="3"/>
        <v>S054 Bathurst</v>
      </c>
      <c r="D243" s="6" t="s">
        <v>1156</v>
      </c>
      <c r="E243" s="6" t="s">
        <v>817</v>
      </c>
      <c r="F243" s="6" t="s">
        <v>1157</v>
      </c>
      <c r="G243" s="6" t="s">
        <v>819</v>
      </c>
    </row>
    <row r="244" spans="1:7" x14ac:dyDescent="0.25">
      <c r="A244" s="6" t="s">
        <v>1168</v>
      </c>
      <c r="B244" s="6" t="s">
        <v>1169</v>
      </c>
      <c r="C244" s="6" t="str">
        <f t="shared" si="3"/>
        <v>S081 Tuggerah</v>
      </c>
      <c r="D244" s="6" t="s">
        <v>1156</v>
      </c>
      <c r="E244" s="6" t="s">
        <v>817</v>
      </c>
      <c r="F244" s="6" t="s">
        <v>1157</v>
      </c>
      <c r="G244" s="6" t="s">
        <v>819</v>
      </c>
    </row>
    <row r="245" spans="1:7" x14ac:dyDescent="0.25">
      <c r="A245" s="6" t="s">
        <v>1170</v>
      </c>
      <c r="B245" s="6" t="s">
        <v>1171</v>
      </c>
      <c r="C245" s="6" t="str">
        <f t="shared" si="3"/>
        <v>S088 Castle Hill</v>
      </c>
      <c r="D245" s="6" t="s">
        <v>1156</v>
      </c>
      <c r="E245" s="6" t="s">
        <v>817</v>
      </c>
      <c r="F245" s="6" t="s">
        <v>1157</v>
      </c>
      <c r="G245" s="6" t="s">
        <v>819</v>
      </c>
    </row>
    <row r="246" spans="1:7" x14ac:dyDescent="0.25">
      <c r="A246" s="6" t="s">
        <v>1172</v>
      </c>
      <c r="B246" s="6" t="s">
        <v>1173</v>
      </c>
      <c r="C246" s="6" t="str">
        <f t="shared" si="3"/>
        <v>S137 Orange</v>
      </c>
      <c r="D246" s="6" t="s">
        <v>1156</v>
      </c>
      <c r="E246" s="6" t="s">
        <v>817</v>
      </c>
      <c r="F246" s="6" t="s">
        <v>1157</v>
      </c>
      <c r="G246" s="6" t="s">
        <v>819</v>
      </c>
    </row>
    <row r="247" spans="1:7" x14ac:dyDescent="0.25">
      <c r="A247" s="6" t="s">
        <v>1174</v>
      </c>
      <c r="B247" s="6" t="s">
        <v>1175</v>
      </c>
      <c r="C247" s="6" t="str">
        <f t="shared" si="3"/>
        <v>S138 Armidale</v>
      </c>
      <c r="D247" s="6" t="s">
        <v>1156</v>
      </c>
      <c r="E247" s="6" t="s">
        <v>817</v>
      </c>
      <c r="F247" s="6" t="s">
        <v>1157</v>
      </c>
      <c r="G247" s="6" t="s">
        <v>819</v>
      </c>
    </row>
    <row r="248" spans="1:7" x14ac:dyDescent="0.25">
      <c r="A248" s="6" t="s">
        <v>1176</v>
      </c>
      <c r="B248" s="6" t="s">
        <v>1177</v>
      </c>
      <c r="C248" s="6" t="str">
        <f t="shared" si="3"/>
        <v>S152 Hornsby</v>
      </c>
      <c r="D248" s="6" t="s">
        <v>1156</v>
      </c>
      <c r="E248" s="6" t="s">
        <v>817</v>
      </c>
      <c r="F248" s="6" t="s">
        <v>1157</v>
      </c>
      <c r="G248" s="6" t="s">
        <v>819</v>
      </c>
    </row>
    <row r="249" spans="1:7" x14ac:dyDescent="0.25">
      <c r="A249" s="6" t="s">
        <v>1178</v>
      </c>
      <c r="B249" s="6" t="s">
        <v>1179</v>
      </c>
      <c r="C249" s="6" t="str">
        <f t="shared" si="3"/>
        <v>S174 Alexandria</v>
      </c>
      <c r="D249" s="6" t="s">
        <v>1156</v>
      </c>
      <c r="E249" s="6" t="s">
        <v>817</v>
      </c>
      <c r="F249" s="6" t="s">
        <v>1157</v>
      </c>
      <c r="G249" s="6" t="s">
        <v>819</v>
      </c>
    </row>
    <row r="250" spans="1:7" x14ac:dyDescent="0.25">
      <c r="A250" s="6" t="s">
        <v>1180</v>
      </c>
      <c r="B250" s="6" t="s">
        <v>890</v>
      </c>
      <c r="C250" s="6" t="str">
        <f t="shared" si="3"/>
        <v>S039 Ashmore</v>
      </c>
      <c r="D250" s="6" t="s">
        <v>1181</v>
      </c>
      <c r="E250" s="6" t="s">
        <v>817</v>
      </c>
      <c r="F250" s="6" t="s">
        <v>1157</v>
      </c>
      <c r="G250" s="6" t="s">
        <v>819</v>
      </c>
    </row>
    <row r="251" spans="1:7" x14ac:dyDescent="0.25">
      <c r="A251" s="6" t="s">
        <v>1182</v>
      </c>
      <c r="B251" s="6" t="s">
        <v>1183</v>
      </c>
      <c r="C251" s="6" t="str">
        <f t="shared" si="3"/>
        <v>S048 Lismore</v>
      </c>
      <c r="D251" s="6" t="s">
        <v>1181</v>
      </c>
      <c r="E251" s="6" t="s">
        <v>817</v>
      </c>
      <c r="F251" s="6" t="s">
        <v>1157</v>
      </c>
      <c r="G251" s="6" t="s">
        <v>819</v>
      </c>
    </row>
    <row r="252" spans="1:7" x14ac:dyDescent="0.25">
      <c r="A252" s="6" t="s">
        <v>1184</v>
      </c>
      <c r="B252" s="6" t="s">
        <v>1185</v>
      </c>
      <c r="C252" s="6" t="str">
        <f t="shared" si="3"/>
        <v>S062 Taree</v>
      </c>
      <c r="D252" s="6" t="s">
        <v>1181</v>
      </c>
      <c r="E252" s="6" t="s">
        <v>817</v>
      </c>
      <c r="F252" s="6" t="s">
        <v>1157</v>
      </c>
      <c r="G252" s="6" t="s">
        <v>819</v>
      </c>
    </row>
    <row r="253" spans="1:7" x14ac:dyDescent="0.25">
      <c r="A253" s="6" t="s">
        <v>1186</v>
      </c>
      <c r="B253" s="6" t="s">
        <v>892</v>
      </c>
      <c r="C253" s="6" t="str">
        <f t="shared" si="3"/>
        <v>S079 West Burleigh</v>
      </c>
      <c r="D253" s="6" t="s">
        <v>1181</v>
      </c>
      <c r="E253" s="6" t="s">
        <v>817</v>
      </c>
      <c r="F253" s="6" t="s">
        <v>1157</v>
      </c>
      <c r="G253" s="6" t="s">
        <v>819</v>
      </c>
    </row>
    <row r="254" spans="1:7" x14ac:dyDescent="0.25">
      <c r="A254" s="6" t="s">
        <v>1187</v>
      </c>
      <c r="B254" s="6" t="s">
        <v>835</v>
      </c>
      <c r="C254" s="6" t="str">
        <f t="shared" si="3"/>
        <v>S082 Coffs Harbour</v>
      </c>
      <c r="D254" s="6" t="s">
        <v>1181</v>
      </c>
      <c r="E254" s="6" t="s">
        <v>817</v>
      </c>
      <c r="F254" s="6" t="s">
        <v>1157</v>
      </c>
      <c r="G254" s="6" t="s">
        <v>819</v>
      </c>
    </row>
    <row r="255" spans="1:7" x14ac:dyDescent="0.25">
      <c r="A255" s="6" t="s">
        <v>1188</v>
      </c>
      <c r="B255" s="6" t="s">
        <v>833</v>
      </c>
      <c r="C255" s="6" t="str">
        <f t="shared" si="3"/>
        <v>S099 Port Macquarie</v>
      </c>
      <c r="D255" s="6" t="s">
        <v>1181</v>
      </c>
      <c r="E255" s="6" t="s">
        <v>817</v>
      </c>
      <c r="F255" s="6" t="s">
        <v>1157</v>
      </c>
      <c r="G255" s="6" t="s">
        <v>819</v>
      </c>
    </row>
    <row r="256" spans="1:7" x14ac:dyDescent="0.25">
      <c r="A256" s="6" t="s">
        <v>1189</v>
      </c>
      <c r="B256" s="6" t="s">
        <v>845</v>
      </c>
      <c r="C256" s="6" t="str">
        <f t="shared" si="3"/>
        <v>S109 Rutherford</v>
      </c>
      <c r="D256" s="6" t="s">
        <v>1181</v>
      </c>
      <c r="E256" s="6" t="s">
        <v>817</v>
      </c>
      <c r="F256" s="6" t="s">
        <v>1157</v>
      </c>
      <c r="G256" s="6" t="s">
        <v>819</v>
      </c>
    </row>
    <row r="257" spans="1:7" x14ac:dyDescent="0.25">
      <c r="A257" s="6" t="s">
        <v>1190</v>
      </c>
      <c r="B257" s="6" t="s">
        <v>1191</v>
      </c>
      <c r="C257" s="6" t="str">
        <f t="shared" si="3"/>
        <v>S127 Ballina</v>
      </c>
      <c r="D257" s="6" t="s">
        <v>1181</v>
      </c>
      <c r="E257" s="6" t="s">
        <v>817</v>
      </c>
      <c r="F257" s="6" t="s">
        <v>1157</v>
      </c>
      <c r="G257" s="6" t="s">
        <v>819</v>
      </c>
    </row>
    <row r="258" spans="1:7" x14ac:dyDescent="0.25">
      <c r="A258" s="6" t="s">
        <v>1192</v>
      </c>
      <c r="B258" s="6" t="s">
        <v>1193</v>
      </c>
      <c r="C258" s="6" t="str">
        <f t="shared" si="3"/>
        <v>S148 Grafton</v>
      </c>
      <c r="D258" s="6" t="s">
        <v>1181</v>
      </c>
      <c r="E258" s="6" t="s">
        <v>817</v>
      </c>
      <c r="F258" s="6" t="s">
        <v>1157</v>
      </c>
      <c r="G258" s="6" t="s">
        <v>819</v>
      </c>
    </row>
    <row r="259" spans="1:7" x14ac:dyDescent="0.25">
      <c r="A259" s="6" t="s">
        <v>1194</v>
      </c>
      <c r="B259" s="6" t="s">
        <v>1195</v>
      </c>
      <c r="C259" s="6" t="str">
        <f t="shared" ref="C259:C322" si="4">A259&amp;" "&amp;B259</f>
        <v>S154 Upper Coomera</v>
      </c>
      <c r="D259" s="6" t="s">
        <v>1181</v>
      </c>
      <c r="E259" s="6" t="s">
        <v>817</v>
      </c>
      <c r="F259" s="6" t="s">
        <v>1157</v>
      </c>
      <c r="G259" s="6" t="s">
        <v>819</v>
      </c>
    </row>
    <row r="260" spans="1:7" x14ac:dyDescent="0.25">
      <c r="A260" s="6" t="s">
        <v>1196</v>
      </c>
      <c r="B260" s="6" t="s">
        <v>842</v>
      </c>
      <c r="C260" s="6" t="str">
        <f t="shared" si="4"/>
        <v>S166 Bennetts Green</v>
      </c>
      <c r="D260" s="6" t="s">
        <v>1181</v>
      </c>
      <c r="E260" s="6" t="s">
        <v>817</v>
      </c>
      <c r="F260" s="6" t="s">
        <v>1157</v>
      </c>
      <c r="G260" s="6" t="s">
        <v>819</v>
      </c>
    </row>
    <row r="261" spans="1:7" x14ac:dyDescent="0.25">
      <c r="A261" s="6" t="s">
        <v>1197</v>
      </c>
      <c r="B261" s="6" t="s">
        <v>1198</v>
      </c>
      <c r="C261" s="6" t="str">
        <f t="shared" si="4"/>
        <v>S175 Robina</v>
      </c>
      <c r="D261" s="6" t="s">
        <v>1181</v>
      </c>
      <c r="E261" s="6" t="s">
        <v>817</v>
      </c>
      <c r="F261" s="6" t="s">
        <v>1157</v>
      </c>
      <c r="G261" s="6" t="s">
        <v>819</v>
      </c>
    </row>
    <row r="262" spans="1:7" x14ac:dyDescent="0.25">
      <c r="A262" s="6" t="s">
        <v>1199</v>
      </c>
      <c r="B262" s="6" t="s">
        <v>1200</v>
      </c>
      <c r="C262" s="6" t="str">
        <f t="shared" si="4"/>
        <v>S201 Taylors Beach</v>
      </c>
      <c r="D262" s="6" t="s">
        <v>1181</v>
      </c>
      <c r="E262" s="6" t="s">
        <v>817</v>
      </c>
      <c r="F262" s="6" t="s">
        <v>1157</v>
      </c>
      <c r="G262" s="6" t="s">
        <v>819</v>
      </c>
    </row>
    <row r="263" spans="1:7" x14ac:dyDescent="0.25">
      <c r="A263" s="6" t="s">
        <v>1201</v>
      </c>
      <c r="B263" s="6" t="s">
        <v>861</v>
      </c>
      <c r="C263" s="6" t="str">
        <f t="shared" si="4"/>
        <v>S019 Penrith</v>
      </c>
      <c r="D263" s="6" t="s">
        <v>1202</v>
      </c>
      <c r="E263" s="6" t="s">
        <v>817</v>
      </c>
      <c r="F263" s="6" t="s">
        <v>1157</v>
      </c>
      <c r="G263" s="6" t="s">
        <v>819</v>
      </c>
    </row>
    <row r="264" spans="1:7" x14ac:dyDescent="0.25">
      <c r="A264" s="6" t="s">
        <v>1203</v>
      </c>
      <c r="B264" s="6" t="s">
        <v>867</v>
      </c>
      <c r="C264" s="6" t="str">
        <f t="shared" si="4"/>
        <v>S020 Wollongong</v>
      </c>
      <c r="D264" s="6" t="s">
        <v>1202</v>
      </c>
      <c r="E264" s="6" t="s">
        <v>817</v>
      </c>
      <c r="F264" s="6" t="s">
        <v>1157</v>
      </c>
      <c r="G264" s="6" t="s">
        <v>819</v>
      </c>
    </row>
    <row r="265" spans="1:7" x14ac:dyDescent="0.25">
      <c r="A265" s="6" t="s">
        <v>1204</v>
      </c>
      <c r="B265" s="6" t="s">
        <v>869</v>
      </c>
      <c r="C265" s="6" t="str">
        <f t="shared" si="4"/>
        <v>S021 Albury</v>
      </c>
      <c r="D265" s="6" t="s">
        <v>1202</v>
      </c>
      <c r="E265" s="6" t="s">
        <v>817</v>
      </c>
      <c r="F265" s="6" t="s">
        <v>1157</v>
      </c>
      <c r="G265" s="6" t="s">
        <v>819</v>
      </c>
    </row>
    <row r="266" spans="1:7" x14ac:dyDescent="0.25">
      <c r="A266" s="6" t="s">
        <v>1205</v>
      </c>
      <c r="B266" s="6" t="s">
        <v>871</v>
      </c>
      <c r="C266" s="6" t="str">
        <f t="shared" si="4"/>
        <v>S037 Campbelltown</v>
      </c>
      <c r="D266" s="6" t="s">
        <v>1202</v>
      </c>
      <c r="E266" s="6" t="s">
        <v>817</v>
      </c>
      <c r="F266" s="6" t="s">
        <v>1157</v>
      </c>
      <c r="G266" s="6" t="s">
        <v>819</v>
      </c>
    </row>
    <row r="267" spans="1:7" x14ac:dyDescent="0.25">
      <c r="A267" s="6" t="s">
        <v>1206</v>
      </c>
      <c r="B267" s="6" t="s">
        <v>1207</v>
      </c>
      <c r="C267" s="6" t="str">
        <f t="shared" si="4"/>
        <v>S042 Queanbeyan</v>
      </c>
      <c r="D267" s="6" t="s">
        <v>1202</v>
      </c>
      <c r="E267" s="6" t="s">
        <v>817</v>
      </c>
      <c r="F267" s="6" t="s">
        <v>1157</v>
      </c>
      <c r="G267" s="6" t="s">
        <v>819</v>
      </c>
    </row>
    <row r="268" spans="1:7" x14ac:dyDescent="0.25">
      <c r="A268" s="6" t="s">
        <v>1208</v>
      </c>
      <c r="B268" s="6" t="s">
        <v>1209</v>
      </c>
      <c r="C268" s="6" t="str">
        <f t="shared" si="4"/>
        <v>S045 Lidcombe</v>
      </c>
      <c r="D268" s="6" t="s">
        <v>1202</v>
      </c>
      <c r="E268" s="6" t="s">
        <v>817</v>
      </c>
      <c r="F268" s="6" t="s">
        <v>1157</v>
      </c>
      <c r="G268" s="6" t="s">
        <v>819</v>
      </c>
    </row>
    <row r="269" spans="1:7" x14ac:dyDescent="0.25">
      <c r="A269" s="6" t="s">
        <v>1210</v>
      </c>
      <c r="B269" s="6" t="s">
        <v>875</v>
      </c>
      <c r="C269" s="6" t="str">
        <f t="shared" si="4"/>
        <v>S100 Nowra</v>
      </c>
      <c r="D269" s="6" t="s">
        <v>1202</v>
      </c>
      <c r="E269" s="6" t="s">
        <v>817</v>
      </c>
      <c r="F269" s="6" t="s">
        <v>1157</v>
      </c>
      <c r="G269" s="6" t="s">
        <v>819</v>
      </c>
    </row>
    <row r="270" spans="1:7" x14ac:dyDescent="0.25">
      <c r="A270" s="6" t="s">
        <v>1211</v>
      </c>
      <c r="B270" s="6" t="s">
        <v>1212</v>
      </c>
      <c r="C270" s="6" t="str">
        <f t="shared" si="4"/>
        <v>S105 Mt Druitt</v>
      </c>
      <c r="D270" s="6" t="s">
        <v>1202</v>
      </c>
      <c r="E270" s="6" t="s">
        <v>817</v>
      </c>
      <c r="F270" s="6" t="s">
        <v>1157</v>
      </c>
      <c r="G270" s="6" t="s">
        <v>819</v>
      </c>
    </row>
    <row r="271" spans="1:7" x14ac:dyDescent="0.25">
      <c r="A271" s="6" t="s">
        <v>1213</v>
      </c>
      <c r="B271" s="6" t="s">
        <v>1214</v>
      </c>
      <c r="C271" s="6" t="str">
        <f t="shared" si="4"/>
        <v>S121 Miranda</v>
      </c>
      <c r="D271" s="6" t="s">
        <v>1202</v>
      </c>
      <c r="E271" s="6" t="s">
        <v>817</v>
      </c>
      <c r="F271" s="6" t="s">
        <v>1157</v>
      </c>
      <c r="G271" s="6" t="s">
        <v>819</v>
      </c>
    </row>
    <row r="272" spans="1:7" x14ac:dyDescent="0.25">
      <c r="A272" s="6" t="s">
        <v>1215</v>
      </c>
      <c r="B272" s="6" t="s">
        <v>865</v>
      </c>
      <c r="C272" s="6" t="str">
        <f t="shared" si="4"/>
        <v>S123 Wagga Wagga</v>
      </c>
      <c r="D272" s="6" t="s">
        <v>1202</v>
      </c>
      <c r="E272" s="6" t="s">
        <v>817</v>
      </c>
      <c r="F272" s="6" t="s">
        <v>1157</v>
      </c>
      <c r="G272" s="6" t="s">
        <v>819</v>
      </c>
    </row>
    <row r="273" spans="1:7" x14ac:dyDescent="0.25">
      <c r="A273" s="6" t="s">
        <v>1216</v>
      </c>
      <c r="B273" s="6" t="s">
        <v>1217</v>
      </c>
      <c r="C273" s="6" t="str">
        <f t="shared" si="4"/>
        <v>S125 Wetherill Park</v>
      </c>
      <c r="D273" s="6" t="s">
        <v>1202</v>
      </c>
      <c r="E273" s="6" t="s">
        <v>817</v>
      </c>
      <c r="F273" s="6" t="s">
        <v>1157</v>
      </c>
      <c r="G273" s="6" t="s">
        <v>819</v>
      </c>
    </row>
    <row r="274" spans="1:7" x14ac:dyDescent="0.25">
      <c r="A274" s="6" t="s">
        <v>1218</v>
      </c>
      <c r="B274" s="6" t="s">
        <v>1219</v>
      </c>
      <c r="C274" s="6" t="str">
        <f t="shared" si="4"/>
        <v>S136 Griffith</v>
      </c>
      <c r="D274" s="6" t="s">
        <v>1202</v>
      </c>
      <c r="E274" s="6" t="s">
        <v>817</v>
      </c>
      <c r="F274" s="6" t="s">
        <v>1157</v>
      </c>
      <c r="G274" s="6" t="s">
        <v>819</v>
      </c>
    </row>
    <row r="275" spans="1:7" x14ac:dyDescent="0.25">
      <c r="A275" s="6" t="s">
        <v>1220</v>
      </c>
      <c r="B275" s="6" t="s">
        <v>922</v>
      </c>
      <c r="C275" s="6" t="str">
        <f t="shared" si="4"/>
        <v>S153 Gungahlin</v>
      </c>
      <c r="D275" s="6" t="s">
        <v>1202</v>
      </c>
      <c r="E275" s="6" t="s">
        <v>817</v>
      </c>
      <c r="F275" s="6" t="s">
        <v>1157</v>
      </c>
      <c r="G275" s="6" t="s">
        <v>819</v>
      </c>
    </row>
    <row r="276" spans="1:7" x14ac:dyDescent="0.25">
      <c r="A276" s="6" t="s">
        <v>1221</v>
      </c>
      <c r="B276" s="6" t="s">
        <v>1222</v>
      </c>
      <c r="C276" s="6" t="str">
        <f t="shared" si="4"/>
        <v>S165 Mittagong</v>
      </c>
      <c r="D276" s="6" t="s">
        <v>1202</v>
      </c>
      <c r="E276" s="6" t="s">
        <v>817</v>
      </c>
      <c r="F276" s="6" t="s">
        <v>1157</v>
      </c>
      <c r="G276" s="6" t="s">
        <v>819</v>
      </c>
    </row>
    <row r="277" spans="1:7" x14ac:dyDescent="0.25">
      <c r="A277" s="6" t="s">
        <v>1223</v>
      </c>
      <c r="B277" s="7" t="s">
        <v>877</v>
      </c>
      <c r="C277" s="6" t="str">
        <f t="shared" si="4"/>
        <v>S171 Albion Park</v>
      </c>
      <c r="D277" s="8" t="s">
        <v>1202</v>
      </c>
      <c r="E277" s="7" t="s">
        <v>817</v>
      </c>
      <c r="F277" s="7" t="s">
        <v>1157</v>
      </c>
      <c r="G277" s="7" t="s">
        <v>819</v>
      </c>
    </row>
    <row r="278" spans="1:7" x14ac:dyDescent="0.25">
      <c r="A278" s="6" t="s">
        <v>1224</v>
      </c>
      <c r="B278" s="6" t="s">
        <v>971</v>
      </c>
      <c r="C278" s="6" t="str">
        <f t="shared" si="4"/>
        <v>S011 Launceston</v>
      </c>
      <c r="D278" s="6" t="s">
        <v>1225</v>
      </c>
      <c r="E278" s="6" t="s">
        <v>817</v>
      </c>
      <c r="F278" s="6" t="s">
        <v>1157</v>
      </c>
      <c r="G278" s="6" t="s">
        <v>819</v>
      </c>
    </row>
    <row r="279" spans="1:7" x14ac:dyDescent="0.25">
      <c r="A279" s="6" t="s">
        <v>1226</v>
      </c>
      <c r="B279" s="6" t="s">
        <v>900</v>
      </c>
      <c r="C279" s="6" t="str">
        <f t="shared" si="4"/>
        <v>S038 Logan</v>
      </c>
      <c r="D279" s="6" t="s">
        <v>1225</v>
      </c>
      <c r="E279" s="6" t="s">
        <v>817</v>
      </c>
      <c r="F279" s="6" t="s">
        <v>1157</v>
      </c>
      <c r="G279" s="6" t="s">
        <v>819</v>
      </c>
    </row>
    <row r="280" spans="1:7" x14ac:dyDescent="0.25">
      <c r="A280" s="6" t="s">
        <v>1227</v>
      </c>
      <c r="B280" s="6" t="s">
        <v>1228</v>
      </c>
      <c r="C280" s="6" t="str">
        <f t="shared" si="4"/>
        <v>S055 Indooroopilly</v>
      </c>
      <c r="D280" s="6" t="s">
        <v>1225</v>
      </c>
      <c r="E280" s="6" t="s">
        <v>817</v>
      </c>
      <c r="F280" s="6" t="s">
        <v>1157</v>
      </c>
      <c r="G280" s="6" t="s">
        <v>819</v>
      </c>
    </row>
    <row r="281" spans="1:7" x14ac:dyDescent="0.25">
      <c r="A281" s="6" t="s">
        <v>1229</v>
      </c>
      <c r="B281" s="6" t="s">
        <v>975</v>
      </c>
      <c r="C281" s="6" t="str">
        <f t="shared" si="4"/>
        <v>S060 Glenorchy</v>
      </c>
      <c r="D281" s="6" t="s">
        <v>1225</v>
      </c>
      <c r="E281" s="6" t="s">
        <v>817</v>
      </c>
      <c r="F281" s="6" t="s">
        <v>1157</v>
      </c>
      <c r="G281" s="6" t="s">
        <v>819</v>
      </c>
    </row>
    <row r="282" spans="1:7" x14ac:dyDescent="0.25">
      <c r="A282" s="6" t="s">
        <v>1230</v>
      </c>
      <c r="B282" s="6" t="s">
        <v>896</v>
      </c>
      <c r="C282" s="6" t="str">
        <f t="shared" si="4"/>
        <v>S069 Bundaberg</v>
      </c>
      <c r="D282" s="6" t="s">
        <v>1225</v>
      </c>
      <c r="E282" s="6" t="s">
        <v>817</v>
      </c>
      <c r="F282" s="6" t="s">
        <v>1157</v>
      </c>
      <c r="G282" s="6" t="s">
        <v>819</v>
      </c>
    </row>
    <row r="283" spans="1:7" x14ac:dyDescent="0.25">
      <c r="A283" s="6" t="s">
        <v>1231</v>
      </c>
      <c r="B283" s="6" t="s">
        <v>831</v>
      </c>
      <c r="C283" s="6" t="str">
        <f t="shared" si="4"/>
        <v>S080 Maroochydore</v>
      </c>
      <c r="D283" s="6" t="s">
        <v>1225</v>
      </c>
      <c r="E283" s="6" t="s">
        <v>817</v>
      </c>
      <c r="F283" s="6" t="s">
        <v>1157</v>
      </c>
      <c r="G283" s="6" t="s">
        <v>819</v>
      </c>
    </row>
    <row r="284" spans="1:7" x14ac:dyDescent="0.25">
      <c r="A284" s="6" t="s">
        <v>1232</v>
      </c>
      <c r="B284" s="6" t="s">
        <v>1233</v>
      </c>
      <c r="C284" s="6" t="str">
        <f t="shared" si="4"/>
        <v>S102 Burnie</v>
      </c>
      <c r="D284" s="6" t="s">
        <v>1225</v>
      </c>
      <c r="E284" s="6" t="s">
        <v>817</v>
      </c>
      <c r="F284" s="6" t="s">
        <v>1157</v>
      </c>
      <c r="G284" s="6" t="s">
        <v>819</v>
      </c>
    </row>
    <row r="285" spans="1:7" x14ac:dyDescent="0.25">
      <c r="A285" s="6" t="s">
        <v>1234</v>
      </c>
      <c r="B285" s="6" t="s">
        <v>894</v>
      </c>
      <c r="C285" s="6" t="str">
        <f t="shared" si="4"/>
        <v>S111 Morayfield</v>
      </c>
      <c r="D285" s="6" t="s">
        <v>1225</v>
      </c>
      <c r="E285" s="6" t="s">
        <v>817</v>
      </c>
      <c r="F285" s="6" t="s">
        <v>1157</v>
      </c>
      <c r="G285" s="6" t="s">
        <v>819</v>
      </c>
    </row>
    <row r="286" spans="1:7" x14ac:dyDescent="0.25">
      <c r="A286" s="6" t="s">
        <v>1235</v>
      </c>
      <c r="B286" s="6" t="s">
        <v>909</v>
      </c>
      <c r="C286" s="6" t="str">
        <f t="shared" si="4"/>
        <v>S116 Ipswich</v>
      </c>
      <c r="D286" s="6" t="s">
        <v>1225</v>
      </c>
      <c r="E286" s="6" t="s">
        <v>817</v>
      </c>
      <c r="F286" s="6" t="s">
        <v>1157</v>
      </c>
      <c r="G286" s="6" t="s">
        <v>819</v>
      </c>
    </row>
    <row r="287" spans="1:7" x14ac:dyDescent="0.25">
      <c r="A287" s="6" t="s">
        <v>1236</v>
      </c>
      <c r="B287" s="6" t="s">
        <v>888</v>
      </c>
      <c r="C287" s="6" t="str">
        <f t="shared" si="4"/>
        <v>S139 Hervey Bay</v>
      </c>
      <c r="D287" s="6" t="s">
        <v>1225</v>
      </c>
      <c r="E287" s="6" t="s">
        <v>817</v>
      </c>
      <c r="F287" s="6" t="s">
        <v>1157</v>
      </c>
      <c r="G287" s="6" t="s">
        <v>819</v>
      </c>
    </row>
    <row r="288" spans="1:7" x14ac:dyDescent="0.25">
      <c r="A288" s="6" t="s">
        <v>1237</v>
      </c>
      <c r="B288" s="6" t="s">
        <v>881</v>
      </c>
      <c r="C288" s="6" t="str">
        <f t="shared" si="4"/>
        <v>S149 North Lakes</v>
      </c>
      <c r="D288" s="6" t="s">
        <v>1225</v>
      </c>
      <c r="E288" s="6" t="s">
        <v>817</v>
      </c>
      <c r="F288" s="6" t="s">
        <v>1157</v>
      </c>
      <c r="G288" s="6" t="s">
        <v>819</v>
      </c>
    </row>
    <row r="289" spans="1:7" x14ac:dyDescent="0.25">
      <c r="A289" s="6" t="s">
        <v>1238</v>
      </c>
      <c r="B289" s="6" t="s">
        <v>1067</v>
      </c>
      <c r="C289" s="6" t="str">
        <f t="shared" si="4"/>
        <v>S161 Carindale</v>
      </c>
      <c r="D289" s="6" t="s">
        <v>1225</v>
      </c>
      <c r="E289" s="6" t="s">
        <v>817</v>
      </c>
      <c r="F289" s="6" t="s">
        <v>1157</v>
      </c>
      <c r="G289" s="6" t="s">
        <v>819</v>
      </c>
    </row>
    <row r="290" spans="1:7" x14ac:dyDescent="0.25">
      <c r="A290" s="6" t="s">
        <v>1239</v>
      </c>
      <c r="B290" s="6" t="s">
        <v>1597</v>
      </c>
      <c r="C290" s="6" t="str">
        <f t="shared" si="4"/>
        <v>S176 Logan Hyperdome (c)</v>
      </c>
      <c r="D290" s="6" t="s">
        <v>1225</v>
      </c>
      <c r="E290" s="6" t="s">
        <v>817</v>
      </c>
      <c r="F290" s="6" t="s">
        <v>1157</v>
      </c>
      <c r="G290" s="6" t="s">
        <v>819</v>
      </c>
    </row>
    <row r="291" spans="1:7" x14ac:dyDescent="0.25">
      <c r="A291" s="6" t="s">
        <v>1240</v>
      </c>
      <c r="B291" s="6" t="s">
        <v>815</v>
      </c>
      <c r="C291" s="6" t="str">
        <f t="shared" si="4"/>
        <v>S035 Everton Park</v>
      </c>
      <c r="D291" s="6" t="s">
        <v>1241</v>
      </c>
      <c r="E291" s="6" t="s">
        <v>817</v>
      </c>
      <c r="F291" s="6" t="s">
        <v>1157</v>
      </c>
      <c r="G291" s="6" t="s">
        <v>819</v>
      </c>
    </row>
    <row r="292" spans="1:7" x14ac:dyDescent="0.25">
      <c r="A292" s="6" t="s">
        <v>1242</v>
      </c>
      <c r="B292" s="6" t="s">
        <v>1243</v>
      </c>
      <c r="C292" s="6" t="str">
        <f t="shared" si="4"/>
        <v>S036 Macgregor</v>
      </c>
      <c r="D292" s="6" t="s">
        <v>1241</v>
      </c>
      <c r="E292" s="6" t="s">
        <v>817</v>
      </c>
      <c r="F292" s="6" t="s">
        <v>1157</v>
      </c>
      <c r="G292" s="6" t="s">
        <v>819</v>
      </c>
    </row>
    <row r="293" spans="1:7" x14ac:dyDescent="0.25">
      <c r="A293" s="6" t="s">
        <v>1244</v>
      </c>
      <c r="B293" s="6" t="s">
        <v>821</v>
      </c>
      <c r="C293" s="6" t="str">
        <f t="shared" si="4"/>
        <v>S043 Townsville</v>
      </c>
      <c r="D293" s="6" t="s">
        <v>1241</v>
      </c>
      <c r="E293" s="6" t="s">
        <v>817</v>
      </c>
      <c r="F293" s="6" t="s">
        <v>1157</v>
      </c>
      <c r="G293" s="6" t="s">
        <v>819</v>
      </c>
    </row>
    <row r="294" spans="1:7" x14ac:dyDescent="0.25">
      <c r="A294" s="6" t="s">
        <v>1245</v>
      </c>
      <c r="B294" s="6" t="s">
        <v>911</v>
      </c>
      <c r="C294" s="6" t="str">
        <f t="shared" si="4"/>
        <v>S046 Mackay</v>
      </c>
      <c r="D294" s="6" t="s">
        <v>1241</v>
      </c>
      <c r="E294" s="6" t="s">
        <v>817</v>
      </c>
      <c r="F294" s="6" t="s">
        <v>1157</v>
      </c>
      <c r="G294" s="6" t="s">
        <v>819</v>
      </c>
    </row>
    <row r="295" spans="1:7" x14ac:dyDescent="0.25">
      <c r="A295" s="6" t="s">
        <v>1246</v>
      </c>
      <c r="B295" s="6" t="s">
        <v>1638</v>
      </c>
      <c r="C295" s="6" t="str">
        <f t="shared" si="4"/>
        <v>S047 NTH ROCKHAMPTON</v>
      </c>
      <c r="D295" s="6" t="s">
        <v>1241</v>
      </c>
      <c r="E295" s="6" t="s">
        <v>817</v>
      </c>
      <c r="F295" s="6" t="s">
        <v>1157</v>
      </c>
      <c r="G295" s="6" t="s">
        <v>819</v>
      </c>
    </row>
    <row r="296" spans="1:7" x14ac:dyDescent="0.25">
      <c r="A296" s="6" t="s">
        <v>1247</v>
      </c>
      <c r="B296" s="6" t="s">
        <v>823</v>
      </c>
      <c r="C296" s="6" t="str">
        <f t="shared" si="4"/>
        <v>S094 Cairns</v>
      </c>
      <c r="D296" s="6" t="s">
        <v>1241</v>
      </c>
      <c r="E296" s="6" t="s">
        <v>817</v>
      </c>
      <c r="F296" s="6" t="s">
        <v>1157</v>
      </c>
      <c r="G296" s="6" t="s">
        <v>819</v>
      </c>
    </row>
    <row r="297" spans="1:7" x14ac:dyDescent="0.25">
      <c r="A297" s="6" t="s">
        <v>1248</v>
      </c>
      <c r="B297" s="6" t="s">
        <v>915</v>
      </c>
      <c r="C297" s="6" t="str">
        <f t="shared" si="4"/>
        <v>S096 Browns Plains</v>
      </c>
      <c r="D297" s="6" t="s">
        <v>1241</v>
      </c>
      <c r="E297" s="6" t="s">
        <v>817</v>
      </c>
      <c r="F297" s="6" t="s">
        <v>1157</v>
      </c>
      <c r="G297" s="6" t="s">
        <v>819</v>
      </c>
    </row>
    <row r="298" spans="1:7" x14ac:dyDescent="0.25">
      <c r="A298" s="6" t="s">
        <v>1249</v>
      </c>
      <c r="B298" s="6" t="s">
        <v>903</v>
      </c>
      <c r="C298" s="6" t="str">
        <f t="shared" si="4"/>
        <v>S118 Toowoomba</v>
      </c>
      <c r="D298" s="6" t="s">
        <v>1241</v>
      </c>
      <c r="E298" s="6" t="s">
        <v>817</v>
      </c>
      <c r="F298" s="6" t="s">
        <v>1157</v>
      </c>
      <c r="G298" s="6" t="s">
        <v>819</v>
      </c>
    </row>
    <row r="299" spans="1:7" x14ac:dyDescent="0.25">
      <c r="A299" s="6" t="s">
        <v>1250</v>
      </c>
      <c r="B299" s="6" t="s">
        <v>1251</v>
      </c>
      <c r="C299" s="6" t="str">
        <f t="shared" si="4"/>
        <v>S129 Springfield</v>
      </c>
      <c r="D299" s="6" t="s">
        <v>1241</v>
      </c>
      <c r="E299" s="6" t="s">
        <v>817</v>
      </c>
      <c r="F299" s="6" t="s">
        <v>1157</v>
      </c>
      <c r="G299" s="6" t="s">
        <v>819</v>
      </c>
    </row>
    <row r="300" spans="1:7" x14ac:dyDescent="0.25">
      <c r="A300" s="6" t="s">
        <v>1252</v>
      </c>
      <c r="B300" s="6" t="s">
        <v>1253</v>
      </c>
      <c r="C300" s="6" t="str">
        <f t="shared" si="4"/>
        <v>S131 Capalaba</v>
      </c>
      <c r="D300" s="6" t="s">
        <v>1241</v>
      </c>
      <c r="E300" s="6" t="s">
        <v>817</v>
      </c>
      <c r="F300" s="6" t="s">
        <v>1157</v>
      </c>
      <c r="G300" s="6" t="s">
        <v>819</v>
      </c>
    </row>
    <row r="301" spans="1:7" x14ac:dyDescent="0.25">
      <c r="A301" s="6" t="s">
        <v>1254</v>
      </c>
      <c r="B301" s="6" t="s">
        <v>1255</v>
      </c>
      <c r="C301" s="6" t="str">
        <f t="shared" si="4"/>
        <v>S147 Gladstone</v>
      </c>
      <c r="D301" s="6" t="s">
        <v>1241</v>
      </c>
      <c r="E301" s="6" t="s">
        <v>817</v>
      </c>
      <c r="F301" s="6" t="s">
        <v>1157</v>
      </c>
      <c r="G301" s="6" t="s">
        <v>819</v>
      </c>
    </row>
    <row r="302" spans="1:7" x14ac:dyDescent="0.25">
      <c r="A302" s="6" t="s">
        <v>1256</v>
      </c>
      <c r="B302" s="6" t="s">
        <v>1257</v>
      </c>
      <c r="C302" s="6" t="str">
        <f t="shared" si="4"/>
        <v>S168 Windsor</v>
      </c>
      <c r="D302" s="6" t="s">
        <v>1241</v>
      </c>
      <c r="E302" s="6" t="s">
        <v>817</v>
      </c>
      <c r="F302" s="6" t="s">
        <v>1157</v>
      </c>
      <c r="G302" s="6" t="s">
        <v>819</v>
      </c>
    </row>
    <row r="303" spans="1:7" x14ac:dyDescent="0.25">
      <c r="A303" s="6" t="s">
        <v>1258</v>
      </c>
      <c r="B303" s="6" t="s">
        <v>913</v>
      </c>
      <c r="C303" s="6" t="str">
        <f t="shared" si="4"/>
        <v>S205 Airlie Beach</v>
      </c>
      <c r="D303" s="6" t="s">
        <v>1241</v>
      </c>
      <c r="E303" s="6" t="s">
        <v>817</v>
      </c>
      <c r="F303" s="6" t="s">
        <v>1157</v>
      </c>
      <c r="G303" s="6" t="s">
        <v>819</v>
      </c>
    </row>
    <row r="304" spans="1:7" x14ac:dyDescent="0.25">
      <c r="A304" s="6" t="s">
        <v>1259</v>
      </c>
      <c r="B304" s="6" t="s">
        <v>989</v>
      </c>
      <c r="C304" s="6" t="str">
        <f t="shared" si="4"/>
        <v>S017 Mildura</v>
      </c>
      <c r="D304" s="6" t="s">
        <v>1260</v>
      </c>
      <c r="E304" s="6" t="s">
        <v>817</v>
      </c>
      <c r="F304" s="6" t="s">
        <v>1157</v>
      </c>
      <c r="G304" s="6" t="s">
        <v>819</v>
      </c>
    </row>
    <row r="305" spans="1:7" x14ac:dyDescent="0.25">
      <c r="A305" s="6" t="s">
        <v>1261</v>
      </c>
      <c r="B305" s="6" t="s">
        <v>1262</v>
      </c>
      <c r="C305" s="6" t="str">
        <f t="shared" si="4"/>
        <v>S025 Trinity Gardens</v>
      </c>
      <c r="D305" s="6" t="s">
        <v>1260</v>
      </c>
      <c r="E305" s="6" t="s">
        <v>817</v>
      </c>
      <c r="F305" s="6" t="s">
        <v>1157</v>
      </c>
      <c r="G305" s="6" t="s">
        <v>819</v>
      </c>
    </row>
    <row r="306" spans="1:7" x14ac:dyDescent="0.25">
      <c r="A306" s="6" t="s">
        <v>1263</v>
      </c>
      <c r="B306" s="6" t="s">
        <v>932</v>
      </c>
      <c r="C306" s="6" t="str">
        <f t="shared" si="4"/>
        <v>S044 Munno Para</v>
      </c>
      <c r="D306" s="6" t="s">
        <v>1260</v>
      </c>
      <c r="E306" s="6" t="s">
        <v>817</v>
      </c>
      <c r="F306" s="6" t="s">
        <v>1157</v>
      </c>
      <c r="G306" s="6" t="s">
        <v>819</v>
      </c>
    </row>
    <row r="307" spans="1:7" x14ac:dyDescent="0.25">
      <c r="A307" s="6" t="s">
        <v>1264</v>
      </c>
      <c r="B307" s="6" t="s">
        <v>905</v>
      </c>
      <c r="C307" s="6" t="str">
        <f t="shared" si="4"/>
        <v>S057 Darwin</v>
      </c>
      <c r="D307" s="6" t="s">
        <v>1260</v>
      </c>
      <c r="E307" s="6" t="s">
        <v>817</v>
      </c>
      <c r="F307" s="6" t="s">
        <v>1157</v>
      </c>
      <c r="G307" s="6" t="s">
        <v>819</v>
      </c>
    </row>
    <row r="308" spans="1:7" x14ac:dyDescent="0.25">
      <c r="A308" s="6" t="s">
        <v>1265</v>
      </c>
      <c r="B308" s="6" t="s">
        <v>1266</v>
      </c>
      <c r="C308" s="6" t="str">
        <f t="shared" si="4"/>
        <v>S072 Melrose Park</v>
      </c>
      <c r="D308" s="6" t="s">
        <v>1260</v>
      </c>
      <c r="E308" s="6" t="s">
        <v>817</v>
      </c>
      <c r="F308" s="6" t="s">
        <v>1157</v>
      </c>
      <c r="G308" s="6" t="s">
        <v>819</v>
      </c>
    </row>
    <row r="309" spans="1:7" x14ac:dyDescent="0.25">
      <c r="A309" s="6" t="s">
        <v>1267</v>
      </c>
      <c r="B309" s="6" t="s">
        <v>1268</v>
      </c>
      <c r="C309" s="6" t="str">
        <f t="shared" si="4"/>
        <v>S074 Clovercrest</v>
      </c>
      <c r="D309" s="6" t="s">
        <v>1260</v>
      </c>
      <c r="E309" s="6" t="s">
        <v>817</v>
      </c>
      <c r="F309" s="6" t="s">
        <v>1157</v>
      </c>
      <c r="G309" s="6" t="s">
        <v>819</v>
      </c>
    </row>
    <row r="310" spans="1:7" x14ac:dyDescent="0.25">
      <c r="A310" s="6" t="s">
        <v>1269</v>
      </c>
      <c r="B310" s="6" t="s">
        <v>1594</v>
      </c>
      <c r="C310" s="6" t="str">
        <f t="shared" si="4"/>
        <v>S077 Mount Gambier</v>
      </c>
      <c r="D310" s="6" t="s">
        <v>1260</v>
      </c>
      <c r="E310" s="6" t="s">
        <v>817</v>
      </c>
      <c r="F310" s="6" t="s">
        <v>1157</v>
      </c>
      <c r="G310" s="6" t="s">
        <v>819</v>
      </c>
    </row>
    <row r="311" spans="1:7" x14ac:dyDescent="0.25">
      <c r="A311" s="6" t="s">
        <v>1270</v>
      </c>
      <c r="B311" s="6" t="s">
        <v>1073</v>
      </c>
      <c r="C311" s="6" t="str">
        <f t="shared" si="4"/>
        <v>S090 Whyalla</v>
      </c>
      <c r="D311" s="6" t="s">
        <v>1260</v>
      </c>
      <c r="E311" s="6" t="s">
        <v>817</v>
      </c>
      <c r="F311" s="6" t="s">
        <v>1157</v>
      </c>
      <c r="G311" s="6" t="s">
        <v>819</v>
      </c>
    </row>
    <row r="312" spans="1:7" x14ac:dyDescent="0.25">
      <c r="A312" s="6" t="s">
        <v>1271</v>
      </c>
      <c r="B312" s="6" t="s">
        <v>1272</v>
      </c>
      <c r="C312" s="6" t="str">
        <f t="shared" si="4"/>
        <v>S106 Mount Barker</v>
      </c>
      <c r="D312" s="6" t="s">
        <v>1260</v>
      </c>
      <c r="E312" s="6" t="s">
        <v>817</v>
      </c>
      <c r="F312" s="6" t="s">
        <v>1157</v>
      </c>
      <c r="G312" s="6" t="s">
        <v>819</v>
      </c>
    </row>
    <row r="313" spans="1:7" x14ac:dyDescent="0.25">
      <c r="A313" s="6" t="s">
        <v>1273</v>
      </c>
      <c r="B313" s="6" t="s">
        <v>928</v>
      </c>
      <c r="C313" s="6" t="str">
        <f t="shared" si="4"/>
        <v>S117 Noarlunga</v>
      </c>
      <c r="D313" s="6" t="s">
        <v>1260</v>
      </c>
      <c r="E313" s="6" t="s">
        <v>817</v>
      </c>
      <c r="F313" s="6" t="s">
        <v>1157</v>
      </c>
      <c r="G313" s="6" t="s">
        <v>819</v>
      </c>
    </row>
    <row r="314" spans="1:7" x14ac:dyDescent="0.25">
      <c r="A314" s="6" t="s">
        <v>1274</v>
      </c>
      <c r="B314" s="6" t="s">
        <v>930</v>
      </c>
      <c r="C314" s="6" t="str">
        <f t="shared" si="4"/>
        <v>S119 Gepps Cross</v>
      </c>
      <c r="D314" s="6" t="s">
        <v>1260</v>
      </c>
      <c r="E314" s="6" t="s">
        <v>817</v>
      </c>
      <c r="F314" s="6" t="s">
        <v>1157</v>
      </c>
      <c r="G314" s="6" t="s">
        <v>819</v>
      </c>
    </row>
    <row r="315" spans="1:7" x14ac:dyDescent="0.25">
      <c r="A315" s="6" t="s">
        <v>1275</v>
      </c>
      <c r="B315" s="6" t="s">
        <v>1276</v>
      </c>
      <c r="C315" s="6" t="str">
        <f t="shared" si="4"/>
        <v>S124 Albert Park</v>
      </c>
      <c r="D315" s="6" t="s">
        <v>1260</v>
      </c>
      <c r="E315" s="6" t="s">
        <v>817</v>
      </c>
      <c r="F315" s="6" t="s">
        <v>1157</v>
      </c>
      <c r="G315" s="6" t="s">
        <v>819</v>
      </c>
    </row>
    <row r="316" spans="1:7" x14ac:dyDescent="0.25">
      <c r="A316" s="6" t="s">
        <v>1277</v>
      </c>
      <c r="B316" s="6" t="s">
        <v>964</v>
      </c>
      <c r="C316" s="6" t="str">
        <f t="shared" si="4"/>
        <v>S002 Box Hill</v>
      </c>
      <c r="D316" s="6" t="s">
        <v>1278</v>
      </c>
      <c r="E316" s="6" t="s">
        <v>817</v>
      </c>
      <c r="F316" s="6" t="s">
        <v>1157</v>
      </c>
      <c r="G316" s="6" t="s">
        <v>819</v>
      </c>
    </row>
    <row r="317" spans="1:7" x14ac:dyDescent="0.25">
      <c r="A317" s="6" t="s">
        <v>1279</v>
      </c>
      <c r="B317" s="6" t="s">
        <v>1280</v>
      </c>
      <c r="C317" s="6" t="str">
        <f t="shared" si="4"/>
        <v>S004 Mentone</v>
      </c>
      <c r="D317" s="6" t="s">
        <v>1278</v>
      </c>
      <c r="E317" s="6" t="s">
        <v>817</v>
      </c>
      <c r="F317" s="6" t="s">
        <v>1157</v>
      </c>
      <c r="G317" s="6" t="s">
        <v>819</v>
      </c>
    </row>
    <row r="318" spans="1:7" x14ac:dyDescent="0.25">
      <c r="A318" s="6" t="s">
        <v>1281</v>
      </c>
      <c r="B318" s="6" t="s">
        <v>1282</v>
      </c>
      <c r="C318" s="6" t="str">
        <f t="shared" si="4"/>
        <v>S005 Sandown</v>
      </c>
      <c r="D318" s="6" t="s">
        <v>1278</v>
      </c>
      <c r="E318" s="6" t="s">
        <v>817</v>
      </c>
      <c r="F318" s="6" t="s">
        <v>1157</v>
      </c>
      <c r="G318" s="6" t="s">
        <v>819</v>
      </c>
    </row>
    <row r="319" spans="1:7" x14ac:dyDescent="0.25">
      <c r="A319" s="6" t="s">
        <v>1283</v>
      </c>
      <c r="B319" s="6" t="s">
        <v>1085</v>
      </c>
      <c r="C319" s="6" t="str">
        <f t="shared" si="4"/>
        <v>S009 Traralgon</v>
      </c>
      <c r="D319" s="6" t="s">
        <v>1278</v>
      </c>
      <c r="E319" s="6" t="s">
        <v>817</v>
      </c>
      <c r="F319" s="6" t="s">
        <v>1157</v>
      </c>
      <c r="G319" s="6" t="s">
        <v>819</v>
      </c>
    </row>
    <row r="320" spans="1:7" x14ac:dyDescent="0.25">
      <c r="A320" s="6" t="s">
        <v>1284</v>
      </c>
      <c r="B320" s="6" t="s">
        <v>947</v>
      </c>
      <c r="C320" s="6" t="str">
        <f t="shared" si="4"/>
        <v>S014 Bayswater</v>
      </c>
      <c r="D320" s="6" t="s">
        <v>1278</v>
      </c>
      <c r="E320" s="6" t="s">
        <v>817</v>
      </c>
      <c r="F320" s="6" t="s">
        <v>1157</v>
      </c>
      <c r="G320" s="6" t="s">
        <v>819</v>
      </c>
    </row>
    <row r="321" spans="1:7" x14ac:dyDescent="0.25">
      <c r="A321" s="6" t="s">
        <v>1285</v>
      </c>
      <c r="B321" s="6" t="s">
        <v>1092</v>
      </c>
      <c r="C321" s="6" t="str">
        <f t="shared" si="4"/>
        <v>S015 Bairnsdale</v>
      </c>
      <c r="D321" s="6" t="s">
        <v>1278</v>
      </c>
      <c r="E321" s="6" t="s">
        <v>817</v>
      </c>
      <c r="F321" s="6" t="s">
        <v>1157</v>
      </c>
      <c r="G321" s="6" t="s">
        <v>819</v>
      </c>
    </row>
    <row r="322" spans="1:7" x14ac:dyDescent="0.25">
      <c r="A322" s="6" t="s">
        <v>1286</v>
      </c>
      <c r="B322" s="6" t="s">
        <v>1287</v>
      </c>
      <c r="C322" s="6" t="str">
        <f t="shared" si="4"/>
        <v>S016 Sale</v>
      </c>
      <c r="D322" s="6" t="s">
        <v>1278</v>
      </c>
      <c r="E322" s="6" t="s">
        <v>817</v>
      </c>
      <c r="F322" s="6" t="s">
        <v>1157</v>
      </c>
      <c r="G322" s="6" t="s">
        <v>819</v>
      </c>
    </row>
    <row r="323" spans="1:7" x14ac:dyDescent="0.25">
      <c r="A323" s="6" t="s">
        <v>1288</v>
      </c>
      <c r="B323" s="6" t="s">
        <v>966</v>
      </c>
      <c r="C323" s="6" t="str">
        <f t="shared" ref="C323:C386" si="5">A323&amp;" "&amp;B323</f>
        <v>S029 Shepparton</v>
      </c>
      <c r="D323" s="6" t="s">
        <v>1278</v>
      </c>
      <c r="E323" s="6" t="s">
        <v>817</v>
      </c>
      <c r="F323" s="6" t="s">
        <v>1157</v>
      </c>
      <c r="G323" s="6" t="s">
        <v>819</v>
      </c>
    </row>
    <row r="324" spans="1:7" x14ac:dyDescent="0.25">
      <c r="A324" s="6" t="s">
        <v>1289</v>
      </c>
      <c r="B324" s="6" t="s">
        <v>1087</v>
      </c>
      <c r="C324" s="6" t="str">
        <f t="shared" si="5"/>
        <v>S070 Fountain Gate</v>
      </c>
      <c r="D324" s="6" t="s">
        <v>1278</v>
      </c>
      <c r="E324" s="6" t="s">
        <v>817</v>
      </c>
      <c r="F324" s="6" t="s">
        <v>1157</v>
      </c>
      <c r="G324" s="6" t="s">
        <v>819</v>
      </c>
    </row>
    <row r="325" spans="1:7" x14ac:dyDescent="0.25">
      <c r="A325" s="6" t="s">
        <v>1290</v>
      </c>
      <c r="B325" s="6" t="s">
        <v>952</v>
      </c>
      <c r="C325" s="6" t="str">
        <f t="shared" si="5"/>
        <v>S110 Frankston</v>
      </c>
      <c r="D325" s="6" t="s">
        <v>1278</v>
      </c>
      <c r="E325" s="6" t="s">
        <v>817</v>
      </c>
      <c r="F325" s="6" t="s">
        <v>1157</v>
      </c>
      <c r="G325" s="6" t="s">
        <v>819</v>
      </c>
    </row>
    <row r="326" spans="1:7" x14ac:dyDescent="0.25">
      <c r="A326" s="6" t="s">
        <v>1291</v>
      </c>
      <c r="B326" s="6" t="s">
        <v>1292</v>
      </c>
      <c r="C326" s="6" t="str">
        <f t="shared" si="5"/>
        <v>S114 Carnegie</v>
      </c>
      <c r="D326" s="6" t="s">
        <v>1278</v>
      </c>
      <c r="E326" s="6" t="s">
        <v>817</v>
      </c>
      <c r="F326" s="6" t="s">
        <v>1157</v>
      </c>
      <c r="G326" s="6" t="s">
        <v>819</v>
      </c>
    </row>
    <row r="327" spans="1:7" x14ac:dyDescent="0.25">
      <c r="A327" s="6" t="s">
        <v>1293</v>
      </c>
      <c r="B327" s="6" t="s">
        <v>1294</v>
      </c>
      <c r="C327" s="6" t="str">
        <f t="shared" si="5"/>
        <v>S132 Wangaratta</v>
      </c>
      <c r="D327" s="6" t="s">
        <v>1278</v>
      </c>
      <c r="E327" s="6" t="s">
        <v>817</v>
      </c>
      <c r="F327" s="6" t="s">
        <v>1157</v>
      </c>
      <c r="G327" s="6" t="s">
        <v>819</v>
      </c>
    </row>
    <row r="328" spans="1:7" x14ac:dyDescent="0.25">
      <c r="A328" s="6" t="s">
        <v>1295</v>
      </c>
      <c r="B328" s="6" t="s">
        <v>1296</v>
      </c>
      <c r="C328" s="6" t="str">
        <f t="shared" si="5"/>
        <v>S135 Cranbourne</v>
      </c>
      <c r="D328" s="6" t="s">
        <v>1278</v>
      </c>
      <c r="E328" s="6" t="s">
        <v>817</v>
      </c>
      <c r="F328" s="6" t="s">
        <v>1157</v>
      </c>
      <c r="G328" s="6" t="s">
        <v>819</v>
      </c>
    </row>
    <row r="329" spans="1:7" x14ac:dyDescent="0.25">
      <c r="A329" s="6" t="s">
        <v>1297</v>
      </c>
      <c r="B329" s="6" t="s">
        <v>1595</v>
      </c>
      <c r="C329" s="6" t="str">
        <f t="shared" si="5"/>
        <v>S159 The Glen (c)</v>
      </c>
      <c r="D329" s="6" t="s">
        <v>1278</v>
      </c>
      <c r="E329" s="6" t="s">
        <v>817</v>
      </c>
      <c r="F329" s="6" t="s">
        <v>1157</v>
      </c>
      <c r="G329" s="6" t="s">
        <v>819</v>
      </c>
    </row>
    <row r="330" spans="1:7" x14ac:dyDescent="0.25">
      <c r="A330" s="6" t="s">
        <v>1298</v>
      </c>
      <c r="B330" s="6" t="s">
        <v>1091</v>
      </c>
      <c r="C330" s="6" t="str">
        <f t="shared" si="5"/>
        <v>S172 Warragul</v>
      </c>
      <c r="D330" s="6" t="s">
        <v>1278</v>
      </c>
      <c r="E330" s="6" t="s">
        <v>817</v>
      </c>
      <c r="F330" s="6" t="s">
        <v>1157</v>
      </c>
      <c r="G330" s="6" t="s">
        <v>819</v>
      </c>
    </row>
    <row r="331" spans="1:7" x14ac:dyDescent="0.25">
      <c r="A331" s="6" t="s">
        <v>1299</v>
      </c>
      <c r="B331" s="6" t="s">
        <v>950</v>
      </c>
      <c r="C331" s="6" t="str">
        <f t="shared" si="5"/>
        <v>S006 Geelong</v>
      </c>
      <c r="D331" s="6" t="s">
        <v>1300</v>
      </c>
      <c r="E331" s="6" t="s">
        <v>817</v>
      </c>
      <c r="F331" s="6" t="s">
        <v>1157</v>
      </c>
      <c r="G331" s="6" t="s">
        <v>819</v>
      </c>
    </row>
    <row r="332" spans="1:7" x14ac:dyDescent="0.25">
      <c r="A332" s="6" t="s">
        <v>1301</v>
      </c>
      <c r="B332" s="6" t="s">
        <v>1302</v>
      </c>
      <c r="C332" s="6" t="str">
        <f t="shared" si="5"/>
        <v>S008 Essendon</v>
      </c>
      <c r="D332" s="6" t="s">
        <v>1300</v>
      </c>
      <c r="E332" s="6" t="s">
        <v>817</v>
      </c>
      <c r="F332" s="6" t="s">
        <v>1157</v>
      </c>
      <c r="G332" s="6" t="s">
        <v>819</v>
      </c>
    </row>
    <row r="333" spans="1:7" x14ac:dyDescent="0.25">
      <c r="A333" s="6" t="s">
        <v>1303</v>
      </c>
      <c r="B333" s="6" t="s">
        <v>983</v>
      </c>
      <c r="C333" s="6" t="str">
        <f t="shared" si="5"/>
        <v>S010 Maribyrnong</v>
      </c>
      <c r="D333" s="6" t="s">
        <v>1300</v>
      </c>
      <c r="E333" s="6" t="s">
        <v>817</v>
      </c>
      <c r="F333" s="6" t="s">
        <v>1157</v>
      </c>
      <c r="G333" s="6" t="s">
        <v>819</v>
      </c>
    </row>
    <row r="334" spans="1:7" x14ac:dyDescent="0.25">
      <c r="A334" s="6" t="s">
        <v>1304</v>
      </c>
      <c r="B334" s="6" t="s">
        <v>960</v>
      </c>
      <c r="C334" s="6" t="str">
        <f t="shared" si="5"/>
        <v>S013 Ballarat</v>
      </c>
      <c r="D334" s="6" t="s">
        <v>1300</v>
      </c>
      <c r="E334" s="6" t="s">
        <v>817</v>
      </c>
      <c r="F334" s="6" t="s">
        <v>1157</v>
      </c>
      <c r="G334" s="6" t="s">
        <v>819</v>
      </c>
    </row>
    <row r="335" spans="1:7" x14ac:dyDescent="0.25">
      <c r="A335" s="6" t="s">
        <v>1305</v>
      </c>
      <c r="B335" s="6" t="s">
        <v>956</v>
      </c>
      <c r="C335" s="6" t="str">
        <f t="shared" si="5"/>
        <v>S026 Bendigo</v>
      </c>
      <c r="D335" s="6" t="s">
        <v>1300</v>
      </c>
      <c r="E335" s="6" t="s">
        <v>817</v>
      </c>
      <c r="F335" s="6" t="s">
        <v>1157</v>
      </c>
      <c r="G335" s="6" t="s">
        <v>819</v>
      </c>
    </row>
    <row r="336" spans="1:7" x14ac:dyDescent="0.25">
      <c r="A336" s="6" t="s">
        <v>1306</v>
      </c>
      <c r="B336" s="6" t="s">
        <v>1307</v>
      </c>
      <c r="C336" s="6" t="str">
        <f t="shared" si="5"/>
        <v>S027 South Melbourne</v>
      </c>
      <c r="D336" s="6" t="s">
        <v>1300</v>
      </c>
      <c r="E336" s="6" t="s">
        <v>817</v>
      </c>
      <c r="F336" s="6" t="s">
        <v>1157</v>
      </c>
      <c r="G336" s="6" t="s">
        <v>819</v>
      </c>
    </row>
    <row r="337" spans="1:7" x14ac:dyDescent="0.25">
      <c r="A337" s="6" t="s">
        <v>1308</v>
      </c>
      <c r="B337" s="6" t="s">
        <v>979</v>
      </c>
      <c r="C337" s="6" t="str">
        <f t="shared" si="5"/>
        <v>S034 Hoppers Crossing</v>
      </c>
      <c r="D337" s="6" t="s">
        <v>1300</v>
      </c>
      <c r="E337" s="6" t="s">
        <v>817</v>
      </c>
      <c r="F337" s="6" t="s">
        <v>1157</v>
      </c>
      <c r="G337" s="6" t="s">
        <v>819</v>
      </c>
    </row>
    <row r="338" spans="1:7" x14ac:dyDescent="0.25">
      <c r="A338" s="6" t="s">
        <v>1309</v>
      </c>
      <c r="B338" s="6" t="s">
        <v>1310</v>
      </c>
      <c r="C338" s="6" t="str">
        <f t="shared" si="5"/>
        <v>S049 Horsham</v>
      </c>
      <c r="D338" s="6" t="s">
        <v>1300</v>
      </c>
      <c r="E338" s="6" t="s">
        <v>817</v>
      </c>
      <c r="F338" s="6" t="s">
        <v>1157</v>
      </c>
      <c r="G338" s="6" t="s">
        <v>819</v>
      </c>
    </row>
    <row r="339" spans="1:7" x14ac:dyDescent="0.25">
      <c r="A339" s="6" t="s">
        <v>1311</v>
      </c>
      <c r="B339" s="6" t="s">
        <v>1312</v>
      </c>
      <c r="C339" s="6" t="str">
        <f t="shared" si="5"/>
        <v>S098 Burnside</v>
      </c>
      <c r="D339" s="6" t="s">
        <v>1300</v>
      </c>
      <c r="E339" s="6" t="s">
        <v>817</v>
      </c>
      <c r="F339" s="6" t="s">
        <v>1157</v>
      </c>
      <c r="G339" s="6" t="s">
        <v>819</v>
      </c>
    </row>
    <row r="340" spans="1:7" x14ac:dyDescent="0.25">
      <c r="A340" s="6" t="s">
        <v>1313</v>
      </c>
      <c r="B340" s="6" t="s">
        <v>1098</v>
      </c>
      <c r="C340" s="6" t="str">
        <f t="shared" si="5"/>
        <v>S112 Warrnambool</v>
      </c>
      <c r="D340" s="6" t="s">
        <v>1300</v>
      </c>
      <c r="E340" s="6" t="s">
        <v>817</v>
      </c>
      <c r="F340" s="6" t="s">
        <v>1157</v>
      </c>
      <c r="G340" s="6" t="s">
        <v>819</v>
      </c>
    </row>
    <row r="341" spans="1:7" x14ac:dyDescent="0.25">
      <c r="A341" s="6" t="s">
        <v>1314</v>
      </c>
      <c r="B341" s="6" t="s">
        <v>1315</v>
      </c>
      <c r="C341" s="6" t="str">
        <f t="shared" si="5"/>
        <v>S113 South Morang</v>
      </c>
      <c r="D341" s="6" t="s">
        <v>1300</v>
      </c>
      <c r="E341" s="6" t="s">
        <v>817</v>
      </c>
      <c r="F341" s="6" t="s">
        <v>1157</v>
      </c>
      <c r="G341" s="6" t="s">
        <v>819</v>
      </c>
    </row>
    <row r="342" spans="1:7" x14ac:dyDescent="0.25">
      <c r="A342" s="6" t="s">
        <v>1316</v>
      </c>
      <c r="B342" s="6" t="s">
        <v>977</v>
      </c>
      <c r="C342" s="6" t="str">
        <f t="shared" si="5"/>
        <v>S120 Preston</v>
      </c>
      <c r="D342" s="6" t="s">
        <v>1300</v>
      </c>
      <c r="E342" s="6" t="s">
        <v>817</v>
      </c>
      <c r="F342" s="6" t="s">
        <v>1157</v>
      </c>
      <c r="G342" s="6" t="s">
        <v>819</v>
      </c>
    </row>
    <row r="343" spans="1:7" x14ac:dyDescent="0.25">
      <c r="A343" s="6" t="s">
        <v>1317</v>
      </c>
      <c r="B343" s="6" t="s">
        <v>1318</v>
      </c>
      <c r="C343" s="6" t="str">
        <f t="shared" si="5"/>
        <v>S145 Roxburgh Park</v>
      </c>
      <c r="D343" s="6" t="s">
        <v>1300</v>
      </c>
      <c r="E343" s="6" t="s">
        <v>817</v>
      </c>
      <c r="F343" s="6" t="s">
        <v>1157</v>
      </c>
      <c r="G343" s="6" t="s">
        <v>819</v>
      </c>
    </row>
    <row r="344" spans="1:7" x14ac:dyDescent="0.25">
      <c r="A344" s="6" t="s">
        <v>1319</v>
      </c>
      <c r="B344" s="6" t="s">
        <v>994</v>
      </c>
      <c r="C344" s="6" t="str">
        <f t="shared" si="5"/>
        <v>S052 Innaloo</v>
      </c>
      <c r="D344" s="6" t="s">
        <v>992</v>
      </c>
      <c r="E344" s="6" t="s">
        <v>817</v>
      </c>
      <c r="F344" s="6" t="s">
        <v>1157</v>
      </c>
      <c r="G344" s="6" t="s">
        <v>819</v>
      </c>
    </row>
    <row r="345" spans="1:7" x14ac:dyDescent="0.25">
      <c r="A345" s="6" t="s">
        <v>1320</v>
      </c>
      <c r="B345" s="6" t="s">
        <v>998</v>
      </c>
      <c r="C345" s="6" t="str">
        <f t="shared" si="5"/>
        <v>S058 Midland</v>
      </c>
      <c r="D345" s="6" t="s">
        <v>992</v>
      </c>
      <c r="E345" s="6" t="s">
        <v>817</v>
      </c>
      <c r="F345" s="6" t="s">
        <v>1157</v>
      </c>
      <c r="G345" s="6" t="s">
        <v>819</v>
      </c>
    </row>
    <row r="346" spans="1:7" x14ac:dyDescent="0.25">
      <c r="A346" s="6" t="s">
        <v>1321</v>
      </c>
      <c r="B346" s="6" t="s">
        <v>1004</v>
      </c>
      <c r="C346" s="6" t="str">
        <f t="shared" si="5"/>
        <v>S061 Melville</v>
      </c>
      <c r="D346" s="6" t="s">
        <v>992</v>
      </c>
      <c r="E346" s="6" t="s">
        <v>817</v>
      </c>
      <c r="F346" s="6" t="s">
        <v>1157</v>
      </c>
      <c r="G346" s="6" t="s">
        <v>819</v>
      </c>
    </row>
    <row r="347" spans="1:7" x14ac:dyDescent="0.25">
      <c r="A347" s="6" t="s">
        <v>1322</v>
      </c>
      <c r="B347" s="6" t="s">
        <v>996</v>
      </c>
      <c r="C347" s="6" t="str">
        <f t="shared" si="5"/>
        <v>S063 Cannington</v>
      </c>
      <c r="D347" s="6" t="s">
        <v>992</v>
      </c>
      <c r="E347" s="6" t="s">
        <v>817</v>
      </c>
      <c r="F347" s="6" t="s">
        <v>1157</v>
      </c>
      <c r="G347" s="6" t="s">
        <v>819</v>
      </c>
    </row>
    <row r="348" spans="1:7" x14ac:dyDescent="0.25">
      <c r="A348" s="6" t="s">
        <v>1323</v>
      </c>
      <c r="B348" s="6" t="s">
        <v>1000</v>
      </c>
      <c r="C348" s="6" t="str">
        <f t="shared" si="5"/>
        <v>S065 Rockingham</v>
      </c>
      <c r="D348" s="6" t="s">
        <v>992</v>
      </c>
      <c r="E348" s="6" t="s">
        <v>817</v>
      </c>
      <c r="F348" s="6" t="s">
        <v>1157</v>
      </c>
      <c r="G348" s="6" t="s">
        <v>819</v>
      </c>
    </row>
    <row r="349" spans="1:7" x14ac:dyDescent="0.25">
      <c r="A349" s="6" t="s">
        <v>1324</v>
      </c>
      <c r="B349" s="6" t="s">
        <v>991</v>
      </c>
      <c r="C349" s="6" t="str">
        <f t="shared" si="5"/>
        <v>S073 Joondalup</v>
      </c>
      <c r="D349" s="6" t="s">
        <v>992</v>
      </c>
      <c r="E349" s="6" t="s">
        <v>817</v>
      </c>
      <c r="F349" s="6" t="s">
        <v>1157</v>
      </c>
      <c r="G349" s="6" t="s">
        <v>819</v>
      </c>
    </row>
    <row r="350" spans="1:7" x14ac:dyDescent="0.25">
      <c r="A350" s="6" t="s">
        <v>1325</v>
      </c>
      <c r="B350" s="6" t="s">
        <v>1006</v>
      </c>
      <c r="C350" s="6" t="str">
        <f t="shared" si="5"/>
        <v>S084 Bunbury</v>
      </c>
      <c r="D350" s="6" t="s">
        <v>992</v>
      </c>
      <c r="E350" s="6" t="s">
        <v>817</v>
      </c>
      <c r="F350" s="6" t="s">
        <v>1157</v>
      </c>
      <c r="G350" s="6" t="s">
        <v>819</v>
      </c>
    </row>
    <row r="351" spans="1:7" x14ac:dyDescent="0.25">
      <c r="A351" s="6" t="s">
        <v>1326</v>
      </c>
      <c r="B351" s="6" t="s">
        <v>1012</v>
      </c>
      <c r="C351" s="6" t="str">
        <f t="shared" si="5"/>
        <v>S104 Mandurah</v>
      </c>
      <c r="D351" s="6" t="s">
        <v>992</v>
      </c>
      <c r="E351" s="6" t="s">
        <v>817</v>
      </c>
      <c r="F351" s="6" t="s">
        <v>1157</v>
      </c>
      <c r="G351" s="6" t="s">
        <v>819</v>
      </c>
    </row>
    <row r="352" spans="1:7" x14ac:dyDescent="0.25">
      <c r="A352" s="6" t="s">
        <v>1327</v>
      </c>
      <c r="B352" s="6" t="s">
        <v>1328</v>
      </c>
      <c r="C352" s="6" t="str">
        <f t="shared" si="5"/>
        <v>S107 Geraldton</v>
      </c>
      <c r="D352" s="6" t="s">
        <v>992</v>
      </c>
      <c r="E352" s="6" t="s">
        <v>817</v>
      </c>
      <c r="F352" s="6" t="s">
        <v>1157</v>
      </c>
      <c r="G352" s="6" t="s">
        <v>819</v>
      </c>
    </row>
    <row r="353" spans="1:7" x14ac:dyDescent="0.25">
      <c r="A353" s="6" t="s">
        <v>1329</v>
      </c>
      <c r="B353" s="6" t="s">
        <v>1008</v>
      </c>
      <c r="C353" s="6" t="str">
        <f t="shared" si="5"/>
        <v>S115 Albany</v>
      </c>
      <c r="D353" s="6" t="s">
        <v>992</v>
      </c>
      <c r="E353" s="6" t="s">
        <v>817</v>
      </c>
      <c r="F353" s="6" t="s">
        <v>1157</v>
      </c>
      <c r="G353" s="6" t="s">
        <v>819</v>
      </c>
    </row>
    <row r="354" spans="1:7" x14ac:dyDescent="0.25">
      <c r="A354" s="6" t="s">
        <v>1330</v>
      </c>
      <c r="B354" s="6" t="s">
        <v>1331</v>
      </c>
      <c r="C354" s="6" t="str">
        <f t="shared" si="5"/>
        <v>S122 Cockburn</v>
      </c>
      <c r="D354" s="6" t="s">
        <v>992</v>
      </c>
      <c r="E354" s="6" t="s">
        <v>817</v>
      </c>
      <c r="F354" s="6" t="s">
        <v>1157</v>
      </c>
      <c r="G354" s="6" t="s">
        <v>819</v>
      </c>
    </row>
    <row r="355" spans="1:7" x14ac:dyDescent="0.25">
      <c r="A355" s="6" t="s">
        <v>1332</v>
      </c>
      <c r="B355" s="6" t="s">
        <v>1010</v>
      </c>
      <c r="C355" s="6" t="str">
        <f t="shared" si="5"/>
        <v>S146 Busselton</v>
      </c>
      <c r="D355" s="6" t="s">
        <v>992</v>
      </c>
      <c r="E355" s="6" t="s">
        <v>817</v>
      </c>
      <c r="F355" s="6" t="s">
        <v>1157</v>
      </c>
      <c r="G355" s="6" t="s">
        <v>819</v>
      </c>
    </row>
    <row r="356" spans="1:7" x14ac:dyDescent="0.25">
      <c r="A356" s="6" t="s">
        <v>1333</v>
      </c>
      <c r="B356" s="6" t="s">
        <v>1002</v>
      </c>
      <c r="C356" s="6" t="str">
        <f t="shared" si="5"/>
        <v>S162 Butler</v>
      </c>
      <c r="D356" s="6" t="s">
        <v>992</v>
      </c>
      <c r="E356" s="6" t="s">
        <v>817</v>
      </c>
      <c r="F356" s="6" t="s">
        <v>1157</v>
      </c>
      <c r="G356" s="6" t="s">
        <v>819</v>
      </c>
    </row>
    <row r="357" spans="1:7" x14ac:dyDescent="0.25">
      <c r="A357" s="6" t="s">
        <v>1334</v>
      </c>
      <c r="B357" s="6" t="s">
        <v>1335</v>
      </c>
      <c r="C357" s="6" t="str">
        <f t="shared" si="5"/>
        <v>S163 Ellenbrook</v>
      </c>
      <c r="D357" s="6" t="s">
        <v>992</v>
      </c>
      <c r="E357" s="6" t="s">
        <v>817</v>
      </c>
      <c r="F357" s="6" t="s">
        <v>1157</v>
      </c>
      <c r="G357" s="6" t="s">
        <v>819</v>
      </c>
    </row>
    <row r="358" spans="1:7" x14ac:dyDescent="0.25">
      <c r="A358" s="6" t="s">
        <v>1336</v>
      </c>
      <c r="B358" s="6" t="s">
        <v>1337</v>
      </c>
      <c r="C358" s="6" t="str">
        <f t="shared" si="5"/>
        <v>S164 Fremantle</v>
      </c>
      <c r="D358" s="6" t="s">
        <v>992</v>
      </c>
      <c r="E358" s="6" t="s">
        <v>817</v>
      </c>
      <c r="F358" s="6" t="s">
        <v>1157</v>
      </c>
      <c r="G358" s="6" t="s">
        <v>819</v>
      </c>
    </row>
    <row r="359" spans="1:7" x14ac:dyDescent="0.25">
      <c r="A359" s="6" t="s">
        <v>1338</v>
      </c>
      <c r="B359" s="6" t="s">
        <v>1339</v>
      </c>
      <c r="C359" s="6" t="str">
        <f t="shared" si="5"/>
        <v>S188 Belmont</v>
      </c>
      <c r="D359" s="6" t="s">
        <v>992</v>
      </c>
      <c r="E359" s="6" t="s">
        <v>817</v>
      </c>
      <c r="F359" s="6" t="s">
        <v>1157</v>
      </c>
      <c r="G359" s="6" t="s">
        <v>819</v>
      </c>
    </row>
    <row r="360" spans="1:7" x14ac:dyDescent="0.25">
      <c r="A360" s="6" t="s">
        <v>1340</v>
      </c>
      <c r="B360" s="6" t="s">
        <v>1341</v>
      </c>
      <c r="C360" s="6" t="str">
        <f t="shared" si="5"/>
        <v>F996 FFM - Finance</v>
      </c>
      <c r="D360" s="11" t="s">
        <v>1043</v>
      </c>
      <c r="E360" s="6" t="s">
        <v>817</v>
      </c>
      <c r="F360" s="6" t="s">
        <v>1342</v>
      </c>
      <c r="G360" s="6" t="s">
        <v>1019</v>
      </c>
    </row>
    <row r="361" spans="1:7" x14ac:dyDescent="0.25">
      <c r="A361" s="9" t="s">
        <v>1343</v>
      </c>
      <c r="B361" s="10" t="s">
        <v>1043</v>
      </c>
      <c r="C361" s="6" t="str">
        <f t="shared" si="5"/>
        <v>F999 FFM</v>
      </c>
      <c r="D361" s="11" t="s">
        <v>1043</v>
      </c>
      <c r="E361" s="10" t="s">
        <v>817</v>
      </c>
      <c r="F361" s="10" t="s">
        <v>1342</v>
      </c>
      <c r="G361" s="10" t="s">
        <v>1019</v>
      </c>
    </row>
    <row r="362" spans="1:7" x14ac:dyDescent="0.25">
      <c r="A362" s="9" t="s">
        <v>1344</v>
      </c>
      <c r="B362" s="10" t="s">
        <v>1345</v>
      </c>
      <c r="C362" s="6" t="str">
        <f t="shared" si="5"/>
        <v>D996 SPGD - Finance</v>
      </c>
      <c r="D362" s="11" t="s">
        <v>1346</v>
      </c>
      <c r="E362" s="10" t="s">
        <v>817</v>
      </c>
      <c r="F362" s="10" t="s">
        <v>1342</v>
      </c>
      <c r="G362" s="10" t="s">
        <v>1019</v>
      </c>
    </row>
    <row r="363" spans="1:7" x14ac:dyDescent="0.25">
      <c r="A363" s="9" t="s">
        <v>1347</v>
      </c>
      <c r="B363" s="10" t="s">
        <v>1348</v>
      </c>
      <c r="C363" s="6" t="str">
        <f t="shared" si="5"/>
        <v>D999 SPG Developments</v>
      </c>
      <c r="D363" s="11" t="s">
        <v>1346</v>
      </c>
      <c r="E363" s="10" t="s">
        <v>817</v>
      </c>
      <c r="F363" s="10" t="s">
        <v>1342</v>
      </c>
      <c r="G363" s="10" t="s">
        <v>1019</v>
      </c>
    </row>
    <row r="364" spans="1:7" x14ac:dyDescent="0.25">
      <c r="A364" s="9" t="s">
        <v>1349</v>
      </c>
      <c r="B364" s="10" t="s">
        <v>1350</v>
      </c>
      <c r="C364" s="6" t="str">
        <f t="shared" si="5"/>
        <v>H999 Spotlight Group Aviation</v>
      </c>
      <c r="D364" s="10" t="s">
        <v>1350</v>
      </c>
      <c r="E364" s="10" t="s">
        <v>817</v>
      </c>
      <c r="F364" s="10" t="s">
        <v>1342</v>
      </c>
      <c r="G364" s="10" t="s">
        <v>1019</v>
      </c>
    </row>
    <row r="365" spans="1:7" x14ac:dyDescent="0.25">
      <c r="A365" s="6" t="s">
        <v>1351</v>
      </c>
      <c r="B365" s="6" t="s">
        <v>1352</v>
      </c>
      <c r="C365" s="6" t="str">
        <f t="shared" si="5"/>
        <v>S142 IPC</v>
      </c>
      <c r="D365" s="6" t="s">
        <v>1353</v>
      </c>
      <c r="E365" s="6" t="s">
        <v>1354</v>
      </c>
      <c r="F365" s="6" t="s">
        <v>1355</v>
      </c>
      <c r="G365" s="6" t="s">
        <v>819</v>
      </c>
    </row>
    <row r="366" spans="1:7" x14ac:dyDescent="0.25">
      <c r="A366" s="6" t="s">
        <v>1356</v>
      </c>
      <c r="B366" s="6" t="s">
        <v>1357</v>
      </c>
      <c r="C366" s="6" t="str">
        <f t="shared" si="5"/>
        <v>S144 My Town</v>
      </c>
      <c r="D366" s="6" t="s">
        <v>1353</v>
      </c>
      <c r="E366" s="6" t="s">
        <v>1354</v>
      </c>
      <c r="F366" s="6" t="s">
        <v>1355</v>
      </c>
      <c r="G366" s="6" t="s">
        <v>819</v>
      </c>
    </row>
    <row r="367" spans="1:7" x14ac:dyDescent="0.25">
      <c r="A367" s="6" t="s">
        <v>1358</v>
      </c>
      <c r="B367" s="6" t="s">
        <v>1359</v>
      </c>
      <c r="C367" s="6" t="str">
        <f t="shared" si="5"/>
        <v>S202 IOI - City Mall</v>
      </c>
      <c r="D367" s="6" t="s">
        <v>1353</v>
      </c>
      <c r="E367" s="6" t="s">
        <v>1354</v>
      </c>
      <c r="F367" s="6" t="s">
        <v>1355</v>
      </c>
      <c r="G367" s="6" t="s">
        <v>819</v>
      </c>
    </row>
    <row r="368" spans="1:7" x14ac:dyDescent="0.25">
      <c r="A368" s="9" t="s">
        <v>1360</v>
      </c>
      <c r="B368" s="10" t="s">
        <v>1361</v>
      </c>
      <c r="C368" s="6" t="str">
        <f t="shared" si="5"/>
        <v>S980 Malaysia SG</v>
      </c>
      <c r="D368" s="11" t="s">
        <v>1362</v>
      </c>
      <c r="E368" s="10" t="s">
        <v>1354</v>
      </c>
      <c r="F368" s="10" t="s">
        <v>1355</v>
      </c>
      <c r="G368" s="10" t="s">
        <v>1019</v>
      </c>
    </row>
    <row r="369" spans="1:7" x14ac:dyDescent="0.25">
      <c r="A369" s="6" t="s">
        <v>1363</v>
      </c>
      <c r="B369" s="6" t="s">
        <v>1364</v>
      </c>
      <c r="C369" s="6" t="str">
        <f t="shared" si="5"/>
        <v>S064 Wairau Park</v>
      </c>
      <c r="D369" s="6" t="s">
        <v>1365</v>
      </c>
      <c r="E369" s="6" t="s">
        <v>1121</v>
      </c>
      <c r="F369" s="6" t="s">
        <v>1366</v>
      </c>
      <c r="G369" s="6" t="s">
        <v>819</v>
      </c>
    </row>
    <row r="370" spans="1:7" x14ac:dyDescent="0.25">
      <c r="A370" s="6" t="s">
        <v>1367</v>
      </c>
      <c r="B370" s="6" t="s">
        <v>1368</v>
      </c>
      <c r="C370" s="6" t="str">
        <f t="shared" si="5"/>
        <v>S076 Hamilton</v>
      </c>
      <c r="D370" s="6" t="s">
        <v>1365</v>
      </c>
      <c r="E370" s="6" t="s">
        <v>1121</v>
      </c>
      <c r="F370" s="6" t="s">
        <v>1366</v>
      </c>
      <c r="G370" s="6" t="s">
        <v>819</v>
      </c>
    </row>
    <row r="371" spans="1:7" x14ac:dyDescent="0.25">
      <c r="A371" s="6" t="s">
        <v>1369</v>
      </c>
      <c r="B371" s="6" t="s">
        <v>1370</v>
      </c>
      <c r="C371" s="6" t="str">
        <f t="shared" si="5"/>
        <v>S086 Rotorua</v>
      </c>
      <c r="D371" s="6" t="s">
        <v>1365</v>
      </c>
      <c r="E371" s="6" t="s">
        <v>1121</v>
      </c>
      <c r="F371" s="6" t="s">
        <v>1366</v>
      </c>
      <c r="G371" s="6" t="s">
        <v>819</v>
      </c>
    </row>
    <row r="372" spans="1:7" x14ac:dyDescent="0.25">
      <c r="A372" s="6" t="s">
        <v>1371</v>
      </c>
      <c r="B372" s="6" t="s">
        <v>1372</v>
      </c>
      <c r="C372" s="6" t="str">
        <f t="shared" si="5"/>
        <v>S126 Tauranga</v>
      </c>
      <c r="D372" s="6" t="s">
        <v>1365</v>
      </c>
      <c r="E372" s="6" t="s">
        <v>1121</v>
      </c>
      <c r="F372" s="6" t="s">
        <v>1366</v>
      </c>
      <c r="G372" s="6" t="s">
        <v>819</v>
      </c>
    </row>
    <row r="373" spans="1:7" x14ac:dyDescent="0.25">
      <c r="A373" s="6" t="s">
        <v>1373</v>
      </c>
      <c r="B373" s="6" t="s">
        <v>1374</v>
      </c>
      <c r="C373" s="6" t="str">
        <f t="shared" si="5"/>
        <v>S128 Sylvia Park</v>
      </c>
      <c r="D373" s="6" t="s">
        <v>1365</v>
      </c>
      <c r="E373" s="6" t="s">
        <v>1121</v>
      </c>
      <c r="F373" s="6" t="s">
        <v>1366</v>
      </c>
      <c r="G373" s="6" t="s">
        <v>819</v>
      </c>
    </row>
    <row r="374" spans="1:7" x14ac:dyDescent="0.25">
      <c r="A374" s="6" t="s">
        <v>1375</v>
      </c>
      <c r="B374" s="6" t="s">
        <v>1376</v>
      </c>
      <c r="C374" s="6" t="str">
        <f t="shared" si="5"/>
        <v>S157 Pukekohe</v>
      </c>
      <c r="D374" s="6" t="s">
        <v>1365</v>
      </c>
      <c r="E374" s="6" t="s">
        <v>1121</v>
      </c>
      <c r="F374" s="6" t="s">
        <v>1366</v>
      </c>
      <c r="G374" s="6" t="s">
        <v>819</v>
      </c>
    </row>
    <row r="375" spans="1:7" x14ac:dyDescent="0.25">
      <c r="A375" s="6" t="s">
        <v>1377</v>
      </c>
      <c r="B375" s="6" t="s">
        <v>1378</v>
      </c>
      <c r="C375" s="6" t="str">
        <f t="shared" si="5"/>
        <v>S067 Wellington</v>
      </c>
      <c r="D375" s="6" t="s">
        <v>1379</v>
      </c>
      <c r="E375" s="6" t="s">
        <v>1121</v>
      </c>
      <c r="F375" s="6" t="s">
        <v>1366</v>
      </c>
      <c r="G375" s="6" t="s">
        <v>819</v>
      </c>
    </row>
    <row r="376" spans="1:7" x14ac:dyDescent="0.25">
      <c r="A376" s="6" t="s">
        <v>1380</v>
      </c>
      <c r="B376" s="6" t="s">
        <v>1381</v>
      </c>
      <c r="C376" s="6" t="str">
        <f t="shared" si="5"/>
        <v>S071 Christchurch</v>
      </c>
      <c r="D376" s="6" t="s">
        <v>1379</v>
      </c>
      <c r="E376" s="6" t="s">
        <v>1121</v>
      </c>
      <c r="F376" s="6" t="s">
        <v>1366</v>
      </c>
      <c r="G376" s="6" t="s">
        <v>819</v>
      </c>
    </row>
    <row r="377" spans="1:7" x14ac:dyDescent="0.25">
      <c r="A377" s="6" t="s">
        <v>1382</v>
      </c>
      <c r="B377" s="6" t="s">
        <v>1383</v>
      </c>
      <c r="C377" s="6" t="str">
        <f t="shared" si="5"/>
        <v>S075 New Plymouth</v>
      </c>
      <c r="D377" s="6" t="s">
        <v>1379</v>
      </c>
      <c r="E377" s="6" t="s">
        <v>1121</v>
      </c>
      <c r="F377" s="6" t="s">
        <v>1366</v>
      </c>
      <c r="G377" s="6" t="s">
        <v>819</v>
      </c>
    </row>
    <row r="378" spans="1:7" x14ac:dyDescent="0.25">
      <c r="A378" s="6" t="s">
        <v>1384</v>
      </c>
      <c r="B378" s="6" t="s">
        <v>1385</v>
      </c>
      <c r="C378" s="6" t="str">
        <f t="shared" si="5"/>
        <v>S083 Hastings</v>
      </c>
      <c r="D378" s="6" t="s">
        <v>1379</v>
      </c>
      <c r="E378" s="6" t="s">
        <v>1121</v>
      </c>
      <c r="F378" s="6" t="s">
        <v>1366</v>
      </c>
      <c r="G378" s="6" t="s">
        <v>819</v>
      </c>
    </row>
    <row r="379" spans="1:7" x14ac:dyDescent="0.25">
      <c r="A379" s="6" t="s">
        <v>1386</v>
      </c>
      <c r="B379" s="6" t="s">
        <v>1387</v>
      </c>
      <c r="C379" s="6" t="str">
        <f t="shared" si="5"/>
        <v>S085 Palmerston North</v>
      </c>
      <c r="D379" s="6" t="s">
        <v>1379</v>
      </c>
      <c r="E379" s="6" t="s">
        <v>1121</v>
      </c>
      <c r="F379" s="6" t="s">
        <v>1366</v>
      </c>
      <c r="G379" s="6" t="s">
        <v>819</v>
      </c>
    </row>
    <row r="380" spans="1:7" x14ac:dyDescent="0.25">
      <c r="A380" s="6" t="s">
        <v>1388</v>
      </c>
      <c r="B380" s="6" t="s">
        <v>1389</v>
      </c>
      <c r="C380" s="6" t="str">
        <f t="shared" si="5"/>
        <v>S087 Kapiti</v>
      </c>
      <c r="D380" s="6" t="s">
        <v>1379</v>
      </c>
      <c r="E380" s="6" t="s">
        <v>1121</v>
      </c>
      <c r="F380" s="6" t="s">
        <v>1366</v>
      </c>
      <c r="G380" s="6" t="s">
        <v>819</v>
      </c>
    </row>
    <row r="381" spans="1:7" x14ac:dyDescent="0.25">
      <c r="A381" s="6" t="s">
        <v>1390</v>
      </c>
      <c r="B381" s="6" t="s">
        <v>1391</v>
      </c>
      <c r="C381" s="6" t="str">
        <f t="shared" si="5"/>
        <v>S091 Dunedin</v>
      </c>
      <c r="D381" s="6" t="s">
        <v>1379</v>
      </c>
      <c r="E381" s="6" t="s">
        <v>1121</v>
      </c>
      <c r="F381" s="6" t="s">
        <v>1366</v>
      </c>
      <c r="G381" s="6" t="s">
        <v>819</v>
      </c>
    </row>
    <row r="382" spans="1:7" x14ac:dyDescent="0.25">
      <c r="A382" s="6" t="s">
        <v>1392</v>
      </c>
      <c r="B382" s="6" t="s">
        <v>1393</v>
      </c>
      <c r="C382" s="6" t="str">
        <f t="shared" si="5"/>
        <v>S093 Henderson</v>
      </c>
      <c r="D382" s="6" t="s">
        <v>1379</v>
      </c>
      <c r="E382" s="6" t="s">
        <v>1121</v>
      </c>
      <c r="F382" s="6" t="s">
        <v>1366</v>
      </c>
      <c r="G382" s="6" t="s">
        <v>819</v>
      </c>
    </row>
    <row r="383" spans="1:7" x14ac:dyDescent="0.25">
      <c r="A383" s="6" t="s">
        <v>1394</v>
      </c>
      <c r="B383" s="6" t="s">
        <v>1395</v>
      </c>
      <c r="C383" s="6" t="str">
        <f t="shared" si="5"/>
        <v>S095 Whangarei</v>
      </c>
      <c r="D383" s="6" t="s">
        <v>1379</v>
      </c>
      <c r="E383" s="6" t="s">
        <v>1121</v>
      </c>
      <c r="F383" s="6" t="s">
        <v>1366</v>
      </c>
      <c r="G383" s="6" t="s">
        <v>819</v>
      </c>
    </row>
    <row r="384" spans="1:7" x14ac:dyDescent="0.25">
      <c r="A384" s="6" t="s">
        <v>1396</v>
      </c>
      <c r="B384" s="6" t="s">
        <v>1397</v>
      </c>
      <c r="C384" s="6" t="str">
        <f t="shared" si="5"/>
        <v>S101 Nelson</v>
      </c>
      <c r="D384" s="6" t="s">
        <v>1379</v>
      </c>
      <c r="E384" s="6" t="s">
        <v>1121</v>
      </c>
      <c r="F384" s="6" t="s">
        <v>1366</v>
      </c>
      <c r="G384" s="6" t="s">
        <v>819</v>
      </c>
    </row>
    <row r="385" spans="1:7" x14ac:dyDescent="0.25">
      <c r="A385" s="6" t="s">
        <v>1398</v>
      </c>
      <c r="B385" s="6" t="s">
        <v>1399</v>
      </c>
      <c r="C385" s="6" t="str">
        <f t="shared" si="5"/>
        <v>S103 Invercargill</v>
      </c>
      <c r="D385" s="6" t="s">
        <v>1379</v>
      </c>
      <c r="E385" s="6" t="s">
        <v>1121</v>
      </c>
      <c r="F385" s="6" t="s">
        <v>1366</v>
      </c>
      <c r="G385" s="6" t="s">
        <v>819</v>
      </c>
    </row>
    <row r="386" spans="1:7" x14ac:dyDescent="0.25">
      <c r="A386" s="6" t="s">
        <v>1400</v>
      </c>
      <c r="B386" s="6" t="s">
        <v>1401</v>
      </c>
      <c r="C386" s="6" t="str">
        <f t="shared" si="5"/>
        <v>S130 North Harbour</v>
      </c>
      <c r="D386" s="6" t="s">
        <v>1379</v>
      </c>
      <c r="E386" s="6" t="s">
        <v>1121</v>
      </c>
      <c r="F386" s="6" t="s">
        <v>1366</v>
      </c>
      <c r="G386" s="6" t="s">
        <v>819</v>
      </c>
    </row>
    <row r="387" spans="1:7" x14ac:dyDescent="0.25">
      <c r="A387" s="6" t="s">
        <v>1402</v>
      </c>
      <c r="B387" s="6" t="s">
        <v>1403</v>
      </c>
      <c r="C387" s="6" t="str">
        <f t="shared" ref="C387:C429" si="6">A387&amp;" "&amp;B387</f>
        <v>S133 Manukau</v>
      </c>
      <c r="D387" s="6" t="s">
        <v>1379</v>
      </c>
      <c r="E387" s="6" t="s">
        <v>1121</v>
      </c>
      <c r="F387" s="6" t="s">
        <v>1366</v>
      </c>
      <c r="G387" s="6" t="s">
        <v>819</v>
      </c>
    </row>
    <row r="388" spans="1:7" x14ac:dyDescent="0.25">
      <c r="A388" s="6" t="s">
        <v>1404</v>
      </c>
      <c r="B388" s="6" t="s">
        <v>1405</v>
      </c>
      <c r="C388" s="6" t="str">
        <f t="shared" si="6"/>
        <v>S155 Queenstown</v>
      </c>
      <c r="D388" s="6" t="s">
        <v>1379</v>
      </c>
      <c r="E388" s="6" t="s">
        <v>1121</v>
      </c>
      <c r="F388" s="6" t="s">
        <v>1366</v>
      </c>
      <c r="G388" s="6" t="s">
        <v>819</v>
      </c>
    </row>
    <row r="389" spans="1:7" x14ac:dyDescent="0.25">
      <c r="A389" s="6" t="s">
        <v>1406</v>
      </c>
      <c r="B389" s="6" t="s">
        <v>1407</v>
      </c>
      <c r="C389" s="6" t="str">
        <f t="shared" si="6"/>
        <v>S203 Northwood</v>
      </c>
      <c r="D389" s="6" t="s">
        <v>1379</v>
      </c>
      <c r="E389" s="6" t="s">
        <v>1121</v>
      </c>
      <c r="F389" s="6" t="s">
        <v>1366</v>
      </c>
      <c r="G389" s="6" t="s">
        <v>819</v>
      </c>
    </row>
    <row r="390" spans="1:7" x14ac:dyDescent="0.25">
      <c r="A390" s="6" t="s">
        <v>1408</v>
      </c>
      <c r="B390" s="6" t="s">
        <v>1409</v>
      </c>
      <c r="C390" s="6" t="str">
        <f t="shared" si="6"/>
        <v>S941 Dress &amp; Sew - NZ SG</v>
      </c>
      <c r="D390" s="6" t="s">
        <v>1410</v>
      </c>
      <c r="E390" s="6" t="s">
        <v>1121</v>
      </c>
      <c r="F390" s="6" t="s">
        <v>1411</v>
      </c>
      <c r="G390" s="6" t="s">
        <v>1019</v>
      </c>
    </row>
    <row r="391" spans="1:7" x14ac:dyDescent="0.25">
      <c r="A391" s="6" t="s">
        <v>1412</v>
      </c>
      <c r="B391" s="6" t="s">
        <v>1413</v>
      </c>
      <c r="C391" s="6" t="str">
        <f t="shared" si="6"/>
        <v>S943 Craft/Yarn/Party - NZ SG</v>
      </c>
      <c r="D391" s="6" t="s">
        <v>1410</v>
      </c>
      <c r="E391" s="6" t="s">
        <v>1121</v>
      </c>
      <c r="F391" s="6" t="s">
        <v>1411</v>
      </c>
      <c r="G391" s="6" t="s">
        <v>1019</v>
      </c>
    </row>
    <row r="392" spans="1:7" x14ac:dyDescent="0.25">
      <c r="A392" s="6" t="s">
        <v>1414</v>
      </c>
      <c r="B392" s="6" t="s">
        <v>1415</v>
      </c>
      <c r="C392" s="6" t="str">
        <f t="shared" si="6"/>
        <v>S946 Manchester - NZ SG</v>
      </c>
      <c r="D392" s="6" t="s">
        <v>1410</v>
      </c>
      <c r="E392" s="6" t="s">
        <v>1121</v>
      </c>
      <c r="F392" s="6" t="s">
        <v>1411</v>
      </c>
      <c r="G392" s="6" t="s">
        <v>1019</v>
      </c>
    </row>
    <row r="393" spans="1:7" x14ac:dyDescent="0.25">
      <c r="A393" s="6" t="s">
        <v>1416</v>
      </c>
      <c r="B393" s="6" t="s">
        <v>1417</v>
      </c>
      <c r="C393" s="6" t="str">
        <f t="shared" si="6"/>
        <v>S947 Home Decor - NZ SG</v>
      </c>
      <c r="D393" s="6" t="s">
        <v>1410</v>
      </c>
      <c r="E393" s="6" t="s">
        <v>1121</v>
      </c>
      <c r="F393" s="6" t="s">
        <v>1411</v>
      </c>
      <c r="G393" s="6" t="s">
        <v>1019</v>
      </c>
    </row>
    <row r="394" spans="1:7" x14ac:dyDescent="0.25">
      <c r="A394" s="6" t="s">
        <v>1418</v>
      </c>
      <c r="B394" s="6" t="s">
        <v>1419</v>
      </c>
      <c r="C394" s="6" t="str">
        <f t="shared" si="6"/>
        <v>S949 Furnishings - NZ SG</v>
      </c>
      <c r="D394" s="6" t="s">
        <v>1410</v>
      </c>
      <c r="E394" s="6" t="s">
        <v>1121</v>
      </c>
      <c r="F394" s="6" t="s">
        <v>1411</v>
      </c>
      <c r="G394" s="6" t="s">
        <v>1019</v>
      </c>
    </row>
    <row r="395" spans="1:7" x14ac:dyDescent="0.25">
      <c r="A395" s="6" t="s">
        <v>1420</v>
      </c>
      <c r="B395" s="6" t="s">
        <v>1421</v>
      </c>
      <c r="C395" s="6" t="str">
        <f t="shared" si="6"/>
        <v>S948 Operations - NZ SG</v>
      </c>
      <c r="D395" s="6" t="s">
        <v>1422</v>
      </c>
      <c r="E395" s="6" t="s">
        <v>1121</v>
      </c>
      <c r="F395" s="6" t="s">
        <v>1411</v>
      </c>
      <c r="G395" s="6" t="s">
        <v>1019</v>
      </c>
    </row>
    <row r="396" spans="1:7" x14ac:dyDescent="0.25">
      <c r="A396" s="6" t="s">
        <v>1423</v>
      </c>
      <c r="B396" s="6" t="s">
        <v>1424</v>
      </c>
      <c r="C396" s="6" t="str">
        <f t="shared" si="6"/>
        <v>S930 NZ Support Group</v>
      </c>
      <c r="D396" s="6" t="s">
        <v>1425</v>
      </c>
      <c r="E396" s="6" t="s">
        <v>1121</v>
      </c>
      <c r="F396" s="6" t="s">
        <v>1411</v>
      </c>
      <c r="G396" s="6" t="s">
        <v>1019</v>
      </c>
    </row>
    <row r="397" spans="1:7" x14ac:dyDescent="0.25">
      <c r="A397" s="6" t="s">
        <v>1426</v>
      </c>
      <c r="B397" s="6" t="s">
        <v>1427</v>
      </c>
      <c r="C397" s="6" t="str">
        <f t="shared" si="6"/>
        <v>S931 CMF - NZ Support Group</v>
      </c>
      <c r="D397" s="6" t="s">
        <v>1425</v>
      </c>
      <c r="E397" s="6" t="s">
        <v>1121</v>
      </c>
      <c r="F397" s="6" t="s">
        <v>1411</v>
      </c>
      <c r="G397" s="6" t="s">
        <v>1019</v>
      </c>
    </row>
    <row r="398" spans="1:7" x14ac:dyDescent="0.25">
      <c r="A398" s="6" t="s">
        <v>1428</v>
      </c>
      <c r="B398" s="6" t="s">
        <v>1429</v>
      </c>
      <c r="C398" s="6" t="str">
        <f t="shared" si="6"/>
        <v>S934 HR-NZ Support Group(SRG)</v>
      </c>
      <c r="D398" s="6" t="s">
        <v>1425</v>
      </c>
      <c r="E398" s="6" t="s">
        <v>1121</v>
      </c>
      <c r="F398" s="6" t="s">
        <v>1411</v>
      </c>
      <c r="G398" s="6" t="s">
        <v>1019</v>
      </c>
    </row>
    <row r="399" spans="1:7" x14ac:dyDescent="0.25">
      <c r="A399" s="6" t="s">
        <v>1430</v>
      </c>
      <c r="B399" s="6" t="s">
        <v>1431</v>
      </c>
      <c r="C399" s="6" t="str">
        <f t="shared" si="6"/>
        <v>S901 Merchandise</v>
      </c>
      <c r="D399" s="6" t="s">
        <v>1432</v>
      </c>
      <c r="E399" s="6" t="s">
        <v>817</v>
      </c>
      <c r="F399" s="6" t="s">
        <v>1433</v>
      </c>
      <c r="G399" s="6" t="s">
        <v>1019</v>
      </c>
    </row>
    <row r="400" spans="1:7" x14ac:dyDescent="0.25">
      <c r="A400" s="6" t="s">
        <v>1434</v>
      </c>
      <c r="B400" s="6" t="s">
        <v>1435</v>
      </c>
      <c r="C400" s="6" t="str">
        <f t="shared" si="6"/>
        <v>S911 Sewing Centre</v>
      </c>
      <c r="D400" s="6" t="s">
        <v>1432</v>
      </c>
      <c r="E400" s="6" t="s">
        <v>817</v>
      </c>
      <c r="F400" s="6" t="s">
        <v>1433</v>
      </c>
      <c r="G400" s="6" t="s">
        <v>1019</v>
      </c>
    </row>
    <row r="401" spans="1:7" x14ac:dyDescent="0.25">
      <c r="A401" s="6" t="s">
        <v>1436</v>
      </c>
      <c r="B401" s="6" t="s">
        <v>1437</v>
      </c>
      <c r="C401" s="6" t="str">
        <f t="shared" si="6"/>
        <v>S912 DRESS FABRICS</v>
      </c>
      <c r="D401" s="6" t="s">
        <v>1432</v>
      </c>
      <c r="E401" s="6" t="s">
        <v>817</v>
      </c>
      <c r="F401" s="6" t="s">
        <v>1433</v>
      </c>
      <c r="G401" s="6" t="s">
        <v>1019</v>
      </c>
    </row>
    <row r="402" spans="1:7" x14ac:dyDescent="0.25">
      <c r="A402" s="6" t="s">
        <v>1438</v>
      </c>
      <c r="B402" s="6" t="s">
        <v>1439</v>
      </c>
      <c r="C402" s="6" t="str">
        <f t="shared" si="6"/>
        <v>S913 Craft &amp; Yarn</v>
      </c>
      <c r="D402" s="6" t="s">
        <v>1432</v>
      </c>
      <c r="E402" s="6" t="s">
        <v>817</v>
      </c>
      <c r="F402" s="6" t="s">
        <v>1433</v>
      </c>
      <c r="G402" s="6" t="s">
        <v>1019</v>
      </c>
    </row>
    <row r="403" spans="1:7" x14ac:dyDescent="0.25">
      <c r="A403" s="6" t="s">
        <v>1440</v>
      </c>
      <c r="B403" s="6" t="s">
        <v>1441</v>
      </c>
      <c r="C403" s="6" t="str">
        <f t="shared" si="6"/>
        <v>S914 SPARTYS</v>
      </c>
      <c r="D403" s="6" t="s">
        <v>1432</v>
      </c>
      <c r="E403" s="6" t="s">
        <v>817</v>
      </c>
      <c r="F403" s="6" t="s">
        <v>1433</v>
      </c>
      <c r="G403" s="6" t="s">
        <v>1019</v>
      </c>
    </row>
    <row r="404" spans="1:7" x14ac:dyDescent="0.25">
      <c r="A404" s="6" t="s">
        <v>1442</v>
      </c>
      <c r="B404" s="6" t="s">
        <v>1443</v>
      </c>
      <c r="C404" s="6" t="str">
        <f t="shared" si="6"/>
        <v>S915 Furnishings</v>
      </c>
      <c r="D404" s="6" t="s">
        <v>1432</v>
      </c>
      <c r="E404" s="6" t="s">
        <v>817</v>
      </c>
      <c r="F404" s="6" t="s">
        <v>1433</v>
      </c>
      <c r="G404" s="6" t="s">
        <v>1019</v>
      </c>
    </row>
    <row r="405" spans="1:7" x14ac:dyDescent="0.25">
      <c r="A405" s="6" t="s">
        <v>1444</v>
      </c>
      <c r="B405" s="6" t="s">
        <v>1445</v>
      </c>
      <c r="C405" s="6" t="str">
        <f t="shared" si="6"/>
        <v>S916 Manchester</v>
      </c>
      <c r="D405" s="6" t="s">
        <v>1432</v>
      </c>
      <c r="E405" s="6" t="s">
        <v>817</v>
      </c>
      <c r="F405" s="6" t="s">
        <v>1433</v>
      </c>
      <c r="G405" s="6" t="s">
        <v>1019</v>
      </c>
    </row>
    <row r="406" spans="1:7" x14ac:dyDescent="0.25">
      <c r="A406" s="6" t="s">
        <v>1446</v>
      </c>
      <c r="B406" s="6" t="s">
        <v>1447</v>
      </c>
      <c r="C406" s="6" t="str">
        <f t="shared" si="6"/>
        <v>S917 HOME DECOR</v>
      </c>
      <c r="D406" s="6" t="s">
        <v>1432</v>
      </c>
      <c r="E406" s="6" t="s">
        <v>817</v>
      </c>
      <c r="F406" s="6" t="s">
        <v>1433</v>
      </c>
      <c r="G406" s="6" t="s">
        <v>1019</v>
      </c>
    </row>
    <row r="407" spans="1:7" x14ac:dyDescent="0.25">
      <c r="A407" s="6" t="s">
        <v>1448</v>
      </c>
      <c r="B407" s="6" t="s">
        <v>1449</v>
      </c>
      <c r="C407" s="6" t="str">
        <f t="shared" si="6"/>
        <v>S918 CRAFT PARTY</v>
      </c>
      <c r="D407" s="6" t="s">
        <v>1432</v>
      </c>
      <c r="E407" s="6" t="s">
        <v>817</v>
      </c>
      <c r="F407" s="6" t="s">
        <v>1433</v>
      </c>
      <c r="G407" s="6" t="s">
        <v>1019</v>
      </c>
    </row>
    <row r="408" spans="1:7" x14ac:dyDescent="0.25">
      <c r="A408" s="6" t="s">
        <v>1450</v>
      </c>
      <c r="B408" s="6" t="s">
        <v>1451</v>
      </c>
      <c r="C408" s="6" t="str">
        <f t="shared" si="6"/>
        <v>S921 Custom Made</v>
      </c>
      <c r="D408" s="6" t="s">
        <v>1432</v>
      </c>
      <c r="E408" s="6" t="s">
        <v>817</v>
      </c>
      <c r="F408" s="6" t="s">
        <v>1433</v>
      </c>
      <c r="G408" s="6" t="s">
        <v>1019</v>
      </c>
    </row>
    <row r="409" spans="1:7" x14ac:dyDescent="0.25">
      <c r="A409" s="6" t="s">
        <v>1452</v>
      </c>
      <c r="B409" s="6" t="s">
        <v>1451</v>
      </c>
      <c r="C409" s="6" t="str">
        <f t="shared" si="6"/>
        <v>S922 Custom Made</v>
      </c>
      <c r="D409" s="6" t="s">
        <v>1432</v>
      </c>
      <c r="E409" s="6" t="s">
        <v>817</v>
      </c>
      <c r="F409" s="6" t="s">
        <v>1433</v>
      </c>
      <c r="G409" s="6" t="s">
        <v>1019</v>
      </c>
    </row>
    <row r="410" spans="1:7" x14ac:dyDescent="0.25">
      <c r="A410" s="6" t="s">
        <v>1453</v>
      </c>
      <c r="B410" s="6" t="s">
        <v>1454</v>
      </c>
      <c r="C410" s="6" t="str">
        <f t="shared" si="6"/>
        <v>S993 Koo</v>
      </c>
      <c r="D410" s="6" t="s">
        <v>1432</v>
      </c>
      <c r="E410" s="6" t="s">
        <v>817</v>
      </c>
      <c r="F410" s="6" t="s">
        <v>1433</v>
      </c>
      <c r="G410" s="6" t="s">
        <v>1019</v>
      </c>
    </row>
    <row r="411" spans="1:7" x14ac:dyDescent="0.25">
      <c r="A411" s="6" t="s">
        <v>1455</v>
      </c>
      <c r="B411" s="6" t="s">
        <v>1456</v>
      </c>
      <c r="C411" s="6" t="str">
        <f t="shared" si="6"/>
        <v>S908 Retail operations</v>
      </c>
      <c r="D411" s="6" t="s">
        <v>1457</v>
      </c>
      <c r="E411" s="6" t="s">
        <v>817</v>
      </c>
      <c r="F411" s="6" t="s">
        <v>1433</v>
      </c>
      <c r="G411" s="6" t="s">
        <v>1019</v>
      </c>
    </row>
    <row r="412" spans="1:7" x14ac:dyDescent="0.25">
      <c r="A412" s="6" t="s">
        <v>1458</v>
      </c>
      <c r="B412" s="6" t="s">
        <v>1459</v>
      </c>
      <c r="C412" s="6" t="str">
        <f t="shared" si="6"/>
        <v>S923 CM CustomerService Centre</v>
      </c>
      <c r="D412" s="6" t="s">
        <v>1457</v>
      </c>
      <c r="E412" s="6" t="s">
        <v>817</v>
      </c>
      <c r="F412" s="6" t="s">
        <v>1433</v>
      </c>
      <c r="G412" s="6" t="s">
        <v>1019</v>
      </c>
    </row>
    <row r="413" spans="1:7" x14ac:dyDescent="0.25">
      <c r="A413" s="6" t="s">
        <v>1460</v>
      </c>
      <c r="B413" s="6" t="s">
        <v>1461</v>
      </c>
      <c r="C413" s="6" t="str">
        <f t="shared" si="6"/>
        <v>S924 CM RELIEF CONSULTANTS</v>
      </c>
      <c r="D413" s="6" t="s">
        <v>1457</v>
      </c>
      <c r="E413" s="6" t="s">
        <v>817</v>
      </c>
      <c r="F413" s="6" t="s">
        <v>1433</v>
      </c>
      <c r="G413" s="6" t="s">
        <v>1019</v>
      </c>
    </row>
    <row r="414" spans="1:7" x14ac:dyDescent="0.25">
      <c r="A414" s="6" t="s">
        <v>1462</v>
      </c>
      <c r="B414" s="7" t="s">
        <v>1433</v>
      </c>
      <c r="C414" s="6" t="str">
        <f t="shared" si="6"/>
        <v>S900 Spotlight SG</v>
      </c>
      <c r="D414" s="6" t="s">
        <v>1463</v>
      </c>
      <c r="E414" s="7" t="s">
        <v>817</v>
      </c>
      <c r="F414" s="7" t="s">
        <v>1433</v>
      </c>
      <c r="G414" s="7" t="s">
        <v>1019</v>
      </c>
    </row>
    <row r="415" spans="1:7" x14ac:dyDescent="0.25">
      <c r="A415" s="6" t="s">
        <v>1464</v>
      </c>
      <c r="B415" s="6" t="s">
        <v>1598</v>
      </c>
      <c r="C415" s="6" t="str">
        <f t="shared" si="6"/>
        <v>S925 Talent &amp; Leadership</v>
      </c>
      <c r="D415" s="6" t="s">
        <v>1463</v>
      </c>
      <c r="E415" s="6" t="s">
        <v>817</v>
      </c>
      <c r="F415" s="6" t="s">
        <v>1433</v>
      </c>
      <c r="G415" s="6" t="s">
        <v>1019</v>
      </c>
    </row>
    <row r="416" spans="1:7" x14ac:dyDescent="0.25">
      <c r="A416" s="6" t="s">
        <v>1465</v>
      </c>
      <c r="B416" s="6" t="s">
        <v>1466</v>
      </c>
      <c r="C416" s="6" t="str">
        <f t="shared" si="6"/>
        <v>S929 CAMPAIGN PRODUCTION</v>
      </c>
      <c r="D416" s="6" t="s">
        <v>1463</v>
      </c>
      <c r="E416" s="6" t="s">
        <v>817</v>
      </c>
      <c r="F416" s="6" t="s">
        <v>1433</v>
      </c>
      <c r="G416" s="6" t="s">
        <v>1019</v>
      </c>
    </row>
    <row r="417" spans="1:7" x14ac:dyDescent="0.25">
      <c r="A417" s="6" t="s">
        <v>1467</v>
      </c>
      <c r="B417" s="6" t="s">
        <v>1468</v>
      </c>
      <c r="C417" s="6" t="str">
        <f t="shared" si="6"/>
        <v>S990 Spotlight Operations</v>
      </c>
      <c r="D417" s="6" t="s">
        <v>1463</v>
      </c>
      <c r="E417" s="6" t="s">
        <v>817</v>
      </c>
      <c r="F417" s="6" t="s">
        <v>1433</v>
      </c>
      <c r="G417" s="6" t="s">
        <v>1019</v>
      </c>
    </row>
    <row r="418" spans="1:7" x14ac:dyDescent="0.25">
      <c r="A418" s="6" t="s">
        <v>1469</v>
      </c>
      <c r="B418" s="6" t="s">
        <v>1470</v>
      </c>
      <c r="C418" s="6" t="str">
        <f t="shared" si="6"/>
        <v>S992 Spotlight Design</v>
      </c>
      <c r="D418" s="6" t="s">
        <v>1463</v>
      </c>
      <c r="E418" s="6" t="s">
        <v>817</v>
      </c>
      <c r="F418" s="6" t="s">
        <v>1433</v>
      </c>
      <c r="G418" s="6" t="s">
        <v>1019</v>
      </c>
    </row>
    <row r="419" spans="1:7" x14ac:dyDescent="0.25">
      <c r="A419" s="6" t="s">
        <v>1471</v>
      </c>
      <c r="B419" s="6" t="s">
        <v>1472</v>
      </c>
      <c r="C419" s="6" t="str">
        <f t="shared" si="6"/>
        <v>S059 Plaza Singapura</v>
      </c>
      <c r="D419" s="6" t="s">
        <v>1353</v>
      </c>
      <c r="E419" s="6" t="s">
        <v>1473</v>
      </c>
      <c r="F419" s="6" t="s">
        <v>1474</v>
      </c>
      <c r="G419" s="6" t="s">
        <v>819</v>
      </c>
    </row>
    <row r="420" spans="1:7" x14ac:dyDescent="0.25">
      <c r="A420" s="6" t="s">
        <v>1475</v>
      </c>
      <c r="B420" s="6" t="s">
        <v>1476</v>
      </c>
      <c r="C420" s="6" t="str">
        <f t="shared" si="6"/>
        <v>S156 Westgate Singapore</v>
      </c>
      <c r="D420" s="6" t="s">
        <v>1353</v>
      </c>
      <c r="E420" s="6" t="s">
        <v>1473</v>
      </c>
      <c r="F420" s="6" t="s">
        <v>1474</v>
      </c>
      <c r="G420" s="6" t="s">
        <v>819</v>
      </c>
    </row>
    <row r="421" spans="1:7" x14ac:dyDescent="0.25">
      <c r="A421" s="6">
        <v>2050</v>
      </c>
      <c r="B421" s="6" t="s">
        <v>1477</v>
      </c>
      <c r="C421" s="6" t="str">
        <f t="shared" si="6"/>
        <v>2050 Laverton Dark Site</v>
      </c>
      <c r="D421" s="6" t="s">
        <v>1478</v>
      </c>
      <c r="E421" s="6" t="s">
        <v>817</v>
      </c>
      <c r="F421" s="6" t="s">
        <v>1478</v>
      </c>
      <c r="G421" s="6" t="s">
        <v>1479</v>
      </c>
    </row>
    <row r="422" spans="1:7" x14ac:dyDescent="0.25">
      <c r="A422" s="6">
        <v>2057</v>
      </c>
      <c r="B422" s="6" t="s">
        <v>1478</v>
      </c>
      <c r="C422" s="6" t="str">
        <f t="shared" si="6"/>
        <v>2057 Supply Chain</v>
      </c>
      <c r="D422" s="6" t="s">
        <v>1478</v>
      </c>
      <c r="E422" s="6" t="s">
        <v>817</v>
      </c>
      <c r="F422" s="6" t="s">
        <v>1478</v>
      </c>
      <c r="G422" s="6" t="s">
        <v>1479</v>
      </c>
    </row>
    <row r="423" spans="1:7" x14ac:dyDescent="0.25">
      <c r="A423" s="6">
        <v>9548</v>
      </c>
      <c r="B423" s="6" t="s">
        <v>1480</v>
      </c>
      <c r="C423" s="6" t="str">
        <f t="shared" si="6"/>
        <v>9548 SUPPLY CHAIN</v>
      </c>
      <c r="D423" s="6" t="s">
        <v>1478</v>
      </c>
      <c r="E423" s="6" t="s">
        <v>817</v>
      </c>
      <c r="F423" s="6" t="s">
        <v>1478</v>
      </c>
      <c r="G423" s="6" t="s">
        <v>1479</v>
      </c>
    </row>
    <row r="424" spans="1:7" x14ac:dyDescent="0.25">
      <c r="A424" s="6" t="s">
        <v>1481</v>
      </c>
      <c r="B424" s="7" t="s">
        <v>1482</v>
      </c>
      <c r="C424" s="6" t="str">
        <f t="shared" si="6"/>
        <v>S810 Anaconda DC</v>
      </c>
      <c r="D424" s="8" t="s">
        <v>1478</v>
      </c>
      <c r="E424" s="7" t="s">
        <v>817</v>
      </c>
      <c r="F424" s="6" t="s">
        <v>1478</v>
      </c>
      <c r="G424" s="7" t="s">
        <v>1479</v>
      </c>
    </row>
    <row r="425" spans="1:7" x14ac:dyDescent="0.25">
      <c r="A425" s="6" t="s">
        <v>1483</v>
      </c>
      <c r="B425" s="7" t="s">
        <v>1484</v>
      </c>
      <c r="C425" s="6" t="str">
        <f t="shared" si="6"/>
        <v>S811 Spotlight DC</v>
      </c>
      <c r="D425" s="8" t="s">
        <v>1478</v>
      </c>
      <c r="E425" s="7" t="s">
        <v>817</v>
      </c>
      <c r="F425" s="6" t="s">
        <v>1478</v>
      </c>
      <c r="G425" s="7" t="s">
        <v>1479</v>
      </c>
    </row>
    <row r="426" spans="1:7" x14ac:dyDescent="0.25">
      <c r="A426" s="6" t="s">
        <v>1485</v>
      </c>
      <c r="B426" s="7" t="s">
        <v>1486</v>
      </c>
      <c r="C426" s="6" t="str">
        <f t="shared" si="6"/>
        <v>S812 Harris Scarfe DC</v>
      </c>
      <c r="D426" s="8" t="s">
        <v>1478</v>
      </c>
      <c r="E426" s="7" t="s">
        <v>817</v>
      </c>
      <c r="F426" s="6" t="s">
        <v>1478</v>
      </c>
      <c r="G426" s="7" t="s">
        <v>1479</v>
      </c>
    </row>
    <row r="427" spans="1:7" x14ac:dyDescent="0.25">
      <c r="A427" s="6" t="s">
        <v>1487</v>
      </c>
      <c r="B427" s="7" t="s">
        <v>1488</v>
      </c>
      <c r="C427" s="6" t="str">
        <f t="shared" si="6"/>
        <v>S813 Koo Dark Store</v>
      </c>
      <c r="D427" s="8" t="s">
        <v>1478</v>
      </c>
      <c r="E427" s="7" t="s">
        <v>817</v>
      </c>
      <c r="F427" s="6" t="s">
        <v>1478</v>
      </c>
      <c r="G427" s="7" t="s">
        <v>1479</v>
      </c>
    </row>
    <row r="428" spans="1:7" x14ac:dyDescent="0.25">
      <c r="A428" s="6" t="s">
        <v>1489</v>
      </c>
      <c r="B428" s="7" t="s">
        <v>1490</v>
      </c>
      <c r="C428" s="6" t="str">
        <f t="shared" si="6"/>
        <v>S814 Harris Scarfe Dark Store</v>
      </c>
      <c r="D428" s="8" t="s">
        <v>1478</v>
      </c>
      <c r="E428" s="7" t="s">
        <v>817</v>
      </c>
      <c r="F428" s="6" t="s">
        <v>1478</v>
      </c>
      <c r="G428" s="7" t="s">
        <v>1479</v>
      </c>
    </row>
    <row r="429" spans="1:7" x14ac:dyDescent="0.25">
      <c r="A429" s="6" t="s">
        <v>1491</v>
      </c>
      <c r="B429" s="6" t="s">
        <v>1478</v>
      </c>
      <c r="C429" s="6" t="str">
        <f t="shared" si="6"/>
        <v>S910 Supply Chain</v>
      </c>
      <c r="D429" s="6" t="s">
        <v>1478</v>
      </c>
      <c r="E429" s="6" t="s">
        <v>817</v>
      </c>
      <c r="F429" s="6" t="s">
        <v>1478</v>
      </c>
      <c r="G429" s="6" t="s">
        <v>1479</v>
      </c>
    </row>
    <row r="430" spans="1:7" x14ac:dyDescent="0.25">
      <c r="C430" t="s">
        <v>327</v>
      </c>
      <c r="D430" s="11" t="s">
        <v>1346</v>
      </c>
      <c r="E430" s="6" t="s">
        <v>817</v>
      </c>
      <c r="F430" s="10" t="s">
        <v>1342</v>
      </c>
      <c r="G430" s="14" t="s">
        <v>1019</v>
      </c>
    </row>
    <row r="431" spans="1:7" x14ac:dyDescent="0.25">
      <c r="C431" t="s">
        <v>471</v>
      </c>
      <c r="D431" s="11" t="s">
        <v>1346</v>
      </c>
      <c r="E431" s="6" t="s">
        <v>817</v>
      </c>
      <c r="F431" s="10" t="s">
        <v>1342</v>
      </c>
      <c r="G431" s="14" t="s">
        <v>1019</v>
      </c>
    </row>
    <row r="432" spans="1:7" x14ac:dyDescent="0.25">
      <c r="C432" t="s">
        <v>149</v>
      </c>
      <c r="D432" s="11" t="s">
        <v>1346</v>
      </c>
      <c r="E432" s="6" t="s">
        <v>817</v>
      </c>
      <c r="F432" s="10" t="s">
        <v>1342</v>
      </c>
      <c r="G432" s="14" t="s">
        <v>1019</v>
      </c>
    </row>
    <row r="433" spans="3:7" x14ac:dyDescent="0.25">
      <c r="C433" t="s">
        <v>570</v>
      </c>
      <c r="D433" s="11" t="s">
        <v>1346</v>
      </c>
      <c r="E433" s="6" t="s">
        <v>817</v>
      </c>
      <c r="F433" s="10" t="s">
        <v>1342</v>
      </c>
      <c r="G433" s="14" t="s">
        <v>1019</v>
      </c>
    </row>
  </sheetData>
  <autoFilter ref="A1:G429" xr:uid="{4577E2CB-DB55-4014-A6EF-F3C411D1DBF9}">
    <sortState xmlns:xlrd2="http://schemas.microsoft.com/office/spreadsheetml/2017/richdata2" ref="A2:G429">
      <sortCondition ref="F1:F425"/>
    </sortState>
  </autoFilter>
  <conditionalFormatting sqref="A61">
    <cfRule type="duplicateValues" dxfId="19" priority="5"/>
    <cfRule type="duplicateValues" dxfId="18" priority="6"/>
  </conditionalFormatting>
  <conditionalFormatting sqref="A85">
    <cfRule type="duplicateValues" dxfId="17" priority="1"/>
    <cfRule type="duplicateValues" dxfId="16" priority="2"/>
  </conditionalFormatting>
  <conditionalFormatting sqref="A87">
    <cfRule type="duplicateValues" dxfId="15" priority="15"/>
    <cfRule type="duplicateValues" dxfId="14" priority="16"/>
  </conditionalFormatting>
  <conditionalFormatting sqref="A91">
    <cfRule type="duplicateValues" dxfId="13" priority="17"/>
    <cfRule type="duplicateValues" dxfId="12" priority="18"/>
  </conditionalFormatting>
  <conditionalFormatting sqref="A95">
    <cfRule type="duplicateValues" dxfId="11" priority="19"/>
    <cfRule type="duplicateValues" dxfId="10" priority="20"/>
  </conditionalFormatting>
  <conditionalFormatting sqref="A114">
    <cfRule type="duplicateValues" dxfId="9" priority="9"/>
    <cfRule type="duplicateValues" dxfId="8" priority="10"/>
  </conditionalFormatting>
  <conditionalFormatting sqref="A238">
    <cfRule type="duplicateValues" dxfId="7" priority="13"/>
    <cfRule type="duplicateValues" dxfId="6" priority="14"/>
  </conditionalFormatting>
  <conditionalFormatting sqref="A239">
    <cfRule type="duplicateValues" dxfId="5" priority="11"/>
    <cfRule type="duplicateValues" dxfId="4" priority="12"/>
  </conditionalFormatting>
  <conditionalFormatting sqref="A240:A255 A96:A113 A92:A94 A88:A90 A31:A60 A62:A84 A262:A1048576 A1:A25 A115:A237 A86">
    <cfRule type="duplicateValues" dxfId="3" priority="25"/>
    <cfRule type="duplicateValues" dxfId="2" priority="26"/>
  </conditionalFormatting>
  <conditionalFormatting sqref="A256:A261">
    <cfRule type="duplicateValues" dxfId="1" priority="23"/>
    <cfRule type="duplicateValues" dxfId="0" priority="2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305C-F32C-4AAC-8006-7F14093204CD}">
  <sheetPr>
    <tabColor theme="6"/>
  </sheetPr>
  <dimension ref="A1:J419"/>
  <sheetViews>
    <sheetView workbookViewId="0">
      <selection activeCell="Q23" sqref="Q23"/>
    </sheetView>
  </sheetViews>
  <sheetFormatPr defaultRowHeight="15" x14ac:dyDescent="0.25"/>
  <cols>
    <col min="1" max="2" width="13.140625" style="2" customWidth="1"/>
    <col min="3" max="6" width="11.85546875" style="3" customWidth="1"/>
    <col min="7" max="7" width="21.7109375" style="3" customWidth="1"/>
    <col min="8" max="8" width="26.28515625" style="3" bestFit="1" customWidth="1"/>
    <col min="9" max="9" width="26.28515625" style="3" customWidth="1"/>
    <col min="10" max="10" width="19.85546875" style="3" customWidth="1"/>
  </cols>
  <sheetData>
    <row r="1" spans="1:10" x14ac:dyDescent="0.25">
      <c r="A1" s="2" t="s">
        <v>725</v>
      </c>
      <c r="B1" s="2" t="s">
        <v>726</v>
      </c>
      <c r="C1" s="3" t="s">
        <v>727</v>
      </c>
      <c r="D1" s="3" t="s">
        <v>728</v>
      </c>
      <c r="E1" s="3" t="s">
        <v>729</v>
      </c>
      <c r="F1" s="3" t="s">
        <v>730</v>
      </c>
      <c r="G1" s="3" t="s">
        <v>731</v>
      </c>
      <c r="H1" s="3" t="s">
        <v>732</v>
      </c>
      <c r="I1" s="3" t="s">
        <v>733</v>
      </c>
      <c r="J1" s="3" t="s">
        <v>734</v>
      </c>
    </row>
    <row r="2" spans="1:10" x14ac:dyDescent="0.25">
      <c r="A2" s="2">
        <v>43276</v>
      </c>
      <c r="B2" s="2">
        <f>A2+6</f>
        <v>43282</v>
      </c>
      <c r="C2" s="3" t="s">
        <v>735</v>
      </c>
      <c r="D2" s="3" t="s">
        <v>736</v>
      </c>
      <c r="E2" s="3">
        <v>1</v>
      </c>
      <c r="F2" s="3" t="s">
        <v>737</v>
      </c>
      <c r="G2" s="3" t="str">
        <f>Table13[[#This Row],[Month]]&amp;", "&amp;Table13[[#This Row],[FY]]</f>
        <v>JUL, FY19</v>
      </c>
      <c r="H2" s="3" t="str">
        <f>Table13[[#This Row],[Week]]&amp;", "&amp;Table13[[#This Row],[Month]]&amp;" "&amp;Table13[[#This Row],[FY]]</f>
        <v>Week 1, JUL FY19</v>
      </c>
      <c r="I2" s="3" t="str">
        <f>Table13[[#This Row],[Month]]&amp;", "&amp;Table13[[#This Row],[FY]]</f>
        <v>JUL, FY19</v>
      </c>
      <c r="J2" s="3" t="str">
        <f>"Q"&amp;Table13[[#This Row],[QTR]]&amp;", "&amp;Table13[[#This Row],[FY]]</f>
        <v>Q1, FY19</v>
      </c>
    </row>
    <row r="3" spans="1:10" x14ac:dyDescent="0.25">
      <c r="A3" s="2">
        <f t="shared" ref="A3:B18" si="0">A2+7</f>
        <v>43283</v>
      </c>
      <c r="B3" s="2">
        <f t="shared" si="0"/>
        <v>43289</v>
      </c>
      <c r="C3" s="3" t="s">
        <v>738</v>
      </c>
      <c r="D3" s="3" t="s">
        <v>736</v>
      </c>
      <c r="E3" s="3">
        <v>1</v>
      </c>
      <c r="F3" s="3" t="s">
        <v>737</v>
      </c>
      <c r="G3" s="3" t="str">
        <f>Table13[[#This Row],[Month]]&amp;", "&amp;Table13[[#This Row],[FY]]</f>
        <v>JUL, FY19</v>
      </c>
      <c r="H3" s="3" t="str">
        <f>Table13[[#This Row],[Week]]&amp;", "&amp;Table13[[#This Row],[Month]]&amp;" "&amp;Table13[[#This Row],[FY]]</f>
        <v>Week 2, JUL FY19</v>
      </c>
      <c r="I3" s="3" t="str">
        <f>Table13[[#This Row],[Month]]&amp;", "&amp;Table13[[#This Row],[FY]]</f>
        <v>JUL, FY19</v>
      </c>
      <c r="J3" s="3" t="str">
        <f>"Q"&amp;Table13[[#This Row],[QTR]]&amp;", "&amp;Table13[[#This Row],[FY]]</f>
        <v>Q1, FY19</v>
      </c>
    </row>
    <row r="4" spans="1:10" x14ac:dyDescent="0.25">
      <c r="A4" s="2">
        <f t="shared" si="0"/>
        <v>43290</v>
      </c>
      <c r="B4" s="2">
        <f t="shared" si="0"/>
        <v>43296</v>
      </c>
      <c r="C4" s="3" t="s">
        <v>739</v>
      </c>
      <c r="D4" s="3" t="s">
        <v>736</v>
      </c>
      <c r="E4" s="3">
        <v>1</v>
      </c>
      <c r="F4" s="3" t="s">
        <v>737</v>
      </c>
      <c r="G4" s="3" t="str">
        <f>Table13[[#This Row],[Month]]&amp;", "&amp;Table13[[#This Row],[FY]]</f>
        <v>JUL, FY19</v>
      </c>
      <c r="H4" s="3" t="str">
        <f>Table13[[#This Row],[Week]]&amp;", "&amp;Table13[[#This Row],[Month]]&amp;" "&amp;Table13[[#This Row],[FY]]</f>
        <v>Week 3, JUL FY19</v>
      </c>
      <c r="I4" s="3" t="str">
        <f>Table13[[#This Row],[Month]]&amp;", "&amp;Table13[[#This Row],[FY]]</f>
        <v>JUL, FY19</v>
      </c>
      <c r="J4" s="3" t="str">
        <f>"Q"&amp;Table13[[#This Row],[QTR]]&amp;", "&amp;Table13[[#This Row],[FY]]</f>
        <v>Q1, FY19</v>
      </c>
    </row>
    <row r="5" spans="1:10" x14ac:dyDescent="0.25">
      <c r="A5" s="2">
        <f t="shared" si="0"/>
        <v>43297</v>
      </c>
      <c r="B5" s="2">
        <f t="shared" si="0"/>
        <v>43303</v>
      </c>
      <c r="C5" s="3" t="s">
        <v>740</v>
      </c>
      <c r="D5" s="3" t="s">
        <v>736</v>
      </c>
      <c r="E5" s="3">
        <v>1</v>
      </c>
      <c r="F5" s="3" t="s">
        <v>737</v>
      </c>
      <c r="G5" s="3" t="str">
        <f>Table13[[#This Row],[Month]]&amp;", "&amp;Table13[[#This Row],[FY]]</f>
        <v>JUL, FY19</v>
      </c>
      <c r="H5" s="3" t="str">
        <f>Table13[[#This Row],[Week]]&amp;", "&amp;Table13[[#This Row],[Month]]&amp;" "&amp;Table13[[#This Row],[FY]]</f>
        <v>Week 4, JUL FY19</v>
      </c>
      <c r="I5" s="3" t="str">
        <f>Table13[[#This Row],[Month]]&amp;", "&amp;Table13[[#This Row],[FY]]</f>
        <v>JUL, FY19</v>
      </c>
      <c r="J5" s="3" t="str">
        <f>"Q"&amp;Table13[[#This Row],[QTR]]&amp;", "&amp;Table13[[#This Row],[FY]]</f>
        <v>Q1, FY19</v>
      </c>
    </row>
    <row r="6" spans="1:10" x14ac:dyDescent="0.25">
      <c r="A6" s="2">
        <f t="shared" si="0"/>
        <v>43304</v>
      </c>
      <c r="B6" s="2">
        <f t="shared" si="0"/>
        <v>43310</v>
      </c>
      <c r="C6" s="3" t="s">
        <v>741</v>
      </c>
      <c r="D6" s="3" t="s">
        <v>742</v>
      </c>
      <c r="E6" s="3">
        <v>1</v>
      </c>
      <c r="F6" s="3" t="s">
        <v>737</v>
      </c>
      <c r="G6" s="3" t="str">
        <f>Table13[[#This Row],[Month]]&amp;", "&amp;Table13[[#This Row],[FY]]</f>
        <v>AUG, FY19</v>
      </c>
      <c r="H6" s="3" t="str">
        <f>Table13[[#This Row],[Week]]&amp;", "&amp;Table13[[#This Row],[Month]]&amp;" "&amp;Table13[[#This Row],[FY]]</f>
        <v>Week 5, AUG FY19</v>
      </c>
      <c r="I6" s="3" t="str">
        <f>Table13[[#This Row],[Month]]&amp;", "&amp;Table13[[#This Row],[FY]]</f>
        <v>AUG, FY19</v>
      </c>
      <c r="J6" s="3" t="str">
        <f>"Q"&amp;Table13[[#This Row],[QTR]]&amp;", "&amp;Table13[[#This Row],[FY]]</f>
        <v>Q1, FY19</v>
      </c>
    </row>
    <row r="7" spans="1:10" x14ac:dyDescent="0.25">
      <c r="A7" s="2">
        <f t="shared" si="0"/>
        <v>43311</v>
      </c>
      <c r="B7" s="2">
        <f t="shared" si="0"/>
        <v>43317</v>
      </c>
      <c r="C7" s="3" t="s">
        <v>743</v>
      </c>
      <c r="D7" s="3" t="s">
        <v>742</v>
      </c>
      <c r="E7" s="3">
        <v>1</v>
      </c>
      <c r="F7" s="3" t="s">
        <v>737</v>
      </c>
      <c r="G7" s="3" t="str">
        <f>Table13[[#This Row],[Month]]&amp;", "&amp;Table13[[#This Row],[FY]]</f>
        <v>AUG, FY19</v>
      </c>
      <c r="H7" s="3" t="str">
        <f>Table13[[#This Row],[Week]]&amp;", "&amp;Table13[[#This Row],[Month]]&amp;" "&amp;Table13[[#This Row],[FY]]</f>
        <v>Week 6, AUG FY19</v>
      </c>
      <c r="I7" s="3" t="str">
        <f>Table13[[#This Row],[Month]]&amp;", "&amp;Table13[[#This Row],[FY]]</f>
        <v>AUG, FY19</v>
      </c>
      <c r="J7" s="3" t="str">
        <f>"Q"&amp;Table13[[#This Row],[QTR]]&amp;", "&amp;Table13[[#This Row],[FY]]</f>
        <v>Q1, FY19</v>
      </c>
    </row>
    <row r="8" spans="1:10" x14ac:dyDescent="0.25">
      <c r="A8" s="2">
        <f t="shared" si="0"/>
        <v>43318</v>
      </c>
      <c r="B8" s="2">
        <f t="shared" si="0"/>
        <v>43324</v>
      </c>
      <c r="C8" s="3" t="s">
        <v>744</v>
      </c>
      <c r="D8" s="3" t="s">
        <v>742</v>
      </c>
      <c r="E8" s="3">
        <v>1</v>
      </c>
      <c r="F8" s="3" t="s">
        <v>737</v>
      </c>
      <c r="G8" s="3" t="str">
        <f>Table13[[#This Row],[Month]]&amp;", "&amp;Table13[[#This Row],[FY]]</f>
        <v>AUG, FY19</v>
      </c>
      <c r="H8" s="3" t="str">
        <f>Table13[[#This Row],[Week]]&amp;", "&amp;Table13[[#This Row],[Month]]&amp;" "&amp;Table13[[#This Row],[FY]]</f>
        <v>Week 7, AUG FY19</v>
      </c>
      <c r="I8" s="3" t="str">
        <f>Table13[[#This Row],[Month]]&amp;", "&amp;Table13[[#This Row],[FY]]</f>
        <v>AUG, FY19</v>
      </c>
      <c r="J8" s="3" t="str">
        <f>"Q"&amp;Table13[[#This Row],[QTR]]&amp;", "&amp;Table13[[#This Row],[FY]]</f>
        <v>Q1, FY19</v>
      </c>
    </row>
    <row r="9" spans="1:10" x14ac:dyDescent="0.25">
      <c r="A9" s="2">
        <f t="shared" si="0"/>
        <v>43325</v>
      </c>
      <c r="B9" s="2">
        <f t="shared" si="0"/>
        <v>43331</v>
      </c>
      <c r="C9" s="3" t="s">
        <v>745</v>
      </c>
      <c r="D9" s="3" t="s">
        <v>742</v>
      </c>
      <c r="E9" s="3">
        <v>1</v>
      </c>
      <c r="F9" s="3" t="s">
        <v>737</v>
      </c>
      <c r="G9" s="3" t="str">
        <f>Table13[[#This Row],[Month]]&amp;", "&amp;Table13[[#This Row],[FY]]</f>
        <v>AUG, FY19</v>
      </c>
      <c r="H9" s="3" t="str">
        <f>Table13[[#This Row],[Week]]&amp;", "&amp;Table13[[#This Row],[Month]]&amp;" "&amp;Table13[[#This Row],[FY]]</f>
        <v>Week 8, AUG FY19</v>
      </c>
      <c r="I9" s="3" t="str">
        <f>Table13[[#This Row],[Month]]&amp;", "&amp;Table13[[#This Row],[FY]]</f>
        <v>AUG, FY19</v>
      </c>
      <c r="J9" s="3" t="str">
        <f>"Q"&amp;Table13[[#This Row],[QTR]]&amp;", "&amp;Table13[[#This Row],[FY]]</f>
        <v>Q1, FY19</v>
      </c>
    </row>
    <row r="10" spans="1:10" x14ac:dyDescent="0.25">
      <c r="A10" s="2">
        <f t="shared" si="0"/>
        <v>43332</v>
      </c>
      <c r="B10" s="2">
        <f t="shared" si="0"/>
        <v>43338</v>
      </c>
      <c r="C10" s="3" t="s">
        <v>746</v>
      </c>
      <c r="D10" s="3" t="s">
        <v>742</v>
      </c>
      <c r="E10" s="3">
        <v>1</v>
      </c>
      <c r="F10" s="3" t="s">
        <v>737</v>
      </c>
      <c r="G10" s="3" t="str">
        <f>Table13[[#This Row],[Month]]&amp;", "&amp;Table13[[#This Row],[FY]]</f>
        <v>AUG, FY19</v>
      </c>
      <c r="H10" s="3" t="str">
        <f>Table13[[#This Row],[Week]]&amp;", "&amp;Table13[[#This Row],[Month]]&amp;" "&amp;Table13[[#This Row],[FY]]</f>
        <v>Week 9, AUG FY19</v>
      </c>
      <c r="I10" s="3" t="str">
        <f>Table13[[#This Row],[Month]]&amp;", "&amp;Table13[[#This Row],[FY]]</f>
        <v>AUG, FY19</v>
      </c>
      <c r="J10" s="3" t="str">
        <f>"Q"&amp;Table13[[#This Row],[QTR]]&amp;", "&amp;Table13[[#This Row],[FY]]</f>
        <v>Q1, FY19</v>
      </c>
    </row>
    <row r="11" spans="1:10" x14ac:dyDescent="0.25">
      <c r="A11" s="2">
        <f t="shared" si="0"/>
        <v>43339</v>
      </c>
      <c r="B11" s="2">
        <f t="shared" si="0"/>
        <v>43345</v>
      </c>
      <c r="C11" s="3" t="s">
        <v>747</v>
      </c>
      <c r="D11" s="3" t="s">
        <v>748</v>
      </c>
      <c r="E11" s="3">
        <v>1</v>
      </c>
      <c r="F11" s="3" t="s">
        <v>737</v>
      </c>
      <c r="G11" s="3" t="str">
        <f>Table13[[#This Row],[Month]]&amp;", "&amp;Table13[[#This Row],[FY]]</f>
        <v>SEP, FY19</v>
      </c>
      <c r="H11" s="3" t="str">
        <f>Table13[[#This Row],[Week]]&amp;", "&amp;Table13[[#This Row],[Month]]&amp;" "&amp;Table13[[#This Row],[FY]]</f>
        <v>Week 10, SEP FY19</v>
      </c>
      <c r="I11" s="3" t="str">
        <f>Table13[[#This Row],[Month]]&amp;", "&amp;Table13[[#This Row],[FY]]</f>
        <v>SEP, FY19</v>
      </c>
      <c r="J11" s="3" t="str">
        <f>"Q"&amp;Table13[[#This Row],[QTR]]&amp;", "&amp;Table13[[#This Row],[FY]]</f>
        <v>Q1, FY19</v>
      </c>
    </row>
    <row r="12" spans="1:10" x14ac:dyDescent="0.25">
      <c r="A12" s="2">
        <f t="shared" si="0"/>
        <v>43346</v>
      </c>
      <c r="B12" s="2">
        <f t="shared" si="0"/>
        <v>43352</v>
      </c>
      <c r="C12" s="3" t="s">
        <v>749</v>
      </c>
      <c r="D12" s="3" t="s">
        <v>748</v>
      </c>
      <c r="E12" s="3">
        <v>1</v>
      </c>
      <c r="F12" s="3" t="s">
        <v>737</v>
      </c>
      <c r="G12" s="3" t="str">
        <f>Table13[[#This Row],[Month]]&amp;", "&amp;Table13[[#This Row],[FY]]</f>
        <v>SEP, FY19</v>
      </c>
      <c r="H12" s="3" t="str">
        <f>Table13[[#This Row],[Week]]&amp;", "&amp;Table13[[#This Row],[Month]]&amp;" "&amp;Table13[[#This Row],[FY]]</f>
        <v>Week 11, SEP FY19</v>
      </c>
      <c r="I12" s="3" t="str">
        <f>Table13[[#This Row],[Month]]&amp;", "&amp;Table13[[#This Row],[FY]]</f>
        <v>SEP, FY19</v>
      </c>
      <c r="J12" s="3" t="str">
        <f>"Q"&amp;Table13[[#This Row],[QTR]]&amp;", "&amp;Table13[[#This Row],[FY]]</f>
        <v>Q1, FY19</v>
      </c>
    </row>
    <row r="13" spans="1:10" x14ac:dyDescent="0.25">
      <c r="A13" s="2">
        <f t="shared" si="0"/>
        <v>43353</v>
      </c>
      <c r="B13" s="2">
        <f t="shared" si="0"/>
        <v>43359</v>
      </c>
      <c r="C13" s="3" t="s">
        <v>750</v>
      </c>
      <c r="D13" s="3" t="s">
        <v>748</v>
      </c>
      <c r="E13" s="3">
        <v>1</v>
      </c>
      <c r="F13" s="3" t="s">
        <v>737</v>
      </c>
      <c r="G13" s="3" t="str">
        <f>Table13[[#This Row],[Month]]&amp;", "&amp;Table13[[#This Row],[FY]]</f>
        <v>SEP, FY19</v>
      </c>
      <c r="H13" s="3" t="str">
        <f>Table13[[#This Row],[Week]]&amp;", "&amp;Table13[[#This Row],[Month]]&amp;" "&amp;Table13[[#This Row],[FY]]</f>
        <v>Week 12, SEP FY19</v>
      </c>
      <c r="I13" s="3" t="str">
        <f>Table13[[#This Row],[Month]]&amp;", "&amp;Table13[[#This Row],[FY]]</f>
        <v>SEP, FY19</v>
      </c>
      <c r="J13" s="3" t="str">
        <f>"Q"&amp;Table13[[#This Row],[QTR]]&amp;", "&amp;Table13[[#This Row],[FY]]</f>
        <v>Q1, FY19</v>
      </c>
    </row>
    <row r="14" spans="1:10" x14ac:dyDescent="0.25">
      <c r="A14" s="2">
        <f t="shared" si="0"/>
        <v>43360</v>
      </c>
      <c r="B14" s="2">
        <f t="shared" si="0"/>
        <v>43366</v>
      </c>
      <c r="C14" s="3" t="s">
        <v>751</v>
      </c>
      <c r="D14" s="3" t="s">
        <v>748</v>
      </c>
      <c r="E14" s="3">
        <v>1</v>
      </c>
      <c r="F14" s="3" t="s">
        <v>737</v>
      </c>
      <c r="G14" s="3" t="str">
        <f>Table13[[#This Row],[Month]]&amp;", "&amp;Table13[[#This Row],[FY]]</f>
        <v>SEP, FY19</v>
      </c>
      <c r="H14" s="3" t="str">
        <f>Table13[[#This Row],[Week]]&amp;", "&amp;Table13[[#This Row],[Month]]&amp;" "&amp;Table13[[#This Row],[FY]]</f>
        <v>Week 13, SEP FY19</v>
      </c>
      <c r="I14" s="3" t="str">
        <f>Table13[[#This Row],[Month]]&amp;", "&amp;Table13[[#This Row],[FY]]</f>
        <v>SEP, FY19</v>
      </c>
      <c r="J14" s="3" t="str">
        <f>"Q"&amp;Table13[[#This Row],[QTR]]&amp;", "&amp;Table13[[#This Row],[FY]]</f>
        <v>Q1, FY19</v>
      </c>
    </row>
    <row r="15" spans="1:10" x14ac:dyDescent="0.25">
      <c r="A15" s="2">
        <f t="shared" si="0"/>
        <v>43367</v>
      </c>
      <c r="B15" s="2">
        <f t="shared" si="0"/>
        <v>43373</v>
      </c>
      <c r="C15" s="3" t="s">
        <v>752</v>
      </c>
      <c r="D15" s="3" t="s">
        <v>753</v>
      </c>
      <c r="E15" s="3">
        <f>E2+1</f>
        <v>2</v>
      </c>
      <c r="F15" s="3" t="s">
        <v>737</v>
      </c>
      <c r="G15" s="3" t="str">
        <f>Table13[[#This Row],[Month]]&amp;", "&amp;Table13[[#This Row],[FY]]</f>
        <v>OCT, FY19</v>
      </c>
      <c r="H15" s="3" t="str">
        <f>Table13[[#This Row],[Week]]&amp;", "&amp;Table13[[#This Row],[Month]]&amp;" "&amp;Table13[[#This Row],[FY]]</f>
        <v>Week 14, OCT FY19</v>
      </c>
      <c r="I15" s="3" t="str">
        <f>Table13[[#This Row],[Month]]&amp;", "&amp;Table13[[#This Row],[FY]]</f>
        <v>OCT, FY19</v>
      </c>
      <c r="J15" s="3" t="str">
        <f>"Q"&amp;Table13[[#This Row],[QTR]]&amp;", "&amp;Table13[[#This Row],[FY]]</f>
        <v>Q2, FY19</v>
      </c>
    </row>
    <row r="16" spans="1:10" x14ac:dyDescent="0.25">
      <c r="A16" s="2">
        <f t="shared" si="0"/>
        <v>43374</v>
      </c>
      <c r="B16" s="2">
        <f t="shared" si="0"/>
        <v>43380</v>
      </c>
      <c r="C16" s="3" t="s">
        <v>754</v>
      </c>
      <c r="D16" s="3" t="s">
        <v>753</v>
      </c>
      <c r="E16" s="3">
        <f t="shared" ref="E16:E53" si="1">E3+1</f>
        <v>2</v>
      </c>
      <c r="F16" s="3" t="s">
        <v>737</v>
      </c>
      <c r="G16" s="3" t="str">
        <f>Table13[[#This Row],[Month]]&amp;", "&amp;Table13[[#This Row],[FY]]</f>
        <v>OCT, FY19</v>
      </c>
      <c r="H16" s="3" t="str">
        <f>Table13[[#This Row],[Week]]&amp;", "&amp;Table13[[#This Row],[Month]]&amp;" "&amp;Table13[[#This Row],[FY]]</f>
        <v>Week 15, OCT FY19</v>
      </c>
      <c r="I16" s="3" t="str">
        <f>Table13[[#This Row],[Month]]&amp;", "&amp;Table13[[#This Row],[FY]]</f>
        <v>OCT, FY19</v>
      </c>
      <c r="J16" s="3" t="str">
        <f>"Q"&amp;Table13[[#This Row],[QTR]]&amp;", "&amp;Table13[[#This Row],[FY]]</f>
        <v>Q2, FY19</v>
      </c>
    </row>
    <row r="17" spans="1:10" x14ac:dyDescent="0.25">
      <c r="A17" s="2">
        <f t="shared" si="0"/>
        <v>43381</v>
      </c>
      <c r="B17" s="2">
        <f t="shared" si="0"/>
        <v>43387</v>
      </c>
      <c r="C17" s="3" t="s">
        <v>755</v>
      </c>
      <c r="D17" s="3" t="s">
        <v>753</v>
      </c>
      <c r="E17" s="3">
        <f t="shared" si="1"/>
        <v>2</v>
      </c>
      <c r="F17" s="3" t="s">
        <v>737</v>
      </c>
      <c r="G17" s="3" t="str">
        <f>Table13[[#This Row],[Month]]&amp;", "&amp;Table13[[#This Row],[FY]]</f>
        <v>OCT, FY19</v>
      </c>
      <c r="H17" s="3" t="str">
        <f>Table13[[#This Row],[Week]]&amp;", "&amp;Table13[[#This Row],[Month]]&amp;" "&amp;Table13[[#This Row],[FY]]</f>
        <v>Week 16, OCT FY19</v>
      </c>
      <c r="I17" s="3" t="str">
        <f>Table13[[#This Row],[Month]]&amp;", "&amp;Table13[[#This Row],[FY]]</f>
        <v>OCT, FY19</v>
      </c>
      <c r="J17" s="3" t="str">
        <f>"Q"&amp;Table13[[#This Row],[QTR]]&amp;", "&amp;Table13[[#This Row],[FY]]</f>
        <v>Q2, FY19</v>
      </c>
    </row>
    <row r="18" spans="1:10" x14ac:dyDescent="0.25">
      <c r="A18" s="2">
        <f t="shared" si="0"/>
        <v>43388</v>
      </c>
      <c r="B18" s="2">
        <f t="shared" si="0"/>
        <v>43394</v>
      </c>
      <c r="C18" s="3" t="s">
        <v>756</v>
      </c>
      <c r="D18" s="3" t="s">
        <v>753</v>
      </c>
      <c r="E18" s="3">
        <f t="shared" si="1"/>
        <v>2</v>
      </c>
      <c r="F18" s="3" t="s">
        <v>737</v>
      </c>
      <c r="G18" s="3" t="str">
        <f>Table13[[#This Row],[Month]]&amp;", "&amp;Table13[[#This Row],[FY]]</f>
        <v>OCT, FY19</v>
      </c>
      <c r="H18" s="3" t="str">
        <f>Table13[[#This Row],[Week]]&amp;", "&amp;Table13[[#This Row],[Month]]&amp;" "&amp;Table13[[#This Row],[FY]]</f>
        <v>Week 17, OCT FY19</v>
      </c>
      <c r="I18" s="3" t="str">
        <f>Table13[[#This Row],[Month]]&amp;", "&amp;Table13[[#This Row],[FY]]</f>
        <v>OCT, FY19</v>
      </c>
      <c r="J18" s="3" t="str">
        <f>"Q"&amp;Table13[[#This Row],[QTR]]&amp;", "&amp;Table13[[#This Row],[FY]]</f>
        <v>Q2, FY19</v>
      </c>
    </row>
    <row r="19" spans="1:10" x14ac:dyDescent="0.25">
      <c r="A19" s="2">
        <f t="shared" ref="A19:B34" si="2">A18+7</f>
        <v>43395</v>
      </c>
      <c r="B19" s="2">
        <f t="shared" si="2"/>
        <v>43401</v>
      </c>
      <c r="C19" s="3" t="s">
        <v>757</v>
      </c>
      <c r="D19" s="3" t="s">
        <v>758</v>
      </c>
      <c r="E19" s="3">
        <f t="shared" si="1"/>
        <v>2</v>
      </c>
      <c r="F19" s="3" t="s">
        <v>737</v>
      </c>
      <c r="G19" s="3" t="str">
        <f>Table13[[#This Row],[Month]]&amp;", "&amp;Table13[[#This Row],[FY]]</f>
        <v>NOV, FY19</v>
      </c>
      <c r="H19" s="3" t="str">
        <f>Table13[[#This Row],[Week]]&amp;", "&amp;Table13[[#This Row],[Month]]&amp;" "&amp;Table13[[#This Row],[FY]]</f>
        <v>Week 18, NOV FY19</v>
      </c>
      <c r="I19" s="3" t="str">
        <f>Table13[[#This Row],[Month]]&amp;", "&amp;Table13[[#This Row],[FY]]</f>
        <v>NOV, FY19</v>
      </c>
      <c r="J19" s="3" t="str">
        <f>"Q"&amp;Table13[[#This Row],[QTR]]&amp;", "&amp;Table13[[#This Row],[FY]]</f>
        <v>Q2, FY19</v>
      </c>
    </row>
    <row r="20" spans="1:10" x14ac:dyDescent="0.25">
      <c r="A20" s="2">
        <f t="shared" si="2"/>
        <v>43402</v>
      </c>
      <c r="B20" s="2">
        <f t="shared" si="2"/>
        <v>43408</v>
      </c>
      <c r="C20" s="3" t="s">
        <v>759</v>
      </c>
      <c r="D20" s="3" t="s">
        <v>758</v>
      </c>
      <c r="E20" s="3">
        <f t="shared" si="1"/>
        <v>2</v>
      </c>
      <c r="F20" s="3" t="s">
        <v>737</v>
      </c>
      <c r="G20" s="3" t="str">
        <f>Table13[[#This Row],[Month]]&amp;", "&amp;Table13[[#This Row],[FY]]</f>
        <v>NOV, FY19</v>
      </c>
      <c r="H20" s="3" t="str">
        <f>Table13[[#This Row],[Week]]&amp;", "&amp;Table13[[#This Row],[Month]]&amp;" "&amp;Table13[[#This Row],[FY]]</f>
        <v>Week 19, NOV FY19</v>
      </c>
      <c r="I20" s="3" t="str">
        <f>Table13[[#This Row],[Month]]&amp;", "&amp;Table13[[#This Row],[FY]]</f>
        <v>NOV, FY19</v>
      </c>
      <c r="J20" s="3" t="str">
        <f>"Q"&amp;Table13[[#This Row],[QTR]]&amp;", "&amp;Table13[[#This Row],[FY]]</f>
        <v>Q2, FY19</v>
      </c>
    </row>
    <row r="21" spans="1:10" x14ac:dyDescent="0.25">
      <c r="A21" s="2">
        <f t="shared" si="2"/>
        <v>43409</v>
      </c>
      <c r="B21" s="2">
        <f t="shared" si="2"/>
        <v>43415</v>
      </c>
      <c r="C21" s="3" t="s">
        <v>760</v>
      </c>
      <c r="D21" s="3" t="s">
        <v>758</v>
      </c>
      <c r="E21" s="3">
        <f t="shared" si="1"/>
        <v>2</v>
      </c>
      <c r="F21" s="3" t="s">
        <v>737</v>
      </c>
      <c r="G21" s="3" t="str">
        <f>Table13[[#This Row],[Month]]&amp;", "&amp;Table13[[#This Row],[FY]]</f>
        <v>NOV, FY19</v>
      </c>
      <c r="H21" s="3" t="str">
        <f>Table13[[#This Row],[Week]]&amp;", "&amp;Table13[[#This Row],[Month]]&amp;" "&amp;Table13[[#This Row],[FY]]</f>
        <v>Week 20, NOV FY19</v>
      </c>
      <c r="I21" s="3" t="str">
        <f>Table13[[#This Row],[Month]]&amp;", "&amp;Table13[[#This Row],[FY]]</f>
        <v>NOV, FY19</v>
      </c>
      <c r="J21" s="3" t="str">
        <f>"Q"&amp;Table13[[#This Row],[QTR]]&amp;", "&amp;Table13[[#This Row],[FY]]</f>
        <v>Q2, FY19</v>
      </c>
    </row>
    <row r="22" spans="1:10" x14ac:dyDescent="0.25">
      <c r="A22" s="2">
        <f t="shared" si="2"/>
        <v>43416</v>
      </c>
      <c r="B22" s="2">
        <f t="shared" si="2"/>
        <v>43422</v>
      </c>
      <c r="C22" s="3" t="s">
        <v>761</v>
      </c>
      <c r="D22" s="3" t="s">
        <v>758</v>
      </c>
      <c r="E22" s="3">
        <f t="shared" si="1"/>
        <v>2</v>
      </c>
      <c r="F22" s="3" t="s">
        <v>737</v>
      </c>
      <c r="G22" s="3" t="str">
        <f>Table13[[#This Row],[Month]]&amp;", "&amp;Table13[[#This Row],[FY]]</f>
        <v>NOV, FY19</v>
      </c>
      <c r="H22" s="3" t="str">
        <f>Table13[[#This Row],[Week]]&amp;", "&amp;Table13[[#This Row],[Month]]&amp;" "&amp;Table13[[#This Row],[FY]]</f>
        <v>Week 21, NOV FY19</v>
      </c>
      <c r="I22" s="3" t="str">
        <f>Table13[[#This Row],[Month]]&amp;", "&amp;Table13[[#This Row],[FY]]</f>
        <v>NOV, FY19</v>
      </c>
      <c r="J22" s="3" t="str">
        <f>"Q"&amp;Table13[[#This Row],[QTR]]&amp;", "&amp;Table13[[#This Row],[FY]]</f>
        <v>Q2, FY19</v>
      </c>
    </row>
    <row r="23" spans="1:10" x14ac:dyDescent="0.25">
      <c r="A23" s="2">
        <f t="shared" si="2"/>
        <v>43423</v>
      </c>
      <c r="B23" s="2">
        <f t="shared" si="2"/>
        <v>43429</v>
      </c>
      <c r="C23" s="3" t="s">
        <v>762</v>
      </c>
      <c r="D23" s="3" t="s">
        <v>758</v>
      </c>
      <c r="E23" s="3">
        <f t="shared" si="1"/>
        <v>2</v>
      </c>
      <c r="F23" s="3" t="s">
        <v>737</v>
      </c>
      <c r="G23" s="3" t="str">
        <f>Table13[[#This Row],[Month]]&amp;", "&amp;Table13[[#This Row],[FY]]</f>
        <v>NOV, FY19</v>
      </c>
      <c r="H23" s="3" t="str">
        <f>Table13[[#This Row],[Week]]&amp;", "&amp;Table13[[#This Row],[Month]]&amp;" "&amp;Table13[[#This Row],[FY]]</f>
        <v>Week 22, NOV FY19</v>
      </c>
      <c r="I23" s="3" t="str">
        <f>Table13[[#This Row],[Month]]&amp;", "&amp;Table13[[#This Row],[FY]]</f>
        <v>NOV, FY19</v>
      </c>
      <c r="J23" s="3" t="str">
        <f>"Q"&amp;Table13[[#This Row],[QTR]]&amp;", "&amp;Table13[[#This Row],[FY]]</f>
        <v>Q2, FY19</v>
      </c>
    </row>
    <row r="24" spans="1:10" x14ac:dyDescent="0.25">
      <c r="A24" s="2">
        <f t="shared" si="2"/>
        <v>43430</v>
      </c>
      <c r="B24" s="2">
        <f t="shared" si="2"/>
        <v>43436</v>
      </c>
      <c r="C24" s="3" t="s">
        <v>763</v>
      </c>
      <c r="D24" s="3" t="s">
        <v>764</v>
      </c>
      <c r="E24" s="3">
        <f t="shared" si="1"/>
        <v>2</v>
      </c>
      <c r="F24" s="3" t="s">
        <v>737</v>
      </c>
      <c r="G24" s="3" t="str">
        <f>Table13[[#This Row],[Month]]&amp;", "&amp;Table13[[#This Row],[FY]]</f>
        <v>DEC, FY19</v>
      </c>
      <c r="H24" s="3" t="str">
        <f>Table13[[#This Row],[Week]]&amp;", "&amp;Table13[[#This Row],[Month]]&amp;" "&amp;Table13[[#This Row],[FY]]</f>
        <v>Week 23, DEC FY19</v>
      </c>
      <c r="I24" s="3" t="str">
        <f>Table13[[#This Row],[Month]]&amp;", "&amp;Table13[[#This Row],[FY]]</f>
        <v>DEC, FY19</v>
      </c>
      <c r="J24" s="3" t="str">
        <f>"Q"&amp;Table13[[#This Row],[QTR]]&amp;", "&amp;Table13[[#This Row],[FY]]</f>
        <v>Q2, FY19</v>
      </c>
    </row>
    <row r="25" spans="1:10" x14ac:dyDescent="0.25">
      <c r="A25" s="2">
        <f t="shared" si="2"/>
        <v>43437</v>
      </c>
      <c r="B25" s="2">
        <f t="shared" si="2"/>
        <v>43443</v>
      </c>
      <c r="C25" s="3" t="s">
        <v>765</v>
      </c>
      <c r="D25" s="3" t="s">
        <v>764</v>
      </c>
      <c r="E25" s="3">
        <f t="shared" si="1"/>
        <v>2</v>
      </c>
      <c r="F25" s="3" t="s">
        <v>737</v>
      </c>
      <c r="G25" s="3" t="str">
        <f>Table13[[#This Row],[Month]]&amp;", "&amp;Table13[[#This Row],[FY]]</f>
        <v>DEC, FY19</v>
      </c>
      <c r="H25" s="3" t="str">
        <f>Table13[[#This Row],[Week]]&amp;", "&amp;Table13[[#This Row],[Month]]&amp;" "&amp;Table13[[#This Row],[FY]]</f>
        <v>Week 24, DEC FY19</v>
      </c>
      <c r="I25" s="3" t="str">
        <f>Table13[[#This Row],[Month]]&amp;", "&amp;Table13[[#This Row],[FY]]</f>
        <v>DEC, FY19</v>
      </c>
      <c r="J25" s="3" t="str">
        <f>"Q"&amp;Table13[[#This Row],[QTR]]&amp;", "&amp;Table13[[#This Row],[FY]]</f>
        <v>Q2, FY19</v>
      </c>
    </row>
    <row r="26" spans="1:10" x14ac:dyDescent="0.25">
      <c r="A26" s="2">
        <f t="shared" si="2"/>
        <v>43444</v>
      </c>
      <c r="B26" s="2">
        <f t="shared" si="2"/>
        <v>43450</v>
      </c>
      <c r="C26" s="3" t="s">
        <v>766</v>
      </c>
      <c r="D26" s="3" t="s">
        <v>764</v>
      </c>
      <c r="E26" s="3">
        <f t="shared" si="1"/>
        <v>2</v>
      </c>
      <c r="F26" s="3" t="s">
        <v>737</v>
      </c>
      <c r="G26" s="3" t="str">
        <f>Table13[[#This Row],[Month]]&amp;", "&amp;Table13[[#This Row],[FY]]</f>
        <v>DEC, FY19</v>
      </c>
      <c r="H26" s="3" t="str">
        <f>Table13[[#This Row],[Week]]&amp;", "&amp;Table13[[#This Row],[Month]]&amp;" "&amp;Table13[[#This Row],[FY]]</f>
        <v>Week 25, DEC FY19</v>
      </c>
      <c r="I26" s="3" t="str">
        <f>Table13[[#This Row],[Month]]&amp;", "&amp;Table13[[#This Row],[FY]]</f>
        <v>DEC, FY19</v>
      </c>
      <c r="J26" s="3" t="str">
        <f>"Q"&amp;Table13[[#This Row],[QTR]]&amp;", "&amp;Table13[[#This Row],[FY]]</f>
        <v>Q2, FY19</v>
      </c>
    </row>
    <row r="27" spans="1:10" x14ac:dyDescent="0.25">
      <c r="A27" s="2">
        <f t="shared" si="2"/>
        <v>43451</v>
      </c>
      <c r="B27" s="2">
        <f t="shared" si="2"/>
        <v>43457</v>
      </c>
      <c r="C27" s="3" t="s">
        <v>767</v>
      </c>
      <c r="D27" s="3" t="s">
        <v>764</v>
      </c>
      <c r="E27" s="3">
        <f t="shared" si="1"/>
        <v>2</v>
      </c>
      <c r="F27" s="3" t="s">
        <v>737</v>
      </c>
      <c r="G27" s="3" t="str">
        <f>Table13[[#This Row],[Month]]&amp;", "&amp;Table13[[#This Row],[FY]]</f>
        <v>DEC, FY19</v>
      </c>
      <c r="H27" s="3" t="str">
        <f>Table13[[#This Row],[Week]]&amp;", "&amp;Table13[[#This Row],[Month]]&amp;" "&amp;Table13[[#This Row],[FY]]</f>
        <v>Week 26, DEC FY19</v>
      </c>
      <c r="I27" s="3" t="str">
        <f>Table13[[#This Row],[Month]]&amp;", "&amp;Table13[[#This Row],[FY]]</f>
        <v>DEC, FY19</v>
      </c>
      <c r="J27" s="3" t="str">
        <f>"Q"&amp;Table13[[#This Row],[QTR]]&amp;", "&amp;Table13[[#This Row],[FY]]</f>
        <v>Q2, FY19</v>
      </c>
    </row>
    <row r="28" spans="1:10" x14ac:dyDescent="0.25">
      <c r="A28" s="2">
        <f t="shared" si="2"/>
        <v>43458</v>
      </c>
      <c r="B28" s="2">
        <f t="shared" si="2"/>
        <v>43464</v>
      </c>
      <c r="C28" s="3" t="s">
        <v>768</v>
      </c>
      <c r="D28" s="3" t="s">
        <v>769</v>
      </c>
      <c r="E28" s="3">
        <f t="shared" si="1"/>
        <v>3</v>
      </c>
      <c r="F28" s="3" t="s">
        <v>737</v>
      </c>
      <c r="G28" s="3" t="str">
        <f>Table13[[#This Row],[Month]]&amp;", "&amp;Table13[[#This Row],[FY]]</f>
        <v>JAN, FY19</v>
      </c>
      <c r="H28" s="3" t="str">
        <f>Table13[[#This Row],[Week]]&amp;", "&amp;Table13[[#This Row],[Month]]&amp;" "&amp;Table13[[#This Row],[FY]]</f>
        <v>Week 27, JAN FY19</v>
      </c>
      <c r="I28" s="3" t="str">
        <f>Table13[[#This Row],[Month]]&amp;", "&amp;Table13[[#This Row],[FY]]</f>
        <v>JAN, FY19</v>
      </c>
      <c r="J28" s="3" t="str">
        <f>"Q"&amp;Table13[[#This Row],[QTR]]&amp;", "&amp;Table13[[#This Row],[FY]]</f>
        <v>Q3, FY19</v>
      </c>
    </row>
    <row r="29" spans="1:10" x14ac:dyDescent="0.25">
      <c r="A29" s="2">
        <f t="shared" si="2"/>
        <v>43465</v>
      </c>
      <c r="B29" s="2">
        <f t="shared" si="2"/>
        <v>43471</v>
      </c>
      <c r="C29" s="3" t="s">
        <v>770</v>
      </c>
      <c r="D29" s="3" t="s">
        <v>769</v>
      </c>
      <c r="E29" s="3">
        <f t="shared" si="1"/>
        <v>3</v>
      </c>
      <c r="F29" s="3" t="s">
        <v>737</v>
      </c>
      <c r="G29" s="3" t="str">
        <f>Table13[[#This Row],[Month]]&amp;", "&amp;Table13[[#This Row],[FY]]</f>
        <v>JAN, FY19</v>
      </c>
      <c r="H29" s="3" t="str">
        <f>Table13[[#This Row],[Week]]&amp;", "&amp;Table13[[#This Row],[Month]]&amp;" "&amp;Table13[[#This Row],[FY]]</f>
        <v>Week 28, JAN FY19</v>
      </c>
      <c r="I29" s="3" t="str">
        <f>Table13[[#This Row],[Month]]&amp;", "&amp;Table13[[#This Row],[FY]]</f>
        <v>JAN, FY19</v>
      </c>
      <c r="J29" s="3" t="str">
        <f>"Q"&amp;Table13[[#This Row],[QTR]]&amp;", "&amp;Table13[[#This Row],[FY]]</f>
        <v>Q3, FY19</v>
      </c>
    </row>
    <row r="30" spans="1:10" x14ac:dyDescent="0.25">
      <c r="A30" s="2">
        <f t="shared" si="2"/>
        <v>43472</v>
      </c>
      <c r="B30" s="2">
        <f t="shared" si="2"/>
        <v>43478</v>
      </c>
      <c r="C30" s="3" t="s">
        <v>771</v>
      </c>
      <c r="D30" s="3" t="s">
        <v>769</v>
      </c>
      <c r="E30" s="3">
        <f t="shared" si="1"/>
        <v>3</v>
      </c>
      <c r="F30" s="3" t="s">
        <v>737</v>
      </c>
      <c r="G30" s="3" t="str">
        <f>Table13[[#This Row],[Month]]&amp;", "&amp;Table13[[#This Row],[FY]]</f>
        <v>JAN, FY19</v>
      </c>
      <c r="H30" s="3" t="str">
        <f>Table13[[#This Row],[Week]]&amp;", "&amp;Table13[[#This Row],[Month]]&amp;" "&amp;Table13[[#This Row],[FY]]</f>
        <v>Week 29, JAN FY19</v>
      </c>
      <c r="I30" s="3" t="str">
        <f>Table13[[#This Row],[Month]]&amp;", "&amp;Table13[[#This Row],[FY]]</f>
        <v>JAN, FY19</v>
      </c>
      <c r="J30" s="3" t="str">
        <f>"Q"&amp;Table13[[#This Row],[QTR]]&amp;", "&amp;Table13[[#This Row],[FY]]</f>
        <v>Q3, FY19</v>
      </c>
    </row>
    <row r="31" spans="1:10" x14ac:dyDescent="0.25">
      <c r="A31" s="2">
        <f t="shared" si="2"/>
        <v>43479</v>
      </c>
      <c r="B31" s="2">
        <f t="shared" si="2"/>
        <v>43485</v>
      </c>
      <c r="C31" s="3" t="s">
        <v>772</v>
      </c>
      <c r="D31" s="3" t="s">
        <v>769</v>
      </c>
      <c r="E31" s="3">
        <f t="shared" si="1"/>
        <v>3</v>
      </c>
      <c r="F31" s="3" t="s">
        <v>737</v>
      </c>
      <c r="G31" s="3" t="str">
        <f>Table13[[#This Row],[Month]]&amp;", "&amp;Table13[[#This Row],[FY]]</f>
        <v>JAN, FY19</v>
      </c>
      <c r="H31" s="3" t="str">
        <f>Table13[[#This Row],[Week]]&amp;", "&amp;Table13[[#This Row],[Month]]&amp;" "&amp;Table13[[#This Row],[FY]]</f>
        <v>Week 30, JAN FY19</v>
      </c>
      <c r="I31" s="3" t="str">
        <f>Table13[[#This Row],[Month]]&amp;", "&amp;Table13[[#This Row],[FY]]</f>
        <v>JAN, FY19</v>
      </c>
      <c r="J31" s="3" t="str">
        <f>"Q"&amp;Table13[[#This Row],[QTR]]&amp;", "&amp;Table13[[#This Row],[FY]]</f>
        <v>Q3, FY19</v>
      </c>
    </row>
    <row r="32" spans="1:10" x14ac:dyDescent="0.25">
      <c r="A32" s="2">
        <f t="shared" si="2"/>
        <v>43486</v>
      </c>
      <c r="B32" s="2">
        <f t="shared" si="2"/>
        <v>43492</v>
      </c>
      <c r="C32" s="3" t="s">
        <v>773</v>
      </c>
      <c r="D32" s="3" t="s">
        <v>774</v>
      </c>
      <c r="E32" s="3">
        <f t="shared" si="1"/>
        <v>3</v>
      </c>
      <c r="F32" s="3" t="s">
        <v>737</v>
      </c>
      <c r="G32" s="3" t="str">
        <f>Table13[[#This Row],[Month]]&amp;", "&amp;Table13[[#This Row],[FY]]</f>
        <v>FEB, FY19</v>
      </c>
      <c r="H32" s="3" t="str">
        <f>Table13[[#This Row],[Week]]&amp;", "&amp;Table13[[#This Row],[Month]]&amp;" "&amp;Table13[[#This Row],[FY]]</f>
        <v>Week 31, FEB FY19</v>
      </c>
      <c r="I32" s="3" t="str">
        <f>Table13[[#This Row],[Month]]&amp;", "&amp;Table13[[#This Row],[FY]]</f>
        <v>FEB, FY19</v>
      </c>
      <c r="J32" s="3" t="str">
        <f>"Q"&amp;Table13[[#This Row],[QTR]]&amp;", "&amp;Table13[[#This Row],[FY]]</f>
        <v>Q3, FY19</v>
      </c>
    </row>
    <row r="33" spans="1:10" x14ac:dyDescent="0.25">
      <c r="A33" s="2">
        <f t="shared" si="2"/>
        <v>43493</v>
      </c>
      <c r="B33" s="2">
        <f t="shared" si="2"/>
        <v>43499</v>
      </c>
      <c r="C33" s="3" t="s">
        <v>775</v>
      </c>
      <c r="D33" s="3" t="s">
        <v>774</v>
      </c>
      <c r="E33" s="3">
        <f t="shared" si="1"/>
        <v>3</v>
      </c>
      <c r="F33" s="3" t="s">
        <v>737</v>
      </c>
      <c r="G33" s="3" t="str">
        <f>Table13[[#This Row],[Month]]&amp;", "&amp;Table13[[#This Row],[FY]]</f>
        <v>FEB, FY19</v>
      </c>
      <c r="H33" s="3" t="str">
        <f>Table13[[#This Row],[Week]]&amp;", "&amp;Table13[[#This Row],[Month]]&amp;" "&amp;Table13[[#This Row],[FY]]</f>
        <v>Week 32, FEB FY19</v>
      </c>
      <c r="I33" s="3" t="str">
        <f>Table13[[#This Row],[Month]]&amp;", "&amp;Table13[[#This Row],[FY]]</f>
        <v>FEB, FY19</v>
      </c>
      <c r="J33" s="3" t="str">
        <f>"Q"&amp;Table13[[#This Row],[QTR]]&amp;", "&amp;Table13[[#This Row],[FY]]</f>
        <v>Q3, FY19</v>
      </c>
    </row>
    <row r="34" spans="1:10" x14ac:dyDescent="0.25">
      <c r="A34" s="2">
        <f t="shared" si="2"/>
        <v>43500</v>
      </c>
      <c r="B34" s="2">
        <f t="shared" si="2"/>
        <v>43506</v>
      </c>
      <c r="C34" s="3" t="s">
        <v>776</v>
      </c>
      <c r="D34" s="3" t="s">
        <v>774</v>
      </c>
      <c r="E34" s="3">
        <f t="shared" si="1"/>
        <v>3</v>
      </c>
      <c r="F34" s="3" t="s">
        <v>737</v>
      </c>
      <c r="G34" s="3" t="str">
        <f>Table13[[#This Row],[Month]]&amp;", "&amp;Table13[[#This Row],[FY]]</f>
        <v>FEB, FY19</v>
      </c>
      <c r="H34" s="3" t="str">
        <f>Table13[[#This Row],[Week]]&amp;", "&amp;Table13[[#This Row],[Month]]&amp;" "&amp;Table13[[#This Row],[FY]]</f>
        <v>Week 33, FEB FY19</v>
      </c>
      <c r="I34" s="3" t="str">
        <f>Table13[[#This Row],[Month]]&amp;", "&amp;Table13[[#This Row],[FY]]</f>
        <v>FEB, FY19</v>
      </c>
      <c r="J34" s="3" t="str">
        <f>"Q"&amp;Table13[[#This Row],[QTR]]&amp;", "&amp;Table13[[#This Row],[FY]]</f>
        <v>Q3, FY19</v>
      </c>
    </row>
    <row r="35" spans="1:10" x14ac:dyDescent="0.25">
      <c r="A35" s="2">
        <f t="shared" ref="A35:B50" si="3">A34+7</f>
        <v>43507</v>
      </c>
      <c r="B35" s="2">
        <f t="shared" si="3"/>
        <v>43513</v>
      </c>
      <c r="C35" s="3" t="s">
        <v>777</v>
      </c>
      <c r="D35" s="3" t="s">
        <v>774</v>
      </c>
      <c r="E35" s="3">
        <f t="shared" si="1"/>
        <v>3</v>
      </c>
      <c r="F35" s="3" t="s">
        <v>737</v>
      </c>
      <c r="G35" s="3" t="str">
        <f>Table13[[#This Row],[Month]]&amp;", "&amp;Table13[[#This Row],[FY]]</f>
        <v>FEB, FY19</v>
      </c>
      <c r="H35" s="3" t="str">
        <f>Table13[[#This Row],[Week]]&amp;", "&amp;Table13[[#This Row],[Month]]&amp;" "&amp;Table13[[#This Row],[FY]]</f>
        <v>Week 34, FEB FY19</v>
      </c>
      <c r="I35" s="3" t="str">
        <f>Table13[[#This Row],[Month]]&amp;", "&amp;Table13[[#This Row],[FY]]</f>
        <v>FEB, FY19</v>
      </c>
      <c r="J35" s="3" t="str">
        <f>"Q"&amp;Table13[[#This Row],[QTR]]&amp;", "&amp;Table13[[#This Row],[FY]]</f>
        <v>Q3, FY19</v>
      </c>
    </row>
    <row r="36" spans="1:10" x14ac:dyDescent="0.25">
      <c r="A36" s="2">
        <f t="shared" si="3"/>
        <v>43514</v>
      </c>
      <c r="B36" s="2">
        <f t="shared" si="3"/>
        <v>43520</v>
      </c>
      <c r="C36" s="3" t="s">
        <v>778</v>
      </c>
      <c r="D36" s="3" t="s">
        <v>774</v>
      </c>
      <c r="E36" s="3">
        <f t="shared" si="1"/>
        <v>3</v>
      </c>
      <c r="F36" s="3" t="s">
        <v>737</v>
      </c>
      <c r="G36" s="3" t="str">
        <f>Table13[[#This Row],[Month]]&amp;", "&amp;Table13[[#This Row],[FY]]</f>
        <v>FEB, FY19</v>
      </c>
      <c r="H36" s="3" t="str">
        <f>Table13[[#This Row],[Week]]&amp;", "&amp;Table13[[#This Row],[Month]]&amp;" "&amp;Table13[[#This Row],[FY]]</f>
        <v>Week 35, FEB FY19</v>
      </c>
      <c r="I36" s="3" t="str">
        <f>Table13[[#This Row],[Month]]&amp;", "&amp;Table13[[#This Row],[FY]]</f>
        <v>FEB, FY19</v>
      </c>
      <c r="J36" s="3" t="str">
        <f>"Q"&amp;Table13[[#This Row],[QTR]]&amp;", "&amp;Table13[[#This Row],[FY]]</f>
        <v>Q3, FY19</v>
      </c>
    </row>
    <row r="37" spans="1:10" x14ac:dyDescent="0.25">
      <c r="A37" s="2">
        <f t="shared" si="3"/>
        <v>43521</v>
      </c>
      <c r="B37" s="2">
        <f t="shared" si="3"/>
        <v>43527</v>
      </c>
      <c r="C37" s="3" t="s">
        <v>779</v>
      </c>
      <c r="D37" s="3" t="s">
        <v>780</v>
      </c>
      <c r="E37" s="3">
        <f t="shared" si="1"/>
        <v>3</v>
      </c>
      <c r="F37" s="3" t="s">
        <v>737</v>
      </c>
      <c r="G37" s="3" t="str">
        <f>Table13[[#This Row],[Month]]&amp;", "&amp;Table13[[#This Row],[FY]]</f>
        <v>MAR, FY19</v>
      </c>
      <c r="H37" s="3" t="str">
        <f>Table13[[#This Row],[Week]]&amp;", "&amp;Table13[[#This Row],[Month]]&amp;" "&amp;Table13[[#This Row],[FY]]</f>
        <v>Week 36, MAR FY19</v>
      </c>
      <c r="I37" s="3" t="str">
        <f>Table13[[#This Row],[Month]]&amp;", "&amp;Table13[[#This Row],[FY]]</f>
        <v>MAR, FY19</v>
      </c>
      <c r="J37" s="3" t="str">
        <f>"Q"&amp;Table13[[#This Row],[QTR]]&amp;", "&amp;Table13[[#This Row],[FY]]</f>
        <v>Q3, FY19</v>
      </c>
    </row>
    <row r="38" spans="1:10" x14ac:dyDescent="0.25">
      <c r="A38" s="2">
        <f t="shared" si="3"/>
        <v>43528</v>
      </c>
      <c r="B38" s="2">
        <f t="shared" si="3"/>
        <v>43534</v>
      </c>
      <c r="C38" s="3" t="s">
        <v>781</v>
      </c>
      <c r="D38" s="3" t="s">
        <v>780</v>
      </c>
      <c r="E38" s="3">
        <f t="shared" si="1"/>
        <v>3</v>
      </c>
      <c r="F38" s="3" t="s">
        <v>737</v>
      </c>
      <c r="G38" s="3" t="str">
        <f>Table13[[#This Row],[Month]]&amp;", "&amp;Table13[[#This Row],[FY]]</f>
        <v>MAR, FY19</v>
      </c>
      <c r="H38" s="3" t="str">
        <f>Table13[[#This Row],[Week]]&amp;", "&amp;Table13[[#This Row],[Month]]&amp;" "&amp;Table13[[#This Row],[FY]]</f>
        <v>Week 37, MAR FY19</v>
      </c>
      <c r="I38" s="3" t="str">
        <f>Table13[[#This Row],[Month]]&amp;", "&amp;Table13[[#This Row],[FY]]</f>
        <v>MAR, FY19</v>
      </c>
      <c r="J38" s="3" t="str">
        <f>"Q"&amp;Table13[[#This Row],[QTR]]&amp;", "&amp;Table13[[#This Row],[FY]]</f>
        <v>Q3, FY19</v>
      </c>
    </row>
    <row r="39" spans="1:10" x14ac:dyDescent="0.25">
      <c r="A39" s="2">
        <f t="shared" si="3"/>
        <v>43535</v>
      </c>
      <c r="B39" s="2">
        <f t="shared" si="3"/>
        <v>43541</v>
      </c>
      <c r="C39" s="3" t="s">
        <v>782</v>
      </c>
      <c r="D39" s="3" t="s">
        <v>780</v>
      </c>
      <c r="E39" s="3">
        <f t="shared" si="1"/>
        <v>3</v>
      </c>
      <c r="F39" s="3" t="s">
        <v>737</v>
      </c>
      <c r="G39" s="3" t="str">
        <f>Table13[[#This Row],[Month]]&amp;", "&amp;Table13[[#This Row],[FY]]</f>
        <v>MAR, FY19</v>
      </c>
      <c r="H39" s="3" t="str">
        <f>Table13[[#This Row],[Week]]&amp;", "&amp;Table13[[#This Row],[Month]]&amp;" "&amp;Table13[[#This Row],[FY]]</f>
        <v>Week 38, MAR FY19</v>
      </c>
      <c r="I39" s="3" t="str">
        <f>Table13[[#This Row],[Month]]&amp;", "&amp;Table13[[#This Row],[FY]]</f>
        <v>MAR, FY19</v>
      </c>
      <c r="J39" s="3" t="str">
        <f>"Q"&amp;Table13[[#This Row],[QTR]]&amp;", "&amp;Table13[[#This Row],[FY]]</f>
        <v>Q3, FY19</v>
      </c>
    </row>
    <row r="40" spans="1:10" x14ac:dyDescent="0.25">
      <c r="A40" s="2">
        <f t="shared" si="3"/>
        <v>43542</v>
      </c>
      <c r="B40" s="2">
        <f t="shared" si="3"/>
        <v>43548</v>
      </c>
      <c r="C40" s="3" t="s">
        <v>783</v>
      </c>
      <c r="D40" s="3" t="s">
        <v>780</v>
      </c>
      <c r="E40" s="3">
        <f t="shared" si="1"/>
        <v>3</v>
      </c>
      <c r="F40" s="3" t="s">
        <v>737</v>
      </c>
      <c r="G40" s="3" t="str">
        <f>Table13[[#This Row],[Month]]&amp;", "&amp;Table13[[#This Row],[FY]]</f>
        <v>MAR, FY19</v>
      </c>
      <c r="H40" s="3" t="str">
        <f>Table13[[#This Row],[Week]]&amp;", "&amp;Table13[[#This Row],[Month]]&amp;" "&amp;Table13[[#This Row],[FY]]</f>
        <v>Week 39, MAR FY19</v>
      </c>
      <c r="I40" s="3" t="str">
        <f>Table13[[#This Row],[Month]]&amp;", "&amp;Table13[[#This Row],[FY]]</f>
        <v>MAR, FY19</v>
      </c>
      <c r="J40" s="3" t="str">
        <f>"Q"&amp;Table13[[#This Row],[QTR]]&amp;", "&amp;Table13[[#This Row],[FY]]</f>
        <v>Q3, FY19</v>
      </c>
    </row>
    <row r="41" spans="1:10" x14ac:dyDescent="0.25">
      <c r="A41" s="2">
        <f t="shared" si="3"/>
        <v>43549</v>
      </c>
      <c r="B41" s="2">
        <f t="shared" si="3"/>
        <v>43555</v>
      </c>
      <c r="C41" s="3" t="s">
        <v>784</v>
      </c>
      <c r="D41" s="3" t="s">
        <v>785</v>
      </c>
      <c r="E41" s="3">
        <f t="shared" si="1"/>
        <v>4</v>
      </c>
      <c r="F41" s="3" t="s">
        <v>737</v>
      </c>
      <c r="G41" s="3" t="str">
        <f>Table13[[#This Row],[Month]]&amp;", "&amp;Table13[[#This Row],[FY]]</f>
        <v>APR, FY19</v>
      </c>
      <c r="H41" s="3" t="str">
        <f>Table13[[#This Row],[Week]]&amp;", "&amp;Table13[[#This Row],[Month]]&amp;" "&amp;Table13[[#This Row],[FY]]</f>
        <v>Week 40, APR FY19</v>
      </c>
      <c r="I41" s="3" t="str">
        <f>Table13[[#This Row],[Month]]&amp;", "&amp;Table13[[#This Row],[FY]]</f>
        <v>APR, FY19</v>
      </c>
      <c r="J41" s="3" t="str">
        <f>"Q"&amp;Table13[[#This Row],[QTR]]&amp;", "&amp;Table13[[#This Row],[FY]]</f>
        <v>Q4, FY19</v>
      </c>
    </row>
    <row r="42" spans="1:10" x14ac:dyDescent="0.25">
      <c r="A42" s="2">
        <f t="shared" si="3"/>
        <v>43556</v>
      </c>
      <c r="B42" s="2">
        <f t="shared" si="3"/>
        <v>43562</v>
      </c>
      <c r="C42" s="3" t="s">
        <v>786</v>
      </c>
      <c r="D42" s="3" t="s">
        <v>785</v>
      </c>
      <c r="E42" s="3">
        <f t="shared" si="1"/>
        <v>4</v>
      </c>
      <c r="F42" s="3" t="s">
        <v>737</v>
      </c>
      <c r="G42" s="3" t="str">
        <f>Table13[[#This Row],[Month]]&amp;", "&amp;Table13[[#This Row],[FY]]</f>
        <v>APR, FY19</v>
      </c>
      <c r="H42" s="3" t="str">
        <f>Table13[[#This Row],[Week]]&amp;", "&amp;Table13[[#This Row],[Month]]&amp;" "&amp;Table13[[#This Row],[FY]]</f>
        <v>Week 41, APR FY19</v>
      </c>
      <c r="I42" s="3" t="str">
        <f>Table13[[#This Row],[Month]]&amp;", "&amp;Table13[[#This Row],[FY]]</f>
        <v>APR, FY19</v>
      </c>
      <c r="J42" s="3" t="str">
        <f>"Q"&amp;Table13[[#This Row],[QTR]]&amp;", "&amp;Table13[[#This Row],[FY]]</f>
        <v>Q4, FY19</v>
      </c>
    </row>
    <row r="43" spans="1:10" x14ac:dyDescent="0.25">
      <c r="A43" s="2">
        <f t="shared" si="3"/>
        <v>43563</v>
      </c>
      <c r="B43" s="2">
        <f t="shared" si="3"/>
        <v>43569</v>
      </c>
      <c r="C43" s="3" t="s">
        <v>787</v>
      </c>
      <c r="D43" s="3" t="s">
        <v>785</v>
      </c>
      <c r="E43" s="3">
        <f t="shared" si="1"/>
        <v>4</v>
      </c>
      <c r="F43" s="3" t="s">
        <v>737</v>
      </c>
      <c r="G43" s="3" t="str">
        <f>Table13[[#This Row],[Month]]&amp;", "&amp;Table13[[#This Row],[FY]]</f>
        <v>APR, FY19</v>
      </c>
      <c r="H43" s="3" t="str">
        <f>Table13[[#This Row],[Week]]&amp;", "&amp;Table13[[#This Row],[Month]]&amp;" "&amp;Table13[[#This Row],[FY]]</f>
        <v>Week 42, APR FY19</v>
      </c>
      <c r="I43" s="3" t="str">
        <f>Table13[[#This Row],[Month]]&amp;", "&amp;Table13[[#This Row],[FY]]</f>
        <v>APR, FY19</v>
      </c>
      <c r="J43" s="3" t="str">
        <f>"Q"&amp;Table13[[#This Row],[QTR]]&amp;", "&amp;Table13[[#This Row],[FY]]</f>
        <v>Q4, FY19</v>
      </c>
    </row>
    <row r="44" spans="1:10" x14ac:dyDescent="0.25">
      <c r="A44" s="2">
        <f t="shared" si="3"/>
        <v>43570</v>
      </c>
      <c r="B44" s="2">
        <f t="shared" si="3"/>
        <v>43576</v>
      </c>
      <c r="C44" s="3" t="s">
        <v>788</v>
      </c>
      <c r="D44" s="3" t="s">
        <v>785</v>
      </c>
      <c r="E44" s="3">
        <f t="shared" si="1"/>
        <v>4</v>
      </c>
      <c r="F44" s="3" t="s">
        <v>737</v>
      </c>
      <c r="G44" s="3" t="str">
        <f>Table13[[#This Row],[Month]]&amp;", "&amp;Table13[[#This Row],[FY]]</f>
        <v>APR, FY19</v>
      </c>
      <c r="H44" s="3" t="str">
        <f>Table13[[#This Row],[Week]]&amp;", "&amp;Table13[[#This Row],[Month]]&amp;" "&amp;Table13[[#This Row],[FY]]</f>
        <v>Week 43, APR FY19</v>
      </c>
      <c r="I44" s="3" t="str">
        <f>Table13[[#This Row],[Month]]&amp;", "&amp;Table13[[#This Row],[FY]]</f>
        <v>APR, FY19</v>
      </c>
      <c r="J44" s="3" t="str">
        <f>"Q"&amp;Table13[[#This Row],[QTR]]&amp;", "&amp;Table13[[#This Row],[FY]]</f>
        <v>Q4, FY19</v>
      </c>
    </row>
    <row r="45" spans="1:10" x14ac:dyDescent="0.25">
      <c r="A45" s="2">
        <f t="shared" si="3"/>
        <v>43577</v>
      </c>
      <c r="B45" s="2">
        <f t="shared" si="3"/>
        <v>43583</v>
      </c>
      <c r="C45" s="3" t="s">
        <v>789</v>
      </c>
      <c r="D45" s="3" t="s">
        <v>790</v>
      </c>
      <c r="E45" s="3">
        <f t="shared" si="1"/>
        <v>4</v>
      </c>
      <c r="F45" s="3" t="s">
        <v>737</v>
      </c>
      <c r="G45" s="3" t="str">
        <f>Table13[[#This Row],[Month]]&amp;", "&amp;Table13[[#This Row],[FY]]</f>
        <v>MAY, FY19</v>
      </c>
      <c r="H45" s="3" t="str">
        <f>Table13[[#This Row],[Week]]&amp;", "&amp;Table13[[#This Row],[Month]]&amp;" "&amp;Table13[[#This Row],[FY]]</f>
        <v>Week 44, MAY FY19</v>
      </c>
      <c r="I45" s="3" t="str">
        <f>Table13[[#This Row],[Month]]&amp;", "&amp;Table13[[#This Row],[FY]]</f>
        <v>MAY, FY19</v>
      </c>
      <c r="J45" s="3" t="str">
        <f>"Q"&amp;Table13[[#This Row],[QTR]]&amp;", "&amp;Table13[[#This Row],[FY]]</f>
        <v>Q4, FY19</v>
      </c>
    </row>
    <row r="46" spans="1:10" x14ac:dyDescent="0.25">
      <c r="A46" s="2">
        <f t="shared" si="3"/>
        <v>43584</v>
      </c>
      <c r="B46" s="2">
        <f t="shared" si="3"/>
        <v>43590</v>
      </c>
      <c r="C46" s="3" t="s">
        <v>791</v>
      </c>
      <c r="D46" s="3" t="s">
        <v>790</v>
      </c>
      <c r="E46" s="3">
        <f t="shared" si="1"/>
        <v>4</v>
      </c>
      <c r="F46" s="3" t="s">
        <v>737</v>
      </c>
      <c r="G46" s="3" t="str">
        <f>Table13[[#This Row],[Month]]&amp;", "&amp;Table13[[#This Row],[FY]]</f>
        <v>MAY, FY19</v>
      </c>
      <c r="H46" s="3" t="str">
        <f>Table13[[#This Row],[Week]]&amp;", "&amp;Table13[[#This Row],[Month]]&amp;" "&amp;Table13[[#This Row],[FY]]</f>
        <v>Week 45, MAY FY19</v>
      </c>
      <c r="I46" s="3" t="str">
        <f>Table13[[#This Row],[Month]]&amp;", "&amp;Table13[[#This Row],[FY]]</f>
        <v>MAY, FY19</v>
      </c>
      <c r="J46" s="3" t="str">
        <f>"Q"&amp;Table13[[#This Row],[QTR]]&amp;", "&amp;Table13[[#This Row],[FY]]</f>
        <v>Q4, FY19</v>
      </c>
    </row>
    <row r="47" spans="1:10" x14ac:dyDescent="0.25">
      <c r="A47" s="2">
        <f t="shared" si="3"/>
        <v>43591</v>
      </c>
      <c r="B47" s="2">
        <f t="shared" si="3"/>
        <v>43597</v>
      </c>
      <c r="C47" s="3" t="s">
        <v>792</v>
      </c>
      <c r="D47" s="3" t="s">
        <v>790</v>
      </c>
      <c r="E47" s="3">
        <f t="shared" si="1"/>
        <v>4</v>
      </c>
      <c r="F47" s="3" t="s">
        <v>737</v>
      </c>
      <c r="G47" s="3" t="str">
        <f>Table13[[#This Row],[Month]]&amp;", "&amp;Table13[[#This Row],[FY]]</f>
        <v>MAY, FY19</v>
      </c>
      <c r="H47" s="3" t="str">
        <f>Table13[[#This Row],[Week]]&amp;", "&amp;Table13[[#This Row],[Month]]&amp;" "&amp;Table13[[#This Row],[FY]]</f>
        <v>Week 46, MAY FY19</v>
      </c>
      <c r="I47" s="3" t="str">
        <f>Table13[[#This Row],[Month]]&amp;", "&amp;Table13[[#This Row],[FY]]</f>
        <v>MAY, FY19</v>
      </c>
      <c r="J47" s="3" t="str">
        <f>"Q"&amp;Table13[[#This Row],[QTR]]&amp;", "&amp;Table13[[#This Row],[FY]]</f>
        <v>Q4, FY19</v>
      </c>
    </row>
    <row r="48" spans="1:10" x14ac:dyDescent="0.25">
      <c r="A48" s="2">
        <f t="shared" si="3"/>
        <v>43598</v>
      </c>
      <c r="B48" s="2">
        <f t="shared" si="3"/>
        <v>43604</v>
      </c>
      <c r="C48" s="3" t="s">
        <v>793</v>
      </c>
      <c r="D48" s="3" t="s">
        <v>790</v>
      </c>
      <c r="E48" s="3">
        <f t="shared" si="1"/>
        <v>4</v>
      </c>
      <c r="F48" s="3" t="s">
        <v>737</v>
      </c>
      <c r="G48" s="3" t="str">
        <f>Table13[[#This Row],[Month]]&amp;", "&amp;Table13[[#This Row],[FY]]</f>
        <v>MAY, FY19</v>
      </c>
      <c r="H48" s="3" t="str">
        <f>Table13[[#This Row],[Week]]&amp;", "&amp;Table13[[#This Row],[Month]]&amp;" "&amp;Table13[[#This Row],[FY]]</f>
        <v>Week 47, MAY FY19</v>
      </c>
      <c r="I48" s="3" t="str">
        <f>Table13[[#This Row],[Month]]&amp;", "&amp;Table13[[#This Row],[FY]]</f>
        <v>MAY, FY19</v>
      </c>
      <c r="J48" s="3" t="str">
        <f>"Q"&amp;Table13[[#This Row],[QTR]]&amp;", "&amp;Table13[[#This Row],[FY]]</f>
        <v>Q4, FY19</v>
      </c>
    </row>
    <row r="49" spans="1:10" x14ac:dyDescent="0.25">
      <c r="A49" s="2">
        <f t="shared" si="3"/>
        <v>43605</v>
      </c>
      <c r="B49" s="2">
        <f t="shared" si="3"/>
        <v>43611</v>
      </c>
      <c r="C49" s="3" t="s">
        <v>794</v>
      </c>
      <c r="D49" s="3" t="s">
        <v>790</v>
      </c>
      <c r="E49" s="3">
        <f t="shared" si="1"/>
        <v>4</v>
      </c>
      <c r="F49" s="3" t="s">
        <v>737</v>
      </c>
      <c r="G49" s="3" t="str">
        <f>Table13[[#This Row],[Month]]&amp;", "&amp;Table13[[#This Row],[FY]]</f>
        <v>MAY, FY19</v>
      </c>
      <c r="H49" s="3" t="str">
        <f>Table13[[#This Row],[Week]]&amp;", "&amp;Table13[[#This Row],[Month]]&amp;" "&amp;Table13[[#This Row],[FY]]</f>
        <v>Week 48, MAY FY19</v>
      </c>
      <c r="I49" s="3" t="str">
        <f>Table13[[#This Row],[Month]]&amp;", "&amp;Table13[[#This Row],[FY]]</f>
        <v>MAY, FY19</v>
      </c>
      <c r="J49" s="3" t="str">
        <f>"Q"&amp;Table13[[#This Row],[QTR]]&amp;", "&amp;Table13[[#This Row],[FY]]</f>
        <v>Q4, FY19</v>
      </c>
    </row>
    <row r="50" spans="1:10" x14ac:dyDescent="0.25">
      <c r="A50" s="2">
        <f t="shared" si="3"/>
        <v>43612</v>
      </c>
      <c r="B50" s="2">
        <f t="shared" si="3"/>
        <v>43618</v>
      </c>
      <c r="C50" s="3" t="s">
        <v>795</v>
      </c>
      <c r="D50" s="3" t="s">
        <v>796</v>
      </c>
      <c r="E50" s="3">
        <f t="shared" si="1"/>
        <v>4</v>
      </c>
      <c r="F50" s="3" t="s">
        <v>737</v>
      </c>
      <c r="G50" s="3" t="str">
        <f>Table13[[#This Row],[Month]]&amp;", "&amp;Table13[[#This Row],[FY]]</f>
        <v>JUN, FY19</v>
      </c>
      <c r="H50" s="3" t="str">
        <f>Table13[[#This Row],[Week]]&amp;", "&amp;Table13[[#This Row],[Month]]&amp;" "&amp;Table13[[#This Row],[FY]]</f>
        <v>Week 49, JUN FY19</v>
      </c>
      <c r="I50" s="3" t="str">
        <f>Table13[[#This Row],[Month]]&amp;", "&amp;Table13[[#This Row],[FY]]</f>
        <v>JUN, FY19</v>
      </c>
      <c r="J50" s="3" t="str">
        <f>"Q"&amp;Table13[[#This Row],[QTR]]&amp;", "&amp;Table13[[#This Row],[FY]]</f>
        <v>Q4, FY19</v>
      </c>
    </row>
    <row r="51" spans="1:10" x14ac:dyDescent="0.25">
      <c r="A51" s="2">
        <f t="shared" ref="A51:B66" si="4">A50+7</f>
        <v>43619</v>
      </c>
      <c r="B51" s="2">
        <f t="shared" si="4"/>
        <v>43625</v>
      </c>
      <c r="C51" s="3" t="s">
        <v>797</v>
      </c>
      <c r="D51" s="3" t="s">
        <v>796</v>
      </c>
      <c r="E51" s="3">
        <f t="shared" si="1"/>
        <v>4</v>
      </c>
      <c r="F51" s="3" t="s">
        <v>737</v>
      </c>
      <c r="G51" s="3" t="str">
        <f>Table13[[#This Row],[Month]]&amp;", "&amp;Table13[[#This Row],[FY]]</f>
        <v>JUN, FY19</v>
      </c>
      <c r="H51" s="3" t="str">
        <f>Table13[[#This Row],[Week]]&amp;", "&amp;Table13[[#This Row],[Month]]&amp;" "&amp;Table13[[#This Row],[FY]]</f>
        <v>Week 50, JUN FY19</v>
      </c>
      <c r="I51" s="3" t="str">
        <f>Table13[[#This Row],[Month]]&amp;", "&amp;Table13[[#This Row],[FY]]</f>
        <v>JUN, FY19</v>
      </c>
      <c r="J51" s="3" t="str">
        <f>"Q"&amp;Table13[[#This Row],[QTR]]&amp;", "&amp;Table13[[#This Row],[FY]]</f>
        <v>Q4, FY19</v>
      </c>
    </row>
    <row r="52" spans="1:10" x14ac:dyDescent="0.25">
      <c r="A52" s="2">
        <f t="shared" si="4"/>
        <v>43626</v>
      </c>
      <c r="B52" s="2">
        <f t="shared" si="4"/>
        <v>43632</v>
      </c>
      <c r="C52" s="3" t="s">
        <v>798</v>
      </c>
      <c r="D52" s="3" t="s">
        <v>796</v>
      </c>
      <c r="E52" s="3">
        <f t="shared" si="1"/>
        <v>4</v>
      </c>
      <c r="F52" s="3" t="s">
        <v>737</v>
      </c>
      <c r="G52" s="3" t="str">
        <f>Table13[[#This Row],[Month]]&amp;", "&amp;Table13[[#This Row],[FY]]</f>
        <v>JUN, FY19</v>
      </c>
      <c r="H52" s="3" t="str">
        <f>Table13[[#This Row],[Week]]&amp;", "&amp;Table13[[#This Row],[Month]]&amp;" "&amp;Table13[[#This Row],[FY]]</f>
        <v>Week 51, JUN FY19</v>
      </c>
      <c r="I52" s="3" t="str">
        <f>Table13[[#This Row],[Month]]&amp;", "&amp;Table13[[#This Row],[FY]]</f>
        <v>JUN, FY19</v>
      </c>
      <c r="J52" s="3" t="str">
        <f>"Q"&amp;Table13[[#This Row],[QTR]]&amp;", "&amp;Table13[[#This Row],[FY]]</f>
        <v>Q4, FY19</v>
      </c>
    </row>
    <row r="53" spans="1:10" x14ac:dyDescent="0.25">
      <c r="A53" s="2">
        <f t="shared" si="4"/>
        <v>43633</v>
      </c>
      <c r="B53" s="2">
        <f>B52+7</f>
        <v>43639</v>
      </c>
      <c r="C53" s="3" t="s">
        <v>799</v>
      </c>
      <c r="D53" s="3" t="s">
        <v>796</v>
      </c>
      <c r="E53" s="3">
        <f t="shared" si="1"/>
        <v>4</v>
      </c>
      <c r="F53" s="3" t="s">
        <v>737</v>
      </c>
      <c r="G53" s="3" t="str">
        <f>Table13[[#This Row],[Month]]&amp;", "&amp;Table13[[#This Row],[FY]]</f>
        <v>JUN, FY19</v>
      </c>
      <c r="H53" s="3" t="str">
        <f>Table13[[#This Row],[Week]]&amp;", "&amp;Table13[[#This Row],[Month]]&amp;" "&amp;Table13[[#This Row],[FY]]</f>
        <v>Week 52, JUN FY19</v>
      </c>
      <c r="I53" s="3" t="str">
        <f>Table13[[#This Row],[Month]]&amp;", "&amp;Table13[[#This Row],[FY]]</f>
        <v>JUN, FY19</v>
      </c>
      <c r="J53" s="3" t="str">
        <f>"Q"&amp;Table13[[#This Row],[QTR]]&amp;", "&amp;Table13[[#This Row],[FY]]</f>
        <v>Q4, FY19</v>
      </c>
    </row>
    <row r="54" spans="1:10" x14ac:dyDescent="0.25">
      <c r="A54" s="2">
        <f t="shared" si="4"/>
        <v>43640</v>
      </c>
      <c r="B54" s="2">
        <f t="shared" si="4"/>
        <v>43646</v>
      </c>
      <c r="C54" s="3" t="s">
        <v>800</v>
      </c>
      <c r="D54" s="3" t="s">
        <v>796</v>
      </c>
      <c r="E54" s="3">
        <v>4</v>
      </c>
      <c r="F54" s="3" t="s">
        <v>737</v>
      </c>
      <c r="G54" s="3" t="str">
        <f>Table13[[#This Row],[Month]]&amp;", "&amp;Table13[[#This Row],[FY]]</f>
        <v>JUN, FY19</v>
      </c>
      <c r="H54" s="3" t="str">
        <f>Table13[[#This Row],[Week]]&amp;", "&amp;Table13[[#This Row],[Month]]&amp;" "&amp;Table13[[#This Row],[FY]]</f>
        <v>Week 53, JUN FY19</v>
      </c>
      <c r="I54" s="3" t="str">
        <f>Table13[[#This Row],[Month]]&amp;", "&amp;Table13[[#This Row],[FY]]</f>
        <v>JUN, FY19</v>
      </c>
      <c r="J54" s="3" t="str">
        <f>"Q"&amp;Table13[[#This Row],[QTR]]&amp;", "&amp;Table13[[#This Row],[FY]]</f>
        <v>Q4, FY19</v>
      </c>
    </row>
    <row r="55" spans="1:10" x14ac:dyDescent="0.25">
      <c r="A55" s="2">
        <f t="shared" si="4"/>
        <v>43647</v>
      </c>
      <c r="B55" s="2">
        <f t="shared" si="4"/>
        <v>43653</v>
      </c>
      <c r="C55" s="3" t="s">
        <v>735</v>
      </c>
      <c r="D55" s="3" t="s">
        <v>736</v>
      </c>
      <c r="E55" s="3">
        <v>1</v>
      </c>
      <c r="F55" s="3" t="s">
        <v>801</v>
      </c>
      <c r="G55" s="3" t="str">
        <f>Table13[[#This Row],[Month]]&amp;", "&amp;Table13[[#This Row],[FY]]</f>
        <v>JUL, FY20</v>
      </c>
      <c r="H55" s="3" t="str">
        <f>Table13[[#This Row],[Week]]&amp;", "&amp;Table13[[#This Row],[Month]]&amp;" "&amp;Table13[[#This Row],[FY]]</f>
        <v>Week 1, JUL FY20</v>
      </c>
      <c r="I55" s="3" t="str">
        <f>Table13[[#This Row],[Month]]&amp;", "&amp;Table13[[#This Row],[FY]]</f>
        <v>JUL, FY20</v>
      </c>
      <c r="J55" s="3" t="str">
        <f>"Q"&amp;Table13[[#This Row],[QTR]]&amp;", "&amp;Table13[[#This Row],[FY]]</f>
        <v>Q1, FY20</v>
      </c>
    </row>
    <row r="56" spans="1:10" x14ac:dyDescent="0.25">
      <c r="A56" s="2">
        <f t="shared" si="4"/>
        <v>43654</v>
      </c>
      <c r="B56" s="2">
        <f t="shared" si="4"/>
        <v>43660</v>
      </c>
      <c r="C56" s="3" t="s">
        <v>738</v>
      </c>
      <c r="D56" s="3" t="s">
        <v>736</v>
      </c>
      <c r="E56" s="3">
        <v>1</v>
      </c>
      <c r="F56" s="3" t="s">
        <v>801</v>
      </c>
      <c r="G56" s="3" t="str">
        <f>Table13[[#This Row],[Month]]&amp;", "&amp;Table13[[#This Row],[FY]]</f>
        <v>JUL, FY20</v>
      </c>
      <c r="H56" s="3" t="str">
        <f>Table13[[#This Row],[Week]]&amp;", "&amp;Table13[[#This Row],[Month]]&amp;" "&amp;Table13[[#This Row],[FY]]</f>
        <v>Week 2, JUL FY20</v>
      </c>
      <c r="I56" s="3" t="str">
        <f>Table13[[#This Row],[Month]]&amp;", "&amp;Table13[[#This Row],[FY]]</f>
        <v>JUL, FY20</v>
      </c>
      <c r="J56" s="3" t="str">
        <f>"Q"&amp;Table13[[#This Row],[QTR]]&amp;", "&amp;Table13[[#This Row],[FY]]</f>
        <v>Q1, FY20</v>
      </c>
    </row>
    <row r="57" spans="1:10" x14ac:dyDescent="0.25">
      <c r="A57" s="2">
        <f t="shared" si="4"/>
        <v>43661</v>
      </c>
      <c r="B57" s="2">
        <f t="shared" si="4"/>
        <v>43667</v>
      </c>
      <c r="C57" s="3" t="s">
        <v>739</v>
      </c>
      <c r="D57" s="3" t="s">
        <v>736</v>
      </c>
      <c r="E57" s="3">
        <v>1</v>
      </c>
      <c r="F57" s="3" t="s">
        <v>801</v>
      </c>
      <c r="G57" s="3" t="str">
        <f>Table13[[#This Row],[Month]]&amp;", "&amp;Table13[[#This Row],[FY]]</f>
        <v>JUL, FY20</v>
      </c>
      <c r="H57" s="3" t="str">
        <f>Table13[[#This Row],[Week]]&amp;", "&amp;Table13[[#This Row],[Month]]&amp;" "&amp;Table13[[#This Row],[FY]]</f>
        <v>Week 3, JUL FY20</v>
      </c>
      <c r="I57" s="3" t="str">
        <f>Table13[[#This Row],[Month]]&amp;", "&amp;Table13[[#This Row],[FY]]</f>
        <v>JUL, FY20</v>
      </c>
      <c r="J57" s="3" t="str">
        <f>"Q"&amp;Table13[[#This Row],[QTR]]&amp;", "&amp;Table13[[#This Row],[FY]]</f>
        <v>Q1, FY20</v>
      </c>
    </row>
    <row r="58" spans="1:10" x14ac:dyDescent="0.25">
      <c r="A58" s="2">
        <f t="shared" si="4"/>
        <v>43668</v>
      </c>
      <c r="B58" s="2">
        <f t="shared" si="4"/>
        <v>43674</v>
      </c>
      <c r="C58" s="3" t="s">
        <v>740</v>
      </c>
      <c r="D58" s="3" t="s">
        <v>736</v>
      </c>
      <c r="E58" s="3">
        <v>1</v>
      </c>
      <c r="F58" s="3" t="s">
        <v>801</v>
      </c>
      <c r="G58" s="3" t="str">
        <f>Table13[[#This Row],[Month]]&amp;", "&amp;Table13[[#This Row],[FY]]</f>
        <v>JUL, FY20</v>
      </c>
      <c r="H58" s="3" t="str">
        <f>Table13[[#This Row],[Week]]&amp;", "&amp;Table13[[#This Row],[Month]]&amp;" "&amp;Table13[[#This Row],[FY]]</f>
        <v>Week 4, JUL FY20</v>
      </c>
      <c r="I58" s="3" t="str">
        <f>Table13[[#This Row],[Month]]&amp;", "&amp;Table13[[#This Row],[FY]]</f>
        <v>JUL, FY20</v>
      </c>
      <c r="J58" s="3" t="str">
        <f>"Q"&amp;Table13[[#This Row],[QTR]]&amp;", "&amp;Table13[[#This Row],[FY]]</f>
        <v>Q1, FY20</v>
      </c>
    </row>
    <row r="59" spans="1:10" x14ac:dyDescent="0.25">
      <c r="A59" s="2">
        <f t="shared" si="4"/>
        <v>43675</v>
      </c>
      <c r="B59" s="2">
        <f t="shared" si="4"/>
        <v>43681</v>
      </c>
      <c r="C59" s="3" t="s">
        <v>741</v>
      </c>
      <c r="D59" s="3" t="s">
        <v>742</v>
      </c>
      <c r="E59" s="3">
        <v>1</v>
      </c>
      <c r="F59" s="3" t="s">
        <v>801</v>
      </c>
      <c r="G59" s="3" t="str">
        <f>Table13[[#This Row],[Month]]&amp;", "&amp;Table13[[#This Row],[FY]]</f>
        <v>AUG, FY20</v>
      </c>
      <c r="H59" s="3" t="str">
        <f>Table13[[#This Row],[Week]]&amp;", "&amp;Table13[[#This Row],[Month]]&amp;" "&amp;Table13[[#This Row],[FY]]</f>
        <v>Week 5, AUG FY20</v>
      </c>
      <c r="I59" s="3" t="str">
        <f>Table13[[#This Row],[Month]]&amp;", "&amp;Table13[[#This Row],[FY]]</f>
        <v>AUG, FY20</v>
      </c>
      <c r="J59" s="3" t="str">
        <f>"Q"&amp;Table13[[#This Row],[QTR]]&amp;", "&amp;Table13[[#This Row],[FY]]</f>
        <v>Q1, FY20</v>
      </c>
    </row>
    <row r="60" spans="1:10" x14ac:dyDescent="0.25">
      <c r="A60" s="2">
        <f t="shared" si="4"/>
        <v>43682</v>
      </c>
      <c r="B60" s="2">
        <f t="shared" si="4"/>
        <v>43688</v>
      </c>
      <c r="C60" s="3" t="s">
        <v>743</v>
      </c>
      <c r="D60" s="3" t="s">
        <v>742</v>
      </c>
      <c r="E60" s="3">
        <v>1</v>
      </c>
      <c r="F60" s="3" t="s">
        <v>801</v>
      </c>
      <c r="G60" s="3" t="str">
        <f>Table13[[#This Row],[Month]]&amp;", "&amp;Table13[[#This Row],[FY]]</f>
        <v>AUG, FY20</v>
      </c>
      <c r="H60" s="3" t="str">
        <f>Table13[[#This Row],[Week]]&amp;", "&amp;Table13[[#This Row],[Month]]&amp;" "&amp;Table13[[#This Row],[FY]]</f>
        <v>Week 6, AUG FY20</v>
      </c>
      <c r="I60" s="3" t="str">
        <f>Table13[[#This Row],[Month]]&amp;", "&amp;Table13[[#This Row],[FY]]</f>
        <v>AUG, FY20</v>
      </c>
      <c r="J60" s="3" t="str">
        <f>"Q"&amp;Table13[[#This Row],[QTR]]&amp;", "&amp;Table13[[#This Row],[FY]]</f>
        <v>Q1, FY20</v>
      </c>
    </row>
    <row r="61" spans="1:10" x14ac:dyDescent="0.25">
      <c r="A61" s="2">
        <f t="shared" si="4"/>
        <v>43689</v>
      </c>
      <c r="B61" s="2">
        <f t="shared" si="4"/>
        <v>43695</v>
      </c>
      <c r="C61" s="3" t="s">
        <v>744</v>
      </c>
      <c r="D61" s="3" t="s">
        <v>742</v>
      </c>
      <c r="E61" s="3">
        <v>1</v>
      </c>
      <c r="F61" s="3" t="s">
        <v>801</v>
      </c>
      <c r="G61" s="3" t="str">
        <f>Table13[[#This Row],[Month]]&amp;", "&amp;Table13[[#This Row],[FY]]</f>
        <v>AUG, FY20</v>
      </c>
      <c r="H61" s="3" t="str">
        <f>Table13[[#This Row],[Week]]&amp;", "&amp;Table13[[#This Row],[Month]]&amp;" "&amp;Table13[[#This Row],[FY]]</f>
        <v>Week 7, AUG FY20</v>
      </c>
      <c r="I61" s="3" t="str">
        <f>Table13[[#This Row],[Month]]&amp;", "&amp;Table13[[#This Row],[FY]]</f>
        <v>AUG, FY20</v>
      </c>
      <c r="J61" s="3" t="str">
        <f>"Q"&amp;Table13[[#This Row],[QTR]]&amp;", "&amp;Table13[[#This Row],[FY]]</f>
        <v>Q1, FY20</v>
      </c>
    </row>
    <row r="62" spans="1:10" x14ac:dyDescent="0.25">
      <c r="A62" s="2">
        <f t="shared" si="4"/>
        <v>43696</v>
      </c>
      <c r="B62" s="2">
        <f t="shared" si="4"/>
        <v>43702</v>
      </c>
      <c r="C62" s="3" t="s">
        <v>745</v>
      </c>
      <c r="D62" s="3" t="s">
        <v>742</v>
      </c>
      <c r="E62" s="3">
        <v>1</v>
      </c>
      <c r="F62" s="3" t="s">
        <v>801</v>
      </c>
      <c r="G62" s="3" t="str">
        <f>Table13[[#This Row],[Month]]&amp;", "&amp;Table13[[#This Row],[FY]]</f>
        <v>AUG, FY20</v>
      </c>
      <c r="H62" s="3" t="str">
        <f>Table13[[#This Row],[Week]]&amp;", "&amp;Table13[[#This Row],[Month]]&amp;" "&amp;Table13[[#This Row],[FY]]</f>
        <v>Week 8, AUG FY20</v>
      </c>
      <c r="I62" s="3" t="str">
        <f>Table13[[#This Row],[Month]]&amp;", "&amp;Table13[[#This Row],[FY]]</f>
        <v>AUG, FY20</v>
      </c>
      <c r="J62" s="3" t="str">
        <f>"Q"&amp;Table13[[#This Row],[QTR]]&amp;", "&amp;Table13[[#This Row],[FY]]</f>
        <v>Q1, FY20</v>
      </c>
    </row>
    <row r="63" spans="1:10" x14ac:dyDescent="0.25">
      <c r="A63" s="2">
        <f t="shared" si="4"/>
        <v>43703</v>
      </c>
      <c r="B63" s="2">
        <f t="shared" si="4"/>
        <v>43709</v>
      </c>
      <c r="C63" s="3" t="s">
        <v>746</v>
      </c>
      <c r="D63" s="3" t="s">
        <v>742</v>
      </c>
      <c r="E63" s="3">
        <v>1</v>
      </c>
      <c r="F63" s="3" t="s">
        <v>801</v>
      </c>
      <c r="G63" s="3" t="str">
        <f>Table13[[#This Row],[Month]]&amp;", "&amp;Table13[[#This Row],[FY]]</f>
        <v>AUG, FY20</v>
      </c>
      <c r="H63" s="3" t="str">
        <f>Table13[[#This Row],[Week]]&amp;", "&amp;Table13[[#This Row],[Month]]&amp;" "&amp;Table13[[#This Row],[FY]]</f>
        <v>Week 9, AUG FY20</v>
      </c>
      <c r="I63" s="3" t="str">
        <f>Table13[[#This Row],[Month]]&amp;", "&amp;Table13[[#This Row],[FY]]</f>
        <v>AUG, FY20</v>
      </c>
      <c r="J63" s="3" t="str">
        <f>"Q"&amp;Table13[[#This Row],[QTR]]&amp;", "&amp;Table13[[#This Row],[FY]]</f>
        <v>Q1, FY20</v>
      </c>
    </row>
    <row r="64" spans="1:10" x14ac:dyDescent="0.25">
      <c r="A64" s="2">
        <f t="shared" si="4"/>
        <v>43710</v>
      </c>
      <c r="B64" s="2">
        <f t="shared" si="4"/>
        <v>43716</v>
      </c>
      <c r="C64" s="3" t="s">
        <v>747</v>
      </c>
      <c r="D64" s="3" t="s">
        <v>748</v>
      </c>
      <c r="E64" s="3">
        <v>1</v>
      </c>
      <c r="F64" s="3" t="s">
        <v>801</v>
      </c>
      <c r="G64" s="3" t="str">
        <f>Table13[[#This Row],[Month]]&amp;", "&amp;Table13[[#This Row],[FY]]</f>
        <v>SEP, FY20</v>
      </c>
      <c r="H64" s="3" t="str">
        <f>Table13[[#This Row],[Week]]&amp;", "&amp;Table13[[#This Row],[Month]]&amp;" "&amp;Table13[[#This Row],[FY]]</f>
        <v>Week 10, SEP FY20</v>
      </c>
      <c r="I64" s="3" t="str">
        <f>Table13[[#This Row],[Month]]&amp;", "&amp;Table13[[#This Row],[FY]]</f>
        <v>SEP, FY20</v>
      </c>
      <c r="J64" s="3" t="str">
        <f>"Q"&amp;Table13[[#This Row],[QTR]]&amp;", "&amp;Table13[[#This Row],[FY]]</f>
        <v>Q1, FY20</v>
      </c>
    </row>
    <row r="65" spans="1:10" x14ac:dyDescent="0.25">
      <c r="A65" s="2">
        <f t="shared" si="4"/>
        <v>43717</v>
      </c>
      <c r="B65" s="2">
        <f t="shared" si="4"/>
        <v>43723</v>
      </c>
      <c r="C65" s="3" t="s">
        <v>749</v>
      </c>
      <c r="D65" s="3" t="s">
        <v>748</v>
      </c>
      <c r="E65" s="3">
        <v>1</v>
      </c>
      <c r="F65" s="3" t="s">
        <v>801</v>
      </c>
      <c r="G65" s="3" t="str">
        <f>Table13[[#This Row],[Month]]&amp;", "&amp;Table13[[#This Row],[FY]]</f>
        <v>SEP, FY20</v>
      </c>
      <c r="H65" s="3" t="str">
        <f>Table13[[#This Row],[Week]]&amp;", "&amp;Table13[[#This Row],[Month]]&amp;" "&amp;Table13[[#This Row],[FY]]</f>
        <v>Week 11, SEP FY20</v>
      </c>
      <c r="I65" s="3" t="str">
        <f>Table13[[#This Row],[Month]]&amp;", "&amp;Table13[[#This Row],[FY]]</f>
        <v>SEP, FY20</v>
      </c>
      <c r="J65" s="3" t="str">
        <f>"Q"&amp;Table13[[#This Row],[QTR]]&amp;", "&amp;Table13[[#This Row],[FY]]</f>
        <v>Q1, FY20</v>
      </c>
    </row>
    <row r="66" spans="1:10" x14ac:dyDescent="0.25">
      <c r="A66" s="2">
        <f t="shared" si="4"/>
        <v>43724</v>
      </c>
      <c r="B66" s="2">
        <f t="shared" si="4"/>
        <v>43730</v>
      </c>
      <c r="C66" s="3" t="s">
        <v>750</v>
      </c>
      <c r="D66" s="3" t="s">
        <v>748</v>
      </c>
      <c r="E66" s="3">
        <v>1</v>
      </c>
      <c r="F66" s="3" t="s">
        <v>801</v>
      </c>
      <c r="G66" s="3" t="str">
        <f>Table13[[#This Row],[Month]]&amp;", "&amp;Table13[[#This Row],[FY]]</f>
        <v>SEP, FY20</v>
      </c>
      <c r="H66" s="3" t="str">
        <f>Table13[[#This Row],[Week]]&amp;", "&amp;Table13[[#This Row],[Month]]&amp;" "&amp;Table13[[#This Row],[FY]]</f>
        <v>Week 12, SEP FY20</v>
      </c>
      <c r="I66" s="3" t="str">
        <f>Table13[[#This Row],[Month]]&amp;", "&amp;Table13[[#This Row],[FY]]</f>
        <v>SEP, FY20</v>
      </c>
      <c r="J66" s="3" t="str">
        <f>"Q"&amp;Table13[[#This Row],[QTR]]&amp;", "&amp;Table13[[#This Row],[FY]]</f>
        <v>Q1, FY20</v>
      </c>
    </row>
    <row r="67" spans="1:10" x14ac:dyDescent="0.25">
      <c r="A67" s="2">
        <f t="shared" ref="A67:B82" si="5">A66+7</f>
        <v>43731</v>
      </c>
      <c r="B67" s="2">
        <f t="shared" si="5"/>
        <v>43737</v>
      </c>
      <c r="C67" s="3" t="s">
        <v>751</v>
      </c>
      <c r="D67" s="3" t="s">
        <v>748</v>
      </c>
      <c r="E67" s="3">
        <v>1</v>
      </c>
      <c r="F67" s="3" t="s">
        <v>801</v>
      </c>
      <c r="G67" s="3" t="str">
        <f>Table13[[#This Row],[Month]]&amp;", "&amp;Table13[[#This Row],[FY]]</f>
        <v>SEP, FY20</v>
      </c>
      <c r="H67" s="3" t="str">
        <f>Table13[[#This Row],[Week]]&amp;", "&amp;Table13[[#This Row],[Month]]&amp;" "&amp;Table13[[#This Row],[FY]]</f>
        <v>Week 13, SEP FY20</v>
      </c>
      <c r="I67" s="3" t="str">
        <f>Table13[[#This Row],[Month]]&amp;", "&amp;Table13[[#This Row],[FY]]</f>
        <v>SEP, FY20</v>
      </c>
      <c r="J67" s="3" t="str">
        <f>"Q"&amp;Table13[[#This Row],[QTR]]&amp;", "&amp;Table13[[#This Row],[FY]]</f>
        <v>Q1, FY20</v>
      </c>
    </row>
    <row r="68" spans="1:10" x14ac:dyDescent="0.25">
      <c r="A68" s="2">
        <f t="shared" si="5"/>
        <v>43738</v>
      </c>
      <c r="B68" s="2">
        <f t="shared" si="5"/>
        <v>43744</v>
      </c>
      <c r="C68" s="3" t="s">
        <v>752</v>
      </c>
      <c r="D68" s="3" t="s">
        <v>753</v>
      </c>
      <c r="E68" s="3">
        <f t="shared" ref="E68:E105" si="6">E55+1</f>
        <v>2</v>
      </c>
      <c r="F68" s="3" t="s">
        <v>801</v>
      </c>
      <c r="G68" s="3" t="str">
        <f>Table13[[#This Row],[Month]]&amp;", "&amp;Table13[[#This Row],[FY]]</f>
        <v>OCT, FY20</v>
      </c>
      <c r="H68" s="3" t="str">
        <f>Table13[[#This Row],[Week]]&amp;", "&amp;Table13[[#This Row],[Month]]&amp;" "&amp;Table13[[#This Row],[FY]]</f>
        <v>Week 14, OCT FY20</v>
      </c>
      <c r="I68" s="3" t="str">
        <f>Table13[[#This Row],[Month]]&amp;", "&amp;Table13[[#This Row],[FY]]</f>
        <v>OCT, FY20</v>
      </c>
      <c r="J68" s="3" t="str">
        <f>"Q"&amp;Table13[[#This Row],[QTR]]&amp;", "&amp;Table13[[#This Row],[FY]]</f>
        <v>Q2, FY20</v>
      </c>
    </row>
    <row r="69" spans="1:10" x14ac:dyDescent="0.25">
      <c r="A69" s="2">
        <f t="shared" si="5"/>
        <v>43745</v>
      </c>
      <c r="B69" s="2">
        <f t="shared" si="5"/>
        <v>43751</v>
      </c>
      <c r="C69" s="3" t="s">
        <v>754</v>
      </c>
      <c r="D69" s="3" t="s">
        <v>753</v>
      </c>
      <c r="E69" s="3">
        <f t="shared" si="6"/>
        <v>2</v>
      </c>
      <c r="F69" s="3" t="s">
        <v>801</v>
      </c>
      <c r="G69" s="3" t="str">
        <f>Table13[[#This Row],[Month]]&amp;", "&amp;Table13[[#This Row],[FY]]</f>
        <v>OCT, FY20</v>
      </c>
      <c r="H69" s="3" t="str">
        <f>Table13[[#This Row],[Week]]&amp;", "&amp;Table13[[#This Row],[Month]]&amp;" "&amp;Table13[[#This Row],[FY]]</f>
        <v>Week 15, OCT FY20</v>
      </c>
      <c r="I69" s="3" t="str">
        <f>Table13[[#This Row],[Month]]&amp;", "&amp;Table13[[#This Row],[FY]]</f>
        <v>OCT, FY20</v>
      </c>
      <c r="J69" s="3" t="str">
        <f>"Q"&amp;Table13[[#This Row],[QTR]]&amp;", "&amp;Table13[[#This Row],[FY]]</f>
        <v>Q2, FY20</v>
      </c>
    </row>
    <row r="70" spans="1:10" x14ac:dyDescent="0.25">
      <c r="A70" s="2">
        <f t="shared" si="5"/>
        <v>43752</v>
      </c>
      <c r="B70" s="2">
        <f t="shared" si="5"/>
        <v>43758</v>
      </c>
      <c r="C70" s="3" t="s">
        <v>755</v>
      </c>
      <c r="D70" s="3" t="s">
        <v>753</v>
      </c>
      <c r="E70" s="3">
        <f t="shared" si="6"/>
        <v>2</v>
      </c>
      <c r="F70" s="3" t="s">
        <v>801</v>
      </c>
      <c r="G70" s="3" t="str">
        <f>Table13[[#This Row],[Month]]&amp;", "&amp;Table13[[#This Row],[FY]]</f>
        <v>OCT, FY20</v>
      </c>
      <c r="H70" s="3" t="str">
        <f>Table13[[#This Row],[Week]]&amp;", "&amp;Table13[[#This Row],[Month]]&amp;" "&amp;Table13[[#This Row],[FY]]</f>
        <v>Week 16, OCT FY20</v>
      </c>
      <c r="I70" s="3" t="str">
        <f>Table13[[#This Row],[Month]]&amp;", "&amp;Table13[[#This Row],[FY]]</f>
        <v>OCT, FY20</v>
      </c>
      <c r="J70" s="3" t="str">
        <f>"Q"&amp;Table13[[#This Row],[QTR]]&amp;", "&amp;Table13[[#This Row],[FY]]</f>
        <v>Q2, FY20</v>
      </c>
    </row>
    <row r="71" spans="1:10" x14ac:dyDescent="0.25">
      <c r="A71" s="2">
        <f t="shared" si="5"/>
        <v>43759</v>
      </c>
      <c r="B71" s="2">
        <f t="shared" si="5"/>
        <v>43765</v>
      </c>
      <c r="C71" s="3" t="s">
        <v>756</v>
      </c>
      <c r="D71" s="3" t="s">
        <v>753</v>
      </c>
      <c r="E71" s="3">
        <f t="shared" si="6"/>
        <v>2</v>
      </c>
      <c r="F71" s="3" t="s">
        <v>801</v>
      </c>
      <c r="G71" s="3" t="str">
        <f>Table13[[#This Row],[Month]]&amp;", "&amp;Table13[[#This Row],[FY]]</f>
        <v>OCT, FY20</v>
      </c>
      <c r="H71" s="3" t="str">
        <f>Table13[[#This Row],[Week]]&amp;", "&amp;Table13[[#This Row],[Month]]&amp;" "&amp;Table13[[#This Row],[FY]]</f>
        <v>Week 17, OCT FY20</v>
      </c>
      <c r="I71" s="3" t="str">
        <f>Table13[[#This Row],[Month]]&amp;", "&amp;Table13[[#This Row],[FY]]</f>
        <v>OCT, FY20</v>
      </c>
      <c r="J71" s="3" t="str">
        <f>"Q"&amp;Table13[[#This Row],[QTR]]&amp;", "&amp;Table13[[#This Row],[FY]]</f>
        <v>Q2, FY20</v>
      </c>
    </row>
    <row r="72" spans="1:10" x14ac:dyDescent="0.25">
      <c r="A72" s="2">
        <f t="shared" si="5"/>
        <v>43766</v>
      </c>
      <c r="B72" s="2">
        <f t="shared" si="5"/>
        <v>43772</v>
      </c>
      <c r="C72" s="3" t="s">
        <v>757</v>
      </c>
      <c r="D72" s="3" t="s">
        <v>758</v>
      </c>
      <c r="E72" s="3">
        <f t="shared" si="6"/>
        <v>2</v>
      </c>
      <c r="F72" s="3" t="s">
        <v>801</v>
      </c>
      <c r="G72" s="3" t="str">
        <f>Table13[[#This Row],[Month]]&amp;", "&amp;Table13[[#This Row],[FY]]</f>
        <v>NOV, FY20</v>
      </c>
      <c r="H72" s="3" t="str">
        <f>Table13[[#This Row],[Week]]&amp;", "&amp;Table13[[#This Row],[Month]]&amp;" "&amp;Table13[[#This Row],[FY]]</f>
        <v>Week 18, NOV FY20</v>
      </c>
      <c r="I72" s="3" t="str">
        <f>Table13[[#This Row],[Month]]&amp;", "&amp;Table13[[#This Row],[FY]]</f>
        <v>NOV, FY20</v>
      </c>
      <c r="J72" s="3" t="str">
        <f>"Q"&amp;Table13[[#This Row],[QTR]]&amp;", "&amp;Table13[[#This Row],[FY]]</f>
        <v>Q2, FY20</v>
      </c>
    </row>
    <row r="73" spans="1:10" x14ac:dyDescent="0.25">
      <c r="A73" s="2">
        <f t="shared" si="5"/>
        <v>43773</v>
      </c>
      <c r="B73" s="2">
        <f t="shared" si="5"/>
        <v>43779</v>
      </c>
      <c r="C73" s="3" t="s">
        <v>759</v>
      </c>
      <c r="D73" s="3" t="s">
        <v>758</v>
      </c>
      <c r="E73" s="3">
        <f t="shared" si="6"/>
        <v>2</v>
      </c>
      <c r="F73" s="3" t="s">
        <v>801</v>
      </c>
      <c r="G73" s="3" t="str">
        <f>Table13[[#This Row],[Month]]&amp;", "&amp;Table13[[#This Row],[FY]]</f>
        <v>NOV, FY20</v>
      </c>
      <c r="H73" s="3" t="str">
        <f>Table13[[#This Row],[Week]]&amp;", "&amp;Table13[[#This Row],[Month]]&amp;" "&amp;Table13[[#This Row],[FY]]</f>
        <v>Week 19, NOV FY20</v>
      </c>
      <c r="I73" s="3" t="str">
        <f>Table13[[#This Row],[Month]]&amp;", "&amp;Table13[[#This Row],[FY]]</f>
        <v>NOV, FY20</v>
      </c>
      <c r="J73" s="3" t="str">
        <f>"Q"&amp;Table13[[#This Row],[QTR]]&amp;", "&amp;Table13[[#This Row],[FY]]</f>
        <v>Q2, FY20</v>
      </c>
    </row>
    <row r="74" spans="1:10" x14ac:dyDescent="0.25">
      <c r="A74" s="2">
        <f t="shared" si="5"/>
        <v>43780</v>
      </c>
      <c r="B74" s="2">
        <f t="shared" si="5"/>
        <v>43786</v>
      </c>
      <c r="C74" s="3" t="s">
        <v>760</v>
      </c>
      <c r="D74" s="3" t="s">
        <v>758</v>
      </c>
      <c r="E74" s="3">
        <f t="shared" si="6"/>
        <v>2</v>
      </c>
      <c r="F74" s="3" t="s">
        <v>801</v>
      </c>
      <c r="G74" s="3" t="str">
        <f>Table13[[#This Row],[Month]]&amp;", "&amp;Table13[[#This Row],[FY]]</f>
        <v>NOV, FY20</v>
      </c>
      <c r="H74" s="3" t="str">
        <f>Table13[[#This Row],[Week]]&amp;", "&amp;Table13[[#This Row],[Month]]&amp;" "&amp;Table13[[#This Row],[FY]]</f>
        <v>Week 20, NOV FY20</v>
      </c>
      <c r="I74" s="3" t="str">
        <f>Table13[[#This Row],[Month]]&amp;", "&amp;Table13[[#This Row],[FY]]</f>
        <v>NOV, FY20</v>
      </c>
      <c r="J74" s="3" t="str">
        <f>"Q"&amp;Table13[[#This Row],[QTR]]&amp;", "&amp;Table13[[#This Row],[FY]]</f>
        <v>Q2, FY20</v>
      </c>
    </row>
    <row r="75" spans="1:10" x14ac:dyDescent="0.25">
      <c r="A75" s="2">
        <f t="shared" si="5"/>
        <v>43787</v>
      </c>
      <c r="B75" s="2">
        <f t="shared" si="5"/>
        <v>43793</v>
      </c>
      <c r="C75" s="3" t="s">
        <v>761</v>
      </c>
      <c r="D75" s="3" t="s">
        <v>758</v>
      </c>
      <c r="E75" s="3">
        <f t="shared" si="6"/>
        <v>2</v>
      </c>
      <c r="F75" s="3" t="s">
        <v>801</v>
      </c>
      <c r="G75" s="3" t="str">
        <f>Table13[[#This Row],[Month]]&amp;", "&amp;Table13[[#This Row],[FY]]</f>
        <v>NOV, FY20</v>
      </c>
      <c r="H75" s="3" t="str">
        <f>Table13[[#This Row],[Week]]&amp;", "&amp;Table13[[#This Row],[Month]]&amp;" "&amp;Table13[[#This Row],[FY]]</f>
        <v>Week 21, NOV FY20</v>
      </c>
      <c r="I75" s="3" t="str">
        <f>Table13[[#This Row],[Month]]&amp;", "&amp;Table13[[#This Row],[FY]]</f>
        <v>NOV, FY20</v>
      </c>
      <c r="J75" s="3" t="str">
        <f>"Q"&amp;Table13[[#This Row],[QTR]]&amp;", "&amp;Table13[[#This Row],[FY]]</f>
        <v>Q2, FY20</v>
      </c>
    </row>
    <row r="76" spans="1:10" x14ac:dyDescent="0.25">
      <c r="A76" s="2">
        <f t="shared" si="5"/>
        <v>43794</v>
      </c>
      <c r="B76" s="2">
        <f t="shared" si="5"/>
        <v>43800</v>
      </c>
      <c r="C76" s="3" t="s">
        <v>762</v>
      </c>
      <c r="D76" s="3" t="s">
        <v>758</v>
      </c>
      <c r="E76" s="3">
        <f t="shared" si="6"/>
        <v>2</v>
      </c>
      <c r="F76" s="3" t="s">
        <v>801</v>
      </c>
      <c r="G76" s="3" t="str">
        <f>Table13[[#This Row],[Month]]&amp;", "&amp;Table13[[#This Row],[FY]]</f>
        <v>NOV, FY20</v>
      </c>
      <c r="H76" s="3" t="str">
        <f>Table13[[#This Row],[Week]]&amp;", "&amp;Table13[[#This Row],[Month]]&amp;" "&amp;Table13[[#This Row],[FY]]</f>
        <v>Week 22, NOV FY20</v>
      </c>
      <c r="I76" s="3" t="str">
        <f>Table13[[#This Row],[Month]]&amp;", "&amp;Table13[[#This Row],[FY]]</f>
        <v>NOV, FY20</v>
      </c>
      <c r="J76" s="3" t="str">
        <f>"Q"&amp;Table13[[#This Row],[QTR]]&amp;", "&amp;Table13[[#This Row],[FY]]</f>
        <v>Q2, FY20</v>
      </c>
    </row>
    <row r="77" spans="1:10" x14ac:dyDescent="0.25">
      <c r="A77" s="2">
        <f t="shared" si="5"/>
        <v>43801</v>
      </c>
      <c r="B77" s="2">
        <f t="shared" si="5"/>
        <v>43807</v>
      </c>
      <c r="C77" s="3" t="s">
        <v>763</v>
      </c>
      <c r="D77" s="3" t="s">
        <v>764</v>
      </c>
      <c r="E77" s="3">
        <f t="shared" si="6"/>
        <v>2</v>
      </c>
      <c r="F77" s="3" t="s">
        <v>801</v>
      </c>
      <c r="G77" s="3" t="str">
        <f>Table13[[#This Row],[Month]]&amp;", "&amp;Table13[[#This Row],[FY]]</f>
        <v>DEC, FY20</v>
      </c>
      <c r="H77" s="3" t="str">
        <f>Table13[[#This Row],[Week]]&amp;", "&amp;Table13[[#This Row],[Month]]&amp;" "&amp;Table13[[#This Row],[FY]]</f>
        <v>Week 23, DEC FY20</v>
      </c>
      <c r="I77" s="3" t="str">
        <f>Table13[[#This Row],[Month]]&amp;", "&amp;Table13[[#This Row],[FY]]</f>
        <v>DEC, FY20</v>
      </c>
      <c r="J77" s="3" t="str">
        <f>"Q"&amp;Table13[[#This Row],[QTR]]&amp;", "&amp;Table13[[#This Row],[FY]]</f>
        <v>Q2, FY20</v>
      </c>
    </row>
    <row r="78" spans="1:10" x14ac:dyDescent="0.25">
      <c r="A78" s="2">
        <f t="shared" si="5"/>
        <v>43808</v>
      </c>
      <c r="B78" s="2">
        <f t="shared" si="5"/>
        <v>43814</v>
      </c>
      <c r="C78" s="3" t="s">
        <v>765</v>
      </c>
      <c r="D78" s="3" t="s">
        <v>764</v>
      </c>
      <c r="E78" s="3">
        <f t="shared" si="6"/>
        <v>2</v>
      </c>
      <c r="F78" s="3" t="s">
        <v>801</v>
      </c>
      <c r="G78" s="3" t="str">
        <f>Table13[[#This Row],[Month]]&amp;", "&amp;Table13[[#This Row],[FY]]</f>
        <v>DEC, FY20</v>
      </c>
      <c r="H78" s="3" t="str">
        <f>Table13[[#This Row],[Week]]&amp;", "&amp;Table13[[#This Row],[Month]]&amp;" "&amp;Table13[[#This Row],[FY]]</f>
        <v>Week 24, DEC FY20</v>
      </c>
      <c r="I78" s="3" t="str">
        <f>Table13[[#This Row],[Month]]&amp;", "&amp;Table13[[#This Row],[FY]]</f>
        <v>DEC, FY20</v>
      </c>
      <c r="J78" s="3" t="str">
        <f>"Q"&amp;Table13[[#This Row],[QTR]]&amp;", "&amp;Table13[[#This Row],[FY]]</f>
        <v>Q2, FY20</v>
      </c>
    </row>
    <row r="79" spans="1:10" x14ac:dyDescent="0.25">
      <c r="A79" s="2">
        <f t="shared" si="5"/>
        <v>43815</v>
      </c>
      <c r="B79" s="2">
        <f t="shared" si="5"/>
        <v>43821</v>
      </c>
      <c r="C79" s="3" t="s">
        <v>766</v>
      </c>
      <c r="D79" s="3" t="s">
        <v>764</v>
      </c>
      <c r="E79" s="3">
        <f t="shared" si="6"/>
        <v>2</v>
      </c>
      <c r="F79" s="3" t="s">
        <v>801</v>
      </c>
      <c r="G79" s="3" t="str">
        <f>Table13[[#This Row],[Month]]&amp;", "&amp;Table13[[#This Row],[FY]]</f>
        <v>DEC, FY20</v>
      </c>
      <c r="H79" s="3" t="str">
        <f>Table13[[#This Row],[Week]]&amp;", "&amp;Table13[[#This Row],[Month]]&amp;" "&amp;Table13[[#This Row],[FY]]</f>
        <v>Week 25, DEC FY20</v>
      </c>
      <c r="I79" s="3" t="str">
        <f>Table13[[#This Row],[Month]]&amp;", "&amp;Table13[[#This Row],[FY]]</f>
        <v>DEC, FY20</v>
      </c>
      <c r="J79" s="3" t="str">
        <f>"Q"&amp;Table13[[#This Row],[QTR]]&amp;", "&amp;Table13[[#This Row],[FY]]</f>
        <v>Q2, FY20</v>
      </c>
    </row>
    <row r="80" spans="1:10" x14ac:dyDescent="0.25">
      <c r="A80" s="2">
        <f t="shared" si="5"/>
        <v>43822</v>
      </c>
      <c r="B80" s="2">
        <f t="shared" si="5"/>
        <v>43828</v>
      </c>
      <c r="C80" s="3" t="s">
        <v>767</v>
      </c>
      <c r="D80" s="3" t="s">
        <v>764</v>
      </c>
      <c r="E80" s="3">
        <v>2</v>
      </c>
      <c r="F80" s="3" t="s">
        <v>801</v>
      </c>
      <c r="G80" s="3" t="str">
        <f>Table13[[#This Row],[Month]]&amp;", "&amp;Table13[[#This Row],[FY]]</f>
        <v>DEC, FY20</v>
      </c>
      <c r="H80" s="3" t="str">
        <f>Table13[[#This Row],[Week]]&amp;", "&amp;Table13[[#This Row],[Month]]&amp;" "&amp;Table13[[#This Row],[FY]]</f>
        <v>Week 26, DEC FY20</v>
      </c>
      <c r="I80" s="3" t="str">
        <f>Table13[[#This Row],[Month]]&amp;", "&amp;Table13[[#This Row],[FY]]</f>
        <v>DEC, FY20</v>
      </c>
      <c r="J80" s="3" t="str">
        <f>"Q"&amp;Table13[[#This Row],[QTR]]&amp;", "&amp;Table13[[#This Row],[FY]]</f>
        <v>Q2, FY20</v>
      </c>
    </row>
    <row r="81" spans="1:10" x14ac:dyDescent="0.25">
      <c r="A81" s="2">
        <f t="shared" si="5"/>
        <v>43829</v>
      </c>
      <c r="B81" s="2">
        <f t="shared" si="5"/>
        <v>43835</v>
      </c>
      <c r="C81" s="3" t="s">
        <v>768</v>
      </c>
      <c r="D81" s="3" t="s">
        <v>769</v>
      </c>
      <c r="E81" s="3">
        <f t="shared" si="6"/>
        <v>3</v>
      </c>
      <c r="F81" s="3" t="s">
        <v>801</v>
      </c>
      <c r="G81" s="3" t="str">
        <f>Table13[[#This Row],[Month]]&amp;", "&amp;Table13[[#This Row],[FY]]</f>
        <v>JAN, FY20</v>
      </c>
      <c r="H81" s="3" t="str">
        <f>Table13[[#This Row],[Week]]&amp;", "&amp;Table13[[#This Row],[Month]]&amp;" "&amp;Table13[[#This Row],[FY]]</f>
        <v>Week 27, JAN FY20</v>
      </c>
      <c r="I81" s="3" t="str">
        <f>Table13[[#This Row],[Month]]&amp;", "&amp;Table13[[#This Row],[FY]]</f>
        <v>JAN, FY20</v>
      </c>
      <c r="J81" s="3" t="str">
        <f>"Q"&amp;Table13[[#This Row],[QTR]]&amp;", "&amp;Table13[[#This Row],[FY]]</f>
        <v>Q3, FY20</v>
      </c>
    </row>
    <row r="82" spans="1:10" x14ac:dyDescent="0.25">
      <c r="A82" s="2">
        <f t="shared" si="5"/>
        <v>43836</v>
      </c>
      <c r="B82" s="2">
        <f t="shared" si="5"/>
        <v>43842</v>
      </c>
      <c r="C82" s="3" t="s">
        <v>770</v>
      </c>
      <c r="D82" s="3" t="s">
        <v>769</v>
      </c>
      <c r="E82" s="3">
        <f t="shared" si="6"/>
        <v>3</v>
      </c>
      <c r="F82" s="3" t="s">
        <v>801</v>
      </c>
      <c r="G82" s="3" t="str">
        <f>Table13[[#This Row],[Month]]&amp;", "&amp;Table13[[#This Row],[FY]]</f>
        <v>JAN, FY20</v>
      </c>
      <c r="H82" s="3" t="str">
        <f>Table13[[#This Row],[Week]]&amp;", "&amp;Table13[[#This Row],[Month]]&amp;" "&amp;Table13[[#This Row],[FY]]</f>
        <v>Week 28, JAN FY20</v>
      </c>
      <c r="I82" s="3" t="str">
        <f>Table13[[#This Row],[Month]]&amp;", "&amp;Table13[[#This Row],[FY]]</f>
        <v>JAN, FY20</v>
      </c>
      <c r="J82" s="3" t="str">
        <f>"Q"&amp;Table13[[#This Row],[QTR]]&amp;", "&amp;Table13[[#This Row],[FY]]</f>
        <v>Q3, FY20</v>
      </c>
    </row>
    <row r="83" spans="1:10" x14ac:dyDescent="0.25">
      <c r="A83" s="2">
        <f t="shared" ref="A83:B98" si="7">A82+7</f>
        <v>43843</v>
      </c>
      <c r="B83" s="2">
        <f t="shared" si="7"/>
        <v>43849</v>
      </c>
      <c r="C83" s="3" t="s">
        <v>771</v>
      </c>
      <c r="D83" s="3" t="s">
        <v>769</v>
      </c>
      <c r="E83" s="3">
        <f t="shared" si="6"/>
        <v>3</v>
      </c>
      <c r="F83" s="3" t="s">
        <v>801</v>
      </c>
      <c r="G83" s="3" t="str">
        <f>Table13[[#This Row],[Month]]&amp;", "&amp;Table13[[#This Row],[FY]]</f>
        <v>JAN, FY20</v>
      </c>
      <c r="H83" s="3" t="str">
        <f>Table13[[#This Row],[Week]]&amp;", "&amp;Table13[[#This Row],[Month]]&amp;" "&amp;Table13[[#This Row],[FY]]</f>
        <v>Week 29, JAN FY20</v>
      </c>
      <c r="I83" s="3" t="str">
        <f>Table13[[#This Row],[Month]]&amp;", "&amp;Table13[[#This Row],[FY]]</f>
        <v>JAN, FY20</v>
      </c>
      <c r="J83" s="3" t="str">
        <f>"Q"&amp;Table13[[#This Row],[QTR]]&amp;", "&amp;Table13[[#This Row],[FY]]</f>
        <v>Q3, FY20</v>
      </c>
    </row>
    <row r="84" spans="1:10" x14ac:dyDescent="0.25">
      <c r="A84" s="2">
        <f t="shared" si="7"/>
        <v>43850</v>
      </c>
      <c r="B84" s="2">
        <f t="shared" si="7"/>
        <v>43856</v>
      </c>
      <c r="C84" s="3" t="s">
        <v>772</v>
      </c>
      <c r="D84" s="3" t="s">
        <v>769</v>
      </c>
      <c r="E84" s="3">
        <f t="shared" si="6"/>
        <v>3</v>
      </c>
      <c r="F84" s="3" t="s">
        <v>801</v>
      </c>
      <c r="G84" s="3" t="str">
        <f>Table13[[#This Row],[Month]]&amp;", "&amp;Table13[[#This Row],[FY]]</f>
        <v>JAN, FY20</v>
      </c>
      <c r="H84" s="3" t="str">
        <f>Table13[[#This Row],[Week]]&amp;", "&amp;Table13[[#This Row],[Month]]&amp;" "&amp;Table13[[#This Row],[FY]]</f>
        <v>Week 30, JAN FY20</v>
      </c>
      <c r="I84" s="3" t="str">
        <f>Table13[[#This Row],[Month]]&amp;", "&amp;Table13[[#This Row],[FY]]</f>
        <v>JAN, FY20</v>
      </c>
      <c r="J84" s="3" t="str">
        <f>"Q"&amp;Table13[[#This Row],[QTR]]&amp;", "&amp;Table13[[#This Row],[FY]]</f>
        <v>Q3, FY20</v>
      </c>
    </row>
    <row r="85" spans="1:10" x14ac:dyDescent="0.25">
      <c r="A85" s="2">
        <f t="shared" si="7"/>
        <v>43857</v>
      </c>
      <c r="B85" s="2">
        <f t="shared" si="7"/>
        <v>43863</v>
      </c>
      <c r="C85" s="3" t="s">
        <v>773</v>
      </c>
      <c r="D85" s="3" t="s">
        <v>774</v>
      </c>
      <c r="E85" s="3">
        <f t="shared" si="6"/>
        <v>3</v>
      </c>
      <c r="F85" s="3" t="s">
        <v>801</v>
      </c>
      <c r="G85" s="3" t="str">
        <f>Table13[[#This Row],[Month]]&amp;", "&amp;Table13[[#This Row],[FY]]</f>
        <v>FEB, FY20</v>
      </c>
      <c r="H85" s="3" t="str">
        <f>Table13[[#This Row],[Week]]&amp;", "&amp;Table13[[#This Row],[Month]]&amp;" "&amp;Table13[[#This Row],[FY]]</f>
        <v>Week 31, FEB FY20</v>
      </c>
      <c r="I85" s="3" t="str">
        <f>Table13[[#This Row],[Month]]&amp;", "&amp;Table13[[#This Row],[FY]]</f>
        <v>FEB, FY20</v>
      </c>
      <c r="J85" s="3" t="str">
        <f>"Q"&amp;Table13[[#This Row],[QTR]]&amp;", "&amp;Table13[[#This Row],[FY]]</f>
        <v>Q3, FY20</v>
      </c>
    </row>
    <row r="86" spans="1:10" x14ac:dyDescent="0.25">
      <c r="A86" s="2">
        <f t="shared" si="7"/>
        <v>43864</v>
      </c>
      <c r="B86" s="2">
        <f t="shared" si="7"/>
        <v>43870</v>
      </c>
      <c r="C86" s="3" t="s">
        <v>775</v>
      </c>
      <c r="D86" s="3" t="s">
        <v>774</v>
      </c>
      <c r="E86" s="3">
        <f t="shared" si="6"/>
        <v>3</v>
      </c>
      <c r="F86" s="3" t="s">
        <v>801</v>
      </c>
      <c r="G86" s="3" t="str">
        <f>Table13[[#This Row],[Month]]&amp;", "&amp;Table13[[#This Row],[FY]]</f>
        <v>FEB, FY20</v>
      </c>
      <c r="H86" s="3" t="str">
        <f>Table13[[#This Row],[Week]]&amp;", "&amp;Table13[[#This Row],[Month]]&amp;" "&amp;Table13[[#This Row],[FY]]</f>
        <v>Week 32, FEB FY20</v>
      </c>
      <c r="I86" s="3" t="str">
        <f>Table13[[#This Row],[Month]]&amp;", "&amp;Table13[[#This Row],[FY]]</f>
        <v>FEB, FY20</v>
      </c>
      <c r="J86" s="3" t="str">
        <f>"Q"&amp;Table13[[#This Row],[QTR]]&amp;", "&amp;Table13[[#This Row],[FY]]</f>
        <v>Q3, FY20</v>
      </c>
    </row>
    <row r="87" spans="1:10" x14ac:dyDescent="0.25">
      <c r="A87" s="2">
        <f t="shared" si="7"/>
        <v>43871</v>
      </c>
      <c r="B87" s="2">
        <f t="shared" si="7"/>
        <v>43877</v>
      </c>
      <c r="C87" s="3" t="s">
        <v>776</v>
      </c>
      <c r="D87" s="3" t="s">
        <v>774</v>
      </c>
      <c r="E87" s="3">
        <f t="shared" si="6"/>
        <v>3</v>
      </c>
      <c r="F87" s="3" t="s">
        <v>801</v>
      </c>
      <c r="G87" s="3" t="str">
        <f>Table13[[#This Row],[Month]]&amp;", "&amp;Table13[[#This Row],[FY]]</f>
        <v>FEB, FY20</v>
      </c>
      <c r="H87" s="3" t="str">
        <f>Table13[[#This Row],[Week]]&amp;", "&amp;Table13[[#This Row],[Month]]&amp;" "&amp;Table13[[#This Row],[FY]]</f>
        <v>Week 33, FEB FY20</v>
      </c>
      <c r="I87" s="3" t="str">
        <f>Table13[[#This Row],[Month]]&amp;", "&amp;Table13[[#This Row],[FY]]</f>
        <v>FEB, FY20</v>
      </c>
      <c r="J87" s="3" t="str">
        <f>"Q"&amp;Table13[[#This Row],[QTR]]&amp;", "&amp;Table13[[#This Row],[FY]]</f>
        <v>Q3, FY20</v>
      </c>
    </row>
    <row r="88" spans="1:10" x14ac:dyDescent="0.25">
      <c r="A88" s="2">
        <f t="shared" si="7"/>
        <v>43878</v>
      </c>
      <c r="B88" s="2">
        <f t="shared" si="7"/>
        <v>43884</v>
      </c>
      <c r="C88" s="3" t="s">
        <v>777</v>
      </c>
      <c r="D88" s="3" t="s">
        <v>774</v>
      </c>
      <c r="E88" s="3">
        <f t="shared" si="6"/>
        <v>3</v>
      </c>
      <c r="F88" s="3" t="s">
        <v>801</v>
      </c>
      <c r="G88" s="3" t="str">
        <f>Table13[[#This Row],[Month]]&amp;", "&amp;Table13[[#This Row],[FY]]</f>
        <v>FEB, FY20</v>
      </c>
      <c r="H88" s="3" t="str">
        <f>Table13[[#This Row],[Week]]&amp;", "&amp;Table13[[#This Row],[Month]]&amp;" "&amp;Table13[[#This Row],[FY]]</f>
        <v>Week 34, FEB FY20</v>
      </c>
      <c r="I88" s="3" t="str">
        <f>Table13[[#This Row],[Month]]&amp;", "&amp;Table13[[#This Row],[FY]]</f>
        <v>FEB, FY20</v>
      </c>
      <c r="J88" s="3" t="str">
        <f>"Q"&amp;Table13[[#This Row],[QTR]]&amp;", "&amp;Table13[[#This Row],[FY]]</f>
        <v>Q3, FY20</v>
      </c>
    </row>
    <row r="89" spans="1:10" x14ac:dyDescent="0.25">
      <c r="A89" s="2">
        <f t="shared" si="7"/>
        <v>43885</v>
      </c>
      <c r="B89" s="2">
        <f t="shared" si="7"/>
        <v>43891</v>
      </c>
      <c r="C89" s="3" t="s">
        <v>778</v>
      </c>
      <c r="D89" s="3" t="s">
        <v>774</v>
      </c>
      <c r="E89" s="3">
        <f t="shared" si="6"/>
        <v>3</v>
      </c>
      <c r="F89" s="3" t="s">
        <v>801</v>
      </c>
      <c r="G89" s="3" t="str">
        <f>Table13[[#This Row],[Month]]&amp;", "&amp;Table13[[#This Row],[FY]]</f>
        <v>FEB, FY20</v>
      </c>
      <c r="H89" s="3" t="str">
        <f>Table13[[#This Row],[Week]]&amp;", "&amp;Table13[[#This Row],[Month]]&amp;" "&amp;Table13[[#This Row],[FY]]</f>
        <v>Week 35, FEB FY20</v>
      </c>
      <c r="I89" s="3" t="str">
        <f>Table13[[#This Row],[Month]]&amp;", "&amp;Table13[[#This Row],[FY]]</f>
        <v>FEB, FY20</v>
      </c>
      <c r="J89" s="3" t="str">
        <f>"Q"&amp;Table13[[#This Row],[QTR]]&amp;", "&amp;Table13[[#This Row],[FY]]</f>
        <v>Q3, FY20</v>
      </c>
    </row>
    <row r="90" spans="1:10" x14ac:dyDescent="0.25">
      <c r="A90" s="2">
        <f t="shared" si="7"/>
        <v>43892</v>
      </c>
      <c r="B90" s="2">
        <f t="shared" si="7"/>
        <v>43898</v>
      </c>
      <c r="C90" s="3" t="s">
        <v>779</v>
      </c>
      <c r="D90" s="3" t="s">
        <v>780</v>
      </c>
      <c r="E90" s="3">
        <f t="shared" si="6"/>
        <v>3</v>
      </c>
      <c r="F90" s="3" t="s">
        <v>801</v>
      </c>
      <c r="G90" s="3" t="str">
        <f>Table13[[#This Row],[Month]]&amp;", "&amp;Table13[[#This Row],[FY]]</f>
        <v>MAR, FY20</v>
      </c>
      <c r="H90" s="3" t="str">
        <f>Table13[[#This Row],[Week]]&amp;", "&amp;Table13[[#This Row],[Month]]&amp;" "&amp;Table13[[#This Row],[FY]]</f>
        <v>Week 36, MAR FY20</v>
      </c>
      <c r="I90" s="3" t="str">
        <f>Table13[[#This Row],[Month]]&amp;", "&amp;Table13[[#This Row],[FY]]</f>
        <v>MAR, FY20</v>
      </c>
      <c r="J90" s="3" t="str">
        <f>"Q"&amp;Table13[[#This Row],[QTR]]&amp;", "&amp;Table13[[#This Row],[FY]]</f>
        <v>Q3, FY20</v>
      </c>
    </row>
    <row r="91" spans="1:10" x14ac:dyDescent="0.25">
      <c r="A91" s="2">
        <f t="shared" si="7"/>
        <v>43899</v>
      </c>
      <c r="B91" s="2">
        <f t="shared" si="7"/>
        <v>43905</v>
      </c>
      <c r="C91" s="3" t="s">
        <v>781</v>
      </c>
      <c r="D91" s="3" t="s">
        <v>780</v>
      </c>
      <c r="E91" s="3">
        <f t="shared" si="6"/>
        <v>3</v>
      </c>
      <c r="F91" s="3" t="s">
        <v>801</v>
      </c>
      <c r="G91" s="3" t="str">
        <f>Table13[[#This Row],[Month]]&amp;", "&amp;Table13[[#This Row],[FY]]</f>
        <v>MAR, FY20</v>
      </c>
      <c r="H91" s="3" t="str">
        <f>Table13[[#This Row],[Week]]&amp;", "&amp;Table13[[#This Row],[Month]]&amp;" "&amp;Table13[[#This Row],[FY]]</f>
        <v>Week 37, MAR FY20</v>
      </c>
      <c r="I91" s="3" t="str">
        <f>Table13[[#This Row],[Month]]&amp;", "&amp;Table13[[#This Row],[FY]]</f>
        <v>MAR, FY20</v>
      </c>
      <c r="J91" s="3" t="str">
        <f>"Q"&amp;Table13[[#This Row],[QTR]]&amp;", "&amp;Table13[[#This Row],[FY]]</f>
        <v>Q3, FY20</v>
      </c>
    </row>
    <row r="92" spans="1:10" x14ac:dyDescent="0.25">
      <c r="A92" s="2">
        <f t="shared" si="7"/>
        <v>43906</v>
      </c>
      <c r="B92" s="2">
        <f t="shared" si="7"/>
        <v>43912</v>
      </c>
      <c r="C92" s="3" t="s">
        <v>782</v>
      </c>
      <c r="D92" s="3" t="s">
        <v>780</v>
      </c>
      <c r="E92" s="3">
        <f t="shared" si="6"/>
        <v>3</v>
      </c>
      <c r="F92" s="3" t="s">
        <v>801</v>
      </c>
      <c r="G92" s="3" t="str">
        <f>Table13[[#This Row],[Month]]&amp;", "&amp;Table13[[#This Row],[FY]]</f>
        <v>MAR, FY20</v>
      </c>
      <c r="H92" s="3" t="str">
        <f>Table13[[#This Row],[Week]]&amp;", "&amp;Table13[[#This Row],[Month]]&amp;" "&amp;Table13[[#This Row],[FY]]</f>
        <v>Week 38, MAR FY20</v>
      </c>
      <c r="I92" s="3" t="str">
        <f>Table13[[#This Row],[Month]]&amp;", "&amp;Table13[[#This Row],[FY]]</f>
        <v>MAR, FY20</v>
      </c>
      <c r="J92" s="3" t="str">
        <f>"Q"&amp;Table13[[#This Row],[QTR]]&amp;", "&amp;Table13[[#This Row],[FY]]</f>
        <v>Q3, FY20</v>
      </c>
    </row>
    <row r="93" spans="1:10" x14ac:dyDescent="0.25">
      <c r="A93" s="2">
        <f t="shared" si="7"/>
        <v>43913</v>
      </c>
      <c r="B93" s="2">
        <f t="shared" si="7"/>
        <v>43919</v>
      </c>
      <c r="C93" s="3" t="s">
        <v>783</v>
      </c>
      <c r="D93" s="3" t="s">
        <v>780</v>
      </c>
      <c r="E93" s="3">
        <v>3</v>
      </c>
      <c r="F93" s="3" t="s">
        <v>801</v>
      </c>
      <c r="G93" s="3" t="str">
        <f>Table13[[#This Row],[Month]]&amp;", "&amp;Table13[[#This Row],[FY]]</f>
        <v>MAR, FY20</v>
      </c>
      <c r="H93" s="3" t="str">
        <f>Table13[[#This Row],[Week]]&amp;", "&amp;Table13[[#This Row],[Month]]&amp;" "&amp;Table13[[#This Row],[FY]]</f>
        <v>Week 39, MAR FY20</v>
      </c>
      <c r="I93" s="3" t="str">
        <f>Table13[[#This Row],[Month]]&amp;", "&amp;Table13[[#This Row],[FY]]</f>
        <v>MAR, FY20</v>
      </c>
      <c r="J93" s="3" t="str">
        <f>"Q"&amp;Table13[[#This Row],[QTR]]&amp;", "&amp;Table13[[#This Row],[FY]]</f>
        <v>Q3, FY20</v>
      </c>
    </row>
    <row r="94" spans="1:10" x14ac:dyDescent="0.25">
      <c r="A94" s="2">
        <f t="shared" si="7"/>
        <v>43920</v>
      </c>
      <c r="B94" s="2">
        <f t="shared" si="7"/>
        <v>43926</v>
      </c>
      <c r="C94" s="3" t="s">
        <v>784</v>
      </c>
      <c r="D94" s="3" t="s">
        <v>785</v>
      </c>
      <c r="E94" s="3">
        <f t="shared" si="6"/>
        <v>4</v>
      </c>
      <c r="F94" s="3" t="s">
        <v>801</v>
      </c>
      <c r="G94" s="3" t="str">
        <f>Table13[[#This Row],[Month]]&amp;", "&amp;Table13[[#This Row],[FY]]</f>
        <v>APR, FY20</v>
      </c>
      <c r="H94" s="3" t="str">
        <f>Table13[[#This Row],[Week]]&amp;", "&amp;Table13[[#This Row],[Month]]&amp;" "&amp;Table13[[#This Row],[FY]]</f>
        <v>Week 40, APR FY20</v>
      </c>
      <c r="I94" s="3" t="str">
        <f>Table13[[#This Row],[Month]]&amp;", "&amp;Table13[[#This Row],[FY]]</f>
        <v>APR, FY20</v>
      </c>
      <c r="J94" s="3" t="str">
        <f>"Q"&amp;Table13[[#This Row],[QTR]]&amp;", "&amp;Table13[[#This Row],[FY]]</f>
        <v>Q4, FY20</v>
      </c>
    </row>
    <row r="95" spans="1:10" x14ac:dyDescent="0.25">
      <c r="A95" s="2">
        <f t="shared" si="7"/>
        <v>43927</v>
      </c>
      <c r="B95" s="2">
        <f t="shared" si="7"/>
        <v>43933</v>
      </c>
      <c r="C95" s="3" t="s">
        <v>786</v>
      </c>
      <c r="D95" s="3" t="s">
        <v>785</v>
      </c>
      <c r="E95" s="3">
        <f t="shared" si="6"/>
        <v>4</v>
      </c>
      <c r="F95" s="3" t="s">
        <v>801</v>
      </c>
      <c r="G95" s="3" t="str">
        <f>Table13[[#This Row],[Month]]&amp;", "&amp;Table13[[#This Row],[FY]]</f>
        <v>APR, FY20</v>
      </c>
      <c r="H95" s="3" t="str">
        <f>Table13[[#This Row],[Week]]&amp;", "&amp;Table13[[#This Row],[Month]]&amp;" "&amp;Table13[[#This Row],[FY]]</f>
        <v>Week 41, APR FY20</v>
      </c>
      <c r="I95" s="3" t="str">
        <f>Table13[[#This Row],[Month]]&amp;", "&amp;Table13[[#This Row],[FY]]</f>
        <v>APR, FY20</v>
      </c>
      <c r="J95" s="3" t="str">
        <f>"Q"&amp;Table13[[#This Row],[QTR]]&amp;", "&amp;Table13[[#This Row],[FY]]</f>
        <v>Q4, FY20</v>
      </c>
    </row>
    <row r="96" spans="1:10" x14ac:dyDescent="0.25">
      <c r="A96" s="2">
        <f t="shared" si="7"/>
        <v>43934</v>
      </c>
      <c r="B96" s="2">
        <f t="shared" si="7"/>
        <v>43940</v>
      </c>
      <c r="C96" s="3" t="s">
        <v>787</v>
      </c>
      <c r="D96" s="3" t="s">
        <v>785</v>
      </c>
      <c r="E96" s="3">
        <f t="shared" si="6"/>
        <v>4</v>
      </c>
      <c r="F96" s="3" t="s">
        <v>801</v>
      </c>
      <c r="G96" s="3" t="str">
        <f>Table13[[#This Row],[Month]]&amp;", "&amp;Table13[[#This Row],[FY]]</f>
        <v>APR, FY20</v>
      </c>
      <c r="H96" s="3" t="str">
        <f>Table13[[#This Row],[Week]]&amp;", "&amp;Table13[[#This Row],[Month]]&amp;" "&amp;Table13[[#This Row],[FY]]</f>
        <v>Week 42, APR FY20</v>
      </c>
      <c r="I96" s="3" t="str">
        <f>Table13[[#This Row],[Month]]&amp;", "&amp;Table13[[#This Row],[FY]]</f>
        <v>APR, FY20</v>
      </c>
      <c r="J96" s="3" t="str">
        <f>"Q"&amp;Table13[[#This Row],[QTR]]&amp;", "&amp;Table13[[#This Row],[FY]]</f>
        <v>Q4, FY20</v>
      </c>
    </row>
    <row r="97" spans="1:10" x14ac:dyDescent="0.25">
      <c r="A97" s="2">
        <f t="shared" si="7"/>
        <v>43941</v>
      </c>
      <c r="B97" s="2">
        <f t="shared" si="7"/>
        <v>43947</v>
      </c>
      <c r="C97" s="3" t="s">
        <v>788</v>
      </c>
      <c r="D97" s="3" t="s">
        <v>785</v>
      </c>
      <c r="E97" s="3">
        <f t="shared" si="6"/>
        <v>4</v>
      </c>
      <c r="F97" s="3" t="s">
        <v>801</v>
      </c>
      <c r="G97" s="3" t="str">
        <f>Table13[[#This Row],[Month]]&amp;", "&amp;Table13[[#This Row],[FY]]</f>
        <v>APR, FY20</v>
      </c>
      <c r="H97" s="3" t="str">
        <f>Table13[[#This Row],[Week]]&amp;", "&amp;Table13[[#This Row],[Month]]&amp;" "&amp;Table13[[#This Row],[FY]]</f>
        <v>Week 43, APR FY20</v>
      </c>
      <c r="I97" s="3" t="str">
        <f>Table13[[#This Row],[Month]]&amp;", "&amp;Table13[[#This Row],[FY]]</f>
        <v>APR, FY20</v>
      </c>
      <c r="J97" s="3" t="str">
        <f>"Q"&amp;Table13[[#This Row],[QTR]]&amp;", "&amp;Table13[[#This Row],[FY]]</f>
        <v>Q4, FY20</v>
      </c>
    </row>
    <row r="98" spans="1:10" x14ac:dyDescent="0.25">
      <c r="A98" s="2">
        <f t="shared" si="7"/>
        <v>43948</v>
      </c>
      <c r="B98" s="2">
        <f t="shared" si="7"/>
        <v>43954</v>
      </c>
      <c r="C98" s="3" t="s">
        <v>789</v>
      </c>
      <c r="D98" s="3" t="s">
        <v>790</v>
      </c>
      <c r="E98" s="3">
        <f t="shared" si="6"/>
        <v>4</v>
      </c>
      <c r="F98" s="3" t="s">
        <v>801</v>
      </c>
      <c r="G98" s="3" t="str">
        <f>Table13[[#This Row],[Month]]&amp;", "&amp;Table13[[#This Row],[FY]]</f>
        <v>MAY, FY20</v>
      </c>
      <c r="H98" s="3" t="str">
        <f>Table13[[#This Row],[Week]]&amp;", "&amp;Table13[[#This Row],[Month]]&amp;" "&amp;Table13[[#This Row],[FY]]</f>
        <v>Week 44, MAY FY20</v>
      </c>
      <c r="I98" s="3" t="str">
        <f>Table13[[#This Row],[Month]]&amp;", "&amp;Table13[[#This Row],[FY]]</f>
        <v>MAY, FY20</v>
      </c>
      <c r="J98" s="3" t="str">
        <f>"Q"&amp;Table13[[#This Row],[QTR]]&amp;", "&amp;Table13[[#This Row],[FY]]</f>
        <v>Q4, FY20</v>
      </c>
    </row>
    <row r="99" spans="1:10" x14ac:dyDescent="0.25">
      <c r="A99" s="2">
        <f t="shared" ref="A99:B114" si="8">A98+7</f>
        <v>43955</v>
      </c>
      <c r="B99" s="2">
        <f t="shared" si="8"/>
        <v>43961</v>
      </c>
      <c r="C99" s="3" t="s">
        <v>791</v>
      </c>
      <c r="D99" s="3" t="s">
        <v>790</v>
      </c>
      <c r="E99" s="3">
        <f t="shared" si="6"/>
        <v>4</v>
      </c>
      <c r="F99" s="3" t="s">
        <v>801</v>
      </c>
      <c r="G99" s="3" t="str">
        <f>Table13[[#This Row],[Month]]&amp;", "&amp;Table13[[#This Row],[FY]]</f>
        <v>MAY, FY20</v>
      </c>
      <c r="H99" s="3" t="str">
        <f>Table13[[#This Row],[Week]]&amp;", "&amp;Table13[[#This Row],[Month]]&amp;" "&amp;Table13[[#This Row],[FY]]</f>
        <v>Week 45, MAY FY20</v>
      </c>
      <c r="I99" s="3" t="str">
        <f>Table13[[#This Row],[Month]]&amp;", "&amp;Table13[[#This Row],[FY]]</f>
        <v>MAY, FY20</v>
      </c>
      <c r="J99" s="3" t="str">
        <f>"Q"&amp;Table13[[#This Row],[QTR]]&amp;", "&amp;Table13[[#This Row],[FY]]</f>
        <v>Q4, FY20</v>
      </c>
    </row>
    <row r="100" spans="1:10" x14ac:dyDescent="0.25">
      <c r="A100" s="2">
        <f t="shared" si="8"/>
        <v>43962</v>
      </c>
      <c r="B100" s="2">
        <f t="shared" si="8"/>
        <v>43968</v>
      </c>
      <c r="C100" s="3" t="s">
        <v>792</v>
      </c>
      <c r="D100" s="3" t="s">
        <v>790</v>
      </c>
      <c r="E100" s="3">
        <f t="shared" si="6"/>
        <v>4</v>
      </c>
      <c r="F100" s="3" t="s">
        <v>801</v>
      </c>
      <c r="G100" s="3" t="str">
        <f>Table13[[#This Row],[Month]]&amp;", "&amp;Table13[[#This Row],[FY]]</f>
        <v>MAY, FY20</v>
      </c>
      <c r="H100" s="3" t="str">
        <f>Table13[[#This Row],[Week]]&amp;", "&amp;Table13[[#This Row],[Month]]&amp;" "&amp;Table13[[#This Row],[FY]]</f>
        <v>Week 46, MAY FY20</v>
      </c>
      <c r="I100" s="3" t="str">
        <f>Table13[[#This Row],[Month]]&amp;", "&amp;Table13[[#This Row],[FY]]</f>
        <v>MAY, FY20</v>
      </c>
      <c r="J100" s="3" t="str">
        <f>"Q"&amp;Table13[[#This Row],[QTR]]&amp;", "&amp;Table13[[#This Row],[FY]]</f>
        <v>Q4, FY20</v>
      </c>
    </row>
    <row r="101" spans="1:10" x14ac:dyDescent="0.25">
      <c r="A101" s="2">
        <f t="shared" si="8"/>
        <v>43969</v>
      </c>
      <c r="B101" s="2">
        <f t="shared" si="8"/>
        <v>43975</v>
      </c>
      <c r="C101" s="3" t="s">
        <v>793</v>
      </c>
      <c r="D101" s="3" t="s">
        <v>790</v>
      </c>
      <c r="E101" s="3">
        <f t="shared" si="6"/>
        <v>4</v>
      </c>
      <c r="F101" s="3" t="s">
        <v>801</v>
      </c>
      <c r="G101" s="3" t="str">
        <f>Table13[[#This Row],[Month]]&amp;", "&amp;Table13[[#This Row],[FY]]</f>
        <v>MAY, FY20</v>
      </c>
      <c r="H101" s="3" t="str">
        <f>Table13[[#This Row],[Week]]&amp;", "&amp;Table13[[#This Row],[Month]]&amp;" "&amp;Table13[[#This Row],[FY]]</f>
        <v>Week 47, MAY FY20</v>
      </c>
      <c r="I101" s="3" t="str">
        <f>Table13[[#This Row],[Month]]&amp;", "&amp;Table13[[#This Row],[FY]]</f>
        <v>MAY, FY20</v>
      </c>
      <c r="J101" s="3" t="str">
        <f>"Q"&amp;Table13[[#This Row],[QTR]]&amp;", "&amp;Table13[[#This Row],[FY]]</f>
        <v>Q4, FY20</v>
      </c>
    </row>
    <row r="102" spans="1:10" x14ac:dyDescent="0.25">
      <c r="A102" s="2">
        <f t="shared" si="8"/>
        <v>43976</v>
      </c>
      <c r="B102" s="2">
        <f t="shared" si="8"/>
        <v>43982</v>
      </c>
      <c r="C102" s="3" t="s">
        <v>794</v>
      </c>
      <c r="D102" s="3" t="s">
        <v>790</v>
      </c>
      <c r="E102" s="3">
        <f t="shared" si="6"/>
        <v>4</v>
      </c>
      <c r="F102" s="3" t="s">
        <v>801</v>
      </c>
      <c r="G102" s="3" t="str">
        <f>Table13[[#This Row],[Month]]&amp;", "&amp;Table13[[#This Row],[FY]]</f>
        <v>MAY, FY20</v>
      </c>
      <c r="H102" s="3" t="str">
        <f>Table13[[#This Row],[Week]]&amp;", "&amp;Table13[[#This Row],[Month]]&amp;" "&amp;Table13[[#This Row],[FY]]</f>
        <v>Week 48, MAY FY20</v>
      </c>
      <c r="I102" s="3" t="str">
        <f>Table13[[#This Row],[Month]]&amp;", "&amp;Table13[[#This Row],[FY]]</f>
        <v>MAY, FY20</v>
      </c>
      <c r="J102" s="3" t="str">
        <f>"Q"&amp;Table13[[#This Row],[QTR]]&amp;", "&amp;Table13[[#This Row],[FY]]</f>
        <v>Q4, FY20</v>
      </c>
    </row>
    <row r="103" spans="1:10" x14ac:dyDescent="0.25">
      <c r="A103" s="2">
        <f t="shared" si="8"/>
        <v>43983</v>
      </c>
      <c r="B103" s="2">
        <f t="shared" si="8"/>
        <v>43989</v>
      </c>
      <c r="C103" s="3" t="s">
        <v>795</v>
      </c>
      <c r="D103" s="3" t="s">
        <v>796</v>
      </c>
      <c r="E103" s="3">
        <f t="shared" si="6"/>
        <v>4</v>
      </c>
      <c r="F103" s="3" t="s">
        <v>801</v>
      </c>
      <c r="G103" s="3" t="str">
        <f>Table13[[#This Row],[Month]]&amp;", "&amp;Table13[[#This Row],[FY]]</f>
        <v>JUN, FY20</v>
      </c>
      <c r="H103" s="3" t="str">
        <f>Table13[[#This Row],[Week]]&amp;", "&amp;Table13[[#This Row],[Month]]&amp;" "&amp;Table13[[#This Row],[FY]]</f>
        <v>Week 49, JUN FY20</v>
      </c>
      <c r="I103" s="3" t="str">
        <f>Table13[[#This Row],[Month]]&amp;", "&amp;Table13[[#This Row],[FY]]</f>
        <v>JUN, FY20</v>
      </c>
      <c r="J103" s="3" t="str">
        <f>"Q"&amp;Table13[[#This Row],[QTR]]&amp;", "&amp;Table13[[#This Row],[FY]]</f>
        <v>Q4, FY20</v>
      </c>
    </row>
    <row r="104" spans="1:10" x14ac:dyDescent="0.25">
      <c r="A104" s="2">
        <f t="shared" si="8"/>
        <v>43990</v>
      </c>
      <c r="B104" s="2">
        <f t="shared" si="8"/>
        <v>43996</v>
      </c>
      <c r="C104" s="3" t="s">
        <v>797</v>
      </c>
      <c r="D104" s="3" t="s">
        <v>796</v>
      </c>
      <c r="E104" s="3">
        <f t="shared" si="6"/>
        <v>4</v>
      </c>
      <c r="F104" s="3" t="s">
        <v>801</v>
      </c>
      <c r="G104" s="3" t="str">
        <f>Table13[[#This Row],[Month]]&amp;", "&amp;Table13[[#This Row],[FY]]</f>
        <v>JUN, FY20</v>
      </c>
      <c r="H104" s="3" t="str">
        <f>Table13[[#This Row],[Week]]&amp;", "&amp;Table13[[#This Row],[Month]]&amp;" "&amp;Table13[[#This Row],[FY]]</f>
        <v>Week 50, JUN FY20</v>
      </c>
      <c r="I104" s="3" t="str">
        <f>Table13[[#This Row],[Month]]&amp;", "&amp;Table13[[#This Row],[FY]]</f>
        <v>JUN, FY20</v>
      </c>
      <c r="J104" s="3" t="str">
        <f>"Q"&amp;Table13[[#This Row],[QTR]]&amp;", "&amp;Table13[[#This Row],[FY]]</f>
        <v>Q4, FY20</v>
      </c>
    </row>
    <row r="105" spans="1:10" x14ac:dyDescent="0.25">
      <c r="A105" s="2">
        <f t="shared" si="8"/>
        <v>43997</v>
      </c>
      <c r="B105" s="2">
        <f t="shared" si="8"/>
        <v>44003</v>
      </c>
      <c r="C105" s="3" t="s">
        <v>798</v>
      </c>
      <c r="D105" s="3" t="s">
        <v>796</v>
      </c>
      <c r="E105" s="3">
        <f t="shared" si="6"/>
        <v>4</v>
      </c>
      <c r="F105" s="3" t="s">
        <v>801</v>
      </c>
      <c r="G105" s="3" t="str">
        <f>Table13[[#This Row],[Month]]&amp;", "&amp;Table13[[#This Row],[FY]]</f>
        <v>JUN, FY20</v>
      </c>
      <c r="H105" s="3" t="str">
        <f>Table13[[#This Row],[Week]]&amp;", "&amp;Table13[[#This Row],[Month]]&amp;" "&amp;Table13[[#This Row],[FY]]</f>
        <v>Week 51, JUN FY20</v>
      </c>
      <c r="I105" s="3" t="str">
        <f>Table13[[#This Row],[Month]]&amp;", "&amp;Table13[[#This Row],[FY]]</f>
        <v>JUN, FY20</v>
      </c>
      <c r="J105" s="3" t="str">
        <f>"Q"&amp;Table13[[#This Row],[QTR]]&amp;", "&amp;Table13[[#This Row],[FY]]</f>
        <v>Q4, FY20</v>
      </c>
    </row>
    <row r="106" spans="1:10" x14ac:dyDescent="0.25">
      <c r="A106" s="2">
        <f t="shared" si="8"/>
        <v>44004</v>
      </c>
      <c r="B106" s="2">
        <f t="shared" si="8"/>
        <v>44010</v>
      </c>
      <c r="C106" s="3" t="s">
        <v>799</v>
      </c>
      <c r="D106" s="3" t="s">
        <v>796</v>
      </c>
      <c r="E106" s="3">
        <v>4</v>
      </c>
      <c r="F106" s="3" t="s">
        <v>802</v>
      </c>
      <c r="G106" s="3" t="str">
        <f>Table13[[#This Row],[Month]]&amp;", "&amp;Table13[[#This Row],[FY]]</f>
        <v>JUN, FY21</v>
      </c>
      <c r="H106" s="3" t="str">
        <f>Table13[[#This Row],[Week]]&amp;", "&amp;Table13[[#This Row],[Month]]&amp;" "&amp;Table13[[#This Row],[FY]]</f>
        <v>Week 52, JUN FY21</v>
      </c>
      <c r="I106" s="3" t="str">
        <f>Table13[[#This Row],[Month]]&amp;", "&amp;Table13[[#This Row],[FY]]</f>
        <v>JUN, FY21</v>
      </c>
      <c r="J106" s="3" t="str">
        <f>"Q"&amp;Table13[[#This Row],[QTR]]&amp;", "&amp;Table13[[#This Row],[FY]]</f>
        <v>Q4, FY21</v>
      </c>
    </row>
    <row r="107" spans="1:10" x14ac:dyDescent="0.25">
      <c r="A107" s="2">
        <f t="shared" si="8"/>
        <v>44011</v>
      </c>
      <c r="B107" s="2">
        <f t="shared" si="8"/>
        <v>44017</v>
      </c>
      <c r="C107" s="3" t="s">
        <v>735</v>
      </c>
      <c r="D107" s="3" t="s">
        <v>736</v>
      </c>
      <c r="E107" s="3">
        <v>1</v>
      </c>
      <c r="F107" s="3" t="s">
        <v>802</v>
      </c>
      <c r="G107" s="3" t="str">
        <f>Table13[[#This Row],[Month]]&amp;", "&amp;Table13[[#This Row],[FY]]</f>
        <v>JUL, FY21</v>
      </c>
      <c r="H107" s="3" t="str">
        <f>Table13[[#This Row],[Week]]&amp;", "&amp;Table13[[#This Row],[Month]]&amp;" "&amp;Table13[[#This Row],[FY]]</f>
        <v>Week 1, JUL FY21</v>
      </c>
      <c r="I107" s="3" t="str">
        <f>Table13[[#This Row],[Month]]&amp;", "&amp;Table13[[#This Row],[FY]]</f>
        <v>JUL, FY21</v>
      </c>
      <c r="J107" s="3" t="str">
        <f>"Q"&amp;Table13[[#This Row],[QTR]]&amp;", "&amp;Table13[[#This Row],[FY]]</f>
        <v>Q1, FY21</v>
      </c>
    </row>
    <row r="108" spans="1:10" x14ac:dyDescent="0.25">
      <c r="A108" s="2">
        <f t="shared" si="8"/>
        <v>44018</v>
      </c>
      <c r="B108" s="2">
        <f t="shared" si="8"/>
        <v>44024</v>
      </c>
      <c r="C108" s="3" t="s">
        <v>738</v>
      </c>
      <c r="D108" s="3" t="s">
        <v>736</v>
      </c>
      <c r="E108" s="3">
        <v>1</v>
      </c>
      <c r="F108" s="3" t="s">
        <v>802</v>
      </c>
      <c r="G108" s="3" t="str">
        <f>Table13[[#This Row],[Month]]&amp;", "&amp;Table13[[#This Row],[FY]]</f>
        <v>JUL, FY21</v>
      </c>
      <c r="H108" s="3" t="str">
        <f>Table13[[#This Row],[Week]]&amp;", "&amp;Table13[[#This Row],[Month]]&amp;" "&amp;Table13[[#This Row],[FY]]</f>
        <v>Week 2, JUL FY21</v>
      </c>
      <c r="I108" s="3" t="str">
        <f>Table13[[#This Row],[Month]]&amp;", "&amp;Table13[[#This Row],[FY]]</f>
        <v>JUL, FY21</v>
      </c>
      <c r="J108" s="3" t="str">
        <f>"Q"&amp;Table13[[#This Row],[QTR]]&amp;", "&amp;Table13[[#This Row],[FY]]</f>
        <v>Q1, FY21</v>
      </c>
    </row>
    <row r="109" spans="1:10" x14ac:dyDescent="0.25">
      <c r="A109" s="2">
        <f t="shared" si="8"/>
        <v>44025</v>
      </c>
      <c r="B109" s="2">
        <f t="shared" si="8"/>
        <v>44031</v>
      </c>
      <c r="C109" s="3" t="s">
        <v>739</v>
      </c>
      <c r="D109" s="3" t="s">
        <v>736</v>
      </c>
      <c r="E109" s="3">
        <v>1</v>
      </c>
      <c r="F109" s="3" t="s">
        <v>802</v>
      </c>
      <c r="G109" s="3" t="str">
        <f>Table13[[#This Row],[Month]]&amp;", "&amp;Table13[[#This Row],[FY]]</f>
        <v>JUL, FY21</v>
      </c>
      <c r="H109" s="3" t="str">
        <f>Table13[[#This Row],[Week]]&amp;", "&amp;Table13[[#This Row],[Month]]&amp;" "&amp;Table13[[#This Row],[FY]]</f>
        <v>Week 3, JUL FY21</v>
      </c>
      <c r="I109" s="3" t="str">
        <f>Table13[[#This Row],[Month]]&amp;", "&amp;Table13[[#This Row],[FY]]</f>
        <v>JUL, FY21</v>
      </c>
      <c r="J109" s="3" t="str">
        <f>"Q"&amp;Table13[[#This Row],[QTR]]&amp;", "&amp;Table13[[#This Row],[FY]]</f>
        <v>Q1, FY21</v>
      </c>
    </row>
    <row r="110" spans="1:10" x14ac:dyDescent="0.25">
      <c r="A110" s="2">
        <f t="shared" si="8"/>
        <v>44032</v>
      </c>
      <c r="B110" s="2">
        <f t="shared" si="8"/>
        <v>44038</v>
      </c>
      <c r="C110" s="3" t="s">
        <v>740</v>
      </c>
      <c r="D110" s="3" t="s">
        <v>736</v>
      </c>
      <c r="E110" s="3">
        <v>1</v>
      </c>
      <c r="F110" s="3" t="s">
        <v>802</v>
      </c>
      <c r="G110" s="3" t="str">
        <f>Table13[[#This Row],[Month]]&amp;", "&amp;Table13[[#This Row],[FY]]</f>
        <v>JUL, FY21</v>
      </c>
      <c r="H110" s="3" t="str">
        <f>Table13[[#This Row],[Week]]&amp;", "&amp;Table13[[#This Row],[Month]]&amp;" "&amp;Table13[[#This Row],[FY]]</f>
        <v>Week 4, JUL FY21</v>
      </c>
      <c r="I110" s="3" t="str">
        <f>Table13[[#This Row],[Month]]&amp;", "&amp;Table13[[#This Row],[FY]]</f>
        <v>JUL, FY21</v>
      </c>
      <c r="J110" s="3" t="str">
        <f>"Q"&amp;Table13[[#This Row],[QTR]]&amp;", "&amp;Table13[[#This Row],[FY]]</f>
        <v>Q1, FY21</v>
      </c>
    </row>
    <row r="111" spans="1:10" x14ac:dyDescent="0.25">
      <c r="A111" s="2">
        <f t="shared" si="8"/>
        <v>44039</v>
      </c>
      <c r="B111" s="2">
        <f t="shared" si="8"/>
        <v>44045</v>
      </c>
      <c r="C111" s="3" t="s">
        <v>741</v>
      </c>
      <c r="D111" s="3" t="s">
        <v>742</v>
      </c>
      <c r="E111" s="3">
        <v>1</v>
      </c>
      <c r="F111" s="3" t="s">
        <v>802</v>
      </c>
      <c r="G111" s="3" t="str">
        <f>Table13[[#This Row],[Month]]&amp;", "&amp;Table13[[#This Row],[FY]]</f>
        <v>AUG, FY21</v>
      </c>
      <c r="H111" s="3" t="str">
        <f>Table13[[#This Row],[Week]]&amp;", "&amp;Table13[[#This Row],[Month]]&amp;" "&amp;Table13[[#This Row],[FY]]</f>
        <v>Week 5, AUG FY21</v>
      </c>
      <c r="I111" s="3" t="str">
        <f>Table13[[#This Row],[Month]]&amp;", "&amp;Table13[[#This Row],[FY]]</f>
        <v>AUG, FY21</v>
      </c>
      <c r="J111" s="3" t="str">
        <f>"Q"&amp;Table13[[#This Row],[QTR]]&amp;", "&amp;Table13[[#This Row],[FY]]</f>
        <v>Q1, FY21</v>
      </c>
    </row>
    <row r="112" spans="1:10" x14ac:dyDescent="0.25">
      <c r="A112" s="2">
        <f t="shared" si="8"/>
        <v>44046</v>
      </c>
      <c r="B112" s="2">
        <f t="shared" si="8"/>
        <v>44052</v>
      </c>
      <c r="C112" s="3" t="s">
        <v>743</v>
      </c>
      <c r="D112" s="3" t="s">
        <v>742</v>
      </c>
      <c r="E112" s="3">
        <v>1</v>
      </c>
      <c r="F112" s="3" t="s">
        <v>802</v>
      </c>
      <c r="G112" s="3" t="str">
        <f>Table13[[#This Row],[Month]]&amp;", "&amp;Table13[[#This Row],[FY]]</f>
        <v>AUG, FY21</v>
      </c>
      <c r="H112" s="3" t="str">
        <f>Table13[[#This Row],[Week]]&amp;", "&amp;Table13[[#This Row],[Month]]&amp;" "&amp;Table13[[#This Row],[FY]]</f>
        <v>Week 6, AUG FY21</v>
      </c>
      <c r="I112" s="3" t="str">
        <f>Table13[[#This Row],[Month]]&amp;", "&amp;Table13[[#This Row],[FY]]</f>
        <v>AUG, FY21</v>
      </c>
      <c r="J112" s="3" t="str">
        <f>"Q"&amp;Table13[[#This Row],[QTR]]&amp;", "&amp;Table13[[#This Row],[FY]]</f>
        <v>Q1, FY21</v>
      </c>
    </row>
    <row r="113" spans="1:10" x14ac:dyDescent="0.25">
      <c r="A113" s="2">
        <f t="shared" si="8"/>
        <v>44053</v>
      </c>
      <c r="B113" s="2">
        <f t="shared" si="8"/>
        <v>44059</v>
      </c>
      <c r="C113" s="3" t="s">
        <v>744</v>
      </c>
      <c r="D113" s="3" t="s">
        <v>742</v>
      </c>
      <c r="E113" s="3">
        <v>1</v>
      </c>
      <c r="F113" s="3" t="s">
        <v>802</v>
      </c>
      <c r="G113" s="3" t="str">
        <f>Table13[[#This Row],[Month]]&amp;", "&amp;Table13[[#This Row],[FY]]</f>
        <v>AUG, FY21</v>
      </c>
      <c r="H113" s="3" t="str">
        <f>Table13[[#This Row],[Week]]&amp;", "&amp;Table13[[#This Row],[Month]]&amp;" "&amp;Table13[[#This Row],[FY]]</f>
        <v>Week 7, AUG FY21</v>
      </c>
      <c r="I113" s="3" t="str">
        <f>Table13[[#This Row],[Month]]&amp;", "&amp;Table13[[#This Row],[FY]]</f>
        <v>AUG, FY21</v>
      </c>
      <c r="J113" s="3" t="str">
        <f>"Q"&amp;Table13[[#This Row],[QTR]]&amp;", "&amp;Table13[[#This Row],[FY]]</f>
        <v>Q1, FY21</v>
      </c>
    </row>
    <row r="114" spans="1:10" x14ac:dyDescent="0.25">
      <c r="A114" s="2">
        <f t="shared" si="8"/>
        <v>44060</v>
      </c>
      <c r="B114" s="2">
        <f t="shared" si="8"/>
        <v>44066</v>
      </c>
      <c r="C114" s="3" t="s">
        <v>745</v>
      </c>
      <c r="D114" s="3" t="s">
        <v>742</v>
      </c>
      <c r="E114" s="3">
        <v>1</v>
      </c>
      <c r="F114" s="3" t="s">
        <v>802</v>
      </c>
      <c r="G114" s="3" t="str">
        <f>Table13[[#This Row],[Month]]&amp;", "&amp;Table13[[#This Row],[FY]]</f>
        <v>AUG, FY21</v>
      </c>
      <c r="H114" s="3" t="str">
        <f>Table13[[#This Row],[Week]]&amp;", "&amp;Table13[[#This Row],[Month]]&amp;" "&amp;Table13[[#This Row],[FY]]</f>
        <v>Week 8, AUG FY21</v>
      </c>
      <c r="I114" s="3" t="str">
        <f>Table13[[#This Row],[Month]]&amp;", "&amp;Table13[[#This Row],[FY]]</f>
        <v>AUG, FY21</v>
      </c>
      <c r="J114" s="3" t="str">
        <f>"Q"&amp;Table13[[#This Row],[QTR]]&amp;", "&amp;Table13[[#This Row],[FY]]</f>
        <v>Q1, FY21</v>
      </c>
    </row>
    <row r="115" spans="1:10" x14ac:dyDescent="0.25">
      <c r="A115" s="2">
        <f t="shared" ref="A115:B130" si="9">A114+7</f>
        <v>44067</v>
      </c>
      <c r="B115" s="2">
        <f t="shared" si="9"/>
        <v>44073</v>
      </c>
      <c r="C115" s="3" t="s">
        <v>746</v>
      </c>
      <c r="D115" s="3" t="s">
        <v>742</v>
      </c>
      <c r="E115" s="3">
        <v>1</v>
      </c>
      <c r="F115" s="3" t="s">
        <v>802</v>
      </c>
      <c r="G115" s="3" t="str">
        <f>Table13[[#This Row],[Month]]&amp;", "&amp;Table13[[#This Row],[FY]]</f>
        <v>AUG, FY21</v>
      </c>
      <c r="H115" s="3" t="str">
        <f>Table13[[#This Row],[Week]]&amp;", "&amp;Table13[[#This Row],[Month]]&amp;" "&amp;Table13[[#This Row],[FY]]</f>
        <v>Week 9, AUG FY21</v>
      </c>
      <c r="I115" s="3" t="str">
        <f>Table13[[#This Row],[Month]]&amp;", "&amp;Table13[[#This Row],[FY]]</f>
        <v>AUG, FY21</v>
      </c>
      <c r="J115" s="3" t="str">
        <f>"Q"&amp;Table13[[#This Row],[QTR]]&amp;", "&amp;Table13[[#This Row],[FY]]</f>
        <v>Q1, FY21</v>
      </c>
    </row>
    <row r="116" spans="1:10" x14ac:dyDescent="0.25">
      <c r="A116" s="2">
        <f t="shared" si="9"/>
        <v>44074</v>
      </c>
      <c r="B116" s="2">
        <f t="shared" si="9"/>
        <v>44080</v>
      </c>
      <c r="C116" s="3" t="s">
        <v>747</v>
      </c>
      <c r="D116" s="3" t="s">
        <v>748</v>
      </c>
      <c r="E116" s="3">
        <v>1</v>
      </c>
      <c r="F116" s="3" t="s">
        <v>802</v>
      </c>
      <c r="G116" s="3" t="str">
        <f>Table13[[#This Row],[Month]]&amp;", "&amp;Table13[[#This Row],[FY]]</f>
        <v>SEP, FY21</v>
      </c>
      <c r="H116" s="3" t="str">
        <f>Table13[[#This Row],[Week]]&amp;", "&amp;Table13[[#This Row],[Month]]&amp;" "&amp;Table13[[#This Row],[FY]]</f>
        <v>Week 10, SEP FY21</v>
      </c>
      <c r="I116" s="3" t="str">
        <f>Table13[[#This Row],[Month]]&amp;", "&amp;Table13[[#This Row],[FY]]</f>
        <v>SEP, FY21</v>
      </c>
      <c r="J116" s="3" t="str">
        <f>"Q"&amp;Table13[[#This Row],[QTR]]&amp;", "&amp;Table13[[#This Row],[FY]]</f>
        <v>Q1, FY21</v>
      </c>
    </row>
    <row r="117" spans="1:10" x14ac:dyDescent="0.25">
      <c r="A117" s="2">
        <f t="shared" si="9"/>
        <v>44081</v>
      </c>
      <c r="B117" s="2">
        <f t="shared" si="9"/>
        <v>44087</v>
      </c>
      <c r="C117" s="3" t="s">
        <v>749</v>
      </c>
      <c r="D117" s="3" t="s">
        <v>748</v>
      </c>
      <c r="E117" s="3">
        <v>1</v>
      </c>
      <c r="F117" s="3" t="s">
        <v>802</v>
      </c>
      <c r="G117" s="3" t="str">
        <f>Table13[[#This Row],[Month]]&amp;", "&amp;Table13[[#This Row],[FY]]</f>
        <v>SEP, FY21</v>
      </c>
      <c r="H117" s="3" t="str">
        <f>Table13[[#This Row],[Week]]&amp;", "&amp;Table13[[#This Row],[Month]]&amp;" "&amp;Table13[[#This Row],[FY]]</f>
        <v>Week 11, SEP FY21</v>
      </c>
      <c r="I117" s="3" t="str">
        <f>Table13[[#This Row],[Month]]&amp;", "&amp;Table13[[#This Row],[FY]]</f>
        <v>SEP, FY21</v>
      </c>
      <c r="J117" s="3" t="str">
        <f>"Q"&amp;Table13[[#This Row],[QTR]]&amp;", "&amp;Table13[[#This Row],[FY]]</f>
        <v>Q1, FY21</v>
      </c>
    </row>
    <row r="118" spans="1:10" x14ac:dyDescent="0.25">
      <c r="A118" s="2">
        <f t="shared" si="9"/>
        <v>44088</v>
      </c>
      <c r="B118" s="2">
        <f t="shared" si="9"/>
        <v>44094</v>
      </c>
      <c r="C118" s="3" t="s">
        <v>750</v>
      </c>
      <c r="D118" s="3" t="s">
        <v>748</v>
      </c>
      <c r="E118" s="3">
        <v>1</v>
      </c>
      <c r="F118" s="3" t="s">
        <v>802</v>
      </c>
      <c r="G118" s="3" t="str">
        <f>Table13[[#This Row],[Month]]&amp;", "&amp;Table13[[#This Row],[FY]]</f>
        <v>SEP, FY21</v>
      </c>
      <c r="H118" s="3" t="str">
        <f>Table13[[#This Row],[Week]]&amp;", "&amp;Table13[[#This Row],[Month]]&amp;" "&amp;Table13[[#This Row],[FY]]</f>
        <v>Week 12, SEP FY21</v>
      </c>
      <c r="I118" s="3" t="str">
        <f>Table13[[#This Row],[Month]]&amp;", "&amp;Table13[[#This Row],[FY]]</f>
        <v>SEP, FY21</v>
      </c>
      <c r="J118" s="3" t="str">
        <f>"Q"&amp;Table13[[#This Row],[QTR]]&amp;", "&amp;Table13[[#This Row],[FY]]</f>
        <v>Q1, FY21</v>
      </c>
    </row>
    <row r="119" spans="1:10" x14ac:dyDescent="0.25">
      <c r="A119" s="2">
        <f t="shared" si="9"/>
        <v>44095</v>
      </c>
      <c r="B119" s="2">
        <f t="shared" si="9"/>
        <v>44101</v>
      </c>
      <c r="C119" s="3" t="s">
        <v>751</v>
      </c>
      <c r="D119" s="3" t="s">
        <v>748</v>
      </c>
      <c r="E119" s="3">
        <v>2</v>
      </c>
      <c r="F119" s="3" t="s">
        <v>802</v>
      </c>
      <c r="G119" s="3" t="str">
        <f>Table13[[#This Row],[Month]]&amp;", "&amp;Table13[[#This Row],[FY]]</f>
        <v>SEP, FY21</v>
      </c>
      <c r="H119" s="3" t="str">
        <f>Table13[[#This Row],[Week]]&amp;", "&amp;Table13[[#This Row],[Month]]&amp;" "&amp;Table13[[#This Row],[FY]]</f>
        <v>Week 13, SEP FY21</v>
      </c>
      <c r="I119" s="3" t="str">
        <f>Table13[[#This Row],[Month]]&amp;", "&amp;Table13[[#This Row],[FY]]</f>
        <v>SEP, FY21</v>
      </c>
      <c r="J119" s="3" t="str">
        <f>"Q"&amp;Table13[[#This Row],[QTR]]&amp;", "&amp;Table13[[#This Row],[FY]]</f>
        <v>Q2, FY21</v>
      </c>
    </row>
    <row r="120" spans="1:10" x14ac:dyDescent="0.25">
      <c r="A120" s="2">
        <f t="shared" si="9"/>
        <v>44102</v>
      </c>
      <c r="B120" s="2">
        <f t="shared" si="9"/>
        <v>44108</v>
      </c>
      <c r="C120" s="3" t="s">
        <v>752</v>
      </c>
      <c r="D120" s="3" t="s">
        <v>753</v>
      </c>
      <c r="E120" s="3">
        <f t="shared" ref="E120:E157" si="10">E107+1</f>
        <v>2</v>
      </c>
      <c r="F120" s="3" t="s">
        <v>802</v>
      </c>
      <c r="G120" s="3" t="str">
        <f>Table13[[#This Row],[Month]]&amp;", "&amp;Table13[[#This Row],[FY]]</f>
        <v>OCT, FY21</v>
      </c>
      <c r="H120" s="3" t="str">
        <f>Table13[[#This Row],[Week]]&amp;", "&amp;Table13[[#This Row],[Month]]&amp;" "&amp;Table13[[#This Row],[FY]]</f>
        <v>Week 14, OCT FY21</v>
      </c>
      <c r="I120" s="3" t="str">
        <f>Table13[[#This Row],[Month]]&amp;", "&amp;Table13[[#This Row],[FY]]</f>
        <v>OCT, FY21</v>
      </c>
      <c r="J120" s="3" t="str">
        <f>"Q"&amp;Table13[[#This Row],[QTR]]&amp;", "&amp;Table13[[#This Row],[FY]]</f>
        <v>Q2, FY21</v>
      </c>
    </row>
    <row r="121" spans="1:10" x14ac:dyDescent="0.25">
      <c r="A121" s="2">
        <f t="shared" si="9"/>
        <v>44109</v>
      </c>
      <c r="B121" s="2">
        <f t="shared" si="9"/>
        <v>44115</v>
      </c>
      <c r="C121" s="3" t="s">
        <v>754</v>
      </c>
      <c r="D121" s="3" t="s">
        <v>753</v>
      </c>
      <c r="E121" s="3">
        <f t="shared" si="10"/>
        <v>2</v>
      </c>
      <c r="F121" s="3" t="s">
        <v>802</v>
      </c>
      <c r="G121" s="3" t="str">
        <f>Table13[[#This Row],[Month]]&amp;", "&amp;Table13[[#This Row],[FY]]</f>
        <v>OCT, FY21</v>
      </c>
      <c r="H121" s="3" t="str">
        <f>Table13[[#This Row],[Week]]&amp;", "&amp;Table13[[#This Row],[Month]]&amp;" "&amp;Table13[[#This Row],[FY]]</f>
        <v>Week 15, OCT FY21</v>
      </c>
      <c r="I121" s="3" t="str">
        <f>Table13[[#This Row],[Month]]&amp;", "&amp;Table13[[#This Row],[FY]]</f>
        <v>OCT, FY21</v>
      </c>
      <c r="J121" s="3" t="str">
        <f>"Q"&amp;Table13[[#This Row],[QTR]]&amp;", "&amp;Table13[[#This Row],[FY]]</f>
        <v>Q2, FY21</v>
      </c>
    </row>
    <row r="122" spans="1:10" x14ac:dyDescent="0.25">
      <c r="A122" s="2">
        <f t="shared" si="9"/>
        <v>44116</v>
      </c>
      <c r="B122" s="2">
        <f t="shared" si="9"/>
        <v>44122</v>
      </c>
      <c r="C122" s="3" t="s">
        <v>755</v>
      </c>
      <c r="D122" s="3" t="s">
        <v>753</v>
      </c>
      <c r="E122" s="3">
        <f t="shared" si="10"/>
        <v>2</v>
      </c>
      <c r="F122" s="3" t="s">
        <v>802</v>
      </c>
      <c r="G122" s="3" t="str">
        <f>Table13[[#This Row],[Month]]&amp;", "&amp;Table13[[#This Row],[FY]]</f>
        <v>OCT, FY21</v>
      </c>
      <c r="H122" s="3" t="str">
        <f>Table13[[#This Row],[Week]]&amp;", "&amp;Table13[[#This Row],[Month]]&amp;" "&amp;Table13[[#This Row],[FY]]</f>
        <v>Week 16, OCT FY21</v>
      </c>
      <c r="I122" s="3" t="str">
        <f>Table13[[#This Row],[Month]]&amp;", "&amp;Table13[[#This Row],[FY]]</f>
        <v>OCT, FY21</v>
      </c>
      <c r="J122" s="3" t="str">
        <f>"Q"&amp;Table13[[#This Row],[QTR]]&amp;", "&amp;Table13[[#This Row],[FY]]</f>
        <v>Q2, FY21</v>
      </c>
    </row>
    <row r="123" spans="1:10" x14ac:dyDescent="0.25">
      <c r="A123" s="2">
        <f t="shared" si="9"/>
        <v>44123</v>
      </c>
      <c r="B123" s="2">
        <f t="shared" si="9"/>
        <v>44129</v>
      </c>
      <c r="C123" s="3" t="s">
        <v>756</v>
      </c>
      <c r="D123" s="3" t="s">
        <v>753</v>
      </c>
      <c r="E123" s="3">
        <f t="shared" si="10"/>
        <v>2</v>
      </c>
      <c r="F123" s="3" t="s">
        <v>802</v>
      </c>
      <c r="G123" s="3" t="str">
        <f>Table13[[#This Row],[Month]]&amp;", "&amp;Table13[[#This Row],[FY]]</f>
        <v>OCT, FY21</v>
      </c>
      <c r="H123" s="3" t="str">
        <f>Table13[[#This Row],[Week]]&amp;", "&amp;Table13[[#This Row],[Month]]&amp;" "&amp;Table13[[#This Row],[FY]]</f>
        <v>Week 17, OCT FY21</v>
      </c>
      <c r="I123" s="3" t="str">
        <f>Table13[[#This Row],[Month]]&amp;", "&amp;Table13[[#This Row],[FY]]</f>
        <v>OCT, FY21</v>
      </c>
      <c r="J123" s="3" t="str">
        <f>"Q"&amp;Table13[[#This Row],[QTR]]&amp;", "&amp;Table13[[#This Row],[FY]]</f>
        <v>Q2, FY21</v>
      </c>
    </row>
    <row r="124" spans="1:10" x14ac:dyDescent="0.25">
      <c r="A124" s="2">
        <f t="shared" si="9"/>
        <v>44130</v>
      </c>
      <c r="B124" s="2">
        <f t="shared" si="9"/>
        <v>44136</v>
      </c>
      <c r="C124" s="3" t="s">
        <v>757</v>
      </c>
      <c r="D124" s="3" t="s">
        <v>758</v>
      </c>
      <c r="E124" s="3">
        <f t="shared" si="10"/>
        <v>2</v>
      </c>
      <c r="F124" s="3" t="s">
        <v>802</v>
      </c>
      <c r="G124" s="3" t="str">
        <f>Table13[[#This Row],[Month]]&amp;", "&amp;Table13[[#This Row],[FY]]</f>
        <v>NOV, FY21</v>
      </c>
      <c r="H124" s="3" t="str">
        <f>Table13[[#This Row],[Week]]&amp;", "&amp;Table13[[#This Row],[Month]]&amp;" "&amp;Table13[[#This Row],[FY]]</f>
        <v>Week 18, NOV FY21</v>
      </c>
      <c r="I124" s="3" t="str">
        <f>Table13[[#This Row],[Month]]&amp;", "&amp;Table13[[#This Row],[FY]]</f>
        <v>NOV, FY21</v>
      </c>
      <c r="J124" s="3" t="str">
        <f>"Q"&amp;Table13[[#This Row],[QTR]]&amp;", "&amp;Table13[[#This Row],[FY]]</f>
        <v>Q2, FY21</v>
      </c>
    </row>
    <row r="125" spans="1:10" x14ac:dyDescent="0.25">
      <c r="A125" s="2">
        <f t="shared" si="9"/>
        <v>44137</v>
      </c>
      <c r="B125" s="2">
        <f t="shared" si="9"/>
        <v>44143</v>
      </c>
      <c r="C125" s="3" t="s">
        <v>759</v>
      </c>
      <c r="D125" s="3" t="s">
        <v>758</v>
      </c>
      <c r="E125" s="3">
        <f t="shared" si="10"/>
        <v>2</v>
      </c>
      <c r="F125" s="3" t="s">
        <v>802</v>
      </c>
      <c r="G125" s="3" t="str">
        <f>Table13[[#This Row],[Month]]&amp;", "&amp;Table13[[#This Row],[FY]]</f>
        <v>NOV, FY21</v>
      </c>
      <c r="H125" s="3" t="str">
        <f>Table13[[#This Row],[Week]]&amp;", "&amp;Table13[[#This Row],[Month]]&amp;" "&amp;Table13[[#This Row],[FY]]</f>
        <v>Week 19, NOV FY21</v>
      </c>
      <c r="I125" s="3" t="str">
        <f>Table13[[#This Row],[Month]]&amp;", "&amp;Table13[[#This Row],[FY]]</f>
        <v>NOV, FY21</v>
      </c>
      <c r="J125" s="3" t="str">
        <f>"Q"&amp;Table13[[#This Row],[QTR]]&amp;", "&amp;Table13[[#This Row],[FY]]</f>
        <v>Q2, FY21</v>
      </c>
    </row>
    <row r="126" spans="1:10" x14ac:dyDescent="0.25">
      <c r="A126" s="2">
        <f t="shared" si="9"/>
        <v>44144</v>
      </c>
      <c r="B126" s="2">
        <f t="shared" si="9"/>
        <v>44150</v>
      </c>
      <c r="C126" s="3" t="s">
        <v>760</v>
      </c>
      <c r="D126" s="3" t="s">
        <v>758</v>
      </c>
      <c r="E126" s="3">
        <f t="shared" si="10"/>
        <v>2</v>
      </c>
      <c r="F126" s="3" t="s">
        <v>802</v>
      </c>
      <c r="G126" s="3" t="str">
        <f>Table13[[#This Row],[Month]]&amp;", "&amp;Table13[[#This Row],[FY]]</f>
        <v>NOV, FY21</v>
      </c>
      <c r="H126" s="3" t="str">
        <f>Table13[[#This Row],[Week]]&amp;", "&amp;Table13[[#This Row],[Month]]&amp;" "&amp;Table13[[#This Row],[FY]]</f>
        <v>Week 20, NOV FY21</v>
      </c>
      <c r="I126" s="3" t="str">
        <f>Table13[[#This Row],[Month]]&amp;", "&amp;Table13[[#This Row],[FY]]</f>
        <v>NOV, FY21</v>
      </c>
      <c r="J126" s="3" t="str">
        <f>"Q"&amp;Table13[[#This Row],[QTR]]&amp;", "&amp;Table13[[#This Row],[FY]]</f>
        <v>Q2, FY21</v>
      </c>
    </row>
    <row r="127" spans="1:10" x14ac:dyDescent="0.25">
      <c r="A127" s="2">
        <f t="shared" si="9"/>
        <v>44151</v>
      </c>
      <c r="B127" s="2">
        <f t="shared" si="9"/>
        <v>44157</v>
      </c>
      <c r="C127" s="3" t="s">
        <v>761</v>
      </c>
      <c r="D127" s="3" t="s">
        <v>758</v>
      </c>
      <c r="E127" s="3">
        <f t="shared" si="10"/>
        <v>2</v>
      </c>
      <c r="F127" s="3" t="s">
        <v>802</v>
      </c>
      <c r="G127" s="3" t="str">
        <f>Table13[[#This Row],[Month]]&amp;", "&amp;Table13[[#This Row],[FY]]</f>
        <v>NOV, FY21</v>
      </c>
      <c r="H127" s="3" t="str">
        <f>Table13[[#This Row],[Week]]&amp;", "&amp;Table13[[#This Row],[Month]]&amp;" "&amp;Table13[[#This Row],[FY]]</f>
        <v>Week 21, NOV FY21</v>
      </c>
      <c r="I127" s="3" t="str">
        <f>Table13[[#This Row],[Month]]&amp;", "&amp;Table13[[#This Row],[FY]]</f>
        <v>NOV, FY21</v>
      </c>
      <c r="J127" s="3" t="str">
        <f>"Q"&amp;Table13[[#This Row],[QTR]]&amp;", "&amp;Table13[[#This Row],[FY]]</f>
        <v>Q2, FY21</v>
      </c>
    </row>
    <row r="128" spans="1:10" x14ac:dyDescent="0.25">
      <c r="A128" s="2">
        <f t="shared" si="9"/>
        <v>44158</v>
      </c>
      <c r="B128" s="2">
        <f t="shared" si="9"/>
        <v>44164</v>
      </c>
      <c r="C128" s="3" t="s">
        <v>762</v>
      </c>
      <c r="D128" s="3" t="s">
        <v>758</v>
      </c>
      <c r="E128" s="3">
        <f t="shared" si="10"/>
        <v>2</v>
      </c>
      <c r="F128" s="3" t="s">
        <v>802</v>
      </c>
      <c r="G128" s="3" t="str">
        <f>Table13[[#This Row],[Month]]&amp;", "&amp;Table13[[#This Row],[FY]]</f>
        <v>NOV, FY21</v>
      </c>
      <c r="H128" s="3" t="str">
        <f>Table13[[#This Row],[Week]]&amp;", "&amp;Table13[[#This Row],[Month]]&amp;" "&amp;Table13[[#This Row],[FY]]</f>
        <v>Week 22, NOV FY21</v>
      </c>
      <c r="I128" s="3" t="str">
        <f>Table13[[#This Row],[Month]]&amp;", "&amp;Table13[[#This Row],[FY]]</f>
        <v>NOV, FY21</v>
      </c>
      <c r="J128" s="3" t="str">
        <f>"Q"&amp;Table13[[#This Row],[QTR]]&amp;", "&amp;Table13[[#This Row],[FY]]</f>
        <v>Q2, FY21</v>
      </c>
    </row>
    <row r="129" spans="1:10" x14ac:dyDescent="0.25">
      <c r="A129" s="2">
        <f t="shared" si="9"/>
        <v>44165</v>
      </c>
      <c r="B129" s="2">
        <f t="shared" si="9"/>
        <v>44171</v>
      </c>
      <c r="C129" s="3" t="s">
        <v>763</v>
      </c>
      <c r="D129" s="3" t="s">
        <v>764</v>
      </c>
      <c r="E129" s="3">
        <f t="shared" si="10"/>
        <v>2</v>
      </c>
      <c r="F129" s="3" t="s">
        <v>802</v>
      </c>
      <c r="G129" s="3" t="str">
        <f>Table13[[#This Row],[Month]]&amp;", "&amp;Table13[[#This Row],[FY]]</f>
        <v>DEC, FY21</v>
      </c>
      <c r="H129" s="3" t="str">
        <f>Table13[[#This Row],[Week]]&amp;", "&amp;Table13[[#This Row],[Month]]&amp;" "&amp;Table13[[#This Row],[FY]]</f>
        <v>Week 23, DEC FY21</v>
      </c>
      <c r="I129" s="3" t="str">
        <f>Table13[[#This Row],[Month]]&amp;", "&amp;Table13[[#This Row],[FY]]</f>
        <v>DEC, FY21</v>
      </c>
      <c r="J129" s="3" t="str">
        <f>"Q"&amp;Table13[[#This Row],[QTR]]&amp;", "&amp;Table13[[#This Row],[FY]]</f>
        <v>Q2, FY21</v>
      </c>
    </row>
    <row r="130" spans="1:10" x14ac:dyDescent="0.25">
      <c r="A130" s="2">
        <f t="shared" si="9"/>
        <v>44172</v>
      </c>
      <c r="B130" s="2">
        <f t="shared" si="9"/>
        <v>44178</v>
      </c>
      <c r="C130" s="3" t="s">
        <v>765</v>
      </c>
      <c r="D130" s="3" t="s">
        <v>764</v>
      </c>
      <c r="E130" s="3">
        <f t="shared" si="10"/>
        <v>2</v>
      </c>
      <c r="F130" s="3" t="s">
        <v>802</v>
      </c>
      <c r="G130" s="3" t="str">
        <f>Table13[[#This Row],[Month]]&amp;", "&amp;Table13[[#This Row],[FY]]</f>
        <v>DEC, FY21</v>
      </c>
      <c r="H130" s="3" t="str">
        <f>Table13[[#This Row],[Week]]&amp;", "&amp;Table13[[#This Row],[Month]]&amp;" "&amp;Table13[[#This Row],[FY]]</f>
        <v>Week 24, DEC FY21</v>
      </c>
      <c r="I130" s="3" t="str">
        <f>Table13[[#This Row],[Month]]&amp;", "&amp;Table13[[#This Row],[FY]]</f>
        <v>DEC, FY21</v>
      </c>
      <c r="J130" s="3" t="str">
        <f>"Q"&amp;Table13[[#This Row],[QTR]]&amp;", "&amp;Table13[[#This Row],[FY]]</f>
        <v>Q2, FY21</v>
      </c>
    </row>
    <row r="131" spans="1:10" x14ac:dyDescent="0.25">
      <c r="A131" s="2">
        <f t="shared" ref="A131:B146" si="11">A130+7</f>
        <v>44179</v>
      </c>
      <c r="B131" s="2">
        <f t="shared" si="11"/>
        <v>44185</v>
      </c>
      <c r="C131" s="3" t="s">
        <v>766</v>
      </c>
      <c r="D131" s="3" t="s">
        <v>764</v>
      </c>
      <c r="E131" s="3">
        <f t="shared" si="10"/>
        <v>2</v>
      </c>
      <c r="F131" s="3" t="s">
        <v>802</v>
      </c>
      <c r="G131" s="3" t="str">
        <f>Table13[[#This Row],[Month]]&amp;", "&amp;Table13[[#This Row],[FY]]</f>
        <v>DEC, FY21</v>
      </c>
      <c r="H131" s="3" t="str">
        <f>Table13[[#This Row],[Week]]&amp;", "&amp;Table13[[#This Row],[Month]]&amp;" "&amp;Table13[[#This Row],[FY]]</f>
        <v>Week 25, DEC FY21</v>
      </c>
      <c r="I131" s="3" t="str">
        <f>Table13[[#This Row],[Month]]&amp;", "&amp;Table13[[#This Row],[FY]]</f>
        <v>DEC, FY21</v>
      </c>
      <c r="J131" s="3" t="str">
        <f>"Q"&amp;Table13[[#This Row],[QTR]]&amp;", "&amp;Table13[[#This Row],[FY]]</f>
        <v>Q2, FY21</v>
      </c>
    </row>
    <row r="132" spans="1:10" x14ac:dyDescent="0.25">
      <c r="A132" s="2">
        <f t="shared" si="11"/>
        <v>44186</v>
      </c>
      <c r="B132" s="2">
        <f t="shared" si="11"/>
        <v>44192</v>
      </c>
      <c r="C132" s="3" t="s">
        <v>767</v>
      </c>
      <c r="D132" s="3" t="s">
        <v>764</v>
      </c>
      <c r="E132" s="3">
        <f t="shared" si="10"/>
        <v>3</v>
      </c>
      <c r="F132" s="3" t="s">
        <v>802</v>
      </c>
      <c r="G132" s="3" t="str">
        <f>Table13[[#This Row],[Month]]&amp;", "&amp;Table13[[#This Row],[FY]]</f>
        <v>DEC, FY21</v>
      </c>
      <c r="H132" s="3" t="str">
        <f>Table13[[#This Row],[Week]]&amp;", "&amp;Table13[[#This Row],[Month]]&amp;" "&amp;Table13[[#This Row],[FY]]</f>
        <v>Week 26, DEC FY21</v>
      </c>
      <c r="I132" s="3" t="str">
        <f>Table13[[#This Row],[Month]]&amp;", "&amp;Table13[[#This Row],[FY]]</f>
        <v>DEC, FY21</v>
      </c>
      <c r="J132" s="3" t="str">
        <f>"Q"&amp;Table13[[#This Row],[QTR]]&amp;", "&amp;Table13[[#This Row],[FY]]</f>
        <v>Q3, FY21</v>
      </c>
    </row>
    <row r="133" spans="1:10" x14ac:dyDescent="0.25">
      <c r="A133" s="2">
        <f t="shared" si="11"/>
        <v>44193</v>
      </c>
      <c r="B133" s="2">
        <f t="shared" si="11"/>
        <v>44199</v>
      </c>
      <c r="C133" s="3" t="s">
        <v>768</v>
      </c>
      <c r="D133" s="3" t="s">
        <v>769</v>
      </c>
      <c r="E133" s="3">
        <f t="shared" si="10"/>
        <v>3</v>
      </c>
      <c r="F133" s="3" t="s">
        <v>802</v>
      </c>
      <c r="G133" s="3" t="str">
        <f>Table13[[#This Row],[Month]]&amp;", "&amp;Table13[[#This Row],[FY]]</f>
        <v>JAN, FY21</v>
      </c>
      <c r="H133" s="3" t="str">
        <f>Table13[[#This Row],[Week]]&amp;", "&amp;Table13[[#This Row],[Month]]&amp;" "&amp;Table13[[#This Row],[FY]]</f>
        <v>Week 27, JAN FY21</v>
      </c>
      <c r="I133" s="3" t="str">
        <f>Table13[[#This Row],[Month]]&amp;", "&amp;Table13[[#This Row],[FY]]</f>
        <v>JAN, FY21</v>
      </c>
      <c r="J133" s="3" t="str">
        <f>"Q"&amp;Table13[[#This Row],[QTR]]&amp;", "&amp;Table13[[#This Row],[FY]]</f>
        <v>Q3, FY21</v>
      </c>
    </row>
    <row r="134" spans="1:10" x14ac:dyDescent="0.25">
      <c r="A134" s="2">
        <f t="shared" si="11"/>
        <v>44200</v>
      </c>
      <c r="B134" s="2">
        <f t="shared" si="11"/>
        <v>44206</v>
      </c>
      <c r="C134" s="3" t="s">
        <v>770</v>
      </c>
      <c r="D134" s="3" t="s">
        <v>769</v>
      </c>
      <c r="E134" s="3">
        <f t="shared" si="10"/>
        <v>3</v>
      </c>
      <c r="F134" s="3" t="s">
        <v>802</v>
      </c>
      <c r="G134" s="3" t="str">
        <f>Table13[[#This Row],[Month]]&amp;", "&amp;Table13[[#This Row],[FY]]</f>
        <v>JAN, FY21</v>
      </c>
      <c r="H134" s="3" t="str">
        <f>Table13[[#This Row],[Week]]&amp;", "&amp;Table13[[#This Row],[Month]]&amp;" "&amp;Table13[[#This Row],[FY]]</f>
        <v>Week 28, JAN FY21</v>
      </c>
      <c r="I134" s="3" t="str">
        <f>Table13[[#This Row],[Month]]&amp;", "&amp;Table13[[#This Row],[FY]]</f>
        <v>JAN, FY21</v>
      </c>
      <c r="J134" s="3" t="str">
        <f>"Q"&amp;Table13[[#This Row],[QTR]]&amp;", "&amp;Table13[[#This Row],[FY]]</f>
        <v>Q3, FY21</v>
      </c>
    </row>
    <row r="135" spans="1:10" x14ac:dyDescent="0.25">
      <c r="A135" s="2">
        <f t="shared" si="11"/>
        <v>44207</v>
      </c>
      <c r="B135" s="2">
        <f t="shared" si="11"/>
        <v>44213</v>
      </c>
      <c r="C135" s="3" t="s">
        <v>771</v>
      </c>
      <c r="D135" s="3" t="s">
        <v>769</v>
      </c>
      <c r="E135" s="3">
        <f t="shared" si="10"/>
        <v>3</v>
      </c>
      <c r="F135" s="3" t="s">
        <v>802</v>
      </c>
      <c r="G135" s="3" t="str">
        <f>Table13[[#This Row],[Month]]&amp;", "&amp;Table13[[#This Row],[FY]]</f>
        <v>JAN, FY21</v>
      </c>
      <c r="H135" s="3" t="str">
        <f>Table13[[#This Row],[Week]]&amp;", "&amp;Table13[[#This Row],[Month]]&amp;" "&amp;Table13[[#This Row],[FY]]</f>
        <v>Week 29, JAN FY21</v>
      </c>
      <c r="I135" s="3" t="str">
        <f>Table13[[#This Row],[Month]]&amp;", "&amp;Table13[[#This Row],[FY]]</f>
        <v>JAN, FY21</v>
      </c>
      <c r="J135" s="3" t="str">
        <f>"Q"&amp;Table13[[#This Row],[QTR]]&amp;", "&amp;Table13[[#This Row],[FY]]</f>
        <v>Q3, FY21</v>
      </c>
    </row>
    <row r="136" spans="1:10" x14ac:dyDescent="0.25">
      <c r="A136" s="2">
        <f t="shared" si="11"/>
        <v>44214</v>
      </c>
      <c r="B136" s="2">
        <f t="shared" si="11"/>
        <v>44220</v>
      </c>
      <c r="C136" s="3" t="s">
        <v>772</v>
      </c>
      <c r="D136" s="3" t="s">
        <v>769</v>
      </c>
      <c r="E136" s="3">
        <f t="shared" si="10"/>
        <v>3</v>
      </c>
      <c r="F136" s="3" t="s">
        <v>802</v>
      </c>
      <c r="G136" s="3" t="str">
        <f>Table13[[#This Row],[Month]]&amp;", "&amp;Table13[[#This Row],[FY]]</f>
        <v>JAN, FY21</v>
      </c>
      <c r="H136" s="3" t="str">
        <f>Table13[[#This Row],[Week]]&amp;", "&amp;Table13[[#This Row],[Month]]&amp;" "&amp;Table13[[#This Row],[FY]]</f>
        <v>Week 30, JAN FY21</v>
      </c>
      <c r="I136" s="3" t="str">
        <f>Table13[[#This Row],[Month]]&amp;", "&amp;Table13[[#This Row],[FY]]</f>
        <v>JAN, FY21</v>
      </c>
      <c r="J136" s="3" t="str">
        <f>"Q"&amp;Table13[[#This Row],[QTR]]&amp;", "&amp;Table13[[#This Row],[FY]]</f>
        <v>Q3, FY21</v>
      </c>
    </row>
    <row r="137" spans="1:10" x14ac:dyDescent="0.25">
      <c r="A137" s="2">
        <f t="shared" si="11"/>
        <v>44221</v>
      </c>
      <c r="B137" s="2">
        <f t="shared" si="11"/>
        <v>44227</v>
      </c>
      <c r="C137" s="3" t="s">
        <v>773</v>
      </c>
      <c r="D137" s="3" t="s">
        <v>774</v>
      </c>
      <c r="E137" s="3">
        <f t="shared" si="10"/>
        <v>3</v>
      </c>
      <c r="F137" s="3" t="s">
        <v>802</v>
      </c>
      <c r="G137" s="3" t="str">
        <f>Table13[[#This Row],[Month]]&amp;", "&amp;Table13[[#This Row],[FY]]</f>
        <v>FEB, FY21</v>
      </c>
      <c r="H137" s="3" t="str">
        <f>Table13[[#This Row],[Week]]&amp;", "&amp;Table13[[#This Row],[Month]]&amp;" "&amp;Table13[[#This Row],[FY]]</f>
        <v>Week 31, FEB FY21</v>
      </c>
      <c r="I137" s="3" t="str">
        <f>Table13[[#This Row],[Month]]&amp;", "&amp;Table13[[#This Row],[FY]]</f>
        <v>FEB, FY21</v>
      </c>
      <c r="J137" s="3" t="str">
        <f>"Q"&amp;Table13[[#This Row],[QTR]]&amp;", "&amp;Table13[[#This Row],[FY]]</f>
        <v>Q3, FY21</v>
      </c>
    </row>
    <row r="138" spans="1:10" x14ac:dyDescent="0.25">
      <c r="A138" s="2">
        <f t="shared" si="11"/>
        <v>44228</v>
      </c>
      <c r="B138" s="2">
        <f t="shared" si="11"/>
        <v>44234</v>
      </c>
      <c r="C138" s="3" t="s">
        <v>775</v>
      </c>
      <c r="D138" s="3" t="s">
        <v>774</v>
      </c>
      <c r="E138" s="3">
        <f t="shared" si="10"/>
        <v>3</v>
      </c>
      <c r="F138" s="3" t="s">
        <v>802</v>
      </c>
      <c r="G138" s="3" t="str">
        <f>Table13[[#This Row],[Month]]&amp;", "&amp;Table13[[#This Row],[FY]]</f>
        <v>FEB, FY21</v>
      </c>
      <c r="H138" s="3" t="str">
        <f>Table13[[#This Row],[Week]]&amp;", "&amp;Table13[[#This Row],[Month]]&amp;" "&amp;Table13[[#This Row],[FY]]</f>
        <v>Week 32, FEB FY21</v>
      </c>
      <c r="I138" s="3" t="str">
        <f>Table13[[#This Row],[Month]]&amp;", "&amp;Table13[[#This Row],[FY]]</f>
        <v>FEB, FY21</v>
      </c>
      <c r="J138" s="3" t="str">
        <f>"Q"&amp;Table13[[#This Row],[QTR]]&amp;", "&amp;Table13[[#This Row],[FY]]</f>
        <v>Q3, FY21</v>
      </c>
    </row>
    <row r="139" spans="1:10" x14ac:dyDescent="0.25">
      <c r="A139" s="2">
        <f t="shared" si="11"/>
        <v>44235</v>
      </c>
      <c r="B139" s="2">
        <f t="shared" si="11"/>
        <v>44241</v>
      </c>
      <c r="C139" s="3" t="s">
        <v>776</v>
      </c>
      <c r="D139" s="3" t="s">
        <v>774</v>
      </c>
      <c r="E139" s="3">
        <f t="shared" si="10"/>
        <v>3</v>
      </c>
      <c r="F139" s="3" t="s">
        <v>802</v>
      </c>
      <c r="G139" s="3" t="str">
        <f>Table13[[#This Row],[Month]]&amp;", "&amp;Table13[[#This Row],[FY]]</f>
        <v>FEB, FY21</v>
      </c>
      <c r="H139" s="3" t="str">
        <f>Table13[[#This Row],[Week]]&amp;", "&amp;Table13[[#This Row],[Month]]&amp;" "&amp;Table13[[#This Row],[FY]]</f>
        <v>Week 33, FEB FY21</v>
      </c>
      <c r="I139" s="3" t="str">
        <f>Table13[[#This Row],[Month]]&amp;", "&amp;Table13[[#This Row],[FY]]</f>
        <v>FEB, FY21</v>
      </c>
      <c r="J139" s="3" t="str">
        <f>"Q"&amp;Table13[[#This Row],[QTR]]&amp;", "&amp;Table13[[#This Row],[FY]]</f>
        <v>Q3, FY21</v>
      </c>
    </row>
    <row r="140" spans="1:10" x14ac:dyDescent="0.25">
      <c r="A140" s="2">
        <f t="shared" si="11"/>
        <v>44242</v>
      </c>
      <c r="B140" s="2">
        <f t="shared" si="11"/>
        <v>44248</v>
      </c>
      <c r="C140" s="3" t="s">
        <v>777</v>
      </c>
      <c r="D140" s="3" t="s">
        <v>774</v>
      </c>
      <c r="E140" s="3">
        <f t="shared" si="10"/>
        <v>3</v>
      </c>
      <c r="F140" s="3" t="s">
        <v>802</v>
      </c>
      <c r="G140" s="3" t="str">
        <f>Table13[[#This Row],[Month]]&amp;", "&amp;Table13[[#This Row],[FY]]</f>
        <v>FEB, FY21</v>
      </c>
      <c r="H140" s="3" t="str">
        <f>Table13[[#This Row],[Week]]&amp;", "&amp;Table13[[#This Row],[Month]]&amp;" "&amp;Table13[[#This Row],[FY]]</f>
        <v>Week 34, FEB FY21</v>
      </c>
      <c r="I140" s="3" t="str">
        <f>Table13[[#This Row],[Month]]&amp;", "&amp;Table13[[#This Row],[FY]]</f>
        <v>FEB, FY21</v>
      </c>
      <c r="J140" s="3" t="str">
        <f>"Q"&amp;Table13[[#This Row],[QTR]]&amp;", "&amp;Table13[[#This Row],[FY]]</f>
        <v>Q3, FY21</v>
      </c>
    </row>
    <row r="141" spans="1:10" x14ac:dyDescent="0.25">
      <c r="A141" s="2">
        <f t="shared" si="11"/>
        <v>44249</v>
      </c>
      <c r="B141" s="2">
        <f t="shared" si="11"/>
        <v>44255</v>
      </c>
      <c r="C141" s="3" t="s">
        <v>778</v>
      </c>
      <c r="D141" s="3" t="s">
        <v>774</v>
      </c>
      <c r="E141" s="3">
        <f t="shared" si="10"/>
        <v>3</v>
      </c>
      <c r="F141" s="3" t="s">
        <v>802</v>
      </c>
      <c r="G141" s="3" t="str">
        <f>Table13[[#This Row],[Month]]&amp;", "&amp;Table13[[#This Row],[FY]]</f>
        <v>FEB, FY21</v>
      </c>
      <c r="H141" s="3" t="str">
        <f>Table13[[#This Row],[Week]]&amp;", "&amp;Table13[[#This Row],[Month]]&amp;" "&amp;Table13[[#This Row],[FY]]</f>
        <v>Week 35, FEB FY21</v>
      </c>
      <c r="I141" s="3" t="str">
        <f>Table13[[#This Row],[Month]]&amp;", "&amp;Table13[[#This Row],[FY]]</f>
        <v>FEB, FY21</v>
      </c>
      <c r="J141" s="3" t="str">
        <f>"Q"&amp;Table13[[#This Row],[QTR]]&amp;", "&amp;Table13[[#This Row],[FY]]</f>
        <v>Q3, FY21</v>
      </c>
    </row>
    <row r="142" spans="1:10" x14ac:dyDescent="0.25">
      <c r="A142" s="2">
        <f t="shared" si="11"/>
        <v>44256</v>
      </c>
      <c r="B142" s="2">
        <f t="shared" si="11"/>
        <v>44262</v>
      </c>
      <c r="C142" s="3" t="s">
        <v>779</v>
      </c>
      <c r="D142" s="3" t="s">
        <v>780</v>
      </c>
      <c r="E142" s="3">
        <f t="shared" si="10"/>
        <v>3</v>
      </c>
      <c r="F142" s="3" t="s">
        <v>802</v>
      </c>
      <c r="G142" s="3" t="str">
        <f>Table13[[#This Row],[Month]]&amp;", "&amp;Table13[[#This Row],[FY]]</f>
        <v>MAR, FY21</v>
      </c>
      <c r="H142" s="3" t="str">
        <f>Table13[[#This Row],[Week]]&amp;", "&amp;Table13[[#This Row],[Month]]&amp;" "&amp;Table13[[#This Row],[FY]]</f>
        <v>Week 36, MAR FY21</v>
      </c>
      <c r="I142" s="3" t="str">
        <f>Table13[[#This Row],[Month]]&amp;", "&amp;Table13[[#This Row],[FY]]</f>
        <v>MAR, FY21</v>
      </c>
      <c r="J142" s="3" t="str">
        <f>"Q"&amp;Table13[[#This Row],[QTR]]&amp;", "&amp;Table13[[#This Row],[FY]]</f>
        <v>Q3, FY21</v>
      </c>
    </row>
    <row r="143" spans="1:10" x14ac:dyDescent="0.25">
      <c r="A143" s="2">
        <f t="shared" si="11"/>
        <v>44263</v>
      </c>
      <c r="B143" s="2">
        <f t="shared" si="11"/>
        <v>44269</v>
      </c>
      <c r="C143" s="3" t="s">
        <v>781</v>
      </c>
      <c r="D143" s="3" t="s">
        <v>780</v>
      </c>
      <c r="E143" s="3">
        <f t="shared" si="10"/>
        <v>3</v>
      </c>
      <c r="F143" s="3" t="s">
        <v>802</v>
      </c>
      <c r="G143" s="3" t="str">
        <f>Table13[[#This Row],[Month]]&amp;", "&amp;Table13[[#This Row],[FY]]</f>
        <v>MAR, FY21</v>
      </c>
      <c r="H143" s="3" t="str">
        <f>Table13[[#This Row],[Week]]&amp;", "&amp;Table13[[#This Row],[Month]]&amp;" "&amp;Table13[[#This Row],[FY]]</f>
        <v>Week 37, MAR FY21</v>
      </c>
      <c r="I143" s="3" t="str">
        <f>Table13[[#This Row],[Month]]&amp;", "&amp;Table13[[#This Row],[FY]]</f>
        <v>MAR, FY21</v>
      </c>
      <c r="J143" s="3" t="str">
        <f>"Q"&amp;Table13[[#This Row],[QTR]]&amp;", "&amp;Table13[[#This Row],[FY]]</f>
        <v>Q3, FY21</v>
      </c>
    </row>
    <row r="144" spans="1:10" x14ac:dyDescent="0.25">
      <c r="A144" s="2">
        <f t="shared" si="11"/>
        <v>44270</v>
      </c>
      <c r="B144" s="2">
        <f t="shared" si="11"/>
        <v>44276</v>
      </c>
      <c r="C144" s="3" t="s">
        <v>782</v>
      </c>
      <c r="D144" s="3" t="s">
        <v>780</v>
      </c>
      <c r="E144" s="3">
        <f t="shared" si="10"/>
        <v>3</v>
      </c>
      <c r="F144" s="3" t="s">
        <v>802</v>
      </c>
      <c r="G144" s="3" t="str">
        <f>Table13[[#This Row],[Month]]&amp;", "&amp;Table13[[#This Row],[FY]]</f>
        <v>MAR, FY21</v>
      </c>
      <c r="H144" s="3" t="str">
        <f>Table13[[#This Row],[Week]]&amp;", "&amp;Table13[[#This Row],[Month]]&amp;" "&amp;Table13[[#This Row],[FY]]</f>
        <v>Week 38, MAR FY21</v>
      </c>
      <c r="I144" s="3" t="str">
        <f>Table13[[#This Row],[Month]]&amp;", "&amp;Table13[[#This Row],[FY]]</f>
        <v>MAR, FY21</v>
      </c>
      <c r="J144" s="3" t="str">
        <f>"Q"&amp;Table13[[#This Row],[QTR]]&amp;", "&amp;Table13[[#This Row],[FY]]</f>
        <v>Q3, FY21</v>
      </c>
    </row>
    <row r="145" spans="1:10" x14ac:dyDescent="0.25">
      <c r="A145" s="2">
        <f t="shared" si="11"/>
        <v>44277</v>
      </c>
      <c r="B145" s="2">
        <f t="shared" si="11"/>
        <v>44283</v>
      </c>
      <c r="C145" s="3" t="s">
        <v>783</v>
      </c>
      <c r="D145" s="3" t="s">
        <v>780</v>
      </c>
      <c r="E145" s="3">
        <f t="shared" si="10"/>
        <v>4</v>
      </c>
      <c r="F145" s="3" t="s">
        <v>802</v>
      </c>
      <c r="G145" s="3" t="str">
        <f>Table13[[#This Row],[Month]]&amp;", "&amp;Table13[[#This Row],[FY]]</f>
        <v>MAR, FY21</v>
      </c>
      <c r="H145" s="3" t="str">
        <f>Table13[[#This Row],[Week]]&amp;", "&amp;Table13[[#This Row],[Month]]&amp;" "&amp;Table13[[#This Row],[FY]]</f>
        <v>Week 39, MAR FY21</v>
      </c>
      <c r="I145" s="3" t="str">
        <f>Table13[[#This Row],[Month]]&amp;", "&amp;Table13[[#This Row],[FY]]</f>
        <v>MAR, FY21</v>
      </c>
      <c r="J145" s="3" t="str">
        <f>"Q"&amp;Table13[[#This Row],[QTR]]&amp;", "&amp;Table13[[#This Row],[FY]]</f>
        <v>Q4, FY21</v>
      </c>
    </row>
    <row r="146" spans="1:10" x14ac:dyDescent="0.25">
      <c r="A146" s="2">
        <f t="shared" si="11"/>
        <v>44284</v>
      </c>
      <c r="B146" s="2">
        <f t="shared" si="11"/>
        <v>44290</v>
      </c>
      <c r="C146" s="3" t="s">
        <v>784</v>
      </c>
      <c r="D146" s="3" t="s">
        <v>785</v>
      </c>
      <c r="E146" s="3">
        <f t="shared" si="10"/>
        <v>4</v>
      </c>
      <c r="F146" s="3" t="s">
        <v>802</v>
      </c>
      <c r="G146" s="3" t="str">
        <f>Table13[[#This Row],[Month]]&amp;", "&amp;Table13[[#This Row],[FY]]</f>
        <v>APR, FY21</v>
      </c>
      <c r="H146" s="3" t="str">
        <f>Table13[[#This Row],[Week]]&amp;", "&amp;Table13[[#This Row],[Month]]&amp;" "&amp;Table13[[#This Row],[FY]]</f>
        <v>Week 40, APR FY21</v>
      </c>
      <c r="I146" s="3" t="str">
        <f>Table13[[#This Row],[Month]]&amp;", "&amp;Table13[[#This Row],[FY]]</f>
        <v>APR, FY21</v>
      </c>
      <c r="J146" s="3" t="str">
        <f>"Q"&amp;Table13[[#This Row],[QTR]]&amp;", "&amp;Table13[[#This Row],[FY]]</f>
        <v>Q4, FY21</v>
      </c>
    </row>
    <row r="147" spans="1:10" x14ac:dyDescent="0.25">
      <c r="A147" s="2">
        <f t="shared" ref="A147:B157" si="12">A146+7</f>
        <v>44291</v>
      </c>
      <c r="B147" s="2">
        <f t="shared" si="12"/>
        <v>44297</v>
      </c>
      <c r="C147" s="3" t="s">
        <v>786</v>
      </c>
      <c r="D147" s="3" t="s">
        <v>785</v>
      </c>
      <c r="E147" s="3">
        <f t="shared" si="10"/>
        <v>4</v>
      </c>
      <c r="F147" s="3" t="s">
        <v>802</v>
      </c>
      <c r="G147" s="3" t="str">
        <f>Table13[[#This Row],[Month]]&amp;", "&amp;Table13[[#This Row],[FY]]</f>
        <v>APR, FY21</v>
      </c>
      <c r="H147" s="3" t="str">
        <f>Table13[[#This Row],[Week]]&amp;", "&amp;Table13[[#This Row],[Month]]&amp;" "&amp;Table13[[#This Row],[FY]]</f>
        <v>Week 41, APR FY21</v>
      </c>
      <c r="I147" s="3" t="str">
        <f>Table13[[#This Row],[Month]]&amp;", "&amp;Table13[[#This Row],[FY]]</f>
        <v>APR, FY21</v>
      </c>
      <c r="J147" s="3" t="str">
        <f>"Q"&amp;Table13[[#This Row],[QTR]]&amp;", "&amp;Table13[[#This Row],[FY]]</f>
        <v>Q4, FY21</v>
      </c>
    </row>
    <row r="148" spans="1:10" x14ac:dyDescent="0.25">
      <c r="A148" s="2">
        <f t="shared" si="12"/>
        <v>44298</v>
      </c>
      <c r="B148" s="2">
        <f t="shared" si="12"/>
        <v>44304</v>
      </c>
      <c r="C148" s="3" t="s">
        <v>787</v>
      </c>
      <c r="D148" s="3" t="s">
        <v>785</v>
      </c>
      <c r="E148" s="3">
        <f t="shared" si="10"/>
        <v>4</v>
      </c>
      <c r="F148" s="3" t="s">
        <v>802</v>
      </c>
      <c r="G148" s="3" t="str">
        <f>Table13[[#This Row],[Month]]&amp;", "&amp;Table13[[#This Row],[FY]]</f>
        <v>APR, FY21</v>
      </c>
      <c r="H148" s="3" t="str">
        <f>Table13[[#This Row],[Week]]&amp;", "&amp;Table13[[#This Row],[Month]]&amp;" "&amp;Table13[[#This Row],[FY]]</f>
        <v>Week 42, APR FY21</v>
      </c>
      <c r="I148" s="3" t="str">
        <f>Table13[[#This Row],[Month]]&amp;", "&amp;Table13[[#This Row],[FY]]</f>
        <v>APR, FY21</v>
      </c>
      <c r="J148" s="3" t="str">
        <f>"Q"&amp;Table13[[#This Row],[QTR]]&amp;", "&amp;Table13[[#This Row],[FY]]</f>
        <v>Q4, FY21</v>
      </c>
    </row>
    <row r="149" spans="1:10" x14ac:dyDescent="0.25">
      <c r="A149" s="2">
        <f t="shared" si="12"/>
        <v>44305</v>
      </c>
      <c r="B149" s="2">
        <f t="shared" si="12"/>
        <v>44311</v>
      </c>
      <c r="C149" s="3" t="s">
        <v>788</v>
      </c>
      <c r="D149" s="3" t="s">
        <v>785</v>
      </c>
      <c r="E149" s="3">
        <f t="shared" si="10"/>
        <v>4</v>
      </c>
      <c r="F149" s="3" t="s">
        <v>802</v>
      </c>
      <c r="G149" s="3" t="str">
        <f>Table13[[#This Row],[Month]]&amp;", "&amp;Table13[[#This Row],[FY]]</f>
        <v>APR, FY21</v>
      </c>
      <c r="H149" s="3" t="str">
        <f>Table13[[#This Row],[Week]]&amp;", "&amp;Table13[[#This Row],[Month]]&amp;" "&amp;Table13[[#This Row],[FY]]</f>
        <v>Week 43, APR FY21</v>
      </c>
      <c r="I149" s="3" t="str">
        <f>Table13[[#This Row],[Month]]&amp;", "&amp;Table13[[#This Row],[FY]]</f>
        <v>APR, FY21</v>
      </c>
      <c r="J149" s="3" t="str">
        <f>"Q"&amp;Table13[[#This Row],[QTR]]&amp;", "&amp;Table13[[#This Row],[FY]]</f>
        <v>Q4, FY21</v>
      </c>
    </row>
    <row r="150" spans="1:10" x14ac:dyDescent="0.25">
      <c r="A150" s="2">
        <f t="shared" si="12"/>
        <v>44312</v>
      </c>
      <c r="B150" s="2">
        <f t="shared" si="12"/>
        <v>44318</v>
      </c>
      <c r="C150" s="3" t="s">
        <v>789</v>
      </c>
      <c r="D150" s="3" t="s">
        <v>790</v>
      </c>
      <c r="E150" s="3">
        <f t="shared" si="10"/>
        <v>4</v>
      </c>
      <c r="F150" s="3" t="s">
        <v>802</v>
      </c>
      <c r="G150" s="3" t="str">
        <f>Table13[[#This Row],[Month]]&amp;", "&amp;Table13[[#This Row],[FY]]</f>
        <v>MAY, FY21</v>
      </c>
      <c r="H150" s="3" t="str">
        <f>Table13[[#This Row],[Week]]&amp;", "&amp;Table13[[#This Row],[Month]]&amp;" "&amp;Table13[[#This Row],[FY]]</f>
        <v>Week 44, MAY FY21</v>
      </c>
      <c r="I150" s="3" t="str">
        <f>Table13[[#This Row],[Month]]&amp;", "&amp;Table13[[#This Row],[FY]]</f>
        <v>MAY, FY21</v>
      </c>
      <c r="J150" s="3" t="str">
        <f>"Q"&amp;Table13[[#This Row],[QTR]]&amp;", "&amp;Table13[[#This Row],[FY]]</f>
        <v>Q4, FY21</v>
      </c>
    </row>
    <row r="151" spans="1:10" x14ac:dyDescent="0.25">
      <c r="A151" s="2">
        <f t="shared" si="12"/>
        <v>44319</v>
      </c>
      <c r="B151" s="2">
        <f t="shared" si="12"/>
        <v>44325</v>
      </c>
      <c r="C151" s="3" t="s">
        <v>791</v>
      </c>
      <c r="D151" s="3" t="s">
        <v>790</v>
      </c>
      <c r="E151" s="3">
        <f t="shared" si="10"/>
        <v>4</v>
      </c>
      <c r="F151" s="3" t="s">
        <v>802</v>
      </c>
      <c r="G151" s="3" t="str">
        <f>Table13[[#This Row],[Month]]&amp;", "&amp;Table13[[#This Row],[FY]]</f>
        <v>MAY, FY21</v>
      </c>
      <c r="H151" s="3" t="str">
        <f>Table13[[#This Row],[Week]]&amp;", "&amp;Table13[[#This Row],[Month]]&amp;" "&amp;Table13[[#This Row],[FY]]</f>
        <v>Week 45, MAY FY21</v>
      </c>
      <c r="I151" s="3" t="str">
        <f>Table13[[#This Row],[Month]]&amp;", "&amp;Table13[[#This Row],[FY]]</f>
        <v>MAY, FY21</v>
      </c>
      <c r="J151" s="3" t="str">
        <f>"Q"&amp;Table13[[#This Row],[QTR]]&amp;", "&amp;Table13[[#This Row],[FY]]</f>
        <v>Q4, FY21</v>
      </c>
    </row>
    <row r="152" spans="1:10" x14ac:dyDescent="0.25">
      <c r="A152" s="2">
        <f t="shared" si="12"/>
        <v>44326</v>
      </c>
      <c r="B152" s="2">
        <f t="shared" si="12"/>
        <v>44332</v>
      </c>
      <c r="C152" s="3" t="s">
        <v>792</v>
      </c>
      <c r="D152" s="3" t="s">
        <v>790</v>
      </c>
      <c r="E152" s="3">
        <f t="shared" si="10"/>
        <v>4</v>
      </c>
      <c r="F152" s="3" t="s">
        <v>802</v>
      </c>
      <c r="G152" s="3" t="str">
        <f>Table13[[#This Row],[Month]]&amp;", "&amp;Table13[[#This Row],[FY]]</f>
        <v>MAY, FY21</v>
      </c>
      <c r="H152" s="3" t="str">
        <f>Table13[[#This Row],[Week]]&amp;", "&amp;Table13[[#This Row],[Month]]&amp;" "&amp;Table13[[#This Row],[FY]]</f>
        <v>Week 46, MAY FY21</v>
      </c>
      <c r="I152" s="3" t="str">
        <f>Table13[[#This Row],[Month]]&amp;", "&amp;Table13[[#This Row],[FY]]</f>
        <v>MAY, FY21</v>
      </c>
      <c r="J152" s="3" t="str">
        <f>"Q"&amp;Table13[[#This Row],[QTR]]&amp;", "&amp;Table13[[#This Row],[FY]]</f>
        <v>Q4, FY21</v>
      </c>
    </row>
    <row r="153" spans="1:10" x14ac:dyDescent="0.25">
      <c r="A153" s="2">
        <f t="shared" si="12"/>
        <v>44333</v>
      </c>
      <c r="B153" s="2">
        <f t="shared" si="12"/>
        <v>44339</v>
      </c>
      <c r="C153" s="3" t="s">
        <v>793</v>
      </c>
      <c r="D153" s="3" t="s">
        <v>790</v>
      </c>
      <c r="E153" s="3">
        <f t="shared" si="10"/>
        <v>4</v>
      </c>
      <c r="F153" s="3" t="s">
        <v>802</v>
      </c>
      <c r="G153" s="3" t="str">
        <f>Table13[[#This Row],[Month]]&amp;", "&amp;Table13[[#This Row],[FY]]</f>
        <v>MAY, FY21</v>
      </c>
      <c r="H153" s="3" t="str">
        <f>Table13[[#This Row],[Week]]&amp;", "&amp;Table13[[#This Row],[Month]]&amp;" "&amp;Table13[[#This Row],[FY]]</f>
        <v>Week 47, MAY FY21</v>
      </c>
      <c r="I153" s="3" t="str">
        <f>Table13[[#This Row],[Month]]&amp;", "&amp;Table13[[#This Row],[FY]]</f>
        <v>MAY, FY21</v>
      </c>
      <c r="J153" s="3" t="str">
        <f>"Q"&amp;Table13[[#This Row],[QTR]]&amp;", "&amp;Table13[[#This Row],[FY]]</f>
        <v>Q4, FY21</v>
      </c>
    </row>
    <row r="154" spans="1:10" x14ac:dyDescent="0.25">
      <c r="A154" s="2">
        <f t="shared" si="12"/>
        <v>44340</v>
      </c>
      <c r="B154" s="2">
        <f t="shared" si="12"/>
        <v>44346</v>
      </c>
      <c r="C154" s="3" t="s">
        <v>794</v>
      </c>
      <c r="D154" s="3" t="s">
        <v>790</v>
      </c>
      <c r="E154" s="3">
        <f t="shared" si="10"/>
        <v>4</v>
      </c>
      <c r="F154" s="3" t="s">
        <v>802</v>
      </c>
      <c r="G154" s="3" t="str">
        <f>Table13[[#This Row],[Month]]&amp;", "&amp;Table13[[#This Row],[FY]]</f>
        <v>MAY, FY21</v>
      </c>
      <c r="H154" s="3" t="str">
        <f>Table13[[#This Row],[Week]]&amp;", "&amp;Table13[[#This Row],[Month]]&amp;" "&amp;Table13[[#This Row],[FY]]</f>
        <v>Week 48, MAY FY21</v>
      </c>
      <c r="I154" s="3" t="str">
        <f>Table13[[#This Row],[Month]]&amp;", "&amp;Table13[[#This Row],[FY]]</f>
        <v>MAY, FY21</v>
      </c>
      <c r="J154" s="3" t="str">
        <f>"Q"&amp;Table13[[#This Row],[QTR]]&amp;", "&amp;Table13[[#This Row],[FY]]</f>
        <v>Q4, FY21</v>
      </c>
    </row>
    <row r="155" spans="1:10" x14ac:dyDescent="0.25">
      <c r="A155" s="2">
        <f t="shared" si="12"/>
        <v>44347</v>
      </c>
      <c r="B155" s="2">
        <f t="shared" si="12"/>
        <v>44353</v>
      </c>
      <c r="C155" s="3" t="s">
        <v>795</v>
      </c>
      <c r="D155" s="3" t="s">
        <v>796</v>
      </c>
      <c r="E155" s="3">
        <f t="shared" si="10"/>
        <v>4</v>
      </c>
      <c r="F155" s="3" t="s">
        <v>802</v>
      </c>
      <c r="G155" s="3" t="str">
        <f>Table13[[#This Row],[Month]]&amp;", "&amp;Table13[[#This Row],[FY]]</f>
        <v>JUN, FY21</v>
      </c>
      <c r="H155" s="3" t="str">
        <f>Table13[[#This Row],[Week]]&amp;", "&amp;Table13[[#This Row],[Month]]&amp;" "&amp;Table13[[#This Row],[FY]]</f>
        <v>Week 49, JUN FY21</v>
      </c>
      <c r="I155" s="3" t="str">
        <f>Table13[[#This Row],[Month]]&amp;", "&amp;Table13[[#This Row],[FY]]</f>
        <v>JUN, FY21</v>
      </c>
      <c r="J155" s="3" t="str">
        <f>"Q"&amp;Table13[[#This Row],[QTR]]&amp;", "&amp;Table13[[#This Row],[FY]]</f>
        <v>Q4, FY21</v>
      </c>
    </row>
    <row r="156" spans="1:10" x14ac:dyDescent="0.25">
      <c r="A156" s="2">
        <f t="shared" si="12"/>
        <v>44354</v>
      </c>
      <c r="B156" s="2">
        <f t="shared" si="12"/>
        <v>44360</v>
      </c>
      <c r="C156" s="3" t="s">
        <v>797</v>
      </c>
      <c r="D156" s="3" t="s">
        <v>796</v>
      </c>
      <c r="E156" s="3">
        <f t="shared" si="10"/>
        <v>4</v>
      </c>
      <c r="F156" s="3" t="s">
        <v>802</v>
      </c>
      <c r="G156" s="3" t="str">
        <f>Table13[[#This Row],[Month]]&amp;", "&amp;Table13[[#This Row],[FY]]</f>
        <v>JUN, FY21</v>
      </c>
      <c r="H156" s="3" t="str">
        <f>Table13[[#This Row],[Week]]&amp;", "&amp;Table13[[#This Row],[Month]]&amp;" "&amp;Table13[[#This Row],[FY]]</f>
        <v>Week 50, JUN FY21</v>
      </c>
      <c r="I156" s="3" t="str">
        <f>Table13[[#This Row],[Month]]&amp;", "&amp;Table13[[#This Row],[FY]]</f>
        <v>JUN, FY21</v>
      </c>
      <c r="J156" s="3" t="str">
        <f>"Q"&amp;Table13[[#This Row],[QTR]]&amp;", "&amp;Table13[[#This Row],[FY]]</f>
        <v>Q4, FY21</v>
      </c>
    </row>
    <row r="157" spans="1:10" x14ac:dyDescent="0.25">
      <c r="A157" s="2">
        <f t="shared" si="12"/>
        <v>44361</v>
      </c>
      <c r="B157" s="2">
        <f t="shared" si="12"/>
        <v>44367</v>
      </c>
      <c r="C157" s="3" t="s">
        <v>798</v>
      </c>
      <c r="D157" s="3" t="s">
        <v>796</v>
      </c>
      <c r="E157" s="3">
        <f t="shared" si="10"/>
        <v>4</v>
      </c>
      <c r="F157" s="3" t="s">
        <v>802</v>
      </c>
      <c r="G157" s="3" t="str">
        <f>Table13[[#This Row],[Month]]&amp;", "&amp;Table13[[#This Row],[FY]]</f>
        <v>JUN, FY21</v>
      </c>
      <c r="H157" s="3" t="str">
        <f>Table13[[#This Row],[Week]]&amp;", "&amp;Table13[[#This Row],[Month]]&amp;" "&amp;Table13[[#This Row],[FY]]</f>
        <v>Week 51, JUN FY21</v>
      </c>
      <c r="I157" s="3" t="str">
        <f>Table13[[#This Row],[Month]]&amp;", "&amp;Table13[[#This Row],[FY]]</f>
        <v>JUN, FY21</v>
      </c>
      <c r="J157" s="3" t="str">
        <f>"Q"&amp;Table13[[#This Row],[QTR]]&amp;", "&amp;Table13[[#This Row],[FY]]</f>
        <v>Q4, FY21</v>
      </c>
    </row>
    <row r="158" spans="1:10" x14ac:dyDescent="0.25">
      <c r="A158" s="2">
        <f>A157+7</f>
        <v>44368</v>
      </c>
      <c r="B158" s="2">
        <f>B157+7</f>
        <v>44374</v>
      </c>
      <c r="C158" s="3" t="s">
        <v>799</v>
      </c>
      <c r="D158" s="3" t="s">
        <v>796</v>
      </c>
      <c r="E158" s="3">
        <v>4</v>
      </c>
      <c r="F158" s="3" t="s">
        <v>802</v>
      </c>
      <c r="G158" s="3" t="str">
        <f>Table13[[#This Row],[Month]]&amp;", "&amp;Table13[[#This Row],[FY]]</f>
        <v>JUN, FY21</v>
      </c>
      <c r="H158" s="3" t="str">
        <f>Table13[[#This Row],[Week]]&amp;", "&amp;Table13[[#This Row],[Month]]&amp;" "&amp;Table13[[#This Row],[FY]]</f>
        <v>Week 52, JUN FY21</v>
      </c>
      <c r="I158" s="3" t="str">
        <f>Table13[[#This Row],[Month]]&amp;", "&amp;Table13[[#This Row],[FY]]</f>
        <v>JUN, FY21</v>
      </c>
      <c r="J158" s="3" t="str">
        <f>"Q"&amp;Table13[[#This Row],[QTR]]&amp;", "&amp;Table13[[#This Row],[FY]]</f>
        <v>Q4, FY21</v>
      </c>
    </row>
    <row r="159" spans="1:10" x14ac:dyDescent="0.25">
      <c r="A159" s="2">
        <v>44375</v>
      </c>
      <c r="B159" s="2">
        <f>A159+6</f>
        <v>44381</v>
      </c>
      <c r="C159" s="3" t="s">
        <v>735</v>
      </c>
      <c r="D159" s="3" t="s">
        <v>736</v>
      </c>
      <c r="E159" s="3">
        <v>1</v>
      </c>
      <c r="F159" s="3" t="s">
        <v>803</v>
      </c>
      <c r="G159" s="3" t="str">
        <f>Table13[[#This Row],[Month]]&amp;", "&amp;Table13[[#This Row],[FY]]</f>
        <v>JUL, FY22</v>
      </c>
      <c r="H159" s="3" t="str">
        <f>Table13[[#This Row],[Week]]&amp;", "&amp;Table13[[#This Row],[Month]]&amp;" "&amp;Table13[[#This Row],[FY]]</f>
        <v>Week 1, JUL FY22</v>
      </c>
      <c r="I159" s="3" t="str">
        <f>Table13[[#This Row],[Month]]&amp;", "&amp;Table13[[#This Row],[FY]]</f>
        <v>JUL, FY22</v>
      </c>
      <c r="J159" s="3" t="str">
        <f>"Q"&amp;Table13[[#This Row],[QTR]]&amp;", "&amp;Table13[[#This Row],[FY]]</f>
        <v>Q1, FY22</v>
      </c>
    </row>
    <row r="160" spans="1:10" x14ac:dyDescent="0.25">
      <c r="A160" s="2">
        <f t="shared" ref="A160:B175" si="13">A159+7</f>
        <v>44382</v>
      </c>
      <c r="B160" s="2">
        <f t="shared" si="13"/>
        <v>44388</v>
      </c>
      <c r="C160" s="3" t="s">
        <v>738</v>
      </c>
      <c r="D160" s="3" t="s">
        <v>736</v>
      </c>
      <c r="E160" s="3">
        <v>1</v>
      </c>
      <c r="F160" s="3" t="s">
        <v>803</v>
      </c>
      <c r="G160" s="3" t="str">
        <f>Table13[[#This Row],[Month]]&amp;", "&amp;Table13[[#This Row],[FY]]</f>
        <v>JUL, FY22</v>
      </c>
      <c r="H160" s="3" t="str">
        <f>Table13[[#This Row],[Week]]&amp;", "&amp;Table13[[#This Row],[Month]]&amp;" "&amp;Table13[[#This Row],[FY]]</f>
        <v>Week 2, JUL FY22</v>
      </c>
      <c r="I160" s="3" t="str">
        <f>Table13[[#This Row],[Month]]&amp;", "&amp;Table13[[#This Row],[FY]]</f>
        <v>JUL, FY22</v>
      </c>
      <c r="J160" s="3" t="str">
        <f>"Q"&amp;Table13[[#This Row],[QTR]]&amp;", "&amp;Table13[[#This Row],[FY]]</f>
        <v>Q1, FY22</v>
      </c>
    </row>
    <row r="161" spans="1:10" x14ac:dyDescent="0.25">
      <c r="A161" s="2">
        <f t="shared" si="13"/>
        <v>44389</v>
      </c>
      <c r="B161" s="2">
        <f t="shared" si="13"/>
        <v>44395</v>
      </c>
      <c r="C161" s="3" t="s">
        <v>739</v>
      </c>
      <c r="D161" s="3" t="s">
        <v>736</v>
      </c>
      <c r="E161" s="3">
        <v>1</v>
      </c>
      <c r="F161" s="3" t="s">
        <v>803</v>
      </c>
      <c r="G161" s="3" t="str">
        <f>Table13[[#This Row],[Month]]&amp;", "&amp;Table13[[#This Row],[FY]]</f>
        <v>JUL, FY22</v>
      </c>
      <c r="H161" s="3" t="str">
        <f>Table13[[#This Row],[Week]]&amp;", "&amp;Table13[[#This Row],[Month]]&amp;" "&amp;Table13[[#This Row],[FY]]</f>
        <v>Week 3, JUL FY22</v>
      </c>
      <c r="I161" s="3" t="str">
        <f>Table13[[#This Row],[Month]]&amp;", "&amp;Table13[[#This Row],[FY]]</f>
        <v>JUL, FY22</v>
      </c>
      <c r="J161" s="3" t="str">
        <f>"Q"&amp;Table13[[#This Row],[QTR]]&amp;", "&amp;Table13[[#This Row],[FY]]</f>
        <v>Q1, FY22</v>
      </c>
    </row>
    <row r="162" spans="1:10" x14ac:dyDescent="0.25">
      <c r="A162" s="2">
        <f t="shared" si="13"/>
        <v>44396</v>
      </c>
      <c r="B162" s="2">
        <f t="shared" si="13"/>
        <v>44402</v>
      </c>
      <c r="C162" s="3" t="s">
        <v>740</v>
      </c>
      <c r="D162" s="3" t="s">
        <v>736</v>
      </c>
      <c r="E162" s="3">
        <v>1</v>
      </c>
      <c r="F162" s="3" t="s">
        <v>803</v>
      </c>
      <c r="G162" s="3" t="str">
        <f>Table13[[#This Row],[Month]]&amp;", "&amp;Table13[[#This Row],[FY]]</f>
        <v>JUL, FY22</v>
      </c>
      <c r="H162" s="3" t="str">
        <f>Table13[[#This Row],[Week]]&amp;", "&amp;Table13[[#This Row],[Month]]&amp;" "&amp;Table13[[#This Row],[FY]]</f>
        <v>Week 4, JUL FY22</v>
      </c>
      <c r="I162" s="3" t="str">
        <f>Table13[[#This Row],[Month]]&amp;", "&amp;Table13[[#This Row],[FY]]</f>
        <v>JUL, FY22</v>
      </c>
      <c r="J162" s="3" t="str">
        <f>"Q"&amp;Table13[[#This Row],[QTR]]&amp;", "&amp;Table13[[#This Row],[FY]]</f>
        <v>Q1, FY22</v>
      </c>
    </row>
    <row r="163" spans="1:10" x14ac:dyDescent="0.25">
      <c r="A163" s="2">
        <f t="shared" si="13"/>
        <v>44403</v>
      </c>
      <c r="B163" s="2">
        <f t="shared" si="13"/>
        <v>44409</v>
      </c>
      <c r="C163" s="3" t="s">
        <v>741</v>
      </c>
      <c r="D163" s="3" t="s">
        <v>742</v>
      </c>
      <c r="E163" s="3">
        <v>1</v>
      </c>
      <c r="F163" s="3" t="s">
        <v>803</v>
      </c>
      <c r="G163" s="3" t="str">
        <f>Table13[[#This Row],[Month]]&amp;", "&amp;Table13[[#This Row],[FY]]</f>
        <v>AUG, FY22</v>
      </c>
      <c r="H163" s="3" t="str">
        <f>Table13[[#This Row],[Week]]&amp;", "&amp;Table13[[#This Row],[Month]]&amp;" "&amp;Table13[[#This Row],[FY]]</f>
        <v>Week 5, AUG FY22</v>
      </c>
      <c r="I163" s="3" t="str">
        <f>Table13[[#This Row],[Month]]&amp;", "&amp;Table13[[#This Row],[FY]]</f>
        <v>AUG, FY22</v>
      </c>
      <c r="J163" s="3" t="str">
        <f>"Q"&amp;Table13[[#This Row],[QTR]]&amp;", "&amp;Table13[[#This Row],[FY]]</f>
        <v>Q1, FY22</v>
      </c>
    </row>
    <row r="164" spans="1:10" x14ac:dyDescent="0.25">
      <c r="A164" s="2">
        <f t="shared" si="13"/>
        <v>44410</v>
      </c>
      <c r="B164" s="2">
        <f t="shared" si="13"/>
        <v>44416</v>
      </c>
      <c r="C164" s="3" t="s">
        <v>743</v>
      </c>
      <c r="D164" s="3" t="s">
        <v>742</v>
      </c>
      <c r="E164" s="3">
        <v>1</v>
      </c>
      <c r="F164" s="3" t="s">
        <v>803</v>
      </c>
      <c r="G164" s="3" t="str">
        <f>Table13[[#This Row],[Month]]&amp;", "&amp;Table13[[#This Row],[FY]]</f>
        <v>AUG, FY22</v>
      </c>
      <c r="H164" s="3" t="str">
        <f>Table13[[#This Row],[Week]]&amp;", "&amp;Table13[[#This Row],[Month]]&amp;" "&amp;Table13[[#This Row],[FY]]</f>
        <v>Week 6, AUG FY22</v>
      </c>
      <c r="I164" s="3" t="str">
        <f>Table13[[#This Row],[Month]]&amp;", "&amp;Table13[[#This Row],[FY]]</f>
        <v>AUG, FY22</v>
      </c>
      <c r="J164" s="3" t="str">
        <f>"Q"&amp;Table13[[#This Row],[QTR]]&amp;", "&amp;Table13[[#This Row],[FY]]</f>
        <v>Q1, FY22</v>
      </c>
    </row>
    <row r="165" spans="1:10" x14ac:dyDescent="0.25">
      <c r="A165" s="2">
        <f t="shared" si="13"/>
        <v>44417</v>
      </c>
      <c r="B165" s="2">
        <f t="shared" si="13"/>
        <v>44423</v>
      </c>
      <c r="C165" s="3" t="s">
        <v>744</v>
      </c>
      <c r="D165" s="3" t="s">
        <v>742</v>
      </c>
      <c r="E165" s="3">
        <v>1</v>
      </c>
      <c r="F165" s="3" t="s">
        <v>803</v>
      </c>
      <c r="G165" s="3" t="str">
        <f>Table13[[#This Row],[Month]]&amp;", "&amp;Table13[[#This Row],[FY]]</f>
        <v>AUG, FY22</v>
      </c>
      <c r="H165" s="3" t="str">
        <f>Table13[[#This Row],[Week]]&amp;", "&amp;Table13[[#This Row],[Month]]&amp;" "&amp;Table13[[#This Row],[FY]]</f>
        <v>Week 7, AUG FY22</v>
      </c>
      <c r="I165" s="3" t="str">
        <f>Table13[[#This Row],[Month]]&amp;", "&amp;Table13[[#This Row],[FY]]</f>
        <v>AUG, FY22</v>
      </c>
      <c r="J165" s="3" t="str">
        <f>"Q"&amp;Table13[[#This Row],[QTR]]&amp;", "&amp;Table13[[#This Row],[FY]]</f>
        <v>Q1, FY22</v>
      </c>
    </row>
    <row r="166" spans="1:10" x14ac:dyDescent="0.25">
      <c r="A166" s="2">
        <f t="shared" si="13"/>
        <v>44424</v>
      </c>
      <c r="B166" s="2">
        <f t="shared" si="13"/>
        <v>44430</v>
      </c>
      <c r="C166" s="3" t="s">
        <v>745</v>
      </c>
      <c r="D166" s="3" t="s">
        <v>742</v>
      </c>
      <c r="E166" s="3">
        <v>1</v>
      </c>
      <c r="F166" s="3" t="s">
        <v>803</v>
      </c>
      <c r="G166" s="3" t="str">
        <f>Table13[[#This Row],[Month]]&amp;", "&amp;Table13[[#This Row],[FY]]</f>
        <v>AUG, FY22</v>
      </c>
      <c r="H166" s="3" t="str">
        <f>Table13[[#This Row],[Week]]&amp;", "&amp;Table13[[#This Row],[Month]]&amp;" "&amp;Table13[[#This Row],[FY]]</f>
        <v>Week 8, AUG FY22</v>
      </c>
      <c r="I166" s="3" t="str">
        <f>Table13[[#This Row],[Month]]&amp;", "&amp;Table13[[#This Row],[FY]]</f>
        <v>AUG, FY22</v>
      </c>
      <c r="J166" s="3" t="str">
        <f>"Q"&amp;Table13[[#This Row],[QTR]]&amp;", "&amp;Table13[[#This Row],[FY]]</f>
        <v>Q1, FY22</v>
      </c>
    </row>
    <row r="167" spans="1:10" x14ac:dyDescent="0.25">
      <c r="A167" s="2">
        <f t="shared" si="13"/>
        <v>44431</v>
      </c>
      <c r="B167" s="2">
        <f t="shared" si="13"/>
        <v>44437</v>
      </c>
      <c r="C167" s="3" t="s">
        <v>746</v>
      </c>
      <c r="D167" s="3" t="s">
        <v>742</v>
      </c>
      <c r="E167" s="3">
        <v>1</v>
      </c>
      <c r="F167" s="3" t="s">
        <v>803</v>
      </c>
      <c r="G167" s="3" t="str">
        <f>Table13[[#This Row],[Month]]&amp;", "&amp;Table13[[#This Row],[FY]]</f>
        <v>AUG, FY22</v>
      </c>
      <c r="H167" s="3" t="str">
        <f>Table13[[#This Row],[Week]]&amp;", "&amp;Table13[[#This Row],[Month]]&amp;" "&amp;Table13[[#This Row],[FY]]</f>
        <v>Week 9, AUG FY22</v>
      </c>
      <c r="I167" s="3" t="str">
        <f>Table13[[#This Row],[Month]]&amp;", "&amp;Table13[[#This Row],[FY]]</f>
        <v>AUG, FY22</v>
      </c>
      <c r="J167" s="3" t="str">
        <f>"Q"&amp;Table13[[#This Row],[QTR]]&amp;", "&amp;Table13[[#This Row],[FY]]</f>
        <v>Q1, FY22</v>
      </c>
    </row>
    <row r="168" spans="1:10" x14ac:dyDescent="0.25">
      <c r="A168" s="2">
        <f t="shared" si="13"/>
        <v>44438</v>
      </c>
      <c r="B168" s="2">
        <f t="shared" si="13"/>
        <v>44444</v>
      </c>
      <c r="C168" s="3" t="s">
        <v>747</v>
      </c>
      <c r="D168" s="3" t="s">
        <v>748</v>
      </c>
      <c r="E168" s="3">
        <v>1</v>
      </c>
      <c r="F168" s="3" t="s">
        <v>803</v>
      </c>
      <c r="G168" s="3" t="str">
        <f>Table13[[#This Row],[Month]]&amp;", "&amp;Table13[[#This Row],[FY]]</f>
        <v>SEP, FY22</v>
      </c>
      <c r="H168" s="3" t="str">
        <f>Table13[[#This Row],[Week]]&amp;", "&amp;Table13[[#This Row],[Month]]&amp;" "&amp;Table13[[#This Row],[FY]]</f>
        <v>Week 10, SEP FY22</v>
      </c>
      <c r="I168" s="3" t="str">
        <f>Table13[[#This Row],[Month]]&amp;", "&amp;Table13[[#This Row],[FY]]</f>
        <v>SEP, FY22</v>
      </c>
      <c r="J168" s="3" t="str">
        <f>"Q"&amp;Table13[[#This Row],[QTR]]&amp;", "&amp;Table13[[#This Row],[FY]]</f>
        <v>Q1, FY22</v>
      </c>
    </row>
    <row r="169" spans="1:10" x14ac:dyDescent="0.25">
      <c r="A169" s="2">
        <f t="shared" si="13"/>
        <v>44445</v>
      </c>
      <c r="B169" s="2">
        <f t="shared" si="13"/>
        <v>44451</v>
      </c>
      <c r="C169" s="3" t="s">
        <v>749</v>
      </c>
      <c r="D169" s="3" t="s">
        <v>748</v>
      </c>
      <c r="E169" s="3">
        <v>1</v>
      </c>
      <c r="F169" s="3" t="s">
        <v>803</v>
      </c>
      <c r="G169" s="3" t="str">
        <f>Table13[[#This Row],[Month]]&amp;", "&amp;Table13[[#This Row],[FY]]</f>
        <v>SEP, FY22</v>
      </c>
      <c r="H169" s="3" t="str">
        <f>Table13[[#This Row],[Week]]&amp;", "&amp;Table13[[#This Row],[Month]]&amp;" "&amp;Table13[[#This Row],[FY]]</f>
        <v>Week 11, SEP FY22</v>
      </c>
      <c r="I169" s="3" t="str">
        <f>Table13[[#This Row],[Month]]&amp;", "&amp;Table13[[#This Row],[FY]]</f>
        <v>SEP, FY22</v>
      </c>
      <c r="J169" s="3" t="str">
        <f>"Q"&amp;Table13[[#This Row],[QTR]]&amp;", "&amp;Table13[[#This Row],[FY]]</f>
        <v>Q1, FY22</v>
      </c>
    </row>
    <row r="170" spans="1:10" x14ac:dyDescent="0.25">
      <c r="A170" s="2">
        <f t="shared" si="13"/>
        <v>44452</v>
      </c>
      <c r="B170" s="2">
        <f t="shared" si="13"/>
        <v>44458</v>
      </c>
      <c r="C170" s="3" t="s">
        <v>750</v>
      </c>
      <c r="D170" s="3" t="s">
        <v>748</v>
      </c>
      <c r="E170" s="3">
        <v>1</v>
      </c>
      <c r="F170" s="3" t="s">
        <v>803</v>
      </c>
      <c r="G170" s="3" t="str">
        <f>Table13[[#This Row],[Month]]&amp;", "&amp;Table13[[#This Row],[FY]]</f>
        <v>SEP, FY22</v>
      </c>
      <c r="H170" s="3" t="str">
        <f>Table13[[#This Row],[Week]]&amp;", "&amp;Table13[[#This Row],[Month]]&amp;" "&amp;Table13[[#This Row],[FY]]</f>
        <v>Week 12, SEP FY22</v>
      </c>
      <c r="I170" s="3" t="str">
        <f>Table13[[#This Row],[Month]]&amp;", "&amp;Table13[[#This Row],[FY]]</f>
        <v>SEP, FY22</v>
      </c>
      <c r="J170" s="3" t="str">
        <f>"Q"&amp;Table13[[#This Row],[QTR]]&amp;", "&amp;Table13[[#This Row],[FY]]</f>
        <v>Q1, FY22</v>
      </c>
    </row>
    <row r="171" spans="1:10" x14ac:dyDescent="0.25">
      <c r="A171" s="2">
        <f t="shared" si="13"/>
        <v>44459</v>
      </c>
      <c r="B171" s="2">
        <f t="shared" si="13"/>
        <v>44465</v>
      </c>
      <c r="C171" s="3" t="s">
        <v>751</v>
      </c>
      <c r="D171" s="3" t="s">
        <v>748</v>
      </c>
      <c r="E171" s="3">
        <v>1</v>
      </c>
      <c r="F171" s="3" t="s">
        <v>803</v>
      </c>
      <c r="G171" s="3" t="str">
        <f>Table13[[#This Row],[Month]]&amp;", "&amp;Table13[[#This Row],[FY]]</f>
        <v>SEP, FY22</v>
      </c>
      <c r="H171" s="3" t="str">
        <f>Table13[[#This Row],[Week]]&amp;", "&amp;Table13[[#This Row],[Month]]&amp;" "&amp;Table13[[#This Row],[FY]]</f>
        <v>Week 13, SEP FY22</v>
      </c>
      <c r="I171" s="3" t="str">
        <f>Table13[[#This Row],[Month]]&amp;", "&amp;Table13[[#This Row],[FY]]</f>
        <v>SEP, FY22</v>
      </c>
      <c r="J171" s="3" t="str">
        <f>"Q"&amp;Table13[[#This Row],[QTR]]&amp;", "&amp;Table13[[#This Row],[FY]]</f>
        <v>Q1, FY22</v>
      </c>
    </row>
    <row r="172" spans="1:10" x14ac:dyDescent="0.25">
      <c r="A172" s="2">
        <f t="shared" si="13"/>
        <v>44466</v>
      </c>
      <c r="B172" s="2">
        <f t="shared" si="13"/>
        <v>44472</v>
      </c>
      <c r="C172" s="3" t="s">
        <v>752</v>
      </c>
      <c r="D172" s="3" t="s">
        <v>753</v>
      </c>
      <c r="E172" s="3">
        <f>E159+1</f>
        <v>2</v>
      </c>
      <c r="F172" s="3" t="s">
        <v>803</v>
      </c>
      <c r="G172" s="3" t="str">
        <f>Table13[[#This Row],[Month]]&amp;", "&amp;Table13[[#This Row],[FY]]</f>
        <v>OCT, FY22</v>
      </c>
      <c r="H172" s="3" t="str">
        <f>Table13[[#This Row],[Week]]&amp;", "&amp;Table13[[#This Row],[Month]]&amp;" "&amp;Table13[[#This Row],[FY]]</f>
        <v>Week 14, OCT FY22</v>
      </c>
      <c r="I172" s="3" t="str">
        <f>Table13[[#This Row],[Month]]&amp;", "&amp;Table13[[#This Row],[FY]]</f>
        <v>OCT, FY22</v>
      </c>
      <c r="J172" s="3" t="str">
        <f>"Q"&amp;Table13[[#This Row],[QTR]]&amp;", "&amp;Table13[[#This Row],[FY]]</f>
        <v>Q2, FY22</v>
      </c>
    </row>
    <row r="173" spans="1:10" x14ac:dyDescent="0.25">
      <c r="A173" s="2">
        <f t="shared" si="13"/>
        <v>44473</v>
      </c>
      <c r="B173" s="2">
        <f t="shared" si="13"/>
        <v>44479</v>
      </c>
      <c r="C173" s="3" t="s">
        <v>754</v>
      </c>
      <c r="D173" s="3" t="s">
        <v>753</v>
      </c>
      <c r="E173" s="3">
        <f t="shared" ref="E173:E210" si="14">E160+1</f>
        <v>2</v>
      </c>
      <c r="F173" s="3" t="s">
        <v>803</v>
      </c>
      <c r="G173" s="3" t="str">
        <f>Table13[[#This Row],[Month]]&amp;", "&amp;Table13[[#This Row],[FY]]</f>
        <v>OCT, FY22</v>
      </c>
      <c r="H173" s="3" t="str">
        <f>Table13[[#This Row],[Week]]&amp;", "&amp;Table13[[#This Row],[Month]]&amp;" "&amp;Table13[[#This Row],[FY]]</f>
        <v>Week 15, OCT FY22</v>
      </c>
      <c r="I173" s="3" t="str">
        <f>Table13[[#This Row],[Month]]&amp;", "&amp;Table13[[#This Row],[FY]]</f>
        <v>OCT, FY22</v>
      </c>
      <c r="J173" s="3" t="str">
        <f>"Q"&amp;Table13[[#This Row],[QTR]]&amp;", "&amp;Table13[[#This Row],[FY]]</f>
        <v>Q2, FY22</v>
      </c>
    </row>
    <row r="174" spans="1:10" x14ac:dyDescent="0.25">
      <c r="A174" s="2">
        <f t="shared" si="13"/>
        <v>44480</v>
      </c>
      <c r="B174" s="2">
        <f t="shared" si="13"/>
        <v>44486</v>
      </c>
      <c r="C174" s="3" t="s">
        <v>755</v>
      </c>
      <c r="D174" s="3" t="s">
        <v>753</v>
      </c>
      <c r="E174" s="3">
        <f t="shared" si="14"/>
        <v>2</v>
      </c>
      <c r="F174" s="3" t="s">
        <v>803</v>
      </c>
      <c r="G174" s="3" t="str">
        <f>Table13[[#This Row],[Month]]&amp;", "&amp;Table13[[#This Row],[FY]]</f>
        <v>OCT, FY22</v>
      </c>
      <c r="H174" s="3" t="str">
        <f>Table13[[#This Row],[Week]]&amp;", "&amp;Table13[[#This Row],[Month]]&amp;" "&amp;Table13[[#This Row],[FY]]</f>
        <v>Week 16, OCT FY22</v>
      </c>
      <c r="I174" s="3" t="str">
        <f>Table13[[#This Row],[Month]]&amp;", "&amp;Table13[[#This Row],[FY]]</f>
        <v>OCT, FY22</v>
      </c>
      <c r="J174" s="3" t="str">
        <f>"Q"&amp;Table13[[#This Row],[QTR]]&amp;", "&amp;Table13[[#This Row],[FY]]</f>
        <v>Q2, FY22</v>
      </c>
    </row>
    <row r="175" spans="1:10" x14ac:dyDescent="0.25">
      <c r="A175" s="2">
        <f t="shared" si="13"/>
        <v>44487</v>
      </c>
      <c r="B175" s="2">
        <f t="shared" si="13"/>
        <v>44493</v>
      </c>
      <c r="C175" s="3" t="s">
        <v>756</v>
      </c>
      <c r="D175" s="3" t="s">
        <v>753</v>
      </c>
      <c r="E175" s="3">
        <f t="shared" si="14"/>
        <v>2</v>
      </c>
      <c r="F175" s="3" t="s">
        <v>803</v>
      </c>
      <c r="G175" s="3" t="str">
        <f>Table13[[#This Row],[Month]]&amp;", "&amp;Table13[[#This Row],[FY]]</f>
        <v>OCT, FY22</v>
      </c>
      <c r="H175" s="3" t="str">
        <f>Table13[[#This Row],[Week]]&amp;", "&amp;Table13[[#This Row],[Month]]&amp;" "&amp;Table13[[#This Row],[FY]]</f>
        <v>Week 17, OCT FY22</v>
      </c>
      <c r="I175" s="3" t="str">
        <f>Table13[[#This Row],[Month]]&amp;", "&amp;Table13[[#This Row],[FY]]</f>
        <v>OCT, FY22</v>
      </c>
      <c r="J175" s="3" t="str">
        <f>"Q"&amp;Table13[[#This Row],[QTR]]&amp;", "&amp;Table13[[#This Row],[FY]]</f>
        <v>Q2, FY22</v>
      </c>
    </row>
    <row r="176" spans="1:10" x14ac:dyDescent="0.25">
      <c r="A176" s="2">
        <f t="shared" ref="A176:B191" si="15">A175+7</f>
        <v>44494</v>
      </c>
      <c r="B176" s="2">
        <f t="shared" si="15"/>
        <v>44500</v>
      </c>
      <c r="C176" s="3" t="s">
        <v>757</v>
      </c>
      <c r="D176" s="3" t="s">
        <v>758</v>
      </c>
      <c r="E176" s="3">
        <f t="shared" si="14"/>
        <v>2</v>
      </c>
      <c r="F176" s="3" t="s">
        <v>803</v>
      </c>
      <c r="G176" s="3" t="str">
        <f>Table13[[#This Row],[Month]]&amp;", "&amp;Table13[[#This Row],[FY]]</f>
        <v>NOV, FY22</v>
      </c>
      <c r="H176" s="3" t="str">
        <f>Table13[[#This Row],[Week]]&amp;", "&amp;Table13[[#This Row],[Month]]&amp;" "&amp;Table13[[#This Row],[FY]]</f>
        <v>Week 18, NOV FY22</v>
      </c>
      <c r="I176" s="3" t="str">
        <f>Table13[[#This Row],[Month]]&amp;", "&amp;Table13[[#This Row],[FY]]</f>
        <v>NOV, FY22</v>
      </c>
      <c r="J176" s="3" t="str">
        <f>"Q"&amp;Table13[[#This Row],[QTR]]&amp;", "&amp;Table13[[#This Row],[FY]]</f>
        <v>Q2, FY22</v>
      </c>
    </row>
    <row r="177" spans="1:10" x14ac:dyDescent="0.25">
      <c r="A177" s="2">
        <f t="shared" si="15"/>
        <v>44501</v>
      </c>
      <c r="B177" s="2">
        <f t="shared" si="15"/>
        <v>44507</v>
      </c>
      <c r="C177" s="3" t="s">
        <v>759</v>
      </c>
      <c r="D177" s="3" t="s">
        <v>758</v>
      </c>
      <c r="E177" s="3">
        <f t="shared" si="14"/>
        <v>2</v>
      </c>
      <c r="F177" s="3" t="s">
        <v>803</v>
      </c>
      <c r="G177" s="3" t="str">
        <f>Table13[[#This Row],[Month]]&amp;", "&amp;Table13[[#This Row],[FY]]</f>
        <v>NOV, FY22</v>
      </c>
      <c r="H177" s="3" t="str">
        <f>Table13[[#This Row],[Week]]&amp;", "&amp;Table13[[#This Row],[Month]]&amp;" "&amp;Table13[[#This Row],[FY]]</f>
        <v>Week 19, NOV FY22</v>
      </c>
      <c r="I177" s="3" t="str">
        <f>Table13[[#This Row],[Month]]&amp;", "&amp;Table13[[#This Row],[FY]]</f>
        <v>NOV, FY22</v>
      </c>
      <c r="J177" s="3" t="str">
        <f>"Q"&amp;Table13[[#This Row],[QTR]]&amp;", "&amp;Table13[[#This Row],[FY]]</f>
        <v>Q2, FY22</v>
      </c>
    </row>
    <row r="178" spans="1:10" x14ac:dyDescent="0.25">
      <c r="A178" s="2">
        <f t="shared" si="15"/>
        <v>44508</v>
      </c>
      <c r="B178" s="2">
        <f t="shared" si="15"/>
        <v>44514</v>
      </c>
      <c r="C178" s="3" t="s">
        <v>760</v>
      </c>
      <c r="D178" s="3" t="s">
        <v>758</v>
      </c>
      <c r="E178" s="3">
        <f t="shared" si="14"/>
        <v>2</v>
      </c>
      <c r="F178" s="3" t="s">
        <v>803</v>
      </c>
      <c r="G178" s="3" t="str">
        <f>Table13[[#This Row],[Month]]&amp;", "&amp;Table13[[#This Row],[FY]]</f>
        <v>NOV, FY22</v>
      </c>
      <c r="H178" s="3" t="str">
        <f>Table13[[#This Row],[Week]]&amp;", "&amp;Table13[[#This Row],[Month]]&amp;" "&amp;Table13[[#This Row],[FY]]</f>
        <v>Week 20, NOV FY22</v>
      </c>
      <c r="I178" s="3" t="str">
        <f>Table13[[#This Row],[Month]]&amp;", "&amp;Table13[[#This Row],[FY]]</f>
        <v>NOV, FY22</v>
      </c>
      <c r="J178" s="3" t="str">
        <f>"Q"&amp;Table13[[#This Row],[QTR]]&amp;", "&amp;Table13[[#This Row],[FY]]</f>
        <v>Q2, FY22</v>
      </c>
    </row>
    <row r="179" spans="1:10" x14ac:dyDescent="0.25">
      <c r="A179" s="2">
        <f t="shared" si="15"/>
        <v>44515</v>
      </c>
      <c r="B179" s="2">
        <f t="shared" si="15"/>
        <v>44521</v>
      </c>
      <c r="C179" s="3" t="s">
        <v>761</v>
      </c>
      <c r="D179" s="3" t="s">
        <v>758</v>
      </c>
      <c r="E179" s="3">
        <f t="shared" si="14"/>
        <v>2</v>
      </c>
      <c r="F179" s="3" t="s">
        <v>803</v>
      </c>
      <c r="G179" s="3" t="str">
        <f>Table13[[#This Row],[Month]]&amp;", "&amp;Table13[[#This Row],[FY]]</f>
        <v>NOV, FY22</v>
      </c>
      <c r="H179" s="3" t="str">
        <f>Table13[[#This Row],[Week]]&amp;", "&amp;Table13[[#This Row],[Month]]&amp;" "&amp;Table13[[#This Row],[FY]]</f>
        <v>Week 21, NOV FY22</v>
      </c>
      <c r="I179" s="3" t="str">
        <f>Table13[[#This Row],[Month]]&amp;", "&amp;Table13[[#This Row],[FY]]</f>
        <v>NOV, FY22</v>
      </c>
      <c r="J179" s="3" t="str">
        <f>"Q"&amp;Table13[[#This Row],[QTR]]&amp;", "&amp;Table13[[#This Row],[FY]]</f>
        <v>Q2, FY22</v>
      </c>
    </row>
    <row r="180" spans="1:10" x14ac:dyDescent="0.25">
      <c r="A180" s="2">
        <f t="shared" si="15"/>
        <v>44522</v>
      </c>
      <c r="B180" s="2">
        <f t="shared" si="15"/>
        <v>44528</v>
      </c>
      <c r="C180" s="3" t="s">
        <v>762</v>
      </c>
      <c r="D180" s="3" t="s">
        <v>758</v>
      </c>
      <c r="E180" s="3">
        <f t="shared" si="14"/>
        <v>2</v>
      </c>
      <c r="F180" s="3" t="s">
        <v>803</v>
      </c>
      <c r="G180" s="3" t="str">
        <f>Table13[[#This Row],[Month]]&amp;", "&amp;Table13[[#This Row],[FY]]</f>
        <v>NOV, FY22</v>
      </c>
      <c r="H180" s="3" t="str">
        <f>Table13[[#This Row],[Week]]&amp;", "&amp;Table13[[#This Row],[Month]]&amp;" "&amp;Table13[[#This Row],[FY]]</f>
        <v>Week 22, NOV FY22</v>
      </c>
      <c r="I180" s="3" t="str">
        <f>Table13[[#This Row],[Month]]&amp;", "&amp;Table13[[#This Row],[FY]]</f>
        <v>NOV, FY22</v>
      </c>
      <c r="J180" s="3" t="str">
        <f>"Q"&amp;Table13[[#This Row],[QTR]]&amp;", "&amp;Table13[[#This Row],[FY]]</f>
        <v>Q2, FY22</v>
      </c>
    </row>
    <row r="181" spans="1:10" x14ac:dyDescent="0.25">
      <c r="A181" s="2">
        <f t="shared" si="15"/>
        <v>44529</v>
      </c>
      <c r="B181" s="2">
        <f t="shared" si="15"/>
        <v>44535</v>
      </c>
      <c r="C181" s="3" t="s">
        <v>763</v>
      </c>
      <c r="D181" s="3" t="s">
        <v>764</v>
      </c>
      <c r="E181" s="3">
        <f t="shared" si="14"/>
        <v>2</v>
      </c>
      <c r="F181" s="3" t="s">
        <v>803</v>
      </c>
      <c r="G181" s="3" t="str">
        <f>Table13[[#This Row],[Month]]&amp;", "&amp;Table13[[#This Row],[FY]]</f>
        <v>DEC, FY22</v>
      </c>
      <c r="H181" s="3" t="str">
        <f>Table13[[#This Row],[Week]]&amp;", "&amp;Table13[[#This Row],[Month]]&amp;" "&amp;Table13[[#This Row],[FY]]</f>
        <v>Week 23, DEC FY22</v>
      </c>
      <c r="I181" s="3" t="str">
        <f>Table13[[#This Row],[Month]]&amp;", "&amp;Table13[[#This Row],[FY]]</f>
        <v>DEC, FY22</v>
      </c>
      <c r="J181" s="3" t="str">
        <f>"Q"&amp;Table13[[#This Row],[QTR]]&amp;", "&amp;Table13[[#This Row],[FY]]</f>
        <v>Q2, FY22</v>
      </c>
    </row>
    <row r="182" spans="1:10" x14ac:dyDescent="0.25">
      <c r="A182" s="2">
        <f t="shared" si="15"/>
        <v>44536</v>
      </c>
      <c r="B182" s="2">
        <f t="shared" si="15"/>
        <v>44542</v>
      </c>
      <c r="C182" s="3" t="s">
        <v>765</v>
      </c>
      <c r="D182" s="3" t="s">
        <v>764</v>
      </c>
      <c r="E182" s="3">
        <f t="shared" si="14"/>
        <v>2</v>
      </c>
      <c r="F182" s="3" t="s">
        <v>803</v>
      </c>
      <c r="G182" s="3" t="str">
        <f>Table13[[#This Row],[Month]]&amp;", "&amp;Table13[[#This Row],[FY]]</f>
        <v>DEC, FY22</v>
      </c>
      <c r="H182" s="3" t="str">
        <f>Table13[[#This Row],[Week]]&amp;", "&amp;Table13[[#This Row],[Month]]&amp;" "&amp;Table13[[#This Row],[FY]]</f>
        <v>Week 24, DEC FY22</v>
      </c>
      <c r="I182" s="3" t="str">
        <f>Table13[[#This Row],[Month]]&amp;", "&amp;Table13[[#This Row],[FY]]</f>
        <v>DEC, FY22</v>
      </c>
      <c r="J182" s="3" t="str">
        <f>"Q"&amp;Table13[[#This Row],[QTR]]&amp;", "&amp;Table13[[#This Row],[FY]]</f>
        <v>Q2, FY22</v>
      </c>
    </row>
    <row r="183" spans="1:10" x14ac:dyDescent="0.25">
      <c r="A183" s="2">
        <f t="shared" si="15"/>
        <v>44543</v>
      </c>
      <c r="B183" s="2">
        <f t="shared" si="15"/>
        <v>44549</v>
      </c>
      <c r="C183" s="3" t="s">
        <v>766</v>
      </c>
      <c r="D183" s="3" t="s">
        <v>764</v>
      </c>
      <c r="E183" s="3">
        <f t="shared" si="14"/>
        <v>2</v>
      </c>
      <c r="F183" s="3" t="s">
        <v>803</v>
      </c>
      <c r="G183" s="3" t="str">
        <f>Table13[[#This Row],[Month]]&amp;", "&amp;Table13[[#This Row],[FY]]</f>
        <v>DEC, FY22</v>
      </c>
      <c r="H183" s="3" t="str">
        <f>Table13[[#This Row],[Week]]&amp;", "&amp;Table13[[#This Row],[Month]]&amp;" "&amp;Table13[[#This Row],[FY]]</f>
        <v>Week 25, DEC FY22</v>
      </c>
      <c r="I183" s="3" t="str">
        <f>Table13[[#This Row],[Month]]&amp;", "&amp;Table13[[#This Row],[FY]]</f>
        <v>DEC, FY22</v>
      </c>
      <c r="J183" s="3" t="str">
        <f>"Q"&amp;Table13[[#This Row],[QTR]]&amp;", "&amp;Table13[[#This Row],[FY]]</f>
        <v>Q2, FY22</v>
      </c>
    </row>
    <row r="184" spans="1:10" x14ac:dyDescent="0.25">
      <c r="A184" s="2">
        <f t="shared" si="15"/>
        <v>44550</v>
      </c>
      <c r="B184" s="2">
        <f t="shared" si="15"/>
        <v>44556</v>
      </c>
      <c r="C184" s="3" t="s">
        <v>767</v>
      </c>
      <c r="D184" s="3" t="s">
        <v>764</v>
      </c>
      <c r="E184" s="3">
        <f t="shared" si="14"/>
        <v>2</v>
      </c>
      <c r="F184" s="3" t="s">
        <v>803</v>
      </c>
      <c r="G184" s="3" t="str">
        <f>Table13[[#This Row],[Month]]&amp;", "&amp;Table13[[#This Row],[FY]]</f>
        <v>DEC, FY22</v>
      </c>
      <c r="H184" s="3" t="str">
        <f>Table13[[#This Row],[Week]]&amp;", "&amp;Table13[[#This Row],[Month]]&amp;" "&amp;Table13[[#This Row],[FY]]</f>
        <v>Week 26, DEC FY22</v>
      </c>
      <c r="I184" s="3" t="str">
        <f>Table13[[#This Row],[Month]]&amp;", "&amp;Table13[[#This Row],[FY]]</f>
        <v>DEC, FY22</v>
      </c>
      <c r="J184" s="3" t="str">
        <f>"Q"&amp;Table13[[#This Row],[QTR]]&amp;", "&amp;Table13[[#This Row],[FY]]</f>
        <v>Q2, FY22</v>
      </c>
    </row>
    <row r="185" spans="1:10" x14ac:dyDescent="0.25">
      <c r="A185" s="2">
        <f t="shared" si="15"/>
        <v>44557</v>
      </c>
      <c r="B185" s="2">
        <f t="shared" si="15"/>
        <v>44563</v>
      </c>
      <c r="C185" s="3" t="s">
        <v>768</v>
      </c>
      <c r="D185" s="3" t="s">
        <v>769</v>
      </c>
      <c r="E185" s="3">
        <f t="shared" si="14"/>
        <v>3</v>
      </c>
      <c r="F185" s="3" t="s">
        <v>803</v>
      </c>
      <c r="G185" s="3" t="str">
        <f>Table13[[#This Row],[Month]]&amp;", "&amp;Table13[[#This Row],[FY]]</f>
        <v>JAN, FY22</v>
      </c>
      <c r="H185" s="3" t="str">
        <f>Table13[[#This Row],[Week]]&amp;", "&amp;Table13[[#This Row],[Month]]&amp;" "&amp;Table13[[#This Row],[FY]]</f>
        <v>Week 27, JAN FY22</v>
      </c>
      <c r="I185" s="3" t="str">
        <f>Table13[[#This Row],[Month]]&amp;", "&amp;Table13[[#This Row],[FY]]</f>
        <v>JAN, FY22</v>
      </c>
      <c r="J185" s="3" t="str">
        <f>"Q"&amp;Table13[[#This Row],[QTR]]&amp;", "&amp;Table13[[#This Row],[FY]]</f>
        <v>Q3, FY22</v>
      </c>
    </row>
    <row r="186" spans="1:10" x14ac:dyDescent="0.25">
      <c r="A186" s="2">
        <f t="shared" si="15"/>
        <v>44564</v>
      </c>
      <c r="B186" s="2">
        <f t="shared" si="15"/>
        <v>44570</v>
      </c>
      <c r="C186" s="3" t="s">
        <v>770</v>
      </c>
      <c r="D186" s="3" t="s">
        <v>769</v>
      </c>
      <c r="E186" s="3">
        <f t="shared" si="14"/>
        <v>3</v>
      </c>
      <c r="F186" s="3" t="s">
        <v>803</v>
      </c>
      <c r="G186" s="3" t="str">
        <f>Table13[[#This Row],[Month]]&amp;", "&amp;Table13[[#This Row],[FY]]</f>
        <v>JAN, FY22</v>
      </c>
      <c r="H186" s="3" t="str">
        <f>Table13[[#This Row],[Week]]&amp;", "&amp;Table13[[#This Row],[Month]]&amp;" "&amp;Table13[[#This Row],[FY]]</f>
        <v>Week 28, JAN FY22</v>
      </c>
      <c r="I186" s="3" t="str">
        <f>Table13[[#This Row],[Month]]&amp;", "&amp;Table13[[#This Row],[FY]]</f>
        <v>JAN, FY22</v>
      </c>
      <c r="J186" s="3" t="str">
        <f>"Q"&amp;Table13[[#This Row],[QTR]]&amp;", "&amp;Table13[[#This Row],[FY]]</f>
        <v>Q3, FY22</v>
      </c>
    </row>
    <row r="187" spans="1:10" x14ac:dyDescent="0.25">
      <c r="A187" s="2">
        <f t="shared" si="15"/>
        <v>44571</v>
      </c>
      <c r="B187" s="2">
        <f t="shared" si="15"/>
        <v>44577</v>
      </c>
      <c r="C187" s="3" t="s">
        <v>771</v>
      </c>
      <c r="D187" s="3" t="s">
        <v>769</v>
      </c>
      <c r="E187" s="3">
        <f t="shared" si="14"/>
        <v>3</v>
      </c>
      <c r="F187" s="3" t="s">
        <v>803</v>
      </c>
      <c r="G187" s="3" t="str">
        <f>Table13[[#This Row],[Month]]&amp;", "&amp;Table13[[#This Row],[FY]]</f>
        <v>JAN, FY22</v>
      </c>
      <c r="H187" s="3" t="str">
        <f>Table13[[#This Row],[Week]]&amp;", "&amp;Table13[[#This Row],[Month]]&amp;" "&amp;Table13[[#This Row],[FY]]</f>
        <v>Week 29, JAN FY22</v>
      </c>
      <c r="I187" s="3" t="str">
        <f>Table13[[#This Row],[Month]]&amp;", "&amp;Table13[[#This Row],[FY]]</f>
        <v>JAN, FY22</v>
      </c>
      <c r="J187" s="3" t="str">
        <f>"Q"&amp;Table13[[#This Row],[QTR]]&amp;", "&amp;Table13[[#This Row],[FY]]</f>
        <v>Q3, FY22</v>
      </c>
    </row>
    <row r="188" spans="1:10" x14ac:dyDescent="0.25">
      <c r="A188" s="2">
        <f t="shared" si="15"/>
        <v>44578</v>
      </c>
      <c r="B188" s="2">
        <f t="shared" si="15"/>
        <v>44584</v>
      </c>
      <c r="C188" s="3" t="s">
        <v>772</v>
      </c>
      <c r="D188" s="3" t="s">
        <v>769</v>
      </c>
      <c r="E188" s="3">
        <f t="shared" si="14"/>
        <v>3</v>
      </c>
      <c r="F188" s="3" t="s">
        <v>803</v>
      </c>
      <c r="G188" s="3" t="str">
        <f>Table13[[#This Row],[Month]]&amp;", "&amp;Table13[[#This Row],[FY]]</f>
        <v>JAN, FY22</v>
      </c>
      <c r="H188" s="3" t="str">
        <f>Table13[[#This Row],[Week]]&amp;", "&amp;Table13[[#This Row],[Month]]&amp;" "&amp;Table13[[#This Row],[FY]]</f>
        <v>Week 30, JAN FY22</v>
      </c>
      <c r="I188" s="3" t="str">
        <f>Table13[[#This Row],[Month]]&amp;", "&amp;Table13[[#This Row],[FY]]</f>
        <v>JAN, FY22</v>
      </c>
      <c r="J188" s="3" t="str">
        <f>"Q"&amp;Table13[[#This Row],[QTR]]&amp;", "&amp;Table13[[#This Row],[FY]]</f>
        <v>Q3, FY22</v>
      </c>
    </row>
    <row r="189" spans="1:10" x14ac:dyDescent="0.25">
      <c r="A189" s="2">
        <f t="shared" si="15"/>
        <v>44585</v>
      </c>
      <c r="B189" s="2">
        <f t="shared" si="15"/>
        <v>44591</v>
      </c>
      <c r="C189" s="3" t="s">
        <v>773</v>
      </c>
      <c r="D189" s="3" t="s">
        <v>774</v>
      </c>
      <c r="E189" s="3">
        <f t="shared" si="14"/>
        <v>3</v>
      </c>
      <c r="F189" s="3" t="s">
        <v>803</v>
      </c>
      <c r="G189" s="3" t="str">
        <f>Table13[[#This Row],[Month]]&amp;", "&amp;Table13[[#This Row],[FY]]</f>
        <v>FEB, FY22</v>
      </c>
      <c r="H189" s="3" t="str">
        <f>Table13[[#This Row],[Week]]&amp;", "&amp;Table13[[#This Row],[Month]]&amp;" "&amp;Table13[[#This Row],[FY]]</f>
        <v>Week 31, FEB FY22</v>
      </c>
      <c r="I189" s="3" t="str">
        <f>Table13[[#This Row],[Month]]&amp;", "&amp;Table13[[#This Row],[FY]]</f>
        <v>FEB, FY22</v>
      </c>
      <c r="J189" s="3" t="str">
        <f>"Q"&amp;Table13[[#This Row],[QTR]]&amp;", "&amp;Table13[[#This Row],[FY]]</f>
        <v>Q3, FY22</v>
      </c>
    </row>
    <row r="190" spans="1:10" x14ac:dyDescent="0.25">
      <c r="A190" s="2">
        <f t="shared" si="15"/>
        <v>44592</v>
      </c>
      <c r="B190" s="2">
        <f t="shared" si="15"/>
        <v>44598</v>
      </c>
      <c r="C190" s="3" t="s">
        <v>775</v>
      </c>
      <c r="D190" s="3" t="s">
        <v>774</v>
      </c>
      <c r="E190" s="3">
        <f t="shared" si="14"/>
        <v>3</v>
      </c>
      <c r="F190" s="3" t="s">
        <v>803</v>
      </c>
      <c r="G190" s="3" t="str">
        <f>Table13[[#This Row],[Month]]&amp;", "&amp;Table13[[#This Row],[FY]]</f>
        <v>FEB, FY22</v>
      </c>
      <c r="H190" s="3" t="str">
        <f>Table13[[#This Row],[Week]]&amp;", "&amp;Table13[[#This Row],[Month]]&amp;" "&amp;Table13[[#This Row],[FY]]</f>
        <v>Week 32, FEB FY22</v>
      </c>
      <c r="I190" s="3" t="str">
        <f>Table13[[#This Row],[Month]]&amp;", "&amp;Table13[[#This Row],[FY]]</f>
        <v>FEB, FY22</v>
      </c>
      <c r="J190" s="3" t="str">
        <f>"Q"&amp;Table13[[#This Row],[QTR]]&amp;", "&amp;Table13[[#This Row],[FY]]</f>
        <v>Q3, FY22</v>
      </c>
    </row>
    <row r="191" spans="1:10" x14ac:dyDescent="0.25">
      <c r="A191" s="2">
        <f t="shared" si="15"/>
        <v>44599</v>
      </c>
      <c r="B191" s="2">
        <f t="shared" si="15"/>
        <v>44605</v>
      </c>
      <c r="C191" s="3" t="s">
        <v>776</v>
      </c>
      <c r="D191" s="3" t="s">
        <v>774</v>
      </c>
      <c r="E191" s="3">
        <f t="shared" si="14"/>
        <v>3</v>
      </c>
      <c r="F191" s="3" t="s">
        <v>803</v>
      </c>
      <c r="G191" s="3" t="str">
        <f>Table13[[#This Row],[Month]]&amp;", "&amp;Table13[[#This Row],[FY]]</f>
        <v>FEB, FY22</v>
      </c>
      <c r="H191" s="3" t="str">
        <f>Table13[[#This Row],[Week]]&amp;", "&amp;Table13[[#This Row],[Month]]&amp;" "&amp;Table13[[#This Row],[FY]]</f>
        <v>Week 33, FEB FY22</v>
      </c>
      <c r="I191" s="3" t="str">
        <f>Table13[[#This Row],[Month]]&amp;", "&amp;Table13[[#This Row],[FY]]</f>
        <v>FEB, FY22</v>
      </c>
      <c r="J191" s="3" t="str">
        <f>"Q"&amp;Table13[[#This Row],[QTR]]&amp;", "&amp;Table13[[#This Row],[FY]]</f>
        <v>Q3, FY22</v>
      </c>
    </row>
    <row r="192" spans="1:10" x14ac:dyDescent="0.25">
      <c r="A192" s="2">
        <f t="shared" ref="A192:B207" si="16">A191+7</f>
        <v>44606</v>
      </c>
      <c r="B192" s="2">
        <f t="shared" si="16"/>
        <v>44612</v>
      </c>
      <c r="C192" s="3" t="s">
        <v>777</v>
      </c>
      <c r="D192" s="3" t="s">
        <v>774</v>
      </c>
      <c r="E192" s="3">
        <f t="shared" si="14"/>
        <v>3</v>
      </c>
      <c r="F192" s="3" t="s">
        <v>803</v>
      </c>
      <c r="G192" s="3" t="str">
        <f>Table13[[#This Row],[Month]]&amp;", "&amp;Table13[[#This Row],[FY]]</f>
        <v>FEB, FY22</v>
      </c>
      <c r="H192" s="3" t="str">
        <f>Table13[[#This Row],[Week]]&amp;", "&amp;Table13[[#This Row],[Month]]&amp;" "&amp;Table13[[#This Row],[FY]]</f>
        <v>Week 34, FEB FY22</v>
      </c>
      <c r="I192" s="3" t="str">
        <f>Table13[[#This Row],[Month]]&amp;", "&amp;Table13[[#This Row],[FY]]</f>
        <v>FEB, FY22</v>
      </c>
      <c r="J192" s="3" t="str">
        <f>"Q"&amp;Table13[[#This Row],[QTR]]&amp;", "&amp;Table13[[#This Row],[FY]]</f>
        <v>Q3, FY22</v>
      </c>
    </row>
    <row r="193" spans="1:10" x14ac:dyDescent="0.25">
      <c r="A193" s="2">
        <f t="shared" si="16"/>
        <v>44613</v>
      </c>
      <c r="B193" s="2">
        <f t="shared" si="16"/>
        <v>44619</v>
      </c>
      <c r="C193" s="3" t="s">
        <v>778</v>
      </c>
      <c r="D193" s="3" t="s">
        <v>774</v>
      </c>
      <c r="E193" s="3">
        <f t="shared" si="14"/>
        <v>3</v>
      </c>
      <c r="F193" s="3" t="s">
        <v>803</v>
      </c>
      <c r="G193" s="3" t="str">
        <f>Table13[[#This Row],[Month]]&amp;", "&amp;Table13[[#This Row],[FY]]</f>
        <v>FEB, FY22</v>
      </c>
      <c r="H193" s="3" t="str">
        <f>Table13[[#This Row],[Week]]&amp;", "&amp;Table13[[#This Row],[Month]]&amp;" "&amp;Table13[[#This Row],[FY]]</f>
        <v>Week 35, FEB FY22</v>
      </c>
      <c r="I193" s="3" t="str">
        <f>Table13[[#This Row],[Month]]&amp;", "&amp;Table13[[#This Row],[FY]]</f>
        <v>FEB, FY22</v>
      </c>
      <c r="J193" s="3" t="str">
        <f>"Q"&amp;Table13[[#This Row],[QTR]]&amp;", "&amp;Table13[[#This Row],[FY]]</f>
        <v>Q3, FY22</v>
      </c>
    </row>
    <row r="194" spans="1:10" x14ac:dyDescent="0.25">
      <c r="A194" s="2">
        <f t="shared" si="16"/>
        <v>44620</v>
      </c>
      <c r="B194" s="2">
        <f t="shared" si="16"/>
        <v>44626</v>
      </c>
      <c r="C194" s="3" t="s">
        <v>779</v>
      </c>
      <c r="D194" s="3" t="s">
        <v>780</v>
      </c>
      <c r="E194" s="3">
        <f t="shared" si="14"/>
        <v>3</v>
      </c>
      <c r="F194" s="3" t="s">
        <v>803</v>
      </c>
      <c r="G194" s="3" t="str">
        <f>Table13[[#This Row],[Month]]&amp;", "&amp;Table13[[#This Row],[FY]]</f>
        <v>MAR, FY22</v>
      </c>
      <c r="H194" s="3" t="str">
        <f>Table13[[#This Row],[Week]]&amp;", "&amp;Table13[[#This Row],[Month]]&amp;" "&amp;Table13[[#This Row],[FY]]</f>
        <v>Week 36, MAR FY22</v>
      </c>
      <c r="I194" s="3" t="str">
        <f>Table13[[#This Row],[Month]]&amp;", "&amp;Table13[[#This Row],[FY]]</f>
        <v>MAR, FY22</v>
      </c>
      <c r="J194" s="3" t="str">
        <f>"Q"&amp;Table13[[#This Row],[QTR]]&amp;", "&amp;Table13[[#This Row],[FY]]</f>
        <v>Q3, FY22</v>
      </c>
    </row>
    <row r="195" spans="1:10" x14ac:dyDescent="0.25">
      <c r="A195" s="2">
        <f t="shared" si="16"/>
        <v>44627</v>
      </c>
      <c r="B195" s="2">
        <f t="shared" si="16"/>
        <v>44633</v>
      </c>
      <c r="C195" s="3" t="s">
        <v>781</v>
      </c>
      <c r="D195" s="3" t="s">
        <v>780</v>
      </c>
      <c r="E195" s="3">
        <f t="shared" si="14"/>
        <v>3</v>
      </c>
      <c r="F195" s="3" t="s">
        <v>803</v>
      </c>
      <c r="G195" s="3" t="str">
        <f>Table13[[#This Row],[Month]]&amp;", "&amp;Table13[[#This Row],[FY]]</f>
        <v>MAR, FY22</v>
      </c>
      <c r="H195" s="3" t="str">
        <f>Table13[[#This Row],[Week]]&amp;", "&amp;Table13[[#This Row],[Month]]&amp;" "&amp;Table13[[#This Row],[FY]]</f>
        <v>Week 37, MAR FY22</v>
      </c>
      <c r="I195" s="3" t="str">
        <f>Table13[[#This Row],[Month]]&amp;", "&amp;Table13[[#This Row],[FY]]</f>
        <v>MAR, FY22</v>
      </c>
      <c r="J195" s="3" t="str">
        <f>"Q"&amp;Table13[[#This Row],[QTR]]&amp;", "&amp;Table13[[#This Row],[FY]]</f>
        <v>Q3, FY22</v>
      </c>
    </row>
    <row r="196" spans="1:10" x14ac:dyDescent="0.25">
      <c r="A196" s="2">
        <f t="shared" si="16"/>
        <v>44634</v>
      </c>
      <c r="B196" s="2">
        <f t="shared" si="16"/>
        <v>44640</v>
      </c>
      <c r="C196" s="3" t="s">
        <v>782</v>
      </c>
      <c r="D196" s="3" t="s">
        <v>780</v>
      </c>
      <c r="E196" s="3">
        <f t="shared" si="14"/>
        <v>3</v>
      </c>
      <c r="F196" s="3" t="s">
        <v>803</v>
      </c>
      <c r="G196" s="3" t="str">
        <f>Table13[[#This Row],[Month]]&amp;", "&amp;Table13[[#This Row],[FY]]</f>
        <v>MAR, FY22</v>
      </c>
      <c r="H196" s="3" t="str">
        <f>Table13[[#This Row],[Week]]&amp;", "&amp;Table13[[#This Row],[Month]]&amp;" "&amp;Table13[[#This Row],[FY]]</f>
        <v>Week 38, MAR FY22</v>
      </c>
      <c r="I196" s="3" t="str">
        <f>Table13[[#This Row],[Month]]&amp;", "&amp;Table13[[#This Row],[FY]]</f>
        <v>MAR, FY22</v>
      </c>
      <c r="J196" s="3" t="str">
        <f>"Q"&amp;Table13[[#This Row],[QTR]]&amp;", "&amp;Table13[[#This Row],[FY]]</f>
        <v>Q3, FY22</v>
      </c>
    </row>
    <row r="197" spans="1:10" x14ac:dyDescent="0.25">
      <c r="A197" s="2">
        <f t="shared" si="16"/>
        <v>44641</v>
      </c>
      <c r="B197" s="2">
        <f t="shared" si="16"/>
        <v>44647</v>
      </c>
      <c r="C197" s="3" t="s">
        <v>783</v>
      </c>
      <c r="D197" s="3" t="s">
        <v>780</v>
      </c>
      <c r="E197" s="3">
        <f t="shared" si="14"/>
        <v>3</v>
      </c>
      <c r="F197" s="3" t="s">
        <v>803</v>
      </c>
      <c r="G197" s="3" t="str">
        <f>Table13[[#This Row],[Month]]&amp;", "&amp;Table13[[#This Row],[FY]]</f>
        <v>MAR, FY22</v>
      </c>
      <c r="H197" s="3" t="str">
        <f>Table13[[#This Row],[Week]]&amp;", "&amp;Table13[[#This Row],[Month]]&amp;" "&amp;Table13[[#This Row],[FY]]</f>
        <v>Week 39, MAR FY22</v>
      </c>
      <c r="I197" s="3" t="str">
        <f>Table13[[#This Row],[Month]]&amp;", "&amp;Table13[[#This Row],[FY]]</f>
        <v>MAR, FY22</v>
      </c>
      <c r="J197" s="3" t="str">
        <f>"Q"&amp;Table13[[#This Row],[QTR]]&amp;", "&amp;Table13[[#This Row],[FY]]</f>
        <v>Q3, FY22</v>
      </c>
    </row>
    <row r="198" spans="1:10" x14ac:dyDescent="0.25">
      <c r="A198" s="2">
        <f t="shared" si="16"/>
        <v>44648</v>
      </c>
      <c r="B198" s="2">
        <f t="shared" si="16"/>
        <v>44654</v>
      </c>
      <c r="C198" s="3" t="s">
        <v>784</v>
      </c>
      <c r="D198" s="3" t="s">
        <v>785</v>
      </c>
      <c r="E198" s="3">
        <f t="shared" si="14"/>
        <v>4</v>
      </c>
      <c r="F198" s="3" t="s">
        <v>803</v>
      </c>
      <c r="G198" s="3" t="str">
        <f>Table13[[#This Row],[Month]]&amp;", "&amp;Table13[[#This Row],[FY]]</f>
        <v>APR, FY22</v>
      </c>
      <c r="H198" s="3" t="str">
        <f>Table13[[#This Row],[Week]]&amp;", "&amp;Table13[[#This Row],[Month]]&amp;" "&amp;Table13[[#This Row],[FY]]</f>
        <v>Week 40, APR FY22</v>
      </c>
      <c r="I198" s="3" t="str">
        <f>Table13[[#This Row],[Month]]&amp;", "&amp;Table13[[#This Row],[FY]]</f>
        <v>APR, FY22</v>
      </c>
      <c r="J198" s="3" t="str">
        <f>"Q"&amp;Table13[[#This Row],[QTR]]&amp;", "&amp;Table13[[#This Row],[FY]]</f>
        <v>Q4, FY22</v>
      </c>
    </row>
    <row r="199" spans="1:10" x14ac:dyDescent="0.25">
      <c r="A199" s="2">
        <f t="shared" si="16"/>
        <v>44655</v>
      </c>
      <c r="B199" s="2">
        <f t="shared" si="16"/>
        <v>44661</v>
      </c>
      <c r="C199" s="3" t="s">
        <v>786</v>
      </c>
      <c r="D199" s="3" t="s">
        <v>785</v>
      </c>
      <c r="E199" s="3">
        <f t="shared" si="14"/>
        <v>4</v>
      </c>
      <c r="F199" s="3" t="s">
        <v>803</v>
      </c>
      <c r="G199" s="3" t="str">
        <f>Table13[[#This Row],[Month]]&amp;", "&amp;Table13[[#This Row],[FY]]</f>
        <v>APR, FY22</v>
      </c>
      <c r="H199" s="3" t="str">
        <f>Table13[[#This Row],[Week]]&amp;", "&amp;Table13[[#This Row],[Month]]&amp;" "&amp;Table13[[#This Row],[FY]]</f>
        <v>Week 41, APR FY22</v>
      </c>
      <c r="I199" s="3" t="str">
        <f>Table13[[#This Row],[Month]]&amp;", "&amp;Table13[[#This Row],[FY]]</f>
        <v>APR, FY22</v>
      </c>
      <c r="J199" s="3" t="str">
        <f>"Q"&amp;Table13[[#This Row],[QTR]]&amp;", "&amp;Table13[[#This Row],[FY]]</f>
        <v>Q4, FY22</v>
      </c>
    </row>
    <row r="200" spans="1:10" x14ac:dyDescent="0.25">
      <c r="A200" s="2">
        <f t="shared" si="16"/>
        <v>44662</v>
      </c>
      <c r="B200" s="2">
        <f t="shared" si="16"/>
        <v>44668</v>
      </c>
      <c r="C200" s="3" t="s">
        <v>787</v>
      </c>
      <c r="D200" s="3" t="s">
        <v>785</v>
      </c>
      <c r="E200" s="3">
        <f t="shared" si="14"/>
        <v>4</v>
      </c>
      <c r="F200" s="3" t="s">
        <v>803</v>
      </c>
      <c r="G200" s="3" t="str">
        <f>Table13[[#This Row],[Month]]&amp;", "&amp;Table13[[#This Row],[FY]]</f>
        <v>APR, FY22</v>
      </c>
      <c r="H200" s="3" t="str">
        <f>Table13[[#This Row],[Week]]&amp;", "&amp;Table13[[#This Row],[Month]]&amp;" "&amp;Table13[[#This Row],[FY]]</f>
        <v>Week 42, APR FY22</v>
      </c>
      <c r="I200" s="3" t="str">
        <f>Table13[[#This Row],[Month]]&amp;", "&amp;Table13[[#This Row],[FY]]</f>
        <v>APR, FY22</v>
      </c>
      <c r="J200" s="3" t="str">
        <f>"Q"&amp;Table13[[#This Row],[QTR]]&amp;", "&amp;Table13[[#This Row],[FY]]</f>
        <v>Q4, FY22</v>
      </c>
    </row>
    <row r="201" spans="1:10" x14ac:dyDescent="0.25">
      <c r="A201" s="2">
        <f t="shared" si="16"/>
        <v>44669</v>
      </c>
      <c r="B201" s="2">
        <f t="shared" si="16"/>
        <v>44675</v>
      </c>
      <c r="C201" s="3" t="s">
        <v>788</v>
      </c>
      <c r="D201" s="3" t="s">
        <v>785</v>
      </c>
      <c r="E201" s="3">
        <f t="shared" si="14"/>
        <v>4</v>
      </c>
      <c r="F201" s="3" t="s">
        <v>803</v>
      </c>
      <c r="G201" s="3" t="str">
        <f>Table13[[#This Row],[Month]]&amp;", "&amp;Table13[[#This Row],[FY]]</f>
        <v>APR, FY22</v>
      </c>
      <c r="H201" s="3" t="str">
        <f>Table13[[#This Row],[Week]]&amp;", "&amp;Table13[[#This Row],[Month]]&amp;" "&amp;Table13[[#This Row],[FY]]</f>
        <v>Week 43, APR FY22</v>
      </c>
      <c r="I201" s="3" t="str">
        <f>Table13[[#This Row],[Month]]&amp;", "&amp;Table13[[#This Row],[FY]]</f>
        <v>APR, FY22</v>
      </c>
      <c r="J201" s="3" t="str">
        <f>"Q"&amp;Table13[[#This Row],[QTR]]&amp;", "&amp;Table13[[#This Row],[FY]]</f>
        <v>Q4, FY22</v>
      </c>
    </row>
    <row r="202" spans="1:10" x14ac:dyDescent="0.25">
      <c r="A202" s="2">
        <f t="shared" si="16"/>
        <v>44676</v>
      </c>
      <c r="B202" s="2">
        <f t="shared" si="16"/>
        <v>44682</v>
      </c>
      <c r="C202" s="3" t="s">
        <v>789</v>
      </c>
      <c r="D202" s="3" t="s">
        <v>790</v>
      </c>
      <c r="E202" s="3">
        <f t="shared" si="14"/>
        <v>4</v>
      </c>
      <c r="F202" s="3" t="s">
        <v>803</v>
      </c>
      <c r="G202" s="3" t="str">
        <f>Table13[[#This Row],[Month]]&amp;", "&amp;Table13[[#This Row],[FY]]</f>
        <v>MAY, FY22</v>
      </c>
      <c r="H202" s="3" t="str">
        <f>Table13[[#This Row],[Week]]&amp;", "&amp;Table13[[#This Row],[Month]]&amp;" "&amp;Table13[[#This Row],[FY]]</f>
        <v>Week 44, MAY FY22</v>
      </c>
      <c r="I202" s="3" t="str">
        <f>Table13[[#This Row],[Month]]&amp;", "&amp;Table13[[#This Row],[FY]]</f>
        <v>MAY, FY22</v>
      </c>
      <c r="J202" s="3" t="str">
        <f>"Q"&amp;Table13[[#This Row],[QTR]]&amp;", "&amp;Table13[[#This Row],[FY]]</f>
        <v>Q4, FY22</v>
      </c>
    </row>
    <row r="203" spans="1:10" x14ac:dyDescent="0.25">
      <c r="A203" s="2">
        <f t="shared" si="16"/>
        <v>44683</v>
      </c>
      <c r="B203" s="2">
        <f t="shared" si="16"/>
        <v>44689</v>
      </c>
      <c r="C203" s="3" t="s">
        <v>791</v>
      </c>
      <c r="D203" s="3" t="s">
        <v>790</v>
      </c>
      <c r="E203" s="3">
        <f t="shared" si="14"/>
        <v>4</v>
      </c>
      <c r="F203" s="3" t="s">
        <v>803</v>
      </c>
      <c r="G203" s="3" t="str">
        <f>Table13[[#This Row],[Month]]&amp;", "&amp;Table13[[#This Row],[FY]]</f>
        <v>MAY, FY22</v>
      </c>
      <c r="H203" s="3" t="str">
        <f>Table13[[#This Row],[Week]]&amp;", "&amp;Table13[[#This Row],[Month]]&amp;" "&amp;Table13[[#This Row],[FY]]</f>
        <v>Week 45, MAY FY22</v>
      </c>
      <c r="I203" s="3" t="str">
        <f>Table13[[#This Row],[Month]]&amp;", "&amp;Table13[[#This Row],[FY]]</f>
        <v>MAY, FY22</v>
      </c>
      <c r="J203" s="3" t="str">
        <f>"Q"&amp;Table13[[#This Row],[QTR]]&amp;", "&amp;Table13[[#This Row],[FY]]</f>
        <v>Q4, FY22</v>
      </c>
    </row>
    <row r="204" spans="1:10" x14ac:dyDescent="0.25">
      <c r="A204" s="2">
        <f t="shared" si="16"/>
        <v>44690</v>
      </c>
      <c r="B204" s="2">
        <f t="shared" si="16"/>
        <v>44696</v>
      </c>
      <c r="C204" s="3" t="s">
        <v>792</v>
      </c>
      <c r="D204" s="3" t="s">
        <v>790</v>
      </c>
      <c r="E204" s="3">
        <f t="shared" si="14"/>
        <v>4</v>
      </c>
      <c r="F204" s="3" t="s">
        <v>803</v>
      </c>
      <c r="G204" s="3" t="str">
        <f>Table13[[#This Row],[Month]]&amp;", "&amp;Table13[[#This Row],[FY]]</f>
        <v>MAY, FY22</v>
      </c>
      <c r="H204" s="3" t="str">
        <f>Table13[[#This Row],[Week]]&amp;", "&amp;Table13[[#This Row],[Month]]&amp;" "&amp;Table13[[#This Row],[FY]]</f>
        <v>Week 46, MAY FY22</v>
      </c>
      <c r="I204" s="3" t="str">
        <f>Table13[[#This Row],[Month]]&amp;", "&amp;Table13[[#This Row],[FY]]</f>
        <v>MAY, FY22</v>
      </c>
      <c r="J204" s="3" t="str">
        <f>"Q"&amp;Table13[[#This Row],[QTR]]&amp;", "&amp;Table13[[#This Row],[FY]]</f>
        <v>Q4, FY22</v>
      </c>
    </row>
    <row r="205" spans="1:10" x14ac:dyDescent="0.25">
      <c r="A205" s="2">
        <f t="shared" si="16"/>
        <v>44697</v>
      </c>
      <c r="B205" s="2">
        <f t="shared" si="16"/>
        <v>44703</v>
      </c>
      <c r="C205" s="3" t="s">
        <v>793</v>
      </c>
      <c r="D205" s="3" t="s">
        <v>790</v>
      </c>
      <c r="E205" s="3">
        <f t="shared" si="14"/>
        <v>4</v>
      </c>
      <c r="F205" s="3" t="s">
        <v>803</v>
      </c>
      <c r="G205" s="3" t="str">
        <f>Table13[[#This Row],[Month]]&amp;", "&amp;Table13[[#This Row],[FY]]</f>
        <v>MAY, FY22</v>
      </c>
      <c r="H205" s="3" t="str">
        <f>Table13[[#This Row],[Week]]&amp;", "&amp;Table13[[#This Row],[Month]]&amp;" "&amp;Table13[[#This Row],[FY]]</f>
        <v>Week 47, MAY FY22</v>
      </c>
      <c r="I205" s="3" t="str">
        <f>Table13[[#This Row],[Month]]&amp;", "&amp;Table13[[#This Row],[FY]]</f>
        <v>MAY, FY22</v>
      </c>
      <c r="J205" s="3" t="str">
        <f>"Q"&amp;Table13[[#This Row],[QTR]]&amp;", "&amp;Table13[[#This Row],[FY]]</f>
        <v>Q4, FY22</v>
      </c>
    </row>
    <row r="206" spans="1:10" x14ac:dyDescent="0.25">
      <c r="A206" s="2">
        <f t="shared" si="16"/>
        <v>44704</v>
      </c>
      <c r="B206" s="2">
        <f t="shared" si="16"/>
        <v>44710</v>
      </c>
      <c r="C206" s="3" t="s">
        <v>794</v>
      </c>
      <c r="D206" s="3" t="s">
        <v>790</v>
      </c>
      <c r="E206" s="3">
        <f t="shared" si="14"/>
        <v>4</v>
      </c>
      <c r="F206" s="3" t="s">
        <v>803</v>
      </c>
      <c r="G206" s="3" t="str">
        <f>Table13[[#This Row],[Month]]&amp;", "&amp;Table13[[#This Row],[FY]]</f>
        <v>MAY, FY22</v>
      </c>
      <c r="H206" s="3" t="str">
        <f>Table13[[#This Row],[Week]]&amp;", "&amp;Table13[[#This Row],[Month]]&amp;" "&amp;Table13[[#This Row],[FY]]</f>
        <v>Week 48, MAY FY22</v>
      </c>
      <c r="I206" s="3" t="str">
        <f>Table13[[#This Row],[Month]]&amp;", "&amp;Table13[[#This Row],[FY]]</f>
        <v>MAY, FY22</v>
      </c>
      <c r="J206" s="3" t="str">
        <f>"Q"&amp;Table13[[#This Row],[QTR]]&amp;", "&amp;Table13[[#This Row],[FY]]</f>
        <v>Q4, FY22</v>
      </c>
    </row>
    <row r="207" spans="1:10" x14ac:dyDescent="0.25">
      <c r="A207" s="2">
        <f t="shared" si="16"/>
        <v>44711</v>
      </c>
      <c r="B207" s="2">
        <f t="shared" si="16"/>
        <v>44717</v>
      </c>
      <c r="C207" s="3" t="s">
        <v>795</v>
      </c>
      <c r="D207" s="3" t="s">
        <v>796</v>
      </c>
      <c r="E207" s="3">
        <f t="shared" si="14"/>
        <v>4</v>
      </c>
      <c r="F207" s="3" t="s">
        <v>803</v>
      </c>
      <c r="G207" s="3" t="str">
        <f>Table13[[#This Row],[Month]]&amp;", "&amp;Table13[[#This Row],[FY]]</f>
        <v>JUN, FY22</v>
      </c>
      <c r="H207" s="3" t="str">
        <f>Table13[[#This Row],[Week]]&amp;", "&amp;Table13[[#This Row],[Month]]&amp;" "&amp;Table13[[#This Row],[FY]]</f>
        <v>Week 49, JUN FY22</v>
      </c>
      <c r="I207" s="3" t="str">
        <f>Table13[[#This Row],[Month]]&amp;", "&amp;Table13[[#This Row],[FY]]</f>
        <v>JUN, FY22</v>
      </c>
      <c r="J207" s="3" t="str">
        <f>"Q"&amp;Table13[[#This Row],[QTR]]&amp;", "&amp;Table13[[#This Row],[FY]]</f>
        <v>Q4, FY22</v>
      </c>
    </row>
    <row r="208" spans="1:10" x14ac:dyDescent="0.25">
      <c r="A208" s="2">
        <f t="shared" ref="A208:B223" si="17">A207+7</f>
        <v>44718</v>
      </c>
      <c r="B208" s="2">
        <f t="shared" si="17"/>
        <v>44724</v>
      </c>
      <c r="C208" s="3" t="s">
        <v>797</v>
      </c>
      <c r="D208" s="3" t="s">
        <v>796</v>
      </c>
      <c r="E208" s="3">
        <f t="shared" si="14"/>
        <v>4</v>
      </c>
      <c r="F208" s="3" t="s">
        <v>803</v>
      </c>
      <c r="G208" s="3" t="str">
        <f>Table13[[#This Row],[Month]]&amp;", "&amp;Table13[[#This Row],[FY]]</f>
        <v>JUN, FY22</v>
      </c>
      <c r="H208" s="3" t="str">
        <f>Table13[[#This Row],[Week]]&amp;", "&amp;Table13[[#This Row],[Month]]&amp;" "&amp;Table13[[#This Row],[FY]]</f>
        <v>Week 50, JUN FY22</v>
      </c>
      <c r="I208" s="3" t="str">
        <f>Table13[[#This Row],[Month]]&amp;", "&amp;Table13[[#This Row],[FY]]</f>
        <v>JUN, FY22</v>
      </c>
      <c r="J208" s="3" t="str">
        <f>"Q"&amp;Table13[[#This Row],[QTR]]&amp;", "&amp;Table13[[#This Row],[FY]]</f>
        <v>Q4, FY22</v>
      </c>
    </row>
    <row r="209" spans="1:10" x14ac:dyDescent="0.25">
      <c r="A209" s="2">
        <f t="shared" si="17"/>
        <v>44725</v>
      </c>
      <c r="B209" s="2">
        <f t="shared" si="17"/>
        <v>44731</v>
      </c>
      <c r="C209" s="3" t="s">
        <v>798</v>
      </c>
      <c r="D209" s="3" t="s">
        <v>796</v>
      </c>
      <c r="E209" s="3">
        <f t="shared" si="14"/>
        <v>4</v>
      </c>
      <c r="F209" s="3" t="s">
        <v>803</v>
      </c>
      <c r="G209" s="3" t="str">
        <f>Table13[[#This Row],[Month]]&amp;", "&amp;Table13[[#This Row],[FY]]</f>
        <v>JUN, FY22</v>
      </c>
      <c r="H209" s="3" t="str">
        <f>Table13[[#This Row],[Week]]&amp;", "&amp;Table13[[#This Row],[Month]]&amp;" "&amp;Table13[[#This Row],[FY]]</f>
        <v>Week 51, JUN FY22</v>
      </c>
      <c r="I209" s="3" t="str">
        <f>Table13[[#This Row],[Month]]&amp;", "&amp;Table13[[#This Row],[FY]]</f>
        <v>JUN, FY22</v>
      </c>
      <c r="J209" s="3" t="str">
        <f>"Q"&amp;Table13[[#This Row],[QTR]]&amp;", "&amp;Table13[[#This Row],[FY]]</f>
        <v>Q4, FY22</v>
      </c>
    </row>
    <row r="210" spans="1:10" x14ac:dyDescent="0.25">
      <c r="A210" s="2">
        <f t="shared" si="17"/>
        <v>44732</v>
      </c>
      <c r="B210" s="2">
        <f>B209+7</f>
        <v>44738</v>
      </c>
      <c r="C210" s="3" t="s">
        <v>799</v>
      </c>
      <c r="D210" s="3" t="s">
        <v>796</v>
      </c>
      <c r="E210" s="3">
        <f t="shared" si="14"/>
        <v>4</v>
      </c>
      <c r="F210" s="3" t="s">
        <v>803</v>
      </c>
      <c r="G210" s="3" t="str">
        <f>Table13[[#This Row],[Month]]&amp;", "&amp;Table13[[#This Row],[FY]]</f>
        <v>JUN, FY22</v>
      </c>
      <c r="H210" s="3" t="str">
        <f>Table13[[#This Row],[Week]]&amp;", "&amp;Table13[[#This Row],[Month]]&amp;" "&amp;Table13[[#This Row],[FY]]</f>
        <v>Week 52, JUN FY22</v>
      </c>
      <c r="I210" s="3" t="str">
        <f>Table13[[#This Row],[Month]]&amp;", "&amp;Table13[[#This Row],[FY]]</f>
        <v>JUN, FY22</v>
      </c>
      <c r="J210" s="3" t="str">
        <f>"Q"&amp;Table13[[#This Row],[QTR]]&amp;", "&amp;Table13[[#This Row],[FY]]</f>
        <v>Q4, FY22</v>
      </c>
    </row>
    <row r="211" spans="1:10" x14ac:dyDescent="0.25">
      <c r="A211" s="2">
        <f t="shared" si="17"/>
        <v>44739</v>
      </c>
      <c r="B211" s="2">
        <f t="shared" si="17"/>
        <v>44745</v>
      </c>
      <c r="C211" s="3" t="s">
        <v>735</v>
      </c>
      <c r="D211" s="3" t="s">
        <v>736</v>
      </c>
      <c r="E211" s="3">
        <v>1</v>
      </c>
      <c r="F211" s="3" t="s">
        <v>804</v>
      </c>
      <c r="G211" s="3" t="str">
        <f>Table13[[#This Row],[Month]]&amp;", "&amp;Table13[[#This Row],[FY]]</f>
        <v>JUL, FY23</v>
      </c>
      <c r="H211" s="3" t="str">
        <f>Table13[[#This Row],[Week]]&amp;", "&amp;Table13[[#This Row],[Month]]&amp;" "&amp;Table13[[#This Row],[FY]]</f>
        <v>Week 1, JUL FY23</v>
      </c>
      <c r="I211" s="3" t="str">
        <f>Table13[[#This Row],[Month]]&amp;", "&amp;Table13[[#This Row],[FY]]</f>
        <v>JUL, FY23</v>
      </c>
      <c r="J211" s="3" t="str">
        <f>"Q"&amp;Table13[[#This Row],[QTR]]&amp;", "&amp;Table13[[#This Row],[FY]]</f>
        <v>Q1, FY23</v>
      </c>
    </row>
    <row r="212" spans="1:10" x14ac:dyDescent="0.25">
      <c r="A212" s="2">
        <f t="shared" si="17"/>
        <v>44746</v>
      </c>
      <c r="B212" s="2">
        <f t="shared" si="17"/>
        <v>44752</v>
      </c>
      <c r="C212" s="3" t="s">
        <v>738</v>
      </c>
      <c r="D212" s="3" t="s">
        <v>736</v>
      </c>
      <c r="E212" s="3">
        <v>1</v>
      </c>
      <c r="F212" s="3" t="s">
        <v>804</v>
      </c>
      <c r="G212" s="3" t="str">
        <f>Table13[[#This Row],[Month]]&amp;", "&amp;Table13[[#This Row],[FY]]</f>
        <v>JUL, FY23</v>
      </c>
      <c r="H212" s="3" t="str">
        <f>Table13[[#This Row],[Week]]&amp;", "&amp;Table13[[#This Row],[Month]]&amp;" "&amp;Table13[[#This Row],[FY]]</f>
        <v>Week 2, JUL FY23</v>
      </c>
      <c r="I212" s="3" t="str">
        <f>Table13[[#This Row],[Month]]&amp;", "&amp;Table13[[#This Row],[FY]]</f>
        <v>JUL, FY23</v>
      </c>
      <c r="J212" s="3" t="str">
        <f>"Q"&amp;Table13[[#This Row],[QTR]]&amp;", "&amp;Table13[[#This Row],[FY]]</f>
        <v>Q1, FY23</v>
      </c>
    </row>
    <row r="213" spans="1:10" x14ac:dyDescent="0.25">
      <c r="A213" s="2">
        <f t="shared" si="17"/>
        <v>44753</v>
      </c>
      <c r="B213" s="2">
        <f t="shared" si="17"/>
        <v>44759</v>
      </c>
      <c r="C213" s="3" t="s">
        <v>739</v>
      </c>
      <c r="D213" s="3" t="s">
        <v>736</v>
      </c>
      <c r="E213" s="3">
        <v>1</v>
      </c>
      <c r="F213" s="3" t="s">
        <v>804</v>
      </c>
      <c r="G213" s="3" t="str">
        <f>Table13[[#This Row],[Month]]&amp;", "&amp;Table13[[#This Row],[FY]]</f>
        <v>JUL, FY23</v>
      </c>
      <c r="H213" s="3" t="str">
        <f>Table13[[#This Row],[Week]]&amp;", "&amp;Table13[[#This Row],[Month]]&amp;" "&amp;Table13[[#This Row],[FY]]</f>
        <v>Week 3, JUL FY23</v>
      </c>
      <c r="I213" s="3" t="str">
        <f>Table13[[#This Row],[Month]]&amp;", "&amp;Table13[[#This Row],[FY]]</f>
        <v>JUL, FY23</v>
      </c>
      <c r="J213" s="3" t="str">
        <f>"Q"&amp;Table13[[#This Row],[QTR]]&amp;", "&amp;Table13[[#This Row],[FY]]</f>
        <v>Q1, FY23</v>
      </c>
    </row>
    <row r="214" spans="1:10" x14ac:dyDescent="0.25">
      <c r="A214" s="2">
        <f t="shared" si="17"/>
        <v>44760</v>
      </c>
      <c r="B214" s="2">
        <f t="shared" si="17"/>
        <v>44766</v>
      </c>
      <c r="C214" s="3" t="s">
        <v>740</v>
      </c>
      <c r="D214" s="3" t="s">
        <v>736</v>
      </c>
      <c r="E214" s="3">
        <v>1</v>
      </c>
      <c r="F214" s="3" t="s">
        <v>804</v>
      </c>
      <c r="G214" s="3" t="str">
        <f>Table13[[#This Row],[Month]]&amp;", "&amp;Table13[[#This Row],[FY]]</f>
        <v>JUL, FY23</v>
      </c>
      <c r="H214" s="3" t="str">
        <f>Table13[[#This Row],[Week]]&amp;", "&amp;Table13[[#This Row],[Month]]&amp;" "&amp;Table13[[#This Row],[FY]]</f>
        <v>Week 4, JUL FY23</v>
      </c>
      <c r="I214" s="3" t="str">
        <f>Table13[[#This Row],[Month]]&amp;", "&amp;Table13[[#This Row],[FY]]</f>
        <v>JUL, FY23</v>
      </c>
      <c r="J214" s="3" t="str">
        <f>"Q"&amp;Table13[[#This Row],[QTR]]&amp;", "&amp;Table13[[#This Row],[FY]]</f>
        <v>Q1, FY23</v>
      </c>
    </row>
    <row r="215" spans="1:10" x14ac:dyDescent="0.25">
      <c r="A215" s="2">
        <f t="shared" si="17"/>
        <v>44767</v>
      </c>
      <c r="B215" s="2">
        <f t="shared" si="17"/>
        <v>44773</v>
      </c>
      <c r="C215" s="3" t="s">
        <v>741</v>
      </c>
      <c r="D215" s="3" t="s">
        <v>742</v>
      </c>
      <c r="E215" s="3">
        <v>1</v>
      </c>
      <c r="F215" s="3" t="s">
        <v>804</v>
      </c>
      <c r="G215" s="3" t="str">
        <f>Table13[[#This Row],[Month]]&amp;", "&amp;Table13[[#This Row],[FY]]</f>
        <v>AUG, FY23</v>
      </c>
      <c r="H215" s="3" t="str">
        <f>Table13[[#This Row],[Week]]&amp;", "&amp;Table13[[#This Row],[Month]]&amp;" "&amp;Table13[[#This Row],[FY]]</f>
        <v>Week 5, AUG FY23</v>
      </c>
      <c r="I215" s="3" t="str">
        <f>Table13[[#This Row],[Month]]&amp;", "&amp;Table13[[#This Row],[FY]]</f>
        <v>AUG, FY23</v>
      </c>
      <c r="J215" s="3" t="str">
        <f>"Q"&amp;Table13[[#This Row],[QTR]]&amp;", "&amp;Table13[[#This Row],[FY]]</f>
        <v>Q1, FY23</v>
      </c>
    </row>
    <row r="216" spans="1:10" x14ac:dyDescent="0.25">
      <c r="A216" s="2">
        <f t="shared" si="17"/>
        <v>44774</v>
      </c>
      <c r="B216" s="2">
        <f t="shared" si="17"/>
        <v>44780</v>
      </c>
      <c r="C216" s="3" t="s">
        <v>743</v>
      </c>
      <c r="D216" s="3" t="s">
        <v>742</v>
      </c>
      <c r="E216" s="3">
        <v>1</v>
      </c>
      <c r="F216" s="3" t="s">
        <v>804</v>
      </c>
      <c r="G216" s="3" t="str">
        <f>Table13[[#This Row],[Month]]&amp;", "&amp;Table13[[#This Row],[FY]]</f>
        <v>AUG, FY23</v>
      </c>
      <c r="H216" s="3" t="str">
        <f>Table13[[#This Row],[Week]]&amp;", "&amp;Table13[[#This Row],[Month]]&amp;" "&amp;Table13[[#This Row],[FY]]</f>
        <v>Week 6, AUG FY23</v>
      </c>
      <c r="I216" s="3" t="str">
        <f>Table13[[#This Row],[Month]]&amp;", "&amp;Table13[[#This Row],[FY]]</f>
        <v>AUG, FY23</v>
      </c>
      <c r="J216" s="3" t="str">
        <f>"Q"&amp;Table13[[#This Row],[QTR]]&amp;", "&amp;Table13[[#This Row],[FY]]</f>
        <v>Q1, FY23</v>
      </c>
    </row>
    <row r="217" spans="1:10" x14ac:dyDescent="0.25">
      <c r="A217" s="2">
        <f t="shared" si="17"/>
        <v>44781</v>
      </c>
      <c r="B217" s="2">
        <f t="shared" si="17"/>
        <v>44787</v>
      </c>
      <c r="C217" s="3" t="s">
        <v>744</v>
      </c>
      <c r="D217" s="3" t="s">
        <v>742</v>
      </c>
      <c r="E217" s="3">
        <v>1</v>
      </c>
      <c r="F217" s="3" t="s">
        <v>804</v>
      </c>
      <c r="G217" s="3" t="str">
        <f>Table13[[#This Row],[Month]]&amp;", "&amp;Table13[[#This Row],[FY]]</f>
        <v>AUG, FY23</v>
      </c>
      <c r="H217" s="3" t="str">
        <f>Table13[[#This Row],[Week]]&amp;", "&amp;Table13[[#This Row],[Month]]&amp;" "&amp;Table13[[#This Row],[FY]]</f>
        <v>Week 7, AUG FY23</v>
      </c>
      <c r="I217" s="3" t="str">
        <f>Table13[[#This Row],[Month]]&amp;", "&amp;Table13[[#This Row],[FY]]</f>
        <v>AUG, FY23</v>
      </c>
      <c r="J217" s="3" t="str">
        <f>"Q"&amp;Table13[[#This Row],[QTR]]&amp;", "&amp;Table13[[#This Row],[FY]]</f>
        <v>Q1, FY23</v>
      </c>
    </row>
    <row r="218" spans="1:10" x14ac:dyDescent="0.25">
      <c r="A218" s="2">
        <f t="shared" si="17"/>
        <v>44788</v>
      </c>
      <c r="B218" s="2">
        <f t="shared" si="17"/>
        <v>44794</v>
      </c>
      <c r="C218" s="3" t="s">
        <v>745</v>
      </c>
      <c r="D218" s="3" t="s">
        <v>742</v>
      </c>
      <c r="E218" s="3">
        <v>1</v>
      </c>
      <c r="F218" s="3" t="s">
        <v>804</v>
      </c>
      <c r="G218" s="3" t="str">
        <f>Table13[[#This Row],[Month]]&amp;", "&amp;Table13[[#This Row],[FY]]</f>
        <v>AUG, FY23</v>
      </c>
      <c r="H218" s="3" t="str">
        <f>Table13[[#This Row],[Week]]&amp;", "&amp;Table13[[#This Row],[Month]]&amp;" "&amp;Table13[[#This Row],[FY]]</f>
        <v>Week 8, AUG FY23</v>
      </c>
      <c r="I218" s="3" t="str">
        <f>Table13[[#This Row],[Month]]&amp;", "&amp;Table13[[#This Row],[FY]]</f>
        <v>AUG, FY23</v>
      </c>
      <c r="J218" s="3" t="str">
        <f>"Q"&amp;Table13[[#This Row],[QTR]]&amp;", "&amp;Table13[[#This Row],[FY]]</f>
        <v>Q1, FY23</v>
      </c>
    </row>
    <row r="219" spans="1:10" x14ac:dyDescent="0.25">
      <c r="A219" s="2">
        <f t="shared" si="17"/>
        <v>44795</v>
      </c>
      <c r="B219" s="2">
        <f t="shared" si="17"/>
        <v>44801</v>
      </c>
      <c r="C219" s="3" t="s">
        <v>746</v>
      </c>
      <c r="D219" s="3" t="s">
        <v>742</v>
      </c>
      <c r="E219" s="3">
        <v>1</v>
      </c>
      <c r="F219" s="3" t="s">
        <v>804</v>
      </c>
      <c r="G219" s="3" t="str">
        <f>Table13[[#This Row],[Month]]&amp;", "&amp;Table13[[#This Row],[FY]]</f>
        <v>AUG, FY23</v>
      </c>
      <c r="H219" s="3" t="str">
        <f>Table13[[#This Row],[Week]]&amp;", "&amp;Table13[[#This Row],[Month]]&amp;" "&amp;Table13[[#This Row],[FY]]</f>
        <v>Week 9, AUG FY23</v>
      </c>
      <c r="I219" s="3" t="str">
        <f>Table13[[#This Row],[Month]]&amp;", "&amp;Table13[[#This Row],[FY]]</f>
        <v>AUG, FY23</v>
      </c>
      <c r="J219" s="3" t="str">
        <f>"Q"&amp;Table13[[#This Row],[QTR]]&amp;", "&amp;Table13[[#This Row],[FY]]</f>
        <v>Q1, FY23</v>
      </c>
    </row>
    <row r="220" spans="1:10" x14ac:dyDescent="0.25">
      <c r="A220" s="2">
        <f t="shared" si="17"/>
        <v>44802</v>
      </c>
      <c r="B220" s="2">
        <f t="shared" si="17"/>
        <v>44808</v>
      </c>
      <c r="C220" s="3" t="s">
        <v>747</v>
      </c>
      <c r="D220" s="3" t="s">
        <v>748</v>
      </c>
      <c r="E220" s="3">
        <v>1</v>
      </c>
      <c r="F220" s="3" t="s">
        <v>804</v>
      </c>
      <c r="G220" s="3" t="str">
        <f>Table13[[#This Row],[Month]]&amp;", "&amp;Table13[[#This Row],[FY]]</f>
        <v>SEP, FY23</v>
      </c>
      <c r="H220" s="3" t="str">
        <f>Table13[[#This Row],[Week]]&amp;", "&amp;Table13[[#This Row],[Month]]&amp;" "&amp;Table13[[#This Row],[FY]]</f>
        <v>Week 10, SEP FY23</v>
      </c>
      <c r="I220" s="3" t="str">
        <f>Table13[[#This Row],[Month]]&amp;", "&amp;Table13[[#This Row],[FY]]</f>
        <v>SEP, FY23</v>
      </c>
      <c r="J220" s="3" t="str">
        <f>"Q"&amp;Table13[[#This Row],[QTR]]&amp;", "&amp;Table13[[#This Row],[FY]]</f>
        <v>Q1, FY23</v>
      </c>
    </row>
    <row r="221" spans="1:10" x14ac:dyDescent="0.25">
      <c r="A221" s="2">
        <f t="shared" si="17"/>
        <v>44809</v>
      </c>
      <c r="B221" s="2">
        <f t="shared" si="17"/>
        <v>44815</v>
      </c>
      <c r="C221" s="3" t="s">
        <v>749</v>
      </c>
      <c r="D221" s="3" t="s">
        <v>748</v>
      </c>
      <c r="E221" s="3">
        <v>1</v>
      </c>
      <c r="F221" s="3" t="s">
        <v>804</v>
      </c>
      <c r="G221" s="3" t="str">
        <f>Table13[[#This Row],[Month]]&amp;", "&amp;Table13[[#This Row],[FY]]</f>
        <v>SEP, FY23</v>
      </c>
      <c r="H221" s="3" t="str">
        <f>Table13[[#This Row],[Week]]&amp;", "&amp;Table13[[#This Row],[Month]]&amp;" "&amp;Table13[[#This Row],[FY]]</f>
        <v>Week 11, SEP FY23</v>
      </c>
      <c r="I221" s="3" t="str">
        <f>Table13[[#This Row],[Month]]&amp;", "&amp;Table13[[#This Row],[FY]]</f>
        <v>SEP, FY23</v>
      </c>
      <c r="J221" s="3" t="str">
        <f>"Q"&amp;Table13[[#This Row],[QTR]]&amp;", "&amp;Table13[[#This Row],[FY]]</f>
        <v>Q1, FY23</v>
      </c>
    </row>
    <row r="222" spans="1:10" x14ac:dyDescent="0.25">
      <c r="A222" s="2">
        <f t="shared" si="17"/>
        <v>44816</v>
      </c>
      <c r="B222" s="2">
        <f t="shared" si="17"/>
        <v>44822</v>
      </c>
      <c r="C222" s="3" t="s">
        <v>750</v>
      </c>
      <c r="D222" s="3" t="s">
        <v>748</v>
      </c>
      <c r="E222" s="3">
        <v>1</v>
      </c>
      <c r="F222" s="3" t="s">
        <v>804</v>
      </c>
      <c r="G222" s="3" t="str">
        <f>Table13[[#This Row],[Month]]&amp;", "&amp;Table13[[#This Row],[FY]]</f>
        <v>SEP, FY23</v>
      </c>
      <c r="H222" s="3" t="str">
        <f>Table13[[#This Row],[Week]]&amp;", "&amp;Table13[[#This Row],[Month]]&amp;" "&amp;Table13[[#This Row],[FY]]</f>
        <v>Week 12, SEP FY23</v>
      </c>
      <c r="I222" s="3" t="str">
        <f>Table13[[#This Row],[Month]]&amp;", "&amp;Table13[[#This Row],[FY]]</f>
        <v>SEP, FY23</v>
      </c>
      <c r="J222" s="3" t="str">
        <f>"Q"&amp;Table13[[#This Row],[QTR]]&amp;", "&amp;Table13[[#This Row],[FY]]</f>
        <v>Q1, FY23</v>
      </c>
    </row>
    <row r="223" spans="1:10" x14ac:dyDescent="0.25">
      <c r="A223" s="2">
        <f t="shared" si="17"/>
        <v>44823</v>
      </c>
      <c r="B223" s="2">
        <f t="shared" si="17"/>
        <v>44829</v>
      </c>
      <c r="C223" s="3" t="s">
        <v>751</v>
      </c>
      <c r="D223" s="3" t="s">
        <v>748</v>
      </c>
      <c r="E223" s="3">
        <v>1</v>
      </c>
      <c r="F223" s="3" t="s">
        <v>804</v>
      </c>
      <c r="G223" s="3" t="str">
        <f>Table13[[#This Row],[Month]]&amp;", "&amp;Table13[[#This Row],[FY]]</f>
        <v>SEP, FY23</v>
      </c>
      <c r="H223" s="3" t="str">
        <f>Table13[[#This Row],[Week]]&amp;", "&amp;Table13[[#This Row],[Month]]&amp;" "&amp;Table13[[#This Row],[FY]]</f>
        <v>Week 13, SEP FY23</v>
      </c>
      <c r="I223" s="3" t="str">
        <f>Table13[[#This Row],[Month]]&amp;", "&amp;Table13[[#This Row],[FY]]</f>
        <v>SEP, FY23</v>
      </c>
      <c r="J223" s="3" t="str">
        <f>"Q"&amp;Table13[[#This Row],[QTR]]&amp;", "&amp;Table13[[#This Row],[FY]]</f>
        <v>Q1, FY23</v>
      </c>
    </row>
    <row r="224" spans="1:10" x14ac:dyDescent="0.25">
      <c r="A224" s="2">
        <f t="shared" ref="A224:B239" si="18">A223+7</f>
        <v>44830</v>
      </c>
      <c r="B224" s="2">
        <f t="shared" si="18"/>
        <v>44836</v>
      </c>
      <c r="C224" s="3" t="s">
        <v>752</v>
      </c>
      <c r="D224" s="3" t="s">
        <v>753</v>
      </c>
      <c r="E224" s="3">
        <f>E211+1</f>
        <v>2</v>
      </c>
      <c r="F224" s="3" t="s">
        <v>804</v>
      </c>
      <c r="G224" s="3" t="str">
        <f>Table13[[#This Row],[Month]]&amp;", "&amp;Table13[[#This Row],[FY]]</f>
        <v>OCT, FY23</v>
      </c>
      <c r="H224" s="3" t="str">
        <f>Table13[[#This Row],[Week]]&amp;", "&amp;Table13[[#This Row],[Month]]&amp;" "&amp;Table13[[#This Row],[FY]]</f>
        <v>Week 14, OCT FY23</v>
      </c>
      <c r="I224" s="3" t="str">
        <f>Table13[[#This Row],[Month]]&amp;", "&amp;Table13[[#This Row],[FY]]</f>
        <v>OCT, FY23</v>
      </c>
      <c r="J224" s="3" t="str">
        <f>"Q"&amp;Table13[[#This Row],[QTR]]&amp;", "&amp;Table13[[#This Row],[FY]]</f>
        <v>Q2, FY23</v>
      </c>
    </row>
    <row r="225" spans="1:10" x14ac:dyDescent="0.25">
      <c r="A225" s="2">
        <f t="shared" si="18"/>
        <v>44837</v>
      </c>
      <c r="B225" s="2">
        <f t="shared" si="18"/>
        <v>44843</v>
      </c>
      <c r="C225" s="3" t="s">
        <v>754</v>
      </c>
      <c r="D225" s="3" t="s">
        <v>753</v>
      </c>
      <c r="E225" s="3">
        <f t="shared" ref="E225:E262" si="19">E212+1</f>
        <v>2</v>
      </c>
      <c r="F225" s="3" t="s">
        <v>804</v>
      </c>
      <c r="G225" s="3" t="str">
        <f>Table13[[#This Row],[Month]]&amp;", "&amp;Table13[[#This Row],[FY]]</f>
        <v>OCT, FY23</v>
      </c>
      <c r="H225" s="3" t="str">
        <f>Table13[[#This Row],[Week]]&amp;", "&amp;Table13[[#This Row],[Month]]&amp;" "&amp;Table13[[#This Row],[FY]]</f>
        <v>Week 15, OCT FY23</v>
      </c>
      <c r="I225" s="3" t="str">
        <f>Table13[[#This Row],[Month]]&amp;", "&amp;Table13[[#This Row],[FY]]</f>
        <v>OCT, FY23</v>
      </c>
      <c r="J225" s="3" t="str">
        <f>"Q"&amp;Table13[[#This Row],[QTR]]&amp;", "&amp;Table13[[#This Row],[FY]]</f>
        <v>Q2, FY23</v>
      </c>
    </row>
    <row r="226" spans="1:10" x14ac:dyDescent="0.25">
      <c r="A226" s="2">
        <f t="shared" si="18"/>
        <v>44844</v>
      </c>
      <c r="B226" s="2">
        <f t="shared" si="18"/>
        <v>44850</v>
      </c>
      <c r="C226" s="3" t="s">
        <v>755</v>
      </c>
      <c r="D226" s="3" t="s">
        <v>753</v>
      </c>
      <c r="E226" s="3">
        <f t="shared" si="19"/>
        <v>2</v>
      </c>
      <c r="F226" s="3" t="s">
        <v>804</v>
      </c>
      <c r="G226" s="3" t="str">
        <f>Table13[[#This Row],[Month]]&amp;", "&amp;Table13[[#This Row],[FY]]</f>
        <v>OCT, FY23</v>
      </c>
      <c r="H226" s="3" t="str">
        <f>Table13[[#This Row],[Week]]&amp;", "&amp;Table13[[#This Row],[Month]]&amp;" "&amp;Table13[[#This Row],[FY]]</f>
        <v>Week 16, OCT FY23</v>
      </c>
      <c r="I226" s="3" t="str">
        <f>Table13[[#This Row],[Month]]&amp;", "&amp;Table13[[#This Row],[FY]]</f>
        <v>OCT, FY23</v>
      </c>
      <c r="J226" s="3" t="str">
        <f>"Q"&amp;Table13[[#This Row],[QTR]]&amp;", "&amp;Table13[[#This Row],[FY]]</f>
        <v>Q2, FY23</v>
      </c>
    </row>
    <row r="227" spans="1:10" x14ac:dyDescent="0.25">
      <c r="A227" s="2">
        <f t="shared" si="18"/>
        <v>44851</v>
      </c>
      <c r="B227" s="2">
        <f t="shared" si="18"/>
        <v>44857</v>
      </c>
      <c r="C227" s="3" t="s">
        <v>756</v>
      </c>
      <c r="D227" s="3" t="s">
        <v>753</v>
      </c>
      <c r="E227" s="3">
        <f t="shared" si="19"/>
        <v>2</v>
      </c>
      <c r="F227" s="3" t="s">
        <v>804</v>
      </c>
      <c r="G227" s="3" t="str">
        <f>Table13[[#This Row],[Month]]&amp;", "&amp;Table13[[#This Row],[FY]]</f>
        <v>OCT, FY23</v>
      </c>
      <c r="H227" s="3" t="str">
        <f>Table13[[#This Row],[Week]]&amp;", "&amp;Table13[[#This Row],[Month]]&amp;" "&amp;Table13[[#This Row],[FY]]</f>
        <v>Week 17, OCT FY23</v>
      </c>
      <c r="I227" s="3" t="str">
        <f>Table13[[#This Row],[Month]]&amp;", "&amp;Table13[[#This Row],[FY]]</f>
        <v>OCT, FY23</v>
      </c>
      <c r="J227" s="3" t="str">
        <f>"Q"&amp;Table13[[#This Row],[QTR]]&amp;", "&amp;Table13[[#This Row],[FY]]</f>
        <v>Q2, FY23</v>
      </c>
    </row>
    <row r="228" spans="1:10" x14ac:dyDescent="0.25">
      <c r="A228" s="2">
        <f t="shared" si="18"/>
        <v>44858</v>
      </c>
      <c r="B228" s="2">
        <f t="shared" si="18"/>
        <v>44864</v>
      </c>
      <c r="C228" s="3" t="s">
        <v>757</v>
      </c>
      <c r="D228" s="3" t="s">
        <v>758</v>
      </c>
      <c r="E228" s="3">
        <f t="shared" si="19"/>
        <v>2</v>
      </c>
      <c r="F228" s="3" t="s">
        <v>804</v>
      </c>
      <c r="G228" s="3" t="str">
        <f>Table13[[#This Row],[Month]]&amp;", "&amp;Table13[[#This Row],[FY]]</f>
        <v>NOV, FY23</v>
      </c>
      <c r="H228" s="3" t="str">
        <f>Table13[[#This Row],[Week]]&amp;", "&amp;Table13[[#This Row],[Month]]&amp;" "&amp;Table13[[#This Row],[FY]]</f>
        <v>Week 18, NOV FY23</v>
      </c>
      <c r="I228" s="3" t="str">
        <f>Table13[[#This Row],[Month]]&amp;", "&amp;Table13[[#This Row],[FY]]</f>
        <v>NOV, FY23</v>
      </c>
      <c r="J228" s="3" t="str">
        <f>"Q"&amp;Table13[[#This Row],[QTR]]&amp;", "&amp;Table13[[#This Row],[FY]]</f>
        <v>Q2, FY23</v>
      </c>
    </row>
    <row r="229" spans="1:10" x14ac:dyDescent="0.25">
      <c r="A229" s="2">
        <f t="shared" si="18"/>
        <v>44865</v>
      </c>
      <c r="B229" s="2">
        <f t="shared" si="18"/>
        <v>44871</v>
      </c>
      <c r="C229" s="3" t="s">
        <v>759</v>
      </c>
      <c r="D229" s="3" t="s">
        <v>758</v>
      </c>
      <c r="E229" s="3">
        <f t="shared" si="19"/>
        <v>2</v>
      </c>
      <c r="F229" s="3" t="s">
        <v>804</v>
      </c>
      <c r="G229" s="3" t="str">
        <f>Table13[[#This Row],[Month]]&amp;", "&amp;Table13[[#This Row],[FY]]</f>
        <v>NOV, FY23</v>
      </c>
      <c r="H229" s="3" t="str">
        <f>Table13[[#This Row],[Week]]&amp;", "&amp;Table13[[#This Row],[Month]]&amp;" "&amp;Table13[[#This Row],[FY]]</f>
        <v>Week 19, NOV FY23</v>
      </c>
      <c r="I229" s="3" t="str">
        <f>Table13[[#This Row],[Month]]&amp;", "&amp;Table13[[#This Row],[FY]]</f>
        <v>NOV, FY23</v>
      </c>
      <c r="J229" s="3" t="str">
        <f>"Q"&amp;Table13[[#This Row],[QTR]]&amp;", "&amp;Table13[[#This Row],[FY]]</f>
        <v>Q2, FY23</v>
      </c>
    </row>
    <row r="230" spans="1:10" x14ac:dyDescent="0.25">
      <c r="A230" s="2">
        <f t="shared" si="18"/>
        <v>44872</v>
      </c>
      <c r="B230" s="2">
        <f t="shared" si="18"/>
        <v>44878</v>
      </c>
      <c r="C230" s="3" t="s">
        <v>760</v>
      </c>
      <c r="D230" s="3" t="s">
        <v>758</v>
      </c>
      <c r="E230" s="3">
        <f t="shared" si="19"/>
        <v>2</v>
      </c>
      <c r="F230" s="3" t="s">
        <v>804</v>
      </c>
      <c r="G230" s="3" t="str">
        <f>Table13[[#This Row],[Month]]&amp;", "&amp;Table13[[#This Row],[FY]]</f>
        <v>NOV, FY23</v>
      </c>
      <c r="H230" s="3" t="str">
        <f>Table13[[#This Row],[Week]]&amp;", "&amp;Table13[[#This Row],[Month]]&amp;" "&amp;Table13[[#This Row],[FY]]</f>
        <v>Week 20, NOV FY23</v>
      </c>
      <c r="I230" s="3" t="str">
        <f>Table13[[#This Row],[Month]]&amp;", "&amp;Table13[[#This Row],[FY]]</f>
        <v>NOV, FY23</v>
      </c>
      <c r="J230" s="3" t="str">
        <f>"Q"&amp;Table13[[#This Row],[QTR]]&amp;", "&amp;Table13[[#This Row],[FY]]</f>
        <v>Q2, FY23</v>
      </c>
    </row>
    <row r="231" spans="1:10" x14ac:dyDescent="0.25">
      <c r="A231" s="2">
        <f t="shared" si="18"/>
        <v>44879</v>
      </c>
      <c r="B231" s="2">
        <f t="shared" si="18"/>
        <v>44885</v>
      </c>
      <c r="C231" s="3" t="s">
        <v>761</v>
      </c>
      <c r="D231" s="3" t="s">
        <v>758</v>
      </c>
      <c r="E231" s="3">
        <f t="shared" si="19"/>
        <v>2</v>
      </c>
      <c r="F231" s="3" t="s">
        <v>804</v>
      </c>
      <c r="G231" s="3" t="str">
        <f>Table13[[#This Row],[Month]]&amp;", "&amp;Table13[[#This Row],[FY]]</f>
        <v>NOV, FY23</v>
      </c>
      <c r="H231" s="3" t="str">
        <f>Table13[[#This Row],[Week]]&amp;", "&amp;Table13[[#This Row],[Month]]&amp;" "&amp;Table13[[#This Row],[FY]]</f>
        <v>Week 21, NOV FY23</v>
      </c>
      <c r="I231" s="3" t="str">
        <f>Table13[[#This Row],[Month]]&amp;", "&amp;Table13[[#This Row],[FY]]</f>
        <v>NOV, FY23</v>
      </c>
      <c r="J231" s="3" t="str">
        <f>"Q"&amp;Table13[[#This Row],[QTR]]&amp;", "&amp;Table13[[#This Row],[FY]]</f>
        <v>Q2, FY23</v>
      </c>
    </row>
    <row r="232" spans="1:10" x14ac:dyDescent="0.25">
      <c r="A232" s="2">
        <f t="shared" si="18"/>
        <v>44886</v>
      </c>
      <c r="B232" s="2">
        <f t="shared" si="18"/>
        <v>44892</v>
      </c>
      <c r="C232" s="3" t="s">
        <v>762</v>
      </c>
      <c r="D232" s="3" t="s">
        <v>758</v>
      </c>
      <c r="E232" s="3">
        <f t="shared" si="19"/>
        <v>2</v>
      </c>
      <c r="F232" s="3" t="s">
        <v>804</v>
      </c>
      <c r="G232" s="3" t="str">
        <f>Table13[[#This Row],[Month]]&amp;", "&amp;Table13[[#This Row],[FY]]</f>
        <v>NOV, FY23</v>
      </c>
      <c r="H232" s="3" t="str">
        <f>Table13[[#This Row],[Week]]&amp;", "&amp;Table13[[#This Row],[Month]]&amp;" "&amp;Table13[[#This Row],[FY]]</f>
        <v>Week 22, NOV FY23</v>
      </c>
      <c r="I232" s="3" t="str">
        <f>Table13[[#This Row],[Month]]&amp;", "&amp;Table13[[#This Row],[FY]]</f>
        <v>NOV, FY23</v>
      </c>
      <c r="J232" s="3" t="str">
        <f>"Q"&amp;Table13[[#This Row],[QTR]]&amp;", "&amp;Table13[[#This Row],[FY]]</f>
        <v>Q2, FY23</v>
      </c>
    </row>
    <row r="233" spans="1:10" x14ac:dyDescent="0.25">
      <c r="A233" s="2">
        <f t="shared" si="18"/>
        <v>44893</v>
      </c>
      <c r="B233" s="2">
        <f t="shared" si="18"/>
        <v>44899</v>
      </c>
      <c r="C233" s="3" t="s">
        <v>763</v>
      </c>
      <c r="D233" s="3" t="s">
        <v>764</v>
      </c>
      <c r="E233" s="3">
        <f t="shared" si="19"/>
        <v>2</v>
      </c>
      <c r="F233" s="3" t="s">
        <v>804</v>
      </c>
      <c r="G233" s="3" t="str">
        <f>Table13[[#This Row],[Month]]&amp;", "&amp;Table13[[#This Row],[FY]]</f>
        <v>DEC, FY23</v>
      </c>
      <c r="H233" s="3" t="str">
        <f>Table13[[#This Row],[Week]]&amp;", "&amp;Table13[[#This Row],[Month]]&amp;" "&amp;Table13[[#This Row],[FY]]</f>
        <v>Week 23, DEC FY23</v>
      </c>
      <c r="I233" s="3" t="str">
        <f>Table13[[#This Row],[Month]]&amp;", "&amp;Table13[[#This Row],[FY]]</f>
        <v>DEC, FY23</v>
      </c>
      <c r="J233" s="3" t="str">
        <f>"Q"&amp;Table13[[#This Row],[QTR]]&amp;", "&amp;Table13[[#This Row],[FY]]</f>
        <v>Q2, FY23</v>
      </c>
    </row>
    <row r="234" spans="1:10" x14ac:dyDescent="0.25">
      <c r="A234" s="2">
        <f t="shared" si="18"/>
        <v>44900</v>
      </c>
      <c r="B234" s="2">
        <f t="shared" si="18"/>
        <v>44906</v>
      </c>
      <c r="C234" s="3" t="s">
        <v>765</v>
      </c>
      <c r="D234" s="3" t="s">
        <v>764</v>
      </c>
      <c r="E234" s="3">
        <f t="shared" si="19"/>
        <v>2</v>
      </c>
      <c r="F234" s="3" t="s">
        <v>804</v>
      </c>
      <c r="G234" s="3" t="str">
        <f>Table13[[#This Row],[Month]]&amp;", "&amp;Table13[[#This Row],[FY]]</f>
        <v>DEC, FY23</v>
      </c>
      <c r="H234" s="3" t="str">
        <f>Table13[[#This Row],[Week]]&amp;", "&amp;Table13[[#This Row],[Month]]&amp;" "&amp;Table13[[#This Row],[FY]]</f>
        <v>Week 24, DEC FY23</v>
      </c>
      <c r="I234" s="3" t="str">
        <f>Table13[[#This Row],[Month]]&amp;", "&amp;Table13[[#This Row],[FY]]</f>
        <v>DEC, FY23</v>
      </c>
      <c r="J234" s="3" t="str">
        <f>"Q"&amp;Table13[[#This Row],[QTR]]&amp;", "&amp;Table13[[#This Row],[FY]]</f>
        <v>Q2, FY23</v>
      </c>
    </row>
    <row r="235" spans="1:10" x14ac:dyDescent="0.25">
      <c r="A235" s="2">
        <f t="shared" si="18"/>
        <v>44907</v>
      </c>
      <c r="B235" s="2">
        <f t="shared" si="18"/>
        <v>44913</v>
      </c>
      <c r="C235" s="3" t="s">
        <v>766</v>
      </c>
      <c r="D235" s="3" t="s">
        <v>764</v>
      </c>
      <c r="E235" s="3">
        <f t="shared" si="19"/>
        <v>2</v>
      </c>
      <c r="F235" s="3" t="s">
        <v>804</v>
      </c>
      <c r="G235" s="3" t="str">
        <f>Table13[[#This Row],[Month]]&amp;", "&amp;Table13[[#This Row],[FY]]</f>
        <v>DEC, FY23</v>
      </c>
      <c r="H235" s="3" t="str">
        <f>Table13[[#This Row],[Week]]&amp;", "&amp;Table13[[#This Row],[Month]]&amp;" "&amp;Table13[[#This Row],[FY]]</f>
        <v>Week 25, DEC FY23</v>
      </c>
      <c r="I235" s="3" t="str">
        <f>Table13[[#This Row],[Month]]&amp;", "&amp;Table13[[#This Row],[FY]]</f>
        <v>DEC, FY23</v>
      </c>
      <c r="J235" s="3" t="str">
        <f>"Q"&amp;Table13[[#This Row],[QTR]]&amp;", "&amp;Table13[[#This Row],[FY]]</f>
        <v>Q2, FY23</v>
      </c>
    </row>
    <row r="236" spans="1:10" x14ac:dyDescent="0.25">
      <c r="A236" s="2">
        <f t="shared" si="18"/>
        <v>44914</v>
      </c>
      <c r="B236" s="2">
        <f t="shared" si="18"/>
        <v>44920</v>
      </c>
      <c r="C236" s="3" t="s">
        <v>767</v>
      </c>
      <c r="D236" s="3" t="s">
        <v>764</v>
      </c>
      <c r="E236" s="3">
        <f t="shared" si="19"/>
        <v>2</v>
      </c>
      <c r="F236" s="3" t="s">
        <v>804</v>
      </c>
      <c r="G236" s="3" t="str">
        <f>Table13[[#This Row],[Month]]&amp;", "&amp;Table13[[#This Row],[FY]]</f>
        <v>DEC, FY23</v>
      </c>
      <c r="H236" s="3" t="str">
        <f>Table13[[#This Row],[Week]]&amp;", "&amp;Table13[[#This Row],[Month]]&amp;" "&amp;Table13[[#This Row],[FY]]</f>
        <v>Week 26, DEC FY23</v>
      </c>
      <c r="I236" s="3" t="str">
        <f>Table13[[#This Row],[Month]]&amp;", "&amp;Table13[[#This Row],[FY]]</f>
        <v>DEC, FY23</v>
      </c>
      <c r="J236" s="3" t="str">
        <f>"Q"&amp;Table13[[#This Row],[QTR]]&amp;", "&amp;Table13[[#This Row],[FY]]</f>
        <v>Q2, FY23</v>
      </c>
    </row>
    <row r="237" spans="1:10" x14ac:dyDescent="0.25">
      <c r="A237" s="2">
        <f t="shared" si="18"/>
        <v>44921</v>
      </c>
      <c r="B237" s="2">
        <f t="shared" si="18"/>
        <v>44927</v>
      </c>
      <c r="C237" s="3" t="s">
        <v>768</v>
      </c>
      <c r="D237" s="3" t="s">
        <v>769</v>
      </c>
      <c r="E237" s="3">
        <f t="shared" si="19"/>
        <v>3</v>
      </c>
      <c r="F237" s="3" t="s">
        <v>804</v>
      </c>
      <c r="G237" s="3" t="str">
        <f>Table13[[#This Row],[Month]]&amp;", "&amp;Table13[[#This Row],[FY]]</f>
        <v>JAN, FY23</v>
      </c>
      <c r="H237" s="3" t="str">
        <f>Table13[[#This Row],[Week]]&amp;", "&amp;Table13[[#This Row],[Month]]&amp;" "&amp;Table13[[#This Row],[FY]]</f>
        <v>Week 27, JAN FY23</v>
      </c>
      <c r="I237" s="3" t="str">
        <f>Table13[[#This Row],[Month]]&amp;", "&amp;Table13[[#This Row],[FY]]</f>
        <v>JAN, FY23</v>
      </c>
      <c r="J237" s="3" t="str">
        <f>"Q"&amp;Table13[[#This Row],[QTR]]&amp;", "&amp;Table13[[#This Row],[FY]]</f>
        <v>Q3, FY23</v>
      </c>
    </row>
    <row r="238" spans="1:10" x14ac:dyDescent="0.25">
      <c r="A238" s="2">
        <f t="shared" si="18"/>
        <v>44928</v>
      </c>
      <c r="B238" s="2">
        <f t="shared" si="18"/>
        <v>44934</v>
      </c>
      <c r="C238" s="3" t="s">
        <v>770</v>
      </c>
      <c r="D238" s="3" t="s">
        <v>769</v>
      </c>
      <c r="E238" s="3">
        <f t="shared" si="19"/>
        <v>3</v>
      </c>
      <c r="F238" s="3" t="s">
        <v>804</v>
      </c>
      <c r="G238" s="3" t="str">
        <f>Table13[[#This Row],[Month]]&amp;", "&amp;Table13[[#This Row],[FY]]</f>
        <v>JAN, FY23</v>
      </c>
      <c r="H238" s="3" t="str">
        <f>Table13[[#This Row],[Week]]&amp;", "&amp;Table13[[#This Row],[Month]]&amp;" "&amp;Table13[[#This Row],[FY]]</f>
        <v>Week 28, JAN FY23</v>
      </c>
      <c r="I238" s="3" t="str">
        <f>Table13[[#This Row],[Month]]&amp;", "&amp;Table13[[#This Row],[FY]]</f>
        <v>JAN, FY23</v>
      </c>
      <c r="J238" s="3" t="str">
        <f>"Q"&amp;Table13[[#This Row],[QTR]]&amp;", "&amp;Table13[[#This Row],[FY]]</f>
        <v>Q3, FY23</v>
      </c>
    </row>
    <row r="239" spans="1:10" x14ac:dyDescent="0.25">
      <c r="A239" s="2">
        <f t="shared" si="18"/>
        <v>44935</v>
      </c>
      <c r="B239" s="2">
        <f t="shared" si="18"/>
        <v>44941</v>
      </c>
      <c r="C239" s="3" t="s">
        <v>771</v>
      </c>
      <c r="D239" s="3" t="s">
        <v>769</v>
      </c>
      <c r="E239" s="3">
        <f t="shared" si="19"/>
        <v>3</v>
      </c>
      <c r="F239" s="3" t="s">
        <v>804</v>
      </c>
      <c r="G239" s="3" t="str">
        <f>Table13[[#This Row],[Month]]&amp;", "&amp;Table13[[#This Row],[FY]]</f>
        <v>JAN, FY23</v>
      </c>
      <c r="H239" s="3" t="str">
        <f>Table13[[#This Row],[Week]]&amp;", "&amp;Table13[[#This Row],[Month]]&amp;" "&amp;Table13[[#This Row],[FY]]</f>
        <v>Week 29, JAN FY23</v>
      </c>
      <c r="I239" s="3" t="str">
        <f>Table13[[#This Row],[Month]]&amp;", "&amp;Table13[[#This Row],[FY]]</f>
        <v>JAN, FY23</v>
      </c>
      <c r="J239" s="3" t="str">
        <f>"Q"&amp;Table13[[#This Row],[QTR]]&amp;", "&amp;Table13[[#This Row],[FY]]</f>
        <v>Q3, FY23</v>
      </c>
    </row>
    <row r="240" spans="1:10" x14ac:dyDescent="0.25">
      <c r="A240" s="2">
        <f t="shared" ref="A240:B255" si="20">A239+7</f>
        <v>44942</v>
      </c>
      <c r="B240" s="2">
        <f t="shared" si="20"/>
        <v>44948</v>
      </c>
      <c r="C240" s="3" t="s">
        <v>772</v>
      </c>
      <c r="D240" s="3" t="s">
        <v>769</v>
      </c>
      <c r="E240" s="3">
        <f t="shared" si="19"/>
        <v>3</v>
      </c>
      <c r="F240" s="3" t="s">
        <v>804</v>
      </c>
      <c r="G240" s="3" t="str">
        <f>Table13[[#This Row],[Month]]&amp;", "&amp;Table13[[#This Row],[FY]]</f>
        <v>JAN, FY23</v>
      </c>
      <c r="H240" s="3" t="str">
        <f>Table13[[#This Row],[Week]]&amp;", "&amp;Table13[[#This Row],[Month]]&amp;" "&amp;Table13[[#This Row],[FY]]</f>
        <v>Week 30, JAN FY23</v>
      </c>
      <c r="I240" s="3" t="str">
        <f>Table13[[#This Row],[Month]]&amp;", "&amp;Table13[[#This Row],[FY]]</f>
        <v>JAN, FY23</v>
      </c>
      <c r="J240" s="3" t="str">
        <f>"Q"&amp;Table13[[#This Row],[QTR]]&amp;", "&amp;Table13[[#This Row],[FY]]</f>
        <v>Q3, FY23</v>
      </c>
    </row>
    <row r="241" spans="1:10" x14ac:dyDescent="0.25">
      <c r="A241" s="2">
        <f t="shared" si="20"/>
        <v>44949</v>
      </c>
      <c r="B241" s="2">
        <f t="shared" si="20"/>
        <v>44955</v>
      </c>
      <c r="C241" s="3" t="s">
        <v>773</v>
      </c>
      <c r="D241" s="3" t="s">
        <v>774</v>
      </c>
      <c r="E241" s="3">
        <f t="shared" si="19"/>
        <v>3</v>
      </c>
      <c r="F241" s="3" t="s">
        <v>804</v>
      </c>
      <c r="G241" s="3" t="str">
        <f>Table13[[#This Row],[Month]]&amp;", "&amp;Table13[[#This Row],[FY]]</f>
        <v>FEB, FY23</v>
      </c>
      <c r="H241" s="3" t="str">
        <f>Table13[[#This Row],[Week]]&amp;", "&amp;Table13[[#This Row],[Month]]&amp;" "&amp;Table13[[#This Row],[FY]]</f>
        <v>Week 31, FEB FY23</v>
      </c>
      <c r="I241" s="3" t="str">
        <f>Table13[[#This Row],[Month]]&amp;", "&amp;Table13[[#This Row],[FY]]</f>
        <v>FEB, FY23</v>
      </c>
      <c r="J241" s="3" t="str">
        <f>"Q"&amp;Table13[[#This Row],[QTR]]&amp;", "&amp;Table13[[#This Row],[FY]]</f>
        <v>Q3, FY23</v>
      </c>
    </row>
    <row r="242" spans="1:10" x14ac:dyDescent="0.25">
      <c r="A242" s="2">
        <f t="shared" si="20"/>
        <v>44956</v>
      </c>
      <c r="B242" s="2">
        <f t="shared" si="20"/>
        <v>44962</v>
      </c>
      <c r="C242" s="3" t="s">
        <v>775</v>
      </c>
      <c r="D242" s="3" t="s">
        <v>774</v>
      </c>
      <c r="E242" s="3">
        <f t="shared" si="19"/>
        <v>3</v>
      </c>
      <c r="F242" s="3" t="s">
        <v>804</v>
      </c>
      <c r="G242" s="3" t="str">
        <f>Table13[[#This Row],[Month]]&amp;", "&amp;Table13[[#This Row],[FY]]</f>
        <v>FEB, FY23</v>
      </c>
      <c r="H242" s="3" t="str">
        <f>Table13[[#This Row],[Week]]&amp;", "&amp;Table13[[#This Row],[Month]]&amp;" "&amp;Table13[[#This Row],[FY]]</f>
        <v>Week 32, FEB FY23</v>
      </c>
      <c r="I242" s="3" t="str">
        <f>Table13[[#This Row],[Month]]&amp;", "&amp;Table13[[#This Row],[FY]]</f>
        <v>FEB, FY23</v>
      </c>
      <c r="J242" s="3" t="str">
        <f>"Q"&amp;Table13[[#This Row],[QTR]]&amp;", "&amp;Table13[[#This Row],[FY]]</f>
        <v>Q3, FY23</v>
      </c>
    </row>
    <row r="243" spans="1:10" x14ac:dyDescent="0.25">
      <c r="A243" s="2">
        <f t="shared" si="20"/>
        <v>44963</v>
      </c>
      <c r="B243" s="2">
        <f t="shared" si="20"/>
        <v>44969</v>
      </c>
      <c r="C243" s="3" t="s">
        <v>776</v>
      </c>
      <c r="D243" s="3" t="s">
        <v>774</v>
      </c>
      <c r="E243" s="3">
        <f t="shared" si="19"/>
        <v>3</v>
      </c>
      <c r="F243" s="3" t="s">
        <v>804</v>
      </c>
      <c r="G243" s="3" t="str">
        <f>Table13[[#This Row],[Month]]&amp;", "&amp;Table13[[#This Row],[FY]]</f>
        <v>FEB, FY23</v>
      </c>
      <c r="H243" s="3" t="str">
        <f>Table13[[#This Row],[Week]]&amp;", "&amp;Table13[[#This Row],[Month]]&amp;" "&amp;Table13[[#This Row],[FY]]</f>
        <v>Week 33, FEB FY23</v>
      </c>
      <c r="I243" s="3" t="str">
        <f>Table13[[#This Row],[Month]]&amp;", "&amp;Table13[[#This Row],[FY]]</f>
        <v>FEB, FY23</v>
      </c>
      <c r="J243" s="3" t="str">
        <f>"Q"&amp;Table13[[#This Row],[QTR]]&amp;", "&amp;Table13[[#This Row],[FY]]</f>
        <v>Q3, FY23</v>
      </c>
    </row>
    <row r="244" spans="1:10" x14ac:dyDescent="0.25">
      <c r="A244" s="2">
        <f t="shared" si="20"/>
        <v>44970</v>
      </c>
      <c r="B244" s="2">
        <f t="shared" si="20"/>
        <v>44976</v>
      </c>
      <c r="C244" s="3" t="s">
        <v>777</v>
      </c>
      <c r="D244" s="3" t="s">
        <v>774</v>
      </c>
      <c r="E244" s="3">
        <f t="shared" si="19"/>
        <v>3</v>
      </c>
      <c r="F244" s="3" t="s">
        <v>804</v>
      </c>
      <c r="G244" s="3" t="str">
        <f>Table13[[#This Row],[Month]]&amp;", "&amp;Table13[[#This Row],[FY]]</f>
        <v>FEB, FY23</v>
      </c>
      <c r="H244" s="3" t="str">
        <f>Table13[[#This Row],[Week]]&amp;", "&amp;Table13[[#This Row],[Month]]&amp;" "&amp;Table13[[#This Row],[FY]]</f>
        <v>Week 34, FEB FY23</v>
      </c>
      <c r="I244" s="3" t="str">
        <f>Table13[[#This Row],[Month]]&amp;", "&amp;Table13[[#This Row],[FY]]</f>
        <v>FEB, FY23</v>
      </c>
      <c r="J244" s="3" t="str">
        <f>"Q"&amp;Table13[[#This Row],[QTR]]&amp;", "&amp;Table13[[#This Row],[FY]]</f>
        <v>Q3, FY23</v>
      </c>
    </row>
    <row r="245" spans="1:10" x14ac:dyDescent="0.25">
      <c r="A245" s="2">
        <f t="shared" si="20"/>
        <v>44977</v>
      </c>
      <c r="B245" s="2">
        <f t="shared" si="20"/>
        <v>44983</v>
      </c>
      <c r="C245" s="3" t="s">
        <v>778</v>
      </c>
      <c r="D245" s="3" t="s">
        <v>774</v>
      </c>
      <c r="E245" s="3">
        <f t="shared" si="19"/>
        <v>3</v>
      </c>
      <c r="F245" s="3" t="s">
        <v>804</v>
      </c>
      <c r="G245" s="3" t="str">
        <f>Table13[[#This Row],[Month]]&amp;", "&amp;Table13[[#This Row],[FY]]</f>
        <v>FEB, FY23</v>
      </c>
      <c r="H245" s="3" t="str">
        <f>Table13[[#This Row],[Week]]&amp;", "&amp;Table13[[#This Row],[Month]]&amp;" "&amp;Table13[[#This Row],[FY]]</f>
        <v>Week 35, FEB FY23</v>
      </c>
      <c r="I245" s="3" t="str">
        <f>Table13[[#This Row],[Month]]&amp;", "&amp;Table13[[#This Row],[FY]]</f>
        <v>FEB, FY23</v>
      </c>
      <c r="J245" s="3" t="str">
        <f>"Q"&amp;Table13[[#This Row],[QTR]]&amp;", "&amp;Table13[[#This Row],[FY]]</f>
        <v>Q3, FY23</v>
      </c>
    </row>
    <row r="246" spans="1:10" x14ac:dyDescent="0.25">
      <c r="A246" s="2">
        <f t="shared" si="20"/>
        <v>44984</v>
      </c>
      <c r="B246" s="2">
        <f t="shared" si="20"/>
        <v>44990</v>
      </c>
      <c r="C246" s="3" t="s">
        <v>779</v>
      </c>
      <c r="D246" s="3" t="s">
        <v>780</v>
      </c>
      <c r="E246" s="3">
        <f t="shared" si="19"/>
        <v>3</v>
      </c>
      <c r="F246" s="3" t="s">
        <v>804</v>
      </c>
      <c r="G246" s="3" t="str">
        <f>Table13[[#This Row],[Month]]&amp;", "&amp;Table13[[#This Row],[FY]]</f>
        <v>MAR, FY23</v>
      </c>
      <c r="H246" s="3" t="str">
        <f>Table13[[#This Row],[Week]]&amp;", "&amp;Table13[[#This Row],[Month]]&amp;" "&amp;Table13[[#This Row],[FY]]</f>
        <v>Week 36, MAR FY23</v>
      </c>
      <c r="I246" s="3" t="str">
        <f>Table13[[#This Row],[Month]]&amp;", "&amp;Table13[[#This Row],[FY]]</f>
        <v>MAR, FY23</v>
      </c>
      <c r="J246" s="3" t="str">
        <f>"Q"&amp;Table13[[#This Row],[QTR]]&amp;", "&amp;Table13[[#This Row],[FY]]</f>
        <v>Q3, FY23</v>
      </c>
    </row>
    <row r="247" spans="1:10" x14ac:dyDescent="0.25">
      <c r="A247" s="2">
        <f t="shared" si="20"/>
        <v>44991</v>
      </c>
      <c r="B247" s="2">
        <f t="shared" si="20"/>
        <v>44997</v>
      </c>
      <c r="C247" s="3" t="s">
        <v>781</v>
      </c>
      <c r="D247" s="3" t="s">
        <v>780</v>
      </c>
      <c r="E247" s="3">
        <f t="shared" si="19"/>
        <v>3</v>
      </c>
      <c r="F247" s="3" t="s">
        <v>804</v>
      </c>
      <c r="G247" s="3" t="str">
        <f>Table13[[#This Row],[Month]]&amp;", "&amp;Table13[[#This Row],[FY]]</f>
        <v>MAR, FY23</v>
      </c>
      <c r="H247" s="3" t="str">
        <f>Table13[[#This Row],[Week]]&amp;", "&amp;Table13[[#This Row],[Month]]&amp;" "&amp;Table13[[#This Row],[FY]]</f>
        <v>Week 37, MAR FY23</v>
      </c>
      <c r="I247" s="3" t="str">
        <f>Table13[[#This Row],[Month]]&amp;", "&amp;Table13[[#This Row],[FY]]</f>
        <v>MAR, FY23</v>
      </c>
      <c r="J247" s="3" t="str">
        <f>"Q"&amp;Table13[[#This Row],[QTR]]&amp;", "&amp;Table13[[#This Row],[FY]]</f>
        <v>Q3, FY23</v>
      </c>
    </row>
    <row r="248" spans="1:10" x14ac:dyDescent="0.25">
      <c r="A248" s="2">
        <f t="shared" si="20"/>
        <v>44998</v>
      </c>
      <c r="B248" s="2">
        <f t="shared" si="20"/>
        <v>45004</v>
      </c>
      <c r="C248" s="3" t="s">
        <v>782</v>
      </c>
      <c r="D248" s="3" t="s">
        <v>780</v>
      </c>
      <c r="E248" s="3">
        <f t="shared" si="19"/>
        <v>3</v>
      </c>
      <c r="F248" s="3" t="s">
        <v>804</v>
      </c>
      <c r="G248" s="3" t="str">
        <f>Table13[[#This Row],[Month]]&amp;", "&amp;Table13[[#This Row],[FY]]</f>
        <v>MAR, FY23</v>
      </c>
      <c r="H248" s="3" t="str">
        <f>Table13[[#This Row],[Week]]&amp;", "&amp;Table13[[#This Row],[Month]]&amp;" "&amp;Table13[[#This Row],[FY]]</f>
        <v>Week 38, MAR FY23</v>
      </c>
      <c r="I248" s="3" t="str">
        <f>Table13[[#This Row],[Month]]&amp;", "&amp;Table13[[#This Row],[FY]]</f>
        <v>MAR, FY23</v>
      </c>
      <c r="J248" s="3" t="str">
        <f>"Q"&amp;Table13[[#This Row],[QTR]]&amp;", "&amp;Table13[[#This Row],[FY]]</f>
        <v>Q3, FY23</v>
      </c>
    </row>
    <row r="249" spans="1:10" x14ac:dyDescent="0.25">
      <c r="A249" s="2">
        <f t="shared" si="20"/>
        <v>45005</v>
      </c>
      <c r="B249" s="2">
        <f t="shared" si="20"/>
        <v>45011</v>
      </c>
      <c r="C249" s="3" t="s">
        <v>783</v>
      </c>
      <c r="D249" s="3" t="s">
        <v>780</v>
      </c>
      <c r="E249" s="3">
        <f t="shared" si="19"/>
        <v>3</v>
      </c>
      <c r="F249" s="3" t="s">
        <v>804</v>
      </c>
      <c r="G249" s="3" t="str">
        <f>Table13[[#This Row],[Month]]&amp;", "&amp;Table13[[#This Row],[FY]]</f>
        <v>MAR, FY23</v>
      </c>
      <c r="H249" s="3" t="str">
        <f>Table13[[#This Row],[Week]]&amp;", "&amp;Table13[[#This Row],[Month]]&amp;" "&amp;Table13[[#This Row],[FY]]</f>
        <v>Week 39, MAR FY23</v>
      </c>
      <c r="I249" s="3" t="str">
        <f>Table13[[#This Row],[Month]]&amp;", "&amp;Table13[[#This Row],[FY]]</f>
        <v>MAR, FY23</v>
      </c>
      <c r="J249" s="3" t="str">
        <f>"Q"&amp;Table13[[#This Row],[QTR]]&amp;", "&amp;Table13[[#This Row],[FY]]</f>
        <v>Q3, FY23</v>
      </c>
    </row>
    <row r="250" spans="1:10" x14ac:dyDescent="0.25">
      <c r="A250" s="2">
        <f t="shared" si="20"/>
        <v>45012</v>
      </c>
      <c r="B250" s="2">
        <f t="shared" si="20"/>
        <v>45018</v>
      </c>
      <c r="C250" s="3" t="s">
        <v>784</v>
      </c>
      <c r="D250" s="3" t="s">
        <v>785</v>
      </c>
      <c r="E250" s="3">
        <f t="shared" si="19"/>
        <v>4</v>
      </c>
      <c r="F250" s="3" t="s">
        <v>804</v>
      </c>
      <c r="G250" s="3" t="str">
        <f>Table13[[#This Row],[Month]]&amp;", "&amp;Table13[[#This Row],[FY]]</f>
        <v>APR, FY23</v>
      </c>
      <c r="H250" s="3" t="str">
        <f>Table13[[#This Row],[Week]]&amp;", "&amp;Table13[[#This Row],[Month]]&amp;" "&amp;Table13[[#This Row],[FY]]</f>
        <v>Week 40, APR FY23</v>
      </c>
      <c r="I250" s="3" t="str">
        <f>Table13[[#This Row],[Month]]&amp;", "&amp;Table13[[#This Row],[FY]]</f>
        <v>APR, FY23</v>
      </c>
      <c r="J250" s="3" t="str">
        <f>"Q"&amp;Table13[[#This Row],[QTR]]&amp;", "&amp;Table13[[#This Row],[FY]]</f>
        <v>Q4, FY23</v>
      </c>
    </row>
    <row r="251" spans="1:10" x14ac:dyDescent="0.25">
      <c r="A251" s="2">
        <f t="shared" si="20"/>
        <v>45019</v>
      </c>
      <c r="B251" s="2">
        <f t="shared" si="20"/>
        <v>45025</v>
      </c>
      <c r="C251" s="3" t="s">
        <v>786</v>
      </c>
      <c r="D251" s="3" t="s">
        <v>785</v>
      </c>
      <c r="E251" s="3">
        <f t="shared" si="19"/>
        <v>4</v>
      </c>
      <c r="F251" s="3" t="s">
        <v>804</v>
      </c>
      <c r="G251" s="3" t="str">
        <f>Table13[[#This Row],[Month]]&amp;", "&amp;Table13[[#This Row],[FY]]</f>
        <v>APR, FY23</v>
      </c>
      <c r="H251" s="3" t="str">
        <f>Table13[[#This Row],[Week]]&amp;", "&amp;Table13[[#This Row],[Month]]&amp;" "&amp;Table13[[#This Row],[FY]]</f>
        <v>Week 41, APR FY23</v>
      </c>
      <c r="I251" s="3" t="str">
        <f>Table13[[#This Row],[Month]]&amp;", "&amp;Table13[[#This Row],[FY]]</f>
        <v>APR, FY23</v>
      </c>
      <c r="J251" s="3" t="str">
        <f>"Q"&amp;Table13[[#This Row],[QTR]]&amp;", "&amp;Table13[[#This Row],[FY]]</f>
        <v>Q4, FY23</v>
      </c>
    </row>
    <row r="252" spans="1:10" x14ac:dyDescent="0.25">
      <c r="A252" s="2">
        <f t="shared" si="20"/>
        <v>45026</v>
      </c>
      <c r="B252" s="2">
        <f t="shared" si="20"/>
        <v>45032</v>
      </c>
      <c r="C252" s="3" t="s">
        <v>787</v>
      </c>
      <c r="D252" s="3" t="s">
        <v>785</v>
      </c>
      <c r="E252" s="3">
        <f t="shared" si="19"/>
        <v>4</v>
      </c>
      <c r="F252" s="3" t="s">
        <v>804</v>
      </c>
      <c r="G252" s="3" t="str">
        <f>Table13[[#This Row],[Month]]&amp;", "&amp;Table13[[#This Row],[FY]]</f>
        <v>APR, FY23</v>
      </c>
      <c r="H252" s="3" t="str">
        <f>Table13[[#This Row],[Week]]&amp;", "&amp;Table13[[#This Row],[Month]]&amp;" "&amp;Table13[[#This Row],[FY]]</f>
        <v>Week 42, APR FY23</v>
      </c>
      <c r="I252" s="3" t="str">
        <f>Table13[[#This Row],[Month]]&amp;", "&amp;Table13[[#This Row],[FY]]</f>
        <v>APR, FY23</v>
      </c>
      <c r="J252" s="3" t="str">
        <f>"Q"&amp;Table13[[#This Row],[QTR]]&amp;", "&amp;Table13[[#This Row],[FY]]</f>
        <v>Q4, FY23</v>
      </c>
    </row>
    <row r="253" spans="1:10" x14ac:dyDescent="0.25">
      <c r="A253" s="2">
        <f t="shared" si="20"/>
        <v>45033</v>
      </c>
      <c r="B253" s="2">
        <f t="shared" si="20"/>
        <v>45039</v>
      </c>
      <c r="C253" s="3" t="s">
        <v>788</v>
      </c>
      <c r="D253" s="3" t="s">
        <v>785</v>
      </c>
      <c r="E253" s="3">
        <f t="shared" si="19"/>
        <v>4</v>
      </c>
      <c r="F253" s="3" t="s">
        <v>804</v>
      </c>
      <c r="G253" s="3" t="str">
        <f>Table13[[#This Row],[Month]]&amp;", "&amp;Table13[[#This Row],[FY]]</f>
        <v>APR, FY23</v>
      </c>
      <c r="H253" s="3" t="str">
        <f>Table13[[#This Row],[Week]]&amp;", "&amp;Table13[[#This Row],[Month]]&amp;" "&amp;Table13[[#This Row],[FY]]</f>
        <v>Week 43, APR FY23</v>
      </c>
      <c r="I253" s="3" t="str">
        <f>Table13[[#This Row],[Month]]&amp;", "&amp;Table13[[#This Row],[FY]]</f>
        <v>APR, FY23</v>
      </c>
      <c r="J253" s="3" t="str">
        <f>"Q"&amp;Table13[[#This Row],[QTR]]&amp;", "&amp;Table13[[#This Row],[FY]]</f>
        <v>Q4, FY23</v>
      </c>
    </row>
    <row r="254" spans="1:10" x14ac:dyDescent="0.25">
      <c r="A254" s="2">
        <f t="shared" si="20"/>
        <v>45040</v>
      </c>
      <c r="B254" s="2">
        <f t="shared" si="20"/>
        <v>45046</v>
      </c>
      <c r="C254" s="3" t="s">
        <v>789</v>
      </c>
      <c r="D254" s="3" t="s">
        <v>790</v>
      </c>
      <c r="E254" s="3">
        <f t="shared" si="19"/>
        <v>4</v>
      </c>
      <c r="F254" s="3" t="s">
        <v>804</v>
      </c>
      <c r="G254" s="3" t="str">
        <f>Table13[[#This Row],[Month]]&amp;", "&amp;Table13[[#This Row],[FY]]</f>
        <v>MAY, FY23</v>
      </c>
      <c r="H254" s="3" t="str">
        <f>Table13[[#This Row],[Week]]&amp;", "&amp;Table13[[#This Row],[Month]]&amp;" "&amp;Table13[[#This Row],[FY]]</f>
        <v>Week 44, MAY FY23</v>
      </c>
      <c r="I254" s="3" t="str">
        <f>Table13[[#This Row],[Month]]&amp;", "&amp;Table13[[#This Row],[FY]]</f>
        <v>MAY, FY23</v>
      </c>
      <c r="J254" s="3" t="str">
        <f>"Q"&amp;Table13[[#This Row],[QTR]]&amp;", "&amp;Table13[[#This Row],[FY]]</f>
        <v>Q4, FY23</v>
      </c>
    </row>
    <row r="255" spans="1:10" x14ac:dyDescent="0.25">
      <c r="A255" s="2">
        <f t="shared" si="20"/>
        <v>45047</v>
      </c>
      <c r="B255" s="2">
        <f t="shared" si="20"/>
        <v>45053</v>
      </c>
      <c r="C255" s="3" t="s">
        <v>791</v>
      </c>
      <c r="D255" s="3" t="s">
        <v>790</v>
      </c>
      <c r="E255" s="3">
        <f t="shared" si="19"/>
        <v>4</v>
      </c>
      <c r="F255" s="3" t="s">
        <v>804</v>
      </c>
      <c r="G255" s="3" t="str">
        <f>Table13[[#This Row],[Month]]&amp;", "&amp;Table13[[#This Row],[FY]]</f>
        <v>MAY, FY23</v>
      </c>
      <c r="H255" s="3" t="str">
        <f>Table13[[#This Row],[Week]]&amp;", "&amp;Table13[[#This Row],[Month]]&amp;" "&amp;Table13[[#This Row],[FY]]</f>
        <v>Week 45, MAY FY23</v>
      </c>
      <c r="I255" s="3" t="str">
        <f>Table13[[#This Row],[Month]]&amp;", "&amp;Table13[[#This Row],[FY]]</f>
        <v>MAY, FY23</v>
      </c>
      <c r="J255" s="3" t="str">
        <f>"Q"&amp;Table13[[#This Row],[QTR]]&amp;", "&amp;Table13[[#This Row],[FY]]</f>
        <v>Q4, FY23</v>
      </c>
    </row>
    <row r="256" spans="1:10" x14ac:dyDescent="0.25">
      <c r="A256" s="2">
        <f t="shared" ref="A256:B271" si="21">A255+7</f>
        <v>45054</v>
      </c>
      <c r="B256" s="2">
        <f t="shared" si="21"/>
        <v>45060</v>
      </c>
      <c r="C256" s="3" t="s">
        <v>792</v>
      </c>
      <c r="D256" s="3" t="s">
        <v>790</v>
      </c>
      <c r="E256" s="3">
        <f t="shared" si="19"/>
        <v>4</v>
      </c>
      <c r="F256" s="3" t="s">
        <v>804</v>
      </c>
      <c r="G256" s="3" t="str">
        <f>Table13[[#This Row],[Month]]&amp;", "&amp;Table13[[#This Row],[FY]]</f>
        <v>MAY, FY23</v>
      </c>
      <c r="H256" s="3" t="str">
        <f>Table13[[#This Row],[Week]]&amp;", "&amp;Table13[[#This Row],[Month]]&amp;" "&amp;Table13[[#This Row],[FY]]</f>
        <v>Week 46, MAY FY23</v>
      </c>
      <c r="I256" s="3" t="str">
        <f>Table13[[#This Row],[Month]]&amp;", "&amp;Table13[[#This Row],[FY]]</f>
        <v>MAY, FY23</v>
      </c>
      <c r="J256" s="3" t="str">
        <f>"Q"&amp;Table13[[#This Row],[QTR]]&amp;", "&amp;Table13[[#This Row],[FY]]</f>
        <v>Q4, FY23</v>
      </c>
    </row>
    <row r="257" spans="1:10" x14ac:dyDescent="0.25">
      <c r="A257" s="2">
        <f t="shared" si="21"/>
        <v>45061</v>
      </c>
      <c r="B257" s="2">
        <f t="shared" si="21"/>
        <v>45067</v>
      </c>
      <c r="C257" s="3" t="s">
        <v>793</v>
      </c>
      <c r="D257" s="3" t="s">
        <v>790</v>
      </c>
      <c r="E257" s="3">
        <f t="shared" si="19"/>
        <v>4</v>
      </c>
      <c r="F257" s="3" t="s">
        <v>804</v>
      </c>
      <c r="G257" s="3" t="str">
        <f>Table13[[#This Row],[Month]]&amp;", "&amp;Table13[[#This Row],[FY]]</f>
        <v>MAY, FY23</v>
      </c>
      <c r="H257" s="3" t="str">
        <f>Table13[[#This Row],[Week]]&amp;", "&amp;Table13[[#This Row],[Month]]&amp;" "&amp;Table13[[#This Row],[FY]]</f>
        <v>Week 47, MAY FY23</v>
      </c>
      <c r="I257" s="3" t="str">
        <f>Table13[[#This Row],[Month]]&amp;", "&amp;Table13[[#This Row],[FY]]</f>
        <v>MAY, FY23</v>
      </c>
      <c r="J257" s="3" t="str">
        <f>"Q"&amp;Table13[[#This Row],[QTR]]&amp;", "&amp;Table13[[#This Row],[FY]]</f>
        <v>Q4, FY23</v>
      </c>
    </row>
    <row r="258" spans="1:10" x14ac:dyDescent="0.25">
      <c r="A258" s="2">
        <f t="shared" si="21"/>
        <v>45068</v>
      </c>
      <c r="B258" s="2">
        <f t="shared" si="21"/>
        <v>45074</v>
      </c>
      <c r="C258" s="3" t="s">
        <v>794</v>
      </c>
      <c r="D258" s="3" t="s">
        <v>790</v>
      </c>
      <c r="E258" s="3">
        <f t="shared" si="19"/>
        <v>4</v>
      </c>
      <c r="F258" s="3" t="s">
        <v>804</v>
      </c>
      <c r="G258" s="3" t="str">
        <f>Table13[[#This Row],[Month]]&amp;", "&amp;Table13[[#This Row],[FY]]</f>
        <v>MAY, FY23</v>
      </c>
      <c r="H258" s="3" t="str">
        <f>Table13[[#This Row],[Week]]&amp;", "&amp;Table13[[#This Row],[Month]]&amp;" "&amp;Table13[[#This Row],[FY]]</f>
        <v>Week 48, MAY FY23</v>
      </c>
      <c r="I258" s="3" t="str">
        <f>Table13[[#This Row],[Month]]&amp;", "&amp;Table13[[#This Row],[FY]]</f>
        <v>MAY, FY23</v>
      </c>
      <c r="J258" s="3" t="str">
        <f>"Q"&amp;Table13[[#This Row],[QTR]]&amp;", "&amp;Table13[[#This Row],[FY]]</f>
        <v>Q4, FY23</v>
      </c>
    </row>
    <row r="259" spans="1:10" x14ac:dyDescent="0.25">
      <c r="A259" s="2">
        <f t="shared" si="21"/>
        <v>45075</v>
      </c>
      <c r="B259" s="2">
        <f t="shared" si="21"/>
        <v>45081</v>
      </c>
      <c r="C259" s="3" t="s">
        <v>795</v>
      </c>
      <c r="D259" s="3" t="s">
        <v>796</v>
      </c>
      <c r="E259" s="3">
        <f t="shared" si="19"/>
        <v>4</v>
      </c>
      <c r="F259" s="3" t="s">
        <v>804</v>
      </c>
      <c r="G259" s="3" t="str">
        <f>Table13[[#This Row],[Month]]&amp;", "&amp;Table13[[#This Row],[FY]]</f>
        <v>JUN, FY23</v>
      </c>
      <c r="H259" s="3" t="str">
        <f>Table13[[#This Row],[Week]]&amp;", "&amp;Table13[[#This Row],[Month]]&amp;" "&amp;Table13[[#This Row],[FY]]</f>
        <v>Week 49, JUN FY23</v>
      </c>
      <c r="I259" s="3" t="str">
        <f>Table13[[#This Row],[Month]]&amp;", "&amp;Table13[[#This Row],[FY]]</f>
        <v>JUN, FY23</v>
      </c>
      <c r="J259" s="3" t="str">
        <f>"Q"&amp;Table13[[#This Row],[QTR]]&amp;", "&amp;Table13[[#This Row],[FY]]</f>
        <v>Q4, FY23</v>
      </c>
    </row>
    <row r="260" spans="1:10" x14ac:dyDescent="0.25">
      <c r="A260" s="2">
        <f t="shared" si="21"/>
        <v>45082</v>
      </c>
      <c r="B260" s="2">
        <f t="shared" si="21"/>
        <v>45088</v>
      </c>
      <c r="C260" s="3" t="s">
        <v>797</v>
      </c>
      <c r="D260" s="3" t="s">
        <v>796</v>
      </c>
      <c r="E260" s="3">
        <f t="shared" si="19"/>
        <v>4</v>
      </c>
      <c r="F260" s="3" t="s">
        <v>804</v>
      </c>
      <c r="G260" s="3" t="str">
        <f>Table13[[#This Row],[Month]]&amp;", "&amp;Table13[[#This Row],[FY]]</f>
        <v>JUN, FY23</v>
      </c>
      <c r="H260" s="3" t="str">
        <f>Table13[[#This Row],[Week]]&amp;", "&amp;Table13[[#This Row],[Month]]&amp;" "&amp;Table13[[#This Row],[FY]]</f>
        <v>Week 50, JUN FY23</v>
      </c>
      <c r="I260" s="3" t="str">
        <f>Table13[[#This Row],[Month]]&amp;", "&amp;Table13[[#This Row],[FY]]</f>
        <v>JUN, FY23</v>
      </c>
      <c r="J260" s="3" t="str">
        <f>"Q"&amp;Table13[[#This Row],[QTR]]&amp;", "&amp;Table13[[#This Row],[FY]]</f>
        <v>Q4, FY23</v>
      </c>
    </row>
    <row r="261" spans="1:10" x14ac:dyDescent="0.25">
      <c r="A261" s="2">
        <f t="shared" si="21"/>
        <v>45089</v>
      </c>
      <c r="B261" s="2">
        <f t="shared" si="21"/>
        <v>45095</v>
      </c>
      <c r="C261" s="3" t="s">
        <v>798</v>
      </c>
      <c r="D261" s="3" t="s">
        <v>796</v>
      </c>
      <c r="E261" s="3">
        <f t="shared" si="19"/>
        <v>4</v>
      </c>
      <c r="F261" s="3" t="s">
        <v>804</v>
      </c>
      <c r="G261" s="3" t="str">
        <f>Table13[[#This Row],[Month]]&amp;", "&amp;Table13[[#This Row],[FY]]</f>
        <v>JUN, FY23</v>
      </c>
      <c r="H261" s="3" t="str">
        <f>Table13[[#This Row],[Week]]&amp;", "&amp;Table13[[#This Row],[Month]]&amp;" "&amp;Table13[[#This Row],[FY]]</f>
        <v>Week 51, JUN FY23</v>
      </c>
      <c r="I261" s="3" t="str">
        <f>Table13[[#This Row],[Month]]&amp;", "&amp;Table13[[#This Row],[FY]]</f>
        <v>JUN, FY23</v>
      </c>
      <c r="J261" s="3" t="str">
        <f>"Q"&amp;Table13[[#This Row],[QTR]]&amp;", "&amp;Table13[[#This Row],[FY]]</f>
        <v>Q4, FY23</v>
      </c>
    </row>
    <row r="262" spans="1:10" x14ac:dyDescent="0.25">
      <c r="A262" s="2">
        <f t="shared" si="21"/>
        <v>45096</v>
      </c>
      <c r="B262" s="2">
        <f t="shared" si="21"/>
        <v>45102</v>
      </c>
      <c r="C262" s="3" t="s">
        <v>799</v>
      </c>
      <c r="D262" s="3" t="s">
        <v>796</v>
      </c>
      <c r="E262" s="3">
        <f t="shared" si="19"/>
        <v>4</v>
      </c>
      <c r="F262" s="3" t="s">
        <v>804</v>
      </c>
      <c r="G262" s="3" t="str">
        <f>Table13[[#This Row],[Month]]&amp;", "&amp;Table13[[#This Row],[FY]]</f>
        <v>JUN, FY23</v>
      </c>
      <c r="H262" s="3" t="str">
        <f>Table13[[#This Row],[Week]]&amp;", "&amp;Table13[[#This Row],[Month]]&amp;" "&amp;Table13[[#This Row],[FY]]</f>
        <v>Week 52, JUN FY23</v>
      </c>
      <c r="I262" s="3" t="str">
        <f>Table13[[#This Row],[Month]]&amp;", "&amp;Table13[[#This Row],[FY]]</f>
        <v>JUN, FY23</v>
      </c>
      <c r="J262" s="3" t="str">
        <f>"Q"&amp;Table13[[#This Row],[QTR]]&amp;", "&amp;Table13[[#This Row],[FY]]</f>
        <v>Q4, FY23</v>
      </c>
    </row>
    <row r="263" spans="1:10" x14ac:dyDescent="0.25">
      <c r="A263" s="2">
        <f t="shared" si="21"/>
        <v>45103</v>
      </c>
      <c r="B263" s="2">
        <f t="shared" si="21"/>
        <v>45109</v>
      </c>
      <c r="C263" s="3" t="s">
        <v>735</v>
      </c>
      <c r="D263" s="3" t="s">
        <v>736</v>
      </c>
      <c r="E263" s="3">
        <v>1</v>
      </c>
      <c r="F263" s="3" t="s">
        <v>805</v>
      </c>
      <c r="G263" s="3" t="str">
        <f>Table13[[#This Row],[Month]]&amp;", "&amp;Table13[[#This Row],[FY]]</f>
        <v>JUL, FY24</v>
      </c>
      <c r="H263" s="3" t="str">
        <f>Table13[[#This Row],[Week]]&amp;", "&amp;Table13[[#This Row],[Month]]&amp;" "&amp;Table13[[#This Row],[FY]]</f>
        <v>Week 1, JUL FY24</v>
      </c>
      <c r="I263" s="3" t="str">
        <f>Table13[[#This Row],[Month]]&amp;", "&amp;Table13[[#This Row],[FY]]</f>
        <v>JUL, FY24</v>
      </c>
      <c r="J263" s="3" t="str">
        <f>"Q"&amp;Table13[[#This Row],[QTR]]&amp;", "&amp;Table13[[#This Row],[FY]]</f>
        <v>Q1, FY24</v>
      </c>
    </row>
    <row r="264" spans="1:10" x14ac:dyDescent="0.25">
      <c r="A264" s="2">
        <f t="shared" si="21"/>
        <v>45110</v>
      </c>
      <c r="B264" s="2">
        <f t="shared" si="21"/>
        <v>45116</v>
      </c>
      <c r="C264" s="3" t="s">
        <v>738</v>
      </c>
      <c r="D264" s="3" t="s">
        <v>736</v>
      </c>
      <c r="E264" s="3">
        <v>1</v>
      </c>
      <c r="F264" s="3" t="s">
        <v>805</v>
      </c>
      <c r="G264" s="3" t="str">
        <f>Table13[[#This Row],[Month]]&amp;", "&amp;Table13[[#This Row],[FY]]</f>
        <v>JUL, FY24</v>
      </c>
      <c r="H264" s="3" t="str">
        <f>Table13[[#This Row],[Week]]&amp;", "&amp;Table13[[#This Row],[Month]]&amp;" "&amp;Table13[[#This Row],[FY]]</f>
        <v>Week 2, JUL FY24</v>
      </c>
      <c r="I264" s="3" t="str">
        <f>Table13[[#This Row],[Month]]&amp;", "&amp;Table13[[#This Row],[FY]]</f>
        <v>JUL, FY24</v>
      </c>
      <c r="J264" s="3" t="str">
        <f>"Q"&amp;Table13[[#This Row],[QTR]]&amp;", "&amp;Table13[[#This Row],[FY]]</f>
        <v>Q1, FY24</v>
      </c>
    </row>
    <row r="265" spans="1:10" x14ac:dyDescent="0.25">
      <c r="A265" s="2">
        <f t="shared" si="21"/>
        <v>45117</v>
      </c>
      <c r="B265" s="2">
        <f t="shared" si="21"/>
        <v>45123</v>
      </c>
      <c r="C265" s="3" t="s">
        <v>739</v>
      </c>
      <c r="D265" s="3" t="s">
        <v>736</v>
      </c>
      <c r="E265" s="3">
        <v>1</v>
      </c>
      <c r="F265" s="3" t="s">
        <v>805</v>
      </c>
      <c r="G265" s="3" t="str">
        <f>Table13[[#This Row],[Month]]&amp;", "&amp;Table13[[#This Row],[FY]]</f>
        <v>JUL, FY24</v>
      </c>
      <c r="H265" s="3" t="str">
        <f>Table13[[#This Row],[Week]]&amp;", "&amp;Table13[[#This Row],[Month]]&amp;" "&amp;Table13[[#This Row],[FY]]</f>
        <v>Week 3, JUL FY24</v>
      </c>
      <c r="I265" s="3" t="str">
        <f>Table13[[#This Row],[Month]]&amp;", "&amp;Table13[[#This Row],[FY]]</f>
        <v>JUL, FY24</v>
      </c>
      <c r="J265" s="3" t="str">
        <f>"Q"&amp;Table13[[#This Row],[QTR]]&amp;", "&amp;Table13[[#This Row],[FY]]</f>
        <v>Q1, FY24</v>
      </c>
    </row>
    <row r="266" spans="1:10" x14ac:dyDescent="0.25">
      <c r="A266" s="2">
        <f t="shared" si="21"/>
        <v>45124</v>
      </c>
      <c r="B266" s="2">
        <f t="shared" si="21"/>
        <v>45130</v>
      </c>
      <c r="C266" s="3" t="s">
        <v>740</v>
      </c>
      <c r="D266" s="3" t="s">
        <v>736</v>
      </c>
      <c r="E266" s="3">
        <v>1</v>
      </c>
      <c r="F266" s="3" t="s">
        <v>805</v>
      </c>
      <c r="G266" s="3" t="str">
        <f>Table13[[#This Row],[Month]]&amp;", "&amp;Table13[[#This Row],[FY]]</f>
        <v>JUL, FY24</v>
      </c>
      <c r="H266" s="3" t="str">
        <f>Table13[[#This Row],[Week]]&amp;", "&amp;Table13[[#This Row],[Month]]&amp;" "&amp;Table13[[#This Row],[FY]]</f>
        <v>Week 4, JUL FY24</v>
      </c>
      <c r="I266" s="3" t="str">
        <f>Table13[[#This Row],[Month]]&amp;", "&amp;Table13[[#This Row],[FY]]</f>
        <v>JUL, FY24</v>
      </c>
      <c r="J266" s="3" t="str">
        <f>"Q"&amp;Table13[[#This Row],[QTR]]&amp;", "&amp;Table13[[#This Row],[FY]]</f>
        <v>Q1, FY24</v>
      </c>
    </row>
    <row r="267" spans="1:10" x14ac:dyDescent="0.25">
      <c r="A267" s="2">
        <f t="shared" si="21"/>
        <v>45131</v>
      </c>
      <c r="B267" s="2">
        <f t="shared" si="21"/>
        <v>45137</v>
      </c>
      <c r="C267" s="3" t="s">
        <v>741</v>
      </c>
      <c r="D267" s="3" t="s">
        <v>742</v>
      </c>
      <c r="E267" s="3">
        <v>1</v>
      </c>
      <c r="F267" s="3" t="s">
        <v>805</v>
      </c>
      <c r="G267" s="3" t="str">
        <f>Table13[[#This Row],[Month]]&amp;", "&amp;Table13[[#This Row],[FY]]</f>
        <v>AUG, FY24</v>
      </c>
      <c r="H267" s="3" t="str">
        <f>Table13[[#This Row],[Week]]&amp;", "&amp;Table13[[#This Row],[Month]]&amp;" "&amp;Table13[[#This Row],[FY]]</f>
        <v>Week 5, AUG FY24</v>
      </c>
      <c r="I267" s="3" t="str">
        <f>Table13[[#This Row],[Month]]&amp;", "&amp;Table13[[#This Row],[FY]]</f>
        <v>AUG, FY24</v>
      </c>
      <c r="J267" s="3" t="str">
        <f>"Q"&amp;Table13[[#This Row],[QTR]]&amp;", "&amp;Table13[[#This Row],[FY]]</f>
        <v>Q1, FY24</v>
      </c>
    </row>
    <row r="268" spans="1:10" x14ac:dyDescent="0.25">
      <c r="A268" s="2">
        <f t="shared" si="21"/>
        <v>45138</v>
      </c>
      <c r="B268" s="2">
        <f t="shared" si="21"/>
        <v>45144</v>
      </c>
      <c r="C268" s="3" t="s">
        <v>743</v>
      </c>
      <c r="D268" s="3" t="s">
        <v>742</v>
      </c>
      <c r="E268" s="3">
        <v>1</v>
      </c>
      <c r="F268" s="3" t="s">
        <v>805</v>
      </c>
      <c r="G268" s="3" t="str">
        <f>Table13[[#This Row],[Month]]&amp;", "&amp;Table13[[#This Row],[FY]]</f>
        <v>AUG, FY24</v>
      </c>
      <c r="H268" s="3" t="str">
        <f>Table13[[#This Row],[Week]]&amp;", "&amp;Table13[[#This Row],[Month]]&amp;" "&amp;Table13[[#This Row],[FY]]</f>
        <v>Week 6, AUG FY24</v>
      </c>
      <c r="I268" s="3" t="str">
        <f>Table13[[#This Row],[Month]]&amp;", "&amp;Table13[[#This Row],[FY]]</f>
        <v>AUG, FY24</v>
      </c>
      <c r="J268" s="3" t="str">
        <f>"Q"&amp;Table13[[#This Row],[QTR]]&amp;", "&amp;Table13[[#This Row],[FY]]</f>
        <v>Q1, FY24</v>
      </c>
    </row>
    <row r="269" spans="1:10" x14ac:dyDescent="0.25">
      <c r="A269" s="2">
        <f t="shared" si="21"/>
        <v>45145</v>
      </c>
      <c r="B269" s="2">
        <f t="shared" si="21"/>
        <v>45151</v>
      </c>
      <c r="C269" s="3" t="s">
        <v>744</v>
      </c>
      <c r="D269" s="3" t="s">
        <v>742</v>
      </c>
      <c r="E269" s="3">
        <v>1</v>
      </c>
      <c r="F269" s="3" t="s">
        <v>805</v>
      </c>
      <c r="G269" s="3" t="str">
        <f>Table13[[#This Row],[Month]]&amp;", "&amp;Table13[[#This Row],[FY]]</f>
        <v>AUG, FY24</v>
      </c>
      <c r="H269" s="3" t="str">
        <f>Table13[[#This Row],[Week]]&amp;", "&amp;Table13[[#This Row],[Month]]&amp;" "&amp;Table13[[#This Row],[FY]]</f>
        <v>Week 7, AUG FY24</v>
      </c>
      <c r="I269" s="3" t="str">
        <f>Table13[[#This Row],[Month]]&amp;", "&amp;Table13[[#This Row],[FY]]</f>
        <v>AUG, FY24</v>
      </c>
      <c r="J269" s="3" t="str">
        <f>"Q"&amp;Table13[[#This Row],[QTR]]&amp;", "&amp;Table13[[#This Row],[FY]]</f>
        <v>Q1, FY24</v>
      </c>
    </row>
    <row r="270" spans="1:10" x14ac:dyDescent="0.25">
      <c r="A270" s="2">
        <f t="shared" si="21"/>
        <v>45152</v>
      </c>
      <c r="B270" s="2">
        <f t="shared" si="21"/>
        <v>45158</v>
      </c>
      <c r="C270" s="3" t="s">
        <v>745</v>
      </c>
      <c r="D270" s="3" t="s">
        <v>742</v>
      </c>
      <c r="E270" s="3">
        <v>1</v>
      </c>
      <c r="F270" s="3" t="s">
        <v>805</v>
      </c>
      <c r="G270" s="3" t="str">
        <f>Table13[[#This Row],[Month]]&amp;", "&amp;Table13[[#This Row],[FY]]</f>
        <v>AUG, FY24</v>
      </c>
      <c r="H270" s="3" t="str">
        <f>Table13[[#This Row],[Week]]&amp;", "&amp;Table13[[#This Row],[Month]]&amp;" "&amp;Table13[[#This Row],[FY]]</f>
        <v>Week 8, AUG FY24</v>
      </c>
      <c r="I270" s="3" t="str">
        <f>Table13[[#This Row],[Month]]&amp;", "&amp;Table13[[#This Row],[FY]]</f>
        <v>AUG, FY24</v>
      </c>
      <c r="J270" s="3" t="str">
        <f>"Q"&amp;Table13[[#This Row],[QTR]]&amp;", "&amp;Table13[[#This Row],[FY]]</f>
        <v>Q1, FY24</v>
      </c>
    </row>
    <row r="271" spans="1:10" x14ac:dyDescent="0.25">
      <c r="A271" s="2">
        <f t="shared" si="21"/>
        <v>45159</v>
      </c>
      <c r="B271" s="2">
        <f t="shared" si="21"/>
        <v>45165</v>
      </c>
      <c r="C271" s="3" t="s">
        <v>746</v>
      </c>
      <c r="D271" s="3" t="s">
        <v>742</v>
      </c>
      <c r="E271" s="3">
        <v>1</v>
      </c>
      <c r="F271" s="3" t="s">
        <v>805</v>
      </c>
      <c r="G271" s="3" t="str">
        <f>Table13[[#This Row],[Month]]&amp;", "&amp;Table13[[#This Row],[FY]]</f>
        <v>AUG, FY24</v>
      </c>
      <c r="H271" s="3" t="str">
        <f>Table13[[#This Row],[Week]]&amp;", "&amp;Table13[[#This Row],[Month]]&amp;" "&amp;Table13[[#This Row],[FY]]</f>
        <v>Week 9, AUG FY24</v>
      </c>
      <c r="I271" s="3" t="str">
        <f>Table13[[#This Row],[Month]]&amp;", "&amp;Table13[[#This Row],[FY]]</f>
        <v>AUG, FY24</v>
      </c>
      <c r="J271" s="3" t="str">
        <f>"Q"&amp;Table13[[#This Row],[QTR]]&amp;", "&amp;Table13[[#This Row],[FY]]</f>
        <v>Q1, FY24</v>
      </c>
    </row>
    <row r="272" spans="1:10" x14ac:dyDescent="0.25">
      <c r="A272" s="2">
        <f t="shared" ref="A272:B287" si="22">A271+7</f>
        <v>45166</v>
      </c>
      <c r="B272" s="2">
        <f t="shared" si="22"/>
        <v>45172</v>
      </c>
      <c r="C272" s="3" t="s">
        <v>747</v>
      </c>
      <c r="D272" s="3" t="s">
        <v>748</v>
      </c>
      <c r="E272" s="3">
        <v>1</v>
      </c>
      <c r="F272" s="3" t="s">
        <v>805</v>
      </c>
      <c r="G272" s="3" t="str">
        <f>Table13[[#This Row],[Month]]&amp;", "&amp;Table13[[#This Row],[FY]]</f>
        <v>SEP, FY24</v>
      </c>
      <c r="H272" s="3" t="str">
        <f>Table13[[#This Row],[Week]]&amp;", "&amp;Table13[[#This Row],[Month]]&amp;" "&amp;Table13[[#This Row],[FY]]</f>
        <v>Week 10, SEP FY24</v>
      </c>
      <c r="I272" s="3" t="str">
        <f>Table13[[#This Row],[Month]]&amp;", "&amp;Table13[[#This Row],[FY]]</f>
        <v>SEP, FY24</v>
      </c>
      <c r="J272" s="3" t="str">
        <f>"Q"&amp;Table13[[#This Row],[QTR]]&amp;", "&amp;Table13[[#This Row],[FY]]</f>
        <v>Q1, FY24</v>
      </c>
    </row>
    <row r="273" spans="1:10" x14ac:dyDescent="0.25">
      <c r="A273" s="2">
        <f t="shared" si="22"/>
        <v>45173</v>
      </c>
      <c r="B273" s="2">
        <f t="shared" si="22"/>
        <v>45179</v>
      </c>
      <c r="C273" s="3" t="s">
        <v>749</v>
      </c>
      <c r="D273" s="3" t="s">
        <v>748</v>
      </c>
      <c r="E273" s="3">
        <v>1</v>
      </c>
      <c r="F273" s="3" t="s">
        <v>805</v>
      </c>
      <c r="G273" s="3" t="str">
        <f>Table13[[#This Row],[Month]]&amp;", "&amp;Table13[[#This Row],[FY]]</f>
        <v>SEP, FY24</v>
      </c>
      <c r="H273" s="3" t="str">
        <f>Table13[[#This Row],[Week]]&amp;", "&amp;Table13[[#This Row],[Month]]&amp;" "&amp;Table13[[#This Row],[FY]]</f>
        <v>Week 11, SEP FY24</v>
      </c>
      <c r="I273" s="3" t="str">
        <f>Table13[[#This Row],[Month]]&amp;", "&amp;Table13[[#This Row],[FY]]</f>
        <v>SEP, FY24</v>
      </c>
      <c r="J273" s="3" t="str">
        <f>"Q"&amp;Table13[[#This Row],[QTR]]&amp;", "&amp;Table13[[#This Row],[FY]]</f>
        <v>Q1, FY24</v>
      </c>
    </row>
    <row r="274" spans="1:10" x14ac:dyDescent="0.25">
      <c r="A274" s="2">
        <f t="shared" si="22"/>
        <v>45180</v>
      </c>
      <c r="B274" s="2">
        <f t="shared" si="22"/>
        <v>45186</v>
      </c>
      <c r="C274" s="3" t="s">
        <v>750</v>
      </c>
      <c r="D274" s="3" t="s">
        <v>748</v>
      </c>
      <c r="E274" s="3">
        <v>1</v>
      </c>
      <c r="F274" s="3" t="s">
        <v>805</v>
      </c>
      <c r="G274" s="3" t="str">
        <f>Table13[[#This Row],[Month]]&amp;", "&amp;Table13[[#This Row],[FY]]</f>
        <v>SEP, FY24</v>
      </c>
      <c r="H274" s="3" t="str">
        <f>Table13[[#This Row],[Week]]&amp;", "&amp;Table13[[#This Row],[Month]]&amp;" "&amp;Table13[[#This Row],[FY]]</f>
        <v>Week 12, SEP FY24</v>
      </c>
      <c r="I274" s="3" t="str">
        <f>Table13[[#This Row],[Month]]&amp;", "&amp;Table13[[#This Row],[FY]]</f>
        <v>SEP, FY24</v>
      </c>
      <c r="J274" s="3" t="str">
        <f>"Q"&amp;Table13[[#This Row],[QTR]]&amp;", "&amp;Table13[[#This Row],[FY]]</f>
        <v>Q1, FY24</v>
      </c>
    </row>
    <row r="275" spans="1:10" x14ac:dyDescent="0.25">
      <c r="A275" s="2">
        <f t="shared" si="22"/>
        <v>45187</v>
      </c>
      <c r="B275" s="2">
        <f t="shared" si="22"/>
        <v>45193</v>
      </c>
      <c r="C275" s="3" t="s">
        <v>751</v>
      </c>
      <c r="D275" s="3" t="s">
        <v>748</v>
      </c>
      <c r="E275" s="3">
        <v>1</v>
      </c>
      <c r="F275" s="3" t="s">
        <v>805</v>
      </c>
      <c r="G275" s="3" t="str">
        <f>Table13[[#This Row],[Month]]&amp;", "&amp;Table13[[#This Row],[FY]]</f>
        <v>SEP, FY24</v>
      </c>
      <c r="H275" s="3" t="str">
        <f>Table13[[#This Row],[Week]]&amp;", "&amp;Table13[[#This Row],[Month]]&amp;" "&amp;Table13[[#This Row],[FY]]</f>
        <v>Week 13, SEP FY24</v>
      </c>
      <c r="I275" s="3" t="str">
        <f>Table13[[#This Row],[Month]]&amp;", "&amp;Table13[[#This Row],[FY]]</f>
        <v>SEP, FY24</v>
      </c>
      <c r="J275" s="3" t="str">
        <f>"Q"&amp;Table13[[#This Row],[QTR]]&amp;", "&amp;Table13[[#This Row],[FY]]</f>
        <v>Q1, FY24</v>
      </c>
    </row>
    <row r="276" spans="1:10" x14ac:dyDescent="0.25">
      <c r="A276" s="2">
        <f t="shared" si="22"/>
        <v>45194</v>
      </c>
      <c r="B276" s="2">
        <f t="shared" si="22"/>
        <v>45200</v>
      </c>
      <c r="C276" s="3" t="s">
        <v>752</v>
      </c>
      <c r="D276" s="3" t="s">
        <v>753</v>
      </c>
      <c r="E276" s="3">
        <f>E263+1</f>
        <v>2</v>
      </c>
      <c r="F276" s="3" t="s">
        <v>805</v>
      </c>
      <c r="G276" s="3" t="str">
        <f>Table13[[#This Row],[Month]]&amp;", "&amp;Table13[[#This Row],[FY]]</f>
        <v>OCT, FY24</v>
      </c>
      <c r="H276" s="3" t="str">
        <f>Table13[[#This Row],[Week]]&amp;", "&amp;Table13[[#This Row],[Month]]&amp;" "&amp;Table13[[#This Row],[FY]]</f>
        <v>Week 14, OCT FY24</v>
      </c>
      <c r="I276" s="3" t="str">
        <f>Table13[[#This Row],[Month]]&amp;", "&amp;Table13[[#This Row],[FY]]</f>
        <v>OCT, FY24</v>
      </c>
      <c r="J276" s="3" t="str">
        <f>"Q"&amp;Table13[[#This Row],[QTR]]&amp;", "&amp;Table13[[#This Row],[FY]]</f>
        <v>Q2, FY24</v>
      </c>
    </row>
    <row r="277" spans="1:10" x14ac:dyDescent="0.25">
      <c r="A277" s="2">
        <f t="shared" si="22"/>
        <v>45201</v>
      </c>
      <c r="B277" s="2">
        <f t="shared" si="22"/>
        <v>45207</v>
      </c>
      <c r="C277" s="3" t="s">
        <v>754</v>
      </c>
      <c r="D277" s="3" t="s">
        <v>753</v>
      </c>
      <c r="E277" s="3">
        <f t="shared" ref="E277:E314" si="23">E264+1</f>
        <v>2</v>
      </c>
      <c r="F277" s="3" t="s">
        <v>805</v>
      </c>
      <c r="G277" s="3" t="str">
        <f>Table13[[#This Row],[Month]]&amp;", "&amp;Table13[[#This Row],[FY]]</f>
        <v>OCT, FY24</v>
      </c>
      <c r="H277" s="3" t="str">
        <f>Table13[[#This Row],[Week]]&amp;", "&amp;Table13[[#This Row],[Month]]&amp;" "&amp;Table13[[#This Row],[FY]]</f>
        <v>Week 15, OCT FY24</v>
      </c>
      <c r="I277" s="3" t="str">
        <f>Table13[[#This Row],[Month]]&amp;", "&amp;Table13[[#This Row],[FY]]</f>
        <v>OCT, FY24</v>
      </c>
      <c r="J277" s="3" t="str">
        <f>"Q"&amp;Table13[[#This Row],[QTR]]&amp;", "&amp;Table13[[#This Row],[FY]]</f>
        <v>Q2, FY24</v>
      </c>
    </row>
    <row r="278" spans="1:10" x14ac:dyDescent="0.25">
      <c r="A278" s="2">
        <f t="shared" si="22"/>
        <v>45208</v>
      </c>
      <c r="B278" s="2">
        <f t="shared" si="22"/>
        <v>45214</v>
      </c>
      <c r="C278" s="3" t="s">
        <v>755</v>
      </c>
      <c r="D278" s="3" t="s">
        <v>753</v>
      </c>
      <c r="E278" s="3">
        <f t="shared" si="23"/>
        <v>2</v>
      </c>
      <c r="F278" s="3" t="s">
        <v>805</v>
      </c>
      <c r="G278" s="3" t="str">
        <f>Table13[[#This Row],[Month]]&amp;", "&amp;Table13[[#This Row],[FY]]</f>
        <v>OCT, FY24</v>
      </c>
      <c r="H278" s="3" t="str">
        <f>Table13[[#This Row],[Week]]&amp;", "&amp;Table13[[#This Row],[Month]]&amp;" "&amp;Table13[[#This Row],[FY]]</f>
        <v>Week 16, OCT FY24</v>
      </c>
      <c r="I278" s="3" t="str">
        <f>Table13[[#This Row],[Month]]&amp;", "&amp;Table13[[#This Row],[FY]]</f>
        <v>OCT, FY24</v>
      </c>
      <c r="J278" s="3" t="str">
        <f>"Q"&amp;Table13[[#This Row],[QTR]]&amp;", "&amp;Table13[[#This Row],[FY]]</f>
        <v>Q2, FY24</v>
      </c>
    </row>
    <row r="279" spans="1:10" x14ac:dyDescent="0.25">
      <c r="A279" s="2">
        <f t="shared" si="22"/>
        <v>45215</v>
      </c>
      <c r="B279" s="2">
        <f t="shared" si="22"/>
        <v>45221</v>
      </c>
      <c r="C279" s="3" t="s">
        <v>756</v>
      </c>
      <c r="D279" s="3" t="s">
        <v>753</v>
      </c>
      <c r="E279" s="3">
        <f t="shared" si="23"/>
        <v>2</v>
      </c>
      <c r="F279" s="3" t="s">
        <v>805</v>
      </c>
      <c r="G279" s="3" t="str">
        <f>Table13[[#This Row],[Month]]&amp;", "&amp;Table13[[#This Row],[FY]]</f>
        <v>OCT, FY24</v>
      </c>
      <c r="H279" s="3" t="str">
        <f>Table13[[#This Row],[Week]]&amp;", "&amp;Table13[[#This Row],[Month]]&amp;" "&amp;Table13[[#This Row],[FY]]</f>
        <v>Week 17, OCT FY24</v>
      </c>
      <c r="I279" s="3" t="str">
        <f>Table13[[#This Row],[Month]]&amp;", "&amp;Table13[[#This Row],[FY]]</f>
        <v>OCT, FY24</v>
      </c>
      <c r="J279" s="3" t="str">
        <f>"Q"&amp;Table13[[#This Row],[QTR]]&amp;", "&amp;Table13[[#This Row],[FY]]</f>
        <v>Q2, FY24</v>
      </c>
    </row>
    <row r="280" spans="1:10" x14ac:dyDescent="0.25">
      <c r="A280" s="2">
        <f t="shared" si="22"/>
        <v>45222</v>
      </c>
      <c r="B280" s="2">
        <f t="shared" si="22"/>
        <v>45228</v>
      </c>
      <c r="C280" s="3" t="s">
        <v>757</v>
      </c>
      <c r="D280" s="3" t="s">
        <v>758</v>
      </c>
      <c r="E280" s="3">
        <f t="shared" si="23"/>
        <v>2</v>
      </c>
      <c r="F280" s="3" t="s">
        <v>805</v>
      </c>
      <c r="G280" s="3" t="str">
        <f>Table13[[#This Row],[Month]]&amp;", "&amp;Table13[[#This Row],[FY]]</f>
        <v>NOV, FY24</v>
      </c>
      <c r="H280" s="3" t="str">
        <f>Table13[[#This Row],[Week]]&amp;", "&amp;Table13[[#This Row],[Month]]&amp;" "&amp;Table13[[#This Row],[FY]]</f>
        <v>Week 18, NOV FY24</v>
      </c>
      <c r="I280" s="3" t="str">
        <f>Table13[[#This Row],[Month]]&amp;", "&amp;Table13[[#This Row],[FY]]</f>
        <v>NOV, FY24</v>
      </c>
      <c r="J280" s="3" t="str">
        <f>"Q"&amp;Table13[[#This Row],[QTR]]&amp;", "&amp;Table13[[#This Row],[FY]]</f>
        <v>Q2, FY24</v>
      </c>
    </row>
    <row r="281" spans="1:10" x14ac:dyDescent="0.25">
      <c r="A281" s="2">
        <f t="shared" si="22"/>
        <v>45229</v>
      </c>
      <c r="B281" s="2">
        <f t="shared" si="22"/>
        <v>45235</v>
      </c>
      <c r="C281" s="3" t="s">
        <v>759</v>
      </c>
      <c r="D281" s="3" t="s">
        <v>758</v>
      </c>
      <c r="E281" s="3">
        <f t="shared" si="23"/>
        <v>2</v>
      </c>
      <c r="F281" s="3" t="s">
        <v>805</v>
      </c>
      <c r="G281" s="3" t="str">
        <f>Table13[[#This Row],[Month]]&amp;", "&amp;Table13[[#This Row],[FY]]</f>
        <v>NOV, FY24</v>
      </c>
      <c r="H281" s="3" t="str">
        <f>Table13[[#This Row],[Week]]&amp;", "&amp;Table13[[#This Row],[Month]]&amp;" "&amp;Table13[[#This Row],[FY]]</f>
        <v>Week 19, NOV FY24</v>
      </c>
      <c r="I281" s="3" t="str">
        <f>Table13[[#This Row],[Month]]&amp;", "&amp;Table13[[#This Row],[FY]]</f>
        <v>NOV, FY24</v>
      </c>
      <c r="J281" s="3" t="str">
        <f>"Q"&amp;Table13[[#This Row],[QTR]]&amp;", "&amp;Table13[[#This Row],[FY]]</f>
        <v>Q2, FY24</v>
      </c>
    </row>
    <row r="282" spans="1:10" x14ac:dyDescent="0.25">
      <c r="A282" s="2">
        <f t="shared" si="22"/>
        <v>45236</v>
      </c>
      <c r="B282" s="2">
        <f t="shared" si="22"/>
        <v>45242</v>
      </c>
      <c r="C282" s="3" t="s">
        <v>760</v>
      </c>
      <c r="D282" s="3" t="s">
        <v>758</v>
      </c>
      <c r="E282" s="3">
        <f t="shared" si="23"/>
        <v>2</v>
      </c>
      <c r="F282" s="3" t="s">
        <v>805</v>
      </c>
      <c r="G282" s="3" t="str">
        <f>Table13[[#This Row],[Month]]&amp;", "&amp;Table13[[#This Row],[FY]]</f>
        <v>NOV, FY24</v>
      </c>
      <c r="H282" s="3" t="str">
        <f>Table13[[#This Row],[Week]]&amp;", "&amp;Table13[[#This Row],[Month]]&amp;" "&amp;Table13[[#This Row],[FY]]</f>
        <v>Week 20, NOV FY24</v>
      </c>
      <c r="I282" s="3" t="str">
        <f>Table13[[#This Row],[Month]]&amp;", "&amp;Table13[[#This Row],[FY]]</f>
        <v>NOV, FY24</v>
      </c>
      <c r="J282" s="3" t="str">
        <f>"Q"&amp;Table13[[#This Row],[QTR]]&amp;", "&amp;Table13[[#This Row],[FY]]</f>
        <v>Q2, FY24</v>
      </c>
    </row>
    <row r="283" spans="1:10" x14ac:dyDescent="0.25">
      <c r="A283" s="2">
        <f t="shared" si="22"/>
        <v>45243</v>
      </c>
      <c r="B283" s="2">
        <f t="shared" si="22"/>
        <v>45249</v>
      </c>
      <c r="C283" s="3" t="s">
        <v>761</v>
      </c>
      <c r="D283" s="3" t="s">
        <v>758</v>
      </c>
      <c r="E283" s="3">
        <f t="shared" si="23"/>
        <v>2</v>
      </c>
      <c r="F283" s="3" t="s">
        <v>805</v>
      </c>
      <c r="G283" s="3" t="str">
        <f>Table13[[#This Row],[Month]]&amp;", "&amp;Table13[[#This Row],[FY]]</f>
        <v>NOV, FY24</v>
      </c>
      <c r="H283" s="3" t="str">
        <f>Table13[[#This Row],[Week]]&amp;", "&amp;Table13[[#This Row],[Month]]&amp;" "&amp;Table13[[#This Row],[FY]]</f>
        <v>Week 21, NOV FY24</v>
      </c>
      <c r="I283" s="3" t="str">
        <f>Table13[[#This Row],[Month]]&amp;", "&amp;Table13[[#This Row],[FY]]</f>
        <v>NOV, FY24</v>
      </c>
      <c r="J283" s="3" t="str">
        <f>"Q"&amp;Table13[[#This Row],[QTR]]&amp;", "&amp;Table13[[#This Row],[FY]]</f>
        <v>Q2, FY24</v>
      </c>
    </row>
    <row r="284" spans="1:10" x14ac:dyDescent="0.25">
      <c r="A284" s="2">
        <f t="shared" si="22"/>
        <v>45250</v>
      </c>
      <c r="B284" s="2">
        <f t="shared" si="22"/>
        <v>45256</v>
      </c>
      <c r="C284" s="3" t="s">
        <v>762</v>
      </c>
      <c r="D284" s="3" t="s">
        <v>758</v>
      </c>
      <c r="E284" s="3">
        <f t="shared" si="23"/>
        <v>2</v>
      </c>
      <c r="F284" s="3" t="s">
        <v>805</v>
      </c>
      <c r="G284" s="3" t="str">
        <f>Table13[[#This Row],[Month]]&amp;", "&amp;Table13[[#This Row],[FY]]</f>
        <v>NOV, FY24</v>
      </c>
      <c r="H284" s="3" t="str">
        <f>Table13[[#This Row],[Week]]&amp;", "&amp;Table13[[#This Row],[Month]]&amp;" "&amp;Table13[[#This Row],[FY]]</f>
        <v>Week 22, NOV FY24</v>
      </c>
      <c r="I284" s="3" t="str">
        <f>Table13[[#This Row],[Month]]&amp;", "&amp;Table13[[#This Row],[FY]]</f>
        <v>NOV, FY24</v>
      </c>
      <c r="J284" s="3" t="str">
        <f>"Q"&amp;Table13[[#This Row],[QTR]]&amp;", "&amp;Table13[[#This Row],[FY]]</f>
        <v>Q2, FY24</v>
      </c>
    </row>
    <row r="285" spans="1:10" x14ac:dyDescent="0.25">
      <c r="A285" s="2">
        <f t="shared" si="22"/>
        <v>45257</v>
      </c>
      <c r="B285" s="2">
        <f t="shared" si="22"/>
        <v>45263</v>
      </c>
      <c r="C285" s="3" t="s">
        <v>763</v>
      </c>
      <c r="D285" s="3" t="s">
        <v>764</v>
      </c>
      <c r="E285" s="3">
        <f t="shared" si="23"/>
        <v>2</v>
      </c>
      <c r="F285" s="3" t="s">
        <v>805</v>
      </c>
      <c r="G285" s="3" t="str">
        <f>Table13[[#This Row],[Month]]&amp;", "&amp;Table13[[#This Row],[FY]]</f>
        <v>DEC, FY24</v>
      </c>
      <c r="H285" s="3" t="str">
        <f>Table13[[#This Row],[Week]]&amp;", "&amp;Table13[[#This Row],[Month]]&amp;" "&amp;Table13[[#This Row],[FY]]</f>
        <v>Week 23, DEC FY24</v>
      </c>
      <c r="I285" s="3" t="str">
        <f>Table13[[#This Row],[Month]]&amp;", "&amp;Table13[[#This Row],[FY]]</f>
        <v>DEC, FY24</v>
      </c>
      <c r="J285" s="3" t="str">
        <f>"Q"&amp;Table13[[#This Row],[QTR]]&amp;", "&amp;Table13[[#This Row],[FY]]</f>
        <v>Q2, FY24</v>
      </c>
    </row>
    <row r="286" spans="1:10" x14ac:dyDescent="0.25">
      <c r="A286" s="2">
        <f t="shared" si="22"/>
        <v>45264</v>
      </c>
      <c r="B286" s="2">
        <f t="shared" si="22"/>
        <v>45270</v>
      </c>
      <c r="C286" s="3" t="s">
        <v>765</v>
      </c>
      <c r="D286" s="3" t="s">
        <v>764</v>
      </c>
      <c r="E286" s="3">
        <f t="shared" si="23"/>
        <v>2</v>
      </c>
      <c r="F286" s="3" t="s">
        <v>805</v>
      </c>
      <c r="G286" s="3" t="str">
        <f>Table13[[#This Row],[Month]]&amp;", "&amp;Table13[[#This Row],[FY]]</f>
        <v>DEC, FY24</v>
      </c>
      <c r="H286" s="3" t="str">
        <f>Table13[[#This Row],[Week]]&amp;", "&amp;Table13[[#This Row],[Month]]&amp;" "&amp;Table13[[#This Row],[FY]]</f>
        <v>Week 24, DEC FY24</v>
      </c>
      <c r="I286" s="3" t="str">
        <f>Table13[[#This Row],[Month]]&amp;", "&amp;Table13[[#This Row],[FY]]</f>
        <v>DEC, FY24</v>
      </c>
      <c r="J286" s="3" t="str">
        <f>"Q"&amp;Table13[[#This Row],[QTR]]&amp;", "&amp;Table13[[#This Row],[FY]]</f>
        <v>Q2, FY24</v>
      </c>
    </row>
    <row r="287" spans="1:10" x14ac:dyDescent="0.25">
      <c r="A287" s="2">
        <f t="shared" si="22"/>
        <v>45271</v>
      </c>
      <c r="B287" s="2">
        <f t="shared" si="22"/>
        <v>45277</v>
      </c>
      <c r="C287" s="3" t="s">
        <v>766</v>
      </c>
      <c r="D287" s="3" t="s">
        <v>764</v>
      </c>
      <c r="E287" s="3">
        <f t="shared" si="23"/>
        <v>2</v>
      </c>
      <c r="F287" s="3" t="s">
        <v>805</v>
      </c>
      <c r="G287" s="3" t="str">
        <f>Table13[[#This Row],[Month]]&amp;", "&amp;Table13[[#This Row],[FY]]</f>
        <v>DEC, FY24</v>
      </c>
      <c r="H287" s="3" t="str">
        <f>Table13[[#This Row],[Week]]&amp;", "&amp;Table13[[#This Row],[Month]]&amp;" "&amp;Table13[[#This Row],[FY]]</f>
        <v>Week 25, DEC FY24</v>
      </c>
      <c r="I287" s="3" t="str">
        <f>Table13[[#This Row],[Month]]&amp;", "&amp;Table13[[#This Row],[FY]]</f>
        <v>DEC, FY24</v>
      </c>
      <c r="J287" s="3" t="str">
        <f>"Q"&amp;Table13[[#This Row],[QTR]]&amp;", "&amp;Table13[[#This Row],[FY]]</f>
        <v>Q2, FY24</v>
      </c>
    </row>
    <row r="288" spans="1:10" x14ac:dyDescent="0.25">
      <c r="A288" s="2">
        <f t="shared" ref="A288:B303" si="24">A287+7</f>
        <v>45278</v>
      </c>
      <c r="B288" s="2">
        <f t="shared" si="24"/>
        <v>45284</v>
      </c>
      <c r="C288" s="3" t="s">
        <v>767</v>
      </c>
      <c r="D288" s="3" t="s">
        <v>764</v>
      </c>
      <c r="E288" s="3">
        <f t="shared" si="23"/>
        <v>2</v>
      </c>
      <c r="F288" s="3" t="s">
        <v>805</v>
      </c>
      <c r="G288" s="3" t="str">
        <f>Table13[[#This Row],[Month]]&amp;", "&amp;Table13[[#This Row],[FY]]</f>
        <v>DEC, FY24</v>
      </c>
      <c r="H288" s="3" t="str">
        <f>Table13[[#This Row],[Week]]&amp;", "&amp;Table13[[#This Row],[Month]]&amp;" "&amp;Table13[[#This Row],[FY]]</f>
        <v>Week 26, DEC FY24</v>
      </c>
      <c r="I288" s="3" t="str">
        <f>Table13[[#This Row],[Month]]&amp;", "&amp;Table13[[#This Row],[FY]]</f>
        <v>DEC, FY24</v>
      </c>
      <c r="J288" s="3" t="str">
        <f>"Q"&amp;Table13[[#This Row],[QTR]]&amp;", "&amp;Table13[[#This Row],[FY]]</f>
        <v>Q2, FY24</v>
      </c>
    </row>
    <row r="289" spans="1:10" x14ac:dyDescent="0.25">
      <c r="A289" s="2">
        <f t="shared" si="24"/>
        <v>45285</v>
      </c>
      <c r="B289" s="2">
        <f t="shared" si="24"/>
        <v>45291</v>
      </c>
      <c r="C289" s="3" t="s">
        <v>768</v>
      </c>
      <c r="D289" s="3" t="s">
        <v>769</v>
      </c>
      <c r="E289" s="3">
        <f t="shared" si="23"/>
        <v>3</v>
      </c>
      <c r="F289" s="3" t="s">
        <v>805</v>
      </c>
      <c r="G289" s="3" t="str">
        <f>Table13[[#This Row],[Month]]&amp;", "&amp;Table13[[#This Row],[FY]]</f>
        <v>JAN, FY24</v>
      </c>
      <c r="H289" s="3" t="str">
        <f>Table13[[#This Row],[Week]]&amp;", "&amp;Table13[[#This Row],[Month]]&amp;" "&amp;Table13[[#This Row],[FY]]</f>
        <v>Week 27, JAN FY24</v>
      </c>
      <c r="I289" s="3" t="str">
        <f>Table13[[#This Row],[Month]]&amp;", "&amp;Table13[[#This Row],[FY]]</f>
        <v>JAN, FY24</v>
      </c>
      <c r="J289" s="3" t="str">
        <f>"Q"&amp;Table13[[#This Row],[QTR]]&amp;", "&amp;Table13[[#This Row],[FY]]</f>
        <v>Q3, FY24</v>
      </c>
    </row>
    <row r="290" spans="1:10" x14ac:dyDescent="0.25">
      <c r="A290" s="2">
        <f t="shared" si="24"/>
        <v>45292</v>
      </c>
      <c r="B290" s="2">
        <f t="shared" si="24"/>
        <v>45298</v>
      </c>
      <c r="C290" s="3" t="s">
        <v>770</v>
      </c>
      <c r="D290" s="3" t="s">
        <v>769</v>
      </c>
      <c r="E290" s="3">
        <f t="shared" si="23"/>
        <v>3</v>
      </c>
      <c r="F290" s="3" t="s">
        <v>805</v>
      </c>
      <c r="G290" s="3" t="str">
        <f>Table13[[#This Row],[Month]]&amp;", "&amp;Table13[[#This Row],[FY]]</f>
        <v>JAN, FY24</v>
      </c>
      <c r="H290" s="3" t="str">
        <f>Table13[[#This Row],[Week]]&amp;", "&amp;Table13[[#This Row],[Month]]&amp;" "&amp;Table13[[#This Row],[FY]]</f>
        <v>Week 28, JAN FY24</v>
      </c>
      <c r="I290" s="3" t="str">
        <f>Table13[[#This Row],[Month]]&amp;", "&amp;Table13[[#This Row],[FY]]</f>
        <v>JAN, FY24</v>
      </c>
      <c r="J290" s="3" t="str">
        <f>"Q"&amp;Table13[[#This Row],[QTR]]&amp;", "&amp;Table13[[#This Row],[FY]]</f>
        <v>Q3, FY24</v>
      </c>
    </row>
    <row r="291" spans="1:10" x14ac:dyDescent="0.25">
      <c r="A291" s="2">
        <f t="shared" si="24"/>
        <v>45299</v>
      </c>
      <c r="B291" s="2">
        <f t="shared" si="24"/>
        <v>45305</v>
      </c>
      <c r="C291" s="3" t="s">
        <v>771</v>
      </c>
      <c r="D291" s="3" t="s">
        <v>769</v>
      </c>
      <c r="E291" s="3">
        <f t="shared" si="23"/>
        <v>3</v>
      </c>
      <c r="F291" s="3" t="s">
        <v>805</v>
      </c>
      <c r="G291" s="3" t="str">
        <f>Table13[[#This Row],[Month]]&amp;", "&amp;Table13[[#This Row],[FY]]</f>
        <v>JAN, FY24</v>
      </c>
      <c r="H291" s="3" t="str">
        <f>Table13[[#This Row],[Week]]&amp;", "&amp;Table13[[#This Row],[Month]]&amp;" "&amp;Table13[[#This Row],[FY]]</f>
        <v>Week 29, JAN FY24</v>
      </c>
      <c r="I291" s="3" t="str">
        <f>Table13[[#This Row],[Month]]&amp;", "&amp;Table13[[#This Row],[FY]]</f>
        <v>JAN, FY24</v>
      </c>
      <c r="J291" s="3" t="str">
        <f>"Q"&amp;Table13[[#This Row],[QTR]]&amp;", "&amp;Table13[[#This Row],[FY]]</f>
        <v>Q3, FY24</v>
      </c>
    </row>
    <row r="292" spans="1:10" x14ac:dyDescent="0.25">
      <c r="A292" s="2">
        <f t="shared" si="24"/>
        <v>45306</v>
      </c>
      <c r="B292" s="2">
        <f t="shared" si="24"/>
        <v>45312</v>
      </c>
      <c r="C292" s="3" t="s">
        <v>772</v>
      </c>
      <c r="D292" s="3" t="s">
        <v>769</v>
      </c>
      <c r="E292" s="3">
        <f t="shared" si="23"/>
        <v>3</v>
      </c>
      <c r="F292" s="3" t="s">
        <v>805</v>
      </c>
      <c r="G292" s="3" t="str">
        <f>Table13[[#This Row],[Month]]&amp;", "&amp;Table13[[#This Row],[FY]]</f>
        <v>JAN, FY24</v>
      </c>
      <c r="H292" s="3" t="str">
        <f>Table13[[#This Row],[Week]]&amp;", "&amp;Table13[[#This Row],[Month]]&amp;" "&amp;Table13[[#This Row],[FY]]</f>
        <v>Week 30, JAN FY24</v>
      </c>
      <c r="I292" s="3" t="str">
        <f>Table13[[#This Row],[Month]]&amp;", "&amp;Table13[[#This Row],[FY]]</f>
        <v>JAN, FY24</v>
      </c>
      <c r="J292" s="3" t="str">
        <f>"Q"&amp;Table13[[#This Row],[QTR]]&amp;", "&amp;Table13[[#This Row],[FY]]</f>
        <v>Q3, FY24</v>
      </c>
    </row>
    <row r="293" spans="1:10" x14ac:dyDescent="0.25">
      <c r="A293" s="2">
        <f t="shared" si="24"/>
        <v>45313</v>
      </c>
      <c r="B293" s="2">
        <f t="shared" si="24"/>
        <v>45319</v>
      </c>
      <c r="C293" s="3" t="s">
        <v>773</v>
      </c>
      <c r="D293" s="3" t="s">
        <v>774</v>
      </c>
      <c r="E293" s="3">
        <f t="shared" si="23"/>
        <v>3</v>
      </c>
      <c r="F293" s="3" t="s">
        <v>805</v>
      </c>
      <c r="G293" s="3" t="str">
        <f>Table13[[#This Row],[Month]]&amp;", "&amp;Table13[[#This Row],[FY]]</f>
        <v>FEB, FY24</v>
      </c>
      <c r="H293" s="3" t="str">
        <f>Table13[[#This Row],[Week]]&amp;", "&amp;Table13[[#This Row],[Month]]&amp;" "&amp;Table13[[#This Row],[FY]]</f>
        <v>Week 31, FEB FY24</v>
      </c>
      <c r="I293" s="3" t="str">
        <f>Table13[[#This Row],[Month]]&amp;", "&amp;Table13[[#This Row],[FY]]</f>
        <v>FEB, FY24</v>
      </c>
      <c r="J293" s="3" t="str">
        <f>"Q"&amp;Table13[[#This Row],[QTR]]&amp;", "&amp;Table13[[#This Row],[FY]]</f>
        <v>Q3, FY24</v>
      </c>
    </row>
    <row r="294" spans="1:10" x14ac:dyDescent="0.25">
      <c r="A294" s="2">
        <f t="shared" si="24"/>
        <v>45320</v>
      </c>
      <c r="B294" s="2">
        <f t="shared" si="24"/>
        <v>45326</v>
      </c>
      <c r="C294" s="3" t="s">
        <v>775</v>
      </c>
      <c r="D294" s="3" t="s">
        <v>774</v>
      </c>
      <c r="E294" s="3">
        <f t="shared" si="23"/>
        <v>3</v>
      </c>
      <c r="F294" s="3" t="s">
        <v>805</v>
      </c>
      <c r="G294" s="3" t="str">
        <f>Table13[[#This Row],[Month]]&amp;", "&amp;Table13[[#This Row],[FY]]</f>
        <v>FEB, FY24</v>
      </c>
      <c r="H294" s="3" t="str">
        <f>Table13[[#This Row],[Week]]&amp;", "&amp;Table13[[#This Row],[Month]]&amp;" "&amp;Table13[[#This Row],[FY]]</f>
        <v>Week 32, FEB FY24</v>
      </c>
      <c r="I294" s="3" t="str">
        <f>Table13[[#This Row],[Month]]&amp;", "&amp;Table13[[#This Row],[FY]]</f>
        <v>FEB, FY24</v>
      </c>
      <c r="J294" s="3" t="str">
        <f>"Q"&amp;Table13[[#This Row],[QTR]]&amp;", "&amp;Table13[[#This Row],[FY]]</f>
        <v>Q3, FY24</v>
      </c>
    </row>
    <row r="295" spans="1:10" x14ac:dyDescent="0.25">
      <c r="A295" s="2">
        <f t="shared" si="24"/>
        <v>45327</v>
      </c>
      <c r="B295" s="2">
        <f t="shared" si="24"/>
        <v>45333</v>
      </c>
      <c r="C295" s="3" t="s">
        <v>776</v>
      </c>
      <c r="D295" s="3" t="s">
        <v>774</v>
      </c>
      <c r="E295" s="3">
        <f t="shared" si="23"/>
        <v>3</v>
      </c>
      <c r="F295" s="3" t="s">
        <v>805</v>
      </c>
      <c r="G295" s="3" t="str">
        <f>Table13[[#This Row],[Month]]&amp;", "&amp;Table13[[#This Row],[FY]]</f>
        <v>FEB, FY24</v>
      </c>
      <c r="H295" s="3" t="str">
        <f>Table13[[#This Row],[Week]]&amp;", "&amp;Table13[[#This Row],[Month]]&amp;" "&amp;Table13[[#This Row],[FY]]</f>
        <v>Week 33, FEB FY24</v>
      </c>
      <c r="I295" s="3" t="str">
        <f>Table13[[#This Row],[Month]]&amp;", "&amp;Table13[[#This Row],[FY]]</f>
        <v>FEB, FY24</v>
      </c>
      <c r="J295" s="3" t="str">
        <f>"Q"&amp;Table13[[#This Row],[QTR]]&amp;", "&amp;Table13[[#This Row],[FY]]</f>
        <v>Q3, FY24</v>
      </c>
    </row>
    <row r="296" spans="1:10" x14ac:dyDescent="0.25">
      <c r="A296" s="2">
        <f t="shared" si="24"/>
        <v>45334</v>
      </c>
      <c r="B296" s="2">
        <f t="shared" si="24"/>
        <v>45340</v>
      </c>
      <c r="C296" s="3" t="s">
        <v>777</v>
      </c>
      <c r="D296" s="3" t="s">
        <v>774</v>
      </c>
      <c r="E296" s="3">
        <f t="shared" si="23"/>
        <v>3</v>
      </c>
      <c r="F296" s="3" t="s">
        <v>805</v>
      </c>
      <c r="G296" s="3" t="str">
        <f>Table13[[#This Row],[Month]]&amp;", "&amp;Table13[[#This Row],[FY]]</f>
        <v>FEB, FY24</v>
      </c>
      <c r="H296" s="3" t="str">
        <f>Table13[[#This Row],[Week]]&amp;", "&amp;Table13[[#This Row],[Month]]&amp;" "&amp;Table13[[#This Row],[FY]]</f>
        <v>Week 34, FEB FY24</v>
      </c>
      <c r="I296" s="3" t="str">
        <f>Table13[[#This Row],[Month]]&amp;", "&amp;Table13[[#This Row],[FY]]</f>
        <v>FEB, FY24</v>
      </c>
      <c r="J296" s="3" t="str">
        <f>"Q"&amp;Table13[[#This Row],[QTR]]&amp;", "&amp;Table13[[#This Row],[FY]]</f>
        <v>Q3, FY24</v>
      </c>
    </row>
    <row r="297" spans="1:10" x14ac:dyDescent="0.25">
      <c r="A297" s="2">
        <f t="shared" si="24"/>
        <v>45341</v>
      </c>
      <c r="B297" s="2">
        <f t="shared" si="24"/>
        <v>45347</v>
      </c>
      <c r="C297" s="3" t="s">
        <v>778</v>
      </c>
      <c r="D297" s="3" t="s">
        <v>774</v>
      </c>
      <c r="E297" s="3">
        <f t="shared" si="23"/>
        <v>3</v>
      </c>
      <c r="F297" s="3" t="s">
        <v>805</v>
      </c>
      <c r="G297" s="3" t="str">
        <f>Table13[[#This Row],[Month]]&amp;", "&amp;Table13[[#This Row],[FY]]</f>
        <v>FEB, FY24</v>
      </c>
      <c r="H297" s="3" t="str">
        <f>Table13[[#This Row],[Week]]&amp;", "&amp;Table13[[#This Row],[Month]]&amp;" "&amp;Table13[[#This Row],[FY]]</f>
        <v>Week 35, FEB FY24</v>
      </c>
      <c r="I297" s="3" t="str">
        <f>Table13[[#This Row],[Month]]&amp;", "&amp;Table13[[#This Row],[FY]]</f>
        <v>FEB, FY24</v>
      </c>
      <c r="J297" s="3" t="str">
        <f>"Q"&amp;Table13[[#This Row],[QTR]]&amp;", "&amp;Table13[[#This Row],[FY]]</f>
        <v>Q3, FY24</v>
      </c>
    </row>
    <row r="298" spans="1:10" x14ac:dyDescent="0.25">
      <c r="A298" s="2">
        <f t="shared" si="24"/>
        <v>45348</v>
      </c>
      <c r="B298" s="2">
        <f t="shared" si="24"/>
        <v>45354</v>
      </c>
      <c r="C298" s="3" t="s">
        <v>779</v>
      </c>
      <c r="D298" s="3" t="s">
        <v>780</v>
      </c>
      <c r="E298" s="3">
        <f t="shared" si="23"/>
        <v>3</v>
      </c>
      <c r="F298" s="3" t="s">
        <v>805</v>
      </c>
      <c r="G298" s="3" t="str">
        <f>Table13[[#This Row],[Month]]&amp;", "&amp;Table13[[#This Row],[FY]]</f>
        <v>MAR, FY24</v>
      </c>
      <c r="H298" s="3" t="str">
        <f>Table13[[#This Row],[Week]]&amp;", "&amp;Table13[[#This Row],[Month]]&amp;" "&amp;Table13[[#This Row],[FY]]</f>
        <v>Week 36, MAR FY24</v>
      </c>
      <c r="I298" s="3" t="str">
        <f>Table13[[#This Row],[Month]]&amp;", "&amp;Table13[[#This Row],[FY]]</f>
        <v>MAR, FY24</v>
      </c>
      <c r="J298" s="3" t="str">
        <f>"Q"&amp;Table13[[#This Row],[QTR]]&amp;", "&amp;Table13[[#This Row],[FY]]</f>
        <v>Q3, FY24</v>
      </c>
    </row>
    <row r="299" spans="1:10" x14ac:dyDescent="0.25">
      <c r="A299" s="2">
        <f t="shared" si="24"/>
        <v>45355</v>
      </c>
      <c r="B299" s="2">
        <f t="shared" si="24"/>
        <v>45361</v>
      </c>
      <c r="C299" s="3" t="s">
        <v>781</v>
      </c>
      <c r="D299" s="3" t="s">
        <v>780</v>
      </c>
      <c r="E299" s="3">
        <f t="shared" si="23"/>
        <v>3</v>
      </c>
      <c r="F299" s="3" t="s">
        <v>805</v>
      </c>
      <c r="G299" s="3" t="str">
        <f>Table13[[#This Row],[Month]]&amp;", "&amp;Table13[[#This Row],[FY]]</f>
        <v>MAR, FY24</v>
      </c>
      <c r="H299" s="3" t="str">
        <f>Table13[[#This Row],[Week]]&amp;", "&amp;Table13[[#This Row],[Month]]&amp;" "&amp;Table13[[#This Row],[FY]]</f>
        <v>Week 37, MAR FY24</v>
      </c>
      <c r="I299" s="3" t="str">
        <f>Table13[[#This Row],[Month]]&amp;", "&amp;Table13[[#This Row],[FY]]</f>
        <v>MAR, FY24</v>
      </c>
      <c r="J299" s="3" t="str">
        <f>"Q"&amp;Table13[[#This Row],[QTR]]&amp;", "&amp;Table13[[#This Row],[FY]]</f>
        <v>Q3, FY24</v>
      </c>
    </row>
    <row r="300" spans="1:10" x14ac:dyDescent="0.25">
      <c r="A300" s="2">
        <f t="shared" si="24"/>
        <v>45362</v>
      </c>
      <c r="B300" s="2">
        <f t="shared" si="24"/>
        <v>45368</v>
      </c>
      <c r="C300" s="3" t="s">
        <v>782</v>
      </c>
      <c r="D300" s="3" t="s">
        <v>780</v>
      </c>
      <c r="E300" s="3">
        <f t="shared" si="23"/>
        <v>3</v>
      </c>
      <c r="F300" s="3" t="s">
        <v>805</v>
      </c>
      <c r="G300" s="3" t="str">
        <f>Table13[[#This Row],[Month]]&amp;", "&amp;Table13[[#This Row],[FY]]</f>
        <v>MAR, FY24</v>
      </c>
      <c r="H300" s="3" t="str">
        <f>Table13[[#This Row],[Week]]&amp;", "&amp;Table13[[#This Row],[Month]]&amp;" "&amp;Table13[[#This Row],[FY]]</f>
        <v>Week 38, MAR FY24</v>
      </c>
      <c r="I300" s="3" t="str">
        <f>Table13[[#This Row],[Month]]&amp;", "&amp;Table13[[#This Row],[FY]]</f>
        <v>MAR, FY24</v>
      </c>
      <c r="J300" s="3" t="str">
        <f>"Q"&amp;Table13[[#This Row],[QTR]]&amp;", "&amp;Table13[[#This Row],[FY]]</f>
        <v>Q3, FY24</v>
      </c>
    </row>
    <row r="301" spans="1:10" x14ac:dyDescent="0.25">
      <c r="A301" s="2">
        <f t="shared" si="24"/>
        <v>45369</v>
      </c>
      <c r="B301" s="2">
        <f t="shared" si="24"/>
        <v>45375</v>
      </c>
      <c r="C301" s="3" t="s">
        <v>783</v>
      </c>
      <c r="D301" s="3" t="s">
        <v>780</v>
      </c>
      <c r="E301" s="3">
        <f t="shared" si="23"/>
        <v>3</v>
      </c>
      <c r="F301" s="3" t="s">
        <v>805</v>
      </c>
      <c r="G301" s="3" t="str">
        <f>Table13[[#This Row],[Month]]&amp;", "&amp;Table13[[#This Row],[FY]]</f>
        <v>MAR, FY24</v>
      </c>
      <c r="H301" s="3" t="str">
        <f>Table13[[#This Row],[Week]]&amp;", "&amp;Table13[[#This Row],[Month]]&amp;" "&amp;Table13[[#This Row],[FY]]</f>
        <v>Week 39, MAR FY24</v>
      </c>
      <c r="I301" s="3" t="str">
        <f>Table13[[#This Row],[Month]]&amp;", "&amp;Table13[[#This Row],[FY]]</f>
        <v>MAR, FY24</v>
      </c>
      <c r="J301" s="3" t="str">
        <f>"Q"&amp;Table13[[#This Row],[QTR]]&amp;", "&amp;Table13[[#This Row],[FY]]</f>
        <v>Q3, FY24</v>
      </c>
    </row>
    <row r="302" spans="1:10" x14ac:dyDescent="0.25">
      <c r="A302" s="2">
        <f t="shared" si="24"/>
        <v>45376</v>
      </c>
      <c r="B302" s="2">
        <f t="shared" si="24"/>
        <v>45382</v>
      </c>
      <c r="C302" s="3" t="s">
        <v>784</v>
      </c>
      <c r="D302" s="3" t="s">
        <v>785</v>
      </c>
      <c r="E302" s="3">
        <f t="shared" si="23"/>
        <v>4</v>
      </c>
      <c r="F302" s="3" t="s">
        <v>805</v>
      </c>
      <c r="G302" s="3" t="str">
        <f>Table13[[#This Row],[Month]]&amp;", "&amp;Table13[[#This Row],[FY]]</f>
        <v>APR, FY24</v>
      </c>
      <c r="H302" s="3" t="str">
        <f>Table13[[#This Row],[Week]]&amp;", "&amp;Table13[[#This Row],[Month]]&amp;" "&amp;Table13[[#This Row],[FY]]</f>
        <v>Week 40, APR FY24</v>
      </c>
      <c r="I302" s="3" t="str">
        <f>Table13[[#This Row],[Month]]&amp;", "&amp;Table13[[#This Row],[FY]]</f>
        <v>APR, FY24</v>
      </c>
      <c r="J302" s="3" t="str">
        <f>"Q"&amp;Table13[[#This Row],[QTR]]&amp;", "&amp;Table13[[#This Row],[FY]]</f>
        <v>Q4, FY24</v>
      </c>
    </row>
    <row r="303" spans="1:10" x14ac:dyDescent="0.25">
      <c r="A303" s="2">
        <f t="shared" si="24"/>
        <v>45383</v>
      </c>
      <c r="B303" s="2">
        <f t="shared" si="24"/>
        <v>45389</v>
      </c>
      <c r="C303" s="3" t="s">
        <v>786</v>
      </c>
      <c r="D303" s="3" t="s">
        <v>785</v>
      </c>
      <c r="E303" s="3">
        <f t="shared" si="23"/>
        <v>4</v>
      </c>
      <c r="F303" s="3" t="s">
        <v>805</v>
      </c>
      <c r="G303" s="3" t="str">
        <f>Table13[[#This Row],[Month]]&amp;", "&amp;Table13[[#This Row],[FY]]</f>
        <v>APR, FY24</v>
      </c>
      <c r="H303" s="3" t="str">
        <f>Table13[[#This Row],[Week]]&amp;", "&amp;Table13[[#This Row],[Month]]&amp;" "&amp;Table13[[#This Row],[FY]]</f>
        <v>Week 41, APR FY24</v>
      </c>
      <c r="I303" s="3" t="str">
        <f>Table13[[#This Row],[Month]]&amp;", "&amp;Table13[[#This Row],[FY]]</f>
        <v>APR, FY24</v>
      </c>
      <c r="J303" s="3" t="str">
        <f>"Q"&amp;Table13[[#This Row],[QTR]]&amp;", "&amp;Table13[[#This Row],[FY]]</f>
        <v>Q4, FY24</v>
      </c>
    </row>
    <row r="304" spans="1:10" x14ac:dyDescent="0.25">
      <c r="A304" s="2">
        <f t="shared" ref="A304:B319" si="25">A303+7</f>
        <v>45390</v>
      </c>
      <c r="B304" s="2">
        <f t="shared" si="25"/>
        <v>45396</v>
      </c>
      <c r="C304" s="3" t="s">
        <v>787</v>
      </c>
      <c r="D304" s="3" t="s">
        <v>785</v>
      </c>
      <c r="E304" s="3">
        <f t="shared" si="23"/>
        <v>4</v>
      </c>
      <c r="F304" s="3" t="s">
        <v>805</v>
      </c>
      <c r="G304" s="3" t="str">
        <f>Table13[[#This Row],[Month]]&amp;", "&amp;Table13[[#This Row],[FY]]</f>
        <v>APR, FY24</v>
      </c>
      <c r="H304" s="3" t="str">
        <f>Table13[[#This Row],[Week]]&amp;", "&amp;Table13[[#This Row],[Month]]&amp;" "&amp;Table13[[#This Row],[FY]]</f>
        <v>Week 42, APR FY24</v>
      </c>
      <c r="I304" s="3" t="str">
        <f>Table13[[#This Row],[Month]]&amp;", "&amp;Table13[[#This Row],[FY]]</f>
        <v>APR, FY24</v>
      </c>
      <c r="J304" s="3" t="str">
        <f>"Q"&amp;Table13[[#This Row],[QTR]]&amp;", "&amp;Table13[[#This Row],[FY]]</f>
        <v>Q4, FY24</v>
      </c>
    </row>
    <row r="305" spans="1:10" x14ac:dyDescent="0.25">
      <c r="A305" s="2">
        <f t="shared" si="25"/>
        <v>45397</v>
      </c>
      <c r="B305" s="2">
        <f t="shared" si="25"/>
        <v>45403</v>
      </c>
      <c r="C305" s="3" t="s">
        <v>788</v>
      </c>
      <c r="D305" s="3" t="s">
        <v>785</v>
      </c>
      <c r="E305" s="3">
        <f t="shared" si="23"/>
        <v>4</v>
      </c>
      <c r="F305" s="3" t="s">
        <v>805</v>
      </c>
      <c r="G305" s="3" t="str">
        <f>Table13[[#This Row],[Month]]&amp;", "&amp;Table13[[#This Row],[FY]]</f>
        <v>APR, FY24</v>
      </c>
      <c r="H305" s="3" t="str">
        <f>Table13[[#This Row],[Week]]&amp;", "&amp;Table13[[#This Row],[Month]]&amp;" "&amp;Table13[[#This Row],[FY]]</f>
        <v>Week 43, APR FY24</v>
      </c>
      <c r="I305" s="3" t="str">
        <f>Table13[[#This Row],[Month]]&amp;", "&amp;Table13[[#This Row],[FY]]</f>
        <v>APR, FY24</v>
      </c>
      <c r="J305" s="3" t="str">
        <f>"Q"&amp;Table13[[#This Row],[QTR]]&amp;", "&amp;Table13[[#This Row],[FY]]</f>
        <v>Q4, FY24</v>
      </c>
    </row>
    <row r="306" spans="1:10" x14ac:dyDescent="0.25">
      <c r="A306" s="2">
        <f t="shared" si="25"/>
        <v>45404</v>
      </c>
      <c r="B306" s="2">
        <f t="shared" si="25"/>
        <v>45410</v>
      </c>
      <c r="C306" s="3" t="s">
        <v>789</v>
      </c>
      <c r="D306" s="3" t="s">
        <v>790</v>
      </c>
      <c r="E306" s="3">
        <f t="shared" si="23"/>
        <v>4</v>
      </c>
      <c r="F306" s="3" t="s">
        <v>805</v>
      </c>
      <c r="G306" s="3" t="str">
        <f>Table13[[#This Row],[Month]]&amp;", "&amp;Table13[[#This Row],[FY]]</f>
        <v>MAY, FY24</v>
      </c>
      <c r="H306" s="3" t="str">
        <f>Table13[[#This Row],[Week]]&amp;", "&amp;Table13[[#This Row],[Month]]&amp;" "&amp;Table13[[#This Row],[FY]]</f>
        <v>Week 44, MAY FY24</v>
      </c>
      <c r="I306" s="3" t="str">
        <f>Table13[[#This Row],[Month]]&amp;", "&amp;Table13[[#This Row],[FY]]</f>
        <v>MAY, FY24</v>
      </c>
      <c r="J306" s="3" t="str">
        <f>"Q"&amp;Table13[[#This Row],[QTR]]&amp;", "&amp;Table13[[#This Row],[FY]]</f>
        <v>Q4, FY24</v>
      </c>
    </row>
    <row r="307" spans="1:10" x14ac:dyDescent="0.25">
      <c r="A307" s="2">
        <f t="shared" si="25"/>
        <v>45411</v>
      </c>
      <c r="B307" s="2">
        <f t="shared" si="25"/>
        <v>45417</v>
      </c>
      <c r="C307" s="3" t="s">
        <v>791</v>
      </c>
      <c r="D307" s="3" t="s">
        <v>790</v>
      </c>
      <c r="E307" s="3">
        <f t="shared" si="23"/>
        <v>4</v>
      </c>
      <c r="F307" s="3" t="s">
        <v>805</v>
      </c>
      <c r="G307" s="3" t="str">
        <f>Table13[[#This Row],[Month]]&amp;", "&amp;Table13[[#This Row],[FY]]</f>
        <v>MAY, FY24</v>
      </c>
      <c r="H307" s="3" t="str">
        <f>Table13[[#This Row],[Week]]&amp;", "&amp;Table13[[#This Row],[Month]]&amp;" "&amp;Table13[[#This Row],[FY]]</f>
        <v>Week 45, MAY FY24</v>
      </c>
      <c r="I307" s="3" t="str">
        <f>Table13[[#This Row],[Month]]&amp;", "&amp;Table13[[#This Row],[FY]]</f>
        <v>MAY, FY24</v>
      </c>
      <c r="J307" s="3" t="str">
        <f>"Q"&amp;Table13[[#This Row],[QTR]]&amp;", "&amp;Table13[[#This Row],[FY]]</f>
        <v>Q4, FY24</v>
      </c>
    </row>
    <row r="308" spans="1:10" x14ac:dyDescent="0.25">
      <c r="A308" s="2">
        <f t="shared" si="25"/>
        <v>45418</v>
      </c>
      <c r="B308" s="2">
        <f t="shared" si="25"/>
        <v>45424</v>
      </c>
      <c r="C308" s="3" t="s">
        <v>792</v>
      </c>
      <c r="D308" s="3" t="s">
        <v>790</v>
      </c>
      <c r="E308" s="3">
        <f t="shared" si="23"/>
        <v>4</v>
      </c>
      <c r="F308" s="3" t="s">
        <v>805</v>
      </c>
      <c r="G308" s="3" t="str">
        <f>Table13[[#This Row],[Month]]&amp;", "&amp;Table13[[#This Row],[FY]]</f>
        <v>MAY, FY24</v>
      </c>
      <c r="H308" s="3" t="str">
        <f>Table13[[#This Row],[Week]]&amp;", "&amp;Table13[[#This Row],[Month]]&amp;" "&amp;Table13[[#This Row],[FY]]</f>
        <v>Week 46, MAY FY24</v>
      </c>
      <c r="I308" s="3" t="str">
        <f>Table13[[#This Row],[Month]]&amp;", "&amp;Table13[[#This Row],[FY]]</f>
        <v>MAY, FY24</v>
      </c>
      <c r="J308" s="3" t="str">
        <f>"Q"&amp;Table13[[#This Row],[QTR]]&amp;", "&amp;Table13[[#This Row],[FY]]</f>
        <v>Q4, FY24</v>
      </c>
    </row>
    <row r="309" spans="1:10" x14ac:dyDescent="0.25">
      <c r="A309" s="2">
        <f t="shared" si="25"/>
        <v>45425</v>
      </c>
      <c r="B309" s="2">
        <f t="shared" si="25"/>
        <v>45431</v>
      </c>
      <c r="C309" s="3" t="s">
        <v>793</v>
      </c>
      <c r="D309" s="3" t="s">
        <v>790</v>
      </c>
      <c r="E309" s="3">
        <f t="shared" si="23"/>
        <v>4</v>
      </c>
      <c r="F309" s="3" t="s">
        <v>805</v>
      </c>
      <c r="G309" s="3" t="str">
        <f>Table13[[#This Row],[Month]]&amp;", "&amp;Table13[[#This Row],[FY]]</f>
        <v>MAY, FY24</v>
      </c>
      <c r="H309" s="3" t="str">
        <f>Table13[[#This Row],[Week]]&amp;", "&amp;Table13[[#This Row],[Month]]&amp;" "&amp;Table13[[#This Row],[FY]]</f>
        <v>Week 47, MAY FY24</v>
      </c>
      <c r="I309" s="3" t="str">
        <f>Table13[[#This Row],[Month]]&amp;", "&amp;Table13[[#This Row],[FY]]</f>
        <v>MAY, FY24</v>
      </c>
      <c r="J309" s="3" t="str">
        <f>"Q"&amp;Table13[[#This Row],[QTR]]&amp;", "&amp;Table13[[#This Row],[FY]]</f>
        <v>Q4, FY24</v>
      </c>
    </row>
    <row r="310" spans="1:10" x14ac:dyDescent="0.25">
      <c r="A310" s="2">
        <f t="shared" si="25"/>
        <v>45432</v>
      </c>
      <c r="B310" s="2">
        <f t="shared" si="25"/>
        <v>45438</v>
      </c>
      <c r="C310" s="3" t="s">
        <v>794</v>
      </c>
      <c r="D310" s="3" t="s">
        <v>790</v>
      </c>
      <c r="E310" s="3">
        <f t="shared" si="23"/>
        <v>4</v>
      </c>
      <c r="F310" s="3" t="s">
        <v>805</v>
      </c>
      <c r="G310" s="3" t="str">
        <f>Table13[[#This Row],[Month]]&amp;", "&amp;Table13[[#This Row],[FY]]</f>
        <v>MAY, FY24</v>
      </c>
      <c r="H310" s="3" t="str">
        <f>Table13[[#This Row],[Week]]&amp;", "&amp;Table13[[#This Row],[Month]]&amp;" "&amp;Table13[[#This Row],[FY]]</f>
        <v>Week 48, MAY FY24</v>
      </c>
      <c r="I310" s="3" t="str">
        <f>Table13[[#This Row],[Month]]&amp;", "&amp;Table13[[#This Row],[FY]]</f>
        <v>MAY, FY24</v>
      </c>
      <c r="J310" s="3" t="str">
        <f>"Q"&amp;Table13[[#This Row],[QTR]]&amp;", "&amp;Table13[[#This Row],[FY]]</f>
        <v>Q4, FY24</v>
      </c>
    </row>
    <row r="311" spans="1:10" x14ac:dyDescent="0.25">
      <c r="A311" s="2">
        <f t="shared" si="25"/>
        <v>45439</v>
      </c>
      <c r="B311" s="2">
        <f t="shared" si="25"/>
        <v>45445</v>
      </c>
      <c r="C311" s="3" t="s">
        <v>795</v>
      </c>
      <c r="D311" s="3" t="s">
        <v>796</v>
      </c>
      <c r="E311" s="3">
        <f t="shared" si="23"/>
        <v>4</v>
      </c>
      <c r="F311" s="3" t="s">
        <v>805</v>
      </c>
      <c r="G311" s="3" t="str">
        <f>Table13[[#This Row],[Month]]&amp;", "&amp;Table13[[#This Row],[FY]]</f>
        <v>JUN, FY24</v>
      </c>
      <c r="H311" s="3" t="str">
        <f>Table13[[#This Row],[Week]]&amp;", "&amp;Table13[[#This Row],[Month]]&amp;" "&amp;Table13[[#This Row],[FY]]</f>
        <v>Week 49, JUN FY24</v>
      </c>
      <c r="I311" s="3" t="str">
        <f>Table13[[#This Row],[Month]]&amp;", "&amp;Table13[[#This Row],[FY]]</f>
        <v>JUN, FY24</v>
      </c>
      <c r="J311" s="3" t="str">
        <f>"Q"&amp;Table13[[#This Row],[QTR]]&amp;", "&amp;Table13[[#This Row],[FY]]</f>
        <v>Q4, FY24</v>
      </c>
    </row>
    <row r="312" spans="1:10" x14ac:dyDescent="0.25">
      <c r="A312" s="2">
        <f t="shared" si="25"/>
        <v>45446</v>
      </c>
      <c r="B312" s="2">
        <f t="shared" si="25"/>
        <v>45452</v>
      </c>
      <c r="C312" s="3" t="s">
        <v>797</v>
      </c>
      <c r="D312" s="3" t="s">
        <v>796</v>
      </c>
      <c r="E312" s="3">
        <f t="shared" si="23"/>
        <v>4</v>
      </c>
      <c r="F312" s="3" t="s">
        <v>805</v>
      </c>
      <c r="G312" s="3" t="str">
        <f>Table13[[#This Row],[Month]]&amp;", "&amp;Table13[[#This Row],[FY]]</f>
        <v>JUN, FY24</v>
      </c>
      <c r="H312" s="3" t="str">
        <f>Table13[[#This Row],[Week]]&amp;", "&amp;Table13[[#This Row],[Month]]&amp;" "&amp;Table13[[#This Row],[FY]]</f>
        <v>Week 50, JUN FY24</v>
      </c>
      <c r="I312" s="3" t="str">
        <f>Table13[[#This Row],[Month]]&amp;", "&amp;Table13[[#This Row],[FY]]</f>
        <v>JUN, FY24</v>
      </c>
      <c r="J312" s="3" t="str">
        <f>"Q"&amp;Table13[[#This Row],[QTR]]&amp;", "&amp;Table13[[#This Row],[FY]]</f>
        <v>Q4, FY24</v>
      </c>
    </row>
    <row r="313" spans="1:10" x14ac:dyDescent="0.25">
      <c r="A313" s="2">
        <f t="shared" si="25"/>
        <v>45453</v>
      </c>
      <c r="B313" s="2">
        <f t="shared" si="25"/>
        <v>45459</v>
      </c>
      <c r="C313" s="3" t="s">
        <v>798</v>
      </c>
      <c r="D313" s="3" t="s">
        <v>796</v>
      </c>
      <c r="E313" s="3">
        <f t="shared" si="23"/>
        <v>4</v>
      </c>
      <c r="F313" s="3" t="s">
        <v>805</v>
      </c>
      <c r="G313" s="3" t="str">
        <f>Table13[[#This Row],[Month]]&amp;", "&amp;Table13[[#This Row],[FY]]</f>
        <v>JUN, FY24</v>
      </c>
      <c r="H313" s="3" t="str">
        <f>Table13[[#This Row],[Week]]&amp;", "&amp;Table13[[#This Row],[Month]]&amp;" "&amp;Table13[[#This Row],[FY]]</f>
        <v>Week 51, JUN FY24</v>
      </c>
      <c r="I313" s="3" t="str">
        <f>Table13[[#This Row],[Month]]&amp;", "&amp;Table13[[#This Row],[FY]]</f>
        <v>JUN, FY24</v>
      </c>
      <c r="J313" s="3" t="str">
        <f>"Q"&amp;Table13[[#This Row],[QTR]]&amp;", "&amp;Table13[[#This Row],[FY]]</f>
        <v>Q4, FY24</v>
      </c>
    </row>
    <row r="314" spans="1:10" x14ac:dyDescent="0.25">
      <c r="A314" s="2">
        <f t="shared" si="25"/>
        <v>45460</v>
      </c>
      <c r="B314" s="2">
        <f t="shared" si="25"/>
        <v>45466</v>
      </c>
      <c r="C314" s="3" t="s">
        <v>799</v>
      </c>
      <c r="D314" s="3" t="s">
        <v>796</v>
      </c>
      <c r="E314" s="3">
        <f t="shared" si="23"/>
        <v>4</v>
      </c>
      <c r="F314" s="3" t="s">
        <v>805</v>
      </c>
      <c r="G314" s="3" t="str">
        <f>Table13[[#This Row],[Month]]&amp;", "&amp;Table13[[#This Row],[FY]]</f>
        <v>JUN, FY24</v>
      </c>
      <c r="H314" s="3" t="str">
        <f>Table13[[#This Row],[Week]]&amp;", "&amp;Table13[[#This Row],[Month]]&amp;" "&amp;Table13[[#This Row],[FY]]</f>
        <v>Week 52, JUN FY24</v>
      </c>
      <c r="I314" s="3" t="str">
        <f>Table13[[#This Row],[Month]]&amp;", "&amp;Table13[[#This Row],[FY]]</f>
        <v>JUN, FY24</v>
      </c>
      <c r="J314" s="3" t="str">
        <f>"Q"&amp;Table13[[#This Row],[QTR]]&amp;", "&amp;Table13[[#This Row],[FY]]</f>
        <v>Q4, FY24</v>
      </c>
    </row>
    <row r="315" spans="1:10" x14ac:dyDescent="0.25">
      <c r="A315" s="2">
        <f t="shared" si="25"/>
        <v>45467</v>
      </c>
      <c r="B315" s="2">
        <f t="shared" si="25"/>
        <v>45473</v>
      </c>
      <c r="C315" s="3" t="s">
        <v>800</v>
      </c>
      <c r="D315" s="3" t="s">
        <v>796</v>
      </c>
      <c r="E315" s="3">
        <v>4</v>
      </c>
      <c r="F315" s="3" t="s">
        <v>805</v>
      </c>
      <c r="G315" s="3" t="str">
        <f>Table13[[#This Row],[Month]]&amp;", "&amp;Table13[[#This Row],[FY]]</f>
        <v>JUN, FY24</v>
      </c>
      <c r="H315" s="3" t="str">
        <f>Table13[[#This Row],[Week]]&amp;", "&amp;Table13[[#This Row],[Month]]&amp;" "&amp;Table13[[#This Row],[FY]]</f>
        <v>Week 53, JUN FY24</v>
      </c>
      <c r="I315" s="3" t="str">
        <f>Table13[[#This Row],[Month]]&amp;", "&amp;Table13[[#This Row],[FY]]</f>
        <v>JUN, FY24</v>
      </c>
      <c r="J315" s="3" t="str">
        <f>"Q"&amp;Table13[[#This Row],[QTR]]&amp;", "&amp;Table13[[#This Row],[FY]]</f>
        <v>Q4, FY24</v>
      </c>
    </row>
    <row r="316" spans="1:10" x14ac:dyDescent="0.25">
      <c r="A316" s="2">
        <f t="shared" si="25"/>
        <v>45474</v>
      </c>
      <c r="B316" s="2">
        <f t="shared" si="25"/>
        <v>45480</v>
      </c>
      <c r="C316" s="3" t="s">
        <v>735</v>
      </c>
      <c r="D316" s="3" t="s">
        <v>736</v>
      </c>
      <c r="E316" s="3">
        <v>1</v>
      </c>
      <c r="F316" s="3" t="s">
        <v>806</v>
      </c>
      <c r="G316" s="3" t="str">
        <f>Table13[[#This Row],[Month]]&amp;", "&amp;Table13[[#This Row],[FY]]</f>
        <v>JUL, FY25</v>
      </c>
      <c r="H316" s="3" t="str">
        <f>Table13[[#This Row],[Week]]&amp;", "&amp;Table13[[#This Row],[Month]]&amp;" "&amp;Table13[[#This Row],[FY]]</f>
        <v>Week 1, JUL FY25</v>
      </c>
      <c r="I316" s="3" t="str">
        <f>Table13[[#This Row],[Month]]&amp;", "&amp;Table13[[#This Row],[FY]]</f>
        <v>JUL, FY25</v>
      </c>
      <c r="J316" s="3" t="str">
        <f>"Q"&amp;Table13[[#This Row],[QTR]]&amp;", "&amp;Table13[[#This Row],[FY]]</f>
        <v>Q1, FY25</v>
      </c>
    </row>
    <row r="317" spans="1:10" x14ac:dyDescent="0.25">
      <c r="A317" s="2">
        <f t="shared" si="25"/>
        <v>45481</v>
      </c>
      <c r="B317" s="2">
        <f t="shared" si="25"/>
        <v>45487</v>
      </c>
      <c r="C317" s="3" t="s">
        <v>738</v>
      </c>
      <c r="D317" s="3" t="s">
        <v>736</v>
      </c>
      <c r="E317" s="3">
        <v>1</v>
      </c>
      <c r="F317" s="3" t="s">
        <v>806</v>
      </c>
      <c r="G317" s="3" t="str">
        <f>Table13[[#This Row],[Month]]&amp;", "&amp;Table13[[#This Row],[FY]]</f>
        <v>JUL, FY25</v>
      </c>
      <c r="H317" s="3" t="str">
        <f>Table13[[#This Row],[Week]]&amp;", "&amp;Table13[[#This Row],[Month]]&amp;" "&amp;Table13[[#This Row],[FY]]</f>
        <v>Week 2, JUL FY25</v>
      </c>
      <c r="I317" s="3" t="str">
        <f>Table13[[#This Row],[Month]]&amp;", "&amp;Table13[[#This Row],[FY]]</f>
        <v>JUL, FY25</v>
      </c>
      <c r="J317" s="3" t="str">
        <f>"Q"&amp;Table13[[#This Row],[QTR]]&amp;", "&amp;Table13[[#This Row],[FY]]</f>
        <v>Q1, FY25</v>
      </c>
    </row>
    <row r="318" spans="1:10" x14ac:dyDescent="0.25">
      <c r="A318" s="2">
        <f t="shared" si="25"/>
        <v>45488</v>
      </c>
      <c r="B318" s="2">
        <f t="shared" si="25"/>
        <v>45494</v>
      </c>
      <c r="C318" s="3" t="s">
        <v>739</v>
      </c>
      <c r="D318" s="3" t="s">
        <v>736</v>
      </c>
      <c r="E318" s="3">
        <v>1</v>
      </c>
      <c r="F318" s="3" t="s">
        <v>806</v>
      </c>
      <c r="G318" s="3" t="str">
        <f>Table13[[#This Row],[Month]]&amp;", "&amp;Table13[[#This Row],[FY]]</f>
        <v>JUL, FY25</v>
      </c>
      <c r="H318" s="3" t="str">
        <f>Table13[[#This Row],[Week]]&amp;", "&amp;Table13[[#This Row],[Month]]&amp;" "&amp;Table13[[#This Row],[FY]]</f>
        <v>Week 3, JUL FY25</v>
      </c>
      <c r="I318" s="3" t="str">
        <f>Table13[[#This Row],[Month]]&amp;", "&amp;Table13[[#This Row],[FY]]</f>
        <v>JUL, FY25</v>
      </c>
      <c r="J318" s="3" t="str">
        <f>"Q"&amp;Table13[[#This Row],[QTR]]&amp;", "&amp;Table13[[#This Row],[FY]]</f>
        <v>Q1, FY25</v>
      </c>
    </row>
    <row r="319" spans="1:10" x14ac:dyDescent="0.25">
      <c r="A319" s="2">
        <f t="shared" si="25"/>
        <v>45495</v>
      </c>
      <c r="B319" s="2">
        <f t="shared" si="25"/>
        <v>45501</v>
      </c>
      <c r="C319" s="3" t="s">
        <v>740</v>
      </c>
      <c r="D319" s="3" t="s">
        <v>736</v>
      </c>
      <c r="E319" s="3">
        <v>1</v>
      </c>
      <c r="F319" s="3" t="s">
        <v>806</v>
      </c>
      <c r="G319" s="3" t="str">
        <f>Table13[[#This Row],[Month]]&amp;", "&amp;Table13[[#This Row],[FY]]</f>
        <v>JUL, FY25</v>
      </c>
      <c r="H319" s="3" t="str">
        <f>Table13[[#This Row],[Week]]&amp;", "&amp;Table13[[#This Row],[Month]]&amp;" "&amp;Table13[[#This Row],[FY]]</f>
        <v>Week 4, JUL FY25</v>
      </c>
      <c r="I319" s="3" t="str">
        <f>Table13[[#This Row],[Month]]&amp;", "&amp;Table13[[#This Row],[FY]]</f>
        <v>JUL, FY25</v>
      </c>
      <c r="J319" s="3" t="str">
        <f>"Q"&amp;Table13[[#This Row],[QTR]]&amp;", "&amp;Table13[[#This Row],[FY]]</f>
        <v>Q1, FY25</v>
      </c>
    </row>
    <row r="320" spans="1:10" x14ac:dyDescent="0.25">
      <c r="A320" s="2">
        <f t="shared" ref="A320:B335" si="26">A319+7</f>
        <v>45502</v>
      </c>
      <c r="B320" s="2">
        <f t="shared" si="26"/>
        <v>45508</v>
      </c>
      <c r="C320" s="3" t="s">
        <v>741</v>
      </c>
      <c r="D320" s="3" t="s">
        <v>742</v>
      </c>
      <c r="E320" s="3">
        <v>1</v>
      </c>
      <c r="F320" s="3" t="s">
        <v>806</v>
      </c>
      <c r="G320" s="3" t="str">
        <f>Table13[[#This Row],[Month]]&amp;", "&amp;Table13[[#This Row],[FY]]</f>
        <v>AUG, FY25</v>
      </c>
      <c r="H320" s="3" t="str">
        <f>Table13[[#This Row],[Week]]&amp;", "&amp;Table13[[#This Row],[Month]]&amp;" "&amp;Table13[[#This Row],[FY]]</f>
        <v>Week 5, AUG FY25</v>
      </c>
      <c r="I320" s="3" t="str">
        <f>Table13[[#This Row],[Month]]&amp;", "&amp;Table13[[#This Row],[FY]]</f>
        <v>AUG, FY25</v>
      </c>
      <c r="J320" s="3" t="str">
        <f>"Q"&amp;Table13[[#This Row],[QTR]]&amp;", "&amp;Table13[[#This Row],[FY]]</f>
        <v>Q1, FY25</v>
      </c>
    </row>
    <row r="321" spans="1:10" x14ac:dyDescent="0.25">
      <c r="A321" s="2">
        <f t="shared" si="26"/>
        <v>45509</v>
      </c>
      <c r="B321" s="2">
        <f t="shared" si="26"/>
        <v>45515</v>
      </c>
      <c r="C321" s="3" t="s">
        <v>743</v>
      </c>
      <c r="D321" s="3" t="s">
        <v>742</v>
      </c>
      <c r="E321" s="3">
        <v>1</v>
      </c>
      <c r="F321" s="3" t="s">
        <v>806</v>
      </c>
      <c r="G321" s="3" t="str">
        <f>Table13[[#This Row],[Month]]&amp;", "&amp;Table13[[#This Row],[FY]]</f>
        <v>AUG, FY25</v>
      </c>
      <c r="H321" s="3" t="str">
        <f>Table13[[#This Row],[Week]]&amp;", "&amp;Table13[[#This Row],[Month]]&amp;" "&amp;Table13[[#This Row],[FY]]</f>
        <v>Week 6, AUG FY25</v>
      </c>
      <c r="I321" s="3" t="str">
        <f>Table13[[#This Row],[Month]]&amp;", "&amp;Table13[[#This Row],[FY]]</f>
        <v>AUG, FY25</v>
      </c>
      <c r="J321" s="3" t="str">
        <f>"Q"&amp;Table13[[#This Row],[QTR]]&amp;", "&amp;Table13[[#This Row],[FY]]</f>
        <v>Q1, FY25</v>
      </c>
    </row>
    <row r="322" spans="1:10" x14ac:dyDescent="0.25">
      <c r="A322" s="2">
        <f t="shared" si="26"/>
        <v>45516</v>
      </c>
      <c r="B322" s="2">
        <f t="shared" si="26"/>
        <v>45522</v>
      </c>
      <c r="C322" s="3" t="s">
        <v>744</v>
      </c>
      <c r="D322" s="3" t="s">
        <v>742</v>
      </c>
      <c r="E322" s="3">
        <v>1</v>
      </c>
      <c r="F322" s="3" t="s">
        <v>806</v>
      </c>
      <c r="G322" s="3" t="str">
        <f>Table13[[#This Row],[Month]]&amp;", "&amp;Table13[[#This Row],[FY]]</f>
        <v>AUG, FY25</v>
      </c>
      <c r="H322" s="3" t="str">
        <f>Table13[[#This Row],[Week]]&amp;", "&amp;Table13[[#This Row],[Month]]&amp;" "&amp;Table13[[#This Row],[FY]]</f>
        <v>Week 7, AUG FY25</v>
      </c>
      <c r="I322" s="3" t="str">
        <f>Table13[[#This Row],[Month]]&amp;", "&amp;Table13[[#This Row],[FY]]</f>
        <v>AUG, FY25</v>
      </c>
      <c r="J322" s="3" t="str">
        <f>"Q"&amp;Table13[[#This Row],[QTR]]&amp;", "&amp;Table13[[#This Row],[FY]]</f>
        <v>Q1, FY25</v>
      </c>
    </row>
    <row r="323" spans="1:10" x14ac:dyDescent="0.25">
      <c r="A323" s="2">
        <f t="shared" si="26"/>
        <v>45523</v>
      </c>
      <c r="B323" s="2">
        <f t="shared" si="26"/>
        <v>45529</v>
      </c>
      <c r="C323" s="3" t="s">
        <v>745</v>
      </c>
      <c r="D323" s="3" t="s">
        <v>742</v>
      </c>
      <c r="E323" s="3">
        <v>1</v>
      </c>
      <c r="F323" s="3" t="s">
        <v>806</v>
      </c>
      <c r="G323" s="3" t="str">
        <f>Table13[[#This Row],[Month]]&amp;", "&amp;Table13[[#This Row],[FY]]</f>
        <v>AUG, FY25</v>
      </c>
      <c r="H323" s="3" t="str">
        <f>Table13[[#This Row],[Week]]&amp;", "&amp;Table13[[#This Row],[Month]]&amp;" "&amp;Table13[[#This Row],[FY]]</f>
        <v>Week 8, AUG FY25</v>
      </c>
      <c r="I323" s="3" t="str">
        <f>Table13[[#This Row],[Month]]&amp;", "&amp;Table13[[#This Row],[FY]]</f>
        <v>AUG, FY25</v>
      </c>
      <c r="J323" s="3" t="str">
        <f>"Q"&amp;Table13[[#This Row],[QTR]]&amp;", "&amp;Table13[[#This Row],[FY]]</f>
        <v>Q1, FY25</v>
      </c>
    </row>
    <row r="324" spans="1:10" x14ac:dyDescent="0.25">
      <c r="A324" s="2">
        <f t="shared" si="26"/>
        <v>45530</v>
      </c>
      <c r="B324" s="2">
        <f t="shared" si="26"/>
        <v>45536</v>
      </c>
      <c r="C324" s="3" t="s">
        <v>746</v>
      </c>
      <c r="D324" s="3" t="s">
        <v>742</v>
      </c>
      <c r="E324" s="3">
        <v>1</v>
      </c>
      <c r="F324" s="3" t="s">
        <v>806</v>
      </c>
      <c r="G324" s="3" t="str">
        <f>Table13[[#This Row],[Month]]&amp;", "&amp;Table13[[#This Row],[FY]]</f>
        <v>AUG, FY25</v>
      </c>
      <c r="H324" s="3" t="str">
        <f>Table13[[#This Row],[Week]]&amp;", "&amp;Table13[[#This Row],[Month]]&amp;" "&amp;Table13[[#This Row],[FY]]</f>
        <v>Week 9, AUG FY25</v>
      </c>
      <c r="I324" s="3" t="str">
        <f>Table13[[#This Row],[Month]]&amp;", "&amp;Table13[[#This Row],[FY]]</f>
        <v>AUG, FY25</v>
      </c>
      <c r="J324" s="3" t="str">
        <f>"Q"&amp;Table13[[#This Row],[QTR]]&amp;", "&amp;Table13[[#This Row],[FY]]</f>
        <v>Q1, FY25</v>
      </c>
    </row>
    <row r="325" spans="1:10" x14ac:dyDescent="0.25">
      <c r="A325" s="2">
        <f t="shared" si="26"/>
        <v>45537</v>
      </c>
      <c r="B325" s="2">
        <f t="shared" si="26"/>
        <v>45543</v>
      </c>
      <c r="C325" s="3" t="s">
        <v>747</v>
      </c>
      <c r="D325" s="3" t="s">
        <v>748</v>
      </c>
      <c r="E325" s="3">
        <v>1</v>
      </c>
      <c r="F325" s="3" t="s">
        <v>806</v>
      </c>
      <c r="G325" s="3" t="str">
        <f>Table13[[#This Row],[Month]]&amp;", "&amp;Table13[[#This Row],[FY]]</f>
        <v>SEP, FY25</v>
      </c>
      <c r="H325" s="3" t="str">
        <f>Table13[[#This Row],[Week]]&amp;", "&amp;Table13[[#This Row],[Month]]&amp;" "&amp;Table13[[#This Row],[FY]]</f>
        <v>Week 10, SEP FY25</v>
      </c>
      <c r="I325" s="3" t="str">
        <f>Table13[[#This Row],[Month]]&amp;", "&amp;Table13[[#This Row],[FY]]</f>
        <v>SEP, FY25</v>
      </c>
      <c r="J325" s="3" t="str">
        <f>"Q"&amp;Table13[[#This Row],[QTR]]&amp;", "&amp;Table13[[#This Row],[FY]]</f>
        <v>Q1, FY25</v>
      </c>
    </row>
    <row r="326" spans="1:10" x14ac:dyDescent="0.25">
      <c r="A326" s="2">
        <f t="shared" si="26"/>
        <v>45544</v>
      </c>
      <c r="B326" s="2">
        <f t="shared" si="26"/>
        <v>45550</v>
      </c>
      <c r="C326" s="3" t="s">
        <v>749</v>
      </c>
      <c r="D326" s="3" t="s">
        <v>748</v>
      </c>
      <c r="E326" s="3">
        <v>1</v>
      </c>
      <c r="F326" s="3" t="s">
        <v>806</v>
      </c>
      <c r="G326" s="3" t="str">
        <f>Table13[[#This Row],[Month]]&amp;", "&amp;Table13[[#This Row],[FY]]</f>
        <v>SEP, FY25</v>
      </c>
      <c r="H326" s="3" t="str">
        <f>Table13[[#This Row],[Week]]&amp;", "&amp;Table13[[#This Row],[Month]]&amp;" "&amp;Table13[[#This Row],[FY]]</f>
        <v>Week 11, SEP FY25</v>
      </c>
      <c r="I326" s="3" t="str">
        <f>Table13[[#This Row],[Month]]&amp;", "&amp;Table13[[#This Row],[FY]]</f>
        <v>SEP, FY25</v>
      </c>
      <c r="J326" s="3" t="str">
        <f>"Q"&amp;Table13[[#This Row],[QTR]]&amp;", "&amp;Table13[[#This Row],[FY]]</f>
        <v>Q1, FY25</v>
      </c>
    </row>
    <row r="327" spans="1:10" x14ac:dyDescent="0.25">
      <c r="A327" s="2">
        <f t="shared" si="26"/>
        <v>45551</v>
      </c>
      <c r="B327" s="2">
        <f t="shared" si="26"/>
        <v>45557</v>
      </c>
      <c r="C327" s="3" t="s">
        <v>750</v>
      </c>
      <c r="D327" s="3" t="s">
        <v>748</v>
      </c>
      <c r="E327" s="3">
        <v>1</v>
      </c>
      <c r="F327" s="3" t="s">
        <v>806</v>
      </c>
      <c r="G327" s="3" t="str">
        <f>Table13[[#This Row],[Month]]&amp;", "&amp;Table13[[#This Row],[FY]]</f>
        <v>SEP, FY25</v>
      </c>
      <c r="H327" s="3" t="str">
        <f>Table13[[#This Row],[Week]]&amp;", "&amp;Table13[[#This Row],[Month]]&amp;" "&amp;Table13[[#This Row],[FY]]</f>
        <v>Week 12, SEP FY25</v>
      </c>
      <c r="I327" s="3" t="str">
        <f>Table13[[#This Row],[Month]]&amp;", "&amp;Table13[[#This Row],[FY]]</f>
        <v>SEP, FY25</v>
      </c>
      <c r="J327" s="3" t="str">
        <f>"Q"&amp;Table13[[#This Row],[QTR]]&amp;", "&amp;Table13[[#This Row],[FY]]</f>
        <v>Q1, FY25</v>
      </c>
    </row>
    <row r="328" spans="1:10" x14ac:dyDescent="0.25">
      <c r="A328" s="2">
        <f t="shared" si="26"/>
        <v>45558</v>
      </c>
      <c r="B328" s="2">
        <f t="shared" si="26"/>
        <v>45564</v>
      </c>
      <c r="C328" s="3" t="s">
        <v>751</v>
      </c>
      <c r="D328" s="3" t="s">
        <v>748</v>
      </c>
      <c r="E328" s="3">
        <v>1</v>
      </c>
      <c r="F328" s="3" t="s">
        <v>806</v>
      </c>
      <c r="G328" s="3" t="str">
        <f>Table13[[#This Row],[Month]]&amp;", "&amp;Table13[[#This Row],[FY]]</f>
        <v>SEP, FY25</v>
      </c>
      <c r="H328" s="3" t="str">
        <f>Table13[[#This Row],[Week]]&amp;", "&amp;Table13[[#This Row],[Month]]&amp;" "&amp;Table13[[#This Row],[FY]]</f>
        <v>Week 13, SEP FY25</v>
      </c>
      <c r="I328" s="3" t="str">
        <f>Table13[[#This Row],[Month]]&amp;", "&amp;Table13[[#This Row],[FY]]</f>
        <v>SEP, FY25</v>
      </c>
      <c r="J328" s="3" t="str">
        <f>"Q"&amp;Table13[[#This Row],[QTR]]&amp;", "&amp;Table13[[#This Row],[FY]]</f>
        <v>Q1, FY25</v>
      </c>
    </row>
    <row r="329" spans="1:10" x14ac:dyDescent="0.25">
      <c r="A329" s="2">
        <f t="shared" si="26"/>
        <v>45565</v>
      </c>
      <c r="B329" s="2">
        <f t="shared" si="26"/>
        <v>45571</v>
      </c>
      <c r="C329" s="3" t="s">
        <v>752</v>
      </c>
      <c r="D329" s="3" t="s">
        <v>753</v>
      </c>
      <c r="E329" s="3">
        <v>2</v>
      </c>
      <c r="F329" s="3" t="s">
        <v>806</v>
      </c>
      <c r="G329" s="3" t="str">
        <f>Table13[[#This Row],[Month]]&amp;", "&amp;Table13[[#This Row],[FY]]</f>
        <v>OCT, FY25</v>
      </c>
      <c r="H329" s="3" t="str">
        <f>Table13[[#This Row],[Week]]&amp;", "&amp;Table13[[#This Row],[Month]]&amp;" "&amp;Table13[[#This Row],[FY]]</f>
        <v>Week 14, OCT FY25</v>
      </c>
      <c r="I329" s="3" t="str">
        <f>Table13[[#This Row],[Month]]&amp;", "&amp;Table13[[#This Row],[FY]]</f>
        <v>OCT, FY25</v>
      </c>
      <c r="J329" s="3" t="str">
        <f>"Q"&amp;Table13[[#This Row],[QTR]]&amp;", "&amp;Table13[[#This Row],[FY]]</f>
        <v>Q2, FY25</v>
      </c>
    </row>
    <row r="330" spans="1:10" x14ac:dyDescent="0.25">
      <c r="A330" s="2">
        <f t="shared" si="26"/>
        <v>45572</v>
      </c>
      <c r="B330" s="2">
        <f t="shared" si="26"/>
        <v>45578</v>
      </c>
      <c r="C330" s="3" t="s">
        <v>754</v>
      </c>
      <c r="D330" s="3" t="s">
        <v>753</v>
      </c>
      <c r="E330" s="3">
        <v>2</v>
      </c>
      <c r="F330" s="3" t="s">
        <v>806</v>
      </c>
      <c r="G330" s="3" t="str">
        <f>Table13[[#This Row],[Month]]&amp;", "&amp;Table13[[#This Row],[FY]]</f>
        <v>OCT, FY25</v>
      </c>
      <c r="H330" s="3" t="str">
        <f>Table13[[#This Row],[Week]]&amp;", "&amp;Table13[[#This Row],[Month]]&amp;" "&amp;Table13[[#This Row],[FY]]</f>
        <v>Week 15, OCT FY25</v>
      </c>
      <c r="I330" s="3" t="str">
        <f>Table13[[#This Row],[Month]]&amp;", "&amp;Table13[[#This Row],[FY]]</f>
        <v>OCT, FY25</v>
      </c>
      <c r="J330" s="3" t="str">
        <f>"Q"&amp;Table13[[#This Row],[QTR]]&amp;", "&amp;Table13[[#This Row],[FY]]</f>
        <v>Q2, FY25</v>
      </c>
    </row>
    <row r="331" spans="1:10" x14ac:dyDescent="0.25">
      <c r="A331" s="2">
        <f t="shared" si="26"/>
        <v>45579</v>
      </c>
      <c r="B331" s="2">
        <f t="shared" si="26"/>
        <v>45585</v>
      </c>
      <c r="C331" s="3" t="s">
        <v>755</v>
      </c>
      <c r="D331" s="3" t="s">
        <v>753</v>
      </c>
      <c r="E331" s="3">
        <v>2</v>
      </c>
      <c r="F331" s="3" t="s">
        <v>806</v>
      </c>
      <c r="G331" s="3" t="str">
        <f>Table13[[#This Row],[Month]]&amp;", "&amp;Table13[[#This Row],[FY]]</f>
        <v>OCT, FY25</v>
      </c>
      <c r="H331" s="3" t="str">
        <f>Table13[[#This Row],[Week]]&amp;", "&amp;Table13[[#This Row],[Month]]&amp;" "&amp;Table13[[#This Row],[FY]]</f>
        <v>Week 16, OCT FY25</v>
      </c>
      <c r="I331" s="3" t="str">
        <f>Table13[[#This Row],[Month]]&amp;", "&amp;Table13[[#This Row],[FY]]</f>
        <v>OCT, FY25</v>
      </c>
      <c r="J331" s="3" t="str">
        <f>"Q"&amp;Table13[[#This Row],[QTR]]&amp;", "&amp;Table13[[#This Row],[FY]]</f>
        <v>Q2, FY25</v>
      </c>
    </row>
    <row r="332" spans="1:10" x14ac:dyDescent="0.25">
      <c r="A332" s="2">
        <f t="shared" si="26"/>
        <v>45586</v>
      </c>
      <c r="B332" s="2">
        <f t="shared" si="26"/>
        <v>45592</v>
      </c>
      <c r="C332" s="3" t="s">
        <v>756</v>
      </c>
      <c r="D332" s="3" t="s">
        <v>753</v>
      </c>
      <c r="E332" s="3">
        <v>2</v>
      </c>
      <c r="F332" s="3" t="s">
        <v>806</v>
      </c>
      <c r="G332" s="3" t="str">
        <f>Table13[[#This Row],[Month]]&amp;", "&amp;Table13[[#This Row],[FY]]</f>
        <v>OCT, FY25</v>
      </c>
      <c r="H332" s="3" t="str">
        <f>Table13[[#This Row],[Week]]&amp;", "&amp;Table13[[#This Row],[Month]]&amp;" "&amp;Table13[[#This Row],[FY]]</f>
        <v>Week 17, OCT FY25</v>
      </c>
      <c r="I332" s="3" t="str">
        <f>Table13[[#This Row],[Month]]&amp;", "&amp;Table13[[#This Row],[FY]]</f>
        <v>OCT, FY25</v>
      </c>
      <c r="J332" s="3" t="str">
        <f>"Q"&amp;Table13[[#This Row],[QTR]]&amp;", "&amp;Table13[[#This Row],[FY]]</f>
        <v>Q2, FY25</v>
      </c>
    </row>
    <row r="333" spans="1:10" x14ac:dyDescent="0.25">
      <c r="A333" s="2">
        <f t="shared" si="26"/>
        <v>45593</v>
      </c>
      <c r="B333" s="2">
        <f t="shared" si="26"/>
        <v>45599</v>
      </c>
      <c r="C333" s="3" t="s">
        <v>757</v>
      </c>
      <c r="D333" s="3" t="s">
        <v>758</v>
      </c>
      <c r="E333" s="3">
        <v>2</v>
      </c>
      <c r="F333" s="3" t="s">
        <v>806</v>
      </c>
      <c r="G333" s="3" t="str">
        <f>Table13[[#This Row],[Month]]&amp;", "&amp;Table13[[#This Row],[FY]]</f>
        <v>NOV, FY25</v>
      </c>
      <c r="H333" s="3" t="str">
        <f>Table13[[#This Row],[Week]]&amp;", "&amp;Table13[[#This Row],[Month]]&amp;" "&amp;Table13[[#This Row],[FY]]</f>
        <v>Week 18, NOV FY25</v>
      </c>
      <c r="I333" s="3" t="str">
        <f>Table13[[#This Row],[Month]]&amp;", "&amp;Table13[[#This Row],[FY]]</f>
        <v>NOV, FY25</v>
      </c>
      <c r="J333" s="3" t="str">
        <f>"Q"&amp;Table13[[#This Row],[QTR]]&amp;", "&amp;Table13[[#This Row],[FY]]</f>
        <v>Q2, FY25</v>
      </c>
    </row>
    <row r="334" spans="1:10" x14ac:dyDescent="0.25">
      <c r="A334" s="2">
        <f t="shared" si="26"/>
        <v>45600</v>
      </c>
      <c r="B334" s="2">
        <f t="shared" si="26"/>
        <v>45606</v>
      </c>
      <c r="C334" s="3" t="s">
        <v>759</v>
      </c>
      <c r="D334" s="3" t="s">
        <v>758</v>
      </c>
      <c r="E334" s="3">
        <v>2</v>
      </c>
      <c r="F334" s="3" t="s">
        <v>806</v>
      </c>
      <c r="G334" s="3" t="str">
        <f>Table13[[#This Row],[Month]]&amp;", "&amp;Table13[[#This Row],[FY]]</f>
        <v>NOV, FY25</v>
      </c>
      <c r="H334" s="3" t="str">
        <f>Table13[[#This Row],[Week]]&amp;", "&amp;Table13[[#This Row],[Month]]&amp;" "&amp;Table13[[#This Row],[FY]]</f>
        <v>Week 19, NOV FY25</v>
      </c>
      <c r="I334" s="3" t="str">
        <f>Table13[[#This Row],[Month]]&amp;", "&amp;Table13[[#This Row],[FY]]</f>
        <v>NOV, FY25</v>
      </c>
      <c r="J334" s="3" t="str">
        <f>"Q"&amp;Table13[[#This Row],[QTR]]&amp;", "&amp;Table13[[#This Row],[FY]]</f>
        <v>Q2, FY25</v>
      </c>
    </row>
    <row r="335" spans="1:10" x14ac:dyDescent="0.25">
      <c r="A335" s="2">
        <f t="shared" si="26"/>
        <v>45607</v>
      </c>
      <c r="B335" s="2">
        <f t="shared" si="26"/>
        <v>45613</v>
      </c>
      <c r="C335" s="3" t="s">
        <v>760</v>
      </c>
      <c r="D335" s="3" t="s">
        <v>758</v>
      </c>
      <c r="E335" s="3">
        <v>2</v>
      </c>
      <c r="F335" s="3" t="s">
        <v>806</v>
      </c>
      <c r="G335" s="3" t="str">
        <f>Table13[[#This Row],[Month]]&amp;", "&amp;Table13[[#This Row],[FY]]</f>
        <v>NOV, FY25</v>
      </c>
      <c r="H335" s="3" t="str">
        <f>Table13[[#This Row],[Week]]&amp;", "&amp;Table13[[#This Row],[Month]]&amp;" "&amp;Table13[[#This Row],[FY]]</f>
        <v>Week 20, NOV FY25</v>
      </c>
      <c r="I335" s="3" t="str">
        <f>Table13[[#This Row],[Month]]&amp;", "&amp;Table13[[#This Row],[FY]]</f>
        <v>NOV, FY25</v>
      </c>
      <c r="J335" s="3" t="str">
        <f>"Q"&amp;Table13[[#This Row],[QTR]]&amp;", "&amp;Table13[[#This Row],[FY]]</f>
        <v>Q2, FY25</v>
      </c>
    </row>
    <row r="336" spans="1:10" x14ac:dyDescent="0.25">
      <c r="A336" s="2">
        <f t="shared" ref="A336:B351" si="27">A335+7</f>
        <v>45614</v>
      </c>
      <c r="B336" s="2">
        <f t="shared" si="27"/>
        <v>45620</v>
      </c>
      <c r="C336" s="3" t="s">
        <v>761</v>
      </c>
      <c r="D336" s="3" t="s">
        <v>758</v>
      </c>
      <c r="E336" s="3">
        <v>2</v>
      </c>
      <c r="F336" s="3" t="s">
        <v>806</v>
      </c>
      <c r="G336" s="3" t="str">
        <f>Table13[[#This Row],[Month]]&amp;", "&amp;Table13[[#This Row],[FY]]</f>
        <v>NOV, FY25</v>
      </c>
      <c r="H336" s="3" t="str">
        <f>Table13[[#This Row],[Week]]&amp;", "&amp;Table13[[#This Row],[Month]]&amp;" "&amp;Table13[[#This Row],[FY]]</f>
        <v>Week 21, NOV FY25</v>
      </c>
      <c r="I336" s="3" t="str">
        <f>Table13[[#This Row],[Month]]&amp;", "&amp;Table13[[#This Row],[FY]]</f>
        <v>NOV, FY25</v>
      </c>
      <c r="J336" s="3" t="str">
        <f>"Q"&amp;Table13[[#This Row],[QTR]]&amp;", "&amp;Table13[[#This Row],[FY]]</f>
        <v>Q2, FY25</v>
      </c>
    </row>
    <row r="337" spans="1:10" x14ac:dyDescent="0.25">
      <c r="A337" s="2">
        <f t="shared" si="27"/>
        <v>45621</v>
      </c>
      <c r="B337" s="2">
        <f t="shared" si="27"/>
        <v>45627</v>
      </c>
      <c r="C337" s="3" t="s">
        <v>762</v>
      </c>
      <c r="D337" s="3" t="s">
        <v>758</v>
      </c>
      <c r="E337" s="3">
        <v>2</v>
      </c>
      <c r="F337" s="3" t="s">
        <v>806</v>
      </c>
      <c r="G337" s="3" t="str">
        <f>Table13[[#This Row],[Month]]&amp;", "&amp;Table13[[#This Row],[FY]]</f>
        <v>NOV, FY25</v>
      </c>
      <c r="H337" s="3" t="str">
        <f>Table13[[#This Row],[Week]]&amp;", "&amp;Table13[[#This Row],[Month]]&amp;" "&amp;Table13[[#This Row],[FY]]</f>
        <v>Week 22, NOV FY25</v>
      </c>
      <c r="I337" s="3" t="str">
        <f>Table13[[#This Row],[Month]]&amp;", "&amp;Table13[[#This Row],[FY]]</f>
        <v>NOV, FY25</v>
      </c>
      <c r="J337" s="3" t="str">
        <f>"Q"&amp;Table13[[#This Row],[QTR]]&amp;", "&amp;Table13[[#This Row],[FY]]</f>
        <v>Q2, FY25</v>
      </c>
    </row>
    <row r="338" spans="1:10" x14ac:dyDescent="0.25">
      <c r="A338" s="2">
        <f t="shared" si="27"/>
        <v>45628</v>
      </c>
      <c r="B338" s="2">
        <f t="shared" si="27"/>
        <v>45634</v>
      </c>
      <c r="C338" s="3" t="s">
        <v>763</v>
      </c>
      <c r="D338" s="3" t="s">
        <v>764</v>
      </c>
      <c r="E338" s="3">
        <v>2</v>
      </c>
      <c r="F338" s="3" t="s">
        <v>806</v>
      </c>
      <c r="G338" s="3" t="str">
        <f>Table13[[#This Row],[Month]]&amp;", "&amp;Table13[[#This Row],[FY]]</f>
        <v>DEC, FY25</v>
      </c>
      <c r="H338" s="3" t="str">
        <f>Table13[[#This Row],[Week]]&amp;", "&amp;Table13[[#This Row],[Month]]&amp;" "&amp;Table13[[#This Row],[FY]]</f>
        <v>Week 23, DEC FY25</v>
      </c>
      <c r="I338" s="3" t="str">
        <f>Table13[[#This Row],[Month]]&amp;", "&amp;Table13[[#This Row],[FY]]</f>
        <v>DEC, FY25</v>
      </c>
      <c r="J338" s="3" t="str">
        <f>"Q"&amp;Table13[[#This Row],[QTR]]&amp;", "&amp;Table13[[#This Row],[FY]]</f>
        <v>Q2, FY25</v>
      </c>
    </row>
    <row r="339" spans="1:10" x14ac:dyDescent="0.25">
      <c r="A339" s="2">
        <f t="shared" si="27"/>
        <v>45635</v>
      </c>
      <c r="B339" s="2">
        <f t="shared" si="27"/>
        <v>45641</v>
      </c>
      <c r="C339" s="3" t="s">
        <v>765</v>
      </c>
      <c r="D339" s="3" t="s">
        <v>764</v>
      </c>
      <c r="E339" s="3">
        <v>2</v>
      </c>
      <c r="F339" s="3" t="s">
        <v>806</v>
      </c>
      <c r="G339" s="3" t="str">
        <f>Table13[[#This Row],[Month]]&amp;", "&amp;Table13[[#This Row],[FY]]</f>
        <v>DEC, FY25</v>
      </c>
      <c r="H339" s="3" t="str">
        <f>Table13[[#This Row],[Week]]&amp;", "&amp;Table13[[#This Row],[Month]]&amp;" "&amp;Table13[[#This Row],[FY]]</f>
        <v>Week 24, DEC FY25</v>
      </c>
      <c r="I339" s="3" t="str">
        <f>Table13[[#This Row],[Month]]&amp;", "&amp;Table13[[#This Row],[FY]]</f>
        <v>DEC, FY25</v>
      </c>
      <c r="J339" s="3" t="str">
        <f>"Q"&amp;Table13[[#This Row],[QTR]]&amp;", "&amp;Table13[[#This Row],[FY]]</f>
        <v>Q2, FY25</v>
      </c>
    </row>
    <row r="340" spans="1:10" x14ac:dyDescent="0.25">
      <c r="A340" s="2">
        <f t="shared" si="27"/>
        <v>45642</v>
      </c>
      <c r="B340" s="2">
        <f t="shared" si="27"/>
        <v>45648</v>
      </c>
      <c r="C340" s="3" t="s">
        <v>766</v>
      </c>
      <c r="D340" s="3" t="s">
        <v>764</v>
      </c>
      <c r="E340" s="3">
        <v>2</v>
      </c>
      <c r="F340" s="3" t="s">
        <v>806</v>
      </c>
      <c r="G340" s="3" t="str">
        <f>Table13[[#This Row],[Month]]&amp;", "&amp;Table13[[#This Row],[FY]]</f>
        <v>DEC, FY25</v>
      </c>
      <c r="H340" s="3" t="str">
        <f>Table13[[#This Row],[Week]]&amp;", "&amp;Table13[[#This Row],[Month]]&amp;" "&amp;Table13[[#This Row],[FY]]</f>
        <v>Week 25, DEC FY25</v>
      </c>
      <c r="I340" s="3" t="str">
        <f>Table13[[#This Row],[Month]]&amp;", "&amp;Table13[[#This Row],[FY]]</f>
        <v>DEC, FY25</v>
      </c>
      <c r="J340" s="3" t="str">
        <f>"Q"&amp;Table13[[#This Row],[QTR]]&amp;", "&amp;Table13[[#This Row],[FY]]</f>
        <v>Q2, FY25</v>
      </c>
    </row>
    <row r="341" spans="1:10" x14ac:dyDescent="0.25">
      <c r="A341" s="2">
        <f t="shared" si="27"/>
        <v>45649</v>
      </c>
      <c r="B341" s="2">
        <f t="shared" si="27"/>
        <v>45655</v>
      </c>
      <c r="C341" s="3" t="s">
        <v>767</v>
      </c>
      <c r="D341" s="3" t="s">
        <v>764</v>
      </c>
      <c r="E341" s="3">
        <v>2</v>
      </c>
      <c r="F341" s="3" t="s">
        <v>806</v>
      </c>
      <c r="G341" s="3" t="str">
        <f>Table13[[#This Row],[Month]]&amp;", "&amp;Table13[[#This Row],[FY]]</f>
        <v>DEC, FY25</v>
      </c>
      <c r="H341" s="3" t="str">
        <f>Table13[[#This Row],[Week]]&amp;", "&amp;Table13[[#This Row],[Month]]&amp;" "&amp;Table13[[#This Row],[FY]]</f>
        <v>Week 26, DEC FY25</v>
      </c>
      <c r="I341" s="3" t="str">
        <f>Table13[[#This Row],[Month]]&amp;", "&amp;Table13[[#This Row],[FY]]</f>
        <v>DEC, FY25</v>
      </c>
      <c r="J341" s="3" t="str">
        <f>"Q"&amp;Table13[[#This Row],[QTR]]&amp;", "&amp;Table13[[#This Row],[FY]]</f>
        <v>Q2, FY25</v>
      </c>
    </row>
    <row r="342" spans="1:10" x14ac:dyDescent="0.25">
      <c r="A342" s="2">
        <f t="shared" si="27"/>
        <v>45656</v>
      </c>
      <c r="B342" s="2">
        <f t="shared" si="27"/>
        <v>45662</v>
      </c>
      <c r="C342" s="3" t="s">
        <v>768</v>
      </c>
      <c r="D342" s="3" t="s">
        <v>769</v>
      </c>
      <c r="E342" s="3">
        <v>3</v>
      </c>
      <c r="F342" s="3" t="s">
        <v>806</v>
      </c>
      <c r="G342" s="3" t="str">
        <f>Table13[[#This Row],[Month]]&amp;", "&amp;Table13[[#This Row],[FY]]</f>
        <v>JAN, FY25</v>
      </c>
      <c r="H342" s="3" t="str">
        <f>Table13[[#This Row],[Week]]&amp;", "&amp;Table13[[#This Row],[Month]]&amp;" "&amp;Table13[[#This Row],[FY]]</f>
        <v>Week 27, JAN FY25</v>
      </c>
      <c r="I342" s="3" t="str">
        <f>Table13[[#This Row],[Month]]&amp;", "&amp;Table13[[#This Row],[FY]]</f>
        <v>JAN, FY25</v>
      </c>
      <c r="J342" s="3" t="str">
        <f>"Q"&amp;Table13[[#This Row],[QTR]]&amp;", "&amp;Table13[[#This Row],[FY]]</f>
        <v>Q3, FY25</v>
      </c>
    </row>
    <row r="343" spans="1:10" x14ac:dyDescent="0.25">
      <c r="A343" s="2">
        <f t="shared" si="27"/>
        <v>45663</v>
      </c>
      <c r="B343" s="2">
        <f t="shared" si="27"/>
        <v>45669</v>
      </c>
      <c r="C343" s="3" t="s">
        <v>770</v>
      </c>
      <c r="D343" s="3" t="s">
        <v>769</v>
      </c>
      <c r="E343" s="3">
        <v>3</v>
      </c>
      <c r="F343" s="3" t="s">
        <v>806</v>
      </c>
      <c r="G343" s="3" t="str">
        <f>Table13[[#This Row],[Month]]&amp;", "&amp;Table13[[#This Row],[FY]]</f>
        <v>JAN, FY25</v>
      </c>
      <c r="H343" s="3" t="str">
        <f>Table13[[#This Row],[Week]]&amp;", "&amp;Table13[[#This Row],[Month]]&amp;" "&amp;Table13[[#This Row],[FY]]</f>
        <v>Week 28, JAN FY25</v>
      </c>
      <c r="I343" s="3" t="str">
        <f>Table13[[#This Row],[Month]]&amp;", "&amp;Table13[[#This Row],[FY]]</f>
        <v>JAN, FY25</v>
      </c>
      <c r="J343" s="3" t="str">
        <f>"Q"&amp;Table13[[#This Row],[QTR]]&amp;", "&amp;Table13[[#This Row],[FY]]</f>
        <v>Q3, FY25</v>
      </c>
    </row>
    <row r="344" spans="1:10" x14ac:dyDescent="0.25">
      <c r="A344" s="2">
        <f t="shared" si="27"/>
        <v>45670</v>
      </c>
      <c r="B344" s="2">
        <f t="shared" si="27"/>
        <v>45676</v>
      </c>
      <c r="C344" s="3" t="s">
        <v>771</v>
      </c>
      <c r="D344" s="3" t="s">
        <v>769</v>
      </c>
      <c r="E344" s="3">
        <v>3</v>
      </c>
      <c r="F344" s="3" t="s">
        <v>806</v>
      </c>
      <c r="G344" s="3" t="str">
        <f>Table13[[#This Row],[Month]]&amp;", "&amp;Table13[[#This Row],[FY]]</f>
        <v>JAN, FY25</v>
      </c>
      <c r="H344" s="3" t="str">
        <f>Table13[[#This Row],[Week]]&amp;", "&amp;Table13[[#This Row],[Month]]&amp;" "&amp;Table13[[#This Row],[FY]]</f>
        <v>Week 29, JAN FY25</v>
      </c>
      <c r="I344" s="3" t="str">
        <f>Table13[[#This Row],[Month]]&amp;", "&amp;Table13[[#This Row],[FY]]</f>
        <v>JAN, FY25</v>
      </c>
      <c r="J344" s="3" t="str">
        <f>"Q"&amp;Table13[[#This Row],[QTR]]&amp;", "&amp;Table13[[#This Row],[FY]]</f>
        <v>Q3, FY25</v>
      </c>
    </row>
    <row r="345" spans="1:10" x14ac:dyDescent="0.25">
      <c r="A345" s="2">
        <f t="shared" si="27"/>
        <v>45677</v>
      </c>
      <c r="B345" s="2">
        <f t="shared" si="27"/>
        <v>45683</v>
      </c>
      <c r="C345" s="3" t="s">
        <v>772</v>
      </c>
      <c r="D345" s="3" t="s">
        <v>769</v>
      </c>
      <c r="E345" s="3">
        <v>3</v>
      </c>
      <c r="F345" s="3" t="s">
        <v>806</v>
      </c>
      <c r="G345" s="3" t="str">
        <f>Table13[[#This Row],[Month]]&amp;", "&amp;Table13[[#This Row],[FY]]</f>
        <v>JAN, FY25</v>
      </c>
      <c r="H345" s="3" t="str">
        <f>Table13[[#This Row],[Week]]&amp;", "&amp;Table13[[#This Row],[Month]]&amp;" "&amp;Table13[[#This Row],[FY]]</f>
        <v>Week 30, JAN FY25</v>
      </c>
      <c r="I345" s="3" t="str">
        <f>Table13[[#This Row],[Month]]&amp;", "&amp;Table13[[#This Row],[FY]]</f>
        <v>JAN, FY25</v>
      </c>
      <c r="J345" s="3" t="str">
        <f>"Q"&amp;Table13[[#This Row],[QTR]]&amp;", "&amp;Table13[[#This Row],[FY]]</f>
        <v>Q3, FY25</v>
      </c>
    </row>
    <row r="346" spans="1:10" x14ac:dyDescent="0.25">
      <c r="A346" s="2">
        <f t="shared" si="27"/>
        <v>45684</v>
      </c>
      <c r="B346" s="2">
        <f t="shared" si="27"/>
        <v>45690</v>
      </c>
      <c r="C346" s="3" t="s">
        <v>773</v>
      </c>
      <c r="D346" s="3" t="s">
        <v>774</v>
      </c>
      <c r="E346" s="3">
        <v>3</v>
      </c>
      <c r="F346" s="3" t="s">
        <v>806</v>
      </c>
      <c r="G346" s="3" t="str">
        <f>Table13[[#This Row],[Month]]&amp;", "&amp;Table13[[#This Row],[FY]]</f>
        <v>FEB, FY25</v>
      </c>
      <c r="H346" s="3" t="str">
        <f>Table13[[#This Row],[Week]]&amp;", "&amp;Table13[[#This Row],[Month]]&amp;" "&amp;Table13[[#This Row],[FY]]</f>
        <v>Week 31, FEB FY25</v>
      </c>
      <c r="I346" s="3" t="str">
        <f>Table13[[#This Row],[Month]]&amp;", "&amp;Table13[[#This Row],[FY]]</f>
        <v>FEB, FY25</v>
      </c>
      <c r="J346" s="3" t="str">
        <f>"Q"&amp;Table13[[#This Row],[QTR]]&amp;", "&amp;Table13[[#This Row],[FY]]</f>
        <v>Q3, FY25</v>
      </c>
    </row>
    <row r="347" spans="1:10" x14ac:dyDescent="0.25">
      <c r="A347" s="2">
        <f t="shared" si="27"/>
        <v>45691</v>
      </c>
      <c r="B347" s="2">
        <f t="shared" si="27"/>
        <v>45697</v>
      </c>
      <c r="C347" s="3" t="s">
        <v>775</v>
      </c>
      <c r="D347" s="3" t="s">
        <v>774</v>
      </c>
      <c r="E347" s="3">
        <v>3</v>
      </c>
      <c r="F347" s="3" t="s">
        <v>806</v>
      </c>
      <c r="G347" s="3" t="str">
        <f>Table13[[#This Row],[Month]]&amp;", "&amp;Table13[[#This Row],[FY]]</f>
        <v>FEB, FY25</v>
      </c>
      <c r="H347" s="3" t="str">
        <f>Table13[[#This Row],[Week]]&amp;", "&amp;Table13[[#This Row],[Month]]&amp;" "&amp;Table13[[#This Row],[FY]]</f>
        <v>Week 32, FEB FY25</v>
      </c>
      <c r="I347" s="3" t="str">
        <f>Table13[[#This Row],[Month]]&amp;", "&amp;Table13[[#This Row],[FY]]</f>
        <v>FEB, FY25</v>
      </c>
      <c r="J347" s="3" t="str">
        <f>"Q"&amp;Table13[[#This Row],[QTR]]&amp;", "&amp;Table13[[#This Row],[FY]]</f>
        <v>Q3, FY25</v>
      </c>
    </row>
    <row r="348" spans="1:10" x14ac:dyDescent="0.25">
      <c r="A348" s="2">
        <f t="shared" si="27"/>
        <v>45698</v>
      </c>
      <c r="B348" s="2">
        <f t="shared" si="27"/>
        <v>45704</v>
      </c>
      <c r="C348" s="3" t="s">
        <v>776</v>
      </c>
      <c r="D348" s="3" t="s">
        <v>774</v>
      </c>
      <c r="E348" s="3">
        <v>3</v>
      </c>
      <c r="F348" s="3" t="s">
        <v>806</v>
      </c>
      <c r="G348" s="3" t="str">
        <f>Table13[[#This Row],[Month]]&amp;", "&amp;Table13[[#This Row],[FY]]</f>
        <v>FEB, FY25</v>
      </c>
      <c r="H348" s="3" t="str">
        <f>Table13[[#This Row],[Week]]&amp;", "&amp;Table13[[#This Row],[Month]]&amp;" "&amp;Table13[[#This Row],[FY]]</f>
        <v>Week 33, FEB FY25</v>
      </c>
      <c r="I348" s="3" t="str">
        <f>Table13[[#This Row],[Month]]&amp;", "&amp;Table13[[#This Row],[FY]]</f>
        <v>FEB, FY25</v>
      </c>
      <c r="J348" s="3" t="str">
        <f>"Q"&amp;Table13[[#This Row],[QTR]]&amp;", "&amp;Table13[[#This Row],[FY]]</f>
        <v>Q3, FY25</v>
      </c>
    </row>
    <row r="349" spans="1:10" x14ac:dyDescent="0.25">
      <c r="A349" s="2">
        <f t="shared" si="27"/>
        <v>45705</v>
      </c>
      <c r="B349" s="2">
        <f t="shared" si="27"/>
        <v>45711</v>
      </c>
      <c r="C349" s="3" t="s">
        <v>777</v>
      </c>
      <c r="D349" s="3" t="s">
        <v>774</v>
      </c>
      <c r="E349" s="3">
        <v>3</v>
      </c>
      <c r="F349" s="3" t="s">
        <v>806</v>
      </c>
      <c r="G349" s="3" t="str">
        <f>Table13[[#This Row],[Month]]&amp;", "&amp;Table13[[#This Row],[FY]]</f>
        <v>FEB, FY25</v>
      </c>
      <c r="H349" s="3" t="str">
        <f>Table13[[#This Row],[Week]]&amp;", "&amp;Table13[[#This Row],[Month]]&amp;" "&amp;Table13[[#This Row],[FY]]</f>
        <v>Week 34, FEB FY25</v>
      </c>
      <c r="I349" s="3" t="str">
        <f>Table13[[#This Row],[Month]]&amp;", "&amp;Table13[[#This Row],[FY]]</f>
        <v>FEB, FY25</v>
      </c>
      <c r="J349" s="3" t="str">
        <f>"Q"&amp;Table13[[#This Row],[QTR]]&amp;", "&amp;Table13[[#This Row],[FY]]</f>
        <v>Q3, FY25</v>
      </c>
    </row>
    <row r="350" spans="1:10" x14ac:dyDescent="0.25">
      <c r="A350" s="2">
        <f t="shared" si="27"/>
        <v>45712</v>
      </c>
      <c r="B350" s="2">
        <f t="shared" si="27"/>
        <v>45718</v>
      </c>
      <c r="C350" s="3" t="s">
        <v>778</v>
      </c>
      <c r="D350" s="3" t="s">
        <v>774</v>
      </c>
      <c r="E350" s="3">
        <v>3</v>
      </c>
      <c r="F350" s="3" t="s">
        <v>806</v>
      </c>
      <c r="G350" s="3" t="str">
        <f>Table13[[#This Row],[Month]]&amp;", "&amp;Table13[[#This Row],[FY]]</f>
        <v>FEB, FY25</v>
      </c>
      <c r="H350" s="3" t="str">
        <f>Table13[[#This Row],[Week]]&amp;", "&amp;Table13[[#This Row],[Month]]&amp;" "&amp;Table13[[#This Row],[FY]]</f>
        <v>Week 35, FEB FY25</v>
      </c>
      <c r="I350" s="3" t="str">
        <f>Table13[[#This Row],[Month]]&amp;", "&amp;Table13[[#This Row],[FY]]</f>
        <v>FEB, FY25</v>
      </c>
      <c r="J350" s="3" t="str">
        <f>"Q"&amp;Table13[[#This Row],[QTR]]&amp;", "&amp;Table13[[#This Row],[FY]]</f>
        <v>Q3, FY25</v>
      </c>
    </row>
    <row r="351" spans="1:10" x14ac:dyDescent="0.25">
      <c r="A351" s="2">
        <f t="shared" si="27"/>
        <v>45719</v>
      </c>
      <c r="B351" s="2">
        <f t="shared" si="27"/>
        <v>45725</v>
      </c>
      <c r="C351" s="3" t="s">
        <v>779</v>
      </c>
      <c r="D351" s="3" t="s">
        <v>780</v>
      </c>
      <c r="E351" s="3">
        <v>3</v>
      </c>
      <c r="F351" s="3" t="s">
        <v>806</v>
      </c>
      <c r="G351" s="3" t="str">
        <f>Table13[[#This Row],[Month]]&amp;", "&amp;Table13[[#This Row],[FY]]</f>
        <v>MAR, FY25</v>
      </c>
      <c r="H351" s="3" t="str">
        <f>Table13[[#This Row],[Week]]&amp;", "&amp;Table13[[#This Row],[Month]]&amp;" "&amp;Table13[[#This Row],[FY]]</f>
        <v>Week 36, MAR FY25</v>
      </c>
      <c r="I351" s="3" t="str">
        <f>Table13[[#This Row],[Month]]&amp;", "&amp;Table13[[#This Row],[FY]]</f>
        <v>MAR, FY25</v>
      </c>
      <c r="J351" s="3" t="str">
        <f>"Q"&amp;Table13[[#This Row],[QTR]]&amp;", "&amp;Table13[[#This Row],[FY]]</f>
        <v>Q3, FY25</v>
      </c>
    </row>
    <row r="352" spans="1:10" x14ac:dyDescent="0.25">
      <c r="A352" s="2">
        <f t="shared" ref="A352:B367" si="28">A351+7</f>
        <v>45726</v>
      </c>
      <c r="B352" s="2">
        <f t="shared" si="28"/>
        <v>45732</v>
      </c>
      <c r="C352" s="3" t="s">
        <v>781</v>
      </c>
      <c r="D352" s="3" t="s">
        <v>780</v>
      </c>
      <c r="E352" s="3">
        <v>3</v>
      </c>
      <c r="F352" s="3" t="s">
        <v>806</v>
      </c>
      <c r="G352" s="3" t="str">
        <f>Table13[[#This Row],[Month]]&amp;", "&amp;Table13[[#This Row],[FY]]</f>
        <v>MAR, FY25</v>
      </c>
      <c r="H352" s="3" t="str">
        <f>Table13[[#This Row],[Week]]&amp;", "&amp;Table13[[#This Row],[Month]]&amp;" "&amp;Table13[[#This Row],[FY]]</f>
        <v>Week 37, MAR FY25</v>
      </c>
      <c r="I352" s="3" t="str">
        <f>Table13[[#This Row],[Month]]&amp;", "&amp;Table13[[#This Row],[FY]]</f>
        <v>MAR, FY25</v>
      </c>
      <c r="J352" s="3" t="str">
        <f>"Q"&amp;Table13[[#This Row],[QTR]]&amp;", "&amp;Table13[[#This Row],[FY]]</f>
        <v>Q3, FY25</v>
      </c>
    </row>
    <row r="353" spans="1:10" x14ac:dyDescent="0.25">
      <c r="A353" s="2">
        <f t="shared" si="28"/>
        <v>45733</v>
      </c>
      <c r="B353" s="2">
        <f t="shared" si="28"/>
        <v>45739</v>
      </c>
      <c r="C353" s="3" t="s">
        <v>782</v>
      </c>
      <c r="D353" s="3" t="s">
        <v>780</v>
      </c>
      <c r="E353" s="3">
        <v>3</v>
      </c>
      <c r="F353" s="3" t="s">
        <v>806</v>
      </c>
      <c r="G353" s="3" t="str">
        <f>Table13[[#This Row],[Month]]&amp;", "&amp;Table13[[#This Row],[FY]]</f>
        <v>MAR, FY25</v>
      </c>
      <c r="H353" s="3" t="str">
        <f>Table13[[#This Row],[Week]]&amp;", "&amp;Table13[[#This Row],[Month]]&amp;" "&amp;Table13[[#This Row],[FY]]</f>
        <v>Week 38, MAR FY25</v>
      </c>
      <c r="I353" s="3" t="str">
        <f>Table13[[#This Row],[Month]]&amp;", "&amp;Table13[[#This Row],[FY]]</f>
        <v>MAR, FY25</v>
      </c>
      <c r="J353" s="3" t="str">
        <f>"Q"&amp;Table13[[#This Row],[QTR]]&amp;", "&amp;Table13[[#This Row],[FY]]</f>
        <v>Q3, FY25</v>
      </c>
    </row>
    <row r="354" spans="1:10" x14ac:dyDescent="0.25">
      <c r="A354" s="2">
        <f t="shared" si="28"/>
        <v>45740</v>
      </c>
      <c r="B354" s="2">
        <f t="shared" si="28"/>
        <v>45746</v>
      </c>
      <c r="C354" s="3" t="s">
        <v>783</v>
      </c>
      <c r="D354" s="3" t="s">
        <v>780</v>
      </c>
      <c r="E354" s="3">
        <v>3</v>
      </c>
      <c r="F354" s="3" t="s">
        <v>806</v>
      </c>
      <c r="G354" s="3" t="str">
        <f>Table13[[#This Row],[Month]]&amp;", "&amp;Table13[[#This Row],[FY]]</f>
        <v>MAR, FY25</v>
      </c>
      <c r="H354" s="3" t="str">
        <f>Table13[[#This Row],[Week]]&amp;", "&amp;Table13[[#This Row],[Month]]&amp;" "&amp;Table13[[#This Row],[FY]]</f>
        <v>Week 39, MAR FY25</v>
      </c>
      <c r="I354" s="3" t="str">
        <f>Table13[[#This Row],[Month]]&amp;", "&amp;Table13[[#This Row],[FY]]</f>
        <v>MAR, FY25</v>
      </c>
      <c r="J354" s="3" t="str">
        <f>"Q"&amp;Table13[[#This Row],[QTR]]&amp;", "&amp;Table13[[#This Row],[FY]]</f>
        <v>Q3, FY25</v>
      </c>
    </row>
    <row r="355" spans="1:10" x14ac:dyDescent="0.25">
      <c r="A355" s="2">
        <f t="shared" si="28"/>
        <v>45747</v>
      </c>
      <c r="B355" s="2">
        <f t="shared" si="28"/>
        <v>45753</v>
      </c>
      <c r="C355" s="3" t="s">
        <v>784</v>
      </c>
      <c r="D355" s="3" t="s">
        <v>785</v>
      </c>
      <c r="E355" s="3">
        <v>4</v>
      </c>
      <c r="F355" s="3" t="s">
        <v>806</v>
      </c>
      <c r="G355" s="3" t="str">
        <f>Table13[[#This Row],[Month]]&amp;", "&amp;Table13[[#This Row],[FY]]</f>
        <v>APR, FY25</v>
      </c>
      <c r="H355" s="3" t="str">
        <f>Table13[[#This Row],[Week]]&amp;", "&amp;Table13[[#This Row],[Month]]&amp;" "&amp;Table13[[#This Row],[FY]]</f>
        <v>Week 40, APR FY25</v>
      </c>
      <c r="I355" s="3" t="str">
        <f>Table13[[#This Row],[Month]]&amp;", "&amp;Table13[[#This Row],[FY]]</f>
        <v>APR, FY25</v>
      </c>
      <c r="J355" s="3" t="str">
        <f>"Q"&amp;Table13[[#This Row],[QTR]]&amp;", "&amp;Table13[[#This Row],[FY]]</f>
        <v>Q4, FY25</v>
      </c>
    </row>
    <row r="356" spans="1:10" x14ac:dyDescent="0.25">
      <c r="A356" s="2">
        <f t="shared" si="28"/>
        <v>45754</v>
      </c>
      <c r="B356" s="2">
        <f t="shared" si="28"/>
        <v>45760</v>
      </c>
      <c r="C356" s="3" t="s">
        <v>786</v>
      </c>
      <c r="D356" s="3" t="s">
        <v>785</v>
      </c>
      <c r="E356" s="3">
        <v>4</v>
      </c>
      <c r="F356" s="3" t="s">
        <v>806</v>
      </c>
      <c r="G356" s="3" t="str">
        <f>Table13[[#This Row],[Month]]&amp;", "&amp;Table13[[#This Row],[FY]]</f>
        <v>APR, FY25</v>
      </c>
      <c r="H356" s="3" t="str">
        <f>Table13[[#This Row],[Week]]&amp;", "&amp;Table13[[#This Row],[Month]]&amp;" "&amp;Table13[[#This Row],[FY]]</f>
        <v>Week 41, APR FY25</v>
      </c>
      <c r="I356" s="3" t="str">
        <f>Table13[[#This Row],[Month]]&amp;", "&amp;Table13[[#This Row],[FY]]</f>
        <v>APR, FY25</v>
      </c>
      <c r="J356" s="3" t="str">
        <f>"Q"&amp;Table13[[#This Row],[QTR]]&amp;", "&amp;Table13[[#This Row],[FY]]</f>
        <v>Q4, FY25</v>
      </c>
    </row>
    <row r="357" spans="1:10" x14ac:dyDescent="0.25">
      <c r="A357" s="2">
        <f t="shared" si="28"/>
        <v>45761</v>
      </c>
      <c r="B357" s="2">
        <f t="shared" si="28"/>
        <v>45767</v>
      </c>
      <c r="C357" s="3" t="s">
        <v>787</v>
      </c>
      <c r="D357" s="3" t="s">
        <v>785</v>
      </c>
      <c r="E357" s="3">
        <v>4</v>
      </c>
      <c r="F357" s="3" t="s">
        <v>806</v>
      </c>
      <c r="G357" s="3" t="str">
        <f>Table13[[#This Row],[Month]]&amp;", "&amp;Table13[[#This Row],[FY]]</f>
        <v>APR, FY25</v>
      </c>
      <c r="H357" s="3" t="str">
        <f>Table13[[#This Row],[Week]]&amp;", "&amp;Table13[[#This Row],[Month]]&amp;" "&amp;Table13[[#This Row],[FY]]</f>
        <v>Week 42, APR FY25</v>
      </c>
      <c r="I357" s="3" t="str">
        <f>Table13[[#This Row],[Month]]&amp;", "&amp;Table13[[#This Row],[FY]]</f>
        <v>APR, FY25</v>
      </c>
      <c r="J357" s="3" t="str">
        <f>"Q"&amp;Table13[[#This Row],[QTR]]&amp;", "&amp;Table13[[#This Row],[FY]]</f>
        <v>Q4, FY25</v>
      </c>
    </row>
    <row r="358" spans="1:10" x14ac:dyDescent="0.25">
      <c r="A358" s="2">
        <f t="shared" si="28"/>
        <v>45768</v>
      </c>
      <c r="B358" s="2">
        <f t="shared" si="28"/>
        <v>45774</v>
      </c>
      <c r="C358" s="3" t="s">
        <v>788</v>
      </c>
      <c r="D358" s="3" t="s">
        <v>785</v>
      </c>
      <c r="E358" s="3">
        <v>4</v>
      </c>
      <c r="F358" s="3" t="s">
        <v>806</v>
      </c>
      <c r="G358" s="3" t="str">
        <f>Table13[[#This Row],[Month]]&amp;", "&amp;Table13[[#This Row],[FY]]</f>
        <v>APR, FY25</v>
      </c>
      <c r="H358" s="3" t="str">
        <f>Table13[[#This Row],[Week]]&amp;", "&amp;Table13[[#This Row],[Month]]&amp;" "&amp;Table13[[#This Row],[FY]]</f>
        <v>Week 43, APR FY25</v>
      </c>
      <c r="I358" s="3" t="str">
        <f>Table13[[#This Row],[Month]]&amp;", "&amp;Table13[[#This Row],[FY]]</f>
        <v>APR, FY25</v>
      </c>
      <c r="J358" s="3" t="str">
        <f>"Q"&amp;Table13[[#This Row],[QTR]]&amp;", "&amp;Table13[[#This Row],[FY]]</f>
        <v>Q4, FY25</v>
      </c>
    </row>
    <row r="359" spans="1:10" x14ac:dyDescent="0.25">
      <c r="A359" s="2">
        <f t="shared" si="28"/>
        <v>45775</v>
      </c>
      <c r="B359" s="2">
        <f t="shared" si="28"/>
        <v>45781</v>
      </c>
      <c r="C359" s="3" t="s">
        <v>789</v>
      </c>
      <c r="D359" s="3" t="s">
        <v>790</v>
      </c>
      <c r="E359" s="3">
        <v>4</v>
      </c>
      <c r="F359" s="3" t="s">
        <v>806</v>
      </c>
      <c r="G359" s="3" t="str">
        <f>Table13[[#This Row],[Month]]&amp;", "&amp;Table13[[#This Row],[FY]]</f>
        <v>MAY, FY25</v>
      </c>
      <c r="H359" s="3" t="str">
        <f>Table13[[#This Row],[Week]]&amp;", "&amp;Table13[[#This Row],[Month]]&amp;" "&amp;Table13[[#This Row],[FY]]</f>
        <v>Week 44, MAY FY25</v>
      </c>
      <c r="I359" s="3" t="str">
        <f>Table13[[#This Row],[Month]]&amp;", "&amp;Table13[[#This Row],[FY]]</f>
        <v>MAY, FY25</v>
      </c>
      <c r="J359" s="3" t="str">
        <f>"Q"&amp;Table13[[#This Row],[QTR]]&amp;", "&amp;Table13[[#This Row],[FY]]</f>
        <v>Q4, FY25</v>
      </c>
    </row>
    <row r="360" spans="1:10" x14ac:dyDescent="0.25">
      <c r="A360" s="2">
        <f t="shared" si="28"/>
        <v>45782</v>
      </c>
      <c r="B360" s="2">
        <f t="shared" si="28"/>
        <v>45788</v>
      </c>
      <c r="C360" s="3" t="s">
        <v>791</v>
      </c>
      <c r="D360" s="3" t="s">
        <v>790</v>
      </c>
      <c r="E360" s="3">
        <v>4</v>
      </c>
      <c r="F360" s="3" t="s">
        <v>806</v>
      </c>
      <c r="G360" s="3" t="str">
        <f>Table13[[#This Row],[Month]]&amp;", "&amp;Table13[[#This Row],[FY]]</f>
        <v>MAY, FY25</v>
      </c>
      <c r="H360" s="3" t="str">
        <f>Table13[[#This Row],[Week]]&amp;", "&amp;Table13[[#This Row],[Month]]&amp;" "&amp;Table13[[#This Row],[FY]]</f>
        <v>Week 45, MAY FY25</v>
      </c>
      <c r="I360" s="3" t="str">
        <f>Table13[[#This Row],[Month]]&amp;", "&amp;Table13[[#This Row],[FY]]</f>
        <v>MAY, FY25</v>
      </c>
      <c r="J360" s="3" t="str">
        <f>"Q"&amp;Table13[[#This Row],[QTR]]&amp;", "&amp;Table13[[#This Row],[FY]]</f>
        <v>Q4, FY25</v>
      </c>
    </row>
    <row r="361" spans="1:10" x14ac:dyDescent="0.25">
      <c r="A361" s="2">
        <f t="shared" si="28"/>
        <v>45789</v>
      </c>
      <c r="B361" s="2">
        <f t="shared" si="28"/>
        <v>45795</v>
      </c>
      <c r="C361" s="3" t="s">
        <v>792</v>
      </c>
      <c r="D361" s="3" t="s">
        <v>790</v>
      </c>
      <c r="E361" s="3">
        <v>4</v>
      </c>
      <c r="F361" s="3" t="s">
        <v>806</v>
      </c>
      <c r="G361" s="3" t="str">
        <f>Table13[[#This Row],[Month]]&amp;", "&amp;Table13[[#This Row],[FY]]</f>
        <v>MAY, FY25</v>
      </c>
      <c r="H361" s="3" t="str">
        <f>Table13[[#This Row],[Week]]&amp;", "&amp;Table13[[#This Row],[Month]]&amp;" "&amp;Table13[[#This Row],[FY]]</f>
        <v>Week 46, MAY FY25</v>
      </c>
      <c r="I361" s="3" t="str">
        <f>Table13[[#This Row],[Month]]&amp;", "&amp;Table13[[#This Row],[FY]]</f>
        <v>MAY, FY25</v>
      </c>
      <c r="J361" s="3" t="str">
        <f>"Q"&amp;Table13[[#This Row],[QTR]]&amp;", "&amp;Table13[[#This Row],[FY]]</f>
        <v>Q4, FY25</v>
      </c>
    </row>
    <row r="362" spans="1:10" x14ac:dyDescent="0.25">
      <c r="A362" s="2">
        <f t="shared" si="28"/>
        <v>45796</v>
      </c>
      <c r="B362" s="2">
        <f t="shared" si="28"/>
        <v>45802</v>
      </c>
      <c r="C362" s="3" t="s">
        <v>793</v>
      </c>
      <c r="D362" s="3" t="s">
        <v>790</v>
      </c>
      <c r="E362" s="3">
        <v>4</v>
      </c>
      <c r="F362" s="3" t="s">
        <v>806</v>
      </c>
      <c r="G362" s="3" t="str">
        <f>Table13[[#This Row],[Month]]&amp;", "&amp;Table13[[#This Row],[FY]]</f>
        <v>MAY, FY25</v>
      </c>
      <c r="H362" s="3" t="str">
        <f>Table13[[#This Row],[Week]]&amp;", "&amp;Table13[[#This Row],[Month]]&amp;" "&amp;Table13[[#This Row],[FY]]</f>
        <v>Week 47, MAY FY25</v>
      </c>
      <c r="I362" s="3" t="str">
        <f>Table13[[#This Row],[Month]]&amp;", "&amp;Table13[[#This Row],[FY]]</f>
        <v>MAY, FY25</v>
      </c>
      <c r="J362" s="3" t="str">
        <f>"Q"&amp;Table13[[#This Row],[QTR]]&amp;", "&amp;Table13[[#This Row],[FY]]</f>
        <v>Q4, FY25</v>
      </c>
    </row>
    <row r="363" spans="1:10" x14ac:dyDescent="0.25">
      <c r="A363" s="2">
        <f t="shared" si="28"/>
        <v>45803</v>
      </c>
      <c r="B363" s="2">
        <f t="shared" si="28"/>
        <v>45809</v>
      </c>
      <c r="C363" s="3" t="s">
        <v>794</v>
      </c>
      <c r="D363" s="3" t="s">
        <v>790</v>
      </c>
      <c r="E363" s="3">
        <v>4</v>
      </c>
      <c r="F363" s="3" t="s">
        <v>806</v>
      </c>
      <c r="G363" s="3" t="str">
        <f>Table13[[#This Row],[Month]]&amp;", "&amp;Table13[[#This Row],[FY]]</f>
        <v>MAY, FY25</v>
      </c>
      <c r="H363" s="3" t="str">
        <f>Table13[[#This Row],[Week]]&amp;", "&amp;Table13[[#This Row],[Month]]&amp;" "&amp;Table13[[#This Row],[FY]]</f>
        <v>Week 48, MAY FY25</v>
      </c>
      <c r="I363" s="3" t="str">
        <f>Table13[[#This Row],[Month]]&amp;", "&amp;Table13[[#This Row],[FY]]</f>
        <v>MAY, FY25</v>
      </c>
      <c r="J363" s="3" t="str">
        <f>"Q"&amp;Table13[[#This Row],[QTR]]&amp;", "&amp;Table13[[#This Row],[FY]]</f>
        <v>Q4, FY25</v>
      </c>
    </row>
    <row r="364" spans="1:10" x14ac:dyDescent="0.25">
      <c r="A364" s="2">
        <f t="shared" si="28"/>
        <v>45810</v>
      </c>
      <c r="B364" s="2">
        <f t="shared" si="28"/>
        <v>45816</v>
      </c>
      <c r="C364" s="3" t="s">
        <v>795</v>
      </c>
      <c r="D364" s="3" t="s">
        <v>796</v>
      </c>
      <c r="E364" s="3">
        <v>4</v>
      </c>
      <c r="F364" s="3" t="s">
        <v>806</v>
      </c>
      <c r="G364" s="3" t="str">
        <f>Table13[[#This Row],[Month]]&amp;", "&amp;Table13[[#This Row],[FY]]</f>
        <v>JUN, FY25</v>
      </c>
      <c r="H364" s="3" t="str">
        <f>Table13[[#This Row],[Week]]&amp;", "&amp;Table13[[#This Row],[Month]]&amp;" "&amp;Table13[[#This Row],[FY]]</f>
        <v>Week 49, JUN FY25</v>
      </c>
      <c r="I364" s="3" t="str">
        <f>Table13[[#This Row],[Month]]&amp;", "&amp;Table13[[#This Row],[FY]]</f>
        <v>JUN, FY25</v>
      </c>
      <c r="J364" s="3" t="str">
        <f>"Q"&amp;Table13[[#This Row],[QTR]]&amp;", "&amp;Table13[[#This Row],[FY]]</f>
        <v>Q4, FY25</v>
      </c>
    </row>
    <row r="365" spans="1:10" x14ac:dyDescent="0.25">
      <c r="A365" s="2">
        <f t="shared" si="28"/>
        <v>45817</v>
      </c>
      <c r="B365" s="2">
        <f t="shared" si="28"/>
        <v>45823</v>
      </c>
      <c r="C365" s="3" t="s">
        <v>797</v>
      </c>
      <c r="D365" s="3" t="s">
        <v>796</v>
      </c>
      <c r="E365" s="3">
        <v>4</v>
      </c>
      <c r="F365" s="3" t="s">
        <v>806</v>
      </c>
      <c r="G365" s="3" t="str">
        <f>Table13[[#This Row],[Month]]&amp;", "&amp;Table13[[#This Row],[FY]]</f>
        <v>JUN, FY25</v>
      </c>
      <c r="H365" s="3" t="str">
        <f>Table13[[#This Row],[Week]]&amp;", "&amp;Table13[[#This Row],[Month]]&amp;" "&amp;Table13[[#This Row],[FY]]</f>
        <v>Week 50, JUN FY25</v>
      </c>
      <c r="I365" s="3" t="str">
        <f>Table13[[#This Row],[Month]]&amp;", "&amp;Table13[[#This Row],[FY]]</f>
        <v>JUN, FY25</v>
      </c>
      <c r="J365" s="3" t="str">
        <f>"Q"&amp;Table13[[#This Row],[QTR]]&amp;", "&amp;Table13[[#This Row],[FY]]</f>
        <v>Q4, FY25</v>
      </c>
    </row>
    <row r="366" spans="1:10" x14ac:dyDescent="0.25">
      <c r="A366" s="2">
        <f t="shared" si="28"/>
        <v>45824</v>
      </c>
      <c r="B366" s="2">
        <f t="shared" si="28"/>
        <v>45830</v>
      </c>
      <c r="C366" s="3" t="s">
        <v>798</v>
      </c>
      <c r="D366" s="3" t="s">
        <v>796</v>
      </c>
      <c r="E366" s="3">
        <v>4</v>
      </c>
      <c r="F366" s="3" t="s">
        <v>806</v>
      </c>
      <c r="G366" s="3" t="str">
        <f>Table13[[#This Row],[Month]]&amp;", "&amp;Table13[[#This Row],[FY]]</f>
        <v>JUN, FY25</v>
      </c>
      <c r="H366" s="3" t="str">
        <f>Table13[[#This Row],[Week]]&amp;", "&amp;Table13[[#This Row],[Month]]&amp;" "&amp;Table13[[#This Row],[FY]]</f>
        <v>Week 51, JUN FY25</v>
      </c>
      <c r="I366" s="3" t="str">
        <f>Table13[[#This Row],[Month]]&amp;", "&amp;Table13[[#This Row],[FY]]</f>
        <v>JUN, FY25</v>
      </c>
      <c r="J366" s="3" t="str">
        <f>"Q"&amp;Table13[[#This Row],[QTR]]&amp;", "&amp;Table13[[#This Row],[FY]]</f>
        <v>Q4, FY25</v>
      </c>
    </row>
    <row r="367" spans="1:10" x14ac:dyDescent="0.25">
      <c r="A367" s="2">
        <f t="shared" si="28"/>
        <v>45831</v>
      </c>
      <c r="B367" s="2">
        <f t="shared" si="28"/>
        <v>45837</v>
      </c>
      <c r="C367" s="3" t="s">
        <v>799</v>
      </c>
      <c r="D367" s="3" t="s">
        <v>796</v>
      </c>
      <c r="E367" s="3">
        <v>4</v>
      </c>
      <c r="F367" s="3" t="s">
        <v>806</v>
      </c>
      <c r="G367" s="3" t="str">
        <f>Table13[[#This Row],[Month]]&amp;", "&amp;Table13[[#This Row],[FY]]</f>
        <v>JUN, FY25</v>
      </c>
      <c r="H367" s="3" t="str">
        <f>Table13[[#This Row],[Week]]&amp;", "&amp;Table13[[#This Row],[Month]]&amp;" "&amp;Table13[[#This Row],[FY]]</f>
        <v>Week 52, JUN FY25</v>
      </c>
      <c r="I367" s="3" t="str">
        <f>Table13[[#This Row],[Month]]&amp;", "&amp;Table13[[#This Row],[FY]]</f>
        <v>JUN, FY25</v>
      </c>
      <c r="J367" s="3" t="str">
        <f>"Q"&amp;Table13[[#This Row],[QTR]]&amp;", "&amp;Table13[[#This Row],[FY]]</f>
        <v>Q4, FY25</v>
      </c>
    </row>
    <row r="368" spans="1:10" x14ac:dyDescent="0.25">
      <c r="A368" s="2">
        <f t="shared" ref="A368:B383" si="29">A367+7</f>
        <v>45838</v>
      </c>
      <c r="B368" s="2">
        <f t="shared" si="29"/>
        <v>45844</v>
      </c>
      <c r="C368" s="3" t="s">
        <v>735</v>
      </c>
      <c r="D368" s="3" t="s">
        <v>736</v>
      </c>
      <c r="E368" s="3">
        <v>1</v>
      </c>
      <c r="F368" s="3" t="s">
        <v>807</v>
      </c>
      <c r="G368" s="3" t="str">
        <f>Table13[[#This Row],[Month]]&amp;", "&amp;Table13[[#This Row],[FY]]</f>
        <v>JUL, FY26</v>
      </c>
      <c r="H368" s="3" t="str">
        <f>Table13[[#This Row],[Week]]&amp;", "&amp;Table13[[#This Row],[Month]]&amp;" "&amp;Table13[[#This Row],[FY]]</f>
        <v>Week 1, JUL FY26</v>
      </c>
      <c r="I368" s="3" t="str">
        <f>Table13[[#This Row],[Month]]&amp;", "&amp;Table13[[#This Row],[FY]]</f>
        <v>JUL, FY26</v>
      </c>
      <c r="J368" s="3" t="str">
        <f>"Q"&amp;Table13[[#This Row],[QTR]]&amp;", "&amp;Table13[[#This Row],[FY]]</f>
        <v>Q1, FY26</v>
      </c>
    </row>
    <row r="369" spans="1:10" x14ac:dyDescent="0.25">
      <c r="A369" s="2">
        <f t="shared" si="29"/>
        <v>45845</v>
      </c>
      <c r="B369" s="2">
        <f t="shared" si="29"/>
        <v>45851</v>
      </c>
      <c r="C369" s="3" t="s">
        <v>738</v>
      </c>
      <c r="D369" s="3" t="s">
        <v>736</v>
      </c>
      <c r="E369" s="3">
        <v>1</v>
      </c>
      <c r="F369" s="3" t="s">
        <v>807</v>
      </c>
      <c r="G369" s="3" t="str">
        <f>Table13[[#This Row],[Month]]&amp;", "&amp;Table13[[#This Row],[FY]]</f>
        <v>JUL, FY26</v>
      </c>
      <c r="H369" s="3" t="str">
        <f>Table13[[#This Row],[Week]]&amp;", "&amp;Table13[[#This Row],[Month]]&amp;" "&amp;Table13[[#This Row],[FY]]</f>
        <v>Week 2, JUL FY26</v>
      </c>
      <c r="I369" s="3" t="str">
        <f>Table13[[#This Row],[Month]]&amp;", "&amp;Table13[[#This Row],[FY]]</f>
        <v>JUL, FY26</v>
      </c>
      <c r="J369" s="3" t="str">
        <f>"Q"&amp;Table13[[#This Row],[QTR]]&amp;", "&amp;Table13[[#This Row],[FY]]</f>
        <v>Q1, FY26</v>
      </c>
    </row>
    <row r="370" spans="1:10" x14ac:dyDescent="0.25">
      <c r="A370" s="2">
        <f t="shared" si="29"/>
        <v>45852</v>
      </c>
      <c r="B370" s="2">
        <f t="shared" si="29"/>
        <v>45858</v>
      </c>
      <c r="C370" s="3" t="s">
        <v>739</v>
      </c>
      <c r="D370" s="3" t="s">
        <v>736</v>
      </c>
      <c r="E370" s="3">
        <v>1</v>
      </c>
      <c r="F370" s="3" t="s">
        <v>807</v>
      </c>
      <c r="G370" s="3" t="str">
        <f>Table13[[#This Row],[Month]]&amp;", "&amp;Table13[[#This Row],[FY]]</f>
        <v>JUL, FY26</v>
      </c>
      <c r="H370" s="3" t="str">
        <f>Table13[[#This Row],[Week]]&amp;", "&amp;Table13[[#This Row],[Month]]&amp;" "&amp;Table13[[#This Row],[FY]]</f>
        <v>Week 3, JUL FY26</v>
      </c>
      <c r="I370" s="3" t="str">
        <f>Table13[[#This Row],[Month]]&amp;", "&amp;Table13[[#This Row],[FY]]</f>
        <v>JUL, FY26</v>
      </c>
      <c r="J370" s="3" t="str">
        <f>"Q"&amp;Table13[[#This Row],[QTR]]&amp;", "&amp;Table13[[#This Row],[FY]]</f>
        <v>Q1, FY26</v>
      </c>
    </row>
    <row r="371" spans="1:10" x14ac:dyDescent="0.25">
      <c r="A371" s="2">
        <f t="shared" si="29"/>
        <v>45859</v>
      </c>
      <c r="B371" s="2">
        <f t="shared" si="29"/>
        <v>45865</v>
      </c>
      <c r="C371" s="3" t="s">
        <v>740</v>
      </c>
      <c r="D371" s="3" t="s">
        <v>736</v>
      </c>
      <c r="E371" s="3">
        <v>1</v>
      </c>
      <c r="F371" s="3" t="s">
        <v>807</v>
      </c>
      <c r="G371" s="3" t="str">
        <f>Table13[[#This Row],[Month]]&amp;", "&amp;Table13[[#This Row],[FY]]</f>
        <v>JUL, FY26</v>
      </c>
      <c r="H371" s="3" t="str">
        <f>Table13[[#This Row],[Week]]&amp;", "&amp;Table13[[#This Row],[Month]]&amp;" "&amp;Table13[[#This Row],[FY]]</f>
        <v>Week 4, JUL FY26</v>
      </c>
      <c r="I371" s="3" t="str">
        <f>Table13[[#This Row],[Month]]&amp;", "&amp;Table13[[#This Row],[FY]]</f>
        <v>JUL, FY26</v>
      </c>
      <c r="J371" s="3" t="str">
        <f>"Q"&amp;Table13[[#This Row],[QTR]]&amp;", "&amp;Table13[[#This Row],[FY]]</f>
        <v>Q1, FY26</v>
      </c>
    </row>
    <row r="372" spans="1:10" x14ac:dyDescent="0.25">
      <c r="A372" s="2">
        <f t="shared" si="29"/>
        <v>45866</v>
      </c>
      <c r="B372" s="2">
        <f t="shared" si="29"/>
        <v>45872</v>
      </c>
      <c r="C372" s="3" t="s">
        <v>741</v>
      </c>
      <c r="D372" s="3" t="s">
        <v>742</v>
      </c>
      <c r="E372" s="3">
        <v>1</v>
      </c>
      <c r="F372" s="3" t="s">
        <v>807</v>
      </c>
      <c r="G372" s="3" t="str">
        <f>Table13[[#This Row],[Month]]&amp;", "&amp;Table13[[#This Row],[FY]]</f>
        <v>AUG, FY26</v>
      </c>
      <c r="H372" s="3" t="str">
        <f>Table13[[#This Row],[Week]]&amp;", "&amp;Table13[[#This Row],[Month]]&amp;" "&amp;Table13[[#This Row],[FY]]</f>
        <v>Week 5, AUG FY26</v>
      </c>
      <c r="I372" s="3" t="str">
        <f>Table13[[#This Row],[Month]]&amp;", "&amp;Table13[[#This Row],[FY]]</f>
        <v>AUG, FY26</v>
      </c>
      <c r="J372" s="3" t="str">
        <f>"Q"&amp;Table13[[#This Row],[QTR]]&amp;", "&amp;Table13[[#This Row],[FY]]</f>
        <v>Q1, FY26</v>
      </c>
    </row>
    <row r="373" spans="1:10" x14ac:dyDescent="0.25">
      <c r="A373" s="2">
        <f t="shared" si="29"/>
        <v>45873</v>
      </c>
      <c r="B373" s="2">
        <f t="shared" si="29"/>
        <v>45879</v>
      </c>
      <c r="C373" s="3" t="s">
        <v>743</v>
      </c>
      <c r="D373" s="3" t="s">
        <v>742</v>
      </c>
      <c r="E373" s="3">
        <v>1</v>
      </c>
      <c r="F373" s="3" t="s">
        <v>807</v>
      </c>
      <c r="G373" s="3" t="str">
        <f>Table13[[#This Row],[Month]]&amp;", "&amp;Table13[[#This Row],[FY]]</f>
        <v>AUG, FY26</v>
      </c>
      <c r="H373" s="3" t="str">
        <f>Table13[[#This Row],[Week]]&amp;", "&amp;Table13[[#This Row],[Month]]&amp;" "&amp;Table13[[#This Row],[FY]]</f>
        <v>Week 6, AUG FY26</v>
      </c>
      <c r="I373" s="3" t="str">
        <f>Table13[[#This Row],[Month]]&amp;", "&amp;Table13[[#This Row],[FY]]</f>
        <v>AUG, FY26</v>
      </c>
      <c r="J373" s="3" t="str">
        <f>"Q"&amp;Table13[[#This Row],[QTR]]&amp;", "&amp;Table13[[#This Row],[FY]]</f>
        <v>Q1, FY26</v>
      </c>
    </row>
    <row r="374" spans="1:10" x14ac:dyDescent="0.25">
      <c r="A374" s="2">
        <f t="shared" si="29"/>
        <v>45880</v>
      </c>
      <c r="B374" s="2">
        <f t="shared" si="29"/>
        <v>45886</v>
      </c>
      <c r="C374" s="3" t="s">
        <v>744</v>
      </c>
      <c r="D374" s="3" t="s">
        <v>742</v>
      </c>
      <c r="E374" s="3">
        <v>1</v>
      </c>
      <c r="F374" s="3" t="s">
        <v>807</v>
      </c>
      <c r="G374" s="3" t="str">
        <f>Table13[[#This Row],[Month]]&amp;", "&amp;Table13[[#This Row],[FY]]</f>
        <v>AUG, FY26</v>
      </c>
      <c r="H374" s="3" t="str">
        <f>Table13[[#This Row],[Week]]&amp;", "&amp;Table13[[#This Row],[Month]]&amp;" "&amp;Table13[[#This Row],[FY]]</f>
        <v>Week 7, AUG FY26</v>
      </c>
      <c r="I374" s="3" t="str">
        <f>Table13[[#This Row],[Month]]&amp;", "&amp;Table13[[#This Row],[FY]]</f>
        <v>AUG, FY26</v>
      </c>
      <c r="J374" s="3" t="str">
        <f>"Q"&amp;Table13[[#This Row],[QTR]]&amp;", "&amp;Table13[[#This Row],[FY]]</f>
        <v>Q1, FY26</v>
      </c>
    </row>
    <row r="375" spans="1:10" x14ac:dyDescent="0.25">
      <c r="A375" s="2">
        <f t="shared" si="29"/>
        <v>45887</v>
      </c>
      <c r="B375" s="2">
        <f t="shared" si="29"/>
        <v>45893</v>
      </c>
      <c r="C375" s="3" t="s">
        <v>745</v>
      </c>
      <c r="D375" s="3" t="s">
        <v>742</v>
      </c>
      <c r="E375" s="3">
        <v>1</v>
      </c>
      <c r="F375" s="3" t="s">
        <v>807</v>
      </c>
      <c r="G375" s="3" t="str">
        <f>Table13[[#This Row],[Month]]&amp;", "&amp;Table13[[#This Row],[FY]]</f>
        <v>AUG, FY26</v>
      </c>
      <c r="H375" s="3" t="str">
        <f>Table13[[#This Row],[Week]]&amp;", "&amp;Table13[[#This Row],[Month]]&amp;" "&amp;Table13[[#This Row],[FY]]</f>
        <v>Week 8, AUG FY26</v>
      </c>
      <c r="I375" s="3" t="str">
        <f>Table13[[#This Row],[Month]]&amp;", "&amp;Table13[[#This Row],[FY]]</f>
        <v>AUG, FY26</v>
      </c>
      <c r="J375" s="3" t="str">
        <f>"Q"&amp;Table13[[#This Row],[QTR]]&amp;", "&amp;Table13[[#This Row],[FY]]</f>
        <v>Q1, FY26</v>
      </c>
    </row>
    <row r="376" spans="1:10" x14ac:dyDescent="0.25">
      <c r="A376" s="2">
        <f t="shared" si="29"/>
        <v>45894</v>
      </c>
      <c r="B376" s="2">
        <f t="shared" si="29"/>
        <v>45900</v>
      </c>
      <c r="C376" s="3" t="s">
        <v>746</v>
      </c>
      <c r="D376" s="3" t="s">
        <v>742</v>
      </c>
      <c r="E376" s="3">
        <v>1</v>
      </c>
      <c r="F376" s="3" t="s">
        <v>807</v>
      </c>
      <c r="G376" s="3" t="str">
        <f>Table13[[#This Row],[Month]]&amp;", "&amp;Table13[[#This Row],[FY]]</f>
        <v>AUG, FY26</v>
      </c>
      <c r="H376" s="3" t="str">
        <f>Table13[[#This Row],[Week]]&amp;", "&amp;Table13[[#This Row],[Month]]&amp;" "&amp;Table13[[#This Row],[FY]]</f>
        <v>Week 9, AUG FY26</v>
      </c>
      <c r="I376" s="3" t="str">
        <f>Table13[[#This Row],[Month]]&amp;", "&amp;Table13[[#This Row],[FY]]</f>
        <v>AUG, FY26</v>
      </c>
      <c r="J376" s="3" t="str">
        <f>"Q"&amp;Table13[[#This Row],[QTR]]&amp;", "&amp;Table13[[#This Row],[FY]]</f>
        <v>Q1, FY26</v>
      </c>
    </row>
    <row r="377" spans="1:10" x14ac:dyDescent="0.25">
      <c r="A377" s="2">
        <f t="shared" si="29"/>
        <v>45901</v>
      </c>
      <c r="B377" s="2">
        <f t="shared" si="29"/>
        <v>45907</v>
      </c>
      <c r="C377" s="3" t="s">
        <v>747</v>
      </c>
      <c r="D377" s="3" t="s">
        <v>748</v>
      </c>
      <c r="E377" s="3">
        <v>1</v>
      </c>
      <c r="F377" s="3" t="s">
        <v>807</v>
      </c>
      <c r="G377" s="3" t="str">
        <f>Table13[[#This Row],[Month]]&amp;", "&amp;Table13[[#This Row],[FY]]</f>
        <v>SEP, FY26</v>
      </c>
      <c r="H377" s="3" t="str">
        <f>Table13[[#This Row],[Week]]&amp;", "&amp;Table13[[#This Row],[Month]]&amp;" "&amp;Table13[[#This Row],[FY]]</f>
        <v>Week 10, SEP FY26</v>
      </c>
      <c r="I377" s="3" t="str">
        <f>Table13[[#This Row],[Month]]&amp;", "&amp;Table13[[#This Row],[FY]]</f>
        <v>SEP, FY26</v>
      </c>
      <c r="J377" s="3" t="str">
        <f>"Q"&amp;Table13[[#This Row],[QTR]]&amp;", "&amp;Table13[[#This Row],[FY]]</f>
        <v>Q1, FY26</v>
      </c>
    </row>
    <row r="378" spans="1:10" x14ac:dyDescent="0.25">
      <c r="A378" s="2">
        <f t="shared" si="29"/>
        <v>45908</v>
      </c>
      <c r="B378" s="2">
        <f t="shared" si="29"/>
        <v>45914</v>
      </c>
      <c r="C378" s="3" t="s">
        <v>749</v>
      </c>
      <c r="D378" s="3" t="s">
        <v>748</v>
      </c>
      <c r="E378" s="3">
        <v>1</v>
      </c>
      <c r="F378" s="3" t="s">
        <v>807</v>
      </c>
      <c r="G378" s="3" t="str">
        <f>Table13[[#This Row],[Month]]&amp;", "&amp;Table13[[#This Row],[FY]]</f>
        <v>SEP, FY26</v>
      </c>
      <c r="H378" s="3" t="str">
        <f>Table13[[#This Row],[Week]]&amp;", "&amp;Table13[[#This Row],[Month]]&amp;" "&amp;Table13[[#This Row],[FY]]</f>
        <v>Week 11, SEP FY26</v>
      </c>
      <c r="I378" s="3" t="str">
        <f>Table13[[#This Row],[Month]]&amp;", "&amp;Table13[[#This Row],[FY]]</f>
        <v>SEP, FY26</v>
      </c>
      <c r="J378" s="3" t="str">
        <f>"Q"&amp;Table13[[#This Row],[QTR]]&amp;", "&amp;Table13[[#This Row],[FY]]</f>
        <v>Q1, FY26</v>
      </c>
    </row>
    <row r="379" spans="1:10" x14ac:dyDescent="0.25">
      <c r="A379" s="2">
        <f t="shared" si="29"/>
        <v>45915</v>
      </c>
      <c r="B379" s="2">
        <f t="shared" si="29"/>
        <v>45921</v>
      </c>
      <c r="C379" s="3" t="s">
        <v>750</v>
      </c>
      <c r="D379" s="3" t="s">
        <v>748</v>
      </c>
      <c r="E379" s="3">
        <v>1</v>
      </c>
      <c r="F379" s="3" t="s">
        <v>807</v>
      </c>
      <c r="G379" s="3" t="str">
        <f>Table13[[#This Row],[Month]]&amp;", "&amp;Table13[[#This Row],[FY]]</f>
        <v>SEP, FY26</v>
      </c>
      <c r="H379" s="3" t="str">
        <f>Table13[[#This Row],[Week]]&amp;", "&amp;Table13[[#This Row],[Month]]&amp;" "&amp;Table13[[#This Row],[FY]]</f>
        <v>Week 12, SEP FY26</v>
      </c>
      <c r="I379" s="3" t="str">
        <f>Table13[[#This Row],[Month]]&amp;", "&amp;Table13[[#This Row],[FY]]</f>
        <v>SEP, FY26</v>
      </c>
      <c r="J379" s="3" t="str">
        <f>"Q"&amp;Table13[[#This Row],[QTR]]&amp;", "&amp;Table13[[#This Row],[FY]]</f>
        <v>Q1, FY26</v>
      </c>
    </row>
    <row r="380" spans="1:10" x14ac:dyDescent="0.25">
      <c r="A380" s="2">
        <f t="shared" si="29"/>
        <v>45922</v>
      </c>
      <c r="B380" s="2">
        <f t="shared" si="29"/>
        <v>45928</v>
      </c>
      <c r="C380" s="3" t="s">
        <v>751</v>
      </c>
      <c r="D380" s="3" t="s">
        <v>748</v>
      </c>
      <c r="E380" s="3">
        <v>1</v>
      </c>
      <c r="F380" s="3" t="s">
        <v>807</v>
      </c>
      <c r="G380" s="3" t="str">
        <f>Table13[[#This Row],[Month]]&amp;", "&amp;Table13[[#This Row],[FY]]</f>
        <v>SEP, FY26</v>
      </c>
      <c r="H380" s="3" t="str">
        <f>Table13[[#This Row],[Week]]&amp;", "&amp;Table13[[#This Row],[Month]]&amp;" "&amp;Table13[[#This Row],[FY]]</f>
        <v>Week 13, SEP FY26</v>
      </c>
      <c r="I380" s="3" t="str">
        <f>Table13[[#This Row],[Month]]&amp;", "&amp;Table13[[#This Row],[FY]]</f>
        <v>SEP, FY26</v>
      </c>
      <c r="J380" s="3" t="str">
        <f>"Q"&amp;Table13[[#This Row],[QTR]]&amp;", "&amp;Table13[[#This Row],[FY]]</f>
        <v>Q1, FY26</v>
      </c>
    </row>
    <row r="381" spans="1:10" x14ac:dyDescent="0.25">
      <c r="A381" s="2">
        <f t="shared" si="29"/>
        <v>45929</v>
      </c>
      <c r="B381" s="2">
        <f t="shared" si="29"/>
        <v>45935</v>
      </c>
      <c r="C381" s="3" t="s">
        <v>752</v>
      </c>
      <c r="D381" s="3" t="s">
        <v>753</v>
      </c>
      <c r="E381" s="3">
        <v>2</v>
      </c>
      <c r="F381" s="3" t="s">
        <v>807</v>
      </c>
      <c r="G381" s="3" t="str">
        <f>Table13[[#This Row],[Month]]&amp;", "&amp;Table13[[#This Row],[FY]]</f>
        <v>OCT, FY26</v>
      </c>
      <c r="H381" s="3" t="str">
        <f>Table13[[#This Row],[Week]]&amp;", "&amp;Table13[[#This Row],[Month]]&amp;" "&amp;Table13[[#This Row],[FY]]</f>
        <v>Week 14, OCT FY26</v>
      </c>
      <c r="I381" s="3" t="str">
        <f>Table13[[#This Row],[Month]]&amp;", "&amp;Table13[[#This Row],[FY]]</f>
        <v>OCT, FY26</v>
      </c>
      <c r="J381" s="3" t="str">
        <f>"Q"&amp;Table13[[#This Row],[QTR]]&amp;", "&amp;Table13[[#This Row],[FY]]</f>
        <v>Q2, FY26</v>
      </c>
    </row>
    <row r="382" spans="1:10" x14ac:dyDescent="0.25">
      <c r="A382" s="2">
        <f t="shared" si="29"/>
        <v>45936</v>
      </c>
      <c r="B382" s="2">
        <f t="shared" si="29"/>
        <v>45942</v>
      </c>
      <c r="C382" s="3" t="s">
        <v>754</v>
      </c>
      <c r="D382" s="3" t="s">
        <v>753</v>
      </c>
      <c r="E382" s="3">
        <v>2</v>
      </c>
      <c r="F382" s="3" t="s">
        <v>807</v>
      </c>
      <c r="G382" s="3" t="str">
        <f>Table13[[#This Row],[Month]]&amp;", "&amp;Table13[[#This Row],[FY]]</f>
        <v>OCT, FY26</v>
      </c>
      <c r="H382" s="3" t="str">
        <f>Table13[[#This Row],[Week]]&amp;", "&amp;Table13[[#This Row],[Month]]&amp;" "&amp;Table13[[#This Row],[FY]]</f>
        <v>Week 15, OCT FY26</v>
      </c>
      <c r="I382" s="3" t="str">
        <f>Table13[[#This Row],[Month]]&amp;", "&amp;Table13[[#This Row],[FY]]</f>
        <v>OCT, FY26</v>
      </c>
      <c r="J382" s="3" t="str">
        <f>"Q"&amp;Table13[[#This Row],[QTR]]&amp;", "&amp;Table13[[#This Row],[FY]]</f>
        <v>Q2, FY26</v>
      </c>
    </row>
    <row r="383" spans="1:10" x14ac:dyDescent="0.25">
      <c r="A383" s="2">
        <f t="shared" si="29"/>
        <v>45943</v>
      </c>
      <c r="B383" s="2">
        <f t="shared" si="29"/>
        <v>45949</v>
      </c>
      <c r="C383" s="3" t="s">
        <v>755</v>
      </c>
      <c r="D383" s="3" t="s">
        <v>753</v>
      </c>
      <c r="E383" s="3">
        <v>2</v>
      </c>
      <c r="F383" s="3" t="s">
        <v>807</v>
      </c>
      <c r="G383" s="3" t="str">
        <f>Table13[[#This Row],[Month]]&amp;", "&amp;Table13[[#This Row],[FY]]</f>
        <v>OCT, FY26</v>
      </c>
      <c r="H383" s="3" t="str">
        <f>Table13[[#This Row],[Week]]&amp;", "&amp;Table13[[#This Row],[Month]]&amp;" "&amp;Table13[[#This Row],[FY]]</f>
        <v>Week 16, OCT FY26</v>
      </c>
      <c r="I383" s="3" t="str">
        <f>Table13[[#This Row],[Month]]&amp;", "&amp;Table13[[#This Row],[FY]]</f>
        <v>OCT, FY26</v>
      </c>
      <c r="J383" s="3" t="str">
        <f>"Q"&amp;Table13[[#This Row],[QTR]]&amp;", "&amp;Table13[[#This Row],[FY]]</f>
        <v>Q2, FY26</v>
      </c>
    </row>
    <row r="384" spans="1:10" x14ac:dyDescent="0.25">
      <c r="A384" s="2">
        <f t="shared" ref="A384:B399" si="30">A383+7</f>
        <v>45950</v>
      </c>
      <c r="B384" s="2">
        <f t="shared" si="30"/>
        <v>45956</v>
      </c>
      <c r="C384" s="3" t="s">
        <v>756</v>
      </c>
      <c r="D384" s="3" t="s">
        <v>753</v>
      </c>
      <c r="E384" s="3">
        <v>2</v>
      </c>
      <c r="F384" s="3" t="s">
        <v>807</v>
      </c>
      <c r="G384" s="3" t="str">
        <f>Table13[[#This Row],[Month]]&amp;", "&amp;Table13[[#This Row],[FY]]</f>
        <v>OCT, FY26</v>
      </c>
      <c r="H384" s="3" t="str">
        <f>Table13[[#This Row],[Week]]&amp;", "&amp;Table13[[#This Row],[Month]]&amp;" "&amp;Table13[[#This Row],[FY]]</f>
        <v>Week 17, OCT FY26</v>
      </c>
      <c r="I384" s="3" t="str">
        <f>Table13[[#This Row],[Month]]&amp;", "&amp;Table13[[#This Row],[FY]]</f>
        <v>OCT, FY26</v>
      </c>
      <c r="J384" s="3" t="str">
        <f>"Q"&amp;Table13[[#This Row],[QTR]]&amp;", "&amp;Table13[[#This Row],[FY]]</f>
        <v>Q2, FY26</v>
      </c>
    </row>
    <row r="385" spans="1:10" x14ac:dyDescent="0.25">
      <c r="A385" s="2">
        <f t="shared" si="30"/>
        <v>45957</v>
      </c>
      <c r="B385" s="2">
        <f t="shared" si="30"/>
        <v>45963</v>
      </c>
      <c r="C385" s="3" t="s">
        <v>757</v>
      </c>
      <c r="D385" s="3" t="s">
        <v>758</v>
      </c>
      <c r="E385" s="3">
        <v>2</v>
      </c>
      <c r="F385" s="3" t="s">
        <v>807</v>
      </c>
      <c r="G385" s="3" t="str">
        <f>Table13[[#This Row],[Month]]&amp;", "&amp;Table13[[#This Row],[FY]]</f>
        <v>NOV, FY26</v>
      </c>
      <c r="H385" s="3" t="str">
        <f>Table13[[#This Row],[Week]]&amp;", "&amp;Table13[[#This Row],[Month]]&amp;" "&amp;Table13[[#This Row],[FY]]</f>
        <v>Week 18, NOV FY26</v>
      </c>
      <c r="I385" s="3" t="str">
        <f>Table13[[#This Row],[Month]]&amp;", "&amp;Table13[[#This Row],[FY]]</f>
        <v>NOV, FY26</v>
      </c>
      <c r="J385" s="3" t="str">
        <f>"Q"&amp;Table13[[#This Row],[QTR]]&amp;", "&amp;Table13[[#This Row],[FY]]</f>
        <v>Q2, FY26</v>
      </c>
    </row>
    <row r="386" spans="1:10" x14ac:dyDescent="0.25">
      <c r="A386" s="2">
        <f t="shared" si="30"/>
        <v>45964</v>
      </c>
      <c r="B386" s="2">
        <f t="shared" si="30"/>
        <v>45970</v>
      </c>
      <c r="C386" s="3" t="s">
        <v>759</v>
      </c>
      <c r="D386" s="3" t="s">
        <v>758</v>
      </c>
      <c r="E386" s="3">
        <v>2</v>
      </c>
      <c r="F386" s="3" t="s">
        <v>807</v>
      </c>
      <c r="G386" s="3" t="str">
        <f>Table13[[#This Row],[Month]]&amp;", "&amp;Table13[[#This Row],[FY]]</f>
        <v>NOV, FY26</v>
      </c>
      <c r="H386" s="3" t="str">
        <f>Table13[[#This Row],[Week]]&amp;", "&amp;Table13[[#This Row],[Month]]&amp;" "&amp;Table13[[#This Row],[FY]]</f>
        <v>Week 19, NOV FY26</v>
      </c>
      <c r="I386" s="3" t="str">
        <f>Table13[[#This Row],[Month]]&amp;", "&amp;Table13[[#This Row],[FY]]</f>
        <v>NOV, FY26</v>
      </c>
      <c r="J386" s="3" t="str">
        <f>"Q"&amp;Table13[[#This Row],[QTR]]&amp;", "&amp;Table13[[#This Row],[FY]]</f>
        <v>Q2, FY26</v>
      </c>
    </row>
    <row r="387" spans="1:10" x14ac:dyDescent="0.25">
      <c r="A387" s="2">
        <f t="shared" si="30"/>
        <v>45971</v>
      </c>
      <c r="B387" s="2">
        <f t="shared" si="30"/>
        <v>45977</v>
      </c>
      <c r="C387" s="3" t="s">
        <v>760</v>
      </c>
      <c r="D387" s="3" t="s">
        <v>758</v>
      </c>
      <c r="E387" s="3">
        <v>2</v>
      </c>
      <c r="F387" s="3" t="s">
        <v>807</v>
      </c>
      <c r="G387" s="3" t="str">
        <f>Table13[[#This Row],[Month]]&amp;", "&amp;Table13[[#This Row],[FY]]</f>
        <v>NOV, FY26</v>
      </c>
      <c r="H387" s="3" t="str">
        <f>Table13[[#This Row],[Week]]&amp;", "&amp;Table13[[#This Row],[Month]]&amp;" "&amp;Table13[[#This Row],[FY]]</f>
        <v>Week 20, NOV FY26</v>
      </c>
      <c r="I387" s="3" t="str">
        <f>Table13[[#This Row],[Month]]&amp;", "&amp;Table13[[#This Row],[FY]]</f>
        <v>NOV, FY26</v>
      </c>
      <c r="J387" s="3" t="str">
        <f>"Q"&amp;Table13[[#This Row],[QTR]]&amp;", "&amp;Table13[[#This Row],[FY]]</f>
        <v>Q2, FY26</v>
      </c>
    </row>
    <row r="388" spans="1:10" x14ac:dyDescent="0.25">
      <c r="A388" s="2">
        <f t="shared" si="30"/>
        <v>45978</v>
      </c>
      <c r="B388" s="2">
        <f t="shared" si="30"/>
        <v>45984</v>
      </c>
      <c r="C388" s="3" t="s">
        <v>761</v>
      </c>
      <c r="D388" s="3" t="s">
        <v>758</v>
      </c>
      <c r="E388" s="3">
        <v>2</v>
      </c>
      <c r="F388" s="3" t="s">
        <v>807</v>
      </c>
      <c r="G388" s="3" t="str">
        <f>Table13[[#This Row],[Month]]&amp;", "&amp;Table13[[#This Row],[FY]]</f>
        <v>NOV, FY26</v>
      </c>
      <c r="H388" s="3" t="str">
        <f>Table13[[#This Row],[Week]]&amp;", "&amp;Table13[[#This Row],[Month]]&amp;" "&amp;Table13[[#This Row],[FY]]</f>
        <v>Week 21, NOV FY26</v>
      </c>
      <c r="I388" s="3" t="str">
        <f>Table13[[#This Row],[Month]]&amp;", "&amp;Table13[[#This Row],[FY]]</f>
        <v>NOV, FY26</v>
      </c>
      <c r="J388" s="3" t="str">
        <f>"Q"&amp;Table13[[#This Row],[QTR]]&amp;", "&amp;Table13[[#This Row],[FY]]</f>
        <v>Q2, FY26</v>
      </c>
    </row>
    <row r="389" spans="1:10" x14ac:dyDescent="0.25">
      <c r="A389" s="2">
        <f t="shared" si="30"/>
        <v>45985</v>
      </c>
      <c r="B389" s="2">
        <f t="shared" si="30"/>
        <v>45991</v>
      </c>
      <c r="C389" s="3" t="s">
        <v>762</v>
      </c>
      <c r="D389" s="3" t="s">
        <v>758</v>
      </c>
      <c r="E389" s="3">
        <v>2</v>
      </c>
      <c r="F389" s="3" t="s">
        <v>807</v>
      </c>
      <c r="G389" s="3" t="str">
        <f>Table13[[#This Row],[Month]]&amp;", "&amp;Table13[[#This Row],[FY]]</f>
        <v>NOV, FY26</v>
      </c>
      <c r="H389" s="3" t="str">
        <f>Table13[[#This Row],[Week]]&amp;", "&amp;Table13[[#This Row],[Month]]&amp;" "&amp;Table13[[#This Row],[FY]]</f>
        <v>Week 22, NOV FY26</v>
      </c>
      <c r="I389" s="3" t="str">
        <f>Table13[[#This Row],[Month]]&amp;", "&amp;Table13[[#This Row],[FY]]</f>
        <v>NOV, FY26</v>
      </c>
      <c r="J389" s="3" t="str">
        <f>"Q"&amp;Table13[[#This Row],[QTR]]&amp;", "&amp;Table13[[#This Row],[FY]]</f>
        <v>Q2, FY26</v>
      </c>
    </row>
    <row r="390" spans="1:10" x14ac:dyDescent="0.25">
      <c r="A390" s="2">
        <f t="shared" si="30"/>
        <v>45992</v>
      </c>
      <c r="B390" s="2">
        <f t="shared" si="30"/>
        <v>45998</v>
      </c>
      <c r="C390" s="3" t="s">
        <v>763</v>
      </c>
      <c r="D390" s="3" t="s">
        <v>764</v>
      </c>
      <c r="E390" s="3">
        <v>2</v>
      </c>
      <c r="F390" s="3" t="s">
        <v>807</v>
      </c>
      <c r="G390" s="3" t="str">
        <f>Table13[[#This Row],[Month]]&amp;", "&amp;Table13[[#This Row],[FY]]</f>
        <v>DEC, FY26</v>
      </c>
      <c r="H390" s="3" t="str">
        <f>Table13[[#This Row],[Week]]&amp;", "&amp;Table13[[#This Row],[Month]]&amp;" "&amp;Table13[[#This Row],[FY]]</f>
        <v>Week 23, DEC FY26</v>
      </c>
      <c r="I390" s="3" t="str">
        <f>Table13[[#This Row],[Month]]&amp;", "&amp;Table13[[#This Row],[FY]]</f>
        <v>DEC, FY26</v>
      </c>
      <c r="J390" s="3" t="str">
        <f>"Q"&amp;Table13[[#This Row],[QTR]]&amp;", "&amp;Table13[[#This Row],[FY]]</f>
        <v>Q2, FY26</v>
      </c>
    </row>
    <row r="391" spans="1:10" x14ac:dyDescent="0.25">
      <c r="A391" s="2">
        <f t="shared" si="30"/>
        <v>45999</v>
      </c>
      <c r="B391" s="2">
        <f t="shared" si="30"/>
        <v>46005</v>
      </c>
      <c r="C391" s="3" t="s">
        <v>765</v>
      </c>
      <c r="D391" s="3" t="s">
        <v>764</v>
      </c>
      <c r="E391" s="3">
        <v>2</v>
      </c>
      <c r="F391" s="3" t="s">
        <v>807</v>
      </c>
      <c r="G391" s="3" t="str">
        <f>Table13[[#This Row],[Month]]&amp;", "&amp;Table13[[#This Row],[FY]]</f>
        <v>DEC, FY26</v>
      </c>
      <c r="H391" s="3" t="str">
        <f>Table13[[#This Row],[Week]]&amp;", "&amp;Table13[[#This Row],[Month]]&amp;" "&amp;Table13[[#This Row],[FY]]</f>
        <v>Week 24, DEC FY26</v>
      </c>
      <c r="I391" s="3" t="str">
        <f>Table13[[#This Row],[Month]]&amp;", "&amp;Table13[[#This Row],[FY]]</f>
        <v>DEC, FY26</v>
      </c>
      <c r="J391" s="3" t="str">
        <f>"Q"&amp;Table13[[#This Row],[QTR]]&amp;", "&amp;Table13[[#This Row],[FY]]</f>
        <v>Q2, FY26</v>
      </c>
    </row>
    <row r="392" spans="1:10" x14ac:dyDescent="0.25">
      <c r="A392" s="2">
        <f t="shared" si="30"/>
        <v>46006</v>
      </c>
      <c r="B392" s="2">
        <f t="shared" si="30"/>
        <v>46012</v>
      </c>
      <c r="C392" s="3" t="s">
        <v>766</v>
      </c>
      <c r="D392" s="3" t="s">
        <v>764</v>
      </c>
      <c r="E392" s="3">
        <v>2</v>
      </c>
      <c r="F392" s="3" t="s">
        <v>807</v>
      </c>
      <c r="G392" s="3" t="str">
        <f>Table13[[#This Row],[Month]]&amp;", "&amp;Table13[[#This Row],[FY]]</f>
        <v>DEC, FY26</v>
      </c>
      <c r="H392" s="3" t="str">
        <f>Table13[[#This Row],[Week]]&amp;", "&amp;Table13[[#This Row],[Month]]&amp;" "&amp;Table13[[#This Row],[FY]]</f>
        <v>Week 25, DEC FY26</v>
      </c>
      <c r="I392" s="3" t="str">
        <f>Table13[[#This Row],[Month]]&amp;", "&amp;Table13[[#This Row],[FY]]</f>
        <v>DEC, FY26</v>
      </c>
      <c r="J392" s="3" t="str">
        <f>"Q"&amp;Table13[[#This Row],[QTR]]&amp;", "&amp;Table13[[#This Row],[FY]]</f>
        <v>Q2, FY26</v>
      </c>
    </row>
    <row r="393" spans="1:10" x14ac:dyDescent="0.25">
      <c r="A393" s="2">
        <f t="shared" si="30"/>
        <v>46013</v>
      </c>
      <c r="B393" s="2">
        <f t="shared" si="30"/>
        <v>46019</v>
      </c>
      <c r="C393" s="3" t="s">
        <v>767</v>
      </c>
      <c r="D393" s="3" t="s">
        <v>764</v>
      </c>
      <c r="E393" s="3">
        <v>2</v>
      </c>
      <c r="F393" s="3" t="s">
        <v>807</v>
      </c>
      <c r="G393" s="3" t="str">
        <f>Table13[[#This Row],[Month]]&amp;", "&amp;Table13[[#This Row],[FY]]</f>
        <v>DEC, FY26</v>
      </c>
      <c r="H393" s="3" t="str">
        <f>Table13[[#This Row],[Week]]&amp;", "&amp;Table13[[#This Row],[Month]]&amp;" "&amp;Table13[[#This Row],[FY]]</f>
        <v>Week 26, DEC FY26</v>
      </c>
      <c r="I393" s="3" t="str">
        <f>Table13[[#This Row],[Month]]&amp;", "&amp;Table13[[#This Row],[FY]]</f>
        <v>DEC, FY26</v>
      </c>
      <c r="J393" s="3" t="str">
        <f>"Q"&amp;Table13[[#This Row],[QTR]]&amp;", "&amp;Table13[[#This Row],[FY]]</f>
        <v>Q2, FY26</v>
      </c>
    </row>
    <row r="394" spans="1:10" x14ac:dyDescent="0.25">
      <c r="A394" s="2">
        <f t="shared" si="30"/>
        <v>46020</v>
      </c>
      <c r="B394" s="2">
        <f t="shared" si="30"/>
        <v>46026</v>
      </c>
      <c r="C394" s="3" t="s">
        <v>768</v>
      </c>
      <c r="D394" s="3" t="s">
        <v>769</v>
      </c>
      <c r="E394" s="3">
        <v>3</v>
      </c>
      <c r="F394" s="3" t="s">
        <v>807</v>
      </c>
      <c r="G394" s="3" t="str">
        <f>Table13[[#This Row],[Month]]&amp;", "&amp;Table13[[#This Row],[FY]]</f>
        <v>JAN, FY26</v>
      </c>
      <c r="H394" s="3" t="str">
        <f>Table13[[#This Row],[Week]]&amp;", "&amp;Table13[[#This Row],[Month]]&amp;" "&amp;Table13[[#This Row],[FY]]</f>
        <v>Week 27, JAN FY26</v>
      </c>
      <c r="I394" s="3" t="str">
        <f>Table13[[#This Row],[Month]]&amp;", "&amp;Table13[[#This Row],[FY]]</f>
        <v>JAN, FY26</v>
      </c>
      <c r="J394" s="3" t="str">
        <f>"Q"&amp;Table13[[#This Row],[QTR]]&amp;", "&amp;Table13[[#This Row],[FY]]</f>
        <v>Q3, FY26</v>
      </c>
    </row>
    <row r="395" spans="1:10" x14ac:dyDescent="0.25">
      <c r="A395" s="2">
        <f t="shared" si="30"/>
        <v>46027</v>
      </c>
      <c r="B395" s="2">
        <f t="shared" si="30"/>
        <v>46033</v>
      </c>
      <c r="C395" s="3" t="s">
        <v>770</v>
      </c>
      <c r="D395" s="3" t="s">
        <v>769</v>
      </c>
      <c r="E395" s="3">
        <v>3</v>
      </c>
      <c r="F395" s="3" t="s">
        <v>807</v>
      </c>
      <c r="G395" s="3" t="str">
        <f>Table13[[#This Row],[Month]]&amp;", "&amp;Table13[[#This Row],[FY]]</f>
        <v>JAN, FY26</v>
      </c>
      <c r="H395" s="3" t="str">
        <f>Table13[[#This Row],[Week]]&amp;", "&amp;Table13[[#This Row],[Month]]&amp;" "&amp;Table13[[#This Row],[FY]]</f>
        <v>Week 28, JAN FY26</v>
      </c>
      <c r="I395" s="3" t="str">
        <f>Table13[[#This Row],[Month]]&amp;", "&amp;Table13[[#This Row],[FY]]</f>
        <v>JAN, FY26</v>
      </c>
      <c r="J395" s="3" t="str">
        <f>"Q"&amp;Table13[[#This Row],[QTR]]&amp;", "&amp;Table13[[#This Row],[FY]]</f>
        <v>Q3, FY26</v>
      </c>
    </row>
    <row r="396" spans="1:10" x14ac:dyDescent="0.25">
      <c r="A396" s="2">
        <f t="shared" si="30"/>
        <v>46034</v>
      </c>
      <c r="B396" s="2">
        <f t="shared" si="30"/>
        <v>46040</v>
      </c>
      <c r="C396" s="3" t="s">
        <v>771</v>
      </c>
      <c r="D396" s="3" t="s">
        <v>769</v>
      </c>
      <c r="E396" s="3">
        <v>3</v>
      </c>
      <c r="F396" s="3" t="s">
        <v>807</v>
      </c>
      <c r="G396" s="3" t="str">
        <f>Table13[[#This Row],[Month]]&amp;", "&amp;Table13[[#This Row],[FY]]</f>
        <v>JAN, FY26</v>
      </c>
      <c r="H396" s="3" t="str">
        <f>Table13[[#This Row],[Week]]&amp;", "&amp;Table13[[#This Row],[Month]]&amp;" "&amp;Table13[[#This Row],[FY]]</f>
        <v>Week 29, JAN FY26</v>
      </c>
      <c r="I396" s="3" t="str">
        <f>Table13[[#This Row],[Month]]&amp;", "&amp;Table13[[#This Row],[FY]]</f>
        <v>JAN, FY26</v>
      </c>
      <c r="J396" s="3" t="str">
        <f>"Q"&amp;Table13[[#This Row],[QTR]]&amp;", "&amp;Table13[[#This Row],[FY]]</f>
        <v>Q3, FY26</v>
      </c>
    </row>
    <row r="397" spans="1:10" x14ac:dyDescent="0.25">
      <c r="A397" s="2">
        <f t="shared" si="30"/>
        <v>46041</v>
      </c>
      <c r="B397" s="2">
        <f t="shared" si="30"/>
        <v>46047</v>
      </c>
      <c r="C397" s="3" t="s">
        <v>772</v>
      </c>
      <c r="D397" s="3" t="s">
        <v>769</v>
      </c>
      <c r="E397" s="3">
        <v>3</v>
      </c>
      <c r="F397" s="3" t="s">
        <v>807</v>
      </c>
      <c r="G397" s="3" t="str">
        <f>Table13[[#This Row],[Month]]&amp;", "&amp;Table13[[#This Row],[FY]]</f>
        <v>JAN, FY26</v>
      </c>
      <c r="H397" s="3" t="str">
        <f>Table13[[#This Row],[Week]]&amp;", "&amp;Table13[[#This Row],[Month]]&amp;" "&amp;Table13[[#This Row],[FY]]</f>
        <v>Week 30, JAN FY26</v>
      </c>
      <c r="I397" s="3" t="str">
        <f>Table13[[#This Row],[Month]]&amp;", "&amp;Table13[[#This Row],[FY]]</f>
        <v>JAN, FY26</v>
      </c>
      <c r="J397" s="3" t="str">
        <f>"Q"&amp;Table13[[#This Row],[QTR]]&amp;", "&amp;Table13[[#This Row],[FY]]</f>
        <v>Q3, FY26</v>
      </c>
    </row>
    <row r="398" spans="1:10" x14ac:dyDescent="0.25">
      <c r="A398" s="2">
        <f t="shared" si="30"/>
        <v>46048</v>
      </c>
      <c r="B398" s="2">
        <f t="shared" si="30"/>
        <v>46054</v>
      </c>
      <c r="C398" s="3" t="s">
        <v>773</v>
      </c>
      <c r="D398" s="3" t="s">
        <v>774</v>
      </c>
      <c r="E398" s="3">
        <v>3</v>
      </c>
      <c r="F398" s="3" t="s">
        <v>807</v>
      </c>
      <c r="G398" s="3" t="str">
        <f>Table13[[#This Row],[Month]]&amp;", "&amp;Table13[[#This Row],[FY]]</f>
        <v>FEB, FY26</v>
      </c>
      <c r="H398" s="3" t="str">
        <f>Table13[[#This Row],[Week]]&amp;", "&amp;Table13[[#This Row],[Month]]&amp;" "&amp;Table13[[#This Row],[FY]]</f>
        <v>Week 31, FEB FY26</v>
      </c>
      <c r="I398" s="3" t="str">
        <f>Table13[[#This Row],[Month]]&amp;", "&amp;Table13[[#This Row],[FY]]</f>
        <v>FEB, FY26</v>
      </c>
      <c r="J398" s="3" t="str">
        <f>"Q"&amp;Table13[[#This Row],[QTR]]&amp;", "&amp;Table13[[#This Row],[FY]]</f>
        <v>Q3, FY26</v>
      </c>
    </row>
    <row r="399" spans="1:10" x14ac:dyDescent="0.25">
      <c r="A399" s="2">
        <f t="shared" si="30"/>
        <v>46055</v>
      </c>
      <c r="B399" s="2">
        <f t="shared" si="30"/>
        <v>46061</v>
      </c>
      <c r="C399" s="3" t="s">
        <v>775</v>
      </c>
      <c r="D399" s="3" t="s">
        <v>774</v>
      </c>
      <c r="E399" s="3">
        <v>3</v>
      </c>
      <c r="F399" s="3" t="s">
        <v>807</v>
      </c>
      <c r="G399" s="3" t="str">
        <f>Table13[[#This Row],[Month]]&amp;", "&amp;Table13[[#This Row],[FY]]</f>
        <v>FEB, FY26</v>
      </c>
      <c r="H399" s="3" t="str">
        <f>Table13[[#This Row],[Week]]&amp;", "&amp;Table13[[#This Row],[Month]]&amp;" "&amp;Table13[[#This Row],[FY]]</f>
        <v>Week 32, FEB FY26</v>
      </c>
      <c r="I399" s="3" t="str">
        <f>Table13[[#This Row],[Month]]&amp;", "&amp;Table13[[#This Row],[FY]]</f>
        <v>FEB, FY26</v>
      </c>
      <c r="J399" s="3" t="str">
        <f>"Q"&amp;Table13[[#This Row],[QTR]]&amp;", "&amp;Table13[[#This Row],[FY]]</f>
        <v>Q3, FY26</v>
      </c>
    </row>
    <row r="400" spans="1:10" x14ac:dyDescent="0.25">
      <c r="A400" s="2">
        <f t="shared" ref="A400:B415" si="31">A399+7</f>
        <v>46062</v>
      </c>
      <c r="B400" s="2">
        <f t="shared" si="31"/>
        <v>46068</v>
      </c>
      <c r="C400" s="3" t="s">
        <v>776</v>
      </c>
      <c r="D400" s="3" t="s">
        <v>774</v>
      </c>
      <c r="E400" s="3">
        <v>3</v>
      </c>
      <c r="F400" s="3" t="s">
        <v>807</v>
      </c>
      <c r="G400" s="3" t="str">
        <f>Table13[[#This Row],[Month]]&amp;", "&amp;Table13[[#This Row],[FY]]</f>
        <v>FEB, FY26</v>
      </c>
      <c r="H400" s="3" t="str">
        <f>Table13[[#This Row],[Week]]&amp;", "&amp;Table13[[#This Row],[Month]]&amp;" "&amp;Table13[[#This Row],[FY]]</f>
        <v>Week 33, FEB FY26</v>
      </c>
      <c r="I400" s="3" t="str">
        <f>Table13[[#This Row],[Month]]&amp;", "&amp;Table13[[#This Row],[FY]]</f>
        <v>FEB, FY26</v>
      </c>
      <c r="J400" s="3" t="str">
        <f>"Q"&amp;Table13[[#This Row],[QTR]]&amp;", "&amp;Table13[[#This Row],[FY]]</f>
        <v>Q3, FY26</v>
      </c>
    </row>
    <row r="401" spans="1:10" x14ac:dyDescent="0.25">
      <c r="A401" s="2">
        <f t="shared" si="31"/>
        <v>46069</v>
      </c>
      <c r="B401" s="2">
        <f t="shared" si="31"/>
        <v>46075</v>
      </c>
      <c r="C401" s="3" t="s">
        <v>777</v>
      </c>
      <c r="D401" s="3" t="s">
        <v>774</v>
      </c>
      <c r="E401" s="3">
        <v>3</v>
      </c>
      <c r="F401" s="3" t="s">
        <v>807</v>
      </c>
      <c r="G401" s="3" t="str">
        <f>Table13[[#This Row],[Month]]&amp;", "&amp;Table13[[#This Row],[FY]]</f>
        <v>FEB, FY26</v>
      </c>
      <c r="H401" s="3" t="str">
        <f>Table13[[#This Row],[Week]]&amp;", "&amp;Table13[[#This Row],[Month]]&amp;" "&amp;Table13[[#This Row],[FY]]</f>
        <v>Week 34, FEB FY26</v>
      </c>
      <c r="I401" s="3" t="str">
        <f>Table13[[#This Row],[Month]]&amp;", "&amp;Table13[[#This Row],[FY]]</f>
        <v>FEB, FY26</v>
      </c>
      <c r="J401" s="3" t="str">
        <f>"Q"&amp;Table13[[#This Row],[QTR]]&amp;", "&amp;Table13[[#This Row],[FY]]</f>
        <v>Q3, FY26</v>
      </c>
    </row>
    <row r="402" spans="1:10" x14ac:dyDescent="0.25">
      <c r="A402" s="2">
        <f t="shared" si="31"/>
        <v>46076</v>
      </c>
      <c r="B402" s="2">
        <f t="shared" si="31"/>
        <v>46082</v>
      </c>
      <c r="C402" s="3" t="s">
        <v>778</v>
      </c>
      <c r="D402" s="3" t="s">
        <v>774</v>
      </c>
      <c r="E402" s="3">
        <v>3</v>
      </c>
      <c r="F402" s="3" t="s">
        <v>807</v>
      </c>
      <c r="G402" s="3" t="str">
        <f>Table13[[#This Row],[Month]]&amp;", "&amp;Table13[[#This Row],[FY]]</f>
        <v>FEB, FY26</v>
      </c>
      <c r="H402" s="3" t="str">
        <f>Table13[[#This Row],[Week]]&amp;", "&amp;Table13[[#This Row],[Month]]&amp;" "&amp;Table13[[#This Row],[FY]]</f>
        <v>Week 35, FEB FY26</v>
      </c>
      <c r="I402" s="3" t="str">
        <f>Table13[[#This Row],[Month]]&amp;", "&amp;Table13[[#This Row],[FY]]</f>
        <v>FEB, FY26</v>
      </c>
      <c r="J402" s="3" t="str">
        <f>"Q"&amp;Table13[[#This Row],[QTR]]&amp;", "&amp;Table13[[#This Row],[FY]]</f>
        <v>Q3, FY26</v>
      </c>
    </row>
    <row r="403" spans="1:10" x14ac:dyDescent="0.25">
      <c r="A403" s="2">
        <f t="shared" si="31"/>
        <v>46083</v>
      </c>
      <c r="B403" s="2">
        <f t="shared" si="31"/>
        <v>46089</v>
      </c>
      <c r="C403" s="3" t="s">
        <v>779</v>
      </c>
      <c r="D403" s="3" t="s">
        <v>780</v>
      </c>
      <c r="E403" s="3">
        <v>3</v>
      </c>
      <c r="F403" s="3" t="s">
        <v>807</v>
      </c>
      <c r="G403" s="3" t="str">
        <f>Table13[[#This Row],[Month]]&amp;", "&amp;Table13[[#This Row],[FY]]</f>
        <v>MAR, FY26</v>
      </c>
      <c r="H403" s="3" t="str">
        <f>Table13[[#This Row],[Week]]&amp;", "&amp;Table13[[#This Row],[Month]]&amp;" "&amp;Table13[[#This Row],[FY]]</f>
        <v>Week 36, MAR FY26</v>
      </c>
      <c r="I403" s="3" t="str">
        <f>Table13[[#This Row],[Month]]&amp;", "&amp;Table13[[#This Row],[FY]]</f>
        <v>MAR, FY26</v>
      </c>
      <c r="J403" s="3" t="str">
        <f>"Q"&amp;Table13[[#This Row],[QTR]]&amp;", "&amp;Table13[[#This Row],[FY]]</f>
        <v>Q3, FY26</v>
      </c>
    </row>
    <row r="404" spans="1:10" x14ac:dyDescent="0.25">
      <c r="A404" s="2">
        <f t="shared" si="31"/>
        <v>46090</v>
      </c>
      <c r="B404" s="2">
        <f t="shared" si="31"/>
        <v>46096</v>
      </c>
      <c r="C404" s="3" t="s">
        <v>781</v>
      </c>
      <c r="D404" s="3" t="s">
        <v>780</v>
      </c>
      <c r="E404" s="3">
        <v>3</v>
      </c>
      <c r="F404" s="3" t="s">
        <v>807</v>
      </c>
      <c r="G404" s="3" t="str">
        <f>Table13[[#This Row],[Month]]&amp;", "&amp;Table13[[#This Row],[FY]]</f>
        <v>MAR, FY26</v>
      </c>
      <c r="H404" s="3" t="str">
        <f>Table13[[#This Row],[Week]]&amp;", "&amp;Table13[[#This Row],[Month]]&amp;" "&amp;Table13[[#This Row],[FY]]</f>
        <v>Week 37, MAR FY26</v>
      </c>
      <c r="I404" s="3" t="str">
        <f>Table13[[#This Row],[Month]]&amp;", "&amp;Table13[[#This Row],[FY]]</f>
        <v>MAR, FY26</v>
      </c>
      <c r="J404" s="3" t="str">
        <f>"Q"&amp;Table13[[#This Row],[QTR]]&amp;", "&amp;Table13[[#This Row],[FY]]</f>
        <v>Q3, FY26</v>
      </c>
    </row>
    <row r="405" spans="1:10" x14ac:dyDescent="0.25">
      <c r="A405" s="2">
        <f t="shared" si="31"/>
        <v>46097</v>
      </c>
      <c r="B405" s="2">
        <f t="shared" si="31"/>
        <v>46103</v>
      </c>
      <c r="C405" s="3" t="s">
        <v>782</v>
      </c>
      <c r="D405" s="3" t="s">
        <v>780</v>
      </c>
      <c r="E405" s="3">
        <v>3</v>
      </c>
      <c r="F405" s="3" t="s">
        <v>807</v>
      </c>
      <c r="G405" s="3" t="str">
        <f>Table13[[#This Row],[Month]]&amp;", "&amp;Table13[[#This Row],[FY]]</f>
        <v>MAR, FY26</v>
      </c>
      <c r="H405" s="3" t="str">
        <f>Table13[[#This Row],[Week]]&amp;", "&amp;Table13[[#This Row],[Month]]&amp;" "&amp;Table13[[#This Row],[FY]]</f>
        <v>Week 38, MAR FY26</v>
      </c>
      <c r="I405" s="3" t="str">
        <f>Table13[[#This Row],[Month]]&amp;", "&amp;Table13[[#This Row],[FY]]</f>
        <v>MAR, FY26</v>
      </c>
      <c r="J405" s="3" t="str">
        <f>"Q"&amp;Table13[[#This Row],[QTR]]&amp;", "&amp;Table13[[#This Row],[FY]]</f>
        <v>Q3, FY26</v>
      </c>
    </row>
    <row r="406" spans="1:10" x14ac:dyDescent="0.25">
      <c r="A406" s="2">
        <f t="shared" si="31"/>
        <v>46104</v>
      </c>
      <c r="B406" s="2">
        <f t="shared" si="31"/>
        <v>46110</v>
      </c>
      <c r="C406" s="3" t="s">
        <v>783</v>
      </c>
      <c r="D406" s="3" t="s">
        <v>780</v>
      </c>
      <c r="E406" s="3">
        <v>3</v>
      </c>
      <c r="F406" s="3" t="s">
        <v>807</v>
      </c>
      <c r="G406" s="3" t="str">
        <f>Table13[[#This Row],[Month]]&amp;", "&amp;Table13[[#This Row],[FY]]</f>
        <v>MAR, FY26</v>
      </c>
      <c r="H406" s="3" t="str">
        <f>Table13[[#This Row],[Week]]&amp;", "&amp;Table13[[#This Row],[Month]]&amp;" "&amp;Table13[[#This Row],[FY]]</f>
        <v>Week 39, MAR FY26</v>
      </c>
      <c r="I406" s="3" t="str">
        <f>Table13[[#This Row],[Month]]&amp;", "&amp;Table13[[#This Row],[FY]]</f>
        <v>MAR, FY26</v>
      </c>
      <c r="J406" s="3" t="str">
        <f>"Q"&amp;Table13[[#This Row],[QTR]]&amp;", "&amp;Table13[[#This Row],[FY]]</f>
        <v>Q3, FY26</v>
      </c>
    </row>
    <row r="407" spans="1:10" x14ac:dyDescent="0.25">
      <c r="A407" s="2">
        <f t="shared" si="31"/>
        <v>46111</v>
      </c>
      <c r="B407" s="2">
        <f t="shared" si="31"/>
        <v>46117</v>
      </c>
      <c r="C407" s="3" t="s">
        <v>784</v>
      </c>
      <c r="D407" s="3" t="s">
        <v>785</v>
      </c>
      <c r="E407" s="3">
        <v>4</v>
      </c>
      <c r="F407" s="3" t="s">
        <v>807</v>
      </c>
      <c r="G407" s="3" t="str">
        <f>Table13[[#This Row],[Month]]&amp;", "&amp;Table13[[#This Row],[FY]]</f>
        <v>APR, FY26</v>
      </c>
      <c r="H407" s="3" t="str">
        <f>Table13[[#This Row],[Week]]&amp;", "&amp;Table13[[#This Row],[Month]]&amp;" "&amp;Table13[[#This Row],[FY]]</f>
        <v>Week 40, APR FY26</v>
      </c>
      <c r="I407" s="3" t="str">
        <f>Table13[[#This Row],[Month]]&amp;", "&amp;Table13[[#This Row],[FY]]</f>
        <v>APR, FY26</v>
      </c>
      <c r="J407" s="3" t="str">
        <f>"Q"&amp;Table13[[#This Row],[QTR]]&amp;", "&amp;Table13[[#This Row],[FY]]</f>
        <v>Q4, FY26</v>
      </c>
    </row>
    <row r="408" spans="1:10" x14ac:dyDescent="0.25">
      <c r="A408" s="2">
        <f t="shared" si="31"/>
        <v>46118</v>
      </c>
      <c r="B408" s="2">
        <f t="shared" si="31"/>
        <v>46124</v>
      </c>
      <c r="C408" s="3" t="s">
        <v>786</v>
      </c>
      <c r="D408" s="3" t="s">
        <v>785</v>
      </c>
      <c r="E408" s="3">
        <v>4</v>
      </c>
      <c r="F408" s="3" t="s">
        <v>807</v>
      </c>
      <c r="G408" s="3" t="str">
        <f>Table13[[#This Row],[Month]]&amp;", "&amp;Table13[[#This Row],[FY]]</f>
        <v>APR, FY26</v>
      </c>
      <c r="H408" s="3" t="str">
        <f>Table13[[#This Row],[Week]]&amp;", "&amp;Table13[[#This Row],[Month]]&amp;" "&amp;Table13[[#This Row],[FY]]</f>
        <v>Week 41, APR FY26</v>
      </c>
      <c r="I408" s="3" t="str">
        <f>Table13[[#This Row],[Month]]&amp;", "&amp;Table13[[#This Row],[FY]]</f>
        <v>APR, FY26</v>
      </c>
      <c r="J408" s="3" t="str">
        <f>"Q"&amp;Table13[[#This Row],[QTR]]&amp;", "&amp;Table13[[#This Row],[FY]]</f>
        <v>Q4, FY26</v>
      </c>
    </row>
    <row r="409" spans="1:10" x14ac:dyDescent="0.25">
      <c r="A409" s="2">
        <f t="shared" si="31"/>
        <v>46125</v>
      </c>
      <c r="B409" s="2">
        <f t="shared" si="31"/>
        <v>46131</v>
      </c>
      <c r="C409" s="3" t="s">
        <v>787</v>
      </c>
      <c r="D409" s="3" t="s">
        <v>785</v>
      </c>
      <c r="E409" s="3">
        <v>4</v>
      </c>
      <c r="F409" s="3" t="s">
        <v>807</v>
      </c>
      <c r="G409" s="3" t="str">
        <f>Table13[[#This Row],[Month]]&amp;", "&amp;Table13[[#This Row],[FY]]</f>
        <v>APR, FY26</v>
      </c>
      <c r="H409" s="3" t="str">
        <f>Table13[[#This Row],[Week]]&amp;", "&amp;Table13[[#This Row],[Month]]&amp;" "&amp;Table13[[#This Row],[FY]]</f>
        <v>Week 42, APR FY26</v>
      </c>
      <c r="I409" s="3" t="str">
        <f>Table13[[#This Row],[Month]]&amp;", "&amp;Table13[[#This Row],[FY]]</f>
        <v>APR, FY26</v>
      </c>
      <c r="J409" s="3" t="str">
        <f>"Q"&amp;Table13[[#This Row],[QTR]]&amp;", "&amp;Table13[[#This Row],[FY]]</f>
        <v>Q4, FY26</v>
      </c>
    </row>
    <row r="410" spans="1:10" x14ac:dyDescent="0.25">
      <c r="A410" s="2">
        <f t="shared" si="31"/>
        <v>46132</v>
      </c>
      <c r="B410" s="2">
        <f t="shared" si="31"/>
        <v>46138</v>
      </c>
      <c r="C410" s="3" t="s">
        <v>788</v>
      </c>
      <c r="D410" s="3" t="s">
        <v>785</v>
      </c>
      <c r="E410" s="3">
        <v>4</v>
      </c>
      <c r="F410" s="3" t="s">
        <v>807</v>
      </c>
      <c r="G410" s="3" t="str">
        <f>Table13[[#This Row],[Month]]&amp;", "&amp;Table13[[#This Row],[FY]]</f>
        <v>APR, FY26</v>
      </c>
      <c r="H410" s="3" t="str">
        <f>Table13[[#This Row],[Week]]&amp;", "&amp;Table13[[#This Row],[Month]]&amp;" "&amp;Table13[[#This Row],[FY]]</f>
        <v>Week 43, APR FY26</v>
      </c>
      <c r="I410" s="3" t="str">
        <f>Table13[[#This Row],[Month]]&amp;", "&amp;Table13[[#This Row],[FY]]</f>
        <v>APR, FY26</v>
      </c>
      <c r="J410" s="3" t="str">
        <f>"Q"&amp;Table13[[#This Row],[QTR]]&amp;", "&amp;Table13[[#This Row],[FY]]</f>
        <v>Q4, FY26</v>
      </c>
    </row>
    <row r="411" spans="1:10" x14ac:dyDescent="0.25">
      <c r="A411" s="2">
        <f t="shared" si="31"/>
        <v>46139</v>
      </c>
      <c r="B411" s="2">
        <f t="shared" si="31"/>
        <v>46145</v>
      </c>
      <c r="C411" s="3" t="s">
        <v>789</v>
      </c>
      <c r="D411" s="3" t="s">
        <v>790</v>
      </c>
      <c r="E411" s="3">
        <v>4</v>
      </c>
      <c r="F411" s="3" t="s">
        <v>807</v>
      </c>
      <c r="G411" s="3" t="str">
        <f>Table13[[#This Row],[Month]]&amp;", "&amp;Table13[[#This Row],[FY]]</f>
        <v>MAY, FY26</v>
      </c>
      <c r="H411" s="3" t="str">
        <f>Table13[[#This Row],[Week]]&amp;", "&amp;Table13[[#This Row],[Month]]&amp;" "&amp;Table13[[#This Row],[FY]]</f>
        <v>Week 44, MAY FY26</v>
      </c>
      <c r="I411" s="3" t="str">
        <f>Table13[[#This Row],[Month]]&amp;", "&amp;Table13[[#This Row],[FY]]</f>
        <v>MAY, FY26</v>
      </c>
      <c r="J411" s="3" t="str">
        <f>"Q"&amp;Table13[[#This Row],[QTR]]&amp;", "&amp;Table13[[#This Row],[FY]]</f>
        <v>Q4, FY26</v>
      </c>
    </row>
    <row r="412" spans="1:10" x14ac:dyDescent="0.25">
      <c r="A412" s="2">
        <f t="shared" si="31"/>
        <v>46146</v>
      </c>
      <c r="B412" s="2">
        <f t="shared" si="31"/>
        <v>46152</v>
      </c>
      <c r="C412" s="3" t="s">
        <v>791</v>
      </c>
      <c r="D412" s="3" t="s">
        <v>790</v>
      </c>
      <c r="E412" s="3">
        <v>4</v>
      </c>
      <c r="F412" s="3" t="s">
        <v>807</v>
      </c>
      <c r="G412" s="3" t="str">
        <f>Table13[[#This Row],[Month]]&amp;", "&amp;Table13[[#This Row],[FY]]</f>
        <v>MAY, FY26</v>
      </c>
      <c r="H412" s="3" t="str">
        <f>Table13[[#This Row],[Week]]&amp;", "&amp;Table13[[#This Row],[Month]]&amp;" "&amp;Table13[[#This Row],[FY]]</f>
        <v>Week 45, MAY FY26</v>
      </c>
      <c r="I412" s="3" t="str">
        <f>Table13[[#This Row],[Month]]&amp;", "&amp;Table13[[#This Row],[FY]]</f>
        <v>MAY, FY26</v>
      </c>
      <c r="J412" s="3" t="str">
        <f>"Q"&amp;Table13[[#This Row],[QTR]]&amp;", "&amp;Table13[[#This Row],[FY]]</f>
        <v>Q4, FY26</v>
      </c>
    </row>
    <row r="413" spans="1:10" x14ac:dyDescent="0.25">
      <c r="A413" s="2">
        <f t="shared" si="31"/>
        <v>46153</v>
      </c>
      <c r="B413" s="2">
        <f t="shared" si="31"/>
        <v>46159</v>
      </c>
      <c r="C413" s="3" t="s">
        <v>792</v>
      </c>
      <c r="D413" s="3" t="s">
        <v>790</v>
      </c>
      <c r="E413" s="3">
        <v>4</v>
      </c>
      <c r="F413" s="3" t="s">
        <v>807</v>
      </c>
      <c r="G413" s="3" t="str">
        <f>Table13[[#This Row],[Month]]&amp;", "&amp;Table13[[#This Row],[FY]]</f>
        <v>MAY, FY26</v>
      </c>
      <c r="H413" s="3" t="str">
        <f>Table13[[#This Row],[Week]]&amp;", "&amp;Table13[[#This Row],[Month]]&amp;" "&amp;Table13[[#This Row],[FY]]</f>
        <v>Week 46, MAY FY26</v>
      </c>
      <c r="I413" s="3" t="str">
        <f>Table13[[#This Row],[Month]]&amp;", "&amp;Table13[[#This Row],[FY]]</f>
        <v>MAY, FY26</v>
      </c>
      <c r="J413" s="3" t="str">
        <f>"Q"&amp;Table13[[#This Row],[QTR]]&amp;", "&amp;Table13[[#This Row],[FY]]</f>
        <v>Q4, FY26</v>
      </c>
    </row>
    <row r="414" spans="1:10" x14ac:dyDescent="0.25">
      <c r="A414" s="2">
        <f t="shared" si="31"/>
        <v>46160</v>
      </c>
      <c r="B414" s="2">
        <f t="shared" si="31"/>
        <v>46166</v>
      </c>
      <c r="C414" s="3" t="s">
        <v>793</v>
      </c>
      <c r="D414" s="3" t="s">
        <v>790</v>
      </c>
      <c r="E414" s="3">
        <v>4</v>
      </c>
      <c r="F414" s="3" t="s">
        <v>807</v>
      </c>
      <c r="G414" s="3" t="str">
        <f>Table13[[#This Row],[Month]]&amp;", "&amp;Table13[[#This Row],[FY]]</f>
        <v>MAY, FY26</v>
      </c>
      <c r="H414" s="3" t="str">
        <f>Table13[[#This Row],[Week]]&amp;", "&amp;Table13[[#This Row],[Month]]&amp;" "&amp;Table13[[#This Row],[FY]]</f>
        <v>Week 47, MAY FY26</v>
      </c>
      <c r="I414" s="3" t="str">
        <f>Table13[[#This Row],[Month]]&amp;", "&amp;Table13[[#This Row],[FY]]</f>
        <v>MAY, FY26</v>
      </c>
      <c r="J414" s="3" t="str">
        <f>"Q"&amp;Table13[[#This Row],[QTR]]&amp;", "&amp;Table13[[#This Row],[FY]]</f>
        <v>Q4, FY26</v>
      </c>
    </row>
    <row r="415" spans="1:10" x14ac:dyDescent="0.25">
      <c r="A415" s="2">
        <f t="shared" si="31"/>
        <v>46167</v>
      </c>
      <c r="B415" s="2">
        <f t="shared" si="31"/>
        <v>46173</v>
      </c>
      <c r="C415" s="3" t="s">
        <v>794</v>
      </c>
      <c r="D415" s="3" t="s">
        <v>790</v>
      </c>
      <c r="E415" s="3">
        <v>4</v>
      </c>
      <c r="F415" s="3" t="s">
        <v>807</v>
      </c>
      <c r="G415" s="3" t="str">
        <f>Table13[[#This Row],[Month]]&amp;", "&amp;Table13[[#This Row],[FY]]</f>
        <v>MAY, FY26</v>
      </c>
      <c r="H415" s="3" t="str">
        <f>Table13[[#This Row],[Week]]&amp;", "&amp;Table13[[#This Row],[Month]]&amp;" "&amp;Table13[[#This Row],[FY]]</f>
        <v>Week 48, MAY FY26</v>
      </c>
      <c r="I415" s="3" t="str">
        <f>Table13[[#This Row],[Month]]&amp;", "&amp;Table13[[#This Row],[FY]]</f>
        <v>MAY, FY26</v>
      </c>
      <c r="J415" s="3" t="str">
        <f>"Q"&amp;Table13[[#This Row],[QTR]]&amp;", "&amp;Table13[[#This Row],[FY]]</f>
        <v>Q4, FY26</v>
      </c>
    </row>
    <row r="416" spans="1:10" x14ac:dyDescent="0.25">
      <c r="A416" s="2">
        <f t="shared" ref="A416:B419" si="32">A415+7</f>
        <v>46174</v>
      </c>
      <c r="B416" s="2">
        <f t="shared" si="32"/>
        <v>46180</v>
      </c>
      <c r="C416" s="3" t="s">
        <v>795</v>
      </c>
      <c r="D416" s="3" t="s">
        <v>796</v>
      </c>
      <c r="E416" s="3">
        <v>4</v>
      </c>
      <c r="F416" s="3" t="s">
        <v>807</v>
      </c>
      <c r="G416" s="3" t="str">
        <f>Table13[[#This Row],[Month]]&amp;", "&amp;Table13[[#This Row],[FY]]</f>
        <v>JUN, FY26</v>
      </c>
      <c r="H416" s="3" t="str">
        <f>Table13[[#This Row],[Week]]&amp;", "&amp;Table13[[#This Row],[Month]]&amp;" "&amp;Table13[[#This Row],[FY]]</f>
        <v>Week 49, JUN FY26</v>
      </c>
      <c r="I416" s="3" t="str">
        <f>Table13[[#This Row],[Month]]&amp;", "&amp;Table13[[#This Row],[FY]]</f>
        <v>JUN, FY26</v>
      </c>
      <c r="J416" s="3" t="str">
        <f>"Q"&amp;Table13[[#This Row],[QTR]]&amp;", "&amp;Table13[[#This Row],[FY]]</f>
        <v>Q4, FY26</v>
      </c>
    </row>
    <row r="417" spans="1:10" x14ac:dyDescent="0.25">
      <c r="A417" s="2">
        <f t="shared" si="32"/>
        <v>46181</v>
      </c>
      <c r="B417" s="2">
        <f t="shared" si="32"/>
        <v>46187</v>
      </c>
      <c r="C417" s="3" t="s">
        <v>797</v>
      </c>
      <c r="D417" s="3" t="s">
        <v>796</v>
      </c>
      <c r="E417" s="3">
        <v>4</v>
      </c>
      <c r="F417" s="3" t="s">
        <v>807</v>
      </c>
      <c r="G417" s="3" t="str">
        <f>Table13[[#This Row],[Month]]&amp;", "&amp;Table13[[#This Row],[FY]]</f>
        <v>JUN, FY26</v>
      </c>
      <c r="H417" s="3" t="str">
        <f>Table13[[#This Row],[Week]]&amp;", "&amp;Table13[[#This Row],[Month]]&amp;" "&amp;Table13[[#This Row],[FY]]</f>
        <v>Week 50, JUN FY26</v>
      </c>
      <c r="I417" s="3" t="str">
        <f>Table13[[#This Row],[Month]]&amp;", "&amp;Table13[[#This Row],[FY]]</f>
        <v>JUN, FY26</v>
      </c>
      <c r="J417" s="3" t="str">
        <f>"Q"&amp;Table13[[#This Row],[QTR]]&amp;", "&amp;Table13[[#This Row],[FY]]</f>
        <v>Q4, FY26</v>
      </c>
    </row>
    <row r="418" spans="1:10" x14ac:dyDescent="0.25">
      <c r="A418" s="2">
        <f t="shared" si="32"/>
        <v>46188</v>
      </c>
      <c r="B418" s="2">
        <f t="shared" si="32"/>
        <v>46194</v>
      </c>
      <c r="C418" s="3" t="s">
        <v>798</v>
      </c>
      <c r="D418" s="3" t="s">
        <v>796</v>
      </c>
      <c r="E418" s="3">
        <v>4</v>
      </c>
      <c r="F418" s="3" t="s">
        <v>807</v>
      </c>
      <c r="G418" s="3" t="str">
        <f>Table13[[#This Row],[Month]]&amp;", "&amp;Table13[[#This Row],[FY]]</f>
        <v>JUN, FY26</v>
      </c>
      <c r="H418" s="3" t="str">
        <f>Table13[[#This Row],[Week]]&amp;", "&amp;Table13[[#This Row],[Month]]&amp;" "&amp;Table13[[#This Row],[FY]]</f>
        <v>Week 51, JUN FY26</v>
      </c>
      <c r="I418" s="3" t="str">
        <f>Table13[[#This Row],[Month]]&amp;", "&amp;Table13[[#This Row],[FY]]</f>
        <v>JUN, FY26</v>
      </c>
      <c r="J418" s="3" t="str">
        <f>"Q"&amp;Table13[[#This Row],[QTR]]&amp;", "&amp;Table13[[#This Row],[FY]]</f>
        <v>Q4, FY26</v>
      </c>
    </row>
    <row r="419" spans="1:10" x14ac:dyDescent="0.25">
      <c r="A419" s="2">
        <f t="shared" si="32"/>
        <v>46195</v>
      </c>
      <c r="B419" s="2">
        <f t="shared" si="32"/>
        <v>46201</v>
      </c>
      <c r="C419" s="3" t="s">
        <v>799</v>
      </c>
      <c r="D419" s="3" t="s">
        <v>796</v>
      </c>
      <c r="E419" s="3">
        <v>4</v>
      </c>
      <c r="F419" s="3" t="s">
        <v>807</v>
      </c>
      <c r="G419" s="3" t="str">
        <f>Table13[[#This Row],[Month]]&amp;", "&amp;Table13[[#This Row],[FY]]</f>
        <v>JUN, FY26</v>
      </c>
      <c r="H419" s="3" t="str">
        <f>Table13[[#This Row],[Week]]&amp;", "&amp;Table13[[#This Row],[Month]]&amp;" "&amp;Table13[[#This Row],[FY]]</f>
        <v>Week 52, JUN FY26</v>
      </c>
      <c r="I419" s="3" t="str">
        <f>Table13[[#This Row],[Month]]&amp;", "&amp;Table13[[#This Row],[FY]]</f>
        <v>JUN, FY26</v>
      </c>
      <c r="J419" s="3" t="str">
        <f>"Q"&amp;Table13[[#This Row],[QTR]]&amp;", "&amp;Table13[[#This Row],[FY]]</f>
        <v>Q4, FY26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 Report_APR FY25</vt:lpstr>
      <vt:lpstr>CA REPORT_12-month Graphs</vt:lpstr>
      <vt:lpstr>STORE FEED</vt:lpstr>
      <vt:lpstr>PsychoSocial DataDump</vt:lpstr>
      <vt:lpstr>Sec_Risk DataDump</vt:lpstr>
      <vt:lpstr>TMJ DataDump</vt:lpstr>
      <vt:lpstr>STORE LOOKUP</vt:lpstr>
      <vt:lpstr>FIN CAL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2025-05-19T00:26:56Z</dcterms:created>
  <dcterms:modified xsi:type="dcterms:W3CDTF">2026-09-17T15:09:21Z</dcterms:modified>
</cp:coreProperties>
</file>